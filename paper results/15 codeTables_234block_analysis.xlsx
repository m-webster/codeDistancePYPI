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508FCE3A-FECA-1B40-A81B-72DED37D0541}" xr6:coauthVersionLast="47" xr6:coauthVersionMax="47" xr10:uidLastSave="{00000000-0000-0000-0000-000000000000}"/>
  <bookViews>
    <workbookView xWindow="0" yWindow="740" windowWidth="29400" windowHeight="17340" activeTab="1" xr2:uid="{700A3A22-2678-764F-9191-E84A3008AA27}"/>
  </bookViews>
  <sheets>
    <sheet name="analysis" sheetId="32" r:id="rId1"/>
    <sheet name="charts" sheetId="45" r:id="rId2"/>
    <sheet name="magma" sheetId="46" r:id="rId3"/>
    <sheet name="Sheet1" sheetId="1" r:id="rId4"/>
    <sheet name="Sheet2" sheetId="2" r:id="rId5"/>
    <sheet name="Sheet3" sheetId="3" r:id="rId6"/>
    <sheet name="Sheet4" sheetId="4" r:id="rId7"/>
    <sheet name="Sheet5" sheetId="5" r:id="rId8"/>
    <sheet name="Sheet6" sheetId="6" r:id="rId9"/>
    <sheet name="Sheet7" sheetId="7" r:id="rId10"/>
    <sheet name="Sheet8" sheetId="8" r:id="rId11"/>
    <sheet name="Sheet9" sheetId="33" r:id="rId12"/>
    <sheet name="Sheet10" sheetId="34" r:id="rId13"/>
    <sheet name="Sheet11" sheetId="35" r:id="rId14"/>
    <sheet name="Sheet12" sheetId="36" r:id="rId15"/>
    <sheet name="Sheet13" sheetId="37" r:id="rId16"/>
    <sheet name="Sheet14" sheetId="38" r:id="rId17"/>
    <sheet name="Sheet15" sheetId="39" r:id="rId18"/>
    <sheet name="Sheet16" sheetId="40" r:id="rId19"/>
    <sheet name="Sheet17" sheetId="41" r:id="rId20"/>
    <sheet name="Sheet18" sheetId="42" r:id="rId21"/>
    <sheet name="Sheet19" sheetId="43" r:id="rId22"/>
    <sheet name="Sheet20" sheetId="44" r:id="rId2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45" l="1"/>
  <c r="W4" i="45"/>
  <c r="X4" i="45"/>
  <c r="Y4" i="45"/>
  <c r="Z4" i="45"/>
  <c r="AA4" i="45"/>
  <c r="AB4" i="45"/>
  <c r="U4" i="45"/>
  <c r="T55" i="45" l="1"/>
  <c r="A55" i="45"/>
  <c r="T54" i="45"/>
  <c r="A54" i="45"/>
  <c r="T53" i="45"/>
  <c r="A53" i="45"/>
  <c r="T52" i="45"/>
  <c r="A52" i="45"/>
  <c r="T51" i="45"/>
  <c r="A51" i="45"/>
  <c r="T50" i="45"/>
  <c r="A50" i="45"/>
  <c r="T49" i="45"/>
  <c r="A49" i="45"/>
  <c r="T48" i="45"/>
  <c r="A48" i="45"/>
  <c r="T47" i="45"/>
  <c r="A47" i="45"/>
  <c r="T46" i="45"/>
  <c r="A46" i="45"/>
  <c r="T45" i="45"/>
  <c r="A45" i="45"/>
  <c r="T44" i="45"/>
  <c r="A44" i="45"/>
  <c r="T43" i="45"/>
  <c r="A43" i="45"/>
  <c r="T42" i="45"/>
  <c r="A42" i="45"/>
  <c r="T41" i="45"/>
  <c r="A41" i="45"/>
  <c r="T40" i="45"/>
  <c r="A40" i="45"/>
  <c r="T39" i="45"/>
  <c r="A39" i="45"/>
  <c r="T38" i="45"/>
  <c r="A38" i="45"/>
  <c r="T37" i="45"/>
  <c r="A37" i="45"/>
  <c r="T36" i="45"/>
  <c r="A36" i="45"/>
  <c r="T35" i="45"/>
  <c r="A35" i="45"/>
  <c r="T34" i="45"/>
  <c r="A34" i="45"/>
  <c r="T33" i="45"/>
  <c r="A33" i="45"/>
  <c r="T32" i="45"/>
  <c r="A32" i="45"/>
  <c r="T31" i="45"/>
  <c r="A31" i="45"/>
  <c r="T30" i="45"/>
  <c r="A30" i="45"/>
  <c r="T29" i="45"/>
  <c r="A29" i="45"/>
  <c r="T28" i="45"/>
  <c r="A28" i="45"/>
  <c r="T27" i="45"/>
  <c r="A27" i="45"/>
  <c r="T26" i="45"/>
  <c r="A26" i="45"/>
  <c r="T25" i="45"/>
  <c r="A25" i="45"/>
  <c r="T24" i="45"/>
  <c r="A24" i="45"/>
  <c r="T23" i="45"/>
  <c r="A23" i="45"/>
  <c r="T22" i="45"/>
  <c r="A22" i="45"/>
  <c r="T21" i="45"/>
  <c r="A21" i="45"/>
  <c r="T20" i="45"/>
  <c r="A20" i="45"/>
  <c r="T19" i="45"/>
  <c r="A19" i="45"/>
  <c r="T18" i="45"/>
  <c r="A18" i="45"/>
  <c r="T17" i="45"/>
  <c r="A17" i="45"/>
  <c r="T16" i="45"/>
  <c r="A16" i="45"/>
  <c r="T15" i="45"/>
  <c r="A15" i="45"/>
  <c r="T14" i="45"/>
  <c r="A14" i="45"/>
  <c r="T13" i="45"/>
  <c r="A13" i="45"/>
  <c r="T12" i="45"/>
  <c r="A12" i="45"/>
  <c r="T11" i="45"/>
  <c r="A11" i="45"/>
  <c r="T10" i="45"/>
  <c r="A10" i="45"/>
  <c r="T9" i="45"/>
  <c r="A9" i="45"/>
  <c r="T8" i="45"/>
  <c r="A8" i="45"/>
  <c r="T7" i="45"/>
  <c r="A7" i="45"/>
  <c r="T6" i="45"/>
  <c r="A6" i="45"/>
  <c r="T5" i="45"/>
  <c r="A5" i="45"/>
  <c r="F55" i="45"/>
  <c r="O55" i="45" s="1" a="1"/>
  <c r="C51" i="45"/>
  <c r="L51" i="45" s="1" a="1"/>
  <c r="H47" i="45"/>
  <c r="Q47" i="45" s="1" a="1"/>
  <c r="B39" i="45"/>
  <c r="K39" i="45" s="1" a="1"/>
  <c r="F35" i="45"/>
  <c r="O35" i="45" s="1" a="1"/>
  <c r="F31" i="45"/>
  <c r="O31" i="45" s="1" a="1"/>
  <c r="B27" i="45"/>
  <c r="K27" i="45" s="1" a="1"/>
  <c r="G23" i="45"/>
  <c r="P23" i="45" s="1" a="1"/>
  <c r="C19" i="45"/>
  <c r="L19" i="45" s="1" a="1"/>
  <c r="H15" i="45"/>
  <c r="Q15" i="45" s="1" a="1"/>
  <c r="B7" i="45"/>
  <c r="K7" i="45" s="1" a="1"/>
  <c r="F43" i="45"/>
  <c r="O43" i="45" s="1" a="1"/>
  <c r="C27" i="45"/>
  <c r="L27" i="45" s="1" a="1"/>
  <c r="B15" i="45"/>
  <c r="K15" i="45" s="1" a="1"/>
  <c r="F7" i="45"/>
  <c r="O7" i="45" s="1" a="1"/>
  <c r="F48" i="45"/>
  <c r="O48" i="45" s="1" a="1"/>
  <c r="F40" i="45"/>
  <c r="O40" i="45" s="1" a="1"/>
  <c r="G24" i="45"/>
  <c r="P24" i="45" s="1" a="1"/>
  <c r="D16" i="45"/>
  <c r="M16" i="45" s="1" a="1"/>
  <c r="H8" i="45"/>
  <c r="Q8" i="45" s="1" a="1"/>
  <c r="G14" i="45"/>
  <c r="P14" i="45" s="1" a="1"/>
  <c r="H43" i="45"/>
  <c r="Q43" i="45" s="1" a="1"/>
  <c r="C35" i="45"/>
  <c r="L35" i="45" s="1" a="1"/>
  <c r="D27" i="45"/>
  <c r="M27" i="45" s="1" a="1"/>
  <c r="C15" i="45"/>
  <c r="L15" i="45" s="1" a="1"/>
  <c r="G7" i="45"/>
  <c r="P7" i="45" s="1" a="1"/>
  <c r="F38" i="45"/>
  <c r="O38" i="45" s="1" a="1"/>
  <c r="D10" i="45"/>
  <c r="M10" i="45" s="1" a="1"/>
  <c r="E22" i="45"/>
  <c r="N22" i="45" s="1" a="1"/>
  <c r="H52" i="45"/>
  <c r="Q52" i="45" s="1" a="1"/>
  <c r="E44" i="45"/>
  <c r="N44" i="45" s="1" a="1"/>
  <c r="C32" i="45"/>
  <c r="L32" i="45" s="1" a="1"/>
  <c r="E24" i="45"/>
  <c r="N24" i="45" s="1" a="1"/>
  <c r="E16" i="45"/>
  <c r="N16" i="45" s="1" a="1"/>
  <c r="F18" i="45"/>
  <c r="O18" i="45" s="1" a="1"/>
  <c r="F51" i="45"/>
  <c r="O51" i="45" s="1" a="1"/>
  <c r="B43" i="45"/>
  <c r="K43" i="45" s="1" a="1"/>
  <c r="H31" i="45"/>
  <c r="Q31" i="45" s="1" a="1"/>
  <c r="G55" i="45"/>
  <c r="P55" i="45" s="1" a="1"/>
  <c r="D51" i="45"/>
  <c r="M51" i="45" s="1" a="1"/>
  <c r="E43" i="45"/>
  <c r="N43" i="45" s="1" a="1"/>
  <c r="C39" i="45"/>
  <c r="L39" i="45" s="1" a="1"/>
  <c r="B35" i="45"/>
  <c r="K35" i="45" s="1" a="1"/>
  <c r="D31" i="45"/>
  <c r="M31" i="45" s="1" a="1"/>
  <c r="H27" i="45"/>
  <c r="Q27" i="45" s="1" a="1"/>
  <c r="E23" i="45"/>
  <c r="N23" i="45" s="1" a="1"/>
  <c r="D19" i="45"/>
  <c r="M19" i="45" s="1" a="1"/>
  <c r="F11" i="45"/>
  <c r="O11" i="45" s="1" a="1"/>
  <c r="C7" i="45"/>
  <c r="L7" i="45" s="1" a="1"/>
  <c r="H55" i="45"/>
  <c r="Q55" i="45" s="1" a="1"/>
  <c r="B47" i="45"/>
  <c r="K47" i="45" s="1" a="1"/>
  <c r="E39" i="45"/>
  <c r="N39" i="45" s="1" a="1"/>
  <c r="G35" i="45"/>
  <c r="P35" i="45" s="1" a="1"/>
  <c r="E31" i="45"/>
  <c r="N31" i="45" s="1" a="1"/>
  <c r="H23" i="45"/>
  <c r="Q23" i="45" s="1" a="1"/>
  <c r="G11" i="45"/>
  <c r="P11" i="45" s="1" a="1"/>
  <c r="D52" i="45"/>
  <c r="M52" i="45" s="1" a="1"/>
  <c r="B44" i="45"/>
  <c r="K44" i="45" s="1" a="1"/>
  <c r="G28" i="45"/>
  <c r="P28" i="45" s="1" a="1"/>
  <c r="H20" i="45"/>
  <c r="Q20" i="45" s="1" a="1"/>
  <c r="B12" i="45"/>
  <c r="K12" i="45" s="1" a="1"/>
  <c r="H50" i="45"/>
  <c r="Q50" i="45" s="1" a="1"/>
  <c r="D47" i="45"/>
  <c r="M47" i="45" s="1" a="1"/>
  <c r="F39" i="45"/>
  <c r="O39" i="45" s="1" a="1"/>
  <c r="G31" i="45"/>
  <c r="P31" i="45" s="1" a="1"/>
  <c r="E19" i="45"/>
  <c r="N19" i="45" s="1" a="1"/>
  <c r="E11" i="45"/>
  <c r="N11" i="45" s="1" a="1"/>
  <c r="F46" i="45"/>
  <c r="O46" i="45" s="1" a="1"/>
  <c r="C34" i="45"/>
  <c r="L34" i="45" s="1" a="1"/>
  <c r="E42" i="45"/>
  <c r="N42" i="45" s="1" a="1"/>
  <c r="C6" i="45"/>
  <c r="L6" i="45" s="1" a="1"/>
  <c r="H48" i="45"/>
  <c r="Q48" i="45" s="1" a="1"/>
  <c r="F36" i="45"/>
  <c r="O36" i="45" s="1" a="1"/>
  <c r="C28" i="45"/>
  <c r="L28" i="45" s="1" a="1"/>
  <c r="D20" i="45"/>
  <c r="M20" i="45" s="1" a="1"/>
  <c r="E12" i="45"/>
  <c r="N12" i="45" s="1" a="1"/>
  <c r="B30" i="45"/>
  <c r="K30" i="45" s="1" a="1"/>
  <c r="B55" i="45"/>
  <c r="K55" i="45" s="1" a="1"/>
  <c r="G39" i="45"/>
  <c r="P39" i="45" s="1" a="1"/>
  <c r="B23" i="45"/>
  <c r="K23" i="45" s="1" a="1"/>
  <c r="B32" i="45"/>
  <c r="K32" i="45" s="1" a="1"/>
  <c r="E51" i="45"/>
  <c r="N51" i="45" s="1" a="1"/>
  <c r="D55" i="45"/>
  <c r="M55" i="45" s="1" a="1"/>
  <c r="G51" i="45"/>
  <c r="P51" i="45" s="1" a="1"/>
  <c r="G47" i="45"/>
  <c r="P47" i="45" s="1" a="1"/>
  <c r="C43" i="45"/>
  <c r="L43" i="45" s="1" a="1"/>
  <c r="H39" i="45"/>
  <c r="Q39" i="45" s="1" a="1"/>
  <c r="B31" i="45"/>
  <c r="K31" i="45" s="1" a="1"/>
  <c r="F27" i="45"/>
  <c r="O27" i="45" s="1" a="1"/>
  <c r="C23" i="45"/>
  <c r="L23" i="45" s="1" a="1"/>
  <c r="B19" i="45"/>
  <c r="K19" i="45" s="1" a="1"/>
  <c r="G15" i="45"/>
  <c r="P15" i="45" s="1" a="1"/>
  <c r="C11" i="45"/>
  <c r="L11" i="45" s="1" a="1"/>
  <c r="H7" i="45"/>
  <c r="Q7" i="45" s="1" a="1"/>
  <c r="E55" i="45"/>
  <c r="N55" i="45" s="1" a="1"/>
  <c r="H51" i="45"/>
  <c r="Q51" i="45" s="1" a="1"/>
  <c r="E47" i="45"/>
  <c r="N47" i="45" s="1" a="1"/>
  <c r="D43" i="45"/>
  <c r="M43" i="45" s="1" a="1"/>
  <c r="E35" i="45"/>
  <c r="N35" i="45" s="1" a="1"/>
  <c r="C31" i="45"/>
  <c r="L31" i="45" s="1" a="1"/>
  <c r="G27" i="45"/>
  <c r="P27" i="45" s="1" a="1"/>
  <c r="F23" i="45"/>
  <c r="O23" i="45" s="1" a="1"/>
  <c r="H19" i="45"/>
  <c r="Q19" i="45" s="1" a="1"/>
  <c r="E15" i="45"/>
  <c r="N15" i="45" s="1" a="1"/>
  <c r="D11" i="45"/>
  <c r="M11" i="45" s="1" a="1"/>
  <c r="H46" i="45"/>
  <c r="Q46" i="45" s="1" a="1"/>
  <c r="G42" i="45"/>
  <c r="P42" i="45" s="1" a="1"/>
  <c r="F52" i="45"/>
  <c r="O52" i="45" s="1" a="1"/>
  <c r="C48" i="45"/>
  <c r="L48" i="45" s="1" a="1"/>
  <c r="C44" i="45"/>
  <c r="L44" i="45" s="1" a="1"/>
  <c r="G40" i="45"/>
  <c r="P40" i="45" s="1" a="1"/>
  <c r="D36" i="45"/>
  <c r="M36" i="45" s="1" a="1"/>
  <c r="H32" i="45"/>
  <c r="Q32" i="45" s="1" a="1"/>
  <c r="E28" i="45"/>
  <c r="N28" i="45" s="1" a="1"/>
  <c r="G20" i="45"/>
  <c r="P20" i="45" s="1" a="1"/>
  <c r="C16" i="45"/>
  <c r="L16" i="45" s="1" a="1"/>
  <c r="F12" i="45"/>
  <c r="O12" i="45" s="1" a="1"/>
  <c r="G8" i="45"/>
  <c r="P8" i="45" s="1" a="1"/>
  <c r="D54" i="45"/>
  <c r="M54" i="45" s="1" a="1"/>
  <c r="D30" i="45"/>
  <c r="M30" i="45" s="1" a="1"/>
  <c r="C18" i="45"/>
  <c r="L18" i="45" s="1" a="1"/>
  <c r="H54" i="45"/>
  <c r="Q54" i="45" s="1" a="1"/>
  <c r="C50" i="45"/>
  <c r="L50" i="45" s="1" a="1"/>
  <c r="F47" i="45"/>
  <c r="O47" i="45" s="1" a="1"/>
  <c r="H35" i="45"/>
  <c r="Q35" i="45" s="1" a="1"/>
  <c r="B51" i="45"/>
  <c r="K51" i="45" s="1" a="1"/>
  <c r="G19" i="45"/>
  <c r="P19" i="45" s="1" a="1"/>
  <c r="G46" i="45"/>
  <c r="P46" i="45" s="1" a="1"/>
  <c r="H42" i="45"/>
  <c r="Q42" i="45" s="1" a="1"/>
  <c r="F44" i="45"/>
  <c r="O44" i="45" s="1" a="1"/>
  <c r="D28" i="45"/>
  <c r="M28" i="45" s="1" a="1"/>
  <c r="B8" i="45"/>
  <c r="K8" i="45" s="1" a="1"/>
  <c r="G43" i="45"/>
  <c r="P43" i="45" s="1" a="1"/>
  <c r="D34" i="45"/>
  <c r="M34" i="45" s="1" a="1"/>
  <c r="H24" i="45"/>
  <c r="Q24" i="45" s="1" a="1"/>
  <c r="F50" i="45"/>
  <c r="O50" i="45" s="1" a="1"/>
  <c r="E38" i="45"/>
  <c r="N38" i="45" s="1" a="1"/>
  <c r="G30" i="45"/>
  <c r="P30" i="45" s="1" a="1"/>
  <c r="D22" i="45"/>
  <c r="M22" i="45" s="1" a="1"/>
  <c r="H14" i="45"/>
  <c r="Q14" i="45" s="1" a="1"/>
  <c r="D39" i="45"/>
  <c r="M39" i="45" s="1" a="1"/>
  <c r="D26" i="45"/>
  <c r="M26" i="45" s="1" a="1"/>
  <c r="F6" i="45"/>
  <c r="O6" i="45" s="1" a="1"/>
  <c r="B11" i="45"/>
  <c r="K11" i="45" s="1" a="1"/>
  <c r="B6" i="45"/>
  <c r="K6" i="45" s="1" a="1"/>
  <c r="E20" i="45"/>
  <c r="N20" i="45" s="1" a="1"/>
  <c r="D5" i="45"/>
  <c r="M5" i="45" s="1" a="1"/>
  <c r="E10" i="45"/>
  <c r="N10" i="45" s="1" a="1"/>
  <c r="H16" i="45"/>
  <c r="Q16" i="45" s="1" a="1"/>
  <c r="C49" i="45"/>
  <c r="L49" i="45" s="1" a="1"/>
  <c r="D23" i="45"/>
  <c r="M23" i="45" s="1" a="1"/>
  <c r="G12" i="45"/>
  <c r="P12" i="45" s="1" a="1"/>
  <c r="B53" i="45"/>
  <c r="K53" i="45" s="1" a="1"/>
  <c r="D44" i="45"/>
  <c r="M44" i="45" s="1" a="1"/>
  <c r="F28" i="45"/>
  <c r="O28" i="45" s="1" a="1"/>
  <c r="H12" i="45"/>
  <c r="Q12" i="45" s="1" a="1"/>
  <c r="C46" i="45"/>
  <c r="L46" i="45" s="1" a="1"/>
  <c r="C8" i="45"/>
  <c r="L8" i="45" s="1" a="1"/>
  <c r="C47" i="45"/>
  <c r="L47" i="45" s="1" a="1"/>
  <c r="D15" i="45"/>
  <c r="M15" i="45" s="1" a="1"/>
  <c r="G38" i="45"/>
  <c r="P38" i="45" s="1" a="1"/>
  <c r="H22" i="45"/>
  <c r="Q22" i="45" s="1" a="1"/>
  <c r="B40" i="45"/>
  <c r="K40" i="45" s="1" a="1"/>
  <c r="F24" i="45"/>
  <c r="O24" i="45" s="1" a="1"/>
  <c r="B54" i="45"/>
  <c r="K54" i="45" s="1" a="1"/>
  <c r="F15" i="45"/>
  <c r="O15" i="45" s="1" a="1"/>
  <c r="F22" i="45"/>
  <c r="O22" i="45" s="1" a="1"/>
  <c r="C54" i="45"/>
  <c r="L54" i="45" s="1" a="1"/>
  <c r="B46" i="45"/>
  <c r="K46" i="45" s="1" a="1"/>
  <c r="C42" i="45"/>
  <c r="L42" i="45" s="1" a="1"/>
  <c r="G34" i="45"/>
  <c r="P34" i="45" s="1" a="1"/>
  <c r="B26" i="45"/>
  <c r="K26" i="45" s="1" a="1"/>
  <c r="E18" i="45"/>
  <c r="N18" i="45" s="1" a="1"/>
  <c r="H6" i="45"/>
  <c r="Q6" i="45" s="1" a="1"/>
  <c r="H11" i="45"/>
  <c r="Q11" i="45" s="1" a="1"/>
  <c r="G36" i="45"/>
  <c r="P36" i="45" s="1" a="1"/>
  <c r="C30" i="45"/>
  <c r="L30" i="45" s="1" a="1"/>
  <c r="D35" i="45"/>
  <c r="M35" i="45" s="1" a="1"/>
  <c r="E26" i="45"/>
  <c r="N26" i="45" s="1" a="1"/>
  <c r="B36" i="45"/>
  <c r="K36" i="45" s="1" a="1"/>
  <c r="E30" i="45"/>
  <c r="N30" i="45" s="1" a="1"/>
  <c r="D7" i="45"/>
  <c r="M7" i="45" s="1" a="1"/>
  <c r="F32" i="45"/>
  <c r="O32" i="45" s="1" a="1"/>
  <c r="E14" i="45"/>
  <c r="N14" i="45" s="1" a="1"/>
  <c r="G32" i="45"/>
  <c r="P32" i="45" s="1" a="1"/>
  <c r="G52" i="45"/>
  <c r="P52" i="45" s="1" a="1"/>
  <c r="E32" i="45"/>
  <c r="N32" i="45" s="1" a="1"/>
  <c r="F20" i="45"/>
  <c r="O20" i="45" s="1" a="1"/>
  <c r="C55" i="45"/>
  <c r="L55" i="45" s="1" a="1"/>
  <c r="D48" i="45"/>
  <c r="M48" i="45" s="1" a="1"/>
  <c r="C45" i="45"/>
  <c r="L45" i="45" s="1" a="1"/>
  <c r="C40" i="45"/>
  <c r="L40" i="45" s="1" a="1"/>
  <c r="C9" i="45"/>
  <c r="L9" i="45" s="1" a="1"/>
  <c r="G18" i="45"/>
  <c r="P18" i="45" s="1" a="1"/>
  <c r="F10" i="45"/>
  <c r="O10" i="45" s="1" a="1"/>
  <c r="H36" i="45"/>
  <c r="Q36" i="45" s="1" a="1"/>
  <c r="F19" i="45"/>
  <c r="O19" i="45" s="1" a="1"/>
  <c r="E41" i="45"/>
  <c r="N41" i="45" s="1" a="1"/>
  <c r="F54" i="45"/>
  <c r="O54" i="45" s="1" a="1"/>
  <c r="G10" i="45"/>
  <c r="P10" i="45" s="1" a="1"/>
  <c r="B20" i="45"/>
  <c r="K20" i="45" s="1" a="1"/>
  <c r="H13" i="45"/>
  <c r="Q13" i="45" s="1" a="1"/>
  <c r="B52" i="45"/>
  <c r="K52" i="45" s="1" a="1"/>
  <c r="E52" i="45"/>
  <c r="N52" i="45" s="1" a="1"/>
  <c r="D40" i="45"/>
  <c r="M40" i="45" s="1" a="1"/>
  <c r="F16" i="45"/>
  <c r="O16" i="45" s="1" a="1"/>
  <c r="B28" i="45"/>
  <c r="K28" i="45" s="1" a="1"/>
  <c r="E27" i="45"/>
  <c r="N27" i="45" s="1" a="1"/>
  <c r="E53" i="45"/>
  <c r="N53" i="45" s="1" a="1"/>
  <c r="E7" i="45"/>
  <c r="N7" i="45" s="1" a="1"/>
  <c r="H18" i="45"/>
  <c r="Q18" i="45" s="1" a="1"/>
  <c r="D49" i="45"/>
  <c r="M49" i="45" s="1" a="1"/>
  <c r="G48" i="45"/>
  <c r="P48" i="45" s="1" a="1"/>
  <c r="B24" i="45"/>
  <c r="K24" i="45" s="1" a="1"/>
  <c r="D8" i="45"/>
  <c r="M8" i="45" s="1" a="1"/>
  <c r="F42" i="45"/>
  <c r="O42" i="45" s="1" a="1"/>
  <c r="H37" i="45"/>
  <c r="Q37" i="45" s="1" a="1"/>
  <c r="B5" i="45"/>
  <c r="K5" i="45" s="1" a="1"/>
  <c r="K5" i="45" l="1"/>
  <c r="U5" i="45" s="1"/>
  <c r="M5" i="45"/>
  <c r="W5" i="45" s="1"/>
  <c r="N41" i="45"/>
  <c r="X41" i="45" s="1"/>
  <c r="K53" i="45"/>
  <c r="U53" i="45" s="1"/>
  <c r="N53" i="45"/>
  <c r="X53" i="45" s="1"/>
  <c r="L9" i="45"/>
  <c r="V9" i="45" s="1"/>
  <c r="Q37" i="45"/>
  <c r="AA37" i="45" s="1"/>
  <c r="M49" i="45"/>
  <c r="W49" i="45" s="1"/>
  <c r="L49" i="45"/>
  <c r="V49" i="45" s="1"/>
  <c r="Q13" i="45"/>
  <c r="AA13" i="45" s="1"/>
  <c r="L45" i="45"/>
  <c r="V45" i="45" s="1"/>
  <c r="L18" i="45"/>
  <c r="V18" i="45" s="1"/>
  <c r="Q18" i="45"/>
  <c r="AA18" i="45" s="1"/>
  <c r="P18" i="45"/>
  <c r="Z18" i="45" s="1"/>
  <c r="O18" i="45"/>
  <c r="Y18" i="45" s="1"/>
  <c r="N18" i="45"/>
  <c r="X18" i="45" s="1"/>
  <c r="P30" i="45"/>
  <c r="Z30" i="45" s="1"/>
  <c r="M30" i="45"/>
  <c r="W30" i="45" s="1"/>
  <c r="N30" i="45"/>
  <c r="X30" i="45" s="1"/>
  <c r="L30" i="45"/>
  <c r="V30" i="45" s="1"/>
  <c r="K30" i="45"/>
  <c r="U30" i="45" s="1"/>
  <c r="O54" i="45"/>
  <c r="Y54" i="45" s="1"/>
  <c r="M54" i="45"/>
  <c r="W54" i="45" s="1"/>
  <c r="L54" i="45"/>
  <c r="V54" i="45" s="1"/>
  <c r="K54" i="45"/>
  <c r="U54" i="45" s="1"/>
  <c r="Q54" i="45"/>
  <c r="AA54" i="45" s="1"/>
  <c r="Q8" i="45"/>
  <c r="AA8" i="45" s="1"/>
  <c r="M8" i="45"/>
  <c r="W8" i="45" s="1"/>
  <c r="P8" i="45"/>
  <c r="Z8" i="45" s="1"/>
  <c r="K8" i="45"/>
  <c r="U8" i="45" s="1"/>
  <c r="L8" i="45"/>
  <c r="V8" i="45" s="1"/>
  <c r="N12" i="45"/>
  <c r="X12" i="45" s="1"/>
  <c r="K12" i="45"/>
  <c r="U12" i="45" s="1"/>
  <c r="Q12" i="45"/>
  <c r="AA12" i="45" s="1"/>
  <c r="O12" i="45"/>
  <c r="Y12" i="45" s="1"/>
  <c r="P12" i="45"/>
  <c r="Z12" i="45" s="1"/>
  <c r="Q16" i="45"/>
  <c r="AA16" i="45" s="1"/>
  <c r="N16" i="45"/>
  <c r="X16" i="45" s="1"/>
  <c r="M16" i="45"/>
  <c r="W16" i="45" s="1"/>
  <c r="O16" i="45"/>
  <c r="Y16" i="45" s="1"/>
  <c r="L16" i="45"/>
  <c r="V16" i="45" s="1"/>
  <c r="N20" i="45"/>
  <c r="X20" i="45" s="1"/>
  <c r="K20" i="45"/>
  <c r="U20" i="45" s="1"/>
  <c r="M20" i="45"/>
  <c r="W20" i="45" s="1"/>
  <c r="Q20" i="45"/>
  <c r="AA20" i="45" s="1"/>
  <c r="O20" i="45"/>
  <c r="Y20" i="45" s="1"/>
  <c r="P20" i="45"/>
  <c r="Z20" i="45" s="1"/>
  <c r="Q24" i="45"/>
  <c r="AA24" i="45" s="1"/>
  <c r="O24" i="45"/>
  <c r="Y24" i="45" s="1"/>
  <c r="N24" i="45"/>
  <c r="X24" i="45" s="1"/>
  <c r="P24" i="45"/>
  <c r="Z24" i="45" s="1"/>
  <c r="K24" i="45"/>
  <c r="U24" i="45" s="1"/>
  <c r="N28" i="45"/>
  <c r="X28" i="45" s="1"/>
  <c r="M28" i="45"/>
  <c r="W28" i="45" s="1"/>
  <c r="K28" i="45"/>
  <c r="U28" i="45" s="1"/>
  <c r="L28" i="45"/>
  <c r="V28" i="45" s="1"/>
  <c r="P28" i="45"/>
  <c r="Z28" i="45" s="1"/>
  <c r="O28" i="45"/>
  <c r="Y28" i="45" s="1"/>
  <c r="N32" i="45"/>
  <c r="X32" i="45" s="1"/>
  <c r="Q32" i="45"/>
  <c r="AA32" i="45" s="1"/>
  <c r="P32" i="45"/>
  <c r="Z32" i="45" s="1"/>
  <c r="O32" i="45"/>
  <c r="Y32" i="45" s="1"/>
  <c r="L32" i="45"/>
  <c r="V32" i="45" s="1"/>
  <c r="K32" i="45"/>
  <c r="U32" i="45" s="1"/>
  <c r="Q36" i="45"/>
  <c r="AA36" i="45" s="1"/>
  <c r="M36" i="45"/>
  <c r="W36" i="45" s="1"/>
  <c r="K36" i="45"/>
  <c r="U36" i="45" s="1"/>
  <c r="P36" i="45"/>
  <c r="Z36" i="45" s="1"/>
  <c r="O36" i="45"/>
  <c r="Y36" i="45" s="1"/>
  <c r="O40" i="45"/>
  <c r="Y40" i="45" s="1"/>
  <c r="M40" i="45"/>
  <c r="W40" i="45" s="1"/>
  <c r="P40" i="45"/>
  <c r="Z40" i="45" s="1"/>
  <c r="L40" i="45"/>
  <c r="V40" i="45" s="1"/>
  <c r="K40" i="45"/>
  <c r="U40" i="45" s="1"/>
  <c r="N44" i="45"/>
  <c r="X44" i="45" s="1"/>
  <c r="K44" i="45"/>
  <c r="U44" i="45" s="1"/>
  <c r="M44" i="45"/>
  <c r="W44" i="45" s="1"/>
  <c r="L44" i="45"/>
  <c r="V44" i="45" s="1"/>
  <c r="O44" i="45"/>
  <c r="Y44" i="45" s="1"/>
  <c r="M48" i="45"/>
  <c r="W48" i="45" s="1"/>
  <c r="Q48" i="45"/>
  <c r="AA48" i="45" s="1"/>
  <c r="O48" i="45"/>
  <c r="Y48" i="45" s="1"/>
  <c r="P48" i="45"/>
  <c r="Z48" i="45" s="1"/>
  <c r="L48" i="45"/>
  <c r="V48" i="45" s="1"/>
  <c r="N52" i="45"/>
  <c r="X52" i="45" s="1"/>
  <c r="K52" i="45"/>
  <c r="U52" i="45" s="1"/>
  <c r="Q52" i="45"/>
  <c r="AA52" i="45" s="1"/>
  <c r="M52" i="45"/>
  <c r="W52" i="45" s="1"/>
  <c r="P52" i="45"/>
  <c r="Z52" i="45" s="1"/>
  <c r="O52" i="45"/>
  <c r="Y52" i="45" s="1"/>
  <c r="K6" i="45"/>
  <c r="U6" i="45" s="1"/>
  <c r="O6" i="45"/>
  <c r="Y6" i="45" s="1"/>
  <c r="L6" i="45"/>
  <c r="V6" i="45" s="1"/>
  <c r="Q6" i="45"/>
  <c r="AA6" i="45" s="1"/>
  <c r="O22" i="45"/>
  <c r="Y22" i="45" s="1"/>
  <c r="Q22" i="45"/>
  <c r="AA22" i="45" s="1"/>
  <c r="N22" i="45"/>
  <c r="X22" i="45" s="1"/>
  <c r="M22" i="45"/>
  <c r="W22" i="45" s="1"/>
  <c r="L42" i="45"/>
  <c r="V42" i="45" s="1"/>
  <c r="P42" i="45"/>
  <c r="Z42" i="45" s="1"/>
  <c r="Q42" i="45"/>
  <c r="AA42" i="45" s="1"/>
  <c r="O42" i="45"/>
  <c r="Y42" i="45" s="1"/>
  <c r="N42" i="45"/>
  <c r="X42" i="45" s="1"/>
  <c r="P10" i="45"/>
  <c r="Z10" i="45" s="1"/>
  <c r="O10" i="45"/>
  <c r="Y10" i="45" s="1"/>
  <c r="N10" i="45"/>
  <c r="X10" i="45" s="1"/>
  <c r="M10" i="45"/>
  <c r="W10" i="45" s="1"/>
  <c r="K26" i="45"/>
  <c r="U26" i="45" s="1"/>
  <c r="N26" i="45"/>
  <c r="X26" i="45" s="1"/>
  <c r="M26" i="45"/>
  <c r="W26" i="45" s="1"/>
  <c r="L34" i="45"/>
  <c r="V34" i="45" s="1"/>
  <c r="P34" i="45"/>
  <c r="Z34" i="45" s="1"/>
  <c r="M34" i="45"/>
  <c r="W34" i="45" s="1"/>
  <c r="P38" i="45"/>
  <c r="Z38" i="45" s="1"/>
  <c r="O38" i="45"/>
  <c r="Y38" i="45" s="1"/>
  <c r="N38" i="45"/>
  <c r="X38" i="45" s="1"/>
  <c r="P46" i="45"/>
  <c r="Z46" i="45" s="1"/>
  <c r="L46" i="45"/>
  <c r="V46" i="45" s="1"/>
  <c r="O46" i="45"/>
  <c r="Y46" i="45" s="1"/>
  <c r="K46" i="45"/>
  <c r="U46" i="45" s="1"/>
  <c r="Q46" i="45"/>
  <c r="AA46" i="45" s="1"/>
  <c r="Q7" i="45"/>
  <c r="AA7" i="45" s="1"/>
  <c r="N7" i="45"/>
  <c r="X7" i="45" s="1"/>
  <c r="M7" i="45"/>
  <c r="W7" i="45" s="1"/>
  <c r="P7" i="45"/>
  <c r="Z7" i="45" s="1"/>
  <c r="O7" i="45"/>
  <c r="Y7" i="45" s="1"/>
  <c r="L7" i="45"/>
  <c r="V7" i="45" s="1"/>
  <c r="K7" i="45"/>
  <c r="U7" i="45" s="1"/>
  <c r="M11" i="45"/>
  <c r="W11" i="45" s="1"/>
  <c r="L11" i="45"/>
  <c r="V11" i="45" s="1"/>
  <c r="K11" i="45"/>
  <c r="U11" i="45" s="1"/>
  <c r="Q11" i="45"/>
  <c r="AA11" i="45" s="1"/>
  <c r="N11" i="45"/>
  <c r="X11" i="45" s="1"/>
  <c r="P11" i="45"/>
  <c r="Z11" i="45" s="1"/>
  <c r="O11" i="45"/>
  <c r="Y11" i="45" s="1"/>
  <c r="Q15" i="45"/>
  <c r="AA15" i="45" s="1"/>
  <c r="N15" i="45"/>
  <c r="X15" i="45" s="1"/>
  <c r="P15" i="45"/>
  <c r="Z15" i="45" s="1"/>
  <c r="O15" i="45"/>
  <c r="Y15" i="45" s="1"/>
  <c r="M15" i="45"/>
  <c r="W15" i="45" s="1"/>
  <c r="L15" i="45"/>
  <c r="V15" i="45" s="1"/>
  <c r="K15" i="45"/>
  <c r="U15" i="45" s="1"/>
  <c r="M19" i="45"/>
  <c r="W19" i="45" s="1"/>
  <c r="L19" i="45"/>
  <c r="V19" i="45" s="1"/>
  <c r="Q19" i="45"/>
  <c r="AA19" i="45" s="1"/>
  <c r="K19" i="45"/>
  <c r="U19" i="45" s="1"/>
  <c r="P19" i="45"/>
  <c r="Z19" i="45" s="1"/>
  <c r="O19" i="45"/>
  <c r="Y19" i="45" s="1"/>
  <c r="N19" i="45"/>
  <c r="X19" i="45" s="1"/>
  <c r="Q23" i="45"/>
  <c r="AA23" i="45" s="1"/>
  <c r="N23" i="45"/>
  <c r="X23" i="45" s="1"/>
  <c r="P23" i="45"/>
  <c r="Z23" i="45" s="1"/>
  <c r="O23" i="45"/>
  <c r="Y23" i="45" s="1"/>
  <c r="L23" i="45"/>
  <c r="V23" i="45" s="1"/>
  <c r="M23" i="45"/>
  <c r="W23" i="45" s="1"/>
  <c r="K23" i="45"/>
  <c r="U23" i="45" s="1"/>
  <c r="M27" i="45"/>
  <c r="W27" i="45" s="1"/>
  <c r="L27" i="45"/>
  <c r="V27" i="45" s="1"/>
  <c r="Q27" i="45"/>
  <c r="AA27" i="45" s="1"/>
  <c r="K27" i="45"/>
  <c r="U27" i="45" s="1"/>
  <c r="P27" i="45"/>
  <c r="Z27" i="45" s="1"/>
  <c r="O27" i="45"/>
  <c r="Y27" i="45" s="1"/>
  <c r="N27" i="45"/>
  <c r="X27" i="45" s="1"/>
  <c r="Q31" i="45"/>
  <c r="AA31" i="45" s="1"/>
  <c r="P31" i="45"/>
  <c r="Z31" i="45" s="1"/>
  <c r="N31" i="45"/>
  <c r="X31" i="45" s="1"/>
  <c r="M31" i="45"/>
  <c r="W31" i="45" s="1"/>
  <c r="O31" i="45"/>
  <c r="Y31" i="45" s="1"/>
  <c r="L31" i="45"/>
  <c r="V31" i="45" s="1"/>
  <c r="K31" i="45"/>
  <c r="U31" i="45" s="1"/>
  <c r="M35" i="45"/>
  <c r="W35" i="45" s="1"/>
  <c r="Q35" i="45"/>
  <c r="AA35" i="45" s="1"/>
  <c r="L35" i="45"/>
  <c r="V35" i="45" s="1"/>
  <c r="P35" i="45"/>
  <c r="Z35" i="45" s="1"/>
  <c r="K35" i="45"/>
  <c r="U35" i="45" s="1"/>
  <c r="O35" i="45"/>
  <c r="Y35" i="45" s="1"/>
  <c r="N35" i="45"/>
  <c r="X35" i="45" s="1"/>
  <c r="Q39" i="45"/>
  <c r="AA39" i="45" s="1"/>
  <c r="M39" i="45"/>
  <c r="W39" i="45" s="1"/>
  <c r="P39" i="45"/>
  <c r="Z39" i="45" s="1"/>
  <c r="O39" i="45"/>
  <c r="Y39" i="45" s="1"/>
  <c r="N39" i="45"/>
  <c r="X39" i="45" s="1"/>
  <c r="L39" i="45"/>
  <c r="V39" i="45" s="1"/>
  <c r="K39" i="45"/>
  <c r="U39" i="45" s="1"/>
  <c r="M43" i="45"/>
  <c r="W43" i="45" s="1"/>
  <c r="L43" i="45"/>
  <c r="V43" i="45" s="1"/>
  <c r="P43" i="45"/>
  <c r="Z43" i="45" s="1"/>
  <c r="K43" i="45"/>
  <c r="U43" i="45" s="1"/>
  <c r="Q43" i="45"/>
  <c r="AA43" i="45" s="1"/>
  <c r="O43" i="45"/>
  <c r="Y43" i="45" s="1"/>
  <c r="N43" i="45"/>
  <c r="X43" i="45" s="1"/>
  <c r="Q47" i="45"/>
  <c r="AA47" i="45" s="1"/>
  <c r="N47" i="45"/>
  <c r="X47" i="45" s="1"/>
  <c r="P47" i="45"/>
  <c r="Z47" i="45" s="1"/>
  <c r="L47" i="45"/>
  <c r="V47" i="45" s="1"/>
  <c r="O47" i="45"/>
  <c r="Y47" i="45" s="1"/>
  <c r="M47" i="45"/>
  <c r="W47" i="45" s="1"/>
  <c r="K47" i="45"/>
  <c r="U47" i="45" s="1"/>
  <c r="M51" i="45"/>
  <c r="W51" i="45" s="1"/>
  <c r="L51" i="45"/>
  <c r="V51" i="45" s="1"/>
  <c r="Q51" i="45"/>
  <c r="AA51" i="45" s="1"/>
  <c r="P51" i="45"/>
  <c r="Z51" i="45" s="1"/>
  <c r="K51" i="45"/>
  <c r="U51" i="45" s="1"/>
  <c r="O51" i="45"/>
  <c r="Y51" i="45" s="1"/>
  <c r="N51" i="45"/>
  <c r="X51" i="45" s="1"/>
  <c r="Q55" i="45"/>
  <c r="AA55" i="45" s="1"/>
  <c r="P55" i="45"/>
  <c r="Z55" i="45" s="1"/>
  <c r="O55" i="45"/>
  <c r="Y55" i="45" s="1"/>
  <c r="N55" i="45"/>
  <c r="X55" i="45" s="1"/>
  <c r="M55" i="45"/>
  <c r="W55" i="45" s="1"/>
  <c r="L55" i="45"/>
  <c r="V55" i="45" s="1"/>
  <c r="K55" i="45"/>
  <c r="U55" i="45" s="1"/>
  <c r="P14" i="45"/>
  <c r="Z14" i="45" s="1"/>
  <c r="Q14" i="45"/>
  <c r="AA14" i="45" s="1"/>
  <c r="N14" i="45"/>
  <c r="X14" i="45" s="1"/>
  <c r="L50" i="45"/>
  <c r="V50" i="45" s="1"/>
  <c r="Q50" i="45"/>
  <c r="AA50" i="45" s="1"/>
  <c r="O50" i="45"/>
  <c r="Y50" i="45" s="1"/>
  <c r="I5" i="45"/>
  <c r="R5" i="45" s="1"/>
  <c r="AB5" i="45" s="1"/>
  <c r="I17" i="45"/>
  <c r="R17" i="45" s="1"/>
  <c r="AB17" i="45" s="1"/>
  <c r="I29" i="45"/>
  <c r="R29" i="45" s="1"/>
  <c r="AB29" i="45" s="1"/>
  <c r="I41" i="45"/>
  <c r="R41" i="45" s="1"/>
  <c r="AB41" i="45" s="1"/>
  <c r="I53" i="45"/>
  <c r="R53" i="45" s="1"/>
  <c r="AB53" i="45" s="1"/>
  <c r="I9" i="45"/>
  <c r="R9" i="45" s="1"/>
  <c r="AB9" i="45" s="1"/>
  <c r="I21" i="45"/>
  <c r="R21" i="45" s="1"/>
  <c r="AB21" i="45" s="1"/>
  <c r="I37" i="45"/>
  <c r="R37" i="45" s="1"/>
  <c r="AB37" i="45" s="1"/>
  <c r="I49" i="45"/>
  <c r="R49" i="45" s="1"/>
  <c r="AB49" i="45" s="1"/>
  <c r="I13" i="45"/>
  <c r="R13" i="45" s="1"/>
  <c r="AB13" i="45" s="1"/>
  <c r="I25" i="45"/>
  <c r="R25" i="45" s="1"/>
  <c r="AB25" i="45" s="1"/>
  <c r="I33" i="45"/>
  <c r="R33" i="45" s="1"/>
  <c r="AB33" i="45" s="1"/>
  <c r="I45" i="45"/>
  <c r="R45" i="45" s="1"/>
  <c r="AB45" i="45" s="1"/>
  <c r="I18" i="45"/>
  <c r="R18" i="45" s="1"/>
  <c r="AB18" i="45" s="1"/>
  <c r="I30" i="45"/>
  <c r="R30" i="45" s="1"/>
  <c r="AB30" i="45" s="1"/>
  <c r="I54" i="45"/>
  <c r="R54" i="45" s="1"/>
  <c r="AB54" i="45" s="1"/>
  <c r="I8" i="45"/>
  <c r="R8" i="45" s="1"/>
  <c r="AB8" i="45" s="1"/>
  <c r="I12" i="45"/>
  <c r="R12" i="45" s="1"/>
  <c r="AB12" i="45" s="1"/>
  <c r="I16" i="45"/>
  <c r="R16" i="45" s="1"/>
  <c r="AB16" i="45" s="1"/>
  <c r="I20" i="45"/>
  <c r="R20" i="45" s="1"/>
  <c r="AB20" i="45" s="1"/>
  <c r="I24" i="45"/>
  <c r="R24" i="45" s="1"/>
  <c r="AB24" i="45" s="1"/>
  <c r="I28" i="45"/>
  <c r="R28" i="45" s="1"/>
  <c r="AB28" i="45" s="1"/>
  <c r="I32" i="45"/>
  <c r="R32" i="45" s="1"/>
  <c r="AB32" i="45" s="1"/>
  <c r="I36" i="45"/>
  <c r="R36" i="45" s="1"/>
  <c r="AB36" i="45" s="1"/>
  <c r="I40" i="45"/>
  <c r="R40" i="45" s="1"/>
  <c r="AB40" i="45" s="1"/>
  <c r="I44" i="45"/>
  <c r="R44" i="45" s="1"/>
  <c r="AB44" i="45" s="1"/>
  <c r="I48" i="45"/>
  <c r="R48" i="45" s="1"/>
  <c r="AB48" i="45" s="1"/>
  <c r="I52" i="45"/>
  <c r="R52" i="45" s="1"/>
  <c r="AB52" i="45" s="1"/>
  <c r="I6" i="45"/>
  <c r="R6" i="45" s="1"/>
  <c r="AB6" i="45" s="1"/>
  <c r="I22" i="45"/>
  <c r="R22" i="45" s="1"/>
  <c r="AB22" i="45" s="1"/>
  <c r="I42" i="45"/>
  <c r="R42" i="45" s="1"/>
  <c r="AB42" i="45" s="1"/>
  <c r="I10" i="45"/>
  <c r="R10" i="45" s="1"/>
  <c r="AB10" i="45" s="1"/>
  <c r="I26" i="45"/>
  <c r="R26" i="45" s="1"/>
  <c r="AB26" i="45" s="1"/>
  <c r="I34" i="45"/>
  <c r="R34" i="45" s="1"/>
  <c r="AB34" i="45" s="1"/>
  <c r="I38" i="45"/>
  <c r="R38" i="45" s="1"/>
  <c r="AB38" i="45" s="1"/>
  <c r="I46" i="45"/>
  <c r="R46" i="45" s="1"/>
  <c r="AB46" i="45" s="1"/>
  <c r="I7" i="45"/>
  <c r="R7" i="45" s="1"/>
  <c r="AB7" i="45" s="1"/>
  <c r="I11" i="45"/>
  <c r="R11" i="45" s="1"/>
  <c r="AB11" i="45" s="1"/>
  <c r="I15" i="45"/>
  <c r="R15" i="45" s="1"/>
  <c r="AB15" i="45" s="1"/>
  <c r="I19" i="45"/>
  <c r="R19" i="45" s="1"/>
  <c r="AB19" i="45" s="1"/>
  <c r="I23" i="45"/>
  <c r="R23" i="45" s="1"/>
  <c r="AB23" i="45" s="1"/>
  <c r="I27" i="45"/>
  <c r="R27" i="45" s="1"/>
  <c r="AB27" i="45" s="1"/>
  <c r="I31" i="45"/>
  <c r="R31" i="45" s="1"/>
  <c r="AB31" i="45" s="1"/>
  <c r="I35" i="45"/>
  <c r="R35" i="45" s="1"/>
  <c r="AB35" i="45" s="1"/>
  <c r="I39" i="45"/>
  <c r="R39" i="45" s="1"/>
  <c r="AB39" i="45" s="1"/>
  <c r="I43" i="45"/>
  <c r="R43" i="45" s="1"/>
  <c r="AB43" i="45" s="1"/>
  <c r="I47" i="45"/>
  <c r="R47" i="45" s="1"/>
  <c r="AB47" i="45" s="1"/>
  <c r="I51" i="45"/>
  <c r="R51" i="45" s="1"/>
  <c r="AB51" i="45" s="1"/>
  <c r="I55" i="45"/>
  <c r="R55" i="45" s="1"/>
  <c r="AB55" i="45" s="1"/>
  <c r="I14" i="45"/>
  <c r="R14" i="45" s="1"/>
  <c r="AB14" i="45" s="1"/>
  <c r="I50" i="45"/>
  <c r="R50" i="45" s="1"/>
  <c r="AB50" i="45" s="1"/>
  <c r="A33" i="32"/>
  <c r="B33" i="32" s="1"/>
  <c r="E5" i="45"/>
  <c r="N5" i="45" s="1" a="1"/>
  <c r="H9" i="45"/>
  <c r="Q9" i="45" s="1" a="1"/>
  <c r="E17" i="45"/>
  <c r="N17" i="45" s="1" a="1"/>
  <c r="E21" i="45"/>
  <c r="N21" i="45" s="1" a="1"/>
  <c r="C29" i="45"/>
  <c r="L29" i="45" s="1" a="1"/>
  <c r="H33" i="45"/>
  <c r="Q33" i="45" s="1" a="1"/>
  <c r="D41" i="45"/>
  <c r="M41" i="45" s="1" a="1"/>
  <c r="F45" i="45"/>
  <c r="O45" i="45" s="1" a="1"/>
  <c r="C53" i="45"/>
  <c r="L53" i="45" s="1" a="1"/>
  <c r="G33" i="45"/>
  <c r="P33" i="45" s="1" a="1"/>
  <c r="G22" i="45"/>
  <c r="P22" i="45" s="1" a="1"/>
  <c r="F30" i="45"/>
  <c r="O30" i="45" s="1" a="1"/>
  <c r="C36" i="45"/>
  <c r="L36" i="45" s="1" a="1"/>
  <c r="G26" i="45"/>
  <c r="P26" i="45" s="1" a="1"/>
  <c r="D42" i="45"/>
  <c r="M42" i="45" s="1" a="1"/>
  <c r="F8" i="45"/>
  <c r="O8" i="45" s="1" a="1"/>
  <c r="E48" i="45"/>
  <c r="N48" i="45" s="1" a="1"/>
  <c r="D46" i="45"/>
  <c r="M46" i="45" s="1" a="1"/>
  <c r="G29" i="45"/>
  <c r="P29" i="45" s="1" a="1"/>
  <c r="F53" i="45"/>
  <c r="O53" i="45" s="1" a="1"/>
  <c r="C12" i="45"/>
  <c r="L12" i="45" s="1" a="1"/>
  <c r="D38" i="45"/>
  <c r="M38" i="45" s="1" a="1"/>
  <c r="B17" i="45"/>
  <c r="K17" i="45" s="1" a="1"/>
  <c r="C21" i="45"/>
  <c r="L21" i="45" s="1" a="1"/>
  <c r="D50" i="45"/>
  <c r="M50" i="45" s="1" a="1"/>
  <c r="C10" i="45"/>
  <c r="L10" i="45" s="1" a="1"/>
  <c r="C13" i="45"/>
  <c r="L13" i="45" s="1" a="1"/>
  <c r="G37" i="45"/>
  <c r="P37" i="45" s="1" a="1"/>
  <c r="B33" i="45"/>
  <c r="K33" i="45" s="1" a="1"/>
  <c r="B22" i="45"/>
  <c r="K22" i="45" s="1" a="1"/>
  <c r="E36" i="45"/>
  <c r="N36" i="45" s="1" a="1"/>
  <c r="F5" i="45"/>
  <c r="O5" i="45" s="1" a="1"/>
  <c r="D13" i="45"/>
  <c r="M13" i="45" s="1" a="1"/>
  <c r="F17" i="45"/>
  <c r="O17" i="45" s="1" a="1"/>
  <c r="B21" i="45"/>
  <c r="K21" i="45" s="1" a="1"/>
  <c r="E29" i="45"/>
  <c r="N29" i="45" s="1" a="1"/>
  <c r="E33" i="45"/>
  <c r="N33" i="45" s="1" a="1"/>
  <c r="H41" i="45"/>
  <c r="Q41" i="45" s="1" a="1"/>
  <c r="B45" i="45"/>
  <c r="K45" i="45" s="1" a="1"/>
  <c r="D53" i="45"/>
  <c r="M53" i="45" s="1" a="1"/>
  <c r="H5" i="45"/>
  <c r="Q5" i="45" s="1" a="1"/>
  <c r="B10" i="45"/>
  <c r="K10" i="45" s="1" a="1"/>
  <c r="E54" i="45"/>
  <c r="N54" i="45" s="1" a="1"/>
  <c r="E40" i="45"/>
  <c r="N40" i="45" s="1" a="1"/>
  <c r="E34" i="45"/>
  <c r="N34" i="45" s="1" a="1"/>
  <c r="C26" i="45"/>
  <c r="L26" i="45" s="1" a="1"/>
  <c r="D12" i="45"/>
  <c r="M12" i="45" s="1" a="1"/>
  <c r="C52" i="45"/>
  <c r="L52" i="45" s="1" a="1"/>
  <c r="B14" i="45"/>
  <c r="K14" i="45" s="1" a="1"/>
  <c r="H25" i="45"/>
  <c r="Q25" i="45" s="1" a="1"/>
  <c r="B49" i="45"/>
  <c r="K49" i="45" s="1" a="1"/>
  <c r="F34" i="45"/>
  <c r="O34" i="45" s="1" a="1"/>
  <c r="B48" i="45"/>
  <c r="K48" i="45" s="1" a="1"/>
  <c r="C20" i="45"/>
  <c r="L20" i="45" s="1" a="1"/>
  <c r="F25" i="45"/>
  <c r="O25" i="45" s="1" a="1"/>
  <c r="F49" i="45"/>
  <c r="O49" i="45" s="1" a="1"/>
  <c r="B16" i="45"/>
  <c r="K16" i="45" s="1" a="1"/>
  <c r="E46" i="45"/>
  <c r="N46" i="45" s="1" a="1"/>
  <c r="G9" i="45"/>
  <c r="P9" i="45" s="1" a="1"/>
  <c r="B29" i="45"/>
  <c r="K29" i="45" s="1" a="1"/>
  <c r="G49" i="45"/>
  <c r="P49" i="45" s="1" a="1"/>
  <c r="D24" i="45"/>
  <c r="M24" i="45" s="1" a="1"/>
  <c r="C14" i="45"/>
  <c r="L14" i="45" s="1" a="1"/>
  <c r="G5" i="45"/>
  <c r="P5" i="45" s="1" a="1"/>
  <c r="B13" i="45"/>
  <c r="K13" i="45" s="1" a="1"/>
  <c r="C17" i="45"/>
  <c r="L17" i="45" s="1" a="1"/>
  <c r="E25" i="45"/>
  <c r="N25" i="45" s="1" a="1"/>
  <c r="D29" i="45"/>
  <c r="M29" i="45" s="1" a="1"/>
  <c r="C33" i="45"/>
  <c r="L33" i="45" s="1" a="1"/>
  <c r="F41" i="45"/>
  <c r="O41" i="45" s="1" a="1"/>
  <c r="E49" i="45"/>
  <c r="N49" i="45" s="1" a="1"/>
  <c r="H53" i="45"/>
  <c r="Q53" i="45" s="1" a="1"/>
  <c r="F9" i="45"/>
  <c r="O9" i="45" s="1" a="1"/>
  <c r="F26" i="45"/>
  <c r="O26" i="45" s="1" a="1"/>
  <c r="E8" i="45"/>
  <c r="N8" i="45" s="1" a="1"/>
  <c r="G44" i="45"/>
  <c r="P44" i="45" s="1" a="1"/>
  <c r="H38" i="45"/>
  <c r="Q38" i="45" s="1" a="1"/>
  <c r="B34" i="45"/>
  <c r="K34" i="45" s="1" a="1"/>
  <c r="G16" i="45"/>
  <c r="P16" i="45" s="1" a="1"/>
  <c r="D6" i="45"/>
  <c r="M6" i="45" s="1" a="1"/>
  <c r="G50" i="45"/>
  <c r="P50" i="45" s="1" a="1"/>
  <c r="C37" i="45"/>
  <c r="L37" i="45" s="1" a="1"/>
  <c r="B25" i="45"/>
  <c r="K25" i="45" s="1" a="1"/>
  <c r="D14" i="45"/>
  <c r="M14" i="45" s="1" a="1"/>
  <c r="C22" i="45"/>
  <c r="L22" i="45" s="1" a="1"/>
  <c r="G13" i="45"/>
  <c r="P13" i="45" s="1" a="1"/>
  <c r="H29" i="45"/>
  <c r="Q29" i="45" s="1" a="1"/>
  <c r="F37" i="45"/>
  <c r="O37" i="45" s="1" a="1"/>
  <c r="C41" i="45"/>
  <c r="L41" i="45" s="1" a="1"/>
  <c r="B38" i="45"/>
  <c r="K38" i="45" s="1" a="1"/>
  <c r="G6" i="45"/>
  <c r="P6" i="45" s="1" a="1"/>
  <c r="C24" i="45"/>
  <c r="L24" i="45" s="1" a="1"/>
  <c r="G25" i="45"/>
  <c r="P25" i="45" s="1" a="1"/>
  <c r="B41" i="45"/>
  <c r="K41" i="45" s="1" a="1"/>
  <c r="D18" i="45"/>
  <c r="M18" i="45" s="1" a="1"/>
  <c r="C5" i="45"/>
  <c r="L5" i="45" s="1" a="1"/>
  <c r="E13" i="45"/>
  <c r="N13" i="45" s="1" a="1"/>
  <c r="H17" i="45"/>
  <c r="Q17" i="45" s="1" a="1"/>
  <c r="G41" i="45"/>
  <c r="P41" i="45" s="1" a="1"/>
  <c r="D9" i="45"/>
  <c r="M9" i="45" s="1" a="1"/>
  <c r="D17" i="45"/>
  <c r="M17" i="45" s="1" a="1"/>
  <c r="E9" i="45"/>
  <c r="N9" i="45" s="1" a="1"/>
  <c r="F13" i="45"/>
  <c r="O13" i="45" s="1" a="1"/>
  <c r="G21" i="45"/>
  <c r="P21" i="45" s="1" a="1"/>
  <c r="C25" i="45"/>
  <c r="L25" i="45" s="1" a="1"/>
  <c r="D33" i="45"/>
  <c r="M33" i="45" s="1" a="1"/>
  <c r="D37" i="45"/>
  <c r="M37" i="45" s="1" a="1"/>
  <c r="D45" i="45"/>
  <c r="M45" i="45" s="1" a="1"/>
  <c r="H49" i="45"/>
  <c r="Q49" i="45" s="1" a="1"/>
  <c r="F29" i="45"/>
  <c r="O29" i="45" s="1" a="1"/>
  <c r="B37" i="45"/>
  <c r="K37" i="45" s="1" a="1"/>
  <c r="E50" i="45"/>
  <c r="N50" i="45" s="1" a="1"/>
  <c r="H28" i="45"/>
  <c r="Q28" i="45" s="1" a="1"/>
  <c r="B42" i="45"/>
  <c r="K42" i="45" s="1" a="1"/>
  <c r="H30" i="45"/>
  <c r="Q30" i="45" s="1" a="1"/>
  <c r="B50" i="45"/>
  <c r="K50" i="45" s="1" a="1"/>
  <c r="H40" i="45"/>
  <c r="Q40" i="45" s="1" a="1"/>
  <c r="H34" i="45"/>
  <c r="Q34" i="45" s="1" a="1"/>
  <c r="B9" i="45"/>
  <c r="K9" i="45" s="1" a="1"/>
  <c r="G17" i="45"/>
  <c r="P17" i="45" s="1" a="1"/>
  <c r="H21" i="45"/>
  <c r="Q21" i="45" s="1" a="1"/>
  <c r="D25" i="45"/>
  <c r="M25" i="45" s="1" a="1"/>
  <c r="F33" i="45"/>
  <c r="O33" i="45" s="1" a="1"/>
  <c r="E37" i="45"/>
  <c r="N37" i="45" s="1" a="1"/>
  <c r="H45" i="45"/>
  <c r="Q45" i="45" s="1" a="1"/>
  <c r="G53" i="45"/>
  <c r="P53" i="45" s="1" a="1"/>
  <c r="D21" i="45"/>
  <c r="M21" i="45" s="1" a="1"/>
  <c r="E45" i="45"/>
  <c r="N45" i="45" s="1" a="1"/>
  <c r="B18" i="45"/>
  <c r="K18" i="45" s="1" a="1"/>
  <c r="D32" i="45"/>
  <c r="M32" i="45" s="1" a="1"/>
  <c r="H10" i="45"/>
  <c r="Q10" i="45" s="1" a="1"/>
  <c r="E6" i="45"/>
  <c r="N6" i="45" s="1" a="1"/>
  <c r="G54" i="45"/>
  <c r="P54" i="45" s="1" a="1"/>
  <c r="H44" i="45"/>
  <c r="Q44" i="45" s="1" a="1"/>
  <c r="C38" i="45"/>
  <c r="L38" i="45" s="1" a="1"/>
  <c r="F21" i="45"/>
  <c r="O21" i="45" s="1" a="1"/>
  <c r="G45" i="45"/>
  <c r="P45" i="45" s="1" a="1"/>
  <c r="F14" i="45"/>
  <c r="O14" i="45" s="1" a="1"/>
  <c r="H26" i="45"/>
  <c r="Q26" i="45" s="1" a="1"/>
  <c r="L15" i="32" a="1"/>
  <c r="L23" i="32" a="1"/>
  <c r="Q28" i="32" a="1"/>
  <c r="Q18" i="32" a="1"/>
  <c r="S11" i="32" a="1"/>
  <c r="S19" i="32" a="1"/>
  <c r="S29" i="32" a="1"/>
  <c r="Q23" i="32" a="1"/>
  <c r="U13" i="32" a="1"/>
  <c r="U21" i="32" a="1"/>
  <c r="U29" i="32" a="1"/>
  <c r="K26" i="32" a="1"/>
  <c r="K24" i="32" a="1"/>
  <c r="K27" i="32" a="1"/>
  <c r="U24" i="32" a="1"/>
  <c r="K10" i="32" a="1"/>
  <c r="L27" i="32" a="1"/>
  <c r="S15" i="32" a="1"/>
  <c r="U9" i="32" a="1"/>
  <c r="K19" i="32" a="1"/>
  <c r="L12" i="32" a="1"/>
  <c r="Q12" i="32" a="1"/>
  <c r="S25" i="32" a="1"/>
  <c r="U26" i="32" a="1"/>
  <c r="K4" i="32" a="1"/>
  <c r="L8" i="32" a="1"/>
  <c r="L16" i="32" a="1"/>
  <c r="L24" i="32" a="1"/>
  <c r="S23" i="32" a="1"/>
  <c r="Q20" i="32" a="1"/>
  <c r="S12" i="32" a="1"/>
  <c r="S20" i="32" a="1"/>
  <c r="Q9" i="32" a="1"/>
  <c r="Q26" i="32" a="1"/>
  <c r="U14" i="32" a="1"/>
  <c r="U22" i="32" a="1"/>
  <c r="K25" i="32" a="1"/>
  <c r="K14" i="32" a="1"/>
  <c r="K20" i="32" a="1"/>
  <c r="K7" i="32" a="1"/>
  <c r="K29" i="32" a="1"/>
  <c r="K22" i="32" a="1"/>
  <c r="L18" i="32" a="1"/>
  <c r="Q8" i="32" a="1"/>
  <c r="S14" i="32" a="1"/>
  <c r="Q13" i="32" a="1"/>
  <c r="U16" i="32" a="1"/>
  <c r="K21" i="32" a="1"/>
  <c r="L11" i="32" a="1"/>
  <c r="Q10" i="32" a="1"/>
  <c r="Q15" i="32" a="1"/>
  <c r="U25" i="32" a="1"/>
  <c r="K8" i="32" a="1"/>
  <c r="L28" i="32" a="1"/>
  <c r="S16" i="32" a="1"/>
  <c r="U10" i="32" a="1"/>
  <c r="K15" i="32" a="1"/>
  <c r="L9" i="32" a="1"/>
  <c r="L17" i="32" a="1"/>
  <c r="L25" i="32" a="1"/>
  <c r="S28" i="32" a="1"/>
  <c r="Q22" i="32" a="1"/>
  <c r="S13" i="32" a="1"/>
  <c r="S21" i="32" a="1"/>
  <c r="Q11" i="32" a="1"/>
  <c r="Q29" i="32" a="1"/>
  <c r="U15" i="32" a="1"/>
  <c r="U23" i="32" a="1"/>
  <c r="K9" i="32" a="1"/>
  <c r="K16" i="32" a="1"/>
  <c r="L26" i="32" a="1"/>
  <c r="Q25" i="32" a="1"/>
  <c r="S22" i="32" a="1"/>
  <c r="U8" i="32" a="1"/>
  <c r="K23" i="32" a="1"/>
  <c r="K12" i="32" a="1"/>
  <c r="L19" i="32" a="1"/>
  <c r="Q27" i="32" a="1"/>
  <c r="S24" i="32" a="1"/>
  <c r="U17" i="32" a="1"/>
  <c r="K17" i="32" a="1"/>
  <c r="L20" i="32" a="1"/>
  <c r="S8" i="32" a="1"/>
  <c r="Q17" i="32" a="1"/>
  <c r="U18" i="32" a="1"/>
  <c r="K13" i="32" a="1"/>
  <c r="L10" i="32" a="1"/>
  <c r="L13" i="32" a="1"/>
  <c r="L21" i="32" a="1"/>
  <c r="L29" i="32" a="1"/>
  <c r="Q14" i="32" a="1"/>
  <c r="S9" i="32" a="1"/>
  <c r="S17" i="32" a="1"/>
  <c r="S26" i="32" a="1"/>
  <c r="Q19" i="32" a="1"/>
  <c r="U11" i="32" a="1"/>
  <c r="U19" i="32" a="1"/>
  <c r="U27" i="32" a="1"/>
  <c r="K11" i="32" a="1"/>
  <c r="K5" i="32" a="1"/>
  <c r="K18" i="32" a="1"/>
  <c r="L14" i="32" a="1"/>
  <c r="L22" i="32" a="1"/>
  <c r="Q24" i="32" a="1"/>
  <c r="Q16" i="32" a="1"/>
  <c r="S10" i="32" a="1"/>
  <c r="S18" i="32" a="1"/>
  <c r="S27" i="32" a="1"/>
  <c r="Q21" i="32" a="1"/>
  <c r="U12" i="32" a="1"/>
  <c r="U20" i="32" a="1"/>
  <c r="U28" i="32" a="1"/>
  <c r="K3" i="32" a="1"/>
  <c r="K28" i="32" a="1"/>
  <c r="K6" i="32" a="1"/>
  <c r="Q26" i="45" l="1"/>
  <c r="AA26" i="45" s="1"/>
  <c r="O14" i="45"/>
  <c r="Y14" i="45" s="1"/>
  <c r="P45" i="45"/>
  <c r="Z45" i="45" s="1"/>
  <c r="O21" i="45"/>
  <c r="Y21" i="45" s="1"/>
  <c r="L38" i="45"/>
  <c r="V38" i="45" s="1"/>
  <c r="Q44" i="45"/>
  <c r="AA44" i="45" s="1"/>
  <c r="P54" i="45"/>
  <c r="Z54" i="45" s="1"/>
  <c r="N6" i="45"/>
  <c r="X6" i="45" s="1"/>
  <c r="Q10" i="45"/>
  <c r="AA10" i="45" s="1"/>
  <c r="M32" i="45"/>
  <c r="W32" i="45" s="1"/>
  <c r="K18" i="45"/>
  <c r="U18" i="45" s="1"/>
  <c r="N45" i="45"/>
  <c r="X45" i="45" s="1"/>
  <c r="M21" i="45"/>
  <c r="W21" i="45" s="1"/>
  <c r="P53" i="45"/>
  <c r="Z53" i="45" s="1"/>
  <c r="Q45" i="45"/>
  <c r="AA45" i="45" s="1"/>
  <c r="N37" i="45"/>
  <c r="X37" i="45" s="1"/>
  <c r="O33" i="45"/>
  <c r="Y33" i="45" s="1"/>
  <c r="M25" i="45"/>
  <c r="W25" i="45" s="1"/>
  <c r="Q21" i="45"/>
  <c r="AA21" i="45" s="1"/>
  <c r="P17" i="45"/>
  <c r="Z17" i="45" s="1"/>
  <c r="K9" i="45"/>
  <c r="U9" i="45" s="1"/>
  <c r="Q34" i="45"/>
  <c r="AA34" i="45" s="1"/>
  <c r="Q40" i="45"/>
  <c r="AA40" i="45" s="1"/>
  <c r="K50" i="45"/>
  <c r="U50" i="45" s="1"/>
  <c r="Q30" i="45"/>
  <c r="AA30" i="45" s="1"/>
  <c r="K42" i="45"/>
  <c r="U42" i="45" s="1"/>
  <c r="Q28" i="45"/>
  <c r="AA28" i="45" s="1"/>
  <c r="N50" i="45"/>
  <c r="X50" i="45" s="1"/>
  <c r="K37" i="45"/>
  <c r="U37" i="45" s="1"/>
  <c r="O29" i="45"/>
  <c r="Y29" i="45" s="1"/>
  <c r="Q49" i="45"/>
  <c r="AA49" i="45" s="1"/>
  <c r="M45" i="45"/>
  <c r="W45" i="45" s="1"/>
  <c r="M37" i="45"/>
  <c r="W37" i="45" s="1"/>
  <c r="M33" i="45"/>
  <c r="W33" i="45" s="1"/>
  <c r="L25" i="45"/>
  <c r="V25" i="45" s="1"/>
  <c r="P21" i="45"/>
  <c r="Z21" i="45" s="1"/>
  <c r="O13" i="45"/>
  <c r="Y13" i="45" s="1"/>
  <c r="N9" i="45"/>
  <c r="X9" i="45" s="1"/>
  <c r="M17" i="45"/>
  <c r="W17" i="45" s="1"/>
  <c r="M9" i="45"/>
  <c r="W9" i="45" s="1"/>
  <c r="P41" i="45"/>
  <c r="Z41" i="45" s="1"/>
  <c r="Q17" i="45"/>
  <c r="AA17" i="45" s="1"/>
  <c r="N13" i="45"/>
  <c r="X13" i="45" s="1"/>
  <c r="L5" i="45"/>
  <c r="V5" i="45" s="1"/>
  <c r="M18" i="45"/>
  <c r="W18" i="45" s="1"/>
  <c r="K41" i="45"/>
  <c r="U41" i="45" s="1"/>
  <c r="P25" i="45"/>
  <c r="Z25" i="45" s="1"/>
  <c r="L24" i="45"/>
  <c r="V24" i="45" s="1"/>
  <c r="P6" i="45"/>
  <c r="Z6" i="45" s="1"/>
  <c r="K38" i="45"/>
  <c r="U38" i="45" s="1"/>
  <c r="L41" i="45"/>
  <c r="V41" i="45" s="1"/>
  <c r="O37" i="45"/>
  <c r="Y37" i="45" s="1"/>
  <c r="Q29" i="45"/>
  <c r="AA29" i="45" s="1"/>
  <c r="P13" i="45"/>
  <c r="Z13" i="45" s="1"/>
  <c r="L22" i="45"/>
  <c r="V22" i="45" s="1"/>
  <c r="M14" i="45"/>
  <c r="W14" i="45" s="1"/>
  <c r="K25" i="45"/>
  <c r="U25" i="45" s="1"/>
  <c r="L37" i="45"/>
  <c r="V37" i="45" s="1"/>
  <c r="P50" i="45"/>
  <c r="Z50" i="45" s="1"/>
  <c r="M6" i="45"/>
  <c r="W6" i="45" s="1"/>
  <c r="P16" i="45"/>
  <c r="Z16" i="45" s="1"/>
  <c r="K34" i="45"/>
  <c r="U34" i="45" s="1"/>
  <c r="Q38" i="45"/>
  <c r="AA38" i="45" s="1"/>
  <c r="P44" i="45"/>
  <c r="Z44" i="45" s="1"/>
  <c r="N8" i="45"/>
  <c r="X8" i="45" s="1"/>
  <c r="O26" i="45"/>
  <c r="Y26" i="45" s="1"/>
  <c r="O9" i="45"/>
  <c r="Y9" i="45" s="1"/>
  <c r="Q53" i="45"/>
  <c r="AA53" i="45" s="1"/>
  <c r="N49" i="45"/>
  <c r="X49" i="45" s="1"/>
  <c r="O41" i="45"/>
  <c r="Y41" i="45" s="1"/>
  <c r="L33" i="45"/>
  <c r="V33" i="45" s="1"/>
  <c r="M29" i="45"/>
  <c r="W29" i="45" s="1"/>
  <c r="N25" i="45"/>
  <c r="X25" i="45" s="1"/>
  <c r="L17" i="45"/>
  <c r="V17" i="45" s="1"/>
  <c r="K13" i="45"/>
  <c r="U13" i="45" s="1"/>
  <c r="P5" i="45"/>
  <c r="Z5" i="45" s="1"/>
  <c r="L14" i="45"/>
  <c r="V14" i="45" s="1"/>
  <c r="M24" i="45"/>
  <c r="W24" i="45" s="1"/>
  <c r="P49" i="45"/>
  <c r="Z49" i="45" s="1"/>
  <c r="K29" i="45"/>
  <c r="U29" i="45" s="1"/>
  <c r="P9" i="45"/>
  <c r="Z9" i="45" s="1"/>
  <c r="N46" i="45"/>
  <c r="X46" i="45" s="1"/>
  <c r="K16" i="45"/>
  <c r="U16" i="45" s="1"/>
  <c r="O49" i="45"/>
  <c r="Y49" i="45" s="1"/>
  <c r="O25" i="45"/>
  <c r="Y25" i="45" s="1"/>
  <c r="L20" i="45"/>
  <c r="V20" i="45" s="1"/>
  <c r="K48" i="45"/>
  <c r="U48" i="45" s="1"/>
  <c r="O34" i="45"/>
  <c r="Y34" i="45" s="1"/>
  <c r="K49" i="45"/>
  <c r="U49" i="45" s="1"/>
  <c r="Q25" i="45"/>
  <c r="AA25" i="45" s="1"/>
  <c r="K14" i="45"/>
  <c r="U14" i="45" s="1"/>
  <c r="L52" i="45"/>
  <c r="V52" i="45" s="1"/>
  <c r="M12" i="45"/>
  <c r="W12" i="45" s="1"/>
  <c r="L26" i="45"/>
  <c r="V26" i="45" s="1"/>
  <c r="N34" i="45"/>
  <c r="X34" i="45" s="1"/>
  <c r="N40" i="45"/>
  <c r="X40" i="45" s="1"/>
  <c r="N54" i="45"/>
  <c r="X54" i="45" s="1"/>
  <c r="K10" i="45"/>
  <c r="U10" i="45" s="1"/>
  <c r="Q5" i="45"/>
  <c r="AA5" i="45" s="1"/>
  <c r="M53" i="45"/>
  <c r="W53" i="45" s="1"/>
  <c r="K45" i="45"/>
  <c r="U45" i="45" s="1"/>
  <c r="Q41" i="45"/>
  <c r="AA41" i="45" s="1"/>
  <c r="N33" i="45"/>
  <c r="X33" i="45" s="1"/>
  <c r="N29" i="45"/>
  <c r="X29" i="45" s="1"/>
  <c r="K21" i="45"/>
  <c r="U21" i="45" s="1"/>
  <c r="O17" i="45"/>
  <c r="Y17" i="45" s="1"/>
  <c r="M13" i="45"/>
  <c r="W13" i="45" s="1"/>
  <c r="O5" i="45"/>
  <c r="Y5" i="45" s="1"/>
  <c r="N36" i="45"/>
  <c r="X36" i="45" s="1"/>
  <c r="K22" i="45"/>
  <c r="U22" i="45" s="1"/>
  <c r="K33" i="45"/>
  <c r="U33" i="45" s="1"/>
  <c r="P37" i="45"/>
  <c r="Z37" i="45" s="1"/>
  <c r="L13" i="45"/>
  <c r="V13" i="45" s="1"/>
  <c r="L10" i="45"/>
  <c r="V10" i="45" s="1"/>
  <c r="M50" i="45"/>
  <c r="W50" i="45" s="1"/>
  <c r="L21" i="45"/>
  <c r="V21" i="45" s="1"/>
  <c r="K17" i="45"/>
  <c r="U17" i="45" s="1"/>
  <c r="M38" i="45"/>
  <c r="W38" i="45" s="1"/>
  <c r="L12" i="45"/>
  <c r="V12" i="45" s="1"/>
  <c r="O53" i="45"/>
  <c r="Y53" i="45" s="1"/>
  <c r="P29" i="45"/>
  <c r="Z29" i="45" s="1"/>
  <c r="M46" i="45"/>
  <c r="W46" i="45" s="1"/>
  <c r="N48" i="45"/>
  <c r="X48" i="45" s="1"/>
  <c r="O8" i="45"/>
  <c r="Y8" i="45" s="1"/>
  <c r="M42" i="45"/>
  <c r="W42" i="45" s="1"/>
  <c r="P26" i="45"/>
  <c r="Z26" i="45" s="1"/>
  <c r="L36" i="45"/>
  <c r="V36" i="45" s="1"/>
  <c r="O30" i="45"/>
  <c r="Y30" i="45" s="1"/>
  <c r="P22" i="45"/>
  <c r="Z22" i="45" s="1"/>
  <c r="P33" i="45"/>
  <c r="Z33" i="45" s="1"/>
  <c r="L53" i="45"/>
  <c r="V53" i="45" s="1"/>
  <c r="O45" i="45"/>
  <c r="Y45" i="45" s="1"/>
  <c r="M41" i="45"/>
  <c r="W41" i="45" s="1"/>
  <c r="Q33" i="45"/>
  <c r="AA33" i="45" s="1"/>
  <c r="L29" i="45"/>
  <c r="V29" i="45" s="1"/>
  <c r="N21" i="45"/>
  <c r="X21" i="45" s="1"/>
  <c r="N17" i="45"/>
  <c r="X17" i="45" s="1"/>
  <c r="Q9" i="45"/>
  <c r="AA9" i="45" s="1"/>
  <c r="N5" i="45"/>
  <c r="X5" i="45" s="1"/>
  <c r="U29" i="32"/>
  <c r="U28" i="32"/>
  <c r="U27" i="32"/>
  <c r="U26" i="32"/>
  <c r="U25" i="32"/>
  <c r="U24" i="32"/>
  <c r="U23" i="32"/>
  <c r="U22" i="32"/>
  <c r="U21" i="32"/>
  <c r="U20" i="32"/>
  <c r="U19" i="32"/>
  <c r="U33" i="32" s="1"/>
  <c r="U18" i="32"/>
  <c r="U17" i="32"/>
  <c r="U16" i="32"/>
  <c r="U15" i="32"/>
  <c r="U14" i="32"/>
  <c r="U13" i="32"/>
  <c r="U12" i="32"/>
  <c r="U11" i="32"/>
  <c r="U10" i="32"/>
  <c r="U9" i="32"/>
  <c r="U8" i="32"/>
  <c r="Q29" i="32"/>
  <c r="Q26" i="32"/>
  <c r="Q23" i="32"/>
  <c r="Q21" i="32"/>
  <c r="Q19" i="32"/>
  <c r="Q33" i="32" s="1"/>
  <c r="Q17" i="32"/>
  <c r="Q15" i="32"/>
  <c r="Q13" i="32"/>
  <c r="Q11" i="32"/>
  <c r="Q9" i="32"/>
  <c r="S29" i="32"/>
  <c r="S27" i="32"/>
  <c r="S26" i="32"/>
  <c r="S25" i="32"/>
  <c r="S24" i="32"/>
  <c r="S22" i="32"/>
  <c r="S21" i="32"/>
  <c r="S20" i="32"/>
  <c r="S19" i="32"/>
  <c r="S33" i="32" s="1"/>
  <c r="S18" i="32"/>
  <c r="S17" i="32"/>
  <c r="S16" i="32"/>
  <c r="S15" i="32"/>
  <c r="S14" i="32"/>
  <c r="S13" i="32"/>
  <c r="S12" i="32"/>
  <c r="S11" i="32"/>
  <c r="S10" i="32"/>
  <c r="S9" i="32"/>
  <c r="S8" i="32"/>
  <c r="Q27" i="32"/>
  <c r="Q25" i="32"/>
  <c r="Q22" i="32"/>
  <c r="Q20" i="32"/>
  <c r="Q18" i="32"/>
  <c r="Q16" i="32"/>
  <c r="Q14" i="32"/>
  <c r="Q12" i="32"/>
  <c r="Q10" i="32"/>
  <c r="Q8" i="32"/>
  <c r="S28" i="32"/>
  <c r="S23" i="32"/>
  <c r="Q28" i="32"/>
  <c r="Q24" i="32"/>
  <c r="L29" i="32"/>
  <c r="L28" i="32"/>
  <c r="L27" i="32"/>
  <c r="L26" i="32"/>
  <c r="L25" i="32"/>
  <c r="L24" i="32"/>
  <c r="L23" i="32"/>
  <c r="L22" i="32"/>
  <c r="L21" i="32"/>
  <c r="L20" i="32"/>
  <c r="L19" i="32"/>
  <c r="L33" i="32" s="1"/>
  <c r="L18" i="32"/>
  <c r="L17" i="32"/>
  <c r="L16" i="32"/>
  <c r="L15" i="32"/>
  <c r="L14" i="32"/>
  <c r="L13" i="32"/>
  <c r="L12" i="32"/>
  <c r="L11" i="32"/>
  <c r="L10" i="32"/>
  <c r="L9" i="32"/>
  <c r="L8" i="32"/>
  <c r="K10" i="32"/>
  <c r="K22" i="32"/>
  <c r="K7" i="32"/>
  <c r="K27" i="32"/>
  <c r="K6" i="32"/>
  <c r="K18" i="32"/>
  <c r="K4" i="32"/>
  <c r="K8" i="32"/>
  <c r="K12" i="32"/>
  <c r="K16" i="32"/>
  <c r="K20" i="32"/>
  <c r="K24" i="32"/>
  <c r="K28" i="32"/>
  <c r="K5" i="32"/>
  <c r="K13" i="32"/>
  <c r="K17" i="32"/>
  <c r="K21" i="32"/>
  <c r="K29" i="32"/>
  <c r="K14" i="32"/>
  <c r="K26" i="32"/>
  <c r="K3" i="32"/>
  <c r="K11" i="32"/>
  <c r="K15" i="32"/>
  <c r="K19" i="32"/>
  <c r="K33" i="32" s="1"/>
  <c r="K23" i="32"/>
  <c r="K9" i="32"/>
  <c r="K25"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50" i="32"/>
  <c r="A51" i="32"/>
  <c r="A52" i="32"/>
  <c r="A53" i="32"/>
  <c r="A54" i="32"/>
  <c r="A55" i="32"/>
  <c r="A56" i="32"/>
  <c r="A57" i="32"/>
  <c r="A58" i="32"/>
  <c r="A59" i="32"/>
  <c r="A60" i="32"/>
  <c r="A61" i="32"/>
  <c r="A62" i="32"/>
  <c r="A63" i="32"/>
  <c r="A64" i="32"/>
  <c r="A65" i="32"/>
  <c r="A66" i="32"/>
  <c r="A67" i="32"/>
  <c r="A68" i="32"/>
  <c r="A69" i="32"/>
  <c r="A70" i="32"/>
  <c r="A71" i="32"/>
  <c r="A72" i="32"/>
  <c r="A73" i="32"/>
  <c r="A74" i="32"/>
  <c r="A75" i="32"/>
  <c r="A76" i="32"/>
  <c r="A77" i="32"/>
  <c r="A78" i="32"/>
  <c r="A79" i="32"/>
  <c r="A80" i="32"/>
  <c r="A81" i="32"/>
  <c r="A82" i="32"/>
  <c r="A83" i="32"/>
  <c r="A84" i="32"/>
  <c r="A85" i="32"/>
  <c r="A86" i="32"/>
  <c r="A87" i="32"/>
  <c r="A88" i="32"/>
  <c r="A89" i="32"/>
  <c r="A90" i="32"/>
  <c r="A91" i="32"/>
  <c r="A92" i="32"/>
  <c r="A93" i="32"/>
  <c r="A49" i="32"/>
  <c r="A31" i="32"/>
  <c r="B31" i="32" s="1"/>
  <c r="A32" i="32"/>
  <c r="B32" i="32" s="1"/>
  <c r="U49" i="32" a="1"/>
  <c r="R49" i="32" a="1"/>
  <c r="AH49" i="32" a="1"/>
  <c r="AT49" i="32" a="1"/>
  <c r="AM49" i="32" a="1"/>
  <c r="J27" i="32" a="1"/>
  <c r="I12" i="32" a="1"/>
  <c r="D13" i="32" a="1"/>
  <c r="J20" i="32" a="1"/>
  <c r="D27" i="32" a="1"/>
  <c r="O11" i="32" a="1"/>
  <c r="H29" i="32" a="1"/>
  <c r="P28" i="32" a="1"/>
  <c r="O8" i="32" a="1"/>
  <c r="H27" i="32" a="1"/>
  <c r="D19" i="32" a="1"/>
  <c r="O15" i="32" a="1"/>
  <c r="P4" i="32" a="1"/>
  <c r="H20" i="32" a="1"/>
  <c r="J8" i="32" a="1"/>
  <c r="J17" i="32" a="1"/>
  <c r="O19" i="32" a="1"/>
  <c r="D22" i="32" a="1"/>
  <c r="P27" i="32" a="1"/>
  <c r="O10" i="32" a="1"/>
  <c r="J5" i="32" a="1"/>
  <c r="M25" i="32" a="1"/>
  <c r="H28" i="32" a="1"/>
  <c r="C10" i="32" a="1"/>
  <c r="C29" i="32" a="1"/>
  <c r="C9" i="32" a="1"/>
  <c r="C3" i="32" a="1"/>
  <c r="P26" i="32" a="1"/>
  <c r="P8" i="32" a="1"/>
  <c r="AB49" i="32" a="1"/>
  <c r="AE49" i="32" a="1"/>
  <c r="M14" i="32" a="1"/>
  <c r="I26" i="32" a="1"/>
  <c r="O26" i="32" a="1"/>
  <c r="I21" i="32" a="1"/>
  <c r="M5" i="32" a="1"/>
  <c r="C4" i="32" a="1"/>
  <c r="AU49" i="32" a="1"/>
  <c r="J29" i="32" a="1"/>
  <c r="I10" i="32" a="1"/>
  <c r="D12" i="32" a="1"/>
  <c r="I5" i="32" a="1"/>
  <c r="I22" i="32" a="1"/>
  <c r="C22" i="32" a="1"/>
  <c r="M49" i="32" a="1"/>
  <c r="AJ49" i="32" a="1"/>
  <c r="J13" i="32" a="1"/>
  <c r="I27" i="32" a="1"/>
  <c r="O14" i="32" a="1"/>
  <c r="D6" i="32" a="1"/>
  <c r="P25" i="32" a="1"/>
  <c r="C21" i="32" a="1"/>
  <c r="Y49" i="32" a="1"/>
  <c r="V49" i="32" a="1"/>
  <c r="AC49" i="32" a="1"/>
  <c r="AI49" i="32" a="1"/>
  <c r="AG49" i="32" a="1"/>
  <c r="J10" i="32" a="1"/>
  <c r="O17" i="32" a="1"/>
  <c r="P19" i="32" a="1"/>
  <c r="J4" i="32" a="1"/>
  <c r="O7" i="32" a="1"/>
  <c r="D17" i="32" a="1"/>
  <c r="H21" i="32" a="1"/>
  <c r="D9" i="32" a="1"/>
  <c r="M29" i="32" a="1"/>
  <c r="I19" i="32" a="1"/>
  <c r="D15" i="32" a="1"/>
  <c r="M19" i="32" a="1"/>
  <c r="P13" i="32" a="1"/>
  <c r="P5" i="32" a="1"/>
  <c r="H19" i="32" a="1"/>
  <c r="J25" i="32" a="1"/>
  <c r="D8" i="32" a="1"/>
  <c r="M22" i="32" a="1"/>
  <c r="M16" i="32" a="1"/>
  <c r="O25" i="32" a="1"/>
  <c r="H9" i="32" a="1"/>
  <c r="H18" i="32" a="1"/>
  <c r="D20" i="32" a="1"/>
  <c r="C11" i="32" a="1"/>
  <c r="C20" i="32" a="1"/>
  <c r="C28" i="32" a="1"/>
  <c r="H49" i="32" a="1"/>
  <c r="H10" i="32" a="1"/>
  <c r="J21" i="32" a="1"/>
  <c r="P12" i="32" a="1"/>
  <c r="O12" i="32" a="1"/>
  <c r="J16" i="32" a="1"/>
  <c r="I23" i="32" a="1"/>
  <c r="P21" i="32" a="1"/>
  <c r="P7" i="32" a="1"/>
  <c r="H15" i="32" a="1"/>
  <c r="C12" i="32" a="1"/>
  <c r="C8" i="32" a="1"/>
  <c r="M27" i="32" a="1"/>
  <c r="M24" i="32" a="1"/>
  <c r="O5" i="32" a="1"/>
  <c r="I15" i="32" a="1"/>
  <c r="M10" i="32" a="1"/>
  <c r="J28" i="32" a="1"/>
  <c r="M8" i="32" a="1"/>
  <c r="I8" i="32" a="1"/>
  <c r="P18" i="32" a="1"/>
  <c r="C14" i="32" a="1"/>
  <c r="C7" i="32" a="1"/>
  <c r="O49" i="32" a="1"/>
  <c r="M18" i="32" a="1"/>
  <c r="H17" i="32" a="1"/>
  <c r="D24" i="32" a="1"/>
  <c r="H26" i="32" a="1"/>
  <c r="I14" i="32" a="1"/>
  <c r="H23" i="32" a="1"/>
  <c r="D10" i="32" a="1"/>
  <c r="C26" i="32" a="1"/>
  <c r="L49" i="32" a="1"/>
  <c r="H3" i="32" a="1"/>
  <c r="I7" i="32" a="1"/>
  <c r="P23" i="32" a="1"/>
  <c r="I25" i="32" a="1"/>
  <c r="M28" i="32" a="1"/>
  <c r="I28" i="32" a="1"/>
  <c r="C16" i="32" a="1"/>
  <c r="D49" i="32" a="1"/>
  <c r="D25" i="32" a="1"/>
  <c r="M9" i="32" a="1"/>
  <c r="I9" i="32" a="1"/>
  <c r="O22" i="32" a="1"/>
  <c r="H12" i="32" a="1"/>
  <c r="O13" i="32" a="1"/>
  <c r="C49" i="32" a="1"/>
  <c r="W49" i="32" a="1"/>
  <c r="AK49" i="32" a="1"/>
  <c r="AF49" i="32" a="1"/>
  <c r="AO49" i="32" a="1"/>
  <c r="H25" i="32" a="1"/>
  <c r="P15" i="32" a="1"/>
  <c r="O29" i="32" a="1"/>
  <c r="H22" i="32" a="1"/>
  <c r="P11" i="32" a="1"/>
  <c r="M23" i="32" a="1"/>
  <c r="H4" i="32" a="1"/>
  <c r="D5" i="32" a="1"/>
  <c r="M20" i="32" a="1"/>
  <c r="D26" i="32" a="1"/>
  <c r="P24" i="32" a="1"/>
  <c r="H24" i="32" a="1"/>
  <c r="J15" i="32" a="1"/>
  <c r="O4" i="32" a="1"/>
  <c r="C13" i="32" a="1"/>
  <c r="C23" i="32" a="1"/>
  <c r="I11" i="32" a="1"/>
  <c r="H8" i="32" a="1"/>
  <c r="M13" i="32" a="1"/>
  <c r="D4" i="32" a="1"/>
  <c r="I20" i="32" a="1"/>
  <c r="O9" i="32" a="1"/>
  <c r="M15" i="32" a="1"/>
  <c r="I24" i="32" a="1"/>
  <c r="D14" i="32" a="1"/>
  <c r="C15" i="32" a="1"/>
  <c r="N49" i="32" a="1"/>
  <c r="I18" i="32" a="1"/>
  <c r="J26" i="32" a="1"/>
  <c r="J22" i="32" a="1"/>
  <c r="P17" i="32" a="1"/>
  <c r="O27" i="32" a="1"/>
  <c r="J9" i="32" a="1"/>
  <c r="C25" i="32" a="1"/>
  <c r="AL49" i="32" a="1"/>
  <c r="M6" i="32" a="1"/>
  <c r="P16" i="32" a="1"/>
  <c r="J7" i="32" a="1"/>
  <c r="D7" i="32" a="1"/>
  <c r="M3" i="32" a="1"/>
  <c r="P29" i="32" a="1"/>
  <c r="C6" i="32" a="1"/>
  <c r="AQ49" i="32" a="1"/>
  <c r="J19" i="32" a="1"/>
  <c r="I6" i="32" a="1"/>
  <c r="D18" i="32" a="1"/>
  <c r="I13" i="32" a="1"/>
  <c r="J12" i="32" a="1"/>
  <c r="P6" i="32" a="1"/>
  <c r="C17" i="32" a="1"/>
  <c r="J49" i="32" a="1"/>
  <c r="Q49" i="32" a="1"/>
  <c r="AS49" i="32" a="1"/>
  <c r="AN49" i="32" a="1"/>
  <c r="P3" i="32" a="1"/>
  <c r="D29" i="32" a="1"/>
  <c r="D16" i="32" a="1"/>
  <c r="C27" i="32" a="1"/>
  <c r="O18" i="32" a="1"/>
  <c r="P49" i="32" a="1"/>
  <c r="K49" i="32" a="1"/>
  <c r="X49" i="32" a="1"/>
  <c r="AD49" i="32" a="1"/>
  <c r="AR49" i="32" a="1"/>
  <c r="J3" i="32" a="1"/>
  <c r="H5" i="32" a="1"/>
  <c r="D21" i="32" a="1"/>
  <c r="M11" i="32" a="1"/>
  <c r="H11" i="32" a="1"/>
  <c r="P10" i="32" a="1"/>
  <c r="J18" i="32" a="1"/>
  <c r="O16" i="32" a="1"/>
  <c r="O24" i="32" a="1"/>
  <c r="J14" i="32" a="1"/>
  <c r="O6" i="32" a="1"/>
  <c r="P20" i="32" a="1"/>
  <c r="I3" i="32" a="1"/>
  <c r="M12" i="32" a="1"/>
  <c r="M26" i="32" a="1"/>
  <c r="M17" i="32" a="1"/>
  <c r="O23" i="32" a="1"/>
  <c r="H7" i="32" a="1"/>
  <c r="I17" i="32" a="1"/>
  <c r="O28" i="32" a="1"/>
  <c r="P22" i="32" a="1"/>
  <c r="P9" i="32" a="1"/>
  <c r="O3" i="32" a="1"/>
  <c r="J24" i="32" a="1"/>
  <c r="C18" i="32" a="1"/>
  <c r="C19" i="32" a="1"/>
  <c r="C5" i="32" a="1"/>
  <c r="J23" i="32" a="1"/>
  <c r="I16" i="32" a="1"/>
  <c r="AP49" i="32" a="1"/>
  <c r="D3" i="32" a="1"/>
  <c r="P14" i="32" a="1"/>
  <c r="H6" i="32" a="1"/>
  <c r="H13" i="32" a="1"/>
  <c r="O21" i="32" a="1"/>
  <c r="M7" i="32" a="1"/>
  <c r="I49" i="32" a="1"/>
  <c r="T49" i="32" a="1"/>
  <c r="D23" i="32" a="1"/>
  <c r="J11" i="32" a="1"/>
  <c r="H14" i="32" a="1"/>
  <c r="D28" i="32" a="1"/>
  <c r="I4" i="32" a="1"/>
  <c r="M21" i="32" a="1"/>
  <c r="S49" i="32" a="1"/>
  <c r="I29" i="32" a="1"/>
  <c r="D11" i="32" a="1"/>
  <c r="M4" i="32" a="1"/>
  <c r="O20" i="32" a="1"/>
  <c r="J6" i="32" a="1"/>
  <c r="H16" i="32" a="1"/>
  <c r="C24" i="32" a="1"/>
  <c r="AO49" i="32" l="1"/>
  <c r="AG49" i="32"/>
  <c r="AM49" i="32"/>
  <c r="AR49" i="32"/>
  <c r="AJ49" i="32"/>
  <c r="AU49" i="32"/>
  <c r="AE49" i="32"/>
  <c r="AN49" i="32"/>
  <c r="AF49" i="32"/>
  <c r="AI49" i="32"/>
  <c r="AT49" i="32"/>
  <c r="AD49" i="32"/>
  <c r="AQ49" i="32"/>
  <c r="AL49" i="32"/>
  <c r="AP49" i="32"/>
  <c r="AS49" i="32"/>
  <c r="AK49" i="32"/>
  <c r="AC49" i="32"/>
  <c r="AH49" i="32"/>
  <c r="X49" i="32"/>
  <c r="BP49" i="32" s="1"/>
  <c r="S49" i="32"/>
  <c r="L49" i="32"/>
  <c r="N49" i="32"/>
  <c r="Q49" i="32"/>
  <c r="W49" i="32"/>
  <c r="BO49" i="32" s="1"/>
  <c r="V49" i="32"/>
  <c r="BN49" i="32" s="1"/>
  <c r="R49" i="32"/>
  <c r="K49" i="32"/>
  <c r="D49" i="32"/>
  <c r="T49" i="32"/>
  <c r="O49" i="32"/>
  <c r="J49" i="32"/>
  <c r="C49" i="32"/>
  <c r="Y49" i="32"/>
  <c r="U49" i="32"/>
  <c r="P49" i="32"/>
  <c r="M49" i="32"/>
  <c r="U32" i="32"/>
  <c r="U31" i="32"/>
  <c r="Q31" i="32"/>
  <c r="K31" i="32"/>
  <c r="L31" i="32"/>
  <c r="S31" i="32"/>
  <c r="S32" i="32"/>
  <c r="K32" i="32"/>
  <c r="L32" i="32"/>
  <c r="Q32" i="32"/>
  <c r="J24" i="32"/>
  <c r="O13" i="32"/>
  <c r="M21" i="32"/>
  <c r="D10" i="32"/>
  <c r="I16" i="32"/>
  <c r="H15" i="32"/>
  <c r="D20" i="32"/>
  <c r="H28" i="32"/>
  <c r="O3" i="32"/>
  <c r="H16" i="32"/>
  <c r="P29" i="32"/>
  <c r="M7" i="32"/>
  <c r="P8" i="32"/>
  <c r="P31" i="32" s="1"/>
  <c r="P7" i="32"/>
  <c r="H18" i="32"/>
  <c r="H32" i="32" s="1"/>
  <c r="M25" i="32"/>
  <c r="P9" i="32"/>
  <c r="P6" i="32"/>
  <c r="I22" i="32"/>
  <c r="M5" i="32"/>
  <c r="D14" i="32"/>
  <c r="O4" i="32"/>
  <c r="H9" i="32"/>
  <c r="J5" i="32"/>
  <c r="P22" i="32"/>
  <c r="P25" i="32"/>
  <c r="I28" i="32"/>
  <c r="J9" i="32"/>
  <c r="P18" i="32"/>
  <c r="P32" i="32" s="1"/>
  <c r="P21" i="32"/>
  <c r="O25" i="32"/>
  <c r="O10" i="32"/>
  <c r="O28" i="32"/>
  <c r="H12" i="32"/>
  <c r="I4" i="32"/>
  <c r="H23" i="32"/>
  <c r="J23" i="32"/>
  <c r="J15" i="32"/>
  <c r="M16" i="32"/>
  <c r="P27" i="32"/>
  <c r="I17" i="32"/>
  <c r="J6" i="32"/>
  <c r="M3" i="32"/>
  <c r="O21" i="32"/>
  <c r="P26" i="32"/>
  <c r="I23" i="32"/>
  <c r="M22" i="32"/>
  <c r="D22" i="32"/>
  <c r="H7" i="32"/>
  <c r="J12" i="32"/>
  <c r="M28" i="32"/>
  <c r="O27" i="32"/>
  <c r="I24" i="32"/>
  <c r="J16" i="32"/>
  <c r="D8" i="32"/>
  <c r="D31" i="32" s="1"/>
  <c r="O19" i="32"/>
  <c r="O33" i="32" s="1"/>
  <c r="O23" i="32"/>
  <c r="D6" i="32"/>
  <c r="I5" i="32"/>
  <c r="I21" i="32"/>
  <c r="I8" i="32"/>
  <c r="I31" i="32" s="1"/>
  <c r="H24" i="32"/>
  <c r="J25" i="32"/>
  <c r="J17" i="32"/>
  <c r="M17" i="32"/>
  <c r="O18" i="32"/>
  <c r="O32" i="32" s="1"/>
  <c r="D16" i="32"/>
  <c r="I14" i="32"/>
  <c r="M15" i="32"/>
  <c r="O12" i="32"/>
  <c r="H19" i="32"/>
  <c r="J8" i="32"/>
  <c r="J31" i="32" s="1"/>
  <c r="M26" i="32"/>
  <c r="O22" i="32"/>
  <c r="D28" i="32"/>
  <c r="H13" i="32"/>
  <c r="M8" i="32"/>
  <c r="M31" i="32" s="1"/>
  <c r="P12" i="32"/>
  <c r="P5" i="32"/>
  <c r="H20" i="32"/>
  <c r="M12" i="32"/>
  <c r="O20" i="32"/>
  <c r="D7" i="32"/>
  <c r="P17" i="32"/>
  <c r="O9" i="32"/>
  <c r="P24" i="32"/>
  <c r="P13" i="32"/>
  <c r="P4" i="32"/>
  <c r="I3" i="32"/>
  <c r="I13" i="32"/>
  <c r="I25" i="32"/>
  <c r="H26" i="32"/>
  <c r="J28" i="32"/>
  <c r="J21" i="32"/>
  <c r="M19" i="32"/>
  <c r="M33" i="32" s="1"/>
  <c r="O15" i="32"/>
  <c r="P20" i="32"/>
  <c r="O14" i="32"/>
  <c r="D12" i="32"/>
  <c r="O26" i="32"/>
  <c r="D29" i="32"/>
  <c r="D26" i="32"/>
  <c r="D15" i="32"/>
  <c r="D19" i="32"/>
  <c r="D33" i="32" s="1"/>
  <c r="O6" i="32"/>
  <c r="I9" i="32"/>
  <c r="H14" i="32"/>
  <c r="H6" i="32"/>
  <c r="I20" i="32"/>
  <c r="H10" i="32"/>
  <c r="I19" i="32"/>
  <c r="H27" i="32"/>
  <c r="J14" i="32"/>
  <c r="M4" i="32"/>
  <c r="J7" i="32"/>
  <c r="J22" i="32"/>
  <c r="M10" i="32"/>
  <c r="M20" i="32"/>
  <c r="M29" i="32"/>
  <c r="O8" i="32"/>
  <c r="O31" i="32" s="1"/>
  <c r="O24" i="32"/>
  <c r="D18" i="32"/>
  <c r="D32" i="32" s="1"/>
  <c r="P23" i="32"/>
  <c r="D24" i="32"/>
  <c r="D4" i="32"/>
  <c r="D5" i="32"/>
  <c r="D9" i="32"/>
  <c r="P28" i="32"/>
  <c r="O16" i="32"/>
  <c r="I27" i="32"/>
  <c r="I10" i="32"/>
  <c r="I26" i="32"/>
  <c r="I15" i="32"/>
  <c r="H4" i="32"/>
  <c r="H21" i="32"/>
  <c r="H29" i="32"/>
  <c r="J18" i="32"/>
  <c r="J32" i="32" s="1"/>
  <c r="M9" i="32"/>
  <c r="J11" i="32"/>
  <c r="J26" i="32"/>
  <c r="M13" i="32"/>
  <c r="M23" i="32"/>
  <c r="D17" i="32"/>
  <c r="O11" i="32"/>
  <c r="P10" i="32"/>
  <c r="D11" i="32"/>
  <c r="P16" i="32"/>
  <c r="P14" i="32"/>
  <c r="O5" i="32"/>
  <c r="P11" i="32"/>
  <c r="O7" i="32"/>
  <c r="D27" i="32"/>
  <c r="H11" i="32"/>
  <c r="I6" i="32"/>
  <c r="I7" i="32"/>
  <c r="H17" i="32"/>
  <c r="H8" i="32"/>
  <c r="H31" i="32" s="1"/>
  <c r="H22" i="32"/>
  <c r="J4" i="32"/>
  <c r="J20" i="32"/>
  <c r="M11" i="32"/>
  <c r="J13" i="32"/>
  <c r="J29" i="32"/>
  <c r="M14" i="32"/>
  <c r="M24" i="32"/>
  <c r="O29" i="32"/>
  <c r="P19" i="32"/>
  <c r="P33" i="32" s="1"/>
  <c r="D13" i="32"/>
  <c r="D21" i="32"/>
  <c r="D25" i="32"/>
  <c r="D23" i="32"/>
  <c r="D3" i="32"/>
  <c r="P3" i="32"/>
  <c r="P15" i="32"/>
  <c r="O17" i="32"/>
  <c r="I12" i="32"/>
  <c r="H5" i="32"/>
  <c r="I29" i="32"/>
  <c r="H3" i="32"/>
  <c r="I18" i="32"/>
  <c r="I32" i="32" s="1"/>
  <c r="I11" i="32"/>
  <c r="H25" i="32"/>
  <c r="J10" i="32"/>
  <c r="J27" i="32"/>
  <c r="J3" i="32"/>
  <c r="J19" i="32"/>
  <c r="J33" i="32" s="1"/>
  <c r="M6" i="32"/>
  <c r="M18" i="32"/>
  <c r="M32" i="32" s="1"/>
  <c r="M27" i="32"/>
  <c r="G50" i="32"/>
  <c r="AB49" i="32"/>
  <c r="H49" i="32"/>
  <c r="I49" i="32"/>
  <c r="C4" i="32"/>
  <c r="C12" i="32"/>
  <c r="C5" i="32"/>
  <c r="C9" i="32"/>
  <c r="C13" i="32"/>
  <c r="C17" i="32"/>
  <c r="C21" i="32"/>
  <c r="C25" i="32"/>
  <c r="C29" i="32"/>
  <c r="C8" i="32"/>
  <c r="C31" i="32" s="1"/>
  <c r="C16" i="32"/>
  <c r="C20" i="32"/>
  <c r="C24" i="32"/>
  <c r="C28" i="32"/>
  <c r="C6" i="32"/>
  <c r="C10" i="32"/>
  <c r="C14" i="32"/>
  <c r="C18" i="32"/>
  <c r="C32" i="32" s="1"/>
  <c r="C22" i="32"/>
  <c r="C26" i="32"/>
  <c r="C3" i="32"/>
  <c r="C7" i="32"/>
  <c r="C11" i="32"/>
  <c r="C15" i="32"/>
  <c r="C19" i="32"/>
  <c r="C33" i="32" s="1"/>
  <c r="C23" i="32"/>
  <c r="C27" i="32"/>
  <c r="W50" i="32" a="1"/>
  <c r="Q50" i="32" a="1"/>
  <c r="AL50" i="32" a="1"/>
  <c r="S50" i="32" a="1"/>
  <c r="AS50" i="32" a="1"/>
  <c r="AT50" i="32" a="1"/>
  <c r="I50" i="32" a="1"/>
  <c r="AE50" i="32" a="1"/>
  <c r="H50" i="32" a="1"/>
  <c r="O50" i="32" a="1"/>
  <c r="AF50" i="32" a="1"/>
  <c r="M50" i="32" a="1"/>
  <c r="AP50" i="32" a="1"/>
  <c r="V50" i="32" a="1"/>
  <c r="D50" i="32" a="1"/>
  <c r="AR50" i="32" a="1"/>
  <c r="K50" i="32" a="1"/>
  <c r="T50" i="32" a="1"/>
  <c r="R50" i="32" a="1"/>
  <c r="AG50" i="32" a="1"/>
  <c r="AU50" i="32" a="1"/>
  <c r="U50" i="32" a="1"/>
  <c r="N50" i="32" a="1"/>
  <c r="X50" i="32" a="1"/>
  <c r="AJ50" i="32" a="1"/>
  <c r="AN50" i="32" a="1"/>
  <c r="Y50" i="32" a="1"/>
  <c r="AM50" i="32" a="1"/>
  <c r="AC50" i="32" a="1"/>
  <c r="AD50" i="32" a="1"/>
  <c r="C50" i="32" a="1"/>
  <c r="AK50" i="32" a="1"/>
  <c r="AH50" i="32" a="1"/>
  <c r="AQ50" i="32" a="1"/>
  <c r="J50" i="32" a="1"/>
  <c r="AB50" i="32" a="1"/>
  <c r="L50" i="32" a="1"/>
  <c r="AO50" i="32" a="1"/>
  <c r="P50" i="32" a="1"/>
  <c r="AI50" i="32" a="1"/>
  <c r="BM49" i="32" l="1"/>
  <c r="BQ49" i="32"/>
  <c r="AP50" i="32"/>
  <c r="AL50" i="32"/>
  <c r="AD50" i="32"/>
  <c r="AN50" i="32"/>
  <c r="AI50" i="32"/>
  <c r="AO50" i="32"/>
  <c r="AG50" i="32"/>
  <c r="AQ50" i="32"/>
  <c r="AS50" i="32"/>
  <c r="AK50" i="32"/>
  <c r="AC50" i="32"/>
  <c r="AJ50" i="32"/>
  <c r="AU50" i="32"/>
  <c r="AR50" i="32"/>
  <c r="AE50" i="32"/>
  <c r="AT50" i="32"/>
  <c r="AH50" i="32"/>
  <c r="AF50" i="32"/>
  <c r="AM50" i="32"/>
  <c r="X50" i="32"/>
  <c r="BP50" i="32" s="1"/>
  <c r="O50" i="32"/>
  <c r="BG50" i="32" s="1"/>
  <c r="L50" i="32"/>
  <c r="BB50" i="32" s="1"/>
  <c r="R50" i="32"/>
  <c r="BJ50" i="32" s="1"/>
  <c r="V50" i="32"/>
  <c r="BN50" i="32" s="1"/>
  <c r="S50" i="32"/>
  <c r="BK50" i="32" s="1"/>
  <c r="Q50" i="32"/>
  <c r="W50" i="32"/>
  <c r="BO50" i="32" s="1"/>
  <c r="N50" i="32"/>
  <c r="BF50" i="32" s="1"/>
  <c r="K50" i="32"/>
  <c r="BA50" i="32" s="1"/>
  <c r="D50" i="32"/>
  <c r="BE50" i="32" s="1"/>
  <c r="J50" i="32"/>
  <c r="AZ50" i="32" s="1"/>
  <c r="T50" i="32"/>
  <c r="BL50" i="32" s="1"/>
  <c r="M50" i="32"/>
  <c r="C50" i="32"/>
  <c r="BD50" i="32" s="1"/>
  <c r="Y50" i="32"/>
  <c r="BQ50" i="32" s="1"/>
  <c r="U50" i="32"/>
  <c r="BM50" i="32" s="1"/>
  <c r="P50" i="32"/>
  <c r="BH50" i="32" s="1"/>
  <c r="BK49" i="32"/>
  <c r="BJ49" i="32"/>
  <c r="BL49" i="32"/>
  <c r="BG49" i="32"/>
  <c r="BH49" i="32"/>
  <c r="BF49" i="32"/>
  <c r="BI50" i="32"/>
  <c r="BI49" i="32"/>
  <c r="AB50" i="32"/>
  <c r="I50" i="32"/>
  <c r="AY50" i="32" s="1"/>
  <c r="H50" i="32"/>
  <c r="AX50" i="32" s="1"/>
  <c r="G51" i="32"/>
  <c r="BE49" i="32"/>
  <c r="BA49" i="32"/>
  <c r="BC49" i="32"/>
  <c r="BB49" i="32"/>
  <c r="AZ49" i="32"/>
  <c r="BD49" i="32"/>
  <c r="AY49" i="32"/>
  <c r="AX49" i="32"/>
  <c r="M51" i="32" a="1"/>
  <c r="S51" i="32" a="1"/>
  <c r="AI51" i="32" a="1"/>
  <c r="AT51" i="32" a="1"/>
  <c r="AU51" i="32" a="1"/>
  <c r="V20" i="32" a="1"/>
  <c r="F14" i="32" a="1"/>
  <c r="F3" i="32" a="1"/>
  <c r="E18" i="32" a="1"/>
  <c r="F11" i="32" a="1"/>
  <c r="G23" i="32" a="1"/>
  <c r="F22" i="32" a="1"/>
  <c r="N26" i="32" a="1"/>
  <c r="E20" i="32" a="1"/>
  <c r="V23" i="32" a="1"/>
  <c r="T20" i="32" a="1"/>
  <c r="R20" i="32" a="1"/>
  <c r="E5" i="32" a="1"/>
  <c r="F5" i="32" a="1"/>
  <c r="R24" i="32" a="1"/>
  <c r="E16" i="32" a="1"/>
  <c r="V15" i="32" a="1"/>
  <c r="E6" i="32" a="1"/>
  <c r="R23" i="32" a="1"/>
  <c r="G25" i="32" a="1"/>
  <c r="N6" i="32" a="1"/>
  <c r="F12" i="32" a="1"/>
  <c r="E12" i="32" a="1"/>
  <c r="G15" i="32" a="1"/>
  <c r="R13" i="32" a="1"/>
  <c r="N24" i="32" a="1"/>
  <c r="E28" i="32" a="1"/>
  <c r="R12" i="32" a="1"/>
  <c r="N25" i="32" a="1"/>
  <c r="Q51" i="32" a="1"/>
  <c r="V6" i="32" a="1"/>
  <c r="E13" i="32" a="1"/>
  <c r="R3" i="32" a="1"/>
  <c r="V8" i="32" a="1"/>
  <c r="V17" i="32" a="1"/>
  <c r="G27" i="32" a="1"/>
  <c r="G29" i="32" a="1"/>
  <c r="G7" i="32" a="1"/>
  <c r="T3" i="32" a="1"/>
  <c r="T23" i="32" a="1"/>
  <c r="V19" i="32" a="1"/>
  <c r="G11" i="32" a="1"/>
  <c r="R8" i="32" a="1"/>
  <c r="N20" i="32" a="1"/>
  <c r="P51" i="32" a="1"/>
  <c r="R51" i="32" a="1"/>
  <c r="AQ51" i="32" a="1"/>
  <c r="AC51" i="32" a="1"/>
  <c r="R26" i="32" a="1"/>
  <c r="G8" i="32" a="1"/>
  <c r="T22" i="32" a="1"/>
  <c r="V27" i="32" a="1"/>
  <c r="E19" i="32" a="1"/>
  <c r="N13" i="32" a="1"/>
  <c r="T19" i="32" a="1"/>
  <c r="T17" i="32" a="1"/>
  <c r="R15" i="32" a="1"/>
  <c r="N17" i="32" a="1"/>
  <c r="F26" i="32" a="1"/>
  <c r="N18" i="32" a="1"/>
  <c r="E21" i="32" a="1"/>
  <c r="T12" i="32" a="1"/>
  <c r="V25" i="32" a="1"/>
  <c r="R27" i="32" a="1"/>
  <c r="R6" i="32" a="1"/>
  <c r="G18" i="32" a="1"/>
  <c r="R22" i="32" a="1"/>
  <c r="E25" i="32" a="1"/>
  <c r="N28" i="32" a="1"/>
  <c r="E22" i="32" a="1"/>
  <c r="R29" i="32" a="1"/>
  <c r="V10" i="32" a="1"/>
  <c r="V5" i="32" a="1"/>
  <c r="E23" i="32" a="1"/>
  <c r="T5" i="32" a="1"/>
  <c r="F16" i="32" a="1"/>
  <c r="F18" i="32" a="1"/>
  <c r="V13" i="32" a="1"/>
  <c r="AP51" i="32" a="1"/>
  <c r="E17" i="32" a="1"/>
  <c r="R18" i="32" a="1"/>
  <c r="F19" i="32" a="1"/>
  <c r="T15" i="32" a="1"/>
  <c r="T21" i="32" a="1"/>
  <c r="E11" i="32" a="1"/>
  <c r="G4" i="32" a="1"/>
  <c r="T28" i="32" a="1"/>
  <c r="T11" i="32" a="1"/>
  <c r="H51" i="32" a="1"/>
  <c r="G6" i="32" a="1"/>
  <c r="T9" i="32" a="1"/>
  <c r="G13" i="32" a="1"/>
  <c r="V21" i="32" a="1"/>
  <c r="Y51" i="32" a="1"/>
  <c r="L51" i="32" a="1"/>
  <c r="AN51" i="32" a="1"/>
  <c r="AD51" i="32" a="1"/>
  <c r="G24" i="32" a="1"/>
  <c r="F9" i="32" a="1"/>
  <c r="R16" i="32" a="1"/>
  <c r="E27" i="32" a="1"/>
  <c r="F17" i="32" a="1"/>
  <c r="F25" i="32" a="1"/>
  <c r="F6" i="32" a="1"/>
  <c r="V3" i="32" a="1"/>
  <c r="V18" i="32" a="1"/>
  <c r="R9" i="32" a="1"/>
  <c r="G22" i="32" a="1"/>
  <c r="R14" i="32" a="1"/>
  <c r="T14" i="32" a="1"/>
  <c r="T6" i="32" a="1"/>
  <c r="V9" i="32" a="1"/>
  <c r="F20" i="32" a="1"/>
  <c r="E3" i="32" a="1"/>
  <c r="G26" i="32" a="1"/>
  <c r="R28" i="32" a="1"/>
  <c r="G10" i="32" a="1"/>
  <c r="N5" i="32" a="1"/>
  <c r="V14" i="32" a="1"/>
  <c r="G21" i="32" a="1"/>
  <c r="N27" i="32" a="1"/>
  <c r="G14" i="32" a="1"/>
  <c r="AB51" i="32" a="1"/>
  <c r="T8" i="32" a="1"/>
  <c r="R25" i="32" a="1"/>
  <c r="E15" i="32" a="1"/>
  <c r="V22" i="32" a="1"/>
  <c r="N51" i="32" a="1"/>
  <c r="T24" i="32" a="1"/>
  <c r="F10" i="32" a="1"/>
  <c r="V7" i="32" a="1"/>
  <c r="G5" i="32" a="1"/>
  <c r="R4" i="32" a="1"/>
  <c r="T29" i="32" a="1"/>
  <c r="F29" i="32" a="1"/>
  <c r="N23" i="32" a="1"/>
  <c r="N9" i="32" a="1"/>
  <c r="E4" i="32" a="1"/>
  <c r="N22" i="32" a="1"/>
  <c r="G19" i="32" a="1"/>
  <c r="V28" i="32" a="1"/>
  <c r="D51" i="32" a="1"/>
  <c r="X51" i="32" a="1"/>
  <c r="AJ51" i="32" a="1"/>
  <c r="AL51" i="32" a="1"/>
  <c r="E24" i="32" a="1"/>
  <c r="V11" i="32" a="1"/>
  <c r="E14" i="32" a="1"/>
  <c r="F23" i="32" a="1"/>
  <c r="N8" i="32" a="1"/>
  <c r="V4" i="32" a="1"/>
  <c r="O51" i="32" a="1"/>
  <c r="F21" i="32" a="1"/>
  <c r="T13" i="32" a="1"/>
  <c r="U51" i="32" a="1"/>
  <c r="W51" i="32" a="1"/>
  <c r="T51" i="32" a="1"/>
  <c r="AF51" i="32" a="1"/>
  <c r="AO51" i="32" a="1"/>
  <c r="G20" i="32" a="1"/>
  <c r="R7" i="32" a="1"/>
  <c r="F28" i="32" a="1"/>
  <c r="N7" i="32" a="1"/>
  <c r="E9" i="32" a="1"/>
  <c r="J51" i="32" a="1"/>
  <c r="V51" i="32" a="1"/>
  <c r="AR51" i="32" a="1"/>
  <c r="AK51" i="32" a="1"/>
  <c r="AE51" i="32" a="1"/>
  <c r="N14" i="32" a="1"/>
  <c r="E10" i="32" a="1"/>
  <c r="V12" i="32" a="1"/>
  <c r="T7" i="32" a="1"/>
  <c r="G17" i="32" a="1"/>
  <c r="R11" i="32" a="1"/>
  <c r="G9" i="32" a="1"/>
  <c r="V26" i="32" a="1"/>
  <c r="C51" i="32" a="1"/>
  <c r="K51" i="32" a="1"/>
  <c r="AG51" i="32" a="1"/>
  <c r="AH51" i="32" a="1"/>
  <c r="AM51" i="32" a="1"/>
  <c r="E7" i="32" a="1"/>
  <c r="R21" i="32" a="1"/>
  <c r="F13" i="32" a="1"/>
  <c r="T25" i="32" a="1"/>
  <c r="N10" i="32" a="1"/>
  <c r="N12" i="32" a="1"/>
  <c r="T27" i="32" a="1"/>
  <c r="R17" i="32" a="1"/>
  <c r="F15" i="32" a="1"/>
  <c r="T18" i="32" a="1"/>
  <c r="F27" i="32" a="1"/>
  <c r="N4" i="32" a="1"/>
  <c r="F24" i="32" a="1"/>
  <c r="F4" i="32" a="1"/>
  <c r="R19" i="32" a="1"/>
  <c r="N19" i="32" a="1"/>
  <c r="E8" i="32" a="1"/>
  <c r="N29" i="32" a="1"/>
  <c r="V16" i="32" a="1"/>
  <c r="T16" i="32" a="1"/>
  <c r="R10" i="32" a="1"/>
  <c r="G16" i="32" a="1"/>
  <c r="I51" i="32" a="1"/>
  <c r="N21" i="32" a="1"/>
  <c r="E29" i="32" a="1"/>
  <c r="V29" i="32" a="1"/>
  <c r="N11" i="32" a="1"/>
  <c r="AS51" i="32" a="1"/>
  <c r="T10" i="32" a="1"/>
  <c r="N16" i="32" a="1"/>
  <c r="E26" i="32" a="1"/>
  <c r="V24" i="32" a="1"/>
  <c r="G28" i="32" a="1"/>
  <c r="F8" i="32" a="1"/>
  <c r="N15" i="32" a="1"/>
  <c r="R5" i="32" a="1"/>
  <c r="G12" i="32" a="1"/>
  <c r="G3" i="32" a="1"/>
  <c r="N3" i="32" a="1"/>
  <c r="T4" i="32" a="1"/>
  <c r="F7" i="32" a="1"/>
  <c r="T26" i="32" a="1"/>
  <c r="BC50" i="32" l="1"/>
  <c r="AU51" i="32"/>
  <c r="AM51" i="32"/>
  <c r="AE51" i="32"/>
  <c r="AO51" i="32"/>
  <c r="AP51" i="32"/>
  <c r="AL51" i="32"/>
  <c r="AD51" i="32"/>
  <c r="AC51" i="32"/>
  <c r="AT51" i="32"/>
  <c r="AH51" i="32"/>
  <c r="AK51" i="32"/>
  <c r="AF51" i="32"/>
  <c r="AS51" i="32"/>
  <c r="AJ51" i="32"/>
  <c r="AN51" i="32"/>
  <c r="AQ51" i="32"/>
  <c r="AI51" i="32"/>
  <c r="AG51" i="32"/>
  <c r="AR51" i="32"/>
  <c r="T51" i="32"/>
  <c r="BL51" i="32" s="1"/>
  <c r="O51" i="32"/>
  <c r="X51" i="32"/>
  <c r="L51" i="32"/>
  <c r="R51" i="32"/>
  <c r="S51" i="32"/>
  <c r="K51" i="32"/>
  <c r="V51" i="32"/>
  <c r="BN51" i="32" s="1"/>
  <c r="W51" i="32"/>
  <c r="BO51" i="32" s="1"/>
  <c r="N51" i="32"/>
  <c r="D51" i="32"/>
  <c r="Y51" i="32"/>
  <c r="P51" i="32"/>
  <c r="M51" i="32"/>
  <c r="C51" i="32"/>
  <c r="J51" i="32"/>
  <c r="U51" i="32"/>
  <c r="Q51" i="32"/>
  <c r="AB51" i="32"/>
  <c r="I51" i="32"/>
  <c r="H51" i="32"/>
  <c r="G52" i="32"/>
  <c r="E4" i="32"/>
  <c r="F23" i="32"/>
  <c r="V7" i="32"/>
  <c r="F6" i="32"/>
  <c r="F18" i="32"/>
  <c r="F32" i="32" s="1"/>
  <c r="E20" i="32"/>
  <c r="E15" i="32"/>
  <c r="T25" i="32"/>
  <c r="R21" i="32"/>
  <c r="N7" i="32"/>
  <c r="N5" i="32"/>
  <c r="V28" i="32"/>
  <c r="N21" i="32"/>
  <c r="V22" i="32"/>
  <c r="T9" i="32"/>
  <c r="N15" i="32"/>
  <c r="E24" i="32"/>
  <c r="N11" i="32"/>
  <c r="F4" i="32"/>
  <c r="E16" i="32"/>
  <c r="T22" i="32"/>
  <c r="R19" i="32"/>
  <c r="R33" i="32" s="1"/>
  <c r="T26" i="32"/>
  <c r="T14" i="32"/>
  <c r="N17" i="32"/>
  <c r="V17" i="32"/>
  <c r="E17" i="32"/>
  <c r="N20" i="32"/>
  <c r="N19" i="32"/>
  <c r="N33" i="32" s="1"/>
  <c r="F17" i="32"/>
  <c r="F22" i="32"/>
  <c r="V27" i="32"/>
  <c r="V24" i="32"/>
  <c r="V3" i="32"/>
  <c r="E3" i="32"/>
  <c r="E22" i="32"/>
  <c r="G8" i="32"/>
  <c r="G31" i="32" s="1"/>
  <c r="G6" i="32"/>
  <c r="N24" i="32"/>
  <c r="N29" i="32"/>
  <c r="N10" i="32"/>
  <c r="F27" i="32"/>
  <c r="F14" i="32"/>
  <c r="F20" i="32"/>
  <c r="V5" i="32"/>
  <c r="V9" i="32"/>
  <c r="V25" i="32"/>
  <c r="E29" i="32"/>
  <c r="E5" i="32"/>
  <c r="E14" i="32"/>
  <c r="G10" i="32"/>
  <c r="T29" i="32"/>
  <c r="N4" i="32"/>
  <c r="N16" i="32"/>
  <c r="N25" i="32"/>
  <c r="F5" i="32"/>
  <c r="F29" i="32"/>
  <c r="F7" i="32"/>
  <c r="V26" i="32"/>
  <c r="V11" i="32"/>
  <c r="V16" i="32"/>
  <c r="E10" i="32"/>
  <c r="E9" i="32"/>
  <c r="E28" i="32"/>
  <c r="T20" i="32"/>
  <c r="T8" i="32"/>
  <c r="T31" i="32" s="1"/>
  <c r="T21" i="32"/>
  <c r="T28" i="32"/>
  <c r="F16" i="32"/>
  <c r="V4" i="32"/>
  <c r="R10" i="32"/>
  <c r="T19" i="32"/>
  <c r="T33" i="32" s="1"/>
  <c r="F21" i="32"/>
  <c r="V14" i="32"/>
  <c r="E27" i="32"/>
  <c r="T5" i="32"/>
  <c r="T17" i="32"/>
  <c r="G17" i="32"/>
  <c r="G13" i="32"/>
  <c r="G24" i="32"/>
  <c r="R29" i="32"/>
  <c r="N18" i="32"/>
  <c r="N32" i="32" s="1"/>
  <c r="V19" i="32"/>
  <c r="V33" i="32" s="1"/>
  <c r="N23" i="32"/>
  <c r="V29" i="32"/>
  <c r="E21" i="32"/>
  <c r="N13" i="32"/>
  <c r="V6" i="32"/>
  <c r="F28" i="32"/>
  <c r="F3" i="32"/>
  <c r="E6" i="32"/>
  <c r="N22" i="32"/>
  <c r="T27" i="32"/>
  <c r="T18" i="32"/>
  <c r="T32" i="32" s="1"/>
  <c r="G19" i="32"/>
  <c r="G33" i="32" s="1"/>
  <c r="N6" i="32"/>
  <c r="F15" i="32"/>
  <c r="F13" i="32"/>
  <c r="V20" i="32"/>
  <c r="E11" i="32"/>
  <c r="N8" i="32"/>
  <c r="N31" i="32" s="1"/>
  <c r="N28" i="32"/>
  <c r="F10" i="32"/>
  <c r="F12" i="32"/>
  <c r="F19" i="32"/>
  <c r="F33" i="32" s="1"/>
  <c r="V18" i="32"/>
  <c r="V32" i="32" s="1"/>
  <c r="V10" i="32"/>
  <c r="E19" i="32"/>
  <c r="E33" i="32" s="1"/>
  <c r="E23" i="32"/>
  <c r="E26" i="32"/>
  <c r="T16" i="32"/>
  <c r="G27" i="32"/>
  <c r="R4" i="32"/>
  <c r="T24" i="32"/>
  <c r="N14" i="32"/>
  <c r="N12" i="32"/>
  <c r="N3" i="32"/>
  <c r="F9" i="32"/>
  <c r="F24" i="32"/>
  <c r="F8" i="32"/>
  <c r="F31" i="32" s="1"/>
  <c r="V8" i="32"/>
  <c r="V31" i="32" s="1"/>
  <c r="V15" i="32"/>
  <c r="V12" i="32"/>
  <c r="E13" i="32"/>
  <c r="E18" i="32"/>
  <c r="E32" i="32" s="1"/>
  <c r="E25" i="32"/>
  <c r="R11" i="32"/>
  <c r="T15" i="32"/>
  <c r="G20" i="32"/>
  <c r="R23" i="32"/>
  <c r="G3" i="32"/>
  <c r="R7" i="32"/>
  <c r="G5" i="32"/>
  <c r="R14" i="32"/>
  <c r="R22" i="32"/>
  <c r="G28" i="32"/>
  <c r="R8" i="32"/>
  <c r="R31" i="32" s="1"/>
  <c r="T10" i="32"/>
  <c r="G14" i="32"/>
  <c r="T4" i="32"/>
  <c r="G12" i="32"/>
  <c r="G23" i="32"/>
  <c r="G7" i="32"/>
  <c r="G21" i="32"/>
  <c r="R28" i="32"/>
  <c r="G29" i="32"/>
  <c r="G15" i="32"/>
  <c r="G22" i="32"/>
  <c r="R20" i="32"/>
  <c r="R26" i="32"/>
  <c r="G18" i="32"/>
  <c r="G32" i="32" s="1"/>
  <c r="R24" i="32"/>
  <c r="R25" i="32"/>
  <c r="R12" i="32"/>
  <c r="G25" i="32"/>
  <c r="G16" i="32"/>
  <c r="G9" i="32"/>
  <c r="N27" i="32"/>
  <c r="N9" i="32"/>
  <c r="N26" i="32"/>
  <c r="F25" i="32"/>
  <c r="F11" i="32"/>
  <c r="F26" i="32"/>
  <c r="V23" i="32"/>
  <c r="V21" i="32"/>
  <c r="V13" i="32"/>
  <c r="E12" i="32"/>
  <c r="E8" i="32"/>
  <c r="E31" i="32" s="1"/>
  <c r="E7" i="32"/>
  <c r="T23" i="32"/>
  <c r="T3" i="32"/>
  <c r="T11" i="32"/>
  <c r="G11" i="32"/>
  <c r="G26" i="32"/>
  <c r="T12" i="32"/>
  <c r="R27" i="32"/>
  <c r="R5" i="32"/>
  <c r="T7" i="32"/>
  <c r="R15" i="32"/>
  <c r="G4" i="32"/>
  <c r="R3" i="32"/>
  <c r="T6" i="32"/>
  <c r="R9" i="32"/>
  <c r="T13" i="32"/>
  <c r="R18" i="32"/>
  <c r="R32" i="32" s="1"/>
  <c r="R6" i="32"/>
  <c r="R13" i="32"/>
  <c r="R16" i="32"/>
  <c r="R17" i="32"/>
  <c r="V52" i="32" a="1"/>
  <c r="N52" i="32" a="1"/>
  <c r="M52" i="32" a="1"/>
  <c r="AP52" i="32" a="1"/>
  <c r="AC52" i="32" a="1"/>
  <c r="AL52" i="32" a="1"/>
  <c r="O52" i="32" a="1"/>
  <c r="P52" i="32" a="1"/>
  <c r="W52" i="32" a="1"/>
  <c r="U52" i="32" a="1"/>
  <c r="L52" i="32" a="1"/>
  <c r="T52" i="32" a="1"/>
  <c r="AI52" i="32" a="1"/>
  <c r="AT52" i="32" a="1"/>
  <c r="AQ52" i="32" a="1"/>
  <c r="K52" i="32" a="1"/>
  <c r="AG52" i="32" a="1"/>
  <c r="AF52" i="32" a="1"/>
  <c r="AE52" i="32" a="1"/>
  <c r="Y52" i="32" a="1"/>
  <c r="H52" i="32" a="1"/>
  <c r="C52" i="32" a="1"/>
  <c r="S52" i="32" a="1"/>
  <c r="AS52" i="32" a="1"/>
  <c r="AJ52" i="32" a="1"/>
  <c r="Q52" i="32" a="1"/>
  <c r="AN52" i="32" a="1"/>
  <c r="AO52" i="32" a="1"/>
  <c r="AD52" i="32" a="1"/>
  <c r="AH52" i="32" a="1"/>
  <c r="I52" i="32" a="1"/>
  <c r="R52" i="32" a="1"/>
  <c r="X52" i="32" a="1"/>
  <c r="AK52" i="32" a="1"/>
  <c r="AU52" i="32" a="1"/>
  <c r="AB52" i="32" a="1"/>
  <c r="J52" i="32" a="1"/>
  <c r="AR52" i="32" a="1"/>
  <c r="D52" i="32" a="1"/>
  <c r="AM52" i="32" a="1"/>
  <c r="BM51" i="32" l="1"/>
  <c r="BP51" i="32"/>
  <c r="BD51" i="32"/>
  <c r="BH51" i="32"/>
  <c r="BQ51" i="32"/>
  <c r="AR52" i="32"/>
  <c r="AN52" i="32"/>
  <c r="AJ52" i="32"/>
  <c r="AT52" i="32"/>
  <c r="AC52" i="32"/>
  <c r="AU52" i="32"/>
  <c r="AM52" i="32"/>
  <c r="AE52" i="32"/>
  <c r="AH52" i="32"/>
  <c r="AG52" i="32"/>
  <c r="AQ52" i="32"/>
  <c r="AI52" i="32"/>
  <c r="AP52" i="32"/>
  <c r="AK52" i="32"/>
  <c r="AD52" i="32"/>
  <c r="AO52" i="32"/>
  <c r="AF52" i="32"/>
  <c r="AL52" i="32"/>
  <c r="AS52" i="32"/>
  <c r="T52" i="32"/>
  <c r="M52" i="32"/>
  <c r="X52" i="32"/>
  <c r="BP52" i="32" s="1"/>
  <c r="W52" i="32"/>
  <c r="D52" i="32"/>
  <c r="BE52" i="32" s="1"/>
  <c r="O52" i="32"/>
  <c r="K52" i="32"/>
  <c r="S52" i="32"/>
  <c r="L52" i="32"/>
  <c r="N52" i="32"/>
  <c r="R52" i="32"/>
  <c r="BJ52" i="32" s="1"/>
  <c r="Y52" i="32"/>
  <c r="BQ52" i="32" s="1"/>
  <c r="P52" i="32"/>
  <c r="BH52" i="32" s="1"/>
  <c r="J52" i="32"/>
  <c r="Q52" i="32"/>
  <c r="C52" i="32"/>
  <c r="U52" i="32"/>
  <c r="V52" i="32"/>
  <c r="BN52" i="32"/>
  <c r="BM52" i="32"/>
  <c r="BJ51" i="32"/>
  <c r="BK51" i="32"/>
  <c r="BF51" i="32"/>
  <c r="BG51" i="32"/>
  <c r="BI51" i="32"/>
  <c r="AB52" i="32"/>
  <c r="I52" i="32"/>
  <c r="H52" i="32"/>
  <c r="AX52" i="32" s="1"/>
  <c r="AZ51" i="32"/>
  <c r="BC51" i="32"/>
  <c r="AX51" i="32"/>
  <c r="BA51" i="32"/>
  <c r="BE51" i="32"/>
  <c r="BB51" i="32"/>
  <c r="G53" i="32"/>
  <c r="AY51" i="32"/>
  <c r="C53" i="32" a="1"/>
  <c r="R53" i="32" a="1"/>
  <c r="AH53" i="32" a="1"/>
  <c r="AJ53" i="32" a="1"/>
  <c r="AS53" i="32" a="1"/>
  <c r="AR53" i="32" a="1"/>
  <c r="H53" i="32" a="1"/>
  <c r="AI53" i="32" a="1"/>
  <c r="P53" i="32" a="1"/>
  <c r="AN53" i="32" a="1"/>
  <c r="AM53" i="32" a="1"/>
  <c r="U53" i="32" a="1"/>
  <c r="W53" i="32" a="1"/>
  <c r="AU53" i="32" a="1"/>
  <c r="I53" i="32" a="1"/>
  <c r="S53" i="32" a="1"/>
  <c r="AQ53" i="32" a="1"/>
  <c r="J53" i="32" a="1"/>
  <c r="AC53" i="32" a="1"/>
  <c r="K53" i="32" a="1"/>
  <c r="V53" i="32" a="1"/>
  <c r="AK53" i="32" a="1"/>
  <c r="L53" i="32" a="1"/>
  <c r="T53" i="32" a="1"/>
  <c r="AD53" i="32" a="1"/>
  <c r="AP53" i="32" a="1"/>
  <c r="M53" i="32" a="1"/>
  <c r="AB53" i="32" a="1"/>
  <c r="X53" i="32" a="1"/>
  <c r="Y53" i="32" a="1"/>
  <c r="AT53" i="32" a="1"/>
  <c r="D53" i="32" a="1"/>
  <c r="O53" i="32" a="1"/>
  <c r="AL53" i="32" a="1"/>
  <c r="AE53" i="32" a="1"/>
  <c r="AO53" i="32" a="1"/>
  <c r="AF53" i="32" a="1"/>
  <c r="Q53" i="32" a="1"/>
  <c r="AG53" i="32" a="1"/>
  <c r="N53" i="32" a="1"/>
  <c r="BO52" i="32" l="1"/>
  <c r="BF52" i="32"/>
  <c r="BG52" i="32"/>
  <c r="BB52" i="32"/>
  <c r="AS53" i="32"/>
  <c r="AO53" i="32"/>
  <c r="AK53" i="32"/>
  <c r="AG53" i="32"/>
  <c r="AC53" i="32"/>
  <c r="AQ53" i="32"/>
  <c r="AP53" i="32"/>
  <c r="AR53" i="32"/>
  <c r="AJ53" i="32"/>
  <c r="AE53" i="32"/>
  <c r="AT53" i="32"/>
  <c r="AN53" i="32"/>
  <c r="AF53" i="32"/>
  <c r="AI53" i="32"/>
  <c r="AD53" i="32"/>
  <c r="AU53" i="32"/>
  <c r="AH53" i="32"/>
  <c r="AL53" i="32"/>
  <c r="AM53" i="32"/>
  <c r="Y53" i="32"/>
  <c r="BQ53" i="32" s="1"/>
  <c r="P53" i="32"/>
  <c r="M53" i="32"/>
  <c r="T53" i="32"/>
  <c r="W53" i="32"/>
  <c r="R53" i="32"/>
  <c r="BJ53" i="32" s="1"/>
  <c r="O53" i="32"/>
  <c r="N53" i="32"/>
  <c r="K53" i="32"/>
  <c r="X53" i="32"/>
  <c r="S53" i="32"/>
  <c r="L53" i="32"/>
  <c r="U53" i="32"/>
  <c r="C53" i="32"/>
  <c r="D53" i="32"/>
  <c r="V53" i="32"/>
  <c r="Q53" i="32"/>
  <c r="J53" i="32"/>
  <c r="BL52" i="32"/>
  <c r="BK52" i="32"/>
  <c r="AY52" i="32"/>
  <c r="BI52" i="32"/>
  <c r="AB53" i="32"/>
  <c r="I53" i="32"/>
  <c r="H53" i="32"/>
  <c r="G54" i="32"/>
  <c r="AZ52" i="32"/>
  <c r="BD52" i="32"/>
  <c r="BC52" i="32"/>
  <c r="BA52" i="32"/>
  <c r="J54" i="32" a="1"/>
  <c r="X54" i="32" a="1"/>
  <c r="AN54" i="32" a="1"/>
  <c r="AS54" i="32" a="1"/>
  <c r="AP54" i="32" a="1"/>
  <c r="AT54" i="32" a="1"/>
  <c r="AG54" i="32" a="1"/>
  <c r="M54" i="32" a="1"/>
  <c r="U54" i="32" a="1"/>
  <c r="H54" i="32" a="1"/>
  <c r="AF54" i="32" a="1"/>
  <c r="L54" i="32" a="1"/>
  <c r="D54" i="32" a="1"/>
  <c r="N54" i="32" a="1"/>
  <c r="AQ54" i="32" a="1"/>
  <c r="AJ54" i="32" a="1"/>
  <c r="C54" i="32" a="1"/>
  <c r="AO54" i="32" a="1"/>
  <c r="T54" i="32" a="1"/>
  <c r="AR54" i="32" a="1"/>
  <c r="P54" i="32" a="1"/>
  <c r="AC54" i="32" a="1"/>
  <c r="W54" i="32" a="1"/>
  <c r="S54" i="32" a="1"/>
  <c r="AM54" i="32" a="1"/>
  <c r="I54" i="32" a="1"/>
  <c r="AU54" i="32" a="1"/>
  <c r="AB54" i="32" a="1"/>
  <c r="AE54" i="32" a="1"/>
  <c r="Q54" i="32" a="1"/>
  <c r="AD54" i="32" a="1"/>
  <c r="R54" i="32" a="1"/>
  <c r="AH54" i="32" a="1"/>
  <c r="V54" i="32" a="1"/>
  <c r="O54" i="32" a="1"/>
  <c r="AI54" i="32" a="1"/>
  <c r="AK54" i="32" a="1"/>
  <c r="AL54" i="32" a="1"/>
  <c r="K54" i="32" a="1"/>
  <c r="Y54" i="32" a="1"/>
  <c r="BP53" i="32" l="1"/>
  <c r="BN53" i="32"/>
  <c r="BM53" i="32"/>
  <c r="BO53" i="32"/>
  <c r="BL53" i="32"/>
  <c r="AT54" i="32"/>
  <c r="AP54" i="32"/>
  <c r="AL54" i="32"/>
  <c r="AH54" i="32"/>
  <c r="AD54" i="32"/>
  <c r="AR54" i="32"/>
  <c r="AO54" i="32"/>
  <c r="AG54" i="32"/>
  <c r="AJ54" i="32"/>
  <c r="AS54" i="32"/>
  <c r="AK54" i="32"/>
  <c r="AC54" i="32"/>
  <c r="AF54" i="32"/>
  <c r="AE54" i="32"/>
  <c r="AU54" i="32"/>
  <c r="AM54" i="32"/>
  <c r="AQ54" i="32"/>
  <c r="AN54" i="32"/>
  <c r="AI54" i="32"/>
  <c r="Y54" i="32"/>
  <c r="BQ54" i="32" s="1"/>
  <c r="P54" i="32"/>
  <c r="T54" i="32"/>
  <c r="M54" i="32"/>
  <c r="S54" i="32"/>
  <c r="N54" i="32"/>
  <c r="X54" i="32"/>
  <c r="O54" i="32"/>
  <c r="BG54" i="32" s="1"/>
  <c r="L54" i="32"/>
  <c r="K54" i="32"/>
  <c r="U54" i="32"/>
  <c r="BM54" i="32" s="1"/>
  <c r="C54" i="32"/>
  <c r="W54" i="32"/>
  <c r="D54" i="32"/>
  <c r="BE54" i="32" s="1"/>
  <c r="J54" i="32"/>
  <c r="V54" i="32"/>
  <c r="BN54" i="32" s="1"/>
  <c r="R54" i="32"/>
  <c r="Q54" i="32"/>
  <c r="BK53" i="32"/>
  <c r="BF53" i="32"/>
  <c r="BC53" i="32"/>
  <c r="BG53" i="32"/>
  <c r="BH53" i="32"/>
  <c r="BH54" i="32"/>
  <c r="BI53" i="32"/>
  <c r="AZ53" i="32"/>
  <c r="AB54" i="32"/>
  <c r="I54" i="32"/>
  <c r="AY54" i="32" s="1"/>
  <c r="H54" i="32"/>
  <c r="BB53" i="32"/>
  <c r="G55" i="32"/>
  <c r="BA53" i="32"/>
  <c r="BE53" i="32"/>
  <c r="AX53" i="32"/>
  <c r="BD53" i="32"/>
  <c r="AY53" i="32"/>
  <c r="J55" i="32" a="1"/>
  <c r="W55" i="32" a="1"/>
  <c r="AK55" i="32" a="1"/>
  <c r="AD55" i="32" a="1"/>
  <c r="AU55" i="32" a="1"/>
  <c r="I55" i="32" a="1"/>
  <c r="H55" i="32" a="1"/>
  <c r="Y55" i="32" a="1"/>
  <c r="AB55" i="32" a="1"/>
  <c r="R55" i="32" a="1"/>
  <c r="U55" i="32" a="1"/>
  <c r="S55" i="32" a="1"/>
  <c r="Q55" i="32" a="1"/>
  <c r="X55" i="32" a="1"/>
  <c r="AN55" i="32" a="1"/>
  <c r="AL55" i="32" a="1"/>
  <c r="AH55" i="32" a="1"/>
  <c r="O55" i="32" a="1"/>
  <c r="AE55" i="32" a="1"/>
  <c r="V55" i="32" a="1"/>
  <c r="AI55" i="32" a="1"/>
  <c r="K55" i="32" a="1"/>
  <c r="AM55" i="32" a="1"/>
  <c r="N55" i="32" a="1"/>
  <c r="P55" i="32" a="1"/>
  <c r="AC55" i="32" a="1"/>
  <c r="AJ55" i="32" a="1"/>
  <c r="L55" i="32" a="1"/>
  <c r="AS55" i="32" a="1"/>
  <c r="C55" i="32" a="1"/>
  <c r="T55" i="32" a="1"/>
  <c r="AR55" i="32" a="1"/>
  <c r="D55" i="32" a="1"/>
  <c r="M55" i="32" a="1"/>
  <c r="AO55" i="32" a="1"/>
  <c r="AG55" i="32" a="1"/>
  <c r="AQ55" i="32" a="1"/>
  <c r="AP55" i="32" a="1"/>
  <c r="AT55" i="32" a="1"/>
  <c r="AF55" i="32" a="1"/>
  <c r="BO54" i="32" l="1"/>
  <c r="BP54" i="32"/>
  <c r="AU55" i="32"/>
  <c r="AQ55" i="32"/>
  <c r="AM55" i="32"/>
  <c r="AI55" i="32"/>
  <c r="AE55" i="32"/>
  <c r="AS55" i="32"/>
  <c r="AJ55" i="32"/>
  <c r="AL55" i="32"/>
  <c r="AD55" i="32"/>
  <c r="AG55" i="32"/>
  <c r="AF55" i="32"/>
  <c r="AT55" i="32"/>
  <c r="AP55" i="32"/>
  <c r="AH55" i="32"/>
  <c r="AC55" i="32"/>
  <c r="AN55" i="32"/>
  <c r="AK55" i="32"/>
  <c r="AO55" i="32"/>
  <c r="AR55" i="32"/>
  <c r="U55" i="32"/>
  <c r="C55" i="32"/>
  <c r="Y55" i="32"/>
  <c r="BQ55" i="32" s="1"/>
  <c r="P55" i="32"/>
  <c r="BH55" i="32" s="1"/>
  <c r="X55" i="32"/>
  <c r="BP55" i="32" s="1"/>
  <c r="W55" i="32"/>
  <c r="M55" i="32"/>
  <c r="S55" i="32"/>
  <c r="T55" i="32"/>
  <c r="O55" i="32"/>
  <c r="L55" i="32"/>
  <c r="N55" i="32"/>
  <c r="Q55" i="32"/>
  <c r="J55" i="32"/>
  <c r="D55" i="32"/>
  <c r="K55" i="32"/>
  <c r="V55" i="32"/>
  <c r="BN55" i="32" s="1"/>
  <c r="R55" i="32"/>
  <c r="BJ55" i="32" s="1"/>
  <c r="BO55" i="32"/>
  <c r="BL54" i="32"/>
  <c r="BK54" i="32"/>
  <c r="BJ54" i="32"/>
  <c r="BD54" i="32"/>
  <c r="BB54" i="32"/>
  <c r="BF54" i="32"/>
  <c r="BI54" i="32"/>
  <c r="AB55" i="32"/>
  <c r="I55" i="32"/>
  <c r="H55" i="32"/>
  <c r="AX55" i="32" s="1"/>
  <c r="G56" i="32"/>
  <c r="AX54" i="32"/>
  <c r="BA54" i="32"/>
  <c r="AZ54" i="32"/>
  <c r="BC54" i="32"/>
  <c r="K56" i="32" a="1"/>
  <c r="O56" i="32" a="1"/>
  <c r="U56" i="32" a="1"/>
  <c r="AI56" i="32" a="1"/>
  <c r="AF56" i="32" a="1"/>
  <c r="AK56" i="32" a="1"/>
  <c r="S56" i="32" a="1"/>
  <c r="AB56" i="32" a="1"/>
  <c r="AH56" i="32" a="1"/>
  <c r="AD56" i="32" a="1"/>
  <c r="W56" i="32" a="1"/>
  <c r="M56" i="32" a="1"/>
  <c r="AL56" i="32" a="1"/>
  <c r="AM56" i="32" a="1"/>
  <c r="AJ56" i="32" a="1"/>
  <c r="N56" i="32" a="1"/>
  <c r="AU56" i="32" a="1"/>
  <c r="X56" i="32" a="1"/>
  <c r="AS56" i="32" a="1"/>
  <c r="Y56" i="32" a="1"/>
  <c r="D56" i="32" a="1"/>
  <c r="T56" i="32" a="1"/>
  <c r="AG56" i="32" a="1"/>
  <c r="AQ56" i="32" a="1"/>
  <c r="AN56" i="32" a="1"/>
  <c r="L56" i="32" a="1"/>
  <c r="AR56" i="32" a="1"/>
  <c r="AC56" i="32" a="1"/>
  <c r="P56" i="32" a="1"/>
  <c r="I56" i="32" a="1"/>
  <c r="Q56" i="32" a="1"/>
  <c r="H56" i="32" a="1"/>
  <c r="R56" i="32" a="1"/>
  <c r="V56" i="32" a="1"/>
  <c r="C56" i="32" a="1"/>
  <c r="AT56" i="32" a="1"/>
  <c r="AP56" i="32" a="1"/>
  <c r="AO56" i="32" a="1"/>
  <c r="J56" i="32" a="1"/>
  <c r="AE56" i="32" a="1"/>
  <c r="BD55" i="32" l="1"/>
  <c r="BM55" i="32"/>
  <c r="AR56" i="32"/>
  <c r="AN56" i="32"/>
  <c r="AJ56" i="32"/>
  <c r="AF56" i="32"/>
  <c r="AP56" i="32"/>
  <c r="AE56" i="32"/>
  <c r="AH56" i="32"/>
  <c r="AO56" i="32"/>
  <c r="AU56" i="32"/>
  <c r="AQ56" i="32"/>
  <c r="AM56" i="32"/>
  <c r="AI56" i="32"/>
  <c r="AT56" i="32"/>
  <c r="AD56" i="32"/>
  <c r="AS56" i="32"/>
  <c r="AC56" i="32"/>
  <c r="AK56" i="32"/>
  <c r="AG56" i="32"/>
  <c r="AL56" i="32"/>
  <c r="U56" i="32"/>
  <c r="C56" i="32"/>
  <c r="BD56" i="32" s="1"/>
  <c r="Y56" i="32"/>
  <c r="BQ56" i="32" s="1"/>
  <c r="P56" i="32"/>
  <c r="BH56" i="32" s="1"/>
  <c r="X56" i="32"/>
  <c r="BP56" i="32" s="1"/>
  <c r="L56" i="32"/>
  <c r="T56" i="32"/>
  <c r="M56" i="32"/>
  <c r="O56" i="32"/>
  <c r="BG56" i="32" s="1"/>
  <c r="V56" i="32"/>
  <c r="BN56" i="32" s="1"/>
  <c r="Q56" i="32"/>
  <c r="J56" i="32"/>
  <c r="S56" i="32"/>
  <c r="N56" i="32"/>
  <c r="BF56" i="32" s="1"/>
  <c r="D56" i="32"/>
  <c r="BE56" i="32" s="1"/>
  <c r="W56" i="32"/>
  <c r="K56" i="32"/>
  <c r="R56" i="32"/>
  <c r="BL55" i="32"/>
  <c r="BK55" i="32"/>
  <c r="BF55" i="32"/>
  <c r="BG55" i="32"/>
  <c r="BA55" i="32"/>
  <c r="BI55" i="32"/>
  <c r="AZ55" i="32"/>
  <c r="AB56" i="32"/>
  <c r="I56" i="32"/>
  <c r="AY56" i="32" s="1"/>
  <c r="H56" i="32"/>
  <c r="AX56" i="32" s="1"/>
  <c r="G57" i="32"/>
  <c r="BC55" i="32"/>
  <c r="BE55" i="32"/>
  <c r="BB55" i="32"/>
  <c r="AY55" i="32"/>
  <c r="W57" i="32" a="1"/>
  <c r="P57" i="32" a="1"/>
  <c r="Q57" i="32" a="1"/>
  <c r="AJ57" i="32" a="1"/>
  <c r="AG57" i="32" a="1"/>
  <c r="AN57" i="32" a="1"/>
  <c r="AO57" i="32" a="1"/>
  <c r="AT57" i="32" a="1"/>
  <c r="D57" i="32" a="1"/>
  <c r="L57" i="32" a="1"/>
  <c r="AQ57" i="32" a="1"/>
  <c r="K57" i="32" a="1"/>
  <c r="Y57" i="32" a="1"/>
  <c r="AH57" i="32" a="1"/>
  <c r="AK57" i="32" a="1"/>
  <c r="C57" i="32" a="1"/>
  <c r="AE57" i="32" a="1"/>
  <c r="V57" i="32" a="1"/>
  <c r="AB57" i="32" a="1"/>
  <c r="O57" i="32" a="1"/>
  <c r="N57" i="32" a="1"/>
  <c r="S57" i="32" a="1"/>
  <c r="AM57" i="32" a="1"/>
  <c r="AR57" i="32" a="1"/>
  <c r="X57" i="32" a="1"/>
  <c r="AP57" i="32" a="1"/>
  <c r="U57" i="32" a="1"/>
  <c r="I57" i="32" a="1"/>
  <c r="AL57" i="32" a="1"/>
  <c r="AU57" i="32" a="1"/>
  <c r="R57" i="32" a="1"/>
  <c r="M57" i="32" a="1"/>
  <c r="J57" i="32" a="1"/>
  <c r="AF57" i="32" a="1"/>
  <c r="AC57" i="32" a="1"/>
  <c r="AS57" i="32" a="1"/>
  <c r="AI57" i="32" a="1"/>
  <c r="AD57" i="32" a="1"/>
  <c r="T57" i="32" a="1"/>
  <c r="H57" i="32" a="1"/>
  <c r="BM56" i="32" l="1"/>
  <c r="BO56" i="32"/>
  <c r="AS57" i="32"/>
  <c r="AO57" i="32"/>
  <c r="AK57" i="32"/>
  <c r="AG57" i="32"/>
  <c r="AC57" i="32"/>
  <c r="AQ57" i="32"/>
  <c r="AD57" i="32"/>
  <c r="AE57" i="32"/>
  <c r="AP57" i="32"/>
  <c r="AR57" i="32"/>
  <c r="AN57" i="32"/>
  <c r="AJ57" i="32"/>
  <c r="AF57" i="32"/>
  <c r="AU57" i="32"/>
  <c r="AL57" i="32"/>
  <c r="AI57" i="32"/>
  <c r="AT57" i="32"/>
  <c r="AM57" i="32"/>
  <c r="AH57" i="32"/>
  <c r="Q57" i="32"/>
  <c r="J57" i="32"/>
  <c r="AZ57" i="32" s="1"/>
  <c r="O57" i="32"/>
  <c r="L57" i="32"/>
  <c r="U57" i="32"/>
  <c r="BM57" i="32" s="1"/>
  <c r="C57" i="32"/>
  <c r="BD57" i="32" s="1"/>
  <c r="S57" i="32"/>
  <c r="Y57" i="32"/>
  <c r="BQ57" i="32" s="1"/>
  <c r="P57" i="32"/>
  <c r="BH57" i="32" s="1"/>
  <c r="M57" i="32"/>
  <c r="BC57" i="32" s="1"/>
  <c r="T57" i="32"/>
  <c r="BL57" i="32" s="1"/>
  <c r="V57" i="32"/>
  <c r="BN57" i="32" s="1"/>
  <c r="D57" i="32"/>
  <c r="X57" i="32"/>
  <c r="BP57" i="32" s="1"/>
  <c r="N57" i="32"/>
  <c r="K57" i="32"/>
  <c r="W57" i="32"/>
  <c r="BO57" i="32" s="1"/>
  <c r="R57" i="32"/>
  <c r="BL56" i="32"/>
  <c r="BJ56" i="32"/>
  <c r="BK56" i="32"/>
  <c r="BI56" i="32"/>
  <c r="AB57" i="32"/>
  <c r="I57" i="32"/>
  <c r="H57" i="32"/>
  <c r="G58" i="32"/>
  <c r="BC56" i="32"/>
  <c r="BB56" i="32"/>
  <c r="BA56" i="32"/>
  <c r="AZ56" i="32"/>
  <c r="K58" i="32" a="1"/>
  <c r="C58" i="32" a="1"/>
  <c r="AM58" i="32" a="1"/>
  <c r="AS58" i="32" a="1"/>
  <c r="AT58" i="32" a="1"/>
  <c r="AF58" i="32" a="1"/>
  <c r="AI58" i="32" a="1"/>
  <c r="AN58" i="32" a="1"/>
  <c r="Q58" i="32" a="1"/>
  <c r="P58" i="32" a="1"/>
  <c r="AU58" i="32" a="1"/>
  <c r="D58" i="32" a="1"/>
  <c r="U58" i="32" a="1"/>
  <c r="AE58" i="32" a="1"/>
  <c r="H58" i="32" a="1"/>
  <c r="O58" i="32" a="1"/>
  <c r="AR58" i="32" a="1"/>
  <c r="X58" i="32" a="1"/>
  <c r="AD58" i="32" a="1"/>
  <c r="W58" i="32" a="1"/>
  <c r="AH58" i="32" a="1"/>
  <c r="AK58" i="32" a="1"/>
  <c r="R58" i="32" a="1"/>
  <c r="T58" i="32" a="1"/>
  <c r="AQ58" i="32" a="1"/>
  <c r="AB58" i="32" a="1"/>
  <c r="J58" i="32" a="1"/>
  <c r="I58" i="32" a="1"/>
  <c r="AC58" i="32" a="1"/>
  <c r="AG58" i="32" a="1"/>
  <c r="Y58" i="32" a="1"/>
  <c r="AL58" i="32" a="1"/>
  <c r="S58" i="32" a="1"/>
  <c r="M58" i="32" a="1"/>
  <c r="AJ58" i="32" a="1"/>
  <c r="AO58" i="32" a="1"/>
  <c r="AP58" i="32" a="1"/>
  <c r="L58" i="32" a="1"/>
  <c r="V58" i="32" a="1"/>
  <c r="N58" i="32" a="1"/>
  <c r="AT58" i="32" l="1"/>
  <c r="AP58" i="32"/>
  <c r="AL58" i="32"/>
  <c r="AH58" i="32"/>
  <c r="AD58" i="32"/>
  <c r="AR58" i="32"/>
  <c r="AI58" i="32"/>
  <c r="AF58" i="32"/>
  <c r="AS58" i="32"/>
  <c r="AO58" i="32"/>
  <c r="AK58" i="32"/>
  <c r="AG58" i="32"/>
  <c r="AC58" i="32"/>
  <c r="AN58" i="32"/>
  <c r="AQ58" i="32"/>
  <c r="AE58" i="32"/>
  <c r="AM58" i="32"/>
  <c r="AJ58" i="32"/>
  <c r="AU58" i="32"/>
  <c r="V58" i="32"/>
  <c r="Q58" i="32"/>
  <c r="BI58" i="32" s="1"/>
  <c r="J58" i="32"/>
  <c r="AZ58" i="32" s="1"/>
  <c r="T58" i="32"/>
  <c r="U58" i="32"/>
  <c r="BM58" i="32" s="1"/>
  <c r="C58" i="32"/>
  <c r="M58" i="32"/>
  <c r="BC58" i="32" s="1"/>
  <c r="Y58" i="32"/>
  <c r="BQ58" i="32" s="1"/>
  <c r="P58" i="32"/>
  <c r="BH58" i="32" s="1"/>
  <c r="X58" i="32"/>
  <c r="BP58" i="32" s="1"/>
  <c r="O58" i="32"/>
  <c r="BG58" i="32" s="1"/>
  <c r="R58" i="32"/>
  <c r="D58" i="32"/>
  <c r="BE58" i="32" s="1"/>
  <c r="K58" i="32"/>
  <c r="S58" i="32"/>
  <c r="N58" i="32"/>
  <c r="BF58" i="32" s="1"/>
  <c r="W58" i="32"/>
  <c r="BO58" i="32" s="1"/>
  <c r="L58" i="32"/>
  <c r="BB58" i="32" s="1"/>
  <c r="BN58" i="32"/>
  <c r="BJ57" i="32"/>
  <c r="BK57" i="32"/>
  <c r="BG57" i="32"/>
  <c r="BF57" i="32"/>
  <c r="BI57" i="32"/>
  <c r="AB58" i="32"/>
  <c r="BD58" i="32"/>
  <c r="I58" i="32"/>
  <c r="AY58" i="32" s="1"/>
  <c r="H58" i="32"/>
  <c r="AX58" i="32" s="1"/>
  <c r="BB57" i="32"/>
  <c r="AX57" i="32"/>
  <c r="AY57" i="32"/>
  <c r="G59" i="32"/>
  <c r="BE57" i="32"/>
  <c r="BA57" i="32"/>
  <c r="R59" i="32" a="1"/>
  <c r="Y59" i="32" a="1"/>
  <c r="AG59" i="32" a="1"/>
  <c r="AT59" i="32" a="1"/>
  <c r="AB59" i="32" a="1"/>
  <c r="U59" i="32" a="1"/>
  <c r="AE59" i="32" a="1"/>
  <c r="M59" i="32" a="1"/>
  <c r="AP59" i="32" a="1"/>
  <c r="T59" i="32" a="1"/>
  <c r="W59" i="32" a="1"/>
  <c r="P59" i="32" a="1"/>
  <c r="D59" i="32" a="1"/>
  <c r="AH59" i="32" a="1"/>
  <c r="AU59" i="32" a="1"/>
  <c r="AJ59" i="32" a="1"/>
  <c r="AO59" i="32" a="1"/>
  <c r="AN59" i="32" a="1"/>
  <c r="O59" i="32" a="1"/>
  <c r="I59" i="32" a="1"/>
  <c r="AR59" i="32" a="1"/>
  <c r="L59" i="32" a="1"/>
  <c r="C59" i="32" a="1"/>
  <c r="V59" i="32" a="1"/>
  <c r="AD59" i="32" a="1"/>
  <c r="AQ59" i="32" a="1"/>
  <c r="S59" i="32" a="1"/>
  <c r="AM59" i="32" a="1"/>
  <c r="X59" i="32" a="1"/>
  <c r="AK59" i="32" a="1"/>
  <c r="AI59" i="32" a="1"/>
  <c r="AF59" i="32" a="1"/>
  <c r="H59" i="32" a="1"/>
  <c r="N59" i="32" a="1"/>
  <c r="J59" i="32" a="1"/>
  <c r="AC59" i="32" a="1"/>
  <c r="AL59" i="32" a="1"/>
  <c r="AS59" i="32" a="1"/>
  <c r="Q59" i="32" a="1"/>
  <c r="K59" i="32" a="1"/>
  <c r="AS59" i="32" l="1"/>
  <c r="AN59" i="32"/>
  <c r="AE59" i="32"/>
  <c r="AQ59" i="32"/>
  <c r="AU59" i="32"/>
  <c r="AT59" i="32"/>
  <c r="AR59" i="32"/>
  <c r="AI59" i="32"/>
  <c r="AL59" i="32"/>
  <c r="AK59" i="32"/>
  <c r="AM59" i="32"/>
  <c r="AD59" i="32"/>
  <c r="AH59" i="32"/>
  <c r="AG59" i="32"/>
  <c r="AF59" i="32"/>
  <c r="AP59" i="32"/>
  <c r="AC59" i="32"/>
  <c r="AO59" i="32"/>
  <c r="AJ59" i="32"/>
  <c r="V59" i="32"/>
  <c r="D59" i="32"/>
  <c r="Y59" i="32"/>
  <c r="BQ59" i="32" s="1"/>
  <c r="T59" i="32"/>
  <c r="BL59" i="32" s="1"/>
  <c r="Q59" i="32"/>
  <c r="BI59" i="32" s="1"/>
  <c r="J59" i="32"/>
  <c r="AZ59" i="32" s="1"/>
  <c r="M59" i="32"/>
  <c r="BC59" i="32" s="1"/>
  <c r="U59" i="32"/>
  <c r="BM59" i="32" s="1"/>
  <c r="C59" i="32"/>
  <c r="P59" i="32"/>
  <c r="BH59" i="32" s="1"/>
  <c r="R59" i="32"/>
  <c r="BJ59" i="32" s="1"/>
  <c r="K59" i="32"/>
  <c r="BA59" i="32" s="1"/>
  <c r="O59" i="32"/>
  <c r="BG59" i="32" s="1"/>
  <c r="N59" i="32"/>
  <c r="BF59" i="32" s="1"/>
  <c r="X59" i="32"/>
  <c r="BP59" i="32" s="1"/>
  <c r="S59" i="32"/>
  <c r="L59" i="32"/>
  <c r="W59" i="32"/>
  <c r="BO59" i="32"/>
  <c r="BN59" i="32"/>
  <c r="BJ58" i="32"/>
  <c r="BL58" i="32"/>
  <c r="BK58" i="32"/>
  <c r="AB59" i="32"/>
  <c r="BD59" i="32"/>
  <c r="I59" i="32"/>
  <c r="H59" i="32"/>
  <c r="AX59" i="32" s="1"/>
  <c r="BA58" i="32"/>
  <c r="G60" i="32"/>
  <c r="W60" i="32" a="1"/>
  <c r="V60" i="32" a="1"/>
  <c r="AO60" i="32" a="1"/>
  <c r="AH60" i="32" a="1"/>
  <c r="AB60" i="32" a="1"/>
  <c r="AQ60" i="32" a="1"/>
  <c r="R60" i="32" a="1"/>
  <c r="X60" i="32" a="1"/>
  <c r="AR60" i="32" a="1"/>
  <c r="AK60" i="32" a="1"/>
  <c r="K60" i="32" a="1"/>
  <c r="AS60" i="32" a="1"/>
  <c r="M60" i="32" a="1"/>
  <c r="Y60" i="32" a="1"/>
  <c r="AF60" i="32" a="1"/>
  <c r="H60" i="32" a="1"/>
  <c r="U60" i="32" a="1"/>
  <c r="AM60" i="32" a="1"/>
  <c r="AG60" i="32" a="1"/>
  <c r="O60" i="32" a="1"/>
  <c r="AI60" i="32" a="1"/>
  <c r="AN60" i="32" a="1"/>
  <c r="S60" i="32" a="1"/>
  <c r="C60" i="32" a="1"/>
  <c r="D60" i="32" a="1"/>
  <c r="AP60" i="32" a="1"/>
  <c r="AD60" i="32" a="1"/>
  <c r="L60" i="32" a="1"/>
  <c r="AU60" i="32" a="1"/>
  <c r="T60" i="32" a="1"/>
  <c r="AJ60" i="32" a="1"/>
  <c r="AE60" i="32" a="1"/>
  <c r="J60" i="32" a="1"/>
  <c r="N60" i="32" a="1"/>
  <c r="Q60" i="32" a="1"/>
  <c r="AT60" i="32" a="1"/>
  <c r="AC60" i="32" a="1"/>
  <c r="I60" i="32" a="1"/>
  <c r="P60" i="32" a="1"/>
  <c r="AL60" i="32" a="1"/>
  <c r="AS60" i="32" l="1"/>
  <c r="AI60" i="32"/>
  <c r="AR60" i="32"/>
  <c r="AM60" i="32"/>
  <c r="AD60" i="32"/>
  <c r="AQ60" i="32"/>
  <c r="AH60" i="32"/>
  <c r="AC60" i="32"/>
  <c r="AL60" i="32"/>
  <c r="AK60" i="32"/>
  <c r="AJ60" i="32"/>
  <c r="AU60" i="32"/>
  <c r="AP60" i="32"/>
  <c r="AF60" i="32"/>
  <c r="AO60" i="32"/>
  <c r="AT60" i="32"/>
  <c r="AN60" i="32"/>
  <c r="AE60" i="32"/>
  <c r="AG60" i="32"/>
  <c r="R60" i="32"/>
  <c r="BJ60" i="32" s="1"/>
  <c r="D60" i="32"/>
  <c r="BE60" i="32" s="1"/>
  <c r="Y60" i="32"/>
  <c r="BQ60" i="32" s="1"/>
  <c r="V60" i="32"/>
  <c r="BN60" i="32" s="1"/>
  <c r="Q60" i="32"/>
  <c r="BI60" i="32" s="1"/>
  <c r="J60" i="32"/>
  <c r="AZ60" i="32" s="1"/>
  <c r="P60" i="32"/>
  <c r="BH60" i="32" s="1"/>
  <c r="T60" i="32"/>
  <c r="BL60" i="32" s="1"/>
  <c r="U60" i="32"/>
  <c r="BM60" i="32" s="1"/>
  <c r="C60" i="32"/>
  <c r="BD60" i="32" s="1"/>
  <c r="M60" i="32"/>
  <c r="BC60" i="32" s="1"/>
  <c r="W60" i="32"/>
  <c r="BO60" i="32" s="1"/>
  <c r="N60" i="32"/>
  <c r="BF60" i="32" s="1"/>
  <c r="K60" i="32"/>
  <c r="BA60" i="32" s="1"/>
  <c r="O60" i="32"/>
  <c r="BG60" i="32" s="1"/>
  <c r="X60" i="32"/>
  <c r="L60" i="32"/>
  <c r="BB60" i="32" s="1"/>
  <c r="S60" i="32"/>
  <c r="BK60" i="32" s="1"/>
  <c r="BP60" i="32"/>
  <c r="BK59" i="32"/>
  <c r="AB60" i="32"/>
  <c r="I60" i="32"/>
  <c r="AY60" i="32" s="1"/>
  <c r="H60" i="32"/>
  <c r="AX60" i="32" s="1"/>
  <c r="G61" i="32"/>
  <c r="BE59" i="32"/>
  <c r="BB59" i="32"/>
  <c r="AY59" i="32"/>
  <c r="P61" i="32" a="1"/>
  <c r="M61" i="32" a="1"/>
  <c r="AG61" i="32" a="1"/>
  <c r="AE61" i="32" a="1"/>
  <c r="AB61" i="32" a="1"/>
  <c r="Q61" i="32" a="1"/>
  <c r="AS61" i="32" a="1"/>
  <c r="AD61" i="32" a="1"/>
  <c r="AT61" i="32" a="1"/>
  <c r="S61" i="32" a="1"/>
  <c r="U61" i="32" a="1"/>
  <c r="K61" i="32" a="1"/>
  <c r="AM61" i="32" a="1"/>
  <c r="AJ61" i="32" a="1"/>
  <c r="AH61" i="32" a="1"/>
  <c r="AU61" i="32" a="1"/>
  <c r="Y61" i="32" a="1"/>
  <c r="AI61" i="32" a="1"/>
  <c r="AQ61" i="32" a="1"/>
  <c r="T61" i="32" a="1"/>
  <c r="J61" i="32" a="1"/>
  <c r="R61" i="32" a="1"/>
  <c r="AR61" i="32" a="1"/>
  <c r="AO61" i="32" a="1"/>
  <c r="L61" i="32" a="1"/>
  <c r="AC61" i="32" a="1"/>
  <c r="X61" i="32" a="1"/>
  <c r="AL61" i="32" a="1"/>
  <c r="W61" i="32" a="1"/>
  <c r="O61" i="32" a="1"/>
  <c r="C61" i="32" a="1"/>
  <c r="AF61" i="32" a="1"/>
  <c r="AN61" i="32" a="1"/>
  <c r="AP61" i="32" a="1"/>
  <c r="N61" i="32" a="1"/>
  <c r="D61" i="32" a="1"/>
  <c r="AK61" i="32" a="1"/>
  <c r="I61" i="32" a="1"/>
  <c r="V61" i="32" a="1"/>
  <c r="H61" i="32" a="1"/>
  <c r="AP61" i="32" l="1"/>
  <c r="AI61" i="32"/>
  <c r="AU61" i="32"/>
  <c r="AO61" i="32"/>
  <c r="AJ61" i="32"/>
  <c r="AE61" i="32"/>
  <c r="AT61" i="32"/>
  <c r="AD61" i="32"/>
  <c r="AN61" i="32"/>
  <c r="AL61" i="32"/>
  <c r="AC61" i="32"/>
  <c r="AR61" i="32"/>
  <c r="AM61" i="32"/>
  <c r="AG61" i="32"/>
  <c r="AQ61" i="32"/>
  <c r="AK61" i="32"/>
  <c r="AF61" i="32"/>
  <c r="AS61" i="32"/>
  <c r="AH61" i="32"/>
  <c r="R61" i="32"/>
  <c r="BJ61" i="32" s="1"/>
  <c r="K61" i="32"/>
  <c r="BA61" i="32" s="1"/>
  <c r="M61" i="32"/>
  <c r="BC61" i="32" s="1"/>
  <c r="V61" i="32"/>
  <c r="BN61" i="32" s="1"/>
  <c r="D61" i="32"/>
  <c r="BE61" i="32" s="1"/>
  <c r="C61" i="32"/>
  <c r="BD61" i="32" s="1"/>
  <c r="Y61" i="32"/>
  <c r="BQ61" i="32" s="1"/>
  <c r="Q61" i="32"/>
  <c r="BI61" i="32" s="1"/>
  <c r="J61" i="32"/>
  <c r="AZ61" i="32" s="1"/>
  <c r="U61" i="32"/>
  <c r="BM61" i="32" s="1"/>
  <c r="P61" i="32"/>
  <c r="BH61" i="32" s="1"/>
  <c r="W61" i="32"/>
  <c r="BO61" i="32" s="1"/>
  <c r="N61" i="32"/>
  <c r="BF61" i="32" s="1"/>
  <c r="O61" i="32"/>
  <c r="BG61" i="32" s="1"/>
  <c r="X61" i="32"/>
  <c r="L61" i="32"/>
  <c r="BB61" i="32" s="1"/>
  <c r="T61" i="32"/>
  <c r="BL61" i="32" s="1"/>
  <c r="S61" i="32"/>
  <c r="BK61" i="32" s="1"/>
  <c r="BP61" i="32"/>
  <c r="AB61" i="32"/>
  <c r="I61" i="32"/>
  <c r="AY61" i="32" s="1"/>
  <c r="H61" i="32"/>
  <c r="AX61" i="32" s="1"/>
  <c r="G62" i="32"/>
  <c r="T62" i="32" a="1"/>
  <c r="D62" i="32" a="1"/>
  <c r="AC62" i="32" a="1"/>
  <c r="AU62" i="32" a="1"/>
  <c r="AK62" i="32" a="1"/>
  <c r="AS62" i="32" a="1"/>
  <c r="U62" i="32" a="1"/>
  <c r="AF62" i="32" a="1"/>
  <c r="W62" i="32" a="1"/>
  <c r="Q62" i="32" a="1"/>
  <c r="AL62" i="32" a="1"/>
  <c r="V62" i="32" a="1"/>
  <c r="AR62" i="32" a="1"/>
  <c r="L62" i="32" a="1"/>
  <c r="R62" i="32" a="1"/>
  <c r="AH62" i="32" a="1"/>
  <c r="AI62" i="32" a="1"/>
  <c r="AM62" i="32" a="1"/>
  <c r="H62" i="32" a="1"/>
  <c r="K62" i="32" a="1"/>
  <c r="AB62" i="32" a="1"/>
  <c r="AD62" i="32" a="1"/>
  <c r="M62" i="32" a="1"/>
  <c r="AJ62" i="32" a="1"/>
  <c r="X62" i="32" a="1"/>
  <c r="AO62" i="32" a="1"/>
  <c r="AP62" i="32" a="1"/>
  <c r="S62" i="32" a="1"/>
  <c r="C62" i="32" a="1"/>
  <c r="AN62" i="32" a="1"/>
  <c r="AE62" i="32" a="1"/>
  <c r="P62" i="32" a="1"/>
  <c r="AQ62" i="32" a="1"/>
  <c r="N62" i="32" a="1"/>
  <c r="I62" i="32" a="1"/>
  <c r="J62" i="32" a="1"/>
  <c r="AG62" i="32" a="1"/>
  <c r="Y62" i="32" a="1"/>
  <c r="O62" i="32" a="1"/>
  <c r="AT62" i="32" a="1"/>
  <c r="AM62" i="32" l="1"/>
  <c r="AK62" i="32"/>
  <c r="AR62" i="32"/>
  <c r="AL62" i="32"/>
  <c r="AG62" i="32"/>
  <c r="AF62" i="32"/>
  <c r="AQ62" i="32"/>
  <c r="AE62" i="32"/>
  <c r="AI62" i="32"/>
  <c r="AU62" i="32"/>
  <c r="AT62" i="32"/>
  <c r="AO62" i="32"/>
  <c r="AJ62" i="32"/>
  <c r="AD62" i="32"/>
  <c r="AS62" i="32"/>
  <c r="AN62" i="32"/>
  <c r="AH62" i="32"/>
  <c r="AC62" i="32"/>
  <c r="AP62" i="32"/>
  <c r="Y62" i="32"/>
  <c r="BQ62" i="32" s="1"/>
  <c r="W62" i="32"/>
  <c r="N62" i="32"/>
  <c r="BF62" i="32" s="1"/>
  <c r="K62" i="32"/>
  <c r="BA62" i="32" s="1"/>
  <c r="C62" i="32"/>
  <c r="BD62" i="32" s="1"/>
  <c r="R62" i="32"/>
  <c r="BJ62" i="32" s="1"/>
  <c r="D62" i="32"/>
  <c r="BE62" i="32" s="1"/>
  <c r="V62" i="32"/>
  <c r="BN62" i="32" s="1"/>
  <c r="Q62" i="32"/>
  <c r="BI62" i="32" s="1"/>
  <c r="J62" i="32"/>
  <c r="AZ62" i="32" s="1"/>
  <c r="U62" i="32"/>
  <c r="BM62" i="32" s="1"/>
  <c r="P62" i="32"/>
  <c r="BH62" i="32" s="1"/>
  <c r="S62" i="32"/>
  <c r="BK62" i="32" s="1"/>
  <c r="L62" i="32"/>
  <c r="BB62" i="32" s="1"/>
  <c r="T62" i="32"/>
  <c r="BL62" i="32" s="1"/>
  <c r="O62" i="32"/>
  <c r="BG62" i="32" s="1"/>
  <c r="X62" i="32"/>
  <c r="BP62" i="32" s="1"/>
  <c r="M62" i="32"/>
  <c r="BC62" i="32" s="1"/>
  <c r="BO62" i="32"/>
  <c r="AB62" i="32"/>
  <c r="I62" i="32"/>
  <c r="AY62" i="32" s="1"/>
  <c r="H62" i="32"/>
  <c r="AX62" i="32" s="1"/>
  <c r="G63" i="32"/>
  <c r="D63" i="32" a="1"/>
  <c r="T63" i="32" a="1"/>
  <c r="AE63" i="32" a="1"/>
  <c r="AR63" i="32" a="1"/>
  <c r="AT63" i="32" a="1"/>
  <c r="AJ63" i="32" a="1"/>
  <c r="AC63" i="32" a="1"/>
  <c r="M63" i="32" a="1"/>
  <c r="H63" i="32" a="1"/>
  <c r="N63" i="32" a="1"/>
  <c r="AB63" i="32" a="1"/>
  <c r="Q63" i="32" a="1"/>
  <c r="AD63" i="32" a="1"/>
  <c r="C63" i="32" a="1"/>
  <c r="AI63" i="32" a="1"/>
  <c r="V63" i="32" a="1"/>
  <c r="L63" i="32" a="1"/>
  <c r="AK63" i="32" a="1"/>
  <c r="AM63" i="32" a="1"/>
  <c r="I63" i="32" a="1"/>
  <c r="K63" i="32" a="1"/>
  <c r="AN63" i="32" a="1"/>
  <c r="AF63" i="32" a="1"/>
  <c r="AG63" i="32" a="1"/>
  <c r="U63" i="32" a="1"/>
  <c r="R63" i="32" a="1"/>
  <c r="P63" i="32" a="1"/>
  <c r="AP63" i="32" a="1"/>
  <c r="AU63" i="32" a="1"/>
  <c r="S63" i="32" a="1"/>
  <c r="Y63" i="32" a="1"/>
  <c r="AL63" i="32" a="1"/>
  <c r="X63" i="32" a="1"/>
  <c r="J63" i="32" a="1"/>
  <c r="AS63" i="32" a="1"/>
  <c r="AQ63" i="32" a="1"/>
  <c r="AO63" i="32" a="1"/>
  <c r="AH63" i="32" a="1"/>
  <c r="O63" i="32" a="1"/>
  <c r="W63" i="32" a="1"/>
  <c r="AJ63" i="32" l="1"/>
  <c r="AT63" i="32"/>
  <c r="AO63" i="32"/>
  <c r="AI63" i="32"/>
  <c r="AD63" i="32"/>
  <c r="AH63" i="32"/>
  <c r="AN63" i="32"/>
  <c r="AC63" i="32"/>
  <c r="AM63" i="32"/>
  <c r="AR63" i="32"/>
  <c r="AQ63" i="32"/>
  <c r="AL63" i="32"/>
  <c r="AG63" i="32"/>
  <c r="AF63" i="32"/>
  <c r="AU63" i="32"/>
  <c r="AP63" i="32"/>
  <c r="AK63" i="32"/>
  <c r="AE63" i="32"/>
  <c r="AS63" i="32"/>
  <c r="W63" i="32"/>
  <c r="BO63" i="32" s="1"/>
  <c r="O63" i="32"/>
  <c r="BG63" i="32" s="1"/>
  <c r="S63" i="32"/>
  <c r="BK63" i="32" s="1"/>
  <c r="M63" i="32"/>
  <c r="BC63" i="32" s="1"/>
  <c r="P63" i="32"/>
  <c r="BH63" i="32" s="1"/>
  <c r="L63" i="32"/>
  <c r="T63" i="32"/>
  <c r="BL63" i="32" s="1"/>
  <c r="J63" i="32"/>
  <c r="AZ63" i="32" s="1"/>
  <c r="U63" i="32"/>
  <c r="Y63" i="32"/>
  <c r="BQ63" i="32" s="1"/>
  <c r="N63" i="32"/>
  <c r="BF63" i="32" s="1"/>
  <c r="K63" i="32"/>
  <c r="BA63" i="32" s="1"/>
  <c r="R63" i="32"/>
  <c r="BJ63" i="32" s="1"/>
  <c r="V63" i="32"/>
  <c r="BN63" i="32" s="1"/>
  <c r="D63" i="32"/>
  <c r="BE63" i="32" s="1"/>
  <c r="X63" i="32"/>
  <c r="BP63" i="32" s="1"/>
  <c r="C63" i="32"/>
  <c r="BD63" i="32" s="1"/>
  <c r="Q63" i="32"/>
  <c r="BI63" i="32" s="1"/>
  <c r="BM63" i="32"/>
  <c r="AB63" i="32"/>
  <c r="BB63" i="32"/>
  <c r="I63" i="32"/>
  <c r="AY63" i="32" s="1"/>
  <c r="H63" i="32"/>
  <c r="AX63" i="32" s="1"/>
  <c r="G64" i="32"/>
  <c r="R64" i="32" a="1"/>
  <c r="P64" i="32" a="1"/>
  <c r="AM64" i="32" a="1"/>
  <c r="AO64" i="32" a="1"/>
  <c r="AQ64" i="32" a="1"/>
  <c r="AB64" i="32" a="1"/>
  <c r="AS64" i="32" a="1"/>
  <c r="AD64" i="32" a="1"/>
  <c r="D64" i="32" a="1"/>
  <c r="L64" i="32" a="1"/>
  <c r="C64" i="32" a="1"/>
  <c r="W64" i="32" a="1"/>
  <c r="AR64" i="32" a="1"/>
  <c r="AJ64" i="32" a="1"/>
  <c r="AG64" i="32" a="1"/>
  <c r="J64" i="32" a="1"/>
  <c r="AK64" i="32" a="1"/>
  <c r="O64" i="32" a="1"/>
  <c r="AE64" i="32" a="1"/>
  <c r="S64" i="32" a="1"/>
  <c r="AI64" i="32" a="1"/>
  <c r="U64" i="32" a="1"/>
  <c r="T64" i="32" a="1"/>
  <c r="K64" i="32" a="1"/>
  <c r="AC64" i="32" a="1"/>
  <c r="AU64" i="32" a="1"/>
  <c r="Q64" i="32" a="1"/>
  <c r="H64" i="32" a="1"/>
  <c r="Y64" i="32" a="1"/>
  <c r="I64" i="32" a="1"/>
  <c r="V64" i="32" a="1"/>
  <c r="AP64" i="32" a="1"/>
  <c r="AN64" i="32" a="1"/>
  <c r="AF64" i="32" a="1"/>
  <c r="M64" i="32" a="1"/>
  <c r="N64" i="32" a="1"/>
  <c r="AH64" i="32" a="1"/>
  <c r="AT64" i="32" a="1"/>
  <c r="AL64" i="32" a="1"/>
  <c r="X64" i="32" a="1"/>
  <c r="AG64" i="32" l="1"/>
  <c r="AQ64" i="32"/>
  <c r="AL64" i="32"/>
  <c r="AF64" i="32"/>
  <c r="AP64" i="32"/>
  <c r="AE64" i="32"/>
  <c r="AK64" i="32"/>
  <c r="AU64" i="32"/>
  <c r="AJ64" i="32"/>
  <c r="AO64" i="32"/>
  <c r="AT64" i="32"/>
  <c r="AN64" i="32"/>
  <c r="AI64" i="32"/>
  <c r="AD64" i="32"/>
  <c r="AS64" i="32"/>
  <c r="AC64" i="32"/>
  <c r="AR64" i="32"/>
  <c r="AM64" i="32"/>
  <c r="AH64" i="32"/>
  <c r="U64" i="32"/>
  <c r="D64" i="32"/>
  <c r="BE64" i="32" s="1"/>
  <c r="Y64" i="32"/>
  <c r="BQ64" i="32" s="1"/>
  <c r="Q64" i="32"/>
  <c r="BI64" i="32" s="1"/>
  <c r="K64" i="32"/>
  <c r="BA64" i="32" s="1"/>
  <c r="W64" i="32"/>
  <c r="P64" i="32"/>
  <c r="BH64" i="32" s="1"/>
  <c r="N64" i="32"/>
  <c r="BF64" i="32" s="1"/>
  <c r="L64" i="32"/>
  <c r="BB64" i="32" s="1"/>
  <c r="V64" i="32"/>
  <c r="O64" i="32"/>
  <c r="BG64" i="32" s="1"/>
  <c r="J64" i="32"/>
  <c r="AZ64" i="32" s="1"/>
  <c r="T64" i="32"/>
  <c r="BL64" i="32" s="1"/>
  <c r="C64" i="32"/>
  <c r="BD64" i="32" s="1"/>
  <c r="R64" i="32"/>
  <c r="BJ64" i="32" s="1"/>
  <c r="M64" i="32"/>
  <c r="BC64" i="32" s="1"/>
  <c r="X64" i="32"/>
  <c r="BP64" i="32" s="1"/>
  <c r="S64" i="32"/>
  <c r="BK64" i="32" s="1"/>
  <c r="BN64" i="32"/>
  <c r="BM64" i="32"/>
  <c r="BO64" i="32"/>
  <c r="AB64" i="32"/>
  <c r="I64" i="32"/>
  <c r="AY64" i="32" s="1"/>
  <c r="H64" i="32"/>
  <c r="AX64" i="32" s="1"/>
  <c r="G65" i="32"/>
  <c r="N65" i="32" a="1"/>
  <c r="Q65" i="32" a="1"/>
  <c r="AM65" i="32" a="1"/>
  <c r="AQ65" i="32" a="1"/>
  <c r="AS65" i="32" a="1"/>
  <c r="AD65" i="32" a="1"/>
  <c r="AO65" i="32" a="1"/>
  <c r="S65" i="32" a="1"/>
  <c r="AC65" i="32" a="1"/>
  <c r="T65" i="32" a="1"/>
  <c r="R65" i="32" a="1"/>
  <c r="X65" i="32" a="1"/>
  <c r="AE65" i="32" a="1"/>
  <c r="AL65" i="32" a="1"/>
  <c r="U65" i="32" a="1"/>
  <c r="AH65" i="32" a="1"/>
  <c r="V65" i="32" a="1"/>
  <c r="H65" i="32" a="1"/>
  <c r="J65" i="32" a="1"/>
  <c r="AB65" i="32" a="1"/>
  <c r="AF65" i="32" a="1"/>
  <c r="Y65" i="32" a="1"/>
  <c r="P65" i="32" a="1"/>
  <c r="AJ65" i="32" a="1"/>
  <c r="AG65" i="32" a="1"/>
  <c r="AT65" i="32" a="1"/>
  <c r="C65" i="32" a="1"/>
  <c r="I65" i="32" a="1"/>
  <c r="AR65" i="32" a="1"/>
  <c r="AP65" i="32" a="1"/>
  <c r="O65" i="32" a="1"/>
  <c r="D65" i="32" a="1"/>
  <c r="L65" i="32" a="1"/>
  <c r="W65" i="32" a="1"/>
  <c r="AK65" i="32" a="1"/>
  <c r="AN65" i="32" a="1"/>
  <c r="AU65" i="32" a="1"/>
  <c r="M65" i="32" a="1"/>
  <c r="K65" i="32" a="1"/>
  <c r="AI65" i="32" a="1"/>
  <c r="AT65" i="32" l="1"/>
  <c r="AD65" i="32"/>
  <c r="AS65" i="32"/>
  <c r="AN65" i="32"/>
  <c r="AI65" i="32"/>
  <c r="AC65" i="32"/>
  <c r="AR65" i="32"/>
  <c r="AH65" i="32"/>
  <c r="AG65" i="32"/>
  <c r="AL65" i="32"/>
  <c r="AQ65" i="32"/>
  <c r="AK65" i="32"/>
  <c r="AF65" i="32"/>
  <c r="AP65" i="32"/>
  <c r="AU65" i="32"/>
  <c r="AO65" i="32"/>
  <c r="AJ65" i="32"/>
  <c r="AE65" i="32"/>
  <c r="AM65" i="32"/>
  <c r="W65" i="32"/>
  <c r="BO65" i="32" s="1"/>
  <c r="O65" i="32"/>
  <c r="BG65" i="32" s="1"/>
  <c r="M65" i="32"/>
  <c r="BC65" i="32" s="1"/>
  <c r="S65" i="32"/>
  <c r="BK65" i="32" s="1"/>
  <c r="C65" i="32"/>
  <c r="BD65" i="32" s="1"/>
  <c r="P65" i="32"/>
  <c r="BH65" i="32" s="1"/>
  <c r="X65" i="32"/>
  <c r="BP65" i="32" s="1"/>
  <c r="Q65" i="32"/>
  <c r="BI65" i="32" s="1"/>
  <c r="L65" i="32"/>
  <c r="BB65" i="32" s="1"/>
  <c r="K65" i="32"/>
  <c r="BA65" i="32" s="1"/>
  <c r="J65" i="32"/>
  <c r="AZ65" i="32" s="1"/>
  <c r="V65" i="32"/>
  <c r="BN65" i="32" s="1"/>
  <c r="U65" i="32"/>
  <c r="BM65" i="32" s="1"/>
  <c r="Y65" i="32"/>
  <c r="BQ65" i="32" s="1"/>
  <c r="R65" i="32"/>
  <c r="BJ65" i="32" s="1"/>
  <c r="N65" i="32"/>
  <c r="BF65" i="32" s="1"/>
  <c r="D65" i="32"/>
  <c r="BE65" i="32" s="1"/>
  <c r="T65" i="32"/>
  <c r="BL65" i="32" s="1"/>
  <c r="AB65" i="32"/>
  <c r="I65" i="32"/>
  <c r="AY65" i="32" s="1"/>
  <c r="H65" i="32"/>
  <c r="AX65" i="32" s="1"/>
  <c r="G66" i="32"/>
  <c r="V66" i="32" a="1"/>
  <c r="C66" i="32" a="1"/>
  <c r="AL66" i="32" a="1"/>
  <c r="AO66" i="32" a="1"/>
  <c r="AD66" i="32" a="1"/>
  <c r="AQ66" i="32" a="1"/>
  <c r="R66" i="32" a="1"/>
  <c r="AE66" i="32" a="1"/>
  <c r="AH66" i="32" a="1"/>
  <c r="D66" i="32" a="1"/>
  <c r="AF66" i="32" a="1"/>
  <c r="AP66" i="32" a="1"/>
  <c r="W66" i="32" a="1"/>
  <c r="S66" i="32" a="1"/>
  <c r="AR66" i="32" a="1"/>
  <c r="AT66" i="32" a="1"/>
  <c r="I66" i="32" a="1"/>
  <c r="Q66" i="32" a="1"/>
  <c r="H66" i="32" a="1"/>
  <c r="Y66" i="32" a="1"/>
  <c r="AB66" i="32" a="1"/>
  <c r="P66" i="32" a="1"/>
  <c r="J66" i="32" a="1"/>
  <c r="M66" i="32" a="1"/>
  <c r="K66" i="32" a="1"/>
  <c r="AM66" i="32" a="1"/>
  <c r="AJ66" i="32" a="1"/>
  <c r="AC66" i="32" a="1"/>
  <c r="L66" i="32" a="1"/>
  <c r="AU66" i="32" a="1"/>
  <c r="O66" i="32" a="1"/>
  <c r="AN66" i="32" a="1"/>
  <c r="AI66" i="32" a="1"/>
  <c r="N66" i="32" a="1"/>
  <c r="X66" i="32" a="1"/>
  <c r="U66" i="32" a="1"/>
  <c r="AS66" i="32" a="1"/>
  <c r="AK66" i="32" a="1"/>
  <c r="T66" i="32" a="1"/>
  <c r="AG66" i="32" a="1"/>
  <c r="AQ66" i="32" l="1"/>
  <c r="AD66" i="32"/>
  <c r="AP66" i="32"/>
  <c r="AK66" i="32"/>
  <c r="AF66" i="32"/>
  <c r="AU66" i="32"/>
  <c r="AE66" i="32"/>
  <c r="AJ66" i="32"/>
  <c r="AT66" i="32"/>
  <c r="AO66" i="32"/>
  <c r="AI66" i="32"/>
  <c r="AS66" i="32"/>
  <c r="AN66" i="32"/>
  <c r="AH66" i="32"/>
  <c r="AC66" i="32"/>
  <c r="AM66" i="32"/>
  <c r="AR66" i="32"/>
  <c r="AL66" i="32"/>
  <c r="AG66" i="32"/>
  <c r="U66" i="32"/>
  <c r="BM66" i="32" s="1"/>
  <c r="D66" i="32"/>
  <c r="BE66" i="32" s="1"/>
  <c r="Y66" i="32"/>
  <c r="BQ66" i="32" s="1"/>
  <c r="Q66" i="32"/>
  <c r="BI66" i="32" s="1"/>
  <c r="K66" i="32"/>
  <c r="BA66" i="32" s="1"/>
  <c r="S66" i="32"/>
  <c r="BK66" i="32" s="1"/>
  <c r="C66" i="32"/>
  <c r="BD66" i="32" s="1"/>
  <c r="J66" i="32"/>
  <c r="AZ66" i="32" s="1"/>
  <c r="X66" i="32"/>
  <c r="BP66" i="32" s="1"/>
  <c r="P66" i="32"/>
  <c r="BH66" i="32" s="1"/>
  <c r="L66" i="32"/>
  <c r="BB66" i="32" s="1"/>
  <c r="R66" i="32"/>
  <c r="BJ66" i="32" s="1"/>
  <c r="M66" i="32"/>
  <c r="BC66" i="32" s="1"/>
  <c r="W66" i="32"/>
  <c r="BO66" i="32" s="1"/>
  <c r="V66" i="32"/>
  <c r="BN66" i="32" s="1"/>
  <c r="T66" i="32"/>
  <c r="BL66" i="32" s="1"/>
  <c r="N66" i="32"/>
  <c r="BF66" i="32" s="1"/>
  <c r="O66" i="32"/>
  <c r="BG66" i="32" s="1"/>
  <c r="AB66" i="32"/>
  <c r="I66" i="32"/>
  <c r="AY66" i="32" s="1"/>
  <c r="H66" i="32"/>
  <c r="AX66" i="32" s="1"/>
  <c r="G67" i="32"/>
  <c r="K67" i="32" a="1"/>
  <c r="T67" i="32" a="1"/>
  <c r="AD67" i="32" a="1"/>
  <c r="AU67" i="32" a="1"/>
  <c r="AM67" i="32" a="1"/>
  <c r="AS67" i="32" a="1"/>
  <c r="AN67" i="32" a="1"/>
  <c r="AT67" i="32" a="1"/>
  <c r="R67" i="32" a="1"/>
  <c r="AL67" i="32" a="1"/>
  <c r="S67" i="32" a="1"/>
  <c r="H67" i="32" a="1"/>
  <c r="P67" i="32" a="1"/>
  <c r="C67" i="32" a="1"/>
  <c r="AI67" i="32" a="1"/>
  <c r="AF67" i="32" a="1"/>
  <c r="O67" i="32" a="1"/>
  <c r="I67" i="32" a="1"/>
  <c r="M67" i="32" a="1"/>
  <c r="AB67" i="32" a="1"/>
  <c r="AE67" i="32" a="1"/>
  <c r="AP67" i="32" a="1"/>
  <c r="L67" i="32" a="1"/>
  <c r="J67" i="32" a="1"/>
  <c r="AO67" i="32" a="1"/>
  <c r="AG67" i="32" a="1"/>
  <c r="Q67" i="32" a="1"/>
  <c r="AQ67" i="32" a="1"/>
  <c r="AJ67" i="32" a="1"/>
  <c r="V67" i="32" a="1"/>
  <c r="AR67" i="32" a="1"/>
  <c r="N67" i="32" a="1"/>
  <c r="Y67" i="32" a="1"/>
  <c r="W67" i="32" a="1"/>
  <c r="AK67" i="32" a="1"/>
  <c r="AC67" i="32" a="1"/>
  <c r="U67" i="32" a="1"/>
  <c r="D67" i="32" a="1"/>
  <c r="X67" i="32" a="1"/>
  <c r="AH67" i="32" a="1"/>
  <c r="AN67" i="32" l="1"/>
  <c r="AS67" i="32"/>
  <c r="AM67" i="32"/>
  <c r="AH67" i="32"/>
  <c r="AC67" i="32"/>
  <c r="AR67" i="32"/>
  <c r="AL67" i="32"/>
  <c r="AQ67" i="32"/>
  <c r="AG67" i="32"/>
  <c r="AF67" i="32"/>
  <c r="AU67" i="32"/>
  <c r="AP67" i="32"/>
  <c r="AK67" i="32"/>
  <c r="AE67" i="32"/>
  <c r="AJ67" i="32"/>
  <c r="AT67" i="32"/>
  <c r="AO67" i="32"/>
  <c r="AI67" i="32"/>
  <c r="AD67" i="32"/>
  <c r="X67" i="32"/>
  <c r="BP67" i="32" s="1"/>
  <c r="W67" i="32"/>
  <c r="BO67" i="32" s="1"/>
  <c r="S67" i="32"/>
  <c r="BK67" i="32" s="1"/>
  <c r="M67" i="32"/>
  <c r="BC67" i="32" s="1"/>
  <c r="O67" i="32"/>
  <c r="BG67" i="32" s="1"/>
  <c r="J67" i="32"/>
  <c r="C67" i="32"/>
  <c r="BD67" i="32" s="1"/>
  <c r="T67" i="32"/>
  <c r="BL67" i="32" s="1"/>
  <c r="D67" i="32"/>
  <c r="BE67" i="32" s="1"/>
  <c r="Y67" i="32"/>
  <c r="BQ67" i="32" s="1"/>
  <c r="V67" i="32"/>
  <c r="BN67" i="32" s="1"/>
  <c r="R67" i="32"/>
  <c r="BJ67" i="32" s="1"/>
  <c r="Q67" i="32"/>
  <c r="BI67" i="32" s="1"/>
  <c r="L67" i="32"/>
  <c r="BB67" i="32" s="1"/>
  <c r="P67" i="32"/>
  <c r="BH67" i="32" s="1"/>
  <c r="K67" i="32"/>
  <c r="BA67" i="32" s="1"/>
  <c r="U67" i="32"/>
  <c r="BM67" i="32" s="1"/>
  <c r="N67" i="32"/>
  <c r="BF67" i="32" s="1"/>
  <c r="AB67" i="32"/>
  <c r="AZ67" i="32"/>
  <c r="I67" i="32"/>
  <c r="AY67" i="32" s="1"/>
  <c r="H67" i="32"/>
  <c r="AX67" i="32" s="1"/>
  <c r="G68" i="32"/>
  <c r="S68" i="32" a="1"/>
  <c r="K68" i="32" a="1"/>
  <c r="V68" i="32" a="1"/>
  <c r="AC68" i="32" a="1"/>
  <c r="AJ68" i="32" a="1"/>
  <c r="AQ68" i="32" a="1"/>
  <c r="P68" i="32" a="1"/>
  <c r="AT68" i="32" a="1"/>
  <c r="L68" i="32" a="1"/>
  <c r="H68" i="32" a="1"/>
  <c r="T68" i="32" a="1"/>
  <c r="Q68" i="32" a="1"/>
  <c r="AF68" i="32" a="1"/>
  <c r="AS68" i="32" a="1"/>
  <c r="AP68" i="32" a="1"/>
  <c r="J68" i="32" a="1"/>
  <c r="AN68" i="32" a="1"/>
  <c r="AG68" i="32" a="1"/>
  <c r="AH68" i="32" a="1"/>
  <c r="AE68" i="32" a="1"/>
  <c r="W68" i="32" a="1"/>
  <c r="Y68" i="32" a="1"/>
  <c r="AL68" i="32" a="1"/>
  <c r="AI68" i="32" a="1"/>
  <c r="AU68" i="32" a="1"/>
  <c r="D68" i="32" a="1"/>
  <c r="AK68" i="32" a="1"/>
  <c r="U68" i="32" a="1"/>
  <c r="I68" i="32" a="1"/>
  <c r="X68" i="32" a="1"/>
  <c r="AO68" i="32" a="1"/>
  <c r="C68" i="32" a="1"/>
  <c r="N68" i="32" a="1"/>
  <c r="AM68" i="32" a="1"/>
  <c r="AD68" i="32" a="1"/>
  <c r="AB68" i="32" a="1"/>
  <c r="M68" i="32" a="1"/>
  <c r="O68" i="32" a="1"/>
  <c r="R68" i="32" a="1"/>
  <c r="AR68" i="32" a="1"/>
  <c r="AK68" i="32" l="1"/>
  <c r="AU68" i="32"/>
  <c r="AP68" i="32"/>
  <c r="AJ68" i="32"/>
  <c r="AE68" i="32"/>
  <c r="AD68" i="32"/>
  <c r="AO68" i="32"/>
  <c r="AT68" i="32"/>
  <c r="AN68" i="32"/>
  <c r="AI68" i="32"/>
  <c r="AS68" i="32"/>
  <c r="AC68" i="32"/>
  <c r="AR68" i="32"/>
  <c r="AM68" i="32"/>
  <c r="AH68" i="32"/>
  <c r="AG68" i="32"/>
  <c r="AQ68" i="32"/>
  <c r="AL68" i="32"/>
  <c r="AF68" i="32"/>
  <c r="V68" i="32"/>
  <c r="BN68" i="32" s="1"/>
  <c r="R68" i="32"/>
  <c r="BJ68" i="32" s="1"/>
  <c r="N68" i="32"/>
  <c r="BF68" i="32" s="1"/>
  <c r="L68" i="32"/>
  <c r="BB68" i="32" s="1"/>
  <c r="U68" i="32"/>
  <c r="BM68" i="32" s="1"/>
  <c r="D68" i="32"/>
  <c r="BE68" i="32" s="1"/>
  <c r="Y68" i="32"/>
  <c r="BQ68" i="32" s="1"/>
  <c r="Q68" i="32"/>
  <c r="BI68" i="32" s="1"/>
  <c r="K68" i="32"/>
  <c r="BA68" i="32" s="1"/>
  <c r="O68" i="32"/>
  <c r="BG68" i="32" s="1"/>
  <c r="C68" i="32"/>
  <c r="BD68" i="32" s="1"/>
  <c r="X68" i="32"/>
  <c r="BP68" i="32" s="1"/>
  <c r="P68" i="32"/>
  <c r="BH68" i="32" s="1"/>
  <c r="J68" i="32"/>
  <c r="W68" i="32"/>
  <c r="BO68" i="32" s="1"/>
  <c r="T68" i="32"/>
  <c r="BL68" i="32" s="1"/>
  <c r="S68" i="32"/>
  <c r="BK68" i="32" s="1"/>
  <c r="M68" i="32"/>
  <c r="BC68" i="32" s="1"/>
  <c r="AB68" i="32"/>
  <c r="AZ68" i="32"/>
  <c r="I68" i="32"/>
  <c r="AY68" i="32" s="1"/>
  <c r="H68" i="32"/>
  <c r="AX68" i="32" s="1"/>
  <c r="G69" i="32"/>
  <c r="R69" i="32" a="1"/>
  <c r="W69" i="32" a="1"/>
  <c r="AD69" i="32" a="1"/>
  <c r="AM69" i="32" a="1"/>
  <c r="AT69" i="32" a="1"/>
  <c r="AJ69" i="32" a="1"/>
  <c r="U69" i="32" a="1"/>
  <c r="AN69" i="32" a="1"/>
  <c r="AK69" i="32" a="1"/>
  <c r="AI69" i="32" a="1"/>
  <c r="D69" i="32" a="1"/>
  <c r="J69" i="32" a="1"/>
  <c r="AO69" i="32" a="1"/>
  <c r="AG69" i="32" a="1"/>
  <c r="H69" i="32" a="1"/>
  <c r="AS69" i="32" a="1"/>
  <c r="V69" i="32" a="1"/>
  <c r="AH69" i="32" a="1"/>
  <c r="T69" i="32" a="1"/>
  <c r="Q69" i="32" a="1"/>
  <c r="AL69" i="32" a="1"/>
  <c r="Y69" i="32" a="1"/>
  <c r="AP69" i="32" a="1"/>
  <c r="N69" i="32" a="1"/>
  <c r="C69" i="32" a="1"/>
  <c r="AE69" i="32" a="1"/>
  <c r="AB69" i="32" a="1"/>
  <c r="P69" i="32" a="1"/>
  <c r="I69" i="32" a="1"/>
  <c r="L69" i="32" a="1"/>
  <c r="AQ69" i="32" a="1"/>
  <c r="AC69" i="32" a="1"/>
  <c r="S69" i="32" a="1"/>
  <c r="K69" i="32" a="1"/>
  <c r="O69" i="32" a="1"/>
  <c r="X69" i="32" a="1"/>
  <c r="AF69" i="32" a="1"/>
  <c r="AU69" i="32" a="1"/>
  <c r="M69" i="32" a="1"/>
  <c r="AR69" i="32" a="1"/>
  <c r="AT69" i="32" l="1"/>
  <c r="AP69" i="32"/>
  <c r="AL69" i="32"/>
  <c r="AU69" i="32"/>
  <c r="AN69" i="32"/>
  <c r="AH69" i="32"/>
  <c r="AS69" i="32"/>
  <c r="AG69" i="32"/>
  <c r="AM69" i="32"/>
  <c r="AR69" i="32"/>
  <c r="AK69" i="32"/>
  <c r="AF69" i="32"/>
  <c r="AQ69" i="32"/>
  <c r="AJ69" i="32"/>
  <c r="AE69" i="32"/>
  <c r="AO69" i="32"/>
  <c r="AD69" i="32"/>
  <c r="AI69" i="32"/>
  <c r="AC69" i="32"/>
  <c r="X69" i="32"/>
  <c r="T69" i="32"/>
  <c r="BL69" i="32" s="1"/>
  <c r="P69" i="32"/>
  <c r="BH69" i="32" s="1"/>
  <c r="C69" i="32"/>
  <c r="BD69" i="32" s="1"/>
  <c r="J69" i="32"/>
  <c r="AZ69" i="32" s="1"/>
  <c r="W69" i="32"/>
  <c r="S69" i="32"/>
  <c r="BK69" i="32" s="1"/>
  <c r="M69" i="32"/>
  <c r="BC69" i="32" s="1"/>
  <c r="O69" i="32"/>
  <c r="BG69" i="32" s="1"/>
  <c r="U69" i="32"/>
  <c r="BM69" i="32" s="1"/>
  <c r="V69" i="32"/>
  <c r="BN69" i="32" s="1"/>
  <c r="N69" i="32"/>
  <c r="BF69" i="32" s="1"/>
  <c r="D69" i="32"/>
  <c r="BE69" i="32" s="1"/>
  <c r="R69" i="32"/>
  <c r="Y69" i="32"/>
  <c r="BQ69" i="32" s="1"/>
  <c r="Q69" i="32"/>
  <c r="BI69" i="32" s="1"/>
  <c r="K69" i="32"/>
  <c r="BA69" i="32" s="1"/>
  <c r="L69" i="32"/>
  <c r="BB69" i="32" s="1"/>
  <c r="BP69" i="32"/>
  <c r="BO69" i="32"/>
  <c r="BJ69" i="32"/>
  <c r="AB69" i="32"/>
  <c r="I69" i="32"/>
  <c r="AY69" i="32" s="1"/>
  <c r="H69" i="32"/>
  <c r="AX69" i="32" s="1"/>
  <c r="G70" i="32"/>
  <c r="M70" i="32" a="1"/>
  <c r="D70" i="32" a="1"/>
  <c r="AC70" i="32" a="1"/>
  <c r="AS70" i="32" a="1"/>
  <c r="AU70" i="32" a="1"/>
  <c r="AG70" i="32" a="1"/>
  <c r="I70" i="32" a="1"/>
  <c r="AD70" i="32" a="1"/>
  <c r="O70" i="32" a="1"/>
  <c r="AK70" i="32" a="1"/>
  <c r="W70" i="32" a="1"/>
  <c r="AR70" i="32" a="1"/>
  <c r="S70" i="32" a="1"/>
  <c r="U70" i="32" a="1"/>
  <c r="AJ70" i="32" a="1"/>
  <c r="H70" i="32" a="1"/>
  <c r="T70" i="32" a="1"/>
  <c r="AT70" i="32" a="1"/>
  <c r="P70" i="32" a="1"/>
  <c r="AE70" i="32" a="1"/>
  <c r="K70" i="32" a="1"/>
  <c r="AI70" i="32" a="1"/>
  <c r="C70" i="32" a="1"/>
  <c r="L70" i="32" a="1"/>
  <c r="AP70" i="32" a="1"/>
  <c r="AN70" i="32" a="1"/>
  <c r="N70" i="32" a="1"/>
  <c r="AB70" i="32" a="1"/>
  <c r="R70" i="32" a="1"/>
  <c r="V70" i="32" a="1"/>
  <c r="AQ70" i="32" a="1"/>
  <c r="X70" i="32" a="1"/>
  <c r="Q70" i="32" a="1"/>
  <c r="AH70" i="32" a="1"/>
  <c r="AF70" i="32" a="1"/>
  <c r="AM70" i="32" a="1"/>
  <c r="J70" i="32" a="1"/>
  <c r="Y70" i="32" a="1"/>
  <c r="AO70" i="32" a="1"/>
  <c r="AL70" i="32" a="1"/>
  <c r="AU70" i="32" l="1"/>
  <c r="AQ70" i="32"/>
  <c r="AM70" i="32"/>
  <c r="AI70" i="32"/>
  <c r="AE70" i="32"/>
  <c r="AT70" i="32"/>
  <c r="AN70" i="32"/>
  <c r="AG70" i="32"/>
  <c r="AS70" i="32"/>
  <c r="AL70" i="32"/>
  <c r="AF70" i="32"/>
  <c r="AR70" i="32"/>
  <c r="AK70" i="32"/>
  <c r="AD70" i="32"/>
  <c r="AP70" i="32"/>
  <c r="AJ70" i="32"/>
  <c r="AC70" i="32"/>
  <c r="AO70" i="32"/>
  <c r="AH70" i="32"/>
  <c r="V70" i="32"/>
  <c r="BN70" i="32" s="1"/>
  <c r="R70" i="32"/>
  <c r="BJ70" i="32" s="1"/>
  <c r="N70" i="32"/>
  <c r="BF70" i="32" s="1"/>
  <c r="L70" i="32"/>
  <c r="BB70" i="32" s="1"/>
  <c r="U70" i="32"/>
  <c r="BM70" i="32" s="1"/>
  <c r="D70" i="32"/>
  <c r="BE70" i="32" s="1"/>
  <c r="Y70" i="32"/>
  <c r="BQ70" i="32" s="1"/>
  <c r="Q70" i="32"/>
  <c r="BI70" i="32" s="1"/>
  <c r="K70" i="32"/>
  <c r="BA70" i="32" s="1"/>
  <c r="P70" i="32"/>
  <c r="BH70" i="32" s="1"/>
  <c r="T70" i="32"/>
  <c r="BL70" i="32" s="1"/>
  <c r="C70" i="32"/>
  <c r="BD70" i="32" s="1"/>
  <c r="S70" i="32"/>
  <c r="BK70" i="32" s="1"/>
  <c r="M70" i="32"/>
  <c r="J70" i="32"/>
  <c r="AZ70" i="32" s="1"/>
  <c r="X70" i="32"/>
  <c r="W70" i="32"/>
  <c r="BO70" i="32" s="1"/>
  <c r="O70" i="32"/>
  <c r="BG70" i="32" s="1"/>
  <c r="BP70" i="32"/>
  <c r="AB70" i="32"/>
  <c r="BC70" i="32"/>
  <c r="I70" i="32"/>
  <c r="AY70" i="32" s="1"/>
  <c r="H70" i="32"/>
  <c r="AX70" i="32" s="1"/>
  <c r="G71" i="32"/>
  <c r="U71" i="32" a="1"/>
  <c r="W71" i="32" a="1"/>
  <c r="AC71" i="32" a="1"/>
  <c r="AG71" i="32" a="1"/>
  <c r="AJ71" i="32" a="1"/>
  <c r="J71" i="32" a="1"/>
  <c r="AB71" i="32" a="1"/>
  <c r="C71" i="32" a="1"/>
  <c r="I71" i="32" a="1"/>
  <c r="P71" i="32" a="1"/>
  <c r="H71" i="32" a="1"/>
  <c r="V71" i="32" a="1"/>
  <c r="M71" i="32" a="1"/>
  <c r="AI71" i="32" a="1"/>
  <c r="AT71" i="32" a="1"/>
  <c r="AN71" i="32" a="1"/>
  <c r="Q71" i="32" a="1"/>
  <c r="AH71" i="32" a="1"/>
  <c r="L71" i="32" a="1"/>
  <c r="AO71" i="32" a="1"/>
  <c r="AQ71" i="32" a="1"/>
  <c r="AF71" i="32" a="1"/>
  <c r="Y71" i="32" a="1"/>
  <c r="S71" i="32" a="1"/>
  <c r="AP71" i="32" a="1"/>
  <c r="AM71" i="32" a="1"/>
  <c r="AR71" i="32" a="1"/>
  <c r="AD71" i="32" a="1"/>
  <c r="AK71" i="32" a="1"/>
  <c r="R71" i="32" a="1"/>
  <c r="AU71" i="32" a="1"/>
  <c r="N71" i="32" a="1"/>
  <c r="K71" i="32" a="1"/>
  <c r="T71" i="32" a="1"/>
  <c r="AE71" i="32" a="1"/>
  <c r="AS71" i="32" a="1"/>
  <c r="D71" i="32" a="1"/>
  <c r="O71" i="32" a="1"/>
  <c r="X71" i="32" a="1"/>
  <c r="AL71" i="32" a="1"/>
  <c r="AR71" i="32" l="1"/>
  <c r="AN71" i="32"/>
  <c r="AJ71" i="32"/>
  <c r="AF71" i="32"/>
  <c r="AS71" i="32"/>
  <c r="AU71" i="32"/>
  <c r="AO71" i="32"/>
  <c r="AH71" i="32"/>
  <c r="AM71" i="32"/>
  <c r="AT71" i="32"/>
  <c r="AG71" i="32"/>
  <c r="AL71" i="32"/>
  <c r="AE71" i="32"/>
  <c r="AQ71" i="32"/>
  <c r="AK71" i="32"/>
  <c r="AD71" i="32"/>
  <c r="AP71" i="32"/>
  <c r="AI71" i="32"/>
  <c r="AC71" i="32"/>
  <c r="X71" i="32"/>
  <c r="BP71" i="32" s="1"/>
  <c r="T71" i="32"/>
  <c r="BL71" i="32" s="1"/>
  <c r="P71" i="32"/>
  <c r="BH71" i="32" s="1"/>
  <c r="C71" i="32"/>
  <c r="BD71" i="32" s="1"/>
  <c r="J71" i="32"/>
  <c r="AZ71" i="32" s="1"/>
  <c r="S71" i="32"/>
  <c r="BK71" i="32" s="1"/>
  <c r="M71" i="32"/>
  <c r="W71" i="32"/>
  <c r="BO71" i="32" s="1"/>
  <c r="O71" i="32"/>
  <c r="BG71" i="32" s="1"/>
  <c r="K71" i="32"/>
  <c r="BA71" i="32" s="1"/>
  <c r="R71" i="32"/>
  <c r="BJ71" i="32" s="1"/>
  <c r="L71" i="32"/>
  <c r="BB71" i="32" s="1"/>
  <c r="Q71" i="32"/>
  <c r="BI71" i="32" s="1"/>
  <c r="Y71" i="32"/>
  <c r="BQ71" i="32" s="1"/>
  <c r="V71" i="32"/>
  <c r="BN71" i="32" s="1"/>
  <c r="U71" i="32"/>
  <c r="BM71" i="32" s="1"/>
  <c r="D71" i="32"/>
  <c r="BE71" i="32" s="1"/>
  <c r="N71" i="32"/>
  <c r="BF71" i="32" s="1"/>
  <c r="AB71" i="32"/>
  <c r="I71" i="32"/>
  <c r="AY71" i="32" s="1"/>
  <c r="BC71" i="32"/>
  <c r="H71" i="32"/>
  <c r="AX71" i="32" s="1"/>
  <c r="G72" i="32"/>
  <c r="O72" i="32" a="1"/>
  <c r="Y72" i="32" a="1"/>
  <c r="AM72" i="32" a="1"/>
  <c r="AD72" i="32" a="1"/>
  <c r="AO72" i="32" a="1"/>
  <c r="AS72" i="32" a="1"/>
  <c r="H72" i="32" a="1"/>
  <c r="X72" i="32" a="1"/>
  <c r="AP72" i="32" a="1"/>
  <c r="N72" i="32" a="1"/>
  <c r="W72" i="32" a="1"/>
  <c r="AC72" i="32" a="1"/>
  <c r="J72" i="32" a="1"/>
  <c r="K72" i="32" a="1"/>
  <c r="AU72" i="32" a="1"/>
  <c r="AH72" i="32" a="1"/>
  <c r="L72" i="32" a="1"/>
  <c r="AB72" i="32" a="1"/>
  <c r="AI72" i="32" a="1"/>
  <c r="I72" i="32" a="1"/>
  <c r="M72" i="32" a="1"/>
  <c r="AQ72" i="32" a="1"/>
  <c r="P72" i="32" a="1"/>
  <c r="Q72" i="32" a="1"/>
  <c r="AF72" i="32" a="1"/>
  <c r="AL72" i="32" a="1"/>
  <c r="AN72" i="32" a="1"/>
  <c r="C72" i="32" a="1"/>
  <c r="AT72" i="32" a="1"/>
  <c r="R72" i="32" a="1"/>
  <c r="AR72" i="32" a="1"/>
  <c r="S72" i="32" a="1"/>
  <c r="D72" i="32" a="1"/>
  <c r="V72" i="32" a="1"/>
  <c r="AJ72" i="32" a="1"/>
  <c r="AG72" i="32" a="1"/>
  <c r="T72" i="32" a="1"/>
  <c r="U72" i="32" a="1"/>
  <c r="AE72" i="32" a="1"/>
  <c r="AK72" i="32" a="1"/>
  <c r="AS72" i="32" l="1"/>
  <c r="AO72" i="32"/>
  <c r="AK72" i="32"/>
  <c r="AG72" i="32"/>
  <c r="AC72" i="32"/>
  <c r="AT72" i="32"/>
  <c r="AP72" i="32"/>
  <c r="AL72" i="32"/>
  <c r="AH72" i="32"/>
  <c r="AD72" i="32"/>
  <c r="AR72" i="32"/>
  <c r="AJ72" i="32"/>
  <c r="AQ72" i="32"/>
  <c r="AI72" i="32"/>
  <c r="AN72" i="32"/>
  <c r="AF72" i="32"/>
  <c r="AU72" i="32"/>
  <c r="AM72" i="32"/>
  <c r="AE72" i="32"/>
  <c r="V72" i="32"/>
  <c r="R72" i="32"/>
  <c r="BJ72" i="32" s="1"/>
  <c r="N72" i="32"/>
  <c r="BF72" i="32" s="1"/>
  <c r="L72" i="32"/>
  <c r="BB72" i="32" s="1"/>
  <c r="Q72" i="32"/>
  <c r="BI72" i="32" s="1"/>
  <c r="K72" i="32"/>
  <c r="Y72" i="32"/>
  <c r="BQ72" i="32" s="1"/>
  <c r="U72" i="32"/>
  <c r="D72" i="32"/>
  <c r="BE72" i="32" s="1"/>
  <c r="W72" i="32"/>
  <c r="BO72" i="32" s="1"/>
  <c r="C72" i="32"/>
  <c r="BD72" i="32" s="1"/>
  <c r="X72" i="32"/>
  <c r="BP72" i="32" s="1"/>
  <c r="P72" i="32"/>
  <c r="BH72" i="32" s="1"/>
  <c r="J72" i="32"/>
  <c r="AZ72" i="32" s="1"/>
  <c r="O72" i="32"/>
  <c r="BG72" i="32" s="1"/>
  <c r="T72" i="32"/>
  <c r="BL72" i="32" s="1"/>
  <c r="S72" i="32"/>
  <c r="BK72" i="32" s="1"/>
  <c r="M72" i="32"/>
  <c r="BC72" i="32" s="1"/>
  <c r="BN72" i="32"/>
  <c r="BM72" i="32"/>
  <c r="AB72" i="32"/>
  <c r="BA72" i="32"/>
  <c r="I72" i="32"/>
  <c r="AY72" i="32" s="1"/>
  <c r="H72" i="32"/>
  <c r="AX72" i="32" s="1"/>
  <c r="G73" i="32"/>
  <c r="D73" i="32" a="1"/>
  <c r="M73" i="32" a="1"/>
  <c r="AC73" i="32" a="1"/>
  <c r="AI73" i="32" a="1"/>
  <c r="AT73" i="32" a="1"/>
  <c r="P73" i="32" a="1"/>
  <c r="H73" i="32" a="1"/>
  <c r="T73" i="32" a="1"/>
  <c r="X73" i="32" a="1"/>
  <c r="AP73" i="32" a="1"/>
  <c r="L73" i="32" a="1"/>
  <c r="J73" i="32" a="1"/>
  <c r="AK73" i="32" a="1"/>
  <c r="AM73" i="32" a="1"/>
  <c r="AB73" i="32" a="1"/>
  <c r="I73" i="32" a="1"/>
  <c r="AF73" i="32" a="1"/>
  <c r="K73" i="32" a="1"/>
  <c r="AN73" i="32" a="1"/>
  <c r="Q73" i="32" a="1"/>
  <c r="AG73" i="32" a="1"/>
  <c r="U73" i="32" a="1"/>
  <c r="C73" i="32" a="1"/>
  <c r="AS73" i="32" a="1"/>
  <c r="AQ73" i="32" a="1"/>
  <c r="N73" i="32" a="1"/>
  <c r="AU73" i="32" a="1"/>
  <c r="V73" i="32" a="1"/>
  <c r="AD73" i="32" a="1"/>
  <c r="O73" i="32" a="1"/>
  <c r="AH73" i="32" a="1"/>
  <c r="Y73" i="32" a="1"/>
  <c r="S73" i="32" a="1"/>
  <c r="AJ73" i="32" a="1"/>
  <c r="AO73" i="32" a="1"/>
  <c r="AL73" i="32" a="1"/>
  <c r="R73" i="32" a="1"/>
  <c r="W73" i="32" a="1"/>
  <c r="AR73" i="32" a="1"/>
  <c r="AE73" i="32" a="1"/>
  <c r="AT73" i="32" l="1"/>
  <c r="AP73" i="32"/>
  <c r="AL73" i="32"/>
  <c r="AH73" i="32"/>
  <c r="AD73" i="32"/>
  <c r="AU73" i="32"/>
  <c r="AQ73" i="32"/>
  <c r="AM73" i="32"/>
  <c r="AI73" i="32"/>
  <c r="AE73" i="32"/>
  <c r="AO73" i="32"/>
  <c r="AG73" i="32"/>
  <c r="AN73" i="32"/>
  <c r="AF73" i="32"/>
  <c r="AS73" i="32"/>
  <c r="AK73" i="32"/>
  <c r="AC73" i="32"/>
  <c r="AR73" i="32"/>
  <c r="AJ73" i="32"/>
  <c r="X73" i="32"/>
  <c r="BP73" i="32" s="1"/>
  <c r="T73" i="32"/>
  <c r="BL73" i="32" s="1"/>
  <c r="P73" i="32"/>
  <c r="BH73" i="32" s="1"/>
  <c r="C73" i="32"/>
  <c r="BD73" i="32" s="1"/>
  <c r="J73" i="32"/>
  <c r="AZ73" i="32" s="1"/>
  <c r="M73" i="32"/>
  <c r="BC73" i="32" s="1"/>
  <c r="W73" i="32"/>
  <c r="BO73" i="32" s="1"/>
  <c r="S73" i="32"/>
  <c r="BK73" i="32" s="1"/>
  <c r="O73" i="32"/>
  <c r="BG73" i="32" s="1"/>
  <c r="V73" i="32"/>
  <c r="N73" i="32"/>
  <c r="BF73" i="32" s="1"/>
  <c r="U73" i="32"/>
  <c r="BM73" i="32" s="1"/>
  <c r="L73" i="32"/>
  <c r="BB73" i="32" s="1"/>
  <c r="D73" i="32"/>
  <c r="R73" i="32"/>
  <c r="BJ73" i="32" s="1"/>
  <c r="Y73" i="32"/>
  <c r="BQ73" i="32" s="1"/>
  <c r="Q73" i="32"/>
  <c r="BI73" i="32" s="1"/>
  <c r="K73" i="32"/>
  <c r="BA73" i="32" s="1"/>
  <c r="BN73" i="32"/>
  <c r="AB73" i="32"/>
  <c r="I73" i="32"/>
  <c r="AY73" i="32" s="1"/>
  <c r="BE73" i="32"/>
  <c r="H73" i="32"/>
  <c r="AX73" i="32" s="1"/>
  <c r="G74" i="32"/>
  <c r="P74" i="32" a="1"/>
  <c r="U74" i="32" a="1"/>
  <c r="AO74" i="32" a="1"/>
  <c r="AT74" i="32" a="1"/>
  <c r="AQ74" i="32" a="1"/>
  <c r="AU74" i="32" a="1"/>
  <c r="AC74" i="32" a="1"/>
  <c r="N74" i="32" a="1"/>
  <c r="O74" i="32" a="1"/>
  <c r="AS74" i="32" a="1"/>
  <c r="X74" i="32" a="1"/>
  <c r="Y74" i="32" a="1"/>
  <c r="AH74" i="32" a="1"/>
  <c r="AF74" i="32" a="1"/>
  <c r="L74" i="32" a="1"/>
  <c r="AB74" i="32" a="1"/>
  <c r="T74" i="32" a="1"/>
  <c r="AR74" i="32" a="1"/>
  <c r="R74" i="32" a="1"/>
  <c r="AM74" i="32" a="1"/>
  <c r="S74" i="32" a="1"/>
  <c r="D74" i="32" a="1"/>
  <c r="AP74" i="32" a="1"/>
  <c r="AJ74" i="32" a="1"/>
  <c r="H74" i="32" a="1"/>
  <c r="C74" i="32" a="1"/>
  <c r="AN74" i="32" a="1"/>
  <c r="AK74" i="32" a="1"/>
  <c r="I74" i="32" a="1"/>
  <c r="M74" i="32" a="1"/>
  <c r="AE74" i="32" a="1"/>
  <c r="W74" i="32" a="1"/>
  <c r="K74" i="32" a="1"/>
  <c r="V74" i="32" a="1"/>
  <c r="AD74" i="32" a="1"/>
  <c r="AI74" i="32" a="1"/>
  <c r="J74" i="32" a="1"/>
  <c r="Q74" i="32" a="1"/>
  <c r="AG74" i="32" a="1"/>
  <c r="AL74" i="32" a="1"/>
  <c r="AU74" i="32" l="1"/>
  <c r="AQ74" i="32"/>
  <c r="AM74" i="32"/>
  <c r="AI74" i="32"/>
  <c r="AE74" i="32"/>
  <c r="AR74" i="32"/>
  <c r="AN74" i="32"/>
  <c r="AJ74" i="32"/>
  <c r="AF74" i="32"/>
  <c r="AT74" i="32"/>
  <c r="AL74" i="32"/>
  <c r="AD74" i="32"/>
  <c r="AS74" i="32"/>
  <c r="AK74" i="32"/>
  <c r="AC74" i="32"/>
  <c r="AP74" i="32"/>
  <c r="AH74" i="32"/>
  <c r="AO74" i="32"/>
  <c r="AG74" i="32"/>
  <c r="V74" i="32"/>
  <c r="BN74" i="32" s="1"/>
  <c r="R74" i="32"/>
  <c r="BJ74" i="32" s="1"/>
  <c r="N74" i="32"/>
  <c r="BF74" i="32" s="1"/>
  <c r="L74" i="32"/>
  <c r="BB74" i="32" s="1"/>
  <c r="D74" i="32"/>
  <c r="BE74" i="32" s="1"/>
  <c r="Y74" i="32"/>
  <c r="BQ74" i="32" s="1"/>
  <c r="U74" i="32"/>
  <c r="Q74" i="32"/>
  <c r="BI74" i="32" s="1"/>
  <c r="K74" i="32"/>
  <c r="BA74" i="32" s="1"/>
  <c r="M74" i="32"/>
  <c r="BC74" i="32" s="1"/>
  <c r="T74" i="32"/>
  <c r="BL74" i="32" s="1"/>
  <c r="C74" i="32"/>
  <c r="BD74" i="32" s="1"/>
  <c r="S74" i="32"/>
  <c r="BK74" i="32" s="1"/>
  <c r="X74" i="32"/>
  <c r="BP74" i="32" s="1"/>
  <c r="P74" i="32"/>
  <c r="BH74" i="32" s="1"/>
  <c r="J74" i="32"/>
  <c r="AZ74" i="32" s="1"/>
  <c r="W74" i="32"/>
  <c r="O74" i="32"/>
  <c r="BG74" i="32" s="1"/>
  <c r="BO74" i="32"/>
  <c r="BM74" i="32"/>
  <c r="AB74" i="32"/>
  <c r="I74" i="32"/>
  <c r="AY74" i="32" s="1"/>
  <c r="H74" i="32"/>
  <c r="AX74" i="32" s="1"/>
  <c r="G75" i="32"/>
  <c r="K75" i="32" a="1"/>
  <c r="J75" i="32" a="1"/>
  <c r="AE75" i="32" a="1"/>
  <c r="AG75" i="32" a="1"/>
  <c r="AB75" i="32" a="1"/>
  <c r="H75" i="32" a="1"/>
  <c r="I75" i="32" a="1"/>
  <c r="T75" i="32" a="1"/>
  <c r="M75" i="32" a="1"/>
  <c r="AI75" i="32" a="1"/>
  <c r="AQ75" i="32" a="1"/>
  <c r="L75" i="32" a="1"/>
  <c r="C75" i="32" a="1"/>
  <c r="AM75" i="32" a="1"/>
  <c r="AK75" i="32" a="1"/>
  <c r="D75" i="32" a="1"/>
  <c r="AH75" i="32" a="1"/>
  <c r="AP75" i="32" a="1"/>
  <c r="O75" i="32" a="1"/>
  <c r="S75" i="32" a="1"/>
  <c r="R75" i="32" a="1"/>
  <c r="P75" i="32" a="1"/>
  <c r="AU75" i="32" a="1"/>
  <c r="AO75" i="32" a="1"/>
  <c r="Q75" i="32" a="1"/>
  <c r="AS75" i="32" a="1"/>
  <c r="U75" i="32" a="1"/>
  <c r="AF75" i="32" a="1"/>
  <c r="AD75" i="32" a="1"/>
  <c r="AL75" i="32" a="1"/>
  <c r="Y75" i="32" a="1"/>
  <c r="W75" i="32" a="1"/>
  <c r="AT75" i="32" a="1"/>
  <c r="AC75" i="32" a="1"/>
  <c r="AR75" i="32" a="1"/>
  <c r="X75" i="32" a="1"/>
  <c r="N75" i="32" a="1"/>
  <c r="AJ75" i="32" a="1"/>
  <c r="V75" i="32" a="1"/>
  <c r="AN75" i="32" a="1"/>
  <c r="AR75" i="32" l="1"/>
  <c r="AN75" i="32"/>
  <c r="AJ75" i="32"/>
  <c r="AF75" i="32"/>
  <c r="AS75" i="32"/>
  <c r="AO75" i="32"/>
  <c r="AK75" i="32"/>
  <c r="AG75" i="32"/>
  <c r="AC75" i="32"/>
  <c r="AQ75" i="32"/>
  <c r="AI75" i="32"/>
  <c r="AP75" i="32"/>
  <c r="AH75" i="32"/>
  <c r="AU75" i="32"/>
  <c r="AM75" i="32"/>
  <c r="AE75" i="32"/>
  <c r="AT75" i="32"/>
  <c r="AL75" i="32"/>
  <c r="AD75" i="32"/>
  <c r="X75" i="32"/>
  <c r="BP75" i="32" s="1"/>
  <c r="T75" i="32"/>
  <c r="BL75" i="32" s="1"/>
  <c r="P75" i="32"/>
  <c r="BH75" i="32" s="1"/>
  <c r="C75" i="32"/>
  <c r="BD75" i="32" s="1"/>
  <c r="J75" i="32"/>
  <c r="AZ75" i="32" s="1"/>
  <c r="W75" i="32"/>
  <c r="S75" i="32"/>
  <c r="BK75" i="32" s="1"/>
  <c r="O75" i="32"/>
  <c r="BG75" i="32" s="1"/>
  <c r="M75" i="32"/>
  <c r="BC75" i="32" s="1"/>
  <c r="Q75" i="32"/>
  <c r="BI75" i="32" s="1"/>
  <c r="R75" i="32"/>
  <c r="BJ75" i="32" s="1"/>
  <c r="L75" i="32"/>
  <c r="BB75" i="32" s="1"/>
  <c r="K75" i="32"/>
  <c r="BA75" i="32" s="1"/>
  <c r="Y75" i="32"/>
  <c r="BQ75" i="32" s="1"/>
  <c r="V75" i="32"/>
  <c r="N75" i="32"/>
  <c r="BF75" i="32" s="1"/>
  <c r="U75" i="32"/>
  <c r="BM75" i="32" s="1"/>
  <c r="D75" i="32"/>
  <c r="BE75" i="32" s="1"/>
  <c r="BO75" i="32"/>
  <c r="BN75" i="32"/>
  <c r="AB75" i="32"/>
  <c r="I75" i="32"/>
  <c r="AY75" i="32" s="1"/>
  <c r="H75" i="32"/>
  <c r="AX75" i="32" s="1"/>
  <c r="G76" i="32"/>
  <c r="J76" i="32" a="1"/>
  <c r="Y76" i="32" a="1"/>
  <c r="AR76" i="32" a="1"/>
  <c r="AL76" i="32" a="1"/>
  <c r="AB76" i="32" a="1"/>
  <c r="M76" i="32" a="1"/>
  <c r="AU76" i="32" a="1"/>
  <c r="V76" i="32" a="1"/>
  <c r="AI76" i="32" a="1"/>
  <c r="AS76" i="32" a="1"/>
  <c r="P76" i="32" a="1"/>
  <c r="L76" i="32" a="1"/>
  <c r="AE76" i="32" a="1"/>
  <c r="AP76" i="32" a="1"/>
  <c r="H76" i="32" a="1"/>
  <c r="W76" i="32" a="1"/>
  <c r="AC76" i="32" a="1"/>
  <c r="K76" i="32" a="1"/>
  <c r="AG76" i="32" a="1"/>
  <c r="C76" i="32" a="1"/>
  <c r="AN76" i="32" a="1"/>
  <c r="X76" i="32" a="1"/>
  <c r="N76" i="32" a="1"/>
  <c r="AM76" i="32" a="1"/>
  <c r="AT76" i="32" a="1"/>
  <c r="I76" i="32" a="1"/>
  <c r="R76" i="32" a="1"/>
  <c r="S76" i="32" a="1"/>
  <c r="AF76" i="32" a="1"/>
  <c r="D76" i="32" a="1"/>
  <c r="AK76" i="32" a="1"/>
  <c r="T76" i="32" a="1"/>
  <c r="Q76" i="32" a="1"/>
  <c r="AQ76" i="32" a="1"/>
  <c r="AD76" i="32" a="1"/>
  <c r="AO76" i="32" a="1"/>
  <c r="O76" i="32" a="1"/>
  <c r="U76" i="32" a="1"/>
  <c r="AJ76" i="32" a="1"/>
  <c r="AH76" i="32" a="1"/>
  <c r="AS76" i="32" l="1"/>
  <c r="AO76" i="32"/>
  <c r="AK76" i="32"/>
  <c r="AG76" i="32"/>
  <c r="AC76" i="32"/>
  <c r="AT76" i="32"/>
  <c r="AP76" i="32"/>
  <c r="AL76" i="32"/>
  <c r="AH76" i="32"/>
  <c r="AD76" i="32"/>
  <c r="AN76" i="32"/>
  <c r="AF76" i="32"/>
  <c r="AU76" i="32"/>
  <c r="AM76" i="32"/>
  <c r="AE76" i="32"/>
  <c r="AR76" i="32"/>
  <c r="AJ76" i="32"/>
  <c r="AQ76" i="32"/>
  <c r="AI76" i="32"/>
  <c r="V76" i="32"/>
  <c r="R76" i="32"/>
  <c r="BJ76" i="32" s="1"/>
  <c r="N76" i="32"/>
  <c r="BF76" i="32" s="1"/>
  <c r="L76" i="32"/>
  <c r="BB76" i="32" s="1"/>
  <c r="Y76" i="32"/>
  <c r="BQ76" i="32" s="1"/>
  <c r="U76" i="32"/>
  <c r="Q76" i="32"/>
  <c r="BI76" i="32" s="1"/>
  <c r="D76" i="32"/>
  <c r="BE76" i="32" s="1"/>
  <c r="K76" i="32"/>
  <c r="BA76" i="32" s="1"/>
  <c r="W76" i="32"/>
  <c r="BO76" i="32" s="1"/>
  <c r="X76" i="32"/>
  <c r="BP76" i="32" s="1"/>
  <c r="P76" i="32"/>
  <c r="BH76" i="32" s="1"/>
  <c r="J76" i="32"/>
  <c r="AZ76" i="32" s="1"/>
  <c r="O76" i="32"/>
  <c r="T76" i="32"/>
  <c r="BL76" i="32" s="1"/>
  <c r="C76" i="32"/>
  <c r="BD76" i="32" s="1"/>
  <c r="S76" i="32"/>
  <c r="BK76" i="32" s="1"/>
  <c r="M76" i="32"/>
  <c r="BC76" i="32" s="1"/>
  <c r="BN76" i="32"/>
  <c r="BM76" i="32"/>
  <c r="BG76" i="32"/>
  <c r="AB76" i="32"/>
  <c r="I76" i="32"/>
  <c r="AY76" i="32" s="1"/>
  <c r="H76" i="32"/>
  <c r="AX76" i="32" s="1"/>
  <c r="G77" i="32"/>
  <c r="K77" i="32" a="1"/>
  <c r="V77" i="32" a="1"/>
  <c r="T77" i="32" a="1"/>
  <c r="AC77" i="32" a="1"/>
  <c r="AD77" i="32" a="1"/>
  <c r="M77" i="32" a="1"/>
  <c r="AK77" i="32" a="1"/>
  <c r="AS77" i="32" a="1"/>
  <c r="L77" i="32" a="1"/>
  <c r="AE77" i="32" a="1"/>
  <c r="W77" i="32" a="1"/>
  <c r="D77" i="32" a="1"/>
  <c r="AB77" i="32" a="1"/>
  <c r="AJ77" i="32" a="1"/>
  <c r="Q77" i="32" a="1"/>
  <c r="X77" i="32" a="1"/>
  <c r="AH77" i="32" a="1"/>
  <c r="S77" i="32" a="1"/>
  <c r="AP77" i="32" a="1"/>
  <c r="AG77" i="32" a="1"/>
  <c r="AM77" i="32" a="1"/>
  <c r="AQ77" i="32" a="1"/>
  <c r="Y77" i="32" a="1"/>
  <c r="O77" i="32" a="1"/>
  <c r="AF77" i="32" a="1"/>
  <c r="AL77" i="32" a="1"/>
  <c r="AN77" i="32" a="1"/>
  <c r="R77" i="32" a="1"/>
  <c r="AI77" i="32" a="1"/>
  <c r="AO77" i="32" a="1"/>
  <c r="U77" i="32" a="1"/>
  <c r="H77" i="32" a="1"/>
  <c r="N77" i="32" a="1"/>
  <c r="P77" i="32" a="1"/>
  <c r="AR77" i="32" a="1"/>
  <c r="AU77" i="32" a="1"/>
  <c r="I77" i="32" a="1"/>
  <c r="AT77" i="32" a="1"/>
  <c r="J77" i="32" a="1"/>
  <c r="C77" i="32" a="1"/>
  <c r="AT77" i="32" l="1"/>
  <c r="AP77" i="32"/>
  <c r="AL77" i="32"/>
  <c r="AH77" i="32"/>
  <c r="AD77" i="32"/>
  <c r="AU77" i="32"/>
  <c r="AQ77" i="32"/>
  <c r="AM77" i="32"/>
  <c r="AI77" i="32"/>
  <c r="AE77" i="32"/>
  <c r="AS77" i="32"/>
  <c r="AK77" i="32"/>
  <c r="AC77" i="32"/>
  <c r="AR77" i="32"/>
  <c r="AJ77" i="32"/>
  <c r="AO77" i="32"/>
  <c r="AG77" i="32"/>
  <c r="AN77" i="32"/>
  <c r="AF77" i="32"/>
  <c r="X77" i="32"/>
  <c r="T77" i="32"/>
  <c r="BL77" i="32" s="1"/>
  <c r="P77" i="32"/>
  <c r="BH77" i="32" s="1"/>
  <c r="C77" i="32"/>
  <c r="BD77" i="32" s="1"/>
  <c r="J77" i="32"/>
  <c r="AZ77" i="32" s="1"/>
  <c r="W77" i="32"/>
  <c r="BO77" i="32" s="1"/>
  <c r="S77" i="32"/>
  <c r="BK77" i="32" s="1"/>
  <c r="O77" i="32"/>
  <c r="BG77" i="32" s="1"/>
  <c r="M77" i="32"/>
  <c r="BC77" i="32" s="1"/>
  <c r="V77" i="32"/>
  <c r="N77" i="32"/>
  <c r="BF77" i="32" s="1"/>
  <c r="U77" i="32"/>
  <c r="BM77" i="32" s="1"/>
  <c r="D77" i="32"/>
  <c r="BE77" i="32" s="1"/>
  <c r="R77" i="32"/>
  <c r="BJ77" i="32" s="1"/>
  <c r="L77" i="32"/>
  <c r="BB77" i="32" s="1"/>
  <c r="Y77" i="32"/>
  <c r="BQ77" i="32" s="1"/>
  <c r="Q77" i="32"/>
  <c r="BI77" i="32" s="1"/>
  <c r="K77" i="32"/>
  <c r="BA77" i="32" s="1"/>
  <c r="BN77" i="32"/>
  <c r="BP77" i="32"/>
  <c r="AB77" i="32"/>
  <c r="I77" i="32"/>
  <c r="AY77" i="32" s="1"/>
  <c r="H77" i="32"/>
  <c r="AX77" i="32" s="1"/>
  <c r="G78" i="32"/>
  <c r="S78" i="32" a="1"/>
  <c r="Y78" i="32" a="1"/>
  <c r="AL78" i="32" a="1"/>
  <c r="AO78" i="32" a="1"/>
  <c r="I78" i="32" a="1"/>
  <c r="AM78" i="32" a="1"/>
  <c r="AD78" i="32" a="1"/>
  <c r="H78" i="32" a="1"/>
  <c r="O78" i="32" a="1"/>
  <c r="R78" i="32" a="1"/>
  <c r="W78" i="32" a="1"/>
  <c r="AP78" i="32" a="1"/>
  <c r="AK78" i="32" a="1"/>
  <c r="Q78" i="32" a="1"/>
  <c r="AJ78" i="32" a="1"/>
  <c r="C78" i="32" a="1"/>
  <c r="L78" i="32" a="1"/>
  <c r="AU78" i="32" a="1"/>
  <c r="AB78" i="32" a="1"/>
  <c r="M78" i="32" a="1"/>
  <c r="AG78" i="32" a="1"/>
  <c r="K78" i="32" a="1"/>
  <c r="J78" i="32" a="1"/>
  <c r="AH78" i="32" a="1"/>
  <c r="P78" i="32" a="1"/>
  <c r="AQ78" i="32" a="1"/>
  <c r="AS78" i="32" a="1"/>
  <c r="T78" i="32" a="1"/>
  <c r="N78" i="32" a="1"/>
  <c r="AR78" i="32" a="1"/>
  <c r="AE78" i="32" a="1"/>
  <c r="V78" i="32" a="1"/>
  <c r="AI78" i="32" a="1"/>
  <c r="D78" i="32" a="1"/>
  <c r="AN78" i="32" a="1"/>
  <c r="AT78" i="32" a="1"/>
  <c r="AC78" i="32" a="1"/>
  <c r="X78" i="32" a="1"/>
  <c r="U78" i="32" a="1"/>
  <c r="AF78" i="32" a="1"/>
  <c r="AS78" i="32" l="1"/>
  <c r="AJ78" i="32"/>
  <c r="AN78" i="32"/>
  <c r="AI78" i="32"/>
  <c r="AE78" i="32"/>
  <c r="AR78" i="32"/>
  <c r="AM78" i="32"/>
  <c r="AO78" i="32"/>
  <c r="AF78" i="32"/>
  <c r="AQ78" i="32"/>
  <c r="AH78" i="32"/>
  <c r="AP78" i="32"/>
  <c r="AG78" i="32"/>
  <c r="AD78" i="32"/>
  <c r="AU78" i="32"/>
  <c r="AL78" i="32"/>
  <c r="AC78" i="32"/>
  <c r="AT78" i="32"/>
  <c r="AK78" i="32"/>
  <c r="V78" i="32"/>
  <c r="BN78" i="32" s="1"/>
  <c r="R78" i="32"/>
  <c r="BJ78" i="32" s="1"/>
  <c r="N78" i="32"/>
  <c r="BF78" i="32" s="1"/>
  <c r="L78" i="32"/>
  <c r="BB78" i="32" s="1"/>
  <c r="Y78" i="32"/>
  <c r="BQ78" i="32" s="1"/>
  <c r="U78" i="32"/>
  <c r="Q78" i="32"/>
  <c r="BI78" i="32" s="1"/>
  <c r="D78" i="32"/>
  <c r="BE78" i="32" s="1"/>
  <c r="K78" i="32"/>
  <c r="BA78" i="32" s="1"/>
  <c r="M78" i="32"/>
  <c r="BC78" i="32" s="1"/>
  <c r="T78" i="32"/>
  <c r="BL78" i="32" s="1"/>
  <c r="C78" i="32"/>
  <c r="BD78" i="32" s="1"/>
  <c r="S78" i="32"/>
  <c r="BK78" i="32" s="1"/>
  <c r="X78" i="32"/>
  <c r="P78" i="32"/>
  <c r="BH78" i="32" s="1"/>
  <c r="J78" i="32"/>
  <c r="AZ78" i="32" s="1"/>
  <c r="W78" i="32"/>
  <c r="BO78" i="32" s="1"/>
  <c r="O78" i="32"/>
  <c r="BG78" i="32" s="1"/>
  <c r="BM78" i="32"/>
  <c r="BP78" i="32"/>
  <c r="AB78" i="32"/>
  <c r="I78" i="32"/>
  <c r="AY78" i="32" s="1"/>
  <c r="H78" i="32"/>
  <c r="AX78" i="32" s="1"/>
  <c r="G79" i="32"/>
  <c r="K79" i="32" a="1"/>
  <c r="J79" i="32" a="1"/>
  <c r="AC79" i="32" a="1"/>
  <c r="AN79" i="32" a="1"/>
  <c r="H79" i="32" a="1"/>
  <c r="T79" i="32" a="1"/>
  <c r="X79" i="32" a="1"/>
  <c r="AJ79" i="32" a="1"/>
  <c r="W79" i="32" a="1"/>
  <c r="L79" i="32" a="1"/>
  <c r="C79" i="32" a="1"/>
  <c r="AL79" i="32" a="1"/>
  <c r="AS79" i="32" a="1"/>
  <c r="I79" i="32" a="1"/>
  <c r="Q79" i="32" a="1"/>
  <c r="AQ79" i="32" a="1"/>
  <c r="M79" i="32" a="1"/>
  <c r="AD79" i="32" a="1"/>
  <c r="N79" i="32" a="1"/>
  <c r="AG79" i="32" a="1"/>
  <c r="AT79" i="32" a="1"/>
  <c r="R79" i="32" a="1"/>
  <c r="P79" i="32" a="1"/>
  <c r="AU79" i="32" a="1"/>
  <c r="AH79" i="32" a="1"/>
  <c r="AB79" i="32" a="1"/>
  <c r="D79" i="32" a="1"/>
  <c r="AO79" i="32" a="1"/>
  <c r="U79" i="32" a="1"/>
  <c r="AF79" i="32" a="1"/>
  <c r="O79" i="32" a="1"/>
  <c r="AM79" i="32" a="1"/>
  <c r="AR79" i="32" a="1"/>
  <c r="V79" i="32" a="1"/>
  <c r="S79" i="32" a="1"/>
  <c r="AK79" i="32" a="1"/>
  <c r="AP79" i="32" a="1"/>
  <c r="AI79" i="32" a="1"/>
  <c r="Y79" i="32" a="1"/>
  <c r="AE79" i="32" a="1"/>
  <c r="AR79" i="32" l="1"/>
  <c r="AI79" i="32"/>
  <c r="AM79" i="32"/>
  <c r="AD79" i="32"/>
  <c r="AQ79" i="32"/>
  <c r="AH79" i="32"/>
  <c r="AS79" i="32"/>
  <c r="AN79" i="32"/>
  <c r="AE79" i="32"/>
  <c r="AP79" i="32"/>
  <c r="AG79" i="32"/>
  <c r="AF79" i="32"/>
  <c r="AO79" i="32"/>
  <c r="AU79" i="32"/>
  <c r="AL79" i="32"/>
  <c r="AC79" i="32"/>
  <c r="AT79" i="32"/>
  <c r="AK79" i="32"/>
  <c r="AJ79" i="32"/>
  <c r="X79" i="32"/>
  <c r="T79" i="32"/>
  <c r="BL79" i="32" s="1"/>
  <c r="P79" i="32"/>
  <c r="BH79" i="32" s="1"/>
  <c r="C79" i="32"/>
  <c r="BD79" i="32" s="1"/>
  <c r="J79" i="32"/>
  <c r="AZ79" i="32" s="1"/>
  <c r="W79" i="32"/>
  <c r="BO79" i="32" s="1"/>
  <c r="S79" i="32"/>
  <c r="BK79" i="32" s="1"/>
  <c r="O79" i="32"/>
  <c r="BG79" i="32" s="1"/>
  <c r="M79" i="32"/>
  <c r="BC79" i="32" s="1"/>
  <c r="Q79" i="32"/>
  <c r="BI79" i="32" s="1"/>
  <c r="R79" i="32"/>
  <c r="BJ79" i="32" s="1"/>
  <c r="L79" i="32"/>
  <c r="BB79" i="32" s="1"/>
  <c r="K79" i="32"/>
  <c r="BA79" i="32" s="1"/>
  <c r="Y79" i="32"/>
  <c r="BQ79" i="32" s="1"/>
  <c r="V79" i="32"/>
  <c r="BN79" i="32" s="1"/>
  <c r="N79" i="32"/>
  <c r="BF79" i="32" s="1"/>
  <c r="U79" i="32"/>
  <c r="D79" i="32"/>
  <c r="BE79" i="32" s="1"/>
  <c r="BP79" i="32"/>
  <c r="BM79" i="32"/>
  <c r="AB79" i="32"/>
  <c r="I79" i="32"/>
  <c r="AY79" i="32" s="1"/>
  <c r="H79" i="32"/>
  <c r="AX79" i="32" s="1"/>
  <c r="G80" i="32"/>
  <c r="J80" i="32" a="1"/>
  <c r="Y80" i="32" a="1"/>
  <c r="AK80" i="32" a="1"/>
  <c r="AG80" i="32" a="1"/>
  <c r="AB80" i="32" a="1"/>
  <c r="H80" i="32" a="1"/>
  <c r="R80" i="32" a="1"/>
  <c r="AC80" i="32" a="1"/>
  <c r="K80" i="32" a="1"/>
  <c r="AH80" i="32" a="1"/>
  <c r="C80" i="32" a="1"/>
  <c r="AQ80" i="32" a="1"/>
  <c r="T80" i="32" a="1"/>
  <c r="P80" i="32" a="1"/>
  <c r="L80" i="32" a="1"/>
  <c r="AE80" i="32" a="1"/>
  <c r="AL80" i="32" a="1"/>
  <c r="I80" i="32" a="1"/>
  <c r="AN80" i="32" a="1"/>
  <c r="M80" i="32" a="1"/>
  <c r="S80" i="32" a="1"/>
  <c r="AO80" i="32" a="1"/>
  <c r="D80" i="32" a="1"/>
  <c r="Q80" i="32" a="1"/>
  <c r="AD80" i="32" a="1"/>
  <c r="X80" i="32" a="1"/>
  <c r="N80" i="32" a="1"/>
  <c r="AU80" i="32" a="1"/>
  <c r="W80" i="32" a="1"/>
  <c r="AF80" i="32" a="1"/>
  <c r="V80" i="32" a="1"/>
  <c r="AJ80" i="32" a="1"/>
  <c r="AS80" i="32" a="1"/>
  <c r="O80" i="32" a="1"/>
  <c r="U80" i="32" a="1"/>
  <c r="AT80" i="32" a="1"/>
  <c r="AR80" i="32" a="1"/>
  <c r="AM80" i="32" a="1"/>
  <c r="AP80" i="32" a="1"/>
  <c r="AI80" i="32" a="1"/>
  <c r="AM80" i="32" l="1"/>
  <c r="AD80" i="32"/>
  <c r="AQ80" i="32"/>
  <c r="AH80" i="32"/>
  <c r="AC80" i="32"/>
  <c r="AU80" i="32"/>
  <c r="AL80" i="32"/>
  <c r="AG80" i="32"/>
  <c r="AR80" i="32"/>
  <c r="AI80" i="32"/>
  <c r="AP80" i="32"/>
  <c r="AO80" i="32"/>
  <c r="AF80" i="32"/>
  <c r="AN80" i="32"/>
  <c r="AE80" i="32"/>
  <c r="AK80" i="32"/>
  <c r="AT80" i="32"/>
  <c r="AS80" i="32"/>
  <c r="AJ80" i="32"/>
  <c r="V80" i="32"/>
  <c r="R80" i="32"/>
  <c r="BJ80" i="32" s="1"/>
  <c r="N80" i="32"/>
  <c r="BF80" i="32" s="1"/>
  <c r="L80" i="32"/>
  <c r="BB80" i="32" s="1"/>
  <c r="Y80" i="32"/>
  <c r="BQ80" i="32" s="1"/>
  <c r="U80" i="32"/>
  <c r="BM80" i="32" s="1"/>
  <c r="Q80" i="32"/>
  <c r="BI80" i="32" s="1"/>
  <c r="D80" i="32"/>
  <c r="BE80" i="32" s="1"/>
  <c r="K80" i="32"/>
  <c r="BA80" i="32" s="1"/>
  <c r="W80" i="32"/>
  <c r="BO80" i="32" s="1"/>
  <c r="X80" i="32"/>
  <c r="BP80" i="32" s="1"/>
  <c r="P80" i="32"/>
  <c r="BH80" i="32" s="1"/>
  <c r="J80" i="32"/>
  <c r="AZ80" i="32" s="1"/>
  <c r="O80" i="32"/>
  <c r="T80" i="32"/>
  <c r="BL80" i="32" s="1"/>
  <c r="C80" i="32"/>
  <c r="BD80" i="32" s="1"/>
  <c r="S80" i="32"/>
  <c r="BK80" i="32" s="1"/>
  <c r="M80" i="32"/>
  <c r="BC80" i="32" s="1"/>
  <c r="BN80" i="32"/>
  <c r="BG80" i="32"/>
  <c r="AB80" i="32"/>
  <c r="I80" i="32"/>
  <c r="AY80" i="32" s="1"/>
  <c r="H80" i="32"/>
  <c r="AX80" i="32" s="1"/>
  <c r="G81" i="32"/>
  <c r="R81" i="32" a="1"/>
  <c r="W81" i="32" a="1"/>
  <c r="AJ81" i="32" a="1"/>
  <c r="AM81" i="32" a="1"/>
  <c r="AQ81" i="32" a="1"/>
  <c r="AK81" i="32" a="1"/>
  <c r="I81" i="32" a="1"/>
  <c r="N81" i="32" a="1"/>
  <c r="AG81" i="32" a="1"/>
  <c r="V81" i="32" a="1"/>
  <c r="X81" i="32" a="1"/>
  <c r="O81" i="32" a="1"/>
  <c r="D81" i="32" a="1"/>
  <c r="J81" i="32" a="1"/>
  <c r="AS81" i="32" a="1"/>
  <c r="AB81" i="32" a="1"/>
  <c r="AE81" i="32" a="1"/>
  <c r="K81" i="32" a="1"/>
  <c r="AN81" i="32" a="1"/>
  <c r="Q81" i="32" a="1"/>
  <c r="AU81" i="32" a="1"/>
  <c r="Y81" i="32" a="1"/>
  <c r="AC81" i="32" a="1"/>
  <c r="U81" i="32" a="1"/>
  <c r="C81" i="32" a="1"/>
  <c r="AD81" i="32" a="1"/>
  <c r="AT81" i="32" a="1"/>
  <c r="P81" i="32" a="1"/>
  <c r="H81" i="32" a="1"/>
  <c r="T81" i="32" a="1"/>
  <c r="M81" i="32" a="1"/>
  <c r="AO81" i="32" a="1"/>
  <c r="L81" i="32" a="1"/>
  <c r="S81" i="32" a="1"/>
  <c r="AR81" i="32" a="1"/>
  <c r="AH81" i="32" a="1"/>
  <c r="AL81" i="32" a="1"/>
  <c r="AP81" i="32" a="1"/>
  <c r="AF81" i="32" a="1"/>
  <c r="AI81" i="32" a="1"/>
  <c r="AQ81" i="32" l="1"/>
  <c r="AL81" i="32"/>
  <c r="AC81" i="32"/>
  <c r="AU81" i="32"/>
  <c r="AP81" i="32"/>
  <c r="AG81" i="32"/>
  <c r="AT81" i="32"/>
  <c r="AK81" i="32"/>
  <c r="AM81" i="32"/>
  <c r="AH81" i="32"/>
  <c r="AO81" i="32"/>
  <c r="AF81" i="32"/>
  <c r="AN81" i="32"/>
  <c r="AE81" i="32"/>
  <c r="AD81" i="32"/>
  <c r="AS81" i="32"/>
  <c r="AJ81" i="32"/>
  <c r="AR81" i="32"/>
  <c r="AI81" i="32"/>
  <c r="X81" i="32"/>
  <c r="BP81" i="32" s="1"/>
  <c r="T81" i="32"/>
  <c r="BL81" i="32" s="1"/>
  <c r="P81" i="32"/>
  <c r="BH81" i="32" s="1"/>
  <c r="C81" i="32"/>
  <c r="BD81" i="32" s="1"/>
  <c r="J81" i="32"/>
  <c r="AZ81" i="32" s="1"/>
  <c r="W81" i="32"/>
  <c r="S81" i="32"/>
  <c r="BK81" i="32" s="1"/>
  <c r="O81" i="32"/>
  <c r="BG81" i="32" s="1"/>
  <c r="M81" i="32"/>
  <c r="BC81" i="32" s="1"/>
  <c r="V81" i="32"/>
  <c r="N81" i="32"/>
  <c r="BF81" i="32" s="1"/>
  <c r="U81" i="32"/>
  <c r="BM81" i="32" s="1"/>
  <c r="D81" i="32"/>
  <c r="BE81" i="32" s="1"/>
  <c r="R81" i="32"/>
  <c r="L81" i="32"/>
  <c r="BB81" i="32" s="1"/>
  <c r="Y81" i="32"/>
  <c r="BQ81" i="32" s="1"/>
  <c r="Q81" i="32"/>
  <c r="BI81" i="32" s="1"/>
  <c r="K81" i="32"/>
  <c r="BA81" i="32" s="1"/>
  <c r="BN81" i="32"/>
  <c r="BO81" i="32"/>
  <c r="BJ81" i="32"/>
  <c r="AB81" i="32"/>
  <c r="I81" i="32"/>
  <c r="AY81" i="32" s="1"/>
  <c r="H81" i="32"/>
  <c r="AX81" i="32" s="1"/>
  <c r="G82" i="32"/>
  <c r="P82" i="32" a="1"/>
  <c r="X82" i="32" a="1"/>
  <c r="AS82" i="32" a="1"/>
  <c r="AF82" i="32" a="1"/>
  <c r="I82" i="32" a="1"/>
  <c r="AK82" i="32" a="1"/>
  <c r="M82" i="32" a="1"/>
  <c r="AN82" i="32" a="1"/>
  <c r="C82" i="32" a="1"/>
  <c r="AG82" i="32" a="1"/>
  <c r="AC82" i="32" a="1"/>
  <c r="L82" i="32" a="1"/>
  <c r="J82" i="32" a="1"/>
  <c r="Y82" i="32" a="1"/>
  <c r="O82" i="32" a="1"/>
  <c r="AD82" i="32" a="1"/>
  <c r="AO82" i="32" a="1"/>
  <c r="AH82" i="32" a="1"/>
  <c r="AE82" i="32" a="1"/>
  <c r="D82" i="32" a="1"/>
  <c r="AP82" i="32" a="1"/>
  <c r="AL82" i="32" a="1"/>
  <c r="Q82" i="32" a="1"/>
  <c r="K82" i="32" a="1"/>
  <c r="T82" i="32" a="1"/>
  <c r="AM82" i="32" a="1"/>
  <c r="R82" i="32" a="1"/>
  <c r="AT82" i="32" a="1"/>
  <c r="N82" i="32" a="1"/>
  <c r="AR82" i="32" a="1"/>
  <c r="V82" i="32" a="1"/>
  <c r="H82" i="32" a="1"/>
  <c r="U82" i="32" a="1"/>
  <c r="S82" i="32" a="1"/>
  <c r="AJ82" i="32" a="1"/>
  <c r="AU82" i="32" a="1"/>
  <c r="AB82" i="32" a="1"/>
  <c r="AQ82" i="32" a="1"/>
  <c r="W82" i="32" a="1"/>
  <c r="AI82" i="32" a="1"/>
  <c r="AP82" i="32" l="1"/>
  <c r="AG82" i="32"/>
  <c r="AT82" i="32"/>
  <c r="AK82" i="32"/>
  <c r="AO82" i="32"/>
  <c r="AF82" i="32"/>
  <c r="AU82" i="32"/>
  <c r="AL82" i="32"/>
  <c r="AC82" i="32"/>
  <c r="AE82" i="32"/>
  <c r="AN82" i="32"/>
  <c r="AM82" i="32"/>
  <c r="AD82" i="32"/>
  <c r="AS82" i="32"/>
  <c r="AJ82" i="32"/>
  <c r="AI82" i="32"/>
  <c r="AR82" i="32"/>
  <c r="AQ82" i="32"/>
  <c r="AH82" i="32"/>
  <c r="T82" i="32"/>
  <c r="BL82" i="32" s="1"/>
  <c r="O82" i="32"/>
  <c r="BG82" i="32" s="1"/>
  <c r="X82" i="32"/>
  <c r="BP82" i="32" s="1"/>
  <c r="S82" i="32"/>
  <c r="BK82" i="32" s="1"/>
  <c r="L82" i="32"/>
  <c r="BB82" i="32" s="1"/>
  <c r="W82" i="32"/>
  <c r="BO82" i="32" s="1"/>
  <c r="N82" i="32"/>
  <c r="BF82" i="32" s="1"/>
  <c r="R82" i="32"/>
  <c r="K82" i="32"/>
  <c r="BA82" i="32" s="1"/>
  <c r="Y82" i="32"/>
  <c r="BQ82" i="32" s="1"/>
  <c r="P82" i="32"/>
  <c r="BH82" i="32" s="1"/>
  <c r="U82" i="32"/>
  <c r="BM82" i="32" s="1"/>
  <c r="V82" i="32"/>
  <c r="BN82" i="32" s="1"/>
  <c r="D82" i="32"/>
  <c r="BE82" i="32" s="1"/>
  <c r="C82" i="32"/>
  <c r="BD82" i="32" s="1"/>
  <c r="M82" i="32"/>
  <c r="BC82" i="32" s="1"/>
  <c r="Q82" i="32"/>
  <c r="BI82" i="32" s="1"/>
  <c r="J82" i="32"/>
  <c r="AZ82" i="32" s="1"/>
  <c r="BJ82" i="32"/>
  <c r="AB82" i="32"/>
  <c r="I82" i="32"/>
  <c r="AY82" i="32" s="1"/>
  <c r="H82" i="32"/>
  <c r="AX82" i="32" s="1"/>
  <c r="G83" i="32"/>
  <c r="C83" i="32" a="1"/>
  <c r="W83" i="32" a="1"/>
  <c r="AQ83" i="32" a="1"/>
  <c r="AG83" i="32" a="1"/>
  <c r="AK83" i="32" a="1"/>
  <c r="AT83" i="32" a="1"/>
  <c r="I83" i="32" a="1"/>
  <c r="O83" i="32" a="1"/>
  <c r="H83" i="32" a="1"/>
  <c r="P83" i="32" a="1"/>
  <c r="AB83" i="32" a="1"/>
  <c r="AU83" i="32" a="1"/>
  <c r="Q83" i="32" a="1"/>
  <c r="AO83" i="32" a="1"/>
  <c r="V83" i="32" a="1"/>
  <c r="L83" i="32" a="1"/>
  <c r="AI83" i="32" a="1"/>
  <c r="AP83" i="32" a="1"/>
  <c r="AC83" i="32" a="1"/>
  <c r="X83" i="32" a="1"/>
  <c r="Y83" i="32" a="1"/>
  <c r="AD83" i="32" a="1"/>
  <c r="U83" i="32" a="1"/>
  <c r="S83" i="32" a="1"/>
  <c r="AR83" i="32" a="1"/>
  <c r="AE83" i="32" a="1"/>
  <c r="D83" i="32" a="1"/>
  <c r="AN83" i="32" a="1"/>
  <c r="AL83" i="32" a="1"/>
  <c r="J83" i="32" a="1"/>
  <c r="AJ83" i="32" a="1"/>
  <c r="T83" i="32" a="1"/>
  <c r="R83" i="32" a="1"/>
  <c r="N83" i="32" a="1"/>
  <c r="AH83" i="32" a="1"/>
  <c r="AM83" i="32" a="1"/>
  <c r="AF83" i="32" a="1"/>
  <c r="AS83" i="32" a="1"/>
  <c r="M83" i="32" a="1"/>
  <c r="K83" i="32" a="1"/>
  <c r="AT83" i="32" l="1"/>
  <c r="AK83" i="32"/>
  <c r="AF83" i="32"/>
  <c r="AO83" i="32"/>
  <c r="AJ83" i="32"/>
  <c r="AS83" i="32"/>
  <c r="AN83" i="32"/>
  <c r="AE83" i="32"/>
  <c r="AP83" i="32"/>
  <c r="AG83" i="32"/>
  <c r="AM83" i="32"/>
  <c r="AD83" i="32"/>
  <c r="AU83" i="32"/>
  <c r="AL83" i="32"/>
  <c r="AC83" i="32"/>
  <c r="AR83" i="32"/>
  <c r="AI83" i="32"/>
  <c r="AQ83" i="32"/>
  <c r="AH83" i="32"/>
  <c r="T83" i="32"/>
  <c r="BL83" i="32" s="1"/>
  <c r="M83" i="32"/>
  <c r="BC83" i="32" s="1"/>
  <c r="X83" i="32"/>
  <c r="BP83" i="32" s="1"/>
  <c r="O83" i="32"/>
  <c r="BG83" i="32" s="1"/>
  <c r="S83" i="32"/>
  <c r="BK83" i="32" s="1"/>
  <c r="L83" i="32"/>
  <c r="BB83" i="32" s="1"/>
  <c r="W83" i="32"/>
  <c r="N83" i="32"/>
  <c r="BF83" i="32" s="1"/>
  <c r="K83" i="32"/>
  <c r="BA83" i="32" s="1"/>
  <c r="Y83" i="32"/>
  <c r="BQ83" i="32" s="1"/>
  <c r="P83" i="32"/>
  <c r="BH83" i="32" s="1"/>
  <c r="D83" i="32"/>
  <c r="BE83" i="32" s="1"/>
  <c r="U83" i="32"/>
  <c r="BM83" i="32" s="1"/>
  <c r="V83" i="32"/>
  <c r="C83" i="32"/>
  <c r="BD83" i="32" s="1"/>
  <c r="R83" i="32"/>
  <c r="BJ83" i="32" s="1"/>
  <c r="Q83" i="32"/>
  <c r="BI83" i="32" s="1"/>
  <c r="J83" i="32"/>
  <c r="AZ83" i="32" s="1"/>
  <c r="BO83" i="32"/>
  <c r="BN83" i="32"/>
  <c r="AB83" i="32"/>
  <c r="I83" i="32"/>
  <c r="AY83" i="32" s="1"/>
  <c r="H83" i="32"/>
  <c r="AX83" i="32" s="1"/>
  <c r="G84" i="32"/>
  <c r="K84" i="32" a="1"/>
  <c r="L84" i="32" a="1"/>
  <c r="AH84" i="32" a="1"/>
  <c r="AN84" i="32" a="1"/>
  <c r="AF84" i="32" a="1"/>
  <c r="U84" i="32" a="1"/>
  <c r="AE84" i="32" a="1"/>
  <c r="AJ84" i="32" a="1"/>
  <c r="M84" i="32" a="1"/>
  <c r="N84" i="32" a="1"/>
  <c r="AU84" i="32" a="1"/>
  <c r="R84" i="32" a="1"/>
  <c r="S84" i="32" a="1"/>
  <c r="AR84" i="32" a="1"/>
  <c r="AO84" i="32" a="1"/>
  <c r="AL84" i="32" a="1"/>
  <c r="AQ84" i="32" a="1"/>
  <c r="O84" i="32" a="1"/>
  <c r="I84" i="32" a="1"/>
  <c r="D84" i="32" a="1"/>
  <c r="AB84" i="32" a="1"/>
  <c r="AP84" i="32" a="1"/>
  <c r="J84" i="32" a="1"/>
  <c r="C84" i="32" a="1"/>
  <c r="X84" i="32" a="1"/>
  <c r="AS84" i="32" a="1"/>
  <c r="AG84" i="32" a="1"/>
  <c r="AI84" i="32" a="1"/>
  <c r="AT84" i="32" a="1"/>
  <c r="V84" i="32" a="1"/>
  <c r="H84" i="32" a="1"/>
  <c r="AC84" i="32" a="1"/>
  <c r="Q84" i="32" a="1"/>
  <c r="W84" i="32" a="1"/>
  <c r="Y84" i="32" a="1"/>
  <c r="AD84" i="32" a="1"/>
  <c r="AK84" i="32" a="1"/>
  <c r="T84" i="32" a="1"/>
  <c r="AM84" i="32" a="1"/>
  <c r="P84" i="32" a="1"/>
  <c r="AQ84" i="32" l="1"/>
  <c r="AL84" i="32"/>
  <c r="AF84" i="32"/>
  <c r="AK84" i="32"/>
  <c r="AU84" i="32"/>
  <c r="AP84" i="32"/>
  <c r="AJ84" i="32"/>
  <c r="AE84" i="32"/>
  <c r="AG84" i="32"/>
  <c r="AO84" i="32"/>
  <c r="AN84" i="32"/>
  <c r="AD84" i="32"/>
  <c r="AC84" i="32"/>
  <c r="AM84" i="32"/>
  <c r="AT84" i="32"/>
  <c r="AI84" i="32"/>
  <c r="AS84" i="32"/>
  <c r="AR84" i="32"/>
  <c r="AH84" i="32"/>
  <c r="Y84" i="32"/>
  <c r="BQ84" i="32" s="1"/>
  <c r="P84" i="32"/>
  <c r="BH84" i="32" s="1"/>
  <c r="M84" i="32"/>
  <c r="BC84" i="32" s="1"/>
  <c r="T84" i="32"/>
  <c r="BL84" i="32" s="1"/>
  <c r="O84" i="32"/>
  <c r="BG84" i="32" s="1"/>
  <c r="X84" i="32"/>
  <c r="S84" i="32"/>
  <c r="BK84" i="32" s="1"/>
  <c r="L84" i="32"/>
  <c r="BB84" i="32" s="1"/>
  <c r="W84" i="32"/>
  <c r="N84" i="32"/>
  <c r="BF84" i="32" s="1"/>
  <c r="V84" i="32"/>
  <c r="BN84" i="32" s="1"/>
  <c r="D84" i="32"/>
  <c r="BE84" i="32" s="1"/>
  <c r="U84" i="32"/>
  <c r="BM84" i="32" s="1"/>
  <c r="C84" i="32"/>
  <c r="BD84" i="32" s="1"/>
  <c r="R84" i="32"/>
  <c r="BJ84" i="32" s="1"/>
  <c r="K84" i="32"/>
  <c r="BA84" i="32" s="1"/>
  <c r="Q84" i="32"/>
  <c r="BI84" i="32" s="1"/>
  <c r="J84" i="32"/>
  <c r="AZ84" i="32" s="1"/>
  <c r="BP84" i="32"/>
  <c r="BO84" i="32"/>
  <c r="AB84" i="32"/>
  <c r="I84" i="32"/>
  <c r="AY84" i="32" s="1"/>
  <c r="H84" i="32"/>
  <c r="AX84" i="32" s="1"/>
  <c r="G85" i="32"/>
  <c r="C85" i="32" a="1"/>
  <c r="O85" i="32" a="1"/>
  <c r="AK85" i="32" a="1"/>
  <c r="AT85" i="32" a="1"/>
  <c r="AS85" i="32" a="1"/>
  <c r="AG85" i="32" a="1"/>
  <c r="H85" i="32" a="1"/>
  <c r="D85" i="32" a="1"/>
  <c r="AR85" i="32" a="1"/>
  <c r="AP85" i="32" a="1"/>
  <c r="W85" i="32" a="1"/>
  <c r="R85" i="32" a="1"/>
  <c r="AI85" i="32" a="1"/>
  <c r="U85" i="32" a="1"/>
  <c r="X85" i="32" a="1"/>
  <c r="AL85" i="32" a="1"/>
  <c r="AB85" i="32" a="1"/>
  <c r="T85" i="32" a="1"/>
  <c r="P85" i="32" a="1"/>
  <c r="Y85" i="32" a="1"/>
  <c r="AJ85" i="32" a="1"/>
  <c r="V85" i="32" a="1"/>
  <c r="M85" i="32" a="1"/>
  <c r="AE85" i="32" a="1"/>
  <c r="AM85" i="32" a="1"/>
  <c r="AO85" i="32" a="1"/>
  <c r="N85" i="32" a="1"/>
  <c r="AF85" i="32" a="1"/>
  <c r="L85" i="32" a="1"/>
  <c r="K85" i="32" a="1"/>
  <c r="S85" i="32" a="1"/>
  <c r="AU85" i="32" a="1"/>
  <c r="AD85" i="32" a="1"/>
  <c r="AN85" i="32" a="1"/>
  <c r="I85" i="32" a="1"/>
  <c r="J85" i="32" a="1"/>
  <c r="AH85" i="32" a="1"/>
  <c r="Q85" i="32" a="1"/>
  <c r="AC85" i="32" a="1"/>
  <c r="AQ85" i="32" a="1"/>
  <c r="AS85" i="32" l="1"/>
  <c r="AN85" i="32"/>
  <c r="AI85" i="32"/>
  <c r="AC85" i="32"/>
  <c r="AH85" i="32"/>
  <c r="AR85" i="32"/>
  <c r="AM85" i="32"/>
  <c r="AG85" i="32"/>
  <c r="AT85" i="32"/>
  <c r="AD85" i="32"/>
  <c r="AQ85" i="32"/>
  <c r="AF85" i="32"/>
  <c r="AP85" i="32"/>
  <c r="AO85" i="32"/>
  <c r="AE85" i="32"/>
  <c r="AL85" i="32"/>
  <c r="AK85" i="32"/>
  <c r="AU85" i="32"/>
  <c r="AJ85" i="32"/>
  <c r="Y85" i="32"/>
  <c r="BQ85" i="32" s="1"/>
  <c r="P85" i="32"/>
  <c r="BH85" i="32" s="1"/>
  <c r="T85" i="32"/>
  <c r="BL85" i="32" s="1"/>
  <c r="M85" i="32"/>
  <c r="BC85" i="32" s="1"/>
  <c r="X85" i="32"/>
  <c r="BP85" i="32" s="1"/>
  <c r="O85" i="32"/>
  <c r="BG85" i="32" s="1"/>
  <c r="S85" i="32"/>
  <c r="BK85" i="32" s="1"/>
  <c r="L85" i="32"/>
  <c r="BB85" i="32" s="1"/>
  <c r="W85" i="32"/>
  <c r="N85" i="32"/>
  <c r="BF85" i="32" s="1"/>
  <c r="D85" i="32"/>
  <c r="BE85" i="32" s="1"/>
  <c r="V85" i="32"/>
  <c r="BN85" i="32" s="1"/>
  <c r="U85" i="32"/>
  <c r="BM85" i="32" s="1"/>
  <c r="C85" i="32"/>
  <c r="K85" i="32"/>
  <c r="BA85" i="32" s="1"/>
  <c r="R85" i="32"/>
  <c r="BJ85" i="32" s="1"/>
  <c r="Q85" i="32"/>
  <c r="BI85" i="32" s="1"/>
  <c r="J85" i="32"/>
  <c r="AZ85" i="32" s="1"/>
  <c r="BO85" i="32"/>
  <c r="AB85" i="32"/>
  <c r="I85" i="32"/>
  <c r="AY85" i="32" s="1"/>
  <c r="BD85" i="32"/>
  <c r="H85" i="32"/>
  <c r="AX85" i="32" s="1"/>
  <c r="G86" i="32"/>
  <c r="N86" i="32" a="1"/>
  <c r="T86" i="32" a="1"/>
  <c r="AC86" i="32" a="1"/>
  <c r="AD86" i="32" a="1"/>
  <c r="AP86" i="32" a="1"/>
  <c r="AB86" i="32" a="1"/>
  <c r="Y86" i="32" a="1"/>
  <c r="AT86" i="32" a="1"/>
  <c r="C86" i="32" a="1"/>
  <c r="AS86" i="32" a="1"/>
  <c r="V86" i="32" a="1"/>
  <c r="W86" i="32" a="1"/>
  <c r="M86" i="32" a="1"/>
  <c r="AN86" i="32" a="1"/>
  <c r="AJ86" i="32" a="1"/>
  <c r="I86" i="32" a="1"/>
  <c r="Q86" i="32" a="1"/>
  <c r="H86" i="32" a="1"/>
  <c r="K86" i="32" a="1"/>
  <c r="AH86" i="32" a="1"/>
  <c r="U86" i="32" a="1"/>
  <c r="AI86" i="32" a="1"/>
  <c r="J86" i="32" a="1"/>
  <c r="P86" i="32" a="1"/>
  <c r="AG86" i="32" a="1"/>
  <c r="AO86" i="32" a="1"/>
  <c r="AR86" i="32" a="1"/>
  <c r="L86" i="32" a="1"/>
  <c r="S86" i="32" a="1"/>
  <c r="AL86" i="32" a="1"/>
  <c r="D86" i="32" a="1"/>
  <c r="O86" i="32" a="1"/>
  <c r="AM86" i="32" a="1"/>
  <c r="AQ86" i="32" a="1"/>
  <c r="AK86" i="32" a="1"/>
  <c r="AE86" i="32" a="1"/>
  <c r="R86" i="32" a="1"/>
  <c r="AU86" i="32" a="1"/>
  <c r="X86" i="32" a="1"/>
  <c r="AF86" i="32" a="1"/>
  <c r="AP86" i="32" l="1"/>
  <c r="AK86" i="32"/>
  <c r="AF86" i="32"/>
  <c r="AU86" i="32"/>
  <c r="AE86" i="32"/>
  <c r="AT86" i="32"/>
  <c r="AO86" i="32"/>
  <c r="AJ86" i="32"/>
  <c r="AD86" i="32"/>
  <c r="AQ86" i="32"/>
  <c r="AI86" i="32"/>
  <c r="AS86" i="32"/>
  <c r="AH86" i="32"/>
  <c r="AR86" i="32"/>
  <c r="AG86" i="32"/>
  <c r="AN86" i="32"/>
  <c r="AC86" i="32"/>
  <c r="AM86" i="32"/>
  <c r="AL86" i="32"/>
  <c r="U86" i="32"/>
  <c r="C86" i="32"/>
  <c r="BD86" i="32" s="1"/>
  <c r="Y86" i="32"/>
  <c r="BQ86" i="32" s="1"/>
  <c r="P86" i="32"/>
  <c r="BH86" i="32" s="1"/>
  <c r="M86" i="32"/>
  <c r="BC86" i="32" s="1"/>
  <c r="T86" i="32"/>
  <c r="O86" i="32"/>
  <c r="BG86" i="32" s="1"/>
  <c r="X86" i="32"/>
  <c r="S86" i="32"/>
  <c r="BK86" i="32" s="1"/>
  <c r="L86" i="32"/>
  <c r="BB86" i="32" s="1"/>
  <c r="Q86" i="32"/>
  <c r="BI86" i="32" s="1"/>
  <c r="J86" i="32"/>
  <c r="AZ86" i="32" s="1"/>
  <c r="W86" i="32"/>
  <c r="BO86" i="32" s="1"/>
  <c r="N86" i="32"/>
  <c r="BF86" i="32" s="1"/>
  <c r="D86" i="32"/>
  <c r="BE86" i="32" s="1"/>
  <c r="V86" i="32"/>
  <c r="BN86" i="32" s="1"/>
  <c r="R86" i="32"/>
  <c r="BJ86" i="32" s="1"/>
  <c r="K86" i="32"/>
  <c r="BA86" i="32" s="1"/>
  <c r="BM86" i="32"/>
  <c r="BP86" i="32"/>
  <c r="BL86" i="32"/>
  <c r="AB86" i="32"/>
  <c r="I86" i="32"/>
  <c r="AY86" i="32" s="1"/>
  <c r="H86" i="32"/>
  <c r="AX86" i="32" s="1"/>
  <c r="G87" i="32"/>
  <c r="R87" i="32" a="1"/>
  <c r="J87" i="32" a="1"/>
  <c r="C87" i="32" a="1"/>
  <c r="AP87" i="32" a="1"/>
  <c r="AR87" i="32" a="1"/>
  <c r="AT87" i="32" a="1"/>
  <c r="AH87" i="32" a="1"/>
  <c r="X87" i="32" a="1"/>
  <c r="AM87" i="32" a="1"/>
  <c r="V87" i="32" a="1"/>
  <c r="AS87" i="32" a="1"/>
  <c r="AI87" i="32" a="1"/>
  <c r="N87" i="32" a="1"/>
  <c r="K87" i="32" a="1"/>
  <c r="Q87" i="32" a="1"/>
  <c r="U87" i="32" a="1"/>
  <c r="AC87" i="32" a="1"/>
  <c r="S87" i="32" a="1"/>
  <c r="AJ87" i="32" a="1"/>
  <c r="AF87" i="32" a="1"/>
  <c r="D87" i="32" a="1"/>
  <c r="AB87" i="32" a="1"/>
  <c r="P87" i="32" a="1"/>
  <c r="L87" i="32" a="1"/>
  <c r="O87" i="32" a="1"/>
  <c r="AD87" i="32" a="1"/>
  <c r="AN87" i="32" a="1"/>
  <c r="AU87" i="32" a="1"/>
  <c r="M87" i="32" a="1"/>
  <c r="T87" i="32" a="1"/>
  <c r="AK87" i="32" a="1"/>
  <c r="I87" i="32" a="1"/>
  <c r="W87" i="32" a="1"/>
  <c r="Y87" i="32" a="1"/>
  <c r="AO87" i="32" a="1"/>
  <c r="AQ87" i="32" a="1"/>
  <c r="H87" i="32" a="1"/>
  <c r="AE87" i="32" a="1"/>
  <c r="AG87" i="32" a="1"/>
  <c r="AL87" i="32" a="1"/>
  <c r="AS87" i="32" l="1"/>
  <c r="AM87" i="32"/>
  <c r="AH87" i="32"/>
  <c r="AC87" i="32"/>
  <c r="AR87" i="32"/>
  <c r="AQ87" i="32"/>
  <c r="AL87" i="32"/>
  <c r="AG87" i="32"/>
  <c r="AF87" i="32"/>
  <c r="AJ87" i="32"/>
  <c r="AN87" i="32"/>
  <c r="AT87" i="32"/>
  <c r="AP87" i="32"/>
  <c r="AO87" i="32"/>
  <c r="AK87" i="32"/>
  <c r="AI87" i="32"/>
  <c r="AE87" i="32"/>
  <c r="AU87" i="32"/>
  <c r="AD87" i="32"/>
  <c r="U87" i="32"/>
  <c r="C87" i="32"/>
  <c r="BD87" i="32" s="1"/>
  <c r="Y87" i="32"/>
  <c r="BQ87" i="32" s="1"/>
  <c r="P87" i="32"/>
  <c r="BH87" i="32" s="1"/>
  <c r="T87" i="32"/>
  <c r="BL87" i="32" s="1"/>
  <c r="M87" i="32"/>
  <c r="BC87" i="32" s="1"/>
  <c r="X87" i="32"/>
  <c r="BP87" i="32" s="1"/>
  <c r="O87" i="32"/>
  <c r="BG87" i="32" s="1"/>
  <c r="Q87" i="32"/>
  <c r="BI87" i="32" s="1"/>
  <c r="J87" i="32"/>
  <c r="AZ87" i="32" s="1"/>
  <c r="W87" i="32"/>
  <c r="BO87" i="32" s="1"/>
  <c r="N87" i="32"/>
  <c r="BF87" i="32" s="1"/>
  <c r="D87" i="32"/>
  <c r="BE87" i="32" s="1"/>
  <c r="V87" i="32"/>
  <c r="S87" i="32"/>
  <c r="BK87" i="32" s="1"/>
  <c r="L87" i="32"/>
  <c r="BB87" i="32" s="1"/>
  <c r="K87" i="32"/>
  <c r="BA87" i="32" s="1"/>
  <c r="R87" i="32"/>
  <c r="BJ87" i="32" s="1"/>
  <c r="BN87" i="32"/>
  <c r="BM87" i="32"/>
  <c r="AB87" i="32"/>
  <c r="I87" i="32"/>
  <c r="AY87" i="32" s="1"/>
  <c r="H87" i="32"/>
  <c r="AX87" i="32" s="1"/>
  <c r="G88" i="32"/>
  <c r="L88" i="32" a="1"/>
  <c r="T88" i="32" a="1"/>
  <c r="AF88" i="32" a="1"/>
  <c r="AC88" i="32" a="1"/>
  <c r="AJ88" i="32" a="1"/>
  <c r="AM88" i="32" a="1"/>
  <c r="N88" i="32" a="1"/>
  <c r="H88" i="32" a="1"/>
  <c r="W88" i="32" a="1"/>
  <c r="AB88" i="32" a="1"/>
  <c r="J88" i="32" a="1"/>
  <c r="S88" i="32" a="1"/>
  <c r="M88" i="32" a="1"/>
  <c r="AH88" i="32" a="1"/>
  <c r="AS88" i="32" a="1"/>
  <c r="AP88" i="32" a="1"/>
  <c r="V88" i="32" a="1"/>
  <c r="I88" i="32" a="1"/>
  <c r="AN88" i="32" a="1"/>
  <c r="AR88" i="32" a="1"/>
  <c r="AK88" i="32" a="1"/>
  <c r="D88" i="32" a="1"/>
  <c r="P88" i="32" a="1"/>
  <c r="AL88" i="32" a="1"/>
  <c r="AD88" i="32" a="1"/>
  <c r="AU88" i="32" a="1"/>
  <c r="Y88" i="32" a="1"/>
  <c r="AQ88" i="32" a="1"/>
  <c r="AT88" i="32" a="1"/>
  <c r="X88" i="32" a="1"/>
  <c r="R88" i="32" a="1"/>
  <c r="O88" i="32" a="1"/>
  <c r="Q88" i="32" a="1"/>
  <c r="AG88" i="32" a="1"/>
  <c r="AE88" i="32" a="1"/>
  <c r="AI88" i="32" a="1"/>
  <c r="C88" i="32" a="1"/>
  <c r="U88" i="32" a="1"/>
  <c r="K88" i="32" a="1"/>
  <c r="AO88" i="32" a="1"/>
  <c r="AU88" i="32" l="1"/>
  <c r="AP88" i="32"/>
  <c r="AJ88" i="32"/>
  <c r="AE88" i="32"/>
  <c r="AO88" i="32"/>
  <c r="AT88" i="32"/>
  <c r="AN88" i="32"/>
  <c r="AI88" i="32"/>
  <c r="AD88" i="32"/>
  <c r="AS88" i="32"/>
  <c r="AC88" i="32"/>
  <c r="AG88" i="32"/>
  <c r="AK88" i="32"/>
  <c r="AR88" i="32"/>
  <c r="AQ88" i="32"/>
  <c r="AM88" i="32"/>
  <c r="AL88" i="32"/>
  <c r="AH88" i="32"/>
  <c r="AF88" i="32"/>
  <c r="Q88" i="32"/>
  <c r="BI88" i="32" s="1"/>
  <c r="J88" i="32"/>
  <c r="AZ88" i="32" s="1"/>
  <c r="U88" i="32"/>
  <c r="BM88" i="32" s="1"/>
  <c r="C88" i="32"/>
  <c r="BD88" i="32" s="1"/>
  <c r="Y88" i="32"/>
  <c r="BQ88" i="32" s="1"/>
  <c r="P88" i="32"/>
  <c r="BH88" i="32" s="1"/>
  <c r="M88" i="32"/>
  <c r="BC88" i="32" s="1"/>
  <c r="T88" i="32"/>
  <c r="BL88" i="32" s="1"/>
  <c r="O88" i="32"/>
  <c r="BG88" i="32" s="1"/>
  <c r="X88" i="32"/>
  <c r="BP88" i="32" s="1"/>
  <c r="W88" i="32"/>
  <c r="BO88" i="32" s="1"/>
  <c r="N88" i="32"/>
  <c r="BF88" i="32" s="1"/>
  <c r="V88" i="32"/>
  <c r="BN88" i="32" s="1"/>
  <c r="D88" i="32"/>
  <c r="S88" i="32"/>
  <c r="L88" i="32"/>
  <c r="BB88" i="32" s="1"/>
  <c r="R88" i="32"/>
  <c r="BJ88" i="32" s="1"/>
  <c r="K88" i="32"/>
  <c r="BA88" i="32" s="1"/>
  <c r="BK88" i="32"/>
  <c r="AB88" i="32"/>
  <c r="BE88" i="32"/>
  <c r="I88" i="32"/>
  <c r="AY88" i="32" s="1"/>
  <c r="H88" i="32"/>
  <c r="AX88" i="32" s="1"/>
  <c r="G89" i="32"/>
  <c r="N89" i="32" a="1"/>
  <c r="Y89" i="32" a="1"/>
  <c r="AJ89" i="32" a="1"/>
  <c r="AU89" i="32" a="1"/>
  <c r="AR89" i="32" a="1"/>
  <c r="X89" i="32" a="1"/>
  <c r="AK89" i="32" a="1"/>
  <c r="Q89" i="32" a="1"/>
  <c r="V89" i="32" a="1"/>
  <c r="AE89" i="32" a="1"/>
  <c r="W89" i="32" a="1"/>
  <c r="C89" i="32" a="1"/>
  <c r="AN89" i="32" a="1"/>
  <c r="AP89" i="32" a="1"/>
  <c r="I89" i="32" a="1"/>
  <c r="AC89" i="32" a="1"/>
  <c r="H89" i="32" a="1"/>
  <c r="AH89" i="32" a="1"/>
  <c r="AD89" i="32" a="1"/>
  <c r="T89" i="32" a="1"/>
  <c r="O89" i="32" a="1"/>
  <c r="U89" i="32" a="1"/>
  <c r="AS89" i="32" a="1"/>
  <c r="AF89" i="32" a="1"/>
  <c r="AB89" i="32" a="1"/>
  <c r="J89" i="32" a="1"/>
  <c r="K89" i="32" a="1"/>
  <c r="AQ89" i="32" a="1"/>
  <c r="L89" i="32" a="1"/>
  <c r="AL89" i="32" a="1"/>
  <c r="S89" i="32" a="1"/>
  <c r="AG89" i="32" a="1"/>
  <c r="D89" i="32" a="1"/>
  <c r="P89" i="32" a="1"/>
  <c r="AI89" i="32" a="1"/>
  <c r="AO89" i="32" a="1"/>
  <c r="AM89" i="32" a="1"/>
  <c r="R89" i="32" a="1"/>
  <c r="M89" i="32" a="1"/>
  <c r="AT89" i="32" a="1"/>
  <c r="AR89" i="32" l="1"/>
  <c r="AM89" i="32"/>
  <c r="AG89" i="32"/>
  <c r="AL89" i="32"/>
  <c r="AQ89" i="32"/>
  <c r="AK89" i="32"/>
  <c r="AF89" i="32"/>
  <c r="AP89" i="32"/>
  <c r="AU89" i="32"/>
  <c r="AO89" i="32"/>
  <c r="AT89" i="32"/>
  <c r="AD89" i="32"/>
  <c r="AH89" i="32"/>
  <c r="AC89" i="32"/>
  <c r="AS89" i="32"/>
  <c r="AN89" i="32"/>
  <c r="AJ89" i="32"/>
  <c r="AI89" i="32"/>
  <c r="AE89" i="32"/>
  <c r="V89" i="32"/>
  <c r="Q89" i="32"/>
  <c r="BI89" i="32" s="1"/>
  <c r="J89" i="32"/>
  <c r="AZ89" i="32" s="1"/>
  <c r="U89" i="32"/>
  <c r="BM89" i="32" s="1"/>
  <c r="C89" i="32"/>
  <c r="BD89" i="32" s="1"/>
  <c r="Y89" i="32"/>
  <c r="BQ89" i="32" s="1"/>
  <c r="P89" i="32"/>
  <c r="BH89" i="32" s="1"/>
  <c r="T89" i="32"/>
  <c r="BL89" i="32" s="1"/>
  <c r="M89" i="32"/>
  <c r="BC89" i="32" s="1"/>
  <c r="R89" i="32"/>
  <c r="BJ89" i="32" s="1"/>
  <c r="X89" i="32"/>
  <c r="BP89" i="32" s="1"/>
  <c r="O89" i="32"/>
  <c r="BG89" i="32" s="1"/>
  <c r="W89" i="32"/>
  <c r="BO89" i="32" s="1"/>
  <c r="N89" i="32"/>
  <c r="D89" i="32"/>
  <c r="BE89" i="32" s="1"/>
  <c r="S89" i="32"/>
  <c r="BK89" i="32" s="1"/>
  <c r="L89" i="32"/>
  <c r="BB89" i="32" s="1"/>
  <c r="K89" i="32"/>
  <c r="BA89" i="32" s="1"/>
  <c r="BN89" i="32"/>
  <c r="AB89" i="32"/>
  <c r="BF89" i="32"/>
  <c r="I89" i="32"/>
  <c r="AY89" i="32" s="1"/>
  <c r="H89" i="32"/>
  <c r="AX89" i="32" s="1"/>
  <c r="G90" i="32"/>
  <c r="N90" i="32" a="1"/>
  <c r="Y90" i="32" a="1"/>
  <c r="AK90" i="32" a="1"/>
  <c r="AM90" i="32" a="1"/>
  <c r="AO90" i="32" a="1"/>
  <c r="AC90" i="32" a="1"/>
  <c r="H90" i="32" a="1"/>
  <c r="J90" i="32" a="1"/>
  <c r="Q90" i="32" a="1"/>
  <c r="D90" i="32" a="1"/>
  <c r="S90" i="32" a="1"/>
  <c r="AD90" i="32" a="1"/>
  <c r="W90" i="32" a="1"/>
  <c r="C90" i="32" a="1"/>
  <c r="AP90" i="32" a="1"/>
  <c r="AT90" i="32" a="1"/>
  <c r="O90" i="32" a="1"/>
  <c r="AB90" i="32" a="1"/>
  <c r="K90" i="32" a="1"/>
  <c r="I90" i="32" a="1"/>
  <c r="AG90" i="32" a="1"/>
  <c r="V90" i="32" a="1"/>
  <c r="X90" i="32" a="1"/>
  <c r="U90" i="32" a="1"/>
  <c r="AE90" i="32" a="1"/>
  <c r="AH90" i="32" a="1"/>
  <c r="AU90" i="32" a="1"/>
  <c r="AQ90" i="32" a="1"/>
  <c r="L90" i="32" a="1"/>
  <c r="AI90" i="32" a="1"/>
  <c r="M90" i="32" a="1"/>
  <c r="T90" i="32" a="1"/>
  <c r="P90" i="32" a="1"/>
  <c r="AF90" i="32" a="1"/>
  <c r="AR90" i="32" a="1"/>
  <c r="AJ90" i="32" a="1"/>
  <c r="AN90" i="32" a="1"/>
  <c r="AS90" i="32" a="1"/>
  <c r="R90" i="32" a="1"/>
  <c r="AL90" i="32" a="1"/>
  <c r="AT90" i="32" l="1"/>
  <c r="AO90" i="32"/>
  <c r="AJ90" i="32"/>
  <c r="AD90" i="32"/>
  <c r="AI90" i="32"/>
  <c r="AS90" i="32"/>
  <c r="AN90" i="32"/>
  <c r="AH90" i="32"/>
  <c r="AC90" i="32"/>
  <c r="AM90" i="32"/>
  <c r="AR90" i="32"/>
  <c r="AL90" i="32"/>
  <c r="AG90" i="32"/>
  <c r="AQ90" i="32"/>
  <c r="AU90" i="32"/>
  <c r="AE90" i="32"/>
  <c r="AP90" i="32"/>
  <c r="AK90" i="32"/>
  <c r="AF90" i="32"/>
  <c r="V90" i="32"/>
  <c r="BN90" i="32" s="1"/>
  <c r="D90" i="32"/>
  <c r="BE90" i="32" s="1"/>
  <c r="Q90" i="32"/>
  <c r="BI90" i="32" s="1"/>
  <c r="J90" i="32"/>
  <c r="AZ90" i="32" s="1"/>
  <c r="U90" i="32"/>
  <c r="BM90" i="32" s="1"/>
  <c r="C90" i="32"/>
  <c r="BD90" i="32" s="1"/>
  <c r="Y90" i="32"/>
  <c r="BQ90" i="32" s="1"/>
  <c r="P90" i="32"/>
  <c r="BH90" i="32" s="1"/>
  <c r="M90" i="32"/>
  <c r="BC90" i="32" s="1"/>
  <c r="R90" i="32"/>
  <c r="BJ90" i="32" s="1"/>
  <c r="K90" i="32"/>
  <c r="BA90" i="32" s="1"/>
  <c r="O90" i="32"/>
  <c r="BG90" i="32" s="1"/>
  <c r="X90" i="32"/>
  <c r="BP90" i="32" s="1"/>
  <c r="W90" i="32"/>
  <c r="BO90" i="32" s="1"/>
  <c r="N90" i="32"/>
  <c r="BF90" i="32" s="1"/>
  <c r="T90" i="32"/>
  <c r="BL90" i="32" s="1"/>
  <c r="S90" i="32"/>
  <c r="BK90" i="32" s="1"/>
  <c r="L90" i="32"/>
  <c r="BB90" i="32" s="1"/>
  <c r="AB90" i="32"/>
  <c r="I90" i="32"/>
  <c r="AY90" i="32" s="1"/>
  <c r="H90" i="32"/>
  <c r="AX90" i="32" s="1"/>
  <c r="G91" i="32"/>
  <c r="O91" i="32" a="1"/>
  <c r="Q91" i="32" a="1"/>
  <c r="AR91" i="32" a="1"/>
  <c r="AK91" i="32" a="1"/>
  <c r="AB91" i="32" a="1"/>
  <c r="I91" i="32" a="1"/>
  <c r="AU91" i="32" a="1"/>
  <c r="P91" i="32" a="1"/>
  <c r="AF91" i="32" a="1"/>
  <c r="M91" i="32" a="1"/>
  <c r="AG91" i="32" a="1"/>
  <c r="T91" i="32" a="1"/>
  <c r="AL91" i="32" a="1"/>
  <c r="U91" i="32" a="1"/>
  <c r="AQ91" i="32" a="1"/>
  <c r="X91" i="32" a="1"/>
  <c r="V91" i="32" a="1"/>
  <c r="AN91" i="32" a="1"/>
  <c r="AP91" i="32" a="1"/>
  <c r="S91" i="32" a="1"/>
  <c r="AI91" i="32" a="1"/>
  <c r="AC91" i="32" a="1"/>
  <c r="C91" i="32" a="1"/>
  <c r="AJ91" i="32" a="1"/>
  <c r="L91" i="32" a="1"/>
  <c r="K91" i="32" a="1"/>
  <c r="D91" i="32" a="1"/>
  <c r="AD91" i="32" a="1"/>
  <c r="R91" i="32" a="1"/>
  <c r="Y91" i="32" a="1"/>
  <c r="AT91" i="32" a="1"/>
  <c r="N91" i="32" a="1"/>
  <c r="W91" i="32" a="1"/>
  <c r="J91" i="32" a="1"/>
  <c r="AS91" i="32" a="1"/>
  <c r="AE91" i="32" a="1"/>
  <c r="H91" i="32" a="1"/>
  <c r="AO91" i="32" a="1"/>
  <c r="AH91" i="32" a="1"/>
  <c r="AM91" i="32" a="1"/>
  <c r="AQ91" i="32" l="1"/>
  <c r="AL91" i="32"/>
  <c r="AG91" i="32"/>
  <c r="AF91" i="32"/>
  <c r="AU91" i="32"/>
  <c r="AP91" i="32"/>
  <c r="AK91" i="32"/>
  <c r="AE91" i="32"/>
  <c r="AJ91" i="32"/>
  <c r="AT91" i="32"/>
  <c r="AO91" i="32"/>
  <c r="AI91" i="32"/>
  <c r="AD91" i="32"/>
  <c r="AN91" i="32"/>
  <c r="AR91" i="32"/>
  <c r="AS91" i="32"/>
  <c r="AM91" i="32"/>
  <c r="AH91" i="32"/>
  <c r="AC91" i="32"/>
  <c r="R91" i="32"/>
  <c r="BJ91" i="32" s="1"/>
  <c r="D91" i="32"/>
  <c r="BE91" i="32" s="1"/>
  <c r="V91" i="32"/>
  <c r="Q91" i="32"/>
  <c r="BI91" i="32" s="1"/>
  <c r="J91" i="32"/>
  <c r="AZ91" i="32" s="1"/>
  <c r="U91" i="32"/>
  <c r="C91" i="32"/>
  <c r="BD91" i="32" s="1"/>
  <c r="Y91" i="32"/>
  <c r="BQ91" i="32" s="1"/>
  <c r="P91" i="32"/>
  <c r="BH91" i="32" s="1"/>
  <c r="K91" i="32"/>
  <c r="BA91" i="32" s="1"/>
  <c r="X91" i="32"/>
  <c r="BP91" i="32" s="1"/>
  <c r="O91" i="32"/>
  <c r="BG91" i="32" s="1"/>
  <c r="W91" i="32"/>
  <c r="BO91" i="32" s="1"/>
  <c r="N91" i="32"/>
  <c r="BF91" i="32" s="1"/>
  <c r="T91" i="32"/>
  <c r="BL91" i="32" s="1"/>
  <c r="M91" i="32"/>
  <c r="BC91" i="32" s="1"/>
  <c r="S91" i="32"/>
  <c r="BK91" i="32" s="1"/>
  <c r="L91" i="32"/>
  <c r="BB91" i="32" s="1"/>
  <c r="BN91" i="32"/>
  <c r="BM91" i="32"/>
  <c r="AB91" i="32"/>
  <c r="I91" i="32"/>
  <c r="AY91" i="32" s="1"/>
  <c r="H91" i="32"/>
  <c r="AX91" i="32" s="1"/>
  <c r="G92" i="32"/>
  <c r="N92" i="32" a="1"/>
  <c r="K92" i="32" a="1"/>
  <c r="AJ92" i="32" a="1"/>
  <c r="AG92" i="32" a="1"/>
  <c r="AN92" i="32" a="1"/>
  <c r="AP92" i="32" a="1"/>
  <c r="AT92" i="32" a="1"/>
  <c r="AB92" i="32" a="1"/>
  <c r="AO92" i="32" a="1"/>
  <c r="AK92" i="32" a="1"/>
  <c r="AF92" i="32" a="1"/>
  <c r="X92" i="32" a="1"/>
  <c r="O92" i="32" a="1"/>
  <c r="R92" i="32" a="1"/>
  <c r="AH92" i="32" a="1"/>
  <c r="C92" i="32" a="1"/>
  <c r="H92" i="32" a="1"/>
  <c r="V92" i="32" a="1"/>
  <c r="I92" i="32" a="1"/>
  <c r="J92" i="32" a="1"/>
  <c r="U92" i="32" a="1"/>
  <c r="AD92" i="32" a="1"/>
  <c r="P92" i="32" a="1"/>
  <c r="Y92" i="32" a="1"/>
  <c r="AU92" i="32" a="1"/>
  <c r="AM92" i="32" a="1"/>
  <c r="S92" i="32" a="1"/>
  <c r="AC92" i="32" a="1"/>
  <c r="L92" i="32" a="1"/>
  <c r="AS92" i="32" a="1"/>
  <c r="AL92" i="32" a="1"/>
  <c r="M92" i="32" a="1"/>
  <c r="D92" i="32" a="1"/>
  <c r="AE92" i="32" a="1"/>
  <c r="AQ92" i="32" a="1"/>
  <c r="AI92" i="32" a="1"/>
  <c r="AR92" i="32" a="1"/>
  <c r="W92" i="32" a="1"/>
  <c r="T92" i="32" a="1"/>
  <c r="Q92" i="32" a="1"/>
  <c r="AT92" i="32" l="1"/>
  <c r="AN92" i="32"/>
  <c r="AI92" i="32"/>
  <c r="AD92" i="32"/>
  <c r="AS92" i="32"/>
  <c r="AC92" i="32"/>
  <c r="AR92" i="32"/>
  <c r="AM92" i="32"/>
  <c r="AH92" i="32"/>
  <c r="AG92" i="32"/>
  <c r="AQ92" i="32"/>
  <c r="AL92" i="32"/>
  <c r="AF92" i="32"/>
  <c r="AK92" i="32"/>
  <c r="AO92" i="32"/>
  <c r="AU92" i="32"/>
  <c r="AP92" i="32"/>
  <c r="AJ92" i="32"/>
  <c r="AE92" i="32"/>
  <c r="X92" i="32"/>
  <c r="T92" i="32"/>
  <c r="BL92" i="32" s="1"/>
  <c r="W92" i="32"/>
  <c r="BO92" i="32" s="1"/>
  <c r="S92" i="32"/>
  <c r="BK92" i="32" s="1"/>
  <c r="Y92" i="32"/>
  <c r="BQ92" i="32" s="1"/>
  <c r="R92" i="32"/>
  <c r="BJ92" i="32" s="1"/>
  <c r="K92" i="32"/>
  <c r="BA92" i="32" s="1"/>
  <c r="D92" i="32"/>
  <c r="BE92" i="32" s="1"/>
  <c r="Q92" i="32"/>
  <c r="BI92" i="32" s="1"/>
  <c r="J92" i="32"/>
  <c r="AZ92" i="32" s="1"/>
  <c r="V92" i="32"/>
  <c r="BN92" i="32" s="1"/>
  <c r="C92" i="32"/>
  <c r="BD92" i="32" s="1"/>
  <c r="P92" i="32"/>
  <c r="BH92" i="32" s="1"/>
  <c r="O92" i="32"/>
  <c r="N92" i="32"/>
  <c r="BF92" i="32" s="1"/>
  <c r="M92" i="32"/>
  <c r="BC92" i="32" s="1"/>
  <c r="U92" i="32"/>
  <c r="BM92" i="32" s="1"/>
  <c r="L92" i="32"/>
  <c r="BB92" i="32" s="1"/>
  <c r="BP92" i="32"/>
  <c r="BG92" i="32"/>
  <c r="AB92" i="32"/>
  <c r="I92" i="32"/>
  <c r="AY92" i="32" s="1"/>
  <c r="H92" i="32"/>
  <c r="AX92" i="32" s="1"/>
  <c r="G93" i="32"/>
  <c r="W93" i="32" a="1"/>
  <c r="U93" i="32" a="1"/>
  <c r="AR93" i="32" a="1"/>
  <c r="AT93" i="32" a="1"/>
  <c r="AQ93" i="32" a="1"/>
  <c r="I93" i="32" a="1"/>
  <c r="AC93" i="32" a="1"/>
  <c r="O93" i="32" a="1"/>
  <c r="AI93" i="32" a="1"/>
  <c r="K93" i="32" a="1"/>
  <c r="AG93" i="32" a="1"/>
  <c r="M93" i="32" a="1"/>
  <c r="Y93" i="32" a="1"/>
  <c r="AL93" i="32" a="1"/>
  <c r="AE93" i="32" a="1"/>
  <c r="N93" i="32" a="1"/>
  <c r="H93" i="32" a="1"/>
  <c r="R93" i="32" a="1"/>
  <c r="P93" i="32" a="1"/>
  <c r="AP93" i="32" a="1"/>
  <c r="AS93" i="32" a="1"/>
  <c r="X93" i="32" a="1"/>
  <c r="L93" i="32" a="1"/>
  <c r="AH93" i="32" a="1"/>
  <c r="AJ93" i="32" a="1"/>
  <c r="AB93" i="32" a="1"/>
  <c r="C93" i="32" a="1"/>
  <c r="AO93" i="32" a="1"/>
  <c r="S93" i="32" a="1"/>
  <c r="AU93" i="32" a="1"/>
  <c r="AN93" i="32" a="1"/>
  <c r="D93" i="32" a="1"/>
  <c r="AF93" i="32" a="1"/>
  <c r="J93" i="32" a="1"/>
  <c r="Q93" i="32" a="1"/>
  <c r="AM93" i="32" a="1"/>
  <c r="AD93" i="32" a="1"/>
  <c r="AK93" i="32" a="1"/>
  <c r="V93" i="32" a="1"/>
  <c r="T93" i="32" a="1"/>
  <c r="AQ93" i="32" l="1"/>
  <c r="AK93" i="32"/>
  <c r="AF93" i="32"/>
  <c r="AP93" i="32"/>
  <c r="AU93" i="32"/>
  <c r="AO93" i="32"/>
  <c r="AJ93" i="32"/>
  <c r="AE93" i="32"/>
  <c r="AT93" i="32"/>
  <c r="AD93" i="32"/>
  <c r="AS93" i="32"/>
  <c r="AN93" i="32"/>
  <c r="AI93" i="32"/>
  <c r="AC93" i="32"/>
  <c r="AH93" i="32"/>
  <c r="AL93" i="32"/>
  <c r="AR93" i="32"/>
  <c r="AM93" i="32"/>
  <c r="AG93" i="32"/>
  <c r="V93" i="32"/>
  <c r="R93" i="32"/>
  <c r="BJ93" i="32" s="1"/>
  <c r="N93" i="32"/>
  <c r="BF93" i="32" s="1"/>
  <c r="L93" i="32"/>
  <c r="BB93" i="32" s="1"/>
  <c r="Y93" i="32"/>
  <c r="BQ93" i="32" s="1"/>
  <c r="U93" i="32"/>
  <c r="BM93" i="32" s="1"/>
  <c r="Q93" i="32"/>
  <c r="BI93" i="32" s="1"/>
  <c r="D93" i="32"/>
  <c r="BE93" i="32" s="1"/>
  <c r="K93" i="32"/>
  <c r="BA93" i="32" s="1"/>
  <c r="S93" i="32"/>
  <c r="BK93" i="32" s="1"/>
  <c r="C93" i="32"/>
  <c r="BD93" i="32" s="1"/>
  <c r="X93" i="32"/>
  <c r="BP93" i="32" s="1"/>
  <c r="M93" i="32"/>
  <c r="BC93" i="32" s="1"/>
  <c r="W93" i="32"/>
  <c r="J93" i="32"/>
  <c r="AZ93" i="32" s="1"/>
  <c r="T93" i="32"/>
  <c r="BL93" i="32" s="1"/>
  <c r="P93" i="32"/>
  <c r="BH93" i="32" s="1"/>
  <c r="O93" i="32"/>
  <c r="BG93" i="32" s="1"/>
  <c r="BO93" i="32"/>
  <c r="BN93" i="32"/>
  <c r="AB93" i="32"/>
  <c r="I93" i="32"/>
  <c r="AY93" i="32" s="1"/>
  <c r="H93" i="32"/>
  <c r="AX93" i="32" s="1"/>
  <c r="G94" i="32"/>
  <c r="S94" i="32" a="1"/>
  <c r="C94" i="32" a="1"/>
  <c r="AT94" i="32" a="1"/>
  <c r="AG94" i="32" a="1"/>
  <c r="I94" i="32" a="1"/>
  <c r="N94" i="32" a="1"/>
  <c r="AI94" i="32" a="1"/>
  <c r="AL94" i="32" a="1"/>
  <c r="AR94" i="32" a="1"/>
  <c r="L94" i="32" a="1"/>
  <c r="AM94" i="32" a="1"/>
  <c r="V94" i="32" a="1"/>
  <c r="AD94" i="32" a="1"/>
  <c r="AP94" i="32" a="1"/>
  <c r="Q94" i="32" a="1"/>
  <c r="AB94" i="32" a="1"/>
  <c r="D94" i="32" a="1"/>
  <c r="X94" i="32" a="1"/>
  <c r="W94" i="32" a="1"/>
  <c r="P94" i="32" a="1"/>
  <c r="T94" i="32" a="1"/>
  <c r="J94" i="32" a="1"/>
  <c r="AE94" i="32" a="1"/>
  <c r="H94" i="32" a="1"/>
  <c r="K94" i="32" a="1"/>
  <c r="AU94" i="32" a="1"/>
  <c r="O94" i="32" a="1"/>
  <c r="AC94" i="32" a="1"/>
  <c r="Y94" i="32" a="1"/>
  <c r="AH94" i="32" a="1"/>
  <c r="M94" i="32" a="1"/>
  <c r="AN94" i="32" a="1"/>
  <c r="R94" i="32" a="1"/>
  <c r="U94" i="32" a="1"/>
  <c r="AO94" i="32" a="1"/>
  <c r="AQ94" i="32" a="1"/>
  <c r="AS94" i="32" a="1"/>
  <c r="AF94" i="32" a="1"/>
  <c r="AK94" i="32" a="1"/>
  <c r="AJ94" i="32" a="1"/>
  <c r="AS94" i="32" l="1"/>
  <c r="AN94" i="32"/>
  <c r="AH94" i="32"/>
  <c r="AC94" i="32"/>
  <c r="AM94" i="32"/>
  <c r="AR94" i="32"/>
  <c r="AL94" i="32"/>
  <c r="AG94" i="32"/>
  <c r="AQ94" i="32"/>
  <c r="AP94" i="32"/>
  <c r="AK94" i="32"/>
  <c r="AF94" i="32"/>
  <c r="AU94" i="32"/>
  <c r="AE94" i="32"/>
  <c r="AI94" i="32"/>
  <c r="AT94" i="32"/>
  <c r="AO94" i="32"/>
  <c r="AJ94" i="32"/>
  <c r="AD94" i="32"/>
  <c r="V94" i="32"/>
  <c r="BN94" i="32" s="1"/>
  <c r="D94" i="32"/>
  <c r="BE94" i="32" s="1"/>
  <c r="J94" i="32"/>
  <c r="AZ94" i="32" s="1"/>
  <c r="Q94" i="32"/>
  <c r="BI94" i="32" s="1"/>
  <c r="C94" i="32"/>
  <c r="BD94" i="32" s="1"/>
  <c r="U94" i="32"/>
  <c r="P94" i="32"/>
  <c r="BH94" i="32" s="1"/>
  <c r="W94" i="32"/>
  <c r="BO94" i="32" s="1"/>
  <c r="O94" i="32"/>
  <c r="BG94" i="32" s="1"/>
  <c r="K94" i="32"/>
  <c r="BA94" i="32" s="1"/>
  <c r="T94" i="32"/>
  <c r="BL94" i="32" s="1"/>
  <c r="N94" i="32"/>
  <c r="BF94" i="32" s="1"/>
  <c r="S94" i="32"/>
  <c r="BK94" i="32" s="1"/>
  <c r="R94" i="32"/>
  <c r="M94" i="32"/>
  <c r="BC94" i="32" s="1"/>
  <c r="Y94" i="32"/>
  <c r="BQ94" i="32" s="1"/>
  <c r="X94" i="32"/>
  <c r="L94" i="32"/>
  <c r="BB94" i="32" s="1"/>
  <c r="BM94" i="32"/>
  <c r="BP94" i="32"/>
  <c r="BJ94" i="32"/>
  <c r="AB94" i="32"/>
  <c r="I94" i="32"/>
  <c r="AY94" i="32" s="1"/>
  <c r="H94" i="32"/>
  <c r="AX94" i="32" s="1"/>
  <c r="G95" i="32"/>
  <c r="T95" i="32" a="1"/>
  <c r="C95" i="32" a="1"/>
  <c r="AG95" i="32" a="1"/>
  <c r="AK95" i="32" a="1"/>
  <c r="AR95" i="32" a="1"/>
  <c r="AQ95" i="32" a="1"/>
  <c r="AO95" i="32" a="1"/>
  <c r="AB95" i="32" a="1"/>
  <c r="AC95" i="32" a="1"/>
  <c r="AU95" i="32" a="1"/>
  <c r="V95" i="32" a="1"/>
  <c r="AP95" i="32" a="1"/>
  <c r="P95" i="32" a="1"/>
  <c r="U95" i="32" a="1"/>
  <c r="AH95" i="32" a="1"/>
  <c r="H95" i="32" a="1"/>
  <c r="Q95" i="32" a="1"/>
  <c r="I95" i="32" a="1"/>
  <c r="D95" i="32" a="1"/>
  <c r="K95" i="32" a="1"/>
  <c r="S95" i="32" a="1"/>
  <c r="X95" i="32" a="1"/>
  <c r="J95" i="32" a="1"/>
  <c r="AE95" i="32" a="1"/>
  <c r="L95" i="32" a="1"/>
  <c r="AL95" i="32" a="1"/>
  <c r="W95" i="32" a="1"/>
  <c r="AS95" i="32" a="1"/>
  <c r="AI95" i="32" a="1"/>
  <c r="AF95" i="32" a="1"/>
  <c r="N95" i="32" a="1"/>
  <c r="AJ95" i="32" a="1"/>
  <c r="O95" i="32" a="1"/>
  <c r="Y95" i="32" a="1"/>
  <c r="AT95" i="32" a="1"/>
  <c r="AD95" i="32" a="1"/>
  <c r="AN95" i="32" a="1"/>
  <c r="R95" i="32" a="1"/>
  <c r="M95" i="32" a="1"/>
  <c r="AM95" i="32" a="1"/>
  <c r="AR95" i="32" l="1"/>
  <c r="AN95" i="32"/>
  <c r="AJ95" i="32"/>
  <c r="AF95" i="32"/>
  <c r="AS95" i="32"/>
  <c r="AL95" i="32"/>
  <c r="AE95" i="32"/>
  <c r="AQ95" i="32"/>
  <c r="AK95" i="32"/>
  <c r="AD95" i="32"/>
  <c r="AP95" i="32"/>
  <c r="AI95" i="32"/>
  <c r="AU95" i="32"/>
  <c r="AC95" i="32"/>
  <c r="AO95" i="32"/>
  <c r="AH95" i="32"/>
  <c r="AG95" i="32"/>
  <c r="AT95" i="32"/>
  <c r="AM95" i="32"/>
  <c r="V95" i="32"/>
  <c r="D95" i="32"/>
  <c r="BE95" i="32" s="1"/>
  <c r="Q95" i="32"/>
  <c r="BI95" i="32" s="1"/>
  <c r="J95" i="32"/>
  <c r="AZ95" i="32" s="1"/>
  <c r="U95" i="32"/>
  <c r="BM95" i="32" s="1"/>
  <c r="C95" i="32"/>
  <c r="Y95" i="32"/>
  <c r="BQ95" i="32" s="1"/>
  <c r="S95" i="32"/>
  <c r="BK95" i="32" s="1"/>
  <c r="M95" i="32"/>
  <c r="BC95" i="32" s="1"/>
  <c r="R95" i="32"/>
  <c r="BJ95" i="32" s="1"/>
  <c r="L95" i="32"/>
  <c r="BB95" i="32" s="1"/>
  <c r="X95" i="32"/>
  <c r="BP95" i="32" s="1"/>
  <c r="P95" i="32"/>
  <c r="BH95" i="32" s="1"/>
  <c r="T95" i="32"/>
  <c r="BL95" i="32" s="1"/>
  <c r="O95" i="32"/>
  <c r="BG95" i="32" s="1"/>
  <c r="N95" i="32"/>
  <c r="BF95" i="32" s="1"/>
  <c r="K95" i="32"/>
  <c r="BA95" i="32" s="1"/>
  <c r="W95" i="32"/>
  <c r="BO95" i="32" s="1"/>
  <c r="BN95" i="32"/>
  <c r="AB95" i="32"/>
  <c r="BD95" i="32"/>
  <c r="I95" i="32"/>
  <c r="AY95" i="32" s="1"/>
  <c r="H95" i="32"/>
  <c r="AX95" i="32" s="1"/>
  <c r="G96" i="32"/>
  <c r="M96" i="32" a="1"/>
  <c r="Q96" i="32" a="1"/>
  <c r="AM96" i="32" a="1"/>
  <c r="AQ96" i="32" a="1"/>
  <c r="AS96" i="32" a="1"/>
  <c r="AU96" i="32" a="1"/>
  <c r="K96" i="32" a="1"/>
  <c r="L96" i="32" a="1"/>
  <c r="AP96" i="32" a="1"/>
  <c r="P96" i="32" a="1"/>
  <c r="J96" i="32" a="1"/>
  <c r="AT96" i="32" a="1"/>
  <c r="AE96" i="32" a="1"/>
  <c r="AB96" i="32" a="1"/>
  <c r="H96" i="32" a="1"/>
  <c r="V96" i="32" a="1"/>
  <c r="AR96" i="32" a="1"/>
  <c r="S96" i="32" a="1"/>
  <c r="AI96" i="32" a="1"/>
  <c r="O96" i="32" a="1"/>
  <c r="AG96" i="32" a="1"/>
  <c r="N96" i="32" a="1"/>
  <c r="D96" i="32" a="1"/>
  <c r="AN96" i="32" a="1"/>
  <c r="AL96" i="32" a="1"/>
  <c r="T96" i="32" a="1"/>
  <c r="I96" i="32" a="1"/>
  <c r="U96" i="32" a="1"/>
  <c r="AC96" i="32" a="1"/>
  <c r="R96" i="32" a="1"/>
  <c r="AO96" i="32" a="1"/>
  <c r="X96" i="32" a="1"/>
  <c r="W96" i="32" a="1"/>
  <c r="AH96" i="32" a="1"/>
  <c r="AD96" i="32" a="1"/>
  <c r="AK96" i="32" a="1"/>
  <c r="Y96" i="32" a="1"/>
  <c r="C96" i="32" a="1"/>
  <c r="AF96" i="32" a="1"/>
  <c r="AJ96" i="32" a="1"/>
  <c r="AS96" i="32" l="1"/>
  <c r="AO96" i="32"/>
  <c r="AK96" i="32"/>
  <c r="AG96" i="32"/>
  <c r="AC96" i="32"/>
  <c r="AR96" i="32"/>
  <c r="AL96" i="32"/>
  <c r="AE96" i="32"/>
  <c r="AQ96" i="32"/>
  <c r="AJ96" i="32"/>
  <c r="AD96" i="32"/>
  <c r="AP96" i="32"/>
  <c r="AI96" i="32"/>
  <c r="AU96" i="32"/>
  <c r="AN96" i="32"/>
  <c r="AT96" i="32"/>
  <c r="AM96" i="32"/>
  <c r="AF96" i="32"/>
  <c r="AH96" i="32"/>
  <c r="R96" i="32"/>
  <c r="BJ96" i="32" s="1"/>
  <c r="K96" i="32"/>
  <c r="BA96" i="32" s="1"/>
  <c r="V96" i="32"/>
  <c r="D96" i="32"/>
  <c r="BE96" i="32" s="1"/>
  <c r="J96" i="32"/>
  <c r="AZ96" i="32" s="1"/>
  <c r="Q96" i="32"/>
  <c r="C96" i="32"/>
  <c r="W96" i="32"/>
  <c r="O96" i="32"/>
  <c r="BG96" i="32" s="1"/>
  <c r="U96" i="32"/>
  <c r="BM96" i="32" s="1"/>
  <c r="T96" i="32"/>
  <c r="BL96" i="32" s="1"/>
  <c r="N96" i="32"/>
  <c r="BF96" i="32" s="1"/>
  <c r="P96" i="32"/>
  <c r="BH96" i="32" s="1"/>
  <c r="M96" i="32"/>
  <c r="Y96" i="32"/>
  <c r="BQ96" i="32" s="1"/>
  <c r="X96" i="32"/>
  <c r="BP96" i="32" s="1"/>
  <c r="L96" i="32"/>
  <c r="BB96" i="32" s="1"/>
  <c r="S96" i="32"/>
  <c r="BK96" i="32" s="1"/>
  <c r="BN96" i="32"/>
  <c r="BO96" i="32"/>
  <c r="BI96" i="32"/>
  <c r="AB96" i="32"/>
  <c r="BD96" i="32"/>
  <c r="BC96" i="32"/>
  <c r="I96" i="32"/>
  <c r="AY96" i="32" s="1"/>
  <c r="H96" i="32"/>
  <c r="AX96" i="32" s="1"/>
  <c r="G97" i="32"/>
  <c r="P97" i="32" a="1"/>
  <c r="C97" i="32" a="1"/>
  <c r="W97" i="32" a="1"/>
  <c r="AJ97" i="32" a="1"/>
  <c r="AH97" i="32" a="1"/>
  <c r="AL97" i="32" a="1"/>
  <c r="AP97" i="32" a="1"/>
  <c r="Q97" i="32" a="1"/>
  <c r="AS97" i="32" a="1"/>
  <c r="M97" i="32" a="1"/>
  <c r="I97" i="32" a="1"/>
  <c r="U97" i="32" a="1"/>
  <c r="T97" i="32" a="1"/>
  <c r="AG97" i="32" a="1"/>
  <c r="AQ97" i="32" a="1"/>
  <c r="N97" i="32" a="1"/>
  <c r="AK97" i="32" a="1"/>
  <c r="L97" i="32" a="1"/>
  <c r="AR97" i="32" a="1"/>
  <c r="V97" i="32" a="1"/>
  <c r="AF97" i="32" a="1"/>
  <c r="X97" i="32" a="1"/>
  <c r="J97" i="32" a="1"/>
  <c r="AN97" i="32" a="1"/>
  <c r="AE97" i="32" a="1"/>
  <c r="AU97" i="32" a="1"/>
  <c r="AT97" i="32" a="1"/>
  <c r="D97" i="32" a="1"/>
  <c r="H97" i="32" a="1"/>
  <c r="AI97" i="32" a="1"/>
  <c r="AD97" i="32" a="1"/>
  <c r="S97" i="32" a="1"/>
  <c r="K97" i="32" a="1"/>
  <c r="AO97" i="32" a="1"/>
  <c r="AM97" i="32" a="1"/>
  <c r="AB97" i="32" a="1"/>
  <c r="O97" i="32" a="1"/>
  <c r="Y97" i="32" a="1"/>
  <c r="R97" i="32" a="1"/>
  <c r="AC97" i="32" a="1"/>
  <c r="AT97" i="32" l="1"/>
  <c r="AP97" i="32"/>
  <c r="AL97" i="32"/>
  <c r="AH97" i="32"/>
  <c r="AD97" i="32"/>
  <c r="AM97" i="32"/>
  <c r="AF97" i="32"/>
  <c r="AR97" i="32"/>
  <c r="AK97" i="32"/>
  <c r="AE97" i="32"/>
  <c r="AQ97" i="32"/>
  <c r="AJ97" i="32"/>
  <c r="AC97" i="32"/>
  <c r="AO97" i="32"/>
  <c r="AI97" i="32"/>
  <c r="AS97" i="32"/>
  <c r="AU97" i="32"/>
  <c r="AN97" i="32"/>
  <c r="AG97" i="32"/>
  <c r="W97" i="32"/>
  <c r="BO97" i="32" s="1"/>
  <c r="R97" i="32"/>
  <c r="BJ97" i="32" s="1"/>
  <c r="K97" i="32"/>
  <c r="BA97" i="32" s="1"/>
  <c r="V97" i="32"/>
  <c r="D97" i="32"/>
  <c r="BE97" i="32" s="1"/>
  <c r="Q97" i="32"/>
  <c r="BI97" i="32" s="1"/>
  <c r="J97" i="32"/>
  <c r="AZ97" i="32" s="1"/>
  <c r="T97" i="32"/>
  <c r="BL97" i="32" s="1"/>
  <c r="C97" i="32"/>
  <c r="BD97" i="32" s="1"/>
  <c r="Y97" i="32"/>
  <c r="BQ97" i="32" s="1"/>
  <c r="S97" i="32"/>
  <c r="BK97" i="32" s="1"/>
  <c r="M97" i="32"/>
  <c r="BC97" i="32" s="1"/>
  <c r="L97" i="32"/>
  <c r="BB97" i="32" s="1"/>
  <c r="N97" i="32"/>
  <c r="X97" i="32"/>
  <c r="U97" i="32"/>
  <c r="BM97" i="32" s="1"/>
  <c r="P97" i="32"/>
  <c r="BH97" i="32" s="1"/>
  <c r="O97" i="32"/>
  <c r="BG97" i="32" s="1"/>
  <c r="BP97" i="32"/>
  <c r="BN97" i="32"/>
  <c r="AB97" i="32"/>
  <c r="BF97" i="32"/>
  <c r="I97" i="32"/>
  <c r="AY97" i="32" s="1"/>
  <c r="H97" i="32"/>
  <c r="AX97" i="32" s="1"/>
  <c r="G98" i="32"/>
  <c r="S98" i="32" a="1"/>
  <c r="J98" i="32" a="1"/>
  <c r="AG98" i="32" a="1"/>
  <c r="AK98" i="32" a="1"/>
  <c r="AQ98" i="32" a="1"/>
  <c r="AU98" i="32" a="1"/>
  <c r="I98" i="32" a="1"/>
  <c r="AL98" i="32" a="1"/>
  <c r="AS98" i="32" a="1"/>
  <c r="N98" i="32" a="1"/>
  <c r="AP98" i="32" a="1"/>
  <c r="T98" i="32" a="1"/>
  <c r="D98" i="32" a="1"/>
  <c r="AN98" i="32" a="1"/>
  <c r="AR98" i="32" a="1"/>
  <c r="K98" i="32" a="1"/>
  <c r="H98" i="32" a="1"/>
  <c r="O98" i="32" a="1"/>
  <c r="AB98" i="32" a="1"/>
  <c r="AJ98" i="32" a="1"/>
  <c r="C98" i="32" a="1"/>
  <c r="Y98" i="32" a="1"/>
  <c r="V98" i="32" a="1"/>
  <c r="AH98" i="32" a="1"/>
  <c r="AF98" i="32" a="1"/>
  <c r="U98" i="32" a="1"/>
  <c r="R98" i="32" a="1"/>
  <c r="M98" i="32" a="1"/>
  <c r="AE98" i="32" a="1"/>
  <c r="P98" i="32" a="1"/>
  <c r="AI98" i="32" a="1"/>
  <c r="Q98" i="32" a="1"/>
  <c r="X98" i="32" a="1"/>
  <c r="AT98" i="32" a="1"/>
  <c r="AD98" i="32" a="1"/>
  <c r="AM98" i="32" a="1"/>
  <c r="AO98" i="32" a="1"/>
  <c r="AC98" i="32" a="1"/>
  <c r="L98" i="32" a="1"/>
  <c r="W98" i="32" a="1"/>
  <c r="AU98" i="32" l="1"/>
  <c r="AQ98" i="32"/>
  <c r="AM98" i="32"/>
  <c r="AI98" i="32"/>
  <c r="AE98" i="32"/>
  <c r="AS98" i="32"/>
  <c r="AL98" i="32"/>
  <c r="AF98" i="32"/>
  <c r="AR98" i="32"/>
  <c r="AK98" i="32"/>
  <c r="AD98" i="32"/>
  <c r="AP98" i="32"/>
  <c r="AJ98" i="32"/>
  <c r="AC98" i="32"/>
  <c r="AO98" i="32"/>
  <c r="AH98" i="32"/>
  <c r="AN98" i="32"/>
  <c r="AG98" i="32"/>
  <c r="AT98" i="32"/>
  <c r="W98" i="32"/>
  <c r="N98" i="32"/>
  <c r="BF98" i="32" s="1"/>
  <c r="R98" i="32"/>
  <c r="BJ98" i="32" s="1"/>
  <c r="K98" i="32"/>
  <c r="BA98" i="32" s="1"/>
  <c r="V98" i="32"/>
  <c r="BN98" i="32" s="1"/>
  <c r="D98" i="32"/>
  <c r="BE98" i="32" s="1"/>
  <c r="J98" i="32"/>
  <c r="AZ98" i="32" s="1"/>
  <c r="X98" i="32"/>
  <c r="P98" i="32"/>
  <c r="BH98" i="32" s="1"/>
  <c r="L98" i="32"/>
  <c r="BB98" i="32" s="1"/>
  <c r="O98" i="32"/>
  <c r="BG98" i="32" s="1"/>
  <c r="U98" i="32"/>
  <c r="BM98" i="32" s="1"/>
  <c r="Y98" i="32"/>
  <c r="BQ98" i="32" s="1"/>
  <c r="T98" i="32"/>
  <c r="S98" i="32"/>
  <c r="BK98" i="32" s="1"/>
  <c r="Q98" i="32"/>
  <c r="BI98" i="32" s="1"/>
  <c r="C98" i="32"/>
  <c r="BD98" i="32" s="1"/>
  <c r="M98" i="32"/>
  <c r="BC98" i="32" s="1"/>
  <c r="BO98" i="32"/>
  <c r="BP98" i="32"/>
  <c r="BL98" i="32"/>
  <c r="AB98" i="32"/>
  <c r="I98" i="32"/>
  <c r="AY98" i="32" s="1"/>
  <c r="H98" i="32"/>
  <c r="AX98" i="32" s="1"/>
  <c r="G99" i="32"/>
  <c r="C99" i="32" a="1"/>
  <c r="W99" i="32" a="1"/>
  <c r="AR99" i="32" a="1"/>
  <c r="AT99" i="32" a="1"/>
  <c r="H99" i="32" a="1"/>
  <c r="AI99" i="32" a="1"/>
  <c r="AH99" i="32" a="1"/>
  <c r="AN99" i="32" a="1"/>
  <c r="M99" i="32" a="1"/>
  <c r="AB99" i="32" a="1"/>
  <c r="L99" i="32" a="1"/>
  <c r="U99" i="32" a="1"/>
  <c r="N99" i="32" a="1"/>
  <c r="AE99" i="32" a="1"/>
  <c r="AK99" i="32" a="1"/>
  <c r="AM99" i="32" a="1"/>
  <c r="X99" i="32" a="1"/>
  <c r="AG99" i="32" a="1"/>
  <c r="D99" i="32" a="1"/>
  <c r="V99" i="32" a="1"/>
  <c r="AD99" i="32" a="1"/>
  <c r="Q99" i="32" a="1"/>
  <c r="O99" i="32" a="1"/>
  <c r="S99" i="32" a="1"/>
  <c r="AP99" i="32" a="1"/>
  <c r="P99" i="32" a="1"/>
  <c r="AS99" i="32" a="1"/>
  <c r="AQ99" i="32" a="1"/>
  <c r="AC99" i="32" a="1"/>
  <c r="K99" i="32" a="1"/>
  <c r="T99" i="32" a="1"/>
  <c r="R99" i="32" a="1"/>
  <c r="AJ99" i="32" a="1"/>
  <c r="AO99" i="32" a="1"/>
  <c r="I99" i="32" a="1"/>
  <c r="Y99" i="32" a="1"/>
  <c r="AL99" i="32" a="1"/>
  <c r="J99" i="32" a="1"/>
  <c r="AU99" i="32" a="1"/>
  <c r="AF99" i="32" a="1"/>
  <c r="AU99" i="32" l="1"/>
  <c r="AL99" i="32"/>
  <c r="AG99" i="32"/>
  <c r="AP99" i="32"/>
  <c r="AK99" i="32"/>
  <c r="AT99" i="32"/>
  <c r="AO99" i="32"/>
  <c r="AF99" i="32"/>
  <c r="AN99" i="32"/>
  <c r="AH99" i="32"/>
  <c r="AS99" i="32"/>
  <c r="AM99" i="32"/>
  <c r="AE99" i="32"/>
  <c r="AR99" i="32"/>
  <c r="AJ99" i="32"/>
  <c r="AD99" i="32"/>
  <c r="AC99" i="32"/>
  <c r="AQ99" i="32"/>
  <c r="AI99" i="32"/>
  <c r="S99" i="32"/>
  <c r="BK99" i="32" s="1"/>
  <c r="N99" i="32"/>
  <c r="BF99" i="32" s="1"/>
  <c r="W99" i="32"/>
  <c r="BO99" i="32" s="1"/>
  <c r="R99" i="32"/>
  <c r="BJ99" i="32" s="1"/>
  <c r="K99" i="32"/>
  <c r="BA99" i="32" s="1"/>
  <c r="V99" i="32"/>
  <c r="BN99" i="32" s="1"/>
  <c r="D99" i="32"/>
  <c r="BE99" i="32" s="1"/>
  <c r="X99" i="32"/>
  <c r="O99" i="32"/>
  <c r="BG99" i="32" s="1"/>
  <c r="U99" i="32"/>
  <c r="BM99" i="32" s="1"/>
  <c r="C99" i="32"/>
  <c r="BD99" i="32" s="1"/>
  <c r="T99" i="32"/>
  <c r="BL99" i="32" s="1"/>
  <c r="M99" i="32"/>
  <c r="BC99" i="32" s="1"/>
  <c r="J99" i="32"/>
  <c r="AZ99" i="32" s="1"/>
  <c r="Y99" i="32"/>
  <c r="BQ99" i="32" s="1"/>
  <c r="P99" i="32"/>
  <c r="BH99" i="32" s="1"/>
  <c r="Q99" i="32"/>
  <c r="BI99" i="32" s="1"/>
  <c r="L99" i="32"/>
  <c r="BB99" i="32" s="1"/>
  <c r="BP99" i="32"/>
  <c r="AB99" i="32"/>
  <c r="I99" i="32"/>
  <c r="AY99" i="32" s="1"/>
  <c r="H99" i="32"/>
  <c r="AX99" i="32" s="1"/>
  <c r="G100" i="32"/>
  <c r="T100" i="32" a="1"/>
  <c r="R100" i="32" a="1"/>
  <c r="AE100" i="32" a="1"/>
  <c r="AQ100" i="32" a="1"/>
  <c r="AB100" i="32" a="1"/>
  <c r="L100" i="32" a="1"/>
  <c r="V100" i="32" a="1"/>
  <c r="AH100" i="32" a="1"/>
  <c r="AP100" i="32" a="1"/>
  <c r="U100" i="32" a="1"/>
  <c r="N100" i="32" a="1"/>
  <c r="AM100" i="32" a="1"/>
  <c r="AC100" i="32" a="1"/>
  <c r="H100" i="32" a="1"/>
  <c r="J100" i="32" a="1"/>
  <c r="AS100" i="32" a="1"/>
  <c r="S100" i="32" a="1"/>
  <c r="AD100" i="32" a="1"/>
  <c r="Q100" i="32" a="1"/>
  <c r="AK100" i="32" a="1"/>
  <c r="C100" i="32" a="1"/>
  <c r="W100" i="32" a="1"/>
  <c r="AU100" i="32" a="1"/>
  <c r="AJ100" i="32" a="1"/>
  <c r="I100" i="32" a="1"/>
  <c r="D100" i="32" a="1"/>
  <c r="AG100" i="32" a="1"/>
  <c r="Y100" i="32" a="1"/>
  <c r="AF100" i="32" a="1"/>
  <c r="P100" i="32" a="1"/>
  <c r="AO100" i="32" a="1"/>
  <c r="X100" i="32" a="1"/>
  <c r="M100" i="32" a="1"/>
  <c r="K100" i="32" a="1"/>
  <c r="AR100" i="32" a="1"/>
  <c r="AI100" i="32" a="1"/>
  <c r="AT100" i="32" a="1"/>
  <c r="AN100" i="32" a="1"/>
  <c r="O100" i="32" a="1"/>
  <c r="AL100" i="32" a="1"/>
  <c r="AT100" i="32" l="1"/>
  <c r="AK100" i="32"/>
  <c r="AO100" i="32"/>
  <c r="AF100" i="32"/>
  <c r="AS100" i="32"/>
  <c r="AJ100" i="32"/>
  <c r="AC100" i="32"/>
  <c r="AQ100" i="32"/>
  <c r="AI100" i="32"/>
  <c r="AP100" i="32"/>
  <c r="AH100" i="32"/>
  <c r="AN100" i="32"/>
  <c r="AG100" i="32"/>
  <c r="AU100" i="32"/>
  <c r="AM100" i="32"/>
  <c r="AE100" i="32"/>
  <c r="AR100" i="32"/>
  <c r="AL100" i="32"/>
  <c r="AD100" i="32"/>
  <c r="S100" i="32"/>
  <c r="BK100" i="32" s="1"/>
  <c r="L100" i="32"/>
  <c r="BB100" i="32" s="1"/>
  <c r="W100" i="32"/>
  <c r="BO100" i="32" s="1"/>
  <c r="N100" i="32"/>
  <c r="BF100" i="32" s="1"/>
  <c r="R100" i="32"/>
  <c r="BJ100" i="32" s="1"/>
  <c r="K100" i="32"/>
  <c r="BA100" i="32" s="1"/>
  <c r="X100" i="32"/>
  <c r="O100" i="32"/>
  <c r="BG100" i="32" s="1"/>
  <c r="V100" i="32"/>
  <c r="BN100" i="32" s="1"/>
  <c r="D100" i="32"/>
  <c r="BE100" i="32" s="1"/>
  <c r="C100" i="32"/>
  <c r="BD100" i="32" s="1"/>
  <c r="U100" i="32"/>
  <c r="BM100" i="32" s="1"/>
  <c r="T100" i="32"/>
  <c r="BL100" i="32" s="1"/>
  <c r="M100" i="32"/>
  <c r="Q100" i="32"/>
  <c r="BI100" i="32" s="1"/>
  <c r="P100" i="32"/>
  <c r="BH100" i="32" s="1"/>
  <c r="Y100" i="32"/>
  <c r="BQ100" i="32" s="1"/>
  <c r="J100" i="32"/>
  <c r="AZ100" i="32" s="1"/>
  <c r="BP100" i="32"/>
  <c r="AB100" i="32"/>
  <c r="BC100" i="32"/>
  <c r="I100" i="32"/>
  <c r="AY100" i="32" s="1"/>
  <c r="H100" i="32"/>
  <c r="AX100" i="32" s="1"/>
  <c r="G101" i="32"/>
  <c r="Q101" i="32" a="1"/>
  <c r="R101" i="32" a="1"/>
  <c r="AM101" i="32" a="1"/>
  <c r="AD101" i="32" a="1"/>
  <c r="AF101" i="32" a="1"/>
  <c r="AO101" i="32" a="1"/>
  <c r="H101" i="32" a="1"/>
  <c r="S101" i="32" a="1"/>
  <c r="AN101" i="32" a="1"/>
  <c r="O101" i="32" a="1"/>
  <c r="AQ101" i="32" a="1"/>
  <c r="C101" i="32" a="1"/>
  <c r="W101" i="32" a="1"/>
  <c r="AU101" i="32" a="1"/>
  <c r="AL101" i="32" a="1"/>
  <c r="D101" i="32" a="1"/>
  <c r="AI101" i="32" a="1"/>
  <c r="L101" i="32" a="1"/>
  <c r="AK101" i="32" a="1"/>
  <c r="Y101" i="32" a="1"/>
  <c r="U101" i="32" a="1"/>
  <c r="N101" i="32" a="1"/>
  <c r="AH101" i="32" a="1"/>
  <c r="AT101" i="32" a="1"/>
  <c r="AP101" i="32" a="1"/>
  <c r="AB101" i="32" a="1"/>
  <c r="AC101" i="32" a="1"/>
  <c r="M101" i="32" a="1"/>
  <c r="X101" i="32" a="1"/>
  <c r="J101" i="32" a="1"/>
  <c r="K101" i="32" a="1"/>
  <c r="AG101" i="32" a="1"/>
  <c r="AR101" i="32" a="1"/>
  <c r="AS101" i="32" a="1"/>
  <c r="V101" i="32" a="1"/>
  <c r="I101" i="32" a="1"/>
  <c r="P101" i="32" a="1"/>
  <c r="AE101" i="32" a="1"/>
  <c r="T101" i="32" a="1"/>
  <c r="AJ101" i="32" a="1"/>
  <c r="AO101" i="32" l="1"/>
  <c r="AF101" i="32"/>
  <c r="AS101" i="32"/>
  <c r="AJ101" i="32"/>
  <c r="AE101" i="32"/>
  <c r="AN101" i="32"/>
  <c r="AI101" i="32"/>
  <c r="AT101" i="32"/>
  <c r="AL101" i="32"/>
  <c r="AD101" i="32"/>
  <c r="AR101" i="32"/>
  <c r="AQ101" i="32"/>
  <c r="AK101" i="32"/>
  <c r="AC101" i="32"/>
  <c r="AP101" i="32"/>
  <c r="AH101" i="32"/>
  <c r="AU101" i="32"/>
  <c r="AM101" i="32"/>
  <c r="AG101" i="32"/>
  <c r="X101" i="32"/>
  <c r="BP101" i="32" s="1"/>
  <c r="O101" i="32"/>
  <c r="BG101" i="32" s="1"/>
  <c r="L101" i="32"/>
  <c r="BB101" i="32" s="1"/>
  <c r="S101" i="32"/>
  <c r="BK101" i="32" s="1"/>
  <c r="N101" i="32"/>
  <c r="BF101" i="32" s="1"/>
  <c r="W101" i="32"/>
  <c r="BO101" i="32" s="1"/>
  <c r="R101" i="32"/>
  <c r="BJ101" i="32" s="1"/>
  <c r="K101" i="32"/>
  <c r="BA101" i="32" s="1"/>
  <c r="T101" i="32"/>
  <c r="BL101" i="32" s="1"/>
  <c r="M101" i="32"/>
  <c r="BC101" i="32" s="1"/>
  <c r="V101" i="32"/>
  <c r="BN101" i="32" s="1"/>
  <c r="D101" i="32"/>
  <c r="BE101" i="32" s="1"/>
  <c r="U101" i="32"/>
  <c r="BM101" i="32" s="1"/>
  <c r="C101" i="32"/>
  <c r="BD101" i="32" s="1"/>
  <c r="Q101" i="32"/>
  <c r="BI101" i="32" s="1"/>
  <c r="J101" i="32"/>
  <c r="AZ101" i="32" s="1"/>
  <c r="Y101" i="32"/>
  <c r="BQ101" i="32" s="1"/>
  <c r="P101" i="32"/>
  <c r="BH101" i="32" s="1"/>
  <c r="AB101" i="32"/>
  <c r="I101" i="32"/>
  <c r="AY101" i="32" s="1"/>
  <c r="H101" i="32"/>
  <c r="AX101" i="32" s="1"/>
  <c r="G102" i="32"/>
  <c r="C102" i="32" a="1"/>
  <c r="L102" i="32" a="1"/>
  <c r="AL102" i="32" a="1"/>
  <c r="AD102" i="32" a="1"/>
  <c r="AB102" i="32" a="1"/>
  <c r="AI102" i="32" a="1"/>
  <c r="M102" i="32" a="1"/>
  <c r="AR102" i="32" a="1"/>
  <c r="P102" i="32" a="1"/>
  <c r="AE102" i="32" a="1"/>
  <c r="AK102" i="32" a="1"/>
  <c r="AQ102" i="32" a="1"/>
  <c r="D102" i="32" a="1"/>
  <c r="S102" i="32" a="1"/>
  <c r="AT102" i="32" a="1"/>
  <c r="AM102" i="32" a="1"/>
  <c r="I102" i="32" a="1"/>
  <c r="X102" i="32" a="1"/>
  <c r="AO102" i="32" a="1"/>
  <c r="Y102" i="32" a="1"/>
  <c r="AN102" i="32" a="1"/>
  <c r="J102" i="32" a="1"/>
  <c r="AS102" i="32" a="1"/>
  <c r="K102" i="32" a="1"/>
  <c r="V102" i="32" a="1"/>
  <c r="O102" i="32" a="1"/>
  <c r="AF102" i="32" a="1"/>
  <c r="R102" i="32" a="1"/>
  <c r="AG102" i="32" a="1"/>
  <c r="T102" i="32" a="1"/>
  <c r="Q102" i="32" a="1"/>
  <c r="AH102" i="32" a="1"/>
  <c r="U102" i="32" a="1"/>
  <c r="W102" i="32" a="1"/>
  <c r="AJ102" i="32" a="1"/>
  <c r="AP102" i="32" a="1"/>
  <c r="H102" i="32" a="1"/>
  <c r="AC102" i="32" a="1"/>
  <c r="AU102" i="32" a="1"/>
  <c r="N102" i="32" a="1"/>
  <c r="AS102" i="32" l="1"/>
  <c r="AN102" i="32"/>
  <c r="AE102" i="32"/>
  <c r="AR102" i="32"/>
  <c r="AI102" i="32"/>
  <c r="AM102" i="32"/>
  <c r="AD102" i="32"/>
  <c r="AP102" i="32"/>
  <c r="AH102" i="32"/>
  <c r="AU102" i="32"/>
  <c r="AO102" i="32"/>
  <c r="AG102" i="32"/>
  <c r="AF102" i="32"/>
  <c r="AT102" i="32"/>
  <c r="AL102" i="32"/>
  <c r="AJ102" i="32"/>
  <c r="AQ102" i="32"/>
  <c r="AK102" i="32"/>
  <c r="AC102" i="32"/>
  <c r="X102" i="32"/>
  <c r="O102" i="32"/>
  <c r="BG102" i="32" s="1"/>
  <c r="S102" i="32"/>
  <c r="BK102" i="32" s="1"/>
  <c r="L102" i="32"/>
  <c r="BB102" i="32" s="1"/>
  <c r="W102" i="32"/>
  <c r="BO102" i="32" s="1"/>
  <c r="N102" i="32"/>
  <c r="BF102" i="32" s="1"/>
  <c r="Y102" i="32"/>
  <c r="BQ102" i="32" s="1"/>
  <c r="T102" i="32"/>
  <c r="BL102" i="32" s="1"/>
  <c r="M102" i="32"/>
  <c r="BC102" i="32" s="1"/>
  <c r="V102" i="32"/>
  <c r="BN102" i="32" s="1"/>
  <c r="D102" i="32"/>
  <c r="BE102" i="32" s="1"/>
  <c r="C102" i="32"/>
  <c r="BD102" i="32" s="1"/>
  <c r="U102" i="32"/>
  <c r="BM102" i="32" s="1"/>
  <c r="J102" i="32"/>
  <c r="Q102" i="32"/>
  <c r="P102" i="32"/>
  <c r="BH102" i="32" s="1"/>
  <c r="R102" i="32"/>
  <c r="BJ102" i="32" s="1"/>
  <c r="K102" i="32"/>
  <c r="BA102" i="32" s="1"/>
  <c r="BP102" i="32"/>
  <c r="BI102" i="32"/>
  <c r="AB102" i="32"/>
  <c r="AZ102" i="32"/>
  <c r="I102" i="32"/>
  <c r="AY102" i="32" s="1"/>
  <c r="H102" i="32"/>
  <c r="AX102" i="32" s="1"/>
  <c r="G103" i="32"/>
  <c r="R103" i="32" a="1"/>
  <c r="N103" i="32" a="1"/>
  <c r="AF103" i="32" a="1"/>
  <c r="AU103" i="32" a="1"/>
  <c r="AI103" i="32" a="1"/>
  <c r="AO103" i="32" a="1"/>
  <c r="AR103" i="32" a="1"/>
  <c r="AN103" i="32" a="1"/>
  <c r="AJ103" i="32" a="1"/>
  <c r="X103" i="32" a="1"/>
  <c r="J103" i="32" a="1"/>
  <c r="AQ103" i="32" a="1"/>
  <c r="Q103" i="32" a="1"/>
  <c r="AD103" i="32" a="1"/>
  <c r="C103" i="32" a="1"/>
  <c r="S103" i="32" a="1"/>
  <c r="AE103" i="32" a="1"/>
  <c r="O103" i="32" a="1"/>
  <c r="AC103" i="32" a="1"/>
  <c r="AS103" i="32" a="1"/>
  <c r="M103" i="32" a="1"/>
  <c r="P103" i="32" a="1"/>
  <c r="U103" i="32" a="1"/>
  <c r="L103" i="32" a="1"/>
  <c r="AG103" i="32" a="1"/>
  <c r="AB103" i="32" a="1"/>
  <c r="D103" i="32" a="1"/>
  <c r="H103" i="32" a="1"/>
  <c r="V103" i="32" a="1"/>
  <c r="I103" i="32" a="1"/>
  <c r="AT103" i="32" a="1"/>
  <c r="T103" i="32" a="1"/>
  <c r="K103" i="32" a="1"/>
  <c r="Y103" i="32" a="1"/>
  <c r="AP103" i="32" a="1"/>
  <c r="AL103" i="32" a="1"/>
  <c r="AM103" i="32" a="1"/>
  <c r="AH103" i="32" a="1"/>
  <c r="W103" i="32" a="1"/>
  <c r="AK103" i="32" a="1"/>
  <c r="AR103" i="32" l="1"/>
  <c r="AI103" i="32"/>
  <c r="AM103" i="32"/>
  <c r="AD103" i="32"/>
  <c r="AQ103" i="32"/>
  <c r="AH103" i="32"/>
  <c r="AC103" i="32"/>
  <c r="AN103" i="32"/>
  <c r="AE103" i="32"/>
  <c r="AU103" i="32"/>
  <c r="AL103" i="32"/>
  <c r="AK103" i="32"/>
  <c r="AT103" i="32"/>
  <c r="AS103" i="32"/>
  <c r="AJ103" i="32"/>
  <c r="AG103" i="32"/>
  <c r="AO103" i="32"/>
  <c r="AF103" i="32"/>
  <c r="AP103" i="32"/>
  <c r="T103" i="32"/>
  <c r="BL103" i="32" s="1"/>
  <c r="M103" i="32"/>
  <c r="BC103" i="32" s="1"/>
  <c r="X103" i="32"/>
  <c r="BP103" i="32" s="1"/>
  <c r="O103" i="32"/>
  <c r="BG103" i="32" s="1"/>
  <c r="L103" i="32"/>
  <c r="BB103" i="32" s="1"/>
  <c r="S103" i="32"/>
  <c r="N103" i="32"/>
  <c r="Y103" i="32"/>
  <c r="BQ103" i="32" s="1"/>
  <c r="P103" i="32"/>
  <c r="BH103" i="32" s="1"/>
  <c r="W103" i="32"/>
  <c r="V103" i="32"/>
  <c r="BN103" i="32" s="1"/>
  <c r="D103" i="32"/>
  <c r="BE103" i="32" s="1"/>
  <c r="U103" i="32"/>
  <c r="BM103" i="32" s="1"/>
  <c r="C103" i="32"/>
  <c r="R103" i="32"/>
  <c r="BJ103" i="32" s="1"/>
  <c r="K103" i="32"/>
  <c r="BA103" i="32" s="1"/>
  <c r="Q103" i="32"/>
  <c r="BI103" i="32" s="1"/>
  <c r="J103" i="32"/>
  <c r="AZ103" i="32" s="1"/>
  <c r="BO103" i="32"/>
  <c r="BK103" i="32"/>
  <c r="AB103" i="32"/>
  <c r="BD103" i="32"/>
  <c r="I103" i="32"/>
  <c r="AY103" i="32" s="1"/>
  <c r="BF103" i="32"/>
  <c r="H103" i="32"/>
  <c r="AX103" i="32" s="1"/>
  <c r="G104" i="32"/>
  <c r="R104" i="32" a="1"/>
  <c r="L104" i="32" a="1"/>
  <c r="AF104" i="32" a="1"/>
  <c r="AI104" i="32" a="1"/>
  <c r="AM104" i="32" a="1"/>
  <c r="AK104" i="32" a="1"/>
  <c r="N104" i="32" a="1"/>
  <c r="AC104" i="32" a="1"/>
  <c r="T104" i="32" a="1"/>
  <c r="AH104" i="32" a="1"/>
  <c r="C104" i="32" a="1"/>
  <c r="S104" i="32" a="1"/>
  <c r="AJ104" i="32" a="1"/>
  <c r="AR104" i="32" a="1"/>
  <c r="AU104" i="32" a="1"/>
  <c r="AG104" i="32" a="1"/>
  <c r="X104" i="32" a="1"/>
  <c r="I104" i="32" a="1"/>
  <c r="M104" i="32" a="1"/>
  <c r="AB104" i="32" a="1"/>
  <c r="W104" i="32" a="1"/>
  <c r="AE104" i="32" a="1"/>
  <c r="D104" i="32" a="1"/>
  <c r="O104" i="32" a="1"/>
  <c r="AS104" i="32" a="1"/>
  <c r="H104" i="32" a="1"/>
  <c r="V104" i="32" a="1"/>
  <c r="AP104" i="32" a="1"/>
  <c r="AT104" i="32" a="1"/>
  <c r="Q104" i="32" a="1"/>
  <c r="AL104" i="32" a="1"/>
  <c r="J104" i="32" a="1"/>
  <c r="P104" i="32" a="1"/>
  <c r="Y104" i="32" a="1"/>
  <c r="AN104" i="32" a="1"/>
  <c r="AQ104" i="32" a="1"/>
  <c r="K104" i="32" a="1"/>
  <c r="U104" i="32" a="1"/>
  <c r="AO104" i="32" a="1"/>
  <c r="AD104" i="32" a="1"/>
  <c r="AU104" i="32" l="1"/>
  <c r="AM104" i="32"/>
  <c r="AH104" i="32"/>
  <c r="AQ104" i="32"/>
  <c r="AL104" i="32"/>
  <c r="AC104" i="32"/>
  <c r="AP104" i="32"/>
  <c r="AG104" i="32"/>
  <c r="AR104" i="32"/>
  <c r="AI104" i="32"/>
  <c r="AD104" i="32"/>
  <c r="AN104" i="32"/>
  <c r="AE104" i="32"/>
  <c r="AT104" i="32"/>
  <c r="AK104" i="32"/>
  <c r="AS104" i="32"/>
  <c r="AJ104" i="32"/>
  <c r="AF104" i="32"/>
  <c r="AO104" i="32"/>
  <c r="Y104" i="32"/>
  <c r="BQ104" i="32" s="1"/>
  <c r="T104" i="32"/>
  <c r="BL104" i="32" s="1"/>
  <c r="M104" i="32"/>
  <c r="BC104" i="32" s="1"/>
  <c r="X104" i="32"/>
  <c r="BP104" i="32" s="1"/>
  <c r="O104" i="32"/>
  <c r="BG104" i="32" s="1"/>
  <c r="S104" i="32"/>
  <c r="BK104" i="32" s="1"/>
  <c r="L104" i="32"/>
  <c r="BB104" i="32" s="1"/>
  <c r="U104" i="32"/>
  <c r="P104" i="32"/>
  <c r="BH104" i="32" s="1"/>
  <c r="W104" i="32"/>
  <c r="BO104" i="32" s="1"/>
  <c r="N104" i="32"/>
  <c r="BF104" i="32" s="1"/>
  <c r="V104" i="32"/>
  <c r="BN104" i="32" s="1"/>
  <c r="D104" i="32"/>
  <c r="BE104" i="32" s="1"/>
  <c r="C104" i="32"/>
  <c r="R104" i="32"/>
  <c r="BJ104" i="32" s="1"/>
  <c r="K104" i="32"/>
  <c r="BA104" i="32" s="1"/>
  <c r="J104" i="32"/>
  <c r="AZ104" i="32" s="1"/>
  <c r="Q104" i="32"/>
  <c r="BI104" i="32" s="1"/>
  <c r="BM104" i="32"/>
  <c r="AB104" i="32"/>
  <c r="BD104" i="32"/>
  <c r="I104" i="32"/>
  <c r="AY104" i="32" s="1"/>
  <c r="H104" i="32"/>
  <c r="AX104" i="32" s="1"/>
  <c r="G105" i="32"/>
  <c r="S105" i="32" a="1"/>
  <c r="O105" i="32" a="1"/>
  <c r="AG105" i="32" a="1"/>
  <c r="AT105" i="32" a="1"/>
  <c r="AR105" i="32" a="1"/>
  <c r="AQ105" i="32" a="1"/>
  <c r="H105" i="32" a="1"/>
  <c r="AB105" i="32" a="1"/>
  <c r="T105" i="32" a="1"/>
  <c r="I105" i="32" a="1"/>
  <c r="N105" i="32" a="1"/>
  <c r="AD105" i="32" a="1"/>
  <c r="K105" i="32" a="1"/>
  <c r="AJ105" i="32" a="1"/>
  <c r="D105" i="32" a="1"/>
  <c r="X105" i="32" a="1"/>
  <c r="AC105" i="32" a="1"/>
  <c r="W105" i="32" a="1"/>
  <c r="AM105" i="32" a="1"/>
  <c r="P105" i="32" a="1"/>
  <c r="C105" i="32" a="1"/>
  <c r="U105" i="32" a="1"/>
  <c r="V105" i="32" a="1"/>
  <c r="M105" i="32" a="1"/>
  <c r="AK105" i="32" a="1"/>
  <c r="AH105" i="32" a="1"/>
  <c r="AU105" i="32" a="1"/>
  <c r="AL105" i="32" a="1"/>
  <c r="Y105" i="32" a="1"/>
  <c r="AI105" i="32" a="1"/>
  <c r="R105" i="32" a="1"/>
  <c r="L105" i="32" a="1"/>
  <c r="AP105" i="32" a="1"/>
  <c r="AO105" i="32" a="1"/>
  <c r="AN105" i="32" a="1"/>
  <c r="J105" i="32" a="1"/>
  <c r="AS105" i="32" a="1"/>
  <c r="Q105" i="32" a="1"/>
  <c r="AF105" i="32" a="1"/>
  <c r="AE105" i="32" a="1"/>
  <c r="AR105" i="32" l="1"/>
  <c r="AN105" i="32"/>
  <c r="AJ105" i="32"/>
  <c r="AF105" i="32"/>
  <c r="AS105" i="32"/>
  <c r="AM105" i="32"/>
  <c r="AH105" i="32"/>
  <c r="AC105" i="32"/>
  <c r="AT105" i="32"/>
  <c r="AO105" i="32"/>
  <c r="AI105" i="32"/>
  <c r="AD105" i="32"/>
  <c r="AL105" i="32"/>
  <c r="AU105" i="32"/>
  <c r="AK105" i="32"/>
  <c r="AQ105" i="32"/>
  <c r="AG105" i="32"/>
  <c r="AP105" i="32"/>
  <c r="AE105" i="32"/>
  <c r="Y105" i="32"/>
  <c r="BQ105" i="32" s="1"/>
  <c r="P105" i="32"/>
  <c r="BH105" i="32" s="1"/>
  <c r="T105" i="32"/>
  <c r="BL105" i="32" s="1"/>
  <c r="M105" i="32"/>
  <c r="BC105" i="32" s="1"/>
  <c r="X105" i="32"/>
  <c r="BP105" i="32" s="1"/>
  <c r="O105" i="32"/>
  <c r="BG105" i="32" s="1"/>
  <c r="L105" i="32"/>
  <c r="BB105" i="32" s="1"/>
  <c r="U105" i="32"/>
  <c r="BM105" i="32" s="1"/>
  <c r="C105" i="32"/>
  <c r="BD105" i="32" s="1"/>
  <c r="N105" i="32"/>
  <c r="BF105" i="32" s="1"/>
  <c r="W105" i="32"/>
  <c r="BO105" i="32" s="1"/>
  <c r="V105" i="32"/>
  <c r="BN105" i="32" s="1"/>
  <c r="D105" i="32"/>
  <c r="BE105" i="32" s="1"/>
  <c r="S105" i="32"/>
  <c r="BK105" i="32" s="1"/>
  <c r="R105" i="32"/>
  <c r="BJ105" i="32" s="1"/>
  <c r="K105" i="32"/>
  <c r="BA105" i="32" s="1"/>
  <c r="Q105" i="32"/>
  <c r="BI105" i="32" s="1"/>
  <c r="J105" i="32"/>
  <c r="AZ105" i="32" s="1"/>
  <c r="AB105" i="32"/>
  <c r="I105" i="32"/>
  <c r="AY105" i="32" s="1"/>
  <c r="H105" i="32"/>
  <c r="AX105" i="32" s="1"/>
  <c r="G106" i="32"/>
  <c r="J106" i="32" a="1"/>
  <c r="W106" i="32" a="1"/>
  <c r="P106" i="32" a="1"/>
  <c r="AF106" i="32" a="1"/>
  <c r="AC106" i="32" a="1"/>
  <c r="AG106" i="32" a="1"/>
  <c r="AP106" i="32" a="1"/>
  <c r="L106" i="32" a="1"/>
  <c r="AO106" i="32" a="1"/>
  <c r="AI106" i="32" a="1"/>
  <c r="AQ106" i="32" a="1"/>
  <c r="T106" i="32" a="1"/>
  <c r="H106" i="32" a="1"/>
  <c r="K106" i="32" a="1"/>
  <c r="C106" i="32" a="1"/>
  <c r="U106" i="32" a="1"/>
  <c r="AL106" i="32" a="1"/>
  <c r="O106" i="32" a="1"/>
  <c r="AE106" i="32" a="1"/>
  <c r="S106" i="32" a="1"/>
  <c r="AJ106" i="32" a="1"/>
  <c r="AU106" i="32" a="1"/>
  <c r="AN106" i="32" a="1"/>
  <c r="R106" i="32" a="1"/>
  <c r="Q106" i="32" a="1"/>
  <c r="AH106" i="32" a="1"/>
  <c r="AK106" i="32" a="1"/>
  <c r="AT106" i="32" a="1"/>
  <c r="X106" i="32" a="1"/>
  <c r="AS106" i="32" a="1"/>
  <c r="D106" i="32" a="1"/>
  <c r="AB106" i="32" a="1"/>
  <c r="AM106" i="32" a="1"/>
  <c r="N106" i="32" a="1"/>
  <c r="Y106" i="32" a="1"/>
  <c r="AD106" i="32" a="1"/>
  <c r="AR106" i="32" a="1"/>
  <c r="I106" i="32" a="1"/>
  <c r="M106" i="32" a="1"/>
  <c r="V106" i="32" a="1"/>
  <c r="AS106" i="32" l="1"/>
  <c r="AO106" i="32"/>
  <c r="AK106" i="32"/>
  <c r="AG106" i="32"/>
  <c r="AC106" i="32"/>
  <c r="AR106" i="32"/>
  <c r="AN106" i="32"/>
  <c r="AQ106" i="32"/>
  <c r="AJ106" i="32"/>
  <c r="AE106" i="32"/>
  <c r="AP106" i="32"/>
  <c r="AL106" i="32"/>
  <c r="AF106" i="32"/>
  <c r="AD106" i="32"/>
  <c r="AM106" i="32"/>
  <c r="AU106" i="32"/>
  <c r="AI106" i="32"/>
  <c r="AT106" i="32"/>
  <c r="AH106" i="32"/>
  <c r="U106" i="32"/>
  <c r="BM106" i="32" s="1"/>
  <c r="P106" i="32"/>
  <c r="BH106" i="32" s="1"/>
  <c r="Y106" i="32"/>
  <c r="BQ106" i="32" s="1"/>
  <c r="T106" i="32"/>
  <c r="BL106" i="32" s="1"/>
  <c r="M106" i="32"/>
  <c r="BC106" i="32" s="1"/>
  <c r="X106" i="32"/>
  <c r="BP106" i="32" s="1"/>
  <c r="O106" i="32"/>
  <c r="Q106" i="32"/>
  <c r="BI106" i="32" s="1"/>
  <c r="C106" i="32"/>
  <c r="BD106" i="32" s="1"/>
  <c r="W106" i="32"/>
  <c r="BO106" i="32" s="1"/>
  <c r="N106" i="32"/>
  <c r="BF106" i="32" s="1"/>
  <c r="V106" i="32"/>
  <c r="BN106" i="32" s="1"/>
  <c r="D106" i="32"/>
  <c r="BE106" i="32" s="1"/>
  <c r="S106" i="32"/>
  <c r="L106" i="32"/>
  <c r="BB106" i="32" s="1"/>
  <c r="R106" i="32"/>
  <c r="BJ106" i="32" s="1"/>
  <c r="K106" i="32"/>
  <c r="BA106" i="32" s="1"/>
  <c r="J106" i="32"/>
  <c r="AZ106" i="32" s="1"/>
  <c r="BK106" i="32"/>
  <c r="BG106" i="32"/>
  <c r="AB106" i="32"/>
  <c r="I106" i="32"/>
  <c r="AY106" i="32" s="1"/>
  <c r="H106" i="32"/>
  <c r="AX106" i="32" s="1"/>
  <c r="G107" i="32"/>
  <c r="D107" i="32" a="1"/>
  <c r="M107" i="32" a="1"/>
  <c r="AU107" i="32" a="1"/>
  <c r="AG107" i="32" a="1"/>
  <c r="AT107" i="32" a="1"/>
  <c r="V107" i="32" a="1"/>
  <c r="AI107" i="32" a="1"/>
  <c r="AK107" i="32" a="1"/>
  <c r="P107" i="32" a="1"/>
  <c r="AO107" i="32" a="1"/>
  <c r="Y107" i="32" a="1"/>
  <c r="I107" i="32" a="1"/>
  <c r="O107" i="32" a="1"/>
  <c r="AQ107" i="32" a="1"/>
  <c r="AN107" i="32" a="1"/>
  <c r="T107" i="32" a="1"/>
  <c r="AB107" i="32" a="1"/>
  <c r="H107" i="32" a="1"/>
  <c r="N107" i="32" a="1"/>
  <c r="AS107" i="32" a="1"/>
  <c r="K107" i="32" a="1"/>
  <c r="AD107" i="32" a="1"/>
  <c r="R107" i="32" a="1"/>
  <c r="AH107" i="32" a="1"/>
  <c r="S107" i="32" a="1"/>
  <c r="AL107" i="32" a="1"/>
  <c r="W107" i="32" a="1"/>
  <c r="AM107" i="32" a="1"/>
  <c r="AR107" i="32" a="1"/>
  <c r="C107" i="32" a="1"/>
  <c r="X107" i="32" a="1"/>
  <c r="AE107" i="32" a="1"/>
  <c r="L107" i="32" a="1"/>
  <c r="Q107" i="32" a="1"/>
  <c r="AF107" i="32" a="1"/>
  <c r="AC107" i="32" a="1"/>
  <c r="AP107" i="32" a="1"/>
  <c r="AJ107" i="32" a="1"/>
  <c r="U107" i="32" a="1"/>
  <c r="J107" i="32" a="1"/>
  <c r="AT107" i="32" l="1"/>
  <c r="AP107" i="32"/>
  <c r="AL107" i="32"/>
  <c r="AH107" i="32"/>
  <c r="AD107" i="32"/>
  <c r="AS107" i="32"/>
  <c r="AO107" i="32"/>
  <c r="AK107" i="32"/>
  <c r="AG107" i="32"/>
  <c r="AC107" i="32"/>
  <c r="AE107" i="32"/>
  <c r="AQ107" i="32"/>
  <c r="AJ107" i="32"/>
  <c r="AR107" i="32"/>
  <c r="AM107" i="32"/>
  <c r="AI107" i="32"/>
  <c r="AU107" i="32"/>
  <c r="AF107" i="32"/>
  <c r="AN107" i="32"/>
  <c r="U107" i="32"/>
  <c r="BM107" i="32" s="1"/>
  <c r="C107" i="32"/>
  <c r="BD107" i="32" s="1"/>
  <c r="Y107" i="32"/>
  <c r="BQ107" i="32" s="1"/>
  <c r="P107" i="32"/>
  <c r="BH107" i="32" s="1"/>
  <c r="T107" i="32"/>
  <c r="BL107" i="32" s="1"/>
  <c r="M107" i="32"/>
  <c r="BC107" i="32" s="1"/>
  <c r="Q107" i="32"/>
  <c r="BI107" i="32" s="1"/>
  <c r="J107" i="32"/>
  <c r="AZ107" i="32" s="1"/>
  <c r="X107" i="32"/>
  <c r="O107" i="32"/>
  <c r="BG107" i="32" s="1"/>
  <c r="N107" i="32"/>
  <c r="BF107" i="32" s="1"/>
  <c r="W107" i="32"/>
  <c r="BO107" i="32" s="1"/>
  <c r="V107" i="32"/>
  <c r="BN107" i="32" s="1"/>
  <c r="D107" i="32"/>
  <c r="L107" i="32"/>
  <c r="BB107" i="32" s="1"/>
  <c r="S107" i="32"/>
  <c r="BK107" i="32" s="1"/>
  <c r="R107" i="32"/>
  <c r="BJ107" i="32" s="1"/>
  <c r="K107" i="32"/>
  <c r="BA107" i="32" s="1"/>
  <c r="BP107" i="32"/>
  <c r="AB107" i="32"/>
  <c r="I107" i="32"/>
  <c r="AY107" i="32" s="1"/>
  <c r="BE107" i="32"/>
  <c r="H107" i="32"/>
  <c r="AX107" i="32" s="1"/>
  <c r="G108" i="32"/>
  <c r="L108" i="32" a="1"/>
  <c r="V108" i="32" a="1"/>
  <c r="AG108" i="32" a="1"/>
  <c r="AK108" i="32" a="1"/>
  <c r="AI108" i="32" a="1"/>
  <c r="AR108" i="32" a="1"/>
  <c r="AQ108" i="32" a="1"/>
  <c r="Y108" i="32" a="1"/>
  <c r="P108" i="32" a="1"/>
  <c r="H108" i="32" a="1"/>
  <c r="U108" i="32" a="1"/>
  <c r="K108" i="32" a="1"/>
  <c r="S108" i="32" a="1"/>
  <c r="M108" i="32" a="1"/>
  <c r="AT108" i="32" a="1"/>
  <c r="AM108" i="32" a="1"/>
  <c r="AO108" i="32" a="1"/>
  <c r="AB108" i="32" a="1"/>
  <c r="AS108" i="32" a="1"/>
  <c r="AF108" i="32" a="1"/>
  <c r="C108" i="32" a="1"/>
  <c r="N108" i="32" a="1"/>
  <c r="T108" i="32" a="1"/>
  <c r="AN108" i="32" a="1"/>
  <c r="AD108" i="32" a="1"/>
  <c r="W108" i="32" a="1"/>
  <c r="AH108" i="32" a="1"/>
  <c r="O108" i="32" a="1"/>
  <c r="AL108" i="32" a="1"/>
  <c r="X108" i="32" a="1"/>
  <c r="I108" i="32" a="1"/>
  <c r="J108" i="32" a="1"/>
  <c r="AU108" i="32" a="1"/>
  <c r="R108" i="32" a="1"/>
  <c r="D108" i="32" a="1"/>
  <c r="Q108" i="32" a="1"/>
  <c r="AJ108" i="32" a="1"/>
  <c r="AE108" i="32" a="1"/>
  <c r="AP108" i="32" a="1"/>
  <c r="AC108" i="32" a="1"/>
  <c r="AQ108" i="32" l="1"/>
  <c r="AM108" i="32"/>
  <c r="AI108" i="32"/>
  <c r="AE108" i="32"/>
  <c r="AU108" i="32"/>
  <c r="AP108" i="32"/>
  <c r="AL108" i="32"/>
  <c r="AH108" i="32"/>
  <c r="AD108" i="32"/>
  <c r="AR108" i="32"/>
  <c r="AK108" i="32"/>
  <c r="AJ108" i="32"/>
  <c r="AC108" i="32"/>
  <c r="AF108" i="32"/>
  <c r="AS108" i="32"/>
  <c r="AO108" i="32"/>
  <c r="AN108" i="32"/>
  <c r="AT108" i="32"/>
  <c r="AG108" i="32"/>
  <c r="Q108" i="32"/>
  <c r="BI108" i="32" s="1"/>
  <c r="C108" i="32"/>
  <c r="BD108" i="32" s="1"/>
  <c r="U108" i="32"/>
  <c r="BM108" i="32" s="1"/>
  <c r="P108" i="32"/>
  <c r="BH108" i="32" s="1"/>
  <c r="Y108" i="32"/>
  <c r="BQ108" i="32" s="1"/>
  <c r="T108" i="32"/>
  <c r="BL108" i="32" s="1"/>
  <c r="M108" i="32"/>
  <c r="BC108" i="32" s="1"/>
  <c r="V108" i="32"/>
  <c r="BN108" i="32" s="1"/>
  <c r="D108" i="32"/>
  <c r="BE108" i="32" s="1"/>
  <c r="J108" i="32"/>
  <c r="AZ108" i="32" s="1"/>
  <c r="X108" i="32"/>
  <c r="BP108" i="32" s="1"/>
  <c r="O108" i="32"/>
  <c r="BG108" i="32" s="1"/>
  <c r="W108" i="32"/>
  <c r="BO108" i="32" s="1"/>
  <c r="N108" i="32"/>
  <c r="S108" i="32"/>
  <c r="BK108" i="32" s="1"/>
  <c r="L108" i="32"/>
  <c r="BB108" i="32" s="1"/>
  <c r="R108" i="32"/>
  <c r="BJ108" i="32" s="1"/>
  <c r="K108" i="32"/>
  <c r="BA108" i="32" s="1"/>
  <c r="AB108" i="32"/>
  <c r="I108" i="32"/>
  <c r="AY108" i="32" s="1"/>
  <c r="BF108" i="32"/>
  <c r="H108" i="32"/>
  <c r="AX108" i="32" s="1"/>
  <c r="G109" i="32"/>
  <c r="S109" i="32" a="1"/>
  <c r="D109" i="32" a="1"/>
  <c r="AC109" i="32" a="1"/>
  <c r="AL109" i="32" a="1"/>
  <c r="AG109" i="32" a="1"/>
  <c r="AQ109" i="32" a="1"/>
  <c r="AP109" i="32" a="1"/>
  <c r="AU109" i="32" a="1"/>
  <c r="T109" i="32" a="1"/>
  <c r="AS109" i="32" a="1"/>
  <c r="W109" i="32" a="1"/>
  <c r="AF109" i="32" a="1"/>
  <c r="AJ109" i="32" a="1"/>
  <c r="K109" i="32" a="1"/>
  <c r="X109" i="32" a="1"/>
  <c r="L109" i="32" a="1"/>
  <c r="V109" i="32" a="1"/>
  <c r="AE109" i="32" a="1"/>
  <c r="AH109" i="32" a="1"/>
  <c r="I109" i="32" a="1"/>
  <c r="C109" i="32" a="1"/>
  <c r="H109" i="32" a="1"/>
  <c r="U109" i="32" a="1"/>
  <c r="AB109" i="32" a="1"/>
  <c r="J109" i="32" a="1"/>
  <c r="R109" i="32" a="1"/>
  <c r="AT109" i="32" a="1"/>
  <c r="M109" i="32" a="1"/>
  <c r="P109" i="32" a="1"/>
  <c r="AR109" i="32" a="1"/>
  <c r="AM109" i="32" a="1"/>
  <c r="Y109" i="32" a="1"/>
  <c r="AI109" i="32" a="1"/>
  <c r="N109" i="32" a="1"/>
  <c r="AO109" i="32" a="1"/>
  <c r="O109" i="32" a="1"/>
  <c r="AK109" i="32" a="1"/>
  <c r="AD109" i="32" a="1"/>
  <c r="AN109" i="32" a="1"/>
  <c r="Q109" i="32" a="1"/>
  <c r="AU109" i="32" l="1"/>
  <c r="AP109" i="32"/>
  <c r="AG109" i="32"/>
  <c r="AT109" i="32"/>
  <c r="AK109" i="32"/>
  <c r="AO109" i="32"/>
  <c r="AF109" i="32"/>
  <c r="AS109" i="32"/>
  <c r="AM109" i="32"/>
  <c r="AE109" i="32"/>
  <c r="AL109" i="32"/>
  <c r="AD109" i="32"/>
  <c r="AN109" i="32"/>
  <c r="AJ109" i="32"/>
  <c r="AI109" i="32"/>
  <c r="AH109" i="32"/>
  <c r="AR109" i="32"/>
  <c r="AQ109" i="32"/>
  <c r="AC109" i="32"/>
  <c r="Q109" i="32"/>
  <c r="BI109" i="32" s="1"/>
  <c r="J109" i="32"/>
  <c r="AZ109" i="32" s="1"/>
  <c r="U109" i="32"/>
  <c r="C109" i="32"/>
  <c r="BD109" i="32" s="1"/>
  <c r="Y109" i="32"/>
  <c r="BQ109" i="32" s="1"/>
  <c r="P109" i="32"/>
  <c r="V109" i="32"/>
  <c r="BN109" i="32" s="1"/>
  <c r="D109" i="32"/>
  <c r="BE109" i="32" s="1"/>
  <c r="X109" i="32"/>
  <c r="O109" i="32"/>
  <c r="BG109" i="32" s="1"/>
  <c r="N109" i="32"/>
  <c r="BF109" i="32" s="1"/>
  <c r="W109" i="32"/>
  <c r="BO109" i="32" s="1"/>
  <c r="T109" i="32"/>
  <c r="BL109" i="32" s="1"/>
  <c r="M109" i="32"/>
  <c r="BC109" i="32" s="1"/>
  <c r="L109" i="32"/>
  <c r="S109" i="32"/>
  <c r="BK109" i="32" s="1"/>
  <c r="R109" i="32"/>
  <c r="BJ109" i="32" s="1"/>
  <c r="K109" i="32"/>
  <c r="BA109" i="32" s="1"/>
  <c r="BM109" i="32"/>
  <c r="BP109" i="32"/>
  <c r="BH109" i="32"/>
  <c r="AB109" i="32"/>
  <c r="I109" i="32"/>
  <c r="AY109" i="32" s="1"/>
  <c r="BB109" i="32"/>
  <c r="H109" i="32"/>
  <c r="AX109" i="32" s="1"/>
  <c r="G110" i="32"/>
  <c r="S110" i="32" a="1"/>
  <c r="K110" i="32" a="1"/>
  <c r="V110" i="32" a="1"/>
  <c r="AI110" i="32" a="1"/>
  <c r="AF110" i="32" a="1"/>
  <c r="AQ110" i="32" a="1"/>
  <c r="AK110" i="32" a="1"/>
  <c r="U110" i="32" a="1"/>
  <c r="AD110" i="32" a="1"/>
  <c r="AG110" i="32" a="1"/>
  <c r="AU110" i="32" a="1"/>
  <c r="M110" i="32" a="1"/>
  <c r="R110" i="32" a="1"/>
  <c r="AL110" i="32" a="1"/>
  <c r="AO110" i="32" a="1"/>
  <c r="N110" i="32" a="1"/>
  <c r="AH110" i="32" a="1"/>
  <c r="W110" i="32" a="1"/>
  <c r="H110" i="32" a="1"/>
  <c r="Q110" i="32" a="1"/>
  <c r="I110" i="32" a="1"/>
  <c r="X110" i="32" a="1"/>
  <c r="AB110" i="32" a="1"/>
  <c r="T110" i="32" a="1"/>
  <c r="P110" i="32" a="1"/>
  <c r="AM110" i="32" a="1"/>
  <c r="AN110" i="32" a="1"/>
  <c r="AR110" i="32" a="1"/>
  <c r="AT110" i="32" a="1"/>
  <c r="AP110" i="32" a="1"/>
  <c r="O110" i="32" a="1"/>
  <c r="AJ110" i="32" a="1"/>
  <c r="L110" i="32" a="1"/>
  <c r="Y110" i="32" a="1"/>
  <c r="D110" i="32" a="1"/>
  <c r="AC110" i="32" a="1"/>
  <c r="AS110" i="32" a="1"/>
  <c r="C110" i="32" a="1"/>
  <c r="AE110" i="32" a="1"/>
  <c r="J110" i="32" a="1"/>
  <c r="AT110" i="32" l="1"/>
  <c r="AK110" i="32"/>
  <c r="AO110" i="32"/>
  <c r="AF110" i="32"/>
  <c r="AS110" i="32"/>
  <c r="AJ110" i="32"/>
  <c r="AE110" i="32"/>
  <c r="AP110" i="32"/>
  <c r="AH110" i="32"/>
  <c r="AN110" i="32"/>
  <c r="AQ110" i="32"/>
  <c r="AI110" i="32"/>
  <c r="AC110" i="32"/>
  <c r="AU110" i="32"/>
  <c r="AG110" i="32"/>
  <c r="AD110" i="32"/>
  <c r="AR110" i="32"/>
  <c r="AM110" i="32"/>
  <c r="AL110" i="32"/>
  <c r="V110" i="32"/>
  <c r="D110" i="32"/>
  <c r="BE110" i="32" s="1"/>
  <c r="J110" i="32"/>
  <c r="AZ110" i="32" s="1"/>
  <c r="Q110" i="32"/>
  <c r="BI110" i="32" s="1"/>
  <c r="C110" i="32"/>
  <c r="BD110" i="32" s="1"/>
  <c r="U110" i="32"/>
  <c r="P110" i="32"/>
  <c r="BH110" i="32" s="1"/>
  <c r="R110" i="32"/>
  <c r="BJ110" i="32" s="1"/>
  <c r="K110" i="32"/>
  <c r="BA110" i="32" s="1"/>
  <c r="Y110" i="32"/>
  <c r="BQ110" i="32" s="1"/>
  <c r="X110" i="32"/>
  <c r="BP110" i="32" s="1"/>
  <c r="O110" i="32"/>
  <c r="BG110" i="32" s="1"/>
  <c r="W110" i="32"/>
  <c r="BO110" i="32" s="1"/>
  <c r="N110" i="32"/>
  <c r="BF110" i="32" s="1"/>
  <c r="T110" i="32"/>
  <c r="BL110" i="32" s="1"/>
  <c r="M110" i="32"/>
  <c r="BC110" i="32" s="1"/>
  <c r="S110" i="32"/>
  <c r="BK110" i="32" s="1"/>
  <c r="L110" i="32"/>
  <c r="BB110" i="32" s="1"/>
  <c r="BM110" i="32"/>
  <c r="BN110" i="32"/>
  <c r="AB110" i="32"/>
  <c r="I110" i="32"/>
  <c r="AY110" i="32" s="1"/>
  <c r="H110" i="32"/>
  <c r="AX110" i="32" s="1"/>
  <c r="G111" i="32"/>
  <c r="N111" i="32" a="1"/>
  <c r="C111" i="32" a="1"/>
  <c r="AP111" i="32" a="1"/>
  <c r="AL111" i="32" a="1"/>
  <c r="AO111" i="32" a="1"/>
  <c r="X111" i="32" a="1"/>
  <c r="AU111" i="32" a="1"/>
  <c r="Q111" i="32" a="1"/>
  <c r="S111" i="32" a="1"/>
  <c r="AC111" i="32" a="1"/>
  <c r="O111" i="32" a="1"/>
  <c r="U111" i="32" a="1"/>
  <c r="AG111" i="32" a="1"/>
  <c r="AT111" i="32" a="1"/>
  <c r="I111" i="32" a="1"/>
  <c r="J111" i="32" a="1"/>
  <c r="AI111" i="32" a="1"/>
  <c r="AF111" i="32" a="1"/>
  <c r="AB111" i="32" a="1"/>
  <c r="Y111" i="32" a="1"/>
  <c r="AE111" i="32" a="1"/>
  <c r="L111" i="32" a="1"/>
  <c r="K111" i="32" a="1"/>
  <c r="V111" i="32" a="1"/>
  <c r="AK111" i="32" a="1"/>
  <c r="AN111" i="32" a="1"/>
  <c r="M111" i="32" a="1"/>
  <c r="R111" i="32" a="1"/>
  <c r="AH111" i="32" a="1"/>
  <c r="AQ111" i="32" a="1"/>
  <c r="AS111" i="32" a="1"/>
  <c r="T111" i="32" a="1"/>
  <c r="W111" i="32" a="1"/>
  <c r="AM111" i="32" a="1"/>
  <c r="AD111" i="32" a="1"/>
  <c r="AJ111" i="32" a="1"/>
  <c r="H111" i="32" a="1"/>
  <c r="P111" i="32" a="1"/>
  <c r="AR111" i="32" a="1"/>
  <c r="D111" i="32" a="1"/>
  <c r="AO111" i="32" l="1"/>
  <c r="AJ111" i="32"/>
  <c r="AS111" i="32"/>
  <c r="AN111" i="32"/>
  <c r="AE111" i="32"/>
  <c r="AR111" i="32"/>
  <c r="AI111" i="32"/>
  <c r="AT111" i="32"/>
  <c r="AL111" i="32"/>
  <c r="AD111" i="32"/>
  <c r="AQ111" i="32"/>
  <c r="AK111" i="32"/>
  <c r="AC111" i="32"/>
  <c r="AF111" i="32"/>
  <c r="AU111" i="32"/>
  <c r="AG111" i="32"/>
  <c r="AP111" i="32"/>
  <c r="AM111" i="32"/>
  <c r="AH111" i="32"/>
  <c r="V111" i="32"/>
  <c r="D111" i="32"/>
  <c r="BE111" i="32" s="1"/>
  <c r="Q111" i="32"/>
  <c r="BI111" i="32" s="1"/>
  <c r="J111" i="32"/>
  <c r="AZ111" i="32" s="1"/>
  <c r="U111" i="32"/>
  <c r="BM111" i="32" s="1"/>
  <c r="C111" i="32"/>
  <c r="W111" i="32"/>
  <c r="R111" i="32"/>
  <c r="BJ111" i="32" s="1"/>
  <c r="K111" i="32"/>
  <c r="BA111" i="32" s="1"/>
  <c r="Y111" i="32"/>
  <c r="BQ111" i="32" s="1"/>
  <c r="P111" i="32"/>
  <c r="BH111" i="32" s="1"/>
  <c r="X111" i="32"/>
  <c r="BP111" i="32" s="1"/>
  <c r="O111" i="32"/>
  <c r="BG111" i="32" s="1"/>
  <c r="N111" i="32"/>
  <c r="BF111" i="32" s="1"/>
  <c r="T111" i="32"/>
  <c r="BL111" i="32" s="1"/>
  <c r="M111" i="32"/>
  <c r="BC111" i="32" s="1"/>
  <c r="L111" i="32"/>
  <c r="BB111" i="32" s="1"/>
  <c r="S111" i="32"/>
  <c r="BK111" i="32" s="1"/>
  <c r="BN111" i="32"/>
  <c r="BO111" i="32"/>
  <c r="AB111" i="32"/>
  <c r="BD111" i="32"/>
  <c r="I111" i="32"/>
  <c r="AY111" i="32" s="1"/>
  <c r="H111" i="32"/>
  <c r="AX111" i="32" s="1"/>
  <c r="G112" i="32"/>
  <c r="M112" i="32" a="1"/>
  <c r="W112" i="32" a="1"/>
  <c r="AC112" i="32" a="1"/>
  <c r="AP112" i="32" a="1"/>
  <c r="AR112" i="32" a="1"/>
  <c r="AE112" i="32" a="1"/>
  <c r="U112" i="32" a="1"/>
  <c r="AQ112" i="32" a="1"/>
  <c r="AN112" i="32" a="1"/>
  <c r="J112" i="32" a="1"/>
  <c r="AG112" i="32" a="1"/>
  <c r="AB112" i="32" a="1"/>
  <c r="AD112" i="32" a="1"/>
  <c r="P112" i="32" a="1"/>
  <c r="T112" i="32" a="1"/>
  <c r="C112" i="32" a="1"/>
  <c r="AS112" i="32" a="1"/>
  <c r="AF112" i="32" a="1"/>
  <c r="Q112" i="32" a="1"/>
  <c r="AU112" i="32" a="1"/>
  <c r="O112" i="32" a="1"/>
  <c r="AT112" i="32" a="1"/>
  <c r="H112" i="32" a="1"/>
  <c r="Y112" i="32" a="1"/>
  <c r="I112" i="32" a="1"/>
  <c r="L112" i="32" a="1"/>
  <c r="AM112" i="32" a="1"/>
  <c r="X112" i="32" a="1"/>
  <c r="D112" i="32" a="1"/>
  <c r="AJ112" i="32" a="1"/>
  <c r="AK112" i="32" a="1"/>
  <c r="K112" i="32" a="1"/>
  <c r="S112" i="32" a="1"/>
  <c r="N112" i="32" a="1"/>
  <c r="R112" i="32" a="1"/>
  <c r="AH112" i="32" a="1"/>
  <c r="AI112" i="32" a="1"/>
  <c r="AO112" i="32" a="1"/>
  <c r="V112" i="32" a="1"/>
  <c r="AL112" i="32" a="1"/>
  <c r="AN112" i="32" l="1"/>
  <c r="AE112" i="32"/>
  <c r="AR112" i="32"/>
  <c r="AI112" i="32"/>
  <c r="AM112" i="32"/>
  <c r="AD112" i="32"/>
  <c r="AO112" i="32"/>
  <c r="AG112" i="32"/>
  <c r="AU112" i="32"/>
  <c r="AF112" i="32"/>
  <c r="AP112" i="32"/>
  <c r="AH112" i="32"/>
  <c r="AL112" i="32"/>
  <c r="AK112" i="32"/>
  <c r="AJ112" i="32"/>
  <c r="AT112" i="32"/>
  <c r="AQ112" i="32"/>
  <c r="AS112" i="32"/>
  <c r="AC112" i="32"/>
  <c r="R112" i="32"/>
  <c r="BJ112" i="32" s="1"/>
  <c r="K112" i="32"/>
  <c r="BA112" i="32" s="1"/>
  <c r="V112" i="32"/>
  <c r="D112" i="32"/>
  <c r="BE112" i="32" s="1"/>
  <c r="J112" i="32"/>
  <c r="AZ112" i="32" s="1"/>
  <c r="Q112" i="32"/>
  <c r="C112" i="32"/>
  <c r="W112" i="32"/>
  <c r="BO112" i="32" s="1"/>
  <c r="N112" i="32"/>
  <c r="BF112" i="32" s="1"/>
  <c r="P112" i="32"/>
  <c r="BH112" i="32" s="1"/>
  <c r="Y112" i="32"/>
  <c r="BQ112" i="32" s="1"/>
  <c r="X112" i="32"/>
  <c r="BP112" i="32" s="1"/>
  <c r="O112" i="32"/>
  <c r="BG112" i="32" s="1"/>
  <c r="U112" i="32"/>
  <c r="T112" i="32"/>
  <c r="BL112" i="32" s="1"/>
  <c r="M112" i="32"/>
  <c r="BC112" i="32" s="1"/>
  <c r="S112" i="32"/>
  <c r="BK112" i="32" s="1"/>
  <c r="L112" i="32"/>
  <c r="BB112" i="32" s="1"/>
  <c r="BN112" i="32"/>
  <c r="BM112" i="32"/>
  <c r="BI112" i="32"/>
  <c r="AB112" i="32"/>
  <c r="BD112" i="32"/>
  <c r="I112" i="32"/>
  <c r="AY112" i="32" s="1"/>
  <c r="H112" i="32"/>
  <c r="AX112" i="32" s="1"/>
  <c r="G113" i="32"/>
  <c r="M113" i="32" a="1"/>
  <c r="N113" i="32" a="1"/>
  <c r="W113" i="32" a="1"/>
  <c r="AS113" i="32" a="1"/>
  <c r="AM113" i="32" a="1"/>
  <c r="AK113" i="32" a="1"/>
  <c r="J113" i="32" a="1"/>
  <c r="AT113" i="32" a="1"/>
  <c r="U113" i="32" a="1"/>
  <c r="AF113" i="32" a="1"/>
  <c r="O113" i="32" a="1"/>
  <c r="AB113" i="32" a="1"/>
  <c r="AL113" i="32" a="1"/>
  <c r="T113" i="32" a="1"/>
  <c r="S113" i="32" a="1"/>
  <c r="AO113" i="32" a="1"/>
  <c r="AD113" i="32" a="1"/>
  <c r="C113" i="32" a="1"/>
  <c r="AP113" i="32" a="1"/>
  <c r="AI113" i="32" a="1"/>
  <c r="Q113" i="32" a="1"/>
  <c r="AN113" i="32" a="1"/>
  <c r="AC113" i="32" a="1"/>
  <c r="AE113" i="32" a="1"/>
  <c r="P113" i="32" a="1"/>
  <c r="K113" i="32" a="1"/>
  <c r="AU113" i="32" a="1"/>
  <c r="AQ113" i="32" a="1"/>
  <c r="H113" i="32" a="1"/>
  <c r="D113" i="32" a="1"/>
  <c r="X113" i="32" a="1"/>
  <c r="L113" i="32" a="1"/>
  <c r="Y113" i="32" a="1"/>
  <c r="R113" i="32" a="1"/>
  <c r="AJ113" i="32" a="1"/>
  <c r="AH113" i="32" a="1"/>
  <c r="AR113" i="32" a="1"/>
  <c r="AG113" i="32" a="1"/>
  <c r="V113" i="32" a="1"/>
  <c r="I113" i="32" a="1"/>
  <c r="AR113" i="32" l="1"/>
  <c r="AI113" i="32"/>
  <c r="AD113" i="32"/>
  <c r="AM113" i="32"/>
  <c r="AH113" i="32"/>
  <c r="AQ113" i="32"/>
  <c r="AL113" i="32"/>
  <c r="AC113" i="32"/>
  <c r="AN113" i="32"/>
  <c r="AT113" i="32"/>
  <c r="AK113" i="32"/>
  <c r="AS113" i="32"/>
  <c r="AJ113" i="32"/>
  <c r="AU113" i="32"/>
  <c r="AE113" i="32"/>
  <c r="AG113" i="32"/>
  <c r="AF113" i="32"/>
  <c r="AP113" i="32"/>
  <c r="AO113" i="32"/>
  <c r="W113" i="32"/>
  <c r="R113" i="32"/>
  <c r="BJ113" i="32" s="1"/>
  <c r="K113" i="32"/>
  <c r="BA113" i="32" s="1"/>
  <c r="V113" i="32"/>
  <c r="BN113" i="32" s="1"/>
  <c r="D113" i="32"/>
  <c r="BE113" i="32" s="1"/>
  <c r="Q113" i="32"/>
  <c r="J113" i="32"/>
  <c r="S113" i="32"/>
  <c r="BK113" i="32" s="1"/>
  <c r="N113" i="32"/>
  <c r="BF113" i="32" s="1"/>
  <c r="Y113" i="32"/>
  <c r="BQ113" i="32" s="1"/>
  <c r="P113" i="32"/>
  <c r="BH113" i="32" s="1"/>
  <c r="X113" i="32"/>
  <c r="BP113" i="32" s="1"/>
  <c r="O113" i="32"/>
  <c r="BG113" i="32" s="1"/>
  <c r="U113" i="32"/>
  <c r="C113" i="32"/>
  <c r="BD113" i="32" s="1"/>
  <c r="T113" i="32"/>
  <c r="BL113" i="32" s="1"/>
  <c r="M113" i="32"/>
  <c r="BC113" i="32" s="1"/>
  <c r="L113" i="32"/>
  <c r="BB113" i="32" s="1"/>
  <c r="BO113" i="32"/>
  <c r="BM113" i="32"/>
  <c r="BI113" i="32"/>
  <c r="AB113" i="32"/>
  <c r="AZ113" i="32"/>
  <c r="I113" i="32"/>
  <c r="AY113" i="32" s="1"/>
  <c r="H113" i="32"/>
  <c r="AX113" i="32" s="1"/>
  <c r="G114" i="32"/>
  <c r="M114" i="32" a="1"/>
  <c r="O114" i="32" a="1"/>
  <c r="Y114" i="32" a="1"/>
  <c r="AJ114" i="32" a="1"/>
  <c r="AL114" i="32" a="1"/>
  <c r="AU114" i="32" a="1"/>
  <c r="AE114" i="32" a="1"/>
  <c r="W114" i="32" a="1"/>
  <c r="AM114" i="32" a="1"/>
  <c r="AN114" i="32" a="1"/>
  <c r="AK114" i="32" a="1"/>
  <c r="S114" i="32" a="1"/>
  <c r="I114" i="32" a="1"/>
  <c r="V114" i="32" a="1"/>
  <c r="T114" i="32" a="1"/>
  <c r="AO114" i="32" a="1"/>
  <c r="AS114" i="32" a="1"/>
  <c r="AH114" i="32" a="1"/>
  <c r="AF114" i="32" a="1"/>
  <c r="P114" i="32" a="1"/>
  <c r="AR114" i="32" a="1"/>
  <c r="N114" i="32" a="1"/>
  <c r="R114" i="32" a="1"/>
  <c r="C114" i="32" a="1"/>
  <c r="J114" i="32" a="1"/>
  <c r="AD114" i="32" a="1"/>
  <c r="D114" i="32" a="1"/>
  <c r="AQ114" i="32" a="1"/>
  <c r="K114" i="32" a="1"/>
  <c r="AB114" i="32" a="1"/>
  <c r="Q114" i="32" a="1"/>
  <c r="H114" i="32" a="1"/>
  <c r="AT114" i="32" a="1"/>
  <c r="U114" i="32" a="1"/>
  <c r="L114" i="32" a="1"/>
  <c r="X114" i="32" a="1"/>
  <c r="AI114" i="32" a="1"/>
  <c r="AC114" i="32" a="1"/>
  <c r="AG114" i="32" a="1"/>
  <c r="AP114" i="32" a="1"/>
  <c r="AQ114" i="32" l="1"/>
  <c r="AH114" i="32"/>
  <c r="AU114" i="32"/>
  <c r="AL114" i="32"/>
  <c r="AC114" i="32"/>
  <c r="AP114" i="32"/>
  <c r="AG114" i="32"/>
  <c r="AR114" i="32"/>
  <c r="AM114" i="32"/>
  <c r="AD114" i="32"/>
  <c r="AS114" i="32"/>
  <c r="AJ114" i="32"/>
  <c r="AI114" i="32"/>
  <c r="AT114" i="32"/>
  <c r="AK114" i="32"/>
  <c r="AN114" i="32"/>
  <c r="AF114" i="32"/>
  <c r="AE114" i="32"/>
  <c r="AO114" i="32"/>
  <c r="Y114" i="32"/>
  <c r="BQ114" i="32" s="1"/>
  <c r="X114" i="32"/>
  <c r="BP114" i="32" s="1"/>
  <c r="S114" i="32"/>
  <c r="BK114" i="32" s="1"/>
  <c r="N114" i="32"/>
  <c r="BF114" i="32" s="1"/>
  <c r="K114" i="32"/>
  <c r="BA114" i="32" s="1"/>
  <c r="D114" i="32"/>
  <c r="J114" i="32"/>
  <c r="AZ114" i="32" s="1"/>
  <c r="T114" i="32"/>
  <c r="BL114" i="32" s="1"/>
  <c r="O114" i="32"/>
  <c r="BG114" i="32" s="1"/>
  <c r="L114" i="32"/>
  <c r="BB114" i="32" s="1"/>
  <c r="R114" i="32"/>
  <c r="BJ114" i="32" s="1"/>
  <c r="Q114" i="32"/>
  <c r="BI114" i="32" s="1"/>
  <c r="P114" i="32"/>
  <c r="BH114" i="32" s="1"/>
  <c r="W114" i="32"/>
  <c r="C114" i="32"/>
  <c r="BD114" i="32" s="1"/>
  <c r="V114" i="32"/>
  <c r="BN114" i="32" s="1"/>
  <c r="M114" i="32"/>
  <c r="BC114" i="32" s="1"/>
  <c r="U114" i="32"/>
  <c r="BM114" i="32" s="1"/>
  <c r="BO114" i="32"/>
  <c r="AB114" i="32"/>
  <c r="BE114" i="32"/>
  <c r="I114" i="32"/>
  <c r="AY114" i="32" s="1"/>
  <c r="H114" i="32"/>
  <c r="AX114" i="32" s="1"/>
  <c r="G115" i="32"/>
  <c r="P115" i="32" a="1"/>
  <c r="Q115" i="32" a="1"/>
  <c r="W115" i="32" a="1"/>
  <c r="AR115" i="32" a="1"/>
  <c r="AP115" i="32" a="1"/>
  <c r="AS115" i="32" a="1"/>
  <c r="AH115" i="32" a="1"/>
  <c r="AD115" i="32" a="1"/>
  <c r="AE115" i="32" a="1"/>
  <c r="V115" i="32" a="1"/>
  <c r="H115" i="32" a="1"/>
  <c r="O115" i="32" a="1"/>
  <c r="AB115" i="32" a="1"/>
  <c r="U115" i="32" a="1"/>
  <c r="Y115" i="32" a="1"/>
  <c r="AN115" i="32" a="1"/>
  <c r="AC115" i="32" a="1"/>
  <c r="T115" i="32" a="1"/>
  <c r="AU115" i="32" a="1"/>
  <c r="R115" i="32" a="1"/>
  <c r="AF115" i="32" a="1"/>
  <c r="J115" i="32" a="1"/>
  <c r="AK115" i="32" a="1"/>
  <c r="D115" i="32" a="1"/>
  <c r="AT115" i="32" a="1"/>
  <c r="K115" i="32" a="1"/>
  <c r="C115" i="32" a="1"/>
  <c r="AO115" i="32" a="1"/>
  <c r="AL115" i="32" a="1"/>
  <c r="X115" i="32" a="1"/>
  <c r="AQ115" i="32" a="1"/>
  <c r="L115" i="32" a="1"/>
  <c r="I115" i="32" a="1"/>
  <c r="AM115" i="32" a="1"/>
  <c r="AJ115" i="32" a="1"/>
  <c r="N115" i="32" a="1"/>
  <c r="M115" i="32" a="1"/>
  <c r="S115" i="32" a="1"/>
  <c r="AI115" i="32" a="1"/>
  <c r="AG115" i="32" a="1"/>
  <c r="AU115" i="32" l="1"/>
  <c r="AL115" i="32"/>
  <c r="AC115" i="32"/>
  <c r="AP115" i="32"/>
  <c r="AG115" i="32"/>
  <c r="AT115" i="32"/>
  <c r="AK115" i="32"/>
  <c r="AF115" i="32"/>
  <c r="AQ115" i="32"/>
  <c r="AH115" i="32"/>
  <c r="AS115" i="32"/>
  <c r="AR115" i="32"/>
  <c r="AI115" i="32"/>
  <c r="AJ115" i="32"/>
  <c r="AM115" i="32"/>
  <c r="AE115" i="32"/>
  <c r="AD115" i="32"/>
  <c r="AO115" i="32"/>
  <c r="AN115" i="32"/>
  <c r="W115" i="32"/>
  <c r="S115" i="32"/>
  <c r="BK115" i="32" s="1"/>
  <c r="O115" i="32"/>
  <c r="BG115" i="32" s="1"/>
  <c r="V115" i="32"/>
  <c r="BN115" i="32" s="1"/>
  <c r="R115" i="32"/>
  <c r="BJ115" i="32" s="1"/>
  <c r="T115" i="32"/>
  <c r="C115" i="32"/>
  <c r="BD115" i="32" s="1"/>
  <c r="Y115" i="32"/>
  <c r="BQ115" i="32" s="1"/>
  <c r="Q115" i="32"/>
  <c r="BI115" i="32" s="1"/>
  <c r="M115" i="32"/>
  <c r="BC115" i="32" s="1"/>
  <c r="D115" i="32"/>
  <c r="BE115" i="32" s="1"/>
  <c r="J115" i="32"/>
  <c r="AZ115" i="32" s="1"/>
  <c r="L115" i="32"/>
  <c r="BB115" i="32" s="1"/>
  <c r="X115" i="32"/>
  <c r="K115" i="32"/>
  <c r="BA115" i="32" s="1"/>
  <c r="U115" i="32"/>
  <c r="BM115" i="32" s="1"/>
  <c r="P115" i="32"/>
  <c r="BH115" i="32" s="1"/>
  <c r="N115" i="32"/>
  <c r="BF115" i="32" s="1"/>
  <c r="BP115" i="32"/>
  <c r="BO115" i="32"/>
  <c r="BL115" i="32"/>
  <c r="AB115" i="32"/>
  <c r="I115" i="32"/>
  <c r="AY115" i="32" s="1"/>
  <c r="H115" i="32"/>
  <c r="AX115" i="32" s="1"/>
  <c r="G116" i="32"/>
  <c r="S116" i="32" a="1"/>
  <c r="P116" i="32" a="1"/>
  <c r="AM116" i="32" a="1"/>
  <c r="AR116" i="32" a="1"/>
  <c r="AT116" i="32" a="1"/>
  <c r="O116" i="32" a="1"/>
  <c r="AC116" i="32" a="1"/>
  <c r="AP116" i="32" a="1"/>
  <c r="W116" i="32" a="1"/>
  <c r="AD116" i="32" a="1"/>
  <c r="I116" i="32" a="1"/>
  <c r="L116" i="32" a="1"/>
  <c r="AE116" i="32" a="1"/>
  <c r="R116" i="32" a="1"/>
  <c r="AB116" i="32" a="1"/>
  <c r="V116" i="32" a="1"/>
  <c r="T116" i="32" a="1"/>
  <c r="AN116" i="32" a="1"/>
  <c r="AG116" i="32" a="1"/>
  <c r="AK116" i="32" a="1"/>
  <c r="X116" i="32" a="1"/>
  <c r="AL116" i="32" a="1"/>
  <c r="K116" i="32" a="1"/>
  <c r="AU116" i="32" a="1"/>
  <c r="D116" i="32" a="1"/>
  <c r="AJ116" i="32" a="1"/>
  <c r="Q116" i="32" a="1"/>
  <c r="M116" i="32" a="1"/>
  <c r="J116" i="32" a="1"/>
  <c r="U116" i="32" a="1"/>
  <c r="AQ116" i="32" a="1"/>
  <c r="AF116" i="32" a="1"/>
  <c r="AS116" i="32" a="1"/>
  <c r="N116" i="32" a="1"/>
  <c r="C116" i="32" a="1"/>
  <c r="Y116" i="32" a="1"/>
  <c r="AI116" i="32" a="1"/>
  <c r="AO116" i="32" a="1"/>
  <c r="H116" i="32" a="1"/>
  <c r="AH116" i="32" a="1"/>
  <c r="AP116" i="32" l="1"/>
  <c r="AK116" i="32"/>
  <c r="AT116" i="32"/>
  <c r="AO116" i="32"/>
  <c r="AF116" i="32"/>
  <c r="AS116" i="32"/>
  <c r="AJ116" i="32"/>
  <c r="AU116" i="32"/>
  <c r="AL116" i="32"/>
  <c r="AG116" i="32"/>
  <c r="AR116" i="32"/>
  <c r="AI116" i="32"/>
  <c r="AQ116" i="32"/>
  <c r="AH116" i="32"/>
  <c r="AE116" i="32"/>
  <c r="AD116" i="32"/>
  <c r="AC116" i="32"/>
  <c r="AN116" i="32"/>
  <c r="AM116" i="32"/>
  <c r="Y116" i="32"/>
  <c r="BQ116" i="32" s="1"/>
  <c r="U116" i="32"/>
  <c r="BM116" i="32" s="1"/>
  <c r="Q116" i="32"/>
  <c r="BI116" i="32" s="1"/>
  <c r="D116" i="32"/>
  <c r="BE116" i="32" s="1"/>
  <c r="K116" i="32"/>
  <c r="BA116" i="32" s="1"/>
  <c r="X116" i="32"/>
  <c r="BP116" i="32" s="1"/>
  <c r="T116" i="32"/>
  <c r="BL116" i="32" s="1"/>
  <c r="P116" i="32"/>
  <c r="BH116" i="32" s="1"/>
  <c r="C116" i="32"/>
  <c r="BD116" i="32" s="1"/>
  <c r="J116" i="32"/>
  <c r="AZ116" i="32" s="1"/>
  <c r="R116" i="32"/>
  <c r="BJ116" i="32" s="1"/>
  <c r="L116" i="32"/>
  <c r="BB116" i="32" s="1"/>
  <c r="W116" i="32"/>
  <c r="BO116" i="32" s="1"/>
  <c r="O116" i="32"/>
  <c r="BG116" i="32" s="1"/>
  <c r="V116" i="32"/>
  <c r="S116" i="32"/>
  <c r="BK116" i="32" s="1"/>
  <c r="N116" i="32"/>
  <c r="BF116" i="32" s="1"/>
  <c r="M116" i="32"/>
  <c r="BC116" i="32" s="1"/>
  <c r="BN116" i="32"/>
  <c r="AB116" i="32"/>
  <c r="I116" i="32"/>
  <c r="AY116" i="32" s="1"/>
  <c r="H116" i="32"/>
  <c r="AX116" i="32" s="1"/>
  <c r="G117" i="32"/>
  <c r="D117" i="32" a="1"/>
  <c r="M117" i="32" a="1"/>
  <c r="AC117" i="32" a="1"/>
  <c r="AK117" i="32" a="1"/>
  <c r="AB117" i="32" a="1"/>
  <c r="AT117" i="32" a="1"/>
  <c r="J117" i="32" a="1"/>
  <c r="AI117" i="32" a="1"/>
  <c r="H117" i="32" a="1"/>
  <c r="P117" i="32" a="1"/>
  <c r="AR117" i="32" a="1"/>
  <c r="C117" i="32" a="1"/>
  <c r="X117" i="32" a="1"/>
  <c r="N117" i="32" a="1"/>
  <c r="U117" i="32" a="1"/>
  <c r="O117" i="32" a="1"/>
  <c r="AD117" i="32" a="1"/>
  <c r="I117" i="32" a="1"/>
  <c r="S117" i="32" a="1"/>
  <c r="AE117" i="32" a="1"/>
  <c r="K117" i="32" a="1"/>
  <c r="W117" i="32" a="1"/>
  <c r="AN117" i="32" a="1"/>
  <c r="L117" i="32" a="1"/>
  <c r="AG117" i="32" a="1"/>
  <c r="AM117" i="32" a="1"/>
  <c r="T117" i="32" a="1"/>
  <c r="R117" i="32" a="1"/>
  <c r="AL117" i="32" a="1"/>
  <c r="AQ117" i="32" a="1"/>
  <c r="AF117" i="32" a="1"/>
  <c r="Y117" i="32" a="1"/>
  <c r="AU117" i="32" a="1"/>
  <c r="AO117" i="32" a="1"/>
  <c r="AJ117" i="32" a="1"/>
  <c r="Q117" i="32" a="1"/>
  <c r="AS117" i="32" a="1"/>
  <c r="V117" i="32" a="1"/>
  <c r="AH117" i="32" a="1"/>
  <c r="AP117" i="32" a="1"/>
  <c r="AO117" i="32" l="1"/>
  <c r="AF117" i="32"/>
  <c r="AS117" i="32"/>
  <c r="AJ117" i="32"/>
  <c r="AN117" i="32"/>
  <c r="AE117" i="32"/>
  <c r="AT117" i="32"/>
  <c r="AK117" i="32"/>
  <c r="AH117" i="32"/>
  <c r="AQ117" i="32"/>
  <c r="AP117" i="32"/>
  <c r="AG117" i="32"/>
  <c r="AR117" i="32"/>
  <c r="AI117" i="32"/>
  <c r="AD117" i="32"/>
  <c r="AC117" i="32"/>
  <c r="AU117" i="32"/>
  <c r="AL117" i="32"/>
  <c r="AM117" i="32"/>
  <c r="X117" i="32"/>
  <c r="W117" i="32"/>
  <c r="BO117" i="32" s="1"/>
  <c r="S117" i="32"/>
  <c r="BK117" i="32" s="1"/>
  <c r="O117" i="32"/>
  <c r="BG117" i="32" s="1"/>
  <c r="M117" i="32"/>
  <c r="BC117" i="32" s="1"/>
  <c r="V117" i="32"/>
  <c r="BN117" i="32" s="1"/>
  <c r="R117" i="32"/>
  <c r="BJ117" i="32" s="1"/>
  <c r="N117" i="32"/>
  <c r="BF117" i="32" s="1"/>
  <c r="L117" i="32"/>
  <c r="BB117" i="32" s="1"/>
  <c r="P117" i="32"/>
  <c r="BH117" i="32" s="1"/>
  <c r="J117" i="32"/>
  <c r="AZ117" i="32" s="1"/>
  <c r="U117" i="32"/>
  <c r="BM117" i="32" s="1"/>
  <c r="D117" i="32"/>
  <c r="BE117" i="32" s="1"/>
  <c r="Y117" i="32"/>
  <c r="BQ117" i="32" s="1"/>
  <c r="T117" i="32"/>
  <c r="BL117" i="32" s="1"/>
  <c r="Q117" i="32"/>
  <c r="BI117" i="32" s="1"/>
  <c r="C117" i="32"/>
  <c r="BD117" i="32" s="1"/>
  <c r="K117" i="32"/>
  <c r="BA117" i="32" s="1"/>
  <c r="BP117" i="32"/>
  <c r="AB117" i="32"/>
  <c r="I117" i="32"/>
  <c r="AY117" i="32" s="1"/>
  <c r="H117" i="32"/>
  <c r="AX117" i="32" s="1"/>
  <c r="G118" i="32"/>
  <c r="Y118" i="32" a="1"/>
  <c r="S118" i="32" a="1"/>
  <c r="AU118" i="32" a="1"/>
  <c r="AD118" i="32" a="1"/>
  <c r="I118" i="32" a="1"/>
  <c r="N118" i="32" a="1"/>
  <c r="AR118" i="32" a="1"/>
  <c r="J118" i="32" a="1"/>
  <c r="R118" i="32" a="1"/>
  <c r="AI118" i="32" a="1"/>
  <c r="X118" i="32" a="1"/>
  <c r="AG118" i="32" a="1"/>
  <c r="D118" i="32" a="1"/>
  <c r="AE118" i="32" a="1"/>
  <c r="C118" i="32" a="1"/>
  <c r="L118" i="32" a="1"/>
  <c r="AK118" i="32" a="1"/>
  <c r="AM118" i="32" a="1"/>
  <c r="AB118" i="32" a="1"/>
  <c r="U118" i="32" a="1"/>
  <c r="AH118" i="32" a="1"/>
  <c r="H118" i="32" a="1"/>
  <c r="O118" i="32" a="1"/>
  <c r="AQ118" i="32" a="1"/>
  <c r="M118" i="32" a="1"/>
  <c r="V118" i="32" a="1"/>
  <c r="AN118" i="32" a="1"/>
  <c r="Q118" i="32" a="1"/>
  <c r="AP118" i="32" a="1"/>
  <c r="T118" i="32" a="1"/>
  <c r="K118" i="32" a="1"/>
  <c r="AT118" i="32" a="1"/>
  <c r="AF118" i="32" a="1"/>
  <c r="AJ118" i="32" a="1"/>
  <c r="P118" i="32" a="1"/>
  <c r="W118" i="32" a="1"/>
  <c r="AC118" i="32" a="1"/>
  <c r="AO118" i="32" a="1"/>
  <c r="AS118" i="32" a="1"/>
  <c r="AL118" i="32" a="1"/>
  <c r="AS118" i="32" l="1"/>
  <c r="AJ118" i="32"/>
  <c r="AE118" i="32"/>
  <c r="AN118" i="32"/>
  <c r="AI118" i="32"/>
  <c r="AR118" i="32"/>
  <c r="AM118" i="32"/>
  <c r="AD118" i="32"/>
  <c r="AO118" i="32"/>
  <c r="AF118" i="32"/>
  <c r="AP118" i="32"/>
  <c r="AG118" i="32"/>
  <c r="AQ118" i="32"/>
  <c r="AH118" i="32"/>
  <c r="AK118" i="32"/>
  <c r="AU118" i="32"/>
  <c r="AC118" i="32"/>
  <c r="AT118" i="32"/>
  <c r="AL118" i="32"/>
  <c r="V118" i="32"/>
  <c r="BN118" i="32" s="1"/>
  <c r="R118" i="32"/>
  <c r="BJ118" i="32" s="1"/>
  <c r="N118" i="32"/>
  <c r="BF118" i="32" s="1"/>
  <c r="L118" i="32"/>
  <c r="BB118" i="32" s="1"/>
  <c r="S118" i="32"/>
  <c r="BK118" i="32" s="1"/>
  <c r="W118" i="32"/>
  <c r="K118" i="32"/>
  <c r="BA118" i="32" s="1"/>
  <c r="D118" i="32"/>
  <c r="BE118" i="32" s="1"/>
  <c r="X118" i="32"/>
  <c r="BP118" i="32" s="1"/>
  <c r="O118" i="32"/>
  <c r="BG118" i="32" s="1"/>
  <c r="U118" i="32"/>
  <c r="BM118" i="32" s="1"/>
  <c r="C118" i="32"/>
  <c r="BD118" i="32" s="1"/>
  <c r="Y118" i="32"/>
  <c r="BQ118" i="32" s="1"/>
  <c r="P118" i="32"/>
  <c r="BH118" i="32" s="1"/>
  <c r="T118" i="32"/>
  <c r="BL118" i="32" s="1"/>
  <c r="Q118" i="32"/>
  <c r="BI118" i="32" s="1"/>
  <c r="M118" i="32"/>
  <c r="BC118" i="32" s="1"/>
  <c r="J118" i="32"/>
  <c r="AZ118" i="32" s="1"/>
  <c r="BO118" i="32"/>
  <c r="AB118" i="32"/>
  <c r="I118" i="32"/>
  <c r="AY118" i="32" s="1"/>
  <c r="H118" i="32"/>
  <c r="AX118" i="32" s="1"/>
  <c r="G119" i="32"/>
  <c r="V119" i="32" a="1"/>
  <c r="S119" i="32" a="1"/>
  <c r="AT119" i="32" a="1"/>
  <c r="AE119" i="32" a="1"/>
  <c r="AR119" i="32" a="1"/>
  <c r="AN119" i="32" a="1"/>
  <c r="C119" i="32" a="1"/>
  <c r="AS119" i="32" a="1"/>
  <c r="K119" i="32" a="1"/>
  <c r="AJ119" i="32" a="1"/>
  <c r="AB119" i="32" a="1"/>
  <c r="M119" i="32" a="1"/>
  <c r="AO119" i="32" a="1"/>
  <c r="Q119" i="32" a="1"/>
  <c r="AF119" i="32" a="1"/>
  <c r="O119" i="32" a="1"/>
  <c r="J119" i="32" a="1"/>
  <c r="AC119" i="32" a="1"/>
  <c r="H119" i="32" a="1"/>
  <c r="Y119" i="32" a="1"/>
  <c r="AU119" i="32" a="1"/>
  <c r="I119" i="32" a="1"/>
  <c r="P119" i="32" a="1"/>
  <c r="AH119" i="32" a="1"/>
  <c r="T119" i="32" a="1"/>
  <c r="N119" i="32" a="1"/>
  <c r="AD119" i="32" a="1"/>
  <c r="U119" i="32" a="1"/>
  <c r="W119" i="32" a="1"/>
  <c r="AK119" i="32" a="1"/>
  <c r="AG119" i="32" a="1"/>
  <c r="AM119" i="32" a="1"/>
  <c r="D119" i="32" a="1"/>
  <c r="L119" i="32" a="1"/>
  <c r="AL119" i="32" a="1"/>
  <c r="AP119" i="32" a="1"/>
  <c r="AI119" i="32" a="1"/>
  <c r="R119" i="32" a="1"/>
  <c r="AQ119" i="32" a="1"/>
  <c r="X119" i="32" a="1"/>
  <c r="AR119" i="32" l="1"/>
  <c r="AI119" i="32"/>
  <c r="AM119" i="32"/>
  <c r="AD119" i="32"/>
  <c r="AQ119" i="32"/>
  <c r="AH119" i="32"/>
  <c r="AS119" i="32"/>
  <c r="AN119" i="32"/>
  <c r="AE119" i="32"/>
  <c r="AP119" i="32"/>
  <c r="AG119" i="32"/>
  <c r="AF119" i="32"/>
  <c r="AO119" i="32"/>
  <c r="AJ119" i="32"/>
  <c r="AU119" i="32"/>
  <c r="AC119" i="32"/>
  <c r="AT119" i="32"/>
  <c r="AL119" i="32"/>
  <c r="AK119" i="32"/>
  <c r="X119" i="32"/>
  <c r="BP119" i="32" s="1"/>
  <c r="T119" i="32"/>
  <c r="BL119" i="32" s="1"/>
  <c r="P119" i="32"/>
  <c r="BH119" i="32" s="1"/>
  <c r="C119" i="32"/>
  <c r="BD119" i="32" s="1"/>
  <c r="J119" i="32"/>
  <c r="AZ119" i="32" s="1"/>
  <c r="S119" i="32"/>
  <c r="BK119" i="32" s="1"/>
  <c r="L119" i="32"/>
  <c r="W119" i="32"/>
  <c r="BO119" i="32" s="1"/>
  <c r="N119" i="32"/>
  <c r="BF119" i="32" s="1"/>
  <c r="R119" i="32"/>
  <c r="BJ119" i="32" s="1"/>
  <c r="K119" i="32"/>
  <c r="BA119" i="32" s="1"/>
  <c r="Y119" i="32"/>
  <c r="BQ119" i="32" s="1"/>
  <c r="O119" i="32"/>
  <c r="BG119" i="32" s="1"/>
  <c r="V119" i="32"/>
  <c r="BN119" i="32" s="1"/>
  <c r="D119" i="32"/>
  <c r="BE119" i="32" s="1"/>
  <c r="U119" i="32"/>
  <c r="Q119" i="32"/>
  <c r="BI119" i="32" s="1"/>
  <c r="M119" i="32"/>
  <c r="BC119" i="32" s="1"/>
  <c r="BM119" i="32"/>
  <c r="AB119" i="32"/>
  <c r="BB119" i="32"/>
  <c r="I119" i="32"/>
  <c r="AY119" i="32" s="1"/>
  <c r="H119" i="32"/>
  <c r="AX119" i="32" s="1"/>
  <c r="G120" i="32"/>
  <c r="W120" i="32" a="1"/>
  <c r="V120" i="32" a="1"/>
  <c r="AK120" i="32" a="1"/>
  <c r="AI120" i="32" a="1"/>
  <c r="AD120" i="32" a="1"/>
  <c r="AR120" i="32" a="1"/>
  <c r="R120" i="32" a="1"/>
  <c r="AT120" i="32" a="1"/>
  <c r="AB120" i="32" a="1"/>
  <c r="P120" i="32" a="1"/>
  <c r="I120" i="32" a="1"/>
  <c r="U120" i="32" a="1"/>
  <c r="M120" i="32" a="1"/>
  <c r="J120" i="32" a="1"/>
  <c r="O120" i="32" a="1"/>
  <c r="AS120" i="32" a="1"/>
  <c r="AM120" i="32" a="1"/>
  <c r="L120" i="32" a="1"/>
  <c r="AG120" i="32" a="1"/>
  <c r="X120" i="32" a="1"/>
  <c r="AL120" i="32" a="1"/>
  <c r="AU120" i="32" a="1"/>
  <c r="Y120" i="32" a="1"/>
  <c r="D120" i="32" a="1"/>
  <c r="C120" i="32" a="1"/>
  <c r="T120" i="32" a="1"/>
  <c r="AF120" i="32" a="1"/>
  <c r="AH120" i="32" a="1"/>
  <c r="AE120" i="32" a="1"/>
  <c r="AN120" i="32" a="1"/>
  <c r="S120" i="32" a="1"/>
  <c r="Q120" i="32" a="1"/>
  <c r="AJ120" i="32" a="1"/>
  <c r="AO120" i="32" a="1"/>
  <c r="AQ120" i="32" a="1"/>
  <c r="AP120" i="32" a="1"/>
  <c r="N120" i="32" a="1"/>
  <c r="H120" i="32" a="1"/>
  <c r="K120" i="32" a="1"/>
  <c r="AC120" i="32" a="1"/>
  <c r="AM120" i="32" l="1"/>
  <c r="AD120" i="32"/>
  <c r="AQ120" i="32"/>
  <c r="AH120" i="32"/>
  <c r="AC120" i="32"/>
  <c r="AU120" i="32"/>
  <c r="AL120" i="32"/>
  <c r="AG120" i="32"/>
  <c r="AR120" i="32"/>
  <c r="AI120" i="32"/>
  <c r="AO120" i="32"/>
  <c r="AF120" i="32"/>
  <c r="AN120" i="32"/>
  <c r="AE120" i="32"/>
  <c r="AP120" i="32"/>
  <c r="AT120" i="32"/>
  <c r="AS120" i="32"/>
  <c r="AK120" i="32"/>
  <c r="AJ120" i="32"/>
  <c r="T120" i="32"/>
  <c r="BL120" i="32" s="1"/>
  <c r="M120" i="32"/>
  <c r="BC120" i="32" s="1"/>
  <c r="U120" i="32"/>
  <c r="BM120" i="32" s="1"/>
  <c r="P120" i="32"/>
  <c r="BH120" i="32" s="1"/>
  <c r="L120" i="32"/>
  <c r="BB120" i="32" s="1"/>
  <c r="O120" i="32"/>
  <c r="BG120" i="32" s="1"/>
  <c r="V120" i="32"/>
  <c r="Q120" i="32"/>
  <c r="BI120" i="32" s="1"/>
  <c r="C120" i="32"/>
  <c r="BD120" i="32" s="1"/>
  <c r="Y120" i="32"/>
  <c r="BQ120" i="32" s="1"/>
  <c r="N120" i="32"/>
  <c r="BF120" i="32" s="1"/>
  <c r="X120" i="32"/>
  <c r="BP120" i="32" s="1"/>
  <c r="R120" i="32"/>
  <c r="BJ120" i="32" s="1"/>
  <c r="J120" i="32"/>
  <c r="W120" i="32"/>
  <c r="S120" i="32"/>
  <c r="BK120" i="32" s="1"/>
  <c r="D120" i="32"/>
  <c r="BE120" i="32" s="1"/>
  <c r="K120" i="32"/>
  <c r="BA120" i="32" s="1"/>
  <c r="BN120" i="32"/>
  <c r="BO120" i="32"/>
  <c r="AB120" i="32"/>
  <c r="AZ120" i="32"/>
  <c r="I120" i="32"/>
  <c r="AY120" i="32" s="1"/>
  <c r="H120" i="32"/>
  <c r="AX120" i="32" s="1"/>
  <c r="G121" i="32"/>
  <c r="X121" i="32" a="1"/>
  <c r="J121" i="32" a="1"/>
  <c r="AS121" i="32" a="1"/>
  <c r="AM121" i="32" a="1"/>
  <c r="AQ121" i="32" a="1"/>
  <c r="AK121" i="32" a="1"/>
  <c r="K121" i="32" a="1"/>
  <c r="AF121" i="32" a="1"/>
  <c r="S121" i="32" a="1"/>
  <c r="AG121" i="32" a="1"/>
  <c r="W121" i="32" a="1"/>
  <c r="AD121" i="32" a="1"/>
  <c r="D121" i="32" a="1"/>
  <c r="Q121" i="32" a="1"/>
  <c r="AU121" i="32" a="1"/>
  <c r="AR121" i="32" a="1"/>
  <c r="Y121" i="32" a="1"/>
  <c r="T121" i="32" a="1"/>
  <c r="AI121" i="32" a="1"/>
  <c r="I121" i="32" a="1"/>
  <c r="M121" i="32" a="1"/>
  <c r="AT121" i="32" a="1"/>
  <c r="H121" i="32" a="1"/>
  <c r="O121" i="32" a="1"/>
  <c r="AO121" i="32" a="1"/>
  <c r="AB121" i="32" a="1"/>
  <c r="C121" i="32" a="1"/>
  <c r="U121" i="32" a="1"/>
  <c r="AP121" i="32" a="1"/>
  <c r="L121" i="32" a="1"/>
  <c r="AE121" i="32" a="1"/>
  <c r="N121" i="32" a="1"/>
  <c r="AH121" i="32" a="1"/>
  <c r="P121" i="32" a="1"/>
  <c r="V121" i="32" a="1"/>
  <c r="AJ121" i="32" a="1"/>
  <c r="AN121" i="32" a="1"/>
  <c r="AC121" i="32" a="1"/>
  <c r="R121" i="32" a="1"/>
  <c r="AL121" i="32" a="1"/>
  <c r="AQ121" i="32" l="1"/>
  <c r="AL121" i="32"/>
  <c r="AC121" i="32"/>
  <c r="AU121" i="32"/>
  <c r="AP121" i="32"/>
  <c r="AG121" i="32"/>
  <c r="AT121" i="32"/>
  <c r="AK121" i="32"/>
  <c r="AM121" i="32"/>
  <c r="AH121" i="32"/>
  <c r="AN121" i="32"/>
  <c r="AE121" i="32"/>
  <c r="AD121" i="32"/>
  <c r="AO121" i="32"/>
  <c r="AF121" i="32"/>
  <c r="AI121" i="32"/>
  <c r="AS121" i="32"/>
  <c r="AR121" i="32"/>
  <c r="AJ121" i="32"/>
  <c r="Q121" i="32"/>
  <c r="BI121" i="32" s="1"/>
  <c r="U121" i="32"/>
  <c r="BM121" i="32" s="1"/>
  <c r="O121" i="32"/>
  <c r="BG121" i="32" s="1"/>
  <c r="K121" i="32"/>
  <c r="BA121" i="32" s="1"/>
  <c r="T121" i="32"/>
  <c r="BL121" i="32" s="1"/>
  <c r="J121" i="32"/>
  <c r="AZ121" i="32" s="1"/>
  <c r="N121" i="32"/>
  <c r="BF121" i="32" s="1"/>
  <c r="V121" i="32"/>
  <c r="L121" i="32"/>
  <c r="BB121" i="32" s="1"/>
  <c r="W121" i="32"/>
  <c r="S121" i="32"/>
  <c r="BK121" i="32" s="1"/>
  <c r="M121" i="32"/>
  <c r="BC121" i="32" s="1"/>
  <c r="Y121" i="32"/>
  <c r="BQ121" i="32" s="1"/>
  <c r="X121" i="32"/>
  <c r="BP121" i="32" s="1"/>
  <c r="R121" i="32"/>
  <c r="BJ121" i="32" s="1"/>
  <c r="P121" i="32"/>
  <c r="BH121" i="32" s="1"/>
  <c r="D121" i="32"/>
  <c r="BE121" i="32" s="1"/>
  <c r="C121" i="32"/>
  <c r="BD121" i="32" s="1"/>
  <c r="BO121" i="32"/>
  <c r="BN121" i="32"/>
  <c r="AB121" i="32"/>
  <c r="I121" i="32"/>
  <c r="AY121" i="32" s="1"/>
  <c r="H121" i="32"/>
  <c r="AX121" i="32" s="1"/>
  <c r="G122" i="32"/>
  <c r="X122" i="32" a="1"/>
  <c r="J122" i="32" a="1"/>
  <c r="AJ122" i="32" a="1"/>
  <c r="AN122" i="32" a="1"/>
  <c r="AG122" i="32" a="1"/>
  <c r="AP122" i="32" a="1"/>
  <c r="N122" i="32" a="1"/>
  <c r="AL122" i="32" a="1"/>
  <c r="AB122" i="32" a="1"/>
  <c r="U122" i="32" a="1"/>
  <c r="AU122" i="32" a="1"/>
  <c r="K122" i="32" a="1"/>
  <c r="AF122" i="32" a="1"/>
  <c r="Q122" i="32" a="1"/>
  <c r="AE122" i="32" a="1"/>
  <c r="W122" i="32" a="1"/>
  <c r="AM122" i="32" a="1"/>
  <c r="M122" i="32" a="1"/>
  <c r="T122" i="32" a="1"/>
  <c r="AQ122" i="32" a="1"/>
  <c r="AC122" i="32" a="1"/>
  <c r="C122" i="32" a="1"/>
  <c r="AR122" i="32" a="1"/>
  <c r="D122" i="32" a="1"/>
  <c r="AS122" i="32" a="1"/>
  <c r="I122" i="32" a="1"/>
  <c r="Y122" i="32" a="1"/>
  <c r="AH122" i="32" a="1"/>
  <c r="H122" i="32" a="1"/>
  <c r="R122" i="32" a="1"/>
  <c r="P122" i="32" a="1"/>
  <c r="AO122" i="32" a="1"/>
  <c r="AI122" i="32" a="1"/>
  <c r="S122" i="32" a="1"/>
  <c r="L122" i="32" a="1"/>
  <c r="O122" i="32" a="1"/>
  <c r="AD122" i="32" a="1"/>
  <c r="AK122" i="32" a="1"/>
  <c r="V122" i="32" a="1"/>
  <c r="AT122" i="32" a="1"/>
  <c r="AP122" i="32" l="1"/>
  <c r="AG122" i="32"/>
  <c r="AT122" i="32"/>
  <c r="AK122" i="32"/>
  <c r="AO122" i="32"/>
  <c r="AF122" i="32"/>
  <c r="AU122" i="32"/>
  <c r="AL122" i="32"/>
  <c r="AC122" i="32"/>
  <c r="AN122" i="32"/>
  <c r="AM122" i="32"/>
  <c r="AD122" i="32"/>
  <c r="AE122" i="32"/>
  <c r="AH122" i="32"/>
  <c r="AS122" i="32"/>
  <c r="AR122" i="32"/>
  <c r="AQ122" i="32"/>
  <c r="AJ122" i="32"/>
  <c r="AI122" i="32"/>
  <c r="O122" i="32"/>
  <c r="BG122" i="32" s="1"/>
  <c r="P122" i="32"/>
  <c r="BH122" i="32" s="1"/>
  <c r="K122" i="32"/>
  <c r="BA122" i="32" s="1"/>
  <c r="U122" i="32"/>
  <c r="BM122" i="32" s="1"/>
  <c r="N122" i="32"/>
  <c r="BF122" i="32" s="1"/>
  <c r="T122" i="32"/>
  <c r="BL122" i="32" s="1"/>
  <c r="J122" i="32"/>
  <c r="AZ122" i="32" s="1"/>
  <c r="V122" i="32"/>
  <c r="BN122" i="32" s="1"/>
  <c r="L122" i="32"/>
  <c r="BB122" i="32" s="1"/>
  <c r="Q122" i="32"/>
  <c r="BI122" i="32" s="1"/>
  <c r="Y122" i="32"/>
  <c r="BQ122" i="32" s="1"/>
  <c r="D122" i="32"/>
  <c r="BE122" i="32" s="1"/>
  <c r="C122" i="32"/>
  <c r="BD122" i="32" s="1"/>
  <c r="M122" i="32"/>
  <c r="BC122" i="32" s="1"/>
  <c r="X122" i="32"/>
  <c r="W122" i="32"/>
  <c r="S122" i="32"/>
  <c r="BK122" i="32" s="1"/>
  <c r="R122" i="32"/>
  <c r="BJ122" i="32" s="1"/>
  <c r="BO122" i="32"/>
  <c r="BP122" i="32"/>
  <c r="AB122" i="32"/>
  <c r="I122" i="32"/>
  <c r="AY122" i="32" s="1"/>
  <c r="H122" i="32"/>
  <c r="AX122" i="32" s="1"/>
  <c r="G123" i="32"/>
  <c r="Q123" i="32" a="1"/>
  <c r="T123" i="32" a="1"/>
  <c r="AI123" i="32" a="1"/>
  <c r="AG123" i="32" a="1"/>
  <c r="AK123" i="32" a="1"/>
  <c r="AT123" i="32" a="1"/>
  <c r="X123" i="32" a="1"/>
  <c r="AE123" i="32" a="1"/>
  <c r="U123" i="32" a="1"/>
  <c r="AN123" i="32" a="1"/>
  <c r="L123" i="32" a="1"/>
  <c r="AS123" i="32" a="1"/>
  <c r="W123" i="32" a="1"/>
  <c r="AU123" i="32" a="1"/>
  <c r="AO123" i="32" a="1"/>
  <c r="N123" i="32" a="1"/>
  <c r="AM123" i="32" a="1"/>
  <c r="R123" i="32" a="1"/>
  <c r="K123" i="32" a="1"/>
  <c r="AQ123" i="32" a="1"/>
  <c r="AP123" i="32" a="1"/>
  <c r="O123" i="32" a="1"/>
  <c r="AR123" i="32" a="1"/>
  <c r="AB123" i="32" a="1"/>
  <c r="S123" i="32" a="1"/>
  <c r="AC123" i="32" a="1"/>
  <c r="H123" i="32" a="1"/>
  <c r="M123" i="32" a="1"/>
  <c r="AL123" i="32" a="1"/>
  <c r="I123" i="32" a="1"/>
  <c r="Y123" i="32" a="1"/>
  <c r="V123" i="32" a="1"/>
  <c r="AJ123" i="32" a="1"/>
  <c r="J123" i="32" a="1"/>
  <c r="AF123" i="32" a="1"/>
  <c r="C123" i="32" a="1"/>
  <c r="P123" i="32" a="1"/>
  <c r="D123" i="32" a="1"/>
  <c r="AD123" i="32" a="1"/>
  <c r="AH123" i="32" a="1"/>
  <c r="AT123" i="32" l="1"/>
  <c r="AK123" i="32"/>
  <c r="AF123" i="32"/>
  <c r="AO123" i="32"/>
  <c r="AJ123" i="32"/>
  <c r="AS123" i="32"/>
  <c r="AN123" i="32"/>
  <c r="AE123" i="32"/>
  <c r="AP123" i="32"/>
  <c r="AG123" i="32"/>
  <c r="AM123" i="32"/>
  <c r="AD123" i="32"/>
  <c r="AU123" i="32"/>
  <c r="AL123" i="32"/>
  <c r="AC123" i="32"/>
  <c r="AR123" i="32"/>
  <c r="AQ123" i="32"/>
  <c r="AI123" i="32"/>
  <c r="AH123" i="32"/>
  <c r="D123" i="32"/>
  <c r="BE123" i="32" s="1"/>
  <c r="V123" i="32"/>
  <c r="L123" i="32"/>
  <c r="BB123" i="32" s="1"/>
  <c r="U123" i="32"/>
  <c r="BM123" i="32" s="1"/>
  <c r="O123" i="32"/>
  <c r="BG123" i="32" s="1"/>
  <c r="K123" i="32"/>
  <c r="BA123" i="32" s="1"/>
  <c r="T123" i="32"/>
  <c r="BL123" i="32" s="1"/>
  <c r="J123" i="32"/>
  <c r="AZ123" i="32" s="1"/>
  <c r="P123" i="32"/>
  <c r="BH123" i="32" s="1"/>
  <c r="W123" i="32"/>
  <c r="BO123" i="32" s="1"/>
  <c r="M123" i="32"/>
  <c r="BC123" i="32" s="1"/>
  <c r="S123" i="32"/>
  <c r="BK123" i="32" s="1"/>
  <c r="X123" i="32"/>
  <c r="BP123" i="32" s="1"/>
  <c r="R123" i="32"/>
  <c r="Q123" i="32"/>
  <c r="BI123" i="32" s="1"/>
  <c r="N123" i="32"/>
  <c r="BF123" i="32" s="1"/>
  <c r="C123" i="32"/>
  <c r="BD123" i="32" s="1"/>
  <c r="Y123" i="32"/>
  <c r="BQ123" i="32" s="1"/>
  <c r="BN123" i="32"/>
  <c r="BJ123" i="32"/>
  <c r="AB123" i="32"/>
  <c r="I123" i="32"/>
  <c r="AY123" i="32" s="1"/>
  <c r="H123" i="32"/>
  <c r="AX123" i="32" s="1"/>
  <c r="G124" i="32"/>
  <c r="R124" i="32" a="1"/>
  <c r="O124" i="32" a="1"/>
  <c r="AG124" i="32" a="1"/>
  <c r="AO124" i="32" a="1"/>
  <c r="H124" i="32" a="1"/>
  <c r="AH124" i="32" a="1"/>
  <c r="AB124" i="32" a="1"/>
  <c r="P124" i="32" a="1"/>
  <c r="AI124" i="32" a="1"/>
  <c r="V124" i="32" a="1"/>
  <c r="AR124" i="32" a="1"/>
  <c r="Q124" i="32" a="1"/>
  <c r="AL124" i="32" a="1"/>
  <c r="W124" i="32" a="1"/>
  <c r="AU124" i="32" a="1"/>
  <c r="AD124" i="32" a="1"/>
  <c r="X124" i="32" a="1"/>
  <c r="AS124" i="32" a="1"/>
  <c r="D124" i="32" a="1"/>
  <c r="U124" i="32" a="1"/>
  <c r="AT124" i="32" a="1"/>
  <c r="Y124" i="32" a="1"/>
  <c r="AQ124" i="32" a="1"/>
  <c r="I124" i="32" a="1"/>
  <c r="J124" i="32" a="1"/>
  <c r="L124" i="32" a="1"/>
  <c r="AK124" i="32" a="1"/>
  <c r="C124" i="32" a="1"/>
  <c r="M124" i="32" a="1"/>
  <c r="AE124" i="32" a="1"/>
  <c r="S124" i="32" a="1"/>
  <c r="AP124" i="32" a="1"/>
  <c r="AN124" i="32" a="1"/>
  <c r="AJ124" i="32" a="1"/>
  <c r="K124" i="32" a="1"/>
  <c r="AF124" i="32" a="1"/>
  <c r="T124" i="32" a="1"/>
  <c r="N124" i="32" a="1"/>
  <c r="AC124" i="32" a="1"/>
  <c r="AM124" i="32" a="1"/>
  <c r="AS124" i="32" l="1"/>
  <c r="AJ124" i="32"/>
  <c r="AN124" i="32"/>
  <c r="AE124" i="32"/>
  <c r="AR124" i="32"/>
  <c r="AI124" i="32"/>
  <c r="AT124" i="32"/>
  <c r="AO124" i="32"/>
  <c r="AF124" i="32"/>
  <c r="AC124" i="32"/>
  <c r="AU124" i="32"/>
  <c r="AL124" i="32"/>
  <c r="AK124" i="32"/>
  <c r="AQ124" i="32"/>
  <c r="AH124" i="32"/>
  <c r="AG124" i="32"/>
  <c r="AM124" i="32"/>
  <c r="AD124" i="32"/>
  <c r="AP124" i="32"/>
  <c r="M124" i="32"/>
  <c r="BC124" i="32" s="1"/>
  <c r="V124" i="32"/>
  <c r="BN124" i="32" s="1"/>
  <c r="P124" i="32"/>
  <c r="BH124" i="32" s="1"/>
  <c r="U124" i="32"/>
  <c r="O124" i="32"/>
  <c r="BG124" i="32" s="1"/>
  <c r="K124" i="32"/>
  <c r="N124" i="32"/>
  <c r="BF124" i="32" s="1"/>
  <c r="W124" i="32"/>
  <c r="BO124" i="32" s="1"/>
  <c r="Q124" i="32"/>
  <c r="BI124" i="32" s="1"/>
  <c r="L124" i="32"/>
  <c r="BB124" i="32" s="1"/>
  <c r="Y124" i="32"/>
  <c r="BQ124" i="32" s="1"/>
  <c r="D124" i="32"/>
  <c r="BE124" i="32" s="1"/>
  <c r="R124" i="32"/>
  <c r="BJ124" i="32" s="1"/>
  <c r="X124" i="32"/>
  <c r="T124" i="32"/>
  <c r="BL124" i="32" s="1"/>
  <c r="S124" i="32"/>
  <c r="BK124" i="32" s="1"/>
  <c r="C124" i="32"/>
  <c r="BD124" i="32" s="1"/>
  <c r="J124" i="32"/>
  <c r="AZ124" i="32" s="1"/>
  <c r="BP124" i="32"/>
  <c r="BM124" i="32"/>
  <c r="AB124" i="32"/>
  <c r="BA124" i="32"/>
  <c r="I124" i="32"/>
  <c r="AY124" i="32" s="1"/>
  <c r="H124" i="32"/>
  <c r="AX124" i="32" s="1"/>
  <c r="G125" i="32"/>
  <c r="C125" i="32" a="1"/>
  <c r="V125" i="32" a="1"/>
  <c r="AL125" i="32" a="1"/>
  <c r="AJ125" i="32" a="1"/>
  <c r="AN125" i="32" a="1"/>
  <c r="AS125" i="32" a="1"/>
  <c r="AB125" i="32" a="1"/>
  <c r="P125" i="32" a="1"/>
  <c r="AH125" i="32" a="1"/>
  <c r="W125" i="32" a="1"/>
  <c r="AM125" i="32" a="1"/>
  <c r="Q125" i="32" a="1"/>
  <c r="AQ125" i="32" a="1"/>
  <c r="X125" i="32" a="1"/>
  <c r="AK125" i="32" a="1"/>
  <c r="J125" i="32" a="1"/>
  <c r="AT125" i="32" a="1"/>
  <c r="T125" i="32" a="1"/>
  <c r="L125" i="32" a="1"/>
  <c r="AO125" i="32" a="1"/>
  <c r="U125" i="32" a="1"/>
  <c r="AG125" i="32" a="1"/>
  <c r="I125" i="32" a="1"/>
  <c r="M125" i="32" a="1"/>
  <c r="AP125" i="32" a="1"/>
  <c r="H125" i="32" a="1"/>
  <c r="D125" i="32" a="1"/>
  <c r="K125" i="32" a="1"/>
  <c r="AD125" i="32" a="1"/>
  <c r="N125" i="32" a="1"/>
  <c r="Y125" i="32" a="1"/>
  <c r="AI125" i="32" a="1"/>
  <c r="AF125" i="32" a="1"/>
  <c r="AE125" i="32" a="1"/>
  <c r="R125" i="32" a="1"/>
  <c r="AR125" i="32" a="1"/>
  <c r="S125" i="32" a="1"/>
  <c r="O125" i="32" a="1"/>
  <c r="AC125" i="32" a="1"/>
  <c r="AU125" i="32" a="1"/>
  <c r="AN125" i="32" l="1"/>
  <c r="AE125" i="32"/>
  <c r="AR125" i="32"/>
  <c r="AI125" i="32"/>
  <c r="AD125" i="32"/>
  <c r="AM125" i="32"/>
  <c r="AH125" i="32"/>
  <c r="AS125" i="32"/>
  <c r="AJ125" i="32"/>
  <c r="AU125" i="32"/>
  <c r="AT125" i="32"/>
  <c r="AK125" i="32"/>
  <c r="AQ125" i="32"/>
  <c r="AP125" i="32"/>
  <c r="AG125" i="32"/>
  <c r="AO125" i="32"/>
  <c r="AL125" i="32"/>
  <c r="AC125" i="32"/>
  <c r="AF125" i="32"/>
  <c r="Y125" i="32"/>
  <c r="BQ125" i="32" s="1"/>
  <c r="K125" i="32"/>
  <c r="BA125" i="32" s="1"/>
  <c r="W125" i="32"/>
  <c r="BO125" i="32" s="1"/>
  <c r="P125" i="32"/>
  <c r="BH125" i="32" s="1"/>
  <c r="L125" i="32"/>
  <c r="BB125" i="32" s="1"/>
  <c r="V125" i="32"/>
  <c r="BN125" i="32" s="1"/>
  <c r="O125" i="32"/>
  <c r="BG125" i="32" s="1"/>
  <c r="J125" i="32"/>
  <c r="AZ125" i="32" s="1"/>
  <c r="X125" i="32"/>
  <c r="Q125" i="32"/>
  <c r="BI125" i="32" s="1"/>
  <c r="M125" i="32"/>
  <c r="BC125" i="32" s="1"/>
  <c r="U125" i="32"/>
  <c r="BM125" i="32" s="1"/>
  <c r="T125" i="32"/>
  <c r="BL125" i="32" s="1"/>
  <c r="C125" i="32"/>
  <c r="S125" i="32"/>
  <c r="BK125" i="32" s="1"/>
  <c r="R125" i="32"/>
  <c r="BJ125" i="32" s="1"/>
  <c r="N125" i="32"/>
  <c r="BF125" i="32" s="1"/>
  <c r="D125" i="32"/>
  <c r="BE125" i="32" s="1"/>
  <c r="BP125" i="32"/>
  <c r="AB125" i="32"/>
  <c r="BD125" i="32"/>
  <c r="I125" i="32"/>
  <c r="AY125" i="32" s="1"/>
  <c r="H125" i="32"/>
  <c r="AX125" i="32" s="1"/>
  <c r="G126" i="32"/>
  <c r="V126" i="32" a="1"/>
  <c r="C126" i="32" a="1"/>
  <c r="AO126" i="32" a="1"/>
  <c r="AN126" i="32" a="1"/>
  <c r="AR126" i="32" a="1"/>
  <c r="AC126" i="32" a="1"/>
  <c r="I126" i="32" a="1"/>
  <c r="AP126" i="32" a="1"/>
  <c r="H126" i="32" a="1"/>
  <c r="T126" i="32" a="1"/>
  <c r="AU126" i="32" a="1"/>
  <c r="U126" i="32" a="1"/>
  <c r="AS126" i="32" a="1"/>
  <c r="L126" i="32" a="1"/>
  <c r="AK126" i="32" a="1"/>
  <c r="AT126" i="32" a="1"/>
  <c r="Y126" i="32" a="1"/>
  <c r="AM126" i="32" a="1"/>
  <c r="P126" i="32" a="1"/>
  <c r="S126" i="32" a="1"/>
  <c r="AG126" i="32" a="1"/>
  <c r="Q126" i="32" a="1"/>
  <c r="D126" i="32" a="1"/>
  <c r="AL126" i="32" a="1"/>
  <c r="J126" i="32" a="1"/>
  <c r="AJ126" i="32" a="1"/>
  <c r="AB126" i="32" a="1"/>
  <c r="X126" i="32" a="1"/>
  <c r="M126" i="32" a="1"/>
  <c r="AH126" i="32" a="1"/>
  <c r="K126" i="32" a="1"/>
  <c r="W126" i="32" a="1"/>
  <c r="AQ126" i="32" a="1"/>
  <c r="AF126" i="32" a="1"/>
  <c r="N126" i="32" a="1"/>
  <c r="R126" i="32" a="1"/>
  <c r="AE126" i="32" a="1"/>
  <c r="AD126" i="32" a="1"/>
  <c r="O126" i="32" a="1"/>
  <c r="AI126" i="32" a="1"/>
  <c r="AR126" i="32" l="1"/>
  <c r="AM126" i="32"/>
  <c r="AD126" i="32"/>
  <c r="AQ126" i="32"/>
  <c r="AH126" i="32"/>
  <c r="AU126" i="32"/>
  <c r="AL126" i="32"/>
  <c r="AC126" i="32"/>
  <c r="AN126" i="32"/>
  <c r="AI126" i="32"/>
  <c r="AT126" i="32"/>
  <c r="AK126" i="32"/>
  <c r="AS126" i="32"/>
  <c r="AJ126" i="32"/>
  <c r="AP126" i="32"/>
  <c r="AG126" i="32"/>
  <c r="AO126" i="32"/>
  <c r="AF126" i="32"/>
  <c r="AE126" i="32"/>
  <c r="W126" i="32"/>
  <c r="BO126" i="32" s="1"/>
  <c r="M126" i="32"/>
  <c r="BC126" i="32" s="1"/>
  <c r="T126" i="32"/>
  <c r="BL126" i="32" s="1"/>
  <c r="D126" i="32"/>
  <c r="BE126" i="32" s="1"/>
  <c r="S126" i="32"/>
  <c r="BK126" i="32" s="1"/>
  <c r="C126" i="32"/>
  <c r="Y126" i="32"/>
  <c r="BQ126" i="32" s="1"/>
  <c r="R126" i="32"/>
  <c r="BJ126" i="32" s="1"/>
  <c r="L126" i="32"/>
  <c r="BB126" i="32" s="1"/>
  <c r="U126" i="32"/>
  <c r="J126" i="32"/>
  <c r="AZ126" i="32" s="1"/>
  <c r="Q126" i="32"/>
  <c r="BI126" i="32" s="1"/>
  <c r="P126" i="32"/>
  <c r="BH126" i="32" s="1"/>
  <c r="V126" i="32"/>
  <c r="O126" i="32"/>
  <c r="BG126" i="32" s="1"/>
  <c r="N126" i="32"/>
  <c r="BF126" i="32" s="1"/>
  <c r="K126" i="32"/>
  <c r="BA126" i="32" s="1"/>
  <c r="X126" i="32"/>
  <c r="BP126" i="32" s="1"/>
  <c r="BM126" i="32"/>
  <c r="BN126" i="32"/>
  <c r="AB126" i="32"/>
  <c r="BD126" i="32"/>
  <c r="I126" i="32"/>
  <c r="AY126" i="32" s="1"/>
  <c r="H126" i="32"/>
  <c r="AX126" i="32" s="1"/>
  <c r="G127" i="32"/>
  <c r="C127" i="32" a="1"/>
  <c r="J127" i="32" a="1"/>
  <c r="AE127" i="32" a="1"/>
  <c r="AD127" i="32" a="1"/>
  <c r="AQ127" i="32" a="1"/>
  <c r="AM127" i="32" a="1"/>
  <c r="AB127" i="32" a="1"/>
  <c r="R127" i="32" a="1"/>
  <c r="AO127" i="32" a="1"/>
  <c r="H127" i="32" a="1"/>
  <c r="L127" i="32" a="1"/>
  <c r="AF127" i="32" a="1"/>
  <c r="I127" i="32" a="1"/>
  <c r="Q127" i="32" a="1"/>
  <c r="AI127" i="32" a="1"/>
  <c r="S127" i="32" a="1"/>
  <c r="U127" i="32" a="1"/>
  <c r="AL127" i="32" a="1"/>
  <c r="X127" i="32" a="1"/>
  <c r="AJ127" i="32" a="1"/>
  <c r="D127" i="32" a="1"/>
  <c r="P127" i="32" a="1"/>
  <c r="AN127" i="32" a="1"/>
  <c r="W127" i="32" a="1"/>
  <c r="AG127" i="32" a="1"/>
  <c r="K127" i="32" a="1"/>
  <c r="AP127" i="32" a="1"/>
  <c r="M127" i="32" a="1"/>
  <c r="Y127" i="32" a="1"/>
  <c r="AC127" i="32" a="1"/>
  <c r="N127" i="32" a="1"/>
  <c r="AR127" i="32" a="1"/>
  <c r="AU127" i="32" a="1"/>
  <c r="O127" i="32" a="1"/>
  <c r="AH127" i="32" a="1"/>
  <c r="T127" i="32" a="1"/>
  <c r="V127" i="32" a="1"/>
  <c r="AK127" i="32" a="1"/>
  <c r="AS127" i="32" a="1"/>
  <c r="AT127" i="32" a="1"/>
  <c r="AQ127" i="32" l="1"/>
  <c r="AH127" i="32"/>
  <c r="AU127" i="32"/>
  <c r="AL127" i="32"/>
  <c r="AC127" i="32"/>
  <c r="AP127" i="32"/>
  <c r="AG127" i="32"/>
  <c r="AM127" i="32"/>
  <c r="AD127" i="32"/>
  <c r="AJ127" i="32"/>
  <c r="AS127" i="32"/>
  <c r="AR127" i="32"/>
  <c r="AI127" i="32"/>
  <c r="AF127" i="32"/>
  <c r="AO127" i="32"/>
  <c r="AN127" i="32"/>
  <c r="AE127" i="32"/>
  <c r="AT127" i="32"/>
  <c r="AK127" i="32"/>
  <c r="U127" i="32"/>
  <c r="Y127" i="32"/>
  <c r="BQ127" i="32" s="1"/>
  <c r="K127" i="32"/>
  <c r="BA127" i="32" s="1"/>
  <c r="W127" i="32"/>
  <c r="BO127" i="32" s="1"/>
  <c r="P127" i="32"/>
  <c r="BH127" i="32" s="1"/>
  <c r="J127" i="32"/>
  <c r="AZ127" i="32" s="1"/>
  <c r="O127" i="32"/>
  <c r="BG127" i="32" s="1"/>
  <c r="V127" i="32"/>
  <c r="N127" i="32"/>
  <c r="BF127" i="32" s="1"/>
  <c r="Q127" i="32"/>
  <c r="BI127" i="32" s="1"/>
  <c r="L127" i="32"/>
  <c r="BB127" i="32" s="1"/>
  <c r="R127" i="32"/>
  <c r="BJ127" i="32" s="1"/>
  <c r="D127" i="32"/>
  <c r="BE127" i="32" s="1"/>
  <c r="C127" i="32"/>
  <c r="X127" i="32"/>
  <c r="BP127" i="32" s="1"/>
  <c r="T127" i="32"/>
  <c r="BL127" i="32" s="1"/>
  <c r="S127" i="32"/>
  <c r="BK127" i="32" s="1"/>
  <c r="M127" i="32"/>
  <c r="BC127" i="32" s="1"/>
  <c r="BN127" i="32"/>
  <c r="BM127" i="32"/>
  <c r="AB127" i="32"/>
  <c r="BD127" i="32"/>
  <c r="I127" i="32"/>
  <c r="AY127" i="32" s="1"/>
  <c r="H127" i="32"/>
  <c r="AX127" i="32" s="1"/>
  <c r="G128" i="32"/>
  <c r="O128" i="32" a="1"/>
  <c r="Y128" i="32" a="1"/>
  <c r="AS128" i="32" a="1"/>
  <c r="AH128" i="32" a="1"/>
  <c r="AL128" i="32" a="1"/>
  <c r="AT128" i="32" a="1"/>
  <c r="AB128" i="32" a="1"/>
  <c r="AE128" i="32" a="1"/>
  <c r="H128" i="32" a="1"/>
  <c r="AN128" i="32" a="1"/>
  <c r="P128" i="32" a="1"/>
  <c r="AI128" i="32" a="1"/>
  <c r="S128" i="32" a="1"/>
  <c r="AJ128" i="32" a="1"/>
  <c r="K128" i="32" a="1"/>
  <c r="M128" i="32" a="1"/>
  <c r="AD128" i="32" a="1"/>
  <c r="AQ128" i="32" a="1"/>
  <c r="X128" i="32" a="1"/>
  <c r="T128" i="32" a="1"/>
  <c r="I128" i="32" a="1"/>
  <c r="W128" i="32" a="1"/>
  <c r="L128" i="32" a="1"/>
  <c r="AU128" i="32" a="1"/>
  <c r="V128" i="32" a="1"/>
  <c r="R128" i="32" a="1"/>
  <c r="AM128" i="32" a="1"/>
  <c r="AF128" i="32" a="1"/>
  <c r="C128" i="32" a="1"/>
  <c r="AO128" i="32" a="1"/>
  <c r="N128" i="32" a="1"/>
  <c r="AK128" i="32" a="1"/>
  <c r="D128" i="32" a="1"/>
  <c r="AP128" i="32" a="1"/>
  <c r="U128" i="32" a="1"/>
  <c r="AR128" i="32" a="1"/>
  <c r="AG128" i="32" a="1"/>
  <c r="J128" i="32" a="1"/>
  <c r="Q128" i="32" a="1"/>
  <c r="AC128" i="32" a="1"/>
  <c r="AT128" i="32" l="1"/>
  <c r="AL128" i="32"/>
  <c r="AG128" i="32"/>
  <c r="AU128" i="32"/>
  <c r="AP128" i="32"/>
  <c r="AK128" i="32"/>
  <c r="AO128" i="32"/>
  <c r="AF128" i="32"/>
  <c r="AQ128" i="32"/>
  <c r="AH128" i="32"/>
  <c r="AC128" i="32"/>
  <c r="AR128" i="32"/>
  <c r="AI128" i="32"/>
  <c r="AN128" i="32"/>
  <c r="AE128" i="32"/>
  <c r="AM128" i="32"/>
  <c r="AD128" i="32"/>
  <c r="AS128" i="32"/>
  <c r="AJ128" i="32"/>
  <c r="S128" i="32"/>
  <c r="BK128" i="32" s="1"/>
  <c r="W128" i="32"/>
  <c r="T128" i="32"/>
  <c r="BL128" i="32" s="1"/>
  <c r="C128" i="32"/>
  <c r="BD128" i="32" s="1"/>
  <c r="R128" i="32"/>
  <c r="BJ128" i="32" s="1"/>
  <c r="M128" i="32"/>
  <c r="Y128" i="32"/>
  <c r="BQ128" i="32" s="1"/>
  <c r="Q128" i="32"/>
  <c r="BI128" i="32" s="1"/>
  <c r="L128" i="32"/>
  <c r="BB128" i="32" s="1"/>
  <c r="D128" i="32"/>
  <c r="BE128" i="32" s="1"/>
  <c r="N128" i="32"/>
  <c r="BF128" i="32" s="1"/>
  <c r="X128" i="32"/>
  <c r="BP128" i="32" s="1"/>
  <c r="V128" i="32"/>
  <c r="BN128" i="32" s="1"/>
  <c r="K128" i="32"/>
  <c r="BA128" i="32" s="1"/>
  <c r="O128" i="32"/>
  <c r="BG128" i="32" s="1"/>
  <c r="J128" i="32"/>
  <c r="AZ128" i="32" s="1"/>
  <c r="U128" i="32"/>
  <c r="BM128" i="32" s="1"/>
  <c r="P128" i="32"/>
  <c r="BH128" i="32" s="1"/>
  <c r="BO128" i="32"/>
  <c r="AB128" i="32"/>
  <c r="BC128" i="32"/>
  <c r="I128" i="32"/>
  <c r="AY128" i="32" s="1"/>
  <c r="H128" i="32"/>
  <c r="AX128" i="32" s="1"/>
  <c r="G129" i="32"/>
  <c r="S129" i="32" a="1"/>
  <c r="W129" i="32" a="1"/>
  <c r="AO129" i="32" a="1"/>
  <c r="AS129" i="32" a="1"/>
  <c r="AU129" i="32" a="1"/>
  <c r="AP129" i="32" a="1"/>
  <c r="AJ129" i="32" a="1"/>
  <c r="C129" i="32" a="1"/>
  <c r="X129" i="32" a="1"/>
  <c r="R129" i="32" a="1"/>
  <c r="AM129" i="32" a="1"/>
  <c r="M129" i="32" a="1"/>
  <c r="L129" i="32" a="1"/>
  <c r="J129" i="32" a="1"/>
  <c r="AF129" i="32" a="1"/>
  <c r="AG129" i="32" a="1"/>
  <c r="I129" i="32" a="1"/>
  <c r="H129" i="32" a="1"/>
  <c r="K129" i="32" a="1"/>
  <c r="AR129" i="32" a="1"/>
  <c r="V129" i="32" a="1"/>
  <c r="AE129" i="32" a="1"/>
  <c r="D129" i="32" a="1"/>
  <c r="AC129" i="32" a="1"/>
  <c r="AK129" i="32" a="1"/>
  <c r="AN129" i="32" a="1"/>
  <c r="Y129" i="32" a="1"/>
  <c r="O129" i="32" a="1"/>
  <c r="AL129" i="32" a="1"/>
  <c r="U129" i="32" a="1"/>
  <c r="AB129" i="32" a="1"/>
  <c r="P129" i="32" a="1"/>
  <c r="AT129" i="32" a="1"/>
  <c r="Q129" i="32" a="1"/>
  <c r="AI129" i="32" a="1"/>
  <c r="N129" i="32" a="1"/>
  <c r="AH129" i="32" a="1"/>
  <c r="T129" i="32" a="1"/>
  <c r="AQ129" i="32" a="1"/>
  <c r="AD129" i="32" a="1"/>
  <c r="AU129" i="32" l="1"/>
  <c r="AQ129" i="32"/>
  <c r="AM129" i="32"/>
  <c r="AI129" i="32"/>
  <c r="AE129" i="32"/>
  <c r="AR129" i="32"/>
  <c r="AL129" i="32"/>
  <c r="AG129" i="32"/>
  <c r="AS129" i="32"/>
  <c r="AN129" i="32"/>
  <c r="AH129" i="32"/>
  <c r="AC129" i="32"/>
  <c r="AT129" i="32"/>
  <c r="AJ129" i="32"/>
  <c r="AP129" i="32"/>
  <c r="AF129" i="32"/>
  <c r="AO129" i="32"/>
  <c r="AD129" i="32"/>
  <c r="AK129" i="32"/>
  <c r="Q129" i="32"/>
  <c r="BI129" i="32" s="1"/>
  <c r="V129" i="32"/>
  <c r="BN129" i="32" s="1"/>
  <c r="U129" i="32"/>
  <c r="BM129" i="32" s="1"/>
  <c r="O129" i="32"/>
  <c r="BG129" i="32" s="1"/>
  <c r="J129" i="32"/>
  <c r="AZ129" i="32" s="1"/>
  <c r="W129" i="32"/>
  <c r="T129" i="32"/>
  <c r="N129" i="32"/>
  <c r="BF129" i="32" s="1"/>
  <c r="X129" i="32"/>
  <c r="BP129" i="32" s="1"/>
  <c r="P129" i="32"/>
  <c r="BH129" i="32" s="1"/>
  <c r="K129" i="32"/>
  <c r="BA129" i="32" s="1"/>
  <c r="Y129" i="32"/>
  <c r="BQ129" i="32" s="1"/>
  <c r="L129" i="32"/>
  <c r="BB129" i="32" s="1"/>
  <c r="S129" i="32"/>
  <c r="M129" i="32"/>
  <c r="BC129" i="32" s="1"/>
  <c r="R129" i="32"/>
  <c r="BJ129" i="32" s="1"/>
  <c r="D129" i="32"/>
  <c r="BE129" i="32" s="1"/>
  <c r="C129" i="32"/>
  <c r="BD129" i="32" s="1"/>
  <c r="BO129" i="32"/>
  <c r="BL129" i="32"/>
  <c r="BK129" i="32"/>
  <c r="AB129" i="32"/>
  <c r="I129" i="32"/>
  <c r="AY129" i="32" s="1"/>
  <c r="H129" i="32"/>
  <c r="AX129" i="32" s="1"/>
  <c r="G130" i="32"/>
  <c r="J130" i="32" a="1"/>
  <c r="K130" i="32" a="1"/>
  <c r="AL130" i="32" a="1"/>
  <c r="AP130" i="32" a="1"/>
  <c r="AN130" i="32" a="1"/>
  <c r="N130" i="32" a="1"/>
  <c r="AK130" i="32" a="1"/>
  <c r="AR130" i="32" a="1"/>
  <c r="AE130" i="32" a="1"/>
  <c r="AG130" i="32" a="1"/>
  <c r="W130" i="32" a="1"/>
  <c r="AQ130" i="32" a="1"/>
  <c r="AU130" i="32" a="1"/>
  <c r="X130" i="32" a="1"/>
  <c r="AF130" i="32" a="1"/>
  <c r="Q130" i="32" a="1"/>
  <c r="AJ130" i="32" a="1"/>
  <c r="R130" i="32" a="1"/>
  <c r="AS130" i="32" a="1"/>
  <c r="T130" i="32" a="1"/>
  <c r="AB130" i="32" a="1"/>
  <c r="V130" i="32" a="1"/>
  <c r="AM130" i="32" a="1"/>
  <c r="AT130" i="32" a="1"/>
  <c r="L130" i="32" a="1"/>
  <c r="P130" i="32" a="1"/>
  <c r="U130" i="32" a="1"/>
  <c r="AC130" i="32" a="1"/>
  <c r="C130" i="32" a="1"/>
  <c r="AI130" i="32" a="1"/>
  <c r="Y130" i="32" a="1"/>
  <c r="I130" i="32" a="1"/>
  <c r="O130" i="32" a="1"/>
  <c r="H130" i="32" a="1"/>
  <c r="D130" i="32" a="1"/>
  <c r="AH130" i="32" a="1"/>
  <c r="M130" i="32" a="1"/>
  <c r="AO130" i="32" a="1"/>
  <c r="S130" i="32" a="1"/>
  <c r="AD130" i="32" a="1"/>
  <c r="AR130" i="32" l="1"/>
  <c r="AN130" i="32"/>
  <c r="AJ130" i="32"/>
  <c r="AF130" i="32"/>
  <c r="AU130" i="32"/>
  <c r="AQ130" i="32"/>
  <c r="AM130" i="32"/>
  <c r="AI130" i="32"/>
  <c r="AK130" i="32"/>
  <c r="AP130" i="32"/>
  <c r="AD130" i="32"/>
  <c r="AO130" i="32"/>
  <c r="AH130" i="32"/>
  <c r="AT130" i="32"/>
  <c r="AG130" i="32"/>
  <c r="AE130" i="32"/>
  <c r="AS130" i="32"/>
  <c r="AL130" i="32"/>
  <c r="AC130" i="32"/>
  <c r="U130" i="32"/>
  <c r="BM130" i="32" s="1"/>
  <c r="P130" i="32"/>
  <c r="BH130" i="32" s="1"/>
  <c r="O130" i="32"/>
  <c r="BG130" i="32" s="1"/>
  <c r="Y130" i="32"/>
  <c r="BQ130" i="32" s="1"/>
  <c r="T130" i="32"/>
  <c r="BL130" i="32" s="1"/>
  <c r="N130" i="32"/>
  <c r="BF130" i="32" s="1"/>
  <c r="K130" i="32"/>
  <c r="BA130" i="32" s="1"/>
  <c r="S130" i="32"/>
  <c r="BK130" i="32" s="1"/>
  <c r="X130" i="32"/>
  <c r="D130" i="32"/>
  <c r="BE130" i="32" s="1"/>
  <c r="W130" i="32"/>
  <c r="BO130" i="32" s="1"/>
  <c r="V130" i="32"/>
  <c r="BN130" i="32" s="1"/>
  <c r="C130" i="32"/>
  <c r="BD130" i="32" s="1"/>
  <c r="R130" i="32"/>
  <c r="J130" i="32"/>
  <c r="AZ130" i="32" s="1"/>
  <c r="Q130" i="32"/>
  <c r="BI130" i="32" s="1"/>
  <c r="M130" i="32"/>
  <c r="BC130" i="32" s="1"/>
  <c r="L130" i="32"/>
  <c r="BB130" i="32" s="1"/>
  <c r="BP130" i="32"/>
  <c r="BJ130" i="32"/>
  <c r="AB130" i="32"/>
  <c r="I130" i="32"/>
  <c r="AY130" i="32" s="1"/>
  <c r="H130" i="32"/>
  <c r="AX130" i="32" s="1"/>
  <c r="G131" i="32"/>
  <c r="T131" i="32" a="1"/>
  <c r="Q131" i="32" a="1"/>
  <c r="X131" i="32" a="1"/>
  <c r="AP131" i="32" a="1"/>
  <c r="AG131" i="32" a="1"/>
  <c r="AE131" i="32" a="1"/>
  <c r="AK131" i="32" a="1"/>
  <c r="AO131" i="32" a="1"/>
  <c r="Y131" i="32" a="1"/>
  <c r="AF131" i="32" a="1"/>
  <c r="AT131" i="32" a="1"/>
  <c r="U131" i="32" a="1"/>
  <c r="C131" i="32" a="1"/>
  <c r="AD131" i="32" a="1"/>
  <c r="AQ131" i="32" a="1"/>
  <c r="W131" i="32" a="1"/>
  <c r="AS131" i="32" a="1"/>
  <c r="L131" i="32" a="1"/>
  <c r="AJ131" i="32" a="1"/>
  <c r="K131" i="32" a="1"/>
  <c r="AH131" i="32" a="1"/>
  <c r="AB131" i="32" a="1"/>
  <c r="O131" i="32" a="1"/>
  <c r="N131" i="32" a="1"/>
  <c r="AR131" i="32" a="1"/>
  <c r="M131" i="32" a="1"/>
  <c r="S131" i="32" a="1"/>
  <c r="AC131" i="32" a="1"/>
  <c r="V131" i="32" a="1"/>
  <c r="R131" i="32" a="1"/>
  <c r="AL131" i="32" a="1"/>
  <c r="AM131" i="32" a="1"/>
  <c r="D131" i="32" a="1"/>
  <c r="H131" i="32" a="1"/>
  <c r="J131" i="32" a="1"/>
  <c r="AN131" i="32" a="1"/>
  <c r="AU131" i="32" a="1"/>
  <c r="I131" i="32" a="1"/>
  <c r="P131" i="32" a="1"/>
  <c r="AI131" i="32" a="1"/>
  <c r="AS131" i="32" l="1"/>
  <c r="AO131" i="32"/>
  <c r="AK131" i="32"/>
  <c r="AG131" i="32"/>
  <c r="AC131" i="32"/>
  <c r="AR131" i="32"/>
  <c r="AN131" i="32"/>
  <c r="AJ131" i="32"/>
  <c r="AF131" i="32"/>
  <c r="AQ131" i="32"/>
  <c r="AD131" i="32"/>
  <c r="AP131" i="32"/>
  <c r="AI131" i="32"/>
  <c r="AU131" i="32"/>
  <c r="AH131" i="32"/>
  <c r="AT131" i="32"/>
  <c r="AM131" i="32"/>
  <c r="AL131" i="32"/>
  <c r="AE131" i="32"/>
  <c r="X131" i="32"/>
  <c r="S131" i="32"/>
  <c r="BK131" i="32" s="1"/>
  <c r="N131" i="32"/>
  <c r="BF131" i="32" s="1"/>
  <c r="J131" i="32"/>
  <c r="AZ131" i="32" s="1"/>
  <c r="D131" i="32"/>
  <c r="BE131" i="32" s="1"/>
  <c r="W131" i="32"/>
  <c r="R131" i="32"/>
  <c r="BJ131" i="32" s="1"/>
  <c r="C131" i="32"/>
  <c r="BD131" i="32" s="1"/>
  <c r="Q131" i="32"/>
  <c r="BI131" i="32" s="1"/>
  <c r="P131" i="32"/>
  <c r="BH131" i="32" s="1"/>
  <c r="O131" i="32"/>
  <c r="BG131" i="32" s="1"/>
  <c r="K131" i="32"/>
  <c r="BA131" i="32" s="1"/>
  <c r="L131" i="32"/>
  <c r="BB131" i="32" s="1"/>
  <c r="Y131" i="32"/>
  <c r="BQ131" i="32" s="1"/>
  <c r="V131" i="32"/>
  <c r="BN131" i="32" s="1"/>
  <c r="U131" i="32"/>
  <c r="BM131" i="32" s="1"/>
  <c r="T131" i="32"/>
  <c r="BL131" i="32" s="1"/>
  <c r="M131" i="32"/>
  <c r="BC131" i="32" s="1"/>
  <c r="BP131" i="32"/>
  <c r="BO131" i="32"/>
  <c r="AB131" i="32"/>
  <c r="I131" i="32"/>
  <c r="AY131" i="32" s="1"/>
  <c r="H131" i="32"/>
  <c r="AX131" i="32" s="1"/>
  <c r="G132" i="32"/>
  <c r="J132" i="32" a="1"/>
  <c r="U132" i="32" a="1"/>
  <c r="AN132" i="32" a="1"/>
  <c r="AK132" i="32" a="1"/>
  <c r="H132" i="32" a="1"/>
  <c r="AO132" i="32" a="1"/>
  <c r="AS132" i="32" a="1"/>
  <c r="N132" i="32" a="1"/>
  <c r="AJ132" i="32" a="1"/>
  <c r="T132" i="32" a="1"/>
  <c r="Y132" i="32" a="1"/>
  <c r="AE132" i="32" a="1"/>
  <c r="AM132" i="32" a="1"/>
  <c r="W132" i="32" a="1"/>
  <c r="AT132" i="32" a="1"/>
  <c r="R132" i="32" a="1"/>
  <c r="M132" i="32" a="1"/>
  <c r="AU132" i="32" a="1"/>
  <c r="AB132" i="32" a="1"/>
  <c r="Q132" i="32" a="1"/>
  <c r="X132" i="32" a="1"/>
  <c r="AQ132" i="32" a="1"/>
  <c r="O132" i="32" a="1"/>
  <c r="AL132" i="32" a="1"/>
  <c r="L132" i="32" a="1"/>
  <c r="AP132" i="32" a="1"/>
  <c r="P132" i="32" a="1"/>
  <c r="S132" i="32" a="1"/>
  <c r="C132" i="32" a="1"/>
  <c r="AI132" i="32" a="1"/>
  <c r="I132" i="32" a="1"/>
  <c r="K132" i="32" a="1"/>
  <c r="AD132" i="32" a="1"/>
  <c r="V132" i="32" a="1"/>
  <c r="AH132" i="32" a="1"/>
  <c r="AF132" i="32" a="1"/>
  <c r="D132" i="32" a="1"/>
  <c r="AC132" i="32" a="1"/>
  <c r="AR132" i="32" a="1"/>
  <c r="AG132" i="32" a="1"/>
  <c r="AT132" i="32" l="1"/>
  <c r="AP132" i="32"/>
  <c r="AL132" i="32"/>
  <c r="AH132" i="32"/>
  <c r="AD132" i="32"/>
  <c r="AS132" i="32"/>
  <c r="AO132" i="32"/>
  <c r="AK132" i="32"/>
  <c r="AG132" i="32"/>
  <c r="AC132" i="32"/>
  <c r="AE132" i="32"/>
  <c r="AQ132" i="32"/>
  <c r="AJ132" i="32"/>
  <c r="AI132" i="32"/>
  <c r="AU132" i="32"/>
  <c r="AN132" i="32"/>
  <c r="AR132" i="32"/>
  <c r="AM132" i="32"/>
  <c r="AF132" i="32"/>
  <c r="V132" i="32"/>
  <c r="BN132" i="32" s="1"/>
  <c r="Q132" i="32"/>
  <c r="BI132" i="32" s="1"/>
  <c r="C132" i="32"/>
  <c r="BD132" i="32" s="1"/>
  <c r="M132" i="32"/>
  <c r="BC132" i="32" s="1"/>
  <c r="U132" i="32"/>
  <c r="BM132" i="32" s="1"/>
  <c r="P132" i="32"/>
  <c r="BH132" i="32" s="1"/>
  <c r="L132" i="32"/>
  <c r="BB132" i="32" s="1"/>
  <c r="O132" i="32"/>
  <c r="BG132" i="32" s="1"/>
  <c r="T132" i="32"/>
  <c r="BL132" i="32" s="1"/>
  <c r="K132" i="32"/>
  <c r="BA132" i="32" s="1"/>
  <c r="S132" i="32"/>
  <c r="BK132" i="32" s="1"/>
  <c r="R132" i="32"/>
  <c r="BJ132" i="32" s="1"/>
  <c r="J132" i="32"/>
  <c r="AZ132" i="32" s="1"/>
  <c r="W132" i="32"/>
  <c r="D132" i="32"/>
  <c r="BE132" i="32" s="1"/>
  <c r="Y132" i="32"/>
  <c r="BQ132" i="32" s="1"/>
  <c r="X132" i="32"/>
  <c r="N132" i="32"/>
  <c r="BF132" i="32" s="1"/>
  <c r="BP132" i="32"/>
  <c r="BO132" i="32"/>
  <c r="AB132" i="32"/>
  <c r="I132" i="32"/>
  <c r="AY132" i="32" s="1"/>
  <c r="H132" i="32"/>
  <c r="AX132" i="32" s="1"/>
  <c r="G133" i="32"/>
  <c r="M133" i="32" a="1"/>
  <c r="X133" i="32" a="1"/>
  <c r="AN133" i="32" a="1"/>
  <c r="AH133" i="32" a="1"/>
  <c r="AU133" i="32" a="1"/>
  <c r="AL133" i="32" a="1"/>
  <c r="AC133" i="32" a="1"/>
  <c r="W133" i="32" a="1"/>
  <c r="I133" i="32" a="1"/>
  <c r="R133" i="32" a="1"/>
  <c r="AK133" i="32" a="1"/>
  <c r="J133" i="32" a="1"/>
  <c r="AR133" i="32" a="1"/>
  <c r="N133" i="32" a="1"/>
  <c r="AM133" i="32" a="1"/>
  <c r="S133" i="32" a="1"/>
  <c r="AQ133" i="32" a="1"/>
  <c r="V133" i="32" a="1"/>
  <c r="K133" i="32" a="1"/>
  <c r="AO133" i="32" a="1"/>
  <c r="AB133" i="32" a="1"/>
  <c r="AP133" i="32" a="1"/>
  <c r="L133" i="32" a="1"/>
  <c r="AT133" i="32" a="1"/>
  <c r="D133" i="32" a="1"/>
  <c r="AE133" i="32" a="1"/>
  <c r="AI133" i="32" a="1"/>
  <c r="Q133" i="32" a="1"/>
  <c r="AS133" i="32" a="1"/>
  <c r="AG133" i="32" a="1"/>
  <c r="C133" i="32" a="1"/>
  <c r="Y133" i="32" a="1"/>
  <c r="H133" i="32" a="1"/>
  <c r="AJ133" i="32" a="1"/>
  <c r="O133" i="32" a="1"/>
  <c r="U133" i="32" a="1"/>
  <c r="T133" i="32" a="1"/>
  <c r="AF133" i="32" a="1"/>
  <c r="P133" i="32" a="1"/>
  <c r="AD133" i="32" a="1"/>
  <c r="AU133" i="32" l="1"/>
  <c r="AQ133" i="32"/>
  <c r="AM133" i="32"/>
  <c r="AI133" i="32"/>
  <c r="AE133" i="32"/>
  <c r="AT133" i="32"/>
  <c r="AP133" i="32"/>
  <c r="AL133" i="32"/>
  <c r="AH133" i="32"/>
  <c r="AD133" i="32"/>
  <c r="AS133" i="32"/>
  <c r="AR133" i="32"/>
  <c r="AK133" i="32"/>
  <c r="AJ133" i="32"/>
  <c r="AC133" i="32"/>
  <c r="AO133" i="32"/>
  <c r="AN133" i="32"/>
  <c r="AG133" i="32"/>
  <c r="AF133" i="32"/>
  <c r="T133" i="32"/>
  <c r="BL133" i="32" s="1"/>
  <c r="O133" i="32"/>
  <c r="BG133" i="32" s="1"/>
  <c r="L133" i="32"/>
  <c r="BB133" i="32" s="1"/>
  <c r="Y133" i="32"/>
  <c r="BQ133" i="32" s="1"/>
  <c r="K133" i="32"/>
  <c r="BA133" i="32" s="1"/>
  <c r="X133" i="32"/>
  <c r="S133" i="32"/>
  <c r="BK133" i="32" s="1"/>
  <c r="N133" i="32"/>
  <c r="BF133" i="32" s="1"/>
  <c r="J133" i="32"/>
  <c r="AZ133" i="32" s="1"/>
  <c r="D133" i="32"/>
  <c r="BE133" i="32" s="1"/>
  <c r="W133" i="32"/>
  <c r="BO133" i="32" s="1"/>
  <c r="C133" i="32"/>
  <c r="BD133" i="32" s="1"/>
  <c r="V133" i="32"/>
  <c r="BN133" i="32" s="1"/>
  <c r="M133" i="32"/>
  <c r="BC133" i="32" s="1"/>
  <c r="P133" i="32"/>
  <c r="BH133" i="32" s="1"/>
  <c r="Q133" i="32"/>
  <c r="BI133" i="32" s="1"/>
  <c r="U133" i="32"/>
  <c r="R133" i="32"/>
  <c r="BJ133" i="32" s="1"/>
  <c r="BM133" i="32"/>
  <c r="BP133" i="32"/>
  <c r="AB133" i="32"/>
  <c r="I133" i="32"/>
  <c r="AY133" i="32" s="1"/>
  <c r="H133" i="32"/>
  <c r="AX133" i="32" s="1"/>
  <c r="G134" i="32"/>
  <c r="N134" i="32" a="1"/>
  <c r="W134" i="32" a="1"/>
  <c r="AQ134" i="32" a="1"/>
  <c r="AM134" i="32" a="1"/>
  <c r="H134" i="32" a="1"/>
  <c r="I134" i="32" a="1"/>
  <c r="D134" i="32" a="1"/>
  <c r="AN134" i="32" a="1"/>
  <c r="AB134" i="32" a="1"/>
  <c r="U134" i="32" a="1"/>
  <c r="R134" i="32" a="1"/>
  <c r="AJ134" i="32" a="1"/>
  <c r="K134" i="32" a="1"/>
  <c r="X134" i="32" a="1"/>
  <c r="AS134" i="32" a="1"/>
  <c r="L134" i="32" a="1"/>
  <c r="AI134" i="32" a="1"/>
  <c r="AF134" i="32" a="1"/>
  <c r="S134" i="32" a="1"/>
  <c r="AT134" i="32" a="1"/>
  <c r="Y134" i="32" a="1"/>
  <c r="J134" i="32" a="1"/>
  <c r="AK134" i="32" a="1"/>
  <c r="AE134" i="32" a="1"/>
  <c r="O134" i="32" a="1"/>
  <c r="AC134" i="32" a="1"/>
  <c r="P134" i="32" a="1"/>
  <c r="AL134" i="32" a="1"/>
  <c r="M134" i="32" a="1"/>
  <c r="AU134" i="32" a="1"/>
  <c r="C134" i="32" a="1"/>
  <c r="AP134" i="32" a="1"/>
  <c r="AG134" i="32" a="1"/>
  <c r="V134" i="32" a="1"/>
  <c r="AD134" i="32" a="1"/>
  <c r="T134" i="32" a="1"/>
  <c r="Q134" i="32" a="1"/>
  <c r="AR134" i="32" a="1"/>
  <c r="AO134" i="32" a="1"/>
  <c r="AH134" i="32" a="1"/>
  <c r="AT134" i="32" l="1"/>
  <c r="AO134" i="32"/>
  <c r="AF134" i="32"/>
  <c r="AS134" i="32"/>
  <c r="AJ134" i="32"/>
  <c r="AN134" i="32"/>
  <c r="AE134" i="32"/>
  <c r="AM134" i="32"/>
  <c r="AD134" i="32"/>
  <c r="AG134" i="32"/>
  <c r="AP134" i="32"/>
  <c r="AU134" i="32"/>
  <c r="AL134" i="32"/>
  <c r="AC134" i="32"/>
  <c r="AK134" i="32"/>
  <c r="AQ134" i="32"/>
  <c r="AH134" i="32"/>
  <c r="AR134" i="32"/>
  <c r="AI134" i="32"/>
  <c r="X134" i="32"/>
  <c r="BP134" i="32" s="1"/>
  <c r="R134" i="32"/>
  <c r="BJ134" i="32" s="1"/>
  <c r="D134" i="32"/>
  <c r="BE134" i="32" s="1"/>
  <c r="J134" i="32"/>
  <c r="AZ134" i="32" s="1"/>
  <c r="W134" i="32"/>
  <c r="BO134" i="32" s="1"/>
  <c r="V134" i="32"/>
  <c r="Q134" i="32"/>
  <c r="BI134" i="32" s="1"/>
  <c r="C134" i="32"/>
  <c r="BD134" i="32" s="1"/>
  <c r="M134" i="32"/>
  <c r="BC134" i="32" s="1"/>
  <c r="P134" i="32"/>
  <c r="BH134" i="32" s="1"/>
  <c r="O134" i="32"/>
  <c r="BG134" i="32" s="1"/>
  <c r="Y134" i="32"/>
  <c r="BQ134" i="32" s="1"/>
  <c r="N134" i="32"/>
  <c r="BF134" i="32" s="1"/>
  <c r="S134" i="32"/>
  <c r="T134" i="32"/>
  <c r="BL134" i="32" s="1"/>
  <c r="L134" i="32"/>
  <c r="BB134" i="32" s="1"/>
  <c r="K134" i="32"/>
  <c r="BA134" i="32" s="1"/>
  <c r="U134" i="32"/>
  <c r="BM134" i="32" s="1"/>
  <c r="BN134" i="32"/>
  <c r="BK134" i="32"/>
  <c r="AB134" i="32"/>
  <c r="I134" i="32"/>
  <c r="AY134" i="32" s="1"/>
  <c r="H134" i="32"/>
  <c r="AX134" i="32" s="1"/>
  <c r="G135" i="32"/>
  <c r="Q135" i="32" a="1"/>
  <c r="O135" i="32" a="1"/>
  <c r="AH135" i="32" a="1"/>
  <c r="AL135" i="32" a="1"/>
  <c r="AO135" i="32" a="1"/>
  <c r="W135" i="32" a="1"/>
  <c r="AR135" i="32" a="1"/>
  <c r="AD135" i="32" a="1"/>
  <c r="AU135" i="32" a="1"/>
  <c r="M135" i="32" a="1"/>
  <c r="P135" i="32" a="1"/>
  <c r="X135" i="32" a="1"/>
  <c r="AF135" i="32" a="1"/>
  <c r="D135" i="32" a="1"/>
  <c r="AP135" i="32" a="1"/>
  <c r="AC135" i="32" a="1"/>
  <c r="T135" i="32" a="1"/>
  <c r="H135" i="32" a="1"/>
  <c r="AB135" i="32" a="1"/>
  <c r="AK135" i="32" a="1"/>
  <c r="I135" i="32" a="1"/>
  <c r="S135" i="32" a="1"/>
  <c r="AN135" i="32" a="1"/>
  <c r="V135" i="32" a="1"/>
  <c r="Y135" i="32" a="1"/>
  <c r="AJ135" i="32" a="1"/>
  <c r="AQ135" i="32" a="1"/>
  <c r="R135" i="32" a="1"/>
  <c r="U135" i="32" a="1"/>
  <c r="AI135" i="32" a="1"/>
  <c r="J135" i="32" a="1"/>
  <c r="AE135" i="32" a="1"/>
  <c r="C135" i="32" a="1"/>
  <c r="AM135" i="32" a="1"/>
  <c r="K135" i="32" a="1"/>
  <c r="AS135" i="32" a="1"/>
  <c r="AG135" i="32" a="1"/>
  <c r="L135" i="32" a="1"/>
  <c r="AT135" i="32" a="1"/>
  <c r="N135" i="32" a="1"/>
  <c r="AO135" i="32" l="1"/>
  <c r="AT135" i="32"/>
  <c r="AJ135" i="32"/>
  <c r="AS135" i="32"/>
  <c r="AN135" i="32"/>
  <c r="AE135" i="32"/>
  <c r="AI135" i="32"/>
  <c r="AD135" i="32"/>
  <c r="AL135" i="32"/>
  <c r="AC135" i="32"/>
  <c r="AP135" i="32"/>
  <c r="AF135" i="32"/>
  <c r="AM135" i="32"/>
  <c r="AK135" i="32"/>
  <c r="AU135" i="32"/>
  <c r="AR135" i="32"/>
  <c r="AH135" i="32"/>
  <c r="AQ135" i="32"/>
  <c r="AG135" i="32"/>
  <c r="V135" i="32"/>
  <c r="P135" i="32"/>
  <c r="BH135" i="32" s="1"/>
  <c r="M135" i="32"/>
  <c r="BC135" i="32" s="1"/>
  <c r="U135" i="32"/>
  <c r="T135" i="32"/>
  <c r="BL135" i="32" s="1"/>
  <c r="O135" i="32"/>
  <c r="BG135" i="32" s="1"/>
  <c r="L135" i="32"/>
  <c r="Y135" i="32"/>
  <c r="BQ135" i="32" s="1"/>
  <c r="K135" i="32"/>
  <c r="BA135" i="32" s="1"/>
  <c r="S135" i="32"/>
  <c r="BK135" i="32" s="1"/>
  <c r="J135" i="32"/>
  <c r="AZ135" i="32" s="1"/>
  <c r="R135" i="32"/>
  <c r="BJ135" i="32" s="1"/>
  <c r="W135" i="32"/>
  <c r="BO135" i="32" s="1"/>
  <c r="Q135" i="32"/>
  <c r="BI135" i="32" s="1"/>
  <c r="N135" i="32"/>
  <c r="D135" i="32"/>
  <c r="BE135" i="32" s="1"/>
  <c r="X135" i="32"/>
  <c r="BP135" i="32" s="1"/>
  <c r="C135" i="32"/>
  <c r="BD135" i="32" s="1"/>
  <c r="BN135" i="32"/>
  <c r="BM135" i="32"/>
  <c r="AB135" i="32"/>
  <c r="I135" i="32"/>
  <c r="AY135" i="32" s="1"/>
  <c r="BF135" i="32"/>
  <c r="BB135" i="32"/>
  <c r="H135" i="32"/>
  <c r="AX135" i="32" s="1"/>
  <c r="G136" i="32"/>
  <c r="O136" i="32" a="1"/>
  <c r="D136" i="32" a="1"/>
  <c r="AH136" i="32" a="1"/>
  <c r="AG136" i="32" a="1"/>
  <c r="AE136" i="32" a="1"/>
  <c r="AI136" i="32" a="1"/>
  <c r="AJ136" i="32" a="1"/>
  <c r="AT136" i="32" a="1"/>
  <c r="AL136" i="32" a="1"/>
  <c r="AC136" i="32" a="1"/>
  <c r="V136" i="32" a="1"/>
  <c r="AK136" i="32" a="1"/>
  <c r="P136" i="32" a="1"/>
  <c r="AD136" i="32" a="1"/>
  <c r="Q136" i="32" a="1"/>
  <c r="AU136" i="32" a="1"/>
  <c r="L136" i="32" a="1"/>
  <c r="R136" i="32" a="1"/>
  <c r="AQ136" i="32" a="1"/>
  <c r="AR136" i="32" a="1"/>
  <c r="M136" i="32" a="1"/>
  <c r="AN136" i="32" a="1"/>
  <c r="C136" i="32" a="1"/>
  <c r="AF136" i="32" a="1"/>
  <c r="N136" i="32" a="1"/>
  <c r="AB136" i="32" a="1"/>
  <c r="T136" i="32" a="1"/>
  <c r="AO136" i="32" a="1"/>
  <c r="U136" i="32" a="1"/>
  <c r="X136" i="32" a="1"/>
  <c r="AS136" i="32" a="1"/>
  <c r="S136" i="32" a="1"/>
  <c r="I136" i="32" a="1"/>
  <c r="K136" i="32" a="1"/>
  <c r="H136" i="32" a="1"/>
  <c r="AM136" i="32" a="1"/>
  <c r="W136" i="32" a="1"/>
  <c r="AP136" i="32" a="1"/>
  <c r="Y136" i="32" a="1"/>
  <c r="J136" i="32" a="1"/>
  <c r="AS136" i="32" l="1"/>
  <c r="AJ136" i="32"/>
  <c r="AE136" i="32"/>
  <c r="AU136" i="32"/>
  <c r="AP136" i="32"/>
  <c r="AK136" i="32"/>
  <c r="AF136" i="32"/>
  <c r="AN136" i="32"/>
  <c r="AR136" i="32"/>
  <c r="AQ136" i="32"/>
  <c r="AG136" i="32"/>
  <c r="AO136" i="32"/>
  <c r="AD136" i="32"/>
  <c r="AM136" i="32"/>
  <c r="AC136" i="32"/>
  <c r="AL136" i="32"/>
  <c r="AT136" i="32"/>
  <c r="AI136" i="32"/>
  <c r="AH136" i="32"/>
  <c r="Y136" i="32"/>
  <c r="BQ136" i="32" s="1"/>
  <c r="T136" i="32"/>
  <c r="BL136" i="32" s="1"/>
  <c r="N136" i="32"/>
  <c r="BF136" i="32" s="1"/>
  <c r="K136" i="32"/>
  <c r="BA136" i="32" s="1"/>
  <c r="S136" i="32"/>
  <c r="BK136" i="32" s="1"/>
  <c r="X136" i="32"/>
  <c r="BP136" i="32" s="1"/>
  <c r="R136" i="32"/>
  <c r="BJ136" i="32" s="1"/>
  <c r="D136" i="32"/>
  <c r="BE136" i="32" s="1"/>
  <c r="J136" i="32"/>
  <c r="AZ136" i="32" s="1"/>
  <c r="W136" i="32"/>
  <c r="V136" i="32"/>
  <c r="BN136" i="32" s="1"/>
  <c r="C136" i="32"/>
  <c r="BD136" i="32" s="1"/>
  <c r="M136" i="32"/>
  <c r="BC136" i="32" s="1"/>
  <c r="U136" i="32"/>
  <c r="BM136" i="32" s="1"/>
  <c r="L136" i="32"/>
  <c r="BB136" i="32" s="1"/>
  <c r="O136" i="32"/>
  <c r="BG136" i="32" s="1"/>
  <c r="Q136" i="32"/>
  <c r="BI136" i="32" s="1"/>
  <c r="P136" i="32"/>
  <c r="BH136" i="32" s="1"/>
  <c r="BO136" i="32"/>
  <c r="AB136" i="32"/>
  <c r="I136" i="32"/>
  <c r="AY136" i="32" s="1"/>
  <c r="H136" i="32"/>
  <c r="AX136" i="32" s="1"/>
  <c r="G137" i="32"/>
  <c r="J137" i="32" a="1"/>
  <c r="V137" i="32" a="1"/>
  <c r="AO137" i="32" a="1"/>
  <c r="AL137" i="32" a="1"/>
  <c r="H137" i="32" a="1"/>
  <c r="N137" i="32" a="1"/>
  <c r="Q137" i="32" a="1"/>
  <c r="AE137" i="32" a="1"/>
  <c r="AQ137" i="32" a="1"/>
  <c r="S137" i="32" a="1"/>
  <c r="AH137" i="32" a="1"/>
  <c r="L137" i="32" a="1"/>
  <c r="AK137" i="32" a="1"/>
  <c r="AJ137" i="32" a="1"/>
  <c r="AN137" i="32" a="1"/>
  <c r="AI137" i="32" a="1"/>
  <c r="P137" i="32" a="1"/>
  <c r="AR137" i="32" a="1"/>
  <c r="AB137" i="32" a="1"/>
  <c r="R137" i="32" a="1"/>
  <c r="W137" i="32" a="1"/>
  <c r="D137" i="32" a="1"/>
  <c r="AP137" i="32" a="1"/>
  <c r="K137" i="32" a="1"/>
  <c r="AU137" i="32" a="1"/>
  <c r="AD137" i="32" a="1"/>
  <c r="X137" i="32" a="1"/>
  <c r="C137" i="32" a="1"/>
  <c r="AF137" i="32" a="1"/>
  <c r="AC137" i="32" a="1"/>
  <c r="I137" i="32" a="1"/>
  <c r="Y137" i="32" a="1"/>
  <c r="AT137" i="32" a="1"/>
  <c r="O137" i="32" a="1"/>
  <c r="AM137" i="32" a="1"/>
  <c r="U137" i="32" a="1"/>
  <c r="AS137" i="32" a="1"/>
  <c r="M137" i="32" a="1"/>
  <c r="T137" i="32" a="1"/>
  <c r="AG137" i="32" a="1"/>
  <c r="AR137" i="32" l="1"/>
  <c r="AI137" i="32"/>
  <c r="AS137" i="32"/>
  <c r="AM137" i="32"/>
  <c r="AH137" i="32"/>
  <c r="AC137" i="32"/>
  <c r="AQ137" i="32"/>
  <c r="AL137" i="32"/>
  <c r="AG137" i="32"/>
  <c r="AU137" i="32"/>
  <c r="AP137" i="32"/>
  <c r="AK137" i="32"/>
  <c r="AT137" i="32"/>
  <c r="AF137" i="32"/>
  <c r="AE137" i="32"/>
  <c r="AO137" i="32"/>
  <c r="AD137" i="32"/>
  <c r="AN137" i="32"/>
  <c r="AJ137" i="32"/>
  <c r="W137" i="32"/>
  <c r="BO137" i="32" s="1"/>
  <c r="R137" i="32"/>
  <c r="BJ137" i="32" s="1"/>
  <c r="C137" i="32"/>
  <c r="BD137" i="32" s="1"/>
  <c r="Q137" i="32"/>
  <c r="BI137" i="32" s="1"/>
  <c r="V137" i="32"/>
  <c r="BN137" i="32" s="1"/>
  <c r="P137" i="32"/>
  <c r="BH137" i="32" s="1"/>
  <c r="M137" i="32"/>
  <c r="BC137" i="32" s="1"/>
  <c r="U137" i="32"/>
  <c r="BM137" i="32" s="1"/>
  <c r="O137" i="32"/>
  <c r="BG137" i="32" s="1"/>
  <c r="Y137" i="32"/>
  <c r="BQ137" i="32" s="1"/>
  <c r="X137" i="32"/>
  <c r="BP137" i="32" s="1"/>
  <c r="N137" i="32"/>
  <c r="BF137" i="32" s="1"/>
  <c r="J137" i="32"/>
  <c r="AZ137" i="32" s="1"/>
  <c r="T137" i="32"/>
  <c r="BL137" i="32" s="1"/>
  <c r="K137" i="32"/>
  <c r="BA137" i="32" s="1"/>
  <c r="D137" i="32"/>
  <c r="BE137" i="32" s="1"/>
  <c r="L137" i="32"/>
  <c r="BB137" i="32" s="1"/>
  <c r="S137" i="32"/>
  <c r="BK137" i="32" s="1"/>
  <c r="AB137" i="32"/>
  <c r="I137" i="32"/>
  <c r="AY137" i="32" s="1"/>
  <c r="H137" i="32"/>
  <c r="AX137" i="32" s="1"/>
  <c r="G138" i="32"/>
  <c r="M138" i="32" a="1"/>
  <c r="Y138" i="32" a="1"/>
  <c r="AH138" i="32" a="1"/>
  <c r="AU138" i="32" a="1"/>
  <c r="AB138" i="32" a="1"/>
  <c r="AJ138" i="32" a="1"/>
  <c r="I138" i="32" a="1"/>
  <c r="P138" i="32" a="1"/>
  <c r="AE138" i="32" a="1"/>
  <c r="V138" i="32" a="1"/>
  <c r="AN138" i="32" a="1"/>
  <c r="K138" i="32" a="1"/>
  <c r="N138" i="32" a="1"/>
  <c r="AI138" i="32" a="1"/>
  <c r="AO138" i="32" a="1"/>
  <c r="Q138" i="32" a="1"/>
  <c r="O138" i="32" a="1"/>
  <c r="AK138" i="32" a="1"/>
  <c r="H138" i="32" a="1"/>
  <c r="R138" i="32" a="1"/>
  <c r="AG138" i="32" a="1"/>
  <c r="U138" i="32" a="1"/>
  <c r="W138" i="32" a="1"/>
  <c r="AT138" i="32" a="1"/>
  <c r="AF138" i="32" a="1"/>
  <c r="T138" i="32" a="1"/>
  <c r="AR138" i="32" a="1"/>
  <c r="J138" i="32" a="1"/>
  <c r="L138" i="32" a="1"/>
  <c r="AL138" i="32" a="1"/>
  <c r="AP138" i="32" a="1"/>
  <c r="D138" i="32" a="1"/>
  <c r="S138" i="32" a="1"/>
  <c r="AD138" i="32" a="1"/>
  <c r="AQ138" i="32" a="1"/>
  <c r="AM138" i="32" a="1"/>
  <c r="X138" i="32" a="1"/>
  <c r="AC138" i="32" a="1"/>
  <c r="AS138" i="32" a="1"/>
  <c r="C138" i="32" a="1"/>
  <c r="AR138" i="32" l="1"/>
  <c r="AI138" i="32"/>
  <c r="AM138" i="32"/>
  <c r="AD138" i="32"/>
  <c r="AE138" i="32"/>
  <c r="AP138" i="32"/>
  <c r="AJ138" i="32"/>
  <c r="AU138" i="32"/>
  <c r="AO138" i="32"/>
  <c r="AC138" i="32"/>
  <c r="AT138" i="32"/>
  <c r="AN138" i="32"/>
  <c r="AG138" i="32"/>
  <c r="AL138" i="32"/>
  <c r="AK138" i="32"/>
  <c r="AH138" i="32"/>
  <c r="AS138" i="32"/>
  <c r="AF138" i="32"/>
  <c r="AQ138" i="32"/>
  <c r="U138" i="32"/>
  <c r="BM138" i="32" s="1"/>
  <c r="P138" i="32"/>
  <c r="BH138" i="32" s="1"/>
  <c r="L138" i="32"/>
  <c r="BB138" i="32" s="1"/>
  <c r="O138" i="32"/>
  <c r="BG138" i="32" s="1"/>
  <c r="Y138" i="32"/>
  <c r="BQ138" i="32" s="1"/>
  <c r="T138" i="32"/>
  <c r="N138" i="32"/>
  <c r="BF138" i="32" s="1"/>
  <c r="K138" i="32"/>
  <c r="BA138" i="32" s="1"/>
  <c r="S138" i="32"/>
  <c r="BK138" i="32" s="1"/>
  <c r="R138" i="32"/>
  <c r="BJ138" i="32" s="1"/>
  <c r="J138" i="32"/>
  <c r="AZ138" i="32" s="1"/>
  <c r="Q138" i="32"/>
  <c r="BI138" i="32" s="1"/>
  <c r="M138" i="32"/>
  <c r="BC138" i="32" s="1"/>
  <c r="C138" i="32"/>
  <c r="BD138" i="32" s="1"/>
  <c r="X138" i="32"/>
  <c r="W138" i="32"/>
  <c r="V138" i="32"/>
  <c r="BN138" i="32" s="1"/>
  <c r="D138" i="32"/>
  <c r="BE138" i="32" s="1"/>
  <c r="BP138" i="32"/>
  <c r="BO138" i="32"/>
  <c r="BL138" i="32"/>
  <c r="AB138" i="32"/>
  <c r="I138" i="32"/>
  <c r="AY138" i="32" s="1"/>
  <c r="H138" i="32"/>
  <c r="AX138" i="32" s="1"/>
  <c r="G139" i="32"/>
  <c r="O139" i="32" a="1"/>
  <c r="C139" i="32" a="1"/>
  <c r="AF139" i="32" a="1"/>
  <c r="AI139" i="32" a="1"/>
  <c r="AQ139" i="32" a="1"/>
  <c r="AN139" i="32" a="1"/>
  <c r="J139" i="32" a="1"/>
  <c r="M139" i="32" a="1"/>
  <c r="I139" i="32" a="1"/>
  <c r="V139" i="32" a="1"/>
  <c r="X139" i="32" a="1"/>
  <c r="Y139" i="32" a="1"/>
  <c r="R139" i="32" a="1"/>
  <c r="AG139" i="32" a="1"/>
  <c r="AT139" i="32" a="1"/>
  <c r="AH139" i="32" a="1"/>
  <c r="T139" i="32" a="1"/>
  <c r="AU139" i="32" a="1"/>
  <c r="U139" i="32" a="1"/>
  <c r="AD139" i="32" a="1"/>
  <c r="AP139" i="32" a="1"/>
  <c r="P139" i="32" a="1"/>
  <c r="AR139" i="32" a="1"/>
  <c r="AS139" i="32" a="1"/>
  <c r="L139" i="32" a="1"/>
  <c r="W139" i="32" a="1"/>
  <c r="AK139" i="32" a="1"/>
  <c r="AO139" i="32" a="1"/>
  <c r="AM139" i="32" a="1"/>
  <c r="D139" i="32" a="1"/>
  <c r="H139" i="32" a="1"/>
  <c r="AE139" i="32" a="1"/>
  <c r="AB139" i="32" a="1"/>
  <c r="N139" i="32" a="1"/>
  <c r="AJ139" i="32" a="1"/>
  <c r="S139" i="32" a="1"/>
  <c r="AC139" i="32" a="1"/>
  <c r="K139" i="32" a="1"/>
  <c r="Q139" i="32" a="1"/>
  <c r="AL139" i="32" a="1"/>
  <c r="AM139" i="32" l="1"/>
  <c r="AH139" i="32"/>
  <c r="AQ139" i="32"/>
  <c r="AL139" i="32"/>
  <c r="AC139" i="32"/>
  <c r="AJ139" i="32"/>
  <c r="AD139" i="32"/>
  <c r="AU139" i="32"/>
  <c r="AO139" i="32"/>
  <c r="AT139" i="32"/>
  <c r="AI139" i="32"/>
  <c r="AS139" i="32"/>
  <c r="AR139" i="32"/>
  <c r="AP139" i="32"/>
  <c r="AE139" i="32"/>
  <c r="AN139" i="32"/>
  <c r="AK139" i="32"/>
  <c r="AG139" i="32"/>
  <c r="AF139" i="32"/>
  <c r="X139" i="32"/>
  <c r="S139" i="32"/>
  <c r="BK139" i="32" s="1"/>
  <c r="N139" i="32"/>
  <c r="BF139" i="32" s="1"/>
  <c r="J139" i="32"/>
  <c r="AZ139" i="32" s="1"/>
  <c r="D139" i="32"/>
  <c r="BE139" i="32" s="1"/>
  <c r="W139" i="32"/>
  <c r="R139" i="32"/>
  <c r="BJ139" i="32" s="1"/>
  <c r="C139" i="32"/>
  <c r="BD139" i="32" s="1"/>
  <c r="Q139" i="32"/>
  <c r="BI139" i="32" s="1"/>
  <c r="V139" i="32"/>
  <c r="BN139" i="32" s="1"/>
  <c r="M139" i="32"/>
  <c r="BC139" i="32" s="1"/>
  <c r="U139" i="32"/>
  <c r="BM139" i="32" s="1"/>
  <c r="T139" i="32"/>
  <c r="BL139" i="32" s="1"/>
  <c r="L139" i="32"/>
  <c r="Y139" i="32"/>
  <c r="BQ139" i="32" s="1"/>
  <c r="O139" i="32"/>
  <c r="BG139" i="32" s="1"/>
  <c r="K139" i="32"/>
  <c r="BA139" i="32" s="1"/>
  <c r="P139" i="32"/>
  <c r="BH139" i="32" s="1"/>
  <c r="BP139" i="32"/>
  <c r="BO139" i="32"/>
  <c r="AB139" i="32"/>
  <c r="BB139" i="32"/>
  <c r="I139" i="32"/>
  <c r="AY139" i="32" s="1"/>
  <c r="H139" i="32"/>
  <c r="AX139" i="32" s="1"/>
  <c r="G140" i="32"/>
  <c r="T140" i="32" a="1"/>
  <c r="R140" i="32" a="1"/>
  <c r="AE140" i="32" a="1"/>
  <c r="AH140" i="32" a="1"/>
  <c r="AU140" i="32" a="1"/>
  <c r="Y140" i="32" a="1"/>
  <c r="AM140" i="32" a="1"/>
  <c r="AB140" i="32" a="1"/>
  <c r="V140" i="32" a="1"/>
  <c r="AT140" i="32" a="1"/>
  <c r="L140" i="32" a="1"/>
  <c r="AG140" i="32" a="1"/>
  <c r="Q140" i="32" a="1"/>
  <c r="AP140" i="32" a="1"/>
  <c r="K140" i="32" a="1"/>
  <c r="AJ140" i="32" a="1"/>
  <c r="C140" i="32" a="1"/>
  <c r="N140" i="32" a="1"/>
  <c r="AQ140" i="32" a="1"/>
  <c r="O140" i="32" a="1"/>
  <c r="H140" i="32" a="1"/>
  <c r="S140" i="32" a="1"/>
  <c r="U140" i="32" a="1"/>
  <c r="AR140" i="32" a="1"/>
  <c r="AD140" i="32" a="1"/>
  <c r="P140" i="32" a="1"/>
  <c r="M140" i="32" a="1"/>
  <c r="AN140" i="32" a="1"/>
  <c r="AK140" i="32" a="1"/>
  <c r="I140" i="32" a="1"/>
  <c r="AF140" i="32" a="1"/>
  <c r="J140" i="32" a="1"/>
  <c r="AO140" i="32" a="1"/>
  <c r="W140" i="32" a="1"/>
  <c r="AI140" i="32" a="1"/>
  <c r="X140" i="32" a="1"/>
  <c r="AC140" i="32" a="1"/>
  <c r="D140" i="32" a="1"/>
  <c r="AS140" i="32" a="1"/>
  <c r="AL140" i="32" a="1"/>
  <c r="AU140" i="32" l="1"/>
  <c r="AL140" i="32"/>
  <c r="AC140" i="32"/>
  <c r="AP140" i="32"/>
  <c r="AG140" i="32"/>
  <c r="AT140" i="32"/>
  <c r="AK140" i="32"/>
  <c r="AQ140" i="32"/>
  <c r="AH140" i="32"/>
  <c r="AS140" i="32"/>
  <c r="AJ140" i="32"/>
  <c r="AI140" i="32"/>
  <c r="AO140" i="32"/>
  <c r="AF140" i="32"/>
  <c r="AN140" i="32"/>
  <c r="AM140" i="32"/>
  <c r="AE140" i="32"/>
  <c r="AD140" i="32"/>
  <c r="AR140" i="32"/>
  <c r="W140" i="32"/>
  <c r="BO140" i="32" s="1"/>
  <c r="S140" i="32"/>
  <c r="BK140" i="32" s="1"/>
  <c r="O140" i="32"/>
  <c r="BG140" i="32" s="1"/>
  <c r="M140" i="32"/>
  <c r="BC140" i="32" s="1"/>
  <c r="Y140" i="32"/>
  <c r="BQ140" i="32" s="1"/>
  <c r="R140" i="32"/>
  <c r="BJ140" i="32" s="1"/>
  <c r="C140" i="32"/>
  <c r="BD140" i="32" s="1"/>
  <c r="X140" i="32"/>
  <c r="BP140" i="32" s="1"/>
  <c r="Q140" i="32"/>
  <c r="BI140" i="32" s="1"/>
  <c r="L140" i="32"/>
  <c r="BB140" i="32" s="1"/>
  <c r="V140" i="32"/>
  <c r="BN140" i="32" s="1"/>
  <c r="P140" i="32"/>
  <c r="BH140" i="32" s="1"/>
  <c r="N140" i="32"/>
  <c r="BF140" i="32" s="1"/>
  <c r="T140" i="32"/>
  <c r="BL140" i="32" s="1"/>
  <c r="D140" i="32"/>
  <c r="BE140" i="32" s="1"/>
  <c r="K140" i="32"/>
  <c r="BA140" i="32" s="1"/>
  <c r="U140" i="32"/>
  <c r="J140" i="32"/>
  <c r="AZ140" i="32" s="1"/>
  <c r="BM140" i="32"/>
  <c r="AB140" i="32"/>
  <c r="I140" i="32"/>
  <c r="AY140" i="32" s="1"/>
  <c r="H140" i="32"/>
  <c r="AX140" i="32" s="1"/>
  <c r="G141" i="32"/>
  <c r="J141" i="32" a="1"/>
  <c r="S141" i="32" a="1"/>
  <c r="AD141" i="32" a="1"/>
  <c r="AC141" i="32" a="1"/>
  <c r="AG141" i="32" a="1"/>
  <c r="AL141" i="32" a="1"/>
  <c r="AM141" i="32" a="1"/>
  <c r="AE141" i="32" a="1"/>
  <c r="M141" i="32" a="1"/>
  <c r="AO141" i="32" a="1"/>
  <c r="O141" i="32" a="1"/>
  <c r="AF141" i="32" a="1"/>
  <c r="Y141" i="32" a="1"/>
  <c r="C141" i="32" a="1"/>
  <c r="AT141" i="32" a="1"/>
  <c r="V141" i="32" a="1"/>
  <c r="N141" i="32" a="1"/>
  <c r="AH141" i="32" a="1"/>
  <c r="AP141" i="32" a="1"/>
  <c r="AU141" i="32" a="1"/>
  <c r="D141" i="32" a="1"/>
  <c r="H141" i="32" a="1"/>
  <c r="Q141" i="32" a="1"/>
  <c r="AB141" i="32" a="1"/>
  <c r="U141" i="32" a="1"/>
  <c r="P141" i="32" a="1"/>
  <c r="AR141" i="32" a="1"/>
  <c r="AQ141" i="32" a="1"/>
  <c r="L141" i="32" a="1"/>
  <c r="K141" i="32" a="1"/>
  <c r="I141" i="32" a="1"/>
  <c r="W141" i="32" a="1"/>
  <c r="AJ141" i="32" a="1"/>
  <c r="AN141" i="32" a="1"/>
  <c r="R141" i="32" a="1"/>
  <c r="AI141" i="32" a="1"/>
  <c r="X141" i="32" a="1"/>
  <c r="AK141" i="32" a="1"/>
  <c r="AS141" i="32" a="1"/>
  <c r="T141" i="32" a="1"/>
  <c r="AP141" i="32" l="1"/>
  <c r="AG141" i="32"/>
  <c r="AT141" i="32"/>
  <c r="AK141" i="32"/>
  <c r="AF141" i="32"/>
  <c r="AO141" i="32"/>
  <c r="AJ141" i="32"/>
  <c r="AU141" i="32"/>
  <c r="AL141" i="32"/>
  <c r="AC141" i="32"/>
  <c r="AS141" i="32"/>
  <c r="AR141" i="32"/>
  <c r="AI141" i="32"/>
  <c r="AN141" i="32"/>
  <c r="AE141" i="32"/>
  <c r="AM141" i="32"/>
  <c r="AH141" i="32"/>
  <c r="AD141" i="32"/>
  <c r="AQ141" i="32"/>
  <c r="Y141" i="32"/>
  <c r="BQ141" i="32" s="1"/>
  <c r="U141" i="32"/>
  <c r="BM141" i="32" s="1"/>
  <c r="Q141" i="32"/>
  <c r="BI141" i="32" s="1"/>
  <c r="D141" i="32"/>
  <c r="BE141" i="32" s="1"/>
  <c r="K141" i="32"/>
  <c r="BA141" i="32" s="1"/>
  <c r="N141" i="32"/>
  <c r="BF141" i="32" s="1"/>
  <c r="S141" i="32"/>
  <c r="BK141" i="32" s="1"/>
  <c r="C141" i="32"/>
  <c r="BD141" i="32" s="1"/>
  <c r="X141" i="32"/>
  <c r="R141" i="32"/>
  <c r="BJ141" i="32" s="1"/>
  <c r="M141" i="32"/>
  <c r="BC141" i="32" s="1"/>
  <c r="W141" i="32"/>
  <c r="BO141" i="32" s="1"/>
  <c r="L141" i="32"/>
  <c r="BB141" i="32" s="1"/>
  <c r="V141" i="32"/>
  <c r="J141" i="32"/>
  <c r="AZ141" i="32" s="1"/>
  <c r="T141" i="32"/>
  <c r="BL141" i="32" s="1"/>
  <c r="P141" i="32"/>
  <c r="BH141" i="32" s="1"/>
  <c r="O141" i="32"/>
  <c r="BG141" i="32" s="1"/>
  <c r="BN141" i="32"/>
  <c r="BP141" i="32"/>
  <c r="AB141" i="32"/>
  <c r="I141" i="32"/>
  <c r="AY141" i="32" s="1"/>
  <c r="H141" i="32"/>
  <c r="AX141" i="32" s="1"/>
  <c r="G142" i="32"/>
  <c r="L142" i="32" a="1"/>
  <c r="J142" i="32" a="1"/>
  <c r="AU142" i="32" a="1"/>
  <c r="AR142" i="32" a="1"/>
  <c r="AO142" i="32" a="1"/>
  <c r="O142" i="32" a="1"/>
  <c r="AN142" i="32" a="1"/>
  <c r="S142" i="32" a="1"/>
  <c r="AJ142" i="32" a="1"/>
  <c r="W142" i="32" a="1"/>
  <c r="AM142" i="32" a="1"/>
  <c r="X142" i="32" a="1"/>
  <c r="N142" i="32" a="1"/>
  <c r="AC142" i="32" a="1"/>
  <c r="AK142" i="32" a="1"/>
  <c r="AT142" i="32" a="1"/>
  <c r="K142" i="32" a="1"/>
  <c r="U142" i="32" a="1"/>
  <c r="AD142" i="32" a="1"/>
  <c r="AP142" i="32" a="1"/>
  <c r="I142" i="32" a="1"/>
  <c r="Q142" i="32" a="1"/>
  <c r="M142" i="32" a="1"/>
  <c r="AG142" i="32" a="1"/>
  <c r="AE142" i="32" a="1"/>
  <c r="AB142" i="32" a="1"/>
  <c r="R142" i="32" a="1"/>
  <c r="AL142" i="32" a="1"/>
  <c r="H142" i="32" a="1"/>
  <c r="C142" i="32" a="1"/>
  <c r="AH142" i="32" a="1"/>
  <c r="D142" i="32" a="1"/>
  <c r="AS142" i="32" a="1"/>
  <c r="V142" i="32" a="1"/>
  <c r="AF142" i="32" a="1"/>
  <c r="Y142" i="32" a="1"/>
  <c r="AQ142" i="32" a="1"/>
  <c r="AI142" i="32" a="1"/>
  <c r="P142" i="32" a="1"/>
  <c r="T142" i="32" a="1"/>
  <c r="AT142" i="32" l="1"/>
  <c r="AO142" i="32"/>
  <c r="AF142" i="32"/>
  <c r="AS142" i="32"/>
  <c r="AJ142" i="32"/>
  <c r="AN142" i="32"/>
  <c r="AE142" i="32"/>
  <c r="AP142" i="32"/>
  <c r="AK142" i="32"/>
  <c r="AR142" i="32"/>
  <c r="AI142" i="32"/>
  <c r="AQ142" i="32"/>
  <c r="AH142" i="32"/>
  <c r="AL142" i="32"/>
  <c r="AG142" i="32"/>
  <c r="AD142" i="32"/>
  <c r="AC142" i="32"/>
  <c r="AU142" i="32"/>
  <c r="AM142" i="32"/>
  <c r="W142" i="32"/>
  <c r="S142" i="32"/>
  <c r="BK142" i="32" s="1"/>
  <c r="O142" i="32"/>
  <c r="BG142" i="32" s="1"/>
  <c r="M142" i="32"/>
  <c r="BC142" i="32" s="1"/>
  <c r="U142" i="32"/>
  <c r="BM142" i="32" s="1"/>
  <c r="N142" i="32"/>
  <c r="J142" i="32"/>
  <c r="AZ142" i="32" s="1"/>
  <c r="T142" i="32"/>
  <c r="BL142" i="32" s="1"/>
  <c r="D142" i="32"/>
  <c r="BE142" i="32" s="1"/>
  <c r="Y142" i="32"/>
  <c r="BQ142" i="32" s="1"/>
  <c r="R142" i="32"/>
  <c r="BJ142" i="32" s="1"/>
  <c r="Q142" i="32"/>
  <c r="BI142" i="32" s="1"/>
  <c r="K142" i="32"/>
  <c r="BA142" i="32" s="1"/>
  <c r="X142" i="32"/>
  <c r="L142" i="32"/>
  <c r="V142" i="32"/>
  <c r="BN142" i="32" s="1"/>
  <c r="P142" i="32"/>
  <c r="BH142" i="32" s="1"/>
  <c r="C142" i="32"/>
  <c r="BD142" i="32" s="1"/>
  <c r="BP142" i="32"/>
  <c r="BO142" i="32"/>
  <c r="AB142" i="32"/>
  <c r="BF142" i="32"/>
  <c r="I142" i="32"/>
  <c r="AY142" i="32" s="1"/>
  <c r="BB142" i="32"/>
  <c r="H142" i="32"/>
  <c r="AX142" i="32" s="1"/>
  <c r="G143" i="32"/>
  <c r="R143" i="32" a="1"/>
  <c r="O143" i="32" a="1"/>
  <c r="AL143" i="32" a="1"/>
  <c r="AQ143" i="32" a="1"/>
  <c r="AN143" i="32" a="1"/>
  <c r="L143" i="32" a="1"/>
  <c r="AF143" i="32" a="1"/>
  <c r="X143" i="32" a="1"/>
  <c r="K143" i="32" a="1"/>
  <c r="AO143" i="32" a="1"/>
  <c r="D143" i="32" a="1"/>
  <c r="AD143" i="32" a="1"/>
  <c r="N143" i="32" a="1"/>
  <c r="AM143" i="32" a="1"/>
  <c r="H143" i="32" a="1"/>
  <c r="AE143" i="32" a="1"/>
  <c r="P143" i="32" a="1"/>
  <c r="V143" i="32" a="1"/>
  <c r="AT143" i="32" a="1"/>
  <c r="AH143" i="32" a="1"/>
  <c r="AJ143" i="32" a="1"/>
  <c r="M143" i="32" a="1"/>
  <c r="AU143" i="32" a="1"/>
  <c r="AS143" i="32" a="1"/>
  <c r="AC143" i="32" a="1"/>
  <c r="I143" i="32" a="1"/>
  <c r="C143" i="32" a="1"/>
  <c r="AK143" i="32" a="1"/>
  <c r="AB143" i="32" a="1"/>
  <c r="Q143" i="32" a="1"/>
  <c r="AI143" i="32" a="1"/>
  <c r="AG143" i="32" a="1"/>
  <c r="S143" i="32" a="1"/>
  <c r="T143" i="32" a="1"/>
  <c r="U143" i="32" a="1"/>
  <c r="AR143" i="32" a="1"/>
  <c r="W143" i="32" a="1"/>
  <c r="J143" i="32" a="1"/>
  <c r="Y143" i="32" a="1"/>
  <c r="AP143" i="32" a="1"/>
  <c r="AS143" i="32" l="1"/>
  <c r="AJ143" i="32"/>
  <c r="AN143" i="32"/>
  <c r="AE143" i="32"/>
  <c r="AR143" i="32"/>
  <c r="AI143" i="32"/>
  <c r="AD143" i="32"/>
  <c r="AO143" i="32"/>
  <c r="AF143" i="32"/>
  <c r="AH143" i="32"/>
  <c r="AQ143" i="32"/>
  <c r="AP143" i="32"/>
  <c r="AG143" i="32"/>
  <c r="AM143" i="32"/>
  <c r="AK143" i="32"/>
  <c r="AC143" i="32"/>
  <c r="AU143" i="32"/>
  <c r="AT143" i="32"/>
  <c r="AL143" i="32"/>
  <c r="Y143" i="32"/>
  <c r="BQ143" i="32" s="1"/>
  <c r="U143" i="32"/>
  <c r="Q143" i="32"/>
  <c r="BI143" i="32" s="1"/>
  <c r="D143" i="32"/>
  <c r="BE143" i="32" s="1"/>
  <c r="K143" i="32"/>
  <c r="BA143" i="32" s="1"/>
  <c r="L143" i="32"/>
  <c r="BB143" i="32" s="1"/>
  <c r="V143" i="32"/>
  <c r="BN143" i="32" s="1"/>
  <c r="O143" i="32"/>
  <c r="BG143" i="32" s="1"/>
  <c r="J143" i="32"/>
  <c r="AZ143" i="32" s="1"/>
  <c r="T143" i="32"/>
  <c r="BL143" i="32" s="1"/>
  <c r="N143" i="32"/>
  <c r="BF143" i="32" s="1"/>
  <c r="C143" i="32"/>
  <c r="BD143" i="32" s="1"/>
  <c r="X143" i="32"/>
  <c r="BP143" i="32" s="1"/>
  <c r="M143" i="32"/>
  <c r="BC143" i="32" s="1"/>
  <c r="P143" i="32"/>
  <c r="BH143" i="32" s="1"/>
  <c r="R143" i="32"/>
  <c r="BJ143" i="32" s="1"/>
  <c r="W143" i="32"/>
  <c r="BO143" i="32" s="1"/>
  <c r="S143" i="32"/>
  <c r="BK143" i="32" s="1"/>
  <c r="BM143" i="32"/>
  <c r="AB143" i="32"/>
  <c r="I143" i="32"/>
  <c r="AY143" i="32" s="1"/>
  <c r="H143" i="32"/>
  <c r="AX143" i="32" s="1"/>
  <c r="G144" i="32"/>
  <c r="R144" i="32" a="1"/>
  <c r="L144" i="32" a="1"/>
  <c r="AT144" i="32" a="1"/>
  <c r="AE144" i="32" a="1"/>
  <c r="AI144" i="32" a="1"/>
  <c r="AJ144" i="32" a="1"/>
  <c r="AS144" i="32" a="1"/>
  <c r="N144" i="32" a="1"/>
  <c r="I144" i="32" a="1"/>
  <c r="U144" i="32" a="1"/>
  <c r="AQ144" i="32" a="1"/>
  <c r="S144" i="32" a="1"/>
  <c r="P144" i="32" a="1"/>
  <c r="AM144" i="32" a="1"/>
  <c r="C144" i="32" a="1"/>
  <c r="AR144" i="32" a="1"/>
  <c r="T144" i="32" a="1"/>
  <c r="Q144" i="32" a="1"/>
  <c r="AF144" i="32" a="1"/>
  <c r="AN144" i="32" a="1"/>
  <c r="AC144" i="32" a="1"/>
  <c r="O144" i="32" a="1"/>
  <c r="AB144" i="32" a="1"/>
  <c r="D144" i="32" a="1"/>
  <c r="AD144" i="32" a="1"/>
  <c r="W144" i="32" a="1"/>
  <c r="V144" i="32" a="1"/>
  <c r="J144" i="32" a="1"/>
  <c r="X144" i="32" a="1"/>
  <c r="AK144" i="32" a="1"/>
  <c r="H144" i="32" a="1"/>
  <c r="M144" i="32" a="1"/>
  <c r="AH144" i="32" a="1"/>
  <c r="AL144" i="32" a="1"/>
  <c r="K144" i="32" a="1"/>
  <c r="Y144" i="32" a="1"/>
  <c r="AG144" i="32" a="1"/>
  <c r="AO144" i="32" a="1"/>
  <c r="AU144" i="32" a="1"/>
  <c r="AP144" i="32" a="1"/>
  <c r="AN144" i="32" l="1"/>
  <c r="AI144" i="32"/>
  <c r="AR144" i="32"/>
  <c r="AM144" i="32"/>
  <c r="AD144" i="32"/>
  <c r="AQ144" i="32"/>
  <c r="AH144" i="32"/>
  <c r="AS144" i="32"/>
  <c r="AJ144" i="32"/>
  <c r="AE144" i="32"/>
  <c r="AP144" i="32"/>
  <c r="AG144" i="32"/>
  <c r="AU144" i="32"/>
  <c r="AL144" i="32"/>
  <c r="AC144" i="32"/>
  <c r="AK144" i="32"/>
  <c r="AF144" i="32"/>
  <c r="AT144" i="32"/>
  <c r="AO144" i="32"/>
  <c r="W144" i="32"/>
  <c r="BO144" i="32" s="1"/>
  <c r="S144" i="32"/>
  <c r="BK144" i="32" s="1"/>
  <c r="O144" i="32"/>
  <c r="BG144" i="32" s="1"/>
  <c r="M144" i="32"/>
  <c r="BC144" i="32" s="1"/>
  <c r="X144" i="32"/>
  <c r="BP144" i="32" s="1"/>
  <c r="Q144" i="32"/>
  <c r="BI144" i="32" s="1"/>
  <c r="L144" i="32"/>
  <c r="V144" i="32"/>
  <c r="P144" i="32"/>
  <c r="BH144" i="32" s="1"/>
  <c r="K144" i="32"/>
  <c r="BA144" i="32" s="1"/>
  <c r="U144" i="32"/>
  <c r="BM144" i="32" s="1"/>
  <c r="N144" i="32"/>
  <c r="BF144" i="32" s="1"/>
  <c r="J144" i="32"/>
  <c r="AZ144" i="32" s="1"/>
  <c r="T144" i="32"/>
  <c r="R144" i="32"/>
  <c r="BJ144" i="32" s="1"/>
  <c r="C144" i="32"/>
  <c r="BD144" i="32" s="1"/>
  <c r="Y144" i="32"/>
  <c r="BQ144" i="32" s="1"/>
  <c r="D144" i="32"/>
  <c r="BE144" i="32" s="1"/>
  <c r="BN144" i="32"/>
  <c r="BL144" i="32"/>
  <c r="AB144" i="32"/>
  <c r="I144" i="32"/>
  <c r="AY144" i="32" s="1"/>
  <c r="BB144" i="32"/>
  <c r="H144" i="32"/>
  <c r="AX144" i="32" s="1"/>
  <c r="G145" i="32"/>
  <c r="P145" i="32" a="1"/>
  <c r="V145" i="32" a="1"/>
  <c r="S145" i="32" a="1"/>
  <c r="AO145" i="32" a="1"/>
  <c r="AU145" i="32" a="1"/>
  <c r="AF145" i="32" a="1"/>
  <c r="AN145" i="32" a="1"/>
  <c r="AS145" i="32" a="1"/>
  <c r="N145" i="32" a="1"/>
  <c r="AC145" i="32" a="1"/>
  <c r="L145" i="32" a="1"/>
  <c r="J145" i="32" a="1"/>
  <c r="O145" i="32" a="1"/>
  <c r="X145" i="32" a="1"/>
  <c r="AH145" i="32" a="1"/>
  <c r="K145" i="32" a="1"/>
  <c r="AD145" i="32" a="1"/>
  <c r="R145" i="32" a="1"/>
  <c r="AI145" i="32" a="1"/>
  <c r="C145" i="32" a="1"/>
  <c r="AB145" i="32" a="1"/>
  <c r="AE145" i="32" a="1"/>
  <c r="AJ145" i="32" a="1"/>
  <c r="Y145" i="32" a="1"/>
  <c r="T145" i="32" a="1"/>
  <c r="AK145" i="32" a="1"/>
  <c r="AG145" i="32" a="1"/>
  <c r="AQ145" i="32" a="1"/>
  <c r="Q145" i="32" a="1"/>
  <c r="AP145" i="32" a="1"/>
  <c r="M145" i="32" a="1"/>
  <c r="AM145" i="32" a="1"/>
  <c r="AT145" i="32" a="1"/>
  <c r="U145" i="32" a="1"/>
  <c r="I145" i="32" a="1"/>
  <c r="D145" i="32" a="1"/>
  <c r="H145" i="32" a="1"/>
  <c r="AR145" i="32" a="1"/>
  <c r="W145" i="32" a="1"/>
  <c r="AL145" i="32" a="1"/>
  <c r="AM145" i="32" l="1"/>
  <c r="AD145" i="32"/>
  <c r="AQ145" i="32"/>
  <c r="AH145" i="32"/>
  <c r="AU145" i="32"/>
  <c r="AL145" i="32"/>
  <c r="AC145" i="32"/>
  <c r="AR145" i="32"/>
  <c r="AI145" i="32"/>
  <c r="AP145" i="32"/>
  <c r="AG145" i="32"/>
  <c r="AF145" i="32"/>
  <c r="AO145" i="32"/>
  <c r="AJ145" i="32"/>
  <c r="AE145" i="32"/>
  <c r="AT145" i="32"/>
  <c r="AS145" i="32"/>
  <c r="AN145" i="32"/>
  <c r="AK145" i="32"/>
  <c r="X145" i="32"/>
  <c r="BP145" i="32" s="1"/>
  <c r="S145" i="32"/>
  <c r="BK145" i="32" s="1"/>
  <c r="L145" i="32"/>
  <c r="BB145" i="32" s="1"/>
  <c r="W145" i="32"/>
  <c r="BO145" i="32" s="1"/>
  <c r="N145" i="32"/>
  <c r="BF145" i="32" s="1"/>
  <c r="R145" i="32"/>
  <c r="BJ145" i="32" s="1"/>
  <c r="K145" i="32"/>
  <c r="BA145" i="32" s="1"/>
  <c r="T145" i="32"/>
  <c r="BL145" i="32" s="1"/>
  <c r="O145" i="32"/>
  <c r="BG145" i="32" s="1"/>
  <c r="V145" i="32"/>
  <c r="D145" i="32"/>
  <c r="BE145" i="32" s="1"/>
  <c r="U145" i="32"/>
  <c r="BM145" i="32" s="1"/>
  <c r="C145" i="32"/>
  <c r="BD145" i="32" s="1"/>
  <c r="M145" i="32"/>
  <c r="BC145" i="32" s="1"/>
  <c r="Q145" i="32"/>
  <c r="BI145" i="32" s="1"/>
  <c r="Y145" i="32"/>
  <c r="BQ145" i="32" s="1"/>
  <c r="J145" i="32"/>
  <c r="AZ145" i="32" s="1"/>
  <c r="P145" i="32"/>
  <c r="BH145" i="32" s="1"/>
  <c r="BN145" i="32"/>
  <c r="AB145" i="32"/>
  <c r="I145" i="32"/>
  <c r="AY145" i="32" s="1"/>
  <c r="H145" i="32"/>
  <c r="AX145" i="32" s="1"/>
  <c r="G146" i="32"/>
  <c r="Q146" i="32" a="1"/>
  <c r="K146" i="32" a="1"/>
  <c r="AN146" i="32" a="1"/>
  <c r="AF146" i="32" a="1"/>
  <c r="AM146" i="32" a="1"/>
  <c r="U146" i="32" a="1"/>
  <c r="AL146" i="32" a="1"/>
  <c r="AK146" i="32" a="1"/>
  <c r="D146" i="32" a="1"/>
  <c r="P146" i="32" a="1"/>
  <c r="AC146" i="32" a="1"/>
  <c r="Y146" i="32" a="1"/>
  <c r="R146" i="32" a="1"/>
  <c r="N146" i="32" a="1"/>
  <c r="AT146" i="32" a="1"/>
  <c r="AD146" i="32" a="1"/>
  <c r="AR146" i="32" a="1"/>
  <c r="AB146" i="32" a="1"/>
  <c r="L146" i="32" a="1"/>
  <c r="H146" i="32" a="1"/>
  <c r="S146" i="32" a="1"/>
  <c r="I146" i="32" a="1"/>
  <c r="AG146" i="32" a="1"/>
  <c r="AO146" i="32" a="1"/>
  <c r="T146" i="32" a="1"/>
  <c r="AH146" i="32" a="1"/>
  <c r="C146" i="32" a="1"/>
  <c r="W146" i="32" a="1"/>
  <c r="AU146" i="32" a="1"/>
  <c r="AS146" i="32" a="1"/>
  <c r="AI146" i="32" a="1"/>
  <c r="V146" i="32" a="1"/>
  <c r="AQ146" i="32" a="1"/>
  <c r="O146" i="32" a="1"/>
  <c r="X146" i="32" a="1"/>
  <c r="AJ146" i="32" a="1"/>
  <c r="J146" i="32" a="1"/>
  <c r="AE146" i="32" a="1"/>
  <c r="M146" i="32" a="1"/>
  <c r="AP146" i="32" a="1"/>
  <c r="AR146" i="32" l="1"/>
  <c r="AM146" i="32"/>
  <c r="AH146" i="32"/>
  <c r="AC146" i="32"/>
  <c r="AG146" i="32"/>
  <c r="AQ146" i="32"/>
  <c r="AL146" i="32"/>
  <c r="AS146" i="32"/>
  <c r="AD146" i="32"/>
  <c r="AF146" i="32"/>
  <c r="AP146" i="32"/>
  <c r="AO146" i="32"/>
  <c r="AE146" i="32"/>
  <c r="AK146" i="32"/>
  <c r="AI146" i="32"/>
  <c r="AU146" i="32"/>
  <c r="AT146" i="32"/>
  <c r="AN146" i="32"/>
  <c r="AJ146" i="32"/>
  <c r="X146" i="32"/>
  <c r="O146" i="32"/>
  <c r="BG146" i="32" s="1"/>
  <c r="S146" i="32"/>
  <c r="BK146" i="32" s="1"/>
  <c r="L146" i="32"/>
  <c r="BB146" i="32" s="1"/>
  <c r="W146" i="32"/>
  <c r="BO146" i="32" s="1"/>
  <c r="N146" i="32"/>
  <c r="K146" i="32"/>
  <c r="BA146" i="32" s="1"/>
  <c r="T146" i="32"/>
  <c r="BL146" i="32" s="1"/>
  <c r="M146" i="32"/>
  <c r="BC146" i="32" s="1"/>
  <c r="D146" i="32"/>
  <c r="BE146" i="32" s="1"/>
  <c r="V146" i="32"/>
  <c r="BN146" i="32" s="1"/>
  <c r="U146" i="32"/>
  <c r="BM146" i="32" s="1"/>
  <c r="C146" i="32"/>
  <c r="BD146" i="32" s="1"/>
  <c r="R146" i="32"/>
  <c r="BJ146" i="32" s="1"/>
  <c r="Q146" i="32"/>
  <c r="BI146" i="32" s="1"/>
  <c r="Y146" i="32"/>
  <c r="BQ146" i="32" s="1"/>
  <c r="P146" i="32"/>
  <c r="BH146" i="32" s="1"/>
  <c r="J146" i="32"/>
  <c r="AZ146" i="32" s="1"/>
  <c r="BP146" i="32"/>
  <c r="AB146" i="32"/>
  <c r="BF146" i="32"/>
  <c r="I146" i="32"/>
  <c r="AY146" i="32" s="1"/>
  <c r="H146" i="32"/>
  <c r="AX146" i="32" s="1"/>
  <c r="G147" i="32"/>
  <c r="C147" i="32" a="1"/>
  <c r="W147" i="32" a="1"/>
  <c r="AF147" i="32" a="1"/>
  <c r="AI147" i="32" a="1"/>
  <c r="AU147" i="32" a="1"/>
  <c r="V147" i="32" a="1"/>
  <c r="AG147" i="32" a="1"/>
  <c r="K147" i="32" a="1"/>
  <c r="AR147" i="32" a="1"/>
  <c r="P147" i="32" a="1"/>
  <c r="Y147" i="32" a="1"/>
  <c r="AQ147" i="32" a="1"/>
  <c r="U147" i="32" a="1"/>
  <c r="L147" i="32" a="1"/>
  <c r="AK147" i="32" a="1"/>
  <c r="AN147" i="32" a="1"/>
  <c r="H147" i="32" a="1"/>
  <c r="X147" i="32" a="1"/>
  <c r="AD147" i="32" a="1"/>
  <c r="O147" i="32" a="1"/>
  <c r="J147" i="32" a="1"/>
  <c r="AH147" i="32" a="1"/>
  <c r="AM147" i="32" a="1"/>
  <c r="R147" i="32" a="1"/>
  <c r="AO147" i="32" a="1"/>
  <c r="D147" i="32" a="1"/>
  <c r="S147" i="32" a="1"/>
  <c r="AL147" i="32" a="1"/>
  <c r="AS147" i="32" a="1"/>
  <c r="I147" i="32" a="1"/>
  <c r="AB147" i="32" a="1"/>
  <c r="M147" i="32" a="1"/>
  <c r="AT147" i="32" a="1"/>
  <c r="T147" i="32" a="1"/>
  <c r="AE147" i="32" a="1"/>
  <c r="AP147" i="32" a="1"/>
  <c r="N147" i="32" a="1"/>
  <c r="Q147" i="32" a="1"/>
  <c r="AJ147" i="32" a="1"/>
  <c r="AC147" i="32" a="1"/>
  <c r="AU147" i="32" l="1"/>
  <c r="AO147" i="32"/>
  <c r="AJ147" i="32"/>
  <c r="AE147" i="32"/>
  <c r="AT147" i="32"/>
  <c r="AD147" i="32"/>
  <c r="AS147" i="32"/>
  <c r="AN147" i="32"/>
  <c r="AI147" i="32"/>
  <c r="AC147" i="32"/>
  <c r="AP147" i="32"/>
  <c r="AH147" i="32"/>
  <c r="AR147" i="32"/>
  <c r="AG147" i="32"/>
  <c r="AL147" i="32"/>
  <c r="AK147" i="32"/>
  <c r="AF147" i="32"/>
  <c r="AQ147" i="32"/>
  <c r="AM147" i="32"/>
  <c r="T147" i="32"/>
  <c r="BL147" i="32" s="1"/>
  <c r="O147" i="32"/>
  <c r="BG147" i="32" s="1"/>
  <c r="X147" i="32"/>
  <c r="BP147" i="32" s="1"/>
  <c r="S147" i="32"/>
  <c r="BK147" i="32" s="1"/>
  <c r="L147" i="32"/>
  <c r="BB147" i="32" s="1"/>
  <c r="W147" i="32"/>
  <c r="N147" i="32"/>
  <c r="BF147" i="32" s="1"/>
  <c r="Y147" i="32"/>
  <c r="BQ147" i="32" s="1"/>
  <c r="P147" i="32"/>
  <c r="BH147" i="32" s="1"/>
  <c r="M147" i="32"/>
  <c r="BC147" i="32" s="1"/>
  <c r="V147" i="32"/>
  <c r="BN147" i="32" s="1"/>
  <c r="D147" i="32"/>
  <c r="BE147" i="32" s="1"/>
  <c r="U147" i="32"/>
  <c r="BM147" i="32" s="1"/>
  <c r="C147" i="32"/>
  <c r="BD147" i="32" s="1"/>
  <c r="R147" i="32"/>
  <c r="BJ147" i="32" s="1"/>
  <c r="Q147" i="32"/>
  <c r="BI147" i="32" s="1"/>
  <c r="J147" i="32"/>
  <c r="AZ147" i="32" s="1"/>
  <c r="K147" i="32"/>
  <c r="BA147" i="32" s="1"/>
  <c r="BO147" i="32"/>
  <c r="AB147" i="32"/>
  <c r="I147" i="32"/>
  <c r="AY147" i="32" s="1"/>
  <c r="H147" i="32"/>
  <c r="AX147" i="32" s="1"/>
  <c r="G148" i="32"/>
  <c r="C148" i="32" a="1"/>
  <c r="L148" i="32" a="1"/>
  <c r="AC148" i="32" a="1"/>
  <c r="AU148" i="32" a="1"/>
  <c r="AR148" i="32" a="1"/>
  <c r="D148" i="32" a="1"/>
  <c r="AK148" i="32" a="1"/>
  <c r="N148" i="32" a="1"/>
  <c r="AP148" i="32" a="1"/>
  <c r="T148" i="32" a="1"/>
  <c r="Q148" i="32" a="1"/>
  <c r="AG148" i="32" a="1"/>
  <c r="R148" i="32" a="1"/>
  <c r="U148" i="32" a="1"/>
  <c r="S148" i="32" a="1"/>
  <c r="AD148" i="32" a="1"/>
  <c r="AM148" i="32" a="1"/>
  <c r="AB148" i="32" a="1"/>
  <c r="AN148" i="32" a="1"/>
  <c r="J148" i="32" a="1"/>
  <c r="AE148" i="32" a="1"/>
  <c r="K148" i="32" a="1"/>
  <c r="AQ148" i="32" a="1"/>
  <c r="AJ148" i="32" a="1"/>
  <c r="AT148" i="32" a="1"/>
  <c r="V148" i="32" a="1"/>
  <c r="O148" i="32" a="1"/>
  <c r="AH148" i="32" a="1"/>
  <c r="AF148" i="32" a="1"/>
  <c r="H148" i="32" a="1"/>
  <c r="X148" i="32" a="1"/>
  <c r="I148" i="32" a="1"/>
  <c r="M148" i="32" a="1"/>
  <c r="W148" i="32" a="1"/>
  <c r="AO148" i="32" a="1"/>
  <c r="Y148" i="32" a="1"/>
  <c r="AL148" i="32" a="1"/>
  <c r="AI148" i="32" a="1"/>
  <c r="P148" i="32" a="1"/>
  <c r="AS148" i="32" a="1"/>
  <c r="AR148" i="32" l="1"/>
  <c r="AL148" i="32"/>
  <c r="AG148" i="32"/>
  <c r="AQ148" i="32"/>
  <c r="AP148" i="32"/>
  <c r="AK148" i="32"/>
  <c r="AF148" i="32"/>
  <c r="AM148" i="32"/>
  <c r="AU148" i="32"/>
  <c r="AT148" i="32"/>
  <c r="AJ148" i="32"/>
  <c r="AI148" i="32"/>
  <c r="AE148" i="32"/>
  <c r="AN148" i="32"/>
  <c r="AH148" i="32"/>
  <c r="AD148" i="32"/>
  <c r="AC148" i="32"/>
  <c r="AS148" i="32"/>
  <c r="AO148" i="32"/>
  <c r="T148" i="32"/>
  <c r="BL148" i="32" s="1"/>
  <c r="M148" i="32"/>
  <c r="BC148" i="32" s="1"/>
  <c r="X148" i="32"/>
  <c r="BP148" i="32" s="1"/>
  <c r="O148" i="32"/>
  <c r="BG148" i="32" s="1"/>
  <c r="S148" i="32"/>
  <c r="BK148" i="32" s="1"/>
  <c r="L148" i="32"/>
  <c r="BB148" i="32" s="1"/>
  <c r="Y148" i="32"/>
  <c r="BQ148" i="32" s="1"/>
  <c r="P148" i="32"/>
  <c r="W148" i="32"/>
  <c r="BO148" i="32" s="1"/>
  <c r="N148" i="32"/>
  <c r="BF148" i="32" s="1"/>
  <c r="D148" i="32"/>
  <c r="BE148" i="32" s="1"/>
  <c r="V148" i="32"/>
  <c r="BN148" i="32" s="1"/>
  <c r="U148" i="32"/>
  <c r="BM148" i="32" s="1"/>
  <c r="C148" i="32"/>
  <c r="BD148" i="32" s="1"/>
  <c r="R148" i="32"/>
  <c r="Q148" i="32"/>
  <c r="BI148" i="32" s="1"/>
  <c r="K148" i="32"/>
  <c r="BA148" i="32" s="1"/>
  <c r="J148" i="32"/>
  <c r="AZ148" i="32" s="1"/>
  <c r="BJ148" i="32"/>
  <c r="BH148" i="32"/>
  <c r="AB148" i="32"/>
  <c r="I148" i="32"/>
  <c r="AY148" i="32" s="1"/>
  <c r="H148" i="32"/>
  <c r="AX148" i="32" s="1"/>
  <c r="G149" i="32"/>
  <c r="V149" i="32" a="1"/>
  <c r="O149" i="32" a="1"/>
  <c r="AF149" i="32" a="1"/>
  <c r="AH149" i="32" a="1"/>
  <c r="AB149" i="32" a="1"/>
  <c r="W149" i="32" a="1"/>
  <c r="AK149" i="32" a="1"/>
  <c r="C149" i="32" a="1"/>
  <c r="AP149" i="32" a="1"/>
  <c r="U149" i="32" a="1"/>
  <c r="AD149" i="32" a="1"/>
  <c r="AJ149" i="32" a="1"/>
  <c r="AC149" i="32" a="1"/>
  <c r="N149" i="32" a="1"/>
  <c r="T149" i="32" a="1"/>
  <c r="AG149" i="32" a="1"/>
  <c r="AM149" i="32" a="1"/>
  <c r="I149" i="32" a="1"/>
  <c r="M149" i="32" a="1"/>
  <c r="AS149" i="32" a="1"/>
  <c r="H149" i="32" a="1"/>
  <c r="K149" i="32" a="1"/>
  <c r="P149" i="32" a="1"/>
  <c r="AN149" i="32" a="1"/>
  <c r="Y149" i="32" a="1"/>
  <c r="AR149" i="32" a="1"/>
  <c r="AI149" i="32" a="1"/>
  <c r="AU149" i="32" a="1"/>
  <c r="AE149" i="32" a="1"/>
  <c r="J149" i="32" a="1"/>
  <c r="AL149" i="32" a="1"/>
  <c r="R149" i="32" a="1"/>
  <c r="AO149" i="32" a="1"/>
  <c r="D149" i="32" a="1"/>
  <c r="AT149" i="32" a="1"/>
  <c r="Q149" i="32" a="1"/>
  <c r="L149" i="32" a="1"/>
  <c r="AQ149" i="32" a="1"/>
  <c r="S149" i="32" a="1"/>
  <c r="X149" i="32" a="1"/>
  <c r="AT149" i="32" l="1"/>
  <c r="AO149" i="32"/>
  <c r="AI149" i="32"/>
  <c r="AD149" i="32"/>
  <c r="AN149" i="32"/>
  <c r="AS149" i="32"/>
  <c r="AM149" i="32"/>
  <c r="AH149" i="32"/>
  <c r="AC149" i="32"/>
  <c r="AJ149" i="32"/>
  <c r="AL149" i="32"/>
  <c r="AR149" i="32"/>
  <c r="AP149" i="32"/>
  <c r="AK149" i="32"/>
  <c r="AG149" i="32"/>
  <c r="AF149" i="32"/>
  <c r="AE149" i="32"/>
  <c r="AU149" i="32"/>
  <c r="AQ149" i="32"/>
  <c r="Y149" i="32"/>
  <c r="BQ149" i="32" s="1"/>
  <c r="P149" i="32"/>
  <c r="BH149" i="32" s="1"/>
  <c r="M149" i="32"/>
  <c r="BC149" i="32" s="1"/>
  <c r="T149" i="32"/>
  <c r="BL149" i="32" s="1"/>
  <c r="O149" i="32"/>
  <c r="BG149" i="32" s="1"/>
  <c r="X149" i="32"/>
  <c r="S149" i="32"/>
  <c r="BK149" i="32" s="1"/>
  <c r="L149" i="32"/>
  <c r="BB149" i="32" s="1"/>
  <c r="U149" i="32"/>
  <c r="BM149" i="32" s="1"/>
  <c r="C149" i="32"/>
  <c r="BD149" i="32" s="1"/>
  <c r="W149" i="32"/>
  <c r="BO149" i="32" s="1"/>
  <c r="N149" i="32"/>
  <c r="BF149" i="32" s="1"/>
  <c r="V149" i="32"/>
  <c r="BN149" i="32" s="1"/>
  <c r="D149" i="32"/>
  <c r="BE149" i="32" s="1"/>
  <c r="R149" i="32"/>
  <c r="BJ149" i="32" s="1"/>
  <c r="Q149" i="32"/>
  <c r="BI149" i="32" s="1"/>
  <c r="J149" i="32"/>
  <c r="AZ149" i="32" s="1"/>
  <c r="K149" i="32"/>
  <c r="BA149" i="32" s="1"/>
  <c r="BP149" i="32"/>
  <c r="AB149" i="32"/>
  <c r="I149" i="32"/>
  <c r="AY149" i="32" s="1"/>
  <c r="H149" i="32"/>
  <c r="AX149" i="32" s="1"/>
  <c r="G150" i="32"/>
  <c r="R150" i="32" a="1"/>
  <c r="O150" i="32" a="1"/>
  <c r="AM150" i="32" a="1"/>
  <c r="AG150" i="32" a="1"/>
  <c r="AQ150" i="32" a="1"/>
  <c r="M150" i="32" a="1"/>
  <c r="AJ150" i="32" a="1"/>
  <c r="T150" i="32" a="1"/>
  <c r="AP150" i="32" a="1"/>
  <c r="N150" i="32" a="1"/>
  <c r="AC150" i="32" a="1"/>
  <c r="W150" i="32" a="1"/>
  <c r="AN150" i="32" a="1"/>
  <c r="U150" i="32" a="1"/>
  <c r="S150" i="32" a="1"/>
  <c r="X150" i="32" a="1"/>
  <c r="AR150" i="32" a="1"/>
  <c r="AE150" i="32" a="1"/>
  <c r="AB150" i="32" a="1"/>
  <c r="V150" i="32" a="1"/>
  <c r="AS150" i="32" a="1"/>
  <c r="I150" i="32" a="1"/>
  <c r="D150" i="32" a="1"/>
  <c r="AT150" i="32" a="1"/>
  <c r="H150" i="32" a="1"/>
  <c r="P150" i="32" a="1"/>
  <c r="AU150" i="32" a="1"/>
  <c r="Y150" i="32" a="1"/>
  <c r="AK150" i="32" a="1"/>
  <c r="C150" i="32" a="1"/>
  <c r="AI150" i="32" a="1"/>
  <c r="L150" i="32" a="1"/>
  <c r="K150" i="32" a="1"/>
  <c r="AD150" i="32" a="1"/>
  <c r="J150" i="32" a="1"/>
  <c r="AF150" i="32" a="1"/>
  <c r="Q150" i="32" a="1"/>
  <c r="AL150" i="32" a="1"/>
  <c r="AH150" i="32" a="1"/>
  <c r="AO150" i="32" a="1"/>
  <c r="AQ150" i="32" l="1"/>
  <c r="AL150" i="32"/>
  <c r="AF150" i="32"/>
  <c r="AK150" i="32"/>
  <c r="AU150" i="32"/>
  <c r="AP150" i="32"/>
  <c r="AJ150" i="32"/>
  <c r="AE150" i="32"/>
  <c r="AG150" i="32"/>
  <c r="AO150" i="32"/>
  <c r="AN150" i="32"/>
  <c r="AD150" i="32"/>
  <c r="AC150" i="32"/>
  <c r="AT150" i="32"/>
  <c r="AS150" i="32"/>
  <c r="AR150" i="32"/>
  <c r="AM150" i="32"/>
  <c r="AI150" i="32"/>
  <c r="AH150" i="32"/>
  <c r="Y150" i="32"/>
  <c r="BQ150" i="32" s="1"/>
  <c r="P150" i="32"/>
  <c r="BH150" i="32" s="1"/>
  <c r="T150" i="32"/>
  <c r="BL150" i="32" s="1"/>
  <c r="M150" i="32"/>
  <c r="BC150" i="32" s="1"/>
  <c r="X150" i="32"/>
  <c r="BP150" i="32" s="1"/>
  <c r="O150" i="32"/>
  <c r="U150" i="32"/>
  <c r="C150" i="32"/>
  <c r="BD150" i="32" s="1"/>
  <c r="W150" i="32"/>
  <c r="BO150" i="32" s="1"/>
  <c r="N150" i="32"/>
  <c r="BF150" i="32" s="1"/>
  <c r="D150" i="32"/>
  <c r="BE150" i="32" s="1"/>
  <c r="V150" i="32"/>
  <c r="BN150" i="32" s="1"/>
  <c r="S150" i="32"/>
  <c r="BK150" i="32" s="1"/>
  <c r="R150" i="32"/>
  <c r="BJ150" i="32" s="1"/>
  <c r="Q150" i="32"/>
  <c r="BI150" i="32" s="1"/>
  <c r="J150" i="32"/>
  <c r="AZ150" i="32" s="1"/>
  <c r="K150" i="32"/>
  <c r="BA150" i="32" s="1"/>
  <c r="L150" i="32"/>
  <c r="BB150" i="32" s="1"/>
  <c r="BM150" i="32"/>
  <c r="BG150" i="32"/>
  <c r="AB150" i="32"/>
  <c r="I150" i="32"/>
  <c r="AY150" i="32" s="1"/>
  <c r="H150" i="32"/>
  <c r="AX150" i="32" s="1"/>
  <c r="G151" i="32"/>
  <c r="U151" i="32" a="1"/>
  <c r="P151" i="32" a="1"/>
  <c r="AU151" i="32" a="1"/>
  <c r="AD151" i="32" a="1"/>
  <c r="AN151" i="32" a="1"/>
  <c r="N151" i="32" a="1"/>
  <c r="AL151" i="32" a="1"/>
  <c r="AB151" i="32" a="1"/>
  <c r="O151" i="32" a="1"/>
  <c r="AE151" i="32" a="1"/>
  <c r="H151" i="32" a="1"/>
  <c r="C151" i="32" a="1"/>
  <c r="AO151" i="32" a="1"/>
  <c r="I151" i="32" a="1"/>
  <c r="Y151" i="32" a="1"/>
  <c r="V151" i="32" a="1"/>
  <c r="W151" i="32" a="1"/>
  <c r="AK151" i="32" a="1"/>
  <c r="AT151" i="32" a="1"/>
  <c r="AS151" i="32" a="1"/>
  <c r="M151" i="32" a="1"/>
  <c r="AG151" i="32" a="1"/>
  <c r="R151" i="32" a="1"/>
  <c r="AM151" i="32" a="1"/>
  <c r="J151" i="32" a="1"/>
  <c r="AR151" i="32" a="1"/>
  <c r="AQ151" i="32" a="1"/>
  <c r="K151" i="32" a="1"/>
  <c r="D151" i="32" a="1"/>
  <c r="X151" i="32" a="1"/>
  <c r="AP151" i="32" a="1"/>
  <c r="AH151" i="32" a="1"/>
  <c r="AC151" i="32" a="1"/>
  <c r="T151" i="32" a="1"/>
  <c r="AI151" i="32" a="1"/>
  <c r="L151" i="32" a="1"/>
  <c r="S151" i="32" a="1"/>
  <c r="Q151" i="32" a="1"/>
  <c r="AF151" i="32" a="1"/>
  <c r="AJ151" i="32" a="1"/>
  <c r="AS151" i="32" l="1"/>
  <c r="AN151" i="32"/>
  <c r="AI151" i="32"/>
  <c r="AC151" i="32"/>
  <c r="AH151" i="32"/>
  <c r="AR151" i="32"/>
  <c r="AM151" i="32"/>
  <c r="AG151" i="32"/>
  <c r="AT151" i="32"/>
  <c r="AD151" i="32"/>
  <c r="AQ151" i="32"/>
  <c r="AF151" i="32"/>
  <c r="AP151" i="32"/>
  <c r="AO151" i="32"/>
  <c r="AE151" i="32"/>
  <c r="AL151" i="32"/>
  <c r="AK151" i="32"/>
  <c r="AU151" i="32"/>
  <c r="AJ151" i="32"/>
  <c r="Q151" i="32"/>
  <c r="BI151" i="32" s="1"/>
  <c r="X151" i="32"/>
  <c r="BP151" i="32" s="1"/>
  <c r="C151" i="32"/>
  <c r="BD151" i="32" s="1"/>
  <c r="R151" i="32"/>
  <c r="BJ151" i="32" s="1"/>
  <c r="M151" i="32"/>
  <c r="BC151" i="32" s="1"/>
  <c r="W151" i="32"/>
  <c r="BO151" i="32" s="1"/>
  <c r="P151" i="32"/>
  <c r="BH151" i="32" s="1"/>
  <c r="Y151" i="32"/>
  <c r="BQ151" i="32" s="1"/>
  <c r="S151" i="32"/>
  <c r="BK151" i="32" s="1"/>
  <c r="D151" i="32"/>
  <c r="BE151" i="32" s="1"/>
  <c r="J151" i="32"/>
  <c r="AZ151" i="32" s="1"/>
  <c r="O151" i="32"/>
  <c r="BG151" i="32" s="1"/>
  <c r="N151" i="32"/>
  <c r="BF151" i="32" s="1"/>
  <c r="V151" i="32"/>
  <c r="U151" i="32"/>
  <c r="T151" i="32"/>
  <c r="BL151" i="32" s="1"/>
  <c r="L151" i="32"/>
  <c r="BB151" i="32" s="1"/>
  <c r="K151" i="32"/>
  <c r="BA151" i="32" s="1"/>
  <c r="BM151" i="32"/>
  <c r="BN151" i="32"/>
  <c r="AB151" i="32"/>
  <c r="I151" i="32"/>
  <c r="AY151" i="32" s="1"/>
  <c r="H151" i="32"/>
  <c r="AX151" i="32" s="1"/>
  <c r="G152" i="32"/>
  <c r="U152" i="32" a="1"/>
  <c r="Q152" i="32" a="1"/>
  <c r="AC152" i="32" a="1"/>
  <c r="AP152" i="32" a="1"/>
  <c r="AS152" i="32" a="1"/>
  <c r="C152" i="32" a="1"/>
  <c r="AB152" i="32" a="1"/>
  <c r="V152" i="32" a="1"/>
  <c r="AT152" i="32" a="1"/>
  <c r="I152" i="32" a="1"/>
  <c r="D152" i="32" a="1"/>
  <c r="AH152" i="32" a="1"/>
  <c r="AI152" i="32" a="1"/>
  <c r="AN152" i="32" a="1"/>
  <c r="K152" i="32" a="1"/>
  <c r="W152" i="32" a="1"/>
  <c r="AO152" i="32" a="1"/>
  <c r="AE152" i="32" a="1"/>
  <c r="H152" i="32" a="1"/>
  <c r="L152" i="32" a="1"/>
  <c r="AG152" i="32" a="1"/>
  <c r="AK152" i="32" a="1"/>
  <c r="X152" i="32" a="1"/>
  <c r="AQ152" i="32" a="1"/>
  <c r="P152" i="32" a="1"/>
  <c r="R152" i="32" a="1"/>
  <c r="AF152" i="32" a="1"/>
  <c r="AL152" i="32" a="1"/>
  <c r="M152" i="32" a="1"/>
  <c r="N152" i="32" a="1"/>
  <c r="S152" i="32" a="1"/>
  <c r="O152" i="32" a="1"/>
  <c r="AU152" i="32" a="1"/>
  <c r="AD152" i="32" a="1"/>
  <c r="J152" i="32" a="1"/>
  <c r="Y152" i="32" a="1"/>
  <c r="AM152" i="32" a="1"/>
  <c r="AR152" i="32" a="1"/>
  <c r="T152" i="32" a="1"/>
  <c r="AJ152" i="32" a="1"/>
  <c r="AS152" i="32" l="1"/>
  <c r="AJ152" i="32"/>
  <c r="AR152" i="32"/>
  <c r="AI152" i="32"/>
  <c r="AF152" i="32"/>
  <c r="AQ152" i="32"/>
  <c r="AK152" i="32"/>
  <c r="AE152" i="32"/>
  <c r="AP152" i="32"/>
  <c r="AD152" i="32"/>
  <c r="AL152" i="32"/>
  <c r="AU152" i="32"/>
  <c r="AH152" i="32"/>
  <c r="AT152" i="32"/>
  <c r="AG152" i="32"/>
  <c r="AO152" i="32"/>
  <c r="AC152" i="32"/>
  <c r="AN152" i="32"/>
  <c r="AM152" i="32"/>
  <c r="O152" i="32"/>
  <c r="BG152" i="32" s="1"/>
  <c r="R152" i="32"/>
  <c r="BJ152" i="32" s="1"/>
  <c r="X152" i="32"/>
  <c r="BP152" i="32" s="1"/>
  <c r="C152" i="32"/>
  <c r="BD152" i="32" s="1"/>
  <c r="W152" i="32"/>
  <c r="BO152" i="32" s="1"/>
  <c r="Q152" i="32"/>
  <c r="M152" i="32"/>
  <c r="BC152" i="32" s="1"/>
  <c r="Y152" i="32"/>
  <c r="BQ152" i="32" s="1"/>
  <c r="S152" i="32"/>
  <c r="BK152" i="32" s="1"/>
  <c r="D152" i="32"/>
  <c r="BE152" i="32" s="1"/>
  <c r="V152" i="32"/>
  <c r="BN152" i="32" s="1"/>
  <c r="L152" i="32"/>
  <c r="BB152" i="32" s="1"/>
  <c r="K152" i="32"/>
  <c r="BA152" i="32" s="1"/>
  <c r="U152" i="32"/>
  <c r="T152" i="32"/>
  <c r="BL152" i="32" s="1"/>
  <c r="J152" i="32"/>
  <c r="AZ152" i="32" s="1"/>
  <c r="N152" i="32"/>
  <c r="BF152" i="32" s="1"/>
  <c r="P152" i="32"/>
  <c r="BH152" i="32" s="1"/>
  <c r="BM152" i="32"/>
  <c r="BI152" i="32"/>
  <c r="AB152" i="32"/>
  <c r="I152" i="32"/>
  <c r="AY152" i="32" s="1"/>
  <c r="H152" i="32"/>
  <c r="AX152" i="32" s="1"/>
  <c r="G153" i="32"/>
  <c r="J153" i="32" a="1"/>
  <c r="W153" i="32" a="1"/>
  <c r="AG153" i="32" a="1"/>
  <c r="AJ153" i="32" a="1"/>
  <c r="AI153" i="32" a="1"/>
  <c r="L153" i="32" a="1"/>
  <c r="AL153" i="32" a="1"/>
  <c r="AB153" i="32" a="1"/>
  <c r="C153" i="32" a="1"/>
  <c r="AP153" i="32" a="1"/>
  <c r="P153" i="32" a="1"/>
  <c r="AE153" i="32" a="1"/>
  <c r="Y153" i="32" a="1"/>
  <c r="V153" i="32" a="1"/>
  <c r="AR153" i="32" a="1"/>
  <c r="AS153" i="32" a="1"/>
  <c r="K153" i="32" a="1"/>
  <c r="R153" i="32" a="1"/>
  <c r="AT153" i="32" a="1"/>
  <c r="AU153" i="32" a="1"/>
  <c r="AN153" i="32" a="1"/>
  <c r="X153" i="32" a="1"/>
  <c r="AD153" i="32" a="1"/>
  <c r="O153" i="32" a="1"/>
  <c r="AM153" i="32" a="1"/>
  <c r="I153" i="32" a="1"/>
  <c r="S153" i="32" a="1"/>
  <c r="H153" i="32" a="1"/>
  <c r="N153" i="32" a="1"/>
  <c r="AK153" i="32" a="1"/>
  <c r="M153" i="32" a="1"/>
  <c r="AH153" i="32" a="1"/>
  <c r="Q153" i="32" a="1"/>
  <c r="AQ153" i="32" a="1"/>
  <c r="AO153" i="32" a="1"/>
  <c r="U153" i="32" a="1"/>
  <c r="AF153" i="32" a="1"/>
  <c r="D153" i="32" a="1"/>
  <c r="T153" i="32" a="1"/>
  <c r="AC153" i="32" a="1"/>
  <c r="AN153" i="32" l="1"/>
  <c r="AI153" i="32"/>
  <c r="AQ153" i="32"/>
  <c r="AH153" i="32"/>
  <c r="AK153" i="32"/>
  <c r="AE153" i="32"/>
  <c r="AP153" i="32"/>
  <c r="AD153" i="32"/>
  <c r="AU153" i="32"/>
  <c r="AJ153" i="32"/>
  <c r="AC153" i="32"/>
  <c r="AR153" i="32"/>
  <c r="AF153" i="32"/>
  <c r="AO153" i="32"/>
  <c r="AM153" i="32"/>
  <c r="AL153" i="32"/>
  <c r="AT153" i="32"/>
  <c r="AG153" i="32"/>
  <c r="AS153" i="32"/>
  <c r="D153" i="32"/>
  <c r="BE153" i="32" s="1"/>
  <c r="Y153" i="32"/>
  <c r="BQ153" i="32" s="1"/>
  <c r="S153" i="32"/>
  <c r="BK153" i="32" s="1"/>
  <c r="C153" i="32"/>
  <c r="BD153" i="32" s="1"/>
  <c r="X153" i="32"/>
  <c r="BP153" i="32" s="1"/>
  <c r="R153" i="32"/>
  <c r="W153" i="32"/>
  <c r="Q153" i="32"/>
  <c r="BI153" i="32" s="1"/>
  <c r="M153" i="32"/>
  <c r="BC153" i="32" s="1"/>
  <c r="N153" i="32"/>
  <c r="BF153" i="32" s="1"/>
  <c r="P153" i="32"/>
  <c r="BH153" i="32" s="1"/>
  <c r="O153" i="32"/>
  <c r="BG153" i="32" s="1"/>
  <c r="L153" i="32"/>
  <c r="BB153" i="32" s="1"/>
  <c r="K153" i="32"/>
  <c r="BA153" i="32" s="1"/>
  <c r="J153" i="32"/>
  <c r="AZ153" i="32" s="1"/>
  <c r="T153" i="32"/>
  <c r="BL153" i="32" s="1"/>
  <c r="V153" i="32"/>
  <c r="BN153" i="32" s="1"/>
  <c r="U153" i="32"/>
  <c r="BM153" i="32" s="1"/>
  <c r="BO153" i="32"/>
  <c r="BJ153" i="32"/>
  <c r="AB153" i="32"/>
  <c r="I153" i="32"/>
  <c r="AY153" i="32" s="1"/>
  <c r="H153" i="32"/>
  <c r="AX153" i="32" s="1"/>
  <c r="G154" i="32"/>
  <c r="Q154" i="32" a="1"/>
  <c r="C154" i="32" a="1"/>
  <c r="AR154" i="32" a="1"/>
  <c r="AQ154" i="32" a="1"/>
  <c r="AD154" i="32" a="1"/>
  <c r="U154" i="32" a="1"/>
  <c r="AS154" i="32" a="1"/>
  <c r="AB154" i="32" a="1"/>
  <c r="D154" i="32" a="1"/>
  <c r="AJ154" i="32" a="1"/>
  <c r="S154" i="32" a="1"/>
  <c r="AP154" i="32" a="1"/>
  <c r="W154" i="32" a="1"/>
  <c r="AT154" i="32" a="1"/>
  <c r="AE154" i="32" a="1"/>
  <c r="K154" i="32" a="1"/>
  <c r="X154" i="32" a="1"/>
  <c r="AF154" i="32" a="1"/>
  <c r="AI154" i="32" a="1"/>
  <c r="AM154" i="32" a="1"/>
  <c r="R154" i="32" a="1"/>
  <c r="AO154" i="32" a="1"/>
  <c r="V154" i="32" a="1"/>
  <c r="AG154" i="32" a="1"/>
  <c r="H154" i="32" a="1"/>
  <c r="L154" i="32" a="1"/>
  <c r="AH154" i="32" a="1"/>
  <c r="I154" i="32" a="1"/>
  <c r="N154" i="32" a="1"/>
  <c r="Y154" i="32" a="1"/>
  <c r="AC154" i="32" a="1"/>
  <c r="AU154" i="32" a="1"/>
  <c r="O154" i="32" a="1"/>
  <c r="J154" i="32" a="1"/>
  <c r="M154" i="32" a="1"/>
  <c r="AL154" i="32" a="1"/>
  <c r="P154" i="32" a="1"/>
  <c r="T154" i="32" a="1"/>
  <c r="AN154" i="32" a="1"/>
  <c r="AK154" i="32" a="1"/>
  <c r="AM154" i="32" l="1"/>
  <c r="AD154" i="32"/>
  <c r="AU154" i="32"/>
  <c r="AL154" i="32"/>
  <c r="AC154" i="32"/>
  <c r="AP154" i="32"/>
  <c r="AJ154" i="32"/>
  <c r="AO154" i="32"/>
  <c r="AI154" i="32"/>
  <c r="AQ154" i="32"/>
  <c r="AK154" i="32"/>
  <c r="AE154" i="32"/>
  <c r="AT154" i="32"/>
  <c r="AH154" i="32"/>
  <c r="AG154" i="32"/>
  <c r="AS154" i="32"/>
  <c r="AF154" i="32"/>
  <c r="AR154" i="32"/>
  <c r="AN154" i="32"/>
  <c r="M154" i="32"/>
  <c r="BC154" i="32" s="1"/>
  <c r="Y154" i="32"/>
  <c r="BQ154" i="32" s="1"/>
  <c r="S154" i="32"/>
  <c r="BK154" i="32" s="1"/>
  <c r="D154" i="32"/>
  <c r="BE154" i="32" s="1"/>
  <c r="R154" i="32"/>
  <c r="BJ154" i="32" s="1"/>
  <c r="X154" i="32"/>
  <c r="C154" i="32"/>
  <c r="BD154" i="32" s="1"/>
  <c r="T154" i="32"/>
  <c r="BL154" i="32" s="1"/>
  <c r="J154" i="32"/>
  <c r="AZ154" i="32" s="1"/>
  <c r="W154" i="32"/>
  <c r="BO154" i="32" s="1"/>
  <c r="L154" i="32"/>
  <c r="BB154" i="32" s="1"/>
  <c r="V154" i="32"/>
  <c r="BN154" i="32" s="1"/>
  <c r="U154" i="32"/>
  <c r="BM154" i="32" s="1"/>
  <c r="K154" i="32"/>
  <c r="Q154" i="32"/>
  <c r="BI154" i="32" s="1"/>
  <c r="P154" i="32"/>
  <c r="BH154" i="32" s="1"/>
  <c r="O154" i="32"/>
  <c r="BG154" i="32" s="1"/>
  <c r="N154" i="32"/>
  <c r="BF154" i="32" s="1"/>
  <c r="BP154" i="32"/>
  <c r="AB154" i="32"/>
  <c r="BA154" i="32"/>
  <c r="I154" i="32"/>
  <c r="AY154" i="32" s="1"/>
  <c r="H154" i="32"/>
  <c r="AX154" i="32" s="1"/>
  <c r="G155" i="32"/>
  <c r="V155" i="32" a="1"/>
  <c r="C155" i="32" a="1"/>
  <c r="AF155" i="32" a="1"/>
  <c r="AI155" i="32" a="1"/>
  <c r="AQ155" i="32" a="1"/>
  <c r="H155" i="32" a="1"/>
  <c r="AS155" i="32" a="1"/>
  <c r="AB155" i="32" a="1"/>
  <c r="S155" i="32" a="1"/>
  <c r="Q155" i="32" a="1"/>
  <c r="AP155" i="32" a="1"/>
  <c r="N155" i="32" a="1"/>
  <c r="AU155" i="32" a="1"/>
  <c r="AN155" i="32" a="1"/>
  <c r="R155" i="32" a="1"/>
  <c r="W155" i="32" a="1"/>
  <c r="X155" i="32" a="1"/>
  <c r="AG155" i="32" a="1"/>
  <c r="AD155" i="32" a="1"/>
  <c r="O155" i="32" a="1"/>
  <c r="AO155" i="32" a="1"/>
  <c r="P155" i="32" a="1"/>
  <c r="AK155" i="32" a="1"/>
  <c r="L155" i="32" a="1"/>
  <c r="AM155" i="32" a="1"/>
  <c r="Y155" i="32" a="1"/>
  <c r="T155" i="32" a="1"/>
  <c r="AC155" i="32" a="1"/>
  <c r="AT155" i="32" a="1"/>
  <c r="D155" i="32" a="1"/>
  <c r="AL155" i="32" a="1"/>
  <c r="I155" i="32" a="1"/>
  <c r="K155" i="32" a="1"/>
  <c r="M155" i="32" a="1"/>
  <c r="AJ155" i="32" a="1"/>
  <c r="AE155" i="32" a="1"/>
  <c r="AR155" i="32" a="1"/>
  <c r="J155" i="32" a="1"/>
  <c r="U155" i="32" a="1"/>
  <c r="AH155" i="32" a="1"/>
  <c r="AQ155" i="32" l="1"/>
  <c r="AH155" i="32"/>
  <c r="AC155" i="32"/>
  <c r="AU155" i="32"/>
  <c r="AP155" i="32"/>
  <c r="AK155" i="32"/>
  <c r="AO155" i="32"/>
  <c r="AD155" i="32"/>
  <c r="AI155" i="32"/>
  <c r="AT155" i="32"/>
  <c r="AN155" i="32"/>
  <c r="AJ155" i="32"/>
  <c r="AM155" i="32"/>
  <c r="AL155" i="32"/>
  <c r="AS155" i="32"/>
  <c r="AG155" i="32"/>
  <c r="AF155" i="32"/>
  <c r="AR155" i="32"/>
  <c r="AE155" i="32"/>
  <c r="Y155" i="32"/>
  <c r="BQ155" i="32" s="1"/>
  <c r="K155" i="32"/>
  <c r="BA155" i="32" s="1"/>
  <c r="S155" i="32"/>
  <c r="BK155" i="32" s="1"/>
  <c r="D155" i="32"/>
  <c r="BE155" i="32" s="1"/>
  <c r="X155" i="32"/>
  <c r="BP155" i="32" s="1"/>
  <c r="C155" i="32"/>
  <c r="BD155" i="32" s="1"/>
  <c r="R155" i="32"/>
  <c r="BJ155" i="32" s="1"/>
  <c r="T155" i="32"/>
  <c r="BL155" i="32" s="1"/>
  <c r="N155" i="32"/>
  <c r="BF155" i="32" s="1"/>
  <c r="Q155" i="32"/>
  <c r="BI155" i="32" s="1"/>
  <c r="P155" i="32"/>
  <c r="BH155" i="32" s="1"/>
  <c r="O155" i="32"/>
  <c r="BG155" i="32" s="1"/>
  <c r="W155" i="32"/>
  <c r="BO155" i="32" s="1"/>
  <c r="V155" i="32"/>
  <c r="BN155" i="32" s="1"/>
  <c r="U155" i="32"/>
  <c r="J155" i="32"/>
  <c r="AZ155" i="32" s="1"/>
  <c r="M155" i="32"/>
  <c r="BC155" i="32" s="1"/>
  <c r="L155" i="32"/>
  <c r="BB155" i="32" s="1"/>
  <c r="BM155" i="32"/>
  <c r="AB155" i="32"/>
  <c r="I155" i="32"/>
  <c r="AY155" i="32" s="1"/>
  <c r="H155" i="32"/>
  <c r="AX155" i="32" s="1"/>
  <c r="G156" i="32"/>
  <c r="K156" i="32" a="1"/>
  <c r="R156" i="32" a="1"/>
  <c r="AN156" i="32" a="1"/>
  <c r="AC156" i="32" a="1"/>
  <c r="AP156" i="32" a="1"/>
  <c r="L156" i="32" a="1"/>
  <c r="S156" i="32" a="1"/>
  <c r="AR156" i="32" a="1"/>
  <c r="Y156" i="32" a="1"/>
  <c r="AF156" i="32" a="1"/>
  <c r="J156" i="32" a="1"/>
  <c r="AO156" i="32" a="1"/>
  <c r="Q156" i="32" a="1"/>
  <c r="T156" i="32" a="1"/>
  <c r="AK156" i="32" a="1"/>
  <c r="AM156" i="32" a="1"/>
  <c r="AG156" i="32" a="1"/>
  <c r="U156" i="32" a="1"/>
  <c r="D156" i="32" a="1"/>
  <c r="AE156" i="32" a="1"/>
  <c r="AJ156" i="32" a="1"/>
  <c r="AU156" i="32" a="1"/>
  <c r="AS156" i="32" a="1"/>
  <c r="AB156" i="32" a="1"/>
  <c r="V156" i="32" a="1"/>
  <c r="AH156" i="32" a="1"/>
  <c r="I156" i="32" a="1"/>
  <c r="M156" i="32" a="1"/>
  <c r="AD156" i="32" a="1"/>
  <c r="H156" i="32" a="1"/>
  <c r="X156" i="32" a="1"/>
  <c r="AL156" i="32" a="1"/>
  <c r="C156" i="32" a="1"/>
  <c r="AQ156" i="32" a="1"/>
  <c r="P156" i="32" a="1"/>
  <c r="N156" i="32" a="1"/>
  <c r="W156" i="32" a="1"/>
  <c r="AI156" i="32" a="1"/>
  <c r="AT156" i="32" a="1"/>
  <c r="O156" i="32" a="1"/>
  <c r="AU156" i="32" l="1"/>
  <c r="AP156" i="32"/>
  <c r="AG156" i="32"/>
  <c r="AT156" i="32"/>
  <c r="AK156" i="32"/>
  <c r="AO156" i="32"/>
  <c r="AF156" i="32"/>
  <c r="AR156" i="32"/>
  <c r="AJ156" i="32"/>
  <c r="AC156" i="32"/>
  <c r="AQ156" i="32"/>
  <c r="AI156" i="32"/>
  <c r="AL156" i="32"/>
  <c r="AD156" i="32"/>
  <c r="AH156" i="32"/>
  <c r="AS156" i="32"/>
  <c r="AE156" i="32"/>
  <c r="AN156" i="32"/>
  <c r="AM156" i="32"/>
  <c r="W156" i="32"/>
  <c r="BO156" i="32" s="1"/>
  <c r="T156" i="32"/>
  <c r="BL156" i="32" s="1"/>
  <c r="J156" i="32"/>
  <c r="AZ156" i="32" s="1"/>
  <c r="Y156" i="32"/>
  <c r="BQ156" i="32" s="1"/>
  <c r="S156" i="32"/>
  <c r="BK156" i="32" s="1"/>
  <c r="D156" i="32"/>
  <c r="R156" i="32"/>
  <c r="C156" i="32"/>
  <c r="BD156" i="32" s="1"/>
  <c r="N156" i="32"/>
  <c r="BF156" i="32" s="1"/>
  <c r="X156" i="32"/>
  <c r="BP156" i="32" s="1"/>
  <c r="M156" i="32"/>
  <c r="BC156" i="32" s="1"/>
  <c r="V156" i="32"/>
  <c r="BN156" i="32" s="1"/>
  <c r="L156" i="32"/>
  <c r="BB156" i="32" s="1"/>
  <c r="U156" i="32"/>
  <c r="K156" i="32"/>
  <c r="BA156" i="32" s="1"/>
  <c r="O156" i="32"/>
  <c r="BG156" i="32" s="1"/>
  <c r="P156" i="32"/>
  <c r="BH156" i="32" s="1"/>
  <c r="Q156" i="32"/>
  <c r="BI156" i="32" s="1"/>
  <c r="BM156" i="32"/>
  <c r="BJ156" i="32"/>
  <c r="AB156" i="32"/>
  <c r="BE156" i="32"/>
  <c r="I156" i="32"/>
  <c r="AY156" i="32" s="1"/>
  <c r="H156" i="32"/>
  <c r="AX156" i="32" s="1"/>
  <c r="G157" i="32"/>
  <c r="M157" i="32" a="1"/>
  <c r="X157" i="32" a="1"/>
  <c r="AJ157" i="32" a="1"/>
  <c r="AT157" i="32" a="1"/>
  <c r="AQ157" i="32" a="1"/>
  <c r="P157" i="32" a="1"/>
  <c r="AR157" i="32" a="1"/>
  <c r="H157" i="32" a="1"/>
  <c r="Q157" i="32" a="1"/>
  <c r="AC157" i="32" a="1"/>
  <c r="AB157" i="32" a="1"/>
  <c r="R157" i="32" a="1"/>
  <c r="AS157" i="32" a="1"/>
  <c r="AK157" i="32" a="1"/>
  <c r="AM157" i="32" a="1"/>
  <c r="O157" i="32" a="1"/>
  <c r="D157" i="32" a="1"/>
  <c r="AL157" i="32" a="1"/>
  <c r="AN157" i="32" a="1"/>
  <c r="I157" i="32" a="1"/>
  <c r="S157" i="32" a="1"/>
  <c r="AG157" i="32" a="1"/>
  <c r="Y157" i="32" a="1"/>
  <c r="AE157" i="32" a="1"/>
  <c r="W157" i="32" a="1"/>
  <c r="N157" i="32" a="1"/>
  <c r="AU157" i="32" a="1"/>
  <c r="AI157" i="32" a="1"/>
  <c r="V157" i="32" a="1"/>
  <c r="J157" i="32" a="1"/>
  <c r="U157" i="32" a="1"/>
  <c r="AO157" i="32" a="1"/>
  <c r="AF157" i="32" a="1"/>
  <c r="L157" i="32" a="1"/>
  <c r="K157" i="32" a="1"/>
  <c r="T157" i="32" a="1"/>
  <c r="AH157" i="32" a="1"/>
  <c r="AD157" i="32" a="1"/>
  <c r="C157" i="32" a="1"/>
  <c r="AP157" i="32" a="1"/>
  <c r="AQ157" i="32" l="1"/>
  <c r="AP157" i="32"/>
  <c r="AK157" i="32"/>
  <c r="AF157" i="32"/>
  <c r="AU157" i="32"/>
  <c r="AE157" i="32"/>
  <c r="AG157" i="32"/>
  <c r="AN157" i="32"/>
  <c r="AT157" i="32"/>
  <c r="AM157" i="32"/>
  <c r="AD157" i="32"/>
  <c r="AO157" i="32"/>
  <c r="AS157" i="32"/>
  <c r="AC157" i="32"/>
  <c r="AR157" i="32"/>
  <c r="AL157" i="32"/>
  <c r="AJ157" i="32"/>
  <c r="AI157" i="32"/>
  <c r="AH157" i="32"/>
  <c r="U157" i="32"/>
  <c r="BM157" i="32" s="1"/>
  <c r="N157" i="32"/>
  <c r="BF157" i="32" s="1"/>
  <c r="Y157" i="32"/>
  <c r="BQ157" i="32" s="1"/>
  <c r="S157" i="32"/>
  <c r="BK157" i="32" s="1"/>
  <c r="D157" i="32"/>
  <c r="BE157" i="32" s="1"/>
  <c r="X157" i="32"/>
  <c r="C157" i="32"/>
  <c r="BD157" i="32" s="1"/>
  <c r="T157" i="32"/>
  <c r="BL157" i="32" s="1"/>
  <c r="J157" i="32"/>
  <c r="AZ157" i="32" s="1"/>
  <c r="R157" i="32"/>
  <c r="BJ157" i="32" s="1"/>
  <c r="Q157" i="32"/>
  <c r="BI157" i="32" s="1"/>
  <c r="P157" i="32"/>
  <c r="BH157" i="32" s="1"/>
  <c r="O157" i="32"/>
  <c r="BG157" i="32" s="1"/>
  <c r="M157" i="32"/>
  <c r="BC157" i="32" s="1"/>
  <c r="L157" i="32"/>
  <c r="BB157" i="32" s="1"/>
  <c r="K157" i="32"/>
  <c r="BA157" i="32" s="1"/>
  <c r="V157" i="32"/>
  <c r="W157" i="32"/>
  <c r="BO157" i="32" s="1"/>
  <c r="BN157" i="32"/>
  <c r="BP157" i="32"/>
  <c r="AB157" i="32"/>
  <c r="I157" i="32"/>
  <c r="AY157" i="32" s="1"/>
  <c r="H157" i="32"/>
  <c r="AX157" i="32" s="1"/>
  <c r="G158" i="32"/>
  <c r="L158" i="32" a="1"/>
  <c r="U158" i="32" a="1"/>
  <c r="AF158" i="32" a="1"/>
  <c r="AK158" i="32" a="1"/>
  <c r="AM158" i="32" a="1"/>
  <c r="Y158" i="32" a="1"/>
  <c r="AI158" i="32" a="1"/>
  <c r="AN158" i="32" a="1"/>
  <c r="W158" i="32" a="1"/>
  <c r="AJ158" i="32" a="1"/>
  <c r="I158" i="32" a="1"/>
  <c r="T158" i="32" a="1"/>
  <c r="AU158" i="32" a="1"/>
  <c r="AC158" i="32" a="1"/>
  <c r="AO158" i="32" a="1"/>
  <c r="V158" i="32" a="1"/>
  <c r="R158" i="32" a="1"/>
  <c r="AG158" i="32" a="1"/>
  <c r="AT158" i="32" a="1"/>
  <c r="AS158" i="32" a="1"/>
  <c r="M158" i="32" a="1"/>
  <c r="AD158" i="32" a="1"/>
  <c r="D158" i="32" a="1"/>
  <c r="AL158" i="32" a="1"/>
  <c r="C158" i="32" a="1"/>
  <c r="AP158" i="32" a="1"/>
  <c r="H158" i="32" a="1"/>
  <c r="O158" i="32" a="1"/>
  <c r="X158" i="32" a="1"/>
  <c r="J158" i="32" a="1"/>
  <c r="AQ158" i="32" a="1"/>
  <c r="AR158" i="32" a="1"/>
  <c r="AB158" i="32" a="1"/>
  <c r="S158" i="32" a="1"/>
  <c r="P158" i="32" a="1"/>
  <c r="K158" i="32" a="1"/>
  <c r="N158" i="32" a="1"/>
  <c r="AE158" i="32" a="1"/>
  <c r="Q158" i="32" a="1"/>
  <c r="AH158" i="32" a="1"/>
  <c r="AN158" i="32" l="1"/>
  <c r="AS158" i="32"/>
  <c r="AM158" i="32"/>
  <c r="AH158" i="32"/>
  <c r="AC158" i="32"/>
  <c r="AR158" i="32"/>
  <c r="AU158" i="32"/>
  <c r="AL158" i="32"/>
  <c r="AD158" i="32"/>
  <c r="AT158" i="32"/>
  <c r="AK158" i="32"/>
  <c r="AO158" i="32"/>
  <c r="AE158" i="32"/>
  <c r="AQ158" i="32"/>
  <c r="AP158" i="32"/>
  <c r="AJ158" i="32"/>
  <c r="AI158" i="32"/>
  <c r="AG158" i="32"/>
  <c r="AF158" i="32"/>
  <c r="S158" i="32"/>
  <c r="BK158" i="32" s="1"/>
  <c r="N158" i="32"/>
  <c r="BF158" i="32" s="1"/>
  <c r="J158" i="32"/>
  <c r="AZ158" i="32" s="1"/>
  <c r="T158" i="32"/>
  <c r="BL158" i="32" s="1"/>
  <c r="D158" i="32"/>
  <c r="BE158" i="32" s="1"/>
  <c r="Y158" i="32"/>
  <c r="BQ158" i="32" s="1"/>
  <c r="R158" i="32"/>
  <c r="BJ158" i="32" s="1"/>
  <c r="U158" i="32"/>
  <c r="BM158" i="32" s="1"/>
  <c r="O158" i="32"/>
  <c r="BG158" i="32" s="1"/>
  <c r="K158" i="32"/>
  <c r="BA158" i="32" s="1"/>
  <c r="X158" i="32"/>
  <c r="BP158" i="32" s="1"/>
  <c r="C158" i="32"/>
  <c r="BD158" i="32" s="1"/>
  <c r="W158" i="32"/>
  <c r="BO158" i="32" s="1"/>
  <c r="M158" i="32"/>
  <c r="BC158" i="32" s="1"/>
  <c r="V158" i="32"/>
  <c r="L158" i="32"/>
  <c r="BB158" i="32" s="1"/>
  <c r="Q158" i="32"/>
  <c r="BI158" i="32" s="1"/>
  <c r="P158" i="32"/>
  <c r="BH158" i="32" s="1"/>
  <c r="BN158" i="32"/>
  <c r="AB158" i="32"/>
  <c r="I158" i="32"/>
  <c r="AY158" i="32" s="1"/>
  <c r="H158" i="32"/>
  <c r="AX158" i="32" s="1"/>
  <c r="G159" i="32"/>
  <c r="W159" i="32" a="1"/>
  <c r="S159" i="32" a="1"/>
  <c r="AG159" i="32" a="1"/>
  <c r="AR159" i="32" a="1"/>
  <c r="AK159" i="32" a="1"/>
  <c r="N159" i="32" a="1"/>
  <c r="H159" i="32" a="1"/>
  <c r="AN159" i="32" a="1"/>
  <c r="C159" i="32" a="1"/>
  <c r="AQ159" i="32" a="1"/>
  <c r="O159" i="32" a="1"/>
  <c r="AC159" i="32" a="1"/>
  <c r="U159" i="32" a="1"/>
  <c r="AI159" i="32" a="1"/>
  <c r="X159" i="32" a="1"/>
  <c r="Y159" i="32" a="1"/>
  <c r="AH159" i="32" a="1"/>
  <c r="AL159" i="32" a="1"/>
  <c r="I159" i="32" a="1"/>
  <c r="AM159" i="32" a="1"/>
  <c r="R159" i="32" a="1"/>
  <c r="AO159" i="32" a="1"/>
  <c r="T159" i="32" a="1"/>
  <c r="Q159" i="32" a="1"/>
  <c r="L159" i="32" a="1"/>
  <c r="AP159" i="32" a="1"/>
  <c r="V159" i="32" a="1"/>
  <c r="AU159" i="32" a="1"/>
  <c r="P159" i="32" a="1"/>
  <c r="AS159" i="32" a="1"/>
  <c r="J159" i="32" a="1"/>
  <c r="AB159" i="32" a="1"/>
  <c r="K159" i="32" a="1"/>
  <c r="AE159" i="32" a="1"/>
  <c r="M159" i="32" a="1"/>
  <c r="AJ159" i="32" a="1"/>
  <c r="AD159" i="32" a="1"/>
  <c r="D159" i="32" a="1"/>
  <c r="AT159" i="32" a="1"/>
  <c r="AF159" i="32" a="1"/>
  <c r="AK159" i="32" l="1"/>
  <c r="AU159" i="32"/>
  <c r="AP159" i="32"/>
  <c r="AJ159" i="32"/>
  <c r="AE159" i="32"/>
  <c r="AO159" i="32"/>
  <c r="AS159" i="32"/>
  <c r="AL159" i="32"/>
  <c r="AR159" i="32"/>
  <c r="AI159" i="32"/>
  <c r="AT159" i="32"/>
  <c r="AC159" i="32"/>
  <c r="AQ159" i="32"/>
  <c r="AN159" i="32"/>
  <c r="AM159" i="32"/>
  <c r="AH159" i="32"/>
  <c r="AG159" i="32"/>
  <c r="AF159" i="32"/>
  <c r="AD159" i="32"/>
  <c r="Q159" i="32"/>
  <c r="BI159" i="32" s="1"/>
  <c r="T159" i="32"/>
  <c r="BL159" i="32" s="1"/>
  <c r="J159" i="32"/>
  <c r="AZ159" i="32" s="1"/>
  <c r="N159" i="32"/>
  <c r="BF159" i="32" s="1"/>
  <c r="Y159" i="32"/>
  <c r="BQ159" i="32" s="1"/>
  <c r="S159" i="32"/>
  <c r="BK159" i="32" s="1"/>
  <c r="D159" i="32"/>
  <c r="BE159" i="32" s="1"/>
  <c r="U159" i="32"/>
  <c r="O159" i="32"/>
  <c r="BG159" i="32" s="1"/>
  <c r="K159" i="32"/>
  <c r="BA159" i="32" s="1"/>
  <c r="R159" i="32"/>
  <c r="BJ159" i="32" s="1"/>
  <c r="P159" i="32"/>
  <c r="BH159" i="32" s="1"/>
  <c r="X159" i="32"/>
  <c r="BP159" i="32" s="1"/>
  <c r="W159" i="32"/>
  <c r="V159" i="32"/>
  <c r="BN159" i="32" s="1"/>
  <c r="L159" i="32"/>
  <c r="BB159" i="32" s="1"/>
  <c r="M159" i="32"/>
  <c r="BC159" i="32" s="1"/>
  <c r="C159" i="32"/>
  <c r="BD159" i="32" s="1"/>
  <c r="BM159" i="32"/>
  <c r="BO159" i="32"/>
  <c r="AB159" i="32"/>
  <c r="I159" i="32"/>
  <c r="AY159" i="32" s="1"/>
  <c r="H159" i="32"/>
  <c r="AX159" i="32" s="1"/>
  <c r="G160" i="32"/>
  <c r="M160" i="32" a="1"/>
  <c r="N160" i="32" a="1"/>
  <c r="AD160" i="32" a="1"/>
  <c r="AF160" i="32" a="1"/>
  <c r="AR160" i="32" a="1"/>
  <c r="W160" i="32" a="1"/>
  <c r="AI160" i="32" a="1"/>
  <c r="O160" i="32" a="1"/>
  <c r="AP160" i="32" a="1"/>
  <c r="L160" i="32" a="1"/>
  <c r="AQ160" i="32" a="1"/>
  <c r="Q160" i="32" a="1"/>
  <c r="AN160" i="32" a="1"/>
  <c r="U160" i="32" a="1"/>
  <c r="AG160" i="32" a="1"/>
  <c r="R160" i="32" a="1"/>
  <c r="AM160" i="32" a="1"/>
  <c r="C160" i="32" a="1"/>
  <c r="V160" i="32" a="1"/>
  <c r="AT160" i="32" a="1"/>
  <c r="AO160" i="32" a="1"/>
  <c r="AH160" i="32" a="1"/>
  <c r="Y160" i="32" a="1"/>
  <c r="AU160" i="32" a="1"/>
  <c r="H160" i="32" a="1"/>
  <c r="D160" i="32" a="1"/>
  <c r="AE160" i="32" a="1"/>
  <c r="I160" i="32" a="1"/>
  <c r="K160" i="32" a="1"/>
  <c r="AK160" i="32" a="1"/>
  <c r="AB160" i="32" a="1"/>
  <c r="S160" i="32" a="1"/>
  <c r="P160" i="32" a="1"/>
  <c r="AL160" i="32" a="1"/>
  <c r="T160" i="32" a="1"/>
  <c r="AJ160" i="32" a="1"/>
  <c r="AC160" i="32" a="1"/>
  <c r="J160" i="32" a="1"/>
  <c r="X160" i="32" a="1"/>
  <c r="AS160" i="32" a="1"/>
  <c r="AH160" i="32" l="1"/>
  <c r="AR160" i="32"/>
  <c r="AM160" i="32"/>
  <c r="AG160" i="32"/>
  <c r="AL160" i="32"/>
  <c r="AQ160" i="32"/>
  <c r="AP160" i="32"/>
  <c r="AI160" i="32"/>
  <c r="AO160" i="32"/>
  <c r="AF160" i="32"/>
  <c r="AS160" i="32"/>
  <c r="AJ160" i="32"/>
  <c r="AN160" i="32"/>
  <c r="AK160" i="32"/>
  <c r="AE160" i="32"/>
  <c r="AU160" i="32"/>
  <c r="AT160" i="32"/>
  <c r="AD160" i="32"/>
  <c r="AC160" i="32"/>
  <c r="U160" i="32"/>
  <c r="BM160" i="32" s="1"/>
  <c r="P160" i="32"/>
  <c r="BH160" i="32" s="1"/>
  <c r="L160" i="32"/>
  <c r="BB160" i="32" s="1"/>
  <c r="O160" i="32"/>
  <c r="BG160" i="32" s="1"/>
  <c r="W160" i="32"/>
  <c r="BO160" i="32" s="1"/>
  <c r="V160" i="32"/>
  <c r="N160" i="32"/>
  <c r="BF160" i="32" s="1"/>
  <c r="J160" i="32"/>
  <c r="AZ160" i="32" s="1"/>
  <c r="X160" i="32"/>
  <c r="BP160" i="32" s="1"/>
  <c r="Q160" i="32"/>
  <c r="BI160" i="32" s="1"/>
  <c r="K160" i="32"/>
  <c r="BA160" i="32" s="1"/>
  <c r="D160" i="32"/>
  <c r="BE160" i="32" s="1"/>
  <c r="Y160" i="32"/>
  <c r="BQ160" i="32" s="1"/>
  <c r="C160" i="32"/>
  <c r="M160" i="32"/>
  <c r="BC160" i="32" s="1"/>
  <c r="R160" i="32"/>
  <c r="BJ160" i="32" s="1"/>
  <c r="T160" i="32"/>
  <c r="BL160" i="32" s="1"/>
  <c r="S160" i="32"/>
  <c r="BK160" i="32" s="1"/>
  <c r="BN160" i="32"/>
  <c r="AB160" i="32"/>
  <c r="BD160" i="32"/>
  <c r="I160" i="32"/>
  <c r="AY160" i="32" s="1"/>
  <c r="H160" i="32"/>
  <c r="AX160" i="32" s="1"/>
  <c r="G161" i="32"/>
  <c r="K161" i="32" a="1"/>
  <c r="W161" i="32" a="1"/>
  <c r="AM161" i="32" a="1"/>
  <c r="AK161" i="32" a="1"/>
  <c r="AU161" i="32" a="1"/>
  <c r="V161" i="32" a="1"/>
  <c r="AH161" i="32" a="1"/>
  <c r="I161" i="32" a="1"/>
  <c r="N161" i="32" a="1"/>
  <c r="AD161" i="32" a="1"/>
  <c r="O161" i="32" a="1"/>
  <c r="S161" i="32" a="1"/>
  <c r="AJ161" i="32" a="1"/>
  <c r="P161" i="32" a="1"/>
  <c r="X161" i="32" a="1"/>
  <c r="AO161" i="32" a="1"/>
  <c r="AT161" i="32" a="1"/>
  <c r="L161" i="32" a="1"/>
  <c r="D161" i="32" a="1"/>
  <c r="AN161" i="32" a="1"/>
  <c r="AP161" i="32" a="1"/>
  <c r="AB161" i="32" a="1"/>
  <c r="J161" i="32" a="1"/>
  <c r="AI161" i="32" a="1"/>
  <c r="M161" i="32" a="1"/>
  <c r="AS161" i="32" a="1"/>
  <c r="H161" i="32" a="1"/>
  <c r="T161" i="32" a="1"/>
  <c r="AQ161" i="32" a="1"/>
  <c r="U161" i="32" a="1"/>
  <c r="AG161" i="32" a="1"/>
  <c r="AR161" i="32" a="1"/>
  <c r="AE161" i="32" a="1"/>
  <c r="Q161" i="32" a="1"/>
  <c r="C161" i="32" a="1"/>
  <c r="AC161" i="32" a="1"/>
  <c r="Y161" i="32" a="1"/>
  <c r="R161" i="32" a="1"/>
  <c r="AL161" i="32" a="1"/>
  <c r="AF161" i="32" a="1"/>
  <c r="AU161" i="32" l="1"/>
  <c r="AE161" i="32"/>
  <c r="AT161" i="32"/>
  <c r="AO161" i="32"/>
  <c r="AJ161" i="32"/>
  <c r="AD161" i="32"/>
  <c r="AI161" i="32"/>
  <c r="AP161" i="32"/>
  <c r="AK161" i="32"/>
  <c r="AF161" i="32"/>
  <c r="AR161" i="32"/>
  <c r="AG161" i="32"/>
  <c r="AQ161" i="32"/>
  <c r="AS161" i="32"/>
  <c r="AH161" i="32"/>
  <c r="AN161" i="32"/>
  <c r="AM161" i="32"/>
  <c r="AL161" i="32"/>
  <c r="AC161" i="32"/>
  <c r="X161" i="32"/>
  <c r="BP161" i="32" s="1"/>
  <c r="S161" i="32"/>
  <c r="BK161" i="32" s="1"/>
  <c r="N161" i="32"/>
  <c r="BF161" i="32" s="1"/>
  <c r="J161" i="32"/>
  <c r="AZ161" i="32" s="1"/>
  <c r="D161" i="32"/>
  <c r="BE161" i="32" s="1"/>
  <c r="W161" i="32"/>
  <c r="BO161" i="32" s="1"/>
  <c r="R161" i="32"/>
  <c r="BJ161" i="32" s="1"/>
  <c r="C161" i="32"/>
  <c r="BD161" i="32" s="1"/>
  <c r="U161" i="32"/>
  <c r="BM161" i="32" s="1"/>
  <c r="T161" i="32"/>
  <c r="BL161" i="32" s="1"/>
  <c r="M161" i="32"/>
  <c r="BC161" i="32" s="1"/>
  <c r="V161" i="32"/>
  <c r="BN161" i="32" s="1"/>
  <c r="L161" i="32"/>
  <c r="BB161" i="32" s="1"/>
  <c r="K161" i="32"/>
  <c r="BA161" i="32" s="1"/>
  <c r="Y161" i="32"/>
  <c r="BQ161" i="32" s="1"/>
  <c r="Q161" i="32"/>
  <c r="BI161" i="32" s="1"/>
  <c r="P161" i="32"/>
  <c r="BH161" i="32" s="1"/>
  <c r="O161" i="32"/>
  <c r="BG161" i="32" s="1"/>
  <c r="AB161" i="32"/>
  <c r="I161" i="32"/>
  <c r="AY161" i="32" s="1"/>
  <c r="H161" i="32"/>
  <c r="AX161" i="32" s="1"/>
  <c r="G162" i="32"/>
  <c r="J162" i="32" a="1"/>
  <c r="P162" i="32" a="1"/>
  <c r="AN162" i="32" a="1"/>
  <c r="AC162" i="32" a="1"/>
  <c r="AR162" i="32" a="1"/>
  <c r="AO162" i="32" a="1"/>
  <c r="AB162" i="32" a="1"/>
  <c r="D162" i="32" a="1"/>
  <c r="AP162" i="32" a="1"/>
  <c r="I162" i="32" a="1"/>
  <c r="K162" i="32" a="1"/>
  <c r="AK162" i="32" a="1"/>
  <c r="R162" i="32" a="1"/>
  <c r="AU162" i="32" a="1"/>
  <c r="S162" i="32" a="1"/>
  <c r="AI162" i="32" a="1"/>
  <c r="T162" i="32" a="1"/>
  <c r="AL162" i="32" a="1"/>
  <c r="AE162" i="32" a="1"/>
  <c r="Y162" i="32" a="1"/>
  <c r="U162" i="32" a="1"/>
  <c r="AH162" i="32" a="1"/>
  <c r="M162" i="32" a="1"/>
  <c r="AM162" i="32" a="1"/>
  <c r="C162" i="32" a="1"/>
  <c r="AS162" i="32" a="1"/>
  <c r="H162" i="32" a="1"/>
  <c r="N162" i="32" a="1"/>
  <c r="Q162" i="32" a="1"/>
  <c r="AF162" i="32" a="1"/>
  <c r="O162" i="32" a="1"/>
  <c r="V162" i="32" a="1"/>
  <c r="AG162" i="32" a="1"/>
  <c r="W162" i="32" a="1"/>
  <c r="AT162" i="32" a="1"/>
  <c r="L162" i="32" a="1"/>
  <c r="AQ162" i="32" a="1"/>
  <c r="AD162" i="32" a="1"/>
  <c r="X162" i="32" a="1"/>
  <c r="AJ162" i="32" a="1"/>
  <c r="AR162" i="32" l="1"/>
  <c r="AQ162" i="32"/>
  <c r="AL162" i="32"/>
  <c r="AG162" i="32"/>
  <c r="AF162" i="32"/>
  <c r="AS162" i="32"/>
  <c r="AM162" i="32"/>
  <c r="AH162" i="32"/>
  <c r="AC162" i="32"/>
  <c r="AJ162" i="32"/>
  <c r="AT162" i="32"/>
  <c r="AI162" i="32"/>
  <c r="AU162" i="32"/>
  <c r="AK162" i="32"/>
  <c r="AP162" i="32"/>
  <c r="AO162" i="32"/>
  <c r="AN162" i="32"/>
  <c r="AE162" i="32"/>
  <c r="AD162" i="32"/>
  <c r="V162" i="32"/>
  <c r="BN162" i="32" s="1"/>
  <c r="Q162" i="32"/>
  <c r="BI162" i="32" s="1"/>
  <c r="C162" i="32"/>
  <c r="BD162" i="32" s="1"/>
  <c r="M162" i="32"/>
  <c r="BC162" i="32" s="1"/>
  <c r="U162" i="32"/>
  <c r="BM162" i="32" s="1"/>
  <c r="P162" i="32"/>
  <c r="BH162" i="32" s="1"/>
  <c r="L162" i="32"/>
  <c r="BB162" i="32" s="1"/>
  <c r="T162" i="32"/>
  <c r="BL162" i="32" s="1"/>
  <c r="S162" i="32"/>
  <c r="BK162" i="32" s="1"/>
  <c r="R162" i="32"/>
  <c r="BJ162" i="32" s="1"/>
  <c r="K162" i="32"/>
  <c r="BA162" i="32" s="1"/>
  <c r="D162" i="32"/>
  <c r="BE162" i="32" s="1"/>
  <c r="Y162" i="32"/>
  <c r="BQ162" i="32" s="1"/>
  <c r="J162" i="32"/>
  <c r="X162" i="32"/>
  <c r="W162" i="32"/>
  <c r="O162" i="32"/>
  <c r="BG162" i="32" s="1"/>
  <c r="N162" i="32"/>
  <c r="BF162" i="32" s="1"/>
  <c r="BP162" i="32"/>
  <c r="BO162" i="32"/>
  <c r="AB162" i="32"/>
  <c r="AZ162" i="32"/>
  <c r="I162" i="32"/>
  <c r="AY162" i="32" s="1"/>
  <c r="H162" i="32"/>
  <c r="AX162" i="32" s="1"/>
  <c r="G163" i="32"/>
  <c r="W163" i="32" a="1"/>
  <c r="X163" i="32" a="1"/>
  <c r="AH163" i="32" a="1"/>
  <c r="AP163" i="32" a="1"/>
  <c r="AO163" i="32" a="1"/>
  <c r="I163" i="32" a="1"/>
  <c r="Y163" i="32" a="1"/>
  <c r="AB163" i="32" a="1"/>
  <c r="R163" i="32" a="1"/>
  <c r="AM163" i="32" a="1"/>
  <c r="H163" i="32" a="1"/>
  <c r="M163" i="32" a="1"/>
  <c r="AK163" i="32" a="1"/>
  <c r="J163" i="32" a="1"/>
  <c r="AL163" i="32" a="1"/>
  <c r="AG163" i="32" a="1"/>
  <c r="U163" i="32" a="1"/>
  <c r="K163" i="32" a="1"/>
  <c r="AQ163" i="32" a="1"/>
  <c r="AU163" i="32" a="1"/>
  <c r="Q163" i="32" a="1"/>
  <c r="AR163" i="32" a="1"/>
  <c r="AC163" i="32" a="1"/>
  <c r="L163" i="32" a="1"/>
  <c r="AS163" i="32" a="1"/>
  <c r="C163" i="32" a="1"/>
  <c r="O163" i="32" a="1"/>
  <c r="AD163" i="32" a="1"/>
  <c r="D163" i="32" a="1"/>
  <c r="T163" i="32" a="1"/>
  <c r="AI163" i="32" a="1"/>
  <c r="S163" i="32" a="1"/>
  <c r="AT163" i="32" a="1"/>
  <c r="P163" i="32" a="1"/>
  <c r="N163" i="32" a="1"/>
  <c r="AF163" i="32" a="1"/>
  <c r="AE163" i="32" a="1"/>
  <c r="AN163" i="32" a="1"/>
  <c r="V163" i="32" a="1"/>
  <c r="AJ163" i="32" a="1"/>
  <c r="AO163" i="32" l="1"/>
  <c r="AT163" i="32"/>
  <c r="AN163" i="32"/>
  <c r="AI163" i="32"/>
  <c r="AD163" i="32"/>
  <c r="AS163" i="32"/>
  <c r="AC163" i="32"/>
  <c r="AU163" i="32"/>
  <c r="AP163" i="32"/>
  <c r="AJ163" i="32"/>
  <c r="AE163" i="32"/>
  <c r="AL163" i="32"/>
  <c r="AK163" i="32"/>
  <c r="AM163" i="32"/>
  <c r="AR163" i="32"/>
  <c r="AQ163" i="32"/>
  <c r="AH163" i="32"/>
  <c r="AG163" i="32"/>
  <c r="AF163" i="32"/>
  <c r="T163" i="32"/>
  <c r="BL163" i="32" s="1"/>
  <c r="O163" i="32"/>
  <c r="BG163" i="32" s="1"/>
  <c r="L163" i="32"/>
  <c r="BB163" i="32" s="1"/>
  <c r="Y163" i="32"/>
  <c r="BQ163" i="32" s="1"/>
  <c r="K163" i="32"/>
  <c r="BA163" i="32" s="1"/>
  <c r="X163" i="32"/>
  <c r="S163" i="32"/>
  <c r="BK163" i="32" s="1"/>
  <c r="N163" i="32"/>
  <c r="BF163" i="32" s="1"/>
  <c r="J163" i="32"/>
  <c r="AZ163" i="32" s="1"/>
  <c r="M163" i="32"/>
  <c r="BC163" i="32" s="1"/>
  <c r="R163" i="32"/>
  <c r="BJ163" i="32" s="1"/>
  <c r="Q163" i="32"/>
  <c r="BI163" i="32" s="1"/>
  <c r="U163" i="32"/>
  <c r="BM163" i="32" s="1"/>
  <c r="W163" i="32"/>
  <c r="V163" i="32"/>
  <c r="BN163" i="32" s="1"/>
  <c r="P163" i="32"/>
  <c r="BH163" i="32" s="1"/>
  <c r="D163" i="32"/>
  <c r="BE163" i="32" s="1"/>
  <c r="C163" i="32"/>
  <c r="BD163" i="32" s="1"/>
  <c r="BP163" i="32"/>
  <c r="BO163" i="32"/>
  <c r="AB163" i="32"/>
  <c r="I163" i="32"/>
  <c r="AY163" i="32" s="1"/>
  <c r="H163" i="32"/>
  <c r="AX163" i="32" s="1"/>
  <c r="G164" i="32"/>
  <c r="T164" i="32" a="1"/>
  <c r="W164" i="32" a="1"/>
  <c r="AS164" i="32" a="1"/>
  <c r="AG164" i="32" a="1"/>
  <c r="AB164" i="32" a="1"/>
  <c r="H164" i="32" a="1"/>
  <c r="AU164" i="32" a="1"/>
  <c r="I164" i="32" a="1"/>
  <c r="N164" i="32" a="1"/>
  <c r="S164" i="32" a="1"/>
  <c r="X164" i="32" a="1"/>
  <c r="AH164" i="32" a="1"/>
  <c r="AI164" i="32" a="1"/>
  <c r="V164" i="32" a="1"/>
  <c r="P164" i="32" a="1"/>
  <c r="J164" i="32" a="1"/>
  <c r="AT164" i="32" a="1"/>
  <c r="AM164" i="32" a="1"/>
  <c r="D164" i="32" a="1"/>
  <c r="AR164" i="32" a="1"/>
  <c r="R164" i="32" a="1"/>
  <c r="AE164" i="32" a="1"/>
  <c r="AO164" i="32" a="1"/>
  <c r="C164" i="32" a="1"/>
  <c r="AK164" i="32" a="1"/>
  <c r="U164" i="32" a="1"/>
  <c r="AQ164" i="32" a="1"/>
  <c r="AD164" i="32" a="1"/>
  <c r="Y164" i="32" a="1"/>
  <c r="K164" i="32" a="1"/>
  <c r="AP164" i="32" a="1"/>
  <c r="O164" i="32" a="1"/>
  <c r="AF164" i="32" a="1"/>
  <c r="M164" i="32" a="1"/>
  <c r="AC164" i="32" a="1"/>
  <c r="AN164" i="32" a="1"/>
  <c r="L164" i="32" a="1"/>
  <c r="AL164" i="32" a="1"/>
  <c r="Q164" i="32" a="1"/>
  <c r="AJ164" i="32" a="1"/>
  <c r="AL164" i="32" l="1"/>
  <c r="AQ164" i="32"/>
  <c r="AK164" i="32"/>
  <c r="AF164" i="32"/>
  <c r="AP164" i="32"/>
  <c r="AR164" i="32"/>
  <c r="AM164" i="32"/>
  <c r="AG164" i="32"/>
  <c r="AD164" i="32"/>
  <c r="AN164" i="32"/>
  <c r="AC164" i="32"/>
  <c r="AO164" i="32"/>
  <c r="AE164" i="32"/>
  <c r="AU164" i="32"/>
  <c r="AT164" i="32"/>
  <c r="AS164" i="32"/>
  <c r="AJ164" i="32"/>
  <c r="AI164" i="32"/>
  <c r="AH164" i="32"/>
  <c r="X164" i="32"/>
  <c r="R164" i="32"/>
  <c r="BJ164" i="32" s="1"/>
  <c r="D164" i="32"/>
  <c r="BE164" i="32" s="1"/>
  <c r="J164" i="32"/>
  <c r="AZ164" i="32" s="1"/>
  <c r="W164" i="32"/>
  <c r="V164" i="32"/>
  <c r="BN164" i="32" s="1"/>
  <c r="Q164" i="32"/>
  <c r="BI164" i="32" s="1"/>
  <c r="C164" i="32"/>
  <c r="BD164" i="32" s="1"/>
  <c r="S164" i="32"/>
  <c r="BK164" i="32" s="1"/>
  <c r="K164" i="32"/>
  <c r="BA164" i="32" s="1"/>
  <c r="Y164" i="32"/>
  <c r="BQ164" i="32" s="1"/>
  <c r="P164" i="32"/>
  <c r="BH164" i="32" s="1"/>
  <c r="T164" i="32"/>
  <c r="BL164" i="32" s="1"/>
  <c r="L164" i="32"/>
  <c r="BB164" i="32" s="1"/>
  <c r="U164" i="32"/>
  <c r="M164" i="32"/>
  <c r="BC164" i="32" s="1"/>
  <c r="O164" i="32"/>
  <c r="BG164" i="32" s="1"/>
  <c r="N164" i="32"/>
  <c r="BF164" i="32" s="1"/>
  <c r="BM164" i="32"/>
  <c r="BP164" i="32"/>
  <c r="BO164" i="32"/>
  <c r="AB164" i="32"/>
  <c r="I164" i="32"/>
  <c r="AY164" i="32" s="1"/>
  <c r="H164" i="32"/>
  <c r="AX164" i="32" s="1"/>
  <c r="G165" i="32"/>
  <c r="N165" i="32" a="1"/>
  <c r="Y165" i="32" a="1"/>
  <c r="AK165" i="32" a="1"/>
  <c r="AQ165" i="32" a="1"/>
  <c r="AN165" i="32" a="1"/>
  <c r="W165" i="32" a="1"/>
  <c r="AI165" i="32" a="1"/>
  <c r="T165" i="32" a="1"/>
  <c r="AO165" i="32" a="1"/>
  <c r="Q165" i="32" a="1"/>
  <c r="AR165" i="32" a="1"/>
  <c r="H165" i="32" a="1"/>
  <c r="M165" i="32" a="1"/>
  <c r="AM165" i="32" a="1"/>
  <c r="R165" i="32" a="1"/>
  <c r="AH165" i="32" a="1"/>
  <c r="S165" i="32" a="1"/>
  <c r="L165" i="32" a="1"/>
  <c r="AL165" i="32" a="1"/>
  <c r="AD165" i="32" a="1"/>
  <c r="AS165" i="32" a="1"/>
  <c r="O165" i="32" a="1"/>
  <c r="AU165" i="32" a="1"/>
  <c r="AJ165" i="32" a="1"/>
  <c r="K165" i="32" a="1"/>
  <c r="AG165" i="32" a="1"/>
  <c r="AB165" i="32" a="1"/>
  <c r="U165" i="32" a="1"/>
  <c r="AT165" i="32" a="1"/>
  <c r="X165" i="32" a="1"/>
  <c r="AE165" i="32" a="1"/>
  <c r="I165" i="32" a="1"/>
  <c r="D165" i="32" a="1"/>
  <c r="AP165" i="32" a="1"/>
  <c r="C165" i="32" a="1"/>
  <c r="J165" i="32" a="1"/>
  <c r="P165" i="32" a="1"/>
  <c r="AF165" i="32" a="1"/>
  <c r="AC165" i="32" a="1"/>
  <c r="V165" i="32" a="1"/>
  <c r="AI165" i="32" l="1"/>
  <c r="AS165" i="32"/>
  <c r="AN165" i="32"/>
  <c r="AH165" i="32"/>
  <c r="AC165" i="32"/>
  <c r="AM165" i="32"/>
  <c r="AT165" i="32"/>
  <c r="AO165" i="32"/>
  <c r="AJ165" i="32"/>
  <c r="AD165" i="32"/>
  <c r="AQ165" i="32"/>
  <c r="AP165" i="32"/>
  <c r="AF165" i="32"/>
  <c r="AE165" i="32"/>
  <c r="AR165" i="32"/>
  <c r="AG165" i="32"/>
  <c r="AU165" i="32"/>
  <c r="AL165" i="32"/>
  <c r="AK165" i="32"/>
  <c r="V165" i="32"/>
  <c r="P165" i="32"/>
  <c r="BH165" i="32" s="1"/>
  <c r="M165" i="32"/>
  <c r="BC165" i="32" s="1"/>
  <c r="U165" i="32"/>
  <c r="BM165" i="32" s="1"/>
  <c r="T165" i="32"/>
  <c r="BL165" i="32" s="1"/>
  <c r="O165" i="32"/>
  <c r="BG165" i="32" s="1"/>
  <c r="L165" i="32"/>
  <c r="BB165" i="32" s="1"/>
  <c r="Y165" i="32"/>
  <c r="BQ165" i="32" s="1"/>
  <c r="R165" i="32"/>
  <c r="BJ165" i="32" s="1"/>
  <c r="J165" i="32"/>
  <c r="AZ165" i="32" s="1"/>
  <c r="X165" i="32"/>
  <c r="BP165" i="32" s="1"/>
  <c r="Q165" i="32"/>
  <c r="BI165" i="32" s="1"/>
  <c r="K165" i="32"/>
  <c r="BA165" i="32" s="1"/>
  <c r="W165" i="32"/>
  <c r="S165" i="32"/>
  <c r="BK165" i="32" s="1"/>
  <c r="N165" i="32"/>
  <c r="BF165" i="32" s="1"/>
  <c r="D165" i="32"/>
  <c r="BE165" i="32" s="1"/>
  <c r="C165" i="32"/>
  <c r="BD165" i="32" s="1"/>
  <c r="BO165" i="32"/>
  <c r="BN165" i="32"/>
  <c r="AB165" i="32"/>
  <c r="I165" i="32"/>
  <c r="AY165" i="32" s="1"/>
  <c r="H165" i="32"/>
  <c r="AX165" i="32" s="1"/>
  <c r="G166" i="32"/>
  <c r="Q166" i="32" a="1"/>
  <c r="X166" i="32" a="1"/>
  <c r="AO166" i="32" a="1"/>
  <c r="AG166" i="32" a="1"/>
  <c r="AF166" i="32" a="1"/>
  <c r="M166" i="32" a="1"/>
  <c r="T166" i="32" a="1"/>
  <c r="J166" i="32" a="1"/>
  <c r="AR166" i="32" a="1"/>
  <c r="L166" i="32" a="1"/>
  <c r="AP166" i="32" a="1"/>
  <c r="U166" i="32" a="1"/>
  <c r="AU166" i="32" a="1"/>
  <c r="O166" i="32" a="1"/>
  <c r="S166" i="32" a="1"/>
  <c r="AC166" i="32" a="1"/>
  <c r="AL166" i="32" a="1"/>
  <c r="AB166" i="32" a="1"/>
  <c r="V166" i="32" a="1"/>
  <c r="K166" i="32" a="1"/>
  <c r="AD166" i="32" a="1"/>
  <c r="AQ166" i="32" a="1"/>
  <c r="H166" i="32" a="1"/>
  <c r="P166" i="32" a="1"/>
  <c r="N166" i="32" a="1"/>
  <c r="AI166" i="32" a="1"/>
  <c r="AJ166" i="32" a="1"/>
  <c r="I166" i="32" a="1"/>
  <c r="W166" i="32" a="1"/>
  <c r="AT166" i="32" a="1"/>
  <c r="AE166" i="32" a="1"/>
  <c r="Y166" i="32" a="1"/>
  <c r="AK166" i="32" a="1"/>
  <c r="AM166" i="32" a="1"/>
  <c r="AN166" i="32" a="1"/>
  <c r="C166" i="32" a="1"/>
  <c r="AH166" i="32" a="1"/>
  <c r="R166" i="32" a="1"/>
  <c r="D166" i="32" a="1"/>
  <c r="AS166" i="32" a="1"/>
  <c r="AF166" i="32" l="1"/>
  <c r="AU166" i="32"/>
  <c r="AP166" i="32"/>
  <c r="AK166" i="32"/>
  <c r="AE166" i="32"/>
  <c r="AJ166" i="32"/>
  <c r="AQ166" i="32"/>
  <c r="AL166" i="32"/>
  <c r="AG166" i="32"/>
  <c r="AS166" i="32"/>
  <c r="AH166" i="32"/>
  <c r="AR166" i="32"/>
  <c r="AT166" i="32"/>
  <c r="AI166" i="32"/>
  <c r="AD166" i="32"/>
  <c r="AC166" i="32"/>
  <c r="AO166" i="32"/>
  <c r="AN166" i="32"/>
  <c r="AM166" i="32"/>
  <c r="Y166" i="32"/>
  <c r="BQ166" i="32" s="1"/>
  <c r="T166" i="32"/>
  <c r="BL166" i="32" s="1"/>
  <c r="N166" i="32"/>
  <c r="BF166" i="32" s="1"/>
  <c r="K166" i="32"/>
  <c r="BA166" i="32" s="1"/>
  <c r="S166" i="32"/>
  <c r="BK166" i="32" s="1"/>
  <c r="X166" i="32"/>
  <c r="R166" i="32"/>
  <c r="BJ166" i="32" s="1"/>
  <c r="D166" i="32"/>
  <c r="BE166" i="32" s="1"/>
  <c r="J166" i="32"/>
  <c r="AZ166" i="32" s="1"/>
  <c r="W166" i="32"/>
  <c r="BO166" i="32" s="1"/>
  <c r="P166" i="32"/>
  <c r="BH166" i="32" s="1"/>
  <c r="V166" i="32"/>
  <c r="BN166" i="32" s="1"/>
  <c r="O166" i="32"/>
  <c r="BG166" i="32" s="1"/>
  <c r="Q166" i="32"/>
  <c r="U166" i="32"/>
  <c r="BM166" i="32" s="1"/>
  <c r="L166" i="32"/>
  <c r="BB166" i="32" s="1"/>
  <c r="C166" i="32"/>
  <c r="BD166" i="32" s="1"/>
  <c r="M166" i="32"/>
  <c r="BC166" i="32" s="1"/>
  <c r="BP166" i="32"/>
  <c r="BI166" i="32"/>
  <c r="AB166" i="32"/>
  <c r="I166" i="32"/>
  <c r="AY166" i="32" s="1"/>
  <c r="H166" i="32"/>
  <c r="AX166" i="32" s="1"/>
  <c r="G167" i="32"/>
  <c r="T167" i="32" a="1"/>
  <c r="P167" i="32" a="1"/>
  <c r="AQ167" i="32" a="1"/>
  <c r="AI167" i="32" a="1"/>
  <c r="AS167" i="32" a="1"/>
  <c r="H167" i="32" a="1"/>
  <c r="Y167" i="32" a="1"/>
  <c r="AF167" i="32" a="1"/>
  <c r="AT167" i="32" a="1"/>
  <c r="C167" i="32" a="1"/>
  <c r="AG167" i="32" a="1"/>
  <c r="U167" i="32" a="1"/>
  <c r="AJ167" i="32" a="1"/>
  <c r="O167" i="32" a="1"/>
  <c r="AU167" i="32" a="1"/>
  <c r="J167" i="32" a="1"/>
  <c r="V167" i="32" a="1"/>
  <c r="AE167" i="32" a="1"/>
  <c r="AN167" i="32" a="1"/>
  <c r="Q167" i="32" a="1"/>
  <c r="I167" i="32" a="1"/>
  <c r="N167" i="32" a="1"/>
  <c r="AL167" i="32" a="1"/>
  <c r="AB167" i="32" a="1"/>
  <c r="K167" i="32" a="1"/>
  <c r="R167" i="32" a="1"/>
  <c r="AH167" i="32" a="1"/>
  <c r="L167" i="32" a="1"/>
  <c r="W167" i="32" a="1"/>
  <c r="AM167" i="32" a="1"/>
  <c r="D167" i="32" a="1"/>
  <c r="X167" i="32" a="1"/>
  <c r="AO167" i="32" a="1"/>
  <c r="AK167" i="32" a="1"/>
  <c r="AR167" i="32" a="1"/>
  <c r="S167" i="32" a="1"/>
  <c r="M167" i="32" a="1"/>
  <c r="AP167" i="32" a="1"/>
  <c r="AD167" i="32" a="1"/>
  <c r="AC167" i="32" a="1"/>
  <c r="AS167" i="32" l="1"/>
  <c r="AC167" i="32"/>
  <c r="AR167" i="32"/>
  <c r="AM167" i="32"/>
  <c r="AH167" i="32"/>
  <c r="AG167" i="32"/>
  <c r="AT167" i="32"/>
  <c r="AN167" i="32"/>
  <c r="AI167" i="32"/>
  <c r="AD167" i="32"/>
  <c r="AK167" i="32"/>
  <c r="AU167" i="32"/>
  <c r="AJ167" i="32"/>
  <c r="AL167" i="32"/>
  <c r="AF167" i="32"/>
  <c r="AE167" i="32"/>
  <c r="AQ167" i="32"/>
  <c r="AP167" i="32"/>
  <c r="AO167" i="32"/>
  <c r="W167" i="32"/>
  <c r="BO167" i="32" s="1"/>
  <c r="R167" i="32"/>
  <c r="BJ167" i="32" s="1"/>
  <c r="C167" i="32"/>
  <c r="BD167" i="32" s="1"/>
  <c r="Q167" i="32"/>
  <c r="BI167" i="32" s="1"/>
  <c r="V167" i="32"/>
  <c r="BN167" i="32" s="1"/>
  <c r="P167" i="32"/>
  <c r="M167" i="32"/>
  <c r="BC167" i="32" s="1"/>
  <c r="X167" i="32"/>
  <c r="O167" i="32"/>
  <c r="BG167" i="32" s="1"/>
  <c r="U167" i="32"/>
  <c r="BM167" i="32" s="1"/>
  <c r="N167" i="32"/>
  <c r="BF167" i="32" s="1"/>
  <c r="Y167" i="32"/>
  <c r="BQ167" i="32" s="1"/>
  <c r="J167" i="32"/>
  <c r="AZ167" i="32" s="1"/>
  <c r="T167" i="32"/>
  <c r="BL167" i="32" s="1"/>
  <c r="S167" i="32"/>
  <c r="BK167" i="32" s="1"/>
  <c r="D167" i="32"/>
  <c r="BE167" i="32" s="1"/>
  <c r="L167" i="32"/>
  <c r="BB167" i="32" s="1"/>
  <c r="K167" i="32"/>
  <c r="BA167" i="32" s="1"/>
  <c r="BP167" i="32"/>
  <c r="BH167" i="32"/>
  <c r="AB167" i="32"/>
  <c r="I167" i="32"/>
  <c r="AY167" i="32" s="1"/>
  <c r="H167" i="32"/>
  <c r="AX167" i="32" s="1"/>
  <c r="G168" i="32"/>
  <c r="J168" i="32" a="1"/>
  <c r="K168" i="32" a="1"/>
  <c r="AH168" i="32" a="1"/>
  <c r="AM168" i="32" a="1"/>
  <c r="AO168" i="32" a="1"/>
  <c r="R168" i="32" a="1"/>
  <c r="T168" i="32" a="1"/>
  <c r="AK168" i="32" a="1"/>
  <c r="S168" i="32" a="1"/>
  <c r="AG168" i="32" a="1"/>
  <c r="AB168" i="32" a="1"/>
  <c r="X168" i="32" a="1"/>
  <c r="AR168" i="32" a="1"/>
  <c r="I168" i="32" a="1"/>
  <c r="M168" i="32" a="1"/>
  <c r="AE168" i="32" a="1"/>
  <c r="W168" i="32" a="1"/>
  <c r="Q168" i="32" a="1"/>
  <c r="N168" i="32" a="1"/>
  <c r="AC168" i="32" a="1"/>
  <c r="AF168" i="32" a="1"/>
  <c r="AU168" i="32" a="1"/>
  <c r="AN168" i="32" a="1"/>
  <c r="AP168" i="32" a="1"/>
  <c r="Y168" i="32" a="1"/>
  <c r="AQ168" i="32" a="1"/>
  <c r="O168" i="32" a="1"/>
  <c r="AD168" i="32" a="1"/>
  <c r="AT168" i="32" a="1"/>
  <c r="V168" i="32" a="1"/>
  <c r="AS168" i="32" a="1"/>
  <c r="U168" i="32" a="1"/>
  <c r="AJ168" i="32" a="1"/>
  <c r="D168" i="32" a="1"/>
  <c r="L168" i="32" a="1"/>
  <c r="AI168" i="32" a="1"/>
  <c r="H168" i="32" a="1"/>
  <c r="P168" i="32" a="1"/>
  <c r="C168" i="32" a="1"/>
  <c r="AL168" i="32" a="1"/>
  <c r="AP168" i="32" l="1"/>
  <c r="AU168" i="32"/>
  <c r="AO168" i="32"/>
  <c r="AJ168" i="32"/>
  <c r="AE168" i="32"/>
  <c r="AT168" i="32"/>
  <c r="AD168" i="32"/>
  <c r="AQ168" i="32"/>
  <c r="AK168" i="32"/>
  <c r="AF168" i="32"/>
  <c r="AM168" i="32"/>
  <c r="AL168" i="32"/>
  <c r="AS168" i="32"/>
  <c r="AI168" i="32"/>
  <c r="AR168" i="32"/>
  <c r="AG168" i="32"/>
  <c r="AN168" i="32"/>
  <c r="AC168" i="32"/>
  <c r="AH168" i="32"/>
  <c r="U168" i="32"/>
  <c r="P168" i="32"/>
  <c r="BH168" i="32" s="1"/>
  <c r="L168" i="32"/>
  <c r="BB168" i="32" s="1"/>
  <c r="O168" i="32"/>
  <c r="BG168" i="32" s="1"/>
  <c r="Y168" i="32"/>
  <c r="BQ168" i="32" s="1"/>
  <c r="T168" i="32"/>
  <c r="BL168" i="32" s="1"/>
  <c r="N168" i="32"/>
  <c r="BF168" i="32" s="1"/>
  <c r="K168" i="32"/>
  <c r="BA168" i="32" s="1"/>
  <c r="W168" i="32"/>
  <c r="BO168" i="32" s="1"/>
  <c r="V168" i="32"/>
  <c r="D168" i="32"/>
  <c r="BE168" i="32" s="1"/>
  <c r="X168" i="32"/>
  <c r="BP168" i="32" s="1"/>
  <c r="S168" i="32"/>
  <c r="BK168" i="32" s="1"/>
  <c r="R168" i="32"/>
  <c r="BJ168" i="32" s="1"/>
  <c r="Q168" i="32"/>
  <c r="BI168" i="32" s="1"/>
  <c r="J168" i="32"/>
  <c r="AZ168" i="32" s="1"/>
  <c r="C168" i="32"/>
  <c r="BD168" i="32" s="1"/>
  <c r="M168" i="32"/>
  <c r="BC168" i="32" s="1"/>
  <c r="BN168" i="32"/>
  <c r="BM168" i="32"/>
  <c r="AB168" i="32"/>
  <c r="I168" i="32"/>
  <c r="AY168" i="32" s="1"/>
  <c r="H168" i="32"/>
  <c r="AX168" i="32" s="1"/>
  <c r="G169" i="32"/>
  <c r="O169" i="32" a="1"/>
  <c r="J169" i="32" a="1"/>
  <c r="AD169" i="32" a="1"/>
  <c r="AS169" i="32" a="1"/>
  <c r="AB169" i="32" a="1"/>
  <c r="S169" i="32" a="1"/>
  <c r="AE169" i="32" a="1"/>
  <c r="V169" i="32" a="1"/>
  <c r="AT169" i="32" a="1"/>
  <c r="Y169" i="32" a="1"/>
  <c r="R169" i="32" a="1"/>
  <c r="AM169" i="32" a="1"/>
  <c r="Q169" i="32" a="1"/>
  <c r="AQ169" i="32" a="1"/>
  <c r="D169" i="32" a="1"/>
  <c r="M169" i="32" a="1"/>
  <c r="N169" i="32" a="1"/>
  <c r="AP169" i="32" a="1"/>
  <c r="AG169" i="32" a="1"/>
  <c r="I169" i="32" a="1"/>
  <c r="H169" i="32" a="1"/>
  <c r="K169" i="32" a="1"/>
  <c r="AR169" i="32" a="1"/>
  <c r="L169" i="32" a="1"/>
  <c r="AC169" i="32" a="1"/>
  <c r="AF169" i="32" a="1"/>
  <c r="W169" i="32" a="1"/>
  <c r="AK169" i="32" a="1"/>
  <c r="U169" i="32" a="1"/>
  <c r="AN169" i="32" a="1"/>
  <c r="X169" i="32" a="1"/>
  <c r="C169" i="32" a="1"/>
  <c r="P169" i="32" a="1"/>
  <c r="AH169" i="32" a="1"/>
  <c r="AJ169" i="32" a="1"/>
  <c r="T169" i="32" a="1"/>
  <c r="AU169" i="32" a="1"/>
  <c r="AI169" i="32" a="1"/>
  <c r="AO169" i="32" a="1"/>
  <c r="AL169" i="32" a="1"/>
  <c r="AU169" i="32" l="1"/>
  <c r="V39" i="32" s="1"/>
  <c r="AQ169" i="32"/>
  <c r="R39" i="32" s="1"/>
  <c r="AM169" i="32"/>
  <c r="N39" i="32" s="1"/>
  <c r="AI169" i="32"/>
  <c r="L39" i="32" s="1"/>
  <c r="AT169" i="32"/>
  <c r="U39" i="32" s="1"/>
  <c r="AN169" i="32"/>
  <c r="O39" i="32" s="1"/>
  <c r="AG169" i="32"/>
  <c r="J39" i="32" s="1"/>
  <c r="AS169" i="32"/>
  <c r="T39" i="32" s="1"/>
  <c r="AL169" i="32"/>
  <c r="D39" i="32" s="1"/>
  <c r="AO169" i="32"/>
  <c r="P39" i="32" s="1"/>
  <c r="AH169" i="32"/>
  <c r="K39" i="32" s="1"/>
  <c r="AC169" i="32"/>
  <c r="F39" i="32" s="1"/>
  <c r="AR169" i="32"/>
  <c r="S39" i="32" s="1"/>
  <c r="AE169" i="32"/>
  <c r="H39" i="32" s="1"/>
  <c r="AP169" i="32"/>
  <c r="Q39" i="32" s="1"/>
  <c r="AD169" i="32"/>
  <c r="G39" i="32" s="1"/>
  <c r="AK169" i="32"/>
  <c r="C39" i="32" s="1"/>
  <c r="AJ169" i="32"/>
  <c r="M39" i="32" s="1"/>
  <c r="AF169" i="32"/>
  <c r="I39" i="32" s="1"/>
  <c r="Y169" i="32"/>
  <c r="X169" i="32"/>
  <c r="BP169" i="32" s="1"/>
  <c r="S169" i="32"/>
  <c r="N169" i="32"/>
  <c r="J169" i="32"/>
  <c r="D169" i="32"/>
  <c r="W169" i="32"/>
  <c r="BO169" i="32" s="1"/>
  <c r="R169" i="32"/>
  <c r="C169" i="32"/>
  <c r="V169" i="32"/>
  <c r="U169" i="32"/>
  <c r="M169" i="32"/>
  <c r="O169" i="32"/>
  <c r="T169" i="32"/>
  <c r="Q169" i="32"/>
  <c r="P169" i="32"/>
  <c r="L169" i="32"/>
  <c r="K169" i="32"/>
  <c r="AB169" i="32"/>
  <c r="I169" i="32"/>
  <c r="H169" i="32"/>
  <c r="J36" i="32" l="1"/>
  <c r="J35" i="32"/>
  <c r="J34" i="32"/>
  <c r="M35" i="32"/>
  <c r="M36" i="32"/>
  <c r="M34" i="32"/>
  <c r="H36" i="32"/>
  <c r="H35" i="32"/>
  <c r="H34" i="32"/>
  <c r="BN169" i="32"/>
  <c r="S35" i="32"/>
  <c r="S34" i="32"/>
  <c r="S36" i="32"/>
  <c r="U36" i="32"/>
  <c r="U34" i="32"/>
  <c r="U35" i="32"/>
  <c r="D35" i="32"/>
  <c r="D37" i="32" s="1"/>
  <c r="D38" i="32" s="1"/>
  <c r="D36" i="32"/>
  <c r="D34" i="32"/>
  <c r="O35" i="32"/>
  <c r="O36" i="32"/>
  <c r="O34" i="32"/>
  <c r="BM169" i="32"/>
  <c r="R36" i="32"/>
  <c r="R34" i="32"/>
  <c r="R35" i="32"/>
  <c r="P36" i="32"/>
  <c r="P35" i="32"/>
  <c r="P34" i="32"/>
  <c r="I36" i="32"/>
  <c r="I35" i="32"/>
  <c r="I34" i="32"/>
  <c r="K35" i="32"/>
  <c r="K36" i="32"/>
  <c r="K34" i="32"/>
  <c r="BQ169" i="32"/>
  <c r="V36" i="32"/>
  <c r="V34" i="32"/>
  <c r="V35" i="32"/>
  <c r="N34" i="32"/>
  <c r="N36" i="32"/>
  <c r="N35" i="32"/>
  <c r="T36" i="32"/>
  <c r="T34" i="32"/>
  <c r="T35" i="32"/>
  <c r="F35" i="32"/>
  <c r="F36" i="32"/>
  <c r="F34" i="32"/>
  <c r="Q34" i="32"/>
  <c r="Q35" i="32"/>
  <c r="Q36" i="32"/>
  <c r="L36" i="32"/>
  <c r="L35" i="32"/>
  <c r="L34" i="32"/>
  <c r="C36" i="32"/>
  <c r="C34" i="32"/>
  <c r="C35" i="32"/>
  <c r="G36" i="32"/>
  <c r="G34" i="32"/>
  <c r="G35" i="32"/>
  <c r="BL169" i="32"/>
  <c r="BK169" i="32"/>
  <c r="BJ169" i="32"/>
  <c r="BG169" i="32"/>
  <c r="BH169" i="32"/>
  <c r="BF169" i="32"/>
  <c r="BI169" i="32"/>
  <c r="E39" i="32"/>
  <c r="BE169" i="32"/>
  <c r="BB169" i="32"/>
  <c r="AX169" i="32"/>
  <c r="BD169" i="32"/>
  <c r="BA169" i="32"/>
  <c r="BC169" i="32"/>
  <c r="AZ169" i="32"/>
  <c r="E35" i="32"/>
  <c r="E36" i="32"/>
  <c r="E34" i="32"/>
  <c r="AY169" i="32"/>
  <c r="G37" i="32" l="1"/>
  <c r="G38" i="32" s="1"/>
  <c r="L37" i="32"/>
  <c r="L38" i="32" s="1"/>
  <c r="K37" i="32"/>
  <c r="K38" i="32" s="1"/>
  <c r="P37" i="32"/>
  <c r="P38" i="32" s="1"/>
  <c r="T37" i="32"/>
  <c r="T38" i="32" s="1"/>
  <c r="H37" i="32"/>
  <c r="H38" i="32" s="1"/>
  <c r="F37" i="32"/>
  <c r="F38" i="32" s="1"/>
  <c r="C37" i="32"/>
  <c r="C38" i="32" s="1"/>
  <c r="U37" i="32"/>
  <c r="U38" i="32" s="1"/>
  <c r="V37" i="32"/>
  <c r="V38" i="32" s="1"/>
  <c r="I37" i="32"/>
  <c r="I38" i="32" s="1"/>
  <c r="O37" i="32"/>
  <c r="O38" i="32" s="1"/>
  <c r="S37" i="32"/>
  <c r="S38" i="32" s="1"/>
  <c r="M37" i="32"/>
  <c r="M38" i="32" s="1"/>
  <c r="Q37" i="32"/>
  <c r="Q38" i="32" s="1"/>
  <c r="N37" i="32"/>
  <c r="N38" i="32" s="1"/>
  <c r="R37" i="32"/>
  <c r="R38" i="32" s="1"/>
  <c r="J37" i="32"/>
  <c r="J38" i="32" s="1"/>
  <c r="E37" i="32"/>
  <c r="E38" i="3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<sst xmlns="http://schemas.openxmlformats.org/spreadsheetml/2006/main" count="4787" uniqueCount="2060">
  <si>
    <t>runMode: serial</t>
  </si>
  <si>
    <t>maxCount: 10000</t>
  </si>
  <si>
    <t>method: QDistEvol</t>
  </si>
  <si>
    <t>ignoreTrivialCodes: 1</t>
  </si>
  <si>
    <t>resume: 0</t>
  </si>
  <si>
    <t>iterCount: 10000</t>
  </si>
  <si>
    <t>maxTime: 28800</t>
  </si>
  <si>
    <t>nThreads: 1</t>
  </si>
  <si>
    <t>verbose: False</t>
  </si>
  <si>
    <t>maxErr: -1</t>
  </si>
  <si>
    <t>GF4blockRep: 3</t>
  </si>
  <si>
    <t>regroupPerm: 1</t>
  </si>
  <si>
    <t>filterCircuit: 1</t>
  </si>
  <si>
    <t>HL: 0</t>
  </si>
  <si>
    <t>offspring: 10</t>
  </si>
  <si>
    <t>CCstart: -1</t>
  </si>
  <si>
    <t>addStabs: 0</t>
  </si>
  <si>
    <t>#########################################</t>
  </si>
  <si>
    <t>name</t>
  </si>
  <si>
    <t>n</t>
  </si>
  <si>
    <t>k</t>
  </si>
  <si>
    <t>d</t>
  </si>
  <si>
    <t>delta d</t>
  </si>
  <si>
    <t>Time</t>
  </si>
  <si>
    <t>R</t>
  </si>
  <si>
    <t>T</t>
  </si>
  <si>
    <t>Progress</t>
  </si>
  <si>
    <t>genCount: 100</t>
  </si>
  <si>
    <t>swapPivot: 1</t>
  </si>
  <si>
    <t>Default</t>
  </si>
  <si>
    <t>dMin</t>
  </si>
  <si>
    <t>count</t>
  </si>
  <si>
    <t>dataset: codeTables</t>
  </si>
  <si>
    <t>datafile: QECC_sample.txt</t>
  </si>
  <si>
    <t>nMax: 100000</t>
  </si>
  <si>
    <t>GF4blockRep: 2</t>
  </si>
  <si>
    <t>[[78,15,12]]</t>
  </si>
  <si>
    <t>[[79,14,13]]</t>
  </si>
  <si>
    <t>[[80,7,15]]</t>
  </si>
  <si>
    <t>[[81,11,15]]</t>
  </si>
  <si>
    <t>[[82,7,16]]</t>
  </si>
  <si>
    <t>[[83,13,15]]</t>
  </si>
  <si>
    <t>[[84,4,18]]</t>
  </si>
  <si>
    <t>[[85,11,17]]</t>
  </si>
  <si>
    <t>[[86,4,19]]</t>
  </si>
  <si>
    <t>[[87,5,19]]</t>
  </si>
  <si>
    <t>[[88,5,19]]</t>
  </si>
  <si>
    <t>[[89,3,19]]</t>
  </si>
  <si>
    <t>[[90,3,19]]</t>
  </si>
  <si>
    <t>[[91,4,19]]</t>
  </si>
  <si>
    <t>[[92,3,20]]</t>
  </si>
  <si>
    <t>[[93,4,20]]</t>
  </si>
  <si>
    <t>[[94,4,20]]</t>
  </si>
  <si>
    <t>[[95,5,19]]</t>
  </si>
  <si>
    <t>[[96,27,14]]</t>
  </si>
  <si>
    <t>[[97,5,19]]</t>
  </si>
  <si>
    <t>[[98,2,21]]</t>
  </si>
  <si>
    <t>[[99,3,21]]</t>
  </si>
  <si>
    <t>[[100,4,20]]</t>
  </si>
  <si>
    <t>[[101,4,20]]</t>
  </si>
  <si>
    <t>[[102,17,17]]</t>
  </si>
  <si>
    <t>[[103,18,17]]</t>
  </si>
  <si>
    <t>[[104,12,19]]</t>
  </si>
  <si>
    <t>[[105,8,20]]</t>
  </si>
  <si>
    <t>GF4blockRep: 4</t>
  </si>
  <si>
    <t>[[106,23,16]]</t>
  </si>
  <si>
    <t>[[107,10,20]]</t>
  </si>
  <si>
    <t>[[108,36,13]]</t>
  </si>
  <si>
    <t>[[109,31,14]]</t>
  </si>
  <si>
    <t>[[110,32,14]]</t>
  </si>
  <si>
    <t>[[111,33,14]]</t>
  </si>
  <si>
    <t>[[112,16,19]]</t>
  </si>
  <si>
    <t>[[113,34,14]]</t>
  </si>
  <si>
    <t>[[114,36,14]]</t>
  </si>
  <si>
    <t>GF4blockRep: x</t>
  </si>
  <si>
    <t>[[115,1,25]]</t>
  </si>
  <si>
    <t>[[116,2,24]]</t>
  </si>
  <si>
    <t>[[117,2,24]]</t>
  </si>
  <si>
    <t>[[118,1,25]]</t>
  </si>
  <si>
    <t>[[119,39,14]]</t>
  </si>
  <si>
    <t>[[120,40,14]]</t>
  </si>
  <si>
    <t>[[121,36,15]]</t>
  </si>
  <si>
    <t>[[122,37,15]]</t>
  </si>
  <si>
    <t>[[123,38,15]]</t>
  </si>
  <si>
    <t>repeat: 1</t>
  </si>
  <si>
    <t>method: GurobiDist</t>
  </si>
  <si>
    <t>nMin: 1</t>
  </si>
  <si>
    <t>pMut: 8.0</t>
  </si>
  <si>
    <t>sMut: 0.2</t>
  </si>
  <si>
    <t>tabuLength: 0</t>
  </si>
  <si>
    <t>swapBlockorder: 0</t>
  </si>
  <si>
    <t>outfile: /home/ucapmwe/dist-benchmark/results/codeTables-QECC_sample.txt-GurobiDist-20260215_083648.338613_85062422.txt</t>
  </si>
  <si>
    <t>[[3,1,1]]</t>
  </si>
  <si>
    <t>[[4,1,2]]</t>
  </si>
  <si>
    <t>[[5,1,3]]</t>
  </si>
  <si>
    <t>[[6,1,3]]</t>
  </si>
  <si>
    <t>[[7,1,3]]</t>
  </si>
  <si>
    <t>[[8,1,3]]</t>
  </si>
  <si>
    <t>[[9,1,3]]</t>
  </si>
  <si>
    <t>[[10,1,4]]</t>
  </si>
  <si>
    <t>[[11,1,5]]</t>
  </si>
  <si>
    <t>[[12,6,3]]</t>
  </si>
  <si>
    <t>[[13,6,3]]</t>
  </si>
  <si>
    <t>[[14,2,5]]</t>
  </si>
  <si>
    <t>[[15,2,5]]</t>
  </si>
  <si>
    <t>[[16,1,6]]</t>
  </si>
  <si>
    <t>[[17,3,5]]</t>
  </si>
  <si>
    <t>[[18,5,5]]</t>
  </si>
  <si>
    <t>[[19,5,5]]</t>
  </si>
  <si>
    <t>[[20,3,6]]</t>
  </si>
  <si>
    <t>[[21,3,6]]</t>
  </si>
  <si>
    <t>[[22,7,5]]</t>
  </si>
  <si>
    <t>[[23,2,7]]</t>
  </si>
  <si>
    <t>[[24,8,5]]</t>
  </si>
  <si>
    <t>[[25,8,5]]</t>
  </si>
  <si>
    <t>[[26,6,6]]</t>
  </si>
  <si>
    <t>[[27,6,6]]</t>
  </si>
  <si>
    <t>[[28,6,6]]</t>
  </si>
  <si>
    <t>[[29,6,7]]</t>
  </si>
  <si>
    <t>[[30,9,6]]</t>
  </si>
  <si>
    <t>[[31,9,6]]</t>
  </si>
  <si>
    <t>[[32,5,8]]</t>
  </si>
  <si>
    <t>[[33,7,8]]</t>
  </si>
  <si>
    <t>[[34,17,5]]</t>
  </si>
  <si>
    <t>[[35,4,9]]</t>
  </si>
  <si>
    <t>[[36,4,9]]</t>
  </si>
  <si>
    <t>[[37,4,9]]</t>
  </si>
  <si>
    <t>[[38,4,9]]</t>
  </si>
  <si>
    <t>[[39,4,9]]</t>
  </si>
  <si>
    <t>[[40,5,9]]</t>
  </si>
  <si>
    <t>[[41,2,11]]</t>
  </si>
  <si>
    <t>[[42,5,9]]</t>
  </si>
  <si>
    <t>[[43,6,9]]</t>
  </si>
  <si>
    <t>[[44,6,9]]</t>
  </si>
  <si>
    <t>[[45,6,9]]</t>
  </si>
  <si>
    <t>[[46,7,9]]</t>
  </si>
  <si>
    <t>[[47,8,9]]</t>
  </si>
  <si>
    <t>[[48,5,10]]</t>
  </si>
  <si>
    <t>[[49,17,7]]</t>
  </si>
  <si>
    <t>[[50,13,8]]</t>
  </si>
  <si>
    <t>outfile: /home/ucapmwe/dist-benchmark/results/codeTables-QECC_sample.txt-GurobiDist-20260215_083648.583392_85062422.txt</t>
  </si>
  <si>
    <t>pMut: 6.0</t>
  </si>
  <si>
    <t>outfile: /home/ucapmwe/dist-benchmark/results/codeTables-QECC_sample.txt-QDistEvol-20260215_181907.581841_85062422.txt</t>
  </si>
  <si>
    <t>Gen:0 Trial:0 w:1; pErr:0.0000, weight 1 CW found:6, wDict:1:10000</t>
  </si>
  <si>
    <t>Gen:0 Trial:0 w:2; pErr:0.0000, weight 2 CW found:32, wDict:2:10000</t>
  </si>
  <si>
    <t>Gen:0 Trial:0 w:3; pErr:0.0000, weight 3 CW found:240, wDict:3:10000</t>
  </si>
  <si>
    <t>Gen:0 Trial:0 w:3; pErr:0.0000, weight 3 CW found:168, wDict:3:10000</t>
  </si>
  <si>
    <t>Gen:0 Trial:0 w:4; pErr:0.0000, weight 4 CW found:480, wDict:4:10000</t>
  </si>
  <si>
    <t>Gen:0 Trial:0 w:5; pErr:0.0000, weight 5 CW found:5860, wDict:5:10000</t>
  </si>
  <si>
    <t>Gen:0 Trial:0 w:3; pErr:0.0000, weight 3 CW found:1530, wDict:3:9863,4:137</t>
  </si>
  <si>
    <t>Gen:0 Trial:0 w:3; pErr:0.0000, weight 3 CW found:1550, wDict:3:9855,4:145</t>
  </si>
  <si>
    <t>Gen:0 Trial:0 w:5; pErr:0.0000, weight 5 CW found:5247, wDict:5:9923,6:77</t>
  </si>
  <si>
    <t>Gen:0 Trial:0 w:5; pErr:0.0000, weight 5 CW found:5280, wDict:5:9919,6:81</t>
  </si>
  <si>
    <t>Gen:0 Trial:0 w:6; pErr:0.0013, weight 6 CW found:13480, wDict:6:10000</t>
  </si>
  <si>
    <t>Gen:0 Trial:0 w:5; pErr:0.0000, weight 5 CW found:6031, wDict:5:10000</t>
  </si>
  <si>
    <t>Gen:0 Trial:0 w:5; pErr:0.0000, weight 5 CW found:10712, wDict:5:9999,6:1</t>
  </si>
  <si>
    <t>Gen:0 Trial:0 w:5; pErr:0.0000, weight 5 CW found:10587, wDict:5:9998,6:2</t>
  </si>
  <si>
    <t>Gen:0 Trial:0 w:6; pErr:0.0052, weight 6 CW found:15159, wDict:6:9991,7:9</t>
  </si>
  <si>
    <t>Gen:0 Trial:0 w:6; pErr:0.0032, weight 6 CW found:13907, wDict:6:9992,7:8</t>
  </si>
  <si>
    <t>Gen:0 Trial:0 w:5; pErr:0.0003, weight 5 CW found:8528, wDict:5:9999,6:1</t>
  </si>
  <si>
    <t>Gen:0 Trial:0 w:7; pErr:0.1064, weight 7 CW found:21710, wDict:7:9940,8:60</t>
  </si>
  <si>
    <t>Gen:0 Trial:0 w:5; pErr:0.1544, weight 5 CW found:46289, wDict:5:4336,6:5608,7:56</t>
  </si>
  <si>
    <t>Gen:0 Trial:0 w:5; pErr:0.1892, weight 5 CW found:51841, wDict:5:4350,6:5602,7:48</t>
  </si>
  <si>
    <t>Gen:0 Trial:0 w:6; pErr:0.2326, weight 6 CW found:47965, wDict:6:6819,7:3170,8:11</t>
  </si>
  <si>
    <t>Gen:0 Trial:0 w:6; pErr:0.2295, weight 6 CW found:47183, wDict:6:6859,7:3128,8:13</t>
  </si>
  <si>
    <t>Gen:0 Trial:0 w:7; Trial:1 w:6; pErr:0.2223, weight 6 CW found:46352, wDict:6:6856,7:3128,8:16</t>
  </si>
  <si>
    <t>Gen:0 Trial:0 w:7; pErr:0.2026, weight 7 CW found:21699, wDict:7:9515,8:485</t>
  </si>
  <si>
    <t>Gen:0 Trial:0 w:6; pErr:0.1751, weight 6 CW found:18017, wDict:6:8726,7:1274</t>
  </si>
  <si>
    <t>Gen:0 Trial:0 w:6; pErr:0.1745, weight 6 CW found:18246, wDict:6:8600,7:1400</t>
  </si>
  <si>
    <t>Gen:0 Trial:0 w:9; Trial:1 w:8; pErr:0.3110, weight 8 CW found:36543, wDict:8:9853,9:147</t>
  </si>
  <si>
    <t>Gen:0 Trial:0 w:8; pErr:0.3180, weight 8 CW found:64751, wDict:8:7628,9:2313,10:59</t>
  </si>
  <si>
    <t>Gen:0 Trial:0 w:5; pErr:0.0928, weight 5 CW found:13689, wDict:5:9528,6:472</t>
  </si>
  <si>
    <t>Gen:0 Trial:0 w:9; pErr:0.3393, weight 9 CW found:24378, wDict:9:7915,10:2053,11:32</t>
  </si>
  <si>
    <t>Gen:0 Trial:0 w:9; pErr:0.3251, weight 9 CW found:24194, wDict:9:8203,10:1774,11:23</t>
  </si>
  <si>
    <t>Gen:0 Trial:0 w:9; pErr:0.3201, weight 9 CW found:23645, wDict:9:8234,10:1748,11:18</t>
  </si>
  <si>
    <t>Gen:0 Trial:0 w:9; pErr:0.3206, weight 9 CW found:24398, wDict:9:8241,10:1736,11:23</t>
  </si>
  <si>
    <t>Gen:0 Trial:0 w:12; Trial:1 w:9; pErr:0.3340, weight 9 CW found:19132, wDict:9:5478,10:4001,11:500,12:21</t>
  </si>
  <si>
    <t>Gen:0 Trial:0 w:9; pErr:0.3251, weight 9 CW found:20144, wDict:9:7687,10:2086,11:226,12:1</t>
  </si>
  <si>
    <t>Gen:0 Trial:0 w:11; pErr:0.3508, weight 11 CW found:20828, wDict:11:7553,12:2009,13:438</t>
  </si>
  <si>
    <t>Gen:0 Trial:0 w:10; Trial:2 w:9; pErr:0.3185, weight 9 CW found:22051, wDict:9:3440,10:2014,11:3567,12:949,13:30</t>
  </si>
  <si>
    <t>Gen:0 Trial:0 w:12; Trial:1 w:11; Trial:3 w:10; Trial:9 w:9; pErr:0.3252, weight 9 CW found:42119, wDict:9:3004,10:1595,11:3414,12:1773,13:212,14:2</t>
  </si>
  <si>
    <t>Gen:0 Trial:0 w:11; Trial:5 w:10; Trial:7 w:9; pErr:0.3371, weight 9 CW found:16101, wDict:9:3197,10:2556,11:3233,12:993,13:21</t>
  </si>
  <si>
    <t>Gen:0 Trial:0 w:11; Trial:2 w:10; Trial:13 w:9; pErr:0.3353, weight 9 CW found:16007, wDict:9:3343,10:2638,11:3082,12:906,13:31</t>
  </si>
  <si>
    <t>Gen:0 Trial:0 w:9; pErr:0.2962, weight 9 CW found:19087, wDict:9:3393,10:2803,11:2614,12:1018,13:168,14:4</t>
  </si>
  <si>
    <t>Gen:0 Trial:0 w:11; Trial:7 w:10; Trial:38 w:9; pErr:0.3218, weight 9 CW found:39536, wDict:9:2815,10:2462,11:2521,12:1564,13:597,14:41</t>
  </si>
  <si>
    <t>Gen:0 Trial:0 w:14; Trial:1 w:12; Trial:5 w:11; Trial:27 w:10; pErr:0.2960, weight 10 CW found:19767, wDict:10:2863,11:2716,12:3078,13:1021,14:309,15:13</t>
  </si>
  <si>
    <t>Gen:0 Trial:0 w:10; Trial:1 w:9; Trial:4 w:8; Trial:20 w:7; pErr:0.3393, weight 7 CW found:20539, wDict:7:1589,8:2036,9:5187,10:1175,11:13</t>
  </si>
  <si>
    <t>Gen:0 Trial:0 w:10; Trial:7 w:9; Gen:1 Trial:125 w:8; pErr:0.3338, weight 8 CW found:17893, wDict:8:1760,9:1349,10:4180,11:2443,12:268</t>
  </si>
  <si>
    <t>[[51,12,9]]</t>
  </si>
  <si>
    <t>Gen:0 Trial:0 w:12; Trial:1 w:9; pErr:0.3229, weight 9 CW found:18830, wDict:9:2324,10:3772,11:2939,12:928,13:37</t>
  </si>
  <si>
    <t>[[52,10,10]]</t>
  </si>
  <si>
    <t>Gen:0 Trial:0 w:11; pErr:0.3520, weight 11 CW found:43794, wDict:11:4049,12:2492,13:2324,14:1074,15:60,16:1</t>
  </si>
  <si>
    <t>[[53,6,11]]</t>
  </si>
  <si>
    <t>Gen:0 Trial:0 w:15; Trial:1 w:14; Trial:3 w:12; Trial:24 w:11; pErr:0.3135, weight 11 CW found:20303, wDict:11:3083,12:1163,13:2120,14:2651,15:933,16:50</t>
  </si>
  <si>
    <t>[[54,12,10]]</t>
  </si>
  <si>
    <t>Gen:0 Trial:0 w:13; Trial:4 w:12; Trial:9 w:11; Trial:13 w:10; pErr:0.3488, weight 10 CW found:43449, wDict:10:1898,11:1286,12:2589,13:3016,14:1138,15:73</t>
  </si>
  <si>
    <t>[[55,5,12]]</t>
  </si>
  <si>
    <t>Gen:0 Trial:0 w:14; Trial:4 w:13; Trial:21 w:12; pErr:0.3390, weight 12 CW found:39284, wDict:12:2388,13:629,14:1406,15:2643,16:2172,17:711,18:49,19:2</t>
  </si>
  <si>
    <t>[[56,5,12]]</t>
  </si>
  <si>
    <t>Gen:0 Trial:0 w:14; Trial:19 w:12; pErr:0.3328, weight 12 CW found:20191, wDict:12:2941,13:550,14:2058,15:2717,16:1560,17:174</t>
  </si>
  <si>
    <t>[[57,4,13]]</t>
  </si>
  <si>
    <t>Gen:0 Trial:0 w:17; Trial:1 w:16; Trial:3 w:15; Trial:13 w:14; Trial:49 w:13; pErr:0.3382, weight 13 CW found:20728, wDict:13:3023,14:952,15:2504,16:2503,17:972,18:46</t>
  </si>
  <si>
    <t>[[58,12,10]]</t>
  </si>
  <si>
    <t>Gen:0 Trial:0 w:13; Trial:4 w:11; Trial:14 w:10; pErr:0.3403, weight 10 CW found:15432, wDict:10:2066,11:890,12:2007,13:3242,14:1643,15:152</t>
  </si>
  <si>
    <t>[[59,12,10]]</t>
  </si>
  <si>
    <t>Gen:0 Trial:0 w:12; Trial:17 w:11; Trial:61 w:10; pErr:0.3361, weight 10 CW found:15189, wDict:10:2022,11:513,12:1613,13:2984,14:2443,15:420,16:5</t>
  </si>
  <si>
    <t>[[60,10,11]]</t>
  </si>
  <si>
    <t>Gen:0 Trial:0 w:13; Trial:84 w:12; Gen:2 Trial:280 w:11; pErr:0.3308, weight 11 CW found:37739, wDict:11:2280,12:215,13:676,14:1597,15:2690,16:2046,17:468,18:28</t>
  </si>
  <si>
    <t>[[61,10,11]]</t>
  </si>
  <si>
    <t>Gen:0 Trial:0 w:14; Trial:21 w:13; Trial:43 w:12; Gen:1 Trial:194 w:11; pErr:0.3374, weight 11 CW found:39056, wDict:11:2188,12:164,13:696,14:1629,15:2718,16:2085,17:496,18:24</t>
  </si>
  <si>
    <t>[[62,16,10]]</t>
  </si>
  <si>
    <t>Gen:0 Trial:0 w:14; Trial:3 w:13; Trial:30 w:11; Trial:93 w:10; pErr:0.3412, weight 10 CW found:42479, wDict:10:1516,11:347,12:1065,13:2374,14:3078,15:1461,16:157,17:2</t>
  </si>
  <si>
    <t>[[63,8,13]]</t>
  </si>
  <si>
    <t>Gen:0 Trial:0 w:16; Trial:2 w:14; Trial:15 w:13; pErr:0.3493, weight 13 CW found:15243, wDict:13:1902,14:982,15:2409,16:3033,17:1516,18:158</t>
  </si>
  <si>
    <t>[[64,13,12]]</t>
  </si>
  <si>
    <t>Gen:0 Trial:0 w:14; Trial:9 w:13; Trial:38 w:12; pErr:0.3381, weight 12 CW found:20781, wDict:12:1912,13:1224,14:2495,15:3080,16:1214,17:75</t>
  </si>
  <si>
    <t>[[65,5,14]]</t>
  </si>
  <si>
    <t>Gen:0 Trial:0 w:16; Trial:29 w:15; Gen:3 Trial:383 w:14; pErr:0.3432, weight 14 CW found:37032, wDict:14:2401,15:285,16:453,17:1401,18:2130,19:2296,20:901,21:130,22:3</t>
  </si>
  <si>
    <t>[[66,5,14]]</t>
  </si>
  <si>
    <t>Gen:0 Trial:0 w:20; Trial:1 w:19; Trial:3 w:17; Trial:12 w:16; Trial:38 w:15; Gen:2 Trial:232 w:14; pErr:0.3448, weight 14 CW found:38074, wDict:14:2278,15:285,16:514,17:1305,18:2185,19:2303,20:993,21:131,22:6</t>
  </si>
  <si>
    <t>[[67,5,14]]</t>
  </si>
  <si>
    <t>Gen:0 Trial:0 w:19; Trial:5 w:18; Trial:9 w:17; Trial:15 w:16; Trial:52 w:15; Gen:12 Trial:1292 w:14; pErr:0.3403, weight 14 CW found:32749, wDict:14:2286,15:322,16:317,17:770,18:1569,19:2382,20:1751,21:567,22:35,23:1</t>
  </si>
  <si>
    <t>[[68,5,14]]</t>
  </si>
  <si>
    <t>Gen:0 Trial:0 w:20; Trial:1 w:18; Trial:4 w:17; Trial:95 w:16; Gen:1 Trial:185 w:15; Gen:2 Trial:248 w:14; pErr:0.3406, weight 14 CW found:37214, wDict:14:2548,15:126,16:351,17:845,18:1512,19:2292,20:1722,21:563,22:40,23:1</t>
  </si>
  <si>
    <t>[[69,5,14]]</t>
  </si>
  <si>
    <t>Gen:0 Trial:0 w:18; Trial:4 w:17; Trial:12 w:15; Trial:25 w:14; pErr:0.3405, weight 14 CW found:37641, wDict:14:2612,15:133,16:358,17:802,18:1443,19:2288,20:1731,21:597,22:36</t>
  </si>
  <si>
    <t>[[70,5,14]]</t>
  </si>
  <si>
    <t>Gen:0 Trial:0 w:19; Trial:3 w:17; Trial:27 w:14; pErr:0.3379, weight 14 CW found:37591, wDict:14:2547,15:119,16:293,17:819,18:1598,19:2303,20:1709,21:576,22:35,23:1</t>
  </si>
  <si>
    <t>[[71,5,15]]</t>
  </si>
  <si>
    <t>Gen:0 Trial:0 w:21; Trial:2 w:20; Trial:4 w:19; Trial:28 w:18; Trial:43 w:17; Gen:4 Trial:424 w:16; Gen:8 Trial:884 w:15; pErr:0.3461, weight 15 CW found:35316, wDict:15:2246,16:153,17:270,18:634,19:1363,20:2071,21:2215,22:884,23:161,24:3</t>
  </si>
  <si>
    <t>[[72,5,15]]</t>
  </si>
  <si>
    <t>Gen:0 Trial:0 w:21; Trial:1 w:19; Trial:6 w:18; Trial:86 w:17; Gen:2 Trial:297 w:16; Gen:6 Trial:636 w:15; pErr:0.3436, weight 15 CW found:35829, wDict:15:2303,16:223,17:302,18:582,19:1388,20:2021,21:2142,22:903,23:132,24:4</t>
  </si>
  <si>
    <t>[[73,5,15]]</t>
  </si>
  <si>
    <t>Gen:0 Trial:0 w:21; Trial:2 w:20; Trial:18 w:19; Trial:35 w:18; Trial:40 w:17; Gen:1 Trial:110 w:16; Gen:22 Trial:2264 w:15; pErr:0.3438, weight 15 CW found:29491, wDict:15:1963,16:555,17:158,18:374,19:872,20:1552,21:2231,22:1701,23:545,24:49</t>
  </si>
  <si>
    <t>[[74,5,15]]</t>
  </si>
  <si>
    <t>Gen:0 Trial:0 w:22; Trial:1 w:18; Trial:25 w:17; Gen:1 Trial:126 w:16; Gen:27 Trial:2746 w:15; pErr:0.3423, weight 15 CW found:27290, wDict:15:1837,16:712,17:133,18:352,19:792,20:1643,21:2280,22:1636,23:571,24:43,25:1</t>
  </si>
  <si>
    <t>[[75,5,15]]</t>
  </si>
  <si>
    <t>Gen:0 Trial:0 w:23; Trial:1 w:21; Trial:5 w:20; Trial:37 w:18; Gen:1 Trial:196 w:17; Gen:35 Trial:3545 w:15; pErr:0.3392, weight 15 CW found:23994, wDict:15:1777,16:7,17:484,18:454,19:489,20:1076,21:1994,22:2102,23:1338,24:258,25:21</t>
  </si>
  <si>
    <t>[[76,5,15]]</t>
  </si>
  <si>
    <t>Gen:0 Trial:0 w:22; Trial:1 w:21; Trial:2 w:20; Trial:3 w:18; Trial:40 w:16; Gen:29 Trial:2912 w:15; pErr:0.3382, weight 15 CW found:12180, wDict:15:2101,16:827,17:88,18:284,19:673,20:1406,21:2289,22:1793,23:511,24:28</t>
  </si>
  <si>
    <t>[[77,5,15]]</t>
  </si>
  <si>
    <t>Gen:0 Trial:0 w:19; Gen:2 Trial:210 w:18; Trial:220 w:17; Gen:31 Trial:3145 w:16; pErr:0.3429, weight 16 CW found:25759, wDict:16:1808,17:759,18:62,19:272,20:641,21:1374,22:2069,23:2038,24:821,25:151,26:5</t>
  </si>
  <si>
    <t>Gen:0 Trial:0 w:17; Trial:1 w:16; Trial:47 w:15; Gen:1 Trial:126 w:14; Gen:23 Trial:2361 w:13; pErr:0.3160, weight 13 CW found:14285, wDict:13:1799,14:448,15:338,16:592,17:1298,18:2425,19:2357,20:712,21:31</t>
  </si>
  <si>
    <t>Gen:0 Trial:0 w:19; Trial:2 w:18; Trial:17 w:17; Trial:85 w:16; Gen:1 Trial:188 w:15; Gen:9 Trial:940 w:14; pErr:0.3465, weight 14 CW found:17211, wDict:14:1454,15:497,16:312,17:744,18:1801,19:2742,20:2017,21:423,22:10</t>
  </si>
  <si>
    <t>Gen:0 Trial:0 w:23; Trial:2 w:18; Gen:2 Trial:234 w:16; pErr:0.3370, weight 16 CW found:36552, wDict:16:2408,17:30,18:162,19:272,20:681,21:1363,22:2159,23:2016,24:796,25:111,26:2</t>
  </si>
  <si>
    <t>Gen:0 Trial:0 w:20; Trial:15 w:19; Trial:24 w:17; Trial:37 w:16; Gen:54 Trial:5428 w:15; pErr:0.3428, weight 15 CW found:7230, wDict:15:991,16:1142,17:173,18:456,19:1171,20:2326,21:2516,22:1102,23:122,24:1</t>
  </si>
  <si>
    <t>Gen:0 Trial:0 w:22; Trial:1 w:20; Trial:6 w:19; Trial:98 w:18; Gen:11 Trial:1162 w:17; Gen:36 Trial:3628 w:16; pErr:0.3431, weight 16 CW found:9191, wDict:16:1534,17:589,18:347,19:255,20:695,21:1489,22:2467,23:2005,24:594,25:25</t>
  </si>
  <si>
    <t>Gen:0 Trial:0 w:18; Trial:71 w:17; Gen:1 Trial:132 w:16; Gen:15 Trial:1597 w:15; pErr:0.3449, weight 15 CW found:13405, wDict:15:1675,16:277,17:151,18:513,19:1246,20:2318,21:2636,22:1095,23:89</t>
  </si>
  <si>
    <t>Gen:0 Trial:0 w:21; Trial:2 w:19; Gen:58 Trial:5871 w:18; pErr:0.3463, weight 18 CW found:15753, wDict:18:997,19:1449,20:106,21:296,22:747,23:1311,24:2204,25:1848,26:908,27:130,28:4</t>
  </si>
  <si>
    <t>Gen:0 Trial:0 w:23; Trial:1 w:22; Trial:2 w:19; Trial:22 w:18; Gen:3 Trial:309 w:17; pErr:0.3485, weight 17 CW found:15753, wDict:17:1873,18:175,19:366,20:924,21:2003,22:2658,23:1691,24:306,25:4</t>
  </si>
  <si>
    <t>Gen:0 Trial:0 w:27; Trial:1 w:25; Trial:2 w:24; Trial:9 w:23; Trial:14 w:21; Gen:4 Trial:445 w:20; Gen:5 Trial:556 w:19; pErr:0.3366, weight 19 CW found:17416, wDict:19:2686,20:129,21:366,22:437,23:1024,24:1864,25:2250,26:1069,27:170,28:5</t>
  </si>
  <si>
    <t>Gen:0 Trial:0 w:24; Trial:1 w:23; Trial:3 w:22; Trial:8 w:21; Gen:1 Trial:141 w:20; Gen:6 Trial:619 w:19; pErr:0.3435, weight 19 CW found:18520, wDict:19:2103,20:410,21:277,22:593,23:1263,24:2268,25:2145,26:860,27:79,28:2</t>
  </si>
  <si>
    <t>Gen:0 Trial:0 w:22; Trial:22 w:20; Gen:9 Trial:919 w:19; pErr:0.3477, weight 19 CW found:15741, wDict:19:2426,20:287,21:228,22:589,23:1327,24:2185,25:1999,26:862,27:96,28:1</t>
  </si>
  <si>
    <t>Gen:0 Trial:0 w:28; Trial:2 w:27; Trial:3 w:26; Trial:7 w:25; Trial:47 w:24; Trial:66 w:22; Gen:1 Trial:107 w:20; Gen:18 Trial:1826 w:19; pErr:0.3420, weight 19 CW found:30146, wDict:19:2355,20:567,21:97,22:113,23:275,24:444,25:994,26:1250,27:2091,28:1183,29:585,30:44,31:2</t>
  </si>
  <si>
    <t>Gen:0 Trial:0 w:30; Trial:1 w:29; Trial:2 w:27; Trial:7 w:23; Trial:22 w:22; Gen:1 Trial:109 w:21; Gen:12 Trial:1266 w:20; pErr:0.3482, weight 20 CW found:32802, wDict:20:2263,21:272,22:58,23:186,24:425,25:984,26:1329,27:2338,28:1437,29:653,30:53,31:2</t>
  </si>
  <si>
    <t>Gen:0 Trial:0 w:24; Trial:2 w:23; Trial:14 w:21; Gen:1 Trial:111 w:20; Gen:10 Trial:1006 w:19; pErr:0.3490, weight 19 CW found:13897, wDict:19:2290,20:250,21:259,22:470,23:1154,24:2014,25:2276,26:1137,27:147,28:3</t>
  </si>
  <si>
    <t>Gen:0 Trial:0 w:28; Trial:1 w:26; Trial:5 w:24; Trial:7 w:23; Trial:24 w:21; Gen:14 Trial:1409 w:20; pErr:0.3430, weight 20 CW found:14137, wDict:20:2566,21:478,22:71,23:138,24:403,25:815,26:1569,27:1927,28:1537,29:463,30:33</t>
  </si>
  <si>
    <t>Gen:0 Trial:0 w:27; Trial:6 w:25; Trial:22 w:24; Trial:23 w:22; Gen:15 Trial:1559 w:21; Gen:47 Trial:4723 w:20; pErr:0.3461, weight 20 CW found:19714, wDict:20:1350,21:868,22:316,23:95,24:240,25:626,26:1202,27:1730,28:2154,29:1092,30:312,31:15</t>
  </si>
  <si>
    <t>Gen:0 Trial:0 w:25; Trial:5 w:24; Trial:61 w:22; Gen:6 Trial:688 w:21; Gen:27 Trial:2722 w:20; pErr:0.3461, weight 20 CW found:26625, wDict:20:1583,21:959,22:139,23:120,24:295,25:538,26:1198,27:1750,28:2022,29:1103,30:270,31:23</t>
  </si>
  <si>
    <t>Gen:0 Trial:0 w:24; Trial:2 w:23; Trial:31 w:22; Trial:84 w:21; Gen:2 Trial:239 w:19; pErr:0.3472, weight 19 CW found:16778, wDict:19:2593,20:84,21:274,22:558,23:1289,24:2224,25:2057,26:836,27:84,28:1</t>
  </si>
  <si>
    <t>Gen:0 Trial:0 w:19; Trial:2 w:16; Trial:6 w:14; pErr:0.3488, weight 14 CW found:16036, wDict:14:797,15:308,16:554,17:1241,18:2599,19:3071,20:1339,21:90,22:1</t>
  </si>
  <si>
    <t>Gen:0 Trial:0 w:24; Trial:12 w:23; Trial:41 w:20; Gen:41 Trial:4160 w:19; pErr:0.3273, weight 19 CW found:11424, wDict:19:1510,20:1258,21:241,22:598,23:1282,24:2166,25:2027,26:848,27:69,28:1</t>
  </si>
  <si>
    <t>Gen:0 Trial:0 w:25; Trial:25 w:24; Trial:39 w:23; Gen:3 Trial:342 w:21; pErr:0.3313, weight 21 CW found:18792, wDict:21:2827,22:100,23:79,24:164,25:592,26:804,27:2205,28:1582,29:1458,30:176,31:13</t>
  </si>
  <si>
    <t>Gen:0 Trial:0 w:25; Trial:6 w:23; Gen:2 Trial:263 w:22; Gen:4 Trial:487 w:21; pErr:0.3465, weight 21 CW found:35422, wDict:21:2543,22:97,23:88,24:179,25:414,26:643,27:1499,28:1598,29:2030,30:714,31:189,32:5,33:1</t>
  </si>
  <si>
    <t>Gen:0 Trial:0 w:26; Trial:2 w:25; Trial:13 w:21; Gen:43 Trial:4388 w:20; pErr:0.3372, weight 20 CW found:20651, wDict:20:1799,21:1176,22:75,23:91,24:294,25:577,26:1154,27:1641,28:1916,29:982,30:273,31:22</t>
  </si>
  <si>
    <t>Gen:0 Trial:0 w:26; Trial:17 w:25; Trial:20 w:24; Trial:34 w:21; Gen:10 Trial:1087 w:20; pErr:0.3410, weight 20 CW found:32502, wDict:20:2531,21:305,22:56,23:73,24:310,25:557,26:1144,27:1705,28:1982,29:1031,30:293,31:13</t>
  </si>
  <si>
    <t>Gen:0 Trial:0 w:27; Trial:1 w:25; Trial:4 w:23; Trial:36 w:22; Gen:3 Trial:340 w:21; Gen:7 Trial:740 w:19; Gen:53 Trial:5353 w:17; pErr:0.3382, weight 17 CW found:7719, wDict:17:1070,18:16,19:720,20:27,21:143,22:333,23:594,24:1357,25:2334,26:2377,27:952,28:75,29:2</t>
  </si>
  <si>
    <t>Gen:0 Trial:0 w:25; Trial:5 w:22; Gen:7 Trial:711 w:21; Gen:8 Trial:822 w:20; Gen:46 Trial:4691 w:19; pErr:0.3506, weight 19 CW found:20905, wDict:19:813,20:617,21:61,22:202,23:429,24:1010,25:1826,26:2556,27:1880,28:556,29:49,30:1</t>
  </si>
  <si>
    <t>Gen:0 Trial:0 w:27; Trial:6 w:25; Trial:12 w:24; Trial:64 w:22; Gen:12 Trial:1280 w:20; pErr:0.3361, weight 20 CW found:14510, wDict:20:1967,21:7,22:49,23:234,24:192,25:459,26:1124,27:2023,28:2454,29:1278,30:209,31:4</t>
  </si>
  <si>
    <t>Gen:0 Trial:0 w:31; Trial:1 w:29; Trial:7 w:26; Trial:29 w:24; Gen:1 Trial:182 w:23; Gen:3 Trial:399 w:20; pErr:0.3428, weight 20 CW found:13347, wDict:20:2411,21:1,22:2,23:36,24:84,25:96,26:293,27:651,28:1387,29:2173,30:2003,31:799,32:63,33:1</t>
  </si>
  <si>
    <t>Gen:0 Trial:0 w:24; Trial:2 w:20; Gen:5 Trial:573 w:18; Gen:16 Trial:1637 w:16; pErr:0.3409, weight 16 CW found:12918, wDict:16:1641,17:1,18:14,19:17,20:169,21:313,22:694,23:1648,24:2505,25:2275,26:684,27:39</t>
  </si>
  <si>
    <t>Gen:0 Trial:0 w:28; Trial:3 w:25; Trial:36 w:24; Gen:4 Trial:458 w:23; Gen:29 Trial:2981 w:21; pErr:0.3531, weight 21 CW found:10191, wDict:21:86,22:931,23:682,24:198,25:223,26:560,27:1253,28:2098,29:2543,30:1216,31:204,32:6</t>
  </si>
  <si>
    <t>Gen:0 Trial:0 w:23; Trial:1 w:21; Trial:2 w:20; Trial:25 w:19; Trial:33 w:16; Gen:39 Trial:3982 w:15; pErr:0.3608, weight 15 CW found:26605, wDict:15:16,16:37,17:113,18:256,19:649,20:1284,21:2526,22:3058,23:1758,24:297,25:6</t>
  </si>
  <si>
    <t>Gen:0 Trial:0 w:23; Trial:1 w:22; Trial:5 w:21; Trial:14 w:20; Trial:91 w:19; Gen:1 Trial:113 w:18; Gen:11 Trial:1160 w:16; pErr:0.3576, weight 16 CW found:13905, wDict:16:126,17:108,18:227,19:263,20:583,21:1259,22:2556,23:3099,24:1593,25:185,26:1</t>
  </si>
  <si>
    <t>Gen:0 Trial:0 w:22; Trial:2 w:18; Gen:2 Trial:223 w:17; Trial:276 w:16; pErr:0.3596, weight 16 CW found:15436, wDict:16:32,17:131,18:150,19:365,20:812,21:1591,22:3013,23:2884,24:963,25:59</t>
  </si>
  <si>
    <t>Gen:0 Trial:0 w:21; Trial:6 w:20; Trial:15 w:19; Trial:90 w:18; Gen:1 Trial:173 w:17; Gen:6 Trial:663 w:16; pErr:0.3587, weight 16 CW found:14892, wDict:16:226,17:30,18:181,19:468,20:965,21:2091,22:3245,23:2342,24:445,25:7</t>
  </si>
  <si>
    <t>Gen:0 Trial:0 w:25; Trial:2 w:24; Trial:8 w:21; Gen:1 Trial:161 w:20; Gen:22 Trial:2270 w:19; pErr:0.3300, weight 19 CW found:28214, wDict:19:2229,20:286,21:520,22:180,23:355,24:426,25:720,26:1222,27:1708,28:1548,29:688,30:113,31:5</t>
  </si>
  <si>
    <t>Gen:0 Trial:0 w:22; Trial:6 w:21; Trial:34 w:18; Gen:3 Trial:371 w:16; Gen:36 Trial:3664 w:15; Gen:63 Trial:6337 w:14; pErr:0.3610, weight 14 CW found:16077, wDict:14:2,15:1,16:231,17:32,18:45,19:132,20:342,21:625,22:1325,23:2322,24:2897,25:1702,26:330,27:14</t>
  </si>
  <si>
    <t>Gen:0 Trial:0 w:24; Trial:1 w:21; Trial:51 w:19; Trial:98 w:18; Gen:15 Trial:1587 w:16; Gen:45 Trial:4505 w:14; pErr:0.3534, weight 14 CW found:23620, wDict:14:173,16:110,17:46,18:127,19:213,20:476,21:999,22:2046,23:2901,24:2199,25:660,26:50</t>
  </si>
  <si>
    <t>Gen:0 Trial:0 w:35; Trial:2 w:31; Trial:45 w:29; Gen:1 Trial:138 w:27; Gen:7 Trial:716 w:25; pErr:0.3530, weight 25 CW found:44562, wDict:25:2471,27:233,29:115,31:608,33:2098,35:3422,37:1032,39:21</t>
  </si>
  <si>
    <t>Gen:0 Trial:0 w:32; Trial:8 w:30; Trial:78 w:25; Gen:39 Trial:3998 w:24; pErr:0.3452, weight 24 CW found:21762, wDict:24:1542,25:1080,26:17,27:54,28:88,29:113,30:351,31:464,32:1221,33:1402,34:2191,35:945,36:501,37:30,38:1</t>
  </si>
  <si>
    <t>Gen:0 Trial:0 w:32; Trial:2 w:28; Trial:22 w:27; Gen:2 Trial:269 w:26; Gen:4 Trial:492 w:25; Gen:14 Trial:1402 w:24; pErr:0.3448, weight 24 CW found:31383, wDict:24:2366,25:212,26:59,27:127,28:70,29:96,30:286,31:479,32:1316,33:1313,34:2195,35:966,36:484,37:27,38:4</t>
  </si>
  <si>
    <t>Gen:0 Trial:0 w:35; Trial:6 w:31; Trial:18 w:29; Gen:3 Trial:376 w:27; Gen:11 Trial:1179 w:25; pErr:0.3509, weight 25 CW found:41734, wDict:25:2489,27:203,29:166,31:563,33:2206,35:3271,37:1077,39:25</t>
  </si>
  <si>
    <t>Gen:0 Trial:0 w:24; Trial:1 w:23; Trial:5 w:22; Trial:29 w:21; Trial:30 w:20; Trial:32 w:17; Gen:57 Trial:5729 w:16; pErr:0.3607, weight 16 CW found:18648, wDict:16:1,17:8,18:36,19:66,20:217,21:460,22:879,23:1752,24:2767,25:2659,26:1054,27:101</t>
  </si>
  <si>
    <t>Gen:0 Trial:0 w:22; Trial:1 w:19; Trial:6 w:18; Gen:2 Trial:252 w:17; Gen:53 Trial:5331 w:16; pErr:0.3584, weight 16 CW found:7452, wDict:16:90,17:16,18:78,19:205,20:417,21:867,22:1819,23:3068,24:2679,25:734,26:27</t>
  </si>
  <si>
    <t>Gen:0 Trial:0 w:26; Trial:1 w:24; Trial:3 w:21; Trial:4 w:20; Gen:1 Trial:106 w:19; Gen:10 Trial:1051 w:18; Gen:66 Trial:6690 w:17; Gen:94 Trial:9437 w:16; pErr:0.3582, weight 16 CW found:974, wDict:16:2,17:207,18:29,19:95,20:109,21:223,22:655,23:1309,24:2519,25:3081,26:1570,27:197,28:4</t>
  </si>
  <si>
    <t>Gen:0 Trial:0 w:25; Trial:1 w:24; Trial:8 w:23; Trial:24 w:21; Trial:57 w:20; Gen:4 Trial:444 w:19; Gen:18 Trial:1820 w:16; pErr:0.3499, weight 16 CW found:15427, wDict:16:671,17:12,18:47,19:31,20:132,21:318,22:618,23:1417,24:2693,25:2815,26:1157,27:88,28:1</t>
  </si>
  <si>
    <t>Gen:0 Trial:0 w:25; Trial:4 w:23; Trial:32 w:22; Gen:1 Trial:157 w:21; Gen:3 Trial:315 w:20; Gen:13 Trial:1357 w:18; Gen:28 Trial:2899 w:17; pErr:0.3616, weight 17 CW found:30937, wDict:17:1,18:22,19:13,20:96,21:314,22:594,23:1109,24:2153,25:2936,26:2164,27:556,28:42</t>
  </si>
  <si>
    <t>outfile: /home/ucapmwe/dist-benchmark/results/codeTables-QECC_sample.txt-QDistEvol-20260215_181907.677069_85062422.txt</t>
  </si>
  <si>
    <t>Gen:0 Trial:0 w:1; pErr:0.0000, weight 1 CW found:3, wDict:1:10000</t>
  </si>
  <si>
    <t>Gen:0 Trial:0 w:2; pErr:0.0000, weight 2 CW found:8, wDict:2:10000</t>
  </si>
  <si>
    <t>Gen:0 Trial:0 w:3; pErr:0.0000, weight 3 CW found:30, wDict:3:10000</t>
  </si>
  <si>
    <t>Gen:0 Trial:0 w:3; pErr:0.0000, weight 3 CW found:21, wDict:3:10000</t>
  </si>
  <si>
    <t>Gen:0 Trial:0 w:4; pErr:0.0000, weight 4 CW found:53, wDict:4:9994,5:6</t>
  </si>
  <si>
    <t>Gen:0 Trial:0 w:5; pErr:0.0000, weight 5 CW found:198, wDict:5:10000</t>
  </si>
  <si>
    <t>Gen:0 Trial:0 w:3; pErr:0.0000, weight 3 CW found:216, wDict:3:9832,4:168</t>
  </si>
  <si>
    <t>Gen:0 Trial:0 w:3; pErr:0.0000, weight 3 CW found:216, wDict:3:9841,4:159</t>
  </si>
  <si>
    <t>Gen:0 Trial:0 w:5; pErr:0.0000, weight 5 CW found:365, wDict:5:9932,6:68</t>
  </si>
  <si>
    <t>Gen:0 Trial:0 w:5; pErr:0.0000, weight 5 CW found:365, wDict:5:9927,6:73</t>
  </si>
  <si>
    <t>Gen:0 Trial:0 w:6; pErr:0.0000, weight 6 CW found:224, wDict:6:10000</t>
  </si>
  <si>
    <t>Gen:0 Trial:0 w:5; pErr:0.0000, weight 5 CW found:189, wDict:5:10000</t>
  </si>
  <si>
    <t>Gen:0 Trial:0 w:5; pErr:0.0000, weight 5 CW found:440, wDict:5:9991,6:9</t>
  </si>
  <si>
    <t>Gen:0 Trial:0 w:5; pErr:0.0000, weight 5 CW found:469, wDict:5:9988,6:12</t>
  </si>
  <si>
    <t>Gen:0 Trial:0 w:6; pErr:0.0000, weight 6 CW found:573, wDict:6:9958,7:42</t>
  </si>
  <si>
    <t>Gen:0 Trial:0 w:6; pErr:0.0000, weight 6 CW found:555, wDict:6:9958,7:42</t>
  </si>
  <si>
    <t>Gen:0 Trial:0 w:5; pErr:0.0000, weight 5 CW found:972, wDict:5:9925,6:75</t>
  </si>
  <si>
    <t>Gen:0 Trial:0 w:7; pErr:0.0000, weight 7 CW found:1544, wDict:7:9619,8:381</t>
  </si>
  <si>
    <t>Gen:0 Trial:0 w:6; Trial:1 w:5; pErr:0.0000, weight 5 CW found:2347, wDict:5:4447,6:5510,7:43</t>
  </si>
  <si>
    <t>Gen:0 Trial:0 w:5; pErr:0.0000, weight 5 CW found:2617, wDict:5:4527,6:5415,7:58</t>
  </si>
  <si>
    <t>Gen:0 Trial:0 w:6; pErr:0.0000, weight 6 CW found:3346, wDict:6:6832,7:3152,8:16</t>
  </si>
  <si>
    <t>Gen:0 Trial:0 w:6; pErr:0.0000, weight 6 CW found:3275, wDict:6:6808,7:3179,8:13</t>
  </si>
  <si>
    <t>Gen:0 Trial:0 w:6; pErr:0.0000, weight 6 CW found:3194, wDict:6:6868,7:3125,8:7</t>
  </si>
  <si>
    <t>Gen:0 Trial:0 w:8; Trial:1 w:7; pErr:0.0003, weight 7 CW found:3167, wDict:7:8728,8:1265,9:7</t>
  </si>
  <si>
    <t>Gen:0 Trial:0 w:6; pErr:0.0001, weight 6 CW found:2698, wDict:6:7524,7:2466,8:10</t>
  </si>
  <si>
    <t>Gen:0 Trial:0 w:6; pErr:0.0001, weight 6 CW found:2702, wDict:6:7606,7:2384,8:10</t>
  </si>
  <si>
    <t>Gen:0 Trial:0 w:8; pErr:0.0001, weight 8 CW found:3115, wDict:8:9450,9:547,10:3</t>
  </si>
  <si>
    <t>Gen:0 Trial:0 w:8; pErr:0.0107, weight 8 CW found:10999, wDict:8:7517,9:2418,10:65</t>
  </si>
  <si>
    <t>Gen:0 Trial:0 w:5; pErr:0.0096, weight 5 CW found:6673, wDict:5:8511,6:1489</t>
  </si>
  <si>
    <t>Gen:0 Trial:0 w:9; pErr:0.0189, weight 9 CW found:5454, wDict:9:6837,10:3009,11:154</t>
  </si>
  <si>
    <t>Gen:0 Trial:0 w:9; pErr:0.0194, weight 9 CW found:5557, wDict:9:6879,10:2944,11:176,12:1</t>
  </si>
  <si>
    <t>Gen:0 Trial:0 w:9; pErr:0.0185, weight 9 CW found:5410, wDict:9:6965,10:2873,11:162</t>
  </si>
  <si>
    <t>Gen:0 Trial:0 w:11; Trial:1 w:9; pErr:0.0187, weight 9 CW found:5338, wDict:9:6899,10:2944,11:157</t>
  </si>
  <si>
    <t>Gen:0 Trial:0 w:9; pErr:0.0274, weight 9 CW found:4938, wDict:9:4410,10:4336,11:1117,12:136,13:1</t>
  </si>
  <si>
    <t>Gen:0 Trial:0 w:9; pErr:0.0265, weight 9 CW found:5110, wDict:9:6433,10:2838,11:703,12:26</t>
  </si>
  <si>
    <t>Gen:0 Trial:0 w:12; Trial:1 w:11; pErr:0.1047, weight 11 CW found:8378, wDict:11:6375,12:2437,13:1168,14:20</t>
  </si>
  <si>
    <t>Gen:0 Trial:0 w:11; Trial:3 w:10; Trial:23 w:9; pErr:0.1179, weight 9 CW found:9835, wDict:9:3129,10:1559,11:3573,12:1625,13:114</t>
  </si>
  <si>
    <t>Gen:0 Trial:0 w:12; Trial:1 w:11; Trial:2 w:10; Trial:10 w:9; pErr:0.1515, weight 9 CW found:16649, wDict:9:2829,10:1722,11:3453,12:1788,13:207,14:1</t>
  </si>
  <si>
    <t>Gen:0 Trial:0 w:10; Trial:35 w:9; pErr:0.1505, weight 9 CW found:8371, wDict:9:2858,10:2001,11:3238,12:1736,13:163,14:4</t>
  </si>
  <si>
    <t>Gen:0 Trial:0 w:12; Trial:1 w:10; Trial:14 w:9; pErr:0.1599, weight 9 CW found:8838, wDict:9:2595,10:2023,11:3303,12:1882,13:196,14:1</t>
  </si>
  <si>
    <t>Gen:0 Trial:0 w:10; Trial:10 w:9; pErr:0.1138, weight 9 CW found:8633, wDict:9:2849,10:2469,11:2760,12:1488,13:411,14:23</t>
  </si>
  <si>
    <t>Gen:0 Trial:0 w:12; Trial:3 w:10; Gen:1 Trial:116 w:9; pErr:0.1046, weight 9 CW found:13068, wDict:9:3011,10:2615,11:2413,12:1374,13:545,14:42</t>
  </si>
  <si>
    <t>Gen:0 Trial:0 w:13; Trial:1 w:12; Trial:2 w:11; Trial:41 w:10; pErr:0.0900, weight 10 CW found:8069, wDict:10:2597,11:2089,12:3145,13:1386,14:690,15:92,16:1</t>
  </si>
  <si>
    <t>Gen:0 Trial:0 w:9; Trial:1 w:7; pErr:0.2298, weight 7 CW found:13706, wDict:7:1418,8:1513,9:4722,10:2258,11:89</t>
  </si>
  <si>
    <t>Gen:0 Trial:0 w:10; Trial:12 w:9; Trial:99 w:8; pErr:0.2304, weight 8 CW found:11716, wDict:8:1517,9:1095,10:3542,11:3121,12:712,13:13</t>
  </si>
  <si>
    <t>Gen:0 Trial:0 w:11; Trial:1 w:10; Trial:41 w:9; pErr:0.1987, weight 9 CW found:11183, wDict:9:1826,10:2849,11:3300,12:1801,13:223,14:1</t>
  </si>
  <si>
    <t>Gen:0 Trial:0 w:12; Trial:12 w:11; pErr:0.2541, weight 11 CW found:22125, wDict:11:4083,12:2552,13:2255,14:1037,15:73</t>
  </si>
  <si>
    <t>Gen:0 Trial:0 w:14; Trial:12 w:12; Trial:65 w:11; pErr:0.2091, weight 11 CW found:12443, wDict:11:2564,12:762,13:1999,14:2754,15:1715,16:202,17:4</t>
  </si>
  <si>
    <t>Gen:0 Trial:0 w:12; Trial:2 w:11; Trial:11 w:10; pErr:0.2909, weight 10 CW found:24808, wDict:10:1807,11:1191,12:2748,13:3010,14:1166,15:76,16:2</t>
  </si>
  <si>
    <t>Gen:0 Trial:0 w:14; Trial:1 w:13; Gen:1 Trial:127 w:12; pErr:0.2430, weight 12 CW found:19818, wDict:12:2396,13:687,14:1438,15:2627,16:2080,17:714,18:57,19:1</t>
  </si>
  <si>
    <t>Gen:0 Trial:0 w:15; Trial:6 w:14; Trial:41 w:12; pErr:0.2107, weight 12 CW found:12420, wDict:12:2681,13:458,14:1575,15:2696,16:2103,17:476,18:11</t>
  </si>
  <si>
    <t>Gen:0 Trial:0 w:16; Trial:11 w:15; Trial:14 w:14; Trial:52 w:13; pErr:0.2346, weight 13 CW found:13214, wDict:13:2498,14:707,15:2218,16:2727,17:1662,18:183,19:5</t>
  </si>
  <si>
    <t>Gen:0 Trial:0 w:14; Trial:1 w:13; Trial:5 w:12; Trial:14 w:10; pErr:0.2967, weight 10 CW found:12984, wDict:10:1587,11:595,12:1683,13:2991,14:2599,15:532,16:13</t>
  </si>
  <si>
    <t>Gen:0 Trial:0 w:15; Trial:1 w:14; Trial:5 w:12; Trial:48 w:11; Trial:54 w:10; pErr:0.2950, weight 10 CW found:12826, wDict:10:1800,11:343,12:1175,13:2616,14:2921,15:1085,16:60</t>
  </si>
  <si>
    <t>Gen:0 Trial:0 w:14; Trial:5 w:12; Trial:61 w:11; pErr:0.2791, weight 11 CW found:22612, wDict:11:2256,12:188,13:648,14:1625,15:2585,16:2115,17:554,18:27,19:2</t>
  </si>
  <si>
    <t>Gen:0 Trial:0 w:16; Trial:3 w:15; Trial:4 w:14; Trial:25 w:13; Trial:42 w:12; Gen:4 Trial:435 w:11; pErr:0.2793, weight 11 CW found:21492, wDict:11:2197,12:269,13:596,14:1657,15:2688,16:2058,17:508,18:27</t>
  </si>
  <si>
    <t>Gen:0 Trial:0 w:14; Trial:1 w:12; Trial:14 w:11; Trial:72 w:10; pErr:0.3126, weight 10 CW found:25959, wDict:10:1296,11:440,12:1092,13:2442,14:3113,15:1453,16:164</t>
  </si>
  <si>
    <t>Gen:0 Trial:0 w:16; Trial:1 w:15; Trial:5 w:14; Trial:82 w:13; pErr:0.2949, weight 13 CW found:12221, wDict:13:1808,14:703,15:1712,16:2885,17:2357,18:522,19:13</t>
  </si>
  <si>
    <t>Gen:0 Trial:0 w:15; Trial:2 w:13; Gen:3 Trial:357 w:12; pErr:0.3004, weight 12 CW found:15499, wDict:12:1625,13:969,14:2076,15:3088,16:1959,17:280,18:3</t>
  </si>
  <si>
    <t>Gen:0 Trial:0 w:17; Trial:9 w:16; Trial:20 w:15; Gen:2 Trial:283 w:14; pErr:0.2693, weight 14 CW found:20589, wDict:14:2406,15:201,16:560,17:1347,18:2111,19:2252,20:982,21:138,22:3</t>
  </si>
  <si>
    <t>Gen:0 Trial:0 w:19; Trial:2 w:17; Trial:23 w:15; Trial:95 w:14; pErr:0.2652, weight 14 CW found:20685, wDict:14:2451,15:222,16:530,17:1310,18:2118,19:2265,20:969,21:135</t>
  </si>
  <si>
    <t>Gen:0 Trial:0 w:20; Trial:1 w:18; Trial:6 w:17; Trial:44 w:16; Gen:1 Trial:132 w:14; pErr:0.2676, weight 14 CW found:20609, wDict:14:1634,15:877,16:345,17:839,18:1554,19:2337,20:1790,21:582,22:40,23:2</t>
  </si>
  <si>
    <t>Gen:0 Trial:0 w:19; Trial:1 w:15; Gen:3 Trial:319 w:14; pErr:0.2642, weight 14 CW found:19976, wDict:14:2523,15:164,16:282,17:784,18:1545,19:2266,20:1760,21:619,22:57</t>
  </si>
  <si>
    <t>Gen:0 Trial:0 w:20; Trial:1 w:18; Trial:21 w:17; Trial:49 w:16; Gen:1 Trial:103 w:15; Gen:11 Trial:1171 w:14; pErr:0.2642, weight 14 CW found:18167, wDict:14:2260,15:343,16:271,17:842,18:1525,19:2343,20:1778,21:597,22:41</t>
  </si>
  <si>
    <t>Gen:0 Trial:0 w:18; Trial:10 w:16; Trial:20 w:15; Gen:10 Trial:1090 w:14; pErr:0.2580, weight 14 CW found:18006, wDict:14:2274,15:434,16:260,17:775,18:1561,19:2291,20:1795,21:574,22:35,23:1</t>
  </si>
  <si>
    <t>Gen:0 Trial:0 w:20; Trial:1 w:19; Trial:10 w:18; Trial:42 w:17; Gen:2 Trial:206 w:16; Gen:5 Trial:565 w:15; pErr:0.2715, weight 15 CW found:19647, wDict:15:2359,16:164,17:225,18:557,19:1336,20:2200,21:2179,22:857,23:121,24:2</t>
  </si>
  <si>
    <t>Gen:0 Trial:0 w:20; Trial:7 w:19; Trial:14 w:18; Trial:50 w:17; Gen:4 Trial:480 w:16; Gen:15 Trial:1568 w:15; pErr:0.2691, weight 15 CW found:17566, wDict:15:2144,16:289,17:308,18:575,19:1365,20:2063,21:2205,22:939,23:109,24:3</t>
  </si>
  <si>
    <t>Gen:0 Trial:0 w:19; Trial:2 w:16; Gen:15 Trial:1567 w:15; pErr:0.2717, weight 15 CW found:17695, wDict:15:1803,16:710,17:115,18:320,19:750,20:1549,21:2393,22:1744,23:569,24:46,25:1</t>
  </si>
  <si>
    <t>Gen:0 Trial:0 w:22; Trial:1 w:21; Trial:3 w:20; Trial:5 w:19; Trial:92 w:18; Gen:1 Trial:144 w:16; Gen:3 Trial:349 w:15; pErr:0.2561, weight 15 CW found:18931, wDict:15:2670,16:144,17:115,18:342,19:798,20:1508,21:2256,22:1597,23:539,24:31</t>
  </si>
  <si>
    <t>Gen:0 Trial:0 w:21; Trial:1 w:19; Gen:1 Trial:158 w:18; Trial:173 w:17; Gen:7 Trial:798 w:16; Gen:11 Trial:1146 w:15; pErr:0.2634, weight 15 CW found:17866, wDict:15:2405,16:59,17:180,18:202,19:480,20:1044,21:2004,22:2095,23:1253,24:257,25:20,26:1</t>
  </si>
  <si>
    <t>Gen:0 Trial:0 w:21; Trial:9 w:20; Trial:25 w:18; Gen:1 Trial:107 w:17; Gen:3 Trial:310 w:16; Gen:36 Trial:3674 w:15; pErr:0.2719, weight 15 CW found:7753, wDict:15:1761,16:845,17:139,18:189,19:482,20:1119,21:2068,22:2299,23:978,24:119,25:1</t>
  </si>
  <si>
    <t>Gen:0 Trial:0 w:20; Trial:35 w:19; Gen:1 Trial:136 w:18; Gen:2 Trial:253 w:17; pErr:0.2732, weight 17 CW found:20231, wDict:17:2380,18:112,19:330,20:632,21:1435,22:2109,23:2042,24:838,25:119,26:3</t>
  </si>
  <si>
    <t>Gen:0 Trial:0 w:16; Trial:13 w:14; Gen:50 Trial:5009 w:13; pErr:0.3028, weight 13 CW found:7917, wDict:13:2,14:1302,15:310,16:375,17:1068,18:2300,19:2859,20:1596,21:184,22:4</t>
  </si>
  <si>
    <t>Gen:0 Trial:0 w:21; Trial:1 w:19; Trial:11 w:18; Trial:14 w:17; Trial:21 w:16; Trial:27 w:15; Gen:8 Trial:814 w:14; pErr:0.3203, weight 14 CW found:14117, wDict:14:1571,15:223,16:215,17:595,18:1395,19:2525,20:2541,21:862,22:72,23:1</t>
  </si>
  <si>
    <t>Gen:0 Trial:0 w:23; Trial:1 w:22; Trial:11 w:20; Trial:55 w:19; Trial:69 w:18; Trial:92 w:17; Gen:12 Trial:1272 w:16; pErr:0.2731, weight 16 CW found:18143, wDict:16:2249,17:73,18:279,19:268,20:747,21:1437,22:2148,23:1925,24:775,25:95,26:4</t>
  </si>
  <si>
    <t>Gen:0 Trial:0 w:20; Trial:7 w:18; Gen:1 Trial:158 w:17; Trial:164 w:16; Gen:82 Trial:8216 w:15; pErr:0.3007, weight 15 CW found:2624, wDict:15:31,16:1800,17:98,18:347,19:912,20:1913,21:2612,22:1859,23:415,24:13</t>
  </si>
  <si>
    <t>Gen:0 Trial:0 w:21; Trial:37 w:20; Trial:41 w:19; Trial:65 w:17; pErr:0.2952, weight 17 CW found:11850, wDict:17:2084,18:46,19:203,20:455,21:1210,22:2173,23:2426,24:1222,25:180,26:1</t>
  </si>
  <si>
    <t>Gen:0 Trial:0 w:21; Trial:5 w:20; Trial:11 w:19; Trial:22 w:18; Trial:63 w:17; Gen:2 Trial:281 w:16; Gen:99 Trial:9950 w:15; pErr:0.3403, weight 15 CW found:77, wDict:15:1,16:1318,17:306,18:365,19:968,20:2024,21:2772,22:1870,23:362,24:14</t>
  </si>
  <si>
    <t>Gen:0 Trial:0 w:25; Trial:1 w:23; Trial:8 w:22; Trial:24 w:20; Trial:43 w:19; Gen:14 Trial:1460 w:18; pErr:0.2697, weight 18 CW found:17409, wDict:18:2177,19:369,20:102,21:303,22:701,23:1271,24:2218,25:1847,26:892,27:114,28:6</t>
  </si>
  <si>
    <t>Gen:0 Trial:0 w:23; Trial:1 w:20; Trial:16 w:18; Gen:2 Trial:274 w:17; pErr:0.3166, weight 17 CW found:13352, wDict:17:1661,18:145,19:261,20:654,21:1587,22:2479,23:2348,24:801,25:64</t>
  </si>
  <si>
    <t>Gen:0 Trial:0 w:26; Trial:3 w:25; Trial:4 w:24; Trial:9 w:23; Trial:31 w:22; Gen:1 Trial:124 w:19; pErr:0.2959, weight 19 CW found:12366, wDict:19:1875,20:201,21:158,22:376,23:871,24:1672,25:2425,26:1834,27:550,28:37,29:1</t>
  </si>
  <si>
    <t>Gen:0 Trial:0 w:25; Trial:3 w:24; Trial:4 w:22; Trial:27 w:21; Gen:4 Trial:430 w:20; Gen:13 Trial:1350 w:19; pErr:0.2559, weight 19 CW found:11122, wDict:19:2052,20:287,21:253,22:477,23:1077,24:1900,25:2225,26:1440,27:278,28:11</t>
  </si>
  <si>
    <t>Gen:0 Trial:0 w:25; Trial:1 w:22; Trial:8 w:21; Gen:3 Trial:304 w:20; Gen:37 Trial:3716 w:19; pErr:0.2991, weight 19 CW found:8573, wDict:19:1072,20:1007,21:201,22:453,23:1021,24:2008,25:2423,26:1508,27:297,28:10</t>
  </si>
  <si>
    <t>Gen:0 Trial:0 w:27; Trial:3 w:26; Trial:5 w:24; Trial:36 w:23; Trial:99 w:19; pErr:0.2582, weight 19 CW found:19146, wDict:19:2895,20:11,21:36,22:55,23:198,24:339,25:974,26:1298,27:2257,28:1275,29:604,30:53,31:5</t>
  </si>
  <si>
    <t>Gen:0 Trial:0 w:26; Trial:2 w:25; Trial:14 w:24; Trial:24 w:23; Trial:25 w:21; Gen:10 Trial:1074 w:20; Gen:15 Trial:1506 w:19; pErr:0.2675, weight 19 CW found:17047, wDict:19:810,20:1507,21:292,22:80,23:179,24:411,25:1042,26:1406,27:2294,28:1311,29:598,30:70</t>
  </si>
  <si>
    <t>Gen:0 Trial:0 w:26; Trial:1 w:24; Trial:2 w:23; Trial:5 w:21; Gen:1 Trial:100 w:20; Gen:9 Trial:984 w:19; pErr:0.2808, weight 19 CW found:10597, wDict:19:2129,20:129,21:241,22:393,23:859,24:1723,25:2267,26:1706,27:519,28:34</t>
  </si>
  <si>
    <t>Gen:0 Trial:0 w:27; Trial:5 w:25; Trial:9 w:24; Trial:82 w:21; Gen:3 Trial:335 w:20; pErr:0.2728, weight 20 CW found:11861, wDict:20:2473,21:265,22:44,23:86,24:292,25:644,26:1332,27:1869,28:1949,29:906,30:140</t>
  </si>
  <si>
    <t>Gen:0 Trial:0 w:28; Trial:5 w:24; Trial:16 w:21; Gen:45 Trial:4587 w:20; pErr:0.2582, weight 20 CW found:10443, wDict:20:1452,21:1137,22:44,23:88,24:332,25:595,26:1183,27:1797,28:1979,29:1095,30:279,31:19</t>
  </si>
  <si>
    <t>Gen:0 Trial:0 w:26; Trial:12 w:21; Gen:32 Trial:3289 w:20; pErr:0.2716, weight 20 CW found:13627, wDict:20:1485,21:1010,22:42,23:61,24:257,25:548,26:1228,27:1810,28:2148,29:1062,30:323,31:25,32:1</t>
  </si>
  <si>
    <t>Gen:0 Trial:0 w:23; Trial:24 w:22; Trial:83 w:21; Gen:1 Trial:109 w:20; Gen:24 Trial:2451 w:19; pErr:0.2369, weight 19 CW found:9539, wDict:19:1973,20:563,21:222,22:484,23:977,24:1855,25:2256,26:1393,27:262,28:15</t>
  </si>
  <si>
    <t>Gen:0 Trial:0 w:16; Trial:41 w:15; Gen:1 Trial:186 w:14; pErr:0.3461, weight 14 CW found:14845, wDict:14:418,15:254,16:506,17:972,18:2063,19:3212,20:2198,21:372,22:5</t>
  </si>
  <si>
    <t>Gen:0 Trial:0 w:24; Trial:3 w:23; Trial:6 w:22; Gen:1 Trial:131 w:21; Trial:143 w:20; Gen:13 Trial:1382 w:19; pErr:0.2559, weight 19 CW found:10740, wDict:19:1669,20:822,21:188,22:439,23:1098,24:1837,25:2256,26:1390,27:287,28:14</t>
  </si>
  <si>
    <t>Gen:0 Trial:0 w:27; Trial:5 w:24; Gen:1 Trial:175 w:23; Gen:2 Trial:224 w:22; Gen:3 Trial:370 w:21; pErr:0.2145, weight 21 CW found:10758, wDict:21:2813,22:99,23:213,24:128,25:519,26:763,27:1708,28:1436,29:1856,30:372,31:93</t>
  </si>
  <si>
    <t>Gen:0 Trial:0 w:27; Trial:24 w:26; Trial:31 w:25; Trial:48 w:22; Gen:3 Trial:368 w:21; pErr:0.2456, weight 21 CW found:17850, wDict:21:2848,22:235,23:99,24:110,25:440,26:632,27:1438,28:1542,29:1840,30:634,31:177,32:5</t>
  </si>
  <si>
    <t>Gen:0 Trial:0 w:27; Trial:1 w:26; Trial:35 w:25; Trial:43 w:24; Gen:1 Trial:163 w:23; Gen:3 Trial:310 w:21; Gen:18 Trial:1867 w:20; pErr:0.2598, weight 20 CW found:15732, wDict:20:2169,21:429,22:40,23:145,24:257,25:593,26:1248,27:1669,28:2111,29:1050,30:269,31:19,32:1</t>
  </si>
  <si>
    <t>Gen:0 Trial:0 w:28; Trial:1 w:25; Trial:53 w:24; Trial:88 w:21; Gen:42 Trial:4256 w:20; pErr:0.2625, weight 20 CW found:11307, wDict:20:1564,21:1127,22:47,23:92,24:268,25:542,26:1178,27:1656,28:2116,29:1100,30:290,31:20</t>
  </si>
  <si>
    <t>Gen:0 Trial:0 w:25; Trial:7 w:24; Trial:28 w:23; Trial:33 w:22; Gen:1 Trial:133 w:21; Gen:9 Trial:930 w:19; Gen:46 Trial:4688 w:17; pErr:0.3152, weight 17 CW found:7583, wDict:17:1013,18:3,19:210,20:273,21:263,22:213,23:451,24:1081,25:1995,26:2595,27:1550,28:330,29:23</t>
  </si>
  <si>
    <t>Gen:0 Trial:0 w:27; Trial:1 w:25; Trial:2 w:23; Trial:6 w:22; Gen:1 Trial:114 w:18; Gen:65 Trial:6564 w:17; pErr:0.2940, weight 17 CW found:7550, wDict:17:754,18:1152,19:21,20:26,21:66,22:183,23:439,24:935,25:1806,26:2228,27:1793,28:544,29:53</t>
  </si>
  <si>
    <t>Gen:0 Trial:0 w:27; Trial:1 w:25; Trial:56 w:23; Gen:2 Trial:231 w:20; Gen:62 Trial:6258 w:19; pErr:0.3055, weight 19 CW found:4714, wDict:19:762,20:1267,21:8,22:11,23:71,24:135,25:358,26:809,27:1670,28:2353,29:1851,30:655,31:47,32:3</t>
  </si>
  <si>
    <t>Gen:0 Trial:0 w:30; Trial:1 w:28; Trial:13 w:27; Trial:76 w:25; Gen:3 Trial:310 w:24; Gen:5 Trial:500 w:23; Gen:42 Trial:4241 w:20; pErr:0.3127, weight 20 CW found:7106, wDict:20:5,22:3,23:1607,24:19,25:162,26:214,27:541,28:1184,29:1952,30:2433,31:1546,32:312,33:22</t>
  </si>
  <si>
    <t>Gen:0 Trial:0 w:27; Trial:1 w:23; Trial:6 w:21; Gen:1 Trial:124 w:20; Gen:5 Trial:558 w:19; Gen:6 Trial:641 w:18; Gen:22 Trial:2283 w:16; pErr:0.3262, weight 16 CW found:10989, wDict:16:1231,17:3,18:8,19:52,20:75,21:274,22:540,23:1189,24:2308,25:2684,26:1428,27:208</t>
  </si>
  <si>
    <t>Gen:0 Trial:0 w:31; Trial:1 w:29; Trial:6 w:28; Trial:11 w:27; Trial:19 w:25; Gen:1 Trial:118 w:23; Gen:16 Trial:1671 w:22; Gen:98 Trial:9885 w:20; pErr:0.3186, weight 20 CW found:146, wDict:20:4,22:610,23:1044,24:43,25:226,26:391,27:932,28:1694,29:2401,30:1946,31:653,32:55,33:1</t>
  </si>
  <si>
    <t>Gen:0 Trial:0 w:23; Trial:1 w:21; Trial:4 w:19; Trial:64 w:18; Trial:84 w:17; Gen:4 Trial:419 w:15; pErr:0.3595, weight 15 CW found:28416, wDict:15:19,16:27,17:69,18:278,19:641,20:1333,21:2471,22:3131,23:1727,24:293,25:11</t>
  </si>
  <si>
    <t>Gen:0 Trial:0 w:24; Trial:1 w:21; Trial:5 w:20; Trial:58 w:17; Gen:16 Trial:1679 w:16; pErr:0.3543, weight 16 CW found:12333, wDict:16:25,17:18,18:61,19:279,20:481,21:977,22:2034,23:3069,24:2391,25:628,26:37</t>
  </si>
  <si>
    <t>Gen:0 Trial:0 w:24; Trial:1 w:23; Trial:3 w:22; Trial:4 w:16; pErr:0.3561, weight 16 CW found:15234, wDict:16:10,17:33,18:86,19:286,20:656,21:1192,22:2393,23:3201,24:1850,25:285,26:8</t>
  </si>
  <si>
    <t>Gen:0 Trial:0 w:24; Trial:1 w:21; Trial:6 w:19; Gen:3 Trial:353 w:18; Gen:6 Trial:679 w:17; Gen:20 Trial:2061 w:16; pErr:0.3545, weight 16 CW found:12122, wDict:16:13,17:73,18:173,19:338,20:822,21:1568,22:2831,23:2915,24:1172,25:95</t>
  </si>
  <si>
    <t>Gen:0 Trial:0 w:27; Trial:2 w:26; Trial:8 w:25; Trial:20 w:24; Trial:87 w:23; Gen:3 Trial:342 w:22; Gen:6 Trial:698 w:20; Gen:22 Trial:2237 w:19; pErr:0.2647, weight 19 CW found:15650, wDict:19:1594,20:722,21:167,22:225,23:279,24:441,25:727,26:1307,27:1860,28:1723,29:822,30:129,31:4</t>
  </si>
  <si>
    <t>Gen:0 Trial:0 w:23; Trial:1 w:21; Trial:95 w:20; Gen:1 Trial:170 w:18; Gen:7 Trial:700 w:14; pErr:0.3277, weight 14 CW found:23773, wDict:14:1296,16:3,17:9,18:28,19:67,20:202,21:535,22:1151,23:2226,24:2625,25:1559,26:286,27:13</t>
  </si>
  <si>
    <t>Gen:0 Trial:0 w:23; Trial:1 w:22; Trial:8 w:21; Trial:52 w:18; Gen:3 Trial:382 w:17; Gen:4 Trial:406 w:16; Gen:16 Trial:1651 w:14; pErr:0.3393, weight 14 CW found:22414, wDict:14:808,16:21,17:21,18:108,19:176,20:438,21:912,22:1898,23:2898,24:2091,25:603,26:26</t>
  </si>
  <si>
    <t>Gen:0 Trial:0 w:35; Trial:3 w:33; Trial:5 w:29; Gen:2 Trial:267 w:27; Gen:12 Trial:1252 w:25; pErr:0.2815, weight 25 CW found:22696, wDict:25:2388,27:257,29:164,31:590,33:2152,35:3404,37:1024,39:21</t>
  </si>
  <si>
    <t>Gen:0 Trial:0 w:32; Trial:10 w:31; Trial:32 w:30; Trial:78 w:28; Gen:1 Trial:196 w:27; Gen:4 Trial:433 w:25; Gen:45 Trial:4513 w:24; pErr:0.2544, weight 24 CW found:10399, wDict:24:1574,25:700,26:178,27:264,28:84,29:107,30:332,31:453,32:1215,33:1382,34:2219,35:983,36:471,37:37,38:1</t>
  </si>
  <si>
    <t>Gen:0 Trial:0 w:31; Trial:13 w:30; Trial:16 w:29; Gen:1 Trial:165 w:28; Gen:5 Trial:585 w:26; Gen:24 Trial:2438 w:24; pErr:0.2546, weight 24 CW found:14244, wDict:24:2104,25:15,26:475,27:57,28:153,29:122,30:348,31:457,32:1249,33:1352,34:2198,35:955,36:481,37:33,38:1</t>
  </si>
  <si>
    <t>Gen:0 Trial:0 w:37; Trial:1 w:35; Trial:2 w:33; Trial:22 w:31; Trial:30 w:29; Gen:1 Trial:181 w:25; pErr:0.2805, weight 25 CW found:25367, wDict:25:2835,27:35,29:110,31:623,33:2010,35:3374,37:990,39:23</t>
  </si>
  <si>
    <t>Gen:0 Trial:0 w:23; Trial:3 w:22; Trial:7 w:18; Gen:32 Trial:3289 w:17; Gen:49 Trial:4946 w:16; pErr:0.3596, weight 16 CW found:14782, wDict:16:3,17:49,18:60,19:55,20:155,21:401,22:850,23:1732,24:2802,25:2702,26:1071,27:119,28:1</t>
  </si>
  <si>
    <t>Gen:0 Trial:0 w:24; Trial:4 w:23; Trial:5 w:21; Trial:7 w:19; Gen:2 Trial:268 w:18; Gen:12 Trial:1221 w:16; pErr:0.3531, weight 16 CW found:13190, wDict:16:254,17:6,18:80,19:117,20:276,21:577,22:1304,23:2615,24:3018,25:1545,26:207,27:1</t>
  </si>
  <si>
    <t>Gen:0 Trial:0 w:23; Trial:16 w:22; Trial:42 w:21; Gen:1 Trial:126 w:20; Gen:10 Trial:1011 w:19; Gen:99 Trial:9936 w:18; pErr:0.3644, weight 18 CW found:105, wDict:18:1,19:43,20:74,21:180,22:498,23:1066,24:2028,25:3075,26:2390,27:607,28:38</t>
  </si>
  <si>
    <t>Gen:0 Trial:0 w:25; Trial:2 w:24; Trial:3 w:23; Trial:28 w:22; Gen:1 Trial:111 w:21; Trial:173 w:20; Gen:4 Trial:433 w:19; Gen:25 Trial:2526 w:18; pErr:0.3576, weight 18 CW found:13483, wDict:18:67,19:36,20:66,21:257,22:628,23:1259,24:2357,25:2997,26:1919,27:405,28:9</t>
  </si>
  <si>
    <t>Gen:0 Trial:0 w:26; Trial:1 w:24; Trial:8 w:22; Trial:90 w:21; Gen:3 Trial:318 w:20; Gen:7 Trial:719 w:19; Gen:19 Trial:1902 w:18; Gen:47 Trial:4711 w:16; pErr:0.3578, weight 16 CW found:15415, wDict:16:3,18:43,19:28,20:93,21:240,22:538,23:1073,24:2179,25:2940,26:2211,27:608,28:44</t>
  </si>
  <si>
    <t>outfile: /home/ucapmwe/dist-benchmark/results/codeTables-QECC_sample.txt-QDistEvol-20260215_181908.524959_85062422.txt</t>
  </si>
  <si>
    <t>Gen:0 Trial:0 w:1; pErr:0.0000, weight 1 CW found:2, wDict:1:10000</t>
  </si>
  <si>
    <t>Gen:0 Trial:0 w:2; pErr:0.0000, weight 2 CW found:6, wDict:2:10000</t>
  </si>
  <si>
    <t>Gen:0 Trial:0 w:3; pErr:0.0000, weight 3 CW found:28, wDict:3:10000</t>
  </si>
  <si>
    <t>Gen:0 Trial:0 w:3; pErr:0.0000, weight 3 CW found:14, wDict:3:10000</t>
  </si>
  <si>
    <t>Gen:0 Trial:0 w:4; pErr:0.0000, weight 4 CW found:36, wDict:4:9998,5:2</t>
  </si>
  <si>
    <t>Gen:0 Trial:0 w:5; pErr:0.0000, weight 5 CW found:197, wDict:5:10000</t>
  </si>
  <si>
    <t>Gen:0 Trial:0 w:3; pErr:0.0000, weight 3 CW found:174, wDict:3:9829,4:171</t>
  </si>
  <si>
    <t>Gen:0 Trial:0 w:3; pErr:0.0000, weight 3 CW found:174, wDict:3:9816,4:184</t>
  </si>
  <si>
    <t>Gen:0 Trial:0 w:5; pErr:0.0000, weight 5 CW found:322, wDict:5:9909,6:91</t>
  </si>
  <si>
    <t>Gen:0 Trial:0 w:5; pErr:0.0000, weight 5 CW found:322, wDict:5:9898,6:102</t>
  </si>
  <si>
    <t>Gen:0 Trial:0 w:5; pErr:0.0000, weight 5 CW found:188, wDict:5:10000</t>
  </si>
  <si>
    <t>Gen:0 Trial:0 w:5; pErr:0.0000, weight 5 CW found:349, wDict:5:9999,6:1</t>
  </si>
  <si>
    <t>Gen:0 Trial:0 w:5; pErr:0.0000, weight 5 CW found:430, wDict:5:9991,6:9</t>
  </si>
  <si>
    <t>Gen:0 Trial:0 w:6; pErr:0.0000, weight 6 CW found:597, wDict:6:9950,7:50</t>
  </si>
  <si>
    <t>Gen:0 Trial:0 w:6; pErr:0.0000, weight 6 CW found:615, wDict:6:9946,7:54</t>
  </si>
  <si>
    <t>Gen:0 Trial:0 w:5; pErr:0.0000, weight 5 CW found:807, wDict:5:9937,6:63</t>
  </si>
  <si>
    <t>Gen:0 Trial:0 w:7; pErr:0.0000, weight 7 CW found:1459, wDict:7:9615,8:385</t>
  </si>
  <si>
    <t>Gen:0 Trial:0 w:5; pErr:0.0000, weight 5 CW found:2479, wDict:5:4383,6:5564,7:53</t>
  </si>
  <si>
    <t>Gen:0 Trial:0 w:5; pErr:0.0000, weight 5 CW found:2688, wDict:5:4446,6:5486,7:68</t>
  </si>
  <si>
    <t>Gen:0 Trial:0 w:6; pErr:0.0000, weight 6 CW found:3194, wDict:6:6758,7:3233,8:9</t>
  </si>
  <si>
    <t>Gen:0 Trial:0 w:6; pErr:0.0000, weight 6 CW found:3181, wDict:6:6743,7:3249,8:8</t>
  </si>
  <si>
    <t>Gen:0 Trial:0 w:6; pErr:0.0000, weight 6 CW found:3336, wDict:6:6858,7:3127,8:15</t>
  </si>
  <si>
    <t>Gen:0 Trial:0 w:8; Trial:1 w:7; pErr:0.0002, weight 7 CW found:2939, wDict:7:8848,8:1147,9:5</t>
  </si>
  <si>
    <t>Gen:0 Trial:0 w:6; pErr:0.0001, weight 6 CW found:2645, wDict:6:7762,7:2227,8:11</t>
  </si>
  <si>
    <t>Gen:0 Trial:0 w:6; pErr:0.0000, weight 6 CW found:2590, wDict:6:7878,7:2114,8:8</t>
  </si>
  <si>
    <t>Gen:0 Trial:0 w:8; pErr:0.0000, weight 8 CW found:2986, wDict:8:9490,9:502,10:8</t>
  </si>
  <si>
    <t>Gen:0 Trial:0 w:8; pErr:0.0144, weight 8 CW found:11296, wDict:8:7332,9:2597,10:71</t>
  </si>
  <si>
    <t>Gen:0 Trial:0 w:5; pErr:0.0096, weight 5 CW found:7272, wDict:5:7906,6:2094</t>
  </si>
  <si>
    <t>Gen:0 Trial:0 w:9; pErr:0.0236, weight 9 CW found:5726, wDict:9:6546,10:3272,11:182</t>
  </si>
  <si>
    <t>Gen:0 Trial:0 w:9; pErr:0.0248, weight 9 CW found:5861, wDict:9:6550,10:3253,11:196,12:1</t>
  </si>
  <si>
    <t>Gen:0 Trial:0 w:9; pErr:0.0253, weight 9 CW found:5952, wDict:9:6507,10:3286,11:207</t>
  </si>
  <si>
    <t>Gen:0 Trial:0 w:9; pErr:0.0266, weight 9 CW found:5946, wDict:9:6604,10:3172,11:223,12:1</t>
  </si>
  <si>
    <t>Gen:0 Trial:0 w:10; Trial:2 w:9; pErr:0.0343, weight 9 CW found:5300, wDict:9:3866,10:4727,11:1215,12:192</t>
  </si>
  <si>
    <t>Gen:0 Trial:0 w:10; Trial:1 w:9; pErr:0.0324, weight 9 CW found:5387, wDict:9:6108,10:3069,11:794,12:29</t>
  </si>
  <si>
    <t>Gen:0 Trial:0 w:12; Trial:2 w:11; pErr:0.1498, weight 11 CW found:9948, wDict:11:5746,12:2788,13:1437,14:29</t>
  </si>
  <si>
    <t>Gen:0 Trial:0 w:12; Trial:1 w:9; pErr:0.1559, weight 9 CW found:11614, wDict:9:1952,10:1830,11:4043,12:2030,13:145</t>
  </si>
  <si>
    <t>Gen:0 Trial:0 w:10; Trial:23 w:9; pErr:0.1891, weight 9 CW found:19500, wDict:9:1879,10:1799,11:3990,12:2089,13:241,14:2</t>
  </si>
  <si>
    <t>Gen:0 Trial:0 w:11; Trial:13 w:9; pErr:0.1842, weight 9 CW found:9779, wDict:9:1770,10:2267,11:3678,12:2082,13:203</t>
  </si>
  <si>
    <t>Gen:0 Trial:0 w:10; Trial:2 w:9; pErr:0.1772, weight 9 CW found:9569, wDict:9:1877,10:2171,11:3704,12:2070,13:177,14:1</t>
  </si>
  <si>
    <t>Gen:0 Trial:0 w:11; Trial:1 w:10; Trial:12 w:9; pErr:0.1759, weight 9 CW found:11135, wDict:9:1623,10:2333,11:3311,12:2034,13:675,14:24</t>
  </si>
  <si>
    <t>Gen:0 Trial:0 w:12; Trial:1 w:9; pErr:0.1681, weight 9 CW found:17120, wDict:9:2128,10:2413,11:2870,12:1815,13:715,14:59</t>
  </si>
  <si>
    <t>Gen:0 Trial:0 w:11; Trial:61 w:10; pErr:0.1979, weight 10 CW found:11697, wDict:10:1503,11:2006,12:3475,13:1865,14:1003,15:147,16:1</t>
  </si>
  <si>
    <t>Gen:0 Trial:0 w:8; Trial:36 w:7; pErr:0.2260, weight 7 CW found:13286, wDict:7:1603,8:1457,9:4659,10:2203,11:78</t>
  </si>
  <si>
    <t>Gen:0 Trial:0 w:10; Trial:3 w:9; Trial:43 w:8; pErr:0.2283, weight 8 CW found:12122, wDict:8:1117,9:1166,10:3729,11:3254,12:720,13:14</t>
  </si>
  <si>
    <t>Gen:0 Trial:0 w:12; Trial:2 w:11; Trial:7 w:9; pErr:0.2275, weight 9 CW found:12327, wDict:9:1443,10:2888,11:3415,12:1991,13:262,14:1</t>
  </si>
  <si>
    <t>Gen:0 Trial:0 w:12; Trial:1 w:11; pErr:0.2928, weight 11 CW found:25385, wDict:11:3398,12:2669,13:2594,14:1235,15:102,16:2</t>
  </si>
  <si>
    <t>Gen:0 Trial:0 w:15; Trial:1 w:13; Trial:12 w:12; Trial:18 w:11; pErr:0.3031, weight 11 CW found:16625, wDict:11:1042,12:919,13:2295,14:3381,15:2094,16:265,17:4</t>
  </si>
  <si>
    <t>Gen:0 Trial:0 w:12; Trial:6 w:11; Trial:12 w:10; pErr:0.3124, weight 10 CW found:26959, wDict:10:1261,11:1352,12:2769,13:3280,14:1248,15:90</t>
  </si>
  <si>
    <t>Gen:0 Trial:0 w:16; Trial:2 w:14; Trial:13 w:13; Trial:68 w:12; pErr:0.3238, weight 12 CW found:26642, wDict:12:792,13:880,14:1595,15:3037,16:2658,17:966,18:72</t>
  </si>
  <si>
    <t>Gen:0 Trial:0 w:16; Trial:1 w:15; Trial:2 w:14; Trial:18 w:13; Gen:2 Trial:287 w:12; pErr:0.3078, weight 12 CW found:16349, wDict:12:1126,13:498,14:1734,15:3190,16:2790,17:635,18:27</t>
  </si>
  <si>
    <t>Gen:0 Trial:0 w:15; Trial:2 w:14; Trial:36 w:13; pErr:0.3267, weight 13 CW found:17376, wDict:13:940,14:825,15:2518,16:3350,17:2111,18:253,19:3</t>
  </si>
  <si>
    <t>Gen:0 Trial:0 w:14; Trial:2 w:11; Gen:1 Trial:111 w:10; pErr:0.3149, weight 10 CW found:13650, wDict:10:1150,11:648,12:1733,13:3205,14:2711,15:540,16:13</t>
  </si>
  <si>
    <t>Gen:0 Trial:0 w:15; Trial:2 w:13; Trial:15 w:12; Trial:18 w:11; Gen:1 Trial:184 w:10; pErr:0.3201, weight 10 CW found:13744, wDict:10:975,11:528,12:1209,13:2809,14:3271,15:1150,16:58</t>
  </si>
  <si>
    <t>Gen:0 Trial:0 w:14; Trial:1 w:13; Trial:13 w:12; Gen:3 Trial:329 w:11; pErr:0.3219, weight 11 CW found:25404, wDict:11:1168,12:325,13:676,14:1856,15:3015,16:2318,17:613,18:29</t>
  </si>
  <si>
    <t>Gen:0 Trial:0 w:15; Trial:2 w:13; Trial:4 w:12; Trial:46 w:11; pErr:0.3168, weight 11 CW found:26121, wDict:11:1361,12:183,13:683,14:1854,15:2872,16:2338,17:679,18:30</t>
  </si>
  <si>
    <t>Gen:0 Trial:0 w:12; Trial:11 w:11; Gen:1 Trial:118 w:10; pErr:0.3273, weight 10 CW found:27356, wDict:10:1085,11:319,12:1094,13:2508,14:3305,15:1531,16:158</t>
  </si>
  <si>
    <t>Gen:0 Trial:0 w:16; Trial:2 w:15; Trial:4 w:14; Trial:25 w:13; pErr:0.3480, weight 13 CW found:15033, wDict:13:213,14:1133,15:2051,16:3304,17:2623,18:655,19:21</t>
  </si>
  <si>
    <t>Gen:0 Trial:0 w:14; Trial:8 w:13; Gen:2 Trial:259 w:12; pErr:0.3382, weight 12 CW found:17746, wDict:12:782,13:1041,14:2316,15:3371,16:2173,17:310,18:7</t>
  </si>
  <si>
    <t>Gen:0 Trial:0 w:19; Trial:1 w:16; Trial:37 w:14; pErr:0.3443, weight 14 CW found:27528, wDict:14:486,15:443,16:649,17:1547,18:2585,19:2837,20:1277,21:171,22:5</t>
  </si>
  <si>
    <t>Gen:0 Trial:0 w:17; Trial:12 w:16; Trial:30 w:15; Gen:7 Trial:704 w:14; pErr:0.3411, weight 14 CW found:25526, wDict:14:555,15:517,16:672,17:1451,18:2582,19:2788,20:1229,21:201,22:5</t>
  </si>
  <si>
    <t>Gen:0 Trial:0 w:19; Trial:5 w:17; Trial:37 w:14; pErr:0.3448, weight 14 CW found:27346, wDict:14:470,15:205,16:450,17:911,18:1870,19:2985,20:2282,21:774,22:52,23:1</t>
  </si>
  <si>
    <t>Gen:0 Trial:0 w:19; Trial:1 w:16; Gen:3 Trial:315 w:15; Gen:17 Trial:1751 w:14; pErr:0.3469, weight 14 CW found:22710, wDict:14:28,15:443,16:556,17:1023,18:1838,19:3042,20:2224,21:787,22:58,23:1</t>
  </si>
  <si>
    <t>Gen:0 Trial:0 w:21; Trial:1 w:19; Trial:2 w:17; Trial:45 w:16; Gen:1 Trial:162 w:15; Gen:5 Trial:557 w:14; pErr:0.3453, weight 14 CW found:26104, wDict:14:280,15:262,16:543,17:960,18:1880,19:2980,20:2229,21:801,22:65</t>
  </si>
  <si>
    <t>Gen:0 Trial:0 w:19; Trial:1 w:17; Trial:10 w:15; Trial:44 w:14; pErr:0.3362, weight 14 CW found:26497, wDict:14:881,15:166,16:388,17:902,18:1753,19:2869,20:2247,21:734,22:58,23:2</t>
  </si>
  <si>
    <t>Gen:0 Trial:0 w:22; Trial:1 w:21; Trial:3 w:20; Trial:5 w:17; Gen:1 Trial:113 w:16; Gen:22 Trial:2259 w:15; pErr:0.3530, weight 15 CW found:21878, wDict:15:54,16:219,17:515,18:730,19:1614,20:2666,21:2810,22:1202,23:183,24:7</t>
  </si>
  <si>
    <t>Gen:0 Trial:0 w:21; Trial:4 w:18; Trial:10 w:17; Gen:2 Trial:208 w:16; Gen:4 Trial:452 w:15; pErr:0.3483, weight 15 CW found:26444, wDict:15:324,16:169,17:467,18:764,19:1622,20:2523,21:2773,22:1167,23:190,24:1</t>
  </si>
  <si>
    <t>Gen:0 Trial:0 w:21; Trial:2 w:20; Trial:5 w:19; Trial:10 w:16; Gen:20 Trial:2072 w:15; pErr:0.3500, weight 15 CW found:22055, wDict:15:109,16:248,17:273,18:514,19:1022,20:1889,21:2940,22:2240,23:719,24:45,25:1</t>
  </si>
  <si>
    <t>Gen:0 Trial:0 w:22; Trial:1 w:20; Trial:3 w:19; Trial:28 w:18; Gen:1 Trial:127 w:17; Gen:5 Trial:579 w:16; Gen:29 Trial:2999 w:15; pErr:0.3496, weight 15 CW found:19062, wDict:15:13,16:160,17:411,18:546,19:1018,20:2044,21:2853,22:2158,23:733,24:62,25:2</t>
  </si>
  <si>
    <t>Gen:0 Trial:0 w:22; Trial:3 w:21; Trial:4 w:20; Trial:22 w:19; Trial:87 w:18; Gen:1 Trial:138 w:17; Gen:3 Trial:376 w:16; pErr:0.3541, weight 16 CW found:27129, wDict:16:35,17:228,18:323,19:690,20:1262,21:2531,22:2842,23:1719,24:352,25:18</t>
  </si>
  <si>
    <t>Gen:0 Trial:0 w:23; Trial:1 w:20; Trial:6 w:19; Trial:64 w:18; Gen:1 Trial:177 w:17; Gen:16 Trial:1603 w:16; Gen:53 Trial:5389 w:15; pErr:0.3530, weight 15 CW found:7994, wDict:15:11,16:154,17:195,18:333,19:703,20:1442,21:2703,22:2957,23:1329,24:171,25:2</t>
  </si>
  <si>
    <t>Gen:0 Trial:0 w:22; Trial:4 w:21; Trial:5 w:19; Gen:2 Trial:252 w:18; Gen:8 Trial:813 w:17; Gen:27 Trial:2717 w:16; Trial:2798 w:15; pErr:0.3441, weight 15 CW found:19388, wDict:15:3,16:402,17:62,18:190,19:413,20:776,21:1695,22:2599,23:2579,24:1080,25:198,26:3</t>
  </si>
  <si>
    <t>Gen:0 Trial:0 w:15; Gen:1 Trial:152 w:14; Gen:69 Trial:6924 w:13; pErr:0.3440, weight 13 CW found:5351, wDict:13:102,14:688,15:213,16:537,17:1194,18:2418,19:2993,20:1626,21:229</t>
  </si>
  <si>
    <t>Gen:0 Trial:0 w:21; Trial:1 w:18; Trial:2 w:15; Gen:6 Trial:656 w:14; pErr:0.3470, weight 14 CW found:16550, wDict:14:202,15:245,16:383,17:712,18:1593,19:2884,20:2861,21:1043,22:77</t>
  </si>
  <si>
    <t>Gen:0 Trial:0 w:24; Trial:1 w:21; Trial:26 w:17; Gen:34 Trial:3412 w:16; pErr:0.3527, weight 16 CW found:18413, wDict:16:103,17:100,18:217,19:509,20:840,21:1767,22:2706,23:2502,24:1097,25:157,26:2</t>
  </si>
  <si>
    <t>Gen:0 Trial:0 w:20; Trial:5 w:17; Gen:5 Trial:575 w:16; Gen:99 Trial:9997 w:15; pErr:0.3679, weight 15 CW found:3, wDict:15:1,16:39,17:262,18:563,19:1133,20:2201,21:3099,22:2227,23:462,24:13</t>
  </si>
  <si>
    <t>Gen:0 Trial:0 w:20; Trial:53 w:19; Gen:1 Trial:170 w:18; Gen:10 Trial:1015 w:17; pErr:0.3565, weight 17 CW found:13531, wDict:17:9,18:94,19:359,20:771,21:1421,22:2595,23:2992,24:1511,25:244,26:4</t>
  </si>
  <si>
    <t>Gen:0 Trial:0 w:22; Trial:2 w:21; Trial:5 w:20; Trial:11 w:19; Trial:19 w:17; Trial:42 w:16; Gen:11 Trial:1159 w:15; pErr:0.3529, weight 15 CW found:14360, wDict:15:183,16:90,17:223,18:599,19:1047,20:2164,21:3094,22:2151,23:435,24:14</t>
  </si>
  <si>
    <t>Gen:0 Trial:0 w:23; Trial:4 w:22; Trial:16 w:19; Gen:20 Trial:2093 w:18; pErr:0.3544, weight 18 CW found:21825, wDict:18:36,19:86,20:297,21:495,22:921,23:1592,24:2680,25:2488,26:1239,27:162,28:4</t>
  </si>
  <si>
    <t>Gen:0 Trial:0 w:22; Trial:1 w:21; Trial:8 w:20; Trial:19 w:19; Trial:56 w:18; Gen:3 Trial:397 w:17; pErr:0.3569, weight 17 CW found:15490, wDict:17:111,18:204,19:408,20:866,21:1818,22:2967,23:2639,24:913,25:73,26:1</t>
  </si>
  <si>
    <t>Gen:0 Trial:0 w:24; Trial:2 w:23; Trial:18 w:22; Trial:37 w:20; Gen:1 Trial:152 w:19; pErr:0.3583, weight 19 CW found:15620, wDict:19:8,20:103,21:259,22:575,23:1092,24:2154,25:2876,26:2189,27:704,28:39,29:1</t>
  </si>
  <si>
    <t>Gen:0 Trial:0 w:21; Gen:3 Trial:332 w:20; Gen:13 Trial:1354 w:19; pErr:0.3580, weight 19 CW found:15281, wDict:19:12,20:134,21:331,22:684,23:1254,24:2354,25:2924,26:1865,27:424,28:18</t>
  </si>
  <si>
    <t>Gen:0 Trial:0 w:25; Trial:3 w:22; Trial:12 w:21; Trial:51 w:20; Gen:4 Trial:484 w:19; pErr:0.3564, weight 19 CW found:16524, wDict:19:73,20:134,21:263,22:676,23:1307,24:2390,25:2959,26:1807,27:381,28:10</t>
  </si>
  <si>
    <t>Gen:0 Trial:0 w:24; Trial:13 w:23; Gen:2 Trial:269 w:22; Gen:3 Trial:369 w:21; Gen:4 Trial:405 w:19; pErr:0.3567, weight 19 CW found:26592, wDict:19:15,20:29,21:175,22:94,23:339,24:498,25:1292,26:1824,27:2985,28:1808,29:865,30:72,31:4</t>
  </si>
  <si>
    <t>Gen:0 Trial:0 w:26; Trial:3 w:21; Gen:3 Trial:376 w:20; Gen:19 Trial:1978 w:19; pErr:0.3550, weight 19 CW found:22377, wDict:19:6,20:57,21:216,22:118,23:361,24:489,25:1245,26:1754,27:2935,28:1866,29:867,30:81,31:5</t>
  </si>
  <si>
    <t>Gen:0 Trial:0 w:23; Trial:18 w:22; Gen:1 Trial:102 w:20; Gen:4 Trial:411 w:19; pErr:0.3546, weight 19 CW found:15119, wDict:19:12,20:109,21:331,22:578,23:1121,24:2112,25:2870,26:2194,27:619,28:54</t>
  </si>
  <si>
    <t>Gen:0 Trial:0 w:28; Trial:1 w:26; Trial:3 w:25; Trial:10 w:23; Gen:1 Trial:135 w:21; Gen:32 Trial:3205 w:20; pErr:0.3552, weight 20 CW found:11617, wDict:20:66,21:86,22:80,23:128,24:430,25:833,26:1664,27:2533,28:2729,29:1203,30:235,31:13</t>
  </si>
  <si>
    <t>Gen:0 Trial:0 w:29; Trial:2 w:27; Trial:3 w:24; Gen:1 Trial:178 w:23; Gen:3 Trial:335 w:22; Gen:10 Trial:1085 w:21; Gen:14 Trial:1483 w:20; pErr:0.3565, weight 20 CW found:23561, wDict:20:41,21:136,22:116,23:161,24:425,25:680,26:1581,27:2264,28:2694,29:1445,30:432,31:25</t>
  </si>
  <si>
    <t>Gen:0 Trial:0 w:29; Trial:1 w:26; Trial:16 w:25; Trial:22 w:24; Trial:85 w:23; Trial:98 w:20; pErr:0.3567, weight 20 CW found:27377, wDict:20:79,21:70,22:85,23:176,24:417,25:705,26:1538,27:2300,28:2659,29:1532,30:410,31:29</t>
  </si>
  <si>
    <t>Gen:0 Trial:0 w:25; Trial:1 w:24; Trial:3 w:23; Trial:9 w:22; Trial:21 w:20; Gen:1 Trial:139 w:19; pErr:0.3459, weight 19 CW found:16636, wDict:19:273,20:117,21:341,22:682,23:1252,24:2299,25:2826,26:1821,27:371,28:18</t>
  </si>
  <si>
    <t>Gen:0 Trial:0 w:18; Trial:1 w:17; Trial:5 w:16; Trial:80 w:14; pErr:0.3519, weight 14 CW found:15616, wDict:14:194,15:156,16:561,17:1003,18:2077,19:3286,20:2305,21:409,22:9</t>
  </si>
  <si>
    <t>Gen:0 Trial:0 w:25; Trial:2 w:24; Trial:28 w:23; Trial:43 w:22; Trial:70 w:20; Gen:8 Trial:873 w:19; pErr:0.3479, weight 19 CW found:15592, wDict:19:40,20:207,21:453,22:680,23:1273,24:2382,25:2820,26:1738,27:393,28:14</t>
  </si>
  <si>
    <t>Gen:0 Trial:0 w:29; Trial:1 w:27; Trial:3 w:24; Trial:10 w:22; Gen:3 Trial:376 w:21; pErr:0.3574, weight 21 CW found:16494, wDict:21:37,22:76,23:154,24:200,25:660,26:807,27:2328,28:2042,29:2862,30:694,31:139,32:1</t>
  </si>
  <si>
    <t>Gen:0 Trial:0 w:27; Trial:7 w:26; Trial:14 w:24; Gen:1 Trial:106 w:23; Trial:163 w:22; Gen:7 Trial:715 w:21; pErr:0.3533, weight 21 CW found:25474, wDict:21:180,22:160,23:86,24:185,25:585,26:770,27:1966,28:2118,29:2713,30:940,31:292,32:4,33:1</t>
  </si>
  <si>
    <t>Gen:0 Trial:0 w:25; Trial:7 w:24; Trial:39 w:23; Gen:1 Trial:185 w:21; Gen:4 Trial:476 w:20; pErr:0.3499, weight 20 CW found:25527, wDict:20:187,21:94,22:103,23:221,24:459,25:693,26:1501,27:2184,28:2634,29:1484,30:420,31:20</t>
  </si>
  <si>
    <t>Gen:0 Trial:0 w:26; Trial:5 w:24; Trial:29 w:23; Gen:1 Trial:176 w:22; Gen:4 Trial:442 w:21; Gen:26 Trial:2631 w:20; pErr:0.3503, weight 20 CW found:19829, wDict:20:66,21:248,22:144,23:193,24:391,25:686,26:1535,27:2103,28:2706,29:1478,30:435,31:15</t>
  </si>
  <si>
    <t>Gen:0 Trial:0 w:24; Trial:6 w:23; Trial:32 w:22; Trial:56 w:18; pErr:0.3578, weight 18 CW found:17563, wDict:18:73,19:64,20:44,21:90,22:248,23:657,24:1250,25:2325,26:2929,27:1916,28:387,29:17</t>
  </si>
  <si>
    <t>Gen:0 Trial:0 w:22; Trial:63 w:21; Gen:3 Trial:309 w:20; Gen:8 Trial:862 w:19; Gen:24 Trial:2467 w:17; pErr:0.3573, weight 17 CW found:21139, wDict:17:5,18:21,19:99,20:50,21:99,22:305,23:580,24:1111,25:2037,26:2902,27:2079,28:648,29:63,30:1</t>
  </si>
  <si>
    <t>Gen:0 Trial:0 w:27; Trial:3 w:26; Trial:7 w:25; Trial:63 w:24; Gen:1 Trial:184 w:23; Gen:5 Trial:564 w:22; Gen:31 Trial:3181 w:21; Gen:73 Trial:7390 w:20; pErr:0.3623, weight 20 CW found:4191, wDict:20:2,21:3,22:28,23:81,24:229,25:539,26:1014,27:2019,28:2832,29:2382,30:802,31:69</t>
  </si>
  <si>
    <t>Gen:0 Trial:0 w:29; Trial:1 w:28; Trial:12 w:26; Trial:94 w:25; Gen:8 Trial:896 w:24; Gen:17 Trial:1736 w:23; Gen:29 Trial:2925 w:21; Gen:51 Trial:5126 w:20; pErr:0.3609, weight 20 CW found:7311, wDict:20:3,21:2,22:21,23:11,24:45,25:113,26:292,27:655,28:1394,29:2381,30:2759,31:1812,32:485,33:27</t>
  </si>
  <si>
    <t>Gen:0 Trial:0 w:27; Trial:1 w:23; Trial:18 w:22; Trial:72 w:21; Gen:4 Trial:458 w:20; Gen:6 Trial:693 w:19; Gen:10 Trial:1072 w:16; pErr:0.3585, weight 16 CW found:14660, wDict:16:41,17:1,18:5,19:91,20:106,21:288,22:726,23:1358,24:2665,25:2939,26:1545,27:230,28:5</t>
  </si>
  <si>
    <t>Gen:0 Trial:0 w:30; Trial:1 w:29; Trial:3 w:27; Trial:5 w:26; Trial:81 w:25; Gen:2 Trial:278 w:24; Gen:17 Trial:1774 w:23; Gen:39 Trial:3918 w:22; Gen:78 Trial:7832 w:20; pErr:0.3549, weight 20 CW found:3225, wDict:20:15,22:5,23:26,24:95,25:253,26:542,27:1093,28:2118,29:2784,30:2289,31:710,32:68,33:2</t>
  </si>
  <si>
    <t>Gen:0 Trial:0 w:23; Trial:1 w:22; Trial:2 w:21; Trial:13 w:20; Trial:22 w:19; Trial:27 w:18; Gen:2 Trial:219 w:17; Gen:22 Trial:2288 w:15; pErr:0.3585, weight 15 CW found:22889, wDict:15:8,16:9,17:141,18:277,19:615,20:1298,21:2458,22:3059,23:1790,24:336,25:9</t>
  </si>
  <si>
    <t>Gen:0 Trial:0 w:24; Trial:4 w:23; Trial:9 w:22; Trial:28 w:20; Gen:1 Trial:112 w:16; pErr:0.3591, weight 16 CW found:15077, wDict:16:12,17:6,18:68,19:154,20:503,21:994,22:2018,23:3088,24:2468,25:659,26:30</t>
  </si>
  <si>
    <t>Gen:0 Trial:0 w:21; Trial:6 w:19; Trial:11 w:17; pErr:0.3578, weight 17 CW found:15216, wDict:17:15,18:95,19:226,20:659,21:1201,22:2460,23:3225,24:1838,25:276,26:5</t>
  </si>
  <si>
    <t>Gen:0 Trial:0 w:22; Trial:8 w:20; Trial:14 w:18; Gen:3 Trial:394 w:16; pErr:0.3566, weight 16 CW found:14654, wDict:16:71,17:39,18:95,19:380,20:795,21:1564,22:2904,23:2860,24:1203,25:89</t>
  </si>
  <si>
    <t>Gen:0 Trial:0 w:30; Trial:1 w:27; Trial:2 w:24; Trial:54 w:23; Gen:1 Trial:191 w:19; pErr:0.3468, weight 19 CW found:26347, wDict:19:340,20:237,21:21,22:97,23:153,24:446,25:768,26:1645,27:2526,28:2461,29:1108,30:196,31:2</t>
  </si>
  <si>
    <t>Gen:0 Trial:0 w:22; Trial:40 w:20; Gen:1 Trial:109 w:15; Gen:51 Trial:5191 w:14; pErr:0.3560, weight 14 CW found:13761, wDict:14:1,15:3,16:62,17:71,18:54,19:149,20:258,21:677,22:1303,23:2348,24:3001,25:1725,26:338,27:9,28:1</t>
  </si>
  <si>
    <t>Gen:0 Trial:0 w:22; Trial:7 w:21; Trial:10 w:20; Trial:34 w:18; Trial:68 w:16; Gen:5 Trial:577 w:15; Gen:27 Trial:2749 w:14; pErr:0.3193, weight 14 CW found:18080, wDict:14:1212,15:270,16:16,17:6,18:58,19:125,20:367,21:884,22:1871,23:2677,24:1930,25:552,26:32</t>
  </si>
  <si>
    <t>Gen:0 Trial:0 w:33; Trial:4 w:31; Trial:30 w:25; pErr:0.3612, weight 25 CW found:36916, wDict:25:81,27:113,29:159,31:833,33:2760,35:4510,37:1514,39:30</t>
  </si>
  <si>
    <t>Gen:0 Trial:0 w:34; Trial:1 w:33; Trial:7 w:32; Trial:20 w:29; Trial:40 w:24; pErr:0.3520, weight 24 CW found:26668, wDict:24:294,25:50,26:46,27:162,28:115,29:132,30:405,31:587,32:1602,33:1750,34:2863,35:1295,36:643,37:55,38:1</t>
  </si>
  <si>
    <t>Gen:0 Trial:0 w:34; Trial:3 w:32; Trial:11 w:31; Trial:19 w:29; Trial:77 w:28; Gen:1 Trial:102 w:27; Gen:2 Trial:282 w:25; Gen:24 Trial:2481 w:24; pErr:0.3529, weight 24 CW found:20158, wDict:24:3,25:227,26:48,27:129,28:97,29:166,30:504,31:593,32:1672,33:1711,34:2840,35:1327,36:634,37:46,38:3</t>
  </si>
  <si>
    <t>Gen:0 Trial:0 w:35; Trial:1 w:31; Trial:47 w:29; Gen:1 Trial:196 w:27; Gen:3 Trial:316 w:25; pErr:0.3603, weight 25 CW found:35961, wDict:25:23,27:189,29:196,31:811,33:2709,35:4509,37:1538,39:25</t>
  </si>
  <si>
    <t>Gen:0 Trial:0 w:26; Trial:1 w:21; Trial:81 w:20; Gen:3 Trial:325 w:19; Gen:22 Trial:2254 w:18; Gen:54 Trial:5442 w:17; Gen:60 Trial:6012 w:16; pErr:0.3582, weight 16 CW found:11643, wDict:16:48,17:24,18:10,19:78,20:154,21:386,22:848,23:1698,24:2909,25:2665,26:1058,27:121,28:1</t>
  </si>
  <si>
    <t>Gen:0 Trial:0 w:25; Trial:1 w:24; Trial:2 w:23; Trial:3 w:22; Trial:9 w:20; Gen:2 Trial:246 w:18; Gen:19 Trial:1989 w:17; Gen:48 Trial:4814 w:16; pErr:0.3559, weight 16 CW found:7937, wDict:16:116,17:17,18:56,19:88,20:252,21:653,22:1368,23:2573,24:3121,25:1564,26:189,27:3</t>
  </si>
  <si>
    <t>Gen:0 Trial:0 w:27; Trial:1 w:24; Trial:6 w:23; Trial:27 w:21; Gen:2 Trial:256 w:20; Gen:7 Trial:763 w:18; pErr:0.3595, weight 18 CW found:15080, wDict:18:23,19:6,20:74,21:170,22:539,23:1016,24:2062,25:3006,26:2471,27:602,28:30,29:1</t>
  </si>
  <si>
    <t>Gen:0 Trial:0 w:21; Trial:7 w:20; Trial:18 w:19; Gen:1 Trial:169 w:17; Gen:50 Trial:5030 w:16; pErr:0.3594, weight 16 CW found:8987, wDict:16:4,17:32,18:10,19:30,20:85,21:262,22:605,23:1179,24:2388,25:3062,26:1956,27:382,28:5</t>
  </si>
  <si>
    <t>Gen:0 Trial:0 w:24; Trial:3 w:23; Trial:4 w:21; Gen:1 Trial:139 w:20; Gen:2 Trial:224 w:19; Gen:5 Trial:587 w:18; Gen:68 Trial:6819 w:17; pErr:0.3602, weight 17 CW found:9283, wDict:17:4,18:82,19:31,20:94,21:260,22:532,23:1077,24:2149,25:2999,26:2121,27:615,28:36</t>
  </si>
  <si>
    <t>method: QDistRndMW</t>
  </si>
  <si>
    <t>outfile: /home/ucapmwe/dist-benchmark/results/codeTables-QECC_sample.txt-QDistRndMW-20260215_181908.014712_85062422.txt</t>
  </si>
  <si>
    <t>Trial:0 w:1; pErr:0.0000, weight 1 CW found:6, wDict:1:10000</t>
  </si>
  <si>
    <t>Trial:0 w:2; pErr:0.0000, weight 2 CW found:32, wDict:2:10000</t>
  </si>
  <si>
    <t>Trial:0 w:3; pErr:0.0000, weight 3 CW found:240, wDict:3:10000</t>
  </si>
  <si>
    <t>Trial:0 w:3; pErr:0.0000, weight 3 CW found:168, wDict:3:10000</t>
  </si>
  <si>
    <t>Trial:0 w:4; pErr:0.0000, weight 4 CW found:480, wDict:4:10000</t>
  </si>
  <si>
    <t>Trial:0 w:5; pErr:0.0000, weight 5 CW found:6336, wDict:5:10000</t>
  </si>
  <si>
    <t>Trial:0 w:3; pErr:0.0000, weight 3 CW found:2507, wDict:3:9807,4:193</t>
  </si>
  <si>
    <t>Trial:0 w:3; pErr:0.0000, weight 3 CW found:2519, wDict:3:9802,4:198</t>
  </si>
  <si>
    <t>Trial:0 w:5; pErr:0.0000, weight 5 CW found:5787, wDict:5:9897,6:103</t>
  </si>
  <si>
    <t>Trial:0 w:5; pErr:0.0000, weight 5 CW found:6043, wDict:5:9881,6:119</t>
  </si>
  <si>
    <t>Trial:0 w:6; pErr:0.0020, weight 6 CW found:14299, wDict:6:10000</t>
  </si>
  <si>
    <t>Trial:0 w:5; pErr:0.0000, weight 5 CW found:6048, wDict:5:10000</t>
  </si>
  <si>
    <t>Trial:0 w:5; pErr:0.0000, weight 5 CW found:10882, wDict:5:9998,6:2</t>
  </si>
  <si>
    <t>Trial:0 w:5; pErr:0.0000, weight 5 CW found:10866, wDict:5:9999,6:1</t>
  </si>
  <si>
    <t>Trial:0 w:6; pErr:0.0156, weight 6 CW found:17410, wDict:6:9994,7:6</t>
  </si>
  <si>
    <t>Trial:0 w:6; pErr:0.0162, weight 6 CW found:17532, wDict:6:9990,7:10</t>
  </si>
  <si>
    <t>Trial:0 w:5; pErr:0.0005, weight 5 CW found:8809, wDict:5:9996,6:4</t>
  </si>
  <si>
    <t>Trial:0 w:7; pErr:0.1760, weight 7 CW found:26084, wDict:7:9901,8:99</t>
  </si>
  <si>
    <t>Trial:0 w:5; pErr:0.2037, weight 5 CW found:55728, wDict:5:3943,6:5998,7:59</t>
  </si>
  <si>
    <t>Trial:0 w:6; Trial:9 w:5; pErr:0.2032, weight 5 CW found:55384, wDict:5:3930,6:6009,7:61</t>
  </si>
  <si>
    <t>Trial:0 w:7; Trial:1 w:6; pErr:0.2503, weight 6 CW found:51235, wDict:6:6637,7:3352,8:11</t>
  </si>
  <si>
    <t>Trial:0 w:6; pErr:0.2531, weight 6 CW found:51581, wDict:6:6587,7:3397,8:16</t>
  </si>
  <si>
    <t>Trial:0 w:6; pErr:0.2514, weight 6 CW found:50869, wDict:6:6654,7:3333,8:13</t>
  </si>
  <si>
    <t>Trial:0 w:7; pErr:0.2833, weight 7 CW found:26070, wDict:7:9438,8:562</t>
  </si>
  <si>
    <t>Trial:0 w:6; pErr:0.2184, weight 6 CW found:20044, wDict:6:8488,7:1512</t>
  </si>
  <si>
    <t>Trial:0 w:6; pErr:0.2199, weight 6 CW found:20161, wDict:6:8483,7:1515,8:2</t>
  </si>
  <si>
    <t>Trial:0 w:8; pErr:0.3409, weight 8 CW found:37812, wDict:8:9830,9:170</t>
  </si>
  <si>
    <t>Trial:0 w:9; Trial:1 w:8; pErr:0.3583, weight 8 CW found:67102, wDict:8:6674,9:3239,10:87</t>
  </si>
  <si>
    <t>Trial:0 w:6; Trial:1 w:5; pErr:0.1310, weight 5 CW found:15830, wDict:5:9475,6:525</t>
  </si>
  <si>
    <t>Trial:0 w:9; pErr:0.3626, weight 9 CW found:25063, wDict:9:7350,10:2603,11:47</t>
  </si>
  <si>
    <t>Trial:0 w:9; pErr:0.3624, weight 9 CW found:25378, wDict:9:7242,10:2722,11:36</t>
  </si>
  <si>
    <t>Trial:0 w:9; pErr:0.3629, weight 9 CW found:25096, wDict:9:7417,10:2531,11:52</t>
  </si>
  <si>
    <t>Trial:0 w:9; pErr:0.3628, weight 9 CW found:24922, wDict:9:7382,10:2575,11:43</t>
  </si>
  <si>
    <t>Trial:0 w:9; pErr:0.3645, weight 9 CW found:20968, wDict:9:3997,10:5218,11:749,12:36</t>
  </si>
  <si>
    <t>Trial:0 w:10; Trial:2 w:9; pErr:0.3636, weight 9 CW found:21095, wDict:9:6675,10:2937,11:384,12:4</t>
  </si>
  <si>
    <t>Trial:0 w:11; pErr:0.3673, weight 11 CW found:21128, wDict:11:6821,12:2510,13:668,14:1</t>
  </si>
  <si>
    <t>Trial:0 w:9; pErr:0.3667, weight 9 CW found:25565, wDict:9:969,10:2577,11:4937,12:1487,13:30</t>
  </si>
  <si>
    <t>Trial:0 w:12; Trial:1 w:10; Trial:6 w:9; pErr:0.3673, weight 9 CW found:50696, wDict:9:721,10:1885,11:4622,12:2463,13:307,14:2</t>
  </si>
  <si>
    <t>Trial:0 w:10; Trial:4 w:9; pErr:0.3667, weight 9 CW found:18808, wDict:9:1240,10:3199,11:4201,12:1311,13:49</t>
  </si>
  <si>
    <t>Trial:0 w:11; Trial:3 w:10; Trial:9 w:9; pErr:0.3667, weight 9 CW found:18945, wDict:9:1270,10:3095,11:4240,12:1354,13:41</t>
  </si>
  <si>
    <t>Trial:0 w:11; Trial:5 w:10; Trial:42 w:9; pErr:0.3673, weight 9 CW found:23583, wDict:9:505,10:2871,11:4071,12:2194,13:352,14:7</t>
  </si>
  <si>
    <t>Trial:0 w:12; Trial:2 w:11; Trial:4 w:10; Trial:44 w:9; pErr:0.3675, weight 9 CW found:47644, wDict:9:392,10:2308,11:3487,12:2705,13:1041,14:67</t>
  </si>
  <si>
    <t>Trial:0 w:13; Trial:5 w:11; Trial:103 w:10; pErr:0.3677, weight 10 CW found:22912, wDict:10:436,11:2447,12:4309,13:2049,14:709,15:50</t>
  </si>
  <si>
    <t>Trial:0 w:9; Trial:6 w:8; Trial:25 w:7; pErr:0.3664, weight 7 CW found:23774, wDict:7:223,8:2450,9:5905,10:1407,11:15</t>
  </si>
  <si>
    <t>Trial:0 w:10; Trial:7 w:9; Trial:36 w:8; pErr:0.3674, weight 8 CW found:20872, wDict:8:103,9:1648,10:4869,11:3053,12:326,13:1</t>
  </si>
  <si>
    <t>Trial:0 w:11; Trial:4 w:9; pErr:0.3676, weight 9 CW found:20385, wDict:9:470,10:3570,11:4175,12:1714,13:71</t>
  </si>
  <si>
    <t>Trial:0 w:13; Trial:1 w:11; pErr:0.3678, weight 11 CW found:47260, wDict:11:2776,12:2934,13:2761,14:1399,15:129,16:1</t>
  </si>
  <si>
    <t>Trial:0 w:15; Trial:1 w:13; Trial:11 w:12; Trial:21 w:11; pErr:0.3679, weight 11 CW found:23293, wDict:11:285,12:1225,13:3131,14:3806,15:1462,16:90,17:1</t>
  </si>
  <si>
    <t>Trial:0 w:12; Trial:4 w:11; Trial:7 w:10; pErr:0.3678, weight 10 CW found:48718, wDict:10:364,11:1384,12:3156,13:3637,14:1352,15:106,16:1</t>
  </si>
  <si>
    <t>Trial:0 w:16; Trial:1 w:15; Trial:3 w:14; Trial:38 w:13; Trial:233 w:12; pErr:0.3679, weight 12 CW found:45480, wDict:12:79,13:695,14:1809,15:3410,16:2911,17:1026,18:68,19:2</t>
  </si>
  <si>
    <t>Trial:0 w:15; Trial:1 w:14; Trial:5 w:12; pErr:0.3679, weight 12 CW found:22950, wDict:12:204,13:598,14:2442,15:4047,16:2472,17:237</t>
  </si>
  <si>
    <t>Trial:0 w:16; Trial:1 w:15; Trial:33 w:14; Trial:75 w:13; pErr:0.3679, weight 13 CW found:23030, wDict:13:299,14:1041,15:3292,16:3794,17:1478,18:94,19:2</t>
  </si>
  <si>
    <t>Trial:0 w:12; Trial:15 w:11; Trial:106 w:10; pErr:0.3678, weight 10 CW found:17695, wDict:10:250,11:963,12:2437,13:4010,14:2155,15:185</t>
  </si>
  <si>
    <t>Trial:0 w:13; Trial:6 w:12; Trial:38 w:10; pErr:0.3678, weight 10 CW found:17681, wDict:10:123,11:590,12:1862,13:3913,14:3002,15:505,16:5</t>
  </si>
  <si>
    <t>Trial:0 w:15; Trial:3 w:14; Trial:8 w:12; Trial:190 w:11; pErr:0.3679, weight 11 CW found:45834, wDict:11:55,12:250,13:805,14:2096,15:3332,16:2749,17:685,18:28</t>
  </si>
  <si>
    <t>Trial:0 w:13; Trial:16 w:12; Trial:106 w:11; pErr:0.3679, weight 11 CW found:46461, wDict:11:48,12:252,13:829,14:2048,15:3356,16:2697,17:748,18:22</t>
  </si>
  <si>
    <t>Trial:0 w:14; Trial:7 w:13; Trial:8 w:12; Trial:22 w:11; Trial:169 w:10; pErr:0.3679, weight 10 CW found:47619, wDict:10:30,11:319,12:1216,13:2809,14:3663,15:1785,16:177,17:1</t>
  </si>
  <si>
    <t>Trial:0 w:17; Trial:1 w:16; Trial:3 w:15; Trial:4 w:14; Trial:44 w:13; pErr:0.3679, weight 13 CW found:17009, wDict:13:142,14:1131,15:2876,16:3644,17:2035,18:170,19:2</t>
  </si>
  <si>
    <t>Trial:0 w:15; Trial:1 w:14; Trial:7 w:13; Trial:25 w:12; pErr:0.3679, weight 12 CW found:22813, wDict:12:192,13:1319,14:3019,15:3763,16:1608,17:99</t>
  </si>
  <si>
    <t>Trial:0 w:19; Trial:1 w:18; Trial:3 w:17; Trial:9 w:16; Trial:25 w:15; Trial:288 w:14; pErr:0.3679, weight 14 CW found:43677, wDict:14:37,15:215,16:604,17:1719,18:2767,19:3112,20:1347,21:197,22:2</t>
  </si>
  <si>
    <t>Trial:0 w:19; Trial:7 w:17; Trial:13 w:15; Trial:47 w:14; pErr:0.3679, weight 14 CW found:45432, wDict:14:43,15:230,16:663,17:1611,18:2740,19:3134,20:1357,21:216,22:6</t>
  </si>
  <si>
    <t>Trial:0 w:19; Trial:2 w:17; Trial:18 w:16; Trial:275 w:15; Trial:1062 w:14; pErr:0.3679, weight 14 CW found:39930, wDict:14:14,15:87,16:331,17:947,18:2018,19:3237,20:2464,21:833,22:66,23:3</t>
  </si>
  <si>
    <t>Trial:0 w:21; Trial:1 w:19; Trial:4 w:18; Trial:6 w:17; Trial:7 w:15; Trial:2444 w:14; pErr:0.3679, weight 14 CW found:34221, wDict:14:13,15:94,16:328,17:976,18:2036,19:3260,20:2401,21:826,22:65,23:1</t>
  </si>
  <si>
    <t>Trial:0 w:20; Trial:1 w:18; Trial:3 w:14; pErr:0.3679, weight 14 CW found:45276, wDict:14:13,15:83,16:305,17:955,18:1950,19:3297,20:2532,21:811,22:53,23:1</t>
  </si>
  <si>
    <t>Trial:0 w:21; Trial:1 w:19; Trial:8 w:16; Trial:169 w:14; pErr:0.3679, weight 14 CW found:44253, wDict:14:17,15:94,16:312,17:957,18:2055,19:3162,20:2497,21:839,22:67</t>
  </si>
  <si>
    <t>Trial:0 w:21; Trial:2 w:18; Trial:44 w:17; Trial:77 w:16; Trial:1339 w:15; pErr:0.3679, weight 15 CW found:38811, wDict:15:7,16:63,17:233,18:718,19:1747,20:2775,21:3011,22:1243,23:199,24:4</t>
  </si>
  <si>
    <t>Trial:0 w:19; Trial:11 w:18; Trial:85 w:17; Trial:398 w:16; Trial:630 w:15; pErr:0.3679, weight 15 CW found:42000, wDict:15:12,16:54,17:285,18:717,19:1737,20:2831,21:2936,22:1242,23:184,24:2</t>
  </si>
  <si>
    <t>Trial:0 w:20; Trial:8 w:17; Trial:45 w:16; Trial:445 w:15; pErr:0.3679, weight 15 CW found:42684, wDict:15:13,16:33,17:143,18:391,19:993,20:2034,21:3159,22:2309,23:861,24:64</t>
  </si>
  <si>
    <t>Trial:0 w:20; Trial:7 w:18; Trial:13 w:17; Trial:1547 w:15; pErr:0.3679, weight 15 CW found:38181, wDict:15:11,16:29,17:137,18:369,19:1064,20:2023,21:3065,22:2351,23:868,24:81,25:2</t>
  </si>
  <si>
    <t>Trial:0 w:22; Trial:1 w:21; Trial:6 w:20; Trial:35 w:18; Trial:106 w:17; Trial:1234 w:16; Trial:1250 w:15; pErr:0.3679, weight 15 CW found:38685, wDict:15:5,16:16,17:65,18:190,19:592,20:1294,21:2603,22:2976,23:1846,24:390,25:23</t>
  </si>
  <si>
    <t>Trial:0 w:22; Trial:3 w:20; Trial:19 w:18; Trial:144 w:15; pErr:0.3679, weight 15 CW found:20479, wDict:15:3,16:32,17:77,18:278,19:799,20:2037,21:3208,22:2714,23:806,24:46</t>
  </si>
  <si>
    <t>Trial:0 w:24; Trial:1 w:23; Trial:2 w:21; Trial:5 w:19; Trial:64 w:17; Trial:1121 w:16; Trial:5611 w:15; pErr:0.3679, weight 15 CW found:19275, wDict:15:1,16:9,17:25,18:103,19:323,20:740,21:1871,22:2718,23:2808,24:1204,25:192,26:6</t>
  </si>
  <si>
    <t>Trial:0 w:19; Trial:2 w:18; Trial:7 w:16; Trial:37 w:15; Trial:712 w:14; Trial:5853 w:13; pErr:0.3679, weight 13 CW found:8978, wDict:13:4,14:39,15:186,16:623,17:1601,18:3151,19:3283,20:1046,21:67</t>
  </si>
  <si>
    <t>Trial:0 w:20; Trial:2 w:17; Trial:17 w:16; Trial:29 w:14; Trial:6826 w:13; pErr:0.3679, weight 13 CW found:6738, wDict:13:1,14:15,15:96,16:299,17:839,18:2205,19:3478,20:2503,21:554,22:10</t>
  </si>
  <si>
    <t>Trial:0 w:22; Trial:1 w:21; Trial:5 w:19; Trial:222 w:18; Trial:263 w:17; Trial:2362 w:16; Trial:3354 w:15; pErr:0.3679, weight 15 CW found:29259, wDict:15:1,16:5,17:39,18:104,19:309,20:881,21:1811,22:2900,23:2726,24:1082,25:138,26:4</t>
  </si>
  <si>
    <t>Trial:0 w:18; Trial:91 w:17; Trial:562 w:16; Trial:1661 w:15; pErr:0.3679, weight 15 CW found:15523, wDict:15:7,16:41,17:179,18:536,19:1494,20:2851,21:3261,22:1478,23:153</t>
  </si>
  <si>
    <t>Trial:0 w:22; Trial:2 w:21; Trial:9 w:20; Trial:12 w:19; Trial:268 w:18; Trial:1709 w:17; pErr:0.3679, weight 17 CW found:14171, wDict:17:16,18:90,19:274,20:865,21:1974,22:3155,23:2718,24:841,25:67</t>
  </si>
  <si>
    <t>Trial:0 w:20; Trial:1 w:19; Trial:9 w:18; Trial:73 w:17; Trial:735 w:16; Trial:3494 w:15; pErr:0.3679, weight 15 CW found:12081, wDict:15:2,16:42,17:205,18:567,19:1533,20:2943,21:3213,22:1365,23:128,24:2</t>
  </si>
  <si>
    <t>Trial:0 w:26; Trial:1 w:24; Trial:7 w:22; Trial:48 w:21; Trial:57 w:20; Trial:108 w:18; pErr:0.3679, weight 18 CW found:42876, wDict:18:9,19:32,20:128,21:318,22:899,23:1666,24:2850,25:2547,26:1357,27:186,28:8</t>
  </si>
  <si>
    <t>Trial:0 w:22; Trial:1 w:19; Trial:146 w:18; Trial:324 w:17; pErr:0.3679, weight 17 CW found:17390, wDict:17:37,18:151,19:433,20:1138,21:2463,22:3388,23:2028,24:357,25:5</t>
  </si>
  <si>
    <t>Trial:0 w:21; Trial:69 w:20; Trial:2270 w:19; pErr:0.3679, weight 19 CW found:13560, wDict:19:12,20:77,21:210,22:616,23:1470,24:2686,25:3142,26:1557,27:224,28:6</t>
  </si>
  <si>
    <t>Trial:0 w:25; Trial:1 w:24; Trial:11 w:23; Trial:18 w:22; Trial:73 w:21; Trial:101 w:20; Trial:268 w:19; pErr:0.3679, weight 19 CW found:19691, wDict:19:17,20:93,21:274,22:736,23:1638,24:2958,25:2926,26:1222,27:134,28:2</t>
  </si>
  <si>
    <t>Trial:0 w:25; Trial:1 w:24; Trial:7 w:21; Trial:202 w:20; Trial:215 w:19; pErr:0.3679, weight 19 CW found:19617, wDict:19:17,20:89,21:288,22:754,23:1682,24:2935,25:2870,26:1251,27:113,28:1</t>
  </si>
  <si>
    <t>Trial:0 w:28; Trial:1 w:27; Trial:2 w:25; Trial:20 w:24; Trial:33 w:22; Trial:311 w:21; Trial:964 w:20; Trial:1972 w:19; pErr:0.3679, weight 19 CW found:35100, wDict:19:6,20:10,21:36,22:59,23:235,24:435,25:1262,26:1842,27:3171,28:1927,29:946,30:68,31:3</t>
  </si>
  <si>
    <t>Trial:0 w:27; Trial:1 w:24; Trial:26 w:23; Trial:88 w:22; Trial:191 w:21; Trial:225 w:20; Trial:375 w:19; pErr:0.3679, weight 19 CW found:41859, wDict:19:3,20:19,21:36,22:66,23:218,24:444,25:1274,26:1917,27:3163,28:1858,29:937,30:62,31:3</t>
  </si>
  <si>
    <t>Trial:0 w:23; Trial:2 w:22; Trial:13 w:20; Trial:2747 w:19; pErr:0.3679, weight 19 CW found:12991, wDict:19:6,20:73,21:230,22:627,23:1442,24:2683,25:3109,26:1624,27:205,28:1</t>
  </si>
  <si>
    <t>Trial:0 w:21; Trial:588 w:20; pErr:0.3679, weight 20 CW found:18799, wDict:20:6,21:36,22:82,23:130,24:453,25:1029,26:2179,27:2889,28:2483,29:663,30:49,31:1</t>
  </si>
  <si>
    <t>Trial:0 w:25; Trial:5 w:22; Trial:101 w:20; pErr:0.3679, weight 20 CW found:42990, wDict:20:13,21:23,22:34,23:99,24:300,25:651,26:1605,27:2318,28:2815,29:1644,30:471,31:27</t>
  </si>
  <si>
    <t>Trial:0 w:25; Trial:36 w:24; Trial:76 w:22; Trial:199 w:21; Trial:1699 w:20; pErr:0.3679, weight 20 CW found:35967, wDict:20:7,21:42,22:61,23:100,24:289,25:665,26:1508,27:2310,28:2940,29:1600,30:452,31:25,32:1</t>
  </si>
  <si>
    <t>Trial:0 w:22; Trial:18 w:20; Trial:236 w:19; pErr:0.3679, weight 19 CW found:19662, wDict:19:14,20:88,21:300,22:682,23:1752,24:2986,25:2871,26:1214,27:91,28:2</t>
  </si>
  <si>
    <t>Trial:0 w:20; Trial:1 w:18; Trial:2 w:16; Trial:18 w:14; pErr:0.3679, weight 14 CW found:17765, wDict:14:29,15:104,16:469,17:1343,18:2958,19:3468,20:1514,21:115</t>
  </si>
  <si>
    <t>Trial:0 w:25; Trial:1 w:23; Trial:3 w:21; Trial:498 w:20; Trial:561 w:19; pErr:0.3679, weight 19 CW found:19171, wDict:19:20,20:91,21:263,22:744,23:1724,24:2981,25:2862,26:1193,27:119,28:3</t>
  </si>
  <si>
    <t>Trial:0 w:27; Trial:1 w:25; Trial:23 w:23; Trial:526 w:21; pErr:0.3679, weight 21 CW found:18720, wDict:21:36,22:46,23:75,24:179,25:777,26:1084,27:2875,28:2380,29:2214,30:304,31:30</t>
  </si>
  <si>
    <t>Trial:0 w:30; Trial:1 w:29; Trial:2 w:26; Trial:4 w:25; Trial:48 w:24; Trial:66 w:23; Trial:177 w:21; pErr:0.3679, weight 21 CW found:42816, wDict:21:8,22:31,23:59,24:122,25:488,26:811,27:2046,28:2230,29:2789,30:1124,31:282,32:10</t>
  </si>
  <si>
    <t>Trial:0 w:27; Trial:3 w:26; Trial:10 w:25; Trial:29 w:21; Trial:2436 w:20; pErr:0.3679, weight 20 CW found:32904, wDict:20:6,21:26,22:46,23:96,24:329,25:685,26:1574,27:2308,28:2871,29:1615,30:415,31:28,32:1</t>
  </si>
  <si>
    <t>Trial:0 w:28; Trial:1 w:23; Trial:76 w:22; Trial:228 w:21; Trial:850 w:20; pErr:0.3679, weight 20 CW found:39180, wDict:20:6,21:36,22:47,23:113,24:316,25:681,26:1610,27:2293,28:2890,29:1574,30:409,31:24,32:1</t>
  </si>
  <si>
    <t>Trial:0 w:23; Trial:17 w:19; Trial:876 w:17; pErr:0.3679, weight 17 CW found:18613, wDict:17:1,18:9,19:11,20:36,21:93,22:275,23:706,24:1713,25:2851,26:2963,27:1216,28:124,29:2</t>
  </si>
  <si>
    <t>Trial:0 w:25; Trial:1 w:24; Trial:18 w:22; Trial:120 w:21; Trial:383 w:20; Trial:1567 w:18; Trial:1997 w:17; pErr:0.3679, weight 17 CW found:35580, wDict:17:1,18:3,19:9,20:28,21:69,22:157,23:479,24:1169,25:2192,26:2908,27:2218,28:695,29:72</t>
  </si>
  <si>
    <t>Trial:0 w:30; Trial:1 w:29; Trial:2 w:26; Trial:8 w:24; Trial:41 w:23; Trial:272 w:22; Trial:475 w:21; Trial:826 w:20; Trial:2877 w:19; pErr:0.3679, weight 19 CW found:12251, wDict:19:1,20:4,21:7,22:27,23:85,24:253,25:596,26:1490,27:2563,28:3068,29:1643,30:257,31:6</t>
  </si>
  <si>
    <t>Trial:0 w:28; Trial:1 w:27; Trial:21 w:26; Trial:122 w:25; Trial:144 w:24; Trial:469 w:23; Trial:3749 w:22; pErr:0.3679, weight 22 CW found:10117, wDict:22:8,23:7,24:38,25:133,26:350,27:935,28:1794,29:2915,30:2661,31:1031,32:127,33:1</t>
  </si>
  <si>
    <t>Trial:0 w:26; Trial:1 w:25; Trial:2 w:23; Trial:4 w:22; Trial:28 w:18; Trial:49 w:16; pErr:0.3679, weight 16 CW found:18057, wDict:16:6,17:1,18:9,19:31,20:108,21:332,22:858,23:1915,24:3115,25:2729,26:844,27:52</t>
  </si>
  <si>
    <t>Trial:0 w:28; Trial:1 w:27; Trial:5 w:24; Trial:174 w:23; Trial:900 w:22; Trial:6276 w:20; pErr:0.3679, weight 20 CW found:6101, wDict:20:3,22:7,23:32,24:88,25:239,26:628,27:1446,28:2641,29:3047,30:1616,31:247,32:6</t>
  </si>
  <si>
    <t>Trial:0 w:21; Trial:3 w:20; Trial:30 w:19; Trial:96 w:18; Trial:302 w:15; pErr:0.3679, weight 15 CW found:44358, wDict:15:4,16:5,17:44,18:158,19:502,20:1329,21:2650,22:3144,23:1855,24:301,25:8</t>
  </si>
  <si>
    <t>Trial:0 w:23; Trial:3 w:22; Trial:4 w:21; Trial:11 w:19; Trial:303 w:17; Trial:1324 w:16; pErr:0.3679, weight 16 CW found:14285, wDict:16:5,17:10,18:52,19:157,20:508,21:1313,22:2647,23:3474,24:1629,25:204,26:1</t>
  </si>
  <si>
    <t>Trial:0 w:23; Trial:2 w:21; Trial:6 w:20; Trial:14 w:18; Trial:377 w:17; Trial:1440 w:16; pErr:0.3679, weight 16 CW found:14134, wDict:16:4,17:22,18:60,19:221,20:726,21:1706,22:3136,23:3046,24:1023,25:56</t>
  </si>
  <si>
    <t>Trial:0 w:21; Trial:3 w:19; Trial:95 w:18; Trial:324 w:17; Trial:1671 w:16; pErr:0.3679, weight 16 CW found:14072, wDict:16:7,17:13,18:105,19:338,20:950,21:2188,22:3490,23:2416,24:482,25:11</t>
  </si>
  <si>
    <t>Trial:0 w:25; Trial:17 w:23; Trial:21 w:21; Trial:1256 w:19; pErr:0.3679, weight 19 CW found:37962, wDict:19:6,20:3,21:16,22:47,23:137,24:352,25:841,26:1834,27:2712,28:2597,29:1251,30:195,31:9</t>
  </si>
  <si>
    <t>Trial:0 w:22; Trial:6 w:18; Trial:11 w:16; Trial:430 w:14; pErr:0.3679, weight 14 CW found:43383, wDict:14:2,15:1,16:9,17:5,18:19,19:55,20:201,21:508,22:1340,23:2570,24:3149,25:1778,26:350,27:13</t>
  </si>
  <si>
    <t>Trial:0 w:25; Trial:1 w:23; Trial:2 w:21; Trial:6 w:20; Trial:17 w:19; Trial:83 w:18; Trial:129 w:17; Trial:312 w:16; Trial:3741 w:14; pErr:0.3679, weight 14 CW found:28278, wDict:14:4,15:2,16:12,17:11,18:70,19:140,20:382,21:1007,22:2139,23:3118,24:2403,25:677,26:34,27:1</t>
  </si>
  <si>
    <t>Trial:0 w:29; Trial:413 w:27; Trial:556 w:25; pErr:0.3679, weight 25 CW found:54300, wDict:25:16,27:48,29:117,31:659,33:2926,35:4661,37:1539,39:34</t>
  </si>
  <si>
    <t>Trial:0 w:32; Trial:3 w:28; Trial:18 w:26; Trial:331 w:25; Trial:1226 w:24; pErr:0.3679, weight 24 CW found:37722, wDict:24:5,25:18,26:30,27:52,28:74,29:134,30:367,31:595,32:1675,33:1840,34:3078,35:1377,36:706,37:48,38:1</t>
  </si>
  <si>
    <t>Trial:0 w:34; Trial:5 w:32; Trial:8 w:29; Trial:83 w:27; Trial:99 w:26; Trial:334 w:25; Trial:2388 w:24; pErr:0.3679, weight 24 CW found:32604, wDict:24:4,25:12,26:26,27:45,28:73,29:113,30:385,31:624,32:1725,33:1803,34:3113,35:1353,36:673,37:47,38:4</t>
  </si>
  <si>
    <t>Trial:0 w:35; Trial:3 w:33; Trial:18 w:31; Trial:68 w:29; Trial:94 w:27; Trial:471 w:25; pErr:0.3679, weight 25 CW found:53883, wDict:25:12,27:65,29:131,31:747,33:2806,35:4748,37:1456,39:35</t>
  </si>
  <si>
    <t>Trial:0 w:24; Trial:4 w:22; Trial:32 w:21; Trial:93 w:19; Trial:2066 w:18; Trial:2273 w:17; Trial:3025 w:15; Trial:8056 w:14; pErr:0.3679, weight 14 CW found:8643, wDict:14:1,15:1,16:1,17:3,18:16,19:35,20:105,21:320,22:826,23:1837,24:2952,25:2695,26:1104,27:103,28:1</t>
  </si>
  <si>
    <t>Trial:0 w:25; Trial:1 w:24; Trial:2 w:23; Trial:3 w:22; Trial:5 w:21; Trial:8 w:20; Trial:167 w:18; Trial:170 w:17; Trial:1899 w:16; Trial:3862 w:14; pErr:0.3679, weight 14 CW found:10186, wDict:14:2,15:1,16:5,17:4,18:31,19:76,20:309,21:809,22:1883,23:3231,24:2848,25:775,26:26</t>
  </si>
  <si>
    <t>Trial:0 w:27; Trial:1 w:25; Trial:2 w:24; Trial:3 w:23; Trial:8 w:22; Trial:15 w:21; Trial:67 w:20; Trial:824 w:18; pErr:0.3679, weight 18 CW found:16585, wDict:18:9,19:20,20:44,21:176,22:564,23:1342,24:2656,25:3280,26:1679,27:225,28:5</t>
  </si>
  <si>
    <t>Trial:0 w:25; Trial:3 w:22; Trial:30 w:21; Trial:224 w:20; Trial:240 w:18; Trial:3087 w:16; pErr:0.3679, weight 16 CW found:14656, wDict:16:3,18:9,19:20,20:62,21:231,22:590,23:1583,24:2953,25:3148,26:1273,27:126,28:2</t>
  </si>
  <si>
    <t>Trial:0 w:25; Trial:3 w:21; Trial:27 w:20; Trial:1910 w:18; Trial:5212 w:17; Trial:9491 w:16; pErr:0.3679, weight 16 CW found:2226, wDict:16:1,17:2,18:7,19:7,20:49,21:152,22:444,23:1084,24:2217,25:3020,26:2370,27:607,28:40</t>
  </si>
  <si>
    <t>outfile: /home/ucapmwe/dist-benchmark/results/codeTables-QECC_sample.txt-QDistRndMW-20260215_181908.044543_85062422.txt</t>
  </si>
  <si>
    <t>Trial:0 w:1; pErr:0.0000, weight 1 CW found:2, wDict:1:10000</t>
  </si>
  <si>
    <t>Trial:0 w:2; pErr:0.0000, weight 2 CW found:6, wDict:2:10000</t>
  </si>
  <si>
    <t>Trial:0 w:3; pErr:0.0000, weight 3 CW found:28, wDict:3:10000</t>
  </si>
  <si>
    <t>Trial:0 w:3; pErr:0.0000, weight 3 CW found:14, wDict:3:10000</t>
  </si>
  <si>
    <t>Trial:0 w:4; pErr:0.0000, weight 4 CW found:36, wDict:4:9996,5:4</t>
  </si>
  <si>
    <t>Trial:0 w:5; pErr:0.0000, weight 5 CW found:197, wDict:5:10000</t>
  </si>
  <si>
    <t>Trial:0 w:3; pErr:0.0000, weight 3 CW found:174, wDict:3:9828,4:172</t>
  </si>
  <si>
    <t>Trial:0 w:3; pErr:0.0000, weight 3 CW found:174, wDict:3:9803,4:197</t>
  </si>
  <si>
    <t>Trial:0 w:5; pErr:0.0000, weight 5 CW found:322, wDict:5:9876,6:124</t>
  </si>
  <si>
    <t>Trial:0 w:5; pErr:0.0000, weight 5 CW found:322, wDict:5:9901,6:99</t>
  </si>
  <si>
    <t>Trial:0 w:6; pErr:0.0000, weight 6 CW found:224, wDict:6:10000</t>
  </si>
  <si>
    <t>Trial:0 w:5; pErr:0.0000, weight 5 CW found:188, wDict:5:10000</t>
  </si>
  <si>
    <t>Trial:0 w:5; pErr:0.0000, weight 5 CW found:398, wDict:5:9995,6:5</t>
  </si>
  <si>
    <t>Trial:0 w:5; pErr:0.0000, weight 5 CW found:419, wDict:5:9992,6:8</t>
  </si>
  <si>
    <t>Trial:0 w:6; pErr:0.0000, weight 6 CW found:644, wDict:6:9934,7:66</t>
  </si>
  <si>
    <t>Trial:0 w:6; pErr:0.0000, weight 6 CW found:613, wDict:6:9946,7:54</t>
  </si>
  <si>
    <t>Trial:0 w:6; Trial:1 w:5; pErr:0.0000, weight 5 CW found:915, wDict:5:9926,6:74</t>
  </si>
  <si>
    <t>Trial:0 w:7; pErr:0.0000, weight 7 CW found:1498, wDict:7:9574,8:426</t>
  </si>
  <si>
    <t>Trial:0 w:6; Trial:1 w:5; pErr:0.0000, weight 5 CW found:2767, wDict:5:3952,6:5977,7:71</t>
  </si>
  <si>
    <t>Trial:0 w:5; pErr:0.0000, weight 5 CW found:2673, wDict:5:3968,6:5968,7:64</t>
  </si>
  <si>
    <t>Trial:0 w:6; pErr:0.0000, weight 6 CW found:3267, wDict:6:6688,7:3301,8:11</t>
  </si>
  <si>
    <t>Trial:0 w:6; pErr:0.0000, weight 6 CW found:3294, wDict:6:6612,7:3373,8:15</t>
  </si>
  <si>
    <t>Trial:0 w:6; pErr:0.0000, weight 6 CW found:3288, wDict:6:6570,7:3418,8:12</t>
  </si>
  <si>
    <t>Trial:0 w:7; pErr:0.0002, weight 7 CW found:3081, wDict:7:8672,8:1324,9:4</t>
  </si>
  <si>
    <t>Trial:0 w:6; pErr:0.0001, weight 6 CW found:2674, wDict:6:7525,7:2461,8:14</t>
  </si>
  <si>
    <t>Trial:0 w:6; pErr:0.0001, weight 6 CW found:2688, wDict:6:7434,7:2549,8:17</t>
  </si>
  <si>
    <t>Trial:0 w:8; pErr:0.0001, weight 8 CW found:3037, wDict:8:9435,9:560,10:5</t>
  </si>
  <si>
    <t>Trial:0 w:9; Trial:1 w:8; pErr:0.0256, weight 8 CW found:12550, wDict:8:6658,9:3250,10:91,11:1</t>
  </si>
  <si>
    <t>Trial:0 w:5; pErr:0.0105, weight 5 CW found:7303, wDict:5:7919,6:2081</t>
  </si>
  <si>
    <t>Trial:0 w:9; pErr:0.0338, weight 9 CW found:6357, wDict:9:6126,10:3619,11:255</t>
  </si>
  <si>
    <t>Trial:0 w:9; pErr:0.0314, weight 9 CW found:6149, wDict:9:6178,10:3596,11:226</t>
  </si>
  <si>
    <t>Trial:0 w:9; pErr:0.0302, weight 9 CW found:6100, wDict:9:6084,10:3697,11:219</t>
  </si>
  <si>
    <t>Trial:0 w:9; pErr:0.0325, weight 9 CW found:6217, wDict:9:6141,10:3612,11:247</t>
  </si>
  <si>
    <t>Trial:0 w:12; Trial:1 w:9; pErr:0.0432, weight 9 CW found:5770, wDict:9:3223,10:5177,11:1408,12:192</t>
  </si>
  <si>
    <t>Trial:0 w:9; pErr:0.0453, weight 9 CW found:5852, wDict:9:5489,10:3530,11:948,12:33</t>
  </si>
  <si>
    <t>Trial:0 w:13; Trial:1 w:11; pErr:0.1659, weight 11 CW found:10562, wDict:11:5478,12:2886,13:1613,14:23</t>
  </si>
  <si>
    <t>Trial:0 w:11; Trial:4 w:10; Trial:12 w:9; pErr:0.1864, weight 9 CW found:12928, wDict:9:817,10:2094,11:4605,12:2313,13:171</t>
  </si>
  <si>
    <t>Trial:0 w:10; Trial:9 w:9; pErr:0.2162, weight 9 CW found:22284, wDict:9:724,10:1924,11:4560,12:2495,13:294,14:3</t>
  </si>
  <si>
    <t>Trial:0 w:12; Trial:1 w:9; pErr:0.1999, weight 9 CW found:10672, wDict:9:975,10:2378,11:4062,12:2353,13:231,14:1</t>
  </si>
  <si>
    <t>Trial:0 w:12; Trial:2 w:11; Trial:5 w:10; Trial:8 w:9; pErr:0.1998, weight 9 CW found:10782, wDict:9:944,10:2373,11:4089,12:2354,13:238,14:2</t>
  </si>
  <si>
    <t>Trial:0 w:9; pErr:0.2294, weight 9 CW found:13697, wDict:9:339,10:2382,11:3685,12:2747,13:817,14:30</t>
  </si>
  <si>
    <t>Trial:0 w:13; Trial:1 w:10; Trial:10 w:9; pErr:0.2497, weight 9 CW found:23056, wDict:9:401,10:2332,11:3526,12:2622,13:1033,14:86</t>
  </si>
  <si>
    <t>Trial:0 w:12; Trial:9 w:11; Trial:20 w:10; pErr:0.2549, weight 10 CW found:14223, wDict:10:332,11:1921,12:4001,13:2368,14:1194,15:184</t>
  </si>
  <si>
    <t>Trial:0 w:10; Trial:3 w:9; Trial:6 w:8; Trial:75 w:7; pErr:0.2521, weight 7 CW found:15565, wDict:7:214,8:1750,9:5398,10:2556,11:82</t>
  </si>
  <si>
    <t>Trial:0 w:10; Trial:1 w:9; Trial:275 w:8; pErr:0.2771, weight 8 CW found:14303, wDict:8:71,9:1214,10:4090,11:3712,12:895,13:18</t>
  </si>
  <si>
    <t>Trial:0 w:12; Trial:1 w:11; Trial:3 w:10; Trial:28 w:9; pErr:0.2895, weight 9 CW found:14578, wDict:9:353,10:2737,11:4011,12:2571,13:328</t>
  </si>
  <si>
    <t>Trial:0 w:11; pErr:0.3172, weight 11 CW found:27398, wDict:11:2863,12:2830,13:2779,14:1392,15:134,16:2</t>
  </si>
  <si>
    <t>Trial:0 w:13; Trial:7 w:12; Trial:79 w:11; pErr:0.3365, weight 11 CW found:18272, wDict:11:194,12:900,13:2492,14:3806,15:2322,16:286</t>
  </si>
  <si>
    <t>Trial:0 w:13; Trial:3 w:11; Trial:32 w:10; pErr:0.3412, weight 10 CW found:30004, wDict:10:348,11:1365,12:3199,13:3625,14:1361,15:101,16:1</t>
  </si>
  <si>
    <t>Trial:0 w:15; Trial:4 w:14; Trial:27 w:13; Trial:133 w:12; pErr:0.3536, weight 12 CW found:29796, wDict:12:92,13:643,14:1762,15:3497,16:2877,17:1045,18:82,19:2</t>
  </si>
  <si>
    <t>Trial:0 w:17; Trial:1 w:16; Trial:3 w:15; Trial:7 w:14; Trial:27 w:13; Trial:96 w:12; pErr:0.3520, weight 12 CW found:19017, wDict:12:159,13:478,14:1933,15:3671,16:3081,17:654,18:24</t>
  </si>
  <si>
    <t>Trial:0 w:16; Trial:5 w:14; Trial:22 w:13; pErr:0.3566, weight 13 CW found:19389, wDict:13:219,14:797,15:2641,16:3716,17:2324,18:294,19:9</t>
  </si>
  <si>
    <t>Trial:0 w:14; Trial:2 w:12; Trial:40 w:11; Trial:93 w:10; pErr:0.3476, weight 10 CW found:15718, wDict:10:154,11:638,12:1868,13:3557,14:3144,15:627,16:12</t>
  </si>
  <si>
    <t>Trial:0 w:14; Trial:1 w:12; Trial:20 w:11; Trial:37 w:10; pErr:0.3523, weight 10 CW found:16030, wDict:10:79,11:416,12:1378,13:3138,14:3647,15:1276,16:66</t>
  </si>
  <si>
    <t>Trial:0 w:17; Trial:1 w:14; Trial:4 w:13; Trial:23 w:12; Trial:98 w:11; pErr:0.3594, weight 11 CW found:29939, wDict:11:56,12:227,13:852,14:2093,15:3381,16:2701,17:657,18:33</t>
  </si>
  <si>
    <t>Trial:0 w:15; Trial:6 w:14; Trial:10 w:12; Trial:57 w:11; pErr:0.3614, weight 11 CW found:31041, wDict:11:47,12:210,13:767,14:2116,15:3322,16:2772,17:728,18:38</t>
  </si>
  <si>
    <t>Trial:0 w:13; Trial:2 w:12; Trial:61 w:11; Trial:71 w:10; pErr:0.3610, weight 10 CW found:31677, wDict:10:46,11:336,12:1201,13:2914,14:3565,15:1732,16:206</t>
  </si>
  <si>
    <t>Trial:0 w:16; Trial:3 w:15; Trial:27 w:14; Trial:137 w:13; pErr:0.3638, weight 13 CW found:15713, wDict:13:95,14:832,15:2093,16:3368,17:2920,18:671,19:21</t>
  </si>
  <si>
    <t>Trial:0 w:15; Trial:3 w:14; Trial:4 w:13; Trial:120 w:12; pErr:0.3642, weight 12 CW found:19693, wDict:12:114,13:1004,14:2487,15:3683,16:2356,17:350,18:6</t>
  </si>
  <si>
    <t>Trial:0 w:18; Trial:3 w:17; Trial:20 w:16; Trial:49 w:15; Trial:85 w:14; pErr:0.3661, weight 14 CW found:30052, wDict:14:66,15:197,16:594,17:1627,18:2749,19:3198,20:1349,21:216,22:4</t>
  </si>
  <si>
    <t>Trial:0 w:17; Trial:2 w:16; Trial:24 w:15; Trial:298 w:14; pErr:0.3662, weight 14 CW found:29098, wDict:14:52,15:202,16:627,17:1616,18:2786,19:3128,20:1382,21:202,22:5</t>
  </si>
  <si>
    <t>Trial:0 w:20; Trial:1 w:19; Trial:3 w:17; Trial:33 w:16; Trial:43 w:15; Trial:2212 w:14; pErr:0.3671, weight 14 CW found:23238, wDict:14:6,15:103,16:328,17:993,18:1998,19:3159,20:2505,21:843,22:64,23:1</t>
  </si>
  <si>
    <t>Trial:0 w:21; Trial:1 w:20; Trial:2 w:17; Trial:29 w:16; Trial:100 w:15; Trial:653 w:14; pErr:0.3669, weight 14 CW found:27743, wDict:14:14,15:93,16:326,17:987,18:1944,19:3229,20:2568,21:792,22:47</t>
  </si>
  <si>
    <t>Trial:0 w:20; Trial:1 w:15; Trial:936 w:14; pErr:0.3668, weight 14 CW found:27188, wDict:14:17,15:82,16:326,17:978,18:1984,19:3207,20:2443,21:901,22:62</t>
  </si>
  <si>
    <t>Trial:0 w:18; Trial:9 w:16; Trial:58 w:15; Trial:783 w:14; pErr:0.3670, weight 14 CW found:27820, wDict:14:17,15:80,16:304,17:948,18:1984,19:3249,20:2566,21:788,22:64</t>
  </si>
  <si>
    <t>Trial:0 w:19; Trial:9 w:18; Trial:14 w:17; Trial:69 w:16; Trial:1257 w:15; pErr:0.3674, weight 15 CW found:26085, wDict:15:22,16:61,17:289,18:688,19:1815,20:2655,21:2929,22:1323,23:213,24:5</t>
  </si>
  <si>
    <t>Trial:0 w:22; Trial:1 w:21; Trial:3 w:18; Trial:11 w:17; Trial:153 w:16; Trial:351 w:15; pErr:0.3675, weight 15 CW found:28901, wDict:15:23,16:66,17:257,18:665,19:1737,20:2776,21:3020,22:1260,23:192,24:4</t>
  </si>
  <si>
    <t>Trial:0 w:21; Trial:5 w:20; Trial:13 w:19; Trial:51 w:18; Trial:54 w:15; pErr:0.3676, weight 15 CW found:29305, wDict:15:12,16:34,17:156,18:354,19:1038,20:2139,21:3136,22:2306,23:762,24:62,25:1</t>
  </si>
  <si>
    <t>Trial:0 w:21; Trial:1 w:19; Trial:14 w:17; Trial:92 w:15; pErr:0.3677, weight 15 CW found:29786, wDict:15:11,16:23,17:136,18:371,19:1086,20:2061,21:3095,22:2331,23:822,24:64</t>
  </si>
  <si>
    <t>Trial:0 w:21; Trial:11 w:20; Trial:13 w:19; Trial:22 w:17; Trial:683 w:15; pErr:0.3677, weight 15 CW found:27639, wDict:15:3,16:11,17:78,18:186,19:591,20:1294,21:2599,22:2988,23:1854,24:374,25:22</t>
  </si>
  <si>
    <t>Trial:0 w:20; Trial:15 w:17; Trial:138 w:16; Trial:386 w:15; pErr:0.3677, weight 15 CW found:17875, wDict:15:3,16:26,17:67,18:225,19:621,20:1506,21:2751,22:3178,23:1427,24:193,25:3</t>
  </si>
  <si>
    <t>Trial:0 w:23; Trial:1 w:22; Trial:2 w:19; Trial:95 w:17; Trial:3387 w:15; pErr:0.3678, weight 15 CW found:19356, wDict:15:3,16:11,17:34,18:92,19:310,20:801,21:1849,22:2675,23:2868,24:1177,25:175,26:5</t>
  </si>
  <si>
    <t>Trial:0 w:18; Trial:6 w:17; Trial:11 w:16; Trial:54 w:15; Trial:117 w:14; Trial:377 w:13; pErr:0.3676, weight 13 CW found:18404, wDict:13:10,14:46,15:148,16:449,17:1281,18:2652,19:3390,20:1783,21:237,22:4</t>
  </si>
  <si>
    <t>Trial:0 w:20; Trial:1 w:19; Trial:10 w:18; Trial:15 w:17; Trial:62 w:16; Trial:70 w:15; Trial:1280 w:14; pErr:0.3678, weight 14 CW found:16432, wDict:14:14,15:67,16:229,17:685,18:1723,19:2944,20:3170,21:1083,22:84,23:1</t>
  </si>
  <si>
    <t>Trial:0 w:23; Trial:1 w:22; Trial:2 w:20; Trial:11 w:19; Trial:92 w:18; Trial:1024 w:17; Trial:2859 w:16; Trial:5603 w:15; pErr:0.3678, weight 15 CW found:12868, wDict:15:1,16:1,17:21,18:123,19:312,20:788,21:1841,22:2898,23:2684,24:1153,25:173,26:5</t>
  </si>
  <si>
    <t>Trial:0 w:21; Trial:2 w:20; Trial:10 w:19; Trial:16 w:18; Trial:82 w:16; Trial:2700 w:15; pErr:0.3679, weight 15 CW found:12489, wDict:15:2,16:24,17:115,18:407,19:1096,20:2263,21:3187,22:2360,23:526,24:20</t>
  </si>
  <si>
    <t>Trial:0 w:23; Trial:1 w:22; Trial:2 w:21; Trial:5 w:20; Trial:54 w:19; Trial:312 w:18; Trial:1556 w:17; Trial:7402 w:16; pErr:0.3679, weight 16 CW found:4092, wDict:16:1,17:7,18:51,19:219,20:595,21:1491,22:2731,23:3101,24:1538,25:261,26:5</t>
  </si>
  <si>
    <t>Trial:0 w:19; Trial:17 w:18; Trial:113 w:16; Trial:5341 w:15; pErr:0.3679, weight 15 CW found:8040, wDict:15:1,16:33,17:129,18:442,19:1084,20:2400,21:3250,22:2198,23:451,24:12</t>
  </si>
  <si>
    <t>Trial:0 w:25; Trial:2 w:22; Trial:15 w:20; Trial:48 w:19; Trial:460 w:18; pErr:0.3679, weight 18 CW found:27796, wDict:18:9,19:33,20:115,21:308,22:870,23:1663,24:2999,25:2509,26:1296,27:183,28:14,29:1</t>
  </si>
  <si>
    <t>Trial:0 w:19; Trial:71 w:18; Trial:381 w:17; pErr:0.3679, weight 17 CW found:16278, wDict:17:20,18:101,19:327,20:800,21:1863,22:3060,23:2817,24:940,25:71,26:1</t>
  </si>
  <si>
    <t>Trial:0 w:23; Trial:34 w:22; Trial:75 w:19; pErr:0.3678, weight 19 CW found:16444, wDict:19:14,20:46,21:158,22:412,23:1148,24:2240,25:3012,26:2251,27:671,28:48</t>
  </si>
  <si>
    <t>Trial:0 w:23; Trial:8 w:21; Trial:168 w:19; pErr:0.3679, weight 19 CW found:17791, wDict:19:16,20:59,21:184,22:576,23:1324,24:2423,25:3077,26:1947,27:378,28:16</t>
  </si>
  <si>
    <t>Trial:0 w:23; Trial:18 w:22; Trial:77 w:21; Trial:487 w:19; pErr:0.3679, weight 19 CW found:17284, wDict:19:17,20:86,21:209,22:554,23:1303,24:2485,25:3002,26:1917,27:403,28:24</t>
  </si>
  <si>
    <t>Trial:0 w:27; Trial:1 w:25; Trial:26 w:23; Trial:96 w:21; Trial:130 w:20; Trial:1913 w:19; pErr:0.3679, weight 19 CW found:23420, wDict:19:4,20:21,21:42,22:66,23:222,24:426,25:1298,26:1862,27:3186,28:1896,29:882,30:92,31:3</t>
  </si>
  <si>
    <t>Trial:0 w:28; Trial:4 w:27; Trial:7 w:26; Trial:9 w:23; Trial:110 w:20; Trial:5615 w:19; pErr:0.3679, weight 19 CW found:12742, wDict:19:5,20:25,21:43,22:51,23:233,24:431,25:1309,26:1824,27:3188,28:1895,29:909,30:83,31:4</t>
  </si>
  <si>
    <t>Trial:0 w:25; Trial:5 w:23; Trial:8 w:22; Trial:19 w:20; Trial:31 w:19; pErr:0.3679, weight 19 CW found:16340, wDict:19:11,20:57,21:143,22:439,23:1098,24:2170,25:3095,26:2304,27:644,28:39</t>
  </si>
  <si>
    <t>Trial:0 w:28; Trial:1 w:26; Trial:3 w:24; Trial:132 w:21; Trial:558 w:20; pErr:0.3679, weight 20 CW found:16933, wDict:20:10,21:35,22:61,23:95,24:318,25:790,26:1708,27:2637,28:2770,29:1340,30:225,31:11</t>
  </si>
  <si>
    <t>Trial:0 w:25; Trial:6 w:24; Trial:36 w:23; Trial:272 w:21; Trial:462 w:20; pErr:0.3679, weight 20 CW found:27450, wDict:20:6,21:31,22:53,23:84,24:323,25:675,26:1562,27:2297,28:2900,29:1557,30:490,31:21,32:1</t>
  </si>
  <si>
    <t>Trial:0 w:25; Trial:33 w:24; Trial:146 w:22; Trial:589 w:20; pErr:0.3679, weight 20 CW found:26802, wDict:20:12,21:33,22:47,23:98,24:322,25:686,26:1650,27:2370,28:2783,29:1522,30:457,31:20</t>
  </si>
  <si>
    <t>Trial:0 w:23; Trial:48 w:22; Trial:49 w:21; Trial:115 w:20; Trial:751 w:19; pErr:0.3679, weight 19 CW found:16888, wDict:19:12,20:71,21:202,22:576,23:1332,24:2419,25:3054,26:1904,27:415,28:15</t>
  </si>
  <si>
    <t>Trial:0 w:19; Trial:3 w:17; Trial:34 w:16; Trial:169 w:14; pErr:0.3679, weight 14 CW found:16569, wDict:14:18,15:74,16:313,17:981,18:2245,19:3532,20:2386,21:440,22:11</t>
  </si>
  <si>
    <t>Trial:0 w:26; Trial:1 w:22; Trial:39 w:21; Trial:77 w:20; Trial:907 w:19; pErr:0.3679, weight 19 CW found:16526, wDict:19:12,20:73,21:216,22:574,23:1360,24:2487,25:2992,26:1870,27:398,28:16,29:2</t>
  </si>
  <si>
    <t>Trial:0 w:28; Trial:2 w:27; Trial:6 w:25; Trial:90 w:24; Trial:501 w:23; Trial:517 w:21; pErr:0.3679, weight 21 CW found:16768, wDict:21:25,22:39,23:65,24:128,25:562,26:784,27:2435,28:2189,29:2966,30:664,31:142,32:1</t>
  </si>
  <si>
    <t>Trial:0 w:28; Trial:2 w:27; Trial:3 w:26; Trial:9 w:24; Trial:50 w:22; Trial:120 w:21; pErr:0.3679, weight 21 CW found:28674, wDict:21:20,22:36,23:51,24:125,25:489,26:810,27:2067,28:2271,29:2801,30:1023,31:297,32:10</t>
  </si>
  <si>
    <t>Trial:0 w:28; Trial:4 w:27; Trial:9 w:25; Trial:18 w:24; Trial:27 w:23; Trial:179 w:22; Trial:211 w:20; pErr:0.3679, weight 20 CW found:28097, wDict:20:11,21:27,22:52,23:96,24:308,25:697,26:1602,27:2254,28:2966,29:1549,30:413,31:24,32:1</t>
  </si>
  <si>
    <t>Trial:0 w:29; Trial:1 w:26; Trial:13 w:21; Trial:272 w:20; pErr:0.3679, weight 20 CW found:27575, wDict:20:10,21:22,22:50,23:115,24:297,25:641,26:1621,27:2289,28:2920,29:1553,30:455,31:27</t>
  </si>
  <si>
    <t>Trial:0 w:27; Trial:1 w:26; Trial:2 w:24; Trial:29 w:23; Trial:34 w:21; Trial:61 w:19; Trial:899 w:18; Trial:6703 w:17; pErr:0.3679, weight 17 CW found:6118, wDict:17:1,18:5,19:12,20:19,21:62,22:178,23:550,24:1314,25:2402,26:3048,27:1982,28:407,29:20</t>
  </si>
  <si>
    <t>Trial:0 w:25; Trial:1 w:24; Trial:11 w:23; Trial:37 w:22; Trial:41 w:21; Trial:118 w:20; Trial:432 w:19; Trial:4286 w:18; Trial:4455 w:17; pErr:0.3679, weight 17 CW found:16158, wDict:17:1,18:3,19:9,20:19,21:70,22:166,23:507,24:1125,25:2201,26:2952,27:2174,28:698,29:74,30:1</t>
  </si>
  <si>
    <t>Trial:0 w:28; Trial:1 w:27; Trial:3 w:26; Trial:5 w:24; Trial:64 w:23; Trial:293 w:22; Trial:2805 w:19; pErr:0.3679, weight 19 CW found:11871, wDict:19:2,20:1,21:7,22:17,23:46,24:183,25:420,26:1060,27:2059,28:2978,29:2385,30:764,31:76,32:2</t>
  </si>
  <si>
    <t>Trial:0 w:27; Trial:32 w:23; Trial:1552 w:21; pErr:0.3679, weight 21 CW found:12995, wDict:21:3,22:1,23:10,24:26,25:92,26:217,27:608,28:1341,29:2468,30:2871,31:1879,32:452,33:32</t>
  </si>
  <si>
    <t>Trial:0 w:24; Trial:3 w:22; Trial:31 w:21; Trial:92 w:20; Trial:481 w:19; Trial:1343 w:16; pErr:0.3679, weight 16 CW found:14626, wDict:16:5,17:2,18:6,19:22,20:63,21:233,22:583,23:1416,24:2729,25:3132,26:1565,27:238,28:6</t>
  </si>
  <si>
    <t>Trial:0 w:29; Trial:5 w:27; Trial:7 w:26; Trial:22 w:24; Trial:240 w:23; Trial:641 w:22; Trial:1474 w:21; Trial:5270 w:20; pErr:0.3679, weight 20 CW found:7256, wDict:20:2,21:3,22:6,23:17,24:59,25:161,26:459,27:1090,28:2122,29:2905,30:2316,31:786,32:73,33:1</t>
  </si>
  <si>
    <t>Trial:0 w:21; Trial:1 w:19; Trial:3 w:18; Trial:15 w:16; Trial:5038 w:15; pErr:0.3679, weight 15 CW found:15304, wDict:15:1,16:9,17:41,18:170,19:543,20:1377,21:2554,22:3110,23:1865,24:320,25:10</t>
  </si>
  <si>
    <t>Trial:0 w:24; Trial:2 w:23; Trial:4 w:22; Trial:15 w:20; Trial:26 w:19; Trial:56 w:18; Trial:1917 w:17; Trial:6276 w:16; pErr:0.3679, weight 16 CW found:5785, wDict:16:4,17:7,18:33,19:117,20:362,21:955,22:2148,23:3145,24:2494,25:706,26:29</t>
  </si>
  <si>
    <t>Trial:0 w:24; Trial:5 w:22; Trial:7 w:21; Trial:16 w:20; Trial:95 w:19; Trial:199 w:18; Trial:1380 w:16; pErr:0.3679, weight 16 CW found:13717, wDict:16:7,17:11,18:50,19:155,20:452,21:1179,22:2569,23:3355,24:1908,25:304,26:10</t>
  </si>
  <si>
    <t>Trial:0 w:23; Trial:1 w:22; Trial:2 w:21; Trial:5 w:20; Trial:21 w:19; Trial:57 w:18; Trial:421 w:17; Trial:548 w:16; pErr:0.3679, weight 16 CW found:15288, wDict:16:3,17:14,18:72,19:213,20:676,21:1634,22:2958,23:3121,24:1208,25:101</t>
  </si>
  <si>
    <t>Trial:0 w:30; Trial:2 w:28; Trial:4 w:27; Trial:7 w:26; Trial:10 w:24; Trial:39 w:22; Trial:1010 w:20; Trial:1073 w:19; pErr:0.3679, weight 19 CW found:25982, wDict:19:5,20:7,21:14,22:53,23:144,24:351,25:879,26:1837,27:2696,28:2576,29:1219,30:210,31:9</t>
  </si>
  <si>
    <t>Trial:0 w:22; Trial:94 w:18; Trial:1533 w:17; Trial:3849 w:14; pErr:0.3678, weight 14 CW found:18586, wDict:14:6,15:1,16:4,17:5,18:34,19:55,20:216,21:551,22:1360,23:2489,24:3021,25:1870,26:371,27:17</t>
  </si>
  <si>
    <t>Trial:0 w:24; Trial:2 w:22; Trial:4 w:17; Trial:284 w:16; Trial:1660 w:14; pErr:0.3679, weight 14 CW found:25732, wDict:14:6,16:14,17:14,18:62,19:134,20:401,21:985,22:2151,23:3079,24:2424,25:687,26:43</t>
  </si>
  <si>
    <t>Trial:0 w:35; Trial:2 w:33; Trial:4 w:31; Trial:51 w:27; Trial:457 w:25; pErr:0.3679, weight 25 CW found:37158, wDict:25:18,27:56,29:110,31:685,33:2808,35:4737,37:1554,39:32</t>
  </si>
  <si>
    <t>Trial:0 w:34; Trial:3 w:32; Trial:8 w:31; Trial:10 w:30; Trial:12 w:29; Trial:100 w:26; Trial:641 w:25; Trial:3463 w:24; pErr:0.3679, weight 24 CW found:18586, wDict:24:4,25:21,26:28,27:56,28:59,29:116,30:367,31:617,32:1684,33:1911,34:2997,35:1408,36:687,37:44,38:1</t>
  </si>
  <si>
    <t>Trial:0 w:36; Trial:1 w:32; Trial:2 w:31; Trial:6 w:29; Trial:54 w:25; Trial:1738 w:24; pErr:0.3679, weight 24 CW found:23408, wDict:24:4,25:22,26:32,27:47,28:61,29:116,30:416,31:625,32:1682,33:1843,34:3057,35:1361,36:684,37:47,38:3</t>
  </si>
  <si>
    <t>Trial:0 w:35; Trial:2 w:33; Trial:22 w:31; Trial:136 w:29; Trial:146 w:25; pErr:0.3679, weight 25 CW found:37730, wDict:25:11,27:57,29:113,31:720,33:2838,35:4660,37:1565,39:36</t>
  </si>
  <si>
    <t>Trial:0 w:24; Trial:1 w:22; Trial:3 w:21; Trial:46 w:20; Trial:160 w:19; Trial:361 w:17; Trial:1510 w:16; pErr:0.3679, weight 16 CW found:25418, wDict:16:2,17:3,18:8,19:39,20:111,21:302,22:829,23:1809,24:2958,25:2741,26:1085,27:110,28:3</t>
  </si>
  <si>
    <t>Trial:0 w:23; Trial:7 w:22; Trial:15 w:21; Trial:31 w:20; Trial:206 w:19; Trial:395 w:18; Trial:426 w:15; Trial:737 w:14; pErr:0.3679, weight 14 CW found:14888, wDict:14:4,15:1,16:10,17:2,18:23,19:49,20:193,21:559,22:1365,23:2696,24:3266,25:1623,26:205,27:4</t>
  </si>
  <si>
    <t>Trial:0 w:25; Trial:6 w:24; Trial:11 w:23; Trial:12 w:20; Trial:266 w:18; pErr:0.3679, weight 18 CW found:16509, wDict:18:12,19:8,20:32,21:111,22:379,23:963,24:2138,25:3142,26:2489,27:691,28:35</t>
  </si>
  <si>
    <t>Trial:0 w:26; Trial:1 w:23; Trial:8 w:22; Trial:47 w:20; Trial:571 w:19; Trial:793 w:18; Trial:4476 w:17; pErr:0.3679, weight 17 CW found:10381, wDict:17:1,18:7,19:17,20:66,21:159,22:491,23:1222,24:2399,25:3201,26:2051,27:372,28:14</t>
  </si>
  <si>
    <t>Trial:0 w:27; Trial:1 w:26; Trial:3 w:25; Trial:4 w:23; Trial:11 w:22; Trial:40 w:20; Trial:350 w:19; Trial:1996 w:18; Trial:6469 w:16; pErr:0.3679, weight 16 CW found:10574, wDict:16:3,18:6,19:24,20:57,21:144,22:420,23:1081,24:2214,25:3045,26:2339,27:625,28:42</t>
  </si>
  <si>
    <t>outfile: /home/ucapmwe/dist-benchmark/results/codeTables-QECC_sample.txt-QDistRndMW-20260215_181908.091540_85062422.txt</t>
  </si>
  <si>
    <t>Trial:0 w:1; pErr:0.0000, weight 1 CW found:3, wDict:1:10000</t>
  </si>
  <si>
    <t>Trial:0 w:2; pErr:0.0000, weight 2 CW found:8, wDict:2:10000</t>
  </si>
  <si>
    <t>Trial:0 w:3; pErr:0.0000, weight 3 CW found:30, wDict:3:10000</t>
  </si>
  <si>
    <t>Trial:0 w:3; pErr:0.0000, weight 3 CW found:21, wDict:3:10000</t>
  </si>
  <si>
    <t>Trial:0 w:4; pErr:0.0000, weight 4 CW found:59, wDict:4:9994,5:6</t>
  </si>
  <si>
    <t>Trial:0 w:5; pErr:0.0000, weight 5 CW found:198, wDict:5:10000</t>
  </si>
  <si>
    <t>Trial:0 w:3; pErr:0.0000, weight 3 CW found:216, wDict:3:9824,4:176</t>
  </si>
  <si>
    <t>Trial:0 w:3; pErr:0.0000, weight 3 CW found:216, wDict:3:9819,4:181</t>
  </si>
  <si>
    <t>Trial:0 w:5; pErr:0.0000, weight 5 CW found:378, wDict:5:9886,6:114</t>
  </si>
  <si>
    <t>Trial:0 w:5; pErr:0.0000, weight 5 CW found:375, wDict:5:9912,6:88</t>
  </si>
  <si>
    <t>Trial:0 w:5; pErr:0.0000, weight 5 CW found:189, wDict:5:10000</t>
  </si>
  <si>
    <t>Trial:0 w:5; pErr:0.0000, weight 5 CW found:450, wDict:5:9989,6:11</t>
  </si>
  <si>
    <t>Trial:0 w:5; pErr:0.0000, weight 5 CW found:400, wDict:5:9995,6:5</t>
  </si>
  <si>
    <t>Trial:0 w:7; Trial:1 w:6; pErr:0.0000, weight 6 CW found:715, wDict:6:9934,7:66</t>
  </si>
  <si>
    <t>Trial:0 w:6; pErr:0.0000, weight 6 CW found:697, wDict:6:9934,7:66</t>
  </si>
  <si>
    <t>Trial:0 w:5; pErr:0.0000, weight 5 CW found:792, wDict:5:9945,6:55</t>
  </si>
  <si>
    <t>Trial:0 w:7; pErr:0.0000, weight 7 CW found:1575, wDict:7:9584,8:416</t>
  </si>
  <si>
    <t>Trial:0 w:6; Trial:4 w:5; pErr:0.0000, weight 5 CW found:2544, wDict:5:3996,6:5948,7:56</t>
  </si>
  <si>
    <t>Trial:0 w:6; Trial:1 w:5; pErr:0.0000, weight 5 CW found:2591, wDict:5:3960,6:5980,7:60</t>
  </si>
  <si>
    <t>Trial:0 w:6; pErr:0.0000, weight 6 CW found:3273, wDict:6:6596,7:3392,8:12</t>
  </si>
  <si>
    <t>Trial:0 w:6; pErr:0.0000, weight 6 CW found:3259, wDict:6:6539,7:3449,8:12</t>
  </si>
  <si>
    <t>Trial:0 w:7; Trial:2 w:6; pErr:0.0000, weight 6 CW found:3319, wDict:6:6598,7:3386,8:16</t>
  </si>
  <si>
    <t>Trial:0 w:7; pErr:0.0004, weight 7 CW found:3308, wDict:7:8556,8:1438,9:6</t>
  </si>
  <si>
    <t>Trial:0 w:6; pErr:0.0001, weight 6 CW found:2763, wDict:6:7171,7:2813,8:16</t>
  </si>
  <si>
    <t>Trial:0 w:7; Trial:4 w:6; pErr:0.0001, weight 6 CW found:2734, wDict:6:7167,7:2819,8:14</t>
  </si>
  <si>
    <t>Trial:0 w:8; pErr:0.0002, weight 8 CW found:3378, wDict:8:9374,9:622,10:4</t>
  </si>
  <si>
    <t>Trial:0 w:8; pErr:0.0262, weight 8 CW found:12509, wDict:8:6741,9:3172,10:87</t>
  </si>
  <si>
    <t>Trial:0 w:5; pErr:0.0128, weight 5 CW found:7003, wDict:5:8470,6:1530</t>
  </si>
  <si>
    <t>Trial:0 w:9; pErr:0.0362, weight 9 CW found:6400, wDict:9:6021,10:3745,11:234</t>
  </si>
  <si>
    <t>Trial:0 w:9; pErr:0.0345, weight 9 CW found:6356, wDict:9:6089,10:3683,11:227,12:1</t>
  </si>
  <si>
    <t>Trial:0 w:9; pErr:0.0358, weight 9 CW found:6354, wDict:9:6031,10:3737,11:232</t>
  </si>
  <si>
    <t>Trial:0 w:9; pErr:0.0367, weight 9 CW found:6396, wDict:9:6096,10:3656,11:247,12:1</t>
  </si>
  <si>
    <t>Trial:0 w:9; pErr:0.0488, weight 9 CW found:5947, wDict:9:3028,10:5251,11:1514,12:201,13:6</t>
  </si>
  <si>
    <t>Trial:0 w:9; pErr:0.0555, weight 9 CW found:6219, wDict:9:5261,10:3710,11:980,12:49</t>
  </si>
  <si>
    <t>Trial:0 w:12; Trial:3 w:11; pErr:0.1712, weight 11 CW found:10789, wDict:11:5303,12:3074,13:1602,14:21</t>
  </si>
  <si>
    <t>Trial:0 w:11; Trial:3 w:10; Trial:11 w:9; pErr:0.1887, weight 9 CW found:13101, wDict:9:797,10:1957,11:4785,12:2279,13:182</t>
  </si>
  <si>
    <t>Trial:0 w:12; Trial:1 w:10; Trial:22 w:9; pErr:0.2202, weight 9 CW found:22129, wDict:9:762,10:2016,11:4437,12:2510,13:271,14:4</t>
  </si>
  <si>
    <t>Trial:0 w:11; Trial:3 w:9; pErr:0.2050, weight 9 CW found:10990, wDict:9:891,10:2486,11:4018,12:2372,13:232,14:1</t>
  </si>
  <si>
    <t>Trial:0 w:12; Trial:1 w:10; Trial:3 w:9; pErr:0.2061, weight 9 CW found:10996, wDict:9:868,10:2380,11:4106,12:2401,13:243,14:2</t>
  </si>
  <si>
    <t>Trial:0 w:11; Trial:4 w:10; Trial:13 w:9; pErr:0.2346, weight 9 CW found:13931, wDict:9:368,10:2346,11:3695,12:2746,13:814,14:31</t>
  </si>
  <si>
    <t>Trial:0 w:11; Trial:1 w:10; Trial:11 w:9; pErr:0.2546, weight 9 CW found:23735, wDict:9:384,10:2275,11:3505,12:2701,13:1066,14:69</t>
  </si>
  <si>
    <t>Trial:0 w:12; Trial:4 w:11; Trial:13 w:10; pErr:0.2598, weight 10 CW found:14421, wDict:10:327,11:1891,12:3918,13:2423,14:1279,15:161,16:1</t>
  </si>
  <si>
    <t>Trial:0 w:9; Trial:15 w:8; Trial:26 w:7; pErr:0.2545, weight 7 CW found:15709, wDict:7:146,8:1685,9:5583,10:2492,11:94</t>
  </si>
  <si>
    <t>Trial:0 w:11; Trial:2 w:10; Trial:8 w:9; Trial:58 w:8; pErr:0.2834, weight 8 CW found:15039, wDict:8:62,9:1132,10:4010,11:3856,12:925,13:15</t>
  </si>
  <si>
    <t>Trial:0 w:12; Trial:1 w:10; Trial:11 w:9; pErr:0.2953, weight 9 CW found:14991, wDict:9:313,10:2707,11:4020,12:2600,13:355,14:5</t>
  </si>
  <si>
    <t>Trial:0 w:12; Trial:2 w:11; pErr:0.3180, weight 11 CW found:27400, wDict:11:2895,12:2835,13:2749,14:1398,15:122,16:1</t>
  </si>
  <si>
    <t>Trial:0 w:13; Trial:2 w:12; Trial:51 w:11; pErr:0.3354, weight 11 CW found:18425, wDict:11:206,12:945,13:2517,14:3752,15:2285,16:290,17:5</t>
  </si>
  <si>
    <t>Trial:0 w:13; Trial:2 w:12; Trial:4 w:11; Trial:19 w:10; pErr:0.3407, weight 10 CW found:30316, wDict:10:335,11:1425,12:3151,13:3577,14:1415,15:96,16:1</t>
  </si>
  <si>
    <t>Trial:0 w:14; Trial:4 w:13; Trial:67 w:12; pErr:0.3535, weight 12 CW found:29675, wDict:12:75,13:670,14:1795,15:3467,16:2906,17:1024,18:62,19:1</t>
  </si>
  <si>
    <t>Trial:0 w:14; Trial:13 w:13; Trial:34 w:12; pErr:0.3526, weight 12 CW found:19125, wDict:12:144,13:483,14:1952,15:3741,16:3024,17:633,18:23</t>
  </si>
  <si>
    <t>Trial:0 w:16; Trial:3 w:15; Trial:28 w:14; Trial:70 w:13; pErr:0.3580, weight 13 CW found:19382, wDict:13:175,14:775,15:2721,16:3716,17:2329,18:275,19:9</t>
  </si>
  <si>
    <t>Trial:0 w:11; Trial:13 w:10; pErr:0.3480, weight 10 CW found:15680, wDict:10:153,11:711,12:1833,13:3624,14:3081,15:583,16:15</t>
  </si>
  <si>
    <t>Trial:0 w:14; Trial:1 w:13; Trial:6 w:12; Trial:13 w:11; Trial:148 w:10; pErr:0.3527, weight 10 CW found:15639, wDict:10:82,11:426,12:1410,13:3110,14:3691,15:1224,16:57</t>
  </si>
  <si>
    <t>Trial:0 w:17; Trial:1 w:16; Trial:2 w:14; Trial:3 w:13; Trial:43 w:12; Trial:125 w:11; pErr:0.3613, weight 11 CW found:30219, wDict:11:46,12:231,13:793,14:2117,15:3390,16:2691,17:689,18:43</t>
  </si>
  <si>
    <t>Trial:0 w:17; Trial:1 w:15; Trial:2 w:13; Trial:42 w:11; pErr:0.3610, weight 11 CW found:30485, wDict:11:44,12:242,13:801,14:2039,15:3387,16:2714,17:728,18:45</t>
  </si>
  <si>
    <t>Trial:0 w:13; Trial:9 w:12; Trial:11 w:10; pErr:0.3615, weight 10 CW found:31862, wDict:10:37,11:335,12:1198,13:2861,14:3583,15:1808,16:174,17:4</t>
  </si>
  <si>
    <t>Trial:0 w:15; Trial:2 w:13; pErr:0.3640, weight 13 CW found:15927, wDict:13:89,14:845,15:2148,16:3416,17:2847,18:625,19:30</t>
  </si>
  <si>
    <t>Trial:0 w:15; Trial:3 w:13; Trial:113 w:12; pErr:0.3644, weight 12 CW found:19778, wDict:12:116,13:995,14:2498,15:3755,16:2318,17:316,18:2</t>
  </si>
  <si>
    <t>Trial:0 w:19; Trial:1 w:18; Trial:4 w:16; Trial:24 w:14; pErr:0.3659, weight 14 CW found:30077, wDict:14:56,15:185,16:625,17:1686,18:2703,19:3121,20:1394,21:226,22:4</t>
  </si>
  <si>
    <t>Trial:0 w:18; Trial:7 w:17; Trial:13 w:15; Trial:236 w:14; pErr:0.3665, weight 14 CW found:29588, wDict:14:52,15:214,16:632,17:1638,18:2761,19:3153,20:1338,21:207,22:5</t>
  </si>
  <si>
    <t>Trial:0 w:17; Trial:64 w:16; Trial:126 w:15; Trial:203 w:14; pErr:0.3667, weight 14 CW found:29587, wDict:14:12,15:89,16:332,17:943,18:1929,19:3288,20:2485,21:856,22:64,23:2</t>
  </si>
  <si>
    <t>Trial:0 w:19; Trial:3 w:18; Trial:9 w:16; Trial:22 w:15; Trial:1352 w:14; pErr:0.3668, weight 14 CW found:25883, wDict:14:12,15:74,16:323,17:987,18:2004,19:3204,20:2504,21:833,22:57,23:2</t>
  </si>
  <si>
    <t>Trial:0 w:19; Trial:4 w:18; Trial:5 w:17; Trial:17 w:16; Trial:203 w:15; Trial:1653 w:14; pErr:0.3668, weight 14 CW found:24901, wDict:14:15,15:99,16:310,17:909,18:1948,19:3341,20:2481,21:827,22:70</t>
  </si>
  <si>
    <t>Trial:0 w:19; Trial:6 w:18; Trial:14 w:17; Trial:31 w:16; Trial:53 w:15; Trial:551 w:14; pErr:0.3668, weight 14 CW found:28413, wDict:14:9,15:100,16:291,17:1016,18:2055,19:3124,20:2493,21:841,22:71</t>
  </si>
  <si>
    <t>Trial:0 w:19; Trial:26 w:18; Trial:40 w:17; Trial:70 w:15; pErr:0.3674, weight 15 CW found:29471, wDict:15:17,16:66,17:287,18:717,19:1725,20:2712,21:3010,22:1279,23:185,24:2</t>
  </si>
  <si>
    <t>Trial:0 w:21; Trial:1 w:20; Trial:6 w:19; Trial:11 w:17; Trial:56 w:16; Trial:516 w:15; pErr:0.3676, weight 15 CW found:28251, wDict:15:17,16:66,17:271,18:715,19:1675,20:2822,21:2998,22:1237,23:195,24:4</t>
  </si>
  <si>
    <t>Trial:0 w:22; Trial:1 w:19; Trial:11 w:18; Trial:79 w:17; Trial:256 w:15; pErr:0.3676, weight 15 CW found:28989, wDict:15:11,16:34,17:134,18:360,19:1073,20:2030,21:3115,22:2364,23:820,24:58,25:1</t>
  </si>
  <si>
    <t>Trial:0 w:22; Trial:1 w:20; Trial:12 w:19; Trial:16 w:18; Trial:97 w:16; Trial:989 w:15; pErr:0.3677, weight 15 CW found:26666, wDict:15:8,16:30,17:133,18:355,19:1023,20:2057,21:3152,22:2330,23:838,24:73,25:1</t>
  </si>
  <si>
    <t>Trial:0 w:21; Trial:3 w:18; Trial:15 w:16; Trial:9488 w:15; pErr:0.3679, weight 15 CW found:1500, wDict:15:1,16:16,17:65,18:200,19:571,20:1298,21:2664,22:2965,23:1858,24:335,25:27</t>
  </si>
  <si>
    <t>Trial:0 w:24; Trial:1 w:19; Trial:7 w:17; Trial:32 w:16; Trial:6442 w:15; pErr:0.3679, weight 15 CW found:6675, wDict:15:1,16:17,17:71,18:221,19:609,20:1557,21:2808,22:3092,23:1428,24:194,25:2</t>
  </si>
  <si>
    <t>Trial:0 w:24; Trial:1 w:17; Trial:1859 w:16; pErr:0.3678, weight 16 CW found:24002, wDict:16:9,17:23,18:107,19:298,20:759,21:1781,22:2737,23:2890,24:1179,25:211,26:6</t>
  </si>
  <si>
    <t>Trial:0 w:18; Trial:1 w:17; Trial:34 w:16; Trial:47 w:15; Trial:701 w:14; Trial:2692 w:13; pErr:0.3677, weight 13 CW found:14017, wDict:13:6,14:33,15:144,16:438,17:1279,18:2650,19:3387,20:1825,21:232,22:6</t>
  </si>
  <si>
    <t>Trial:0 w:19; Trial:2 w:18; Trial:30 w:16; Trial:260 w:15; Trial:856 w:14; Trial:9551 w:13; pErr:0.3679, weight 13 CW found:847, wDict:13:1,14:14,15:52,16:198,17:654,18:1644,19:3124,20:3067,21:1139,22:106,23:1</t>
  </si>
  <si>
    <t>Trial:0 w:22; Trial:3 w:21; Trial:6 w:20; Trial:21 w:19; Trial:38 w:18; Trial:351 w:17; Trial:536 w:16; pErr:0.3678, weight 16 CW found:27814, wDict:16:5,17:32,18:103,19:326,20:798,21:1901,22:2936,23:2630,24:1128,25:140,26:1</t>
  </si>
  <si>
    <t>Trial:0 w:20; Trial:1 w:18; Trial:68 w:17; Trial:716 w:16; Trial:1881 w:15; pErr:0.3679, weight 15 CW found:13933, wDict:15:2,16:25,17:121,18:391,19:1017,20:2321,21:3260,22:2343,23:506,24:14</t>
  </si>
  <si>
    <t>Trial:0 w:22; Trial:8 w:21; Trial:14 w:20; Trial:139 w:18; Trial:1057 w:17; pErr:0.3678, weight 17 CW found:14325, wDict:17:12,18:64,19:202,20:599,21:1428,22:2645,23:3143,24:1655,25:246,26:6</t>
  </si>
  <si>
    <t>Trial:0 w:19; Trial:3 w:16; Trial:3420 w:15; pErr:0.3679, weight 15 CW found:11162, wDict:15:3,16:35,17:138,18:429,19:1137,20:2294,21:3297,22:2183,23:474,24:10</t>
  </si>
  <si>
    <t>Trial:0 w:24; Trial:2 w:23; Trial:3 w:22; Trial:8 w:21; Trial:25 w:19; Trial:2268 w:18; pErr:0.3678, weight 18 CW found:22567, wDict:18:12,19:38,20:115,21:290,22:891,23:1677,24:2883,25:2593,26:1305,27:190,28:6</t>
  </si>
  <si>
    <t>Trial:0 w:21; Trial:4 w:20; Trial:20 w:19; Trial:31 w:18; Trial:154 w:17; pErr:0.3678, weight 17 CW found:16721, wDict:17:31,18:92,19:315,20:791,21:1891,22:3095,23:2750,24:968,25:67</t>
  </si>
  <si>
    <t>Trial:0 w:25; Trial:1 w:23; Trial:4 w:22; Trial:10 w:21; Trial:188 w:20; Trial:1155 w:19; pErr:0.3679, weight 19 CW found:14544, wDict:19:9,20:50,21:158,22:445,23:1063,24:2101,25:3104,26:2358,27:669,28:43</t>
  </si>
  <si>
    <t>Trial:0 w:23; Trial:4 w:22; Trial:55 w:20; Trial:907 w:19; pErr:0.3679, weight 19 CW found:16551, wDict:19:17,20:72,21:214,22:572,23:1288,24:2546,25:2975,26:1917,27:384,28:15</t>
  </si>
  <si>
    <t>Trial:0 w:25; Trial:2 w:24; Trial:7 w:23; Trial:23 w:22; Trial:44 w:21; Trial:331 w:20; Trial:709 w:19; pErr:0.3679, weight 19 CW found:16857, wDict:19:8,20:95,21:190,22:530,23:1336,24:2464,25:3018,26:1932,27:409,28:18</t>
  </si>
  <si>
    <t>Trial:0 w:26; Trial:16 w:24; Trial:137 w:21; Trial:439 w:20; Trial:5522 w:19; pErr:0.3679, weight 19 CW found:12914, wDict:19:1,20:25,21:42,22:55,23:229,24:426,25:1344,26:1825,27:3197,28:1892,29:897,30:64,31:3</t>
  </si>
  <si>
    <t>Trial:0 w:26; Trial:12 w:24; Trial:116 w:20; Trial:664 w:19; pErr:0.3679, weight 19 CW found:27166, wDict:19:4,20:24,21:41,22:71,23:247,24:426,25:1303,26:1798,27:3131,28:1899,29:968,30:86,31:2</t>
  </si>
  <si>
    <t>Trial:0 w:26; Trial:1 w:22; Trial:27 w:21; Trial:28 w:19; pErr:0.3679, weight 19 CW found:16510, wDict:19:12,20:55,21:154,22:413,23:1084,24:2134,25:3019,26:2364,27:726,28:38,29:1</t>
  </si>
  <si>
    <t>Trial:0 w:29; Trial:2 w:28; Trial:3 w:24; Trial:26 w:22; Trial:375 w:21; Trial:1304 w:20; pErr:0.3679, weight 20 CW found:15299, wDict:20:10,21:34,22:47,23:100,24:340,25:814,26:1778,27:2621,28:2738,29:1303,30:210,31:5</t>
  </si>
  <si>
    <t>Trial:0 w:28; Trial:3 w:27; Trial:10 w:24; Trial:70 w:20; pErr:0.3679, weight 20 CW found:28652, wDict:20:7,21:27,22:39,23:98,24:301,25:697,26:1585,27:2361,28:2822,29:1587,30:441,31:35</t>
  </si>
  <si>
    <t>Trial:0 w:26; Trial:7 w:24; Trial:192 w:21; Trial:1058 w:20; pErr:0.3679, weight 20 CW found:25718, wDict:20:11,21:40,22:57,23:94,24:316,25:693,26:1578,27:2273,28:2869,29:1589,30:456,31:23,32:1</t>
  </si>
  <si>
    <t>Trial:0 w:26; Trial:2 w:23; Trial:15 w:22; Trial:58 w:21; Trial:195 w:20; Trial:246 w:19; pErr:0.3678, weight 19 CW found:17581, wDict:19:15,20:60,21:213,22:537,23:1274,24:2465,25:3098,26:1909,27:408,28:21</t>
  </si>
  <si>
    <t>Trial:0 w:19; Trial:6 w:16; Trial:50 w:15; Trial:1485 w:14; pErr:0.3679, weight 14 CW found:14270, wDict:14:15,15:73,16:337,17:994,18:2279,19:3408,20:2450,21:431,22:13</t>
  </si>
  <si>
    <t>Trial:0 w:23; Trial:8 w:20; Trial:39 w:19; pErr:0.3679, weight 19 CW found:18027, wDict:19:11,20:76,21:197,22:588,23:1282,24:2463,25:3027,26:1931,27:404,28:20,29:1</t>
  </si>
  <si>
    <t>Trial:0 w:29; Trial:2 w:25; Trial:127 w:24; Trial:190 w:21; pErr:0.3679, weight 21 CW found:17631, wDict:21:27,22:35,23:67,24:104,25:508,26:820,27:2367,28:2211,29:3025,30:686,31:149,32:1</t>
  </si>
  <si>
    <t>Trial:0 w:29; Trial:1 w:25; Trial:11 w:24; Trial:53 w:23; Trial:61 w:22; Trial:1207 w:21; pErr:0.3679, weight 21 CW found:25354, wDict:21:21,22:39,23:63,24:121,25:489,26:804,27:2023,28:2300,29:2797,30:1056,31:281,32:6</t>
  </si>
  <si>
    <t>Trial:0 w:27; Trial:2 w:25; Trial:17 w:22; Trial:736 w:21; Trial:979 w:20; pErr:0.3679, weight 20 CW found:26014, wDict:20:6,21:29,22:45,23:93,24:310,25:701,26:1598,27:2290,28:2900,29:1539,30:463,31:25,32:1</t>
  </si>
  <si>
    <t>Trial:0 w:27; Trial:1 w:26; Trial:7 w:25; Trial:16 w:24; Trial:371 w:21; Trial:425 w:20; pErr:0.3679, weight 20 CW found:27768, wDict:20:8,21:20,22:42,23:100,24:298,25:667,26:1599,27:2265,28:2965,29:1546,30:462,31:28</t>
  </si>
  <si>
    <t>Trial:0 w:26; Trial:1 w:23; Trial:39 w:21; Trial:135 w:19; Trial:6843 w:18; pErr:0.3679, weight 18 CW found:5631, wDict:18:1,19:10,20:20,21:68,22:190,23:534,24:1264,25:2444,26:3034,27:2026,28:396,29:13</t>
  </si>
  <si>
    <t>Trial:0 w:27; Trial:4 w:25; Trial:5 w:24; Trial:18 w:22; Trial:318 w:21; Trial:505 w:20; Trial:1203 w:19; Trial:4701 w:18; pErr:0.3679, weight 18 CW found:15588, wDict:18:3,19:8,20:23,21:60,22:151,23:513,24:1217,25:2141,26:2967,27:2140,28:715,29:62</t>
  </si>
  <si>
    <t>Trial:0 w:30; Trial:1 w:27; Trial:2 w:26; Trial:17 w:25; Trial:28 w:24; Trial:93 w:20; pErr:0.3679, weight 20 CW found:15911, wDict:20:4,21:2,22:15,23:58,24:189,25:472,26:1018,27:2081,28:2933,29:2387,30:753,31:86,32:2</t>
  </si>
  <si>
    <t>Trial:0 w:30; Trial:3 w:28; Trial:33 w:27; Trial:87 w:22; pErr:0.3679, weight 22 CW found:15262, wDict:22:2,23:9,24:21,25:112,26:248,27:595,28:1402,29:2361,30:2850,31:1868,32:513,33:19</t>
  </si>
  <si>
    <t>Trial:0 w:24; Trial:1 w:22; Trial:37 w:21; Trial:320 w:20; Trial:698 w:19; Trial:2333 w:16; pErr:0.3679, weight 16 CW found:12904, wDict:16:1,17:2,18:2,19:12,20:57,21:201,22:610,23:1489,24:2739,25:3083,26:1574,27:228,28:2</t>
  </si>
  <si>
    <t>Trial:0 w:29; Trial:2 w:25; Trial:77 w:24; Trial:433 w:21; pErr:0.3679, weight 21 CW found:14845, wDict:21:4,22:7,23:23,24:55,25:160,26:452,27:1083,28:2135,29:2931,30:2311,31:765,32:74</t>
  </si>
  <si>
    <t>Trial:0 w:22; Trial:1 w:21; Trial:2 w:20; Trial:13 w:18; Trial:141 w:17; Trial:963 w:15; pErr:0.3679, weight 15 CW found:27440, wDict:15:3,16:5,17:51,18:188,19:534,20:1317,21:2610,22:3163,23:1801,24:317,25:11</t>
  </si>
  <si>
    <t>Trial:0 w:24; Trial:1 w:22; Trial:7 w:20; Trial:138 w:19; Trial:296 w:18; Trial:1080 w:16; pErr:0.3679, weight 16 CW found:14025, wDict:16:3,17:5,18:29,19:118,20:350,21:912,22:2141,23:3171,24:2556,25:682,26:33</t>
  </si>
  <si>
    <t>Trial:0 w:25; Trial:1 w:20; Trial:4 w:19; Trial:255 w:18; Trial:674 w:17; Trial:2745 w:16; pErr:0.3679, weight 16 CW found:11496, wDict:16:3,17:12,18:46,19:157,20:460,21:1232,22:2507,23:3300,24:1944,25:327,26:12</t>
  </si>
  <si>
    <t>Trial:0 w:25; Trial:1 w:22; Trial:2 w:19; Trial:67 w:17; Trial:2688 w:16; pErr:0.3679, weight 16 CW found:11858, wDict:16:2,17:17,18:66,19:204,20:633,21:1648,22:2976,23:3168,24:1184,25:101,26:1</t>
  </si>
  <si>
    <t>Trial:0 w:27; Trial:2 w:24; Trial:44 w:22; Trial:51 w:20; Trial:3138 w:19; pErr:0.3679, weight 19 CW found:19944, wDict:19:4,20:12,21:21,22:41,23:141,24:382,25:832,26:1821,27:2740,28:2563,29:1259,30:175,31:9</t>
  </si>
  <si>
    <t>Trial:0 w:23; Trial:17 w:21; Trial:19 w:20; Trial:268 w:19; Trial:393 w:18; Trial:1177 w:16; pErr:0.3679, weight 16 CW found:26684, wDict:16:5,17:2,18:26,19:48,20:206,21:530,22:1320,23:2595,24:3042,25:1839,26:378,27:9</t>
  </si>
  <si>
    <t>Trial:0 w:23; Trial:3 w:22; Trial:6 w:18; Trial:573 w:17; Trial:1346 w:16; Trial:2302 w:15; Trial:3899 w:14; pErr:0.3679, weight 14 CW found:18612, wDict:14:5,15:1,16:15,17:15,18:62,19:124,20:408,21:1057,22:2132,23:3116,24:2319,25:703,26:43</t>
  </si>
  <si>
    <t>Trial:0 w:33; Trial:7 w:31; Trial:28 w:29; Trial:83 w:27; Trial:1490 w:25; pErr:0.3679, weight 25 CW found:32518, wDict:25:14,27:46,29:139,31:689,33:2844,35:4742,37:1501,39:25</t>
  </si>
  <si>
    <t>Trial:0 w:34; Trial:1 w:32; Trial:3 w:31; Trial:9 w:29; Trial:50 w:26; Trial:796 w:24; pErr:0.3679, weight 24 CW found:26232, wDict:24:8,25:6,26:17,27:50,28:60,29:132,30:437,31:598,32:1687,33:1841,34:2996,35:1397,36:727,37:40,38:4</t>
  </si>
  <si>
    <t>Trial:0 w:32; Trial:6 w:31; Trial:7 w:29; Trial:75 w:27; Trial:244 w:25; Trial:388 w:24; pErr:0.3679, weight 24 CW found:27088, wDict:24:9,25:15,26:22,27:63,28:60,29:119,30:421,31:577,32:1724,33:1860,34:3039,35:1374,36:675,37:41,38:1</t>
  </si>
  <si>
    <t>Trial:0 w:35; Trial:4 w:33; Trial:12 w:29; Trial:83 w:27; Trial:1534 w:25; pErr:0.3679, weight 25 CW found:32498, wDict:25:10,27:49,29:111,31:769,33:2773,35:4744,37:1525,39:19</t>
  </si>
  <si>
    <t>Trial:0 w:24; Trial:1 w:21; Trial:12 w:20; Trial:50 w:18; Trial:575 w:15; pErr:0.3679, weight 15 CW found:28050, wDict:15:3,16:1,17:1,18:10,19:29,20:115,21:332,22:811,23:1876,24:2945,25:2714,26:1049,27:111,28:3</t>
  </si>
  <si>
    <t>Trial:0 w:25; Trial:1 w:24; Trial:7 w:23; Trial:11 w:21; Trial:37 w:18; Trial:734 w:16; Trial:6757 w:14; pErr:0.3679, weight 14 CW found:5167, wDict:14:1,16:3,17:6,18:23,19:73,20:196,21:566,22:1444,23:2717,24:3150,25:1620,26:196,27:5</t>
  </si>
  <si>
    <t>Trial:0 w:26; Trial:1 w:24; Trial:2 w:22; Trial:40 w:20; Trial:719 w:18; pErr:0.3679, weight 18 CW found:15681, wDict:18:4,19:13,20:39,21:126,22:381,23:989,24:2040,25:3175,26:2555,27:650,28:27,29:1</t>
  </si>
  <si>
    <t>Trial:0 w:24; Trial:8 w:23; Trial:10 w:22; Trial:23 w:21; Trial:32 w:20; Trial:306 w:19; Trial:384 w:16; Trial:8150 w:15; pErr:0.3679, weight 15 CW found:3548, wDict:15:2,16:1,18:14,19:7,20:57,21:163,22:470,23:1185,24:2443,25:3201,26:2035,27:412,28:10</t>
  </si>
  <si>
    <t>Trial:0 w:23; Trial:11 w:20; Trial:87 w:19; Trial:526 w:18; Trial:2258 w:17; pErr:0.3679, weight 17 CW found:23252, wDict:17:1,18:6,19:21,20:49,21:171,22:472,23:1127,24:2292,25:2935,26:2233,27:643,28:50</t>
  </si>
  <si>
    <t>method: x</t>
  </si>
  <si>
    <t>method: BZDistMW</t>
  </si>
  <si>
    <t>outfile: /home/ucapmwe/dist-benchmark/results/codeTables-QECC_sample.txt-BZDistMW-20260215_181907.414515_85062422.txt</t>
  </si>
  <si>
    <t>Constructing information sets: Block structure [3]; Generating combinations of t=1 rows; Found w:1; Terminating: dU:1 &lt;= dL:1,vCount:5; tMax:1; Terminating: t:2 &gt; tMax:1,vCount:0</t>
  </si>
  <si>
    <t>Constructing information sets: Block structure [3 1]; Generating combinations of t=1 rows; Found w:2; Completed matrix 0,dU:2,dL:2,vCount:7; Terminating: dU:2 &lt;= dL:2,vCount:7; tMax:2; Discarding 1 non-contributing matrix, new block structure [3]; Generating combinations of t=2 rows; Completed matrix 0,dU:2,dL:3,vCount:28; Terminating: dU:2 &lt;= dL:3,vCount:28; Terminating: t:3 &gt; tMax:2,vCount:0</t>
  </si>
  <si>
    <t>Constructing information sets: Block structure [3 2]; Generating combinations of t=1 rows; Found w:3; Completed matrix 0,dU:3,dL:2,vCount:9; Completed matrix 1,dU:3,dL:3,vCount:17; Terminating: dU:3 &lt;= dL:3,vCount:17; tMax:2; Generating combinations of t=2 rows; Completed matrix 0,dU:3,dL:4,vCount:53; Terminating: dU:3 &lt;= dL:4,vCount:53; Terminating: t:3 &gt; tMax:2,vCount:0</t>
  </si>
  <si>
    <t>Constructing information sets: Block structure [4 2]; Generating combinations of t=1 rows; Found w:3; Completed matrix 0,dU:3,dL:2,vCount:10; Completed matrix 1,dU:3,dL:2,vCount:19; tMax:2; Discarding 1 non-contributing matrix, new block structure [4]; Generating combinations of t=2 rows; Completed matrix 0,dU:3,dL:3,vCount:64; Terminating: dU:3 &lt;= dL:3,vCount:64; tMax:3; Generating combinations of t=3 rows; Completed matrix 0,dU:3,dL:4,vCount:183; Terminating: dU:3 &lt;= dL:4,vCount:183; Terminating: t:4 &gt; tMax:3,vCount:0</t>
  </si>
  <si>
    <t>Constructing information sets: Block structure [4 3]; Generating combinations of t=1 rows; Found w:3; Completed matrix 0,dU:3,dL:2,vCount:12; Completed matrix 1,dU:3,dL:3,vCount:23; Terminating: dU:3 &lt;= dL:3,vCount:23; tMax:2; Generating combinations of t=2 rows; Completed matrix 0,dU:3,dL:4,vCount:89; Terminating: dU:3 &lt;= dL:4,vCount:89; Terminating: t:3 &gt; tMax:2,vCount:0</t>
  </si>
  <si>
    <t>Constructing information sets: Block structure [6 2]; Generating combinations of t=1 rows; Found w:3; Completed matrix 0,dU:3,dL:2,vCount:12; Completed matrix 1,dU:3,dL:2,vCount:23; tMax:3; Discarding 1 non-contributing matrix, new block structure [6]; Generating combinations of t=2 rows; Completed matrix 0,dU:3,dL:3,vCount:89; Terminating: dU:3 &lt;= dL:3,vCount:89; Generating combinations of t=3 rows; Completed matrix 0,dU:3,dL:4,vCount:308; Terminating: dU:3 &lt;= dL:4,vCount:308; Terminating: t:4 &gt; tMax:3,vCount:0</t>
  </si>
  <si>
    <t>Constructing information sets: Block structure [7 2]; Generating combinations of t=1 rows; Found w:3; Completed matrix 0,dU:3,dL:2,vCount:13; Completed matrix 1,dU:3,dL:2,vCount:25; tMax:3; Discarding 1 non-contributing matrix, new block structure [7]; Generating combinations of t=2 rows; Completed matrix 0,dU:3,dL:3,vCount:103; Terminating: dU:3 &lt;= dL:3,vCount:103; Generating combinations of t=3 rows; Completed matrix 0,dU:3,dL:4,vCount:388; Terminating: dU:3 &lt;= dL:4,vCount:388; Terminating: t:4 &gt; tMax:3,vCount:0</t>
  </si>
  <si>
    <t>Constructing information sets: Block structure [6 4]; Generating combinations of t=1 rows; Found w:4; Completed matrix 0,dU:4,dL:2,vCount:16; Completed matrix 1,dU:4,dL:2,vCount:31; tMax:3; Generating combinations of t=2 rows; Completed matrix 0,dU:4,dL:3,vCount:151; Completed matrix 1,dU:4,dL:4,vCount:256; Terminating: dU:4 &lt;= dL:4,vCount:256; Generating combinations of t=3 rows; Completed matrix 0,dU:4,dL:5,vCount:815; Terminating: dU:4 &lt;= dL:5,vCount:815; Terminating: t:4 &gt; tMax:3,vCount:0</t>
  </si>
  <si>
    <t>Constructing information sets: Block structure [6 5]; Generating combinations of t=1 rows; Found w:5; Completed matrix 0,dU:5,dL:2,vCount:18; Completed matrix 1,dU:5,dL:3,vCount:35; tMax:3; Generating combinations of t=2 rows; Completed matrix 0,dU:5,dL:4,vCount:188; Completed matrix 1,dU:5,dL:5,vCount:324; Terminating: dU:5 &lt;= dL:5,vCount:324; Generating combinations of t=3 rows; Completed matrix 0,dU:5,dL:6,vCount:1139; Terminating: dU:5 &lt;= dL:6,vCount:1139; Terminating: t:4 &gt; tMax:3,vCount:0</t>
  </si>
  <si>
    <t>Constructing information sets: Block structure [9 3]; Generating combinations of t=1 rows; Found w:3; Completed matrix 0,dU:3,dL:2,vCount:27; Completed matrix 1,dU:3,dL:2,vCount:48; tMax:3; Discarding 1 non-contributing matrix, new block structure [9]; Generating combinations of t=2 rows; Completed matrix 0,dU:3,dL:3,vCount:399; Terminating: dU:3 &lt;= dL:3,vCount:399; Generating combinations of t=3 rows; Completed matrix 0,dU:3,dL:4,vCount:3323; Terminating: dU:3 &lt;= dL:4,vCount:3323; Terminating: t:4 &gt; tMax:3,vCount:0</t>
  </si>
  <si>
    <t>Constructing information sets: Block structure [10  3]; Generating combinations of t=1 rows; Found w:3; Completed matrix 0,dU:3,dL:2,vCount:28; Completed matrix 1,dU:3,dL:2,vCount:50; tMax:3; Discarding 1 non-contributing matrix, new block structure [10]; Generating combinations of t=2 rows; Completed matrix 0,dU:3,dL:3,vCount:428; Terminating: dU:3 &lt;= dL:3,vCount:428; Generating combinations of t=3 rows; Completed matrix 0,dU:3,dL:4,vCount:3703; Terminating: dU:3 &lt;= dL:4,vCount:3703; Terminating: t:4 &gt; tMax:3,vCount:0</t>
  </si>
  <si>
    <t>Constructing information sets: Block structure [8 6]; Generating combinations of t=1 rows; Found w:5; Completed matrix 0,dU:5,dL:2,vCount:24; Completed matrix 1,dU:5,dL:2,vCount:46; tMax:3; Generating combinations of t=2 rows; Completed matrix 0,dU:5,dL:3,vCount:322; Completed matrix 1,dU:5,dL:4,vCount:553; Generating combinations of t=3 rows; Completed matrix 0,dU:5,dL:5,vCount:2576; Terminating: dU:5 &lt;= dL:5,vCount:2576; Terminating: t:4 &gt; tMax:3,vCount:0</t>
  </si>
  <si>
    <t>Constructing information sets: Block structure [9 6]; Generating combinations of t=1 rows; Found w:5; Completed matrix 0,dU:5,dL:2,vCount:25; Completed matrix 1,dU:5,dL:2,vCount:48; tMax:4; Generating combinations of t=2 rows; Completed matrix 0,dU:5,dL:3,vCount:348; Completed matrix 1,dU:5,dL:3,vCount:601; Generating combinations of t=3 rows; Completed matrix 0,dU:5,dL:4,vCount:2900; Completed matrix 1,dU:5,dL:5,vCount:4670; Terminating: dU:5 &lt;= dL:5,vCount:4670; Generating combinations of t=4 rows; Completed matrix 0,dU:5,dL:6,vCount:17319; Terminating: dU:5 &lt;= dL:6,vCount:17319; Terminating: t:5 &gt; tMax:4,vCount:0</t>
  </si>
  <si>
    <t>Constructing information sets: Block structure [9 7]; Generating combinations of t=1 rows; Found w:6; Completed matrix 0,dU:6,dL:2,vCount:25; Completed matrix 1,dU:6,dL:2,vCount:49; tMax:4; Generating combinations of t=2 rows; Completed matrix 0,dU:6,dL:3,vCount:349; Completed matrix 1,dU:6,dL:4,vCount:625; Generating combinations of t=3 rows; Completed matrix 0,dU:6,dL:5,vCount:2924; Completed matrix 1,dU:6,dL:6,vCount:4947; Terminating: dU:6 &lt;= dL:6,vCount:4947; Generating combinations of t=4 rows; Completed matrix 0,dU:6,dL:7,vCount:17596; Terminating: dU:6 &lt;= dL:7,vCount:17596; Terminating: t:5 &gt; tMax:4,vCount:0</t>
  </si>
  <si>
    <t>Constructing information sets: Block structure [11  6]; Generating combinations of t=1 rows; Found w:5; Completed matrix 0,dU:5,dL:2,vCount:29; Completed matrix 1,dU:5,dL:2,vCount:55; tMax:5; Discarding 1 non-contributing matrix, new block structure [11]; Generating combinations of t=2 rows; Completed matrix 0,dU:5,dL:3,vCount:461; Generating combinations of t=3 rows; Completed matrix 0,dU:5,dL:4,vCount:4114; Generating combinations of t=4 rows; Completed matrix 0,dU:5,dL:5,vCount:27864; Terminating: dU:5 &lt;= dL:5,vCount:27864; Generating combinations of t=5 rows; Completed matrix 0,dU:5,dL:6,vCount:146618; Terminating: dU:5 &lt;= dL:6,vCount:146618; Terminating: t:6 &gt; tMax:5,vCount:0</t>
  </si>
  <si>
    <t>Constructing information sets: Block structure [12  6]; Generating combinations of t=1 rows; Found w:5; Completed matrix 0,dU:5,dL:2,vCount:34; Completed matrix 1,dU:5,dL:2,vCount:63; tMax:5; Discarding 1 non-contributing matrix, new block structure [12]; Generating combinations of t=2 rows; Completed matrix 0,dU:5,dL:3,vCount:624; Generating combinations of t=3 rows; Completed matrix 0,dU:5,dL:4,vCount:6607; Generating combinations of t=4 rows; Completed matrix 0,dU:5,dL:5,vCount:52982; Terminating: dU:5 &lt;= dL:5,vCount:52982; Generating combinations of t=5 rows; Completed matrix 0,dU:5,dL:6,vCount:331237; Terminating: dU:5 &lt;= dL:6,vCount:331237; Terminating: t:6 &gt; tMax:5,vCount:0</t>
  </si>
  <si>
    <t>Constructing information sets: Block structure [13  6]; Generating combinations of t=1 rows; Found w:5; Completed matrix 0,dU:5,dL:2,vCount:35; Completed matrix 1,dU:5,dL:2,vCount:65; tMax:5; Discarding 1 non-contributing matrix, new block structure [13]; Generating combinations of t=2 rows; Completed matrix 0,dU:5,dL:3,vCount:660; Generating combinations of t=3 rows; Completed matrix 0,dU:5,dL:4,vCount:7204; Generating combinations of t=4 rows; Completed matrix 0,dU:5,dL:5,vCount:59563; Terminating: dU:5 &lt;= dL:5,vCount:59563; Generating combinations of t=5 rows; Completed matrix 0,dU:5,dL:6,vCount:384194; Terminating: dU:5 &lt;= dL:6,vCount:384194; Terminating: t:6 &gt; tMax:5,vCount:0</t>
  </si>
  <si>
    <t>Constructing information sets: Block structure [12  8]; Generating combinations of t=1 rows; Found w:7; Completed matrix 0,dU:7,dL:2,vCount:34; Found w:6; Completed matrix 1,dU:6,dL:2,vCount:65; tMax:5; Generating combinations of t=2 rows; Completed matrix 0,dU:6,dL:3,vCount:626; Completed matrix 1,dU:6,dL:3,vCount:1091; Generating combinations of t=3 rows; Completed matrix 0,dU:6,dL:4,vCount:7074; Completed matrix 1,dU:6,dL:4,vCount:11568; Generating combinations of t=4 rows; Completed matrix 0,dU:6,dL:5,vCount:57943; Completed matrix 1,dU:6,dL:6,vCount:89407; Terminating: dU:6 &lt;= dL:6,vCount:89407; Generating combinations of t=5 rows; Completed matrix 0,dU:6,dL:7,vCount:367662; Terminating: dU:6 &lt;= dL:7,vCount:367662; Terminating: t:6 &gt; tMax:5,vCount:0</t>
  </si>
  <si>
    <t>Constructing information sets: Block structure [13  8]; Generating combinations of t=1 rows; Found w:7; Completed matrix 0,dU:7,dL:2,vCount:35; Found w:6; Completed matrix 1,dU:6,dL:2,vCount:67; tMax:5; Discarding 1 non-contributing matrix, new block structure [13]; Generating combinations of t=2 rows; Completed matrix 0,dU:6,dL:3,vCount:662; tMax:6; Generating combinations of t=3 rows; Completed matrix 0,dU:6,dL:4,vCount:7206; Generating combinations of t=4 rows; Completed matrix 0,dU:6,dL:5,vCount:59565; Generating combinations of t=5 rows; Completed matrix 0,dU:6,dL:6,vCount:384196; Terminating: dU:6 &lt;= dL:6,vCount:384196; Generating combinations of t=6 rows; Completed matrix 0,dU:6,dL:7,vCount:2007355; Terminating: dU:6 &lt;= dL:7,vCount:2007355; Terminating: t:7 &gt; tMax:6,vCount:0</t>
  </si>
  <si>
    <t>Constructing information sets: Block structure [15  7]; Generating combinations of t=1 rows; Found w:5; Completed matrix 0,dU:5,dL:2,vCount:43; Completed matrix 1,dU:5,dL:2,vCount:79; tMax:5; Discarding 1 non-contributing matrix, new block structure [15]; Generating combinations of t=2 rows; Completed matrix 0,dU:5,dL:3,vCount:982; Generating combinations of t=3 rows; Completed matrix 0,dU:5,dL:4,vCount:13322; Generating combinations of t=4 rows; Completed matrix 0,dU:5,dL:5,vCount:136731; Terminating: dU:5 &lt;= dL:5,vCount:136731; Generating combinations of t=5 rows; Completed matrix 0,dU:5,dL:6,vCount:1099328; Terminating: dU:5 &lt;= dL:6,vCount:1099328; Terminating: t:6 &gt; tMax:5,vCount:0</t>
  </si>
  <si>
    <t>Constructing information sets: Block structure [13 10]; Generating combinations of t=1 rows; Found w:7; Completed matrix 0,dU:7,dL:2,vCount:37; Completed matrix 1,dU:7,dL:2,vCount:72; tMax:5; Generating combinations of t=2 rows; Completed matrix 0,dU:7,dL:3,vCount:738; Completed matrix 1,dU:7,dL:3,vCount:1333; Generating combinations of t=3 rows; Completed matrix 0,dU:7,dL:4,vCount:9102; Completed matrix 1,dU:7,dL:5,vCount:15646; Generating combinations of t=4 rows; Completed matrix 0,dU:7,dL:6,vCount:81690; Completed matrix 1,dU:7,dL:7,vCount:134049; Terminating: dU:7 &lt;= dL:7,vCount:134049; Generating combinations of t=5 rows; Completed matrix 0,dU:7,dL:8,vCount:569945; Terminating: dU:7 &lt;= dL:8,vCount:569945; Terminating: t:6 &gt; tMax:5,vCount:0</t>
  </si>
  <si>
    <t>Constructing information sets: Block structure [16  8]; Generating combinations of t=1 rows; Found w:7; Completed matrix 0,dU:7,dL:2,vCount:48; Completed matrix 1,dU:7,dL:2,vCount:88; tMax:7; Discarding 1 non-contributing matrix, new block structure [16]; Generating combinations of t=2 rows; Found w:5; Completed matrix 0,dU:5,dL:3,vCount:1216; tMax:5; Generating combinations of t=3 rows; Completed matrix 0,dU:5,dL:4,vCount:18511; Generating combinations of t=4 rows; Completed matrix 0,dU:5,dL:5,vCount:213090; Terminating: dU:5 &lt;= dL:5,vCount:213090; Generating combinations of t=5 rows; Completed matrix 0,dU:5,dL:6,vCount:1925393; Terminating: dU:5 &lt;= dL:6,vCount:1925393; Terminating: t:6 &gt; tMax:5,vCount:0</t>
  </si>
  <si>
    <t>Constructing information sets: Block structure [17  8]; Generating combinations of t=1 rows; Found w:7; Completed matrix 0,dU:7,dL:2,vCount:49; Completed matrix 1,dU:7,dL:2,vCount:90; tMax:7; Discarding 1 non-contributing matrix, new block structure [17]; Generating combinations of t=2 rows; Found w:5; Completed matrix 0,dU:5,dL:3,vCount:1266; tMax:5; Generating combinations of t=3 rows; Completed matrix 0,dU:5,dL:4,vCount:19689; Generating combinations of t=4 rows; Completed matrix 0,dU:5,dL:5,vCount:231564; Terminating: dU:5 &lt;= dL:5,vCount:231564; Generating combinations of t=5 rows; Completed matrix 0,dU:5,dL:6,vCount:2138447; Terminating: dU:5 &lt;= dL:6,vCount:2138447; Terminating: t:6 &gt; tMax:5,vCount:0</t>
  </si>
  <si>
    <t>Constructing information sets: Block structure [17  9]; Generating combinations of t=1 rows; Found w:6; Completed matrix 0,dU:6,dL:2,vCount:47; Completed matrix 1,dU:6,dL:2,vCount:88; tMax:6; Discarding 1 non-contributing matrix, new block structure [17]; Generating combinations of t=2 rows; Completed matrix 0,dU:6,dL:3,vCount:1169; Generating combinations of t=3 rows; Completed matrix 0,dU:6,dL:4,vCount:17383; Generating combinations of t=4 rows; Completed matrix 0,dU:6,dL:5,vCount:195747; Generating combinations of t=5 rows; Completed matrix 0,dU:6,dL:6,vCount:1729685; Terminating: dU:6 &lt;= dL:6,vCount:1729685; Generating combinations of t=6 rows; Completed matrix 0,dU:6,dL:7,vCount:12467257; Terminating: dU:6 &lt;= dL:7,vCount:12467257; Terminating: t:7 &gt; tMax:6,vCount:0</t>
  </si>
  <si>
    <t>Constructing information sets: Block structure [18  9]; Generating combinations of t=1 rows; Found w:6; Completed matrix 0,dU:6,dL:2,vCount:48; Completed matrix 1,dU:6,dL:2,vCount:90; tMax:6; Discarding 1 non-contributing matrix, new block structure [18]; Generating combinations of t=2 rows; Completed matrix 0,dU:6,dL:3,vCount:1218; Generating combinations of t=3 rows; Completed matrix 0,dU:6,dL:4,vCount:18513; Generating combinations of t=4 rows; Completed matrix 0,dU:6,dL:5,vCount:213092; Generating combinations of t=5 rows; Completed matrix 0,dU:6,dL:6,vCount:1925395; Terminating: dU:6 &lt;= dL:6,vCount:1925395; Generating combinations of t=6 rows; Completed matrix 0,dU:6,dL:7,vCount:14196906; Terminating: dU:6 &lt;= dL:7,vCount:14196906; Terminating: t:7 &gt; tMax:6,vCount:0</t>
  </si>
  <si>
    <t>Constructing information sets: Block structure [19  9]; Generating combinations of t=1 rows; Found w:6; Completed matrix 0,dU:6,dL:2,vCount:49; Completed matrix 1,dU:6,dL:2,vCount:92; tMax:6; Discarding 1 non-contributing matrix, new block structure [19]; Generating combinations of t=2 rows; Completed matrix 0,dU:6,dL:3,vCount:1268; Generating combinations of t=3 rows; Completed matrix 0,dU:6,dL:4,vCount:19691; Generating combinations of t=4 rows; Completed matrix 0,dU:6,dL:5,vCount:231566; Generating combinations of t=5 rows; Completed matrix 0,dU:6,dL:6,vCount:2138449; Terminating: dU:6 &lt;= dL:6,vCount:2138449; Generating combinations of t=6 rows; Completed matrix 0,dU:6,dL:7,vCount:16122264; Terminating: dU:6 &lt;= dL:7,vCount:16122264; Terminating: t:7 &gt; tMax:6,vCount:0</t>
  </si>
  <si>
    <t>Constructing information sets: Block structure [18 11]; Generating combinations of t=1 rows; Found w:7; Completed matrix 0,dU:7,dL:2,vCount:52; Completed matrix 1,dU:7,dL:2,vCount:98; tMax:7; Discarding 1 non-contributing matrix, new block structure [18]; Generating combinations of t=2 rows; Completed matrix 0,dU:7,dL:3,vCount:1424; Generating combinations of t=3 rows; Completed matrix 0,dU:7,dL:4,vCount:23523; Generating combinations of t=4 rows; Completed matrix 0,dU:7,dL:5,vCount:294247; Generating combinations of t=5 rows; Completed matrix 0,dU:7,dL:6,vCount:2893206; Generating combinations of t=6 rows; Completed matrix 0,dU:7,dL:7,vCount:23251725; Terminating: dU:7 &lt;= dL:7,vCount:23251725; Generating combinations of t=7 rows; Completed matrix 0,dU:7,dL:8,vCount:157036284; Terminating: dU:7 &lt;= dL:8,vCount:157036284; Terminating: t:8 &gt; tMax:7,vCount:0</t>
  </si>
  <si>
    <t>Constructing information sets: Block structure [20 10]; Generating combinations of t=1 rows; Found w:6; Completed matrix 0,dU:6,dL:2,vCount:58; Completed matrix 1,dU:6,dL:2,vCount:107; tMax:6; Discarding 1 non-contributing matrix, new block structure [20]; Generating combinations of t=2 rows; Completed matrix 0,dU:6,dL:3,vCount:1760; Generating combinations of t=3 rows; Completed matrix 0,dU:6,dL:4,vCount:32615; Generating combinations of t=4 rows; Completed matrix 0,dU:6,dL:5,vCount:456884; Generating combinations of t=5 rows; Completed matrix 0,dU:6,dL:6,vCount:5038999; Terminating: dU:6 &lt;= dL:6,vCount:5038999; Generating combinations of t=6 rows; Completed matrix 0,dU:6,dL:7,vCount:45514356; Terminating: dU:6 &lt;= dL:7,vCount:45514356; Terminating: t:7 &gt; tMax:6,vCount:0</t>
  </si>
  <si>
    <t>Constructing information sets: Block structure [21 10]; Generating combinations of t=1 rows; Found w:6; Completed matrix 0,dU:6,dL:2,vCount:59; Completed matrix 1,dU:6,dL:2,vCount:109; tMax:6; Discarding 1 non-contributing matrix, new block structure [21]; Generating combinations of t=2 rows; Completed matrix 0,dU:6,dL:3,vCount:1820; Generating combinations of t=3 rows; Completed matrix 0,dU:6,dL:4,vCount:34328; Generating combinations of t=4 rows; Completed matrix 0,dU:6,dL:5,vCount:489453; Generating combinations of t=5 rows; Completed matrix 0,dU:6,dL:6,vCount:5495838; Terminating: dU:6 &lt;= dL:6,vCount:5495838; Generating combinations of t=6 rows; Completed matrix 0,dU:6,dL:7,vCount:50553311; Terminating: dU:6 &lt;= dL:7,vCount:50553311; Terminating: t:7 &gt; tMax:6,vCount:0</t>
  </si>
  <si>
    <t>Constructing information sets: Block structure [19 13]; Generating combinations of t=1 rows; Found w:8; Completed matrix 0,dU:8,dL:2,vCount:55; Completed matrix 1,dU:8,dL:2,vCount:105; tMax:7; Generating combinations of t=2 rows; Completed matrix 0,dU:8,dL:3,vCount:1590; Completed matrix 1,dU:8,dL:3,vCount:2815; Generating combinations of t=3 rows; Completed matrix 0,dU:8,dL:4,vCount:29049; Completed matrix 1,dU:8,dL:4,vCount:48648; Generating combinations of t=4 rows; Completed matrix 0,dU:8,dL:5,vCount:389702; Completed matrix 1,dU:8,dL:5,vCount:620001; Generating combinations of t=5 rows; Completed matrix 0,dU:8,dL:6,vCount:4098761; Completed matrix 1,dU:8,dL:6,vCount:6217520; Generating combinations of t=6 rows; Completed matrix 0,dU:8,dL:7,vCount:35207194; Completed matrix 1,dU:8,dL:8,vCount:51097893; Terminating: dU:8 &lt;= dL:8,vCount:51097893; Generating combinations of t=7 rows; Completed matrix 0,dU:8,dL:9,vCount:254025617; Terminating: dU:8 &lt;= dL:9,vCount:254025617; Terminating: t:8 &gt; tMax:7,vCount:0</t>
  </si>
  <si>
    <t>Constructing information sets: Block structure [20 13]; Generating combinations of t=1 rows; Found w:8; Completed matrix 0,dU:8,dL:2,vCount:60; Completed matrix 1,dU:8,dL:2,vCount:113; tMax:7; Discarding 1 non-contributing matrix, new block structure [20]; Generating combinations of t=2 rows; Completed matrix 0,dU:8,dL:3,vCount:1883; tMax:8; Generating combinations of t=3 rows; Completed matrix 0,dU:8,dL:4,vCount:36102; Generating combinations of t=4 rows; Completed matrix 0,dU:8,dL:5,vCount:523736; Generating combinations of t=5 rows; Completed matrix 0,dU:8,dL:6,vCount:5985247; Generating combinations of t=6 rows; Completed matrix 0,dU:8,dL:7,vCount:56049106; Generating combinations of t=7 rows; Completed matrix 0,dU:8,dL:8,vCount:442256025; Terminating: dU:8 &lt;= dL:8,vCount:442256025; Generating combinations of t=8 rows; Completed matrix 0,dU:8,dL:9,vCount:3000876869; Terminating: dU:8 &lt;= dL:9,vCount:3000876869; Terminating: t:9 &gt; tMax:8,vCount:0</t>
  </si>
  <si>
    <t>Constructing information sets: Block structure [26  8]; Generating combinations of t=1 rows; Found w:6; Completed matrix 0,dU:6,dL:2,vCount:76; Found w:5; Completed matrix 1,dU:5,dL:2,vCount:135; tMax:5; Discarding 1 non-contributing matrix, new block structure [26]; Generating combinations of t=2 rows; Completed matrix 0,dU:5,dL:3,vCount:2985; Generating combinations of t=3 rows; Completed matrix 0,dU:5,dL:4,vCount:73284; Generating combinations of t=4 rows; Completed matrix 0,dU:5,dL:5,vCount:1356258; Terminating: dU:5 &lt;= dL:5,vCount:1356258; Generating combinations of t=5 rows; Completed matrix 0,dU:5,dL:6,vCount:19831097; Terminating: dU:5 &lt;= dL:6,vCount:19831097; Terminating: t:6 &gt; tMax:5,vCount:0</t>
  </si>
  <si>
    <t>Constructing information sets: Block structure [20 15]; Generating combinations of t=1 rows; Found w:10; Completed matrix 0,dU:10,dL:2,vCount:58; Completed matrix 1,dU:10,dL:2,vCount:112; tMax:7; Generating combinations of t=2 rows; Found w:9; Completed matrix 0,dU:9,dL:3,vCount:1765; Completed matrix 1,dU:9,dL:3,vCount:3196; Generating combinations of t=3 rows; Completed matrix 0,dU:9,dL:4,vCount:34051; Completed matrix 1,dU:9,dL:4,vCount:58854; Generating combinations of t=4 rows; Completed matrix 0,dU:9,dL:5,vCount:483123; Completed matrix 1,dU:9,dL:5,vCount:799373; Generating combinations of t=5 rows; Completed matrix 0,dU:9,dL:6,vCount:5381488; Completed matrix 1,dU:9,dL:7,vCount:8543997; Generating combinations of t=6 rows; Completed matrix 0,dU:9,dL:8,vCount:49019354; Completed matrix 1,dU:9,dL:9,vCount:74846518; Terminating: dU:9 &lt;= dL:9,vCount:74846518; Generating combinations of t=7 rows; Completed matrix 0,dU:9,dL:10,vCount:375520605; Terminating: dU:9 &lt;= dL:10,vCount:375520605; Terminating: t:8 &gt; tMax:7,vCount:0</t>
  </si>
  <si>
    <t>Constructing information sets: Block structure [21 15]; Generating combinations of t=1 rows; Found w:10; Completed matrix 0,dU:10,dL:2,vCount:59; Completed matrix 1,dU:10,dL:2,vCount:114; tMax:8; Generating combinations of t=2 rows; Found w:9; Completed matrix 0,dU:9,dL:3,vCount:1825; Completed matrix 1,dU:9,dL:3,vCount:3310; tMax:7; Generating combinations of t=3 rows; Completed matrix 0,dU:9,dL:4,vCount:35818; Completed matrix 1,dU:9,dL:4,vCount:62052; Generating combinations of t=4 rows; Completed matrix 0,dU:9,dL:5,vCount:517177; Completed matrix 1,dU:9,dL:5,vCount:858231; Generating combinations of t=5 rows; Completed matrix 0,dU:9,dL:6,vCount:5864616; Completed matrix 1,dU:9,dL:6,vCount:9343376; Generating combinations of t=6 rows; Completed matrix 0,dU:9,dL:7,vCount:54400849; Completed matrix 1,dU:9,dL:8,vCount:83390523; Generating combinations of t=7 rows; Completed matrix 0,dU:9,dL:9,vCount:424539968; Terminating: dU:9 &lt;= dL:9,vCount:424539968; Terminating: t:8 &gt; tMax:7,vCount:0</t>
  </si>
  <si>
    <t>Constructing information sets: Block structure [22 15]; Generating combinations of t=1 rows; Found w:10; Completed matrix 0,dU:10,dL:2,vCount:60; Completed matrix 1,dU:10,dL:2,vCount:116; tMax:8; Generating combinations of t=2 rows; Found w:9; Completed matrix 0,dU:9,dL:3,vCount:1886; Completed matrix 1,dU:9,dL:3,vCount:3426; Generating combinations of t=3 rows; Completed matrix 0,dU:9,dL:4,vCount:37645; Completed matrix 1,dU:9,dL:4,vCount:65364; Generating combinations of t=4 rows; Completed matrix 0,dU:9,dL:5,vCount:552998; Completed matrix 1,dU:9,dL:5,vCount:920287; Generating combinations of t=5 rows; Completed matrix 0,dU:9,dL:6,vCount:6381798; Completed matrix 1,dU:9,dL:6,vCount:10201613; Generating combinations of t=6 rows; Completed matrix 0,dU:9,dL:7,vCount:60265472; Completed matrix 1,dU:9,dL:7,vCount:92733907; Generating combinations of t=7 rows; Completed matrix 0,dU:9,dL:8,vCount:478940826; Completed matrix 1,dU:9,dL:9,vCount:710858225; Terminating: dU:9 &lt;= dL:9,vCount:710858225; Generating combinations of t=8 rows; Completed matrix 0,dU:9,dL:10,vCount:3269479069; Terminating: dU:9 &lt;= dL:10,vCount:3269479069; Terminating: t:9 &gt; tMax:8,vCount:0</t>
  </si>
  <si>
    <t>Constructing information sets: Block structure [23 15]; Generating combinations of t=1 rows; Found w:10; Completed matrix 0,dU:10,dL:2,vCount:61; Completed matrix 1,dU:10,dL:2,vCount:118; tMax:9; Generating combinations of t=2 rows; Found w:9; Completed matrix 0,dU:9,dL:3,vCount:1948; Completed matrix 1,dU:9,dL:3,vCount:3544; tMax:8; Discarding 1 non-contributing matrix, new block structure [23]; Generating combinations of t=3 rows; Completed matrix 0,dU:9,dL:4,vCount:39533; tMax:9; Generating combinations of t=4 rows; Completed matrix 0,dU:9,dL:5,vCount:561387; Generating combinations of t=5 rows; Completed matrix 0,dU:9,dL:6,vCount:6510533; Generating combinations of t=6 rows; Completed matrix 0,dU:9,dL:7,vCount:62035904; Generating combinations of t=7 rows; Completed matrix 0,dU:9,dL:8,vCount:498306683; Generating combinations of t=8 rows; Completed matrix 0,dU:9,dL:9,vCount:3443134447; Terminating: dU:9 &lt;= dL:9,vCount:3443134447; Generating combinations of t=9 rows; Completed matrix 0,dU:9,dL:10,vCount:20784897951; Terminating: dU:9 &lt;= dL:10,vCount:20784897951; Terminating: t:10 &gt; tMax:9,vCount:0</t>
  </si>
  <si>
    <t>Constructing information sets: Block structure [22 17]; Generating combinations of t=1 rows; Found w:10; Completed matrix 0,dU:10,dL:2,vCount:64; Completed matrix 1,dU:10,dL:2,vCount:124; tMax:7; Generating combinations of t=2 rows; Found w:9; Completed matrix 0,dU:9,dL:3,vCount:2140; Completed matrix 1,dU:9,dL:3,vCount:3910; Generating combinations of t=3 rows; Completed matrix 0,dU:9,dL:4,vCount:45573; Completed matrix 1,dU:9,dL:4,vCount:79792; Generating combinations of t=4 rows; Completed matrix 0,dU:9,dL:5,vCount:715167; Completed matrix 1,dU:9,dL:5,vCount:1202801; Generating combinations of t=5 rows; Completed matrix 0,dU:9,dL:6,vCount:8827312; Completed matrix 1,dU:9,dL:7,vCount:14288823; Generating combinations of t=6 rows; Completed matrix 0,dU:9,dL:8,vCount:89263190; Completed matrix 1,dU:9,dL:9,vCount:139327049; Terminating: dU:9 &lt;= dL:9,vCount:139327049; Generating combinations of t=7 rows; Completed matrix 0,dU:9,dL:10,vCount:760543240; Terminating: dU:9 &lt;= dL:10,vCount:760543240; Terminating: t:8 &gt; tMax:7,vCount:0</t>
  </si>
  <si>
    <t>Constructing information sets: Block structure [23 17]; Generating combinations of t=1 rows; Found w:9; Completed matrix 0,dU:9,dL:2,vCount:67; Completed matrix 1,dU:9,dL:2,vCount:129; tMax:7; Generating combinations of t=2 rows; Completed matrix 0,dU:9,dL:3,vCount:2340; Completed matrix 1,dU:9,dL:3,vCount:4231; Generating combinations of t=3 rows; Completed matrix 0,dU:9,dL:4,vCount:52135; Completed matrix 1,dU:9,dL:4,vCount:89954; Generating combinations of t=4 rows; Completed matrix 0,dU:9,dL:5,vCount:856433; Completed matrix 1,dU:9,dL:5,vCount:1414277; Generating combinations of t=5 rows; Completed matrix 0,dU:9,dL:6,vCount:11071924; Completed matrix 1,dU:9,dL:6,vCount:17542925; Generating combinations of t=6 rows; Completed matrix 0,dU:9,dL:7,vCount:117338620; Completed matrix 1,dU:9,dL:8,vCount:178813138; Generating combinations of t=7 rows; Completed matrix 0,dU:9,dL:9,vCount:1048461345; Terminating: dU:9 &lt;= dL:9,vCount:1048461345; Terminating: t:8 &gt; tMax:7,vCount:0</t>
  </si>
  <si>
    <t>Constructing information sets: Block structure [22 19]; Generating combinations of t=1 rows; Found w:11; Completed matrix 0,dU:11,dL:2,vCount:64; Completed matrix 1,dU:11,dL:2,vCount:126; tMax:7; Generating combinations of t=2 rows; Completed matrix 0,dU:11,dL:3,vCount:2142; Completed matrix 1,dU:11,dL:3,vCount:4033; Generating combinations of t=3 rows; Completed matrix 0,dU:11,dL:4,vCount:45696; Completed matrix 1,dU:11,dL:5,vCount:83515; Generating combinations of t=4 rows; Completed matrix 0,dU:11,dL:6,vCount:718890; Completed matrix 1,dU:11,dL:7,vCount:1276734; Generating combinations of t=5 rows; Completed matrix 0,dU:11,dL:8,vCount:8901245; Completed matrix 1,dU:11,dL:9,vCount:15372246; Generating combinations of t=6 rows; Completed matrix 0,dU:11,dL:10,vCount:90346613; Completed matrix 1,dU:11,dL:11,vCount:151821131; Terminating: dU:11 &lt;= dL:11,vCount:151821131; Generating combinations of t=7 rows; Completed matrix 0,dU:11,dL:12,vCount:773037322; Terminating: dU:11 &lt;= dL:12,vCount:773037322; Terminating: t:8 &gt; tMax:7,vCount:0</t>
  </si>
  <si>
    <t>Constructing information sets: Block structure [24 18]; Generating combinations of t=1 rows; Found w:9; Completed matrix 0,dU:9,dL:2,vCount:70; Completed matrix 1,dU:9,dL:2,vCount:135; tMax:7; Generating combinations of t=2 rows; Completed matrix 0,dU:9,dL:3,vCount:2550; Completed matrix 1,dU:9,dL:3,vCount:4630; Generating combinations of t=3 rows; Completed matrix 0,dU:9,dL:4,vCount:59369; Completed matrix 1,dU:9,dL:4,vCount:103048; Generating combinations of t=4 rows; Completed matrix 0,dU:9,dL:5,vCount:1019942; Completed matrix 1,dU:9,dL:5,vCount:1696981; Generating combinations of t=5 rows; Completed matrix 0,dU:9,dL:6,vCount:13799994; Completed matrix 1,dU:9,dL:6,vCount:22059881; Generating combinations of t=6 rows; Completed matrix 0,dU:9,dL:7,vCount:153175865; Completed matrix 1,dU:9,dL:8,vCount:235774744; Generating combinations of t=7 rows; Completed matrix 0,dU:9,dL:9,vCount:1434549463; Terminating: dU:9 &lt;= dL:9,vCount:1434549463; Terminating: t:8 &gt; tMax:7,vCount:0</t>
  </si>
  <si>
    <t>Constructing information sets: Block structure [25 18]; Generating combinations of t=1 rows; Found w:12; Completed matrix 0,dU:12,dL:2,vCount:73; Found w:9; Completed matrix 1,dU:9,dL:2,vCount:140; tMax:8; Generating combinations of t=2 rows; Completed matrix 0,dU:9,dL:3,vCount:2768; Completed matrix 1,dU:9,dL:3,vCount:4979; Generating combinations of t=3 rows; Completed matrix 0,dU:9,dL:4,vCount:67174; Completed matrix 1,dU:9,dL:4,vCount:115078; Generating combinations of t=4 rows; Completed matrix 0,dU:9,dL:5,vCount:1203507; Completed matrix 1,dU:9,dL:5,vCount:1969986; Generating combinations of t=5 rows; Completed matrix 0,dU:9,dL:6,vCount:16990319; Completed matrix 1,dU:9,dL:6,vCount:26647966; Generating combinations of t=6 rows; Completed matrix 0,dU:9,dL:7,vCount:196878417; Completed matrix 1,dU:9,dL:7,vCount:296674112; Generating combinations of t=7 rows; Completed matrix 0,dU:9,dL:8,vCount:1926022723; Completed matrix 1,dU:9,dL:9,vCount:2795670930; Terminating: dU:9 &lt;= dL:9,vCount:2795670930; Generating combinations of t=8 rows; Completed matrix 0,dU:9,dL:10,vCount:16237796978; Terminating: dU:9 &lt;= dL:10,vCount:16237796978; Terminating: t:9 &gt; tMax:8,vCount:0</t>
  </si>
  <si>
    <t>Constructing information sets: Block structure [25 19]; Generating combinations of t=1 rows; Found w:10; Completed matrix 0,dU:10,dL:2,vCount:75; Found w:9; Completed matrix 1,dU:9,dL:2,vCount:144; tMax:7; Generating combinations of t=2 rows; Completed matrix 0,dU:9,dL:3,vCount:2919; Completed matrix 1,dU:9,dL:3,vCount:5265; Generating combinations of t=3 rows; Completed matrix 0,dU:9,dL:4,vCount:72789; Completed matrix 1,dU:9,dL:4,vCount:125182; Generating combinations of t=4 rows; Completed matrix 0,dU:9,dL:5,vCount:1340631; Completed matrix 1,dU:9,dL:5,vCount:2205131; Generating combinations of t=5 rows; Completed matrix 0,dU:9,dL:6,vCount:19464520; Completed matrix 1,dU:9,dL:6,vCount:30703032; Generating combinations of t=6 rows; Completed matrix 0,dU:9,dL:7,vCount:232062581; Completed matrix 1,dU:9,dL:8,vCount:351940052; Generating combinations of t=7 rows; Completed matrix 0,dU:9,dL:9,vCount:2336769901; Terminating: dU:9 &lt;= dL:9,vCount:2336769901; Terminating: t:8 &gt; tMax:7,vCount:0</t>
  </si>
  <si>
    <t>Constructing information sets: Block structure [26 19]; Generating combinations of t=1 rows; Found w:10; Completed matrix 0,dU:10,dL:2,vCount:76; Found w:9; Completed matrix 1,dU:9,dL:2,vCount:146; tMax:8; Generating combinations of t=2 rows; Completed matrix 0,dU:9,dL:3,vCount:2996; Completed matrix 1,dU:9,dL:3,vCount:5411; Generating combinations of t=3 rows; Completed matrix 0,dU:9,dL:4,vCount:75710; Completed matrix 1,dU:9,dL:4,vCount:130449; Generating combinations of t=4 rows; Completed matrix 0,dU:9,dL:5,vCount:1413423; Completed matrix 1,dU:9,dL:5,vCount:2330317; Generating combinations of t=5 rows; Completed matrix 0,dU:9,dL:6,vCount:20805156; Completed matrix 1,dU:9,dL:6,vCount:32908169; Generating combinations of t=6 rows; Completed matrix 0,dU:9,dL:7,vCount:251527108; Completed matrix 1,dU:9,dL:7,vCount:382643092; Generating combinations of t=7 rows; Completed matrix 0,dU:9,dL:8,vCount:2568832491; Completed matrix 1,dU:9,dL:9,vCount:3767607210; Terminating: dU:9 &lt;= dL:9,vCount:3767607210; Generating combinations of t=8 rows; Completed matrix 0,dU:9,dL:10,vCount:22623490784; Terminating: dU:9 &lt;= dL:10,vCount:22623490784; Terminating: t:9 &gt; tMax:8,vCount:0</t>
  </si>
  <si>
    <t>time</t>
  </si>
  <si>
    <t>dActual</t>
  </si>
  <si>
    <t>dTot</t>
  </si>
  <si>
    <t>offset</t>
  </si>
  <si>
    <t>delta d Avg</t>
  </si>
  <si>
    <t>dTot Actual</t>
  </si>
  <si>
    <t>processing time</t>
  </si>
  <si>
    <t>outfile: /home/ucapmwe/dist-benchmark/results/codeTables-QECC_sample.txt-BZDistMW-20260216_095904.353705_85062422.txt</t>
  </si>
  <si>
    <t>1-even code; Constructing information sets: Block structure [4 3]; Generating combinations of t=1 rows; Found w:2; Terminating: dU:2 &lt;= dL:2,vCount:4; tMax:1; Discarding 1 non-contributing matrix, new block structure [4]; Terminating: t:2 &gt; tMax:1,vCount:0</t>
  </si>
  <si>
    <t>1-even code; Constructing information sets: Block structure [5 5 2]; Generating combinations of t=1 rows; Found w:4; Completed matrix 0,dU:4,dL:2,vCount:5; Completed matrix 1,dU:4,dL:4,vCount:10; Terminating: dU:4 &lt;= dL:4,vCount:10; tMax:2; Discarding 1 non-contributing matrix, new block structure [5 5]; Generating combinations of t=2 rows; Completed matrix 0,dU:4,dL:6,vCount:20; Terminating: dU:4 &lt;= dL:6,vCount:20; Terminating: t:3 &gt; tMax:2,vCount:0</t>
  </si>
  <si>
    <t>1-even code; Constructing information sets: Block structure [6 6 5]; Generating combinations of t=1 rows; Found w:6; Completed matrix 0,dU:6,dL:2,vCount:6; Completed matrix 1,dU:6,dL:4,vCount:12; Completed matrix 2,dU:6,dL:6,vCount:18; Terminating: dU:6 &lt;= dL:6,vCount:18; tMax:2; Generating combinations of t=2 rows; Completed matrix 0,dU:6,dL:6,vCount:33; Terminating: dU:6 &lt;= dL:6,vCount:33; Terminating: t:3 &gt; tMax:2,vCount:0</t>
  </si>
  <si>
    <t>1-even code; Constructing information sets: Block structure [7 7 5]; Generating combinations of t=1 rows; Found w:6; Completed matrix 0,dU:6,dL:2,vCount:7; Completed matrix 1,dU:6,dL:4,vCount:14; Completed matrix 2,dU:6,dL:4,vCount:21; tMax:2; Discarding 1 non-contributing matrix, new block structure [7 7]; Generating combinations of t=2 rows; Completed matrix 0,dU:6,dL:6,vCount:42; Terminating: dU:6 &lt;= dL:6,vCount:42; tMax:3; Generating combinations of t=3 rows; Completed matrix 0,dU:6,dL:6,vCount:76; Terminating: dU:6 &lt;= dL:6,vCount:76; Terminating: t:4 &gt; tMax:3,vCount:0</t>
  </si>
  <si>
    <t>1-even code; Constructing information sets: Block structure [8 8 5]; Generating combinations of t=1 rows; Found w:6; Completed matrix 0,dU:6,dL:2,vCount:8; Completed matrix 1,dU:6,dL:4,vCount:16; Completed matrix 2,dU:6,dL:4,vCount:24; tMax:3; Discarding 1 non-contributing matrix, new block structure [8 8]; Generating combinations of t=2 rows; Completed matrix 0,dU:6,dL:6,vCount:52; Terminating: dU:6 &lt;= dL:6,vCount:52; Generating combinations of t=3 rows; Completed matrix 0,dU:6,dL:6,vCount:107; Terminating: dU:6 &lt;= dL:6,vCount:107; Terminating: t:4 &gt; tMax:3,vCount:0</t>
  </si>
  <si>
    <t>1-even code; Constructing information sets: Block structure [9 9 5]; Generating combinations of t=1 rows; Found w:6; Completed matrix 0,dU:6,dL:2,vCount:9; Completed matrix 1,dU:6,dL:4,vCount:18; Completed matrix 2,dU:6,dL:4,vCount:27; tMax:3; Discarding 1 non-contributing matrix, new block structure [9 9]; Generating combinations of t=2 rows; Completed matrix 0,dU:6,dL:6,vCount:63; Terminating: dU:6 &lt;= dL:6,vCount:63; Generating combinations of t=3 rows; Completed matrix 0,dU:6,dL:6,vCount:146; Terminating: dU:6 &lt;= dL:6,vCount:146; Terminating: t:4 &gt; tMax:3,vCount:0</t>
  </si>
  <si>
    <t>1-even code; Constructing information sets: Block structure [10 10  5]; Generating combinations of t=1 rows; Found w:6; Completed matrix 0,dU:6,dL:2,vCount:10; Completed matrix 1,dU:6,dL:4,vCount:20; Completed matrix 2,dU:6,dL:4,vCount:30; tMax:3; Discarding 1 non-contributing matrix, new block structure [10 10]; Generating combinations of t=2 rows; Completed matrix 0,dU:6,dL:6,vCount:75; Terminating: dU:6 &lt;= dL:6,vCount:75; Generating combinations of t=3 rows; Completed matrix 0,dU:6,dL:6,vCount:194; Terminating: dU:6 &lt;= dL:6,vCount:194; Terminating: t:4 &gt; tMax:3,vCount:0</t>
  </si>
  <si>
    <t>1-even code; Constructing information sets: Block structure [11 11 10]; Generating combinations of t=1 rows; Found w:8; Completed matrix 0,dU:8,dL:2,vCount:11; Completed matrix 1,dU:8,dL:4,vCount:22; Completed matrix 2,dU:8,dL:6,vCount:33; tMax:3; Generating combinations of t=2 rows; Completed matrix 0,dU:8,dL:6,vCount:88; Completed matrix 1,dU:8,dL:8,vCount:143; Terminating: dU:8 &lt;= dL:8,vCount:143; Generating combinations of t=3 rows; Completed matrix 0,dU:8,dL:8,vCount:307; Terminating: dU:8 &lt;= dL:8,vCount:307; Terminating: t:4 &gt; tMax:3,vCount:0</t>
  </si>
  <si>
    <t>1-even code; Constructing information sets: Block structure [12 12 11]; Generating combinations of t=1 rows; Found w:10; Completed matrix 0,dU:10,dL:2,vCount:12; Completed matrix 1,dU:10,dL:4,vCount:24; Completed matrix 2,dU:10,dL:6,vCount:36; tMax:3; Generating combinations of t=2 rows; Completed matrix 0,dU:10,dL:6,vCount:102; Completed matrix 1,dU:10,dL:8,vCount:168; Completed matrix 2,dU:10,dL:8,vCount:234; Generating combinations of t=3 rows; Completed matrix 0,dU:10,dL:10,vCount:453; Terminating: dU:10 &lt;= dL:10,vCount:453; Terminating: t:4 &gt; tMax:3,vCount:0</t>
  </si>
  <si>
    <t>1-even code; Constructing information sets: Block structure [18 18  6]; Generating combinations of t=1 rows; Found w:6; Completed matrix 0,dU:6,dL:2,vCount:18; Completed matrix 1,dU:6,dL:4,vCount:36; Completed matrix 2,dU:6,dL:4,vCount:54; tMax:3; Discarding 1 non-contributing matrix, new block structure [18 18]; Generating combinations of t=2 rows; Completed matrix 0,dU:6,dL:6,vCount:207; Terminating: dU:6 &lt;= dL:6,vCount:207; Generating combinations of t=3 rows; Completed matrix 0,dU:6,dL:6,vCount:1022; Terminating: dU:6 &lt;= dL:6,vCount:1022; Terminating: t:4 &gt; tMax:3,vCount:0</t>
  </si>
  <si>
    <t>1-even code; Constructing information sets: Block structure [19 19  6]; Generating combinations of t=1 rows; Found w:6; Completed matrix 0,dU:6,dL:2,vCount:19; Completed matrix 1,dU:6,dL:4,vCount:38; Completed matrix 2,dU:6,dL:4,vCount:57; tMax:3; Discarding 1 non-contributing matrix, new block structure [19 19]; Generating combinations of t=2 rows; Completed matrix 0,dU:6,dL:6,vCount:228; Terminating: dU:6 &lt;= dL:6,vCount:228; Generating combinations of t=3 rows; Completed matrix 0,dU:6,dL:6,vCount:1196; Terminating: dU:6 &lt;= dL:6,vCount:1196; Terminating: t:4 &gt; tMax:3,vCount:0</t>
  </si>
  <si>
    <t>1-even code; Constructing information sets: Block structure [16 16 12]; Generating combinations of t=1 rows; Found w:10; Completed matrix 0,dU:10,dL:2,vCount:16; Completed matrix 1,dU:10,dL:4,vCount:32; Completed matrix 2,dU:10,dL:4,vCount:48; tMax:4; Discarding 1 non-contributing matrix, new block structure [16 16]; Generating combinations of t=2 rows; Completed matrix 0,dU:10,dL:6,vCount:168; Completed matrix 1,dU:10,dL:6,vCount:288; tMax:5; Generating combinations of t=3 rows; Completed matrix 0,dU:10,dL:8,vCount:847; Completed matrix 1,dU:10,dL:8,vCount:1406; Generating combinations of t=4 rows; Completed matrix 0,dU:10,dL:10,vCount:3225; Terminating: dU:10 &lt;= dL:10,vCount:3225; Generating combinations of t=5 rows; Completed matrix 0,dU:10,dL:10,vCount:7592; Terminating: dU:10 &lt;= dL:10,vCount:7592; Terminating: t:6 &gt; tMax:5,vCount:0</t>
  </si>
  <si>
    <t>1-even code; Constructing information sets: Block structure [17 17 12]; Generating combinations of t=1 rows; Found w:10; Completed matrix 0,dU:10,dL:2,vCount:17; Completed matrix 1,dU:10,dL:4,vCount:34; Completed matrix 2,dU:10,dL:4,vCount:51; tMax:5; Discarding 1 non-contributing matrix, new block structure [17 17]; Generating combinations of t=2 rows; Completed matrix 0,dU:10,dL:6,vCount:187; Completed matrix 1,dU:10,dL:6,vCount:323; Generating combinations of t=3 rows; Completed matrix 0,dU:10,dL:8,vCount:1002; Completed matrix 1,dU:10,dL:8,vCount:1681; Generating combinations of t=4 rows; Completed matrix 0,dU:10,dL:10,vCount:4060; Terminating: dU:10 &lt;= dL:10,vCount:4060; Generating combinations of t=5 rows; Completed matrix 0,dU:10,dL:10,vCount:10247; Terminating: dU:10 &lt;= dL:10,vCount:10247; Terminating: t:6 &gt; tMax:5,vCount:0</t>
  </si>
  <si>
    <t>1-even code; Constructing information sets: Block structure [17 17 15]; Generating combinations of t=1 rows; Found w:12; Completed matrix 0,dU:12,dL:2,vCount:17; Completed matrix 1,dU:12,dL:4,vCount:34; Completed matrix 2,dU:12,dL:4,vCount:51; tMax:4; Generating combinations of t=2 rows; Completed matrix 0,dU:12,dL:6,vCount:187; Completed matrix 1,dU:12,dL:6,vCount:323; Completed matrix 2,dU:12,dL:8,vCount:459; Generating combinations of t=3 rows; Completed matrix 0,dU:12,dL:8,vCount:1138; Completed matrix 1,dU:12,dL:10,vCount:1817; Completed matrix 2,dU:12,dL:10,vCount:2496; Generating combinations of t=4 rows; Completed matrix 0,dU:12,dL:12,vCount:4875; Terminating: dU:12 &lt;= dL:12,vCount:4875; Terminating: t:5 &gt; tMax:4,vCount:0</t>
  </si>
  <si>
    <t>1-even code; Constructing information sets: Block structure [20 20 12]; Generating combinations of t=1 rows; Found w:10; Completed matrix 0,dU:10,dL:2,vCount:20; Completed matrix 1,dU:10,dL:4,vCount:40; Completed matrix 2,dU:10,dL:4,vCount:60; tMax:5; Discarding 1 non-contributing matrix, new block structure [20 20]; Generating combinations of t=2 rows; Completed matrix 0,dU:10,dL:6,vCount:250; Completed matrix 1,dU:10,dL:6,vCount:440; Generating combinations of t=3 rows; Completed matrix 0,dU:10,dL:8,vCount:1579; Completed matrix 1,dU:10,dL:8,vCount:2718; Generating combinations of t=4 rows; Completed matrix 0,dU:10,dL:10,vCount:7562; Terminating: dU:10 &lt;= dL:10,vCount:7562; Generating combinations of t=5 rows; Completed matrix 0,dU:10,dL:10,vCount:23065; Terminating: dU:10 &lt;= dL:10,vCount:23065; Terminating: t:6 &gt; tMax:5,vCount:0</t>
  </si>
  <si>
    <t>1-even code; Constructing information sets: Block structure [23 23 13]; Generating combinations of t=1 rows; Found w:10; Completed matrix 0,dU:10,dL:2,vCount:23; Completed matrix 1,dU:10,dL:4,vCount:46; Completed matrix 2,dU:10,dL:4,vCount:69; tMax:5; Discarding 1 non-contributing matrix, new block structure [23 23]; Generating combinations of t=2 rows; Completed matrix 0,dU:10,dL:6,vCount:322; Completed matrix 1,dU:10,dL:6,vCount:575; Generating combinations of t=3 rows; Completed matrix 0,dU:10,dL:8,vCount:2345; Completed matrix 1,dU:10,dL:8,vCount:4115; Generating combinations of t=4 rows; Completed matrix 0,dU:10,dL:10,vCount:12969; Terminating: dU:10 &lt;= dL:10,vCount:12969; Generating combinations of t=5 rows; Completed matrix 0,dU:10,dL:10,vCount:46617; Terminating: dU:10 &lt;= dL:10,vCount:46617; Terminating: t:6 &gt; tMax:5,vCount:0</t>
  </si>
  <si>
    <t>1-even code; Constructing information sets: Block structure [24 24 13]; Generating combinations of t=1 rows; Found w:10; Completed matrix 0,dU:10,dL:2,vCount:24; Completed matrix 1,dU:10,dL:4,vCount:48; Completed matrix 2,dU:10,dL:4,vCount:72; tMax:5; Discarding 1 non-contributing matrix, new block structure [24 24]; Generating combinations of t=2 rows; Completed matrix 0,dU:10,dL:6,vCount:348; Completed matrix 1,dU:10,dL:6,vCount:624; Generating combinations of t=3 rows; Completed matrix 0,dU:10,dL:8,vCount:2647; Completed matrix 1,dU:10,dL:8,vCount:4670; Generating combinations of t=4 rows; Completed matrix 0,dU:10,dL:10,vCount:15295; Terminating: dU:10 &lt;= dL:10,vCount:15295; Generating combinations of t=5 rows; Completed matrix 0,dU:10,dL:10,vCount:57798; Terminating: dU:10 &lt;= dL:10,vCount:57798; Terminating: t:6 &gt; tMax:5,vCount:0</t>
  </si>
  <si>
    <t>1-even code; Constructing information sets: Block structure [23 23 17]; Generating combinations of t=1 rows; Found w:12; Completed matrix 0,dU:12,dL:2,vCount:23; Completed matrix 1,dU:12,dL:4,vCount:46; Completed matrix 2,dU:12,dL:4,vCount:69; tMax:6; Discarding 1 non-contributing matrix, new block structure [23 23]; Generating combinations of t=2 rows; Completed matrix 0,dU:12,dL:6,vCount:322; Completed matrix 1,dU:12,dL:6,vCount:575; Generating combinations of t=3 rows; Completed matrix 0,dU:12,dL:8,vCount:2345; Completed matrix 1,dU:12,dL:8,vCount:4115; Generating combinations of t=4 rows; Completed matrix 0,dU:12,dL:10,vCount:12969; Completed matrix 1,dU:12,dL:10,vCount:21823; Generating combinations of t=5 rows; Completed matrix 0,dU:12,dL:12,vCount:55471; Terminating: dU:12 &lt;= dL:12,vCount:55471; Generating combinations of t=6 rows; Completed matrix 0,dU:12,dL:12,vCount:156417; Terminating: dU:12 &lt;= dL:12,vCount:156417; Terminating: t:7 &gt; tMax:6,vCount:0</t>
  </si>
  <si>
    <t>1-even code; Constructing information sets: Block structure [24 24 17]; Generating combinations of t=1 rows; Found w:12; Completed matrix 0,dU:12,dL:2,vCount:24; Completed matrix 1,dU:12,dL:4,vCount:48; Completed matrix 2,dU:12,dL:4,vCount:72; tMax:6; Discarding 1 non-contributing matrix, new block structure [24 24]; Generating combinations of t=2 rows; Completed matrix 0,dU:12,dL:6,vCount:348; Completed matrix 1,dU:12,dL:6,vCount:624; Generating combinations of t=3 rows; Completed matrix 0,dU:12,dL:8,vCount:2647; Completed matrix 1,dU:12,dL:8,vCount:4670; Generating combinations of t=4 rows; Completed matrix 0,dU:12,dL:10,vCount:15295; Completed matrix 1,dU:12,dL:10,vCount:25920; Generating combinations of t=5 rows; Completed matrix 0,dU:12,dL:12,vCount:68423; Terminating: dU:12 &lt;= dL:12,vCount:68423; Generating combinations of t=6 rows; Completed matrix 0,dU:12,dL:12,vCount:203018; Terminating: dU:12 &lt;= dL:12,vCount:203018; Terminating: t:7 &gt; tMax:6,vCount:0</t>
  </si>
  <si>
    <t>1-even code; Constructing information sets: Block structure [29 29 17]; Generating combinations of t=1 rows; Found w:10; Completed matrix 0,dU:10,dL:2,vCount:29; Completed matrix 1,dU:10,dL:4,vCount:58; Completed matrix 2,dU:10,dL:4,vCount:87; tMax:5; Discarding 1 non-contributing matrix, new block structure [29 29]; Generating combinations of t=2 rows; Completed matrix 0,dU:10,dL:6,vCount:493; Completed matrix 1,dU:10,dL:6,vCount:899; Generating combinations of t=3 rows; Completed matrix 0,dU:10,dL:8,vCount:4552; Completed matrix 1,dU:10,dL:8,vCount:8205; Generating combinations of t=4 rows; Completed matrix 0,dU:10,dL:10,vCount:31955; Terminating: dU:10 &lt;= dL:10,vCount:31955; Generating combinations of t=5 rows; Completed matrix 0,dU:10,dL:10,vCount:150709; Terminating: dU:10 &lt;= dL:10,vCount:150709; Terminating: t:6 &gt; tMax:5,vCount:0</t>
  </si>
  <si>
    <t>1-even code; Constructing information sets: Block structure [25 25 24]; Generating combinations of t=1 rows; Found w:16; Completed matrix 0,dU:16,dL:2,vCount:25; Completed matrix 1,dU:16,dL:4,vCount:50; Found w:14; Completed matrix 2,dU:14,dL:6,vCount:75; tMax:5; Generating combinations of t=2 rows; Completed matrix 0,dU:14,dL:6,vCount:375; Completed matrix 1,dU:14,dL:8,vCount:675; Completed matrix 2,dU:14,dL:8,vCount:975; Generating combinations of t=3 rows; Completed matrix 0,dU:14,dL:10,vCount:3274; Completed matrix 1,dU:14,dL:10,vCount:5573; Completed matrix 2,dU:14,dL:12,vCount:7872; Generating combinations of t=4 rows; Completed matrix 0,dU:14,dL:12,vCount:20521; Completed matrix 1,dU:14,dL:14,vCount:33170; Terminating: dU:14 &lt;= dL:14,vCount:33170; Generating combinations of t=5 rows; Completed matrix 0,dU:14,dL:14,vCount:86299; Terminating: dU:14 &lt;= dL:14,vCount:86299; Terminating: t:6 &gt; tMax:5,vCount:0</t>
  </si>
  <si>
    <t>1-even code; Constructing information sets: Block structure [32 32 17]; Generating combinations of t=1 rows; Found w:12; Completed matrix 0,dU:12,dL:2,vCount:32; Found w:10; Completed matrix 1,dU:10,dL:4,vCount:64; Completed matrix 2,dU:10,dL:4,vCount:96; tMax:5; Discarding 1 non-contributing matrix, new block structure [32 32]; Generating combinations of t=2 rows; Completed matrix 0,dU:10,dL:6,vCount:592; Completed matrix 1,dU:10,dL:6,vCount:1088; Generating combinations of t=3 rows; Completed matrix 0,dU:10,dL:8,vCount:6047; Completed matrix 1,dU:10,dL:8,vCount:11006; Generating combinations of t=4 rows; Completed matrix 0,dU:10,dL:10,vCount:46965; Terminating: dU:10 &lt;= dL:10,vCount:46965; Generating combinations of t=5 rows; Completed matrix 0,dU:10,dL:10,vCount:248340; Terminating: dU:10 &lt;= dL:10,vCount:248340; Terminating: t:6 &gt; tMax:5,vCount:0</t>
  </si>
  <si>
    <t>1-even code; Constructing information sets: Block structure [33 33 17]; Generating combinations of t=1 rows; Found w:12; Completed matrix 0,dU:12,dL:2,vCount:33; Found w:10; Completed matrix 1,dU:10,dL:4,vCount:66; Completed matrix 2,dU:10,dL:4,vCount:99; tMax:5; Discarding 1 non-contributing matrix, new block structure [33 33]; Generating combinations of t=2 rows; Completed matrix 0,dU:10,dL:6,vCount:627; Completed matrix 1,dU:10,dL:6,vCount:1155; Generating combinations of t=3 rows; Completed matrix 0,dU:10,dL:8,vCount:6610; Completed matrix 1,dU:10,dL:8,vCount:12065; Generating combinations of t=4 rows; Completed matrix 0,dU:10,dL:10,vCount:52984; Terminating: dU:10 &lt;= dL:10,vCount:52984; Generating combinations of t=5 rows; Completed matrix 0,dU:10,dL:10,vCount:290319; Terminating: dU:10 &lt;= dL:10,vCount:290319; Terminating: t:6 &gt; tMax:5,vCount:0</t>
  </si>
  <si>
    <t>1-even code; Constructing information sets: Block structure [32 32 18]; Generating combinations of t=1 rows; Found w:14; Completed matrix 0,dU:14,dL:2,vCount:32; Completed matrix 1,dU:14,dL:4,vCount:64; Completed matrix 2,dU:14,dL:4,vCount:96; tMax:7; Discarding 1 non-contributing matrix, new block structure [32 32]; Generating combinations of t=2 rows; Found w:12; Completed matrix 0,dU:12,dL:6,vCount:592; Completed matrix 1,dU:12,dL:6,vCount:1088; tMax:6; Generating combinations of t=3 rows; Completed matrix 0,dU:12,dL:8,vCount:6047; Completed matrix 1,dU:12,dL:8,vCount:11006; Generating combinations of t=4 rows; Completed matrix 0,dU:12,dL:10,vCount:46965; Completed matrix 1,dU:12,dL:10,vCount:82924; Generating combinations of t=5 rows; Completed matrix 0,dU:12,dL:12,vCount:284299; Terminating: dU:12 &lt;= dL:12,vCount:284299; Generating combinations of t=6 rows; Completed matrix 0,dU:12,dL:12,vCount:1190490; Terminating: dU:12 &lt;= dL:12,vCount:1190490; Terminating: t:7 &gt; tMax:6,vCount:0</t>
  </si>
  <si>
    <t>1-even code; Constructing information sets: Block structure [33 33 18]; Generating combinations of t=1 rows; Found w:14; Completed matrix 0,dU:14,dL:2,vCount:33; Completed matrix 1,dU:14,dL:4,vCount:66; Completed matrix 2,dU:14,dL:4,vCount:99; tMax:7; Discarding 1 non-contributing matrix, new block structure [33 33]; Generating combinations of t=2 rows; Found w:12; Completed matrix 0,dU:12,dL:6,vCount:627; Completed matrix 1,dU:12,dL:6,vCount:1155; tMax:6; Generating combinations of t=3 rows; Completed matrix 0,dU:12,dL:8,vCount:6610; Completed matrix 1,dU:12,dL:8,vCount:12065; Generating combinations of t=4 rows; Completed matrix 0,dU:12,dL:10,vCount:52984; Completed matrix 1,dU:12,dL:10,vCount:93903; Generating combinations of t=5 rows; Completed matrix 0,dU:12,dL:12,vCount:331238; Terminating: dU:12 &lt;= dL:12,vCount:331238; Generating combinations of t=6 rows; Completed matrix 0,dU:12,dL:12,vCount:1438805; Terminating: dU:12 &lt;= dL:12,vCount:1438805; Terminating: t:7 &gt; tMax:6,vCount:0</t>
  </si>
  <si>
    <t>1-even code; Constructing information sets: Block structure [34 34 18]; Generating combinations of t=1 rows; Found w:14; Completed matrix 0,dU:14,dL:2,vCount:34; Completed matrix 1,dU:14,dL:4,vCount:68; Completed matrix 2,dU:14,dL:4,vCount:102; tMax:7; Discarding 1 non-contributing matrix, new block structure [34 34]; Generating combinations of t=2 rows; Found w:12; Completed matrix 0,dU:12,dL:6,vCount:663; Completed matrix 1,dU:12,dL:6,vCount:1224; tMax:6; Generating combinations of t=3 rows; Completed matrix 0,dU:12,dL:8,vCount:7207; Completed matrix 1,dU:12,dL:8,vCount:13190; Generating combinations of t=4 rows; Completed matrix 0,dU:12,dL:10,vCount:59565; Completed matrix 1,dU:12,dL:10,vCount:105940; Generating combinations of t=5 rows; Completed matrix 0,dU:12,dL:12,vCount:384195; Terminating: dU:12 &lt;= dL:12,vCount:384195; Generating combinations of t=6 rows; Completed matrix 0,dU:12,dL:12,vCount:1729098; Terminating: dU:12 &lt;= dL:12,vCount:1729098; Terminating: t:7 &gt; tMax:6,vCount:0</t>
  </si>
  <si>
    <t>1-even code; Constructing information sets: Block structure [35 35 23]; Generating combinations of t=1 rows; Found w:16; Completed matrix 0,dU:16,dL:2,vCount:35; Completed matrix 1,dU:16,dL:4,vCount:70; Completed matrix 2,dU:16,dL:4,vCount:105; tMax:8; Discarding 1 non-contributing matrix, new block structure [35 35]; Generating combinations of t=2 rows; Found w:14; Completed matrix 0,dU:14,dL:6,vCount:700; Completed matrix 1,dU:14,dL:6,vCount:1295; tMax:7; Generating combinations of t=3 rows; Completed matrix 0,dU:14,dL:8,vCount:7839; Completed matrix 1,dU:14,dL:8,vCount:14383; Generating combinations of t=4 rows; Completed matrix 0,dU:14,dL:10,vCount:66742; Completed matrix 1,dU:14,dL:10,vCount:119101; Generating combinations of t=5 rows; Completed matrix 0,dU:14,dL:12,vCount:443732; Completed matrix 1,dU:14,dL:12,vCount:768363; Generating combinations of t=6 rows; Completed matrix 0,dU:14,dL:14,vCount:2391522; Terminating: dU:14 &lt;= dL:14,vCount:2391522; Generating combinations of t=7 rows; Completed matrix 0,dU:14,dL:14,vCount:9116041; Terminating: dU:14 &lt;= dL:14,vCount:9116041; Terminating: t:8 &gt; tMax:7,vCount:0</t>
  </si>
  <si>
    <t>1-even code; Constructing information sets: Block structure [39 39 21]; Generating combinations of t=1 rows; Found w:18; Completed matrix 0,dU:18,dL:2,vCount:39; Found w:14; Completed matrix 1,dU:14,dL:4,vCount:78; Completed matrix 2,dU:14,dL:4,vCount:117; tMax:7; Discarding 1 non-contributing matrix, new block structure [39 39]; Generating combinations of t=2 rows; Completed matrix 0,dU:14,dL:6,vCount:858; Completed matrix 1,dU:14,dL:6,vCount:1599; Generating combinations of t=3 rows; Found w:12; Completed matrix 0,dU:12,dL:8,vCount:10737; Completed matrix 1,dU:12,dL:8,vCount:19875; tMax:6; Generating combinations of t=4 rows; Completed matrix 0,dU:12,dL:10,vCount:102125; Completed matrix 1,dU:12,dL:10,vCount:184375; Generating combinations of t=5 rows; Completed matrix 0,dU:12,dL:12,vCount:760131; Terminating: dU:12 &lt;= dL:12,vCount:760131; Generating combinations of t=6 rows; Completed matrix 0,dU:12,dL:12,vCount:4022753; Terminating: dU:12 &lt;= dL:12,vCount:4022753; Terminating: t:7 &gt; tMax:6,vCount:0</t>
  </si>
  <si>
    <t>1-even code; Constructing information sets: Block structure [40 40 21]; Generating combinations of t=1 rows; Found w:18; Completed matrix 0,dU:18,dL:2,vCount:40; Found w:14; Completed matrix 1,dU:14,dL:4,vCount:80; Completed matrix 2,dU:14,dL:4,vCount:120; tMax:7; Discarding 1 non-contributing matrix, new block structure [40 40]; Generating combinations of t=2 rows; Completed matrix 0,dU:14,dL:6,vCount:900; Completed matrix 1,dU:14,dL:6,vCount:1680; Generating combinations of t=3 rows; Found w:12; Completed matrix 0,dU:12,dL:8,vCount:11559; Completed matrix 1,dU:12,dL:8,vCount:21438; tMax:6; Generating combinations of t=4 rows; Completed matrix 0,dU:12,dL:10,vCount:112827; Completed matrix 1,dU:12,dL:10,vCount:204216; Generating combinations of t=5 rows; Completed matrix 0,dU:12,dL:12,vCount:862223; Terminating: dU:12 &lt;= dL:12,vCount:862223; Generating combinations of t=6 rows; Completed matrix 0,dU:12,dL:12,vCount:4700602; Terminating: dU:12 &lt;= dL:12,vCount:4700602; Terminating: t:7 &gt; tMax:6,vCount:0</t>
  </si>
  <si>
    <t>1-even code; Constructing information sets: Block structure [37 37 32]; Generating combinations of t=1 rows; Found w:22; Completed matrix 0,dU:22,dL:2,vCount:37; Completed matrix 1,dU:22,dL:4,vCount:74; Completed matrix 2,dU:22,dL:4,vCount:111; tMax:9; Generating combinations of t=2 rows; Found w:20; Completed matrix 0,dU:20,dL:6,vCount:777; Found w:18; Completed matrix 1,dU:18,dL:6,vCount:1443; Completed matrix 2,dU:18,dL:6,vCount:2109; tMax:7; Generating combinations of t=3 rows; Completed matrix 0,dU:18,dL:8,vCount:9878; Completed matrix 1,dU:18,dL:8,vCount:17647; Found w:16; Completed matrix 2,dU:16,dL:8,vCount:25416; Generating combinations of t=4 rows; Completed matrix 0,dU:16,dL:10,vCount:91460; Completed matrix 1,dU:16,dL:10,vCount:157504; Completed matrix 2,dU:16,dL:10,vCount:223548; Generating combinations of t=5 rows; Completed matrix 0,dU:16,dL:12,vCount:659444; Completed matrix 1,dU:16,dL:12,vCount:1095340; Completed matrix 2,dU:16,dL:14,vCount:1531236; Generating combinations of t=6 rows; Completed matrix 0,dU:16,dL:14,vCount:3856019; Completed matrix 1,dU:16,dL:16,vCount:6180802; Terminating: dU:16 &lt;= dL:16,vCount:6180802; Generating combinations of t=7 rows; Completed matrix 0,dU:16,dL:16,vCount:16476273; Terminating: dU:16 &lt;= dL:16,vCount:16476273; Terminating: t:8 &gt; tMax:7,vCount:0</t>
  </si>
  <si>
    <t>1-even code; Constructing information sets: Block structure [40 40 27]; Generating combinations of t=1 rows; Found w:22; Completed matrix 0,dU:22,dL:2,vCount:40; Completed matrix 1,dU:22,dL:4,vCount:80; Completed matrix 2,dU:22,dL:4,vCount:120; tMax:11; Discarding 1 non-contributing matrix, new block structure [40 40]; Generating combinations of t=2 rows; Found w:16; Completed matrix 0,dU:16,dL:6,vCount:900; Completed matrix 1,dU:16,dL:6,vCount:1680; tMax:8; Generating combinations of t=3 rows; Completed matrix 0,dU:16,dL:8,vCount:11559; Completed matrix 1,dU:16,dL:8,vCount:21438; Generating combinations of t=4 rows; Completed matrix 0,dU:16,dL:10,vCount:112827; Completed matrix 1,dU:16,dL:10,vCount:204216; Generating combinations of t=5 rows; Completed matrix 0,dU:16,dL:12,vCount:862223; Completed matrix 1,dU:16,dL:12,vCount:1520230; Generating combinations of t=6 rows; Completed matrix 0,dU:16,dL:14,vCount:5358609; Completed matrix 1,dU:16,dL:14,vCount:9196988; Generating combinations of t=7 rows; Completed matrix 0,dU:16,dL:16,vCount:27840547; Terminating: dU:16 &lt;= dL:16,vCount:27840547; Generating combinations of t=8 rows; Completed matrix 0,dU:16,dL:16,vCount:104745231; Terminating: dU:16 &lt;= dL:16,vCount:104745231; Terminating: t:9 &gt; tMax:8,vCount:0</t>
  </si>
  <si>
    <t>1-even code; Constructing information sets: Block structure [51 51 17]; Generating combinations of t=1 rows; Found w:14; Completed matrix 0,dU:14,dL:2,vCount:51; Found w:10; Completed matrix 1,dU:10,dL:4,vCount:102; Completed matrix 2,dU:10,dL:4,vCount:153; tMax:5; Discarding 1 non-contributing matrix, new block structure [51 51]; Generating combinations of t=2 rows; Completed matrix 0,dU:10,dL:6,vCount:1428; Completed matrix 1,dU:10,dL:6,vCount:2703; Generating combinations of t=3 rows; Completed matrix 0,dU:10,dL:8,vCount:23527; Completed matrix 1,dU:10,dL:8,vCount:44351; Generating combinations of t=4 rows; Completed matrix 0,dU:10,dL:10,vCount:294250; Terminating: dU:10 &lt;= dL:10,vCount:294250; Generating combinations of t=5 rows; Completed matrix 0,dU:10,dL:10,vCount:2643309; Terminating: dU:10 &lt;= dL:10,vCount:2643309; Terminating: t:6 &gt; tMax:5,vCount:0</t>
  </si>
  <si>
    <t>1-even code; Constructing information sets: Block structure [39 39 31]; Generating combinations of t=1 rows; Found w:22; Completed matrix 0,dU:22,dL:2,vCount:39; Completed matrix 1,dU:22,dL:4,vCount:78; Completed matrix 2,dU:22,dL:4,vCount:117; tMax:10; Generating combinations of t=2 rows; Found w:20; Completed matrix 0,dU:20,dL:6,vCount:858; Found w:18; Completed matrix 1,dU:18,dL:6,vCount:1599; Completed matrix 2,dU:18,dL:6,vCount:2340; tMax:8; Discarding 1 non-contributing matrix, new block structure [39 39]; Generating combinations of t=3 rows; Completed matrix 0,dU:18,dL:8,vCount:11478; Completed matrix 1,dU:18,dL:8,vCount:20616; tMax:9; Generating combinations of t=4 rows; Completed matrix 0,dU:18,dL:10,vCount:102866; Completed matrix 1,dU:18,dL:10,vCount:185116; Generating combinations of t=5 rows; Completed matrix 0,dU:18,dL:12,vCount:760872; Completed matrix 1,dU:18,dL:12,vCount:1336628; Generating combinations of t=6 rows; Completed matrix 0,dU:18,dL:14,vCount:4599250; Completed matrix 1,dU:18,dL:14,vCount:7861872; Generating combinations of t=7 rows; Completed matrix 0,dU:18,dL:16,vCount:23242808; Completed matrix 1,dU:18,dL:16,vCount:38623744; Generating combinations of t=8 rows; Completed matrix 0,dU:18,dL:18,vCount:100147491; Terminating: dU:18 &lt;= dL:18,vCount:100147491; Generating combinations of t=9 rows; Completed matrix 0,dU:18,dL:18,vCount:312062622; Terminating: dU:18 &lt;= dL:18,vCount:312062622; Terminating: t:10 &gt; tMax:9,vCount:0</t>
  </si>
  <si>
    <t>1-even code; Constructing information sets: Block structure [40 40 31]; Generating combinations of t=1 rows; Found w:22; Completed matrix 0,dU:22,dL:2,vCount:40; Completed matrix 1,dU:22,dL:4,vCount:80; Completed matrix 2,dU:22,dL:4,vCount:120; tMax:10; Generating combinations of t=2 rows; Found w:20; Completed matrix 0,dU:20,dL:6,vCount:900; Found w:18; Completed matrix 1,dU:18,dL:6,vCount:1680; Completed matrix 2,dU:18,dL:6,vCount:2460; tMax:9; Discarding 1 non-contributing matrix, new block structure [40 40]; Generating combinations of t=3 rows; Completed matrix 0,dU:18,dL:8,vCount:12339; Completed matrix 1,dU:18,dL:8,vCount:22218; Generating combinations of t=4 rows; Completed matrix 0,dU:18,dL:10,vCount:113607; Completed matrix 1,dU:18,dL:10,vCount:204996; Generating combinations of t=5 rows; Completed matrix 0,dU:18,dL:12,vCount:863003; Completed matrix 1,dU:18,dL:12,vCount:1521010; Generating combinations of t=6 rows; Completed matrix 0,dU:18,dL:14,vCount:5359389; Completed matrix 1,dU:18,dL:14,vCount:9197768; Generating combinations of t=7 rows; Completed matrix 0,dU:18,dL:16,vCount:27841327; Completed matrix 1,dU:18,dL:16,vCount:46484886; Generating combinations of t=8 rows; Completed matrix 0,dU:18,dL:18,vCount:123389570; Terminating: dU:18 &lt;= dL:18,vCount:123389570; Generating combinations of t=9 rows; Completed matrix 0,dU:18,dL:18,vCount:396828449; Terminating: dU:18 &lt;= dL:18,vCount:396828449; Terminating: t:10 &gt; tMax:9,vCount:0</t>
  </si>
  <si>
    <t>1-even code; Constructing information sets: Block structure [41 41 31]; Generating combinations of t=1 rows; Found w:22; Completed matrix 0,dU:22,dL:2,vCount:41; Completed matrix 1,dU:22,dL:4,vCount:82; Completed matrix 2,dU:22,dL:4,vCount:123; tMax:10; Discarding 1 non-contributing matrix, new block structure [41 41]; Generating combinations of t=2 rows; Found w:20; Completed matrix 0,dU:20,dL:6,vCount:943; Found w:18; Completed matrix 1,dU:18,dL:6,vCount:1763; tMax:9; Generating combinations of t=3 rows; Completed matrix 0,dU:18,dL:8,vCount:12422; Completed matrix 1,dU:18,dL:8,vCount:23081; Generating combinations of t=4 rows; Completed matrix 0,dU:18,dL:10,vCount:124350; Completed matrix 1,dU:18,dL:10,vCount:225619; Generating combinations of t=5 rows; Completed matrix 0,dU:18,dL:12,vCount:975016; Completed matrix 1,dU:18,dL:12,vCount:1724413; Generating combinations of t=6 rows; Completed matrix 0,dU:18,dL:14,vCount:6220800; Completed matrix 1,dU:18,dL:14,vCount:10717187; Generating combinations of t=7 rows; Completed matrix 0,dU:18,dL:16,vCount:33199126; Completed matrix 1,dU:18,dL:16,vCount:55681065; Generating combinations of t=8 rows; Completed matrix 0,dU:18,dL:18,vCount:151229309; Terminating: dU:18 &lt;= dL:18,vCount:151229309; Generating combinations of t=9 rows; Completed matrix 0,dU:18,dL:18,vCount:501572873; Terminating: dU:18 &lt;= dL:18,vCount:501572873; Terminating: t:10 &gt; tMax:9,vCount:0</t>
  </si>
  <si>
    <t>1-even code; Constructing information sets: Block structure [42 42 31]; Generating combinations of t=1 rows; Found w:22; Completed matrix 0,dU:22,dL:2,vCount:42; Completed matrix 1,dU:22,dL:4,vCount:84; Completed matrix 2,dU:22,dL:4,vCount:126; tMax:11; Discarding 1 non-contributing matrix, new block structure [42 42]; Generating combinations of t=2 rows; Found w:20; Completed matrix 0,dU:20,dL:6,vCount:987; Found w:18; Completed matrix 1,dU:18,dL:6,vCount:1848; tMax:9; Generating combinations of t=3 rows; Completed matrix 0,dU:18,dL:8,vCount:13327; Completed matrix 1,dU:18,dL:8,vCount:24806; Generating combinations of t=4 rows; Completed matrix 0,dU:18,dL:10,vCount:136735; Completed matrix 1,dU:18,dL:10,vCount:248664; Generating combinations of t=5 rows; Completed matrix 0,dU:18,dL:12,vCount:1099331; Completed matrix 1,dU:18,dL:12,vCount:1949998; Generating combinations of t=6 rows; Completed matrix 0,dU:18,dL:14,vCount:7195783; Completed matrix 1,dU:18,dL:14,vCount:12441568; Generating combinations of t=7 rows; Completed matrix 0,dU:18,dL:16,vCount:39419895; Completed matrix 1,dU:18,dL:16,vCount:66398222; Generating combinations of t=8 rows; Completed matrix 0,dU:18,dL:18,vCount:184428406; Terminating: dU:18 &lt;= dL:18,vCount:184428406; Generating combinations of t=9 rows; Completed matrix 0,dU:18,dL:18,vCount:630320215; Terminating: dU:18 &lt;= dL:18,vCount:630320215; Terminating: t:10 &gt; tMax:9,vCount:0</t>
  </si>
  <si>
    <t>1-even code; Constructing information sets: Block structure [43 43 35]; Generating combinations of t=1 rows; Found w:24; Completed matrix 0,dU:24,dL:2,vCount:43; Found w:20; Completed matrix 1,dU:20,dL:4,vCount:86; Completed matrix 2,dU:20,dL:4,vCount:129; tMax:9; Generating combinations of t=2 rows; Completed matrix 0,dU:20,dL:6,vCount:1032; Found w:18; Completed matrix 1,dU:18,dL:6,vCount:1935; Completed matrix 2,dU:18,dL:6,vCount:2838; tMax:8; Discarding 1 non-contributing matrix, new block structure [43 43]; Generating combinations of t=3 rows; Completed matrix 0,dU:18,dL:8,vCount:15178; Completed matrix 1,dU:18,dL:8,vCount:27518; tMax:9; Generating combinations of t=4 rows; Completed matrix 0,dU:18,dL:10,vCount:150927; Completed matrix 1,dU:18,dL:10,vCount:274336; Generating combinations of t=5 rows; Completed matrix 0,dU:18,dL:12,vCount:1236933; Completed matrix 1,dU:18,dL:12,vCount:2199530; Generating combinations of t=6 rows; Completed matrix 0,dU:18,dL:14,vCount:8295983; Completed matrix 1,dU:18,dL:14,vCount:14392436; Generating combinations of t=7 rows; Completed matrix 0,dU:18,dL:16,vCount:46616549; Completed matrix 1,dU:18,dL:16,vCount:78840662; Generating combinations of t=8 rows; Completed matrix 0,dU:18,dL:18,vCount:223849174; Terminating: dU:18 &lt;= dL:18,vCount:223849174; Generating combinations of t=9 rows; Completed matrix 0,dU:18,dL:18,vCount:787771168; Terminating: dU:18 &lt;= dL:18,vCount:787771168; Terminating: t:10 &gt; tMax:9,vCount:0</t>
  </si>
  <si>
    <t>1-even code; Constructing information sets: Block structure [45 45 34]; Generating combinations of t=1 rows; Found w:24; Completed matrix 0,dU:24,dL:2,vCount:45; Completed matrix 1,dU:24,dL:4,vCount:90; Completed matrix 2,dU:24,dL:4,vCount:135; tMax:11; Discarding 1 non-contributing matrix, new block structure [45 45]; Generating combinations of t=2 rows; Found w:20; Completed matrix 0,dU:20,dL:6,vCount:1125; Completed matrix 1,dU:20,dL:6,vCount:2115; tMax:10; Generating combinations of t=3 rows; Found w:18; Completed matrix 0,dU:18,dL:8,vCount:16304; Completed matrix 1,dU:18,dL:8,vCount:30493; tMax:9; Generating combinations of t=4 rows; Completed matrix 0,dU:18,dL:10,vCount:179487; Completed matrix 1,dU:18,dL:10,vCount:328481; Generating combinations of t=5 rows; Completed matrix 0,dU:18,dL:12,vCount:1550239; Completed matrix 1,dU:18,dL:12,vCount:2771997; Generating combinations of t=6 rows; Completed matrix 0,dU:18,dL:14,vCount:10917056; Completed matrix 1,dU:18,dL:14,vCount:19062115; Generating combinations of t=7 rows; Completed matrix 0,dU:18,dL:16,vCount:64441734; Completed matrix 1,dU:18,dL:16,vCount:109821353; Generating combinations of t=8 rows; Completed matrix 0,dU:18,dL:18,vCount:325374547; Terminating: dU:18 &lt;= dL:18,vCount:325374547; Generating combinations of t=9 rows; Completed matrix 0,dU:18,dL:18,vCount:1211537681; Terminating: dU:18 &lt;= dL:18,vCount:1211537681; Terminating: t:10 &gt; tMax:9,vCount:0</t>
  </si>
  <si>
    <t>1-even code; Constructing information sets: Block structure [43 43 41]; Generating combinations of t=1 rows; Found w:24; Completed matrix 0,dU:24,dL:2,vCount:43; Completed matrix 1,dU:24,dL:4,vCount:86; Completed matrix 2,dU:24,dL:4,vCount:129; tMax:8; Generating combinations of t=2 rows; Completed matrix 0,dU:24,dL:6,vCount:1032; Completed matrix 1,dU:24,dL:6,vCount:1935; Completed matrix 2,dU:24,dL:8,vCount:2838; Generating combinations of t=3 rows; Completed matrix 0,dU:24,dL:8,vCount:15178; Found w:22; Completed matrix 1,dU:22,dL:10,vCount:27518; Completed matrix 2,dU:22,dL:10,vCount:39858; Generating combinations of t=4 rows; Completed matrix 0,dU:22,dL:12,vCount:163267; Completed matrix 1,dU:22,dL:12,vCount:286676; Completed matrix 2,dU:22,dL:14,vCount:410085; Generating combinations of t=5 rows; Completed matrix 0,dU:22,dL:14,vCount:1372682; Completed matrix 1,dU:22,dL:16,vCount:2335279; Completed matrix 2,dU:22,dL:16,vCount:3297876; Generating combinations of t=6 rows; Completed matrix 0,dU:22,dL:18,vCount:9394329; Completed matrix 1,dU:22,dL:18,vCount:15490782; Completed matrix 2,dU:22,dL:20,vCount:21587235; Generating combinations of t=7 rows; Completed matrix 0,dU:22,dL:20,vCount:53811348; Completed matrix 1,dU:22,dL:22,vCount:86035461; Terminating: dU:22 &lt;= dL:22,vCount:86035461; Generating combinations of t=8 rows; Completed matrix 0,dU:22,dL:22,vCount:231043973; Terminating: dU:22 &lt;= dL:22,vCount:231043973; Terminating: t:9 &gt; tMax:8,vCount:0</t>
  </si>
  <si>
    <t>1-even code; Constructing information sets: Block structure [47 47 39]; Generating combinations of t=1 rows; Found w:30; Completed matrix 0,dU:30,dL:2,vCount:47; Found w:18; Completed matrix 1,dU:18,dL:4,vCount:94; Completed matrix 2,dU:18,dL:4,vCount:141; tMax:8; Discarding 1 non-contributing matrix, new block structure [47 47]; Generating combinations of t=2 rows; Completed matrix 0,dU:18,dL:6,vCount:1222; Completed matrix 1,dU:18,dL:6,vCount:2303; tMax:9; Generating combinations of t=3 rows; Completed matrix 0,dU:18,dL:8,vCount:18517; Completed matrix 1,dU:18,dL:8,vCount:34731; Generating combinations of t=4 rows; Completed matrix 0,dU:18,dL:10,vCount:213095; Completed matrix 1,dU:18,dL:10,vCount:391459; Generating combinations of t=5 rows; Completed matrix 0,dU:18,dL:12,vCount:1925397; Completed matrix 1,dU:18,dL:12,vCount:3459335; Generating combinations of t=6 rows; Completed matrix 0,dU:18,dL:14,vCount:14196907; Completed matrix 1,dU:18,dL:14,vCount:24934479; Generating combinations of t=7 rows; Completed matrix 0,dU:18,dL:16,vCount:87825977; Completed matrix 1,dU:18,dL:16,vCount:150717475; Generating combinations of t=8 rows; Completed matrix 0,dU:18,dL:18,vCount:465174969; Terminating: dU:18 &lt;= dL:18,vCount:465174969; Generating combinations of t=9 rows; Completed matrix 0,dU:18,dL:18,vCount:1827824113; Terminating: dU:18 &lt;= dL:18,vCount:1827824113; Terminating: t:10 &gt; tMax:9,vCount:0</t>
  </si>
  <si>
    <t>1-even code; Constructing information sets: Block structure [49 49 38]; Generating combinations of t=1 rows; Found w:18; Completed matrix 0,dU:18,dL:2,vCount:49; Completed matrix 1,dU:18,dL:4,vCount:98; Completed matrix 2,dU:18,dL:4,vCount:147; tMax:9; Discarding 1 non-contributing matrix, new block structure [49 49]; Generating combinations of t=2 rows; Completed matrix 0,dU:18,dL:6,vCount:1323; Completed matrix 1,dU:18,dL:6,vCount:2499; Generating combinations of t=3 rows; Completed matrix 0,dU:18,dL:8,vCount:20922; Completed matrix 1,dU:18,dL:8,vCount:39345; Generating combinations of t=4 rows; Completed matrix 0,dU:18,dL:10,vCount:251220; Completed matrix 1,dU:18,dL:10,vCount:463095; Generating combinations of t=5 rows; Completed matrix 0,dU:18,dL:12,vCount:2369978; Completed matrix 1,dU:18,dL:12,vCount:4276861; Generating combinations of t=6 rows; Completed matrix 0,dU:18,dL:14,vCount:18260676; Completed matrix 1,dU:18,dL:14,vCount:32244491; Generating combinations of t=7 rows; Completed matrix 0,dU:18,dL:16,vCount:118145074; Completed matrix 1,dU:18,dL:16,vCount:204045657; Generating combinations of t=8 rows; Completed matrix 0,dU:18,dL:18,vCount:655023722; Terminating: dU:18 &lt;= dL:18,vCount:655023722; Generating combinations of t=9 rows; Completed matrix 0,dU:18,dL:18,vCount:2709479355; Terminating: dU:18 &lt;= dL:18,vCount:2709479355; Terminating: t:10 &gt; tMax:9,vCount:0</t>
  </si>
  <si>
    <t>1-even code; Constructing information sets: Block structure [50 50 38]; Generating combinations of t=1 rows; Found w:28; Completed matrix 0,dU:28,dL:2,vCount:50; Found w:24; Completed matrix 1,dU:24,dL:4,vCount:100; Completed matrix 2,dU:24,dL:4,vCount:150; tMax:12; Discarding 1 non-contributing matrix, new block structure [50 50]; Generating combinations of t=2 rows; Found w:20; Completed matrix 0,dU:20,dL:6,vCount:1375; Completed matrix 1,dU:20,dL:6,vCount:2600; tMax:10; Generating combinations of t=3 rows; Completed matrix 0,dU:20,dL:8,vCount:22199; Completed matrix 1,dU:20,dL:8,vCount:41798; Generating combinations of t=4 rows; Completed matrix 0,dU:20,dL:10,vCount:272097; Found w:18; Completed matrix 1,dU:18,dL:10,vCount:502396; tMax:9; Generating combinations of t=5 rows; Completed matrix 0,dU:18,dL:12,vCount:2621155; Completed matrix 1,dU:18,dL:12,vCount:4739914; Generating combinations of t=6 rows; Completed matrix 0,dU:18,dL:14,vCount:20630613; Completed matrix 1,dU:18,dL:14,vCount:36521312; Generating combinations of t=7 rows; Completed matrix 0,dU:18,dL:16,vCount:136405711; Completed matrix 1,dU:18,dL:16,vCount:236290110; Generating combinations of t=8 rows; Completed matrix 0,dU:18,dL:18,vCount:773168759; Terminating: dU:18 &lt;= dL:18,vCount:773168759; Generating combinations of t=9 rows; Completed matrix 0,dU:18,dL:18,vCount:3278602458; Terminating: dU:18 &lt;= dL:18,vCount:3278602458; Terminating: t:10 &gt; tMax:9,vCount:0</t>
  </si>
  <si>
    <t>1-even code; Constructing information sets: Block structure [51 51 38]; Generating combinations of t=1 rows; Found w:28; Completed matrix 0,dU:28,dL:2,vCount:51; Found w:24; Completed matrix 1,dU:24,dL:4,vCount:102; Completed matrix 2,dU:24,dL:4,vCount:153; tMax:12; Discarding 1 non-contributing matrix, new block structure [51 51]; Generating combinations of t=2 rows; Found w:20; Completed matrix 0,dU:20,dL:6,vCount:1428; Completed matrix 1,dU:20,dL:6,vCount:2703; tMax:10; Generating combinations of t=3 rows; Completed matrix 0,dU:20,dL:8,vCount:23527; Completed matrix 1,dU:20,dL:8,vCount:44351; Generating combinations of t=4 rows; Completed matrix 0,dU:20,dL:10,vCount:294250; Found w:18; Completed matrix 1,dU:18,dL:10,vCount:544149; tMax:9; Generating combinations of t=5 rows; Completed matrix 0,dU:18,dL:12,vCount:2893208; Completed matrix 1,dU:18,dL:12,vCount:5242267; Generating combinations of t=6 rows; Completed matrix 0,dU:18,dL:14,vCount:23251726; Completed matrix 1,dU:18,dL:14,vCount:41261185; Generating combinations of t=7 rows; Completed matrix 0,dU:18,dL:16,vCount:157036284; Completed matrix 1,dU:18,dL:16,vCount:272811383; Generating combinations of t=8 rows; Completed matrix 0,dU:18,dL:18,vCount:909574432; Terminating: dU:18 &lt;= dL:18,vCount:909574432; Generating combinations of t=9 rows; Completed matrix 0,dU:18,dL:18,vCount:3951886781; Terminating: dU:18 &lt;= dL:18,vCount:3951886781; Terminating: t:10 &gt; tMax:9,vCount:0</t>
  </si>
  <si>
    <t>1-even code; Constructing information sets: Block structure [53 53 39]; Generating combinations of t=1 rows; Found w:24; Completed matrix 0,dU:24,dL:2,vCount:53; Completed matrix 1,dU:24,dL:4,vCount:106; Completed matrix 2,dU:24,dL:4,vCount:159; tMax:12; Discarding 1 non-contributing matrix, new block structure [53 53]; Generating combinations of t=2 rows; Completed matrix 0,dU:24,dL:6,vCount:1537; Completed matrix 1,dU:24,dL:6,vCount:2915; Generating combinations of t=3 rows; Completed matrix 0,dU:24,dL:8,vCount:26340; Found w:20; Completed matrix 1,dU:20,dL:8,vCount:49765; tMax:10; Generating combinations of t=4 rows; Completed matrix 0,dU:20,dL:10,vCount:342589; Completed matrix 1,dU:20,dL:10,vCount:635413; Generating combinations of t=5 rows; Completed matrix 0,dU:20,dL:12,vCount:3505097; Completed matrix 1,dU:20,dL:12,vCount:6374781; Generating combinations of t=6 rows; Completed matrix 0,dU:20,dL:14,vCount:29332260; Completed matrix 1,dU:20,dL:14,vCount:52289739; Generating combinations of t=7 rows; Completed matrix 0,dU:20,dL:16,vCount:206432818; Found w:18; Completed matrix 1,dU:18,dL:16,vCount:360575897; tMax:9; Generating combinations of t=8 rows; Completed matrix 0,dU:18,dL:18,vCount:1246898606; Terminating: dU:18 &lt;= dL:18,vCount:1246898606; Generating combinations of t=9 rows; Completed matrix 0,dU:18,dL:18,vCount:5678512155; Terminating: dU:18 &lt;= dL:18,vCount:5678512155; Terminating: t:10 &gt; tMax:9,vCount:0</t>
  </si>
  <si>
    <t>1-even code; Constructing information sets: Block structure [55 55 38]; Generating combinations of t=1 rows; Found w:28; Completed matrix 0,dU:28,dL:2,vCount:55; Completed matrix 1,dU:28,dL:4,vCount:110; Completed matrix 2,dU:28,dL:4,vCount:165; tMax:14; Discarding 1 non-contributing matrix, new block structure [55 55]; Generating combinations of t=2 rows; Found w:22; Completed matrix 0,dU:22,dL:6,vCount:1650; Completed matrix 1,dU:22,dL:6,vCount:3135; tMax:11; Generating combinations of t=3 rows; Completed matrix 0,dU:22,dL:8,vCount:29369; Found w:20; Completed matrix 1,dU:20,dL:8,vCount:55603; tMax:10; Generating combinations of t=4 rows; Completed matrix 0,dU:20,dL:10,vCount:396657; Completed matrix 1,dU:20,dL:10,vCount:737711; Generating combinations of t=5 rows; Completed matrix 0,dU:20,dL:12,vCount:4216471; Completed matrix 1,dU:20,dL:12,vCount:7695231; Generating combinations of t=6 rows; Found w:18; Completed matrix 0,dU:18,dL:14,vCount:36684905; Completed matrix 1,dU:18,dL:14,vCount:65674579; tMax:9; Generating combinations of t=7 rows; Completed matrix 0,dU:18,dL:16,vCount:268602303; Completed matrix 1,dU:18,dL:16,vCount:471530027; Generating combinations of t=8 rows; Completed matrix 0,dU:18,dL:18,vCount:1689096376; Terminating: dU:18 &lt;= dL:18,vCount:1689096376; Generating combinations of t=9 rows; Completed matrix 0,dU:18,dL:18,vCount:8047498425; Terminating: dU:18 &lt;= dL:18,vCount:8047498425; Terminating: t:10 &gt; tMax:9,vCount:0</t>
  </si>
  <si>
    <t>1-even code; Constructing information sets: Block structure [53 53 43]; Generating combinations of t=1 rows; Found w:28; Completed matrix 0,dU:28,dL:2,vCount:53; Completed matrix 1,dU:28,dL:4,vCount:106; Completed matrix 2,dU:28,dL:4,vCount:159; tMax:12; Generating combinations of t=2 rows; Found w:26; Completed matrix 0,dU:26,dL:6,vCount:1537; Completed matrix 1,dU:26,dL:6,vCount:2915; Completed matrix 2,dU:26,dL:6,vCount:4293; Generating combinations of t=3 rows; Found w:24; Completed matrix 0,dU:24,dL:8,vCount:27718; Found w:22; Completed matrix 1,dU:22,dL:8,vCount:51143; Completed matrix 2,dU:22,dL:8,vCount:74568; tMax:10; Discarding 1 non-contributing matrix, new block structure [53 53]; Generating combinations of t=4 rows; Completed matrix 0,dU:22,dL:10,vCount:367392; Found w:20; Completed matrix 1,dU:20,dL:10,vCount:660216; Generating combinations of t=5 rows; Completed matrix 0,dU:20,dL:12,vCount:3529900; Completed matrix 1,dU:20,dL:12,vCount:6399584; Generating combinations of t=6 rows; Completed matrix 0,dU:20,dL:14,vCount:29357063; Completed matrix 1,dU:20,dL:14,vCount:52314542; Generating combinations of t=7 rows; Completed matrix 0,dU:20,dL:16,vCount:206457621; Completed matrix 1,dU:20,dL:16,vCount:360600700; Generating combinations of t=8 rows; Completed matrix 0,dU:20,dL:18,vCount:1246923409; Completed matrix 1,dU:20,dL:18,vCount:2133246118; Generating combinations of t=9 rows; Completed matrix 0,dU:20,dL:20,vCount:6564859667; Terminating: dU:20 &lt;= dL:20,vCount:6564859667; Generating combinations of t=10 rows; Completed matrix 0,dU:20,dL:20,vCount:26063959286; Terminating: dU:20 &lt;= dL:20,vCount:26063959286; Terminating: t:11 &gt; tMax:10,vCount:0</t>
  </si>
  <si>
    <t>1-even code; Constructing information sets: Block structure [66 66 38]; Generating combinations of t=1 rows; Found w:22; Completed matrix 0,dU:22,dL:2,vCount:66; Completed matrix 1,dU:22,dL:4,vCount:132; Completed matrix 2,dU:22,dL:4,vCount:198; tMax:11; Discarding 1 non-contributing matrix, new block structure [66 66]; Generating combinations of t=2 rows; Found w:18; Completed matrix 0,dU:18,dL:6,vCount:2343; Completed matrix 1,dU:18,dL:6,vCount:4488; tMax:9; Generating combinations of t=3 rows; Found w:16; Completed matrix 0,dU:16,dL:8,vCount:50247; Completed matrix 1,dU:16,dL:8,vCount:96006; tMax:8; Generating combinations of t=4 rows; Found w:14; Completed matrix 0,dU:14,dL:10,vCount:816725; Completed matrix 1,dU:14,dL:10,vCount:1537444; tMax:7; Generating combinations of t=5 rows; Completed matrix 0,dU:14,dL:12,vCount:10474371; Completed matrix 1,dU:14,dL:12,vCount:19411298; Generating combinations of t=6 rows; Completed matrix 0,dU:14,dL:14,vCount:110270065; Terminating: dU:14 &lt;= dL:14,vCount:110270065; Generating combinations of t=7 rows; Completed matrix 0,dU:14,dL:14,vCount:889059504; Terminating: dU:14 &lt;= dL:14,vCount:889059504; Terminating: t:8 &gt; tMax:7,vCount:0</t>
  </si>
  <si>
    <t>1-even code; Constructing information sets: Block structure [63 63 44]; Generating combinations of t=1 rows; Found w:22; Completed matrix 0,dU:22,dL:2,vCount:63; Completed matrix 1,dU:22,dL:4,vCount:126; Completed matrix 2,dU:22,dL:4,vCount:189; tMax:11; Discarding 1 non-contributing matrix, new block structure [63 63]; Generating combinations of t=2 rows; Found w:18; Completed matrix 0,dU:18,dL:6,vCount:2142; Completed matrix 1,dU:18,dL:6,vCount:4095; tMax:9; Generating combinations of t=3 rows; Completed matrix 0,dU:18,dL:8,vCount:43805; Completed matrix 1,dU:18,dL:8,vCount:83515; Generating combinations of t=4 rows; Completed matrix 0,dU:18,dL:10,vCount:679179; Completed matrix 1,dU:18,dL:10,vCount:1274843; Generating combinations of t=5 rows; Completed matrix 0,dU:18,dL:12,vCount:8303689; Completed matrix 1,dU:18,dL:12,vCount:15332535; Generating combinations of t=6 rows; Completed matrix 0,dU:18,dL:14,vCount:83278055; Completed matrix 1,dU:18,dL:14,vCount:151223575; Generating combinations of t=7 rows; Completed matrix 0,dU:18,dL:16,vCount:704494245; Completed matrix 1,dU:18,dL:16,vCount:1257764915; Generating combinations of t=8 rows; Completed matrix 0,dU:18,dL:18,vCount:5130659611; Terminating: dU:18 &lt;= dL:18,vCount:5130659611; Generating combinations of t=9 rows; Completed matrix 0,dU:18,dL:18,vCount:28798349425; Terminating: dU:18 &lt;= dL:18,vCount:28798349425; Terminating: t:10 &gt; tMax:9,vCount:0</t>
  </si>
  <si>
    <t>1-even code; Constructing information sets: Block structure [63 63 47]; Generating combinations of t=1 rows; Found w:22; Completed matrix 0,dU:22,dL:2,vCount:63; Completed matrix 1,dU:22,dL:4,vCount:126; Completed matrix 2,dU:22,dL:4,vCount:189; tMax:11; Discarding 1 non-contributing matrix, new block structure [63 63]; Generating combinations of t=2 rows; Found w:18; Completed matrix 0,dU:18,dL:6,vCount:2142; Completed matrix 1,dU:18,dL:6,vCount:4095; tMax:9; Generating combinations of t=3 rows; Completed matrix 0,dU:18,dL:8,vCount:43805; Completed matrix 1,dU:18,dL:8,vCount:83515; Generating combinations of t=4 rows; Completed matrix 0,dU:18,dL:10,vCount:679179; Completed matrix 1,dU:18,dL:10,vCount:1274843; Generating combinations of t=5 rows; Completed matrix 0,dU:18,dL:12,vCount:8303689; Completed matrix 1,dU:18,dL:12,vCount:15332535; Generating combinations of t=6 rows; Completed matrix 0,dU:18,dL:14,vCount:83278055; Completed matrix 1,dU:18,dL:14,vCount:151223575; Generating combinations of t=7 rows; Completed matrix 0,dU:18,dL:16,vCount:704494245; Completed matrix 1,dU:18,dL:16,vCount:1257764915; Generating combinations of t=8 rows; Completed matrix 0,dU:18,dL:18,vCount:5130659611; Terminating: dU:18 &lt;= dL:18,vCount:5130659611; Generating combinations of t=9 rows; Completed matrix 0,dU:18,dL:18,vCount:28798349425; Terminating: dU:18 &lt;= dL:18,vCount:28798349425; Terminating: t:10 &gt; tMax:9,vCount:0</t>
  </si>
  <si>
    <t>outfile: /home/ucapmwe/dist-benchmark/results/codeTables-QECC_sample.txt-BZDistMW-20260216_095904.358518_85062422.txt</t>
  </si>
  <si>
    <t>1-even code; Constructing information sets: Block structure [6 6 3]; Generating combinations of t=1 rows; Found w:6; Completed matrix 0,dU:6,dL:2,vCount:6; Completed matrix 1,dU:6,dL:4,vCount:12; Completed matrix 2,dU:6,dL:4,vCount:18; tMax:3; Discarding 1 non-contributing matrix, new block structure [6 6]; Generating combinations of t=2 rows; Completed matrix 0,dU:6,dL:6,vCount:33; Terminating: dU:6 &lt;= dL:6,vCount:33; Generating combinations of t=3 rows; Completed matrix 0,dU:6,dL:6,vCount:52; Terminating: dU:6 &lt;= dL:6,vCount:52; Terminating: t:4 &gt; tMax:3,vCount:0</t>
  </si>
  <si>
    <t>1-even code; Constructing information sets: Block structure [7 7 3]; Generating combinations of t=1 rows; Found w:6; Completed matrix 0,dU:6,dL:2,vCount:7; Completed matrix 1,dU:6,dL:4,vCount:14; Completed matrix 2,dU:6,dL:4,vCount:21; tMax:3; Discarding 1 non-contributing matrix, new block structure [7 7]; Generating combinations of t=2 rows; Completed matrix 0,dU:6,dL:6,vCount:42; Terminating: dU:6 &lt;= dL:6,vCount:42; Generating combinations of t=3 rows; Completed matrix 0,dU:6,dL:6,vCount:76; Terminating: dU:6 &lt;= dL:6,vCount:76; Terminating: t:4 &gt; tMax:3,vCount:0</t>
  </si>
  <si>
    <t>1-even code; Constructing information sets: Block structure [9 9 3]; Generating combinations of t=1 rows; Found w:6; Completed matrix 0,dU:6,dL:2,vCount:9; Completed matrix 1,dU:6,dL:4,vCount:18; Completed matrix 2,dU:6,dL:4,vCount:27; tMax:3; Discarding 1 non-contributing matrix, new block structure [9 9]; Generating combinations of t=2 rows; Completed matrix 0,dU:6,dL:6,vCount:63; Terminating: dU:6 &lt;= dL:6,vCount:63; Generating combinations of t=3 rows; Completed matrix 0,dU:6,dL:6,vCount:146; Terminating: dU:6 &lt;= dL:6,vCount:146; Terminating: t:4 &gt; tMax:3,vCount:0</t>
  </si>
  <si>
    <t>1-even code; Constructing information sets: Block structure [10 10  3]; Generating combinations of t=1 rows; Found w:6; Completed matrix 0,dU:6,dL:2,vCount:10; Completed matrix 1,dU:6,dL:4,vCount:20; Completed matrix 2,dU:6,dL:4,vCount:30; tMax:3; Discarding 1 non-contributing matrix, new block structure [10 10]; Generating combinations of t=2 rows; Completed matrix 0,dU:6,dL:6,vCount:75; Terminating: dU:6 &lt;= dL:6,vCount:75; Generating combinations of t=3 rows; Completed matrix 0,dU:6,dL:6,vCount:194; Terminating: dU:6 &lt;= dL:6,vCount:194; Terminating: t:4 &gt; tMax:3,vCount:0</t>
  </si>
  <si>
    <t>1-even code; Constructing information sets: Block structure [11 11  8]; Generating combinations of t=1 rows; Found w:8; Completed matrix 0,dU:8,dL:2,vCount:11; Completed matrix 1,dU:8,dL:4,vCount:22; Completed matrix 2,dU:8,dL:4,vCount:33; tMax:3; Discarding 1 non-contributing matrix, new block structure [11 11]; Generating combinations of t=2 rows; Completed matrix 0,dU:8,dL:6,vCount:88; Completed matrix 1,dU:8,dL:6,vCount:143; tMax:4; Generating combinations of t=3 rows; Completed matrix 0,dU:8,dL:8,vCount:307; Terminating: dU:8 &lt;= dL:8,vCount:307; Generating combinations of t=4 rows; Completed matrix 0,dU:8,dL:8,vCount:636; Terminating: dU:8 &lt;= dL:8,vCount:636; Terminating: t:5 &gt; tMax:4,vCount:0</t>
  </si>
  <si>
    <t>1-even code; Constructing information sets: Block structure [12 12  9]; Generating combinations of t=1 rows; Found w:10; Completed matrix 0,dU:10,dL:2,vCount:12; Completed matrix 1,dU:10,dL:4,vCount:24; Completed matrix 2,dU:10,dL:4,vCount:36; tMax:4; Generating combinations of t=2 rows; Completed matrix 0,dU:10,dL:6,vCount:102; Completed matrix 1,dU:10,dL:6,vCount:168; Completed matrix 2,dU:10,dL:6,vCount:234; Generating combinations of t=3 rows; Completed matrix 0,dU:10,dL:8,vCount:453; Completed matrix 1,dU:10,dL:8,vCount:672; Completed matrix 2,dU:10,dL:10,vCount:891; Terminating: dU:10 &lt;= dL:10,vCount:891; Generating combinations of t=4 rows; Completed matrix 0,dU:10,dL:10,vCount:1385; Terminating: dU:10 &lt;= dL:10,vCount:1385; Terminating: t:5 &gt; tMax:4,vCount:0</t>
  </si>
  <si>
    <t>1-even code; Constructing information sets: Block structure [18 15  3]; Generating combinations of t=1 rows; Found w:6; Completed matrix 0,dU:6,dL:2,vCount:18; Completed matrix 1,dU:6,dL:2,vCount:36; Completed matrix 2,dU:6,dL:2,vCount:54; tMax:4; Discarding 1 non-contributing matrix, new block structure [18 15]; Generating combinations of t=2 rows; Completed matrix 0,dU:6,dL:4,vCount:207; Completed matrix 1,dU:6,dL:4,vCount:360; Generating combinations of t=3 rows; Completed matrix 0,dU:6,dL:4,vCount:1175; Completed matrix 1,dU:6,dL:6,vCount:1990; Terminating: dU:6 &lt;= dL:6,vCount:1990; Generating combinations of t=4 rows; Completed matrix 0,dU:6,dL:6,vCount:5049; Terminating: dU:6 &lt;= dL:6,vCount:5049; Terminating: t:5 &gt; tMax:4,vCount:0</t>
  </si>
  <si>
    <t>1-even code; Constructing information sets: Block structure [19 19]; Generating combinations of t=1 rows; Found w:6; Completed matrix 0,dU:6,dL:2,vCount:19; Completed matrix 1,dU:6,dL:4,vCount:38; tMax:3; Generating combinations of t=2 rows; Completed matrix 0,dU:6,dL:6,vCount:209; Terminating: dU:6 &lt;= dL:6,vCount:209; Generating combinations of t=3 rows; Completed matrix 0,dU:6,dL:6,vCount:1177; Terminating: dU:6 &lt;= dL:6,vCount:1177; Terminating: t:4 &gt; tMax:3,vCount:0</t>
  </si>
  <si>
    <t>1-even code; Constructing information sets: Block structure [16 16 10]; Generating combinations of t=1 rows; Found w:10; Completed matrix 0,dU:10,dL:2,vCount:16; Completed matrix 1,dU:10,dL:4,vCount:32; Completed matrix 2,dU:10,dL:4,vCount:48; tMax:5; Discarding 1 non-contributing matrix, new block structure [16 16]; Generating combinations of t=2 rows; Completed matrix 0,dU:10,dL:6,vCount:168; Completed matrix 1,dU:10,dL:6,vCount:288; Generating combinations of t=3 rows; Completed matrix 0,dU:10,dL:8,vCount:847; Completed matrix 1,dU:10,dL:8,vCount:1406; Generating combinations of t=4 rows; Completed matrix 0,dU:10,dL:10,vCount:3225; Terminating: dU:10 &lt;= dL:10,vCount:3225; Generating combinations of t=5 rows; Completed matrix 0,dU:10,dL:10,vCount:7592; Terminating: dU:10 &lt;= dL:10,vCount:7592; Terminating: t:6 &gt; tMax:5,vCount:0</t>
  </si>
  <si>
    <t>1-even code; Constructing information sets: Block structure [17 17 10]; Generating combinations of t=1 rows; Found w:10; Completed matrix 0,dU:10,dL:2,vCount:17; Completed matrix 1,dU:10,dL:4,vCount:34; Completed matrix 2,dU:10,dL:4,vCount:51; tMax:5; Discarding 1 non-contributing matrix, new block structure [17 17]; Generating combinations of t=2 rows; Completed matrix 0,dU:10,dL:6,vCount:187; Completed matrix 1,dU:10,dL:6,vCount:323; Generating combinations of t=3 rows; Completed matrix 0,dU:10,dL:8,vCount:1002; Completed matrix 1,dU:10,dL:8,vCount:1681; Generating combinations of t=4 rows; Completed matrix 0,dU:10,dL:10,vCount:4060; Terminating: dU:10 &lt;= dL:10,vCount:4060; Generating combinations of t=5 rows; Completed matrix 0,dU:10,dL:10,vCount:10247; Terminating: dU:10 &lt;= dL:10,vCount:10247; Terminating: t:6 &gt; tMax:5,vCount:0</t>
  </si>
  <si>
    <t>1-even code; Constructing information sets: Block structure [17 17 14]; Generating combinations of t=1 rows; Found w:14; Completed matrix 0,dU:14,dL:2,vCount:17; Found w:12; Completed matrix 1,dU:12,dL:4,vCount:34; Completed matrix 2,dU:12,dL:4,vCount:51; tMax:5; Generating combinations of t=2 rows; Completed matrix 0,dU:12,dL:6,vCount:187; Completed matrix 1,dU:12,dL:6,vCount:323; Completed matrix 2,dU:12,dL:6,vCount:459; Generating combinations of t=3 rows; Completed matrix 0,dU:12,dL:8,vCount:1138; Completed matrix 1,dU:12,dL:8,vCount:1817; Completed matrix 2,dU:12,dL:10,vCount:2496; Generating combinations of t=4 rows; Completed matrix 0,dU:12,dL:10,vCount:4875; Completed matrix 1,dU:12,dL:12,vCount:7254; Terminating: dU:12 &lt;= dL:12,vCount:7254; Generating combinations of t=5 rows; Completed matrix 0,dU:12,dL:12,vCount:13441; Terminating: dU:12 &lt;= dL:12,vCount:13441; Terminating: t:6 &gt; tMax:5,vCount:0</t>
  </si>
  <si>
    <t>1-even code; Constructing information sets: Block structure [20 20  9]; Generating combinations of t=1 rows; Found w:10; Completed matrix 0,dU:10,dL:2,vCount:20; Completed matrix 1,dU:10,dL:4,vCount:40; Completed matrix 2,dU:10,dL:4,vCount:60; tMax:5; Discarding 1 non-contributing matrix, new block structure [20 20]; Generating combinations of t=2 rows; Completed matrix 0,dU:10,dL:6,vCount:250; Completed matrix 1,dU:10,dL:6,vCount:440; Generating combinations of t=3 rows; Completed matrix 0,dU:10,dL:8,vCount:1579; Completed matrix 1,dU:10,dL:8,vCount:2718; Generating combinations of t=4 rows; Completed matrix 0,dU:10,dL:10,vCount:7562; Terminating: dU:10 &lt;= dL:10,vCount:7562; Generating combinations of t=5 rows; Completed matrix 0,dU:10,dL:10,vCount:23065; Terminating: dU:10 &lt;= dL:10,vCount:23065; Terminating: t:6 &gt; tMax:5,vCount:0</t>
  </si>
  <si>
    <t>1-even code; Constructing information sets: Block structure [23 23  8]; Generating combinations of t=1 rows; Found w:10; Completed matrix 0,dU:10,dL:2,vCount:23; Completed matrix 1,dU:10,dL:4,vCount:46; Completed matrix 2,dU:10,dL:4,vCount:69; tMax:5; Discarding 1 non-contributing matrix, new block structure [23 23]; Generating combinations of t=2 rows; Completed matrix 0,dU:10,dL:6,vCount:322; Completed matrix 1,dU:10,dL:6,vCount:575; Generating combinations of t=3 rows; Completed matrix 0,dU:10,dL:8,vCount:2345; Completed matrix 1,dU:10,dL:8,vCount:4115; Generating combinations of t=4 rows; Completed matrix 0,dU:10,dL:10,vCount:12969; Terminating: dU:10 &lt;= dL:10,vCount:12969; Generating combinations of t=5 rows; Completed matrix 0,dU:10,dL:10,vCount:46617; Terminating: dU:10 &lt;= dL:10,vCount:46617; Terminating: t:6 &gt; tMax:5,vCount:0</t>
  </si>
  <si>
    <t>1-even code; Constructing information sets: Block structure [24 24  8]; Generating combinations of t=1 rows; Found w:10; Completed matrix 0,dU:10,dL:2,vCount:24; Completed matrix 1,dU:10,dL:4,vCount:48; Completed matrix 2,dU:10,dL:4,vCount:72; tMax:5; Discarding 1 non-contributing matrix, new block structure [24 24]; Generating combinations of t=2 rows; Completed matrix 0,dU:10,dL:6,vCount:348; Completed matrix 1,dU:10,dL:6,vCount:624; Generating combinations of t=3 rows; Completed matrix 0,dU:10,dL:8,vCount:2647; Completed matrix 1,dU:10,dL:8,vCount:4670; Generating combinations of t=4 rows; Completed matrix 0,dU:10,dL:10,vCount:15295; Terminating: dU:10 &lt;= dL:10,vCount:15295; Generating combinations of t=5 rows; Completed matrix 0,dU:10,dL:10,vCount:57798; Terminating: dU:10 &lt;= dL:10,vCount:57798; Terminating: t:6 &gt; tMax:5,vCount:0</t>
  </si>
  <si>
    <t>1-even code; Constructing information sets: Block structure [23 23 14]; Generating combinations of t=1 rows; Found w:14; Completed matrix 0,dU:14,dL:2,vCount:23; Completed matrix 1,dU:14,dL:4,vCount:46; Completed matrix 2,dU:14,dL:4,vCount:69; tMax:7; Discarding 1 non-contributing matrix, new block structure [23 23]; Generating combinations of t=2 rows; Found w:12; Completed matrix 0,dU:12,dL:6,vCount:322; Completed matrix 1,dU:12,dL:6,vCount:575; tMax:6; Generating combinations of t=3 rows; Completed matrix 0,dU:12,dL:8,vCount:2345; Completed matrix 1,dU:12,dL:8,vCount:4115; Generating combinations of t=4 rows; Completed matrix 0,dU:12,dL:10,vCount:12969; Completed matrix 1,dU:12,dL:10,vCount:21823; Generating combinations of t=5 rows; Completed matrix 0,dU:12,dL:12,vCount:55471; Terminating: dU:12 &lt;= dL:12,vCount:55471; Generating combinations of t=6 rows; Completed matrix 0,dU:12,dL:12,vCount:156417; Terminating: dU:12 &lt;= dL:12,vCount:156417; Terminating: t:7 &gt; tMax:6,vCount:0</t>
  </si>
  <si>
    <t>1-even code; Constructing information sets: Block structure [24 24 14]; Generating combinations of t=1 rows; Found w:14; Completed matrix 0,dU:14,dL:2,vCount:24; Completed matrix 1,dU:14,dL:4,vCount:48; Completed matrix 2,dU:14,dL:4,vCount:72; tMax:7; Discarding 1 non-contributing matrix, new block structure [24 24]; Generating combinations of t=2 rows; Found w:12; Completed matrix 0,dU:12,dL:6,vCount:348; Completed matrix 1,dU:12,dL:6,vCount:624; tMax:6; Generating combinations of t=3 rows; Completed matrix 0,dU:12,dL:8,vCount:2647; Completed matrix 1,dU:12,dL:8,vCount:4670; Generating combinations of t=4 rows; Completed matrix 0,dU:12,dL:10,vCount:15295; Completed matrix 1,dU:12,dL:10,vCount:25920; Generating combinations of t=5 rows; Completed matrix 0,dU:12,dL:12,vCount:68423; Terminating: dU:12 &lt;= dL:12,vCount:68423; Generating combinations of t=6 rows; Completed matrix 0,dU:12,dL:12,vCount:203018; Terminating: dU:12 &lt;= dL:12,vCount:203018; Terminating: t:7 &gt; tMax:6,vCount:0</t>
  </si>
  <si>
    <t>1-even code; Constructing information sets: Block structure [29 29  7]; Generating combinations of t=1 rows; Found w:10; Completed matrix 0,dU:10,dL:2,vCount:29; Completed matrix 1,dU:10,dL:4,vCount:58; Completed matrix 2,dU:10,dL:4,vCount:87; tMax:5; Discarding 1 non-contributing matrix, new block structure [29 29]; Generating combinations of t=2 rows; Completed matrix 0,dU:10,dL:6,vCount:493; Completed matrix 1,dU:10,dL:6,vCount:899; Generating combinations of t=3 rows; Completed matrix 0,dU:10,dL:8,vCount:4552; Completed matrix 1,dU:10,dL:8,vCount:8205; Generating combinations of t=4 rows; Completed matrix 0,dU:10,dL:10,vCount:31955; Terminating: dU:10 &lt;= dL:10,vCount:31955; Generating combinations of t=5 rows; Completed matrix 0,dU:10,dL:10,vCount:150709; Terminating: dU:10 &lt;= dL:10,vCount:150709; Terminating: t:6 &gt; tMax:5,vCount:0</t>
  </si>
  <si>
    <t>1-even code; Constructing information sets: Block structure [25 25 19]; Generating combinations of t=1 rows; Found w:14; Completed matrix 0,dU:14,dL:2,vCount:25; Completed matrix 1,dU:14,dL:4,vCount:50; Completed matrix 2,dU:14,dL:4,vCount:75; tMax:6; Discarding 1 non-contributing matrix, new block structure [25 25]; Generating combinations of t=2 rows; Completed matrix 0,dU:14,dL:6,vCount:375; Completed matrix 1,dU:14,dL:6,vCount:675; tMax:7; Generating combinations of t=3 rows; Completed matrix 0,dU:14,dL:8,vCount:2974; Completed matrix 1,dU:14,dL:8,vCount:5273; Generating combinations of t=4 rows; Completed matrix 0,dU:14,dL:10,vCount:17922; Completed matrix 1,dU:14,dL:10,vCount:30571; Generating combinations of t=5 rows; Completed matrix 0,dU:14,dL:12,vCount:83700; Completed matrix 1,dU:14,dL:12,vCount:136829; Generating combinations of t=6 rows; Completed matrix 0,dU:14,dL:14,vCount:313928; Terminating: dU:14 &lt;= dL:14,vCount:313928; Generating combinations of t=7 rows; Completed matrix 0,dU:14,dL:14,vCount:794627; Terminating: dU:14 &lt;= dL:14,vCount:794627; Terminating: t:8 &gt; tMax:7,vCount:0</t>
  </si>
  <si>
    <t>1-even code; Constructing information sets: Block structure [32 32  8]; Generating combinations of t=1 rows; Found w:12; Completed matrix 0,dU:12,dL:2,vCount:32; Found w:10; Completed matrix 1,dU:10,dL:4,vCount:64; Completed matrix 2,dU:10,dL:4,vCount:96; tMax:5; Discarding 1 non-contributing matrix, new block structure [32 32]; Generating combinations of t=2 rows; Completed matrix 0,dU:10,dL:6,vCount:592; Completed matrix 1,dU:10,dL:6,vCount:1088; Generating combinations of t=3 rows; Completed matrix 0,dU:10,dL:8,vCount:6047; Completed matrix 1,dU:10,dL:8,vCount:11006; Generating combinations of t=4 rows; Completed matrix 0,dU:10,dL:10,vCount:46965; Terminating: dU:10 &lt;= dL:10,vCount:46965; Generating combinations of t=5 rows; Completed matrix 0,dU:10,dL:10,vCount:248340; Terminating: dU:10 &lt;= dL:10,vCount:248340; Terminating: t:6 &gt; tMax:5,vCount:0</t>
  </si>
  <si>
    <t>1-even code; Constructing information sets: Block structure [33 33  8]; Generating combinations of t=1 rows; Found w:12; Completed matrix 0,dU:12,dL:2,vCount:33; Found w:10; Completed matrix 1,dU:10,dL:4,vCount:66; Completed matrix 2,dU:10,dL:4,vCount:99; tMax:5; Discarding 1 non-contributing matrix, new block structure [33 33]; Generating combinations of t=2 rows; Completed matrix 0,dU:10,dL:6,vCount:627; Completed matrix 1,dU:10,dL:6,vCount:1155; Generating combinations of t=3 rows; Completed matrix 0,dU:10,dL:8,vCount:6610; Completed matrix 1,dU:10,dL:8,vCount:12065; Generating combinations of t=4 rows; Completed matrix 0,dU:10,dL:10,vCount:52984; Terminating: dU:10 &lt;= dL:10,vCount:52984; Generating combinations of t=5 rows; Completed matrix 0,dU:10,dL:10,vCount:290319; Terminating: dU:10 &lt;= dL:10,vCount:290319; Terminating: t:6 &gt; tMax:5,vCount:0</t>
  </si>
  <si>
    <t>1-even code; Constructing information sets: Block structure [32 32 12]; Generating combinations of t=1 rows; Found w:14; Completed matrix 0,dU:14,dL:2,vCount:32; Found w:12; Completed matrix 1,dU:12,dL:4,vCount:64; Completed matrix 2,dU:12,dL:4,vCount:96; tMax:6; Discarding 1 non-contributing matrix, new block structure [32 32]; Generating combinations of t=2 rows; Completed matrix 0,dU:12,dL:6,vCount:592; Completed matrix 1,dU:12,dL:6,vCount:1088; Generating combinations of t=3 rows; Completed matrix 0,dU:12,dL:8,vCount:6047; Completed matrix 1,dU:12,dL:8,vCount:11006; Generating combinations of t=4 rows; Completed matrix 0,dU:12,dL:10,vCount:46965; Completed matrix 1,dU:12,dL:10,vCount:82924; Generating combinations of t=5 rows; Completed matrix 0,dU:12,dL:12,vCount:284299; Terminating: dU:12 &lt;= dL:12,vCount:284299; Generating combinations of t=6 rows; Completed matrix 0,dU:12,dL:12,vCount:1190490; Terminating: dU:12 &lt;= dL:12,vCount:1190490; Terminating: t:7 &gt; tMax:6,vCount:0</t>
  </si>
  <si>
    <t>1-even code; Constructing information sets: Block structure [33 33 12]; Generating combinations of t=1 rows; Found w:14; Completed matrix 0,dU:14,dL:2,vCount:33; Found w:12; Completed matrix 1,dU:12,dL:4,vCount:66; Completed matrix 2,dU:12,dL:4,vCount:99; tMax:6; Discarding 1 non-contributing matrix, new block structure [33 33]; Generating combinations of t=2 rows; Completed matrix 0,dU:12,dL:6,vCount:627; Completed matrix 1,dU:12,dL:6,vCount:1155; Generating combinations of t=3 rows; Completed matrix 0,dU:12,dL:8,vCount:6610; Completed matrix 1,dU:12,dL:8,vCount:12065; Generating combinations of t=4 rows; Completed matrix 0,dU:12,dL:10,vCount:52984; Completed matrix 1,dU:12,dL:10,vCount:93903; Generating combinations of t=5 rows; Completed matrix 0,dU:12,dL:12,vCount:331238; Terminating: dU:12 &lt;= dL:12,vCount:331238; Generating combinations of t=6 rows; Completed matrix 0,dU:12,dL:12,vCount:1438805; Terminating: dU:12 &lt;= dL:12,vCount:1438805; Terminating: t:7 &gt; tMax:6,vCount:0</t>
  </si>
  <si>
    <t>1-even code; Constructing information sets: Block structure [34 34 12]; Generating combinations of t=1 rows; Found w:14; Completed matrix 0,dU:14,dL:2,vCount:34; Found w:12; Completed matrix 1,dU:12,dL:4,vCount:68; Completed matrix 2,dU:12,dL:4,vCount:102; tMax:6; Discarding 1 non-contributing matrix, new block structure [34 34]; Generating combinations of t=2 rows; Completed matrix 0,dU:12,dL:6,vCount:663; Completed matrix 1,dU:12,dL:6,vCount:1224; Generating combinations of t=3 rows; Completed matrix 0,dU:12,dL:8,vCount:7207; Completed matrix 1,dU:12,dL:8,vCount:13190; Generating combinations of t=4 rows; Completed matrix 0,dU:12,dL:10,vCount:59565; Completed matrix 1,dU:12,dL:10,vCount:105940; Generating combinations of t=5 rows; Completed matrix 0,dU:12,dL:12,vCount:384195; Terminating: dU:12 &lt;= dL:12,vCount:384195; Generating combinations of t=6 rows; Completed matrix 0,dU:12,dL:12,vCount:1729098; Terminating: dU:12 &lt;= dL:12,vCount:1729098; Terminating: t:7 &gt; tMax:6,vCount:0</t>
  </si>
  <si>
    <t>1-even code; Constructing information sets: Block structure [35 35 17]; Generating combinations of t=1 rows; Found w:16; Completed matrix 0,dU:16,dL:2,vCount:35; Completed matrix 1,dU:16,dL:4,vCount:70; Found w:14; Completed matrix 2,dU:14,dL:4,vCount:105; tMax:7; Discarding 1 non-contributing matrix, new block structure [35 35]; Generating combinations of t=2 rows; Completed matrix 0,dU:14,dL:6,vCount:700; Completed matrix 1,dU:14,dL:6,vCount:1295; Generating combinations of t=3 rows; Completed matrix 0,dU:14,dL:8,vCount:7839; Completed matrix 1,dU:14,dL:8,vCount:14383; Generating combinations of t=4 rows; Completed matrix 0,dU:14,dL:10,vCount:66742; Completed matrix 1,dU:14,dL:10,vCount:119101; Generating combinations of t=5 rows; Completed matrix 0,dU:14,dL:12,vCount:443732; Completed matrix 1,dU:14,dL:12,vCount:768363; Generating combinations of t=6 rows; Completed matrix 0,dU:14,dL:14,vCount:2391522; Terminating: dU:14 &lt;= dL:14,vCount:2391522; Generating combinations of t=7 rows; Completed matrix 0,dU:14,dL:14,vCount:9116041; Terminating: dU:14 &lt;= dL:14,vCount:9116041; Terminating: t:8 &gt; tMax:7,vCount:0</t>
  </si>
  <si>
    <t>1-even code; Constructing information sets: Block structure [39 39 12]; Generating combinations of t=1 rows; Found w:14; Completed matrix 0,dU:14,dL:2,vCount:39; Found w:12; Completed matrix 1,dU:12,dL:4,vCount:78; Completed matrix 2,dU:12,dL:4,vCount:117; tMax:6; Discarding 1 non-contributing matrix, new block structure [39 39]; Generating combinations of t=2 rows; Completed matrix 0,dU:12,dL:6,vCount:858; Completed matrix 1,dU:12,dL:6,vCount:1599; Generating combinations of t=3 rows; Completed matrix 0,dU:12,dL:8,vCount:10737; Completed matrix 1,dU:12,dL:8,vCount:19875; Generating combinations of t=4 rows; Completed matrix 0,dU:12,dL:10,vCount:102125; Completed matrix 1,dU:12,dL:10,vCount:184375; Generating combinations of t=5 rows; Completed matrix 0,dU:12,dL:12,vCount:760131; Terminating: dU:12 &lt;= dL:12,vCount:760131; Generating combinations of t=6 rows; Completed matrix 0,dU:12,dL:12,vCount:4022753; Terminating: dU:12 &lt;= dL:12,vCount:4022753; Terminating: t:7 &gt; tMax:6,vCount:0</t>
  </si>
  <si>
    <t>1-even code; Constructing information sets: Block structure [40 40 12]; Generating combinations of t=1 rows; Found w:14; Completed matrix 0,dU:14,dL:2,vCount:40; Found w:12; Completed matrix 1,dU:12,dL:4,vCount:80; Completed matrix 2,dU:12,dL:4,vCount:120; tMax:6; Discarding 1 non-contributing matrix, new block structure [40 40]; Generating combinations of t=2 rows; Completed matrix 0,dU:12,dL:6,vCount:900; Completed matrix 1,dU:12,dL:6,vCount:1680; Generating combinations of t=3 rows; Completed matrix 0,dU:12,dL:8,vCount:11559; Completed matrix 1,dU:12,dL:8,vCount:21438; Generating combinations of t=4 rows; Completed matrix 0,dU:12,dL:10,vCount:112827; Completed matrix 1,dU:12,dL:10,vCount:204216; Generating combinations of t=5 rows; Completed matrix 0,dU:12,dL:12,vCount:862223; Terminating: dU:12 &lt;= dL:12,vCount:862223; Generating combinations of t=6 rows; Completed matrix 0,dU:12,dL:12,vCount:4700602; Terminating: dU:12 &lt;= dL:12,vCount:4700602; Terminating: t:7 &gt; tMax:6,vCount:0</t>
  </si>
  <si>
    <t>1-even code; Constructing information sets: Block structure [37 37 21]; Generating combinations of t=1 rows; Found w:18; Completed matrix 0,dU:18,dL:2,vCount:37; Completed matrix 1,dU:18,dL:4,vCount:74; Completed matrix 2,dU:18,dL:4,vCount:111; tMax:9; Discarding 1 non-contributing matrix, new block structure [37 37]; Generating combinations of t=2 rows; Completed matrix 0,dU:18,dL:6,vCount:777; Completed matrix 1,dU:18,dL:6,vCount:1443; Generating combinations of t=3 rows; Found w:16; Completed matrix 0,dU:16,dL:8,vCount:9212; Completed matrix 1,dU:16,dL:8,vCount:16981; tMax:8; Generating combinations of t=4 rows; Completed matrix 0,dU:16,dL:10,vCount:83025; Completed matrix 1,dU:16,dL:10,vCount:149069; Generating combinations of t=5 rows; Completed matrix 0,dU:16,dL:12,vCount:584965; Completed matrix 1,dU:16,dL:12,vCount:1020861; Generating combinations of t=6 rows; Completed matrix 0,dU:16,dL:14,vCount:3345644; Completed matrix 1,dU:16,dL:14,vCount:5670427; Generating combinations of t=7 rows; Completed matrix 0,dU:16,dL:16,vCount:15965898; Terminating: dU:16 &lt;= dL:16,vCount:15965898; Generating combinations of t=8 rows; Completed matrix 0,dU:16,dL:16,vCount:54573917; Terminating: dU:16 &lt;= dL:16,vCount:54573917; Terminating: t:9 &gt; tMax:8,vCount:0</t>
  </si>
  <si>
    <t>1-even code; Constructing information sets: Block structure [40 40 19]; Generating combinations of t=1 rows; Found w:16; Completed matrix 0,dU:16,dL:2,vCount:40; Completed matrix 1,dU:16,dL:4,vCount:80; Completed matrix 2,dU:16,dL:4,vCount:120; tMax:8; Discarding 1 non-contributing matrix, new block structure [40 40]; Generating combinations of t=2 rows; Completed matrix 0,dU:16,dL:6,vCount:900; Completed matrix 1,dU:16,dL:6,vCount:1680; Generating combinations of t=3 rows; Completed matrix 0,dU:16,dL:8,vCount:11559; Completed matrix 1,dU:16,dL:8,vCount:21438; Generating combinations of t=4 rows; Completed matrix 0,dU:16,dL:10,vCount:112827; Completed matrix 1,dU:16,dL:10,vCount:204216; Generating combinations of t=5 rows; Completed matrix 0,dU:16,dL:12,vCount:862223; Completed matrix 1,dU:16,dL:12,vCount:1520230; Generating combinations of t=6 rows; Completed matrix 0,dU:16,dL:14,vCount:5358609; Completed matrix 1,dU:16,dL:14,vCount:9196988; Generating combinations of t=7 rows; Completed matrix 0,dU:16,dL:16,vCount:27840547; Terminating: dU:16 &lt;= dL:16,vCount:27840547; Generating combinations of t=8 rows; Completed matrix 0,dU:16,dL:16,vCount:104745231; Terminating: dU:16 &lt;= dL:16,vCount:104745231; Terminating: t:9 &gt; tMax:8,vCount:0</t>
  </si>
  <si>
    <t>1-even code; Constructing information sets: Block structure [51 46  5]; Generating combinations of t=1 rows; Found w:10; Completed matrix 0,dU:10,dL:2,vCount:51; Completed matrix 1,dU:10,dL:2,vCount:102; Completed matrix 2,dU:10,dL:2,vCount:153; tMax:7; Discarding 1 non-contributing matrix, new block structure [51 46]; Generating combinations of t=2 rows; Completed matrix 0,dU:10,dL:4,vCount:1428; Completed matrix 1,dU:10,dL:4,vCount:2703; Generating combinations of t=3 rows; Completed matrix 0,dU:10,dL:4,vCount:23527; Completed matrix 1,dU:10,dL:4,vCount:44351; Generating combinations of t=4 rows; Completed matrix 0,dU:10,dL:6,vCount:294250; Completed matrix 1,dU:10,dL:6,vCount:544149; Generating combinations of t=5 rows; Completed matrix 0,dU:10,dL:6,vCount:2893208; Completed matrix 1,dU:10,dL:8,vCount:5242267; Generating combinations of t=6 rows; Completed matrix 0,dU:10,dL:8,vCount:23251726; Completed matrix 1,dU:10,dL:10,vCount:41261185; Terminating: dU:10 &lt;= dL:10,vCount:41261185; Generating combinations of t=7 rows; Completed matrix 0,dU:10,dL:10,vCount:157036284; Terminating: dU:10 &lt;= dL:10,vCount:157036284; Terminating: t:8 &gt; tMax:7,vCount:0</t>
  </si>
  <si>
    <t>1-even code; Constructing information sets: Block structure [39 39 27]; Generating combinations of t=1 rows; Found w:18; Completed matrix 0,dU:18,dL:2,vCount:39; Completed matrix 1,dU:18,dL:4,vCount:78; Completed matrix 2,dU:18,dL:4,vCount:117; tMax:9; Discarding 1 non-contributing matrix, new block structure [39 39]; Generating combinations of t=2 rows; Completed matrix 0,dU:18,dL:6,vCount:858; Completed matrix 1,dU:18,dL:6,vCount:1599; Generating combinations of t=3 rows; Completed matrix 0,dU:18,dL:8,vCount:10737; Completed matrix 1,dU:18,dL:8,vCount:19875; Generating combinations of t=4 rows; Completed matrix 0,dU:18,dL:10,vCount:102125; Completed matrix 1,dU:18,dL:10,vCount:184375; Generating combinations of t=5 rows; Completed matrix 0,dU:18,dL:12,vCount:760131; Completed matrix 1,dU:18,dL:12,vCount:1335887; Generating combinations of t=6 rows; Completed matrix 0,dU:18,dL:14,vCount:4598509; Completed matrix 1,dU:18,dL:14,vCount:7861131; Generating combinations of t=7 rows; Completed matrix 0,dU:18,dL:16,vCount:23242067; Completed matrix 1,dU:18,dL:16,vCount:38623003; Generating combinations of t=8 rows; Completed matrix 0,dU:18,dL:18,vCount:100146750; Terminating: dU:18 &lt;= dL:18,vCount:100146750; Generating combinations of t=9 rows; Completed matrix 0,dU:18,dL:18,vCount:312061881; Terminating: dU:18 &lt;= dL:18,vCount:312061881; Terminating: t:10 &gt; tMax:9,vCount:0</t>
  </si>
  <si>
    <t>1-even code; Constructing information sets: Block structure [40 40 27]; Generating combinations of t=1 rows; Found w:18; Completed matrix 0,dU:18,dL:2,vCount:40; Completed matrix 1,dU:18,dL:4,vCount:80; Completed matrix 2,dU:18,dL:4,vCount:120; tMax:9; Discarding 1 non-contributing matrix, new block structure [40 40]; Generating combinations of t=2 rows; Completed matrix 0,dU:18,dL:6,vCount:900; Completed matrix 1,dU:18,dL:6,vCount:1680; Generating combinations of t=3 rows; Completed matrix 0,dU:18,dL:8,vCount:11559; Completed matrix 1,dU:18,dL:8,vCount:21438; Generating combinations of t=4 rows; Completed matrix 0,dU:18,dL:10,vCount:112827; Completed matrix 1,dU:18,dL:10,vCount:204216; Generating combinations of t=5 rows; Completed matrix 0,dU:18,dL:12,vCount:862223; Completed matrix 1,dU:18,dL:12,vCount:1520230; Generating combinations of t=6 rows; Completed matrix 0,dU:18,dL:14,vCount:5358609; Completed matrix 1,dU:18,dL:14,vCount:9196988; Generating combinations of t=7 rows; Completed matrix 0,dU:18,dL:16,vCount:27840547; Completed matrix 1,dU:18,dL:16,vCount:46484106; Generating combinations of t=8 rows; Completed matrix 0,dU:18,dL:18,vCount:123388790; Terminating: dU:18 &lt;= dL:18,vCount:123388790; Generating combinations of t=9 rows; Completed matrix 0,dU:18,dL:18,vCount:396827669; Terminating: dU:18 &lt;= dL:18,vCount:396827669; Terminating: t:10 &gt; tMax:9,vCount:0</t>
  </si>
  <si>
    <t>1-even code; Constructing information sets: Block structure [41 41 27]; Generating combinations of t=1 rows; Found w:18; Completed matrix 0,dU:18,dL:2,vCount:41; Completed matrix 1,dU:18,dL:4,vCount:82; Completed matrix 2,dU:18,dL:4,vCount:123; tMax:9; Discarding 1 non-contributing matrix, new block structure [41 41]; Generating combinations of t=2 rows; Completed matrix 0,dU:18,dL:6,vCount:943; Completed matrix 1,dU:18,dL:6,vCount:1763; Generating combinations of t=3 rows; Completed matrix 0,dU:18,dL:8,vCount:12422; Completed matrix 1,dU:18,dL:8,vCount:23081; Generating combinations of t=4 rows; Completed matrix 0,dU:18,dL:10,vCount:124350; Completed matrix 1,dU:18,dL:10,vCount:225619; Generating combinations of t=5 rows; Completed matrix 0,dU:18,dL:12,vCount:975016; Completed matrix 1,dU:18,dL:12,vCount:1724413; Generating combinations of t=6 rows; Completed matrix 0,dU:18,dL:14,vCount:6220800; Completed matrix 1,dU:18,dL:14,vCount:10717187; Generating combinations of t=7 rows; Completed matrix 0,dU:18,dL:16,vCount:33199126; Completed matrix 1,dU:18,dL:16,vCount:55681065; Generating combinations of t=8 rows; Completed matrix 0,dU:18,dL:18,vCount:151229309; Terminating: dU:18 &lt;= dL:18,vCount:151229309; Generating combinations of t=9 rows; Completed matrix 0,dU:18,dL:18,vCount:501572873; Terminating: dU:18 &lt;= dL:18,vCount:501572873; Terminating: t:10 &gt; tMax:9,vCount:0</t>
  </si>
  <si>
    <t>1-even code; Constructing information sets: Block structure [42 42 27]; Generating combinations of t=1 rows; Found w:18; Completed matrix 0,dU:18,dL:2,vCount:42; Completed matrix 1,dU:18,dL:4,vCount:84; Completed matrix 2,dU:18,dL:4,vCount:126; tMax:9; Discarding 1 non-contributing matrix, new block structure [42 42]; Generating combinations of t=2 rows; Completed matrix 0,dU:18,dL:6,vCount:987; Completed matrix 1,dU:18,dL:6,vCount:1848; Generating combinations of t=3 rows; Completed matrix 0,dU:18,dL:8,vCount:13327; Completed matrix 1,dU:18,dL:8,vCount:24806; Generating combinations of t=4 rows; Completed matrix 0,dU:18,dL:10,vCount:136735; Completed matrix 1,dU:18,dL:10,vCount:248664; Generating combinations of t=5 rows; Completed matrix 0,dU:18,dL:12,vCount:1099331; Completed matrix 1,dU:18,dL:12,vCount:1949998; Generating combinations of t=6 rows; Completed matrix 0,dU:18,dL:14,vCount:7195783; Completed matrix 1,dU:18,dL:14,vCount:12441568; Generating combinations of t=7 rows; Completed matrix 0,dU:18,dL:16,vCount:39419895; Completed matrix 1,dU:18,dL:16,vCount:66398222; Generating combinations of t=8 rows; Completed matrix 0,dU:18,dL:18,vCount:184428406; Terminating: dU:18 &lt;= dL:18,vCount:184428406; Generating combinations of t=9 rows; Completed matrix 0,dU:18,dL:18,vCount:630320215; Terminating: dU:18 &lt;= dL:18,vCount:630320215; Terminating: t:10 &gt; tMax:9,vCount:0</t>
  </si>
  <si>
    <t>1-even code; Constructing information sets: Block structure [43 43 31]; Generating combinations of t=1 rows; Found w:18; Completed matrix 0,dU:18,dL:2,vCount:43; Completed matrix 1,dU:18,dL:4,vCount:86; Completed matrix 2,dU:18,dL:4,vCount:129; tMax:9; Discarding 1 non-contributing matrix, new block structure [43 43]; Generating combinations of t=2 rows; Completed matrix 0,dU:18,dL:6,vCount:1032; Completed matrix 1,dU:18,dL:6,vCount:1935; Generating combinations of t=3 rows; Completed matrix 0,dU:18,dL:8,vCount:14275; Completed matrix 1,dU:18,dL:8,vCount:26615; Generating combinations of t=4 rows; Completed matrix 0,dU:18,dL:10,vCount:150024; Completed matrix 1,dU:18,dL:10,vCount:273433; Generating combinations of t=5 rows; Completed matrix 0,dU:18,dL:12,vCount:1236030; Completed matrix 1,dU:18,dL:12,vCount:2198627; Generating combinations of t=6 rows; Completed matrix 0,dU:18,dL:14,vCount:8295080; Completed matrix 1,dU:18,dL:14,vCount:14391533; Generating combinations of t=7 rows; Completed matrix 0,dU:18,dL:16,vCount:46615646; Completed matrix 1,dU:18,dL:16,vCount:78839759; Generating combinations of t=8 rows; Completed matrix 0,dU:18,dL:18,vCount:223848271; Terminating: dU:18 &lt;= dL:18,vCount:223848271; Generating combinations of t=9 rows; Completed matrix 0,dU:18,dL:18,vCount:787770265; Terminating: dU:18 &lt;= dL:18,vCount:787770265; Terminating: t:10 &gt; tMax:9,vCount:0</t>
  </si>
  <si>
    <t>1-even code; Constructing information sets: Block structure [45 45 29]; Generating combinations of t=1 rows; Found w:18; Completed matrix 0,dU:18,dL:2,vCount:45; Completed matrix 1,dU:18,dL:4,vCount:90; Completed matrix 2,dU:18,dL:4,vCount:135; tMax:9; Discarding 1 non-contributing matrix, new block structure [45 45]; Generating combinations of t=2 rows; Completed matrix 0,dU:18,dL:6,vCount:1125; Completed matrix 1,dU:18,dL:6,vCount:2115; Generating combinations of t=3 rows; Completed matrix 0,dU:18,dL:8,vCount:16304; Completed matrix 1,dU:18,dL:8,vCount:30493; Generating combinations of t=4 rows; Completed matrix 0,dU:18,dL:10,vCount:179487; Completed matrix 1,dU:18,dL:10,vCount:328481; Generating combinations of t=5 rows; Completed matrix 0,dU:18,dL:12,vCount:1550239; Completed matrix 1,dU:18,dL:12,vCount:2771997; Generating combinations of t=6 rows; Completed matrix 0,dU:18,dL:14,vCount:10917056; Completed matrix 1,dU:18,dL:14,vCount:19062115; Generating combinations of t=7 rows; Completed matrix 0,dU:18,dL:16,vCount:64441734; Completed matrix 1,dU:18,dL:16,vCount:109821353; Generating combinations of t=8 rows; Completed matrix 0,dU:18,dL:18,vCount:325374547; Terminating: dU:18 &lt;= dL:18,vCount:325374547; Generating combinations of t=9 rows; Completed matrix 0,dU:18,dL:18,vCount:1211537681; Terminating: dU:18 &lt;= dL:18,vCount:1211537681; Terminating: t:10 &gt; tMax:9,vCount:0</t>
  </si>
  <si>
    <t>1-even code; Constructing information sets: Block structure [43 43 37]; Generating combinations of t=1 rows; Found w:26; Completed matrix 0,dU:26,dL:2,vCount:43; Completed matrix 1,dU:26,dL:4,vCount:86; Found w:22; Completed matrix 2,dU:22,dL:4,vCount:129; tMax:9; Generating combinations of t=2 rows; Completed matrix 0,dU:22,dL:6,vCount:1032; Completed matrix 1,dU:22,dL:6,vCount:1935; Completed matrix 2,dU:22,dL:6,vCount:2838; Generating combinations of t=3 rows; Completed matrix 0,dU:22,dL:8,vCount:15178; Completed matrix 1,dU:22,dL:8,vCount:27518; Completed matrix 2,dU:22,dL:8,vCount:39858; Generating combinations of t=4 rows; Completed matrix 0,dU:22,dL:10,vCount:163267; Completed matrix 1,dU:22,dL:10,vCount:286676; Completed matrix 2,dU:22,dL:10,vCount:410085; Generating combinations of t=5 rows; Completed matrix 0,dU:22,dL:12,vCount:1372682; Completed matrix 1,dU:22,dL:12,vCount:2335279; Completed matrix 2,dU:22,dL:12,vCount:3297876; Generating combinations of t=6 rows; Completed matrix 0,dU:22,dL:14,vCount:9394329; Completed matrix 1,dU:22,dL:14,vCount:15490782; Completed matrix 2,dU:22,dL:16,vCount:21587235; Generating combinations of t=7 rows; Completed matrix 0,dU:22,dL:16,vCount:53811348; Completed matrix 1,dU:22,dL:18,vCount:86035461; Completed matrix 2,dU:22,dL:18,vCount:118259574; Generating combinations of t=8 rows; Completed matrix 0,dU:22,dL:20,vCount:263268086; Completed matrix 1,dU:22,dL:20,vCount:408276598; Completed matrix 2,dU:22,dL:22,vCount:553285110; Terminating: dU:22 &lt;= dL:22,vCount:553285110; Generating combinations of t=9 rows; Completed matrix 0,dU:22,dL:22,vCount:1117207104; Terminating: dU:22 &lt;= dL:22,vCount:1117207104; Terminating: t:10 &gt; tMax:9,vCount:0</t>
  </si>
  <si>
    <t>1-even code; Constructing information sets: Block structure [47 47 32]; Generating combinations of t=1 rows; Found w:18; Completed matrix 0,dU:18,dL:2,vCount:47; Completed matrix 1,dU:18,dL:4,vCount:94; Completed matrix 2,dU:18,dL:4,vCount:141; tMax:9; Discarding 1 non-contributing matrix, new block structure [47 47]; Generating combinations of t=2 rows; Completed matrix 0,dU:18,dL:6,vCount:1222; Completed matrix 1,dU:18,dL:6,vCount:2303; Generating combinations of t=3 rows; Completed matrix 0,dU:18,dL:8,vCount:18517; Completed matrix 1,dU:18,dL:8,vCount:34731; Generating combinations of t=4 rows; Completed matrix 0,dU:18,dL:10,vCount:213095; Completed matrix 1,dU:18,dL:10,vCount:391459; Generating combinations of t=5 rows; Completed matrix 0,dU:18,dL:12,vCount:1925397; Completed matrix 1,dU:18,dL:12,vCount:3459335; Generating combinations of t=6 rows; Completed matrix 0,dU:18,dL:14,vCount:14196907; Completed matrix 1,dU:18,dL:14,vCount:24934479; Generating combinations of t=7 rows; Completed matrix 0,dU:18,dL:16,vCount:87825977; Completed matrix 1,dU:18,dL:16,vCount:150717475; Generating combinations of t=8 rows; Completed matrix 0,dU:18,dL:18,vCount:465174969; Terminating: dU:18 &lt;= dL:18,vCount:465174969; Generating combinations of t=9 rows; Completed matrix 0,dU:18,dL:18,vCount:1827824113; Terminating: dU:18 &lt;= dL:18,vCount:1827824113; Terminating: t:10 &gt; tMax:9,vCount:0</t>
  </si>
  <si>
    <t>1-even code; Constructing information sets: Block structure [49 49 30]; Generating combinations of t=1 rows; Found w:18; Completed matrix 0,dU:18,dL:2,vCount:49; Completed matrix 1,dU:18,dL:4,vCount:98; Completed matrix 2,dU:18,dL:4,vCount:147; tMax:9; Discarding 1 non-contributing matrix, new block structure [49 49]; Generating combinations of t=2 rows; Completed matrix 0,dU:18,dL:6,vCount:1323; Completed matrix 1,dU:18,dL:6,vCount:2499; Generating combinations of t=3 rows; Completed matrix 0,dU:18,dL:8,vCount:20922; Completed matrix 1,dU:18,dL:8,vCount:39345; Generating combinations of t=4 rows; Completed matrix 0,dU:18,dL:10,vCount:251220; Completed matrix 1,dU:18,dL:10,vCount:463095; Generating combinations of t=5 rows; Completed matrix 0,dU:18,dL:12,vCount:2369978; Completed matrix 1,dU:18,dL:12,vCount:4276861; Generating combinations of t=6 rows; Completed matrix 0,dU:18,dL:14,vCount:18260676; Completed matrix 1,dU:18,dL:14,vCount:32244491; Generating combinations of t=7 rows; Completed matrix 0,dU:18,dL:16,vCount:118145074; Completed matrix 1,dU:18,dL:16,vCount:204045657; Generating combinations of t=8 rows; Completed matrix 0,dU:18,dL:18,vCount:655023722; Terminating: dU:18 &lt;= dL:18,vCount:655023722; Generating combinations of t=9 rows; Completed matrix 0,dU:18,dL:18,vCount:2709479355; Terminating: dU:18 &lt;= dL:18,vCount:2709479355; Terminating: t:10 &gt; tMax:9,vCount:0</t>
  </si>
  <si>
    <t>1-even code; Constructing information sets: Block structure [50 50 32]; Generating combinations of t=1 rows; Found w:20; Completed matrix 0,dU:20,dL:2,vCount:50; Completed matrix 1,dU:20,dL:4,vCount:100; Completed matrix 2,dU:20,dL:4,vCount:150; tMax:10; Discarding 1 non-contributing matrix, new block structure [50 50]; Generating combinations of t=2 rows; Found w:18; Completed matrix 0,dU:18,dL:6,vCount:1375; Completed matrix 1,dU:18,dL:6,vCount:2600; tMax:9; Generating combinations of t=3 rows; Completed matrix 0,dU:18,dL:8,vCount:22199; Completed matrix 1,dU:18,dL:8,vCount:41798; Generating combinations of t=4 rows; Completed matrix 0,dU:18,dL:10,vCount:272097; Completed matrix 1,dU:18,dL:10,vCount:502396; Generating combinations of t=5 rows; Completed matrix 0,dU:18,dL:12,vCount:2621155; Completed matrix 1,dU:18,dL:12,vCount:4739914; Generating combinations of t=6 rows; Completed matrix 0,dU:18,dL:14,vCount:20630613; Completed matrix 1,dU:18,dL:14,vCount:36521312; Generating combinations of t=7 rows; Completed matrix 0,dU:18,dL:16,vCount:136405711; Completed matrix 1,dU:18,dL:16,vCount:236290110; Generating combinations of t=8 rows; Completed matrix 0,dU:18,dL:18,vCount:773168759; Terminating: dU:18 &lt;= dL:18,vCount:773168759; Generating combinations of t=9 rows; Completed matrix 0,dU:18,dL:18,vCount:3278602458; Terminating: dU:18 &lt;= dL:18,vCount:3278602458; Terminating: t:10 &gt; tMax:9,vCount:0</t>
  </si>
  <si>
    <t>1-even code; Constructing information sets: Block structure [51 51 32]; Generating combinations of t=1 rows; Found w:20; Completed matrix 0,dU:20,dL:2,vCount:51; Completed matrix 1,dU:20,dL:4,vCount:102; Completed matrix 2,dU:20,dL:4,vCount:153; tMax:10; Discarding 1 non-contributing matrix, new block structure [51 51]; Generating combinations of t=2 rows; Found w:18; Completed matrix 0,dU:18,dL:6,vCount:1428; Completed matrix 1,dU:18,dL:6,vCount:2703; tMax:9; Generating combinations of t=3 rows; Completed matrix 0,dU:18,dL:8,vCount:23527; Completed matrix 1,dU:18,dL:8,vCount:44351; Generating combinations of t=4 rows; Completed matrix 0,dU:18,dL:10,vCount:294250; Completed matrix 1,dU:18,dL:10,vCount:544149; Generating combinations of t=5 rows; Completed matrix 0,dU:18,dL:12,vCount:2893208; Completed matrix 1,dU:18,dL:12,vCount:5242267; Generating combinations of t=6 rows; Completed matrix 0,dU:18,dL:14,vCount:23251726; Completed matrix 1,dU:18,dL:14,vCount:41261185; Generating combinations of t=7 rows; Completed matrix 0,dU:18,dL:16,vCount:157036284; Completed matrix 1,dU:18,dL:16,vCount:272811383; Generating combinations of t=8 rows; Completed matrix 0,dU:18,dL:18,vCount:909574432; Terminating: dU:18 &lt;= dL:18,vCount:909574432; Generating combinations of t=9 rows; Completed matrix 0,dU:18,dL:18,vCount:3951886781; Terminating: dU:18 &lt;= dL:18,vCount:3951886781; Terminating: t:10 &gt; tMax:9,vCount:0</t>
  </si>
  <si>
    <t>1-even code; Constructing information sets: Block structure [53 53 32]; Generating combinations of t=1 rows; Found w:26; Completed matrix 0,dU:26,dL:2,vCount:53; Completed matrix 1,dU:26,dL:4,vCount:106; Completed matrix 2,dU:26,dL:4,vCount:159; tMax:13; Discarding 1 non-contributing matrix, new block structure [53 53]; Generating combinations of t=2 rows; Found w:24; Completed matrix 0,dU:24,dL:6,vCount:1537; Completed matrix 1,dU:24,dL:6,vCount:2915; tMax:12; Generating combinations of t=3 rows; Found w:20; Completed matrix 0,dU:20,dL:8,vCount:26340; Completed matrix 1,dU:20,dL:8,vCount:49765; tMax:10; Generating combinations of t=4 rows; Completed matrix 0,dU:20,dL:10,vCount:342589; Completed matrix 1,dU:20,dL:10,vCount:635413; Generating combinations of t=5 rows; Found w:18; Completed matrix 0,dU:18,dL:12,vCount:3505097; Completed matrix 1,dU:18,dL:12,vCount:6374781; tMax:9; Generating combinations of t=6 rows; Completed matrix 0,dU:18,dL:14,vCount:29332260; Completed matrix 1,dU:18,dL:14,vCount:52289739; Generating combinations of t=7 rows; Completed matrix 0,dU:18,dL:16,vCount:206432818; Completed matrix 1,dU:18,dL:16,vCount:360575897; Generating combinations of t=8 rows; Completed matrix 0,dU:18,dL:18,vCount:1246898606; Terminating: dU:18 &lt;= dL:18,vCount:1246898606; Generating combinations of t=9 rows; Completed matrix 0,dU:18,dL:18,vCount:5678512155; Terminating: dU:18 &lt;= dL:18,vCount:5678512155; Terminating: t:10 &gt; tMax:9,vCount:0</t>
  </si>
  <si>
    <t>1-even code; Constructing information sets: Block structure [55 55 30]; Generating combinations of t=1 rows; Found w:26; Completed matrix 0,dU:26,dL:2,vCount:55; Completed matrix 1,dU:26,dL:4,vCount:110; Completed matrix 2,dU:26,dL:4,vCount:165; tMax:13; Discarding 1 non-contributing matrix, new block structure [55 55]; Generating combinations of t=2 rows; Completed matrix 0,dU:26,dL:6,vCount:1650; Found w:24; Completed matrix 1,dU:24,dL:6,vCount:3135; tMax:12; Generating combinations of t=3 rows; Found w:20; Completed matrix 0,dU:20,dL:8,vCount:29369; Completed matrix 1,dU:20,dL:8,vCount:55603; tMax:10; Generating combinations of t=4 rows; Completed matrix 0,dU:20,dL:10,vCount:396657; Completed matrix 1,dU:20,dL:10,vCount:737711; Generating combinations of t=5 rows; Found w:18; Completed matrix 0,dU:18,dL:12,vCount:4216471; Completed matrix 1,dU:18,dL:12,vCount:7695231; tMax:9; Generating combinations of t=6 rows; Completed matrix 0,dU:18,dL:14,vCount:36684905; Completed matrix 1,dU:18,dL:14,vCount:65674579; Generating combinations of t=7 rows; Completed matrix 0,dU:18,dL:16,vCount:268602303; Completed matrix 1,dU:18,dL:16,vCount:471530027; Generating combinations of t=8 rows; Completed matrix 0,dU:18,dL:18,vCount:1689096376; Terminating: dU:18 &lt;= dL:18,vCount:1689096376; Generating combinations of t=9 rows; Completed matrix 0,dU:18,dL:18,vCount:8047498425; Terminating: dU:18 &lt;= dL:18,vCount:8047498425; Terminating: t:10 &gt; tMax:9,vCount:0</t>
  </si>
  <si>
    <t>1-even code; Constructing information sets: Block structure [53 53 38]; Generating combinations of t=1 rows; Found w:30; Completed matrix 0,dU:30,dL:2,vCount:53; Found w:28; Completed matrix 1,dU:28,dL:4,vCount:106; Completed matrix 2,dU:28,dL:4,vCount:159; tMax:14; Discarding 1 non-contributing matrix, new block structure [53 53]; Generating combinations of t=2 rows; Completed matrix 0,dU:28,dL:6,vCount:1537; Completed matrix 1,dU:28,dL:6,vCount:2915; Generating combinations of t=3 rows; Found w:26; Completed matrix 0,dU:26,dL:8,vCount:26340; Found w:24; Completed matrix 1,dU:24,dL:8,vCount:49765; tMax:12; Generating combinations of t=4 rows; Found w:22; Completed matrix 0,dU:22,dL:10,vCount:342589; Found w:20; Completed matrix 1,dU:20,dL:10,vCount:635413; tMax:10; Generating combinations of t=5 rows; Completed matrix 0,dU:20,dL:12,vCount:3505097; Completed matrix 1,dU:20,dL:12,vCount:6374781; Generating combinations of t=6 rows; Completed matrix 0,dU:20,dL:14,vCount:29332260; Completed matrix 1,dU:20,dL:14,vCount:52289739; Generating combinations of t=7 rows; Completed matrix 0,dU:20,dL:16,vCount:206432818; Completed matrix 1,dU:20,dL:16,vCount:360575897; Generating combinations of t=8 rows; Completed matrix 0,dU:20,dL:18,vCount:1246898606; Completed matrix 1,dU:20,dL:18,vCount:2133221315; Generating combinations of t=9 rows; Completed matrix 0,dU:20,dL:20,vCount:6564834864; Terminating: dU:20 &lt;= dL:20,vCount:6564834864; Generating combinations of t=10 rows; Completed matrix 0,dU:20,dL:20,vCount:26063934483; Terminating: dU:20 &lt;= dL:20,vCount:26063934483; Terminating: t:11 &gt; tMax:10,vCount:0</t>
  </si>
  <si>
    <t>1-even code; Constructing information sets: Block structure [66 66 15]; Generating combinations of t=1 rows; Found w:18; Completed matrix 0,dU:18,dL:2,vCount:66; Completed matrix 1,dU:18,dL:4,vCount:132; Completed matrix 2,dU:18,dL:4,vCount:198; tMax:9; Discarding 1 non-contributing matrix, new block structure [66 66]; Generating combinations of t=2 rows; Found w:16; Completed matrix 0,dU:16,dL:6,vCount:2343; Completed matrix 1,dU:16,dL:6,vCount:4488; tMax:8; Generating combinations of t=3 rows; Completed matrix 0,dU:16,dL:8,vCount:50247; Completed matrix 1,dU:16,dL:8,vCount:96006; Generating combinations of t=4 rows; Found w:14; Completed matrix 0,dU:14,dL:10,vCount:816725; Completed matrix 1,dU:14,dL:10,vCount:1537444; tMax:7; Generating combinations of t=5 rows; Completed matrix 0,dU:14,dL:12,vCount:10474371; Completed matrix 1,dU:14,dL:12,vCount:19411298; Generating combinations of t=6 rows; Completed matrix 0,dU:14,dL:14,vCount:110270065; Terminating: dU:14 &lt;= dL:14,vCount:110270065; Generating combinations of t=7 rows; Completed matrix 0,dU:14,dL:14,vCount:889059504; Terminating: dU:14 &lt;= dL:14,vCount:889059504; Terminating: t:8 &gt; tMax:7,vCount:0</t>
  </si>
  <si>
    <t>1-even code; Constructing information sets: Block structure [63 63 24]; Generating combinations of t=1 rows; Found w:22; Completed matrix 0,dU:22,dL:2,vCount:63; Found w:20; Completed matrix 1,dU:20,dL:4,vCount:126; Completed matrix 2,dU:20,dL:4,vCount:189; tMax:10; Discarding 1 non-contributing matrix, new block structure [63 63]; Generating combinations of t=2 rows; Found w:18; Completed matrix 0,dU:18,dL:6,vCount:2142; Completed matrix 1,dU:18,dL:6,vCount:4095; tMax:9; Generating combinations of t=3 rows; Completed matrix 0,dU:18,dL:8,vCount:43805; Completed matrix 1,dU:18,dL:8,vCount:83515; Generating combinations of t=4 rows; Completed matrix 0,dU:18,dL:10,vCount:679179; Found w:16; Completed matrix 1,dU:16,dL:10,vCount:1274843; tMax:8; Generating combinations of t=5 rows; Completed matrix 0,dU:16,dL:12,vCount:8303689; Completed matrix 1,dU:16,dL:12,vCount:15332535; Generating combinations of t=6 rows; Completed matrix 0,dU:16,dL:14,vCount:83278055; Completed matrix 1,dU:16,dL:14,vCount:151223575; Generating combinations of t=7 rows; Completed matrix 0,dU:16,dL:16,vCount:704494245; Terminating: dU:16 &lt;= dL:16,vCount:704494245; Generating combinations of t=8 rows; Completed matrix 0,dU:16,dL:16,vCount:4577388941; Terminating: dU:16 &lt;= dL:16,vCount:4577388941; Terminating: t:9 &gt; tMax:8,vCount:0</t>
  </si>
  <si>
    <t>1-even code; Constructing information sets: Block structure [63 63 27]; Generating combinations of t=1 rows; Found w:22; Completed matrix 0,dU:22,dL:2,vCount:63; Completed matrix 1,dU:22,dL:4,vCount:126; Found w:20; Completed matrix 2,dU:20,dL:4,vCount:189; tMax:10; Discarding 1 non-contributing matrix, new block structure [63 63]; Generating combinations of t=2 rows; Completed matrix 0,dU:20,dL:6,vCount:2142; Completed matrix 1,dU:20,dL:6,vCount:4095; Generating combinations of t=3 rows; Completed matrix 0,dU:20,dL:8,vCount:43805; Found w:18; Completed matrix 1,dU:18,dL:8,vCount:83515; tMax:9; Generating combinations of t=4 rows; Completed matrix 0,dU:18,dL:10,vCount:679179; Completed matrix 1,dU:18,dL:10,vCount:1274843; Generating combinations of t=5 rows; Completed matrix 0,dU:18,dL:12,vCount:8303689; Completed matrix 1,dU:18,dL:12,vCount:15332535; Generating combinations of t=6 rows; Completed matrix 0,dU:18,dL:14,vCount:83278055; Completed matrix 1,dU:18,dL:14,vCount:151223575; Generating combinations of t=7 rows; Completed matrix 0,dU:18,dL:16,vCount:704494245; Completed matrix 1,dU:18,dL:16,vCount:1257764915; Generating combinations of t=8 rows; Completed matrix 0,dU:18,dL:18,vCount:5130659611; Terminating: dU:18 &lt;= dL:18,vCount:5130659611; Generating combinations of t=9 rows; Completed matrix 0,dU:18,dL:18,vCount:28798349425; Terminating: dU:18 &lt;= dL:18,vCount:28798349425; Terminating: t:10 &gt; tMax:9,vCount:0</t>
  </si>
  <si>
    <t>Constructing information sets: Block structure [27 19]; Generating combinations of t=1 rows; Found w:10; Completed matrix 0,dU:10,dL:2,vCount:79; Completed matrix 1,dU:10,dL:2,vCount:151; tMax:9; Generating combinations of t=2 rows; Found w:9; Completed matrix 0,dU:9,dL:3,vCount:3232; Completed matrix 1,dU:9,dL:3,vCount:5788; tMax:8; Discarding 1 non-contributing matrix, new block structure [27]; Generating combinations of t=3 rows; Completed matrix 0,dU:9,dL:4,vCount:84866; tMax:9; Generating combinations of t=4 rows; Completed matrix 0,dU:9,dL:5,vCount:1587366; Generating combinations of t=5 rows; Completed matrix 0,dU:9,dL:6,vCount:24124880; Generating combinations of t=6 rows; Completed matrix 0,dU:9,dL:7,vCount:302087564; Generating combinations of t=7 rows; Completed matrix 0,dU:9,dL:8,vCount:3200841278; Generating combinations of t=8 rows; Completed matrix 0,dU:9,dL:9,vCount:29289624712; Terminating: dU:9 &lt;= dL:9,vCount:29289624712; Generating combinations of t=9 rows; Completed matrix 0,dU:9,dL:10,vCount:235101138476; Terminating: dU:9 &lt;= dL:10,vCount:235101138476; Terminating: t:10 &gt; tMax:9,vCount:0</t>
  </si>
  <si>
    <t>method: dist_m4ri_CC</t>
  </si>
  <si>
    <t>popSize: 100</t>
  </si>
  <si>
    <t>outfile: /home/ucapmwe/dist-benchmark/results/codeTables-QECC_sample.txt-dist_m4ri_CC-20260107_140325.395673_85062422.txt</t>
  </si>
  <si>
    <t># wmax=99 found cw of weight 2: [0 3]\n2\n</t>
  </si>
  <si>
    <t># wmax=99 found cw of weight 4: [0 2 4 6]\n4\n</t>
  </si>
  <si>
    <t># wmax=99 found cw of weight 6: [0 2 3 5 7 8]\n6\n</t>
  </si>
  <si>
    <t># wmax=99 found cw of weight 6: [0 2 3 6 8 9]\n6\n</t>
  </si>
  <si>
    <t># wmax=99 found cw of weight 6: [0 1 3 7 8 10]\n6\n</t>
  </si>
  <si>
    <t># wmax=99 found cw of weight 6: [0 2 3 8 10 11]\n6\n</t>
  </si>
  <si>
    <t># wmax=99 found cw of weight 6: [0 2 3 9 11 12]\n6\n</t>
  </si>
  <si>
    <t># wmax=99 found cw of weight 8: [0 2 4 5 10 15 22 24]\n8\n</t>
  </si>
  <si>
    <t># wmax=99 found cw of weight 10: [0 2 4 5 11 16 21 24 26 32]\n10\n</t>
  </si>
  <si>
    <t># wmax=99 found cw of weight 6: [0 5 6 12 17 18]\n6\n</t>
  </si>
  <si>
    <t># wmax=99 found cw of weight 6: [0 5 6 13 18 19]\n6\n</t>
  </si>
  <si>
    <t># wmax=99 found cw of weight 10: [0 2 12 17 25 28 31 39 44 54]\n10\n</t>
  </si>
  <si>
    <t># wmax=99 found cw of weight 10: [0 2 12 18 26 30 33 41 47 57]\n10\n</t>
  </si>
  <si>
    <t># wmax=99 found cw of weight 10: [0 3 12 13 17 30 36 37 46 53]\n10\n</t>
  </si>
  <si>
    <t>pMut: 2.0</t>
  </si>
  <si>
    <t>sMut: 1.0</t>
  </si>
  <si>
    <t>outfile: /home/ucapmwe/dist-benchmark/results/codeTables-QECC_sample.txt-dist_m4ri_CC-20260203_135026.787691_85062422.txt</t>
  </si>
  <si>
    <t># wmax=9 found cw of weight 1: [0]\n1\n</t>
  </si>
  <si>
    <t># wmax=12 found cw of weight 2: [0 2]\n2\n</t>
  </si>
  <si>
    <t># wmax=15 found cw of weight 3: [0 2 3]\n3\n</t>
  </si>
  <si>
    <t># wmax=18 found cw of weight 3: [0 2 3]\n3\n</t>
  </si>
  <si>
    <t># wmax=21 found cw of weight 3: [0 1 3]\n3\n</t>
  </si>
  <si>
    <t># wmax=24 found cw of weight 3: [0 2 3]\n3\n</t>
  </si>
  <si>
    <t># wmax=27 found cw of weight 3: [0 2 3]\n3\n</t>
  </si>
  <si>
    <t># wmax=30 found cw of weight 4: [0 5 22 24]\n4\n</t>
  </si>
  <si>
    <t># wmax=33 found cw of weight 5: [0 5 14 15 30]\n5\n</t>
  </si>
  <si>
    <t># wmax=36 found cw of weight 3: [0 5 6]\n3\n</t>
  </si>
  <si>
    <t># wmax=39 found cw of weight 3: [0 5 6]\n3\n</t>
  </si>
  <si>
    <t># wmax=42 found cw of weight 5: [0 12 17 23 41]\n5\n</t>
  </si>
  <si>
    <t># wmax=45 found cw of weight 5: [0 12 18 24 43]\n5\n</t>
  </si>
  <si>
    <t># wmax=48 found cw of weight 6: [0 1 8 15 22 26]\n6\n</t>
  </si>
  <si>
    <t># wmax=51 found cw of weight 5: [0 12 14 23 47]\n5\n</t>
  </si>
  <si>
    <t># wmax=54 found cw of weight 5: [0 13 21 28 41]\n5\n</t>
  </si>
  <si>
    <t># wmax=57 found cw of weight 5: [0 13 22 29 43]\n5\n</t>
  </si>
  <si>
    <t># wmax=60 found cw of weight 6: [0 15 17 22 28 31]\n6\n</t>
  </si>
  <si>
    <t># wmax=63 found cw of weight 6: [0 15 17 23 29 32]\n6\n</t>
  </si>
  <si>
    <t># wmax=66 found cw of weight 5: [0 3 4 9 11]\n5\n</t>
  </si>
  <si>
    <t># wmax=69 found cw of weight 7: [0 5 13 18 19 49 61]\n7\n</t>
  </si>
  <si>
    <t># wmax=72 found cw of weight 5: [0 23 33 56 60]\n5\n</t>
  </si>
  <si>
    <t># wmax=75 found cw of weight 5: [0 23 34 58 62]\n5\n</t>
  </si>
  <si>
    <t># wmax=78 found cw of weight 6: [0 18 31 32 35 37]\n6\n</t>
  </si>
  <si>
    <t># wmax=81 found cw of weight 6: [0 18 32 33 36 38]\n6\n</t>
  </si>
  <si>
    <t># wmax=84 found cw of weight 6: [0 18 33 34 37 39]\n6\n</t>
  </si>
  <si>
    <t># wmax=87 found cw of weight 7: [0 5 25 32 51 70 77]\n7\n</t>
  </si>
  <si>
    <t># wmax=90 found cw of weight 6: [0 4 19 25 32 37]\n6\n</t>
  </si>
  <si>
    <t># wmax=93 found cw of weight 6: [0 4 19 25 33 38]\n6\n</t>
  </si>
  <si>
    <t># wmax=96 found cw of weight 8: [0 20 24 28 36 41 79 83]\n8\n</t>
  </si>
  <si>
    <t># wmax=99 found cw of weight 8: [0 7 23 24 46 50 69 81]\n8\n</t>
  </si>
  <si>
    <t># wmax=99 found cw of weight 5: [0 20 43 45 78]\n5\n</t>
  </si>
  <si>
    <t># wmax=99 found cw of weight 7: [1 3 6 12 65 66 77]\n7\n</t>
  </si>
  <si>
    <t>method: dist_m4ri_RW</t>
  </si>
  <si>
    <t>outfile: /home/ucapmwe/dist-benchmark/results/codeTables-QECC_sample.txt-dist_m4ri_RW-20260215_083648.338471_85062422.txt</t>
  </si>
  <si>
    <t># step=0 row=0 minW=10 found cw of W=2: [1 4]\n#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</si>
  <si>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minW=13 found cw of W=4: [2 4 10 12]\n#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</si>
  <si>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minW=16 found cw of W=6: [1 3 5 8 10 11]\n#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</si>
  <si>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minW=19 found cw of W=6: [1 2 3 7 14 15]\n#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</si>
  <si>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minW=22 found cw of W=6: [3 4 6 10 11 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</si>
  <si>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minW=25 found cw of W=6: [1 2 5 17 18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</si>
  <si>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minW=28 found cw of W=6: [1 3 4 10 12 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</si>
  <si>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minW=31 found cw of W=12: [3 6 8 9 10 11 16 18 21 23 29 30]\n# step=0 row=1 minW=12 found cw of W=10: [1 3 7 8 10 18 21 23 27 30]\n# step=0 row=4 minW=10 found cw of W=8: [2 5 8 10 12 15 18 20]\n#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</si>
  <si>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minW=34 found cw of W=10: [3 4 7 14 17 21 26 28 29 32]\n#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</si>
  <si>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minW=37 found cw of W=6: [1 5 10 13 17 22]\n#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</si>
  <si>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minW=40 found cw of W=8: [3 4 8 10 16 17 21 23]\n# step=0 row=1 minW=8 found cw of W=6: [8 9 21 23 35 36]\n#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</si>
  <si>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minW=43 found cw of W=16: [1 3 4 8 10 13 20 24 27 28 29 31 32 34 36 42]\n# step=0 row=2 minW=16 found cw of W=10: [7 8 9 18 22 26 32 35 37 40]\n#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</si>
  <si>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minW=46 found cw of W=16: [1 3 6 7 8 10 11 14 16 18 22 23 36 40 41 44]\n# step=0 row=1 minW=16 found cw of W=14: [2 3 7 8 10 12 14 27 32 33 37 38 40 44]\n# step=0 row=3 minW=14 found cw of W=10: [7 8 10 12 13 23 27 37 40 43]\n#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</si>
  <si>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minW=49 found cw of W=16: [1 2 6 9 14 16 25 26 29 33 34 38 42 45 46 48]\n# step=0 row=1 minW=16 found cw of W=12: [3 4 6 9 14 19 25 29 36 38 45 46]\n#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</si>
  <si>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minW=52 found cw of W=16: [1 2 3 4 7 8 13 14 19 21 24 31 35 37 42 47]\n# step=0 row=1 minW=16 found cw of W=12: [4 5 6 7 12 14 21 22 23 24 31 46]\n# step=0 row=6 minW=12 found cw of W=10: [4 14 19 21 22 25 31 36 39 42]\n#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</si>
  <si>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minW=55 found cw of W=10: [1 14 15 19 24 33 35 42 50 53]\n#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</si>
  <si>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minW=58 found cw of W=16: [1 8 17 18 22 29 33 34 36 39 41 46 48 52 53 56]\n# step=0 row=1 minW=16 found cw of W=14: [3 5 11 14 15 16 27 30 35 41 43 46 52 53]\n# step=0 row=9 minW=14 found cw of W=12: [4 8 14 15 16 18 23 27 35 52 53 56]\n# step=0 row=13 minW=12 found cw of W=10: [13 14 16 22 29 32 35 41 48 52]\n#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</si>
  <si>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W=18: [1 11 12 15 17 19 27 32 33 35 36 37 39 41 47 51 53 56]\n# step=0 row=1 minW=18 found cw of W=16: [2 11 13 15 17 19 22 32 35 36 39 51 52 53 56 57]\n# step=0 row=7 minW=16 found cw of W=14: [9 11 13 17 28 33 36 37 39 48 49 51 56 59]\n# step=0 row=10 minW=14 found cw of W=12: [12 13 26 27 34 39 46 47 52 53 54 59]\n#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</si>
  <si>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minW=64 found cw of W=16: [1 3 4 8 12 15 24 29 38 41 43 46 54 57 59 62]\n# step=0 row=2 minW=16 found cw of W=12: [2 7 23 25 28 30 33 38 46 51 54 59]\n#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</si>
  <si>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minW=67 found cw of W=16: [1 2 5 6 16 18 25 27 42 45 46 47 50 60 62 64]\n# step=0 row=2 minW=16 found cw of W=12: [3 6 7 8 13 20 28 42 47 51 52 57]\n# step=0 row=12 minW=12 found cw of W=10: [2 6 7 9 18 24 31 50 51 62]\n#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</si>
  <si>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minW=70 found cw of W=18: [1 2 6 8 16 23 24 25 31 33 34 38 46 52 56 57 61 62]\n# step=0 row=1 minW=18 found cw of W=16: [1 5 8 10 11 14 23 24 31 33 34 37 38 46 51 61]\n# step=2 row=4 minW=16 found cw of W=14: [9 11 15 16 20 31 34 38 39 45 54 55 66 68]\n#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</si>
  <si>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minW=73 found cw of W=16: [2 3 9 11 19 24 25 26 27 35 39 48 49 57 63 67]\n# step=0 row=1 minW=16 found cw of W=14: [1 4 9 13 25 36 37 39 47 52 57 60 63 71]\n# step=0 row=6 minW=14 found cw of W=12: [1 9 14 19 36 39 49 57 60 62 63 67]\n# step=2 row=5 minW=12 found cw of W=10: [11 15 16 31 40 46 55 59 63 70]\n#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</si>
  <si>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minW=76 found cw of W=14: [1 2 19 23 27 28 39 44 49 51 53 64 73 74]\n# step=0 row=12 minW=14 found cw of W=12: [1 5 20 24 35 39 51 55 60 64 70 74]\n# step=0 row=20 minW=12 found cw of W=10: [18 19 28 35 43 44 45 53 60 70]\n#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</si>
  <si>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minW=79 found cw of W=16: [1 2 7 15 18 35 41 44 48 49 53 54 59 61 74 75]\n# step=0 row=1 minW=16 found cw of W=14: [4 7 10 15 16 39 41 42 48 56 59 62 65 74]\n# step=0 row=28 minW=14 found cw of W=12: [3 13 21 29 33 36 39 44 47 59 62 70]\n#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</si>
  <si>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minW=82 found cw of W=14: [1 4 12 13 18 21 23 31 40 48 50 55 66 72]\n# step=0 row=7 minW=14 found cw of W=12: [15 17 21 22 28 42 45 48 55 71 72 76]\n#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</si>
  <si>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minW=85 found cw of W=24: [1 2 3 7 12 13 19 31 33 39 41 48 49 51 57 58 61 63 67 68 75 76 77 79]\n# step=0 row=1 minW=24 found cw of W=12: [5 18 31 33 46 48 51 52 59 76 79 80]\n#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</si>
  <si>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minW=88 found cw of W=16: [1 6 20 22 23 27 30 35 42 45 49 51 52 71 74 85]\n# step=2 row=33 minW=16 found cw of W=14: [3 15 22 26 32 35 40 51 52 64 69 73 81 84]\n#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</si>
  <si>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minW=91 found cw of W=24: [2 5 6 8 11 12 13 16 18 23 33 35 41 42 43 54 62 63 66 68 76 78 83 84]\n# step=0 row=1 minW=24 found cw of W=20: [3 6 7 8 14 22 23 28 37 54 58 59 63 66 68 74 82 83 84 89]\n# step=0 row=3 minW=20 found cw of W=16: [9 11 12 14 16 23 33 41 42 54 63 69 74 76 83 84]\n# step=0 row=13 minW=16 found cw of W=12: [5 13 20 28 35 39 43 50 54 58 69 84]\n#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</si>
  <si>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minW=94 found cw of W=22: [3 5 7 11 16 17 18 24 28 42 45 47 49 54 65 67 69 76 79 85 86 90]\n# step=0 row=1 minW=22 found cw of W=14: [1 4 17 27 28 42 56 58 63 66 73 79 87 90]\n# step=0 row=27 minW=14 found cw of W=12: [7 9 10 17 18 55 69 71 72 79 80 86]\n#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</si>
  <si>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minW=97 found cw of W=26: [2 3 9 12 15 20 21 23 33 34 38 39 47 52 53 55 57 60 65 67 70 71 73 76 89 92]\n# step=0 row=3 minW=26 found cw of W=24: [2 6 12 13 15 16 27 34 38 43 45 47 48 55 57 60 61 75 76 87 89 91 92 93]\n# step=0 row=4 minW=24 found cw of W=22: [1 7 9 13 15 21 23 24 33 35 43 45 47 53 55 60 67 71 73 75 88 92]\n# step=0 row=11 minW=22 found cw of W=20: [1 12 13 21 27 33 35 36 37 43 45 53 61 67 68 69 75 76 91 93]\n# step=0 row=28 minW=20 found cw of W=18: [9 13 15 16 23 24 30 45 48 49 55 57 62 73 79 81 88 89]\n# step=1 row=33 minW=18 found cw of W=16: [14 15 16 17 19 24 48 52 56 63 78 79 81 83 84 95]\n#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</si>
  <si>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minW=100 found cw of W=16: [1 7 19 27 38 41 52 54 56 60 67 71 73 74 87 89]\n#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</si>
  <si>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minW=103 found cw of W=22: [1 8 17 23 28 29 31 32 36 50 51 56 57 62 63 66 69 70 76 84 90 99]\n# step=0 row=1 minW=22 found cw of W=12: [3 23 28 29 31 32 37 57 62 66 97 99]\n# step=1 row=15 minW=12 found cw of W=10: [2 20 26 28 30 36 54 60 62 64]\n#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</si>
  <si>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minW=106 found cw of W=30: [2 9 10 13 20 24 30 32 35 37 39 42 44 45 53 55 57 63 65 67 68 70 74 77 83 88 92 94 98 103]\n# step=0 row=7 minW=30 found cw of W=22: [9 10 12 17 18 20 25 28 32 38 40 45 47 52 55 67 73 75 79 88 95 98]\n# step=0 row=31 minW=22 found cw of W=20: [13 17 19 23 24 28 32 40 44 52 57 67 75 79 83 89 92 93 94 98]\n# step=1 row=35 minW=20 found cw of W=18: [2 8 21 26 27 28 29 35 36 56 63 70 71 72 78 96 97 99]\n#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</si>
  <si>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minW=109 found cw of W=26: [1 2 4 10 12 22 24 27 35 38 39 40 42 48 53 58 63 70 71 73 75 78 82 89 96 106]\n# step=0 row=1 minW=26 found cw of W=22: [3 5 6 10 20 25 30 39 49 63 66 67 70 77 78 82 85 92 97 99 103 106]\n# step=0 row=6 minW=22 found cw of W=20: [2 4 6 15 24 27 30 38 40 41 42 49 51 60 61 63 66 77 85 97]\n# step=0 row=20 minW=20 found cw of W=18: [2 3 6 12 19 22 27 31 38 53 55 67 75 78 84 89 94 99]\n#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</si>
  <si>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minW=112 found cw of W=32: [2 3 4 5 7 14 20 23 29 32 34 38 39 41 42 47 49 55 60 64 66 69 71 75 77 81 84 86 88 92 94 101]\n# step=0 row=1 minW=32 found cw of W=24: [3 7 8 12 16 20 22 35 42 47 53 55 57 64 72 77 79 81 82 84 86 92 96 101]\n# step=0 row=9 minW=24 found cw of W=20: [3 7 14 17 20 22 28 40 47 55 57 71 81 84 88 91 92 96 102 108]\n# step=4 row=3 minW=20 found cw of W=18: [2 4 6 7 19 30 41 54 56 67 68 69 76 80 81 91 105 106]\n#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</si>
  <si>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minW=115 found cw of W=22: [3 9 16 20 21 29 31 41 46 54 58 59 63 66 67 70 84 85 101 104 107 108]\n# step=0 row=14 minW=22 found cw of W=20: [2 5 13 21 24 28 30 40 47 56 59 62 66 72 81 85 89 94 106 110]\n# step=0 row=18 minW=20 found cw of W=18: [15 20 21 28 39 42 55 58 59 70 72 77 80 91 93 104 108 110]\n#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</si>
  <si>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minW=118 found cw of W=26: [3 4 9 12 13 20 21 32 43 44 51 65 76 77 78 81 83 87 91 98 99 104 110 115 116 117]\n# step=0 row=7 minW=26 found cw of W=22: [9 13 17 20 22 23 24 27 30 39 56 58 62 66 78 87 91 97 98 100 102 108]\n# step=0 row=28 minW=22 found cw of W=20: [1 4 7 13 16 20 30 39 43 46 55 59 60 72 78 79 91 99 108 111]\n# step=1 row=19 minW=20 found cw of W=18: [9 13 22 26 42 48 65 71 74 75 78 81 91 100 110 113 114 117]\n#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</si>
  <si>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minW=121 found cw of W=38: [1 2 9 13 14 16 17 18 22 23 37 41 42 43 47 50 65 66 74 75 78 83 87 89 90 93 94 96 97 98 102 103 105 106 114 115 117 118]\n# step=0 row=1 minW=38 found cw of W=24: [3 4 6 11 13 28 30 37 42 43 45 49 53 62 68 70 82 84 85 86 89 91 102 117]\n# step=0 row=17 minW=24 found cw of W=22: [3 9 11 14 18 23 28 34 43 45 49 67 71 85 91 94 98 103 107 108 111 114]\n# step=1 row=4 minW=22 found cw of W=18: [14 18 30 31 39 47 48 55 68 70 87 88 94 95 98 108 111 119]\n#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</si>
  <si>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minW=124 found cw of W=26: [2 5 6 10 15 29 35 37 42 46 47 56 58 60 70 73 79 83 84 92 99 101 114 117 119 120]\n# step=1 row=31 minW=26 found cw of W=22: [5 11 15 16 25 28 29 34 40 56 57 78 79 87 93 107 110 111 116 119 120 122]\n#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</si>
  <si>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minW=127 found cw of W=34: [1 2 5 6 9 10 11 12 20 21 22 27 38 39 42 43 45 52 63 64 77 84 86 87 89 90 93 95 96 104 111 119 122 123]\n# step=0 row=1 minW=34 found cw of W=32: [7 11 13 15 19 20 22 23 24 32 39 40 42 44 45 49 55 57 61 62 64 65 79 81 84 86 87 95 108 116 121 124]\n# step=0 row=16 minW=32 found cw of W=30: [1 2 6 9 11 16 17 19 22 24 39 43 44 47 48 58 59 61 62 64 75 77 81 89 93 95 104 108 117 119]\n# step=0 row=30 minW=30 found cw of W=28: [2 6 9 10 24 31 37 39 40 43 45 52 62 67 75 85 86 87 90 93 104 108 109 115 117 121 123 124]\n# step=0 row=41 minW=28 found cw of W=22: [27 32 39 40 42 44 45 48 62 65 67 84 86 87 90 104 107 109 111 116 123 124]\n# step=3 row=10 minW=22 found cw of W=20: [15 16 20 27 30 35 38 49 50 58 72 77 83 91 92 99 104 111 122 125]\n# step=112 row=4 minW=20 found cw of W=18: [1 2 6 8 9 13 15 16 20 43 44 48 50 51 55 57 58 62]\n#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</si>
  <si>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minW=130 found cw of W=38: [1 2 4 10 16 17 18 19 36 44 46 49 54 55 59 65 71 72 73 75 79 84 88 89 90 92 96 97 98 103 104 105 108 114 115 116 118 127]\n# step=0 row=2 minW=38 found cw of W=32: [3 6 11 12 16 17 18 19 26 28 36 46 49 54 55 59 71 72 73 75 79 82 84 103 104 105 112 115 116 118 125 127]\n# step=0 row=7 minW=32 found cw of W=24: [1 4 10 14 17 18 25 41 44 46 66 72 73 89 90 96 100 103 104 109 111 115 116 127]\n# step=1 row=2 minW=24 found cw of W=22: [4 16 17 18 19 20 21 38 59 60 61 62 63 67 70 76 81 90 107 110 113 119]\n# step=9 row=32 minW=22 found cw of W=20: [4 5 17 18 20 30 34 41 51 60 63 80 84 90 91 94 104 116 120 123]\n# step=43 row=2 minW=20 found cw of W=18: [3 10 17 23 26 30 33 37 40 46 53 60 66 73 80 112 119 126]\n#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</si>
  <si>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minW=133 found cw of W=32: [3 5 9 12 24 26 29 39 45 46 49 53 54 56 62 66 69 79 86 89 90 91 98 106 110 112 113 114 117 123 127 130]\n# step=0 row=9 minW=32 found cw of W=26: [1 2 9 12 15 18 20 26 35 36 56 62 70 71 79 80 83 86 89 90 97 103 108 115 127 130]\n# step=2 row=25 minW=26 found cw of W=24: [28 32 33 34 38 40 44 48 49 54 65 77 78 80 82 92 93 98 109 116 120 124 128 132]\n# step=4 row=6 minW=24 found cw of W=20: [13 16 23 26 28 30 32 33 38 44 67 70 74 76 77 82 101 104 116 132]\n# step=49 row=23 minW=20 found cw of W=18: [6 13 18 42 61 63 77 82 87 94 101 105 106 107 121 126 130 131]\n#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</si>
  <si>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minW=136 found cw of W=38: [1 6 7 8 11 12 16 19 29 31 32 33 34 42 49 51 52 55 61 70 71 79 87 88 91 94 98 100 101 102 109 115 116 119 121 122 123 133]\n# step=0 row=1 minW=38 found cw of W=36: [3 6 7 10 12 16 22 25 27 31 32 33 34 38 42 43 51 56 60 61 70 72 79 87 88 93 97 100 101 102 105 112 121 122 123 128]\n# step=0 row=3 minW=36 found cw of W=26: [7 9 22 25 26 27 29 34 38 40 49 52 62 71 72 79 87 94 99 107 112 115 119 128 130 132]\n# step=0 row=10 minW=26 found cw of W=22: [7 11 13 22 27 32 36 38 42 47 52 56 58 60 72 87 92 105 112 122 126 128]\n# step=0 row=15 minW=22 found cw of W=20: [2 5 10 15 29 31 32 42 50 55 60 71 83 92 116 119 121 122 128 132]\n# step=0 row=32 minW=20 found cw of W=18: [7 13 15 16 25 29 32 37 38 52 60 61 70 82 103 119 122 128]\n#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</si>
  <si>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minW=139 found cw of W=44: [1 2 4 18 25 29 30 31 32 33 35 37 38 40 45 46 48 54 66 72 75 77 82 83 84 86 87 90 91 92 93 96 100 110 112 117 118 122 124 125 127 128 133 136]\n# step=0 row=1 minW=44 found cw of W=28: [3 6 8 20 23 32 36 37 40 43 47 54 66 69 81 83 87 89 92 93 95 98 124 127 128 132 133 138]\n# step=0 row=15 minW=28 found cw of W=24: [4 8 18 19 25 35 36 38 45 54 55 65 72 82 84 90 91 96 101 110 117 118 127 136]\n# step=0 row=30 minW=24 found cw of W=18: [8 13 30 31 37 40 48 54 76 77 82 83 90 94 105 128 132 136]\n#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</si>
  <si>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minW=142 found cw of W=32: [1 16 25 30 31 40 45 49 59 60 63 64 70 72 76 78 80 83 86 87 92 95 96 106 107 111 117 123 124 127 130 133]\n# step=0 row=4 minW=32 found cw of W=26: [4 8 20 38 39 41 45 55 61 62 76 77 80 83 86 92 98 108 109 114 123 124 127 130 132 135]\n# step=1 row=7 minW=26 found cw of W=24: [4 11 12 19 20 21 29 38 51 53 56 67 76 79 92 100 103 105 106 113 115 126 132 139]\n# step=4 row=43 minW=24 found cw of W=22: [1 3 13 36 37 43 52 54 58 64 68 84 90 95 97 99 101 105 107 111 115 130]\n# step=5 row=40 minW=22 found cw of W=20: [2 11 13 27 35 36 38 49 59 60 65 79 82 83 85 105 106 112 121 126]\n# step=10 row=52 minW=20 found cw of W=18: [1 8 9 31 36 37 55 56 60 74 78 83 86 95 107 121 131 133]\n#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</si>
  <si>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W=46: [1 7 11 15 16 17 26 27 28 31 33 34 35 38 40 45 46 49 53 55 56 59 63 64 65 69 75 76 80 81 83 87 94 95 101 104 117 122 127 128 130 134 135 136 141 143]\n# step=0 row=2 minW=46 found cw of W=36: [4 5 6 8 16 17 27 28 34 35 40 46 53 55 60 63 64 69 75 76 81 82 83 94 95 100 102 103 104 108 111 113 117 129 136 143]\n# step=0 row=7 minW=36 found cw of W=32: [4 7 12 15 17 25 26 32 38 40 55 63 69 74 75 80 81 82 88 93 95 100 108 113 117 121 123 129 130 134 141 143]\n# step=0 row=14 minW=32 found cw of W=30: [17 18 32 34 38 40 46 47 48 53 56 57 65 69 74 81 82 94 95 101 104 105 114 117 122 128 129 134 136 144]\n# step=0 row=27 minW=30 found cw of W=24: [6 11 12 16 28 32 35 40 46 53 56 59 64 76 79 83 94 101 102 104 108 127 128 136]\n# step=4 row=32 minW=24 found cw of W=22: [1 13 27 37 39 48 49 56 57 79 84 85 95 96 104 105 109 123 127 132 135 143]\n# step=9 row=0 minW=22 found cw of W=20: [3 14 19 21 37 39 48 50 51 62 80 85 87 90 98 115 117 128 138 144]\n#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</si>
  <si>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minW=148 found cw of W=28: [3 13 14 16 25 29 30 32 33 36 37 42 47 52 62 65 74 81 82 85 86 91 92 96 112 127 128 141]\n# step=0 row=2 minW=28 found cw of W=26: [1 5 7 14 16 29 30 33 37 53 54 63 76 82 86 96 97 99 102 105 114 125 127 128 145 146]\n# step=0 row=10 minW=26 found cw of W=22: [6 7 16 22 30 33 34 36 48 55 56 65 76 82 83 85 92 120 125 128 141 146]\n# step=0 row=22 minW=22 found cw of W=18: [2 6 7 33 38 50 55 56 63 82 87 96 97 99 100 112 145 146]\n# step=13 row=30 minW=18 found cw of W=16: [15 26 29 37 44 59 64 67 74 75 93 108 116 123 127 135]\n# step=152 row=50 minW=16 found cw of W=14: [2 4 7 13 66 67 78 100 102 105 111 115 116 127]\n#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</si>
  <si>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minW=151 found cw of W=36: [1 3 4 5 8 13 16 18 22 28 38 44 45 46 51 54 58 62 66 68 71 72 74 86 88 95 96 103 105 112 113 121 124 128 136 144]\n# step=0 row=9 minW=36 found cw of W=34: [2 6 12 13 15 16 19 21 25 28 29 32 38 47 52 56 65 66 69 74 79 82 86 88 93 97 112 113 121 124 125 128 136 143]\n# step=0 row=10 minW=34 found cw of W=32: [1 5 16 19 21 22 25 27 30 33 43 46 50 51 58 62 66 69 71 72 75 77 83 86 96 100 105 108 112 130 136 143]\n# step=0 row=12 minW=32 found cw of W=30: [1 3 6 8 16 25 29 30 36 44 47 51 56 62 66 74 75 79 82 86 93 97 103 108 112 124 130 132 143 144]\n# step=0 row=19 minW=30 found cw of W=26: [1 2 6 12 13 18 19 21 43 46 50 51 52 55 56 62 68 69 75 93 96 105 113 121 125 150]\n# step=0 row=28 minW=26 found cw of W=24: [2 5 6 12 16 19 30 37 52 62 66 69 74 75 76 100 105 106 124 125 126 130 137 150]\n# step=0 row=48 minW=24 found cw of W=22: [2 6 8 13 21 29 43 45 47 52 56 58 71 72 79 82 93 95 97 113 122 132]\n# step=1 row=36 minW=22 found cw of W=20: [5 18 33 35 37 39 40 59 80 83 85 87 89 90 98 105 109 118 130 148]\n# step=8 row=62 minW=20 found cw of W=18: [1 18 25 31 42 46 61 75 81 88 94 101 111 118 138 142 144 146]\n# step=625 row=29 minW=18 found cw of W=16: [15 21 30 39 45 59 62 65 71 89 95 98 109 112 130 148]\n#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</si>
  <si>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minW=154 found cw of W=38: [3 4 6 11 12 26 27 29 33 37 42 47 63 69 72 73 74 77 78 80 83 93 97 99 105 106 108 113 120 123 124 125 134 135 139 148 149 150]\n# step=0 row=3 minW=38 found cw of W=36: [2 6 13 14 18 20 21 26 27 42 44 46 47 63 65 74 78 81 88 93 94 97 104 108 114 115 120 122 123 125 128 132 139 145 146 149]\n# step=0 row=4 minW=36 found cw of W=32: [5 6 10 12 14 19 20 21 29 33 37 46 63 65 69 72 74 77 80 81 88 97 107 108 112 120 121 122 125 128 132 135]\n# step=0 row=18 minW=32 found cw of W=30: [1 2 3 10 12 16 20 21 26 33 37 52 63 67 72 73 86 88 94 99 104 105 112 122 124 128 135 137 145 150]\n# step=0 row=24 minW=30 found cw of W=28: [2 6 7 16 21 25 29 33 37 46 58 63 67 72 80 81 83 86 104 108 114 127 132 134 135 137 139 148]\n# step=0 row=27 minW=28 found cw of W=24: [1 2 6 14 16 27 29 33 37 47 61 65 67 77 78 80 103 104 108 112 128 135 139 149]\n# step=5 row=49 minW=24 found cw of W=22: [1 6 7 18 21 32 37 44 58 71 72 83 94 97 103 108 120 122 139 145 146 148]\n# step=11 row=38 minW=22 found cw of W=20: [10 13 14 16 29 30 34 43 85 94 95 101 112 115 116 118 131 132 146 152]\n# step=142 row=16 minW=20 found cw of W=18: [6 10 17 37 43 45 57 63 66 68 72 88 94 96 112 114 117 123]\n#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</si>
  <si>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W=38: [1 7 10 19 22 26 30 31 32 33 37 45 49 50 57 59 69 73 74 76 84 88 97 101 105 109 114 121 123 125 128 130 134 135 137 140 141 154]\n# step=0 row=1 minW=38 found cw of W=36: [2 4 12 14 27 30 32 33 42 45 47 49 53 54 56 64 73 75 83 84 88 94 95 97 99 101 105 118 125 127 131 134 135 137 140 147]\n# step=0 row=8 minW=36 found cw of W=30: [3 7 10 15 21 22 23 24 26 31 42 45 53 59 74 75 76 78 88 94 95 97 105 107 114 119 125 135 140 147]\n# step=1 row=20 minW=30 found cw of W=28: [1 5 14 25 34 36 37 38 53 54 57 71 79 83 86 90 94 96 106 118 123 129 131 135 140 141 146 148]\n# step=3 row=25 minW=28 found cw of W=24: [2 14 26 48 50 51 52 65 66 70 78 92 99 100 101 102 106 117 122 144 151 153 155 156]\n# step=3 row=37 minW=24 found cw of W=22: [2 11 20 39 51 54 58 62 72 85 91 97 98 103 104 110 114 115 137 149 150 156]\n#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</si>
  <si>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minW=160 found cw of W=36: [1 2 9 14 18 21 33 39 41 44 46 52 55 63 64 67 71 73 74 86 92 93 94 95 98 107 115 116 117 126 146 148 150 151 152 158]\n# step=0 row=2 minW=36 found cw of W=30: [1 4 5 8 14 19 21 30 37 41 54 58 62 63 67 69 74 83 84 90 94 105 110 114 115 116 122 125 137 158]\n# step=7 row=14 minW=30 found cw of W=26: [12 14 29 37 40 42 59 75 77 79 82 89 90 97 102 112 118 120 128 130 132 142 146 148 150 155]\n# step=24 row=19 minW=26 found cw of W=24: [4 21 24 26 42 46 47 57 59 61 62 77 82 95 99 105 112 114 115 127 132 135 153 158]\n# step=34 row=39 minW=24 found cw of W=22: [17 41 43 45 54 60 62 67 76 87 90 94 96 98 107 113 115 120 123 129 140 143]\n#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</si>
  <si>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minW=163 found cw of W=36: [2 10 19 23 26 29 35 37 41 42 43 45 53 54 56 64 73 77 78 82 83 85 99 100 108 132 134 136 139 143 145 149 150 151 154 161]\n# step=0 row=2 minW=36 found cw of W=34: [4 5 9 13 18 26 29 34 37 40 41 53 58 67 68 72 77 83 94 97 99 100 113 117 122 131 134 142 145 149 151 153 154 161]\n# step=0 row=13 minW=34 found cw of W=32: [18 22 23 29 31 35 40 46 54 67 68 72 78 82 83 85 94 97 99 105 108 121 122 130 131 132 136 143 151 153 154 159]\n# step=0 row=30 minW=32 found cw of W=28: [4 5 10 19 26 29 38 41 49 58 64 73 76 80 81 82 83 85 95 97 103 113 130 135 136 139 146 151]\n# step=3 row=43 minW=28 found cw of W=24: [3 21 27 40 46 49 55 57 79 81 86 88 89 94 99 100 103 109 129 133 140 142 143 153]\n# step=6 row=56 minW=24 found cw of W=22: [1 3 8 14 16 29 30 36 44 55 62 68 70 76 84 89 111 130 137 143 144 152]\n# step=44 row=7 minW=22 found cw of W=20: [10 18 19 25 33 38 42 46 64 79 80 86 100 126 127 134 140 141 146 150]\n#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</si>
  <si>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minW=166 found cw of W=40: [2 4 13 21 22 27 29 32 38 49 53 57 59 60 63 66 67 68 82 84 87 93 95 96 101 102 107 115 118 121 122 131 132 150 151 156 157 159 162 163]\n# step=0 row=6 minW=40 found cw of W=36: [1 11 12 13 14 16 21 22 26 27 32 36 37 40 41 49 56 68 77 79 85 87 92 95 96 104 121 122 124 126 131 134 136 137 140 146]\n# step=0 row=18 minW=36 found cw of W=32: [4 12 16 20 24 29 32 37 38 50 53 59 63 77 93 96 101 102 105 118 122 126 130 132 134 139 142 147 151 156 157 163]\n# step=1 row=23 minW=32 found cw of W=28: [2 23 31 35 42 57 59 70 77 78 80 81 86 87 93 97 98 101 114 125 132 135 136 142 145 148 153 156]\n# step=10 row=36 minW=28 found cw of W=26: [10 11 20 21 22 25 26 29 33 45 46 63 66 75 77 80 81 88 98 100 118 120 131 139 153 156]\n# step=317 row=1 minW=26 found cw of W=24: [2 9 22 23 24 26 50 76 77 81 94 100 105 109 110 112 119 131 133 134 149 155 164 165]\n#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</si>
  <si>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minW=169 found cw of W=50: [1 13 14 18 19 26 30 32 33 34 35 38 41 42 44 46 47 49 50 52 55 57 65 83 90 91 92 94 97 100 102 103 107 108 121 125 126 130 131 138 139 142 144 145 148 154 161 162 163 167]\n# step=0 row=1 minW=50 found cw of W=46: [2 3 13 14 18 19 25 26 27 28 32 37 45 46 49 50 52 55 58 62 68 69 75 78 83 84 92 107 108 111 115 118 124 126 130 134 137 138 144 148 149 157 158 161 162 163]\n# step=0 row=4 minW=46 found cw of W=44: [7 8 13 18 23 25 30 32 34 38 42 43 44 46 47 50 52 62 63 65 75 90 92 94 100 102 107 108 118 120 121 125 130 131 135 137 142 144 148 154 155 159 162 163]\n# step=0 row=10 minW=44 found cw of W=38: [2 12 13 17 19 25 27 28 30 41 42 43 44 45 47 58 62 69 73 75 84 92 97 100 106 108 118 124 137 139 142 148 154 155 157 159 162 164]\n# step=0 row=15 minW=38 found cw of W=36: [6 19 28 29 30 31 32 34 36 43 45 46 52 62 65 69 80 84 85 90 92 106 107 108 121 125 131 136 142 143 144 155 157 158 162 163]\n# step=0 row=28 minW=36 found cw of W=32: [2 6 12 13 25 28 32 33 43 46 50 52 58 68 69 80 82 84 92 106 107 108 118 136 137 138 144 145 148 155 158 163]\n# step=6 row=37 minW=32 found cw of W=30: [7 8 11 12 36 37 43 46 49 56 61 67 68 88 93 99 105 106 107 111 117 119 120 144 148 158 162 163 167 168]\n# step=13 row=28 minW=30 found cw of W=28: [2 4 8 21 22 25 27 28 29 30 37 53 64 71 78 81 83 84 93 101 114 116 127 133 141 142 157 165]\n# step=25 row=37 minW=28 found cw of W=26: [5 9 13 15 16 20 37 38 43 53 58 64 91 94 109 114 117 120 121 125 127 128 132 147 149 155]\n# step=151 row=6 minW=26 found cw of W=24: [14 16 19 25 27 34 35 40 42 47 53 96 98 103 104 126 128 131 137 139 146 147 160 165]\n#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</si>
  <si>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minW=172 found cw of W=40: [1 9 12 17 19 25 37 42 44 48 49 54 55 63 64 66 69 70 74 80 84 92 94 99 101 104 106 111 115 120 121 127 133 137 139 141 149 161 162 169]\n# step=0 row=3 minW=40 found cw of W=38: [4 7 8 10 25 32 36 37 42 49 51 54 61 66 67 72 73 83 91 94 103 104 106 111 121 122 123 129 130 139 140 146 148 150 156 160 161 165]\n# step=0 row=19 minW=38 found cw of W=36: [6 9 10 16 18 30 39 42 48 49 50 54 61 64 67 70 75 76 87 91 96 104 106 118 120 121 123 127 130 133 148 156 161 162 164 168]\n# step=0 row=34 minW=36 found cw of W=30: [4 5 9 10 12 23 32 44 54 55 62 64 66 67 69 70 76 90 99 118 121 127 133 137 146 147 156 158 168 169]\n# step=12 row=2 minW=30 found cw of W=28: [1 6 7 11 17 20 27 28 30 39 40 45 55 58 62 64 85 102 119 120 125 131 134 141 144 153 154 169]\n# step=50 row=53 minW=28 found cw of W=26: [16 28 37 38 48 51 54 56 73 74 75 82 99 111 113 114 131 132 139 142 151 152 156 162 165 171]\n#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</si>
  <si>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minW=175 found cw of W=46: [1 3 4 6 7 8 13 15 16 19 24 26 27 32 42 55 59 60 61 62 64 65 77 79 82 84 98 104 105 106 110 118 124 129 131 132 137 143 148 156 158 162 163 164 168 171]\n# step=0 row=1 minW=46 found cw of W=42: [1 4 5 6 9 10 20 24 26 27 32 36 40 51 59 62 63 64 70 78 82 84 91 94 104 105 106 108 110 125 126 128 143 148 149 156 162 163 164 166 167 168]\n# step=0 row=3 minW=42 found cw of W=26: [4 6 13 14 16 26 40 42 48 62 64 72 91 104 110 113 129 132 142 149 156 158 162 164 168 171]\n# step=3 row=41 minW=26 found cw of W=22: [5 7 9 25 41 50 53 59 63 67 71 83 103 108 110 111 117 123 129 157 161 168]\n# step=26 row=33 minW=22 found cw of W=20: [17 19 23 28 32 39 42 48 50 63 75 77 86 97 106 108 121 139 148 158]\n#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</si>
  <si>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minW=178 found cw of W=46: [1 5 10 13 15 16 19 21 24 25 26 30 34 37 38 43 52 53 69 72 73 75 77 78 80 81 83 84 85 91 96 99 112 119 123 132 133 136 140 148 150 152 156 158 161 170]\n# step=0 row=1 minW=46 found cw of W=30: [3 15 16 26 29 37 40 48 54 56 66 70 85 88 91 96 101 104 107 113 115 121 125 129 133 134 150 158 160 163]\n# step=0 row=15 minW=30 found cw of W=24: [9 10 17 34 37 39 40 70 72 73 74 96 98 107 127 128 129 131 132 133 135 152 158 166]\n# step=9 row=26 minW=24 found cw of W=22: [12 15 33 35 59 66 71 74 77 88 92 94 95 109 117 118 125 136 147 154 168 176]\n# step=479 row=2 minW=22 found cw of W=20: [4 6 11 30 48 51 63 68 82 102 117 124 127 129 141 148 161 166 169 176]\n#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</si>
  <si>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minW=181 found cw of W=44: [1 2 3 5 10 14 16 22 28 29 33 36 45 51 53 55 56 58 61 62 63 65 66 70 80 84 88 89 93 96 100 126 134 136 140 142 144 160 165 171 173 175 176 178]\n# step=0 row=1 minW=44 found cw of W=42: [1 3 5 6 11 15 19 21 36 39 49 51 55 58 60 61 63 65 67 70 75 76 77 81 84 96 109 116 120 126 127 130 131 136 137 139 144 159 171 175 176 178]\n# step=0 row=2 minW=42 found cw of W=40: [5 6 12 15 19 36 37 38 39 40 49 51 53 56 65 66 67 70 75 76 77 84 91 116 127 130 132 136 137 139 144 151 156 157 158 159 160 169 171 173]\n# step=0 row=8 minW=40 found cw of W=38: [3 4 6 7 14 19 22 24 33 37 49 55 58 60 61 63 64 79 84 89 96 97 99 100 120 121 126 127 134 142 149 153 156 159 160 169 175 178]\n# step=0 row=17 minW=38 found cw of W=34: [5 7 10 14 15 19 22 39 40 49 52 55 57 60 65 70 75 77 87 93 99 117 120 127 134 137 139 142 147 153 160 169 172 175]\n# step=0 row=33 minW=34 found cw of W=30: [14 19 21 29 39 44 53 55 61 70 77 79 81 84 91 97 99 104 109 121 130 134 137 144 149 151 157 169 173 175]\n# step=3 row=66 minW=30 found cw of W=28: [8 13 17 22 25 26 33 43 54 55 57 77 86 87 93 107 111 128 133 142 145 147 163 167 171 174 175 177]\n# step=3 row=69 minW=28 found cw of W=22: [21 25 30 42 43 55 69 77 81 85 90 103 105 111 120 129 137 162 165 171 175 180]\n#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</si>
  <si>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minW=184 found cw of W=46: [2 4 6 11 17 19 22 30 32 39 44 48 53 58 59 65 69 72 79 81 86 87 90 91 93 111 114 118 124 128 130 139 140 141 142 144 147 148 151 161 166 170 172 179 180 181]\n# step=0 row=3 minW=46 found cw of W=38: [2 9 11 17 19 22 24 27 29 30 37 43 46 54 58 59 62 67 72 76 104 119 123 124 128 131 137 139 141 144 146 149 151 152 159 168 176 181]\n# step=0 row=22 minW=38 found cw of W=36: [2 3 6 17 19 22 27 28 43 44 49 50 58 63 79 89 91 100 110 114 120 125 128 139 140 141 144 149 152 161 165 166 172 175 180 181]\n# step=0 row=34 minW=36 found cw of W=34: [2 3 17 27 37 39 43 46 50 55 59 62 67 70 85 87 90 98 104 111 116 120 123 124 125 128 131 139 146 148 149 151 161 168]\n# step=0 row=40 minW=34 found cw of W=32: [11 17 20 24 25 28 32 40 42 43 46 48 59 72 81 89 90 93 101 109 111 119 120 139 146 147 151 164 165 168 172 180]\n# step=3 row=61 minW=32 found cw of W=30: [4 8 18 24 32 33 41 48 54 58 65 66 68 77 85 92 94 106 115 127 129 130 138 140 153 154 163 167 170 180]\n# step=9 row=51 minW=30 found cw of W=28: [2 6 21 24 29 44 47 52 56 59 64 67 77 90 99 105 108 113 118 124 125 138 143 146 160 178 179 181]\n# step=20 row=12 minW=28 found cw of W=26: [5 20 31 32 34 36 38 43 50 55 62 66 80 81 92 97 99 100 104 116 123 141 154 156 161 172]\n# step=85 row=28 minW=26 found cw of W=24: [2 11 14 17 18 28 39 54 60 63 70 72 75 77 78 89 109 115 121 131 138 140 161 170]\n# step=782 row=43 minW=24 found cw of W=22: [2 16 18 25 30 35 51 52 63 69 86 91 96 112 113 120 121 130 138 140 181 182]\n#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</si>
  <si>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minW=187 found cw of W=46: [1 2 3 6 7 22 23 30 35 36 40 46 47 52 53 56 59 62 63 64 65 69 75 80 100 102 107 108 109 115 118 121 123 130 137 142 146 147 154 159 160 162 169 176 185 186]\n# step=0 row=1 minW=46 found cw of W=44: [3 5 7 8 10 22 23 24 30 34 35 39 46 47 62 64 65 75 80 86 89 95 101 108 109 114 123 126 129 131 132 134 137 142 146 147 151 154 157 158 159 176 185 186]\n# step=0 row=3 minW=44 found cw of W=30: [7 14 23 24 30 34 36 53 56 59 62 86 87 91 95 115 121 123 131 138 147 149 153 154 157 158 160 180 185 186]\n# step=1 row=56 minW=30 found cw of W=28: [9 26 29 30 51 54 56 70 73 77 84 86 88 92 107 108 118 132 133 135 139 146 148 153 169 170 175 178]\n# step=2 row=12 minW=28 found cw of W=26: [3 6 8 11 24 28 29 41 44 54 68 73 91 100 114 115 116 127 132 148 152 162 165 168 176 177]\n# step=17 row=71 minW=26 found cw of W=24: [3 7 12 15 23 26 48 50 61 62 77 88 96 105 112 127 131 136 147 158 167 172 185 186]\n# step=53 row=56 minW=24 found cw of W=22: [2 13 15 34 36 44 51 52 68 82 84 114 126 130 137 139 144 146 158 160 168 175]\n# step=182 row=39 minW=22 found cw of W=20: [3 6 10 61 69 70 84 88 107 111 127 130 131 132 134 146 150 169 173 185]\n#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</si>
  <si>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minW=190 found cw of W=52: [3 5 6 7 9 10 21 25 28 33 35 39 43 45 53 61 66 67 71 73 82 84 93 96 98 100 102 104 106 107 115 120 122 124 130 131 132 133 134 135 145 151 154 156 163 167 170 171 178 179 183 185]\n# step=0 row=2 minW=52 found cw of W=48: [2 3 5 6 7 11 13 18 19 22 23 25 28 39 50 52 61 63 66 67 68 81 82 85 86 93 94 100 102 106 115 120 124 126 128 130 132 133 137 139 151 154 156 157 163 169 176 183]\n# step=0 row=8 minW=48 found cw of W=46: [4 7 8 11 19 20 21 26 33 35 39 48 50 60 61 63 67 69 71 82 83 84 96 98 100 101 106 108 111 115 120 124 126 132 133 137 152 163 164 165 169 171 176 178 183 186]\n# step=0 row=17 minW=46 found cw of W=36: [4 18 20 22 28 31 33 35 39 41 43 48 59 60 67 76 81 96 101 104 111 115 120 122 139 146 148 154 157 161 164 165 169 178 183 186]\n# step=0 row=28 minW=36 found cw of W=34: [2 10 18 20 25 31 35 43 48 59 70 73 76 81 82 104 106 108 111 113 115 128 133 139 145 146 151 157 161 167 171 176 178 185]\n# step=6 row=40 minW=34 found cw of W=30: [3 9 24 28 41 47 51 63 66 77 87 91 92 101 104 111 112 124 125 126 135 140 155 164 173 174 175 177 187 188]\n# step=23 row=48 minW=30 found cw of W=28: [9 25 32 39 41 42 49 52 57 60 67 77 84 88 95 98 104 105 112 120 130 135 140 147 161 165 178 186]\n# step=292 row=6 minW=28 found cw of W=26: [5 14 33 38 45 52 58 63 66 71 77 78 93 96 98 108 115 126 129 131 134 141 156 161 164 184]\n#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</si>
  <si>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minW=193 found cw of W=46: [1 4 7 15 17 19 31 32 35 47 48 49 51 52 55 63 65 68 71 76 77 96 99 100 102 106 109 111 112 117 127 140 141 143 145 147 159 164 166 170 173 177 179 180 181 183]\n# step=0 row=2 minW=46 found cw of W=42: [3 4 5 10 11 12 14 15 16 33 39 43 46 47 49 50 54 61 69 76 77 78 80 100 102 103 107 110 111 113 114 118 125 131 132 138 139 141 143 161 164 166]\n# step=0 row=3 minW=42 found cw of W=36: [4 6 8 10 14 16 29 33 35 46 47 50 61 68 70 72 80 90 93 99 100 102 109 110 114 117 125 138 142 154 161 164 166 173 175 181]\n# step=1 row=18 minW=36 found cw of W=30: [7 19 20 36 39 40 47 61 67 72 74 75 87 100 104 110 116 125 131 135 136 138 139 147 148 151 167 174 175 180]\n# step=10 row=50 minW=30 found cw of W=28: [1 22 27 29 32 39 49 56 59 61 69 70 81 82 91 103 113 125 129 133 134 145 146 150 157 160 184 187]\n# step=18 row=45 minW=28 found cw of W=26: [5 25 31 49 56 62 82 97 103 105 106 115 120 126 127 133 146 153 159 161 167 169 170 177 179 191]\n# step=209 row=58 minW=26 found cw of W=24: [1 3 17 18 19 33 35 36 39 40 61 62 65 82 99 100 131 145 147 161 167 168 189 190]\n#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</si>
  <si>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minW=196 found cw of W=50: [1 2 8 9 10 12 14 16 18 20 21 25 29 33 39 45 46 47 48 57 60 62 66 69 73 79 81 83 85 99 102 112 113 125 127 132 134 139 140 142 151 155 159 163 164 167 169 175 176 187]\n# step=0 row=18 minW=50 found cw of W=44: [1 4 16 20 23 27 35 38 40 49 50 54 55 58 60 62 63 66 69 77 81 85 92 95 99 100 103 106 112 120 125 127 128 142 153 160 164 170 171 177 179 180 184 188]\n# step=0 row=37 minW=44 found cw of W=38: [1 10 16 18 29 33 40 41 45 48 54 57 66 92 95 96 98 99 102 106 112 113 116 140 146 148 157 159 160 161 164 167 170 175 177 181 184 187]\n# step=1 row=41 minW=38 found cw of W=34: [1 13 14 24 35 36 42 45 51 53 55 62 73 78 88 89 98 99 100 101 107 110 112 116 120 131 138 144 153 163 164 177 183 192]\n# step=14 row=27 minW=34 found cw of W=32: [2 9 15 18 38 46 48 69 79 80 82 83 95 101 102 105 111 113 115 121 132 134 139 144 147 160 166 167 168 170 180 186]\n# step=103 row=13 minW=32 found cw of W=30: [2 24 26 30 36 39 44 50 61 67 79 81 89 93 95 104 106 112 115 116 144 146 156 158 166 171 174 177 181 191]\n# round=1000 of 10000 minW=30\n# step=1252 row=47 minW=30 found cw of W=28: [13 17 20 23 24 25 32 39 40 54 59 64 81 82 85 89 97 101 105 119 143 146 153 155 166 169 189 194]\n#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</si>
  <si>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minW=199 found cw of W=56: [1 3 6 8 15 17 20 29 36 37 38 40 42 43 45 53 56 57 58 60 67 69 70 79 83 95 108 109 110 112 113 121 122 123 124 125 126 127 136 138 140 145 147 152 168 169 170 172 176 177 178 179 185 187 191 193]\n# step=0 row=2 minW=56 found cw of W=48: [3 4 13 14 17 20 23 24 40 42 53 58 59 63 70 79 81 83 85 86 90 104 105 110 111 112 113 121 124 127 129 135 146 147 151 155 170 171 172 174 176 177 178 179 185 187 191 193]\n# step=0 row=18 minW=48 found cw of W=42: [3 6 8 9 11 34 38 40 45 47 51 53 56 59 63 69 75 83 86 89 100 104 105 108 122 125 126 129 138 140 143 149 152 155 171 172 174 177 179 183 185 192]\n# step=0 row=60 minW=42 found cw of W=36: [3 6 7 9 14 20 24 34 41 47 58 59 60 63 64 70 75 81 90 104 125 129 135 136 138 139 146 147 152 166 170 173 179 190 192 196]\n# step=29 row=42 minW=36 found cw of W=34: [1 11 13 19 28 30 33 37 38 43 46 47 52 59 79 82 85 109 110 113 114 118 133 143 148 160 162 165 169 170 176 178 180 191]\n# step=35 row=47 minW=34 found cw of W=32: [9 18 29 32 38 44 55 74 80 83 85 93 95 98 104 109 112 119 128 140 141 146 149 150 151 159 175 176 178 185 187 194]\n# step=108 row=52 minW=32 found cw of W=30: [2 9 11 13 18 19 44 46 57 64 68 70 74 75 77 85 87 89 110 117 130 136 140 145 150 153 155 178 183 189]\n# round=1000 of 10000 minW=30\n# step=1405 row=5 minW=30 found cw of W=28: [2 11 13 19 26 31 40 46 47 55 63 79 87 92 101 106 107 129 134 143 151 153 163 167 173 178 179 187]\n#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</si>
  <si>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minW=202 found cw of W=66: [1 12 13 14 15 22 28 30 32 33 35 36 37 40 44 46 49 51 55 60 63 67 68 70 74 78 81 83 84 86 89 90 96 100 103 111 113 117 118 119 122 127 132 134 137 141 145 146 147 149 150 151 153 157 162 163 164 166 169 171 174 183 184 186 197 199]\n# step=0 row=1 minW=66 found cw of W=56: [2 7 12 21 22 23 28 30 33 35 41 44 46 49 51 55 58 61 63 64 70 74 78 79 84 86 89 92 95 96 100 103 108 111 118 122 125 128 129 131 136 137 145 151 153 155 157 159 163 164 169 170 180 183 196 197]\n# step=0 row=3 minW=56 found cw of W=46: [4 12 23 24 25 28 33 37 41 52 58 61 63 67 70 71 74 78 79 90 91 92 96 97 108 113 120 128 129 132 137 141 145 162 163 164 167 171 180 186 187 192 196 197 199 201]\n# step=0 row=10 minW=46 found cw of W=40: [7 9 13 14 18 19 22 24 25 36 46 47 53 58 60 61 67 81 85 89 91 92 97 114 119 120 125 127 128 132 141 143 147 153 164 170 180 186 199 201]\n# step=3 row=29 minW=40 found cw of W=38: [5 9 10 16 22 27 33 34 45 52 55 56 61 64 76 84 89 94 99 101 111 112 119 123 125 134 139 144 150 151 166 167 178 189 192 195 198 201]\n# step=15 row=20 minW=38 found cw of W=36: [4 9 14 19 24 37 42 44 45 58 62 68 71 76 85 97 105 107 109 111 112 130 133 135 148 152 153 158 164 171 172 174 192 196 197 200]\n# step=38 row=40 minW=36 found cw of W=34: [4 7 9 16 22 25 30 33 44 47 56 57 66 81 89 96 97 99 100 114 117 123 138 141 143 148 150 159 163 166 178 184 191 200]\n# step=50 row=33 minW=34 found cw of W=32: [7 31 37 40 42 44 55 61 63 67 71 86 94 97 98 101 111 122 128 130 132 134 138 141 153 161 164 168 171 174 176 199]\n# step=70 row=70 minW=32 found cw of W=30: [3 4 7 13 20 26 31 44 56 65 68 71 74 77 80 89 93 99 111 123 128 135 137 144 154 156 165 166 195 199]\n# round=1000 of 10000 minW=30\n# round=2000 of 10000 minW=30\n# step=2949 row=16 minW=30 found cw of W=28: [15 16 18 25 26 34 37 39 44 55 63 69 79 84 101 104 111 122 136 146 149 150 151 152 159 160 173 197]\n#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</si>
  <si>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minW=205 found cw of W=48: [2 9 13 17 18 24 26 29 31 41 43 47 52 53 59 61 62 70 76 78 81 85 87 90 92 94 97 99 109 110 115 123 127 129 130 133 144 145 146 154 155 158 178 179 188 189 191 201]\n# step=0 row=2 minW=48 found cw of W=44: [5 8 9 13 18 22 24 29 31 33 36 43 44 47 48 52 53 62 78 81 87 90 91 92 97 99 112 115 116 117 130 141 144 145 146 154 155 159 169 172 179 185 188 189]\n# step=0 row=13 minW=44 found cw of W=40: [9 10 13 20 22 25 26 29 31 37 42 47 48 53 59 60 78 86 88 90 91 93 94 97 104 105 115 124 127 145 149 154 159 167 172 178 184 189 192 196]\n# step=2 row=10 minW=40 found cw of W=38: [10 17 20 21 25 27 31 33 43 44 45 49 52 75 79 88 95 97 111 112 117 124 126 135 143 146 147 153 157 161 165 167 169 181 188 192 194 203]\n# step=10 row=21 minW=38 found cw of W=34: [2 11 16 19 41 45 48 70 71 79 80 86 104 107 108 109 111 113 126 127 134 139 148 152 154 155 172 175 176 179 184 194 195 202]\n# step=23 row=1 minW=34 found cw of W=32: [2 3 8 19 28 32 33 40 42 44 54 76 87 88 95 96 100 110 117 131 133 138 139 156 163 169 176 180 185 190 199 201]\n# step=214 row=61 minW=32 found cw of W=30: [12 24 29 33 34 56 61 65 71 74 80 85 97 101 107 109 115 129 134 139 142 153 160 170 175 177 183 192 201 202]\n# round=1000 of 10000 minW=30\n# round=2000 of 10000 minW=30\n# round=3000 of 10000 minW=30\n# step=3570 row=28 minW=30 found cw of W=28: [17 19 23 27 35 36 39 75 79 87 95 97 103 104 105 113 114 134 143 147 153 159 165 173 175 181 182 202]\n# round=4000 of 10000 minW=28\n# round=5000 of 10000 minW=28\n# round=6000 of 10000 minW=28\n# round=7000 of 10000 minW=28\n# round=8000 of 10000 minW=28\n# round=9000 of 10000 minW=28\n# round=10000 of 10000 minW=28\nRW algorithm upper bound for the distance d=28\n</t>
  </si>
  <si>
    <t># step=0 row=0 minW=208 found cw of W=60: [2 4 5 7 10 14 17 21 27 29 31 32 33 35 40 46 47 48 50 65 67 71 73 78 79 84 86 87 89 90 96 97 98 100 102 106 107 114 119 121 136 143 145 147 152 153 156 158 166 170 173 175 176 178 183 184 185 186 190 203]\n# step=0 row=2 minW=60 found cw of W=54: [1 5 7 9 12 13 14 23 27 29 31 33 36 40 43 45 46 47 48 61 63 78 82 87 96 97 98 100 102 105 107 112 115 121 130 131 133 139 143 145 150 152 156 161 166 176 178 183 185 186 190 200 201 202]\n# step=0 row=4 minW=54 found cw of W=52: [7 9 10 16 25 26 27 33 35 36 43 48 53 60 61 63 64 67 74 78 79 84 87 89 90 95 96 102 105 112 115 121 129 130 131 136 143 145 153 154 156 158 159 163 173 184 186 190 191 200 201 202]\n# step=0 row=9 minW=52 found cw of W=50: [5 8 14 25 26 27 29 30 33 43 47 48 60 61 65 67 76 77 82 84 86 93 95 96 98 99 102 103 106 112 114 129 130 132 134 136 143 145 151 152 153 155 162 163 172 175 183 185 186 201]\n# step=0 row=24 minW=50 found cw of W=46: [1 4 9 14 18 25 32 40 45 50 56 59 65 73 86 87 89 90 93 97 106 107 115 119 121 125 128 131 134 139 147 152 155 158 159 162 163 166 170 175 176 178 183 184 190 200]\n# step=0 row=51 minW=46 found cw of W=44: [8 9 10 12 17 26 29 43 48 53 60 64 65 77 78 82 84 86 89 90 95 97 98 106 112 114 120 132 133 148 150 151 153 158 159 166 175 183 186 189 191 198 201 203]\n# step=1 row=29 minW=44 found cw of W=40: [5 7 10 12 17 42 46 47 48 51 54 57 74 76 78 82 84 86 87 90 96 102 111 116 123 126 130 147 148 150 151 153 156 159 165 171 184 186 189 199]\n# step=4 row=16 minW=40 found cw of W=34: [4 10 17 21 31 32 42 45 50 54 55 77 78 79 85 87 99 100 111 119 124 125 142 146 147 154 155 156 159 168 170 183 192 194]\n# step=91 row=31 minW=34 found cw of W=30: [1 6 7 8 24 34 39 70 76 85 87 93 103 104 108 110 124 125 129 134 144 146 154 156 173 179 193 194 198 203]\n# round=1000 of 10000 minW=30\n# step=1514 row=69 minW=30 found cw of W=28: [11 26 40 56 71 72 75 80 83 90 100 108 117 123 126 140 141 144 152 159 164 169 177 178 186 192 194 195]\n#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</si>
  <si>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minW=211 found cw of W=58: [1 10 11 14 17 18 28 30 40 45 47 49 50 52 53 56 57 61 67 71 78 80 84 87 88 96 98 99 101 104 107 115 119 121 122 124 126 127 128 131 135 137 148 151 166 169 170 171 174 177 180 187 190 191 193 194 198 205]\n# step=0 row=1 minW=58 found cw of W=52: [2 4 9 10 11 16 27 28 37 38 40 50 51 53 60 61 64 71 72 74 75 79 80 88 94 97 98 104 107 110 115 120 121 126 128 131 134 135 141 145 151 156 158 164 174 178 185 193 196 198 200 205]\n# step=0 row=5 minW=52 found cw of W=50: [4 8 11 13 16 17 18 26 28 30 37 40 41 50 53 61 64 67 74 75 78 79 80 87 88 98 100 111 120 121 122 123 124 126 131 134 145 149 150 151 153 156 166 177 180 191 192 194 196 207]\n# step=0 row=9 minW=50 found cw of W=48: [9 10 14 17 22 37 45 51 53 59 60 61 64 71 72 78 79 80 87 88 92 99 100 109 120 123 124 128 129 131 134 137 141 142 148 154 158 169 170 177 179 185 190 191 194 198 200 207]\n# step=0 row=33 minW=48 found cw of W=46: [4 13 14 17 18 26 28 30 37 40 41 53 61 71 74 80 84 86 87 96 98 101 110 111 120 121 122 123 128 131 135 137 141 150 153 156 158 170 171 177 190 191 192 198 205 207]\n# step=0 row=39 minW=46 found cw of W=44: [7 11 13 16 18 40 47 48 50 53 56 57 61 64 71 78 80 88 99 106 115 127 128 131 134 137 141 147 148 150 151 153 156 169 176 180 185 187 188 190 193 196 198 207]\n# step=0 row=71 minW=44 found cw of W=40: [13 14 26 37 40 45 48 51 57 60 61 64 67 75 77 84 94 101 115 121 122 123 127 131 133 134 137 145 147 153 164 166 171 177 180 188 192 193 200 203]\n# step=1 row=5 minW=40 found cw of W=34: [3 4 6 9 10 16 36 37 46 58 63 77 86 90 96 107 108 112 128 129 143 144 146 147 149 150 160 166 176 178 182 186 199 203]\n# step=7 row=33 minW=34 found cw of W=28: [17 19 23 27 35 36 39 77 81 89 97 99 105 106 107 115 116 136 147 151 157 163 169 177 179 185 186 206]\n#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</si>
  <si>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minW=214 found cw of W=64: [1 2 3 4 8 10 17 19 27 28 33 37 38 42 56 63 64 65 68 73 82 86 89 91 96 97 107 111 113 116 119 125 134 135 138 141 143 145 146 150 152 153 157 159 160 161 162 167 168 169 170 175 178 179 180 182 187 190 196 198 207 209 210 212]\n# step=0 row=1 minW=64 found cw of W=60: [1 2 5 6 7 9 24 25 27 28 33 36 38 47 48 56 59 63 67 68 69 73 76 78 79 80 86 95 96 99 101 106 111 125 130 131 132 138 141 143 148 150 157 169 172 175 177 178 180 182 189 190 196 198 202 203 205 210 211 212]\n# step=0 row=3 minW=60 found cw of W=48: [9 10 12 19 25 37 38 56 63 65 67 69 73 75 80 82 85 86 89 96 101 107 109 120 125 128 131 144 146 152 153 154 156 157 160 161 172 178 179 191 196 198 199 202 205 207 209 211]\n# step=0 row=16 minW=48 found cw of W=44: [5 8 16 19 33 36 37 38 42 44 53 63 65 73 76 78 79 82 87 91 97 107 109 111 113 119 120 124 128 134 144 149 153 161 162 168 175 179 182 186 190 191 199 207]\n# step=1 row=0 minW=44 found cw of W=42: [2 11 16 17 19 20 22 23 25 26 35 40 45 53 59 62 82 83 87 88 91 93 94 100 105 114 116 127 144 154 161 167 168 171 176 177 182 185 195 198 201 204]\n# step=2 row=28 minW=42 found cw of W=40: [7 9 10 18 19 23 28 33 37 38 53 54 61 63 64 78 80 85 89 90 97 99 105 108 117 124 125 128 132 134 135 152 156 165 168 175 176 180 188 199]\n# step=17 row=12 minW=40 found cw of W=38: [11 12 16 20 24 39 45 48 63 78 83 87 95 100 101 106 115 125 131 132 134 141 142 149 153 162 171 172 177 181 186 187 190 196 202 203 212 213]\n# step=29 row=35 minW=38 found cw of W=32: [7 10 22 23 26 29 59 60 62 63 71 77 93 94 97 100 103 106 127 130 131 134 141 148 149 152 174 177 198 204 212 213]\n# round=1000 of 10000 minW=32\n# round=2000 of 10000 minW=32\n# step=2158 row=64 minW=32 found cw of W=30: [3 15 20 22 27 30 50 56 67 71 96 98 101 106 117 121 123 127 131 138 145 157 162 164 167 177 188 194 202 213]\n#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</si>
  <si>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minW=217 found cw of W=66: [1 2 4 7 8 10 11 12 16 20 23 24 32 34 36 37 38 44 46 49 52 57 61 62 73 74 76 80 81 82 83 84 88 94 95 96 104 105 106 108 111 116 117 118 121 124 126 127 135 138 151 153 164 166 177 181 182 183 189 198 199 201 205 206 207 210]\n# step=0 row=1 minW=66 found cw of W=58: [1 3 4 5 6 11 15 16 24 32 36 37 42 44 49 51 71 73 76 77 78 80 88 96 97 104 105 108 110 111 114 115 116 120 121 127 128 129 135 138 143 147 152 155 159 169 177 181 182 183 187 192 195 199 200 201 207 210]\n# step=0 row=3 minW=58 found cw of W=54: [1 5 10 11 17 20 23 33 34 37 38 42 46 48 49 52 54 61 71 76 77 80 82 93 94 95 98 105 106 110 114 115 118 124 126 129 133 135 143 145 148 152 155 161 164 165 166 170 181 187 192 193 201 207]\n# step=0 row=13 minW=54 found cw of W=52: [5 9 12 15 23 33 34 36 38 42 47 48 49 52 54 57 61 62 73 77 81 83 84 93 95 98 106 108 110 111 114 115 119 120 121 124 131 133 138 145 155 159 165 170 177 183 187 198 201 203 206 210]\n# step=0 row=21 minW=52 found cw of W=50: [1 8 9 15 20 24 25 30 32 33 44 51 54 57 61 66 69 73 76 80 81 93 96 97 102 104 105 111 115 116 117 121 126 131 134 141 148 159 164 165 183 187 189 193 195 201 203 205 206 210]\n# step=0 row=30 minW=50 found cw of W=44: [1 5 8 11 12 15 18 33 34 36 45 52 53 62 69 76 80 83 84 90 93 98 106 108 110 111 115 117 124 128 134 141 145 148 149 159 165 170 177 182 183 187 197 200]\n# step=2 row=59 minW=44 found cw of W=42: [18 20 23 26 27 28 40 46 58 61 64 68 69 71 78 86 89 90 92 99 108 109 116 136 139 141 150 158 161 167 170 172 180 181 184 188 190 202 205 211 212 215]\n# step=4 row=41 minW=42 found cw of W=40: [8 17 18 24 29 39 42 44 60 71 82 85 87 89 90 100 103 106 108 116 117 132 134 136 143 152 154 157 159 168 172 173 175 178 180 183 186 189 206 208]\n# step=23 row=43 minW=40 found cw of W=38: [6 13 16 19 24 34 35 36 38 50 57 64 65 69 76 91 96 104 106 107 112 120 129 132 136 137 148 150 157 160 176 180 182 184 192 194 204 213]\n# step=35 row=35 minW=38 found cw of W=36: [7 12 16 17 27 32 36 67 74 75 79 82 83 88 108 109 110 112 118 139 140 142 146 147 154 155 156 161 171 176 181 182 184 190 212 214]\n# step=87 row=22 minW=36 found cw of W=34: [1 2 21 28 37 48 58 60 62 68 70 73 74 75 83 100 109 111 118 120 129 142 143 147 155 165 183 190 201 202 204 206 212 215]\n# step=246 row=43 minW=34 found cw of W=32: [2 9 12 13 18 39 43 45 47 51 52 64 69 71 74 81 84 85 102 117 123 124 135 136 162 174 183 187 191 207 213 215]\n# step=402 row=45 minW=32 found cw of W=30: [3 11 14 33 47 50 52 55 66 85 105 112 117 119 122 124 129 138 141 142 147 155 157 158 184 189 199 201 213 214]\n#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</si>
  <si>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minW=220 found cw of W=62: [3 4 11 13 14 20 28 30 33 34 39 44 48 51 54 55 70 73 76 78 81 86 88 89 94 95 98 100 104 105 107 121 124 126 131 142 150 151 154 157 160 161 162 166 167 168 171 173 174 176 177 178 179 185 190 199 200 201 204 215 216 219]\n# step=0 row=3 minW=62 found cw of W=58: [5 8 10 11 14 20 21 25 30 34 36 37 39 40 42 44 46 48 51 53 59 64 65 66 78 80 81 83 87 100 103 109 112 121 124 132 133 134 137 138 141 153 157 166 167 171 173 180 183 186 188 190 192 199 206 207 212 214]\n# step=0 row=4 minW=58 found cw of W=54: [3 11 14 15 20 21 24 25 29 31 32 33 37 48 59 60 64 65 66 70 74 76 78 87 94 95 97 102 103 106 107 119 121 123 132 137 138 147 151 157 161 166 168 171 176 177 178 180 183 192 196 206 212 216]\n# step=0 row=9 minW=54 found cw of W=52: [3 5 8 13 20 21 24 26 29 36 37 41 46 48 53 55 59 60 66 73 76 78 86 87 89 97 98 99 102 106 109 121 132 133 134 139 142 154 160 162 166 167 171 179 183 187 192 199 201 207 215 219]\n# step=0 row=30 minW=52 found cw of W=50: [3 11 21 25 28 29 32 41 55 60 64 66 70 73 74 76 80 92 94 100 102 103 107 119 127 131 134 137 139 141 147 153 157 165 171 173 174 176 178 180 187 192 200 201 204 206 207 214 216 219]\n# step=0 row=52 minW=50 found cw of W=46: [6 8 13 28 31 34 36 37 39 48 53 54 55 64 78 80 84 86 87 89 98 105 109 110 112 121 127 131 137 139 151 152 153 154 157 160 162 171 174 177 178 180 199 201 204 212]\n# step=1 row=40 minW=46 found cw of W=40: [2 8 9 11 14 19 39 42 43 52 62 76 80 81 86 87 88 106 110 116 127 128 135 142 148 149 153 155 157 159 161 165 179 183 185 188 198 200 201 215]\n# step=6 row=57 minW=40 found cw of W=36: [3 6 10 24 25 33 36 40 44 54 57 65 73 76 84 85 105 106 109 122 123 127 130 138 152 156 157 158 170 171 178 186 190 195 196 219]\n# step=44 row=29 minW=36 found cw of W=30: [2 10 15 17 26 31 35 36 56 61 80 83 88 89 90 108 114 129 134 139 144 148 153 162 172 177 182 187 212 217]\n#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</si>
  <si>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minW=223 found cw of W=62: [1 2 8 11 17 18 19 22 29 30 38 39 40 42 44 47 48 49 50 54 63 65 67 70 71 77 80 82 93 96 103 107 109 113 123 124 134 141 143 144 149 150 151 154 159 165 166 178 181 183 186 188 190 192 195 196 202 208 211 213 217 219]\n# step=0 row=4 minW=62 found cw of W=56: [1 7 11 12 17 18 20 22 23 26 28 29 30 38 39 44 47 49 56 68 70 71 77 81 89 94 96 102 103 122 123 127 130 135 139 144 145 149 151 159 160 163 165 166 171 174 178 186 187 192 195 196 201 209 213 216]\n# step=0 row=5 minW=56 found cw of W=54: [7 9 13 18 19 22 23 26 29 39 40 42 44 45 48 54 63 65 66 67 70 79 81 83 84 87 89 93 109 113 116 122 125 143 144 153 158 163 166 170 171 174 177 183 188 192 193 199 202 211 213 214 215 217]\n# step=0 row=23 minW=54 found cw of W=52: [1 8 18 21 22 29 32 33 42 56 60 63 66 79 80 84 87 89 94 95 101 106 109 116 125 130 139 141 143 145 149 153 154 156 158 161 163 166 168 170 175 177 181 183 199 208 211 213 214 215 217 219]\n# step=0 row=26 minW=52 found cw of W=48: [7 9 10 11 18 22 26 32 33 42 44 45 63 64 66 67 70 77 81 82 83 86 88 89 94 106 107 127 144 151 156 158 159 160 162 163 166 168 170 174 190 192 193 201 211 212 214 215]\n# step=0 row=44 minW=48 found cw of W=40: [8 17 18 20 26 30 32 35 38 40 42 47 56 63 65 77 80 86 88 94 101 106 114 116 130 151 154 156 160 162 165 166 174 175 178 183 186 195 211 213]\n# step=3 row=26 minW=40 found cw of W=38: [11 21 22 35 37 40 48 50 63 69 70 73 81 87 114 118 122 123 124 130 135 143 146 147 155 159 161 169 170 183 185 192 197 204 209 211 218 220]\n# step=4 row=51 minW=38 found cw of W=36: [3 7 14 16 18 22 24 32 35 48 55 58 67 68 73 79 81 98 109 124 128 129 132 141 151 153 162 164 166 170 180 196 198 202 216 221]\n# step=297 row=32 minW=36 found cw of W=34: [8 17 38 45 51 53 54 59 62 75 76 78 82 87 103 106 112 115 118 119 127 128 133 136 149 150 152 161 165 177 180 189 192 199]\n# step=739 row=69 minW=34 found cw of W=32: [1 4 25 30 34 49 63 65 72 78 79 98 99 104 105 108 121 123 125 130 141 146 149 153 172 179 195 199 204 211 213 215]\n# round=1000 of 10000 minW=32\n# round=2000 of 10000 minW=32\n# step=2270 row=37 minW=32 found cw of W=30: [2 7 16 26 31 36 41 66 71 76 84 89 91 100 105 109 110 130 135 155 158 163 164 165 183 189 204 209 214 219]\n#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</si>
  <si>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minW=226 found cw of W=68: [1 3 6 10 11 17 22 24 28 32 44 53 55 57 58 61 64 65 68 70 74 79 85 92 94 97 98 99 102 105 110 116 119 121 127 128 129 130 131 133 136 137 139 140 142 151 153 154 156 161 169 173 177 178 180 182 185 191 196 202 204 206 207 212 217 218 220 224]\n# step=0 row=1 minW=68 found cw of W=56: [1 5 9 20 24 26 28 32 34 39 41 44 55 64 68 70 76 83 92 94 98 99 100 110 119 121 129 130 131 133 137 139 142 155 158 159 167 169 170 173 175 176 178 182 184 185 189 191 196 204 206 208 212 217 218 220]\n# step=0 row=2 minW=56 found cw of W=48: [1 4 7 8 9 11 22 27 34 44 51 58 70 71 76 82 83 87 92 97 100 110 116 119 129 131 137 142 146 149 154 159 161 162 167 175 177 184 185 191 201 204 206 208 212 217 220 224]\n# step=0 row=17 minW=48 found cw of W=42: [2 4 6 7 11 17 20 22 28 30 31 44 46 47 57 72 74 77 81 82 86 92 94 97 100 101 122 124 154 169 170 175 176 178 180 181 194 196 199 207 222 224]\n# step=26 row=23 minW=42 found cw of W=38: [12 16 17 26 29 38 46 47 53 57 62 84 86 91 97 101 102 109 113 116 121 122 127 128 134 137 159 161 162 167 172 177 179 184 191 202 207 209]\n# step=243 row=7 minW=38 found cw of W=36: [5 6 19 20 22 27 31 36 44 49 53 75 79 86 88 94 99 106 111 132 143 154 155 156 161 163 170 172 174 177 194 199 203 207 218 225]\n# step=263 row=39 minW=36 found cw of W=34: [2 14 15 17 18 24 36 38 41 46 56 71 75 77 80 93 99 114 116 131 136 142 155 164 165 167 186 188 189 196 211 217 221 225]\n# step=734 row=36 minW=34 found cw of W=32: [7 8 10 27 30 33 58 72 83 85 86 108 109 110 120 131 133 139 142 146 157 161 177 180 184 185 195 206 214 217 221 222]\n# round=1000 of 10000 minW=32\n# round=2000 of 10000 minW=32\n# round=3000 of 10000 minW=32\n# step=3175 row=36 minW=32 found cw of W=30: [10 17 24 26 28 52 59 69 70 72 85 92 95 99 103 109 125 134 137 142 145 147 170 176 184 200 202 212 217 219]\n# round=4000 of 10000 minW=30\n# round=5000 of 10000 minW=30\n# round=6000 of 10000 minW=30\n# round=7000 of 10000 minW=30\n# round=8000 of 10000 minW=30\n# round=9000 of 10000 minW=30\n# round=10000 of 10000 minW=30\nRW algorithm upper bound for the distance d=30\n</t>
  </si>
  <si>
    <t># step=0 row=0 minW=229 found cw of W=66: [1 2 3 7 8 11 14 26 30 32 36 39 40 43 45 46 50 51 55 57 58 62 70 75 83 87 90 93 94 101 103 106 108 115 119 121 122 123 129 133 146 147 149 151 152 153 154 155 160 169 170 177 178 179 188 192 199 202 203 205 207 210 214 223 225 228]\n# step=0 row=1 minW=66 found cw of W=60: [2 5 6 7 8 9 10 14 16 17 28 30 34 45 46 48 51 62 70 75 79 82 83 86 90 92 94 101 103 104 110 120 121 122 123 124 133 135 139 148 154 155 157 160 161 169 170 177 179 182 196 199 203 209 211 214 215 222 224 227]\n# step=0 row=2 minW=60 found cw of W=48: [7 8 12 16 21 34 40 51 55 60 66 68 70 77 83 87 88 93 94 103 104 107 110 123 133 136 144 146 147 148 153 160 163 168 169 170 173 179 180 183 192 199 203 207 209 218 223 224]\n# step=0 row=57 minW=48 found cw of W=46: [2 7 8 11 14 18 28 30 36 39 47 64 70 77 83 84 88 90 92 94 106 107 115 133 134 144 147 151 152 153 154 163 164 168 180 183 188 199 209 210 216 220 222 223 227 228]\n# step=5 row=29 minW=46 found cw of W=44: [17 28 33 37 46 55 58 70 72 76 77 79 80 81 83 85 93 104 108 109 110 113 115 119 120 127 131 152 153 155 156 157 159 161 184 186 191 195 196 198 203 210 222 224]\n# step=7 row=47 minW=44 found cw of W=32: [1 12 24 43 49 55 64 65 66 67 76 77 78 94 100 108 119 122 125 142 143 150 152 154 164 170 184 198 207 216 217 226]\n# step=796 row=44 minW=32 found cw of W=30: [2 7 23 32 34 35 37 38 59 64 78 81 83 85 99 101 108 111 114 121 122 135 140 157 161 177 186 189 197 198]\n#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</si>
  <si>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minW=232 found cw of W=66: [1 6 7 9 16 22 23 26 29 31 34 37 38 40 44 50 52 53 64 65 76 77 92 101 103 105 106 107 112 115 117 119 120 121 127 129 134 138 140 142 149 154 155 160 161 163 169 170 176 177 178 182 184 185 188 189 191 196 197 207 211 215 217 218 226 230]\n# step=0 row=2 minW=66 found cw of W=54: [4 6 8 13 16 21 26 28 29 31 34 36 37 39 44 50 52 61 66 68 70 85 87 90 99 103 105 111 113 116 117 127 134 137 138 143 144 145 147 158 160 164 170 175 176 183 185 191 194 198 206 211 214 221]\n# step=0 row=10 minW=54 found cw of W=42: [7 13 16 24 28 31 33 40 44 47 48 50 52 61 65 74 75 90 92 101 102 105 110 117 119 121 125 127 134 138 161 169 170 179 185 196 201 206 211 219 228 229]\n# step=16 row=12 minW=42 found cw of W=38: [6 14 15 22 27 31 40 54 56 61 66 74 81 91 92 99 109 123 125 134 140 143 147 151 158 160 181 185 186 194 200 202 208 210 211 215 217 224]\n# step=163 row=31 minW=38 found cw of W=36: [8 11 21 24 35 37 47 53 54 58 61 64 72 75 81 84 88 112 130 135 138 143 147 149 152 158 161 162 175 178 191 201 208 218 220 224]\n# round=1000 of 10000 minW=36\n# step=1367 row=36 minW=36 found cw of W=34: [8 20 24 25 29 33 34 38 51 66 71 73 76 97 102 106 109 111 115 126 128 142 143 151 153 162 178 186 187 203 219 225 227 228]\n# step=1874 row=70 minW=34 found cw of W=32: [3 6 11 23 42 47 59 66 72 76 77 80 88 100 107 119 122 124 132 141 143 150 153 160 184 199 209 213 218 226 227 231]\n#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</si>
  <si>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minW=235 found cw of W=52: [2 4 7 17 32 35 41 43 45 46 48 53 65 69 73 79 80 81 92 93 107 110 113 121 123 126 128 132 140 141 143 147 148 155 157 159 160 163 170 171 173 185 197 202 206 209 210 218 219 226 229 233]\n# step=0 row=1 minW=52 found cw of W=50: [3 7 9 24 26 32 35 38 43 48 53 58 62 65 66 74 80 81 86 92 104 105 108 121 126 135 143 144 148 151 155 158 163 164 165 170 180 183 186 188 191 194 209 213 214 218 226 229 230 233]\n# step=0 row=7 minW=50 found cw of W=46: [4 5 7 8 14 18 23 32 37 38 45 48 69 73 74 79 81 86 96 101 105 108 110 113 115 123 126 128 135 148 157 159 160 161 163 170 183 186 191 194 206 213 225 226 229 230]\n# step=0 row=23 minW=46 found cw of W=32: [3 8 14 32 52 58 74 86 96 108 110 123 132 135 147 151 155 156 159 170 174 186 201 208 210 213 214 225 229 230 233 234]\n# step=63 row=90 minW=32 found cw of W=30: [5 14 17 25 49 51 57 71 79 92 95 103 105 109 127 135 144 145 146 149 153 157 161 183 187 207 222 223 224 231]\n# step=516 row=46 minW=30 found cw of W=28: [17 23 26 27 28 35 54 69 73 83 95 101 103 105 106 113 114 130 141 161 181 182 192 208 210 219 225 229]\n# step=959 row=55 minW=28 found cw of W=26: [1 17 30 34 43 50 62 64 68 79 106 108 122 129 135 142 146 173 184 190 199 200 206 207 213 218]\n#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</si>
  <si>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minW=238 found cw of W=64: [3 4 6 8 10 11 16 20 21 23 24 30 31 39 41 48 54 55 57 60 62 81 83 87 89 92 96 99 104 105 109 110 114 116 119 126 134 136 142 153 160 161 164 169 171 174 175 179 181 182 183 184 193 195 197 198 199 205 206 212 218 220 221 232]\n# step=0 row=1 minW=64 found cw of W=54: [4 9 10 20 21 22 24 30 34 39 40 46 62 66 71 75 81 89 99 104 105 109 114 117 119 134 137 139 142 145 150 151 153 154 160 162 167 179 180 182 183 184 192 193 196 197 204 213 216 218 220 221 230 232]\n# step=0 row=7 minW=54 found cw of W=48: [1 2 10 15 19 24 29 30 34 38 39 47 48 54 60 62 69 71 75 89 104 105 107 109 117 142 148 150 154 157 159 160 173 177 182 183 184 186 187 192 197 205 206 212 218 220 221 236]\n# step=1 row=48 minW=48 found cw of W=46: [1 9 11 18 32 37 38 41 43 46 47 51 63 69 70 77 90 102 111 113 117 120 125 130 136 137 138 140 143 159 167 176 181 192 195 201 205 215 216 217 219 221 222 227 228 235]\n# step=2 row=44 minW=46 found cw of W=44: [1 7 18 19 20 23 27 34 36 43 51 54 60 71 72 80 83 90 98 102 106 112 115 119 130 133 138 139 140 143 151 162 165 169 176 178 191 192 198 201 217 219 222 229]\n# step=3 row=58 minW=44 found cw of W=40: [1 4 10 15 34 35 39 49 56 66 74 76 78 82 83 89 103 108 114 128 134 140 145 147 151 153 159 161 173 182 187 192 197 213 214 219 226 230 234 236]\n# step=6 row=7 minW=40 found cw of W=36: [6 11 12 29 33 38 43 45 47 58 88 90 95 98 112 117 118 122 124 131 137 154 155 158 164 167 170 174 177 187 197 205 210 233 234 237]\n# step=64 row=64 minW=36 found cw of W=34: [9 11 25 26 35 46 53 62 70 78 86 88 89 91 104 120 123 124 132 149 155 157 165 168 169 170 184 193 199 202 203 204 220 234]\n# step=204 row=31 minW=34 found cw of W=32: [4 14 16 27 30 31 35 42 51 58 64 76 78 89 95 106 109 110 111 114 121 151 157 162 168 172 190 209 216 222 230 234]\n# step=473 row=51 minW=32 found cw of W=30: [8 25 34 38 47 59 65 66 69 76 78 79 87 104 113 116 117 119 122 126 138 144 145 155 157 158 195 198 201 227]\n# round=1000 of 10000 minW=30\n# round=2000 of 10000 minW=30\n# step=2619 row=43 minW=30 found cw of W=28: [1 14 21 29 45 51 69 75 88 110 112 113 150 152 154 159 167 172 179 187 189 191 192 203 209 227 229 231]\n#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</si>
  <si>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minW=241 found cw of W=60: [1 13 19 21 25 27 34 35 37 38 39 46 55 58 62 72 76 81 83 87 97 99 100 103 105 106 108 114 117 130 131 135 141 149 153 159 163 167 173 177 180 181 183 186 187 188 195 198 199 206 210 211 218 221 222 229 232 233 236 239]\n# step=0 row=1 minW=60 found cw of W=50: [3 4 13 15 23 26 34 35 36 37 38 39 46 51 61 69 72 93 97 101 103 104 105 106 110 116 117 118 119 131 141 147 149 153 159 163 164 175 177 181 184 185 190 194 195 206 227 232 233 239]\n# step=1 row=23 minW=50 found cw of W=44: [8 10 13 25 28 55 65 68 75 81 86 88 95 102 124 125 130 135 139 143 151 152 155 157 159 161 166 170 173 175 182 185 188 204 205 210 219 223 225 228 231 232 237 239]\n# step=1 row=49 minW=44 found cw of W=42: [2 12 29 31 36 37 44 45 52 53 54 70 75 81 86 91 92 105 111 117 125 130 132 134 137 139 145 150 155 161 162 166 171 185 189 196 204 210 213 217 219 225]\n# step=10 row=4 minW=42 found cw of W=40: [1 6 13 14 15 17 21 30 36 37 49 59 63 70 71 82 83 93 94 95 96 97 116 117 129 134 142 150 151 161 162 163 166 176 181 190 214 219 222 223]\n# step=132 row=10 minW=40 found cw of W=38: [4 17 24 25 28 29 37 55 58 69 74 79 81 84 95 98 115 117 122 125 138 154 155 159 161 175 177 178 184 185 188 189 195 202 205 215 229 235]\n# round=1000 of 10000 minW=38\n# step=1010 row=38 minW=38 found cw of W=36: [2 6 15 41 45 50 62 65 70 82 85 86 97 98 105 110 121 125 127 129 130 142 143 145 147 150 165 175 177 178 185 190 207 209 223 227]\n# round=2000 of 10000 minW=36\n# round=3000 of 10000 minW=36\n# round=4000 of 10000 minW=36\n# round=5000 of 10000 minW=36\n# step=5757 row=2 minW=36 found cw of W=34: [2 4 33 37 39 49 51 53 64 65 69 72 83 87 113 117 127 129 131 133 144 145 149 150 158 162 163 164 167 199 207 230 232 238]\n# round=6000 of 10000 minW=34\n# round=7000 of 10000 minW=34\n# round=8000 of 10000 minW=34\n# round=9000 of 10000 minW=34\n# round=10000 of 10000 minW=34\nRW algorithm upper bound for the distance d=34\n</t>
  </si>
  <si>
    <t># step=0 row=0 minW=244 found cw of W=66: [1 5 8 10 22 24 25 29 35 43 46 49 60 62 63 64 68 72 74 78 79 80 84 86 91 97 106 108 110 111 116 122 124 130 131 133 137 145 147 149 156 157 159 160 161 163 165 170 178 184 186 189 192 203 208 212 214 218 222 224 225 228 234 236 237 238]\n# step=0 row=2 minW=66 found cw of W=62: [2 4 5 8 9 10 21 22 29 35 37 46 48 54 55 56 57 62 63 64 68 70 76 78 84 85 102 108 116 118 125 129 131 133 135 138 143 145 149 151 159 160 162 164 165 167 170 171 172 184 189 191 206 208 212 214 217 218 225 238 241 243]\n# step=0 row=4 minW=62 found cw of W=56: [2 4 5 10 12 18 21 23 24 29 37 43 48 49 60 62 68 70 73 79 82 85 91 93 97 99 117 118 124 125 129 130 133 135 143 151 154 156 157 160 163 164 167 178 183 185 186 191 198 206 214 216 222 230 237 238]\n# step=0 row=10 minW=56 found cw of W=54: [8 18 20 22 25 35 37 39 44 46 48 49 56 60 62 63 74 79 82 84 86 91 97 99 101 102 106 116 122 123 125 129 130 137 157 160 163 165 167 170 172 178 183 184 199 201 203 204 208 222 224 225 236 238]\n# step=0 row=13 minW=54 found cw of W=50: [2 4 5 10 21 23 24 28 35 37 39 41 46 54 57 63 76 82 85 109 110 111 116 117 118 135 137 138 143 151 156 157 163 164 167 172 183 185 186 191 192 198 201 203 208 218 224 225 232 237]\n# step=0 row=24 minW=50 found cw of W=46: [4 24 25 35 37 41 43 48 49 50 54 55 56 62 63 64 85 106 108 111 116 117 118 124 129 130 133 135 151 156 162 186 189 192 198 203 212 214 217 218 224 225 226 232 237 243]\n# step=5 row=51 minW=46 found cw of W=44: [7 8 11 15 23 27 28 30 43 46 47 50 54 55 57 60 82 91 92 96 99 104 109 119 131 136 138 141 143 161 163 169 170 172 180 189 192 200 205 208 209 216 224 242]\n# step=5 row=63 minW=44 found cw of W=42: [1 6 8 10 26 28 30 41 42 46 47 75 80 89 91 93 94 99 111 114 115 123 127 135 148 150 156 161 163 168 174 175 180 188 190 195 196 203 209 216 229 231]\n# step=34 row=17 minW=42 found cw of W=38: [8 12 14 16 28 29 31 39 40 48 52 61 68 93 95 98 101 109 110 112 120 126 129 133 142 143 145 150 170 178 179 182 202 207 224 226 230 231]\n# step=253 row=10 minW=38 found cw of W=36: [6 14 20 26 27 34 38 52 61 68 69 71 80 94 95 103 129 139 142 143 149 150 168 175 182 184 188 189 196 200 210 214 220 224 233 242]\n# step=284 row=0 minW=36 found cw of W=32: [1 6 12 32 36 37 46 48 53 54 58 70 79 82 87 93 98 113 117 118 127 138 139 153 179 210 215 216 219 232 234 241]\n# round=1000 of 10000 minW=32\n# round=2000 of 10000 minW=32\n# round=3000 of 10000 minW=32\n# round=4000 of 10000 minW=32\n# round=5000 of 10000 minW=32\n# round=6000 of 10000 minW=32\n# round=7000 of 10000 minW=32\n# round=8000 of 10000 minW=32\n# round=9000 of 10000 minW=32\n# step=9946 row=89 minW=32 found cw of W=30: [10 16 19 31 55 68 71 76 78 91 110 112 115 136 141 147 153 154 178 181 191 196 222 228 230 233 234 235 238 240]\n# round=10000 of 10000 minW=30\nRW algorithm upper bound for the distance d=30\n</t>
  </si>
  <si>
    <t># step=0 row=0 minW=247 found cw of W=70: [3 6 7 12 13 23 24 25 29 30 40 42 45 46 49 51 52 55 58 60 64 66 72 76 77 83 85 86 89 95 99 113 116 117 128 133 137 140 141 145 146 156 158 159 161 165 168 170 176 181 187 188 189 193 194 195 198 199 204 206 209 213 216 223 224 227 230 236 238 243]\n# step=0 row=1 minW=70 found cw of W=56: [4 9 14 23 31 37 38 47 52 58 61 64 66 68 74 76 83 86 88 91 94 96 111 119 120 122 127 131 141 142 143 144 145 146 149 158 165 170 176 187 193 195 204 209 211 213 216 222 223 224 226 227 230 231 232 238]\n# step=0 row=55 minW=56 found cw of W=46: [3 8 9 12 24 25 27 31 37 38 47 51 52 60 85 89 91 94 107 109 111 113 116 119 120 127 131 133 140 141 144 161 171 172 188 193 198 209 211 213 216 222 223 224 226 243]\n# step=3 row=82 minW=46 found cw of W=44: [2 19 25 44 49 51 58 59 66 76 77 91 107 109 112 116 118 133 135 141 142 143 148 150 152 163 166 173 183 191 194 198 200 208 213 217 222 224 225 232 234 240 241 245]\n# step=4 row=50 minW=44 found cw of W=42: [14 20 33 34 41 45 48 60 79 83 86 87 96 109 115 116 118 119 120 124 125 127 129 133 137 142 165 168 169 184 191 200 201 202 205 206 207 211 212 215 219 243]\n# step=75 row=6 minW=42 found cw of W=40: [6 7 12 15 16 23 28 34 39 46 57 87 88 89 97 105 123 125 144 145 146 148 156 162 169 176 180 192 198 203 205 207 210 221 226 227 228 230 238 244]\n# step=378 row=35 minW=40 found cw of W=38: [17 34 39 48 51 52 62 65 68 76 77 79 84 88 91 94 99 119 121 126 134 144 158 161 163 166 170 173 176 198 201 208 212 215 229 232 241 245]\n# step=537 row=62 minW=38 found cw of W=36: [3 9 10 13 17 37 43 44 46 47 53 61 62 81 91 92 95 99 103 105 106 119 129 135 148 167 185 187 188 207 208 210 225 226 230 245]\n# step=742 row=31 minW=36 found cw of W=34: [1 10 18 21 29 36 39 40 56 57 64 75 77 92 100 103 104 111 116 122 137 141 146 165 186 198 200 203 219 220 221 223 239 241]\n#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</si>
  <si>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minW=250 found cw of W=70: [1 2 4 5 15 20 26 28 34 35 36 39 42 43 45 47 48 49 52 57 69 73 82 84 88 89 91 94 105 114 117 119 122 126 129 130 131 136 139 140 144 152 153 157 162 165 168 170 172 174 177 181 186 188 192 194 197 201 208 211 212 215 218 219 222 227 236 239 240 245]\n# step=0 row=1 minW=70 found cw of W=66: [2 6 7 15 20 26 28 34 39 41 42 45 48 49 51 52 53 55 71 73 81 84 87 97 111 114 115 117 118 122 124 127 129 130 131 134 138 148 154 157 158 167 168 170 172 173 180 181 186 192 197 198 201 208 210 211 212 213 215 218 219 231 239 240 241 247]\n# step=0 row=6 minW=66 found cw of W=64: [1 4 14 15 26 28 34 36 38 41 42 43 45 47 48 49 51 55 66 71 77 81 82 90 91 94 97 117 119 121 124 127 131 134 136 138 139 148 149 153 154 157 165 167 170 173 174 177 181 192 194 208 209 210 211 213 215 219 222 231 236 240 243 247]\n# step=0 row=9 minW=64 found cw of W=62: [1 2 3 7 8 15 19 26 28 34 36 39 43 47 49 51 52 56 66 71 73 82 86 89 97 102 105 111 114 117 118 119 122 126 130 136 144 148 149 160 165 167 168 172 173 174 180 181 188 192 197 201 215 217 218 219 222 227 231 237 239 243]\n# step=0 row=11 minW=62 found cw of W=56: [4 8 23 26 29 38 41 45 47 51 52 53 56 69 71 73 77 84 90 96 103 106 111 118 121 124 125 126 129 130 136 144 148 152 167 170 173 174 179 186 192 194 195 201 208 209 211 212 217 218 222 227 231 237 239 243]\n# step=0 row=22 minW=56 found cw of W=52: [1 7 15 26 29 35 41 42 44 45 47 51 52 53 54 56 57 69 71 82 84 87 90 105 110 118 124 126 127 129 130 132 136 139 140 152 154 165 170 181 188 192 193 195 208 209 211 212 215 217 218 220]\n# step=0 row=37 minW=52 found cw of W=44: [1 7 8 10 15 35 38 47 48 51 53 55 66 84 89 90 91 93 96 103 111 121 125 126 129 131 138 149 153 160 172 179 181 186 194 201 208 209 212 213 217 219 236 243]\n# step=10 row=93 minW=44 found cw of W=42: [12 17 32 34 38 55 58 60 66 70 80 84 95 100 102 103 106 112 114 117 133 134 138 143 149 154 165 167 185 186 189 195 197 198 204 216 217 224 236 237 246 248]\n# step=19 row=16 minW=42 found cw of W=40: [7 10 21 30 38 39 46 60 72 73 79 83 90 93 114 122 125 126 143 149 152 154 161 163 166 187 196 197 204 208 209 212 232 235 237 238 239 244 245 246]\n# step=28 row=71 minW=40 found cw of W=38: [8 18 27 29 33 39 40 43 63 64 69 72 91 93 101 107 110 112 122 124 126 131 136 146 155 156 159 176 190 199 206 207 214 219 230 235 239 242]\n# step=140 row=56 minW=38 found cw of W=34: [17 30 31 34 50 52 55 58 62 71 79 84 96 100 110 114 125 128 135 138 154 155 162 167 179 193 196 200 208 211 216 224 228 238]\n# round=1000 of 10000 minW=34\n# step=1332 row=26 minW=34 found cw of W=32: [3 7 9 37 39 45 50 58 69 92 93 94 97 99 128 133 147 152 156 162 169 173 176 177 180 182 203 205 224 230 239 245]\n# step=1421 row=92 minW=32 found cw of W=30: [3 11 16 30 34 51 63 64 66 76 83 86 94 95 97 99 106 108 113 117 134 149 166 178 180 189 191 229 230 242]\n#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</si>
  <si>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minW=253 found cw of W=68: [1 2 5 7 11 14 15 19 28 33 36 38 41 43 44 46 48 52 67 69 70 71 72 74 76 79 81 88 89 91 99 103 118 120 123 126 131 145 153 156 158 160 163 164 169 170 172 179 182 196 201 202 206 207 209 210 211 212 214 215 216 220 229 235 238 239 248 249]\n# step=0 row=1 minW=68 found cw of W=60: [1 4 7 9 11 14 15 21 25 38 41 42 46 48 52 61 71 72 74 76 77 85 88 91 93 97 99 105 110 114 115 122 126 131 136 138 141 145 156 158 164 165 179 181 182 193 194 198 199 209 214 215 216 222 225 239 244 245 248 249]\n# step=0 row=9 minW=60 found cw of W=56: [1 5 7 9 10 12 19 21 24 25 26 29 33 34 38 48 51 53 61 72 76 77 81 89 93 94 96 103 105 110 117 123 125 137 138 151 155 160 161 169 175 192 193 197 202 206 207 209 216 219 222 229 235 239 240 249]\n# step=0 row=32 minW=56 found cw of W=54: [1 7 19 20 25 26 28 33 41 42 44 51 52 61 69 70 72 79 81 85 91 100 101 103 104 110 114 115 117 126 136 141 143 145 147 163 164 165 184 185 193 196 198 199 209 212 219 225 227 231 237 238 240 248]\n# step=1 row=8 minW=54 found cw of W=48: [14 17 22 28 36 46 52 55 59 61 64 67 69 72 73 79 82 86 87 100 106 110 112 130 131 135 136 139 141 145 148 151 157 166 170 171 182 184 185 194 204 215 219 225 227 237 240 247]\n# step=10 row=73 minW=48 found cw of W=46: [4 6 7 9 11 24 33 36 48 53 55 59 65 75 78 81 85 90 108 117 127 132 136 149 151 152 156 161 162 169 172 175 177 179 204 211 220 221 223 227 235 236 240 243 245 249]\n# step=23 row=78 minW=46 found cw of W=40: [8 12 15 18 39 46 55 62 63 70 71 90 91 92 93 99 102 104 114 119 123 124 132 147 148 154 155 174 175 177 180 188 198 203 208 214 216 223 230 232]\n# step=158 row=25 minW=40 found cw of W=36: [13 21 34 37 41 43 44 48 52 54 74 82 97 99 101 128 131 135 156 162 166 183 185 189 202 205 209 211 215 216 219 220 222 240 242 246]\n#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</si>
  <si>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minW=256 found cw of W=82: [1 12 16 22 24 25 26 38 40 41 44 45 52 54 58 59 60 61 63 64 65 69 70 76 79 80 83 86 95 107 110 111 112 115 117 118 119 122 125 127 129 131 133 139 143 144 150 151 152 153 156 161 165 168 180 182 186 194 197 200 202 203 204 207 208 211 212 215 216 218 222 230 231 233 234 236 237 238 239 240 241 249]\n# step=0 row=1 minW=82 found cw of W=68: [3 4 12 19 24 26 27 29 36 37 38 40 42 61 63 64 65 69 70 77 83 89 100 101 108 112 114 117 118 119 121 122 131 133 135 144 146 150 151 153 156 168 173 182 185 186 189 193 194 196 202 203 204 208 210 212 216 218 220 229 233 234 236 238 239 240 241 247]\n# step=0 row=3 minW=68 found cw of W=64: [3 8 9 21 24 27 31 34 36 40 41 45 50 54 56 59 64 65 69 77 79 88 93 101 107 111 116 117 119 121 125 130 131 135 139 146 150 151 152 155 156 165 179 186 191 192 194 196 197 202 211 216 226 229 231 234 236 237 239 240 241 247 249 250]\n# step=0 row=7 minW=64 found cw of W=60: [3 15 17 21 22 25 26 27 29 36 38 41 50 52 58 63 64 73 76 77 79 83 95 100 107 108 110 111 114 117 118 121 122 135 139 143 155 156 161 168 173 180 187 191 193 197 202 203 207 208 211 222 224 233 234 240 241 243 247 249]\n# step=0 row=8 minW=60 found cw of W=58: [3 12 16 20 25 27 31 36 37 38 40 42 52 54 58 64 69 73 76 79 83 88 96 100 110 112 115 116 118 121 122 125 133 139 143 151 156 161 164 165 168 181 182 185 186 190 200 203 208 212 218 222 234 236 239 241 243 250]\n# step=0 row=15 minW=58 found cw of W=56: [3 15 16 22 26 27 38 39 40 44 45 46 54 64 65 69 80 83 96 100 107 112 115 117 122 129 139 144 146 150 151 153 155 164 168 173 181 186 196 200 202 207 208 209 210 215 216 229 231 234 236 238 239 240 249 250]\n# step=0 row=22 minW=56 found cw of W=54: [8 12 15 24 27 34 38 40 44 46 50 52 60 61 66 69 70 76 77 79 93 111 112 117 118 129 133 135 144 151 153 156 161 164 182 185 194 196 202 203 204 208 210 216 218 222 229 230 231 238 239 240 241 247]\n# step=0 row=35 minW=54 found cw of W=42: [3 7 12 24 26 27 54 56 59 60 63 69 77 79 92 95 115 122 133 139 144 152 153 155 173 180 182 194 196 197 200 207 218 226 230 233 237 238 239 240 247 249]\n# step=51 row=83 minW=42 found cw of W=38: [3 19 22 26 30 38 47 52 78 83 87 99 104 107 110 115 120 124 132 133 137 143 144 162 163 172 173 184 195 196 205 208 209 218 228 229 247 253]\n# step=554 row=49 minW=38 found cw of W=36: [19 33 45 51 57 65 74 75 76 81 90 101 129 135 137 140 150 152 160 161 162 175 186 189 203 214 215 220 221 222 225 227 237 244 247 251]\n# round=1000 of 10000 minW=36\n# round=2000 of 10000 minW=36\n# round=3000 of 10000 minW=36\n# round=4000 of 10000 minW=36\n# round=5000 of 10000 minW=36\n# round=6000 of 10000 minW=36\n# round=7000 of 10000 minW=36\n# round=8000 of 10000 minW=36\n# step=8367 row=76 minW=36 found cw of W=34: [5 22 31 51 61 73 81 90 108 123 136 146 147 148 152 153 158 163 164 168 169 192 193 201 208 232 233 237 238 248 249 251 253 254]\n# round=9000 of 10000 minW=34\n# round=10000 of 10000 minW=34\nRW algorithm upper bound for the distance d=34\n</t>
  </si>
  <si>
    <t># step=0 row=0 minW=259 found cw of W=76: [4 7 11 17 18 19 21 31 32 35 36 37 40 47 49 60 67 75 76 80 85 86 87 92 94 97 102 104 107 110 117 118 119 121 122 123 125 132 133 136 138 144 146 148 153 154 159 165 169 171 172 173 176 178 179 180 188 189 191 196 205 211 212 218 221 222 224 230 234 240 245 247 248 251 252 255]\n# step=0 row=1 minW=76 found cw of W=66: [1 3 5 17 19 21 27 28 31 33 35 36 46 47 51 58 64 67 72 75 76 80 87 89 94 102 107 115 117 122 128 132 133 136 137 138 140 148 153 159 165 170 177 180 188 189 191 199 200 201 205 207 214 222 224 226 230 234 236 244 245 247 248 251 252 256]\n# step=0 row=9 minW=66 found cw of W=64: [1 16 17 18 19 21 31 32 33 34 35 46 48 51 55 60 64 72 75 85 90 104 110 118 120 122 128 132 134 135 137 139 144 152 154 158 165 169 170 171 173 176 188 189 191 193 196 203 205 207 208 214 221 225 227 230 232 236 238 240 247 251 255 256]\n# step=0 row=18 minW=64 found cw of W=54: [3 11 13 17 19 27 28 32 35 37 40 58 59 60 62 69 75 85 89 90 94 97 107 110 118 121 122 123 126 128 132 146 155 159 169 171 176 180 185 189 191 193 196 199 200 208 214 218 230 231 234 245 247 255]\n# step=1 row=77 minW=54 found cw of W=52: [7 9 12 17 23 44 48 50 73 74 78 79 93 95 99 100 101 109 111 114 115 118 120 124 130 132 146 151 155 157 159 160 184 185 186 187 189 197 200 201 204 206 210 218 220 222 232 237 241 243 250 251]\n# step=4 row=36 minW=52 found cw of W=46: [11 19 28 32 34 36 38 46 51 54 69 78 83 84 88 98 101 105 119 122 125 126 132 137 140 145 146 164 165 170 174 183 184 187 200 204 205 206 210 211 212 231 232 241 251 255]\n# step=113 row=62 minW=46 found cw of W=42: [1 3 7 22 26 29 32 53 55 56 68 73 89 90 97 100 114 115 120 140 142 144 148 154 159 169 173 176 179 183 186 194 198 200 204 206 225 226 227 230 234 255]\n# step=204 row=86 minW=42 found cw of W=40: [18 35 37 38 39 44 46 48 51 59 64 67 86 94 110 119 122 124 130 134 135 137 161 169 180 190 196 205 207 208 209 211 218 221 231 236 239 247 255 258]\n# round=1000 of 10000 minW=40\n# round=2000 of 10000 minW=40\n# round=3000 of 10000 minW=40\n# round=4000 of 10000 minW=40\n# step=4308 row=84 minW=40 found cw of W=38: [1 11 14 42 50 66 70 71 77 81 85 86 87 97 100 103 106 114 137 141 146 156 161 171 172 189 192 200 214 222 223 227 232 238 243 247 249 253]\n# round=5000 of 10000 minW=38\n# round=6000 of 10000 minW=38\n# round=7000 of 10000 minW=38\n# round=8000 of 10000 minW=38\n# round=9000 of 10000 minW=38\n# round=10000 of 10000 minW=38\nRW algorithm upper bound for the distance d=38\n</t>
  </si>
  <si>
    <t># step=0 row=0 minW=262 found cw of W=64: [2 3 5 10 17 23 24 29 32 39 44 47 53 55 59 63 66 73 74 75 89 90 91 92 100 104 111 112 116 119 124 126 131 133 134 136 140 143 144 148 151 153 160 161 166 167 178 184 187 197 199 211 220 223 229 230 231 233 235 237 238 249 253 254]\n# step=0 row=2 minW=64 found cw of W=60: [1 4 7 8 10 12 13 14 17 25 31 33 36 40 44 53 55 56 58 60 67 73 86 88 94 95 99 104 112 120 123 124 131 135 136 147 148 151 154 160 166 168 178 184 187 188 205 211 214 222 223 227 229 230 232 235 238 253 255 260]\n# step=0 row=12 minW=60 found cw of W=52: [18 21 24 26 32 33 36 44 45 47 48 49 51 53 55 64 73 85 91 99 100 105 111 112 119 120 126 132 134 135 138 140 146 151 160 167 171 172 178 186 187 195 199 200 210 213 218 223 229 233 254 258]\n# step=16 row=58 minW=52 found cw of W=48: [6 11 12 13 14 29 33 34 44 48 49 53 58 75 82 84 98 99 111 119 121 125 136 140 145 150 155 157 169 170 171 172 180 187 188 198 203 206 207 212 218 222 237 242 244 249 257 259]\n# step=19 row=81 minW=48 found cw of W=46: [3 6 13 18 28 31 42 45 55 69 76 77 80 88 90 92 93 100 101 104 115 118 123 129 134 142 147 152 156 164 167 170 173 175 179 188 191 192 210 219 221 234 239 250 257 260]\n# step=35 row=38 minW=46 found cw of W=44: [2 8 12 17 36 39 42 47 53 60 64 65 84 98 104 110 124 126 129 131 134 140 141 157 158 160 173 176 182 185 186 197 210 211 218 228 234 238 239 244 245 247 258 260]\n# step=95 row=67 minW=44 found cw of W=42: [15 33 34 43 46 55 56 59 61 70 77 78 84 85 99 112 115 117 120 130 133 136 142 146 148 157 164 165 167 168 171 172 186 189 199 202 204 208 223 230 254 255]\n# step=381 row=63 minW=42 found cw of W=38: [9 10 24 31 59 62 63 65 66 75 101 111 121 126 149 154 156 157 161 162 167 169 183 184 188 205 208 213 233 237 239 240 241 243 244 248 254 256]\n#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</si>
  <si>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minW=265 found cw of W=66: [1 4 13 18 19 21 25 29 31 34 36 39 41 42 47 50 53 54 55 56 68 79 89 91 93 108 109 110 111 115 116 119 124 127 128 130 133 135 142 143 144 148 167 173 179 180 181 189 194 195 196 198 199 201 203 204 205 210 216 217 221 226 229 236 244 261]\n# step=0 row=1 minW=66 found cw of W=62: [3 6 9 13 16 17 18 19 25 27 42 47 50 51 53 54 62 68 73 83 84 86 93 94 97 98 111 116 127 128 135 139 142 161 167 169 170 172 174 179 181 186 189 192 193 194 195 199 201 203 204 215 216 218 226 229 238 244 255 257 258 259]\n# step=0 row=61 minW=62 found cw of W=54: [4 7 13 17 18 21 31 42 45 47 50 56 62 71 72 78 84 85 90 91 94 95 97 104 108 109 118 119 130 132 133 135 144 160 166 167 172 173 178 179 180 182 185 189 192 193 194 196 206 220 226 238 247 255]\n# step=8 row=38 minW=54 found cw of W=50: [4 9 11 14 16 20 24 26 30 35 36 50 60 61 64 67 69 72 92 97 99 105 112 120 121 123 127 136 138 149 154 157 158 160 190 192 193 196 202 206 208 209 212 215 224 236 240 242 243 246]\n# step=17 row=5 minW=50 found cw of W=48: [4 5 11 13 15 24 28 29 34 38 39 46 48 59 61 67 76 77 82 86 92 93 99 116 117 127 129 133 142 147 164 172 174 189 191 200 210 214 217 221 222 224 230 237 243 253 258 260]\n# step=38 row=38 minW=48 found cw of W=46: [8 9 12 20 21 24 40 49 55 56 60 74 78 79 81 83 96 97 100 107 115 118 125 128 131 135 144 148 153 167 195 196 197 200 203 206 213 219 223 225 231 241 250 254 257 259]\n# step=58 row=63 minW=46 found cw of W=44: [2 21 25 29 30 39 41 51 52 67 70 73 75 79 89 95 110 113 116 118 123 127 129 143 144 152 161 167 177 178 183 197 198 204 205 211 227 228 231 232 240 243 246 251]\n# step=62 row=27 minW=44 found cw of W=42: [1 3 4 12 14 25 28 39 49 54 82 83 92 99 100 102 106 118 126 130 133 155 162 167 170 171 177 179 187 194 201 204 206 214 215 218 221 225 230 243 250 255]\n# step=205 row=60 minW=42 found cw of W=40: [4 9 18 22 28 30 35 53 59 66 70 83 95 97 99 101 104 106 110 116 127 158 162 170 171 173 180 183 187 189 192 206 211 215 229 235 242 250 258 261]\n# step=901 row=85 minW=40 found cw of W=38: [1 8 9 12 17 30 31 38 52 63 91 98 100 106 111 118 120 121 123 141 151 165 177 179 184 185 186 193 194 199 207 208 209 211 214 228 229 253]\n#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</si>
  <si>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minW=268 found cw of W=76: [1 2 3 6 7 14 16 17 18 20 25 27 28 39 44 48 49 52 59 60 61 66 67 78 79 80 81 84 87 93 94 95 103 106 112 116 117 123 129 133 141 148 149 150 152 155 159 160 163 167 173 179 180 181 182 183 185 194 196 198 201 203 212 217 218 226 227 241 245 248 249 252 257 258 259 265]\n# step=0 row=2 minW=76 found cw of W=68: [2 3 4 7 10 17 18 28 33 39 43 44 46 53 55 56 66 69 74 75 78 87 89 94 106 112 117 118 123 125 133 135 137 138 144 145 146 155 159 163 164 166 167 177 178 180 181 182 183 185 188 196 201 207 211 212 214 217 221 226 227 231 235 247 248 255 265 266]\n# step=0 row=4 minW=68 found cw of W=66: [3 4 6 13 16 18 20 24 28 32 33 43 46 48 56 57 60 62 75 77 78 84 87 89 93 94 105 116 117 123 129 135 137 138 145 147 149 151 160 161 164 166 167 173 177 178 181 183 184 191 196 198 202 205 210 211 212 218 221 227 235 236 249 250 265 266]\n# step=0 row=21 minW=66 found cw of W=64: [2 3 7 16 25 27 46 49 52 54 57 61 62 66 67 69 74 77 80 82 83 84 87 88 96 107 116 117 118 129 135 138 141 143 146 147 154 155 160 161 166 172 173 177 180 181 194 196 203 206 207 218 236 239 240 243 245 247 249 250 252 258 260 265]\n# step=0 row=27 minW=64 found cw of W=62: [2 5 7 8 17 20 27 28 33 40 43 44 46 48 53 55 56 61 67 71 74 77 78 81 83 92 93 96 97 106 117 129 133 135 137 138 144 145 150 151 152 177 180 181 182 183 198 205 211 221 227 231 240 241 245 249 252 255 256 259 261 266]\n# step=0 row=75 minW=62 found cw of W=58: [4 5 6 20 28 33 37 39 48 55 56 57 60 62 74 78 80 83 87 94 95 96 107 112 125 126 133 145 146 149 150 151 152 159 161 168 172 182 185 196 198 201 206 211 214 217 222 226 233 239 241 248 250 252 256 257 258 265]\n# step=9 row=44 minW=58 found cw of W=56: [2 5 10 12 14 23 29 32 39 43 46 47 53 55 57 60 73 74 90 94 96 99 101 107 108 109 112 118 135 136 137 142 146 150 162 164 167 176 179 180 185 192 196 197 198 210 217 221 226 233 238 239 252 253 256 265]\n# step=12 row=27 minW=56 found cw of W=54: [14 20 22 24 25 34 44 47 50 51 57 58 62 74 75 83 91 107 108 109 111 114 119 124 126 127 135 139 144 151 163 164 168 177 180 192 196 197 202 208 212 213 215 216 222 224 225 229 233 235 236 257 261 266]\n# step=14 row=1 minW=54 found cw of W=52: [5 6 7 8 11 19 24 29 41 48 50 54 58 63 67 72 76 86 87 88 89 94 102 108 113 119 126 130 137 139 156 157 164 165 176 177 178 184 185 186 189 191 207 208 215 232 236 241 246 250 253 264]\n# step=19 row=3 minW=52 found cw of W=48: [9 15 20 23 28 38 39 44 46 50 65 74 78 88 94 95 98 108 112 115 117 127 128 149 152 157 163 167 170 171 176 183 184 193 197 198 204 222 224 228 238 241 243 246 259 260 265 266]\n# step=48 row=25 minW=48 found cw of W=44: [2 4 5 11 16 18 25 30 32 50 56 58 64 66 70 72 73 76 80 84 86 87 93 94 105 107 121 159 161 162 169 180 189 203 208 228 234 236 242 244 254 262 264 265]\n# step=239 row=44 minW=44 found cw of W=40: [6 13 14 18 19 26 33 36 39 65 76 84 86 96 103 107 112 113 115 122 125 128 134 144 165 166 170 175 184 185 191 197 201 202 223 233 243 255 259 262]\n# round=1000 of 10000 minW=40\n# round=2000 of 10000 minW=40\n# step=2719 row=12 minW=40 found cw of W=38: [18 20 23 24 32 47 62 67 75 80 83 84 88 91 106 112 117 139 149 151 156 161 169 177 180 195 196 198 202 206 210 225 228 238 250 253 261 262]\n#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</si>
  <si>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minW=271 found cw of W=80: [2 4 5 8 10 15 16 17 18 19 22 23 26 30 34 38 42 44 48 54 56 57 61 62 63 65 66 67 74 83 89 91 92 95 96 98 99 100 106 109 111 115 117 120 126 128 129 138 147 152 155 156 157 177 179 181 184 186 189 195 197 198 201 202 203 205 206 207 214 216 219 222 224 234 236 241 243 254 263 267]\n# step=0 row=4 minW=80 found cw of W=78: [2 4 5 6 8 9 11 13 14 15 19 24 26 29 30 31 33 34 44 59 61 62 63 65 68 72 74 83 84 85 91 92 98 99 101 103 104 109 111 115 117 120 121 123 126 128 134 144 151 155 159 162 164 176 181 184 185 186 195 201 204 205 206 207 209 214 216 218 234 239 242 243 248 249 263 264 265 266]\n# step=0 row=6 minW=78 found cw of W=72: [7 8 9 13 14 17 22 27 28 32 34 53 54 58 59 63 64 65 66 74 77 81 83 84 86 89 91 95 96 97 98 99 103 105 108 117 128 129 134 143 144 148 153 154 155 156 159 164 167 176 177 179 181 185 186 194 195 197 198 202 208 212 214 218 219 224 239 249 261 263 264 267]\n# step=0 row=15 minW=72 found cw of W=70: [1 7 8 9 11 14 18 22 29 30 31 32 49 56 59 62 64 65 72 75 77 83 84 89 91 95 96 97 98 99 101 104 111 120 121 124 126 143 153 154 155 158 162 163 164 165 167 177 179 185 186 198 201 202 209 212 214 216 229 233 236 239 242 243 248 253 254 263 264 267]\n# step=0 row=18 minW=70 found cw of W=66: [2 4 5 6 9 11 14 16 17 18 22 28 31 32 33 38 52 53 54 57 59 62 68 72 83 92 95 99 108 115 119 121 123 128 134 143 146 147 152 158 162 163 167 176 177 184 186 191 194 196 197 202 205 208 209 212 224 232 234 236 239 253 257 263 266 267]\n# step=0 row=36 minW=66 found cw of W=62: [1 2 4 6 14 15 18 22 23 26 28 29 31 33 44 57 61 62 66 68 77 83 84 89 99 101 104 105 111 117 118 119 121 123 126 147 151 152 156 158 163 176 179 181 182 184 186 189 191 198 201 202 203 206 207 216 224 253 257 263 264 266]\n# step=0 row=44 minW=62 found cw of W=58: [4 5 14 15 18 26 29 30 31 33 38 42 44 47 56 57 59 63 64 72 83 85 95 104 108 115 117 120 121 123 124 134 137 143 144 146 147 154 162 163 164 184 195 205 206 207 209 214 218 222 233 234 239 243 253 254 263 265]\n# step=2 row=4 minW=58 found cw of W=56: [1 2 6 8 14 26 29 34 35 37 39 40 44 49 57 71 75 82 85 88 92 94 96 104 116 119 121 124 125 127 132 134 141 145 160 161 163 172 175 178 179 181 184 188 211 219 220 222 229 231 235 237 250 253 255 269]\n# step=8 row=53 minW=56 found cw of W=54: [1 2 4 8 14 21 22 41 44 45 51 56 59 67 69 76 79 86 87 98 104 112 131 134 139 140 145 159 162 168 171 174 175 181 182 184 201 225 229 230 231 235 236 239 247 252 256 258 259 261 264 265 266 267]\n# step=13 row=8 minW=54 found cw of W=50: [3 10 16 25 27 30 38 46 47 49 51 53 59 60 64 68 88 93 100 106 116 117 120 122 128 135 137 139 141 143 149 151 156 158 159 160 163 178 205 206 212 225 226 240 241 244 246 249 250 253]\n# step=131 row=81 minW=50 found cw of W=44: [2 7 24 31 33 48 50 61 63 64 65 66 70 76 89 92 101 106 123 131 132 148 151 152 156 163 179 187 191 196 204 211 221 222 228 230 238 242 243 244 245 250 253 256]\n# step=404 row=87 minW=44 found cw of W=40: [6 16 17 30 33 34 38 40 52 68 79 80 81 92 96 99 106 107 120 123 130 136 142 148 158 164 168 171 172 182 189 214 218 226 238 254 258 259 260 262]\n# round=1000 of 10000 minW=40\n# round=2000 of 10000 minW=40\n# round=3000 of 10000 minW=40\n# round=4000 of 10000 minW=40\n# round=5000 of 10000 minW=40\n# round=6000 of 10000 minW=40\n# round=7000 of 10000 minW=40\n# step=7213 row=20 minW=40 found cw of W=38: [45 47 50 52 53 61 67 88 94 103 104 115 128 131 137 142 143 149 154 165 176 177 184 193 194 205 218 221 225 230 239 241 244 247 255 266 267 268]\n# round=8000 of 10000 minW=38\n# round=9000 of 10000 minW=38\n# round=10000 of 10000 minW=38\nRW algorithm upper bound for the distance d=38\n</t>
  </si>
  <si>
    <t># step=0 row=0 minW=274 found cw of W=76: [1 2 9 10 14 17 24 26 28 40 42 43 58 62 65 66 80 81 82 85 96 101 105 109 111 113 115 119 120 122 125 129 131 134 136 138 139 142 145 149 156 159 160 161 166 169 173 176 183 184 187 191 199 200 202 204 208 211 213 216 220 224 227 229 230 233 236 244 248 250 251 252 257 260 262 263]\n# step=0 row=1 minW=76 found cw of W=68: [2 3 6 7 9 10 14 15 17 20 28 31 33 35 42 45 47 48 51 57 59 60 62 65 70 81 85 86 105 108 114 119 120 122 124 129 133 137 138 139 145 153 156 161 169 176 177 184 185 188 189 191 192 197 202 205 211 217 220 227 228 233 236 239 241 242 260 263]\n# step=0 row=7 minW=68 found cw of W=58: [10 15 17 20 21 26 28 34 35 41 42 47 57 59 60 69 70 80 81 85 97 101 103 108 111 113 115 119 131 132 133 136 138 139 159 160 161 175 188 194 197 203 204 206 208 216 217 222 227 230 239 241 242 250 262 263 266 267]\n# step=0 row=53 minW=58 found cw of W=52: [7 9 18 20 22 25 34 41 42 48 59 67 68 70 71 85 97 98 111 114 120 122 124 125 132 133 137 142 153 160 161 162 169 176 188 191 200 204 205 207 211 213 215 228 230 233 241 244 249 250 251 260]\n# step=3 row=76 minW=52 found cw of W=50: [7 16 34 36 43 50 55 58 67 73 76 79 98 100 104 107 111 113 116 117 118 127 136 137 147 149 155 157 158 175 191 195 202 204 207 208 209 216 225 227 228 232 237 238 246 248 255 258 261 266]\n# step=57 row=57 minW=50 found cw of W=48: [4 7 10 15 18 19 20 32 40 41 42 50 53 56 92 97 98 101 109 110 122 139 156 158 159 162 168 173 183 186 188 197 202 213 214 222 223 224 230 232 235 238 247 249 250 253 259 264]\n# step=77 row=75 minW=48 found cw of W=44: [1 14 19 20 21 37 40 41 43 61 66 75 83 85 86 94 104 105 109 110 112 115 150 152 155 171 174 176 183 185 195 200 202 206 219 222 223 225 241 246 248 257 262 268]\n# step=315 row=71 minW=44 found cw of W=40: [19 40 53 57 58 67 70 75 92 94 103 105 111 131 132 136 144 146 147 149 155 158 161 166 175 176 183 185 194 196 201 202 223 227 237 238 239 246 266 267]\n# round=1000 of 10000 minW=40\n# round=2000 of 10000 minW=40\n# round=3000 of 10000 minW=40\n# round=4000 of 10000 minW=40\n# round=5000 of 10000 minW=40\n# step=5743 row=60 minW=40 found cw of W=38: [3 8 12 29 31 39 44 55 57 60 63 65 67 75 96 99 109 120 130 135 146 151 161 166 172 176 185 187 194 200 213 239 245 247 249 252 263 267]\n# round=6000 of 10000 minW=38\n# round=7000 of 10000 minW=38\n# round=8000 of 10000 minW=38\n# round=9000 of 10000 minW=38\n# round=10000 of 10000 minW=38\nRW algorithm upper bound for the distance d=38\n</t>
  </si>
  <si>
    <t># step=0 row=0 minW=277 found cw of W=60: [1 2 4 6 9 15 18 20 21 24 29 31 37 42 46 72 73 74 79 82 83 84 86 88 98 100 101 104 106 110 113 116 123 124 160 163 164 165 166 174 175 178 185 186 188 192 196 198 199 204 213 216 221 226 230 252 255 263 268 272]\n# step=0 row=24 minW=60 found cw of W=56: [2 24 29 33 35 38 45 50 57 61 62 63 70 72 74 75 79 81 82 87 104 112 116 125 129 131 151 155 164 166 168 173 174 175 180 186 196 204 213 219 221 222 223 229 234 241 243 245 246 254 259 260 263 267 271 272]\n# step=2 row=42 minW=56 found cw of W=52: [3 11 29 32 35 38 39 40 49 58 68 69 70 76 81 84 93 103 117 122 126 127 130 132 137 150 161 162 163 165 170 175 183 185 187 209 213 214 216 218 223 229 233 252 255 257 260 262 265 267 268 275]\n# step=77 row=8 minW=52 found cw of W=48: [5 17 24 25 38 41 43 44 52 60 66 67 82 86 88 90 97 103 129 130 133 135 143 144 147 159 161 164 175 177 180 182 195 201 208 209 221 228 235 239 244 250 253 256 266 267 269 270]\n# step=808 row=46 minW=48 found cw of W=46: [9 18 27 29 35 48 59 62 69 74 84 98 121 127 128 133 137 150 151 154 155 157 166 169 170 175 178 181 190 193 202 211 220 225 229 232 242 247 249 253 261 262 267 268 270 273]\n# step=999 row=68 minW=46 found cw of W=44: [4 7 15 19 20 38 40 43 45 49 58 61 66 69 76 86 88 106 107 112 116 127 137 143 158 169 178 188 191 198 203 208 219 222 224 227 233 235 242 245 253 260 261 272]\n# round=1000 of 10000 minW=44\n# step=1375 row=47 minW=44 found cw of W=42: [8 10 13 41 44 70 107 110 114 122 128 133 136 137 141 143 145 146 152 155 162 167 172 179 192 194 197 199 202 206 214 220 229 233 235 237 238 244 247 259 264 271]\n# round=2000 of 10000 minW=42\n# round=3000 of 10000 minW=42\n# round=4000 of 10000 minW=42\n# round=5000 of 10000 minW=42\n# step=5010 row=51 minW=42 found cw of W=40: [10 17 25 41 49 52 56 79 80 83 97 98 102 113 116 123 140 141 143 148 149 154 159 171 175 189 190 201 205 208 209 215 225 232 235 236 241 246 251 264]\n# round=6000 of 10000 minW=40\n# round=7000 of 10000 minW=40\n# round=8000 of 10000 minW=40\n# round=9000 of 10000 minW=40\n# round=10000 of 10000 minW=40\nRW algorithm upper bound for the distance d=40\n</t>
  </si>
  <si>
    <t># step=0 row=0 minW=280 found cw of W=80: [1 2 4 6 8 9 11 12 18 19 23 28 30 35 42 43 51 55 56 57 59 63 64 65 66 68 70 71 76 81 96 97 99 100 102 104 111 115 122 137 138 145 148 149 158 159 166 174 176 182 187 188 189 193 194 198 205 208 209 214 215 216 221 228 229 230 231 237 238 243 245 249 250 254 256 257 259 262 269 275]\n# step=0 row=1 minW=80 found cw of W=70: [1 3 8 12 15 20 30 32 34 42 43 45 46 51 55 56 65 66 67 68 71 74 76 83 87 91 100 107 120 122 127 133 137 149 152 158 160 164 167 168 176 177 187 189 193 194 198 200 201 206 213 215 216 218 226 228 229 230 231 232 237 241 245 252 254 261 262 270 273 277]\n# step=0 row=3 minW=70 found cw of W=68: [1 4 11 12 13 15 27 28 31 32 35 42 47 55 63 65 71 72 74 77 80 91 97 100 104 106 115 118 124 125 128 133 137 139 140 144 145 148 158 165 166 177 180 182 187 193 198 201 208 211 213 214 226 228 230 232 237 238 249 257 259 260 263 266 270 273 275 277]\n# step=0 row=7 minW=68 found cw of W=60: [6 7 8 12 18 19 25 27 28 31 32 34 45 56 57 59 63 77 81 89 90 95 96 99 100 101 111 115 120 121 122 124 127 138 144 145 149 156 164 167 174 180 182 188 189 198 205 208 211 215 218 237 238 243 245 257 260 263 273 276]\n# step=0 row=50 minW=60 found cw of W=58: [8 11 20 22 32 35 47 51 56 57 59 63 65 67 72 73 77 81 87 104 118 121 122 135 139 140 141 144 148 149 154 158 159 160 164 165 166 174 194 206 208 211 214 215 218 221 228 232 234 241 243 245 247 249 252 257 263 273]\n# step=5 row=32 minW=58 found cw of W=56: [3 5 13 22 25 26 27 31 35 36 37 42 44 53 67 71 72 85 103 105 106 110 112 115 118 124 127 130 137 140 141 146 147 164 170 183 189 191 196 198 203 205 212 213 220 221 222 228 233 234 240 253 258 263 271 276]\n# step=14 row=43 minW=56 found cw of W=54: [5 13 15 16 17 18 24 26 38 39 42 43 48 57 59 61 70 71 80 82 90 106 108 109 110 113 114 116 117 119 129 135 141 154 174 175 179 183 191 204 206 207 209 222 224 225 229 243 245 256 257 266 267 272]\n# step=37 row=76 minW=54 found cw of W=52: [6 8 10 13 29 32 37 52 55 58 82 84 87 107 116 126 127 129 130 137 138 150 158 160 162 170 175 177 185 192 194 196 199 200 209 215 218 219 220 222 230 231 238 241 243 244 251 253 255 263 273 278]\n# step=48 row=29 minW=52 found cw of W=48: [8 10 25 31 37 48 50 52 55 56 57 58 68 71 73 77 82 83 101 103 106 118 125 128 140 147 148 149 161 175 176 184 199 217 218 221 223 233 234 236 238 240 243 244 257 259 263 277]\n# step=290 row=13 minW=48 found cw of W=42: [1 16 17 26 35 36 38 43 47 50 58 63 67 70 78 91 94 105 109 110 119 120 124 128 129 131 132 140 143 153 156 160 171 198 213 217 225 229 244 246 256 277]\n# round=1000 of 10000 minW=42\n# round=2000 of 10000 minW=42\n# step=2971 row=10 minW=42 found cw of W=40: [4 10 12 13 16 27 35 36 41 42 45 46 47 66 69 80 81 97 103 105 109 120 128 129 134 135 137 138 140 142 159 162 170 174 199 230 232 235 263 266]\n#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</si>
  <si>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minW=283 found cw of W=82: [1 2 3 9 10 12 15 17 18 21 22 30 38 43 46 50 51 57 62 63 65 73 74 75 86 88 91 92 95 96 109 112 115 116 120 128 131 132 143 150 160 161 163 168 170 172 176 177 179 182 186 191 197 198 200 205 214 218 222 225 231 234 237 238 239 244 245 250 251 253 254 255 257 261 263 264 266 270 271 273 274 279]\n# step=0 row=3 minW=82 found cw of W=80: [2 3 7 8 12 15 18 19 23 32 43 44 45 49 50 51 54 57 62 63 75 84 86 87 88 91 96 101 102 103 106 109 111 113 117 118 131 134 138 144 148 158 163 165 171 172 175 177 178 179 180 181 182 186 191 197 205 206 212 220 225 228 231 233 237 239 245 250 251 252 257 259 263 265 266 269 271 273 279 280]\n# step=0 row=4 minW=80 found cw of W=76: [2 11 12 13 16 17 18 21 22 28 32 40 43 44 47 49 51 54 57 63 71 74 78 84 86 88 91 92 103 105 106 107 110 113 115 116 118 122 126 128 138 141 143 148 150 157 161 163 165 168 169 177 178 180 181 182 186 190 197 205 206 207 212 222 228 231 239 244 245 255 257 263 266 271 275 279]\n# step=0 row=8 minW=76 found cw of W=72: [8 9 13 16 18 19 21 22 25 30 32 33 38 40 41 45 46 60 61 62 63 84 85 86 96 102 103 107 110 112 113 115 116 119 127 131 132 134 143 148 151 155 157 161 165 170 171 175 178 180 181 186 190 218 220 225 229 233 234 237 242 245 248 250 255 259 264 265 269 273 275 280]\n# step=0 row=12 minW=72 found cw of W=70: [2 10 13 16 30 32 33 35 38 40 41 43 45 46 47 51 57 65 66 73 74 75 85 91 92 97 107 110 111 112 127 132 141 150 151 160 161 163 168 172 175 176 177 179 186 190 191 198 205 206 218 220 223 228 229 231 233 234 239 244 253 255 257 261 263 266 269 270 271 279]\n# step=0 row=23 minW=70 found cw of W=68: [8 9 10 12 17 18 19 22 23 32 33 40 51 55 66 70 71 73 84 88 92 97 102 103 106 116 117 118 120 126 127 128 131 150 151 157 161 163 164 165 168 169 175 178 182 186 191 198 205 206 207 212 214 222 225 228 239 243 244 245 251 254 255 257 261 262 263 269]\n# step=0 row=33 minW=68 found cw of W=64: [8 18 19 21 28 38 40 43 44 50 57 61 62 63 71 73 75 84 86 88 97 102 103 104 115 120 122 128 132 138 144 155 157 158 160 165 168 171 176 178 179 182 186 191 197 198 206 207 214 222 228 231 245 250 252 254 261 262 263 265 270 273 274 280]\n# step=1 row=5 minW=64 found cw of W=60: [7 13 20 23 26 27 30 37 41 44 51 52 55 56 59 61 75 80 83 90 91 92 101 107 116 117 120 130 131 138 139 141 145 150 153 155 159 160 162 182 184 208 210 215 218 224 229 233 235 240 243 253 254 256 263 268 271 276 279 280]\n# step=1 row=45 minW=60 found cw of W=56: [2 18 19 24 30 37 53 59 65 68 75 78 84 87 91 96 100 104 107 112 113 116 128 129 131 135 147 149 150 160 162 167 172 177 181 182 185 194 198 201 210 212 218 222 223 229 243 244 247 253 254 261 263 271 272 276]\n# step=8 row=17 minW=56 found cw of W=54: [5 12 13 15 22 27 32 38 46 53 55 62 63 73 80 89 90 99 106 110 116 127 128 132 133 137 139 140 141 147 149 154 160 170 183 184 201 203 204 215 220 221 222 227 231 233 235 248 250 251 254 261 264 268]\n# step=14 row=2 minW=54 found cw of W=52: [1 11 12 13 24 33 34 36 41 53 57 59 61 65 67 74 81 92 95 106 118 125 127 128 131 135 142 158 159 162 168 177 178 184 199 201 219 224 225 236 241 245 247 249 252 255 256 269 271 272 278 280]\n# step=144 row=61 minW=52 found cw of W=50: [1 7 8 14 17 27 37 44 45 49 52 65 70 72 80 82 92 101 113 135 137 143 149 151 152 165 166 171 176 186 189 196 202 205 207 215 225 229 231 232 233 240 243 245 246 253 258 259 265 268]\n# step=158 row=61 minW=50 found cw of W=48: [1 15 16 18 23 24 33 38 45 48 53 57 58 72 76 77 86 95 99 112 116 123 136 151 152 170 171 175 176 180 181 193 203 204 210 211 212 217 221 226 230 233 236 241 260 269 270 275]\n# step=221 row=81 minW=48 found cw of W=46: [11 16 21 23 30 44 45 47 48 60 71 74 90 102 105 110 115 117 118 122 124 130 138 139 152 154 156 166 169 180 181 184 196 212 216 224 235 236 246 250 259 260 262 263 274 275]\n# step=932 row=63 minW=46 found cw of W=44: [3 7 23 27 33 36 38 51 55 69 77 79 82 85 86 100 115 119 121 130 132 149 161 162 164 171 173 174 180 191 194 195 209 211 213 221 239 255 256 257 258 268 270 273]\n# round=1000 of 10000 minW=44\n# round=2000 of 10000 minW=44\n# round=3000 of 10000 minW=44\n# step=3509 row=53 minW=44 found cw of W=40: [4 9 19 31 39 40 66 70 81 108 113 115 120 126 134 138 146 153 159 160 164 165 183 186 192 197 202 209 214 219 220 227 232 240 247 253 259 269 277 280]\n# round=4000 of 10000 minW=40\n# round=5000 of 10000 minW=40\n# round=6000 of 10000 minW=40\n# round=7000 of 10000 minW=40\n# round=8000 of 10000 minW=40\n# round=9000 of 10000 minW=40\n# round=10000 of 10000 minW=40\nRW algorithm upper bound for the distance d=40\n</t>
  </si>
  <si>
    <t># step=0 row=0 minW=286 found cw of W=60: [1 13 17 20 22 23 24 25 35 46 48 55 61 69 70 83 102 108 112 118 119 120 124 130 134 136 138 139 143 150 151 153 155 157 161 163 175 179 191 197 210 212 219 229 231 233 234 236 246 248 250 251 252 256 258 259 260 270 273 274]\n# step=0 row=25 minW=60 found cw of W=58: [7 8 13 17 23 27 41 43 48 51 55 61 66 68 69 71 86 102 103 108 118 133 135 136 143 145 150 152 153 154 155 157 161 166 167 168 179 180 207 217 228 230 233 240 241 247 248 249 250 251 252 258 259 262 263 274 275 276]\n# step=1 row=76 minW=58 found cw of W=56: [10 11 12 19 20 22 24 41 49 51 54 55 57 61 66 74 79 81 107 114 116 117 118 119 129 131 134 143 144 145 146 147 149 152 174 176 178 180 200 201 210 211 213 224 226 229 231 238 240 242 245 251 256 264 273 275]\n# step=2 row=7 minW=56 found cw of W=54: [3 4 5 6 16 17 25 29 35 41 42 50 52 54 55 65 66 69 73 76 98 99 100 101 105 112 114 120 129 134 141 145 150 156 159 164 200 206 209 219 224 225 229 231 232 236 242 244 251 254 255 256 263 266]\n# step=3 row=90 minW=54 found cw of W=48: [10 11 12 26 35 42 44 47 48 61 69 73 75 77 80 82 99 111 130 131 137 141 142 143 146 156 162 163 164 165 168 175 194 200 201 202 206 216 226 234 236 241 257 258 260 265 267 272]\n# step=19 row=46 minW=48 found cw of W=44: [10 16 18 19 27 31 35 47 62 66 67 74 78 83 85 86 104 111 115 117 122 126 136 142 149 154 157 169 173 178 181 199 200 208 209 210 212 225 231 244 249 256 257 275]\n# step=80 row=81 minW=44 found cw of W=42: [6 7 22 28 30 31 32 41 43 46 65 68 71 78 79 80 101 117 121 123 125 127 130 136 140 141 142 160 163 174 175 180 197 216 221 225 233 235 237 261 268 275]\n# step=580 row=47 minW=42 found cw of W=40: [2 10 15 19 24 28 33 39 51 65 79 84 86 97 102 105 110 114 120 122 127 128 130 146 148 160 163 174 197 214 215 217 218 222 225 229 243 258 274 276]\n# round=1000 of 10000 minW=40\n# round=2000 of 10000 minW=40\n# round=3000 of 10000 minW=40\n# round=4000 of 10000 minW=40\n# step=4834 row=66 minW=40 found cw of W=38: [1 7 9 24 34 41 45 47 49 57 59 61 66 67 69 84 100 102 104 119 140 142 143 144 152 154 161 162 164 170 191 195 224 231 238 251 265 274]\n# round=5000 of 10000 minW=38\n# round=6000 of 10000 minW=38\n# round=7000 of 10000 minW=38\n# round=8000 of 10000 minW=38\n# round=9000 of 10000 minW=38\n# round=10000 of 10000 minW=38\nRW algorithm upper bound for the distance d=38\n</t>
  </si>
  <si>
    <t># step=0 row=0 minW=289 found cw of W=64: [2 3 4 9 10 21 26 34 37 39 52 53 56 60 61 68 80 81 85 87 99 100 101 108 119 121 130 131 133 135 143 145 147 148 150 158 164 171 174 177 181 183 194 197 201 202 204 213 215 217 218 227 239 241 243 245 246 248 252 253 254 267 270 272]\n# step=0 row=1 minW=64 found cw of W=58: [3 4 5 8 10 17 25 26 31 34 37 39 45 51 52 54 59 62 78 80 81 82 87 92 99 100 101 104 108 121 131 133 135 141 143 148 164 177 178 183 185 188 202 204 209 218 223 226 227 239 243 246 251 254 260 270 272 281]\n# step=0 row=2 minW=58 found cw of W=54: [3 6 9 17 21 23 26 27 38 39 44 45 52 54 59 60 88 92 99 103 108 123 124 131 132 135 140 141 143 144 145 148 177 188 198 199 201 204 209 213 215 218 220 227 228 230 239 240 241 246 251 252 273 280]\n# step=0 row=23 minW=54 found cw of W=50: [9 26 32 34 37 38 45 49 51 53 54 56 59 62 72 78 81 88 101 108 116 123 128 133 141 143 144 169 174 177 197 201 204 212 218 219 226 230 239 240 241 243 245 246 248 251 254 264 265 280]\n# step=0 row=24 minW=50 found cw of W=40: [23 25 27 31 32 34 39 44 50 61 63 82 85 87 101 121 124 128 131 135 140 144 145 146 177 178 181 183 197 215 219 220 223 226 227 240 241 253 255 273]\n# step=1 row=100 minW=40 found cw of W=38: [2 6 9 17 18 21 33 42 45 46 54 58 72 74 98 102 103 105 111 129 141 150 152 154 155 167 199 207 209 210 213 234 238 248 251 263 264 266]\n# step=24 row=75 minW=38 found cw of W=36: [14 19 44 46 50 51 54 81 83 89 99 100 103 106 141 146 147 150 153 180 185 187 195 196 199 202 206 211 236 237 238 249 273 275 276 283]\n# step=29 row=106 minW=36 found cw of W=34: [16 18 20 32 50 51 58 59 61 64 70 71 83 89 112 114 116 124 128 155 157 162 164 166 167 179 220 242 243 250 256 258 260 281]\n# step=74 row=36 minW=34 found cw of W=30: [2 23 28 49 58 84 98 102 110 119 123 141 154 159 163 167 172 184 198 206 219 220 237 241 255 259 263 268 276 280]\n#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</si>
  <si>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minW=292 found cw of W=72: [1 3 6 7 11 15 20 21 24 29 32 33 35 43 52 56 59 62 67 70 74 75 77 78 98 100 103 104 105 106 112 121 126 129 131 133 134 140 148 149 150 153 154 157 162 164 169 170 171 175 202 203 205 214 215 227 228 229 230 231 245 247 251 253 254 256 259 264 266 267 269 271]\n# step=0 row=4 minW=72 found cw of W=58: [7 8 9 10 14 17 20 26 29 33 35 39 43 46 52 54 57 58 70 71 75 84 100 105 114 121 123 126 136 140 143 147 148 149 151 154 155 159 161 179 197 201 203 204 208 214 218 227 229 244 245 256 258 264 265 269 276 278]\n# step=1 row=32 minW=58 found cw of W=56: [1 11 14 16 19 21 33 34 37 40 45 52 59 65 78 84 98 102 103 104 105 106 113 116 118 134 137 138 149 150 153 157 158 162 164 175 177 181 199 200 201 202 203 205 208 227 228 235 239 247 250 253 254 255 261 274]\n# step=1 row=65 minW=56 found cw of W=54: [1 4 5 14 17 22 27 30 33 37 49 54 59 60 65 67 76 79 98 102 105 108 119 124 125 127 134 140 151 153 157 159 162 164 168 172 173 177 198 202 205 208 211 222 227 237 243 250 253 256 265 269 273 274]\n# step=2 row=36 minW=54 found cw of W=50: [1 9 11 13 16 27 30 36 40 48 50 51 58 61 64 80 82 106 108 110 113 116 124 127 132 133 140 142 144 153 155 173 183 195 213 229 234 237 239 241 242 244 245 250 255 258 270 274 276 280]\n# step=15 row=21 minW=50 found cw of W=48: [1 7 9 14 18 24 30 32 38 41 48 49 60 63 65 68 83 84 98 101 111 125 127 129 135 138 145 146 154 160 165 168 177 182 198 201 203 212 218 222 251 254 259 265 274 277 278 279]\n# step=48 row=84 minW=48 found cw of W=46: [10 12 21 26 30 32 39 48 49 52 53 57 60 63 67 70 81 85 107 109 114 116 118 123 127 129 140 146 150 155 157 160 164 167 175 182 211 213 233 237 242 246 251 252 272 275]\n# step=133 row=8 minW=46 found cw of W=42: [7 10 15 21 23 28 36 59 69 84 104 107 112 126 138 145 150 151 152 159 165 166 167 172 180 181 215 217 222 223 230 235 242 247 248 249 253 256 262 264 269 277]\n# round=1000 of 10000 minW=42\n# step=1070 row=55 minW=42 found cw of W=40: [4 5 13 16 26 30 36 40 50 56 58 59 65 66 70 79 82 83 119 133 153 155 156 162 163 165 167 179 198 199 207 210 216 220 224 234 244 262 273 277]\n# round=2000 of 10000 minW=40\n# round=3000 of 10000 minW=40\n# round=4000 of 10000 minW=40\n# step=4085 row=83 minW=40 found cw of W=38: [5 11 27 43 45 47 48 63 67 73 80 85 98 102 108 109 121 124 141 145 152 153 164 170 177 180 195 206 218 237 238 239 241 249 250 257 277 279]\n# round=5000 of 10000 minW=38\n# round=6000 of 10000 minW=38\n# round=7000 of 10000 minW=38\n# round=8000 of 10000 minW=38\n# round=9000 of 10000 minW=38\n# round=10000 of 10000 minW=38\nRW algorithm upper bound for the distance d=38\n</t>
  </si>
  <si>
    <t># step=0 row=0 minW=295 found cw of W=90: [2 5 8 11 13 14 18 19 20 22 23 25 32 33 36 37 39 40 44 45 47 48 49 53 62 71 73 79 81 83 88 93 99 104 106 110 116 117 120 121 126 132 134 136 137 138 146 147 160 170 171 172 174 177 178 180 188 189 191 197 198 201 202 207 208 209 210 216 221 224 228 229 230 233 234 240 241 243 249 267 268 270 272 276 277 278 279 284 286 287]\n# step=0 row=1 minW=90 found cw of W=88: [2 7 9 14 19 22 25 29 31 33 36 37 39 43 44 45 48 49 52 53 62 66 69 73 74 81 83 84 91 93 99 102 104 105 107 114 120 121 124 127 132 134 143 145 146 147 150 164 165 170 171 172 174 178 181 188 189 190 191 197 198 200 202 210 212 215 219 221 222 227 229 230 233 235 239 240 243 249 258 263 265 268 272 276 277 280 286 288]\n# step=0 row=2 minW=88 found cw of W=80: [7 8 11 12 15 20 25 29 31 32 37 39 40 44 47 51 62 71 73 74 78 79 84 88 93 99 100 102 104 105 106 113 117 124 126 127 131 136 138 144 149 160 164 170 173 176 181 189 191 197 198 200 202 207 208 215 216 221 222 224 227 228 229 233 234 235 240 242 243 262 267 268 269 270 271 275 279 280 284 287]\n# step=0 row=4 minW=80 found cw of W=76: [1 4 6 7 14 20 26 28 29 31 32 39 40 47 48 52 53 62 71 79 83 84 93 104 105 119 121 127 128 131 138 142 143 146 149 150 164 165 170 173 174 180 183 186 191 197 200 210 216 217 219 222 224 226 227 228 229 235 240 241 243 247 249 258 262 263 267 268 271 272 275 278 279 280 281 284]\n# step=0 row=6 minW=76 found cw of W=70: [2 4 7 11 13 14 18 23 30 37 44 49 51 52 53 65 66 74 75 78 84 88 93 99 102 105 116 117 119 124 131 136 143 145 147 150 160 164 165 170 171 176 191 197 198 207 209 210 215 217 219 222 226 229 233 234 240 241 243 247 249 258 261 263 268 269 270 271 280 284]\n# step=0 row=8 minW=70 found cw of W=66: [1 2 4 13 16 18 19 20 22 23 33 35 46 48 51 71 73 75 78 79 81 84 93 102 114 116 120 126 142 144 146 149 160 165 170 174 176 181 183 186 190 191 197 198 209 215 216 219 224 229 231 240 258 263 267 268 269 271 272 275 277 279 280 281 284 288]\n# step=0 row=29 minW=66 found cw of W=64: [2 7 11 16 22 28 29 31 32 39 40 43 44 51 52 71 83 88 90 93 105 110 117 119 120 126 127 131 132 136 137 138 144 150 170 173 174 177 181 183 188 191 198 207 208 212 215 217 227 228 229 230 234 239 240 242 247 267 268 271 272 275 281 284]\n# step=1 row=58 minW=64 found cw of W=62: [8 10 29 31 36 40 42 48 49 52 56 57 59 64 66 72 75 80 85 92 93 102 109 121 123 124 133 138 150 154 156 157 162 167 170 175 178 181 191 200 204 206 207 219 221 222 225 227 231 232 238 244 245 253 254 262 265 271 273 279 281 288]\n# step=1 row=92 minW=62 found cw of W=56: [3 4 5 8 10 13 37 52 56 63 65 72 78 85 89 92 102 103 111 117 123 128 134 142 150 154 156 157 161 163 165 170 171 175 178 179 199 204 206 215 221 226 232 233 240 254 255 263 269 273 274 276 277 281 285 288]\n# step=4 row=81 minW=56 found cw of W=48: [1 5 7 16 20 37 40 41 42 46 48 53 63 66 69 77 80 81 83 89 90 99 103 118 138 140 141 146 161 171 179 181 191 203 212 233 237 239 242 249 262 265 269 273 276 285 286 289]\n# step=33 row=6 minW=48 found cw of W=46: [24 27 28 34 39 44 56 60 75 80 84 85 86 91 101 105 106 107 122 125 126 132 149 150 154 159 165 173 174 178 183 199 203 204 205 235 240 247 248 256 257 263 272 280 282 287]\n# round=1000 of 10000 minW=46\n# round=2000 of 10000 minW=46\n# step=2792 row=24 minW=46 found cw of W=42: [1 14 15 39 40 44 46 47 50 51 63 70 74 77 86 89 90 92 99 107 112 113 126 137 142 144 145 148 161 168 172 175 180 184 187 190 205 224 236 247 278 286]\n#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</si>
  <si>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minW=298 found cw of W=90: [1 3 4 7 11 15 20 21 26 31 33 41 43 56 57 58 63 64 65 68 69 71 83 84 87 92 102 103 106 108 109 110 114 117 118 123 130 131 137 138 140 142 143 146 148 160 162 164 165 168 170 173 174 181 182 186 188 189 190 199 207 208 216 217 218 219 222 224 230 231 236 237 242 245 247 254 255 256 259 262 264 266 272 273 280 282 287 288 289 290]\n# step=0 row=1 minW=90 found cw of W=74: [2 7 9 10 11 20 21 25 31 33 42 43 45 56 58 65 67 69 72 83 84 87 91 92 93 101 106 110 118 124 130 137 141 143 151 154 158 164 165 168 170 173 179 182 184 188 191 207 208 217 218 219 231 236 241 242 243 250 253 254 256 257 264 265 269 270 272 278 282 283 285 287 289 291]\n# step=0 row=15 minW=74 found cw of W=72: [1 7 8 10 11 19 25 26 31 41 42 43 46 56 58 59 64 68 69 70 71 87 89 92 106 107 110 117 118 120 124 130 137 140 141 142 145 158 160 168 170 173 174 175 179 180 182 186 188 189 190 199 208 216 219 224 236 254 256 259 262 266 268 272 273 274 278 279 281 288 289 290]\n# step=0 row=16 minW=72 found cw of W=66: [2 7 8 10 19 20 26 33 35 38 43 47 57 61 64 67 83 84 87 89 93 101 102 107 108 117 119 123 134 153 156 158 162 165 170 173 175 182 186 191 192 201 205 207 208 216 217 222 224 231 236 241 245 252 257 259 261 262 264 265 269 272 274 282 287 290]\n# step=0 row=37 minW=66 found cw of W=64: [3 6 7 8 21 27 29 33 35 42 43 48 58 59 64 69 70 71 72 75 102 105 106 107 109 117 126 128 131 134 141 143 146 147 158 168 174 180 181 182 184 188 189 191 208 216 219 230 231 241 242 245 256 262 268 269 270 279 280 281 283 287 288 290]\n# step=1 row=16 minW=64 found cw of W=62: [8 9 11 23 26 28 29 30 34 35 40 45 49 52 56 59 68 71 73 78 80 85 87 107 108 120 125 127 129 131 133 136 139 148 150 151 152 155 157 177 182 186 191 209 219 221 227 230 233 235 243 249 251 256 257 266 269 271 278 281 283 290]\n# step=2 row=67 minW=62 found cw of W=54: [3 6 15 17 20 23 28 30 31 32 38 44 59 60 64 74 80 84 92 105 112 116 126 130 137 143 147 149 151 158 159 165 175 178 201 211 213 218 221 225 226 228 230 246 248 250 262 264 272 274 277 278 282 290]\n# step=54 row=81 minW=54 found cw of W=52: [3 19 20 23 26 27 46 47 49 50 52 53 62 66 67 71 76 81 85 92 102 108 120 122 126 131 132 146 149 151 165 166 174 175 176 180 184 207 217 218 219 224 230 231 244 247 251 260 269 273 275 290]\n# step=170 row=11 minW=52 found cw of W=50: [6 7 9 24 26 31 39 40 41 43 52 58 66 68 86 93 105 106 108 112 123 127 130 131 144 150 157 160 163 177 180 211 224 226 230 237 238 239 241 243 249 250 259 262 264 266 276 279 284 291]\n# step=296 row=14 minW=50 found cw of W=48: [9 11 18 32 34 43 52 53 57 59 61 73 80 82 89 91 105 110 116 117 130 133 134 142 151 152 166 169 171 172 179 188 190 192 204 207 215 229 230 233 255 257 259 265 268 270 280 291]\n# step=520 row=62 minW=48 found cw of W=46: [4 8 13 32 35 42 43 44 56 64 66 67 68 70 86 87 103 107 113 125 131 135 139 143 153 169 177 185 189 211 212 224 233 234 238 240 241 252 254 262 264 265 266 276 285 288]\n# step=581 row=28 minW=46 found cw of W=44: [10 11 15 20 23 35 37 39 40 51 57 74 77 81 85 89 93 108 114 119 123 125 134 138 145 167 173 176 180 184 207 208 209 221 222 224 235 238 244 249 255 266 287 291]\n# step=855 row=24 minW=44 found cw of W=42: [4 13 21 25 29 31 32 36 42 43 46 49 52 60 73 76 83 88 103 104 110 112 120 124 128 130 142 145 148 151 159 162 172 175 182 187 203 209 230 234 240 261]\n#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</si>
  <si>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minW=301 found cw of W=90: [1 2 8 12 17 19 22 23 29 30 34 35 36 39 40 44 47 50 52 58 64 65 66 69 71 73 77 79 81 90 102 105 112 114 115 118 124 125 127 129 130 131 134 138 139 140 141 144 149 150 158 164 169 170 171 173 176 179 187 190 192 201 205 208 214 215 217 218 219 222 223 224 225 227 231 235 236 238 241 247 249 252 265 266 270 276 277 281 287 292]\n# step=0 row=1 minW=90 found cw of W=80: [3 7 13 15 25 30 34 38 40 44 47 51 52 65 67 68 71 74 78 81 82 86 87 90 91 103 105 107 108 112 113 114 115 122 124 125 127 129 130 131 132 144 149 154 168 171 176 178 182 184 186 191 192 205 208 212 214 222 224 227 229 231 232 234 238 240 247 249 251 252 254 265 267 274 276 281 284 287 290 292]\n# step=0 row=2 minW=80 found cw of W=72: [5 7 12 13 14 22 23 28 29 33 38 40 47 53 66 68 69 77 86 88 91 101 105 107 113 114 122 125 126 127 129 132 133 134 141 144 149 150 153 154 168 169 176 184 186 187 188 190 191 201 212 223 225 226 227 228 232 234 238 240 241 244 247 249 250 254 266 276 277 284 287 290]\n# step=0 row=8 minW=72 found cw of W=70: [1 14 15 22 24 28 33 35 40 50 51 52 57 58 67 71 74 77 79 81 87 88 91 105 106 107 112 114 115 118 124 127 133 134 141 144 150 154 157 158 171 174 176 179 188 190 191 201 205 206 207 212 218 222 227 228 234 235 240 241 244 251 252 254 267 276 277 281 287 290]\n# step=0 row=11 minW=70 found cw of W=68: [1 8 12 14 15 23 25 28 29 31 36 40 44 50 56 58 66 68 69 74 82 101 105 107 114 118 124 125 131 132 140 141 144 156 157 158 168 169 170 173 176 182 184 187 190 205 207 208 212 215 218 223 224 228 229 232 236 241 250 257 266 270 273 274 276 284 287 290]\n# step=0 row=22 minW=68 found cw of W=66: [1 12 13 14 17 19 25 30 33 34 50 52 53 56 62 69 74 79 81 91 101 112 113 114 115 122 124 125 126 127 130 133 140 141 144 150 153 169 173 174 176 179 187 190 191 192 215 217 219 222 224 226 227 234 240 241 244 252 256 262 273 276 281 287 290 292]\n# step=0 row=58 minW=66 found cw of W=60: [1 7 12 14 17 36 38 39 52 56 67 69 73 74 77 88 91 101 106 108 112 118 122 129 131 132 136 139 141 149 156 169 173 176 177 181 184 187 188 191 206 207 208 214 217 218 222 229 231 232 238 241 249 252 267 274 276 281 284 287]\n# step=1 row=24 minW=60 found cw of W=54: [9 12 15 18 22 28 29 31 40 41 50 56 64 69 78 82 88 101 112 114 115 122 131 141 150 155 157 164 166 168 169 181 188 190 191 192 201 209 214 218 228 229 240 255 256 257 266 268 278 281 282 290 291 292]\n# step=36 row=75 minW=54 found cw of W=48: [2 6 12 15 19 21 24 29 35 42 43 46 50 55 64 67 79 102 106 107 109 112 119 120 135 142 155 157 164 167 179 185 190 191 207 209 215 220 221 224 229 243 246 250 257 285 290 291]\n# step=330 row=16 minW=48 found cw of W=46: [2 11 12 13 19 21 25 31 40 46 52 53 55 88 101 102 110 113 119 132 135 150 155 156 160 164 170 188 201 210 211 212 221 225 231 232 235 240 246 250 252 253 256 260 264 270]\n# step=384 row=57 minW=46 found cw of W=44: [10 25 37 38 40 52 53 58 67 85 106 108 110 111 112 125 130 139 140 149 152 153 165 169 175 178 186 206 208 211 212 230 237 238 239 249 258 265 267 269 275 278 285 286]\n# round=1000 of 10000 minW=44\n# step=1541 row=9 minW=44 found cw of W=42: [12 21 22 24 30 47 50 53 54 55 66 69 72 74 79 86 87 112 116 117 119 121 122 124 130 143 153 154 155 166 169 172 186 187 216 217 219 243 247 250 274 279]\n# round=2000 of 10000 minW=42\n# step=2428 row=43 minW=42 found cw of W=40: [1 4 13 14 18 21 22 25 28 34 37 43 62 75 79 80 82 83 101 104 113 118 121 122 125 128 134 137 143 144 145 179 180 182 183 214 244 245 262 275]\n#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</si>
  <si>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minW=304 found cw of W=84: [1 2 3 4 9 10 11 19 22 23 28 29 31 32 43 50 51 55 56 58 59 63 68 70 71 74 77 82 92 102 103 104 112 125 126 129 138 143 145 146 152 156 158 160 161 162 171 175 180 183 184 186 192 206 211 212 221 224 225 226 227 231 233 234 239 244 245 246 247 252 258 259 260 262 263 265 270 273 279 281 285 287 293 294]\n# step=0 row=1 minW=84 found cw of W=78: [3 4 5 7 8 9 10 13 14 18 19 22 23 31 34 35 37 45 46 49 55 56 59 65 70 73 79 85 104 109 112 120 124 128 131 136 143 145 146 156 158 160 161 162 167 171 174 179 180 183 206 207 209 211 212 213 215 216 220 224 229 232 233 236 239 244 246 248 251 258 259 262 263 267 268 280 284 287]\n# step=0 row=2 minW=78 found cw of W=76: [3 10 11 12 13 14 15 18 19 21 22 26 28 29 34 37 45 46 49 51 55 68 71 77 84 85 86 92 104 106 112 119 120 122 125 127 129 130 131 133 136 142 143 146 152 161 178 180 183 186 207 212 214 215 216 217 224 226 232 234 236 237 239 243 244 248 251 257 262 270 273 281 284 286 288 294]\n# step=0 row=3 minW=76 found cw of W=70: [1 4 9 11 20 28 29 30 32 34 35 41 43 46 53 58 65 68 70 79 86 103 106 112 119 120 121 125 128 129 130 131 146 154 158 161 167 171 178 183 186 187 192 203 204 206 207 211 220 221 226 229 234 236 237 243 245 247 248 259 260 262 267 268 270 279 281 284 287 293]\n# step=0 row=4 minW=70 found cw of W=52: [4 8 12 13 18 24 26 28 37 41 46 51 55 59 64 65 68 70 73 103 109 125 127 129 131 142 146 152 156 160 162 165 171 172 174 187 192 204 206 214 215 220 232 239 247 248 263 267 270 273 288 293]\n# step=6 row=81 minW=52 found cw of W=50: [7 14 29 38 41 57 61 66 73 74 75 78 86 106 108 124 131 132 136 139 153 166 175 176 178 184 185 187 189 190 207 216 225 231 232 233 237 243 254 259 263 267 268 275 279 280 285 286 290 291]\n# step=135 row=1 minW=50 found cw of W=46: [2 3 10 17 30 40 63 68 69 72 73 85 88 91 103 104 109 117 137 141 147 151 164 167 170 172 185 190 210 212 218 219 232 238 248 252 268 270 273 274 275 286 287 290 291 293]\n# round=1000 of 10000 minW=46\n# step=1026 row=17 minW=46 found cw of W=44: [19 26 41 45 49 52 56 64 69 74 78 79 80 85 88 107 114 120 127 130 150 155 157 167 170 171 178 179 181 186 208 215 231 243 247 254 256 266 268 272 276 279 281 290]\n# round=2000 of 10000 minW=44\n# round=3000 of 10000 minW=44\n# round=4000 of 10000 minW=44\n# step=4647 row=23 minW=44 found cw of W=40: [3 7 9 13 19 20 33 38 42 44 50 52 57 59 71 72 83 121 129 141 160 172 183 205 209 211 215 221 230 235 240 242 244 246 252 254 259 274 284 285]\n# round=5000 of 10000 minW=40\n# round=6000 of 10000 minW=40\n# round=7000 of 10000 minW=40\n# round=8000 of 10000 minW=40\n# round=9000 of 10000 minW=40\n# round=10000 of 10000 minW=40\nRW algorithm upper bound for the distance d=40\n</t>
  </si>
  <si>
    <t># step=0 row=0 minW=307 found cw of W=86: [1 2 14 16 22 23 30 33 36 42 43 44 47 49 50 58 62 63 69 71 72 77 79 80 82 86 87 89 96 97 98 100 101 124 125 134 135 144 145 146 151 152 153 155 160 162 164 165 166 168 169 174 179 181 184 191 194 195 198 200 201 202 203 205 206 218 220 234 236 240 251 255 257 264 268 270 271 273 275 284 290 291 296 297 301 303]\n# step=0 row=1 minW=86 found cw of W=78: [3 14 16 18 19 26 30 33 36 39 47 49 50 57 58 62 63 64 65 66 68 73 75 80 81 86 87 96 97 101 105 134 135 140 141 142 152 153 157 160 162 165 167 168 170 173 176 177 188 204 218 220 222 223 230 234 236 240 242 244 251 253 255 259 261 264 266 268 275 277 278 284 285 291 300 301 305 306]\n# step=0 row=3 minW=78 found cw of W=76: [6 8 9 22 23 26 30 39 42 47 48 50 58 62 63 66 68 75 77 80 81 82 87 89 97 100 101 108 120 121 124 125 127 135 144 150 160 165 166 168 169 170 171 177 179 182 184 191 194 195 196 202 203 204 212 213 222 223 229 230 234 237 243 251 254 266 268 271 273 285 291 296 297 298 301 306]\n# step=0 row=4 minW=76 found cw of W=68: [2 6 8 10 14 16 18 19 20 23 36 50 57 58 62 64 65 80 81 86 87 97 108 109 112 122 125 138 141 151 155 157 160 164 166 167 168 169 176 182 184 195 196 204 206 211 212 218 220 222 223 243 253 254 257 259 261 270 271 278 285 286 290 291 297 298 301 306]\n# step=0 row=5 minW=68 found cw of W=64: [7 11 22 23 26 30 42 44 48 49 50 57 62 66 69 71 74 77 79 82 87 97 98 100 113 121 124 125 134 144 146 150 151 152 153 157 162 166 171 173 176 179 181 182 200 202 203 211 223 230 234 236 255 259 261 264 266 268 270 284 286 291 301 305]\n# step=0 row=36 minW=64 found cw of W=52: [2 8 14 20 36 39 49 50 62 65 68 72 80 82 96 99 100 122 141 153 155 162 167 168 170 171 174 176 182 184 188 196 198 202 204 206 212 218 240 253 254 255 257 264 266 270 273 278 290 298 303 306]\n# step=6 row=27 minW=52 found cw of W=50: [2 8 23 28 34 35 43 48 50 54 58 63 75 84 85 87 90 94 95 102 104 110 117 118 125 127 130 136 137 152 156 165 181 186 191 192 204 219 220 229 247 252 262 279 283 289 291 293 298 299]\n# step=157 row=66 minW=50 found cw of W=46: [18 21 31 45 52 59 62 65 68 79 87 92 97 98 99 102 119 120 123 128 140 141 161 164 169 175 181 182 194 204 221 230 235 242 243 249 256 269 271 272 277 284 291 301 302 303]\n# step=167 row=50 minW=46 found cw of W=44: [3 4 16 17 36 40 49 52 62 68 69 79 92 101 106 115 118 119 122 138 151 154 159 161 171 173 180 194 198 199 203 207 217 224 244 261 263 266 272 275 282 283 300 301]\n# step=273 row=81 minW=44 found cw of W=42: [14 22 41 49 53 58 67 80 90 92 93 100 116 120 124 127 130 139 143 151 155 167 177 179 193 194 195 202 204 222 229 232 241 262 269 271 279 281 284 294 295 306]\n# step=710 row=14 minW=42 found cw of W=40: [3 26 27 34 35 42 46 71 82 83 94 100 102 120 128 132 134 144 148 165 171 173 179 184 185 196 198 204 207 222 231 234 236 238 239 267 273 281 300 304]\n#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</si>
  <si>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minW=310 found cw of W=80: [1 2 3 7 10 16 18 20 29 30 34 41 45 65 68 72 75 76 77 83 86 90 92 97 106 115 120 121 129 134 135 137 138 145 147 168 169 171 173 180 181 183 189 190 194 195 200 202 205 207 208 213 216 218 222 223 226 232 235 236 237 238 241 247 248 250 251 272 276 278 281 282 284 286 289 293 296 297 305 308]\n# step=0 row=1 minW=80 found cw of W=70: [1 5 7 18 20 26 29 30 31 34 36 39 54 61 64 66 72 76 77 78 79 82 87 89 92 93 95 96 97 99 100 104 110 115 121 123 129 134 138 139 157 164 167 180 183 193 195 196 198 202 203 211 218 235 236 240 241 245 272 278 282 284 285 286 288 293 295 296 302 303]\n# step=0 row=6 minW=70 found cw of W=62: [1 7 10 15 16 18 36 39 48 54 58 64 65 66 68 78 79 80 83 86 93 102 104 110 120 121 123 134 135 139 145 151 157 161 162 167 168 169 171 173 182 189 190 196 200 205 216 221 222 223 226 237 238 245 248 265 276 284 286 289 293 303]\n# step=0 row=58 minW=62 found cw of W=58: [16 30 39 64 66 68 76 78 79 82 87 89 92 96 97 99 100 115 120 121 123 134 138 142 145 147 148 167 169 181 183 184 190 194 203 218 222 223 224 226 236 237 241 248 250 251 274 282 285 286 287 288 295 297 298 302 303 305]\n# step=0 row=79 minW=58 found cw of W=54: [10 12 18 20 21 29 41 45 54 57 58 63 66 72 77 82 83 86 95 102 115 118 121 123 124 129 140 145 147 148 157 161 171 180 186 189 193 198 205 216 221 232 235 243 247 248 250 263 269 272 274 278 288 296]\n# step=14 row=68 minW=54 found cw of W=50: [5 15 16 22 27 40 43 47 48 59 76 79 87 90 98 106 108 110 118 125 137 140 143 149 151 155 167 176 181 185 190 201 209 213 222 233 240 243 249 252 253 258 265 270 279 282 284 285 288 296]\n# step=71 row=62 minW=50 found cw of W=46: [3 5 16 37 41 42 48 49 57 60 67 76 90 96 102 106 108 120 147 151 154 165 172 182 191 193 197 199 222 223 243 247 248 250 255 257 263 266 268 273 275 282 285 294 300 308]\n# step=406 row=4 minW=46 found cw of W=44: [8 11 13 33 51 54 63 76 78 86 91 93 110 118 120 126 136 143 154 157 166 177 184 189 194 198 199 202 213 214 217 219 221 223 229 246 280 282 284 287 299 301 302 305]\n# round=1000 of 10000 minW=44\n# step=1134 row=9 minW=44 found cw of W=42: [6 7 12 19 23 26 27 29 32 59 64 66 78 88 91 115 118 125 129 130 152 167 169 180 181 194 197 205 212 213 221 225 228 229 235 238 255 265 283 294 300 308]\n# round=2000 of 10000 minW=42\n# round=3000 of 10000 minW=42\n# round=4000 of 10000 minW=42\n# round=5000 of 10000 minW=42\n# round=6000 of 10000 minW=42\n# step=6962 row=103 minW=42 found cw of W=40: [2 3 26 34 61 67 68 69 75 85 92 99 100 112 119 133 143 149 164 168 171 172 188 195 196 202 208 209 215 222 232 236 240 246 252 271 273 281 299 306]\n# round=7000 of 10000 minW=40\n# round=8000 of 10000 minW=40\n# round=9000 of 10000 minW=40\n# round=10000 of 10000 minW=40\nRW algorithm upper bound for the distance d=40\n</t>
  </si>
  <si>
    <t># step=0 row=0 minW=313 found cw of W=82: [4 6 10 11 36 39 43 45 49 52 55 64 67 69 74 76 80 81 83 87 90 99 101 103 104 108 109 113 114 115 118 141 143 144 146 149 153 158 159 163 168 171 174 176 177 179 181 186 187 194 195 202 205 213 214 217 222 244 245 248 250 251 260 262 267 277 278 280 281 282 283 284 285 288 289 290 295 299 306 307 311 312]\n# step=0 row=3 minW=82 found cw of W=76: [2 3 8 11 12 17 20 24 31 35 36 42 43 44 49 52 67 72 73 74 80 90 99 102 103 104 106 107 112 113 114 115 121 127 135 139 141 145 148 150 153 159 171 172 173 174 179 194 202 206 207 217 218 220 228 231 232 244 245 249 250 251 254 260 263 276 277 278 280 281 282 283 288 306 307 312]\n# step=0 row=9 minW=76 found cw of W=64: [2 3 14 17 23 31 34 36 42 44 53 74 76 83 88 91 101 102 103 104 106 107 113 116 118 120 121 135 138 145 148 153 157 158 161 176 186 187 193 194 195 203 205 206 207 217 220 224 231 244 249 250 257 262 265 280 282 284 290 296 297 298 307 312]\n# step=3 row=93 minW=64 found cw of W=62: [2 4 28 31 35 42 46 57 70 74 81 82 84 97 100 102 103 107 108 123 126 132 135 138 139 146 150 151 152 154 164 173 174 178 185 187 188 193 194 196 203 210 211 227 230 242 255 256 258 265 268 277 290 291 297 298 300 305 307 308 310 311]\n# step=4 row=5 minW=62 found cw of W=60: [4 8 12 13 16 17 23 26 28 37 40 42 46 48 54 84 88 93 94 98 100 102 112 114 116 130 133 138 141 142 145 146 158 160 165 184 192 198 206 212 218 221 224 225 231 236 237 242 246 248 249 254 256 264 269 288 292 301 306 308]\n# step=4 row=58 minW=60 found cw of W=58: [5 16 17 26 28 37 38 43 46 53 60 61 74 78 85 93 95 96 97 98 100 103 113 114 121 130 133 137 138 141 142 147 149 165 178 182 197 198 199 201 207 213 217 218 224 236 237 241 242 253 254 261 268 293 302 304 306 308]\n# step=5 row=110 minW=58 found cw of W=52: [4 10 11 13 21 23 24 29 35 36 48 50 58 59 63 70 80 88 103 104 114 115 117 127 128 130 131 133 139 152 154 156 163 174 187 190 194 208 212 229 234 235 244 260 266 271 288 291 294 296 298 311]\n# step=614 row=8 minW=52 found cw of W=44: [1 4 8 13 16 18 24 27 28 41 53 58 62 66 67 78 90 93 100 122 126 131 145 163 170 182 184 197 204 209 212 216 221 224 230 232 236 261 266 267 270 275 288 298]\n# round=1000 of 10000 minW=44\n#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</si>
  <si>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minW=316 found cw of W=92: [1 8 10 11 13 19 27 31 36 37 40 41 44 49 56 66 67 72 73 80 81 86 90 91 99 100 106 107 116 118 126 128 132 134 135 136 155 158 162 167 175 176 179 183 185 188 190 191 195 199 202 208 209 210 212 218 220 229 231 233 239 240 246 247 250 251 254 259 260 263 266 267 272 276 277 280 281 282 283 284 288 291 293 295 301 304 307 309 310 313 314 315]\n# step=0 row=1 minW=92 found cw of W=80: [3 6 11 17 19 23 24 27 29 34 36 42 44 45 48 59 65 75 80 81 90 107 111 113 114 116 126 128 132 134 135 138 140 141 147 150 156 158 162 175 178 180 183 185 188 189 190 195 199 201 210 212 213 218 219 227 229 231 234 240 243 244 245 254 258 261 263 267 269 275 280 283 288 291 293 294 295 304 306 315]\n# step=0 row=7 minW=80 found cw of W=74: [7 11 18 34 36 41 42 44 48 58 59 64 66 67 68 70 72 78 81 100 101 107 109 126 128 132 133 138 139 140 141 147 150 161 167 170 175 189 190 195 202 212 214 217 221 228 231 233 237 238 243 245 251 254 255 258 266 268 269 272 274 275 276 277 278 282 288 291 294 295 300 307 310 311]\n# step=0 row=57 minW=74 found cw of W=66: [10 17 20 23 27 35 41 42 64 65 66 67 68 73 75 78 80 86 90 100 110 115 116 129 133 135 139 147 150 167 170 175 176 178 180 183 185 191 206 208 209 215 221 227 230 233 234 237 238 240 244 245 251 255 272 274 276 277 278 280 281 300 310 311 313 314]\n# step=1 row=16 minW=66 found cw of W=64: [7 11 16 18 26 29 34 38 39 44 47 50 55 60 61 64 70 73 74 75 78 83 91 93 94 104 121 131 137 139 143 155 160 165 169 175 178 180 182 185 188 190 198 202 206 209 217 221 228 239 242 249 254 257 271 284 287 288 290 295 301 304 307 311]\n# step=4 row=75 minW=64 found cw of W=62: [4 14 16 17 19 23 40 43 54 63 75 76 92 97 98 100 108 113 117 119 121 122 123 124 129 132 139 148 149 153 169 177 178 180 181 182 194 197 202 203 209 213 214 218 222 228 233 234 237 244 250 254 258 264 273 274 282 283 287 299 310 314]\n# step=11 row=75 minW=62 found cw of W=58: [16 21 28 29 34 35 58 62 66 71 74 87 89 92 95 97 113 121 126 127 130 138 141 148 158 163 167 171 176 179 188 189 194 195 196 203 206 218 232 235 238 239 243 244 245 246 253 263 293 294 297 300 301 302 305 307 308 311]\n# step=118 row=22 minW=58 found cw of W=56: [5 8 12 18 20 23 24 42 47 49 52 53 63 64 66 80 81 86 113 115 119 124 125 133 142 147 148 149 154 157 158 162 168 171 173 175 185 215 220 222 224 228 229 233 234 238 247 253 254 257 267 274 278 280 291 296]\n# step=340 row=32 minW=56 found cw of W=54: [2 3 15 16 19 23 35 46 49 53 56 59 64 73 82 88 97 107 109 121 126 128 139 148 151 156 158 169 172 179 187 189 193 197 199 202 213 214 225 229 231 244 245 253 259 261 266 269 277 283 284 294 302 304]\n# step=586 row=48 minW=54 found cw of W=44: [1 3 61 65 69 72 78 88 93 106 108 117 124 130 131 134 139 147 174 176 177 183 185 193 197 198 203 208 210 222 229 235 236 239 244 252 271 275 281 290 302 308 313 315]\n# round=1000 of 10000 minW=44\n#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</si>
  <si>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minW=319 found cw of W=78: [1 2 5 9 12 15 17 18 19 30 32 36 37 40 41 47 49 51 58 60 69 70 73 79 81 89 96 104 108 111 115 116 119 121 124 136 138 139 142 143 146 147 152 153 155 157 158 166 170 179 182 183 186 187 195 202 206 209 210 213 222 224 225 229 231 245 258 264 270 276 281 282 288 289 291 292 312 315]\n# step=0 row=1 minW=78 found cw of W=68: [4 15 17 26 28 37 45 46 51 53 55 60 70 73 80 85 89 96 101 105 107 111 119 121 127 143 144 146 151 152 157 160 161 164 166 168 170 175 179 182 189 191 195 202 206 207 211 213 216 217 225 229 233 238 240 250 252 265 266 270 274 276 281 282 288 292 295 312]\n# step=0 row=3 minW=68 found cw of W=64: [5 7 8 9 15 37 46 51 53 60 73 80 81 85 86 89 94 96 101 104 105 107 115 116 121 127 143 148 157 158 159 164 166 167 170 175 179 183 186 187 191 192 195 202 206 210 211 213 217 219 220 222 233 254 258 264 270 273 276 281 289 306 312 313]\n# step=0 row=22 minW=64 found cw of W=62: [2 3 9 15 17 18 19 26 29 33 36 41 52 54 55 58 60 61 67 68 94 101 108 109 115 116 121 124 127 135 138 139 142 143 144 147 155 158 160 161 166 168 182 183 207 222 229 231 233 238 244 249 250 261 270 273 274 279 280 288 289 306]\n# step=0 row=24 minW=62 found cw of W=60: [8 9 17 18 29 30 32 36 37 40 41 47 52 64 68 70 73 80 81 86 107 115 119 124 135 136 142 144 146 147 152 153 155 158 160 164 170 175 179 186 187 202 207 213 220 225 229 244 249 250 258 261 266 270 280 281 282 298 308 313]\n# step=0 row=72 minW=60 found cw of W=58: [5 8 9 12 17 18 26 32 37 51 52 55 58 67 69 73 80 85 86 101 110 111 115 116 119 123 124 127 138 146 157 158 160 161 167 175 179 182 191 196 216 220 222 224 225 233 238 249 252 266 270 273 279 288 292 298 302 313]\n# step=1 row=54 minW=58 found cw of W=50: [10 19 24 30 31 38 44 46 54 61 66 76 78 83 92 95 101 107 112 116 118 121 125 136 137 144 149 160 167 172 182 189 199 204 207 208 213 218 224 227 236 255 256 258 290 304 305 307 310 314]\n# step=31 row=127 minW=50 found cw of W=44: [3 16 20 23 26 41 44 47 51 53 60 62 72 77 92 96 99 105 109 113 126 133 153 168 173 178 198 202 206 211 219 228 235 238 239 253 256 263 265 272 279 289 311 312]\n# step=281 row=99 minW=44 found cw of W=40: [4 11 27 29 30 32 34 42 53 66 89 93 95 96 100 110 135 138 139 140 143 157 159 169 199 202 206 208 223 239 242 245 249 254 263 275 278 301 307 314]\n# round=1000 of 10000 minW=40\n# round=2000 of 10000 minW=40\n# step=2410 row=117 minW=40 found cw of W=36: [1 10 11 16 18 27 32 33 67 73 101 107 112 122 123 128 138 143 152 166 181 218 222 223 229 230 234 239 245 249 258 272 279 285 287 313]\n#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</si>
  <si>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minW=322 found cw of W=80: [2 7 8 11 17 19 20 25 27 29 32 43 48 54 55 56 67 77 78 79 81 94 96 100 101 102 114 116 118 119 124 126 137 139 147 150 151 153 154 161 162 168 173 174 175 176 180 184 185 201 203 206 207 209 212 216 222 223 226 234 239 241 243 244 254 258 260 261 262 270 275 280 282 283 287 293 295 313 315 319]\n# step=0 row=5 minW=80 found cw of W=70: [7 12 19 20 24 43 45 53 54 55 57 59 65 66 69 73 78 84 93 94 102 103 122 126 131 142 148 150 151 153 154 160 161 162 164 165 168 174 176 182 186 203 209 210 212 221 226 229 234 249 255 258 259 260 261 272 273 275 279 280 281 287 289 292 293 298 307 308 310 319]\n# step=0 row=18 minW=70 found cw of W=68: [3 27 30 32 35 41 56 59 60 62 73 74 77 78 79 84 85 94 101 102 119 137 139 142 146 147 148 158 164 165 167 172 173 174 176 180 184 185 192 200 201 205 209 211 212 217 226 241 253 254 265 270 271 272 273 276 279 280 281 283 288 293 298 307 312 315 318 319]\n# step=1 row=104 minW=68 found cw of W=62: [6 13 21 34 38 45 46 47 55 56 58 67 81 82 85 92 97 100 102 103 104 105 115 120 128 139 145 164 171 172 183 188 195 196 198 199 204 207 209 210 220 222 246 248 259 260 261 269 270 271 272 278 279 281 290 296 299 302 303 305 318 319]\n# step=3 row=24 minW=62 found cw of W=60: [8 12 25 33 34 36 38 45 53 56 57 60 79 91 92 93 114 115 116 123 127 138 139 140 145 152 154 155 160 168 173 175 183 198 199 207 209 221 223 226 230 234 239 245 246 248 250 261 262 270 271 274 275 280 282 290 293 307 314 316]\n# step=11 row=84 minW=60 found cw of W=58: [1 7 15 18 19 25 31 35 38 45 60 65 74 80 81 82 95 99 108 112 113 122 132 137 149 150 157 167 172 174 179 181 188 189 204 206 207 210 219 220 221 232 233 244 245 249 252 256 257 259 264 281 286 294 309 311 314 317]\n# step=83 row=61 minW=58 found cw of W=52: [3 4 24 25 26 31 40 46 60 63 66 68 73 75 77 84 88 89 94 98 101 110 114 118 153 160 167 173 175 180 182 184 187 189 201 208 218 221 225 238 239 240 245 254 267 277 294 296 298 302 303 312]\n# step=277 row=100 minW=52 found cw of W=42: [2 7 10 13 15 34 39 53 75 82 105 114 117 122 123 131 132 135 141 146 154 161 162 164 182 187 189 197 216 227 230 238 239 242 261 267 268 269 271 294 304 319]\n#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</si>
  <si>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minW=325 found cw of W=74: [2 6 8 9 11 14 19 22 34 37 45 58 60 68 72 77 81 84 86 87 95 105 108 110 114 119 123 128 140 145 153 157 169 171 172 186 187 189 191 193 204 207 213 215 224 225 230 231 235 236 238 248 250 265 274 276 277 279 280 284 288 293 294 295 299 300 301 302 303 311 312 315 323 324]\n# step=0 row=1 minW=74 found cw of W=68: [3 7 15 16 29 31 32 37 43 45 54 57 58 59 61 68 72 75 76 77 79 83 91 93 99 115 128 145 151 153 157 158 162 164 165 167 171 172 180 183 187 191 199 200 203 213 219 231 232 236 245 247 248 265 266 272 274 277 279 280 284 292 293 308 309 311 315 321]\n# step=0 row=4 minW=68 found cw of W=66: [7 11 13 15 16 19 22 24 25 31 34 45 57 59 60 61 67 75 79 81 84 86 87 94 99 108 115 119 128 153 158 164 165 167 171 173 175 183 189 202 204 207 215 229 231 232 235 236 238 240 241 247 250 266 272 276 277 279 281 295 300 302 303 312 323 324]\n# step=0 row=5 minW=66 found cw of W=64: [6 11 16 20 22 32 37 43 46 54 57 58 60 79 86 87 102 105 108 114 119 128 136 140 145 151 157 162 164 165 169 171 172 180 186 187 191 200 204 207 215 232 238 244 262 265 272 274 276 277 279 280 288 294 299 302 303 308 312 315 318 321 323 324]\n# step=0 row=7 minW=64 found cw of W=62: [11 15 19 22 24 28 29 37 43 45 54 57 59 60 67 68 72 76 99 102 108 119 123 128 136 140 145 151 153 157 158 162 165 167 173 175 180 187 200 203 204 207 213 235 236 238 240 245 248 265 266 276 281 284 292 295 308 311 312 318 321 324]\n# step=0 row=8 minW=62 found cw of W=50: [1 6 9 11 14 19 22 29 30 42 58 59 76 79 83 93 95 99 105 114 119 158 164 167 172 191 203 204 205 207 215 217 225 230 235 238 245 246 258 266 272 274 280 292 295 309 312 313 321 323]\n# step=2 row=40 minW=50 found cw of W=48: [11 21 28 32 47 50 56 70 76 78 82 89 92 99 109 115 116 117 119 140 143 146 164 167 178 184 191 197 200 208 215 217 223 224 225 237 244 251 254 263 266 275 294 298 299 315 316 323]\n# step=4 row=45 minW=48 found cw of W=44: [22 27 33 54 56 59 60 61 64 83 87 103 110 121 122 128 130 135 141 155 162 163 164 165 167 168 186 187 195 201 211 218 229 230 236 263 271 273 277 280 294 295 299 309]\n# step=16 row=85 minW=44 found cw of W=42: [2 3 38 55 72 73 87 97 98 103 113 116 128 133 136 138 146 149 169 177 189 211 214 218 219 221 224 236 241 244 246 257 271 277 285 288 289 297 303 313 314 322]\n# step=34 row=56 minW=42 found cw of W=40: [16 17 43 55 56 69 80 86 89 100 105 106 125 126 135 141 153 164 177 178 179 188 189 191 208 232 234 243 249 259 261 271 286 287 297 299 302 305 321 322]\n# step=51 row=9 minW=40 found cw of W=38: [13 15 19 20 29 46 52 57 62 63 71 97 104 118 124 127 147 149 160 203 205 206 212 226 229 231 232 236 245 255 257 262 273 278 279 287 311 314]\n# step=54 row=113 minW=38 found cw of W=36: [9 14 16 18 39 67 85 98 107 117 124 126 135 147 152 153 156 167 180 182 186 187 206 230 243 260 261 264 275 283 288 290 294 295 301 323]\n# step=431 row=81 minW=36 found cw of W=34: [10 25 27 35 41 45 53 62 72 73 87 110 116 118 121 126 170 180 187 191 195 218 224 229 234 241 243 251 257 261 269 289 295 299]\n# round=1000 of 10000 minW=34\n# round=2000 of 10000 minW=34\n# round=3000 of 10000 minW=34\n# round=4000 of 10000 minW=34\n# round=5000 of 10000 minW=34\n# step=5792 row=64 minW=34 found cw of W=32: [1 9 15 31 55 75 85 94 102 108 112 117 123 146 176 188 191 209 210 216 217 220 247 254 271 284 291 296 299 301 310 317]\n# round=6000 of 10000 minW=32\n# round=7000 of 10000 minW=32\n# round=8000 of 10000 minW=32\n# round=9000 of 10000 minW=32\n# round=10000 of 10000 minW=32\nRW algorithm upper bound for the distance d=32\n</t>
  </si>
  <si>
    <t># step=0 row=0 minW=328 found cw of W=64: [2 7 11 19 21 36 37 40 41 48 60 65 66 69 74 76 80 85 105 107 108 111 116 124 129 130 145 146 148 149 150 173 174 176 182 185 189 195 196 198 210 213 229 233 237 238 257 266 278 282 284 285 287 291 292 303 304 305 307 319 322 323 325 326]\n# step=0 row=3 minW=64 found cw of W=60: [1 6 15 19 25 27 33 36 39 43 48 59 60 65 76 87 97 100 101 106 110 111 115 116 119 124 138 142 145 150 152 153 168 174 176 178 182 183 185 206 215 220 225 228 237 243 245 247 257 259 262 266 278 285 287 291 292 305 318 319]\n# step=0 row=9 minW=60 found cw of W=58: [1 11 15 16 18 19 36 37 44 45 48 49 69 76 78 81 85 86 92 93 98 101 105 110 116 120 124 125 130 146 158 173 174 178 182 185 187 188 190 210 225 236 237 239 254 262 263 266 282 283 291 297 303 304 310 311 316 323]\n# step=0 row=16 minW=58 found cw of W=54: [1 21 30 33 35 36 40 45 47 49 81 92 100 105 108 110 119 129 138 139 142 149 150 156 157 158 160 163 169 176 188 190 198 216 228 238 239 247 253 254 259 263 266 269 272 278 285 297 307 310 318 323 325 326]\n# step=0 row=26 minW=54 found cw of W=50: [1 27 33 40 44 47 55 60 69 73 86 87 93 97 98 104 107 108 110 118 130 142 149 150 156 157 160 164 174 182 183 195 196 206 227 239 245 259 262 266 269 278 283 287 292 311 316 322 325 326]\n# step=1 row=84 minW=50 found cw of W=48: [4 18 24 60 61 75 76 81 84 99 100 113 121 125 128 133 148 149 151 152 164 166 173 184 195 199 204 230 234 236 237 257 258 260 261 273 275 278 279 282 294 299 302 304 308 313 317 318]\n# step=16 row=54 minW=48 found cw of W=46: [1 5 9 12 22 39 40 86 87 92 94 98 110 112 114 115 116 117 118 139 148 149 152 173 177 184 200 203 207 212 221 224 225 226 230 240 248 261 282 286 293 304 305 309 310 321]\n# step=33 row=138 minW=46 found cw of W=44: [7 32 48 49 56 59 64 65 70 80 85 92 96 98 106 116 124 135 141 147 160 165 168 173 176 179 184 189 194 215 216 233 244 256 266 267 269 283 285 293 310 314 316 325]\n# step=42 row=46 minW=44 found cw of W=42: [5 7 8 11 22 40 44 54 55 56 62 64 68 81 83 88 114 116 117 120 131 145 149 150 153 163 164 172 173 174 194 197 254 259 274 280 281 283 286 299 301 303]\n# step=110 row=76 minW=42 found cw of W=40: [7 14 16 19 22 32 37 39 55 56 62 78 96 108 114 116 126 131 143 148 164 165 171 178 184 187 212 223 232 234 235 237 250 252 255 287 293 314 321 326]\n# step=120 row=108 minW=40 found cw of W=36: [10 18 19 22 23 28 41 42 68 70 93 96 97 98 100 119 127 128 131 137 147 150 151 156 179 192 207 209 241 256 265 286 301 311 314 315]\n# round=1000 of 10000 minW=36\n# round=2000 of 10000 minW=36\n# step=2515 row=132 minW=36 found cw of W=32: [4 18 30 34 40 64 70 93 105 113 119 120 122 139 149 157 173 178 185 196 228 229 231 236 252 266 287 288 294 305 311 323]\n#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</si>
  <si>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minW=331 found cw of W=76: [1 3 10 12 18 24 26 29 42 52 56 59 62 68 71 77 78 84 85 89 92 93 103 104 105 113 120 122 126 134 136 137 140 148 152 155 167 171 175 181 188 193 198 200 202 203 207 214 215 216 221 236 238 247 249 250 258 265 272 276 277 279 281 282 285 288 297 303 304 305 308 309 310 317 323 326]\n# step=0 row=1 minW=76 found cw of W=70: [1 4 11 12 18 22 24 25 29 42 45 56 61 69 77 82 83 89 90 94 103 104 106 108 114 118 122 142 144 148 152 155 162 171 179 182 188 192 195 203 212 214 215 218 221 228 231 238 242 244 245 249 252 254 258 272 276 292 297 298 303 305 309 310 313 314 322 323 325 326]\n# step=0 row=2 minW=70 found cw of W=64: [1 2 5 18 27 32 37 45 52 56 59 61 68 71 72 78 89 90 94 102 108 112 118 122 123 126 129 137 140 142 144 155 166 175 181 182 195 198 200 204 214 218 221 225 228 232 233 236 238 239 250 254 257 272 279 281 285 288 298 305 308 309 322 324]\n# step=0 row=15 minW=64 found cw of W=62: [10 11 18 24 25 26 27 29 34 45 56 59 62 72 74 78 83 85 89 92 94 105 120 122 136 144 148 162 176 195 200 202 203 207 212 215 216 231 232 238 244 245 247 249 258 265 272 276 279 282 286 292 294 298 303 309 310 313 314 317 322 326]\n# step=0 row=25 minW=62 found cw of W=50: [12 22 26 27 42 50 56 69 78 84 85 90 93 104 105 106 122 136 137 140 144 148 152 171 175 176 179 188 193 198 200 212 214 216 242 250 254 258 270 276 281 285 286 303 304 305 308 313 322 325]\n# step=1 row=62 minW=50 found cw of W=48: [1 23 33 42 44 48 56 58 64 66 79 92 94 96 104 107 114 131 143 150 151 154 156 160 162 166 168 174 180 189 206 214 221 224 241 243 260 261 262 266 268 270 272 286 290 312 314 327]\n# step=5 row=80 minW=48 found cw of W=46: [11 21 29 44 50 54 58 67 76 77 81 85 109 121 126 129 131 136 139 153 154 156 168 174 177 179 183 187 191 214 218 219 236 239 246 263 266 270 274 284 289 293 296 305 324 328]\n# step=9 row=46 minW=46 found cw of W=44: [4 17 48 55 64 68 75 76 80 81 91 93 105 113 127 130 135 136 148 154 160 169 174 178 185 186 187 190 201 203 223 224 240 245 246 258 264 268 270 275 279 297 301 325]\n# step=51 row=39 minW=44 found cw of W=40: [1 7 9 23 39 43 44 45 51 53 64 66 76 81 82 83 90 94 102 117 119 133 153 154 163 174 176 193 197 200 221 259 265 271 296 301 302 307 314 322]\n# round=1000 of 10000 minW=40\n# step=1290 row=58 minW=40 found cw of W=34: [7 12 21 33 39 47 84 96 99 124 127 131 142 147 148 162 194 200 206 217 227 232 234 237 252 253 257 258 259 267 272 310 319 327]\n#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</si>
  <si>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minW=334 found cw of W=70: [1 2 16 19 24 28 33 34 40 46 52 53 55 63 65 74 82 85 89 96 99 108 127 128 133 135 139 144 146 151 163 165 166 170 173 174 176 178 182 188 195 197 199 207 210 211 223 224 239 241 244 256 257 268 275 276 281 284 289 293 296 299 304 306 307 308 310 311 322 330]\n# step=0 row=2 minW=70 found cw of W=66: [2 6 9 15 17 23 28 33 36 55 61 62 63 66 71 72 74 82 86 89 96 97 102 118 119 120 122 128 133 134 139 144 157 164 166 170 173 174 178 183 197 199 207 208 211 213 224 228 229 230 233 237 244 258 268 275 281 283 288 289 293 296 304 310 311 322]\n# step=0 row=3 minW=66 found cw of W=64: [7 8 10 15 16 19 34 46 55 60 61 63 65 71 73 74 84 85 96 101 118 119 121 122 123 126 127 128 133 152 156 163 165 166 170 171 173 174 176 182 183 184 188 196 207 233 234 239 241 244 256 263 267 268 274 276 281 283 284 294 296 299 306 323]\n# step=0 row=15 minW=64 found cw of W=62: [17 18 23 24 32 33 40 42 44 46 52 62 65 67 71 73 74 85 89 98 99 101 118 119 123 126 128 129 134 135 143 144 151 155 157 163 165 170 173 176 178 182 183 184 195 196 209 210 211 229 230 234 237 264 276 281 294 296 306 311 322 323]\n# step=0 row=23 minW=62 found cw of W=54: [2 8 9 17 19 23 28 32 33 36 58 67 73 82 85 86 98 101 108 118 119 120 122 134 139 143 144 152 157 165 178 182 183 184 188 209 224 229 233 239 241 258 263 268 276 280 293 294 299 304 307 308 323 330]\n# step=0 row=125 minW=54 found cw of W=48: [2 7 8 17 28 32 36 44 46 52 53 60 61 70 72 74 97 113 118 119 123 126 133 139 143 145 155 157 170 171 183 196 197 208 234 237 239 244 256 258 274 275 281 283 292 296 307 308]\n# step=20 row=128 minW=48 found cw of W=44: [14 25 36 37 52 64 66 71 90 115 125 135 136 138 155 159 162 168 170 175 181 188 194 199 208 226 246 249 258 259 266 270 273 274 279 281 288 292 293 299 305 310 312 319]\n# step=36 row=125 minW=44 found cw of W=42: [3 11 26 32 33 59 61 67 81 83 86 87 99 100 106 114 143 144 172 176 181 184 186 187 188 198 211 217 233 248 281 287 289 292 295 297 298 299 303 305 308 321]\n# step=68 row=125 minW=42 found cw of W=40: [1 2 7 8 9 11 19 25 27 33 34 37 42 44 47 52 73 86 92 136 138 148 155 158 176 184 203 223 224 229 230 231 233 241 255 256 264 274 287 308]\n# step=771 row=101 minW=40 found cw of W=38: [4 14 18 27 28 29 33 36 42 43 54 57 87 91 93 98 103 139 144 147 153 158 165 174 198 209 226 236 240 249 251 265 269 279 285 313 315 325]\n# round=1000 of 10000 minW=38\n# round=2000 of 10000 minW=38\n# round=3000 of 10000 minW=38\n# round=4000 of 10000 minW=38\n# round=5000 of 10000 minW=38\n# step=5672 row=32 minW=38 found cw of W=36: [18 29 30 34 43 48 56 65 84 87 99 107 130 136 140 144 145 154 167 180 195 203 210 218 219 240 241 247 252 255 270 287 291 309 314 330]\n# step=5802 row=0 minW=36 found cw of W=32: [1 3 17 21 32 36 37 49 58 86 97 102 112 114 120 123 134 147 148 152 169 208 213 231 234 239 243 245 254 263 271 308]\n# round=6000 of 10000 minW=32\n# round=7000 of 10000 minW=32\n# round=8000 of 10000 minW=32\n# round=9000 of 10000 minW=32\n# round=10000 of 10000 minW=32\nRW algorithm upper bound for the distance d=32\n</t>
  </si>
  <si>
    <t># step=0 row=0 minW=337 found cw of W=80: [1 2 3 8 10 11 15 18 19 21 33 35 43 50 51 53 60 61 64 70 72 77 85 89 92 93 99 100 114 121 122 127 130 131 143 144 146 147 149 157 158 160 169 172 173 183 184 197 204 207 215 225 227 232 233 235 245 255 256 257 258 261 267 269 270 272 274 275 277 281 288 294 295 301 313 317 319 323 324 327]\n# step=0 row=2 minW=80 found cw of W=74: [1 2 7 10 11 15 21 26 31 35 50 52 53 60 64 71 82 87 88 89 90 92 93 97 99 100 102 114 119 120 122 131 133 138 143 144 147 149 160 166 172 176 177 178 182 183 194 199 200 214 215 225 232 235 239 243 256 261 272 274 276 277 278 289 290 294 313 314 316 317 321 323 324 327]\n# step=0 row=7 minW=74 found cw of W=70: [1 10 11 13 17 25 43 46 50 51 56 58 61 64 68 71 80 86 87 90 92 99 103 123 125 127 133 138 143 149 157 168 169 173 180 182 183 192 197 199 205 207 216 225 234 239 241 245 249 250 255 261 267 269 270 274 275 281 282 288 294 309 310 314 316 317 319 323 327 328]\n# step=0 row=11 minW=70 found cw of W=66: [18 19 21 28 31 46 50 53 61 68 69 71 72 76 82 85 86 87 89 90 93 97 99 102 103 123 127 130 133 146 155 160 166 169 180 183 184 188 192 194 197 199 205 214 235 239 243 252 255 258 267 270 272 274 277 278 281 285 293 304 310 313 314 321 323 327]\n# step=0 row=111 minW=66 found cw of W=60: [8 25 26 43 46 50 53 58 60 61 64 68 70 72 74 77 87 88 89 90 99 100 103 120 121 133 149 155 156 172 176 178 180 182 184 195 199 200 202 207 233 245 249 250 261 268 270 274 277 282 285 290 298 301 307 313 319 323 324 327]\n# step=0 row=121 minW=60 found cw of W=56: [8 11 13 31 46 48 53 58 69 70 76 77 82 86 88 92 99 100 102 103 104 114 120 123 125 127 138 143 158 173 182 188 192 194 195 200 210 214 215 226 239 250 272 277 282 285 293 301 304 307 310 316 322 323 324 328]\n# step=8 row=101 minW=56 found cw of W=54: [3 8 10 14 23 28 41 43 50 53 54 62 69 71 75 88 102 104 115 120 122 125 126 140 149 153 164 165 166 167 172 174 178 184 187 201 215 237 247 261 267 274 276 279 284 290 293 295 296 312 313 326 327 328]\n# step=18 row=61 minW=54 found cw of W=52: [14 21 24 31 37 40 45 48 49 53 62 70 72 80 82 86 88 100 115 117 126 133 139 143 147 151 156 174 177 182 189 194 198 227 229 248 251 259 261 263 264 268 269 272 273 277 289 296 301 304 312 324]\n# step=19 row=116 minW=52 found cw of W=50: [5 6 11 13 22 28 30 32 48 51 55 66 71 90 91 116 117 123 134 137 140 141 142 144 148 156 160 165 167 174 178 181 203 208 212 228 230 237 249 253 260 268 275 277 286 293 295 314 320 324]\n# step=51 row=65 minW=50 found cw of W=48: [7 9 10 12 17 29 33 50 51 58 62 68 80 86 91 92 100 103 121 128 136 139 141 162 169 170 174 180 182 192 198 203 204 208 212 215 231 234 236 240 241 248 251 257 275 281 294 320]\n# step=399 row=50 minW=48 found cw of W=46: [22 24 26 29 40 42 50 58 64 79 82 84 87 92 120 128 131 134 136 157 159 162 170 176 180 183 191 194 197 212 232 240 243 250 253 264 266 269 271 292 295 308 309 311 316 324]\n# step=547 row=32 minW=46 found cw of W=44: [5 13 21 54 59 65 68 76 89 91 94 97 99 119 133 135 136 141 151 154 166 167 171 177 186 191 201 206 209 211 229 231 237 247 248 253 263 266 279 292 298 300 303 315]\n# round=1000 of 10000 minW=44\n# round=2000 of 10000 minW=44\n# step=2457 row=47 minW=44 found cw of W=40: [4 16 18 23 40 54 56 75 77 79 103 122 128 136 145 149 152 156 172 177 185 186 187 189 215 228 234 242 247 248 257 261 268 278 280 284 289 297 298 303]\n#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</si>
  <si>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minW=340 found cw of W=70: [1 7 9 12 15 16 30 31 35 57 59 62 68 70 71 81 82 84 89 92 93 100 101 107 120 122 129 133 163 165 175 176 194 195 198 202 203 205 206 208 212 216 223 224 227 238 241 246 256 257 261 276 278 283 285 289 294 296 297 310 311 316 321 325 326 327 329 333 336 337]\n# step=0 row=1 minW=70 found cw of W=62: [3 7 9 12 13 15 16 25 30 34 38 59 62 70 79 81 82 84 89 92 95 96 101 107 116 120 122 125 128 129 151 163 164 165 167 170 172 175 176 192 197 205 208 215 239 251 256 260 276 277 278 280 283 289 296 307 308 315 322 327 328 333]\n# step=0 row=8 minW=62 found cw of W=60: [7 15 19 20 29 30 35 55 57 60 68 70 71 77 82 84 85 95 96 103 125 132 133 163 165 167 168 170 180 182 190 194 198 202 203 208 209 215 233 238 241 255 256 261 276 278 280 286 293 294 295 296 297 307 308 310 315 316 328 329]\n# step=0 row=15 minW=60 found cw of W=56: [7 9 12 22 24 25 29 31 39 44 50 55 77 79 81 82 85 89 100 103 120 122 134 135 152 157 164 165 168 180 190 192 194 197 212 215 216 222 238 247 250 251 255 257 276 277 278 293 308 310 311 315 325 326 328 335]\n# step=0 row=17 minW=56 found cw of W=52: [9 12 16 25 29 34 38 43 50 59 68 70 84 87 92 101 103 107 122 125 128 129 135 137 151 156 163 176 183 195 205 208 209 223 241 248 250 251 255 260 285 289 294 308 310 313 321 322 327 329 333 336]\n# step=0 row=140 minW=52 found cw of W=50: [7 12 15 22 31 35 60 70 71 77 81 82 89 93 96 97 100 101 125 128 135 140 172 182 183 190 195 202 203 206 209 212 222 224 233 253 257 261 285 286 295 297 307 316 323 325 326 327 335 337]\n# step=1 row=81 minW=50 found cw of W=48: [1 30 36 42 46 47 48 53 54 65 66 67 68 70 85 91 98 100 114 133 135 143 159 160 166 167 179 180 183 191 196 198 200 211 213 215 246 248 262 268 274 291 294 304 309 313 317 328]\n# step=5 row=138 minW=48 found cw of W=44: [19 25 27 33 35 38 41 44 45 72 75 78 80 84 90 94 97 98 122 148 151 157 174 193 209 217 235 245 251 253 259 267 271 287 298 301 304 310 316 320 322 323 324 330]\n# step=52 row=11 minW=44 found cw of W=40: [5 17 19 21 26 27 31 41 54 66 75 100 119 124 130 134 144 156 170 176 179 185 188 200 205 213 231 232 237 245 252 253 267 269 280 283 289 298 313 318]\n# step=782 row=133 minW=40 found cw of W=36: [17 19 29 34 53 65 82 87 90 98 117 118 130 138 159 195 197 200 206 207 211 224 230 231 245 251 255 260 272 279 291 310 316 319 320 337]\n# round=1000 of 10000 minW=36\n# step=1763 row=76 minW=36 found cw of W=32: [116 120 123 124 137 140 141 144 147 156 176 182 192 198 200 215 229 233 236 237 250 253 254 257 260 269 289 295 305 311 313 328]\n#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</si>
  <si>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minW=343 found cw of W=68: [1 5 7 16 18 23 28 29 33 37 38 48 51 53 59 67 68 76 77 80 83 84 88 89 100 107 109 112 115 119 130 131 137 142 147 151 152 155 162 165 191 196 197 198 199 214 219 221 223 224 235 245 246 257 269 281 287 295 296 304 308 310 313 316 317 333 338 340]\n# step=0 row=8 minW=68 found cw of W=58: [6 7 20 29 32 33 38 40 48 51 53 54 66 67 68 76 78 81 85 88 106 109 125 131 134 146 147 152 155 162 165 180 182 183 192 199 203 218 220 224 234 235 239 245 257 268 269 281 282 295 297 304 309 316 317 332 337 338]\n# step=0 row=59 minW=58 found cw of W=50: [5 6 18 19 29 32 33 37 53 57 59 71 75 76 80 83 89 100 106 107 119 133 147 151 153 167 190 191 197 199 203 214 218 220 221 224 234 246 257 260 267 285 287 299 303 305 308 313 332 338]\n# step=0 row=84 minW=50 found cw of W=48: [10 12 18 28 32 33 38 40 46 77 88 89 100 106 128 129 147 149 152 160 167 180 183 184 190 196 202 214 220 221 238 240 242 243 246 256 260 263 268 281 294 297 298 304 305 310 317 335]\n# step=1 row=120 minW=48 found cw of W=44: [7 13 17 24 43 47 49 51 59 67 80 91 101 106 121 127 135 149 159 160 161 165 166 171 181 188 200 215 245 249 252 263 271 273 274 277 280 285 287 302 308 314 319 334]\n# step=12 row=124 minW=44 found cw of W=42: [2 12 14 35 43 46 54 58 59 69 72 74 79 84 85 106 140 141 155 157 168 173 184 186 188 189 198 220 230 240 242 254 255 263 269 274 286 297 298 303 307 313]\n# step=27 row=103 minW=42 found cw of W=40: [3 14 23 29 42 46 50 51 69 73 75 81 87 108 122 128 135 136 138 143 154 163 164 165 183 187 189 201 231 236 249 250 251 252 268 270 274 277 309 336]\n# step=80 row=28 minW=40 found cw of W=36: [16 18 48 52 57 58 76 90 91 109 110 111 132 133 149 152 162 166 170 171 172 208 210 224 244 247 263 266 284 304 318 319 322 324 337 339]\n# round=1000 of 10000 minW=36\n# step=1317 row=42 minW=36 found cw of W=32: [13 17 25 27 36 39 42 71 76 84 89 94 103 104 107 108 127 131 139 141 150 153 156 185 190 198 203 208 217 218 221 222]\n# step=1394 row=81 minW=32 found cw of W=28: [4 19 39 57 71 72 85 109 123 132 133 153 158 171 178 185 188 191 199 223 232 237 246 272 292 300 302 305]\n#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</si>
  <si>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minW=346 found cw of W=94: [1 8 12 13 14 16 20 23 30 35 40 41 43 53 55 57 59 60 61 63 65 67 70 71 72 78 81 83 91 94 98 99 100 106 109 116 120 121 124 127 129 131 134 143 150 158 161 164 167 168 170 172 174 176 178 180 181 182 186 187 192 193 202 206 209 214 215 219 221 224 235 236 238 239 243 249 250 253 258 260 270 271 276 279 282 290 296 300 307 311 313 317 328 334]\n# step=0 row=2 minW=94 found cw of W=82: [5 11 15 16 19 29 30 34 35 42 47 53 55 56 60 65 67 71 73 81 83 85 94 100 103 104 106 116 120 122 124 131 133 135 137 143 144 147 149 150 152 155 157 164 168 170 171 180 182 186 202 206 207 209 215 218 231 237 239 241 245 248 249 250 252 258 260 262 267 270 277 279 290 303 311 313 315 317 321 322 334 336]\n# step=0 row=9 minW=82 found cw of W=74: [6 7 8 11 15 16 22 30 32 37 43 52 59 61 65 66 70 78 85 90 91 94 100 106 109 118 120 121 131 133 135 136 137 143 151 155 158 164 174 176 180 181 192 193 201 202 206 215 224 233 235 237 238 241 245 248 250 251 258 260 262 266 267 270 279 282 300 307 315 316 317 320 324 336]\n# step=4 row=55 minW=74 found cw of W=70: [4 6 11 24 30 31 42 50 51 56 63 64 69 78 79 80 81 86 97 98 100 104 105 121 126 131 132 133 135 147 153 156 166 167 169 178 179 183 184 192 193 194 196 209 212 219 234 246 247 248 250 254 260 261 262 268 271 272 280 282 284 286 298 307 310 316 324 328 330 335]\n# step=11 row=31 minW=70 found cw of W=62: [5 13 14 22 23 32 43 48 63 65 70 73 74 76 78 87 89 95 97 99 103 105 106 126 128 131 147 160 161 170 177 178 180 193 202 204 205 210 217 218 220 221 235 241 244 246 252 253 273 275 276 278 285 292 300 303 304 306 320 327 329 332]\n# step=83 row=37 minW=62 found cw of W=54: [3 6 9 12 20 25 26 28 36 42 56 59 63 71 80 82 87 95 109 121 124 127 131 135 139 140 141 149 160 165 174 186 198 200 202 206 233 246 254 258 264 266 272 275 280 286 293 310 312 313 315 321 325 339]\n# round=1000 of 10000 minW=54\n# round=2000 of 10000 minW=54\n# step=2972 row=36 minW=54 found cw of W=50: [14 19 32 38 39 47 55 57 63 70 93 96 105 107 108 109 116 118 133 134 145 153 161 162 170 181 191 206 220 221 223 231 233 244 248 260 262 269 276 287 293 296 300 306 321 323 326 336 337 339]\n#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</si>
  <si>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minW=349 found cw of W=82: [3 6 12 16 17 31 34 35 38 39 40 43 47 53 63 67 70 74 78 79 84 88 94 96 98 103 108 117 119 121 128 129 133 141 147 150 151 154 155 156 159 167 169 172 175 179 182 183 185 186 190 194 199 200 204 208 210 212 214 218 219 221 222 224 233 237 238 245 248 257 279 283 288 291 298 301 311 315 324 334 337 338]\n# step=0 row=6 minW=82 found cw of W=76: [7 12 18 21 23 26 32 34 36 38 39 40 42 47 75 79 86 90 93 95 101 105 108 117 125 128 129 134 138 139 143 150 154 155 158 163 164 175 183 185 186 192 195 198 202 215 217 218 221 222 233 239 241 245 253 254 258 259 264 268 272 280 291 299 301 302 307 308 314 322 325 327 331 334 338 340]\n# step=0 row=12 minW=76 found cw of W=74: [1 3 7 11 15 16 21 30 35 36 39 46 53 54 74 75 76 78 79 84 88 90 96 101 103 105 121 131 137 139 141 142 146 151 152 154 155 156 158 159 169 179 190 194 198 200 204 212 215 217 219 233 235 237 239 243 248 255 257 258 270 272 274 275 278 286 295 307 308 311 314 322 331 337]\n# step=0 row=32 minW=74 found cw of W=62: [1 13 15 16 18 21 26 35 38 40 42 54 58 59 67 76 90 92 94 95 96 103 108 119 121 122 131 139 143 151 158 167 172 175 192 202 208 210 233 235 237 238 245 248 250 253 255 258 259 270 272 283 286 288 290 299 318 322 327 328 335 340]\n# step=107 row=10 minW=62 found cw of W=52: [17 22 23 26 29 31 38 48 49 53 60 76 89 92 105 123 140 145 146 147 155 157 159 164 167 173 178 209 210 239 249 254 255 256 258 262 270 271 273 275 281 283 285 289 292 294 308 321 324 325 326 337]\n# round=1000 of 10000 minW=52\n# step=1632 row=85 minW=52 found cw of W=48: [3 6 29 34 36 44 51 56 61 73 75 96 103 108 117 119 122 125 139 152 167 172 173 177 182 192 193 204 205 213 219 224 233 241 255 261 266 276 289 298 305 307 308 309 320 321 328 329]\n#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</si>
  <si>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row=1 minW=352 found cw of W=88: [3 5 9 11 12 16 18 22 23 25 27 30 31 32 37 40 44 47 51 55 56 60 68 74 77 82 86 88 118 119 124 125 126 128 129 133 138 139 140 144 146 150 151 153 154 163 165 168 173 184 185 189 192 194 205 211 223 235 236 237 239 241 242 252 255 259 263 264 265 266 267 268 270 274 278 280 281 282 289 294 301 306 308 309 316 320 328 340]\n# step=0 row=5 minW=88 found cw of W=84: [4 5 7 11 12 14 18 27 29 30 31 32 33 35 36 37 40 41 44 51 52 60 66 74 78 84 86 88 95 98 102 103 124 125 128 129 136 138 140 142 144 150 154 158 165 168 169 173 184 193 194 195 201 212 215 220 238 239 242 248 252 253 255 257 259 263 264 265 266 269 270 274 278 282 290 294 300 301 308 310 311 320 322 336]\n# step=0 row=8 minW=84 found cw of W=80: [1 7 12 15 16 19 21 25 26 27 28 29 32 36 40 42 47 51 55 61 72 73 74 76 77 88 95 101 104 105 125 128 129 133 138 139 142 144 145 146 151 159 164 168 178 184 189 192 193 195 205 212 216 217 221 223 235 241 242 245 249 253 256 260 266 268 270 274 289 301 307 308 309 311 312 333 334 335 339 340]\n# step=0 row=27 minW=80 found cw of W=76: [1 4 7 8 9 11 15 16 28 33 35 36 37 40 41 42 44 48 52 53 56 59 72 73 74 76 87 88 93 101 104 105 118 119 124 128 133 136 145 150 152 154 158 159 169 170 179 184 192 202 210 221 222 236 238 242 243 249 253 270 274 278 282 290 293 296 301 306 307 308 309 310 319 321 322 335]\n# step=1 row=80 minW=76 found cw of W=72: [4 7 8 10 11 12 16 22 25 36 37 41 42 45 48 53 54 60 64 73 77 93 100 103 121 123 124 130 137 144 155 158 159 163 165 167 168 170 181 195 197 214 219 220 240 242 244 245 246 247 250 254 256 259 261 270 271 272 279 280 284 285 288 294 307 311 312 314 327 331 334 336]\n# step=2 row=68 minW=72 found cw of W=64: [9 12 22 23 26 31 33 36 40 42 43 51 55 74 81 83 92 107 108 129 139 140 143 144 148 149 153 158 159 160 163 169 170 174 180 190 198 200 206 207 209 217 220 224 243 261 266 267 274 275 280 285 286 287 289 291 297 307 308 323 324 334 337 342]\n# step=34 row=36 minW=64 found cw of W=62: [2 4 12 13 33 34 37 75 79 83 85 93 95 98 104 105 107 120 124 135 138 143 145 148 156 158 160 181 187 192 200 211 221 224 225 236 237 238 241 246 247 252 255 260 262 265 267 268 271 273 275 277 298 304 313 319 327 328 329 332 339 342]\n# step=377 row=36 minW=62 found cw of W=60: [4 9 12 15 18 20 24 38 41 42 55 57 60 62 63 64 68 76 77 79 93 102 103 105 121 126 132 135 152 159 167 172 174 179 181 190 193 196 197 210 211 213 219 220 246 254 258 269 272 275 284 294 297 302 307 311 314 328 330 339]\n# round=1000 of 10000 minW=60\n# step=1379 row=60 minW=60 found cw of W=54: [9 12 14 21 28 38 39 41 43 50 57 58 59 63 68 70 72 82 91 97 103 138 155 158 160 165 173 174 180 181 182 185 186 199 202 208 214 220 243 246 248 262 273 282 284 290 292 293 298 299 303 304 306 319]\n# round=2000 of 10000 minW=54\n# round=3000 of 10000 minW=54\n# round=4000 of 10000 minW=54\n# step=4502 row=34 minW=54 found cw of W=50: [1 7 21 28 30 31 50 51 55 66 75 76 78 91 106 123 127 138 141 143 145 147 167 168 169 170 171 172 174 193 200 208 214 223 235 240 241 244 258 260 265 286 287 288 291 300 309 312 317 331]\n# round=5000 of 10000 minW=50\n# round=6000 of 10000 minW=50\n# round=7000 of 10000 minW=50\n# round=8000 of 10000 minW=50\n# round=9000 of 10000 minW=50\n# round=10000 of 10000 minW=50\nRW algorithm upper bound for the distance d=50\n</t>
  </si>
  <si>
    <t># step=0 row=0 minW=355 found cw of W=98: [1 2 5 6 9 20 24 26 30 35 36 39 40 45 47 52 53 57 61 77 78 81 82 84 89 92 93 98 99 102 104 108 109 119 120 127 128 129 137 140 141 144 147 150 151 152 158 161 163 165 170 173 175 176 179 190 194 195 196 199 200 202 210 211 217 218 220 222 224 227 241 242 246 247 255 256 258 259 260 265 266 268 269 270 271 272 275 279 289 291 294 308 312 325 334 336 342 344]\n# step=0 row=3 minW=98 found cw of W=86: [2 3 12 15 17 20 21 30 31 32 47 55 56 57 58 59 60 64 68 77 79 84 92 98 100 103 104 105 108 119 120 121 139 141 149 150 153 159 160 161 171 173 175 176 177 178 180 181 182 186 190 194 195 197 198 202 210 216 218 220 221 222 223 224 237 248 251 253 256 259 266 271 277 278 279 283 289 292 298 299 308 312 316 338 342 344]\n# step=0 row=12 minW=86 found cw of W=82: [2 3 13 17 24 31 39 40 43 48 52 57 58 59 62 64 68 79 81 84 87 99 100 104 109 120 131 137 147 149 150 151 152 153 158 159 165 166 167 170 173 175 176 177 182 186 190 196 197 199 202 205 217 219 220 223 224 239 253 255 260 265 268 269 270 271 275 277 279 283 285 291 298 308 314 336 337 338 340 341 342 345]\n# step=0 row=49 minW=82 found cw of W=78: [3 6 9 12 16 17 18 20 22 24 25 26 29 34 35 48 55 68 74 77 78 79 81 84 90 91 92 93 100 102 119 127 134 136 140 143 144 147 150 152 159 166 167 173 175 179 181 186 192 195 197 198 199 202 209 210 211 220 223 237 239 242 248 253 256 260 268 271 277 285 293 297 299 314 316 326 336 341]\n# step=1 row=88 minW=78 found cw of W=74: [6 7 18 22 28 32 33 39 52 54 58 60 62 63 70 71 73 74 77 92 95 106 120 124 125 145 148 157 160 161 166 167 170 174 181 186 193 194 201 202 208 210 213 218 224 238 254 258 263 264 266 268 269 278 279 284 285 290 292 294 296 298 304 306 307 309 310 311 312 313 319 320 326 336]\n# step=2 row=112 minW=74 found cw of W=70: [3 5 7 13 20 21 24 27 33 45 52 57 58 64 66 77 80 88 90 93 96 108 123 126 127 132 139 145 149 150 155 156 163 170 182 184 186 198 207 208 209 216 222 225 226 239 243 244 245 249 250 256 260 267 268 269 273 274 293 294 304 313 324 325 327 329 332 334 340 343]\n# step=4 row=95 minW=70 found cw of W=66: [11 22 28 29 31 32 33 34 47 48 50 55 56 57 73 75 79 82 86 87 96 104 129 140 146 149 150 156 158 159 163 169 174 178 191 193 197 201 206 214 216 217 223 265 269 270 274 276 277 281 283 284 286 287 291 293 296 318 319 322 323 324 334 335 340 341]\n# step=5 row=37 minW=66 found cw of W=62: [2 6 14 18 19 20 23 27 35 39 44 50 54 73 75 83 87 94 96 101 106 130 132 136 138 160 161 168 172 181 182 188 203 205 211 217 219 222 238 242 248 255 259 263 271 275 278 279 280 299 300 306 309 311 319 321 329 330 332 335 340 342]\n# step=349 row=25 minW=62 found cw of W=58: [8 9 23 55 58 59 64 66 69 73 77 79 81 89 90 103 104 108 109 122 126 141 146 148 151 167 170 173 177 182 190 191 197 198 199 203 207 208 217 227 240 245 264 266 269 285 288 294 302 305 308 313 316 321 335 339 340 344]\n# round=1000 of 10000 minW=58\n# step=1787 row=61 minW=58 found cw of W=54: [4 6 12 24 29 30 33 43 60 69 70 73 85 88 94 98 103 104 105 122 132 139 141 142 147 159 174 178 187 189 198 206 211 216 223 242 248 250 257 259 266 269 277 279 292 306 307 309 316 321 329 330 339 340]\n# round=2000 of 10000 minW=54\n# round=3000 of 10000 minW=54\n# round=4000 of 10000 minW=54\n# round=5000 of 10000 minW=54\n# round=6000 of 10000 minW=54\n# round=7000 of 10000 minW=54\n# round=8000 of 10000 minW=54\n# step=8957 row=57 minW=54 found cw of W=50: [34 36 39 43 45 53 57 58 72 74 82 89 94 97 105 121 148 152 154 161 164 167 171 175 176 179 182 189 190 192 201 203 207 214 215 239 266 275 281 282 285 297 300 307 318 319 321 330 332 341]\n# round=9000 of 10000 minW=50\n# round=10000 of 10000 minW=50\nRW algorithm upper bound for the distance d=50\n</t>
  </si>
  <si>
    <t># step=0 row=0 minW=358 found cw of W=76: [1 3 4 6 10 12 25 32 36 38 40 46 47 50 55 57 63 64 65 69 74 83 100 109 120 123 125 129 133 136 144 151 158 159 165 167 168 172 176 184 186 203 204 213 216 223 231 234 241 250 252 255 274 276 277 285 286 287 288 291 293 301 302 305 307 312 321 322 323 332 335 338 342 347 350 353]\n# step=0 row=1 minW=76 found cw of W=60: [4 5 7 10 14 24 40 43 46 63 64 69 73 74 83 90 93 94 100 116 126 133 143 148 157 158 159 160 162 165 168 175 202 204 209 212 213 216 220 223 242 243 248 267 276 277 279 287 294 301 302 307 311 312 323 335 338 339 342 354]\n# step=0 row=6 minW=60 found cw of W=50: [5 12 18 23 25 26 38 40 43 45 55 56 61 64 94 95 96 129 133 137 144 145 151 157 162 175 192 210 213 214 223 230 233 243 248 250 252 261 270 278 283 293 299 302 311 329 334 342 349 352]\n# step=3 row=73 minW=50 found cw of W=48: [10 12 16 18 39 51 55 68 71 109 111 114 116 120 136 138 141 151 158 163 190 200 213 221 226 235 237 239 248 250 254 255 256 257 260 270 282 289 293 306 319 332 340 345 347 349 352 356]\n# step=17 row=64 minW=48 found cw of W=44: [9 13 22 24 61 66 87 89 92 93 102 116 119 124 127 128 139 154 167 172 180 186 188 191 206 208 212 221 235 243 246 251 258 260 262 273 286 291 304 305 307 310 330 357]\n# step=209 row=110 minW=44 found cw of W=38: [5 24 31 48 53 79 82 93 96 97 107 112 115 150 157 164 171 194 213 216 223 243 262 276 283 286 290 291 313 317 320 331 332 334 342 345 350 353]\n# round=1000 of 10000 minW=38\n# round=2000 of 10000 minW=38\n# round=3000 of 10000 minW=38\n# round=4000 of 10000 minW=38\n# step=4336 row=129 minW=38 found cw of W=36: [7 13 16 34 38 54 63 71 74 93 97 107 115 126 127 132 135 152 154 175 182 238 246 271 272 273 276 292 294 309 312 331 335 345 353 357]\n# round=5000 of 10000 minW=36\n# round=6000 of 10000 minW=36\n# round=7000 of 10000 minW=36\n# round=8000 of 10000 minW=36\n# round=9000 of 10000 minW=36\n# round=10000 of 10000 minW=36\nRW algorithm upper bound for the distance d=36\n</t>
  </si>
  <si>
    <t># step=0 row=0 minW=361 found cw of W=68: [1 2 4 15 17 26 30 34 38 39 41 44 54 55 59 66 72 73 81 92 98 110 124 141 142 144 146 154 156 158 176 178 180 199 201 206 207 212 218 230 234 239 241 242 255 257 261 262 264 270 276 279 281 284 294 295 296 298 299 300 306 312 313 319 326 327 354 359]\n# step=0 row=1 minW=68 found cw of W=66: [1 2 6 8 15 19 24 30 38 43 44 49 59 62 72 78 83 89 92 98 105 118 122 124 126 128 139 142 148 150 158 159 161 163 164 169 180 198 203 206 207 209 212 213 218 225 230 239 241 244 255 262 264 268 279 281 299 300 302 312 326 327 333 350 358 359]\n# step=0 row=3 minW=66 found cw of W=52: [7 8 11 19 24 30 38 39 41 55 59 68 78 81 83 89 93 105 124 127 128 131 139 158 159 161 167 174 180 195 197 198 203 206 207 213 244 264 270 287 294 295 299 300 308 315 317 321 326 327 329 345]\n# step=0 row=61 minW=52 found cw of W=48: [17 26 30 34 38 43 55 59 62 65 70 75 79 89 93 95 105 110 122 124 137 146 150 154 158 159 163 178 201 213 214 215 242 244 279 295 298 299 302 305 310 315 319 321 329 334 345 350]\n# step=8 row=48 minW=48 found cw of W=44: [3 4 16 22 26 43 45 70 77 89 102 113 118 120 131 132 142 146 149 162 163 165 181 182 184 190 197 222 238 239 243 244 251 252 256 269 282 301 302 304 329 353 359 360]\n# step=223 row=93 minW=44 found cw of W=42: [6 15 16 27 30 50 51 60 61 69 71 72 78 95 99 107 135 137 150 155 171 181 189 191 192 198 214 216 222 227 246 256 257 267 275 290 300 334 335 336 339 342]\n# step=424 row=70 minW=42 found cw of W=40: [10 12 19 39 41 66 72 78 90 107 132 137 139 157 159 160 186 195 198 201 203 211 217 218 227 233 250 257 277 280 281 312 315 321 323 330 331 337 338 353]\n# round=1000 of 10000 minW=40\n# round=2000 of 10000 minW=40\n# step=2860 row=114 minW=40 found cw of W=38: [1 12 19 36 37 42 47 55 58 61 91 98 104 115 121 138 147 157 159 167 178 181 183 209 224 235 252 258 259 267 276 279 282 295 303 329 331 338]\n# round=3000 of 10000 minW=38\n# round=4000 of 10000 minW=38\n# round=5000 of 10000 minW=38\n# step=5097 row=40 minW=38 found cw of W=36: [11 35 45 48 57 58 64 70 76 78 83 91 101 111 129 167 177 178 184 190 194 198 205 231 249 251 275 285 287 288 314 316 323 325 331 341]\n# round=6000 of 10000 minW=36\n# step=6414 row=79 minW=36 found cw of W=28: [4 19 25 41 56 57 64 73 78 81 90 104 109 112 124 139 145 161 176 177 184 193 198 201 210 224 229 232]\n# round=7000 of 10000 minW=28\n# round=8000 of 10000 minW=28\n# round=9000 of 10000 minW=28\n# round=10000 of 10000 minW=28\nRW algorithm upper bound for the distance d=28\n</t>
  </si>
  <si>
    <t># step=0 row=0 minW=364 found cw of W=76: [2 4 7 13 15 17 19 20 33 43 44 48 49 53 61 62 64 66 67 70 71 73 74 77 82 88 91 95 105 113 115 119 125 128 136 138 140 141 142 145 154 157 160 169 178 182 192 194 198 216 222 226 234 236 244 255 263 266 278 281 285 286 291 295 299 304 306 308 309 312 316 324 330 333 343 361]\n# step=0 row=2 minW=76 found cw of W=68: [2 4 13 14 15 20 33 40 43 44 48 49 51 53 55 61 66 71 73 77 83 88 91 98 105 113 115 116 135 138 142 145 154 157 164 169 170 172 176 182 194 198 209 216 219 226 234 240 244 246 255 257 259 262 263 266 278 282 286 295 308 313 325 333 337 357 358 361]\n# step=0 row=9 minW=68 found cw of W=60: [1 2 4 9 15 16 18 20 27 31 33 36 44 48 49 64 66 67 74 95 108 115 117 119 122 130 136 139 141 152 154 160 169 170 182 187 192 194 206 209 229 236 244 246 258 269 278 281 286 303 306 309 313 315 316 327 330 337 359 361]\n# step=0 row=33 minW=60 found cw of W=58: [5 9 13 19 36 40 44 51 53 55 62 64 66 67 73 74 77 88 91 97 108 119 125 136 140 157 160 164 172 176 187 192 198 206 209 218 222 229 246 247 251 255 257 281 282 285 286 295 304 306 309 313 315 316 327 333 343 361]\n# step=0 row=123 minW=58 found cw of W=56: [2 9 12 15 17 18 20 40 50 51 55 61 62 73 82 85 91 93 101 105 108 117 125 130 139 141 142 172 176 182 194 206 209 214 222 226 229 233 237 240 244 246 254 257 259 263 282 292 304 324 330 333 354 358 359 361]\n# step=1 row=150 minW=56 found cw of W=54: [1 6 15 35 38 39 46 47 58 59 68 76 87 92 97 103 122 125 127 136 152 156 159 160 167 171 186 189 192 197 208 212 221 224 226 230 233 238 246 273 289 292 300 301 307 313 333 334 339 342 347 351 354 359]\n# step=22 row=103 minW=54 found cw of W=52: [2 3 4 29 33 36 38 39 46 61 64 98 101 104 111 120 122 123 133 140 141 142 144 145 157 167 182 185 189 200 203 219 243 245 246 254 261 262 263 265 266 271 275 280 281 310 321 324 343 346 353 362]\n# step=51 row=12 minW=52 found cw of W=50: [1 7 11 12 18 21 28 33 34 53 55 58 68 69 74 78 83 86 106 111 122 128 133 139 150 154 173 174 176 179 181 190 204 205 225 232 253 263 270 271 276 294 302 310 316 320 326 328 346 348]\n# step=79 row=138 minW=50 found cw of W=44: [13 14 23 35 39 45 52 57 67 68 75 84 85 92 101 110 111 115 135 158 160 166 171 173 196 205 222 223 226 231 255 265 277 279 292 299 309 310 327 334 344 347 353 357]\n# step=374 row=71 minW=44 found cw of W=42: [3 11 34 37 47 48 63 70 93 106 110 117 129 132 145 147 155 162 173 203 210 217 218 227 245 250 266 268 279 283 289 290 294 305 312 324 331 335 338 339 352 359]\n# round=1000 of 10000 minW=42\n# step=1028 row=45 minW=42 found cw of W=40: [17 18 28 34 40 47 51 64 82 85 88 95 101 110 112 113 138 139 149 151 161 172 187 192 203 206 209 214 216 231 233 234 272 276 289 306 308 313 335 343]\n# round=2000 of 10000 minW=40\n# round=3000 of 10000 minW=40\n# step=3721 row=48 minW=40 found cw of W=38: [6 20 32 44 59 70 71 85 101 102 104 107 112 116 126 141 163 165 180 193 195 214 222 228 233 237 247 248 274 284 312 313 314 316 327 335 344 346]\n# round=4000 of 10000 minW=38\n# round=5000 of 10000 minW=38\n# round=6000 of 10000 minW=38\n# round=7000 of 10000 minW=38\n# round=8000 of 10000 minW=38\n# round=9000 of 10000 minW=38\n# round=10000 of 10000 minW=38\nRW algorithm upper bound for the distance d=38\n</t>
  </si>
  <si>
    <t># step=0 row=0 minW=367 found cw of W=86: [1 2 4 8 15 17 22 23 24 28 31 33 44 49 56 57 65 71 73 78 80 81 83 85 87 90 92 99 101 105 114 120 126 130 137 138 140 145 146 150 166 170 181 190 192 193 200 205 207 212 213 214 215 217 221 223 227 232 236 238 245 246 260 261 262 266 275 277 292 293 300 301 303 309 312 314 317 324 325 331 335 337 339 354 360 364]\n# step=0 row=1 minW=86 found cw of W=84: [3 6 17 18 22 23 24 28 31 33 35 39 44 49 51 57 62 65 68 72 73 83 85 87 93 99 110 113 116 117 125 129 134 140 145 150 154 161 166 173 178 181 192 194 201 205 207 212 213 215 217 219 232 238 239 240 250 251 256 261 266 268 275 276 277 279 293 300 301 303 306 309 312 314 317 323 331 334 335 339 341 343 357 362]\n# step=0 row=2 minW=84 found cw of W=64: [1 6 7 8 14 15 18 22 24 28 31 47 48 54 56 62 63 72 78 85 113 114 116 120 130 134 137 138 140 150 154 169 176 178 194 198 200 207 212 213 217 219 236 238 245 250 251 256 258 260 266 268 275 276 292 306 307 320 334 335 339 341 357 364]\n# step=0 row=47 minW=64 found cw of W=56: [4 8 15 22 28 31 33 35 39 49 57 61 63 68 76 78 81 85 87 90 93 110 113 118 126 129 130 137 150 161 170 190 192 200 203 207 219 232 235 240 251 266 275 277 279 292 293 301 305 307 314 320 331 334 337 341]\n# step=4 row=70 minW=56 found cw of W=48: [2 6 12 23 25 35 44 46 61 66 76 80 81 88 89 99 110 113 124 126 137 166 182 193 198 211 216 218 221 235 248 250 256 259 267 269 279 290 304 305 310 315 324 325 332 338 340 354]\n# step=5 row=23 minW=48 found cw of W=46: [7 11 25 28 32 45 53 57 66 71 95 106 107 119 135 145 147 154 159 175 179 188 193 201 205 212 213 228 230 234 251 255 257 267 272 281 289 323 327 334 335 339 351 352 356 363]\n# step=63 row=113 minW=46 found cw of W=44: [19 20 34 35 36 37 40 42 47 66 84 102 104 110 112 116 128 137 141 156 158 159 160 164 207 224 226 230 233 234 250 259 264 279 282 284 291 310 328 329 352 354 355 360]\n# step=229 row=52 minW=44 found cw of W=40: [1 9 25 31 55 64 71 75 84 89 103 119 130 136 147 164 177 186 194 197 198 206 208 218 225 232 245 252 253 258 275 286 315 316 320 330 333 340 354 363]\n# round=1000 of 10000 minW=40\n# round=2000 of 10000 minW=40\n# round=3000 of 10000 minW=40\n# round=4000 of 10000 minW=40\n# round=5000 of 10000 minW=40\n# round=6000 of 10000 minW=40\n# step=6050 row=89 minW=40 found cw of W=38: [3 4 6 9 28 29 31 72 81 86 111 117 125 126 128 136 151 175 203 208 213 214 219 222 233 234 253 258 272 275 297 316 335 336 341 344 356 361]\n# round=7000 of 10000 minW=38\n# round=8000 of 10000 minW=38\n# round=9000 of 10000 minW=38\n# round=10000 of 10000 minW=38\nRW algorithm upper bound for the distance d=38\n</t>
  </si>
  <si>
    <t># step=0 row=0 minW=370 found cw of W=74: [3 10 18 25 39 40 42 48 52 53 65 67 76 78 83 84 87 90 91 97 99 105 106 107 125 133 135 137 139 154 158 163 165 171 175 176 185 190 192 196 199 214 217 220 221 222 227 228 229 237 248 249 258 260 262 264 271 277 281 285 308 311 315 319 324 329 330 333 336 340 344 350 353 360]\n# step=0 row=1 minW=74 found cw of W=70: [4 5 14 15 19 25 26 32 39 40 42 48 52 53 62 84 87 90 98 100 106 112 125 127 135 139 141 142 144 148 149 157 163 171 174 176 181 184 196 207 208 219 223 229 235 237 248 251 258 260 261 262 264 267 278 280 285 288 297 298 304 307 308 319 331 333 336 342 344 360]\n# step=0 row=9 minW=70 found cw of W=68: [10 15 17 32 36 39 42 48 52 61 62 66 67 71 76 78 79 84 98 99 104 105 109 116 125 130 133 137 141 171 174 181 184 187 189 190 192 194 196 202 207 221 222 227 228 237 248 253 260 261 263 264 278 282 285 288 297 298 304 308 310 315 319 322 324 355 360 362]\n# step=0 row=15 minW=68 found cw of W=64: [2 4 10 18 31 32 48 61 62 65 66 67 79 84 91 98 105 109 127 130 133 148 154 158 162 165 171 173 175 187 189 190 192 196 202 208 214 217 219 221 227 228 248 253 264 271 278 281 285 288 296 298 307 308 310 311 315 319 330 331 340 342 350 355]\n# step=0 row=21 minW=64 found cw of W=62: [2 10 15 18 25 26 40 42 45 48 61 67 71 83 84 87 98 104 105 109 133 141 144 148 149 158 159 163 171 173 174 184 185 187 190 192 194 207 208 214 228 237 248 261 267 281 282 288 291 296 297 308 310 315 329 331 333 337 344 350 355 360]\n# step=0 row=24 minW=62 found cw of W=60: [2 10 14 19 25 36 48 54 66 67 76 84 99 100 109 115 116 120 125 127 133 135 137 142 154 158 165 171 173 176 184 187 189 190 192 208 221 222 223 243 250 258 271 277 281 282 288 296 299 300 307 310 315 322 330 331 344 355 361 362]\n# step=0 row=49 minW=60 found cw of W=58: [2 4 10 15 18 25 32 39 42 52 65 67 71 99 100 104 112 113 116 120 125 127 133 137 139 148 157 162 165 173 174 175 176 177 190 194 199 221 222 223 235 243 260 261 262 264 278 280 296 297 299 300 311 322 344 350 359 362]\n# step=0 row=50 minW=58 found cw of W=54: [14 18 36 39 42 48 52 61 66 78 90 97 98 109 112 114 116 120 135 139 148 154 157 165 171 173 174 184 189 219 220 227 235 237 258 260 262 264 271 277 280 282 285 296 297 298 324 336 342 344 350 355 362 366]\n# step=5 row=16 minW=54 found cw of W=52: [2 3 6 10 17 28 31 36 40 69 72 79 84 87 88 99 103 109 125 126 129 130 135 139 140 144 151 154 159 165 193 202 207 210 224 238 253 256 258 262 267 286 288 315 316 318 334 345 347 349 355 361]\n# step=10 row=151 minW=52 found cw of W=50: [2 7 15 17 35 44 46 50 53 54 55 65 88 93 95 104 115 118 126 130 158 177 178 181 188 202 205 209 211 212 216 223 248 249 261 263 290 292 296 299 304 325 328 332 335 341 346 350 361 364]\n# step=11 row=126 minW=50 found cw of W=48: [3 11 14 38 49 55 58 66 67 68 74 76 80 84 85 93 94 110 111 113 134 137 170 178 183 189 198 199 207 208 217 224 233 234 249 284 293 295 304 306 313 314 320 321 326 339 347 359]\n# step=46 row=119 minW=48 found cw of W=46: [3 6 12 35 49 53 60 63 81 83 89 93 103 108 129 136 137 155 158 159 172 176 177 179 206 209 212 216 223 226 231 238 249 258 259 260 278 282 300 302 306 309 327 332 346 361]\n# step=82 row=103 minW=46 found cw of W=44: [1 2 12 23 24 32 33 42 62 63 67 74 79 104 105 117 125 135 145 156 165 183 186 189 197 217 226 228 230 240 247 268 269 270 278 306 308 312 313 325 340 349 350 353]\n# step=310 row=64 minW=44 found cw of W=42: [4 21 22 24 32 53 73 75 81 84 90 92 109 111 125 143 155 158 159 184 196 204 208 213 215 219 248 250 266 267 268 270 281 282 299 307 321 330 331 342 355 357]\n# step=396 row=80 minW=42 found cw of W=40: [13 15 20 23 46 47 48 50 56 66 77 79 81 84 95 120 133 143 144 146 160 170 202 204 207 218 233 243 256 259 261 267 283 292 294 296 302 312 323 356]\n# round=1000 of 10000 minW=40\n# step=1881 row=124 minW=40 found cw of W=36: [16 20 22 26 33 37 43 67 77 85 136 137 152 153 160 177 178 181 200 242 259 260 262 266 268 272 275 276 279 289 300 301 304 313 331 365]\n#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</si>
  <si>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outfile: /home/ucapmwe/dist-benchmark/results/codeTables-QECC_sample.txt-dist_m4ri_RW-20260215_083648.339611_85062422.txt</t>
  </si>
  <si>
    <t># step=0 row=2 minW=13 found cw of W=2: [1 4]\n#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</si>
  <si>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minW=17 found cw of W=6: [1 2 9 11 14 15]\n# step=0 row=1 minW=6 found cw of W=4: [1 3 9 11]\n#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</si>
  <si>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minW=21 found cw of W=6: [2 9 11 14 16 17]\n#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</si>
  <si>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minW=25 found cw of W=6: [2 3 4 10 14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</si>
  <si>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minW=29 found cw of W=6: [1 3 7 15 17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</si>
  <si>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minW=33 found cw of W=6: [2 4 10 11 27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</si>
  <si>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minW=37 found cw of W=6: [1 2 3 11 12 28]\n#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</si>
  <si>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minW=41 found cw of W=14: [1 2 4 5 8 11 14 15 16 22 26 27 28 37]\n# step=0 row=1 minW=14 found cw of W=12: [1 3 5 8 11 15 16 22 23 26 28 32]\n# step=0 row=4 minW=12 found cw of W=8: [4 6 8 13 14 23 26 28]\n#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</si>
  <si>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minW=45 found cw of W=10: [1 9 16 18 23 30 31 38 40 41]\n#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</si>
  <si>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minW=49 found cw of W=12: [1 2 3 5 7 17 19 20 27 37 38 44]\n# step=0 row=1 minW=12 found cw of W=8: [1 2 4 20 25 28 38 44]\n# step=0 row=5 minW=8 found cw of W=6: [7 10 19 20 44 46]\n#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</si>
  <si>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minW=53 found cw of W=8: [2 8 15 19 30 43 45 47]\n# step=0 row=1 minW=8 found cw of W=6: [3 8 29 32 45 47]\n#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</si>
  <si>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minW=57 found cw of W=12: [1 11 14 15 20 21 35 37 39 48 51 56]\n# step=0 row=1 minW=12 found cw of W=10: [2 14 15 16 28 33 39 43 47 53]\n#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</si>
  <si>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W=14: [4 17 19 21 22 27 29 35 37 42 47 50 51 59]\n# step=0 row=1 minW=14 found cw of W=10: [2 5 6 7 21 25 35 37 40 47]\n#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</si>
  <si>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minW=65 found cw of W=16: [1 2 3 12 17 18 19 22 27 28 31 43 45 54 61 63]\n# step=0 row=1 minW=16 found cw of W=12: [1 4 16 17 22 31 36 43 54 59 63 64]\n#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</si>
  <si>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minW=69 found cw of W=14: [3 8 10 19 20 30 36 42 45 46 47 61 62 63]\n# step=0 row=1 minW=14 found cw of W=12: [1 4 9 18 28 30 43 45 46 47 55 63]\n# step=0 row=2 minW=12 found cw of W=10: [2 6 10 28 36 45 46 57 61 63]\n#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</si>
  <si>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minW=73 found cw of W=18: [1 4 5 21 22 27 28 37 45 48 51 53 57 59 64 66 69 71]\n# step=0 row=1 minW=18 found cw of W=10: [3 4 5 21 27 40 41 51 63 69]\n#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</si>
  <si>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minW=77 found cw of W=10: [1 8 14 17 39 46 56 71 74 75]\n#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</si>
  <si>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minW=81 found cw of W=14: [1 5 10 20 30 31 41 45 49 52 69 71 72 80]\n# step=0 row=15 minW=14 found cw of W=12: [9 19 31 33 46 52 59 66 69 71 72 73]\n#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</si>
  <si>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minW=85 found cw of W=16: [2 3 6 8 10 11 22 34 45 48 50 53 64 65 73 76]\n# step=0 row=2 minW=16 found cw of W=14: [5 10 11 17 26 27 34 39 48 52 53 59 76 81]\n# step=0 row=3 minW=14 found cw of W=12: [1 7 8 11 34 41 49 53 55 64 71 83]\n#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</si>
  <si>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minW=89 found cw of W=12: [1 4 11 15 21 43 45 51 59 70 73 77]\n# step=0 row=1 minW=12 found cw of W=10: [2 15 16 34 43 46 59 60 78 87]\n#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</si>
  <si>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minW=93 found cw of W=22: [1 7 9 12 16 17 22 25 32 34 35 39 40 44 48 57 69 70 76 90 91 92]\n# step=0 row=1 minW=22 found cw of W=20: [2 16 22 25 34 39 44 45 46 47 53 56 57 59 70 76 79 82 90 92]\n# step=0 row=2 minW=20 found cw of W=14: [4 7 16 25 27 39 44 48 56 57 76 79 80 90]\n#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</si>
  <si>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minW=97 found cw of W=16: [1 3 4 11 13 14 20 35 42 44 52 62 66 73 75 85]\n# step=0 row=1 minW=16 found cw of W=12: [8 11 13 14 20 22 32 35 62 70 85 92]\n# step=0 row=38 minW=12 found cw of W=10: [11 19 21 35 44 45 52 67 76 92]\n#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</si>
  <si>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minW=101 found cw of W=12: [1 2 5 26 38 41 55 63 65 66 77 90]\n# step=1 row=24 minW=12 found cw of W=10: [1 16 18 26 41 42 43 49 92 99]\n#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</si>
  <si>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minW=105 found cw of W=16: [2 3 6 10 13 14 17 22 36 48 55 58 80 91 92 95]\n# step=0 row=2 minW=16 found cw of W=14: [5 6 7 19 21 33 42 57 58 60 71 86 94 99]\n# step=0 row=29 minW=14 found cw of W=12: [10 13 21 29 33 44 55 62 85 91 96 99]\n#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</si>
  <si>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minW=109 found cw of W=16: [2 4 9 11 23 34 38 41 56 59 85 86 88 90 95 104]\n# step=0 row=2 minW=16 found cw of W=12: [6 9 32 38 45 59 65 78 87 90 99 105]\n#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</si>
  <si>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minW=113 found cw of W=14: [1 9 17 19 43 48 57 61 65 76 89 99 101 103]\n# step=0 row=23 minW=14 found cw of W=12: [7 9 15 16 23 35 51 65 72 75 99 103]\n#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</si>
  <si>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minW=117 found cw of W=22: [1 3 6 18 27 29 32 33 44 51 56 62 77 86 87 88 93 102 105 106 109 115]\n# step=0 row=3 minW=22 found cw of W=16: [8 15 24 33 47 50 51 53 62 79 86 95 102 105 109 115]\n# step=0 row=8 minW=16 found cw of W=14: [6 14 29 44 50 62 72 77 79 87 91 93 102 106]\n#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</si>
  <si>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minW=121 found cw of W=24: [2 26 28 30 37 45 48 57 62 63 67 69 70 75 78 85 88 93 99 100 115 116 117 120]\n# step=0 row=1 minW=24 found cw of W=22: [6 18 20 26 28 29 30 36 37 41 45 59 63 67 75 78 88 93 101 110 116 120]\n# step=0 row=2 minW=22 found cw of W=18: [1 7 28 31 39 57 63 67 79 80 85 88 93 99 109 110 115 117]\n# step=0 row=3 minW=18 found cw of W=16: [1 8 26 31 37 57 63 67 69 79 93 98 99 109 116 117]\n# step=0 row=28 minW=16 found cw of W=12: [3 20 37 39 46 49 63 67 69 76 79 80]\n#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</si>
  <si>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minW=125 found cw of W=16: [1 4 19 32 41 50 55 59 69 72 86 90 91 97 100 122]\n# step=0 row=8 minW=16 found cw of W=14: [11 14 19 24 32 40 45 55 63 71 81 91 104 122]\n# step=0 row=11 minW=14 found cw of W=12: [13 20 24 35 54 55 69 75 97 100 113 116]\n#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</si>
  <si>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minW=129 found cw of W=22: [2 9 17 28 29 34 47 54 67 74 76 81 86 88 93 99 105 106 108 111 120 124]\n# step=0 row=3 minW=22 found cw of W=18: [6 9 21 22 35 36 56 67 68 74 76 86 88 102 105 106 108 117]\n# step=0 row=12 minW=18 found cw of W=16: [5 15 19 21 47 48 51 54 56 69 76 86 88 108 112 117]\n#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</si>
  <si>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minW=133 found cw of W=20: [1 3 7 19 26 28 37 46 48 59 66 67 69 70 79 85 94 106 114 132]\n# step=0 row=1 minW=20 found cw of W=18: [1 2 5 9 14 15 17 28 35 63 67 71 94 96 108 113 114 116]\n# step=3 row=14 minW=18 found cw of W=16: [24 26 28 29 33 43 61 66 74 76 82 90 107 115 125 128]\n#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</si>
  <si>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minW=137 found cw of W=12: [1 4 13 17 36 47 70 78 85 103 106 112]\n# step=0 row=22 minW=12 found cw of W=10: [7 13 17 41 47 51 83 91 117 125]\n#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</si>
  <si>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minW=141 found cw of W=26: [1 8 12 16 20 24 28 29 36 46 47 53 59 60 64 77 78 81 86 88 90 95 98 105 112 140]\n# step=0 row=5 minW=26 found cw of W=22: [8 11 12 13 20 26 28 31 47 48 53 62 66 78 81 88 89 90 124 131 132 133]\n# step=0 row=7 minW=22 found cw of W=20: [8 9 16 17 20 28 47 53 64 79 82 86 87 88 90 95 99 113 130 133]\n# step=1 row=35 minW=20 found cw of W=18: [4 9 23 42 45 49 59 66 67 74 77 84 101 102 114 115 128 129]\n#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</si>
  <si>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W=32: [1 3 5 10 12 22 39 41 44 48 54 56 60 62 64 68 71 73 80 91 100 103 104 107 118 126 127 128 130 132 134 139]\n# step=0 row=2 minW=32 found cw of W=24: [1 6 8 10 14 18 22 42 60 61 62 64 73 80 86 100 104 118 126 130 132 133 134 140]\n# step=0 row=13 minW=24 found cw of W=22: [1 5 18 26 27 29 31 34 41 62 64 71 73 91 101 107 126 127 135 136 139 142]\n# step=0 row=24 minW=22 found cw of W=18: [10 12 22 24 34 41 46 54 59 64 77 95 120 126 130 132 136 142]\n#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</si>
  <si>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minW=149 found cw of W=24: [1 3 8 20 26 31 32 38 48 52 60 63 68 72 77 82 85 90 94 126 127 134 143 146]\n# step=0 row=8 minW=24 found cw of W=22: [13 15 17 20 22 26 29 30 31 32 66 68 72 87 94 100 126 128 133 141 143 146]\n# step=0 row=52 minW=22 found cw of W=20: [3 8 17 30 31 40 52 58 68 81 82 90 101 118 126 127 128 132 138 141]\n# step=2 row=54 minW=20 found cw of W=18: [11 16 40 47 50 70 77 81 84 85 99 101 107 118 124 127 136 138]\n#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</si>
  <si>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minW=153 found cw of W=28: [2 4 7 9 16 20 22 28 31 33 34 35 40 49 58 70 80 83 85 98 107 108 109 111 125 130 142 148]\n# step=0 row=2 minW=28 found cw of W=26: [6 9 15 18 20 22 31 35 43 49 56 60 67 70 71 73 81 87 96 108 109 120 123 129 143 145]\n# step=0 row=11 minW=26 found cw of W=24: [4 18 22 23 28 31 33 35 44 56 60 67 71 80 85 87 99 111 120 123 125 142 143 145]\n# step=0 row=25 minW=24 found cw of W=18: [4 7 9 16 20 21 33 50 71 80 83 85 88 96 107 130 135 145]\n#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</si>
  <si>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W=36: [1 3 4 10 11 15 18 20 23 27 31 40 49 52 56 57 59 60 61 68 69 84 95 99 100 101 107 108 109 120 121 123 128 130 132 144]\n# step=0 row=1 minW=36 found cw of W=26: [2 4 15 16 18 27 42 45 55 57 64 69 75 80 84 89 103 104 120 121 128 132 143 144 147 153]\n# step=0 row=7 minW=26 found cw of W=24: [14 15 16 18 20 27 31 40 48 53 57 59 61 64 66 76 87 94 100 109 115 118 132 142]\n# step=0 row=12 minW=24 found cw of W=20: [11 26 42 45 52 60 64 66 69 75 99 108 120 123 128 130 142 143 144 153]\n# step=1 row=17 minW=20 found cw of W=18: [5 6 35 41 42 47 58 68 74 80 81 86 91 122 123 130 136 146]\n#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</si>
  <si>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minW=161 found cw of W=36: [2 6 8 10 15 23 29 30 36 38 39 43 47 48 53 55 63 64 72 76 84 86 87 93 109 110 112 114 118 122 123 124 130 144 154 159]\n# step=0 row=2 minW=36 found cw of W=30: [4 8 10 22 27 30 31 36 38 45 47 48 67 69 77 84 85 86 87 109 110 112 126 130 142 151 152 156 157 158]\n# step=0 row=4 minW=30 found cw of W=20: [6 7 10 12 36 43 47 48 53 86 93 112 114 123 128 130 132 152 154 156]\n# step=1 row=5 minW=20 found cw of W=18: [3 7 10 13 23 34 47 59 70 83 86 90 99 110 126 133 143 154]\n#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</si>
  <si>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minW=165 found cw of W=30: [3 4 7 9 20 22 23 24 34 37 47 48 64 65 67 75 85 97 104 108 118 121 127 129 132 138 143 159 160 162]\n# step=0 row=8 minW=30 found cw of W=26: [1 2 12 14 19 23 34 35 37 42 43 75 76 93 97 102 105 114 134 135 137 138 142 143 155 160]\n# step=0 row=56 minW=26 found cw of W=24: [9 12 20 29 62 71 73 76 81 100 101 111 112 114 117 118 122 132 135 141 142 143 144 159]\n# step=1 row=53 minW=24 found cw of W=22: [9 11 21 25 29 42 55 66 72 83 91 96 102 103 106 108 134 143 147 149 152 154]\n#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</si>
  <si>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row=2 minW=169 found cw of W=36: [5 13 14 16 19 23 29 31 39 41 47 50 55 56 65 71 77 81 83 88 93 94 109 114 118 130 134 135 136 142 145 151 156 157 160 161]\n# step=0 row=4 minW=36 found cw of W=34: [6 8 10 11 13 15 16 29 31 32 38 42 44 46 48 53 54 55 58 71 80 86 103 116 118 130 134 136 138 141 145 157 160 168]\n# step=0 row=8 minW=34 found cw of W=30: [3 12 13 20 31 39 41 42 44 54 55 76 77 81 83 86 87 88 94 103 104 124 130 136 145 157 160 161 166 168]\n# step=0 row=13 minW=30 found cw of W=26: [10 12 27 31 36 39 41 46 50 76 77 81 83 88 93 94 109 111 134 135 138 151 157 160 161 162]\n# step=0 row=22 minW=26 found cw of W=24: [3 6 13 16 31 38 48 50 55 57 80 86 87 88 103 118 128 130 134 141 142 145 157 160]\n# step=2 row=30 minW=24 found cw of W=22: [6 7 9 14 31 51 54 60 70 96 105 108 112 115 126 132 133 140 144 147 150 168]\n# step=7 row=38 minW=22 found cw of W=20: [33 40 45 50 63 66 67 70 79 81 92 105 108 109 117 121 129 154 165 166]\n# step=22 row=13 minW=20 found cw of W=18: [22 31 35 36 45 47 56 62 64 73 77 78 83 98 125 129 131 146]\n#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</si>
  <si>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minW=173 found cw of W=34: [1 11 19 26 29 35 40 44 46 52 54 61 73 76 88 93 95 101 114 115 116 121 122 131 132 136 144 147 148 155 157 162 165 169]\n# step=0 row=7 minW=34 found cw of W=28: [4 10 19 25 26 29 40 47 61 67 69 96 101 104 105 107 114 115 122 125 144 150 153 154 157 165 168 169]\n# step=0 row=8 minW=28 found cw of W=26: [12 13 17 25 26 29 44 46 52 73 87 95 101 103 109 114 116 132 141 142 144 152 154 155 157 158]\n# step=0 row=48 minW=26 found cw of W=18: [4 11 31 40 47 54 67 69 76 81 104 110 124 126 147 155 160 162]\n#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</si>
  <si>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minW=177 found cw of W=24: [1 2 3 6 11 31 35 46 55 70 74 75 79 83 94 114 116 122 127 133 135 160 162 166]\n# step=0 row=53 minW=24 found cw of W=18: [3 35 36 57 62 63 74 75 78 79 101 106 107 135 162 163 166 168]\n#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</si>
  <si>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minW=181 found cw of W=30: [1 2 3 5 6 10 17 18 19 24 25 26 46 47 55 61 62 66 89 95 96 106 109 111 114 134 138 153 160 161]\n# step=0 row=2 minW=30 found cw of W=28: [1 2 8 25 38 40 47 59 62 85 89 104 107 109 114 120 124 125 128 136 143 154 159 160 165 169 170 179]\n# step=0 row=8 minW=28 found cw of W=22: [4 10 16 19 24 28 38 40 46 49 55 59 106 109 124 128 136 149 159 163 169 175]\n# step=1 row=43 minW=22 found cw of W=20: [12 25 40 42 49 57 62 73 84 87 107 117 121 129 139 160 162 163 166 175]\n# step=5 row=40 minW=20 found cw of W=18: [8 20 28 53 58 59 65 67 73 75 88 102 104 133 147 148 157 165]\n#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</si>
  <si>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minW=185 found cw of W=32: [2 4 7 10 22 27 32 34 35 40 47 52 53 55 56 68 73 78 80 82 86 89 93 101 136 140 142 144 173 174 181 182]\n# step=0 row=5 minW=32 found cw of W=26: [1 4 10 14 22 25 27 35 40 42 47 52 54 55 56 68 71 73 86 88 96 100 101 144 152 173]\n# step=1 row=78 minW=26 found cw of W=24: [3 10 11 13 16 20 39 50 54 57 77 91 95 100 108 123 126 137 142 148 151 158 172 177]\n# step=11 row=21 minW=24 found cw of W=22: [8 19 24 27 36 40 41 48 66 73 74 77 86 87 100 112 123 128 140 157 162 166]\n# step=20 row=51 minW=22 found cw of W=20: [33 48 59 67 71 90 94 97 100 113 117 125 130 133 136 143 146 151 176 179]\n# step=56 row=15 minW=20 found cw of W=18: [2 12 27 77 78 104 112 120 125 130 140 158 165 166 169 170 171 176]\n#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</si>
  <si>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row=1 minW=189 found cw of W=30: [2 3 5 10 13 32 38 43 50 56 60 61 62 67 69 71 77 85 96 99 103 114 116 126 151 155 156 165 171 184]\n# step=0 row=18 minW=30 found cw of W=26: [3 19 21 29 35 37 41 50 71 77 85 95 113 116 123 129 137 142 162 163 165 171 178 179 182 184]\n# step=0 row=23 minW=26 found cw of W=24: [3 8 10 13 38 44 48 49 50 60 69 73 75 91 95 96 102 137 151 163 167 169 179 184]\n# step=0 row=49 minW=24 found cw of W=22: [5 19 28 37 43 61 62 71 92 95 99 116 139 142 155 156 160 163 165 169 178 184]\n# step=7 row=26 minW=22 found cw of W=20: [1 2 12 23 26 32 40 48 56 59 64 70 73 96 103 111 131 173 178 181]\n# step=74 row=68 minW=20 found cw of W=18: [7 8 12 26 30 36 46 59 73 82 101 102 124 132 140 176 177 179]\n#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</si>
  <si>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minW=193 found cw of W=36: [1 3 6 8 13 16 20 23 28 39 40 46 51 54 61 67 78 81 86 98 104 108 115 116 126 129 134 135 145 146 156 160 167 172 184 190]\n# step=0 row=10 minW=36 found cw of W=34: [3 6 13 16 19 20 21 22 23 29 38 39 54 61 67 68 71 75 78 81 90 112 123 126 129 134 135 138 144 147 165 166 173 192]\n# step=0 row=18 minW=34 found cw of W=28: [5 6 12 19 22 23 33 42 46 51 54 71 74 81 86 93 98 108 115 122 134 138 141 146 147 149 166 190]\n# step=0 row=67 minW=28 found cw of W=24: [12 16 19 22 28 33 34 38 40 63 68 81 86 110 111 112 115 116 124 130 156 158 166 184]\n# step=8 row=30 minW=24 found cw of W=22: [6 29 34 48 55 83 93 94 102 107 121 125 130 131 133 142 144 151 155 169 181 189]\n# step=8 row=54 minW=22 found cw of W=20: [6 16 29 75 94 96 105 107 125 130 141 142 144 150 153 155 160 171 178 189]\n#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</si>
  <si>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minW=197 found cw of W=30: [2 3 8 9 10 11 17 28 36 39 52 54 58 59 60 62 66 71 85 88 92 97 111 126 146 149 152 155 169 190]\n# step=0 row=1 minW=30 found cw of W=26: [4 9 17 27 36 46 50 54 66 74 77 92 95 97 99 102 111 123 126 134 146 152 156 160 174 190]\n# step=0 row=3 minW=26 found cw of W=24: [1 7 11 27 36 46 54 56 60 62 71 74 85 92 97 99 111 123 146 152 169 174 190 193]\n# step=0 row=17 minW=24 found cw of W=18: [1 26 27 31 48 50 56 57 58 75 80 97 118 154 155 156 167 174]\n# step=1 row=60 minW=18 found cw of W=16: [1 4 6 55 62 69 79 94 102 108 111 143 148 157 167 177]\n# step=34 row=55 minW=16 found cw of W=14: [8 24 33 42 43 78 98 127 147 155 171 180 189 190]\n#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</si>
  <si>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minW=201 found cw of W=28: [2 3 5 6 7 8 21 25 36 43 52 55 56 75 87 107 108 124 126 136 137 142 153 171 174 176 192 193]\n# step=0 row=6 minW=28 found cw of W=20: [10 14 20 22 55 57 60 72 77 98 105 107 124 137 164 170 174 177 187 198]\n# step=3 row=33 minW=20 found cw of W=18: [6 8 18 20 31 40 56 61 90 111 118 125 127 158 170 175 177 181]\n# step=869 row=14 minW=18 found cw of W=16: [8 11 23 36 38 61 62 73 77 108 112 135 136 138 177 185]\n#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</si>
  <si>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minW=205 found cw of W=38: [2 10 11 14 28 29 32 40 45 53 68 78 86 87 93 94 110 112 113 116 126 128 129 134 138 141 142 145 161 170 177 179 181 182 188 192 195 198]\n# step=0 row=1 minW=38 found cw of W=24: [1 3 14 22 23 25 28 52 54 72 74 76 78 80 87 110 116 129 138 161 174 175 181 182]\n# step=1 row=26 minW=24 found cw of W=22: [3 14 17 27 35 45 47 94 98 110 122 137 140 156 161 167 170 173 180 191 196 198]\n# step=3 row=27 minW=22 found cw of W=20: [2 12 22 39 53 54 56 67 97 98 107 110 114 118 124 149 156 161 192 199]\n# step=70 row=105 minW=20 found cw of W=18: [7 43 49 51 52 84 103 109 141 144 145 147 153 186 192 195 198 202]\n#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</si>
  <si>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minW=209 found cw of W=40: [1 11 12 16 20 24 28 36 45 67 71 77 87 94 96 103 116 119 132 135 136 139 140 152 154 157 167 172 175 176 180 181 187 188 198 200 201 204 206 207]\n# step=0 row=1 minW=40 found cw of W=30: [2 3 12 16 20 21 28 29 36 44 46 47 105 106 125 132 133 135 139 151 157 159 168 172 176 187 191 192 200 202]\n# step=0 row=58 minW=30 found cw of W=28: [3 12 25 29 34 44 49 61 77 84 87 99 107 113 115 133 138 139 151 152 154 167 168 188 200 204 205 206]\n# step=1 row=25 minW=28 found cw of W=26: [29 32 33 65 70 81 86 87 93 95 98 104 117 123 128 139 145 147 174 175 180 188 189 190 202 208]\n# step=2 row=19 minW=26 found cw of W=24: [20 33 37 42 57 59 71 72 74 81 85 90 95 102 109 126 133 146 163 175 193 194 199 206]\n# step=4 row=65 minW=24 found cw of W=22: [8 24 26 30 35 39 47 65 73 78 88 99 112 117 121 125 128 134 139 173 192 195]\n#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</si>
  <si>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minW=213 found cw of W=48: [1 2 3 5 6 9 14 16 19 22 29 33 44 45 51 52 56 59 60 62 72 77 81 84 100 107 113 120 122 127 137 140 151 153 157 158 159 161 164 180 181 183 187 188 192 193 203 212]\n# step=0 row=1 minW=48 found cw of W=46: [4 8 14 16 22 25 33 36 51 56 60 65 68 71 72 77 78 81 84 97 110 113 120 122 127 130 137 140 142 149 157 159 162 167 171 174 177 178 180 181 187 192 193 202 203 212]\n# step=0 row=3 minW=46 found cw of W=44: [3 8 10 14 22 23 29 33 45 51 56 60 65 68 71 72 84 88 97 100 107 113 120 124 137 149 151 153 157 158 160 167 169 171 174 178 181 182 188 192 194 202 203 211]\n# step=0 row=5 minW=44 found cw of W=40: [1 5 8 9 12 23 25 29 45 52 56 62 68 69 71 72 74 77 78 84 88 100 107 122 124 130 137 151 153 158 162 164 167 171 174 178 180 182 188 194]\n# step=0 row=14 minW=40 found cw of W=38: [3 5 6 8 9 14 28 29 44 45 46 51 59 60 62 68 72 74 81 100 107 113 120 127 151 153 157 158 160 162 164 167 174 178 188 203 205 211]\n# step=0 row=15 minW=38 found cw of W=34: [1 5 6 8 9 29 31 44 46 52 56 59 60 62 72 78 82 88 93 100 131 137 146 153 158 160 162 164 166 167 178 194 203 205]\n# step=0 row=39 minW=34 found cw of W=30: [9 22 23 27 36 60 62 65 69 71 78 80 81 97 122 124 127 131 142 149 158 166 171 180 181 182 187 202 203 211]\n# step=0 row=50 minW=30 found cw of W=28: [1 3 9 14 25 45 52 62 71 72 74 84 96 99 107 120 124 127 131 137 140 149 151 162 178 193 205 211]\n# step=7 row=73 minW=28 found cw of W=26: [1 16 23 26 30 48 51 55 83 85 90 96 97 104 106 107 122 132 143 150 159 161 182 191 202 207]\n# step=15 row=77 minW=26 found cw of W=24: [9 18 21 48 62 72 80 92 101 114 116 117 127 132 133 141 167 169 170 177 178 185 194 198]\n# step=45 row=30 minW=24 found cw of W=22: [3 18 21 26 32 44 50 58 65 79 85 109 111 124 126 127 136 171 179 189 203 209]\n#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</si>
  <si>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minW=217 found cw of W=40: [1 2 26 35 56 61 62 64 70 80 81 83 84 92 97 115 116 118 128 133 135 136 138 139 149 152 153 163 178 182 187 190 191 193 197 200 203 205 206 207]\n# step=0 row=1 minW=40 found cw of W=36: [1 4 8 9 10 15 20 25 28 32 38 61 64 67 83 92 115 116 121 137 140 143 149 152 157 163 166 171 177 182 187 190 197 203 206 211]\n# step=0 row=7 minW=36 found cw of W=32: [8 13 14 15 25 26 34 38 40 41 64 67 70 80 81 84 88 94 116 118 133 135 138 143 149 157 176 177 178 197 200 211]\n# step=0 row=11 minW=32 found cw of W=30: [15 19 21 25 28 34 35 38 40 67 83 88 94 97 109 121 127 128 136 137 143 149 163 177 182 183 187 200 203 205]\n# step=0 row=17 minW=30 found cw of W=24: [10 15 20 30 34 38 88 92 93 103 109 118 128 137 138 143 147 153 157 163 177 191 197 207]\n# step=9 row=11 minW=24 found cw of W=22: [1 16 20 31 39 55 58 78 86 101 106 112 121 160 175 178 182 186 193 194 201 209]\n# step=91 row=19 minW=22 found cw of W=20: [32 61 86 94 108 110 115 133 138 148 153 156 158 162 164 187 192 207 210 212]\n#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</si>
  <si>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minW=221 found cw of W=42: [1 2 4 6 7 11 13 21 27 40 41 46 49 62 64 66 69 82 84 85 98 104 106 112 114 124 131 139 140 147 148 151 153 156 166 171 174 178 202 203 205 216]\n# step=0 row=3 minW=42 found cw of W=32: [8 11 27 31 34 41 42 47 55 69 86 87 89 97 98 102 114 115 137 151 153 160 164 165 169 170 173 176 179 197 215 219]\n# step=0 row=70 minW=32 found cw of W=30: [4 7 40 41 46 49 64 69 82 97 104 106 114 115 124 128 137 147 151 161 164 170 172 174 183 202 205 207 211 219]\n# step=0 row=78 minW=30 found cw of W=28: [6 11 31 32 37 42 85 93 97 114 132 143 147 153 156 161 169 171 176 187 195 196 197 198 203 208 211 216]\n# step=11 row=53 minW=28 found cw of W=26: [2 8 10 24 28 39 46 48 50 65 77 79 90 101 109 114 118 132 145 149 158 160 164 167 169 193]\n# step=46 row=93 minW=26 found cw of W=24: [13 16 39 42 43 44 57 61 73 75 88 98 127 128 130 143 152 154 167 171 178 181 182 204]\n#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</si>
  <si>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minW=225 found cw of W=34: [1 2 5 13 16 23 35 37 38 57 58 63 64 67 72 78 91 93 99 102 119 120 123 125 134 135 150 151 152 173 207 208 211 214]\n# step=2 row=7 minW=34 found cw of W=32: [1 3 4 17 22 30 40 49 57 59 65 69 73 84 86 87 90 105 107 112 121 134 143 146 156 163 168 172 181 196 208 212]\n# step=8 row=23 minW=32 found cw of W=28: [6 20 33 37 44 45 76 86 89 91 92 93 100 101 117 128 131 136 147 148 166 173 174 184 187 192 198 222]\n# step=10 row=100 minW=28 found cw of W=26: [3 5 12 17 18 21 34 48 55 64 71 77 88 90 95 111 115 117 124 129 130 151 176 183 200 216]\n# step=405 row=68 minW=26 found cw of W=24: [13 20 23 27 32 65 78 79 83 94 111 112 125 132 134 150 153 165 177 200 209 221 223 224]\n#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</si>
  <si>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minW=229 found cw of W=46: [1 2 10 11 16 18 21 22 26 27 31 38 42 55 56 58 59 67 68 73 76 83 94 95 97 109 112 127 131 132 135 136 141 147 150 154 156 166 184 188 190 202 204 207 208 227]\n# step=0 row=1 minW=46 found cw of W=42: [4 10 21 22 23 26 29 31 39 42 45 47 50 56 58 67 76 83 86 91 94 96 104 105 107 115 118 131 135 136 148 150 156 162 188 190 194 202 207 208 216 227]\n# step=0 row=7 minW=42 found cw of W=34: [10 12 22 26 27 31 56 67 69 94 97 98 102 105 113 121 133 136 138 140 141 145 147 149 154 155 162 178 190 195 204 206 208 216]\n# step=2 row=4 minW=34 found cw of W=32: [10 11 12 14 16 28 35 60 63 67 69 71 73 78 81 91 111 112 117 138 148 157 168 169 171 177 182 192 199 206 214 228]\n# step=5 row=56 minW=32 found cw of W=30: [1 6 9 17 25 29 36 44 52 55 59 60 63 74 81 89 94 101 112 115 116 138 143 151 174 180 196 203 207 223]\n# step=13 row=30 minW=30 found cw of W=28: [21 24 30 52 57 70 74 76 83 88 91 114 127 140 145 153 162 167 188 190 192 195 201 205 210 219 223 224]\n# step=122 row=80 minW=28 found cw of W=26: [8 31 42 68 71 83 94 98 101 122 125 138 141 145 151 155 156 159 161 185 195 197 198 215 216 218]\n#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</si>
  <si>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minW=233 found cw of W=40: [1 11 14 18 20 24 29 30 35 39 51 52 57 65 66 68 75 76 79 87 104 109 110 127 133 144 151 155 175 181 182 184 188 194 195 198 202 204 220 231]\n# step=0 row=1 minW=40 found cw of W=34: [2 11 15 18 20 33 34 51 57 75 76 81 87 99 105 107 109 110 127 131 133 139 144 145 149 150 176 194 202 215 221 223 226 231]\n# step=0 row=16 minW=34 found cw of W=32: [5 27 30 33 34 35 45 52 57 68 79 81 99 104 107 123 139 149 150 151 179 181 184 195 201 204 215 219 220 223 226 231]\n# step=0 row=41 minW=32 found cw of W=28: [5 18 24 29 39 50 68 76 82 84 87 90 99 105 107 108 113 123 148 155 171 179 181 184 200 215 221 223]\n# step=7 row=59 minW=28 found cw of W=24: [8 12 16 23 31 53 54 58 79 87 104 111 112 126 139 147 182 184 186 190 195 203 220 232]\n# step=89 row=18 minW=24 found cw of W=22: [12 24 33 34 42 43 48 53 80 84 100 106 111 125 140 142 149 159 183 186 196 208]\n# step=239 row=57 minW=22 found cw of W=20: [5 19 32 48 50 77 81 100 106 108 133 144 148 155 179 191 197 202 213 216]\n#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</si>
  <si>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minW=237 found cw of W=46: [3 6 11 13 15 17 26 34 35 36 46 50 52 56 60 68 72 79 80 91 94 102 105 106 108 119 121 129 133 135 143 150 170 174 183 186 197 198 202 203 211 213 220 224 226 227]\n# step=0 row=2 minW=46 found cw of W=38: [1 5 11 13 17 28 29 34 38 52 56 60 68 79 87 97 101 105 106 108 129 135 140 147 148 160 164 170 174 182 186 190 197 199 207 211 224 226]\n# step=0 row=3 minW=38 found cw of W=32: [7 8 26 29 30 34 35 36 46 91 94 101 102 105 106 126 140 147 150 160 161 165 167 174 184 199 203 207 211 213 226 233]\n# step=0 row=101 minW=32 found cw of W=26: [26 29 34 42 52 56 79 80 91 100 101 103 108 111 122 147 150 167 181 197 198 203 211 218 221 233]\n# step=1 row=88 minW=26 found cw of W=24: [5 7 8 11 14 37 59 65 70 94 123 124 126 133 153 155 158 163 177 184 191 192 217 222]\n# step=37 row=74 minW=24 found cw of W=20: [27 36 37 52 53 77 81 86 91 124 140 150 171 173 183 195 213 214 229 232]\n#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</si>
  <si>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row=1 minW=241 found cw of W=42: [3 5 16 24 32 34 37 42 57 58 65 67 71 73 86 90 93 107 109 114 131 136 145 152 154 167 169 171 174 178 183 187 193 204 205 206 210 213 217 222 231 237]\n# step=0 row=8 minW=42 found cw of W=38: [2 9 11 16 17 32 34 37 38 57 58 61 71 86 93 98 100 107 109 121 127 129 136 144 152 154 160 167 169 178 182 187 197 204 206 213 217 237]\n# step=0 row=34 minW=38 found cw of W=36: [11 25 26 27 32 35 36 48 57 61 70 73 90 93 98 100 108 114 130 131 142 145 147 152 155 158 160 174 181 193 202 206 210 213 216 237]\n# step=0 row=42 minW=36 found cw of W=32: [2 5 11 18 21 26 32 34 35 39 48 65 73 78 81 91 98 108 109 131 152 154 155 158 169 171 182 193 206 211 219 231]\n# step=0 row=115 minW=32 found cw of W=30: [5 9 16 18 25 32 35 37 41 61 65 71 78 92 98 109 129 131 136 142 150 155 158 169 181 202 205 210 217 221]\n# step=1 row=23 minW=30 found cw of W=28: [1 3 25 27 30 33 51 53 62 75 78 87 93 103 121 138 152 158 171 173 182 183 195 205 210 212 218 223]\n# step=6 row=48 minW=28 found cw of W=26: [4 35 39 53 56 64 93 94 97 105 150 152 153 166 175 176 210 212 214 215 217 219 225 226 233 235]\n# step=99 row=122 minW=26 found cw of W=22: [9 14 18 30 32 34 46 66 74 76 89 94 110 149 150 152 186 189 196 198 226 230]\n#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</si>
  <si>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minW=245 found cw of W=36: [1 2 3 6 26 34 36 54 60 64 77 97 99 110 118 123 128 138 141 145 153 156 166 176 177 179 185 202 206 209 214 221 227 232 238 243]\n# step=0 row=16 minW=36 found cw of W=34: [3 12 25 29 31 38 66 77 86 97 99 109 110 118 125 127 134 143 145 151 155 166 170 177 179 199 204 206 214 216 219 227 232 238]\n# step=0 row=21 minW=34 found cw of W=32: [2 9 10 12 23 26 31 34 38 41 56 63 66 70 102 134 138 145 148 151 153 156 165 171 188 193 199 212 221 226 232 239]\n# step=0 row=25 minW=32 found cw of W=28: [2 6 9 12 26 28 38 43 48 63 64 66 70 77 99 109 118 125 127 128 134 138 145 150 165 179 206 209]\n# step=7 row=22 minW=28 found cw of W=24: [4 11 37 38 58 62 72 81 97 98 107 111 116 119 123 136 142 160 168 172 177 187 197 219]\n# step=104 row=84 minW=24 found cw of W=22: [1 9 25 29 42 46 62 85 90 92 106 107 121 146 153 164 167 179 182 192 208 240]\n#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</si>
  <si>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minW=249 found cw of W=44: [2 6 18 24 26 42 47 49 54 59 62 63 67 68 72 74 76 82 83 86 98 99 115 121 126 134 136 138 142 144 150 160 166 170 177 178 186 187 191 207 223 232 233 235]\n# step=0 row=2 minW=44 found cw of W=34: [1 4 10 11 24 26 33 42 54 63 66 67 95 98 99 109 134 136 148 150 160 161 166 169 170 182 191 197 198 231 232 233 240 244]\n# step=0 row=37 minW=34 found cw of W=30: [6 10 14 33 40 47 48 49 61 64 66 68 72 95 98 99 109 110 126 128 138 139 160 164 170 185 201 223 232 235]\n# step=0 row=116 minW=30 found cw of W=28: [10 14 23 24 26 48 59 72 74 76 82 86 88 98 110 115 119 121 124 136 144 160 169 177 186 209 231 243]\n# step=3 row=50 minW=28 found cw of W=26: [7 13 39 64 81 87 97 101 112 114 131 148 156 159 169 176 181 188 199 205 210 211 218 231 236 243]\n# step=7 row=10 minW=26 found cw of W=24: [4 20 21 22 25 71 82 83 91 109 133 137 148 153 173 181 190 199 208 210 211 233 235 243]\n# step=22 row=45 minW=24 found cw of W=20: [16 20 42 46 49 76 79 83 105 109 138 140 145 167 170 203 206 228 233 235]\n#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</si>
  <si>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minW=253 found cw of W=46: [2 5 8 9 21 22 25 28 33 34 47 52 56 62 64 65 66 68 75 88 94 96 103 107 117 119 135 147 155 165 166 170 173 188 190 192 197 201 211 217 218 220 223 228 241 243]\n# step=0 row=3 minW=46 found cw of W=42: [1 7 12 26 28 33 35 47 52 54 68 69 75 85 89 94 98 110 129 131 147 165 167 168 171 174 190 192 195 196 210 211 217 220 222 228 230 231 234 237 241 243]\n# step=0 row=6 minW=42 found cw of W=36: [9 14 21 26 47 62 64 68 69 75 89 107 110 111 114 115 117 120 131 147 168 170 171 188 190 195 198 201 203 231 234 237 240 241 243 246]\n# step=0 row=76 minW=36 found cw of W=34: [5 25 26 28 49 58 66 88 94 107 110 115 121 124 129 131 139 147 152 155 167 170 171 173 202 210 217 218 220 230 234 238 241 250]\n# step=2 row=32 minW=34 found cw of W=28: [12 17 30 33 34 41 42 54 62 74 75 79 80 105 125 137 148 167 173 177 180 205 211 219 222 223 236 240]\n# step=336 row=10 minW=28 found cw of W=26: [13 20 21 23 27 50 55 76 81 83 86 91 96 101 131 167 181 194 207 210 216 217 222 227 230 239]\n#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</si>
  <si>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minW=257 found cw of W=58: [1 10 16 17 21 26 31 33 34 39 40 41 42 47 48 51 61 65 66 69 70 71 78 80 81 85 91 103 110 112 115 122 130 133 135 154 155 158 159 162 169 174 183 186 187 188 189 198 202 206 222 225 232 234 239 247 251 252]\n# step=0 row=1 minW=58 found cw of W=42: [2 10 18 24 31 33 39 42 46 56 58 61 62 69 74 88 91 95 97 99 103 122 130 133 146 154 155 158 163 168 174 183 188 189 190 218 222 232 234 247 248 252]\n# step=0 row=29 minW=42 found cw of W=40: [10 16 24 26 47 51 56 57 60 61 66 70 71 74 78 80 88 99 115 120 121 130 135 142 150 158 168 173 187 188 189 198 214 218 222 227 232 237 239 251]\n# step=0 row=51 minW=40 found cw of W=30: [10 21 26 30 33 51 56 59 69 71 74 78 85 97 100 110 115 120 122 133 135 142 158 174 186 187 188 218 228 252]\n# step=5 row=30 minW=30 found cw of W=28: [2 11 16 23 26 27 30 33 48 56 64 73 102 112 118 128 154 158 161 166 182 194 201 203 208 215 219 248]\n# step=7 row=14 minW=28 found cw of W=26: [2 3 4 23 24 25 29 30 37 62 63 91 119 132 151 157 183 191 194 195 216 217 219 222 229 254]\n# step=8 row=68 minW=26 found cw of W=24: [10 26 29 32 38 42 73 74 93 104 125 134 149 171 189 198 201 213 218 224 230 232 234 235]\n#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</si>
  <si>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minW=261 found cw of W=50: [1 2 6 9 18 20 28 47 57 65 66 71 73 74 76 77 79 83 87 88 96 98 99 105 120 129 130 141 142 143 144 152 153 163 177 181 185 187 191 194 197 203 208 215 223 226 229 235 246 256]\n# step=0 row=6 minW=50 found cw of W=46: [18 21 35 38 47 50 55 65 66 71 73 75 79 86 96 105 120 129 130 136 143 144 148 152 154 163 170 177 180 181 182 193 196 203 205 208 217 219 226 228 230 233 246 247 258 259]\n# step=0 row=12 minW=46 found cw of W=44: [2 9 10 13 20 28 29 31 35 37 59 66 71 87 88 94 96 99 102 103 105 116 136 139 143 152 153 154 181 182 189 191 196 197 205 215 219 223 229 230 233 235 247 256]\n# step=0 row=19 minW=44 found cw of W=42: [9 10 13 14 20 28 30 37 38 41 47 55 57 71 87 96 98 102 103 105 106 116 120 136 139 143 144 154 170 177 182 187 205 215 217 219 223 225 226 228 246 247]\n# step=0 row=125 minW=42 found cw of W=40: [7 8 13 17 18 20 35 47 55 65 71 72 73 77 86 87 103 116 118 130 136 142 143 148 151 152 155 176 177 181 185 191 212 215 220 230 233 241 248 256]\n# step=1 row=47 minW=40 found cw of W=34: [14 31 36 47 48 49 79 83 96 102 106 111 113 129 131 139 146 148 167 171 181 182 188 196 204 211 231 241 242 244 246 247 253 259]\n# step=69 row=80 minW=34 found cw of W=32: [4 9 33 41 48 50 58 84 106 113 115 133 134 146 148 149 157 163 165 170 186 191 198 204 211 213 222 230 235 251 253 256]\n# step=117 row=4 minW=32 found cw of W=30: [4 10 11 18 38 43 47 60 69 71 73 94 120 123 125 136 138 141 148 168 173 184 185 194 205 224 242 249 253 259]\n# step=137 row=72 minW=30 found cw of W=28: [19 33 48 51 54 66 73 78 84 87 90 94 112 116 121 131 143 152 155 163 166 177 186 203 224 231 243 249]\n#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</si>
  <si>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minW=265 found cw of W=50: [1 4 10 12 19 24 27 31 36 38 45 47 53 67 70 78 80 81 83 93 97 101 104 112 117 119 122 127 130 140 168 178 179 180 195 206 208 212 213 215 217 222 233 243 246 249 254 259 261 262]\n# step=0 row=1 minW=50 found cw of W=40: [2 23 24 31 34 36 45 47 67 68 69 78 80 89 93 100 101 107 111 112 130 135 142 160 178 179 180 196 199 208 210 212 222 225 226 229 233 234 239 246]\n# step=0 row=40 minW=40 found cw of W=36: [13 19 27 47 48 53 59 62 73 87 97 100 111 117 119 127 139 145 153 160 179 182 191 194 196 217 225 226 229 232 243 246 248 249 259 262]\n# step=5 row=17 minW=36 found cw of W=32: [6 25 31 34 54 62 75 76 84 100 105 110 120 126 138 139 141 142 151 153 157 160 171 205 216 217 219 226 229 242 258 260]\n# step=28 row=4 minW=32 found cw of W=30: [7 14 16 21 29 32 34 39 61 77 82 95 98 99 105 109 113 127 139 149 153 158 165 209 212 215 224 232 241 245]\n# step=582 row=34 minW=30 found cw of W=28: [16 20 25 29 32 34 43 61 63 70 78 95 96 100 136 144 147 148 152 157 175 182 193 195 213 228 230 248]\n#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</si>
  <si>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row=1 minW=269 found cw of W=50: [2 5 7 11 17 20 26 30 39 41 44 47 59 61 63 68 76 87 97 104 105 109 110 111 114 120 135 141 145 152 153 171 176 196 197 203 206 210 218 219 220 227 239 240 242 244 254 260 262 263]\n# step=0 row=10 minW=50 found cw of W=48: [5 10 11 13 14 18 26 27 29 30 49 59 61 63 76 105 110 114 116 118 129 134 144 145 148 152 161 171 175 181 186 196 201 206 210 214 227 230 231 238 239 242 244 252 253 260 262 264]\n# step=0 row=18 minW=48 found cw of W=44: [4 11 13 14 20 24 27 41 43 44 59 63 68 82 86 87 110 114 118 120 140 144 145 148 149 152 153 161 175 181 187 188 197 202 205 207 211 214 219 225 245 252 255 260]\n# step=0 row=46 minW=44 found cw of W=40: [14 15 18 24 27 30 44 47 68 84 86 91 97 104 129 134 135 140 144 148 149 152 161 170 171 172 181 184 188 196 207 211 218 220 237 239 245 251 255 268]\n# step=0 row=98 minW=40 found cw of W=38: [5 13 24 30 33 39 41 59 61 65 76 86 97 104 109 118 134 167 171 176 184 188 190 199 206 210 214 220 225 240 242 251 252 255 257 260 262 268]\n# step=8 row=35 minW=38 found cw of W=36: [11 18 31 42 43 56 63 64 66 67 73 83 85 90 98 101 103 125 130 131 132 134 143 168 170 176 177 207 210 212 217 224 257 259 266 267]\n# step=42 row=97 minW=36 found cw of W=30: [52 72 80 88 104 107 122 126 128 130 137 139 147 154 155 170 171 178 186 190 193 204 221 237 241 245 256 257 262 264]\n# step=91 row=74 minW=30 found cw of W=28: [15 16 18 29 30 31 58 63 82 83 108 119 120 124 125 129 152 160 164 165 191 196 197 227 230 242 253 254]\n#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</si>
  <si>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minW=273 found cw of W=52: [2 5 6 8 19 23 25 29 33 40 41 44 53 54 55 62 66 72 74 87 91 93 95 103 108 116 118 120 125 130 135 138 140 152 163 165 171 184 186 189 193 202 203 209 212 220 237 245 248 256 258 259]\n# step=0 row=3 minW=52 found cw of W=42: [2 5 13 18 29 34 40 45 55 60 73 81 87 93 103 113 118 120 130 131 138 152 154 165 166 169 170 171 176 186 197 220 223 229 234 237 256 259 264 265 266 267]\n# step=2 row=26 minW=42 found cw of W=40: [10 14 19 22 32 33 38 42 43 44 46 54 55 82 84 88 96 100 110 120 122 139 146 149 152 155 158 177 180 182 191 207 217 224 232 237 242 245 247 256]\n# step=2 row=132 minW=40 found cw of W=38: [14 20 22 27 28 31 43 47 55 69 72 77 79 82 83 115 121 125 137 140 147 151 158 163 167 169 170 177 179 189 213 224 232 237 238 245 259 261]\n# step=8 row=31 minW=38 found cw of W=36: [10 18 21 22 28 30 50 56 57 58 63 78 86 100 109 117 118 126 131 164 166 168 172 176 177 178 185 198 225 226 240 244 246 260 261 266]\n# step=13 row=16 minW=36 found cw of W=34: [4 18 30 32 36 56 62 67 78 80 86 95 100 111 119 140 146 149 159 163 166 172 192 195 198 201 203 216 217 227 247 255 263 269]\n# step=43 row=53 minW=34 found cw of W=32: [11 24 29 37 39 40 45 63 79 89 92 102 105 107 110 115 119 123 131 141 150 157 165 181 209 218 238 244 246 251 255 259]\n# step=209 row=123 minW=32 found cw of W=30: [7 11 14 18 25 30 47 54 65 79 83 93 106 108 111 123 143 151 166 167 183 190 191 218 222 235 242 244 247 269]\n# step=289 row=81 minW=30 found cw of W=28: [1 20 31 32 34 35 39 44 64 65 89 97 100 103 124 142 156 157 167 170 175 192 201 205 210 233 248 268]\n#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</si>
  <si>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minW=277 found cw of W=52: [1 2 5 7 13 19 20 22 26 28 34 45 47 49 50 71 72 78 82 86 88 89 93 95 101 119 123 131 134 139 141 143 147 159 166 169 170 185 192 200 204 214 224 228 229 231 238 241 252 256 272 273]\n# step=0 row=4 minW=52 found cw of W=50: [5 7 8 9 13 23 26 28 30 32 34 35 36 40 47 50 53 71 82 93 99 101 119 134 140 143 147 148 160 164 166 172 173 174 187 201 204 214 215 217 229 230 231 247 254 256 260 270 272 273]\n# step=0 row=8 minW=50 found cw of W=42: [16 20 22 25 30 32 34 35 49 53 71 88 89 93 97 99 101 114 131 140 145 154 155 166 169 172 173 187 200 201 204 214 224 226 229 231 232 238 252 260 270 273]\n# step=0 row=49 minW=42 found cw of W=38: [5 28 30 32 34 36 45 50 71 72 74 78 82 88 93 96 99 101 114 131 140 147 151 159 165 166 169 174 187 210 226 228 231 238 241 256 257 269]\n# step=1 row=10 minW=38 found cw of W=36: [13 14 21 22 29 42 45 82 84 91 94 95 103 106 118 152 153 164 165 167 172 173 174 177 180 183 203 228 232 234 242 243 244 246 256 272]\n# step=11 row=25 minW=36 found cw of W=34: [22 23 24 28 32 44 48 54 64 87 89 92 107 119 133 134 139 156 160 162 170 186 192 198 200 208 227 235 245 251 257 267 269 272]\n# step=107 row=100 minW=34 found cw of W=30: [12 27 42 44 47 49 53 59 97 100 101 106 111 126 150 165 166 169 172 175 181 182 185 191 195 197 239 241 250 256]\n# round=1000 of 10000 minW=30\n# step=1456 row=62 minW=30 found cw of W=28: [9 11 35 38 42 59 63 67 78 107 109 116 118 122 125 132 136 157 178 185 187 194 218 226 242 249 260 266]\n#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</si>
  <si>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row=2 minW=281 found cw of W=46: [5 10 14 15 25 26 37 44 45 47 50 52 53 60 61 71 72 75 81 95 99 106 114 117 129 150 151 155 169 185 190 193 199 200 201 204 207 211 212 224 236 246 247 262 274 277]\n# step=0 row=20 minW=46 found cw of W=44: [2 7 13 22 36 37 45 46 48 51 52 58 60 72 82 83 87 94 104 117 118 129 143 147 154 174 181 185 191 199 200 213 222 224 227 232 234 246 247 251 256 257 262 268]\n# step=0 row=76 minW=44 found cw of W=42: [9 10 14 27 44 47 48 51 52 59 71 72 81 82 90 105 109 114 118 122 126 149 150 151 154 162 175 179 191 199 204 207 211 212 222 230 232 237 257 266 274 277]\n# step=1 row=91 minW=42 found cw of W=36: [12 16 22 37 40 47 52 54 63 86 87 88 102 105 110 131 133 148 152 158 162 169 175 176 186 192 194 218 227 239 242 246 247 256 257 271]\n# step=7 row=55 minW=36 found cw of W=34: [2 4 11 13 23 26 42 45 51 62 76 81 83 89 105 121 124 142 144 159 164 166 182 194 197 202 204 216 233 234 245 255 267 274]\n# step=10 row=81 minW=34 found cw of W=30: [11 16 21 24 25 48 50 54 58 80 81 86 89 91 95 106 109 116 124 129 150 159 164 179 188 190 199 246 256 268]\n# step=36 row=112 minW=30 found cw of W=28: [16 30 38 43 45 60 74 80 105 107 115 165 170 175 177 178 183 186 191 195 200 214 220 226 235 256 261 265]\n#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</si>
  <si>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minW=285 found cw of W=56: [2 4 12 14 16 25 26 27 29 54 59 62 66 76 77 78 86 89 98 100 101 109 123 133 138 140 144 146 147 154 156 172 173 180 186 188 189 200 201 208 209 211 219 220 228 229 231 238 239 244 257 259 260 265 267 271]\n# step=0 row=3 minW=56 found cw of W=54: [1 7 8 11 12 14 16 34 42 49 55 59 77 78 80 87 89 90 98 115 135 138 140 143 147 151 153 154 156 161 172 173 176 186 191 197 200 201 206 208 209 210 211 218 219 221 231 240 243 244 255 271 279 281]\n# step=0 row=6 minW=54 found cw of W=48: [1 11 14 15 26 27 29 37 49 51 54 55 61 66 86 87 89 90 98 100 109 117 132 143 153 156 172 173 179 180 186 188 191 193 196 197 207 208 211 229 231 232 239 243 244 257 278 282]\n# step=0 row=14 minW=48 found cw of W=46: [1 4 11 12 27 29 32 42 51 59 61 66 76 78 86 87 90 96 100 122 132 135 143 146 147 153 154 173 190 201 206 207 208 209 220 228 229 232 238 240 244 245 255 261 278 280]\n# step=0 row=25 minW=46 found cw of W=44: [1 12 14 16 25 37 52 54 61 76 87 89 90 96 98 99 117 122 123 124 132 135 143 154 156 161 170 173 174 179 188 193 195 200 206 207 218 231 240 244 245 267 271 278]\n# step=5 row=48 minW=44 found cw of W=40: [3 5 8 10 18 23 29 32 36 55 59 65 71 73 79 89 94 96 100 126 136 144 147 164 174 177 178 188 190 201 205 216 223 235 238 248 259 261 276 284]\n# step=10 row=33 minW=40 found cw of W=38: [7 18 23 34 59 62 64 81 87 93 106 107 123 130 131 135 143 145 152 162 164 165 178 182 185 202 204 214 216 220 229 231 233 247 248 253 256 265]\n# step=28 row=146 minW=38 found cw of W=36: [17 18 41 45 49 70 71 88 89 98 99 107 118 127 128 134 136 164 170 178 185 189 199 207 209 235 240 254 256 258 262 269 276 280 283 284]\n# step=43 row=13 minW=36 found cw of W=34: [1 5 20 38 41 50 55 64 72 84 109 117 121 126 129 148 149 182 183 190 195 200 204 218 219 220 226 233 253 259 261 266 275 277]\n# step=63 row=125 minW=34 found cw of W=32: [2 6 16 44 58 60 66 77 90 100 103 104 115 119 120 121 123 131 140 158 171 175 190 191 194 208 215 232 245 263 271 282]\n# round=1000 of 10000 minW=32\n# round=2000 of 10000 minW=32\n# step=2949 row=32 minW=32 found cw of W=30: [3 17 18 35 37 52 58 88 96 102 104 106 136 138 145 149 160 167 173 175 201 206 207 209 220 250 265 271 272 277]\n#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</si>
  <si>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minW=289 found cw of W=64: [1 5 6 8 9 13 14 17 21 23 25 26 32 37 46 48 53 54 68 74 76 94 95 100 101 103 109 113 118 121 133 143 149 157 172 175 176 191 193 197 202 205 213 217 218 220 222 224 225 230 233 237 238 241 242 245 257 263 264 270 274 284 285 287]\n# step=0 row=1 minW=64 found cw of W=58: [2 6 9 11 13 21 22 32 37 50 54 59 68 73 74 79 80 84 85 89 95 100 103 109 113 117 124 130 136 151 153 155 156 159 172 175 176 179 189 194 196 198 203 208 213 217 222 224 231 233 237 238 239 251 257 274 284 285]\n# step=0 row=2 minW=58 found cw of W=46: [4 5 6 8 11 21 22 23 45 48 51 62 66 68 79 85 86 95 98 101 124 130 134 138 140 141 149 151 155 157 189 196 198 220 222 224 230 237 238 242 245 264 267 270 274 285]\n# step=0 row=115 minW=46 found cw of W=44: [5 11 14 17 23 45 46 48 50 64 76 78 82 84 85 89 95 113 117 118 121 136 149 155 156 157 169 179 191 193 194 198 202 220 222 226 230 241 251 257 263 264 270 274]\n# step=1 row=28 minW=44 found cw of W=40: [3 5 10 16 21 28 34 35 38 51 78 88 90 93 100 102 117 121 122 123 147 149 150 154 162 191 192 193 194 209 210 246 250 251 254 261 263 264 281 282]\n# step=9 row=98 minW=40 found cw of W=36: [13 16 36 39 41 46 48 53 60 84 97 105 111 145 152 154 157 160 176 179 192 202 217 224 226 228 241 248 249 251 252 257 262 269 274 276]\n# step=107 row=95 minW=36 found cw of W=34: [12 16 23 28 36 39 42 45 65 68 84 86 100 107 114 115 120 137 142 160 167 168 180 183 189 191 212 214 230 240 251 259 263 264]\n# step=369 row=145 minW=34 found cw of W=32: [12 13 16 19 30 32 45 61 81 105 106 120 123 125 133 152 153 156 160 177 178 197 211 224 229 235 246 248 261 264 267 283]\n# step=421 row=72 minW=32 found cw of W=30: [8 10 16 20 29 38 39 43 65 68 76 101 110 111 113 115 137 142 148 149 178 185 212 214 221 224 226 232 236 250]\n#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</si>
  <si>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minW=293 found cw of W=66: [1 2 4 8 13 14 18 23 31 37 39 40 48 51 55 65 72 74 75 76 78 86 90 93 96 98 104 109 113 117 119 126 128 130 140 142 154 164 166 174 180 182 183 185 190 194 198 199 200 203 215 222 223 224 233 236 244 247 253 265 270 271 273 284 286 291]\n# step=0 row=4 minW=66 found cw of W=58: [1 4 7 18 30 39 42 51 54 55 61 63 65 76 78 80 85 98 102 104 110 113 116 128 130 133 136 140 143 158 164 176 181 183 185 186 188 198 203 205 206 207 216 220 222 223 224 244 248 250 254 262 270 271 273 278 284 286]\n# step=0 row=5 minW=58 found cw of W=56: [4 8 9 12 13 23 30 52 54 62 63 65 71 76 85 86 96 98 104 110 117 119 128 130 133 135 140 142 144 154 155 160 174 176 181 183 190 198 200 201 203 205 206 209 215 222 223 233 244 247 250 254 265 278 284 286]\n# step=0 row=9 minW=56 found cw of W=52: [4 8 13 14 20 42 47 48 51 52 61 62 65 72 74 78 81 93 103 109 117 119 120 128 135 142 144 145 159 160 176 181 182 188 190 192 194 200 201 205 207 211 215 217 220 223 224 254 270 271 273 278]\n# step=0 row=21 minW=52 found cw of W=48: [8 14 18 25 37 40 43 47 52 54 58 62 65 71 74 76 81 102 113 117 120 131 133 135 140 142 145 155 164 174 183 190 206 211 215 217 220 222 228 233 244 247 248 262 271 273 286 291]\n# step=0 row=43 minW=48 found cw of W=46: [16 18 25 30 31 37 38 39 40 48 54 74 86 89 98 103 111 113 117 126 130 140 142 155 159 160 164 181 183 185 190 192 194 199 200 203 205 215 220 228 233 250 254 265 278 286]\n# step=1 row=41 minW=46 found cw of W=44: [5 17 47 55 66 70 80 84 85 102 116 125 128 133 135 153 158 161 167 179 186 197 202 206 209 212 217 224 230 234 236 240 248 252 259 262 266 270 271 275 281 282 289 290]\n# step=1 row=52 minW=44 found cw of W=42: [6 15 17 26 28 36 55 56 69 79 84 90 94 95 101 104 106 116 124 128 136 157 166 167 172 177 193 195 215 217 234 239 241 252 255 262 266 268 270 275 282 290]\n# step=2 row=44 minW=42 found cw of W=40: [17 25 38 43 46 55 56 58 75 77 78 81 90 98 105 106 116 127 129 135 138 148 150 151 154 178 179 185 192 193 204 211 215 257 258 266 273 274 281 288]\n# step=12 row=106 minW=40 found cw of W=36: [1 6 15 19 31 59 62 75 80 84 100 101 112 121 122 132 147 148 152 153 157 173 191 208 210 214 234 238 247 250 258 264 267 268 283 287]\n# step=64 row=81 minW=36 found cw of W=34: [8 16 17 24 42 46 50 53 60 65 84 90 103 113 118 123 126 148 154 157 170 178 188 191 192 206 208 221 235 249 251 259 281 284]\n# step=420 row=117 minW=34 found cw of W=32: [11 12 29 37 47 55 75 82 83 95 96 109 120 123 132 154 157 168 169 175 182 196 214 221 227 228 229 231 256 274 278 287]\n# round=1000 of 10000 minW=32\n# round=2000 of 10000 minW=32\n# step=2830 row=74 minW=32 found cw of W=30: [2 16 44 45 50 56 59 68 75 89 91 99 116 117 120 123 124 129 139 159 164 172 189 191 193 212 232 270 278 287]\n#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</si>
  <si>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row=1 minW=297 found cw of W=66: [3 8 9 11 13 17 21 23 28 34 37 48 49 52 59 60 66 73 75 81 83 87 90 91 95 105 106 108 111 112 116 122 123 131 149 151 156 160 163 172 176 181 183 186 208 211 219 229 233 234 237 238 245 246 253 254 255 257 264 274 279 281 285 288 293 295]\n# step=0 row=2 minW=66 found cw of W=62: [2 4 7 13 15 21 23 28 30 43 48 52 59 60 66 69 78 81 83 87 91 95 96 97 112 116 122 149 150 156 165 170 172 175 176 178 181 183 189 190 192 200 208 211 217 219 223 230 231 237 246 249 255 257 260 263 265 266 281 285 288 293]\n# step=0 row=3 minW=62 found cw of W=58: [5 7 13 15 16 17 23 37 41 43 52 57 58 75 87 88 90 91 95 96 97 103 107 112 131 132 134 136 140 149 153 160 170 175 183 185 186 189 192 208 215 219 229 234 236 237 243 249 251 255 257 265 266 274 284 288 289 293]\n# step=0 row=4 minW=58 found cw of W=54: [2 7 12 15 16 17 21 28 34 41 49 52 58 66 69 75 88 91 96 97 107 108 111 116 118 123 131 149 150 160 163 170 172 176 181 185 189 190 206 211 217 219 229 236 238 243 245 246 266 274 279 285 288 293]\n# step=0 row=9 minW=54 found cw of W=44: [2 7 10 11 13 15 21 24 28 37 41 43 49 57 58 73 75 81 83 87 88 95 107 123 131 150 163 172 176 185 189 200 206 219 223 231 232 233 236 255 265 274 293 295]\n# step=0 row=152 minW=44 found cw of W=42: [2 8 23 34 41 48 58 59 60 66 81 102 108 111 116 122 132 136 150 160 172 176 181 185 189 190 208 215 219 220 229 230 234 245 246 255 281 284 288 289 293 294]\n# step=4 row=28 minW=42 found cw of W=40: [4 9 38 39 44 54 59 80 81 83 87 94 101 109 124 133 135 138 145 152 154 155 161 163 184 186 187 202 212 216 237 242 249 257 258 266 272 283 290 293]\n# step=9 row=44 minW=40 found cw of W=38: [2 4 10 15 19 23 33 37 54 78 82 84 97 108 109 110 121 135 140 143 167 182 183 185 204 207 217 224 230 237 255 258 269 276 278 281 283 288]\n# step=17 row=72 minW=38 found cw of W=36: [1 2 7 26 31 35 41 42 48 62 83 86 87 109 110 112 127 150 160 174 176 179 184 190 202 223 229 231 235 250 260 263 270 275 276 284]\n# step=42 row=60 minW=36 found cw of W=34: [28 29 33 38 39 40 79 100 105 107 111 112 113 127 133 144 174 179 185 197 201 211 212 213 227 250 251 262 271 281 285 286 287 292]\n# step=246 row=9 minW=34 found cw of W=32: [3 14 18 20 27 56 67 77 82 95 98 101 139 140 141 149 153 156 162 163 168 169 204 205 223 227 237 240 246 279 287 288]\n# round=1000 of 10000 minW=32\n# step=1785 row=18 minW=32 found cw of W=30: [9 15 19 34 42 47 55 71 75 89 93 102 107 121 133 141 153 157 174 190 207 223 227 248 250 255 256 277 289 293]\n#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</si>
  <si>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minW=301 found cw of W=74: [1 10 12 24 27 33 34 35 37 44 45 47 49 56 65 70 77 78 91 96 97 99 102 107 109 112 113 115 117 119 124 128 129 135 150 157 159 160 171 172 173 176 179 182 185 190 195 207 209 210 215 216 225 226 227 228 232 234 237 241 248 251 254 258 263 267 272 278 279 281 282 284 291 295]\n# step=0 row=1 minW=74 found cw of W=50: [2 6 10 13 27 35 38 43 47 58 62 75 86 91 96 102 113 115 117 118 123 134 135 157 161 171 173 179 185 190 210 216 221 225 227 231 232 235 238 241 248 254 267 272 273 283 284 287 291 296]\n# step=0 row=58 minW=50 found cw of W=36: [3 7 13 33 38 46 53 56 58 65 69 70 75 96 113 114 124 128 135 144 171 176 189 196 199 210 215 225 228 232 238 251 258 281 283 295]\n# step=64 row=73 minW=36 found cw of W=34: [28 35 41 69 74 87 103 114 121 124 134 135 142 149 162 185 189 190 191 193 198 199 210 212 217 225 265 268 271 273 284 287 294 300]\n# round=1000 of 10000 minW=34\n# step=1451 row=57 minW=34 found cw of W=30: [10 17 20 26 28 50 67 72 85 92 103 109 127 137 144 147 174 176 184 209 212 220 245 249 275 277 284 292 294 295]\n#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</si>
  <si>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minW=305 found cw of W=74: [2 5 9 13 15 19 29 37 41 49 53 54 57 59 62 66 73 75 76 77 80 81 82 86 89 91 92 100 101 102 105 108 115 117 118 125 126 128 135 142 145 149 151 152 153 158 168 176 178 184 185 189 191 192 194 198 200 205 206 209 230 232 237 238 247 253 261 268 274 276 278 280 290 297]\n# step=0 row=1 minW=74 found cw of W=46: [3 11 19 25 27 40 41 51 53 54 66 73 76 77 79 80 87 92 97 100 105 115 117 122 142 147 149 152 153 168 176 179 181 188 191 198 205 206 223 232 247 249 253 264 268 279]\n# step=0 row=11 minW=46 found cw of W=44: [1 19 21 40 41 54 63 68 76 79 81 91 92 97 108 117 126 128 135 139 145 151 152 153 168 170 184 185 188 206 227 231 233 243 246 247 261 264 268 278 280 287 296 297]\n# step=3 row=109 minW=44 found cw of W=42: [4 16 21 28 29 47 67 70 105 111 118 127 131 139 141 145 147 178 182 184 192 193 194 203 215 217 219 221 223 232 244 249 254 256 258 260 263 268 269 275 283 298]\n# step=8 row=4 minW=42 found cw of W=40: [2 7 8 9 15 35 46 49 55 80 85 91 92 94 95 105 106 117 132 154 157 168 171 187 202 207 220 232 233 235 236 246 257 258 269 274 277 278 284 296]\n# step=25 row=5 minW=40 found cw of W=38: [7 11 14 19 24 38 42 45 52 58 88 89 95 101 104 114 118 139 142 153 159 164 165 166 177 204 215 218 220 226 229 239 252 256 273 286 296 302]\n# step=45 row=34 minW=38 found cw of W=34: [10 11 22 27 29 54 57 65 70 76 81 88 97 105 106 109 139 141 163 164 182 197 209 228 233 238 249 250 255 261 273 282 291 298]\n# step=68 row=115 minW=34 found cw of W=32: [14 15 19 21 23 27 51 71 73 91 92 103 122 133 136 147 171 180 192 198 202 203 212 225 242 244 249 251 256 268 278 285]\n# round=1000 of 10000 minW=32\n# step=1620 row=97 minW=32 found cw of W=30: [2 6 8 9 34 54 59 65 76 110 130 141 152 154 158 161 163 164 179 181 191 196 211 236 239 240 255 257 267 272]\n#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</si>
  <si>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minW=309 found cw of W=78: [1 4 9 13 17 19 21 22 26 30 33 34 41 42 46 48 52 58 59 61 64 71 73 83 85 90 93 94 98 101 103 111 122 135 136 137 138 141 146 147 151 163 170 176 181 182 184 185 196 199 217 220 221 222 228 232 235 237 239 250 255 258 259 262 264 272 277 279 283 291 294 297 298 299 300 301 302 304]\n# step=0 row=1 minW=78 found cw of W=70: [3 4 8 13 19 21 23 24 26 31 34 40 46 59 61 63 71 73 74 77 78 80 81 83 85 87 93 98 99 100 101 103 109 122 135 136 138 141 142 146 170 173 176 181 182 185 199 206 222 228 231 232 237 241 244 258 259 263 265 271 277 283 289 294 295 296 299 300 302 304]\n# step=0 row=2 minW=70 found cw of W=50: [5 7 13 22 23 26 31 34 40 48 61 63 64 73 74 81 95 103 135 137 138 150 151 153 159 161 172 176 177 182 220 221 222 223 230 235 244 259 262 265 271 279 289 291 294 295 297 298 299 300]\n# step=0 row=19 minW=50 found cw of W=46: [7 13 21 30 31 33 38 42 44 52 59 61 74 83 85 95 98 101 115 121 137 138 147 153 161 172 184 185 196 206 217 219 223 228 230 237 239 244 255 264 290 291 294 296 300 301]\n# step=0 row=44 minW=46 found cw of W=44: [7 9 16 17 21 24 31 38 48 61 71 74 81 83 91 94 98 100 101 110 115 138 142 150 161 163 168 170 177 181 217 219 223 228 235 237 258 262 264 279 294 300 302 304]\n# step=1 row=5 minW=44 found cw of W=40: [9 15 16 21 25 27 33 51 54 55 61 74 85 87 89 126 132 134 138 143 149 151 162 175 187 195 203 211 220 240 241 243 246 247 256 258 272 282 285 303]\n# step=64 row=73 minW=40 found cw of W=38: [20 32 41 43 46 54 64 71 73 76 83 95 118 120 123 131 135 143 153 160 169 170 173 174 196 207 218 220 225 246 247 249 250 263 273 284 289 304]\n# step=164 row=43 minW=38 found cw of W=36: [3 10 16 18 21 24 42 50 60 66 68 80 95 101 102 104 106 119 134 140 170 175 179 181 183 193 204 211 225 241 270 291 294 297 299 302]\n# step=332 row=104 minW=36 found cw of W=32: [6 7 17 26 42 46 59 61 79 95 96 103 110 119 123 124 125 138 145 151 156 161 187 201 202 213 222 237 248 249 250 305]\n# round=1000 of 10000 minW=32\n# step=1489 row=141 minW=32 found cw of W=30: [3 12 20 28 30 36 49 64 68 76 80 97 105 106 123 127 137 148 153 166 184 218 260 267 277 280 281 291 299 302]\n#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</si>
  <si>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minW=313 found cw of W=56: [1 3 5 6 7 9 10 18 24 32 39 43 48 54 58 79 81 95 96 99 103 110 112 117 122 135 139 143 144 150 162 163 166 173 177 180 214 215 217 220 222 233 239 243 259 268 277 278 282 288 291 293 298 299 306 311]\n# step=0 row=1 minW=56 found cw of W=52: [5 7 8 9 10 17 24 32 35 42 54 58 78 89 103 104 107 110 112 116 117 121 122 135 143 150 153 163 166 167 173 180 191 214 234 239 242 243 259 260 263 268 272 273 276 277 278 288 291 299 306 309]\n# step=0 row=3 minW=52 found cw of W=50: [2 5 10 13 17 25 32 39 42 43 48 51 58 69 73 78 80 86 95 96 97 110 112 113 116 121 129 139 151 166 169 191 214 215 217 231 239 242 252 253 259 268 272 273 276 282 293 303 309 312]\n# step=0 row=14 minW=50 found cw of W=48: [1 2 3 4 5 7 9 17 24 33 35 48 51 52 78 79 80 81 91 96 103 104 112 117 130 139 144 147 160 163 169 173 180 189 191 207 217 222 239 243 252 259 260 268 273 282 303 312]\n# step=0 row=26 minW=48 found cw of W=46: [1 7 21 22 25 32 39 54 56 58 69 73 79 86 97 110 111 112 113 116 117 134 143 147 150 163 177 189 191 214 215 231 234 242 253 256 259 268 272 288 293 299 306 307 309 312]\n# step=0 row=88 minW=46 found cw of W=38: [5 7 10 43 48 52 54 91 95 96 100 104 106 112 113 116 130 151 163 166 169 173 184 191 231 234 239 252 256 260 268 272 277 282 288 307 309 312]\n# step=6 row=158 minW=38 found cw of W=36: [16 25 48 64 75 79 83 85 89 94 98 103 104 106 110 112 132 146 157 161 163 167 176 188 196 204 220 222 224 231 260 262 268 274 288 300]\n# step=7 row=127 minW=36 found cw of W=34: [7 20 47 67 68 69 71 77 93 98 100 125 126 127 145 163 179 185 200 207 225 228 233 249 256 257 263 278 282 283 285 302 305 306]\n# step=10 row=67 minW=34 found cw of W=30: [19 21 30 39 62 86 104 105 111 118 129 131 132 141 164 177 182 183 196 207 209 210 215 219 253 264 267 273 293 296]\n# round=1000 of 10000 minW=30\n# step=1364 row=86 minW=30 found cw of W=28: [6 18 25 39 50 57 78 79 81 94 96 107 117 128 132 152 156 157 159 162 172 213 225 230 259 263 288 303]\n# round=2000 of 10000 minW=28\n# round=3000 of 10000 minW=28\n# round=4000 of 10000 minW=28\n# round=5000 of 10000 minW=28\n# round=6000 of 10000 minW=28\n# step=6395 row=109 minW=28 found cw of W=26: [1 8 17 36 49 53 66 109 112 122 144 150 154 157 164 195 200 205 251 265 268 270 273 287 306 310]\n# round=7000 of 10000 minW=26\n# round=8000 of 10000 minW=26\n# round=9000 of 10000 minW=26\n# round=10000 of 10000 minW=26\nRW algorithm upper bound for the distance d=26\n</t>
  </si>
  <si>
    <t># step=0 row=0 minW=317 found cw of W=58: [2 5 6 18 21 23 32 50 57 68 75 82 85 87 90 94 101 107 113 115 118 129 133 135 141 143 147 151 160 166 168 176 180 186 190 192 197 202 213 234 240 242 247 248 252 258 260 273 281 291 292 293 294 299 301 309 312 313]\n# step=0 row=2 minW=58 found cw of W=48: [5 9 18 23 32 44 48 60 63 68 76 84 87 88 89 94 103 113 127 130 133 134 135 139 141 142 147 156 166 168 181 189 190 207 209 213 235 252 255 261 268 271 281 286 291 293 299 313]\n# step=0 row=17 minW=48 found cw of W=42: [5 7 8 11 18 23 27 29 32 36 40 57 68 76 84 90 94 103 121 134 143 156 165 166 176 185 190 202 226 235 252 260 261 266 273 277 279 281 292 294 301 313]\n# step=0 row=87 minW=42 found cw of W=38: [6 8 23 33 36 44 57 75 76 84 85 95 103 112 113 115 118 130 133 166 170 189 192 197 202 209 220 234 242 249 253 260 261 268 291 294 299 312]\n# step=0 row=109 minW=38 found cw of W=36: [5 48 59 60 75 76 84 88 89 94 95 103 113 118 139 141 147 151 161 176 192 197 206 217 226 234 240 246 247 252 253 255 261 299 309 312]\n# step=33 row=117 minW=36 found cw of W=32: [7 11 15 26 37 61 81 86 87 90 94 98 115 121 130 132 139 144 160 163 166 177 184 209 218 219 223 242 273 274 279 290]\n# step=130 row=22 minW=32 found cw of W=30: [8 34 38 47 65 78 79 104 138 145 148 155 166 192 195 196 198 201 205 223 227 236 237 262 274 277 280 296 303 313]\n# step=883 row=95 minW=30 found cw of W=28: [3 14 23 24 34 45 101 103 123 133 139 170 172 193 202 212 219 222 240 249 259 260 271 272 282 297 298 301]\n#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</si>
  <si>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minW=321 found cw of W=68: [1 15 22 27 29 34 38 49 50 56 57 60 63 67 71 75 85 91 98 101 102 104 112 114 124 129 130 133 134 135 143 145 147 151 157 159 163 165 167 173 192 204 208 214 215 216 219 220 239 241 243 247 251 253 255 258 261 264 267 269 278 288 293 297 299 305 315 317]\n# step=0 row=1 minW=68 found cw of W=62: [2 15 27 32 38 49 57 60 64 67 71 74 79 81 85 92 97 101 118 128 129 137 147 151 154 156 157 163 165 166 167 172 173 177 178 192 193 206 208 215 216 219 220 224 236 239 241 242 243 246 247 253 255 258 261 267 273 286 295 296 299 317]\n# step=0 row=3 minW=62 found cw of W=58: [4 24 26 27 30 32 49 56 58 60 63 67 75 79 81 84 92 97 98 101 104 114 128 129 138 139 143 145 147 151 157 172 177 186 190 192 193 206 215 216 220 222 239 241 258 261 267 273 274 286 288 295 299 302 305 311 315 317]\n# step=0 row=4 minW=58 found cw of W=56: [5 19 22 24 29 32 38 43 49 50 56 60 71 79 98 99 102 104 112 114 118 123 128 129 130 133 135 137 138 159 162 165 166 188 190 193 206 208 215 219 220 242 246 258 268 269 270 273 274 286 293 296 297 298 299 311]\n# step=0 row=18 minW=56 found cw of W=54: [15 22 24 25 27 34 38 54 63 71 74 81 97 101 102 112 118 124 128 133 135 139 140 143 154 156 157 162 166 177 178 185 188 192 204 208 214 215 220 236 241 242 246 255 258 261 264 267 268 274 293 299 311 317]\n# step=0 row=37 minW=54 found cw of W=52: [16 19 27 30 57 58 60 62 63 72 75 79 85 91 92 93 99 124 133 135 143 145 151 152 156 159 165 172 173 176 177 190 204 206 208 215 219 220 236 251 257 267 286 288 293 297 298 299 302 305 311 315]\n# step=0 row=43 minW=52 found cw of W=50: [22 27 32 49 50 54 67 71 77 79 92 97 102 114 118 121 129 130 134 138 139 145 151 157 166 172 173 188 190 192 193 201 216 219 222 227 239 246 253 257 267 268 270 273 274 278 296 298 302 305]\n# step=0 row=92 minW=50 found cw of W=46: [15 23 29 30 54 57 71 72 75 81 93 98 114 128 133 134 138 139 147 152 167 173 177 178 183 188 193 219 222 227 241 247 255 257 268 269 270 273 274 288 293 297 298 302 311 315]\n# step=1 row=79 minW=46 found cw of W=42: [20 61 62 71 75 78 79 91 96 105 118 126 143 148 150 166 181 198 199 203 221 222 229 231 235 236 238 246 251 256 260 261 265 279 283 286 303 308 309 310 316 319]\n# step=8 row=87 minW=42 found cw of W=40: [19 21 27 34 53 60 61 72 74 88 96 99 114 121 122 123 126 127 133 138 140 143 168 170 173 176 187 202 203 221 223 234 250 253 261 281 286 287 298 312]\n# step=11 row=10 minW=40 found cw of W=38: [7 9 16 17 18 28 53 67 68 71 98 128 129 132 133 136 142 148 150 167 169 182 187 188 208 215 227 230 231 256 257 262 267 289 292 295 296 302]\n# step=76 row=85 minW=38 found cw of W=36: [1 2 7 19 32 40 52 82 85 86 89 97 99 110 126 159 161 165 167 177 192 193 195 200 201 209 246 249 270 273 275 281 286 289 292 319]\n# step=494 row=80 minW=36 found cw of W=34: [6 20 34 42 44 55 60 63 67 69 77 81 94 122 136 165 174 179 194 204 212 216 237 241 245 246 259 260 292 295 300 303 307 309]\n# round=1000 of 10000 minW=34\n# round=2000 of 10000 minW=34\n# round=3000 of 10000 minW=34\n# round=4000 of 10000 minW=34\n# round=5000 of 10000 minW=34\n# step=5841 row=11 minW=34 found cw of W=30: [15 17 18 38 44 58 62 68 72 74 88 94 97 148 178 188 200 222 237 248 254 255 268 278 280 284 298 312 314 317]\n# round=6000 of 10000 minW=30\n# round=7000 of 10000 minW=30\n# round=8000 of 10000 minW=30\n# round=9000 of 10000 minW=30\n# round=10000 of 10000 minW=30\nRW algorithm upper bound for the distance d=30\n</t>
  </si>
  <si>
    <t># step=0 row=0 minW=325 found cw of W=70: [2 8 12 15 17 18 26 37 42 45 46 57 62 70 78 80 83 90 91 93 96 100 108 110 116 117 118 119 120 130 134 135 136 138 151 153 155 161 162 171 179 180 188 191 197 198 200 201 208 215 217 222 225 229 234 236 240 251 253 262 270 285 288 292 297 303 305 306 310 324]\n# step=0 row=1 minW=70 found cw of W=66: [3 6 8 12 13 15 17 19 37 42 44 53 54 60 63 70 71 79 80 87 90 93 96 104 105 107 110 116 117 119 120 130 134 136 150 151 161 162 171 173 175 179 185 186 188 191 198 200 201 206 217 222 225 233 246 251 254 262 278 280 285 292 297 312 322 324]\n# step=0 row=3 minW=66 found cw of W=60: [5 8 18 19 37 45 46 60 63 64 68 70 76 79 80 83 87 90 91 95 100 108 117 120 130 135 138 151 155 161 162 164 167 168 171 180 198 201 208 222 225 229 230 233 236 251 253 257 270 280 288 292 297 300 307 310 314 319 322 324]\n# step=0 row=6 minW=60 found cw of W=56: [10 12 13 15 17 23 26 38 42 44 53 57 63 64 70 83 87 91 93 95 96 104 108 110 117 119 130 134 136 162 164 168 175 179 186 188 191 195 197 198 206 211 217 222 232 257 267 270 276 278 285 300 303 306 307 324]\n# step=0 row=11 minW=56 found cw of W=46: [6 13 22 26 42 46 53 54 57 60 63 68 76 78 83 103 110 119 134 136 155 164 168 175 186 188 189 191 200 208 217 229 230 233 240 267 270 285 297 300 303 306 310 314 317 319]\n# step=0 row=52 minW=46 found cw of W=44: [15 17 18 23 54 57 60 70 71 76 78 90 95 96 99 100 107 117 119 138 151 155 171 173 179 185 188 197 200 222 225 229 233 240 254 257 262 278 279 297 306 310 317 319]\n# step=2 row=66 minW=44 found cw of W=42: [7 20 21 24 27 30 34 40 54 59 62 72 75 88 100 101 113 116 121 127 135 143 151 153 173 186 189 193 236 237 254 262 264 273 274 275 277 278 289 302 313 317]\n# step=5 row=19 minW=42 found cw of W=38: [4 16 23 33 36 46 50 54 62 77 80 91 123 126 127 158 161 172 178 185 189 191 195 198 204 212 218 219 224 231 247 270 272 288 297 299 300 312]\n# step=13 row=28 minW=38 found cw of W=36: [1 8 9 15 18 19 29 35 39 45 53 54 55 61 74 110 134 140 155 163 177 179 180 197 198 221 223 251 252 260 262 279 282 288 297 298]\n# step=467 row=16 minW=36 found cw of W=34: [1 4 14 16 24 32 33 34 41 52 58 85 102 105 108 113 114 122 133 136 155 163 167 176 189 206 217 220 236 248 259 264 277 287]\n# step=980 row=120 minW=34 found cw of W=32: [19 26 31 44 63 67 72 77 91 98 120 131 151 158 164 172 179 181 198 208 212 225 229 232 234 245 269 274 279 282 287 289]\n# round=1000 of 10000 minW=32\n# round=2000 of 10000 minW=32\n# round=3000 of 10000 minW=32\n# step=3966 row=51 minW=32 found cw of W=30: [3 5 20 27 44 51 52 64 74 79 94 96 108 133 147 150 155 165 167 182 231 241 243 256 258 287 294 307 309 324]\n# round=4000 of 10000 minW=30\n# round=5000 of 10000 minW=30\n# round=6000 of 10000 minW=30\n# round=7000 of 10000 minW=30\n# round=8000 of 10000 minW=30\n# round=9000 of 10000 minW=30\n# round=10000 of 10000 minW=30\nRW algorithm upper bound for the distance d=30\n</t>
  </si>
  <si>
    <t># step=0 row=0 minW=329 found cw of W=70: [2 3 4 5 9 18 20 29 40 41 57 58 64 67 73 76 77 79 86 92 99 105 106 110 114 120 122 131 132 135 140 145 146 163 164 174 176 178 181 182 187 188 193 198 205 213 214 234 240 241 246 248 249 251 255 258 260 266 274 278 280 284 299 303 309 313 316 319 325 327]\n# step=0 row=2 minW=70 found cw of W=68: [7 9 12 15 16 18 26 27 38 40 41 43 56 57 62 63 64 68 78 79 92 97 99 108 111 114 115 122 131 132 135 145 150 152 164 173 174 176 177 180 181 182 188 193 207 214 215 239 242 246 253 259 270 273 278 279 284 287 295 297 299 302 303 308 310 316 321 325]\n# step=0 row=4 minW=68 found cw of W=60: [10 11 12 16 29 40 56 57 58 63 68 78 79 84 97 99 105 108 110 111 119 120 122 135 140 150 157 173 174 176 177 179 180 181 184 190 194 198 215 234 242 248 255 257 259 266 269 274 276 280 283 284 297 299 302 303 309 316 321 325]\n# step=0 row=5 minW=60 found cw of W=58: [3 5 12 13 18 26 27 29 38 40 41 43 51 53 56 58 64 73 79 84 92 97 99 110 111 114 116 120 122 132 137 140 146 152 174 176 177 179 181 190 198 207 214 219 248 249 251 264 273 274 278 287 297 299 302 316 319 325]\n# step=0 row=9 minW=58 found cw of W=56: [11 14 16 22 26 29 38 39 41 50 53 57 62 67 68 73 76 99 104 106 108 110 111 114 116 121 132 150 152 157 173 176 178 180 181 184 187 205 239 240 255 257 258 266 269 270 274 278 280 284 299 303 308 313 316 319]\n# step=0 row=44 minW=56 found cw of W=54: [11 12 14 16 29 43 51 53 58 64 67 76 78 79 84 88 99 119 120 140 152 163 170 173 176 177 178 180 181 182 193 194 198 207 215 234 239 240 242 248 255 257 259 264 276 280 283 284 299 310 313 321 325 327]\n# step=0 row=124 minW=54 found cw of W=50: [11 12 18 20 27 50 51 56 57 58 63 73 77 105 106 114 115 131 132 146 150 157 164 177 184 187 194 198 215 232 241 246 257 258 259 264 270 273 276 278 279 280 295 302 303 304 309 310 319 321]\n# step=1 row=20 minW=50 found cw of W=48: [3 6 19 36 40 48 54 55 59 60 62 66 79 81 97 100 104 111 113 118 122 136 137 142 144 148 155 161 163 164 179 186 187 188 212 215 249 252 264 265 269 270 275 277 297 305 319 328]\n# step=1 row=58 minW=48 found cw of W=44: [7 19 48 54 55 65 77 79 81 104 105 108 110 111 112 120 136 137 148 156 161 164 188 190 192 212 223 229 230 231 238 241 245 253 265 268 269 270 275 276 284 305 313 328]\n# step=3 row=68 minW=44 found cw of W=42: [2 4 13 16 23 27 29 31 43 45 56 64 69 77 79 96 111 125 126 127 133 141 145 146 166 168 177 178 180 191 208 215 220 233 240 243 269 277 305 309 322 323]\n# step=5 row=42 minW=42 found cw of W=40: [6 7 12 22 37 39 52 61 72 78 81 88 94 99 104 110 127 142 143 148 154 160 161 163 171 181 201 205 220 224 241 243 274 285 287 291 298 302 312 323]\n# step=430 row=26 minW=40 found cw of W=38: [1 2 7 27 31 52 77 89 101 102 116 123 125 133 145 152 153 158 159 165 184 191 195 197 198 215 216 218 234 235 248 265 279 287 289 300 309 322]\n# step=906 row=6 minW=38 found cw of W=36: [12 13 14 26 28 33 38 40 41 46 61 78 94 95 96 108 110 111 122 124 162 193 198 205 206 210 214 235 279 280 284 296 307 317 324 326]\n# round=1000 of 10000 minW=36\n# round=2000 of 10000 minW=36\n# round=3000 of 10000 minW=36\n# round=4000 of 10000 minW=36\n# round=5000 of 10000 minW=36\n# step=5413 row=17 minW=36 found cw of W=34: [6 21 30 35 40 43 69 86 96 118 119 122 124 151 158 160 178 181 182 184 194 240 242 250 252 263 264 266 267 281 282 283 288 289]\n# round=6000 of 10000 minW=34\n# round=7000 of 10000 minW=34\n# round=8000 of 10000 minW=34\n# round=9000 of 10000 minW=34\n# round=10000 of 10000 minW=34\nRW algorithm upper bound for the distance d=34\n</t>
  </si>
  <si>
    <t># step=0 row=0 minW=333 found cw of W=50: [1 21 28 31 42 58 59 86 89 92 93 94 101 106 124 125 140 141 154 155 162 163 171 186 187 194 197 202 205 223 225 235 237 238 246 250 252 254 255 258 259 260 267 269 272 285 288 290 318 328]\n# step=0 row=38 minW=50 found cw of W=48: [3 16 31 36 52 65 67 69 71 76 81 83 87 89 93 101 106 114 125 135 138 140 150 159 162 170 171 176 202 205 208 221 223 225 235 237 245 247 252 254 255 265 267 272 288 308 314 332]\n# step=1 row=27 minW=48 found cw of W=42: [31 45 48 53 58 60 62 68 71 72 73 93 98 116 117 128 132 135 141 151 159 176 181 197 199 200 203 208 214 218 226 228 233 237 238 286 291 298 302 316 322 325]\n# step=1 row=147 minW=42 found cw of W=38: [2 3 6 22 26 40 57 59 71 73 86 94 105 117 120 132 140 145 150 159 172 177 187 203 206 215 228 233 237 238 242 251 270 275 283 308 321 322]\n# step=7 row=77 minW=38 found cw of W=36: [8 19 32 36 45 53 66 75 81 91 103 115 124 135 140 141 173 179 186 187 202 207 218 224 229 241 256 262 268 270 294 302 306 312 315 330]\n# step=378 row=22 minW=36 found cw of W=34: [18 20 23 37 42 48 51 53 71 80 81 87 103 116 125 136 138 163 164 170 183 184 189 195 203 214 215 217 221 237 266 278 282 298]\n# step=523 row=14 minW=34 found cw of W=32: [6 11 14 23 24 36 39 44 81 83 94 97 106 112 124 127 136 140 150 164 176 190 195 202 205 255 259 290 302 306 316 332]\n# round=1000 of 10000 minW=32\n# round=2000 of 10000 minW=32\n# round=3000 of 10000 minW=32\n# round=4000 of 10000 minW=32\n# round=5000 of 10000 minW=32\n# round=6000 of 10000 minW=32\n# round=7000 of 10000 minW=32\n# step=7398 row=12 minW=32 found cw of W=30: [14 25 26 28 41 49 56 57 64 71 78 80 101 136 138 184 219 221 263 274 275 277 290 298 305 306 313 320 327 329]\n# round=8000 of 10000 minW=30\n# round=9000 of 10000 minW=30\n# round=10000 of 10000 minW=30\nRW algorithm upper bound for the distance d=30\n</t>
  </si>
  <si>
    <t># step=0 row=0 minW=337 found cw of W=74: [1 5 10 18 19 21 23 26 32 34 35 58 62 63 64 67 68 70 76 78 92 100 103 110 112 113 116 117 118 120 128 133 136 142 144 150 158 160 162 169 173 175 178 189 191 196 197 204 212 214 216 230 231 234 237 243 259 260 268 270 285 287 298 300 301 304 312 316 319 320 321 322 326 327]\n# step=0 row=1 minW=74 found cw of W=68: [3 6 10 18 19 21 26 32 34 35 36 39 54 58 59 62 63 70 90 100 103 116 118 120 127 134 142 144 150 157 171 175 176 178 189 191 194 197 207 210 212 214 215 216 222 227 230 231 233 259 260 268 270 275 281 287 294 295 296 298 299 300 302 312 317 318 322 325]\n# step=0 row=2 minW=68 found cw of W=64: [4 6 16 18 23 34 36 48 54 62 63 67 78 90 96 113 115 117 118 120 127 128 136 145 149 154 162 172 175 191 197 199 201 210 212 214 217 229 230 231 233 234 237 240 242 243 259 264 268 270 294 295 298 300 301 304 306 318 319 321 322 324 326 327]\n# step=0 row=32 minW=64 found cw of W=62: [2 10 12 18 19 21 25 36 39 48 56 58 59 68 76 78 103 109 110 112 113 117 127 128 141 142 149 152 160 162 176 178 186 189 191 194 196 197 204 207 210 214 218 224 227 233 234 240 254 260 264 275 285 294 295 296 298 300 302 309 318 324]\n# step=0 row=39 minW=62 found cw of W=58: [2 10 12 16 23 32 36 58 59 64 67 70 71 73 92 100 110 116 120 128 133 134 141 142 150 152 154 178 186 191 194 210 216 218 222 227 231 233 234 243 254 260 264 270 294 296 300 301 306 309 315 316 317 319 320 323 325 327]\n# step=0 row=53 minW=58 found cw of W=56: [2 5 10 16 18 19 21 26 48 58 63 64 73 82 92 94 96 100 103 120 127 141 142 145 152 156 157 166 173 176 189 191 194 197 204 210 217 218 229 237 240 254 264 270 275 281 294 295 300 301 302 309 315 316 320 321]\n# step=0 row=76 minW=56 found cw of W=54: [5 16 18 19 21 23 26 34 39 48 53 58 59 67 92 96 103 112 115 118 128 137 142 144 154 156 173 175 189 191 194 196 199 207 210 217 227 231 240 242 259 260 264 268 270 294 296 300 301 312 315 319 322 326]\n# step=0 row=78 minW=54 found cw of W=52: [2 16 18 19 23 26 34 36 67 78 96 103 110 115 117 118 120 136 139 145 149 150 162 175 186 199 201 210 212 218 229 233 234 237 240 242 243 254 259 264 268 275 294 296 302 304 307 319 321 324 326 327]\n# step=0 row=146 minW=52 found cw of W=50: [2 10 18 19 21 23 25 26 32 63 67 92 96 103 109 110 111 112 113 116 117 134 150 157 178 186 189 196 197 210 214 215 216 218 233 254 260 264 275 279 285 294 298 299 300 315 317 318 319 325]\n# step=1 row=5 minW=50 found cw of W=46: [6 7 9 14 16 17 18 21 24 26 33 50 62 66 68 88 89 90 93 97 102 108 110 134 145 146 150 152 172 175 182 196 204 212 215 257 265 268 269 273 280 285 288 296 299 313]\n# step=9 row=40 minW=46 found cw of W=42: [1 58 67 75 76 82 85 86 101 103 105 107 121 129 146 163 164 166 189 191 203 205 207 211 214 225 243 254 269 271 287 291 295 297 298 309 310 314 319 328 331 332]\n# step=214 row=162 minW=42 found cw of W=38: [16 30 34 49 56 66 67 68 104 109 112 118 130 133 147 155 164 169 186 198 209 214 224 231 238 239 248 253 268 270 272 277 280 293 318 319 320 322]\n# step=244 row=156 minW=38 found cw of W=36: [1 19 30 40 48 55 60 77 102 111 119 127 139 141 156 163 194 198 200 203 208 211 216 217 240 253 270 271 278 279 284 301 309 312 329 331]\n#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</si>
  <si>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minW=341 found cw of W=62: [1 2 9 14 18 23 36 47 49 50 65 67 77 79 87 94 95 99 114 117 118 119 120 129 140 146 150 152 166 171 180 198 201 202 210 214 221 225 229 231 239 249 254 273 278 283 284 286 288 289 290 291 295 302 304 305 306 314 324 332 336 339]\n# step=0 row=3 minW=62 found cw of W=50: [6 9 13 25 36 50 51 52 54 64 65 81 83 85 86 87 94 95 98 113 116 137 139 146 150 152 162 166 171 172 175 180 182 195 201 231 239 253 260 261 267 283 291 305 306 319 322 324 332 340]\n# step=0 row=159 minW=50 found cw of W=46: [4 19 23 48 49 50 52 55 63 72 83 95 98 104 108 114 120 129 132 137 141 148 152 155 162 180 201 225 239 253 259 268 284 286 290 299 302 303 304 305 311 322 324 325 327 332]\n# step=3 row=83 minW=46 found cw of W=42: [3 4 12 14 15 29 64 77 78 80 88 89 100 126 137 144 149 152 153 157 160 163 165 168 170 182 184 189 211 222 235 237 242 245 247 253 274 284 314 320 323 340]\n# step=19 row=96 minW=42 found cw of W=40: [17 18 28 43 45 54 76 88 110 113 118 122 128 139 142 148 165 171 181 187 192 195 203 209 215 233 237 246 250 252 256 258 266 273 277 292 294 312 322 337]\n# step=188 row=23 minW=40 found cw of W=38: [4 13 22 45 47 49 53 64 77 80 81 89 99 102 117 125 130 149 157 159 162 163 166 192 210 219 222 242 248 250 268 269 272 287 302 307 308 329]\n# step=389 row=29 minW=38 found cw of W=36: [11 18 24 31 34 36 45 51 60 65 70 79 90 96 103 109 111 119 125 136 150 164 170 174 175 201 206 210 230 240 248 255 259 281 300 333]\n# round=1000 of 10000 minW=36\n# step=1837 row=27 minW=36 found cw of W=34: [2 6 14 20 27 43 47 49 64 66 84 87 91 108 112 128 145 151 152 173 184 190 193 201 219 234 237 244 254 258 286 302 315 329]\n#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</si>
  <si>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row=1 minW=345 found cw of W=74: [4 5 6 8 10 19 21 27 31 32 39 41 43 48 57 58 66 67 69 83 89 90 91 94 95 98 108 112 134 143 144 149 153 156 179 183 184 185 186 191 199 200 204 210 211 225 227 228 241 242 248 255 261 264 265 267 268 269 271 272 279 280 284 286 289 296 299 301 311 313 314 321 324 334]\n# step=0 row=2 minW=74 found cw of W=68: [2 3 6 7 10 14 19 27 32 58 62 81 83 86 90 94 95 97 102 106 108 112 120 125 148 163 165 166 183 185 188 191 192 194 199 200 203 204 208 211 227 230 246 248 249 251 253 255 258 260 261 262 264 265 266 267 268 271 272 284 286 289 292 294 313 332 334 338]\n# step=0 row=3 minW=68 found cw of W=50: [3 5 9 10 27 32 35 39 62 66 67 86 91 92 95 97 108 118 121 131 139 144 148 156 165 166 185 186 199 211 225 228 230 238 242 248 251 252 258 261 264 268 269 271 272 280 303 314 325 334]\n# step=6 row=113 minW=50 found cw of W=48: [8 18 22 30 32 34 38 63 71 89 94 120 122 129 130 142 143 156 160 165 168 171 176 184 194 202 212 215 216 227 228 229 235 242 254 261 262 270 276 290 294 296 298 313 329 332 337 343]\n# step=28 row=38 minW=48 found cw of W=46: [3 16 24 26 43 50 53 60 68 71 74 78 79 83 84 90 110 118 136 150 154 157 160 169 175 183 184 188 198 201 204 225 231 232 234 250 251 262 269 270 287 301 317 320 322 342]\n# step=33 row=48 minW=46 found cw of W=44: [6 8 13 15 24 30 37 45 49 52 53 54 69 73 94 95 98 99 101 116 122 139 153 155 175 178 181 184 186 196 208 209 211 221 226 244 261 272 297 303 310 325 330 331]\n# step=39 row=8 minW=44 found cw of W=42: [2 3 5 13 19 37 51 57 58 80 87 95 101 113 121 123 131 132 136 137 149 163 173 174 177 181 187 207 222 235 242 252 261 271 277 285 303 304 315 316 328 335]\n# step=176 row=75 minW=42 found cw of W=40: [9 14 18 21 36 38 47 49 66 76 83 87 90 142 150 152 154 167 173 176 186 189 193 208 212 219 228 230 240 248 255 267 275 276 296 298 307 316 322 339]\n# step=734 row=98 minW=40 found cw of W=38: [3 10 13 26 33 36 43 62 74 92 96 111 135 144 148 154 155 160 185 197 198 208 211 229 241 250 254 261 264 291 297 301 307 315 316 326 336 340]\n#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</si>
  <si>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minW=349 found cw of W=68: [1 5 7 10 11 24 26 53 56 57 61 74 88 89 93 102 108 111 112 118 120 124 127 129 130 139 143 144 153 156 158 169 178 179 180 181 184 187 189 195 196 200 205 211 212 214 217 225 227 235 240 245 248 254 263 265 272 274 283 286 294 299 303 312 313 330 341 343]\n# step=0 row=2 minW=68 found cw of W=66: [4 9 10 11 15 24 25 26 28 39 44 50 56 58 72 96 102 104 108 111 120 126 130 135 139 143 149 151 163 167 169 170 178 184 191 193 195 196 200 205 207 212 214 218 222 225 232 236 238 254 256 272 280 283 286 289 292 299 301 304 311 312 313 333 337 344]\n# step=0 row=13 minW=66 found cw of W=64: [22 25 26 37 44 50 51 52 53 56 58 60 61 72 108 110 112 114 120 130 139 143 157 158 160 163 167 170 178 186 187 195 196 200 203 211 214 218 222 227 232 234 235 244 245 246 254 256 265 273 274 284 288 290 294 301 304 309 311 312 334 337 343 344]\n# step=0 row=16 minW=64 found cw of W=56: [5 10 11 15 29 39 44 51 52 58 60 89 93 102 106 112 118 124 126 132 135 139 149 151 153 167 179 180 184 185 193 196 203 205 207 211 212 219 222 232 234 236 238 240 246 254 256 263 283 286 294 299 305 312 333 343]\n# step=0 row=28 minW=56 found cw of W=52: [7 9 15 25 37 45 57 61 93 96 102 110 112 118 124 130 135 139 143 144 149 151 156 167 179 180 181 186 191 196 203 212 217 219 222 235 236 238 254 257 266 273 278 283 284 290 292 299 313 317 330 344]\n# step=1 row=45 minW=52 found cw of W=50: [6 20 22 23 56 59 62 68 69 77 81 82 85 107 110 129 132 141 143 147 153 155 156 168 169 172 177 186 187 196 200 215 218 233 234 236 240 249 251 264 267 273 274 287 302 303 305 306 315 336]\n# step=9 row=41 minW=50 found cw of W=48: [1 11 20 28 30 31 42 51 52 60 73 77 79 81 82 88 96 104 107 115 117 122 125 139 147 153 157 166 168 170 183 191 205 207 209 210 212 225 244 247 257 272 294 297 303 327 338 343]\n# step=17 row=26 minW=48 found cw of W=42: [2 10 11 15 19 35 44 53 54 67 74 84 91 109 114 150 157 160 176 185 192 193 196 201 209 228 238 241 244 245 247 248 265 271 276 279 305 314 324 325 332 345]\n# step=27 row=56 minW=42 found cw of W=40: [21 22 23 27 36 39 42 45 46 49 54 56 59 62 79 84 95 109 116 133 145 146 149 166 201 203 204 213 216 219 223 228 232 258 269 282 284 291 297 317]\n# step=343 row=176 minW=40 found cw of W=38: [1 2 18 42 44 63 71 73 77 79 88 91 94 101 104 129 131 139 158 159 181 188 191 226 231 237 239 243 263 265 279 318 326 330 333 334 338 340]\n#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</si>
  <si>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minW=353 found cw of W=76: [1 5 6 7 9 10 13 21 23 25 30 34 38 42 46 51 52 53 57 59 62 63 64 70 73 80 89 100 105 106 113 118 124 134 140 147 150 152 153 174 181 183 189 192 199 200 205 207 212 227 229 234 237 239 246 249 256 270 273 274 276 280 281 282 285 288 293 295 298 302 306 321 322 325 329 350]\n# step=0 row=1 minW=76 found cw of W=68: [7 8 10 13 21 22 23 25 33 34 35 38 40 48 57 59 63 64 65 71 73 77 82 105 110 113 119 126 130 139 140 146 147 148 152 153 155 156 189 199 205 207 209 211 216 224 227 228 237 239 247 249 258 271 272 274 281 285 293 298 306 321 322 324 325 331 332 341]\n# step=0 row=5 minW=68 found cw of W=60: [1 5 7 15 17 19 22 23 25 27 33 34 38 42 57 59 62 64 65 77 86 89 93 100 105 106 112 113 114 121 126 139 147 148 150 152 153 155 174 189 195 198 199 200 202 227 244 271 276 277 279 282 291 298 306 321 324 331 332 341]\n# step=0 row=47 minW=60 found cw of W=48: [2 5 7 9 22 25 27 35 42 51 53 55 62 70 80 86 111 112 113 114 122 130 139 150 174 181 183 185 198 199 202 205 211 212 229 231 234 236 246 256 266 288 291 293 298 300 322 324]\n# step=5 row=48 minW=48 found cw of W=46: [2 14 17 18 23 28 29 50 65 74 75 81 83 102 104 106 125 131 148 151 172 192 193 204 205 213 220 224 236 253 262 266 287 307 308 312 314 327 329 338 339 341 345 347 348 350]\n# step=31 row=60 minW=46 found cw of W=44: [9 12 16 32 39 42 53 56 68 99 106 121 127 131 132 135 137 141 145 146 155 156 187 194 206 219 220 221 233 234 248 273 276 280 294 296 297 306 309 311 313 320 331 336]\n# step=75 row=28 minW=44 found cw of W=42: [4 7 12 19 36 37 56 59 61 62 68 85 112 115 143 144 150 161 164 166 168 173 181 183 188 195 203 212 233 235 237 256 268 269 288 301 319 321 332 337 340 342]\n# step=341 row=47 minW=42 found cw of W=40: [4 18 27 29 41 79 84 98 111 121 127 128 129 155 160 170 171 173 174 182 186 199 203 209 215 224 243 262 268 270 282 293 304 312 336 343 346 347 348 349]\n# round=1000 of 10000 minW=40\n# round=2000 of 10000 minW=40\n# round=3000 of 10000 minW=40\n# round=4000 of 10000 minW=40\n# step=4407 row=63 minW=40 found cw of W=38: [5 8 11 14 36 44 45 49 54 60 69 71 75 80 86 99 102 133 137 142 152 153 157 167 181 184 198 241 256 262 286 300 308 324 328 335 339 343]\n# round=5000 of 10000 minW=38\n# round=6000 of 10000 minW=38\n# round=7000 of 10000 minW=38\n# round=8000 of 10000 minW=38\n# round=9000 of 10000 minW=38\n# round=10000 of 10000 minW=38\nRW algorithm upper bound for the distance d=38\n</t>
  </si>
  <si>
    <t># step=0 row=0 minW=357 found cw of W=76: [1 3 27 36 43 56 62 63 64 69 70 83 84 86 93 94 95 96 109 113 115 116 124 125 127 128 133 137 140 141 156 159 160 174 175 181 184 190 201 204 206 209 221 235 237 240 245 261 262 265 268 271 272 274 279 287 290 291 295 298 302 305 306 311 315 318 319 323 324 326 330 331 336 338 352 354]\n# step=0 row=4 minW=76 found cw of W=72: [2 7 8 17 34 39 45 48 53 56 63 67 81 84 91 92 93 94 96 98 113 115 117 120 121 124 127 131 133 136 137 141 146 156 174 181 186 192 195 201 206 209 210 223 225 235 237 252 257 259 262 271 272 276 281 290 291 293 301 302 305 306 309 311 319 320 323 326 330 341 346 352]\n# step=0 row=6 minW=72 found cw of W=68: [8 11 17 34 36 40 53 59 64 69 70 81 86 94 95 96 98 109 113 117 120 121 124 125 127 134 138 143 146 153 159 160 165 172 184 186 189 190 192 195 198 202 206 210 213 223 231 232 235 237 252 254 259 261 264 272 274 276 279 281 298 301 305 307 316 336 338 341]\n# step=0 row=8 minW=68 found cw of W=66: [2 13 16 17 40 48 53 54 58 59 62 63 70 81 83 84 86 91 94 102 113 115 127 133 140 143 146 153 174 182 187 192 194 195 201 202 204 206 213 221 231 235 236 240 259 261 264 271 272 276 281 290 295 302 305 307 310 311 315 318 326 330 331 337 351 352]\n# step=0 row=38 minW=66 found cw of W=60: [2 27 34 39 43 54 58 59 60 63 67 69 70 84 86 91 94 116 121 127 134 136 141 156 158 160 165 172 190 206 210 213 221 223 225 231 232 252 254 257 261 264 272 279 295 301 302 305 306 319 320 325 326 327 330 337 338 341 346 351]\n# step=0 row=71 minW=60 found cw of W=58: [2 8 27 34 39 40 45 54 59 64 69 81 83 92 96 109 116 117 120 124 127 128 130 133 136 138 143 146 153 158 172 180 181 186 192 198 202 206 209 223 225 235 236 237 259 265 274 281 291 301 302 305 307 308 311 316 325 354]\n# step=1 row=135 minW=58 found cw of W=54: [1 2 3 9 13 17 24 35 45 51 61 67 71 84 86 92 96 112 122 124 129 130 134 140 143 147 150 161 179 191 200 202 211 217 218 232 242 245 250 253 262 269 274 276 284 289 290 306 308 325 331 338 342 353]\n# step=11 row=159 minW=54 found cw of W=48: [6 14 21 49 62 66 79 81 84 87 90 96 98 109 112 133 136 139 148 150 155 170 184 185 192 195 214 222 226 228 240 257 260 262 265 268 276 284 287 288 290 303 314 315 316 326 328 349]\n# step=100 row=32 minW=48 found cw of W=44: [9 14 18 30 50 52 55 57 58 65 84 97 98 99 107 110 115 125 146 149 151 152 170 188 192 228 230 233 238 243 249 260 262 275 288 293 297 303 325 329 330 338 348 349]\n# step=475 row=97 minW=44 found cw of W=40: [1 14 16 26 27 29 32 55 57 70 81 83 84 90 92 103 107 108 120 128 142 146 155 159 170 196 197 217 231 233 270 283 293 294 296 298 299 333 350 351]\n# round=1000 of 10000 minW=40\n# round=2000 of 10000 minW=40\n# round=3000 of 10000 minW=40\n# round=4000 of 10000 minW=40\n# step=4412 row=55 minW=40 found cw of W=38: [3 20 22 43 49 63 65 73 76 90 92 100 103 105 121 126 132 137 171 192 199 210 215 227 233 241 243 251 254 268 278 283 287 288 289 315 322 349]\n# round=5000 of 10000 minW=38\n# round=6000 of 10000 minW=38\n# round=7000 of 10000 minW=38\n# round=8000 of 10000 minW=38\n# round=9000 of 10000 minW=38\n# round=10000 of 10000 minW=38\nRW algorithm upper bound for the distance d=38\n</t>
  </si>
  <si>
    <t># step=0 row=0 minW=361 found cw of W=78: [1 5 11 12 31 37 45 48 53 56 59 79 81 91 100 108 111 112 113 114 119 122 123 126 127 135 136 139 141 151 158 171 173 179 185 188 194 202 203 204 209 211 213 220 226 233 235 237 248 250 254 259 262 267 278 280 281 282 284 288 291 302 306 310 318 319 321 325 326 327 329 331 340 344 352 353 357 359]\n# step=0 row=2 minW=78 found cw of W=70: [3 5 13 18 19 21 29 31 40 41 51 53 56 57 59 60 66 70 79 81 88 100 101 108 112 122 123 126 134 150 156 158 163 164 165 171 172 173 178 183 193 202 209 211 213 221 229 233 236 239 248 250 253 255 259 263 275 280 281 289 291 302 306 310 314 319 321 327 344 352]\n# step=0 row=4 minW=70 found cw of W=64: [5 7 8 11 12 19 21 31 40 47 48 51 53 59 66 78 79 81 88 97 101 112 114 120 126 127 134 138 151 156 168 173 178 185 186 202 204 212 217 220 227 229 233 236 239 254 259 261 276 278 282 289 291 300 301 302 306 314 319 321 326 331 344 353]\n# step=0 row=7 minW=64 found cw of W=62: [5 7 11 12 14 21 37 39 40 41 43 45 47 48 50 65 88 89 97 101 111 120 123 127 135 137 139 156 164 165 172 173 178 213 220 221 230 233 236 237 239 246 254 255 262 267 275 282 284 300 309 313 318 319 323 326 327 329 335 353 357 359]\n# step=0 row=40 minW=62 found cw of W=60: [11 19 29 40 43 47 48 51 56 57 59 66 78 80 81 85 94 101 112 114 120 122 126 137 139 156 158 168 171 185 202 204 209 212 229 233 235 236 239 245 248 254 263 274 275 289 300 306 310 313 318 321 323 325 327 335 344 350 353 355]\n# step=0 row=105 minW=60 found cw of W=58: [11 12 18 19 25 29 39 45 47 56 80 88 101 108 114 119 122 123 135 138 151 163 173 178 179 185 194 204 205 208 213 227 229 233 236 237 245 250 253 267 275 282 284 289 298 302 309 318 319 323 327 331 335 340 350 353 357 359]\n# step=0 row=126 minW=58 found cw of W=56: [5 6 12 13 18 21 45 47 51 59 60 69 70 79 81 84 94 101 111 135 141 150 151 156 158 163 164 172 188 193 211 212 227 235 246 248 249 253 254 259 261 262 274 275 276 278 281 282 288 301 302 325 329 331 340 354]\n# step=5 row=48 minW=56 found cw of W=54: [3 5 10 12 22 39 45 50 64 68 71 77 88 102 108 122 135 149 151 153 158 169 171 178 179 182 183 190 198 205 206 215 230 240 241 244 251 255 259 269 272 275 292 295 296 302 305 309 329 330 333 345 347 351]\n# step=19 row=48 minW=54 found cw of W=50: [2 7 28 40 41 50 59 63 65 73 85 89 92 125 131 133 148 155 157 163 167 175 176 187 193 205 215 223 234 238 239 243 246 249 259 262 283 295 298 310 320 324 336 337 339 347 349 352 356 359]\n# step=21 row=49 minW=50 found cw of W=48: [5 14 17 18 29 34 35 38 42 43 47 51 55 57 70 75 77 83 84 104 113 119 133 149 185 198 202 203 214 218 227 231 235 263 264 265 269 287 292 305 312 327 329 340 345 347 355 359]\n# step=94 row=22 minW=48 found cw of W=46: [17 18 27 28 30 33 47 69 70 86 88 89 94 108 109 111 117 118 127 135 137 140 155 158 159 160 176 179 197 201 203 210 212 267 268 274 289 293 302 303 307 315 320 335 338 357]\n# step=511 row=23 minW=46 found cw of W=42: [36 40 41 54 64 72 77 88 92 95 117 119 120 130 152 154 158 162 177 179 185 192 206 210 214 216 221 242 249 257 267 268 269 272 282 296 297 299 304 324 338 339]\n# round=1000 of 10000 minW=42\n# step=1357 row=121 minW=42 found cw of W=40: [5 8 18 34 44 66 83 99 103 108 126 129 130 134 138 153 156 168 185 189 195 196 213 216 220 228 243 256 263 268 278 283 285 286 303 304 309 346 348 358]\n# round=2000 of 10000 minW=40\n# round=3000 of 10000 minW=40\n# step=3958 row=161 minW=40 found cw of W=38: [4 10 30 34 38 42 52 54 88 94 100 114 124 136 137 144 149 152 164 178 179 210 215 221 226 232 254 260 294 305 308 311 312 317 329 332 350 359]\n# round=4000 of 10000 minW=38\n# round=5000 of 10000 minW=38\n# round=6000 of 10000 minW=38\n# round=7000 of 10000 minW=38\n# round=8000 of 10000 minW=38\n# round=9000 of 10000 minW=38\n# round=10000 of 10000 minW=38\nRW algorithm upper bound for the distance d=38\n</t>
  </si>
  <si>
    <t># step=0 row=0 minW=365 found cw of W=80: [1 17 18 28 29 35 38 41 51 55 56 62 63 64 66 69 71 79 95 102 103 105 108 110 121 126 127 133 140 141 143 153 160 161 164 170 187 188 192 196 205 210 211 218 221 227 228 232 238 248 253 255 260 263 274 277 278 279 283 284 285 291 292 296 303 311 312 314 315 318 319 322 324 325 328 336 337 343 351 354]\n# step=0 row=1 minW=80 found cw of W=72: [2 7 8 16 18 22 28 35 36 39 42 44 52 58 61 62 64 69 76 93 95 99 108 110 121 126 127 133 141 149 153 160 161 165 186 192 200 205 208 215 219 226 227 232 233 248 256 260 263 280 283 289 290 292 295 296 299 301 303 306 310 312 318 324 325 334 337 339 343 349 351 354]\n# step=0 row=2 minW=72 found cw of W=62: [3 12 17 29 32 35 38 39 43 44 51 58 62 63 64 66 69 73 76 79 85 101 103 108 110 121 123 126 141 149 153 160 161 164 167 176 185 191 193 198 212 215 221 226 232 233 248 261 263 282 283 284 289 292 302 306 311 316 336 337 343 354]\n# step=0 row=13 minW=62 found cw of W=58: [8 14 17 24 29 35 39 41 42 43 51 58 62 64 74 85 99 101 103 121 126 127 140 143 149 164 165 176 186 196 206 215 218 219 221 227 228 233 248 255 277 283 285 290 302 303 306 310 314 315 316 318 319 322 325 335 337 339]\n# step=0 row=77 minW=58 found cw of W=56: [9 14 17 22 32 36 41 42 51 52 55 56 61 69 76 79 85 93 101 102 108 123 127 133 139 140 141 143 153 160 167 176 186 192 196 210 221 230 232 233 238 261 263 275 277 282 284 295 301 312 314 322 328 334 335 354]\n# step=0 row=88 minW=56 found cw of W=54: [14 17 18 29 32 36 39 52 56 63 64 74 79 85 95 105 110 127 133 140 143 153 156 165 167 176 187 188 191 193 200 219 238 247 252 261 277 278 279 282 284 290 292 302 305 310 312 315 322 335 336 337 343 349]\n# step=0 row=137 minW=54 found cw of W=52: [7 12 17 22 28 29 35 41 42 43 55 58 62 69 73 74 76 79 85 93 101 102 110 126 133 149 167 176 188 193 210 219 221 251 255 256 261 275 279 280 283 285 290 292 295 302 310 312 314 316 328 335]\n# step=1 row=36 minW=52 found cw of W=50: [15 19 21 50 62 64 77 85 86 101 102 105 146 149 152 158 161 163 166 167 172 176 197 201 205 229 232 237 239 240 244 246 247 249 252 254 258 259 263 268 283 284 287 294 296 320 330 334 338 348]\n# step=2 row=42 minW=50 found cw of W=48: [8 17 29 44 50 62 65 74 77 79 82 83 96 103 134 135 137 171 194 204 210 211 213 216 229 232 239 253 256 261 262 264 278 281 290 295 301 304 307 316 319 320 330 335 338 344 350 356]\n# step=30 row=33 minW=48 found cw of W=42: [2 9 11 16 24 40 51 52 59 63 65 73 100 102 104 107 122 133 142 143 154 157 164 165 166 190 194 222 224 248 256 268 275 281 285 286 297 304 332 338 348 359]\n# step=895 row=8 minW=42 found cw of W=40: [5 12 14 20 51 69 79 81 83 92 96 97 98 101 105 110 114 115 118 163 188 189 192 194 202 208 224 233 261 263 265 274 292 296 297 299 300 315 342 345]\n#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</si>
  <si>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minW=369 found cw of W=80: [1 2 3 13 17 19 22 25 27 32 34 37 38 45 48 50 64 73 78 79 84 85 86 88 89 91 95 110 114 120 126 130 138 142 146 148 151 169 172 174 178 181 183 185 197 201 202 209 212 216 240 242 245 256 257 259 260 263 264 268 269 278 295 303 313 321 322 324 330 334 335 337 340 348 351 352 353 354 358 364]\n# step=0 row=1 minW=80 found cw of W=64: [4 13 14 15 19 27 32 34 36 37 50 51 56 64 70 78 87 88 96 106 120 122 123 126 128 142 146 147 153 162 167 174 177 197 215 216 235 240 242 255 256 259 260 261 266 269 291 295 303 304 306 313 330 331 334 337 340 347 348 352 353 354 363 364]\n# step=0 row=29 minW=64 found cw of W=62: [14 15 17 21 22 25 26 27 32 37 43 45 56 58 85 86 91 101 106 107 110 114 125 136 137 147 148 153 155 161 172 174 178 183 201 210 212 216 217 219 221 228 245 253 260 264 266 268 269 285 294 297 301 303 304 311 319 331 334 339 352 360]\n# step=0 row=57 minW=62 found cw of W=60: [1 3 7 25 27 34 50 56 76 84 85 86 87 88 95 107 110 113 120 126 134 137 142 146 147 151 153 155 163 174 178 183 185 211 226 232 240 245 259 266 268 269 275 283 291 294 297 301 304 321 324 330 331 335 339 347 351 352 363 364]\n# step=1 row=2 minW=60 found cw of W=54: [3 18 22 25 64 67 78 79 83 91 101 106 109 115 122 129 138 146 158 159 178 188 191 193 201 202 205 207 209 214 224 228 230 238 248 250 255 270 272 279 280 283 290 297 298 313 316 320 347 354 355 359 364 367]\n# step=58 row=2 minW=54 found cw of W=52: [4 11 18 30 33 34 35 50 69 81 85 94 102 103 110 111 120 140 146 157 168 170 172 173 179 182 184 200 204 214 217 219 232 234 238 249 269 271 274 278 280 286 292 295 296 304 310 345 352 354 356 368]\n# step=60 row=114 minW=52 found cw of W=50: [5 13 31 33 35 37 38 45 50 59 67 75 77 82 110 123 124 128 151 159 179 187 189 196 198 200 202 216 217 219 221 222 227 234 255 259 261 271 276 279 288 289 290 292 312 319 321 347 358 368]\n# step=76 row=38 minW=50 found cw of W=48: [2 3 5 6 9 15 22 36 37 41 48 52 58 63 70 81 84 88 109 145 149 186 187 201 206 221 227 231 233 236 241 247 281 282 285 291 312 317 319 323 324 325 329 334 346 357 360 364]\n# step=333 row=133 minW=48 found cw of W=44: [4 5 12 20 27 28 37 46 48 68 83 105 112 120 129 140 150 163 168 172 181 188 189 193 196 199 233 234 252 255 258 260 264 267 285 289 291 303 322 325 326 334 350 365]\n# step=656 row=61 minW=44 found cw of W=42: [5 6 7 41 42 55 56 68 77 83 92 97 116 129 133 134 148 160 161 169 175 184 228 229 243 257 260 264 273 282 283 300 313 320 321 331 335 345 349 352 356 365]\n# round=1000 of 10000 minW=42\n# round=2000 of 10000 minW=42\n# step=2899 row=43 minW=42 found cw of W=40: [2 3 17 26 30 48 71 82 92 94 95 118 154 163 174 193 201 209 217 227 236 239 241 249 263 269 276 285 301 306 309 319 324 328 331 333 338 341 355 361]\n#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</si>
  <si>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minW=373 found cw of W=80: [1 2 3 12 13 16 20 32 33 46 49 55 57 61 64 73 74 76 78 80 82 87 89 99 103 105 108 121 125 126 128 130 131 133 138 144 145 156 157 158 167 183 192 199 201 202 203 206 221 231 232 235 237 243 251 259 263 264 266 267 268 273 276 280 281 282 289 296 307 316 317 319 331 334 340 342 355 356 360 368]\n# step=0 row=1 minW=80 found cw of W=76: [3 5 7 12 13 15 19 27 33 46 49 50 53 55 63 64 73 76 78 87 99 105 106 108 110 111 121 128 141 144 145 149 156 157 158 183 192 204 213 220 221 224 226 235 237 239 242 243 247 251 258 259 267 273 276 282 284 286 296 298 307 312 313 317 319 325 327 329 331 334 336 340 351 355 357 360]\n# step=0 row=4 minW=76 found cw of W=66: [1 5 10 13 16 19 32 41 46 49 59 61 63 64 76 80 81 82 85 90 103 110 111 121 125 128 133 138 144 145 149 156 176 195 199 202 204 221 224 226 231 233 235 242 247 266 267 268 276 280 284 288 296 298 307 317 320 325 326 330 331 338 343 355 362 364]\n# step=0 row=13 minW=66 found cw of W=58: [1 6 12 20 33 35 46 49 50 55 59 74 78 80 89 96 100 105 110 121 126 131 133 143 156 158 175 176 178 192 206 221 224 226 233 235 251 259 264 266 268 273 280 282 286 296 307 325 326 334 338 342 352 353 362 364 366 368]\n# step=0 row=60 minW=58 found cw of W=54: [13 14 18 19 20 21 46 49 55 61 63 67 76 81 85 96 106 111 120 131 141 143 144 149 156 175 176 178 195 206 207 213 224 235 237 239 242 247 253 267 268 273 282 288 293 298 325 327 329 332 334 355 362 366]\n# step=7 row=38 minW=54 found cw of W=52: [2 10 12 22 27 39 53 58 59 63 70 74 77 80 89 95 103 123 135 139 146 149 150 151 153 163 168 181 182 208 213 214 225 232 234 241 243 245 249 261 263 274 291 307 309 321 327 334 335 339 353 359]\n# step=39 row=57 minW=52 found cw of W=50: [6 9 10 16 25 30 45 47 50 51 57 59 73 80 84 97 102 109 140 142 145 166 171 172 173 187 190 197 208 217 221 235 238 243 245 264 270 280 285 289 290 301 304 309 310 314 324 329 330 358]\n# step=99 row=39 minW=50 found cw of W=48: [1 2 4 7 14 26 32 56 59 76 80 82 94 95 97 100 102 109 112 115 119 120 125 134 149 153 196 200 208 230 233 245 246 248 262 266 267 288 289 295 298 306 320 323 326 341 360 361]\n# step=178 row=169 minW=48 found cw of W=46: [1 6 12 36 49 53 71 81 97 105 113 122 129 135 139 142 147 162 164 169 197 206 209 215 217 232 239 240 243 246 255 262 272 275 280 283 285 290 302 310 321 336 339 360 365 368]\n# step=347 row=34 minW=46 found cw of W=42: [5 16 26 28 35 56 61 62 71 81 94 98 103 104 123 151 160 183 187 192 197 211 219 244 247 255 257 285 289 295 304 305 307 309 312 314 335 341 346 348 360 369]\n# round=1000 of 10000 minW=42\n# round=2000 of 10000 minW=42\n# round=3000 of 10000 minW=42\n# round=4000 of 10000 minW=42\n# step=4337 row=13 minW=42 found cw of W=40: [4 8 24 29 48 60 62 66 91 110 121 124 128 132 148 152 163 172 179 183 203 214 217 221 225 241 245 256 265 272 276 283 287 303 308 327 339 341 345 370]\n# round=5000 of 10000 minW=40\n# round=6000 of 10000 minW=40\n# round=7000 of 10000 minW=40\n# round=8000 of 10000 minW=40\n# round=9000 of 10000 minW=40\n# round=10000 of 10000 minW=40\nRW algorithm upper bound for the distance d=40\n</t>
  </si>
  <si>
    <t># step=0 row=1 minW=377 found cw of W=76: [5 10 25 33 44 55 60 74 78 79 87 88 90 96 107 119 121 125 132 135 136 138 139 152 154 155 158 166 171 172 180 190 195 205 209 217 219 221 226 236 241 242 249 252 258 260 261 267 271 273 275 276 287 289 292 295 299 303 309 311 323 324 327 330 335 336 337 340 352 355 356 359 365 367 368 372]\n# step=0 row=6 minW=76 found cw of W=60: [1 11 14 21 34 41 44 45 60 68 74 79 83 84 87 88 100 105 117 121 125 128 135 138 144 154 156 158 166 168 171 176 182 189 194 195 196 211 219 230 238 252 256 260 261 267 270 275 289 290 296 303 309 324 327 344 355 359 365 366]\n# step=0 row=7 minW=60 found cw of W=58: [11 16 25 38 41 45 55 60 68 72 78 83 110 119 128 132 135 139 140 144 149 154 156 167 171 172 174 180 195 196 198 209 217 222 230 234 238 241 242 254 256 260 268 289 290 292 293 303 311 324 335 336 344 348 355 359 365 368]\n# step=3 row=130 minW=58 found cw of W=54: [5 6 9 23 25 29 41 43 46 52 76 78 81 100 102 103 113 117 119 135 143 146 153 163 166 170 174 178 181 217 237 247 250 251 259 267 269 272 277 287 290 301 325 328 344 345 351 353 354 360 361 362 369 371]\n# step=13 row=149 minW=54 found cw of W=48: [2 21 40 42 45 55 66 70 77 78 85 86 115 119 122 128 132 136 141 142 146 147 152 164 172 192 201 215 233 235 243 246 265 274 284 286 295 307 309 310 316 320 322 330 334 335 348 367]\n# step=66 row=87 minW=48 found cw of W=44: [3 5 10 27 37 49 64 77 78 79 82 84 92 112 114 120 132 158 172 175 178 193 198 214 231 232 237 247 262 267 280 285 300 302 309 319 320 325 326 341 356 359 363 364]\n# step=591 row=8 minW=44 found cw of W=42: [1 7 9 15 18 28 30 31 52 57 63 64 79 86 91 114 124 141 145 151 170 173 189 195 197 203 208 219 232 235 240 252 262 274 279 300 310 326 333 345 356 358]\n# round=1000 of 10000 minW=42\n# round=2000 of 10000 minW=42\n# round=3000 of 10000 minW=42\n# round=4000 of 10000 minW=42\n# step=4048 row=9 minW=42 found cw of W=40: [9 11 18 20 31 62 66 77 78 105 110 112 114 134 156 160 171 190 192 197 204 211 214 219 228 237 238 244 256 262 266 284 286 305 308 331 332 338 350 356]\n# round=5000 of 10000 minW=40\n# round=6000 of 10000 minW=40\n# round=7000 of 10000 minW=40\n# round=8000 of 10000 minW=40\n# round=9000 of 10000 minW=40\n# round=10000 of 10000 minW=40\nRW algorithm upper bound for the distance d=40\n</t>
  </si>
  <si>
    <t># step=0 row=0 minW=381 found cw of W=66: [1 4 5 10 15 18 21 23 36 50 51 55 68 73 80 82 96 102 103 107 114 118 123 126 141 146 148 153 159 177 178 193 198 201 208 211 221 223 232 247 254 276 288 289 290 292 295 296 297 300 304 313 318 321 327 331 335 338 340 342 343 353 358 365 368 371]\n# step=0 row=1 minW=66 found cw of W=58: [2 5 7 15 23 26 35 42 52 72 82 96 107 114 120 141 147 148 159 177 178 191 193 195 205 211 216 223 227 254 256 258 262 264 268 270 276 287 288 292 297 304 306 308 310 318 320 322 327 331 338 351 353 359 363 365 368 371]\n# step=0 row=137 minW=58 found cw of W=56: [4 5 15 18 20 26 28 36 42 50 67 70 72 96 103 107 118 120 121 126 130 158 159 165 174 178 191 194 195 198 205 208 210 221 223 226 227 232 240 253 254 257 258 262 270 297 308 310 313 318 320 322 353 364 365 368]\n# step=0 row=174 minW=56 found cw of W=54: [7 22 23 35 50 51 57 59 62 67 68 70 72 80 114 117 118 121 141 146 148 155 165 174 179 205 209 211 216 223 240 247 249 252 256 257 258 262 264 270 274 276 292 300 306 318 320 331 338 345 351 359 364 371]\n# step=4 row=163 minW=54 found cw of W=52: [2 6 11 18 19 23 35 41 51 57 59 63 70 77 79 113 114 116 118 119 136 150 158 159 169 174 192 197 201 211 212 214 217 221 225 241 249 260 264 270 274 291 292 307 312 316 340 342 349 362 365 369]\n# step=6 row=56 minW=52 found cw of W=50: [7 10 16 35 40 42 62 71 84 101 105 110 115 120 128 142 145 154 157 179 197 202 203 206 207 212 214 215 221 225 230 235 240 246 261 291 297 298 300 302 305 307 309 316 318 327 330 332 341 344]\n# step=13 row=54 minW=50 found cw of W=48: [10 28 40 43 44 67 72 77 78 103 109 111 113 123 139 141 151 152 157 158 160 161 162 164 173 179 198 204 223 236 246 259 261 262 274 295 301 303 318 325 328 342 347 348 350 351 356 362]\n# step=30 row=115 minW=48 found cw of W=46: [2 10 13 17 31 42 60 73 78 96 105 110 111 112 125 137 142 161 168 181 192 193 206 210 214 220 221 227 250 257 264 274 286 288 298 300 305 309 322 332 351 352 359 363 369 371]\n# step=118 row=0 minW=46 found cw of W=40: [1 26 35 41 47 53 66 68 70 73 96 103 121 151 155 161 165 166 173 177 195 198 215 229 231 236 237 246 250 258 290 310 320 324 331 338 356 358 363 367]\n# step=175 row=128 minW=40 found cw of W=38: [18 21 28 49 50 61 66 73 78 116 123 137 138 146 168 169 203 206 208 222 232 239 240 243 256 272 273 298 301 317 328 336 338 346 359 363 367 368]\n#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</si>
  <si>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minW=385 found cw of W=64: [2 4 13 29 30 36 37 39 41 44 50 61 66 70 73 75 79 80 99 101 125 126 134 135 137 146 148 150 157 164 166 168 197 201 205 213 220 223 228 230 239 244 249 260 264 267 271 278 290 291 292 297 309 316 319 325 332 335 342 345 354 361 368 374]\n# step=0 row=1 minW=64 found cw of W=50: [1 3 4 5 13 21 28 30 33 41 44 61 64 70 73 84 85 97 99 101 126 141 150 157 164 166 177 180 201 205 211 213 225 233 256 258 264 292 297 307 316 332 333 342 354 356 360 361 369 373]\n# step=0 row=5 minW=50 found cw of W=44: [3 9 21 24 30 31 39 42 61 66 70 79 84 85 97 99 126 135 138 153 157 166 170 177 180 187 193 194 211 239 271 283 290 297 307 309 312 319 335 345 354 362 369 373]\n# step=0 row=15 minW=44 found cw of W=36: [21 22 24 28 29 33 64 122 134 164 172 174 194 201 213 214 218 221 225 230 249 256 258 263 264 290 297 312 316 345 354 356 359 360 364 366]\n# step=15 row=208 minW=36 found cw of W=34: [39 63 104 106 121 131 137 150 152 155 159 178 194 202 203 213 263 269 273 274 290 296 299 309 313 323 327 329 342 344 347 359 365 369]\n# step=172 row=2 minW=34 found cw of W=32: [4 8 25 29 37 42 54 61 71 90 104 117 119 121 138 150 153 155 162 167 213 221 229 251 253 281 292 311 345 354 377 378]\n# round=1000 of 10000 minW=32\n# step=1102 row=32 minW=32 found cw of W=30: [15 17 48 60 66 90 98 111 128 132 155 156 162 164 177 181 194 209 255 263 277 282 320 324 336 347 351 356 359 369]\n# round=2000 of 10000 minW=30\n# step=2392 row=184 minW=30 found cw of W=28: [8 15 54 57 84 126 143 152 154 166 235 246 248 249 263 265 272 296 303 318 331 335 346 358 359 361 368 372]\n#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</si>
  <si>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row=1 minW=389 found cw of W=68: [1 2 3 6 36 42 47 54 56 66 68 71 82 101 113 116 118 121 128 133 138 145 152 156 163 164 168 171 179 195 197 203 215 218 224 235 236 241 245 252 253 257 261 262 268 274 275 279 280 293 295 297 300 307 310 321 322 339 342 345 346 347 349 354 371 372 376 377]\n# step=0 row=2 minW=68 found cw of W=66: [1 2 7 66 71 104 114 118 121 124 145 152 153 160 163 164 168 169 173 174 176 183 195 196 198 203 206 207 210 211 215 218 224 240 242 245 252 253 261 273 274 275 277 279 295 300 303 304 307 318 321 337 342 346 347 349 350 354 363 367 368 371 372 374 376 377]\n# step=0 row=11 minW=66 found cw of W=56: [2 3 17 24 35 36 39 42 51 54 55 56 60 82 85 113 118 121 124 128 133 134 136 139 153 164 171 174 179 183 196 197 206 211 215 221 231 241 253 257 268 271 303 307 322 326 338 342 345 346 350 351 354 358 376 377]\n# step=0 row=62 minW=56 found cw of W=54: [2 24 35 46 47 54 66 71 73 100 101 107 109 114 116 128 139 157 160 164 168 169 176 196 197 198 204 206 211 218 236 241 242 253 257 260 261 273 274 279 280 310 322 326 337 339 345 350 351 363 364 371 376 377]\n# step=0 row=94 minW=54 found cw of W=48: [1 3 35 46 49 51 54 56 66 68 73 85 113 132 138 156 157 163 164 165 171 180 195 197 203 207 210 213 221 235 241 243 245 253 268 277 300 304 310 318 337 338 345 347 351 358 364 376]\n# step=23 row=78 minW=48 found cw of W=46: [4 5 7 9 33 36 43 45 63 79 81 110 123 126 130 136 142 152 160 162 173 177 178 183 200 201 207 210 223 233 245 249 259 270 295 296 297 300 307 317 327 334 342 370 371 377]\n# step=29 row=138 minW=46 found cw of W=40: [11 12 13 30 42 46 47 48 53 64 72 75 99 122 129 139 143 145 147 178 196 201 214 224 226 244 247 258 263 275 298 302 303 304 311 316 338 360 363 366]\n# step=455 row=122 minW=40 found cw of W=38: [25 26 27 33 40 45 46 52 61 64 75 86 107 113 117 132 142 143 149 196 204 210 221 225 227 234 235 255 269 293 311 316 317 322 326 332 355 377]\n#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</si>
  <si>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minW=393 found cw of W=86: [1 3 8 10 20 22 23 29 32 37 45 47 48 54 55 57 59 60 62 63 70 83 86 87 92 99 100 111 112 115 116 118 120 121 122 124 137 139 141 143 147 153 158 160 161 162 171 185 186 198 199 201 207 213 217 220 222 235 243 269 273 279 282 284 288 299 302 304 305 307 308 312 315 323 326 331 335 337 342 343 348 351 353 358 364 371]\n# step=0 row=2 minW=86 found cw of W=64: [5 8 10 17 20 22 31 33 45 55 59 60 62 67 70 83 86 87 106 107 112 115 116 118 123 131 141 143 147 150 153 156 162 171 205 207 210 221 222 246 248 257 258 266 269 279 282 283 299 304 305 312 316 320 325 337 343 344 352 353 354 355 358 361]\n# step=0 row=17 minW=64 found cw of W=62: [8 10 20 29 31 32 37 39 41 45 57 61 62 70 82 83 86 100 106 112 118 120 135 137 139 143 148 150 158 160 171 180 182 185 186 201 225 226 261 269 273 280 282 283 284 296 299 304 308 316 324 325 326 344 346 351 354 355 359 364 371 377]\n# step=0 row=183 minW=62 found cw of W=58: [3 8 10 13 21 41 55 57 60 61 62 75 76 82 83 86 87 99 100 108 111 120 137 139 147 158 160 174 180 186 197 198 199 201 207 217 226 235 246 251 254 266 279 282 283 284 299 302 305 316 324 343 344 351 352 355 364 369]\n# step=13 row=94 minW=58 found cw of W=50: [5 19 35 37 38 39 47 56 62 69 77 84 85 87 89 104 118 131 137 147 152 158 167 171 175 177 181 185 189 201 215 234 245 258 275 279 285 300 314 327 329 331 341 348 350 354 367 378 379 385]\n# step=17 row=136 minW=50 found cw of W=48: [5 10 14 15 21 36 37 42 46 50 56 76 81 85 88 93 108 120 133 135 153 154 161 170 175 201 204 217 218 231 232 238 246 272 273 277 279 284 302 308 309 340 349 357 366 377 379 387]\n# step=183 row=111 minW=48 found cw of W=46: [1 24 29 30 31 34 35 42 43 52 55 59 72 92 122 127 128 150 153 157 175 179 181 182 205 207 218 227 231 235 238 239 252 277 279 280 288 295 303 305 316 328 333 350 366 371]\n# step=329 row=32 minW=46 found cw of W=44: [3 4 10 14 35 37 41 42 51 59 61 63 68 76 78 83 92 93 102 108 112 126 135 138 150 157 169 199 224 238 247 257 259 274 279 288 289 329 334 335 346 362 365 370]\n# round=1000 of 10000 minW=44\n# round=2000 of 10000 minW=44\n# round=3000 of 10000 minW=44\n# step=3274 row=3 minW=44 found cw of W=42: [5 6 10 12 16 36 40 52 56 58 60 68 73 74 87 104 111 127 141 146 153 154 209 213 225 239 251 264 283 299 304 306 310 311 330 334 342 346 352 354 367 368]\n# round=4000 of 10000 minW=42\n# round=5000 of 10000 minW=42\n# round=6000 of 10000 minW=42\n# round=7000 of 10000 minW=42\n# round=8000 of 10000 minW=42\n# round=9000 of 10000 minW=42\n# round=10000 of 10000 minW=42\nRW algorithm upper bound for the distance d=42\n</t>
  </si>
  <si>
    <t># step=0 row=0 minW=397 found cw of W=76: [1 3 21 23 32 33 35 45 53 55 57 60 61 62 71 74 75 78 92 101 104 105 117 120 123 135 138 145 152 156 158 164 166 173 174 177 178 185 191 199 200 201 216 221 230 231 232 237 240 243 244 245 257 260 263 267 274 277 284 289 302 303 321 331 332 333 339 344 352 357 358 364 366 368 373 388]\n# step=0 row=3 minW=76 found cw of W=70: [3 6 7 19 21 23 30 34 35 38 39 55 57 58 61 62 71 74 75 86 102 106 117 118 119 122 123 134 144 145 156 158 161 164 173 174 177 180 191 200 225 232 237 243 244 245 257 261 263 269 274 284 290 299 303 315 317 318 321 324 327 335 344 352 355 358 360 373 375 378]\n# step=0 row=6 minW=70 found cw of W=66: [3 7 11 17 19 35 45 57 58 62 66 67 71 87 88 92 93 104 106 108 116 118 128 134 135 138 142 144 152 156 158 161 174 186 187 189 192 201 207 209 216 225 227 237 240 244 245 257 259 269 273 290 302 315 324 333 339 340 343 344 350 355 358 363 364 387]\n# step=0 row=8 minW=66 found cw of W=64: [14 15 17 19 23 35 53 55 57 61 67 71 74 86 87 89 93 101 102 114 116 117 118 120 128 138 145 152 156 159 166 173 178 186 189 200 201 203 212 216 221 227 234 237 240 267 274 277 284 291 302 318 332 333 339 343 352 357 358 366 368 373 386 387]\n# step=0 row=17 minW=64 found cw of W=60: [21 29 34 35 41 53 55 61 62 67 71 74 86 92 93 104 106 118 119 120 123 134 135 144 161 173 174 177 178 191 203 205 216 227 232 243 244 261 267 269 273 274 277 284 291 315 316 317 321 333 338 343 350 352 358 360 364 366 373 375]\n# step=1 row=3 minW=60 found cw of W=58: [1 5 6 17 24 28 54 67 76 79 83 85 90 105 108 118 120 121 152 153 154 155 166 171 175 176 177 178 188 189 199 220 226 229 243 250 251 253 270 272 275 286 287 302 306 314 316 318 321 328 342 349 353 371 375 380 382 385]\n# step=2 row=16 minW=58 found cw of W=56: [9 14 17 26 28 32 65 69 81 86 88 101 109 113 132 133 147 155 161 165 175 177 180 185 187 199 200 207 215 223 224 226 230 246 252 257 260 263 264 267 274 276 281 287 290 298 307 322 330 331 351 353 356 380 386 389]\n# step=5 row=88 minW=56 found cw of W=54: [1 14 25 28 32 35 49 50 64 65 68 73 74 75 78 84 100 113 123 130 134 135 146 162 166 167 172 173 177 183 190 191 205 222 225 230 245 252 262 263 273 289 304 322 324 325 328 333 346 347 351 360 364 389]\n# step=16 row=45 minW=54 found cw of W=50: [9 10 22 25 44 47 56 64 68 72 74 78 87 100 106 119 132 150 155 159 162 174 186 200 207 213 238 242 258 260 261 262 266 272 298 299 304 307 312 317 319 322 330 337 344 348 359 369 372 375]\n# step=315 row=171 minW=50 found cw of W=44: [6 7 13 14 24 30 36 53 55 58 61 69 72 109 112 123 126 131 149 156 157 160 168 174 187 212 225 235 251 265 270 273 303 304 307 327 329 333 334 347 352 354 364 385]\n# round=1000 of 10000 minW=44\n# round=2000 of 10000 minW=44\n# round=3000 of 10000 minW=44\n# round=4000 of 10000 minW=44\n# step=4185 row=21 minW=44 found cw of W=42: [1 14 32 34 45 58 65 85 89 93 122 126 131 135 150 156 157 158 164 175 180 187 212 224 226 243 257 283 286 291 298 320 323 324 325 331 333 348 354 373 378 386]\n# round=5000 of 10000 minW=42\n# round=6000 of 10000 minW=42\n# round=7000 of 10000 minW=42\n# round=8000 of 10000 minW=42\n# round=9000 of 10000 minW=42\n# round=10000 of 10000 minW=42\nRW algorithm upper bound for the distance d=42\n</t>
  </si>
  <si>
    <t># step=0 row=0 minW=401 found cw of W=74: [1 21 26 28 29 31 40 44 47 57 64 70 71 73 76 101 110 112 114 118 120 121 137 140 143 147 154 158 164 166 171 177 182 186 190 205 209 210 218 228 231 232 241 244 249 256 257 258 269 270 276 278 282 286 305 309 312 314 320 326 329 332 337 341 343 349 354 356 366 369 373 377 378 390]\n# step=0 row=1 minW=74 found cw of W=68: [2 4 14 20 23 26 29 32 37 40 42 47 54 65 70 71 84 85 89 108 110 120 123 129 137 142 147 149 166 169 171 172 177 182 187 189 209 210 224 240 241 244 249 252 265 270 276 282 285 287 302 304 308 309 314 324 326 332 341 344 352 354 366 369 372 376 377 384]\n# step=0 row=4 minW=68 found cw of W=66: [8 14 20 21 23 28 31 32 42 44 67 70 71 72 73 75 76 82 85 86 87 89 108 118 120 121 123 128 137 138 140 142 149 156 169 171 177 186 189 192 205 218 240 244 249 266 267 269 270 275 276 282 285 287 292 305 314 331 332 337 338 356 366 372 373 377]\n# step=0 row=22 minW=66 found cw of W=62: [4 12 14 15 23 26 31 37 40 44 48 64 67 70 71 75 77 82 86 87 107 114 118 122 123 137 149 152 164 166 169 171 177 182 186 187 192 215 218 240 241 248 249 256 265 266 267 269 270 275 292 304 307 312 322 326 331 341 344 352 356 365]\n# step=0 row=161 minW=62 found cw of W=60: [7 12 14 15 20 29 35 37 40 47 54 57 64 70 71 73 76 84 108 110 112 114 122 135 137 138 147 154 164 171 177 186 211 215 224 231 238 240 252 257 269 270 276 278 286 307 308 310 311 320 322 324 329 331 352 369 373 377 378 384]\n# step=0 row=194 minW=60 found cw of W=56: [12 28 29 31 32 44 54 64 70 72 77 81 85 86 89 108 112 118 122 128 138 140 149 152 154 156 164 166 169 172 177 186 189 190 209 218 231 232 240 241 244 249 256 266 269 270 285 308 309 322 329 338 341 352 381 390]\n# step=1 row=137 minW=56 found cw of W=54: [3 5 8 11 12 19 31 34 64 66 78 82 108 116 119 128 130 131 134 135 148 149 152 153 160 164 166 169 176 181 203 211 223 228 248 249 251 252 253 260 276 282 291 305 312 316 323 330 335 351 369 378 381 391]\n# step=11 row=201 minW=54 found cw of W=50: [7 12 22 24 35 70 73 74 75 76 81 92 101 107 108 124 135 136 144 145 164 170 179 188 201 226 234 236 258 273 279 284 285 288 308 312 322 326 334 344 345 358 364 374 375 376 381 384 385 392]\n# step=33 row=87 minW=50 found cw of W=46: [7 19 23 24 33 46 47 48 54 55 66 78 79 90 107 119 122 133 142 154 157 179 184 205 223 224 239 242 245 247 248 257 268 278 284 285 290 305 322 339 345 346 355 366 368 385]\n# step=105 row=32 minW=46 found cw of W=42: [8 25 29 31 38 46 56 61 92 108 114 117 127 169 170 181 207 214 217 225 256 261 262 270 276 277 279 291 292 307 327 329 331 338 346 362 369 376 377 379 381 391]\n# round=1000 of 10000 minW=42\n# round=2000 of 10000 minW=42\n# round=3000 of 10000 minW=42\n# round=4000 of 10000 minW=42\n# round=5000 of 10000 minW=42\n# round=6000 of 10000 minW=42\n# round=7000 of 10000 minW=42\n# step=7078 row=177 minW=42 found cw of W=40: [6 12 16 28 45 52 54 61 83 92 118 124 127 128 143 147 152 159 163 166 169 218 224 227 247 263 266 269 274 283 306 312 316 343 345 354 359 361 374 392]\n# round=8000 of 10000 minW=40\n# round=9000 of 10000 minW=40\n# round=10000 of 10000 minW=40\nRW algorithm upper bound for the distance d=40\n</t>
  </si>
  <si>
    <t># step=0 row=1 minW=405 found cw of W=80: [3 11 12 14 20 21 25 30 36 38 41 42 43 49 52 54 56 67 70 71 76 78 80 92 103 111 112 114 117 118 120 125 126 127 133 139 142 148 155 165 168 179 190 203 206 212 214 216 221 223 226 228 234 238 245 258 266 272 274 277 291 304 305 306 307 316 319 320 323 333 345 350 352 355 374 375 378 379 383 395]\n# step=0 row=2 minW=80 found cw of W=54: [4 12 15 20 25 27 38 42 49 52 78 90 91 103 108 110 120 123 125 128 139 155 157 165 192 203 205 216 217 221 224 226 256 258 263 266 274 280 304 305 306 307 310 312 315 317 323 328 345 352 355 364 375 393]\n# step=0 row=56 minW=54 found cw of W=50: [15 19 20 21 23 28 49 56 70 78 84 90 103 108 110 117 118 119 120 121 122 133 157 160 192 193 204 205 206 211 217 218 220 230 234 261 266 272 280 306 307 310 320 326 352 367 387 393 394 395]\n# step=209 row=51 minW=50 found cw of W=46: [4 6 17 18 20 26 34 40 45 50 53 59 80 104 110 111 116 118 135 146 155 160 171 177 208 211 212 217 222 226 228 250 255 271 272 278 282 306 307 321 327 343 351 353 357 372]\n# step=292 row=112 minW=46 found cw of W=44: [2 4 6 11 24 31 37 38 44 54 55 68 71 85 86 103 107 112 138 139 145 167 169 172 187 206 218 226 241 256 261 268 272 279 280 319 334 342 358 362 373 380 381 388]\n# step=542 row=86 minW=44 found cw of W=42: [1 11 22 24 28 41 59 85 86 113 125 132 142 143 168 171 173 180 183 189 191 233 244 264 269 272 276 281 284 288 290 292 304 314 315 325 331 362 365 375 377 388]\n# step=771 row=107 minW=42 found cw of W=40: [13 35 38 40 44 46 48 57 70 71 77 108 109 136 149 158 206 214 215 228 241 248 265 271 273 290 307 310 311 315 329 341 342 343 347 366 372 373 380 391]\n#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</si>
  <si>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minW=409 found cw of W=74: [3 4 5 18 21 26 33 35 46 52 55 58 61 62 65 72 75 88 91 99 105 109 117 118 123 129 137 142 149 150 152 168 172 181 188 190 194 208 209 211 218 220 236 237 238 250 251 254 256 259 262 264 265 266 270 295 303 320 321 324 332 333 338 340 346 354 366 371 376 378 381 385 392 398]\n# step=0 row=1 minW=74 found cw of W=66: [6 18 23 24 26 33 40 49 54 58 61 70 73 74 75 90 91 95 104 105 106 126 129 142 144 152 154 159 160 162 172 192 194 195 202 207 208 209 210 220 227 237 238 254 256 261 265 295 304 308 311 322 324 332 333 340 348 355 360 366 379 380 381 398 399 401]\n# step=0 row=14 minW=66 found cw of W=56: [1 2 5 21 22 40 46 49 55 57 62 73 74 84 90 94 104 114 117 118 135 142 144 159 168 172 173 176 188 195 202 218 220 225 226 237 250 259 275 288 294 304 307 311 318 320 321 348 355 368 372 376 379 392 399 400]\n# step=0 row=135 minW=56 found cw of W=54: [2 23 46 52 57 62 73 75 84 90 109 114 116 118 144 150 152 155 159 168 172 188 192 195 202 211 218 220 227 236 238 241 250 254 256 257 264 277 288 304 308 318 338 340 343 348 354 366 368 372 376 381 392 399]\n# step=7 row=50 minW=54 found cw of W=52: [1 2 13 24 30 37 52 57 78 81 84 87 96 98 104 115 118 131 140 155 167 169 174 179 189 220 223 228 242 257 263 264 269 273 281 282 285 307 325 335 336 343 358 363 365 366 373 375 378 390 402 404]\n# step=18 row=11 minW=52 found cw of W=48: [5 8 13 14 20 24 28 32 82 92 108 110 113 115 130 141 152 153 176 182 198 199 202 209 215 224 233 255 260 262 284 286 289 296 300 301 312 320 330 335 338 345 356 362 364 380 391 406]\n# step=42 row=8 minW=48 found cw of W=46: [15 20 24 28 40 43 59 70 74 77 80 85 91 93 119 126 130 135 140 145 146 151 164 172 176 195 206 222 224 229 237 244 248 263 281 284 308 321 323 324 331 344 355 368 391 397]\n# step=160 row=185 minW=46 found cw of W=44: [13 16 23 28 29 57 58 82 86 87 89 92 96 140 162 179 180 191 193 198 226 237 241 252 261 281 290 319 322 328 329 334 335 339 343 344 354 364 366 384 388 393 397 398]\n# step=447 row=35 minW=44 found cw of W=40: [2 12 42 45 61 63 67 71 73 76 85 104 115 122 138 151 157 163 169 175 204 217 218 224 240 246 259 261 267 275 280 305 306 318 320 351 355 363 391 407]\n# round=1000 of 10000 minW=40\n# step=1646 row=97 minW=40 found cw of W=36: [7 21 23 37 40 42 56 58 65 68 77 107 108 118 125 129 144 165 179 202 210 211 220 225 241 260 262 267 269 272 295 304 311 333 346 397]\n#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</si>
  <si>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minW=413 found cw of W=68: [1 14 21 46 50 51 53 68 73 75 76 77 78 79 82 85 91 92 94 99 100 111 126 130 156 176 180 181 182 185 188 190 192 193 195 197 205 207 214 233 239 240 249 256 257 274 282 290 293 296 299 303 305 323 330 332 342 343 352 355 384 393 398 400 402 406 409 411]\n# step=0 row=5 minW=68 found cw of W=62: [10 14 21 25 27 38 46 48 51 53 56 73 75 77 78 79 84 88 90 92 111 112 125 134 151 157 176 180 183 185 188 191 195 215 220 228 231 233 257 262 271 286 288 296 299 303 317 319 330 340 347 355 362 363 374 384 387 388 393 394 402 406]\n# step=0 row=23 minW=62 found cw of W=60: [16 21 27 31 33 37 38 41 46 50 53 56 65 68 76 81 88 90 91 92 95 96 98 100 119 126 134 156 180 181 183 185 195 199 233 239 240 262 271 274 282 286 288 296 301 304 330 332 343 346 347 350 355 359 386 387 390 397 400 409]\n# step=0 row=149 minW=60 found cw of W=58: [9 21 25 27 50 59 65 77 84 85 91 92 96 112 122 125 130 133 134 147 162 176 180 181 188 191 195 196 199 220 228 229 231 236 239 240 249 250 251 256 273 290 323 328 330 332 340 342 343 352 354 374 376 382 387 397 400 402]\n# step=1 row=43 minW=58 found cw of W=56: [10 11 12 29 31 37 41 42 56 72 74 84 87 92 113 114 115 125 132 136 145 151 152 153 169 186 202 222 225 228 231 234 247 256 262 273 276 278 280 289 290 325 328 334 337 340 342 346 357 358 375 376 379 396 401 408]\n# step=2 row=7 minW=56 found cw of W=50: [2 6 9 13 23 29 33 40 45 58 68 73 79 81 83 91 100 106 114 126 129 132 148 194 197 208 209 212 217 219 223 232 240 242 246 264 278 279 287 300 306 318 326 342 343 345 377 381 388 392]\n# step=8 row=62 minW=50 found cw of W=46: [3 6 8 11 34 37 48 52 55 59 65 72 90 98 118 121 131 140 150 151 159 162 174 175 184 193 199 217 221 224 234 240 253 262 277 287 294 302 304 312 315 317 361 364 374 397]\n# step=80 row=74 minW=46 found cw of W=44: [6 11 13 22 40 48 59 71 74 80 81 85 92 101 102 109 111 114 118 136 139 143 151 158 171 184 188 202 205 219 221 265 274 280 305 317 331 342 345 364 380 389 401 410]\n# step=373 row=27 minW=44 found cw of W=42: [22 25 32 42 59 63 71 76 78 81 94 98 99 123 145 166 193 195 201 207 219 226 231 255 256 277 298 300 306 310 322 331 341 358 359 368 385 387 390 399 408 409]\n# step=578 row=120 minW=42 found cw of W=36: [16 21 35 37 40 42 48 63 68 100 105 108 131 140 161 189 201 203 208 222 234 241 248 264 269 274 276 296 314 330 349 357 379 395 399 407]\n#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</si>
  <si>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minW=417 found cw of W=86: [1 2 5 6 9 18 21 26 30 33 39 54 59 64 65 67 68 69 73 74 75 77 78 79 92 95 100 109 113 120 123 130 136 140 145 157 163 166 167 172 173 178 182 186 199 201 203 204 209 214 222 224 226 232 238 240 241 244 249 253 261 271 287 290 294 312 314 326 331 333 336 351 357 366 374 376 377 379 385 387 389 398 404 409 411 416]\n# step=0 row=1 minW=86 found cw of W=74: [2 4 9 10 14 18 26 32 33 39 47 48 49 57 59 64 67 69 79 92 93 94 96 97 112 120 122 123 126 130 140 145 149 152 153 162 163 166 173 193 200 201 203 212 217 222 240 241 244 247 249 252 253 255 265 287 312 314 320 322 328 331 334 356 370 374 376 379 401 404 405 406 411 416]\n# step=0 row=8 minW=74 found cw of W=68: [5 9 11 14 17 26 33 42 54 59 65 68 70 75 77 79 80 81 92 99 100 109 111 120 121 123 129 130 162 163 169 172 184 193 201 203 208 217 219 222 224 233 237 241 252 258 262 278 287 289 290 301 308 312 319 331 341 354 356 362 370 387 389 394 401 404 405 409]\n# step=0 row=71 minW=68 found cw of W=64: [2 14 18 25 26 33 39 55 59 67 68 70 73 77 92 96 100 120 122 123 130 136 140 145 147 157 163 166 172 189 200 201 222 224 233 240 241 244 249 251 258 261 263 265 278 289 290 301 308 314 331 351 362 369 374 379 385 389 393 394 397 404 405 409]\n# step=1 row=17 minW=64 found cw of W=62: [9 23 29 35 36 37 38 39 40 56 64 81 82 89 94 97 112 113 118 126 127 139 141 144 149 159 160 161 168 186 193 196 199 200 201 205 208 216 221 226 230 246 247 251 253 255 265 300 302 303 304 309 312 325 326 330 341 348 355 359 367 393]\n# step=1 row=102 minW=62 found cw of W=60: [8 9 26 28 29 37 50 52 70 82 88 97 98 112 117 118 127 138 139 141 147 150 154 168 174 178 179 185 186 201 202 210 215 217 227 232 234 236 242 243 254 255 260 282 283 304 314 319 325 326 331 335 336 341 355 359 376 393 400 408]\n# step=2 row=30 minW=60 found cw of W=58: [7 24 42 45 47 50 54 61 73 75 84 91 95 112 119 120 121 130 131 165 172 177 179 184 199 216 217 232 234 242 250 251 253 274 275 284 287 288 292 302 319 321 327 328 329 339 346 355 359 362 366 378 379 380 388 391 403 406]\n# step=5 row=215 minW=58 found cw of W=54: [18 20 23 24 26 37 40 46 95 119 122 144 150 151 155 157 166 175 182 184 185 196 211 215 216 219 220 223 232 234 238 269 286 296 315 319 320 323 324 332 335 342 349 359 363 365 373 374 383 392 393 400 404 407]\n# step=33 row=213 minW=54 found cw of W=52: [8 17 22 33 37 42 43 51 56 75 79 84 105 106 112 116 120 121 124 126 134 141 146 150 180 185 215 220 224 228 238 240 241 256 284 285 292 294 313 314 319 344 355 358 360 363 368 387 389 391 393 398]\n# step=144 row=124 minW=52 found cw of W=50: [2 6 18 20 21 22 34 39 53 56 57 58 74 87 91 108 110 120 125 127 131 160 172 173 226 228 230 231 235 261 265 267 275 276 277 282 290 295 303 314 316 328 346 351 370 371 379 394 403 407]\n# step=333 row=43 minW=50 found cw of W=48: [7 17 22 46 49 70 76 83 117 119 126 131 141 153 157 174 175 182 186 187 189 201 210 225 237 245 252 264 266 284 286 290 305 312 314 319 325 327 339 341 356 358 365 368 370 383 397 416]\n# step=413 row=46 minW=48 found cw of W=40: [4 13 25 32 34 53 67 78 83 89 95 99 103 104 117 123 157 158 178 182 212 227 233 241 262 276 282 296 311 312 344 345 346 379 380 395 400 401 407 411]\n#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</si>
  <si>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minW=421 found cw of W=82: [2 3 16 19 43 44 54 55 69 71 75 77 79 86 91 96 98 99 105 112 113 123 124 126 130 150 160 163 171 176 184 186 194 201 209 210 213 215 217 218 226 241 251 254 255 262 264 268 271 278 282 285 295 297 302 305 317 320 333 336 340 346 356 358 367 376 381 383 384 387 392 396 400 401 402 404 406 407 410 413 414 419]\n# step=0 row=6 minW=82 found cw of W=80: [1 3 11 12 28 35 36 43 49 52 54 64 65 71 75 78 95 96 98 117 123 130 132 139 141 144 150 159 163 164 169 171 173 176 183 184 186 187 197 201 203 209 221 238 245 249 251 256 259 268 269 271 275 280 282 285 299 302 305 316 318 333 340 342 349 356 358 360 361 367 376 381 383 385 387 394 396 397 404 419]\n# step=0 row=8 minW=80 found cw of W=70: [1 14 19 25 34 35 36 49 51 54 58 69 79 99 113 116 123 124 127 132 139 141 149 154 159 162 164 173 181 184 194 197 201 209 213 221 223 225 241 245 254 268 278 282 297 305 316 318 323 328 329 330 333 337 340 342 346 366 372 374 384 387 391 402 404 407 410 411 414 419]\n# step=0 row=101 minW=70 found cw of W=68: [19 43 44 52 54 55 57 64 65 69 75 79 93 96 98 105 112 130 136 139 149 150 159 160 162 163 165 169 171 181 185 190 194 201 210 217 223 225 241 251 255 262 268 270 275 278 285 295 298 303 305 328 330 334 340 349 356 358 381 383 384 391 394 395 403 404 410 413]\n# step=0 row=214 minW=68 found cw of W=66: [1 7 12 19 36 52 57 69 86 91 93 96 102 116 117 126 127 132 136 137 139 141 149 165 181 184 186 187 190 217 221 242 254 256 270 280 282 291 292 299 303 305 310 316 334 336 337 342 346 349 361 367 372 384 385 387 391 394 400 401 404 406 410 411 415 417]\n# step=2 row=39 minW=66 found cw of W=56: [4 5 21 26 28 29 53 61 71 72 81 84 102 104 105 109 114 125 133 134 156 162 166 175 176 178 199 208 230 235 242 248 263 280 282 283 284 299 313 314 320 324 336 340 341 347 353 366 372 389 396 399 404 409 417 420]\n# step=44 row=153 minW=56 found cw of W=46: [27 29 36 43 55 63 67 73 75 76 93 104 132 134 139 154 168 172 178 180 185 192 200 201 205 218 221 226 244 246 253 265 286 290 293 297 303 310 323 326 331 364 398 410 411 419]\n# round=1000 of 10000 minW=46\n# round=2000 of 10000 minW=46\n# round=3000 of 10000 minW=46\n# step=3721 row=99 minW=46 found cw of W=44: [2 10 46 47 54 57 59 67 72 75 88 94 97 102 115 122 127 137 162 164 172 177 185 192 195 202 256 257 279 285 290 292 297 300 317 332 337 347 369 384 397 403 409 417]\n# round=4000 of 10000 minW=44\n# round=5000 of 10000 minW=44\n# round=6000 of 10000 minW=44\n# round=7000 of 10000 minW=44\n# round=8000 of 10000 minW=44\n# round=9000 of 10000 minW=44\n# round=10000 of 10000 minW=44\nRW algorithm upper bound for the distance d=44\n</t>
  </si>
  <si>
    <t># step=0 row=0 minW=425 found cw of W=68: [2 9 10 31 44 47 48 53 54 63 64 69 70 80 82 91 93 94 98 100 115 118 120 123 133 136 137 150 151 159 160 163 174 186 197 200 203 204 207 222 229 242 260 269 271 282 287 291 294 316 320 330 332 345 363 365 377 381 382 386 387 393 397 411 415 418 419 422]\n# step=0 row=1 minW=68 found cw of W=66: [1 3 4 6 14 18 19 21 33 35 44 58 66 76 84 96 100 108 110 112 120 121 124 125 126 135 136 139 143 150 160 181 182 200 203 204 227 242 249 255 266 271 278 283 287 291 306 310 316 319 320 321 338 339 347 353 361 376 377 389 397 402 414 415 418 422]\n# step=0 row=13 minW=66 found cw of W=58: [5 6 10 18 19 24 34 54 57 58 84 98 100 105 120 124 125 126 130 133 135 143 151 160 174 181 188 200 204 205 211 217 222 246 249 260 269 271 283 291 294 306 324 332 338 345 347 363 366 376 377 386 389 393 397 402 417 418]\n# step=0 row=104 minW=58 found cw of W=56: [4 10 18 31 33 35 58 63 64 69 80 82 84 91 94 108 110 118 124 130 133 135 137 139 153 173 174 181 186 197 200 207 208 222 229 236 260 294 314 320 330 335 345 347 353 365 366 376 381 382 385 386 387 393 402 419]\n# step=0 row=112 minW=56 found cw of W=48: [5 8 10 14 26 42 57 84 91 93 99 105 108 121 132 133 135 143 163 181 186 197 203 211 217 220 222 227 229 249 255 260 287 291 320 332 335 345 347 360 361 366 397 398 402 411 415 417]\n# step=11 row=31 minW=48 found cw of W=46: [3 19 26 39 55 63 83 84 88 109 112 113 142 162 169 179 191 194 199 200 219 220 230 231 232 238 242 248 251 267 285 296 297 304 306 313 324 326 336 338 348 374 401 410 411 419]\n# step=88 row=128 minW=46 found cw of W=42: [20 24 28 31 42 49 51 57 64 73 102 110 116 155 161 163 165 170 185 186 208 216 219 222 240 243 251 268 271 291 311 325 338 342 357 360 369 373 374 391 398 417]\n# step=280 row=184 minW=42 found cw of W=40: [5 26 31 37 47 50 60 85 100 103 118 119 128 143 166 173 180 195 199 203 206 224 225 238 243 259 268 279 292 297 305 323 340 368 374 392 398 407 415 421]\n# step=576 row=75 minW=40 found cw of W=38: [1 26 30 38 72 80 81 88 99 100 114 144 145 154 184 189 191 194 205 211 220 242 260 261 275 284 290 293 297 319 344 357 367 381 398 401 418 423]\n# round=1000 of 10000 minW=38\n# round=2000 of 10000 minW=38\n# step=2222 row=156 minW=38 found cw of W=36: [4 20 57 62 71 73 75 76 85 115 134 140 143 163 168 203 211 216 221 227 238 240 246 249 255 285 297 333 338 344 361 389 393 394 415 423]\n#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</si>
  <si>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minW=429 found cw of W=82: [1 2 6 8 10 21 28 51 53 57 58 62 63 71 73 75 78 96 99 104 109 113 115 117 125 126 128 135 139 144 147 165 170 178 180 182 187 189 196 200 207 215 223 231 232 243 245 247 254 282 290 294 296 297 298 299 303 308 310 313 318 330 338 340 350 352 353 354 358 372 374 378 383 389 397 399 404 405 406 414 415 421]\n# step=0 row=3 minW=82 found cw of W=76: [1 5 8 9 10 15 21 28 47 53 57 58 63 66 71 72 73 87 99 108 110 126 128 134 135 136 139 143 144 163 165 170 172 174 178 179 180 189 194 199 205 207 217 222 224 229 231 241 250 251 261 267 270 275 280 297 298 299 312 326 330 338 340 350 353 378 382 386 388 403 404 405 406 413 420 421]\n# step=0 row=10 minW=76 found cw of W=74: [1 5 8 10 17 24 45 47 53 57 58 63 68 70 72 78 87 89 91 96 99 104 108 115 117 126 139 143 144 147 152 164 165 170 172 177 179 180 194 205 229 231 250 251 254 261 267 275 281 282 296 299 303 305 308 310 312 313 314 318 326 336 340 345 353 382 386 388 394 399 403 406 415 421]\n# step=0 row=29 minW=74 found cw of W=70: [5 8 17 21 23 49 62 66 73 76 84 89 104 115 117 126 130 134 151 163 164 172 173 182 187 200 207 223 224 229 241 247 260 263 270 273 281 282 289 293 294 296 298 303 308 313 318 326 330 336 338 340 342 354 365 367 378 380 383 386 388 389 394 397 400 403 414 415 420 421]\n# step=0 row=41 minW=70 found cw of W=68: [6 10 15 23 45 53 63 66 71 74 78 91 104 112 113 128 130 134 135 139 151 152 165 170 173 174 178 180 189 199 200 207 208 224 231 241 242 243 251 272 273 275 281 288 297 299 305 318 326 336 338 342 350 353 358 365 374 380 382 394 399 403 404 406 413 414 421 422]\n# step=0 row=158 minW=68 found cw of W=62: [4 21 23 28 45 54 57 63 68 70 75 76 87 89 104 115 128 136 152 162 165 170 180 194 199 200 218 222 229 231 242 243 247 251 272 281 284 289 296 297 298 303 313 318 336 338 344 354 358 375 376 378 388 389 394 397 403 404 405 413 414 420]\n# step=1 row=49 minW=62 found cw of W=60: [2 5 12 15 23 25 28 37 60 61 77 91 100 101 109 111 112 114 124 129 130 147 152 153 156 168 178 187 194 198 201 205 207 208 226 229 231 236 242 251 254 260 266 274 285 292 294 301 307 325 328 346 366 370 373 398 399 414 415 419]\n# step=7 row=5 minW=60 found cw of W=58: [8 12 14 15 17 26 59 63 64 65 79 87 93 117 134 152 160 161 170 171 172 185 186 204 205 211 224 226 228 229 230 246 252 267 270 273 285 288 300 301 307 311 329 337 338 347 348 353 359 366 375 377 392 395 399 407 419 425]\n# step=7 row=155 minW=58 found cw of W=56: [2 12 25 36 45 58 63 65 73 89 93 98 109 136 141 142 152 160 165 170 177 181 183 187 201 204 205 236 239 267 270 273 279 285 288 294 303 309 314 333 343 350 355 356 357 377 380 391 392 394 397 414 415 416 418 421]\n# step=36 row=21 minW=56 found cw of W=54: [5 8 33 34 38 39 42 43 44 50 56 62 68 75 84 101 111 126 127 128 140 142 154 157 169 170 182 196 219 222 226 233 235 248 252 258 261 270 298 299 303 306 325 333 341 356 360 363 364 384 389 406 413 422]\n# step=192 row=56 minW=54 found cw of W=52: [26 35 61 74 97 98 102 109 123 124 125 127 131 133 146 150 152 155 161 200 204 205 216 228 232 234 246 247 249 253 257 268 282 291 299 313 316 335 337 338 345 353 354 366 369 382 389 395 398 406 414 420]\n# round=1000 of 10000 minW=52\n# step=1065 row=57 minW=52 found cw of W=44: [5 11 20 31 35 42 44 58 70 84 93 103 112 127 130 138 139 152 172 177 179 180 200 212 225 230 246 249 259 279 287 288 296 337 344 363 365 379 393 395 403 405 424 426]\n# round=2000 of 10000 minW=44\n# round=3000 of 10000 minW=44\n# round=4000 of 10000 minW=44\n# step=4147 row=192 minW=44 found cw of W=42: [3 7 15 29 48 52 65 76 82 91 95 100 110 138 141 148 159 172 183 189 192 202 208 233 243 244 247 248 258 299 305 328 336 340 351 352 354 362 365 369 421 422]\n# round=5000 of 10000 minW=42\n# round=6000 of 10000 minW=42\n# round=7000 of 10000 minW=42\n# round=8000 of 10000 minW=42\n# round=9000 of 10000 minW=42\n# round=10000 of 10000 minW=42\nRW algorithm upper bound for the distance d=42\n</t>
  </si>
  <si>
    <t># step=0 row=0 minW=433 found cw of W=62: [1 2 11 12 14 29 53 62 68 82 88 107 108 133 137 141 151 153 164 170 178 182 186 189 190 195 196 212 215 216 218 223 228 229 230 241 259 261 272 274 281 291 296 297 303 313 325 331 335 337 357 377 382 389 392 394 398 399 402 404 421 428]\n# step=0 row=3 minW=62 found cw of W=58: [6 8 11 12 24 43 60 62 69 91 97 107 108 114 116 118 126 133 150 151 153 164 170 182 195 204 212 215 216 223 225 226 228 229 240 241 258 261 272 285 290 291 303 307 313 314 319 331 333 335 337 342 384 399 420 422 427 428]\n# step=0 row=24 minW=58 found cw of W=48: [11 12 18 44 49 58 62 69 75 82 98 107 108 117 119 120 129 141 152 157 170 178 190 195 198 204 212 216 225 274 281 285 289 296 303 312 314 342 345 357 389 394 397 399 404 414 428 431]\n# step=1 row=80 minW=48 found cw of W=42: [4 21 22 24 57 89 98 100 103 115 126 129 158 170 197 200 206 211 222 234 238 255 258 266 286 289 304 312 316 328 330 331 348 363 366 381 386 394 397 412 416 420]\n# step=3 row=113 minW=42 found cw of W=40: [15 23 57 68 71 82 89 98 99 116 130 133 156 162 165 183 190 199 201 202 224 231 264 270 274 276 287 305 310 314 315 346 347 349 382 384 392 399 415 417]\n# step=47 row=241 minW=40 found cw of W=38: [3 19 27 64 74 75 78 80 94 99 114 118 135 145 188 193 195 202 204 219 222 244 266 283 290 294 301 303 315 334 343 352 361 374 388 391 399 420]\n# step=63 row=95 minW=38 found cw of W=36: [12 20 25 26 28 60 75 94 102 119 134 140 148 149 166 172 183 204 210 228 241 244 260 274 301 310 312 335 344 356 364 365 368 384 388 409]\n# step=325 row=112 minW=36 found cw of W=34: [15 34 61 74 78 91 109 121 123 135 155 161 186 190 198 210 217 220 229 243 250 263 269 288 290 298 306 307 319 328 385 396 426 427]\n# round=1000 of 10000 minW=34\n# round=2000 of 10000 minW=34\n# step=2472 row=73 minW=34 found cw of W=30: [19 23 47 63 67 77 91 121 127 131 132 141 185 193 203 222 279 291 307 311 322 330 337 348 357 371 391 399 409 430]\n#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</si>
  <si>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row=1 minW=437 found cw of W=80: [3 4 5 6 8 10 13 24 31 38 42 49 56 70 73 74 81 83 89 91 105 114 116 119 126 134 140 165 167 172 177 182 183 184 186 189 190 192 203 214 219 222 225 226 227 231 235 243 244 254 256 267 276 279 286 287 288 298 309 311 320 327 328 330 333 336 351 353 363 369 388 390 396 402 404 416 420 421 429 436]\n# step=0 row=2 minW=80 found cw of W=76: [2 5 7 8 10 13 24 30 31 38 40 42 64 73 81 83 91 107 109 111 114 119 122 126 131 139 140 164 167 170 172 177 182 184 189 192 193 214 219 225 226 227 234 235 244 254 256 267 273 276 279 286 297 298 302 309 320 323 328 336 343 349 351 353 363 367 369 376 390 391 402 406 408 429 434 436]\n# step=0 row=3 minW=76 found cw of W=70: [3 5 9 10 11 13 18 24 26 30 38 66 73 74 79 81 91 110 114 117 119 122 139 147 149 170 172 175 177 182 183 184 186 189 190 192 193 202 216 219 226 227 229 234 257 282 286 298 302 309 320 327 330 343 345 351 353 366 367 388 390 391 402 404 406 410 420 429 434 436]\n# step=0 row=4 minW=70 found cw of W=68: [2 5 8 12 13 18 24 26 30 38 40 42 49 67 68 69 70 105 111 114 116 119 121 131 134 139 147 149 167 172 177 184 190 193 214 216 225 226 227 229 231 243 244 257 276 282 285 287 288 297 302 320 336 337 338 345 349 351 366 369 376 390 391 402 406 408 429 434]\n# step=0 row=7 minW=68 found cw of W=66: [2 5 10 11 13 16 24 26 30 38 49 64 67 68 69 70 73 91 107 109 111 113 114 116 119 122 131 134 139 147 149 166 182 186 193 203 214 222 225 243 254 257 267 275 285 286 288 297 302 309 323 338 343 349 351 353 363 366 367 391 396 404 406 421 434 436]\n# step=0 row=8 minW=66 found cw of W=58: [5 8 11 17 26 30 38 64 66 68 69 70 73 74 81 105 107 110 114 117 119 126 131 139 149 167 170 175 176 183 184 189 193 244 254 256 276 279 285 286 287 288 297 298 302 323 328 337 338 349 363 367 391 400 402 406 408 434]\n# step=0 row=51 minW=58 found cw of W=54: [5 6 24 26 30 40 42 56 67 73 83 94 107 114 117 119 122 131 134 139 164 165 166 177 182 192 193 202 203 216 219 226 227 231 243 254 273 275 279 285 286 302 328 333 336 337 349 351 353 363 367 369 388 420]\n# step=0 row=109 minW=54 found cw of W=50: [5 6 13 18 26 30 38 49 56 64 68 69 83 109 110 113 114 126 131 139 164 165 170 177 199 203 216 219 222 231 234 235 244 256 273 279 282 287 311 327 333 343 345 349 376 410 417 420 421 434]\n# step=2 row=1 minW=50 found cw of W=48: [2 19 26 38 52 53 58 70 72 85 86 104 111 115 119 128 129 133 138 147 167 168 176 185 194 195 198 211 213 242 244 246 247 248 271 277 285 288 290 294 320 333 337 347 355 357 379 416]\n# step=9 row=33 minW=48 found cw of W=46: [2 16 25 37 51 52 59 62 66 69 73 84 119 146 171 173 175 190 196 199 201 203 212 226 269 270 273 277 291 293 302 312 321 329 335 337 343 352 382 391 396 402 408 414 417 419]\n# step=13 row=122 minW=46 found cw of W=44: [1 2 5 10 19 21 59 66 67 79 87 88 94 106 111 114 128 152 157 166 168 173 176 183 204 205 215 228 230 239 261 275 297 305 306 312 313 328 339 375 391 393 401 423]\n# step=79 row=10 minW=44 found cw of W=38: [7 17 42 48 50 53 58 72 86 100 116 126 143 171 181 189 195 216 239 243 261 266 271 276 278 298 323 325 348 352 361 369 370 377 387 389 427 432]\n# step=625 row=199 minW=38 found cw of W=36: [4 13 41 46 85 99 103 105 127 131 133 145 186 190 211 212 214 231 236 240 259 264 286 290 316 331 351 363 395 399 404 408 412 425 426 429]\n# round=1000 of 10000 minW=36\n# round=2000 of 10000 minW=36\n# round=3000 of 10000 minW=36\n# step=3719 row=102 minW=36 found cw of W=32: [19 40 45 52 61 66 76 83 90 114 116 127 133 161 174 175 185 226 242 253 258 301 308 332 334 335 345 346 362 372 388 392]\n# round=4000 of 10000 minW=32\n# round=5000 of 10000 minW=32\n# round=6000 of 10000 minW=32\n# round=7000 of 10000 minW=32\n# round=8000 of 10000 minW=32\n# round=9000 of 10000 minW=32\n# round=10000 of 10000 minW=32\nRW algorithm upper bound for the distance d=32\n</t>
  </si>
  <si>
    <t># step=0 row=0 minW=441 found cw of W=82: [1 2 5 9 27 29 56 57 60 68 72 80 81 88 93 95 96 98 101 105 109 114 115 126 133 137 156 163 167 170 190 193 198 200 203 209 215 219 222 228 230 249 253 259 261 270 272 273 274 276 288 294 299 301 303 310 318 322 324 331 334 338 339 340 346 353 363 369 371 376 380 382 384 402 404 409 425 426 429 431 432 434]\n# step=0 row=1 minW=82 found cw of W=74: [3 5 20 35 37 42 54 55 56 75 77 81 86 88 90 93 96 98 114 115 120 130 133 134 143 145 147 163 170 178 180 190 193 194 196 198 200 203 204 209 214 223 228 259 262 273 275 276 280 288 296 301 303 304 318 322 324 334 338 340 353 354 363 369 384 400 405 406 407 410 424 426 429 432]\n# step=0 row=2 minW=74 found cw of W=66: [4 5 35 37 42 57 72 75 84 86 88 93 95 98 105 114 115 117 119 120 134 136 145 147 149 156 167 180 190 196 198 200 203 204 214 215 228 230 259 261 262 272 275 284 304 310 318 322 324 337 338 339 354 356 371 376 382 385 394 400 402 405 410 424 425 432]\n# step=0 row=4 minW=66 found cw of W=64: [5 7 9 27 29 35 42 54 56 57 60 68 72 77 80 81 84 95 98 101 105 109 115 119 133 134 136 137 145 149 167 170 178 193 209 215 219 249 262 275 276 294 296 301 303 304 318 321 322 337 353 354 356 369 384 385 402 404 406 407 410 425 429 432]\n# step=0 row=8 minW=64 found cw of W=62: [1 5 12 29 54 55 60 68 76 80 81 84 88 101 105 114 115 120 126 134 143 146 162 163 198 200 204 215 232 249 253 256 261 270 272 273 275 276 280 284 288 294 296 301 304 310 321 322 331 334 340 346 354 371 380 384 386 394 404 410 424 432]\n# step=0 row=49 minW=62 found cw of W=60: [1 9 28 29 37 55 57 75 76 79 80 88 90 95 101 133 146 147 149 167 178 193 194 198 200 204 209 249 256 270 272 274 276 288 294 299 303 304 321 322 324 331 339 353 358 369 380 382 384 385 386 404 405 406 410 424 425 429 432 434]\n# step=0 row=70 minW=60 found cw of W=56: [1 5 42 46 54 60 68 76 77 84 86 92 95 105 109 115 119 120 121 126 156 190 193 194 196 209 215 219 253 261 262 272 274 275 280 288 294 303 312 322 331 339 340 341 346 363 371 382 385 404 406 407 410 425 429 432]\n# step=0 row=112 minW=56 found cw of W=54: [1 5 9 27 28 42 54 60 68 72 81 84 86 90 98 105 109 114 115 117 119 120 136 137 156 162 178 192 194 196 215 219 228 230 261 262 274 276 280 301 310 318 331 334 337 338 356 358 371 376 382 386 402 412]\n# step=1 row=32 minW=54 found cw of W=52: [1 15 32 48 51 68 93 96 113 117 120 126 133 139 140 158 159 161 162 172 177 189 198 226 247 249 253 265 272 285 288 299 313 331 333 336 337 340 345 346 353 357 360 362 363 375 379 392 395 397 418 426]\n# step=1 row=36 minW=52 found cw of W=48: [1 13 28 57 68 71 95 102 111 120 123 133 140 158 159 161 162 166 170 188 203 205 212 226 228 248 250 265 268 274 276 280 313 316 336 338 340 353 375 379 381 382 384 387 398 401 408 426]\n# step=3 row=40 minW=48 found cw of W=44: [1 15 51 53 61 63 64 68 69 85 95 100 109 117 122 146 171 174 186 205 210 215 226 232 235 240 246 300 325 329 331 336 337 350 356 366 381 383 393 398 399 406 410 415]\n# step=11 row=11 minW=44 found cw of W=42: [8 13 15 18 29 45 75 77 79 96 100 119 128 134 137 155 162 166 177 203 235 241 244 247 249 272 276 294 299 316 319 338 339 343 351 397 404 405 407 423 429 430]\n# step=119 row=38 minW=42 found cw of W=36: [1 4 7 13 14 27 59 67 75 76 83 95 148 169 186 201 217 233 247 258 287 295 300 305 312 331 334 337 344 410 413 415 421 422 425 437]\n# round=1000 of 10000 minW=36\n# round=2000 of 10000 minW=36\n# round=3000 of 10000 minW=36\n# round=4000 of 10000 minW=36\n# round=5000 of 10000 minW=36\n# round=6000 of 10000 minW=36\n# round=7000 of 10000 minW=36\n# round=8000 of 10000 minW=36\n# round=9000 of 10000 minW=36\n# step=9677 row=156 minW=36 found cw of W=32: [15 16 23 26 52 71 75 101 103 111 129 133 135 136 173 204 205 219 235 239 245 272 295 329 331 346 393 401 424 425 431 433]\n# round=10000 of 10000 minW=32\nRW algorithm upper bound for the distance d=32\n</t>
  </si>
  <si>
    <t># step=0 row=0 minW=445 found cw of W=66: [1 2 9 26 28 30 39 56 57 58 66 70 76 83 87 89 91 94 114 119 120 137 141 145 152 164 169 189 200 202 206 210 220 223 225 230 233 237 250 254 261 263 269 279 292 300 305 309 318 325 331 335 344 348 365 367 380 386 389 399 409 427 428 429 432 436]\n# step=0 row=3 minW=66 found cw of W=62: [7 8 9 30 31 32 35 37 40 53 57 59 70 76 87 95 106 108 116 120 126 128 137 141 146 151 159 164 189 202 206 216 229 230 237 239 253 254 269 270 279 289 292 294 300 309 313 316 325 328 330 338 359 370 380 392 400 405 409 427 436 438]\n# step=0 row=6 minW=62 found cw of W=54: [9 11 13 33 35 39 56 57 58 59 66 71 87 94 96 106 114 116 124 141 144 159 165 168 169 178 182 189 206 210 225 231 233 239 257 261 270 286 300 309 318 328 338 350 363 387 389 392 397 399 400 427 428 432]\n# step=0 row=107 minW=54 found cw of W=44: [5 9 11 30 35 57 61 70 76 83 87 94 96 99 106 116 119 128 141 146 178 191 214 230 231 237 279 283 292 294 305 309 318 325 328 344 348 350 400 405 409 413 427 432]\n# step=9 row=156 minW=44 found cw of W=42: [16 23 34 55 63 78 90 92 96 114 132 134 167 193 198 201 203 207 211 217 220 253 267 277 278 285 294 309 321 331 336 349 354 364 367 378 405 411 415 432 433 439]\n# step=97 row=109 minW=42 found cw of W=40: [2 7 8 13 14 34 38 43 50 96 104 118 119 125 155 157 161 162 164 180 190 192 207 235 250 265 266 267 268 275 301 303 335 361 367 371 378 384 402 437]\n# step=136 row=117 minW=40 found cw of W=36: [19 38 44 47 52 90 100 123 128 130 134 139 149 155 158 183 186 209 214 216 234 240 245 252 294 297 320 322 350 351 361 363 385 423 436 438]\n# step=693 row=54 minW=36 found cw of W=34: [30 35 45 46 52 73 77 78 94 124 146 155 156 157 175 178 184 185 187 200 205 224 235 266 274 286 296 299 300 335 363 400 409 422]\n# round=1000 of 10000 minW=34\n# round=2000 of 10000 minW=34\n# step=2372 row=75 minW=34 found cw of W=32: [10 14 33 43 77 101 102 125 166 169 175 188 197 203 217 232 271 275 280 314 318 366 376 382 386 388 397 419 429 434 435 439]\n#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</si>
  <si>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minW=449 found cw of W=80: [1 2 3 5 6 14 20 21 27 30 31 33 35 37 44 49 59 61 63 67 70 80 89 95 98 101 125 129 139 142 143 144 147 156 163 166 171 179 186 187 197 199 200 229 233 237 238 241 243 244 256 257 261 273 275 280 285 289 309 312 325 337 338 339 342 345 355 357 390 392 399 401 406 410 411 416 423 425 431 434]\n# step=0 row=1 minW=80 found cw of W=70: [4 6 12 19 20 27 37 44 46 58 60 61 67 70 74 80 82 87 89 95 98 100 101 104 121 142 145 148 156 158 163 166 168 177 179 199 209 229 230 233 236 243 244 251 254 257 261 282 284 285 287 289 294 319 325 328 340 341 372 387 390 392 399 410 416 418 425 433 434 436]\n# step=0 row=12 minW=70 found cw of W=54: [6 14 21 22 30 37 59 71 74 95 98 100 101 122 125 129 144 145 161 166 168 171 187 200 209 229 234 237 238 241 243 254 256 257 269 273 295 312 324 325 341 342 355 357 358 373 381 390 392 410 411 431 433 434]\n# step=2 row=82 minW=54 found cw of W=52: [6 18 24 25 33 39 74 75 78 84 92 95 137 139 140 148 153 156 165 183 187 203 205 215 229 234 248 251 252 263 265 268 270 277 298 302 308 316 317 321 327 341 342 346 354 369 372 382 407 427 431 433]\n# step=23 row=68 minW=52 found cw of W=50: [30 42 49 52 55 62 63 70 73 75 86 88 92 94 97 123 124 126 131 137 139 167 174 186 200 235 243 247 248 254 287 292 294 297 298 299 310 348 350 359 360 361 363 378 385 388 404 428 430 433]\n# step=175 row=44 minW=50 found cw of W=48: [7 9 10 18 21 24 32 39 40 42 59 77 86 93 94 104 119 122 152 171 172 177 198 206 211 216 238 242 248 263 275 279 284 289 311 319 345 350 357 368 378 387 391 413 423 429 431 435]\n# step=383 row=150 minW=48 found cw of W=44: [7 14 22 30 44 55 59 69 73 116 118 135 142 171 185 190 191 206 212 228 238 261 264 268 270 271 288 298 303 318 342 343 358 359 373 376 382 383 391 400 405 410 414 436]\n# round=1000 of 10000 minW=44\n# step=1555 row=70 minW=44 found cw of W=42: [13 33 34 42 43 44 88 104 120 124 126 139 140 150 161 165 184 185 191 208 216 252 258 262 268 277 282 297 303 312 320 344 348 349 350 363 369 378 379 385 394 408]\n# round=2000 of 10000 minW=42\n# step=2731 row=38 minW=42 found cw of W=38: [26 53 54 66 68 74 89 94 115 117 140 166 173 187 196 201 203 207 215 227 234 235 250 277 299 327 341 346 347 364 397 402 404 410 420 427 430 431]\n#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</si>
  <si>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minW=453 found cw of W=64: [3 11 14 16 17 51 56 67 72 77 91 92 125 127 128 139 141 144 152 163 164 167 177 180 189 191 198 205 212 219 229 231 237 238 241 243 254 257 259 265 272 276 279 280 303 311 314 328 344 355 365 372 385 392 395 403 411 415 417 427 430 438 441 445]\n# step=0 row=2 minW=64 found cw of W=60: [1 4 5 9 10 13 16 29 56 57 67 77 91 106 122 126 139 142 144 159 166 167 177 180 195 198 201 212 227 237 269 280 281 283 289 303 311 314 328 330 343 344 349 350 355 365 370 382 385 392 394 395 402 403 421 430 438 441 443 445]\n# step=0 row=30 minW=60 found cw of W=52: [4 16 38 40 49 56 77 104 123 128 132 139 141 144 159 166 172 177 195 209 213 219 230 241 245 246 254 257 259 264 280 290 303 326 328 330 349 355 359 365 372 379 385 388 392 393 395 398 421 435 441 445]\n# step=0 row=157 minW=52 found cw of W=50: [1 5 10 29 40 52 56 61 72 91 106 123 125 127 141 142 144 151 152 154 159 169 174 189 197 212 213 219 227 231 238 240 254 264 265 267 278 280 310 326 330 370 379 385 393 411 415 430 438 443]\n# step=2 row=25 minW=50 found cw of W=48: [26 27 37 51 84 96 97 102 106 107 117 130 138 139 143 149 166 196 197 213 214 218 219 220 230 236 243 262 287 295 309 323 326 327 331 338 349 364 366 369 376 390 392 400 408 435 441 451]\n# step=7 row=186 minW=48 found cw of W=46: [5 16 40 41 43 45 65 72 74 80 87 92 110 118 145 158 159 160 169 184 194 206 207 221 242 269 273 282 291 298 306 313 316 319 320 371 379 380 385 410 413 420 429 431 447 449]\n# step=55 row=66 minW=46 found cw of W=40: [17 33 35 37 56 71 75 80 104 108 112 129 130 148 184 203 207 216 218 221 239 259 271 282 301 302 304 306 316 320 338 352 355 376 384 415 417 442 443 444]\n# step=83 row=256 minW=40 found cw of W=38: [7 10 21 29 31 34 75 87 90 91 104 116 125 148 182 201 204 219 236 254 255 260 261 287 313 314 316 342 346 351 360 367 370 400 408 414 443 445]\n# step=815 row=55 minW=38 found cw of W=34: [2 16 19 56 80 81 95 98 108 109 120 132 139 164 193 194 200 206 208 211 213 221 233 236 252 277 313 335 341 349 355 395 432 439]\n# round=1000 of 10000 minW=34\n# round=2000 of 10000 minW=34\n# round=3000 of 10000 minW=34\n# step=3331 row=227 minW=34 found cw of W=32: [11 25 33 35 61 80 88 112 124 138 146 148 174 193 201 225 230 241 256 272 273 276 283 337 343 354 369 385 386 389 396 450]\n# round=4000 of 10000 minW=32\n# step=4810 row=259 minW=32 found cw of W=30: [13 39 68 70 73 87 92 102 106 109 143 186 200 208 222 224 239 265 287 294 296 318 321 328 337 338 369 400 445 451]\n# round=5000 of 10000 minW=30\n# round=6000 of 10000 minW=30\n# round=7000 of 10000 minW=30\n# round=8000 of 10000 minW=30\n# round=9000 of 10000 minW=30\n# round=10000 of 10000 minW=30\nRW algorithm upper bound for the distance d=30\n</t>
  </si>
  <si>
    <t># step=0 row=0 minW=457 found cw of W=74: [1 12 29 34 39 40 49 61 66 73 80 82 84 85 101 111 126 127 134 138 142 150 154 169 180 188 192 194 196 198 208 214 215 219 220 224 238 241 252 255 256 257 258 261 262 267 271 283 285 286 288 289 302 306 328 333 338 339 343 352 362 369 372 375 378 385 391 399 400 402 415 427 436 448]\n# step=0 row=1 minW=74 found cw of W=64: [2 12 27 30 40 57 61 62 68 73 77 84 96 109 116 124 126 142 150 154 164 169 176 187 188 196 198 208 213 214 215 219 220 223 231 233 237 242 255 256 258 264 271 283 285 289 324 328 329 333 345 347 351 352 356 385 392 410 416 419 424 436 441 448]\n# step=0 row=2 minW=64 found cw of W=52: [4 5 19 20 30 39 58 66 82 96 101 109 118 127 133 134 138 139 147 157 169 180 192 193 196 208 214 224 233 238 241 252 253 258 261 267 283 288 302 306 307 324 328 329 337 338 352 385 400 402 416 436]\n# step=0 row=88 minW=52 found cw of W=50: [9 12 30 39 49 62 66 73 80 82 84 85 101 126 134 139 142 147 149 163 169 176 180 193 194 196 198 215 223 224 237 242 253 256 267 283 285 286 307 337 338 356 362 372 375 377 399 400 415 427]\n# step=3 row=5 minW=50 found cw of W=46: [5 10 12 26 44 48 57 58 69 81 86 99 100 105 110 119 123 134 140 146 155 162 164 169 176 183 213 219 237 238 269 272 285 286 309 320 338 354 362 374 392 397 404 428 434 442]\n# step=23 row=66 minW=46 found cw of W=44: [9 12 14 21 31 38 61 69 83 87 96 109 112 118 123 125 126 128 140 143 152 201 210 216 223 225 232 239 241 249 257 274 286 289 297 355 368 373 388 400 425 444 453 454]\n# step=79 row=223 minW=44 found cw of W=42: [3 5 17 22 31 43 44 47 58 59 68 80 88 117 119 136 152 166 169 188 259 267 272 274 278 280 286 289 296 359 380 381 385 388 389 392 397 401 403 416 422 430]\n# step=103 row=213 minW=42 found cw of W=40: [10 18 22 50 51 67 85 104 108 119 124 135 150 161 165 171 195 197 203 218 229 233 261 264 278 285 309 313 338 343 360 363 364 375 389 409 425 431 450 452]\n# step=153 row=125 minW=40 found cw of W=38: [22 31 34 37 78 106 109 115 117 141 145 149 163 197 212 220 229 231 247 254 255 265 275 280 306 326 330 361 364 368 376 377 389 391 394 425 444 451]\n# step=204 row=60 minW=38 found cw of W=36: [27 42 61 68 76 77 92 121 131 142 144 165 168 171 172 191 235 245 255 258 284 286 289 300 304 320 321 370 384 393 396 398 399 410 414 435]\n# round=1000 of 10000 minW=36\n# round=2000 of 10000 minW=36\n# round=3000 of 10000 minW=36\n# step=3132 row=122 minW=36 found cw of W=34: [24 25 38 53 63 70 92 104 124 149 196 201 206 218 238 252 258 263 266 270 280 281 298 303 315 338 367 372 384 394 405 417 424 452]\n# round=4000 of 10000 minW=34\n# round=5000 of 10000 minW=34\n# round=6000 of 10000 minW=34\n# step=6920 row=261 minW=34 found cw of W=28: [4 15 35 60 69 102 108 118 129 149 174 183 216 222 267 270 280 322 324 326 339 381 384 394 436 438 440 453]\n# round=7000 of 10000 minW=28\n# round=8000 of 10000 minW=28\n# round=9000 of 10000 minW=28\n# round=10000 of 10000 minW=28\nRW algorithm upper bound for the distance d=28\n</t>
  </si>
  <si>
    <t># step=0 row=3 minW=461 found cw of W=94: [1 3 6 8 19 29 30 31 33 37 38 40 44 47 49 50 58 74 75 82 85 90 93 102 103 106 118 121 124 131 134 135 141 144 149 152 153 155 158 159 160 164 169 170 173 183 188 189 190 195 196 202 208 219 221 223 238 239 246 250 253 256 260 261 263 264 269 277 285 296 298 303 310 311 317 318 322 334 338 346 368 384 388 390 395 399 411 427 430 433 435 437 447 448]\n# step=0 row=4 minW=94 found cw of W=90: [1 3 7 11 13 15 17 19 29 31 40 42 44 45 49 56 58 59 63 75 77 78 85 89 90 93 97 100 102 103 117 118 121 124 134 135 141 144 155 157 164 174 178 187 190 193 195 196 204 208 232 236 237 239 243 253 254 256 261 269 277 285 286 288 300 302 310 325 330 346 356 360 362 365 368 369 384 389 390 392 400 415 422 426 430 435 440 442 447 448]\n# step=0 row=6 minW=90 found cw of W=86: [1 8 12 13 14 15 16 17 24 37 40 42 47 49 50 67 69 73 74 85 97 100 109 121 126 129 144 149 152 154 155 159 164 169 173 174 183 196 198 206 219 236 242 243 246 263 269 272 285 288 297 298 299 300 303 304 311 318 321 322 325 334 339 346 353 356 360 362 369 374 378 379 389 392 395 399 400 404 415 428 430 433 437 440 442 445]\n# step=0 row=23 minW=86 found cw of W=82: [1 11 13 14 24 30 31 37 47 48 49 50 58 59 74 75 79 90 93 94 100 117 124 129 131 134 141 146 152 158 159 164 173 174 190 195 198 202 206 208 219 232 239 243 246 248 249 253 254 256 260 263 269 278 285 304 307 309 310 317 321 322 324 325 330 334 346 356 363 368 378 384 388 389 392 395 400 422 428 435 437 440]\n# step=0 row=30 minW=82 found cw of W=70: [3 8 11 15 24 42 44 45 58 61 67 74 87 89 92 102 103 109 116 118 121 126 135 141 154 171 174 183 185 187 188 189 197 202 204 219 224 236 250 254 256 264 272 286 288 296 297 298 300 302 303 307 322 330 334 346 353 360 379 384 389 390 404 406 411 422 427 445 447 448]\n# step=0 row=88 minW=70 found cw of W=66: [1 11 13 14 37 40 42 49 56 59 65 67 69 73 74 89 93 100 109 116 129 135 152 155 160 164 169 180 185 188 196 204 208 219 224 243 248 263 272 278 286 296 297 299 300 304 307 311 322 325 327 334 356 363 365 378 390 393 399 404 411 422 437 440 442 445]\n# step=7 row=153 minW=66 found cw of W=62: [18 19 25 26 35 63 64 78 86 89 95 103 105 122 128 132 134 140 141 147 149 150 159 174 182 196 204 222 237 247 258 261 263 271 274 286 289 293 294 308 311 312 316 321 325 327 335 337 358 363 373 376 377 378 379 386 401 412 427 436 442 448]\n# step=170 row=150 minW=62 found cw of W=58: [5 6 28 30 55 66 68 71 72 77 81 83 86 87 107 120 128 133 139 146 149 169 176 180 186 196 201 202 210 212 218 234 236 243 247 254 291 295 296 298 307 319 333 337 349 362 363 373 375 376 379 399 400 417 428 434 440 442]\n# step=379 row=227 minW=58 found cw of W=54: [19 26 32 51 52 53 55 64 66 68 69 78 138 142 156 167 168 170 175 176 184 186 204 212 217 240 252 253 257 262 281 291 292 294 298 301 308 313 327 328 338 355 364 367 371 386 405 407 411 428 434 443 447 453]\n# step=639 row=15 minW=54 found cw of W=50: [5 7 23 29 36 42 43 49 52 53 61 64 82 86 102 120 121 122 135 146 151 153 164 167 168 175 181 197 201 203 223 245 250 253 259 261 265 291 294 296 332 351 360 380 383 387 388 405 433 453]\n# round=1000 of 10000 minW=50\n#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</si>
  <si>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minW=465 found cw of W=62: [1 11 23 32 35 39 49 59 81 84 85 91 92 98 100 102 106 121 127 141 142 152 156 165 167 173 180 194 197 214 216 249 253 255 257 264 270 283 286 289 291 294 317 323 349 353 365 369 374 383 384 386 387 388 402 410 412 426 432 440 450 454]\n# step=67 row=195 minW=62 found cw of W=58: [16 19 26 33 35 37 44 56 58 71 74 75 83 90 125 129 130 149 151 153 166 168 178 210 223 238 245 248 249 254 256 258 276 279 282 284 288 290 291 294 303 306 312 315 326 339 354 357 362 365 367 370 372 395 407 423 428 438]\n# step=96 row=22 minW=58 found cw of W=48: [6 19 22 25 27 37 45 55 56 57 60 72 94 117 123 143 157 173 176 187 192 198 212 215 216 218 233 238 251 254 277 286 287 288 303 308 314 328 332 355 373 385 389 402 420 442 447 450]\n#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</si>
  <si>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row=0 minW=469 found cw of W=92: [3 4 9 10 28 29 32 36 38 43 46 47 51 54 58 62 69 74 85 89 98 100 103 123 130 134 136 139 143 145 149 155 156 159 161 164 170 177 178 179 182 184 192 194 202 203 204 222 224 240 251 256 257 260 265 270 273 276 277 278 282 285 287 288 292 295 299 309 320 321 334 337 339 341 354 355 360 361 364 370 374 380 382 397 399 411 418 420 425 428 440 449]\n# step=0 row=2 minW=92 found cw of W=80: [1 7 9 10 26 29 34 38 40 52 54 61 62 63 69 89 91 118 126 134 137 145 148 153 155 159 161 177 179 184 192 193 202 213 220 221 222 238 241 245 257 260 265 268 270 274 276 278 279 282 286 288 295 309 310 325 332 335 337 338 355 361 362 368 371 374 379 380 396 399 411 414 418 420 436 440 447 449 452 456]\n# step=0 row=10 minW=80 found cw of W=76: [1 4 9 10 19 21 22 26 32 38 40 47 51 54 58 63 69 98 126 130 134 137 139 140 143 145 146 149 154 161 164 165 175 178 182 184 194 204 209 219 221 240 245 251 271 274 278 285 288 295 299 301 311 321 336 338 339 352 355 357 361 362 364 370 371 372 374 379 380 389 399 414 420 443 449 456]\n# step=0 row=12 minW=76 found cw of W=72: [1 4 25 29 32 34 51 52 54 58 63 69 82 86 100 123 134 136 137 140 146 148 149 153 165 177 179 184 186 192 199 219 221 224 238 240 245 257 265 268 270 277 282 285 286 288 292 296 301 308 309 311 320 326 334 336 338 339 341 352 362 368 370 371 376 394 411 414 425 428 443 456]\n# step=0 row=154 minW=72 found cw of W=70: [1 4 9 19 29 34 43 52 54 63 69 74 82 86 103 118 123 126 130 138 139 144 145 148 153 155 156 161 167 171 179 183 184 203 221 238 251 256 268 270 273 277 278 282 286 296 300 308 316 335 337 338 341 357 364 368 370 372 378 379 380 382 389 399 401 414 418 420 452 458]\n# step=5 row=91 minW=70 found cw of W=68: [3 8 25 42 45 50 53 57 62 63 68 73 88 92 95 97 99 101 107 123 125 132 136 142 150 162 165 167 170 174 179 183 184 185 188 198 202 211 224 237 249 253 255 256 258 276 297 307 311 329 357 372 373 375 384 399 417 418 422 428 432 436 439 443 445 448 450 452]\n# step=5 row=160 minW=68 found cw of W=64: [3 13 32 35 42 45 47 60 69 73 88 93 125 136 149 150 158 162 166 169 170 182 183 188 192 198 202 207 224 237 246 247 253 269 273 275 276 281 286 294 297 299 303 309 315 321 322 327 335 359 363 384 390 400 404 414 417 422 424 436 438 441 452 458]\n# step=53 row=42 minW=64 found cw of W=52: [18 21 26 27 38 41 54 83 94 107 130 133 135 143 156 158 161 163 174 182 196 223 247 254 255 257 258 261 270 272 278 280 288 299 301 311 317 327 367 371 374 375 387 390 408 418 428 430 444 445 457 458]\n# step=73 row=63 minW=52 found cw of W=48: [5 33 39 54 55 62 64 75 77 86 87 89 90 105 133 149 150 151 155 156 164 179 192 195 202 207 222 239 268 272 289 298 305 319 320 323 333 338 367 383 398 405 422 428 429 438 450 455]\n#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</si>
  <si>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row=1 minW=473 found cw of W=82: [2 4 12 15 16 18 21 28 32 34 35 44 49 51 55 60 69 81 83 94 100 119 134 139 143 152 167 168 169 184 187 188 195 199 201 209 220 221 224 225 237 238 239 242 246 251 254 260 264 268 271 280 291 306 315 321 323 330 336 338 341 342 343 344 357 358 360 364 366 378 379 404 414 420 431 433 439 441 445 457 459 462]\n# step=0 row=10 minW=82 found cw of W=74: [4 15 16 23 28 33 41 44 46 55 58 69 74 79 81 95 101 103 119 128 131 134 139 151 156 159 160 167 169 187 188 195 199 208 212 219 226 237 239 246 249 251 257 264 266 274 280 287 291 302 310 315 323 328 330 342 344 357 358 377 384 396 400 403 412 420 424 431 441 444 446 449 457 460]\n# step=1 row=80 minW=74 found cw of W=70: [2 5 10 11 14 20 32 36 45 58 64 71 85 98 102 119 120 124 129 149 150 153 156 160 163 171 174 178 220 222 223 239 242 246 267 269 271 274 278 280 286 289 291 294 296 298 300 306 307 317 321 329 341 355 357 359 368 374 387 390 398 404 409 410 416 424 435 447 452 458]\n# step=5 row=18 minW=70 found cw of W=66: [6 10 13 18 20 26 41 43 57 67 76 79 84 86 107 125 126 127 129 136 138 144 148 152 159 166 183 184 188 192 202 204 216 222 227 242 243 245 249 261 267 270 279 284 303 310 315 321 333 340 362 364 365 379 384 385 411 419 420 424 430 439 451 452 461 463]\n# step=72 row=188 minW=66 found cw of W=62: [5 19 22 29 34 35 37 41 47 50 59 60 63 79 83 91 99 100 103 104 119 126 129 140 161 164 177 178 191 198 199 210 222 227 237 241 265 270 273 279 283 305 315 316 328 335 336 339 345 362 365 373 389 395 400 404 417 423 427 435 437 445]\n# step=378 row=25 minW=62 found cw of W=58: [2 12 16 36 42 56 57 58 59 100 101 105 136 142 151 152 158 160 161 165 169 172 175 179 183 201 219 223 226 238 250 252 255 260 272 276 281 287 290 292 295 301 333 366 368 372 373 387 388 397 399 401 412 415 437 451 454 462]\n# step=396 row=179 minW=58 found cw of W=54: [6 10 11 14 15 29 30 34 63 73 86 91 95 99 128 129 144 147 152 162 165 171 194 195 204 215 218 245 251 256 266 272 280 281 299 312 327 331 333 336 345 360 363 368 374 380 390 399 401 407 427 431 453 463]\n# round=1000 of 10000 minW=54\n# step=1090 row=19 minW=54 found cw of W=50: [9 15 20 22 28 31 36 44 45 46 74 78 94 99 100 108 120 127 131 134 138 149 170 176 190 212 214 225 244 249 251 272 280 282 288 294 308 310 314 332 344 356 362 370 376 382 399 453 454 461]\n#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</si>
  <si>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minW=477 found cw of W=78: [1 8 12 21 26 31 33 37 48 53 59 61 69 71 72 74 86 94 99 112 114 130 131 138 139 145 146 149 150 157 173 175 178 186 198 202 216 217 218 230 231 249 258 265 267 268 271 273 276 292 294 301 309 317 321 335 348 349 358 365 376 378 386 392 394 405 410 418 420 424 426 429 431 443 451 455 467 471]\n# step=0 row=2 minW=78 found cw of W=72: [6 8 12 23 33 35 37 45 48 53 59 61 66 69 71 72 94 99 105 131 145 146 149 157 168 178 186 203 216 218 219 227 230 232 236 259 261 264 265 268 271 273 276 287 291 301 304 305 307 309 319 335 338 339 346 351 355 363 365 378 394 402 405 418 420 429 438 441 451 458 462 468]\n# step=0 row=3 minW=72 found cw of W=66: [5 9 12 37 72 73 74 90 94 95 105 108 112 124 128 131 146 149 151 156 173 182 186 198 203 209 216 217 219 230 231 246 254 259 265 268 270 273 276 283 286 301 311 317 319 333 335 338 346 349 365 373 378 392 395 402 405 411 424 429 431 438 441 451 455 462]\n# step=0 row=11 minW=66 found cw of W=56: [5 8 20 21 31 35 37 45 48 53 69 71 122 124 139 145 146 149 150 156 157 186 202 203 219 232 241 246 257 259 264 265 267 268 271 283 291 292 309 321 335 338 349 351 376 386 390 392 395 405 411 424 426 441 454 468]\n# step=0 row=28 minW=56 found cw of W=54: [8 12 23 31 35 37 45 49 61 66 69 75 90 113 114 130 131 145 146 150 157 168 173 194 202 209 217 227 230 232 246 249 257 261 264 273 276 283 286 292 301 304 321 346 349 376 384 394 405 418 420 426 455 471]\n# step=0 row=37 minW=54 found cw of W=50: [15 23 31 33 37 59 64 69 90 94 99 112 113 114 134 138 146 150 173 178 186 209 216 218 219 231 236 259 261 265 267 302 305 338 339 348 351 355 376 378 386 390 394 411 426 451 454 458 467 471]\n# step=1 row=111 minW=50 found cw of W=48: [19 41 46 48 53 54 55 57 85 91 100 138 165 173 174 176 180 203 222 229 253 268 279 297 299 300 307 317 325 329 335 354 372 387 405 410 416 419 426 436 441 442 444 454 457 460 467 473]\n# step=13 row=92 minW=48 found cw of W=42: [9 35 43 46 57 65 72 75 101 133 136 156 157 183 187 212 228 231 255 260 276 284 310 320 331 338 339 350 366 371 379 392 394 400 414 421 422 425 432 439 457 466]\n# step=158 row=54 minW=42 found cw of W=40: [9 43 49 65 78 95 100 103 142 153 160 170 182 188 199 215 219 222 233 240 261 279 281 301 303 307 316 318 322 357 359 366 391 406 408 441 452 453 471 476]\n# step=814 row=23 minW=40 found cw of W=38: [1 20 37 45 49 58 74 77 92 98 103 120 136 152 156 164 168 176 183 193 196 211 238 279 296 302 335 336 356 374 377 390 398 414 454 460 475 476]\n# round=1000 of 10000 minW=38\n# round=2000 of 10000 minW=38\n# step=2890 row=62 minW=38 found cw of W=36: [15 20 23 33 78 93 97 106 115 129 139 144 187 194 196 212 216 234 256 261 306 313 315 322 324 344 349 367 372 375 382 390 435 441 443 468]\n#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</si>
  <si>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minW=481 found cw of W=84: [1 2 3 5 15 19 22 30 37 39 48 55 70 73 78 88 92 96 97 98 118 125 126 145 157 166 175 182 183 190 194 195 205 212 218 224 225 228 238 239 241 243 246 251 255 261 265 269 281 286 288 300 314 318 319 325 328 330 336 339 348 359 360 362 371 379 381 382 389 390 399 401 420 422 423 433 435 439 450 457 459 464 465 480]\n# step=0 row=3 minW=84 found cw of W=64: [1 5 8 12 26 32 39 42 46 55 56 70 71 96 97 112 125 127 132 152 162 166 168 170 171 172 175 183 190 191 195 206 221 224 241 259 261 288 291 298 307 315 319 326 330 336 367 368 379 381 386 399 410 412 416 418 423 427 439 450 457 461 464 472]\n# step=0 row=8 minW=64 found cw of W=60: [5 15 20 22 26 30 43 48 50 73 77 88 101 106 112 125 137 140 144 145 166 168 182 195 205 218 221 224 226 232 241 251 255 257 264 265 269 279 283 286 317 325 328 339 360 361 371 382 386 389 390 399 410 422 433 435 458 459 464 480]\n# step=0 row=98 minW=60 found cw of W=58: [13 18 19 22 32 37 42 48 56 70 73 98 101 118 137 145 152 157 162 168 171 172 173 182 190 191 194 206 221 225 238 239 253 257 258 259 265 285 291 300 307 311 314 319 326 359 382 405 412 413 416 420 422 427 433 439 458 465]\n# step=1 row=26 minW=58 found cw of W=50: [3 11 16 21 42 62 66 80 84 103 113 130 141 142 180 181 186 190 193 203 227 233 243 250 251 262 264 286 310 315 320 321 332 343 344 376 384 402 406 420 421 422 433 435 441 443 444 452 464 467]\n# step=1 row=65 minW=50 found cw of W=46: [3 5 11 17 27 106 109 111 113 121 134 153 156 174 180 193 198 227 231 232 241 243 245 251 254 264 294 302 313 318 341 346 350 352 353 377 384 387 393 396 420 422 461 467 469 470]\n# step=3 row=100 minW=46 found cw of W=44: [6 8 40 48 49 52 56 63 73 76 81 88 101 104 137 159 167 183 185 190 196 219 224 227 246 248 279 288 289 292 296 305 310 313 321 339 341 352 377 400 407 448 467 472]\n# step=24 row=15 minW=44 found cw of W=42: [8 26 43 46 57 65 67 73 79 83 104 146 151 160 185 189 193 217 232 233 283 285 297 324 326 334 344 352 353 368 391 400 405 406 427 429 439 443 444 446 454 457]\n# step=869 row=196 minW=42 found cw of W=40: [2 24 42 46 48 50 57 70 75 93 96 103 117 120 140 162 166 171 175 184 188 216 242 291 297 315 343 353 380 384 408 410 415 424 428 430 453 473 477 480]\n# round=1000 of 10000 minW=40\n# step=1517 row=149 minW=40 found cw of W=38: [2 10 11 13 17 37 43 51 76 122 130 137 140 147 149 157 175 177 196 206 253 255 260 269 276 283 291 297 319 326 329 371 375 387 396 415 439 449]\n#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</si>
  <si>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minW=485 found cw of W=80: [2 4 5 24 25 33 50 52 58 59 60 61 62 66 70 76 84 86 88 89 91 96 98 103 110 111 123 128 145 168 170 173 174 177 178 179 182 183 184 191 196 202 207 210 231 232 235 237 246 247 249 264 282 301 323 326 339 340 345 358 385 388 396 403 410 412 413 416 419 420 423 426 429 438 439 451 454 459 460 477]\n# step=0 row=1 minW=80 found cw of W=74: [3 4 31 33 52 58 59 66 70 76 86 88 89 91 96 98 113 123 124 126 170 171 178 179 184 191 196 208 218 224 225 235 246 247 249 250 273 281 282 288 301 318 324 329 340 342 345 351 355 365 370 371 396 402 403 409 412 413 415 420 426 429 438 445 449 451 452 454 459 460 463 467 472 477]\n# step=0 row=10 minW=74 found cw of W=72: [1 4 17 36 57 61 66 68 70 76 78 80 84 85 89 98 103 113 167 168 170 174 177 178 182 184 185 189 191 207 208 218 224 225 230 235 243 246 249 250 259 278 288 295 318 320 324 326 327 329 338 342 346 355 370 371 410 412 419 426 427 429 443 445 449 452 459 460 461 463 472 477]\n# step=0 row=12 minW=72 found cw of W=68: [5 22 25 33 36 50 52 57 59 61 62 65 68 74 78 79 80 96 98 113 116 126 162 177 182 183 186 189 210 218 224 225 230 235 249 250 278 283 295 301 318 320 324 338 339 340 345 346 351 355 358 370 371 385 388 396 413 415 416 419 420 437 439 442 443 445 452 477]\n# step=0 row=17 minW=68 found cw of W=66: [4 24 31 32 33 49 52 57 59 61 62 79 80 85 86 89 91 110 116 123 128 145 157 162 168 173 174 182 183 184 210 225 231 237 246 249 273 274 278 281 283 288 295 301 327 338 339 340 342 365 396 402 409 410 412 420 426 442 443 449 454 459 460 461 463 467]\n# step=0 row=23 minW=66 found cw of W=56: [1 24 36 40 62 66 81 96 98 103 116 123 126 145 167 171 173 174 178 183 196 202 207 208 218 230 235 237 243 247 249 278 281 282 295 318 329 338 339 345 346 365 370 402 409 413 415 420 429 438 439 449 461 467 472 477]\n# step=0 row=93 minW=56 found cw of W=54: [4 12 36 60 61 62 66 78 79 81 85 96 99 103 110 116 157 167 171 173 177 180 182 183 185 196 225 231 246 254 264 295 301 320 323 324 327 341 345 358 385 409 413 415 416 419 423 427 429 438 442 445 459 467]\n# step=7 row=3 minW=54 found cw of W=52: [2 8 11 18 19 70 74 95 107 134 138 141 149 160 188 194 197 199 203 214 228 236 250 253 255 259 260 261 284 299 312 315 316 318 319 320 324 335 344 352 357 365 383 391 402 405 420 430 440 458 465 473]\n# step=11 row=134 minW=52 found cw of W=46: [5 6 22 23 30 38 74 78 81 83 84 97 106 109 111 113 114 152 166 172 186 195 205 218 222 232 234 235 247 256 272 273 287 293 320 325 351 369 377 385 386 401 428 444 464 469]\n# step=29 row=66 minW=46 found cw of W=40: [12 18 21 45 47 49 54 65 67 76 90 114 119 126 130 133 134 139 166 168 186 197 232 240 251 252 263 291 309 326 341 368 373 376 417 447 453 462 474 477]\n# round=1000 of 10000 minW=40\n# round=2000 of 10000 minW=40\n# round=3000 of 10000 minW=40\n# round=4000 of 10000 minW=40\n# step=4039 row=36 minW=40 found cw of W=38: [10 17 28 58 64 84 90 97 105 119 131 148 169 179 180 185 198 207 211 226 269 272 286 290 301 315 339 341 380 391 393 407 436 440 447 449 462 482]\n# round=5000 of 10000 minW=38\n# round=6000 of 10000 minW=38\n# round=7000 of 10000 minW=38\n# round=8000 of 10000 minW=38\n# round=9000 of 10000 minW=38\n# round=10000 of 10000 minW=38\nRW algorithm upper bound for the distance d=38\n</t>
  </si>
  <si>
    <t># step=0 row=0 minW=489 found cw of W=62: [1 10 19 22 29 37 38 45 51 54 57 59 61 62 65 74 82 101 109 130 135 144 157 160 166 170 173 180 181 183 185 187 203 219 252 254 257 259 279 281 292 298 299 301 306 307 318 325 341 345 364 367 381 385 395 410 411 421 424 448 475 486]\n# step=0 row=136 minW=62 found cw of W=58: [3 20 22 45 48 57 66 92 104 118 120 130 141 142 162 168 170 174 185 186 196 209 219 226 231 240 247 252 266 284 290 298 301 307 308 313 318 326 331 340 341 357 359 363 364 385 411 418 420 432 435 448 458 462 475 479 481 485]\n# step=0 row=217 minW=58 found cw of W=56: [6 12 22 29 38 48 51 54 57 67 104 109 115 117 120 128 141 144 155 160 162 170 173 174 180 186 187 203 209 213 219 226 279 284 289 298 301 308 309 311 325 331 341 378 385 395 399 401 411 418 424 457 475 481 483 486]\n# step=2 row=177 minW=56 found cw of W=52: [36 40 97 106 112 116 119 157 161 176 185 192 196 205 211 215 218 224 229 235 238 242 270 272 284 285 298 307 309 318 327 337 352 356 357 363 364 392 394 401 402 405 407 431 436 455 462 463 468 472 473 474]\n# step=2 row=241 minW=52 found cw of W=50: [3 4 30 46 49 54 56 76 79 84 98 106 110 161 168 174 178 183 198 201 206 213 219 224 229 242 270 272 293 298 305 309 342 352 364 369 370 392 394 396 405 418 431 457 463 468 472 473 474 476]\n# step=9 row=232 minW=50 found cw of W=48: [14 19 20 39 40 48 63 69 78 82 91 117 136 140 141 161 163 170 202 213 238 239 262 270 279 284 307 321 322 333 337 341 344 356 386 392 401 407 435 443 446 448 455 459 463 466 478 482]\n# step=141 row=119 minW=48 found cw of W=46: [1 6 12 22 40 43 49 65 82 92 96 97 101 106 123 134 166 175 188 204 219 228 230 232 272 287 297 298 309 310 313 336 345 359 372 388 394 406 410 415 420 435 462 474 476 481]\n# step=208 row=185 minW=46 found cw of W=36: [8 18 59 79 82 83 88 89 102 117 186 210 225 235 252 256 283 308 313 320 323 326 327 338 357 361 378 384 405 425 435 442 455 460 468 469]\n#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</si>
  <si>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minW=493 found cw of W=54: [1 2 3 10 37 58 65 81 84 93 112 124 134 137 154 160 166 168 176 195 204 212 216 218 236 243 248 256 258 264 285 289 299 304 311 318 323 338 358 372 380 381 383 387 400 408 414 446 453 458 461 464 482 489]\n# step=4 row=278 minW=54 found cw of W=52: [3 34 40 42 43 51 74 80 81 82 91 96 106 108 158 160 166 168 176 177 189 191 198 203 206 214 219 223 281 283 286 291 312 313 320 329 346 352 354 361 372 403 411 420 422 423 436 437 444 450 451 484]\n# step=6 row=186 minW=52 found cw of W=50: [12 20 31 32 33 46 56 58 61 72 82 95 107 117 120 153 154 155 162 171 181 204 205 212 218 240 248 249 258 259 276 279 285 294 311 315 318 327 353 371 372 382 389 415 425 430 434 438 458 489]\n# step=10 row=87 minW=50 found cw of W=46: [23 36 37 38 63 107 108 110 146 148 174 186 204 206 207 209 215 220 230 237 261 262 265 284 297 299 304 327 338 341 384 385 388 394 405 406 422 427 452 453 455 464 466 477 479 483]\n# step=92 row=173 minW=46 found cw of W=42: [11 24 53 56 58 66 67 87 98 119 120 132 133 152 160 182 189 221 241 243 257 270 275 278 282 295 299 304 313 333 335 378 379 401 405 406 418 425 428 458 487 488]\n# step=952 row=79 minW=42 found cw of W=40: [9 20 24 32 53 59 62 64 66 80 81 96 104 145 147 148 168 176 187 189 203 204 206 230 277 278 291 308 342 344 350 378 389 391 394 400 428 452 467 476]\n# round=1000 of 10000 minW=40\n# round=2000 of 10000 minW=40\n# step=2615 row=140 minW=40 found cw of W=36: [27 41 80 85 119 120 130 142 152 173 194 203 225 229 233 235 252 311 352 356 358 360 375 376 388 396 398 410 419 434 440 454 471 483 488 489]\n# round=3000 of 10000 minW=36\n# step=3014 row=221 minW=36 found cw of W=32: [8 15 47 52 63 67 69 81 97 106 114 131 135 137 179 190 237 243 251 260 302 315 327 352 366 374 381 384 416 421 432 466]\n# round=4000 of 10000 minW=32\n# round=5000 of 10000 minW=32\n# round=6000 of 10000 minW=32\n# round=7000 of 10000 minW=32\n# round=8000 of 10000 minW=32\n# round=9000 of 10000 minW=32\n# round=10000 of 10000 minW=32\nRW algorithm upper bound for the distance d=32\n</t>
  </si>
  <si>
    <t>pScaled: 0</t>
  </si>
  <si>
    <t>outfile: /home/ucapmwe/dist-benchmark/results/codeTables-QECC_sample.txt-dist_m4ri_RW-20260219_120618.288471_85062422.txt</t>
  </si>
  <si>
    <t># step=0 row=0 minW=13 found cw of W=4: [1 3 9 11]\n# round=1000 of 10000 minW=4\n# round=2000 of 10000 minW=4\n# round=3000 of 10000 minW=4\n# round=4000 of 10000 minW=4\n# round=5000 of 10000 minW=4\n# round=6000 of 10000 minW=4\n# round=7000 of 10000 minW=4\n# round=8000 of 10000 minW=4\n# round=9000 of 10000 minW=4\n# round=10000 of 10000 minW=4\nRW algorithm upper bound for the distance d=4\n</t>
  </si>
  <si>
    <t># step=0 row=0 minW=16 found cw of W=6: [3 5 7 10 12 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</si>
  <si>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minW=19 found cw of W=6: [2 5 8 9 15 17]\n#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</si>
  <si>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minW=22 found cw of W=6: [2 3 5 9 10 12]\n#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</si>
  <si>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minW=25 found cw of W=6: [1 2 5 9 10 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</si>
  <si>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minW=28 found cw of W=6: [2 3 11 13 21 22]\n#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</si>
  <si>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minW=31 found cw of W=10: [1 2 3 6 11 12 19 23 26 29]\n# step=0 row=4 minW=10 found cw of W=8: [2 6 9 12 15 25 26 29]\n#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</si>
  <si>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row=1 minW=34 found cw of W=14: [2 3 4 6 8 12 13 15 17 19 21 23 25 32]\n# step=0 row=2 minW=14 found cw of W=10: [3 4 9 12 13 14 15 23 24 31]\n#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</si>
  <si>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minW=37 found cw of W=6: [2 4 11 14 16 23]\n#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</si>
  <si>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minW=40 found cw of W=6: [1 5 10 14 18 23]\n#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</si>
  <si>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minW=43 found cw of W=10: [1 2 14 15 19 25 30 33 39 42]\n#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</si>
  <si>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minW=46 found cw of W=12: [1 8 9 12 13 21 24 28 31 36 38 42]\n# step=0 row=2 minW=12 found cw of W=10: [3 4 8 9 18 21 24 34 36 38]\n#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</si>
  <si>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row=1 minW=49 found cw of W=14: [1 2 7 8 10 14 19 23 26 33 34 35 40 46]\n# step=0 row=2 minW=14 found cw of W=12: [5 6 7 8 13 15 21 22 23 24 31 45]\n#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</si>
  <si>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minW=52 found cw of W=14: [2 3 6 8 13 19 20 22 23 31 39 42 47 48]\n# step=0 row=1 minW=14 found cw of W=10: [4 8 12 13 23 29 38 40 42 47]\n#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</si>
  <si>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minW=55 found cw of W=10: [3 4 6 9 17 21 22 24 35 45]\n#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</si>
  <si>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minW=58 found cw of W=16: [1 3 9 10 13 16 17 27 35 36 39 41 46 47 48 51]\n# step=0 row=1 minW=16 found cw of W=14: [4 8 9 11 13 16 17 23 32 35 36 46 47 49]\n# step=0 row=4 minW=14 found cw of W=12: [9 10 12 13 14 27 33 46 47 48 50 51]\n# step=0 row=6 minW=12 found cw of W=10: [8 10 13 20 22 27 39 41 48 51]\n#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</si>
  <si>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W=16: [1 2 3 4 9 10 16 21 22 23 24 29 35 50 55 56]\n# step=0 row=2 minW=16 found cw of W=14: [2 6 8 9 10 14 23 42 43 46 48 49 50 54]\n# step=0 row=3 minW=14 found cw of W=12: [2 7 9 10 11 15 31 35 42 47 49 50]\n#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</si>
  <si>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minW=64 found cw of W=20: [1 5 18 19 20 24 25 27 28 31 39 40 41 43 45 46 47 48 49 52]\n# step=0 row=1 minW=20 found cw of W=14: [2 4 18 20 25 26 30 31 39 41 44 47 51 52]\n# step=0 row=4 minW=14 found cw of W=12: [4 8 15 20 24 25 40 41 45 50 57 61]\n#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</si>
  <si>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minW=67 found cw of W=18: [2 3 5 10 11 12 13 17 24 32 33 42 47 49 56 57 61 64]\n# step=0 row=1 minW=18 found cw of W=16: [4 5 10 11 16 17 18 32 33 38 42 48 49 61 62 64]\n# step=0 row=4 minW=16 found cw of W=14: [1 8 10 12 13 23 32 42 43 52 56 57 64 65]\n# step=0 row=8 minW=14 found cw of W=12: [11 12 17 21 33 38 39 42 56 60 64 65]\n# step=0 row=19 minW=12 found cw of W=10: [1 17 18 23 41 43 61 62 63 65]\n#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</si>
  <si>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minW=70 found cw of W=16: [1 4 7 11 22 24 26 38 44 45 49 50 53 57 61 67]\n# step=0 row=5 minW=16 found cw of W=14: [4 7 21 23 38 42 45 50 53 61 65 67 68 69]\n#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</si>
  <si>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minW=73 found cw of W=12: [2 16 17 30 33 40 47 50 54 57 65 71]\n# step=0 row=22 minW=12 found cw of W=10: [8 15 17 47 48 56 63 65 71 72]\n#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</si>
  <si>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minW=76 found cw of W=18: [1 3 4 7 8 13 22 27 28 32 42 51 52 54 58 63 67 72]\n# step=0 row=1 minW=18 found cw of W=14: [1 5 8 13 21 27 30 42 46 51 52 58 63 67]\n# step=0 row=2 minW=14 found cw of W=12: [1 7 9 13 20 21 32 34 46 51 63 70]\n# step=8 row=10 minW=12 found cw of W=10: [6 10 14 21 35 39 40 56 65 71]\n#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</si>
  <si>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minW=79 found cw of W=20: [2 7 8 10 12 16 21 28 34 37 38 47 48 50 59 62 63 68 74 76]\n# step=0 row=3 minW=20 found cw of W=16: [10 15 17 21 24 34 37 43 45 47 50 60 62 63 67 71]\n# step=0 row=5 minW=16 found cw of W=14: [7 8 11 12 19 24 34 38 45 48 59 63 74 76]\n# step=0 row=21 minW=14 found cw of W=12: [5 15 16 37 45 48 57 63 67 68 71 74]\n#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</si>
  <si>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minW=82 found cw of W=20: [1 2 5 7 9 13 20 28 31 33 37 40 47 56 58 59 60 61 63 64]\n# step=0 row=2 minW=20 found cw of W=18: [4 12 14 15 20 24 31 32 34 35 41 42 47 59 61 62 66 78]\n# step=0 row=4 minW=18 found cw of W=12: [8 9 10 12 13 32 37 59 62 63 66 67]\n#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</si>
  <si>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minW=85 found cw of W=18: [2 8 11 12 14 15 16 17 24 36 39 42 43 44 58 68 73 80]\n# step=0 row=1 minW=18 found cw of W=14: [4 10 12 14 17 24 38 39 42 52 60 67 68 73]\n# step=0 row=13 minW=14 found cw of W=12: [8 11 14 17 34 36 45 47 62 67 70 75]\n#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</si>
  <si>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minW=88 found cw of W=24: [1 3 4 5 6 7 11 15 18 26 30 32 36 39 44 49 62 63 64 68 69 76 78 84]\n# step=0 row=1 minW=24 found cw of W=18: [6 8 11 12 13 22 23 25 30 37 41 51 54 59 64 69 71 81]\n# step=0 row=4 minW=18 found cw of W=14: [5 12 13 14 15 22 42 43 44 49 51 63 70 78]\n#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</si>
  <si>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minW=91 found cw of W=20: [1 2 8 13 16 18 19 24 26 31 32 34 38 46 48 49 64 73 84 86]\n# step=0 row=2 minW=20 found cw of W=18: [5 10 13 14 16 22 26 35 36 40 43 46 47 52 66 74 77 86]\n# step=0 row=3 minW=18 found cw of W=14: [6 14 24 26 33 36 43 46 63 73 74 76 84 86]\n# step=4 row=23 minW=14 found cw of W=12: [4 14 25 32 34 44 45 58 62 75 85 88]\n#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</si>
  <si>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minW=94 found cw of W=22: [1 2 3 7 12 16 17 29 33 34 35 38 43 45 46 60 63 66 76 77 78 79]\n# step=0 row=1 minW=22 found cw of W=16: [3 4 6 12 29 33 34 39 50 60 64 66 68 70 74 81]\n# step=0 row=2 minW=16 found cw of W=14: [1 3 7 8 29 33 34 38 46 60 63 64 70 77]\n# step=0 row=23 minW=14 found cw of W=12: [1 3 14 17 34 45 47 49 63 78 79 80]\n#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</si>
  <si>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minW=97 found cw of W=24: [1 6 8 12 15 22 27 28 29 33 40 41 43 47 48 54 59 60 61 70 73 75 76 80]\n# step=0 row=4 minW=24 found cw of W=22: [3 5 7 10 11 14 23 26 28 29 37 38 39 42 43 46 55 58 60 61 67 70]\n# step=0 row=9 minW=22 found cw of W=18: [3 7 8 16 27 29 31 39 40 48 49 59 60 61 63 67 81 92]\n# step=0 row=22 minW=18 found cw of W=16: [3 5 15 16 26 28 37 40 47 48 55 58 67 72 87 92]\n#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</si>
  <si>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minW=100 found cw of W=20: [3 10 19 24 27 32 35 36 39 42 43 52 57 62 68 72 75 93 95 98]\n# step=0 row=24 minW=20 found cw of W=16: [5 16 24 26 38 39 42 49 51 57 59 60 72 75 84 93]\n#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</si>
  <si>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minW=103 found cw of W=22: [5 11 13 22 24 28 35 37 39 45 50 52 58 65 69 71 81 84 86 90 96 99]\n# step=0 row=2 minW=22 found cw of W=12: [9 10 11 22 24 35 45 58 69 77 78 90]\n# step=0 row=49 minW=12 found cw of W=10: [3 11 24 37 45 52 58 64 86 98]\n#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</si>
  <si>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minW=106 found cw of W=30: [1 8 11 15 20 22 23 24 27 28 31 39 50 55 58 60 62 64 70 71 74 78 81 92 94 95 98 99 101 105]\n# step=0 row=2 minW=30 found cw of W=26: [3 4 5 11 15 22 23 24 25 27 36 39 40 49 50 58 60 62 64 71 73 81 84 92 94 99]\n# step=0 row=11 minW=26 found cw of W=24: [5 22 23 25 27 29 34 36 39 40 43 49 51 57 58 62 64 71 74 78 84 86 95 104]\n# step=0 row=17 minW=24 found cw of W=22: [8 10 13 23 24 25 27 30 31 45 48 49 58 63 78 84 94 95 97 98 100 101]\n# step=1 row=1 minW=22 found cw of W=20: [1 2 6 11 13 16 23 24 36 46 48 51 65 69 72 76 93 94 100 104]\n# step=1 row=9 minW=20 found cw of W=18: [7 25 37 41 43 47 49 51 69 72 76 77 78 82 84 86 95 104]\n#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</si>
  <si>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minW=109 found cw of W=28: [1 5 6 10 11 12 17 21 32 42 43 54 57 59 65 70 73 77 79 82 83 84 89 90 95 101 104 106]\n# step=0 row=6 minW=28 found cw of W=26: [2 3 7 8 10 14 17 21 23 25 43 44 48 50 58 59 61 70 74 75 82 84 89 93 94 106]\n# step=0 row=12 minW=26 found cw of W=24: [2 3 5 9 10 14 23 24 34 43 45 48 50 54 70 74 75 77 79 82 84 90 95 96]\n# step=0 row=23 minW=24 found cw of W=22: [1 3 8 10 17 28 32 42 44 55 57 65 73 75 78 82 89 91 93 100 101 104]\n# step=1 row=1 minW=22 found cw of W=20: [5 16 26 31 33 41 48 52 53 56 59 61 62 67 69 84 89 92 95 97]\n# step=2 row=9 minW=20 found cw of W=18: [4 19 24 25 32 38 40 41 44 57 60 61 74 77 80 91 93 104]\n#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</si>
  <si>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minW=112 found cw of W=30: [3 4 5 6 8 12 13 17 19 22 24 33 34 40 41 42 49 50 54 57 58 59 61 71 80 82 93 94 95 107]\n# step=0 row=5 minW=30 found cw of W=20: [1 3 8 13 15 26 40 41 49 50 58 68 75 78 82 86 89 95 100 105]\n# step=0 row=29 minW=20 found cw of W=18: [1 3 19 21 41 43 49 65 71 75 77 78 80 86 93 95 102 108]\n#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</si>
  <si>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minW=115 found cw of W=28: [1 2 6 9 12 16 22 23 26 39 41 44 45 53 54 59 66 78 79 83 85 88 91 97 98 99 102 104]\n# step=0 row=5 minW=28 found cw of W=22: [3 6 8 9 16 18 22 26 40 44 45 53 54 56 64 78 79 83 84 85 91 98]\n# step=0 row=30 minW=22 found cw of W=20: [2 3 8 14 16 17 22 25 32 40 41 54 55 63 66 84 90 98 104 108]\n# step=3 row=7 minW=20 found cw of W=18: [1 9 10 13 18 28 33 40 46 48 77 78 84 85 89 94 104 109]\n#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</si>
  <si>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minW=118 found cw of W=36: [1 2 5 10 12 14 15 16 26 29 33 39 41 42 43 44 47 48 49 51 54 58 65 68 70 78 79 81 82 86 87 92 94 97 109 111]\n# step=0 row=1 minW=36 found cw of W=32: [1 3 10 11 12 19 26 29 31 33 35 36 42 43 44 49 51 52 55 58 65 68 70 74 79 82 83 89 91 94 111 114]\n# step=0 row=6 minW=32 found cw of W=26: [5 9 10 13 19 29 31 33 38 39 43 49 57 71 77 78 82 83 87 91 96 97 107 109 110 111]\n# step=0 row=13 minW=26 found cw of W=22: [5 17 30 34 43 47 48 52 70 71 78 82 83 86 87 91 95 108 109 110 112 117]\n# step=3 row=19 minW=22 found cw of W=18: [7 8 10 13 17 21 29 33 60 68 70 85 86 88 91 95 109 111]\n#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</si>
  <si>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minW=121 found cw of W=30: [1 2 4 6 11 13 16 19 27 31 42 44 45 46 51 56 60 64 67 68 69 81 85 93 99 100 104 108 109 111]\n# step=0 row=2 minW=30 found cw of W=28: [1 5 8 13 19 27 31 45 46 54 56 68 69 70 75 81 86 88 93 94 96 99 107 108 109 110 111 115]\n# step=0 row=7 minW=28 found cw of W=26: [1 2 11 15 16 19 27 28 33 42 45 46 51 53 55 60 67 73 81 85 86 93 96 99 100 108]\n# step=0 row=9 minW=26 found cw of W=24: [3 4 13 16 20 22 23 24 29 44 46 53 68 75 83 86 96 100 102 103 104 108 109 115]\n# step=0 row=23 minW=24 found cw of W=20: [13 16 33 43 46 53 56 60 63 67 69 70 73 83 86 100 103 107 109 110]\n# step=0 row=41 minW=20 found cw of W=18: [11 16 19 22 41 43 51 53 55 73 81 83 93 95 96 99 102 113]\n#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</si>
  <si>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row=1 minW=124 found cw of W=30: [2 8 20 26 27 29 31 49 53 54 59 63 64 66 67 71 72 80 84 94 95 100 102 104 105 107 109 111 112 121]\n# step=0 row=5 minW=30 found cw of W=28: [5 11 12 13 18 26 29 32 39 42 54 60 63 66 67 71 80 83 87 93 94 100 101 104 107 111 112 114]\n# step=0 row=9 minW=28 found cw of W=24: [4 5 11 13 15 21 23 24 28 39 45 46 54 58 64 69 70 93 97 99 103 106 111 121]\n# step=0 row=29 minW=24 found cw of W=22: [5 15 17 18 29 39 41 53 58 60 66 70 72 82 87 94 97 100 101 107 113 121]\n#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</si>
  <si>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minW=127 found cw of W=38: [1 3 5 6 8 9 13 17 19 25 26 28 34 37 38 47 48 50 58 61 67 69 76 79 80 81 83 85 87 93 97 100 101 110 111 112 123 125]\n# step=0 row=3 minW=38 found cw of W=30: [5 8 11 13 18 19 21 25 30 38 40 41 47 50 55 61 67 69 75 80 84 95 102 105 111 114 117 124 125 126]\n# step=0 row=7 minW=30 found cw of W=26: [5 12 13 20 26 28 33 38 40 44 47 54 55 62 74 75 81 83 86 110 112 116 122 123 124 125]\n# step=1 row=7 minW=26 found cw of W=22: [6 7 14 15 21 29 33 35 36 48 49 52 57 62 63 75 77 78 94 98 104 113]\n# step=2 row=27 minW=22 found cw of W=20: [1 9 11 16 29 33 39 45 51 53 64 71 75 84 85 87 100 106 123 126]\n# step=21 row=6 minW=20 found cw of W=18: [14 22 27 30 32 43 51 56 58 69 74 75 85 93 100 106 114 117]\n#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</si>
  <si>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minW=130 found cw of W=40: [1 3 5 6 7 10 12 16 18 26 28 36 37 38 40 41 42 46 48 55 59 63 69 70 77 79 81 83 84 87 92 93 96 104 106 113 114 120 123 128]\n# step=0 row=1 minW=40 found cw of W=36: [2 3 5 7 10 11 12 18 19 21 28 34 36 41 48 49 50 54 55 63 64 70 75 79 84 88 89 92 96 104 105 106 113 114 118 120]\n# step=0 row=2 minW=36 found cw of W=26: [4 5 8 10 18 19 20 21 26 28 41 47 48 49 51 64 69 70 71 84 92 96 104 105 106 113]\n# step=0 row=16 minW=26 found cw of W=24: [5 7 18 20 26 28 38 41 44 48 50 54 69 70 80 81 84 87 97 104 106 113 114 123]\n# step=0 row=21 minW=24 found cw of W=22: [5 11 12 19 20 34 38 40 41 47 48 54 55 58 63 81 83 84 90 101 105 120]\n# step=9 row=30 minW=22 found cw of W=20: [2 10 13 36 45 53 54 55 64 66 79 83 84 97 98 99 107 109 126 127]\n# step=22 row=35 minW=20 found cw of W=18: [2 3 10 19 28 32 34 51 65 71 75 77 88 89 94 96 105 108]\n#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</si>
  <si>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minW=133 found cw of W=38: [3 12 14 17 18 20 21 22 24 26 28 30 33 35 40 44 62 68 70 75 78 80 84 91 100 102 105 108 109 110 116 118 119 121 122 123 124 132]\n# step=0 row=1 minW=38 found cw of W=34: [6 12 17 19 20 25 26 33 35 36 42 44 50 52 61 64 65 68 70 72 80 85 86 96 100 107 109 112 113 116 121 123 129 132]\n# step=0 row=6 minW=34 found cw of W=28: [1 5 12 16 18 21 24 35 36 42 45 52 60 62 64 75 78 86 93 96 100 108 109 112 119 122 123 124]\n# step=1 row=17 minW=28 found cw of W=24: [8 24 31 35 36 37 52 55 56 61 65 68 73 74 79 80 81 99 100 105 109 117 118 119]\n# step=5 row=39 minW=24 found cw of W=22: [1 7 9 10 11 27 44 45 51 53 54 55 63 64 66 71 85 107 108 110 129 132]\n# step=9 row=23 minW=22 found cw of W=20: [1 4 7 20 24 26 36 37 48 68 83 86 89 95 108 114 124 125 127 130]\n# step=42 row=4 minW=20 found cw of W=18: [8 9 14 25 28 37 48 52 53 58 69 74 75 92 116 118 119 125]\n#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</si>
  <si>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minW=136 found cw of W=38: [1 2 3 4 5 14 23 25 28 29 32 38 39 41 47 50 56 57 59 65 68 70 73 77 79 83 84 86 87 91 93 94 101 102 110 119 124 132]\n# step=0 row=3 minW=38 found cw of W=34: [3 7 10 11 12 14 23 28 34 36 37 39 46 47 56 59 68 69 73 76 79 81 84 87 91 92 93 97 100 102 114 121 127 132]\n# step=0 row=6 minW=34 found cw of W=32: [9 10 16 20 23 24 30 32 34 36 37 46 47 54 56 57 65 68 69 75 76 77 81 91 92 100 101 102 106 121 124 127]\n# step=0 row=7 minW=32 found cw of W=30: [4 5 9 11 21 28 29 30 32 36 37 47 50 54 56 65 70 73 75 77 87 92 94 110 111 115 119 126 127 132]\n# step=0 row=14 minW=30 found cw of W=28: [4 5 10 16 25 28 30 32 34 36 38 39 42 50 56 70 73 75 77 84 87 94 100 101 106 124 126 128]\n# step=0 row=20 minW=28 found cw of W=24: [2 5 16 24 25 29 36 37 40 50 55 76 79 92 100 106 114 115 119 121 124 126 127 130]\n# step=0 row=35 minW=24 found cw of W=22: [2 3 9 11 14 34 36 37 38 39 47 57 59 79 84 93 99 101 102 126 127 128]\n# step=11 row=2 minW=22 found cw of W=20: [7 8 9 11 16 35 37 38 40 49 52 53 56 83 85 94 99 106 125 127]\n# step=26 row=18 minW=20 found cw of W=18: [5 22 24 29 30 39 55 63 68 69 95 100 108 112 113 119 120 129]\n#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</si>
  <si>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minW=139 found cw of W=36: [1 4 6 7 9 12 27 31 34 35 38 43 47 52 53 56 61 69 72 75 77 88 89 96 101 102 104 107 115 118 119 121 126 127 130 134]\n# step=0 row=1 minW=36 found cw of W=32: [7 9 10 11 13 18 19 23 24 27 34 35 43 46 56 57 58 59 65 69 70 72 89 99 101 104 110 118 119 126 127 138]\n# step=0 row=4 minW=32 found cw of W=28: [3 5 7 11 18 20 22 26 27 32 34 38 49 51 53 57 58 78 85 104 110 112 114 118 119 126 130 131]\n# step=0 row=18 minW=28 found cw of W=22: [1 3 7 10 12 22 27 30 43 47 49 50 53 58 63 89 96 102 109 114 119 122]\n# step=27 row=39 minW=22 found cw of W=20: [2 11 13 18 33 35 40 48 57 66 69 79 82 105 110 112 115 127 128 132]\n# step=49 row=23 minW=20 found cw of W=18: [1 2 11 13 29 31 36 47 54 57 59 64 82 94 100 110 121 123]\n#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</si>
  <si>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minW=142 found cw of W=38: [1 3 5 9 14 17 20 21 27 29 30 31 37 40 41 45 51 61 70 76 78 84 88 89 92 95 97 98 99 103 111 114 115 117 121 124 134 136]\n# step=0 row=1 minW=38 found cw of W=28: [2 5 9 12 17 25 26 30 31 40 44 45 66 72 73 77 87 89 91 92 96 99 103 106 111 113 125 136]\n# step=0 row=33 minW=28 found cw of W=26: [3 10 14 17 20 26 30 31 44 56 57 61 70 73 74 89 91 97 103 111 114 117 121 124 125 136]\n# step=2 row=20 minW=26 found cw of W=24: [4 5 9 13 14 27 29 30 50 51 52 59 60 62 73 97 103 106 108 109 120 121 123 124]\n# step=2 row=42 minW=24 found cw of W=18: [1 8 9 31 36 37 55 56 60 74 78 83 86 95 107 121 131 133]\n#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</si>
  <si>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W=38: [1 4 12 15 16 18 20 25 27 29 34 35 38 43 47 50 54 58 59 60 63 66 68 73 75 86 95 97 98 100 102 106 107 112 125 130 131 139]\n# step=0 row=1 minW=38 found cw of W=28: [2 3 11 12 16 18 20 47 50 52 58 60 68 74 78 85 89 95 99 100 106 107 112 114 122 126 133 137]\n# step=0 row=33 minW=28 found cw of W=24: [11 12 18 19 20 26 40 43 54 57 60 67 68 74 76 88 95 102 105 107 114 124 139 143]\n# step=9 row=28 minW=24 found cw of W=22: [2 3 9 19 23 26 32 35 40 50 51 57 62 67 71 74 94 110 128 131 136 142]\n# step=20 row=39 minW=22 found cw of W=20: [7 9 10 13 19 23 28 41 55 61 76 83 84 89 105 106 115 119 131 132]\n#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</si>
  <si>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minW=148 found cw of W=30: [1 5 7 9 18 19 20 31 39 40 45 56 67 69 77 81 89 90 98 99 103 107 117 126 129 130 137 139 143 147]\n# step=0 row=6 minW=30 found cw of W=22: [9 14 21 27 54 59 62 68 69 74 76 77 103 107 108 111 112 117 118 119 123 126]\n# step=0 row=23 minW=22 found cw of W=20: [3 9 19 27 28 45 47 52 62 68 69 76 88 96 107 111 118 126 137 143]\n# step=5 row=39 minW=20 found cw of W=18: [1 16 24 28 45 48 50 65 77 80 84 90 97 122 129 133 139 143]\n# step=29 row=35 minW=18 found cw of W=16: [6 17 24 28 48 55 73 77 78 85 88 115 127 134 137 146]\n# step=401 row=34 minW=16 found cw of W=14: [51 55 60 63 73 79 98 100 104 109 112 122 128 147]\n#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</si>
  <si>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minW=151 found cw of W=36: [2 3 8 16 18 25 30 31 32 40 46 50 57 65 72 75 76 80 96 98 99 100 102 103 107 108 115 116 118 122 126 131 132 140 148 149]\n# step=0 row=2 minW=36 found cw of W=24: [6 7 16 18 20 30 32 43 48 50 80 93 96 98 99 100 106 107 116 118 120 132 146 149]\n# step=4 row=46 minW=24 found cw of W=22: [19 20 26 31 36 39 53 62 76 79 83 86 89 99 103 112 119 120 129 131 133 149]\n# step=6 row=58 minW=22 found cw of W=20: [8 9 11 36 40 41 56 60 82 90 92 106 108 109 110 111 132 136 141 142]\n# step=42 row=24 minW=20 found cw of W=18: [5 15 28 43 49 51 64 70 78 99 100 101 105 114 115 120 143 150]\n# step=66 row=6 minW=18 found cw of W=16: [15 21 30 39 45 59 62 65 71 89 95 98 109 112 130 148]\n#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</si>
  <si>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minW=154 found cw of W=42: [1 2 5 12 13 20 22 23 29 30 33 39 40 44 48 51 52 53 56 60 62 63 64 66 68 73 75 81 84 90 99 102 111 113 117 119 122 125 126 131 142 146]\n# step=0 row=1 minW=42 found cw of W=32: [2 9 15 22 30 33 35 38 40 43 48 51 53 55 60 68 73 75 81 90 91 94 102 106 117 119 126 135 137 140 141 150]\n# step=0 row=9 minW=32 found cw of W=30: [5 7 12 15 20 25 33 35 38 43 56 63 66 74 76 81 84 90 94 95 99 109 122 125 132 137 140 141 146 150]\n# step=0 row=11 minW=30 found cw of W=28: [7 12 23 31 33 43 44 49 52 53 63 68 75 82 88 94 95 99 103 104 109 119 125 126 135 139 150 151]\n# step=0 row=19 minW=28 found cw of W=26: [2 3 5 7 15 20 35 39 40 44 51 53 54 56 62 75 90 91 95 102 109 113 117 122 126 137]\n# step=0 row=54 minW=26 found cw of W=24: [15 23 26 33 35 38 39 41 51 55 60 66 90 95 102 106 111 125 128 135 137 140 143 146]\n# step=1 row=43 minW=24 found cw of W=22: [2 5 6 9 11 12 22 23 26 32 52 53 56 57 74 77 83 103 111 113 114 124]\n# step=6 row=62 minW=22 found cw of W=20: [5 9 10 14 27 48 50 53 54 61 65 72 104 105 107 111 123 129 150 152]\n# step=15 row=41 minW=20 found cw of W=18: [7 33 39 42 43 45 51 52 90 93 96 100 103 109 135 145 151 153]\n#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</si>
  <si>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W=42: [1 2 4 5 6 7 8 11 14 16 18 21 31 34 36 39 40 47 56 60 62 63 69 73 83 86 99 102 105 106 109 110 111 114 118 120 121 122 140 143 144 154]\n# step=0 row=3 minW=42 found cw of W=40: [1 5 8 9 11 14 16 17 21 24 25 31 32 36 53 54 56 57 60 62 63 69 73 76 84 101 102 103 106 108 113 114 118 120 129 135 140 153 154 155]\n# step=0 row=6 minW=40 found cw of W=32: [1 2 3 7 8 16 18 26 30 31 40 50 69 79 82 83 85 101 105 106 107 111 112 120 121 122 130 131 137 144 153 154]\n# step=0 row=16 minW=32 found cw of W=30: [2 7 9 14 15 16 21 32 36 39 52 54 57 60 73 79 84 103 109 111 112 113 118 119 120 131 140 143 155 156]\n# step=0 row=24 minW=30 found cw of W=26: [1 7 8 14 15 21 40 50 56 59 68 69 73 101 102 103 105 108 112 118 119 120 121 144 153 155]\n# step=4 row=10 minW=26 found cw of W=22: [7 8 20 24 25 28 43 49 52 56 60 76 77 88 95 101 108 111 124 132 140 156]\n#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</si>
  <si>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minW=160 found cw of W=44: [2 3 4 5 9 12 18 19 20 22 32 35 40 41 42 45 52 57 62 65 70 72 75 76 77 78 88 91 95 98 105 108 109 111 123 124 126 129 130 131 138 144 146 147]\n# step=0 row=2 minW=44 found cw of W=38: [1 2 4 7 8 9 12 24 25 33 37 40 51 52 61 62 65 76 79 84 85 90 97 104 105 107 108 110 113 129 130 131 132 137 138 139 146 150]\n# step=0 row=4 minW=38 found cw of W=34: [2 4 11 13 18 19 22 24 25 32 40 42 55 57 64 66 70 72 73 75 77 79 84 85 88 95 123 124 126 131 132 137 141 146]\n# step=0 row=7 minW=34 found cw of W=32: [2 5 7 13 17 20 32 35 41 49 55 57 58 66 70 76 78 84 91 97 102 110 113 126 129 131 137 138 141 144 147 150]\n# step=0 row=48 minW=32 found cw of W=30: [7 9 18 24 32 35 39 58 62 69 72 75 76 78 79 88 97 111 113 122 124 125 128 129 130 131 132 138 145 150]\n# step=3 row=31 minW=30 found cw of W=28: [14 19 21 24 30 32 33 34 36 44 67 72 74 75 86 87 89 91 92 97 98 128 130 136 138 144 145 151]\n# step=16 row=36 minW=28 found cw of W=26: [6 7 9 21 31 32 36 37 42 44 46 47 48 74 85 89 90 95 97 101 112 113 115 137 152 153]\n# step=23 row=46 minW=26 found cw of W=22: [5 6 12 13 15 16 28 37 39 58 75 92 93 112 118 119 121 122 128 134 143 146]\n#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</si>
  <si>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minW=163 found cw of W=28: [3 6 8 12 29 36 37 50 51 57 58 60 62 65 66 83 88 90 94 100 112 119 142 145 148 154 158 159]\n# step=0 row=32 minW=28 found cw of W=26: [3 4 6 11 12 24 32 33 34 37 44 46 60 65 85 87 88 100 111 112 120 132 139 140 145 152]\n# step=1 row=17 minW=26 found cw of W=24: [10 13 14 35 38 44 47 50 64 66 68 80 81 97 98 101 104 120 121 134 135 143 146 151]\n# step=12 row=23 minW=24 found cw of W=20: [6 11 22 49 52 58 60 64 65 67 74 107 112 118 121 128 130 157 160 161]\n#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</si>
  <si>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minW=166 found cw of W=44: [4 7 11 13 24 27 31 32 35 42 43 47 49 50 55 58 68 74 76 78 81 85 87 90 95 97 98 102 113 114 117 121 129 131 133 134 136 137 140 141 150 159 160 165]\n# step=0 row=3 minW=44 found cw of W=38: [3 12 13 14 16 17 18 21 27 42 43 46 49 54 55 59 67 68 69 72 76 78 97 98 101 103 108 109 113 114 126 128 133 137 158 159 163 165]\n# step=0 row=8 minW=38 found cw of W=36: [2 3 7 20 23 26 27 28 32 35 46 48 54 55 58 59 66 75 81 86 87 90 101 102 109 110 112 114 117 121 133 137 138 141 157 158]\n# step=0 row=19 minW=36 found cw of W=32: [2 13 16 17 24 29 34 35 53 54 55 57 68 72 84 87 94 101 102 103 109 126 134 142 144 145 149 156 157 158 163 165]\n# step=3 row=4 minW=32 found cw of W=30: [7 8 9 10 17 30 37 38 41 46 48 61 62 64 81 85 97 103 109 116 118 120 127 136 147 148 151 152 156 164]\n# step=11 row=19 minW=30 found cw of W=28: [1 3 4 5 9 16 17 23 37 46 48 56 58 64 67 72 90 92 97 103 114 115 122 126 133 145 152 156]\n# step=78 row=26 minW=28 found cw of W=26: [6 19 27 29 32 36 53 61 67 69 70 81 84 89 91 101 108 122 124 125 129 136 137 142 144 156]\n# step=215 row=53 minW=26 found cw of W=24: [7 8 11 39 42 48 62 68 69 81 86 90 97 103 110 118 121 123 124 136 141 145 149 165]\n#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</si>
  <si>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minW=169 found cw of W=48: [2 7 9 10 13 15 17 20 21 23 27 31 33 38 40 41 43 47 52 55 58 71 73 74 77 79 83 96 99 101 107 109 119 121 122 125 130 132 143 145 150 153 157 159 163 164 165 167]\n# step=0 row=1 minW=48 found cw of W=42: [1 3 5 6 7 15 21 26 28 31 33 35 40 41 47 55 59 61 62 63 67 71 77 81 87 89 90 91 96 97 103 107 109 113 123 137 138 140 146 163 165 167]\n# step=0 row=10 minW=42 found cw of W=40: [6 9 10 15 20 24 26 30 31 33 59 62 63 67 79 80 81 87 91 96 97 107 109 115 119 121 122 123 127 132 135 137 138 142 145 147 152 153 163 165]\n# step=0 row=13 minW=40 found cw of W=36: [7 9 10 17 20 21 26 30 33 34 38 40 42 45 67 71 73 77 86 87 89 90 98 101 107 119 121 122 123 127 132 138 143 150 152 163]\n# step=0 row=45 minW=36 found cw of W=32: [1 27 30 35 43 47 52 59 62 63 71 83 87 89 90 91 96 99 107 108 113 115 118 119 127 142 143 145 146 152 159 163]\n# step=6 row=24 minW=32 found cw of W=26: [6 9 11 18 27 48 53 56 60 63 65 66 67 77 83 107 109 116 118 119 122 130 133 160 163 168]\n# step=178 row=46 minW=26 found cw of W=24: [3 16 21 23 26 28 29 55 59 68 79 82 83 94 98 124 128 133 139 140 141 150 154 167]\n#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</si>
  <si>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minW=172 found cw of W=56: [1 4 11 13 14 21 22 23 26 27 28 29 33 35 38 49 50 53 54 64 68 70 71 75 78 80 83 84 87 90 96 101 102 106 107 108 112 114 115 118 121 132 136 142 143 144 149 152 153 158 159 165 167 168 169 171]\n# step=0 row=1 minW=56 found cw of W=42: [5 6 7 8 11 27 28 29 33 35 44 48 49 55 62 63 64 73 75 76 81 83 84 92 102 105 106 112 114 122 125 130 132 133 138 140 142 143 147 158 159 171]\n# step=0 row=18 minW=42 found cw of W=28: [1 2 7 8 23 28 34 44 48 50 53 54 57 58 59 65 91 101 105 107 108 110 114 121 137 142 165 168]\n# step=148 row=17 minW=28 found cw of W=26: [1 3 9 35 45 49 52 55 56 75 83 84 92 102 109 113 114 115 117 123 132 140 141 163 169 171]\n#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</si>
  <si>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minW=175 found cw of W=28: [2 4 9 14 15 20 29 31 40 44 56 57 62 77 78 82 87 98 114 118 125 130 131 135 140 147 160 173]\n# step=0 row=23 minW=28 found cw of W=26: [2 5 20 32 43 44 46 54 57 60 62 63 72 78 79 82 90 101 104 112 120 130 137 140 160 173]\n# step=7 row=46 minW=26 found cw of W=24: [1 6 24 29 34 46 58 61 64 69 84 87 89 92 104 106 116 117 119 127 140 142 147 164]\n# step=46 row=64 minW=24 found cw of W=22: [14 24 31 37 38 39 42 53 73 82 89 93 95 97 100 105 111 130 131 151 154 163]\n# step=209 row=16 minW=22 found cw of W=20: [17 19 23 28 32 39 42 48 50 63 75 77 86 97 106 108 121 139 148 158]\n#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</si>
  <si>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minW=178 found cw of W=46: [2 7 10 11 15 22 27 29 30 42 49 50 51 55 61 66 74 77 78 80 86 87 88 89 97 101 108 110 112 113 114 115 117 128 129 136 137 139 140 146 156 168 171 172 174 176]\n# step=0 row=1 minW=46 found cw of W=34: [3 7 10 19 27 29 41 42 50 51 80 83 87 91 97 100 110 112 113 121 125 128 137 139 142 145 146 147 150 156 160 168 171 172]\n# step=0 row=3 minW=34 found cw of W=32: [6 7 11 16 19 21 27 32 42 45 50 51 54 55 65 66 75 79 80 101 104 110 114 115 129 137 138 145 150 168 172 174]\n# step=0 row=23 minW=32 found cw of W=28: [5 7 19 22 41 45 51 54 55 56 58 66 87 100 101 104 110 112 114 115 123 137 140 146 160 171 172 176]\n# step=1 row=34 minW=28 found cw of W=26: [4 10 56 65 66 69 82 87 91 96 97 100 106 110 115 122 124 125 141 146 150 155 156 159 165 169]\n# step=2 row=2 minW=26 found cw of W=24: [3 9 16 19 25 26 42 46 68 75 83 85 89 105 109 112 121 137 142 143 148 160 168 171]\n# step=147 row=53 minW=24 found cw of W=22: [9 19 32 39 40 42 43 51 61 72 91 110 114 120 127 131 137 157 158 160 161 173]\n# round=1000 of 10000 minW=22\n# step=1711 row=44 minW=22 found cw of W=20: [14 21 26 35 43 51 56 71 75 79 110 130 132 134 138 139 144 153 161 174]\n#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</si>
  <si>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minW=181 found cw of W=56: [1 2 4 11 13 15 22 23 24 33 35 36 37 39 41 47 48 50 51 52 56 57 60 62 64 71 73 75 76 78 80 82 84 89 98 99 101 110 116 121 136 138 140 143 149 153 155 156 157 158 167 168 171 172 177 180]\n# step=0 row=1 minW=56 found cw of W=44: [1 8 9 11 12 15 21 22 25 33 41 43 47 51 54 57 62 69 71 72 75 76 78 82 85 99 101 106 111 114 116 121 122 128 136 138 141 153 159 163 166 167 176 177]\n# step=0 row=3 minW=44 found cw of W=38: [13 14 16 21 23 24 33 36 48 51 57 61 66 74 78 84 94 98 99 106 111 116 121 126 133 136 138 141 143 153 154 156 158 159 166 168 176 177]\n# step=0 row=12 minW=38 found cw of W=36: [6 15 21 23 25 34 36 37 41 48 51 52 54 56 64 66 75 78 80 81 85 89 101 112 114 116 124 138 140 143 149 154 156 157 168 171]\n# step=0 row=43 minW=36 found cw of W=30: [2 9 12 15 51 55 57 62 64 66 69 72 75 78 80 89 92 98 111 112 115 124 126 138 140 149 152 158 172 177]\n# step=5 row=6 minW=30 found cw of W=24: [14 28 29 30 33 34 44 47 52 53 66 88 89 90 93 94 104 113 119 126 134 167 172 179]\n# step=73 row=7 minW=24 found cw of W=22: [8 17 19 27 33 34 50 56 59 65 77 93 94 112 125 128 139 147 170 172 176 179]\n#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</si>
  <si>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minW=184 found cw of W=52: [1 3 14 16 19 24 25 28 29 31 33 34 36 41 45 59 64 69 70 75 76 81 84 85 86 89 91 96 100 106 109 118 123 130 131 137 138 141 142 145 151 152 153 155 156 157 158 161 163 170 179 181]\n# step=0 row=2 minW=52 found cw of W=42: [3 5 8 9 10 12 21 23 24 28 31 44 47 50 52 53 54 62 64 66 73 76 85 89 95 100 115 123 130 131 132 137 143 145 153 156 161 166 169 172 174 175]\n# step=0 row=6 minW=42 found cw of W=34: [3 9 10 18 25 28 33 45 47 48 64 69 79 84 86 89 95 96 101 106 107 109 113 130 131 132 145 155 156 157 162 168 169 174]\n# step=0 row=60 minW=34 found cw of W=26: [10 14 24 29 34 48 53 69 70 75 83 85 89 107 118 130 131 132 144 150 151 156 168 170 175 179]\n# step=79 row=40 minW=26 found cw of W=24: [2 9 20 23 25 36 39 40 44 52 56 70 86 94 97 100 101 105 113 124 142 145 155 178]\n# round=1000 of 10000 minW=24\n# step=1327 row=21 minW=24 found cw of W=22: [1 29 42 46 57 62 70 85 86 90 92 106 107 118 121 131 146 147 153 164 167 182]\n#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</si>
  <si>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minW=187 found cw of W=42: [4 5 13 14 25 27 30 35 39 41 42 44 47 52 55 56 60 66 67 68 75 76 83 86 106 112 122 130 145 148 149 151 154 159 163 165 166 171 174 176 179 180]\n# step=0 row=3 minW=42 found cw of W=36: [2 7 9 10 20 26 27 50 54 55 56 60 64 68 71 72 79 82 88 89 90 106 112 116 120 121 122 130 131 141 152 168 179 180 182 183]\n# step=0 row=25 minW=36 found cw of W=34: [5 7 9 20 24 30 34 35 47 56 59 60 67 71 75 82 86 89 94 111 120 121 122 131 137 151 154 156 158 159 171 173 180 182]\n# step=0 row=27 minW=34 found cw of W=32: [2 9 13 20 24 25 27 34 35 39 41 62 64 71 83 86 89 106 111 120 124 137 144 145 149 158 159 163 165 168 173 182]\n# step=1 row=7 minW=32 found cw of W=28: [8 11 16 18 22 40 45 61 70 73 74 79 97 101 104 107 124 136 140 141 142 146 159 163 164 166 185 186]\n# step=6 row=5 minW=28 found cw of W=26: [5 6 9 10 13 14 16 25 33 54 56 59 64 67 68 71 75 76 78 95 121 126 134 149 178 180]\n# step=27 row=47 minW=26 found cw of W=24: [5 12 19 31 36 38 51 58 61 67 74 77 80 81 86 93 100 113 120 123 139 142 148 160]\n# step=81 row=34 minW=24 found cw of W=22: [13 17 21 54 55 66 67 69 80 83 88 94 116 117 128 129 131 137 141 142 150 156]\n# step=203 row=63 minW=22 found cw of W=20: [14 16 19 30 37 41 47 65 68 83 109 127 130 138 140 143 145 154 161 165]\n#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</si>
  <si>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minW=190 found cw of W=56: [1 4 8 10 12 13 15 16 23 27 28 29 33 34 38 44 51 53 54 60 64 67 73 79 93 95 96 101 106 110 112 113 116 121 122 134 138 139 141 149 153 154 155 156 158 160 169 170 173 175 176 177 180 184 185 186]\n# step=0 row=1 minW=56 found cw of W=48: [2 4 5 6 8 13 15 19 28 32 34 44 47 50 51 53 58 63 67 68 69 79 82 86 99 101 103 107 114 116 117 126 128 134 139 141 142 149 154 158 160 162 164 166 173 176 180 184]\n# step=0 row=2 minW=48 found cw of W=44: [6 7 10 12 15 16 23 28 29 40 44 47 51 53 56 60 69 70 73 93 95 103 104 106 112 121 138 141 142 149 154 155 156 158 167 169 170 173 175 177 179 182 184 186]\n# step=0 row=6 minW=44 found cw of W=36: [12 13 16 18 19 28 29 32 38 40 48 51 76 81 82 93 99 104 112 121 122 138 142 154 155 156 158 162 164 166 167 174 175 177 184 185]\n# step=2 row=55 minW=36 found cw of W=34: [1 2 15 16 27 38 46 48 52 62 64 65 67 73 85 101 102 110 114 115 122 130 136 141 142 148 153 165 172 173 174 177 185 188]\n# step=5 row=29 minW=34 found cw of W=32: [5 7 13 23 25 28 30 38 40 43 49 59 66 68 76 86 90 91 102 111 112 122 129 133 151 153 156 164 165 166 169 174]\n# step=18 row=57 minW=32 found cw of W=30: [12 15 42 43 48 54 64 77 78 82 86 89 106 107 108 112 124 127 138 140 145 149 152 168 170 171 174 175 180 187]\n# step=39 row=20 minW=30 found cw of W=28: [18 24 39 41 42 46 50 51 53 60 68 81 87 112 113 114 115 123 126 131 165 167 168 172 175 178 179 189]\n# step=455 row=36 minW=28 found cw of W=26: [2 7 14 21 27 32 37 46 65 67 77 84 95 98 103 109 110 125 130 133 153 161 163 166 173 188]\n#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</si>
  <si>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minW=193 found cw of W=46: [1 4 5 7 10 11 25 27 34 39 42 43 45 49 50 56 63 68 72 74 76 78 87 89 91 98 106 107 109 112 114 120 122 127 129 133 135 136 139 140 142 151 167 176 177 186]\n# step=0 row=3 minW=46 found cw of W=38: [5 6 7 27 28 32 33 38 39 42 45 52 66 70 72 76 82 87 91 92 96 97 103 109 116 121 122 130 133 135 136 140 146 151 166 170 185 186]\n# step=1 row=57 minW=38 found cw of W=36: [10 15 20 22 25 42 43 44 53 57 67 68 76 79 84 92 94 98 106 107 108 117 123 126 131 132 138 140 150 153 156 158 162 185 187 190]\n# step=2 row=24 minW=36 found cw of W=32: [14 18 21 24 29 30 48 54 62 64 69 76 78 82 88 93 96 114 116 122 126 133 140 149 158 160 176 178 180 182 186 192]\n# step=3 row=23 minW=32 found cw of W=28: [9 23 26 45 48 49 53 60 66 73 87 90 103 109 110 112 113 114 119 124 128 130 167 174 178 181 183 192]\n# step=24 row=19 minW=28 found cw of W=26: [18 36 45 51 56 57 58 59 82 89 93 94 100 103 115 116 121 122 123 153 157 158 167 173 180 184]\n# step=74 row=64 minW=26 found cw of W=24: [1 4 7 22 48 64 65 68 71 79 81 84 86 95 102 106 128 143 145 148 159 166 170 176]\n#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</si>
  <si>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minW=196 found cw of W=62: [4 8 9 15 26 31 33 35 40 41 46 49 52 55 57 59 60 67 69 70 73 74 76 82 83 84 85 89 90 96 97 100 102 107 110 114 115 122 125 132 135 141 145 147 148 149 150 154 155 156 162 163 167 170 171 172 175 176 180 182 185 189]\n# step=0 row=1 minW=62 found cw of W=46: [2 6 9 15 18 26 32 44 60 70 74 76 81 82 83 90 94 95 97 102 107 109 110 115 124 125 126 130 132 135 136 141 145 146 147 155 156 159 160 167 172 175 180 189 191 195]\n# step=0 row=2 minW=46 found cw of W=44: [1 3 7 8 10 15 33 35 39 40 41 44 46 54 59 60 66 72 73 75 85 90 97 100 102 113 119 120 125 133 145 150 155 162 163 167 169 170 171 174 176 178 185 189]\n# step=0 row=27 minW=44 found cw of W=42: [1 2 5 8 9 13 16 19 20 31 32 33 40 51 59 63 66 67 73 80 81 82 84 85 89 96 115 126 128 135 139 143 145 147 154 162 163 170 180 181 189 191]\n# step=0 row=47 minW=42 found cw of W=40: [2 13 16 18 19 31 44 46 57 60 63 71 73 76 81 84 89 90 96 102 110 113 122 125 128 130 132 136 138 141 143 148 154 155 167 174 175 176 178 195]\n# step=1 row=17 minW=40 found cw of W=38: [1 3 9 18 20 24 36 47 48 53 54 59 74 76 78 83 89 91 96 99 101 112 116 119 129 131 133 141 143 150 156 161 164 178 181 183 189 194]\n# step=2 row=32 minW=38 found cw of W=36: [14 15 20 22 27 42 43 45 49 57 69 83 85 87 91 98 100 105 107 108 109 110 120 122 134 144 145 148 156 157 163 165 170 174 179 185]\n# step=17 row=43 minW=36 found cw of W=34: [11 20 24 34 36 48 54 55 60 61 63 74 89 94 99 108 111 113 116 118 119 125 139 141 150 159 166 173 176 181 183 185 191 193]\n# step=21 row=67 minW=34 found cw of W=32: [6 8 13 20 30 41 49 77 81 106 110 113 118 119 124 125 127 136 138 142 143 146 150 160 175 178 179 183 184 189 190 192]\n# step=82 row=7 minW=32 found cw of W=30: [1 19 24 25 28 42 43 47 50 57 72 78 84 87 89 105 122 128 131 137 143 152 155 158 170 172 173 177 180 193]\n# step=272 row=17 minW=30 found cw of W=28: [1 13 19 22 25 36 47 48 51 54 56 66 73 78 87 90 94 98 112 113 119 121 138 149 159 163 166 181]\n#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</si>
  <si>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minW=199 found cw of W=62: [1 2 8 9 11 13 16 17 20 21 22 24 26 28 33 39 42 45 47 56 63 64 65 70 74 77 82 83 86 87 88 91 92 95 99 102 105 109 113 118 122 123 128 133 134 136 141 145 156 157 160 161 168 174 175 177 184 189 194 195 196 197]\n# step=0 row=1 minW=62 found cw of W=52: [3 7 11 13 17 24 25 26 28 31 33 36 37 42 52 53 55 56 60 69 77 81 88 97 98 99 103 110 113 122 123 126 131 139 145 147 149 154 156 157 158 160 164 168 174 176 179 184 185 187 189 197]\n# step=0 row=2 minW=52 found cw of W=50: [2 4 7 11 16 17 22 26 37 39 45 47 52 54 55 60 64 65 67 75 81 82 83 88 95 98 102 103 105 113 120 123 131 133 134 136 139 141 143 147 158 161 164 168 177 184 187 189 192 196]\n# step=0 row=9 minW=50 found cw of W=40: [2 13 16 19 36 42 52 54 58 65 67 70 75 80 82 83 85 91 92 95 102 105 120 123 131 133 134 136 141 145 146 149 157 158 161 171 174 184 189 190]\n# step=1 row=1 minW=40 found cw of W=38: [1 2 3 7 16 17 24 34 35 54 58 62 63 67 69 73 75 89 90 96 100 101 117 120 122 126 134 141 148 149 155 162 183 188 190 192 194 195]\n# step=1 row=9 minW=38 found cw of W=34: [1 2 10 12 16 18 24 26 30 39 41 52 67 69 75 78 83 90 92 96 105 112 116 118 134 135 141 142 148 149 150 173 178 182]\n# step=36 row=8 minW=34 found cw of W=32: [10 11 27 34 35 38 47 52 57 60 62 70 71 77 87 93 100 101 104 108 113 117 118 123 136 137 142 153 174 183 192 194]\n# step=41 row=1 minW=32 found cw of W=30: [2 3 22 28 30 35 38 40 45 49 53 77 82 83 88 89 94 96 101 104 106 115 119 134 135 143 148 149 155 177]\n# step=106 row=48 minW=30 found cw of W=28: [25 26 31 32 35 48 50 58 64 74 77 92 95 100 101 110 114 116 124 130 140 143 157 161 163 164 166 176]\n#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</si>
  <si>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minW=202 found cw of W=54: [2 7 8 15 21 23 26 28 29 34 36 45 50 56 63 64 74 75 80 81 82 86 93 95 96 100 101 102 105 107 108 113 125 131 133 136 147 148 153 155 157 167 169 170 172 174 175 179 180 184 190 192 197 200]\n# step=0 row=8 minW=54 found cw of W=46: [5 7 14 15 21 23 24 26 31 37 39 41 42 43 55 59 70 71 72 74 82 93 96 98 104 122 125 127 128 133 137 138 148 155 157 158 163 173 175 176 177 192 193 194 195 200]\n# step=0 row=13 minW=46 found cw of W=40: [7 13 15 21 26 28 29 33 34 38 39 41 43 45 50 56 59 65 70 74 82 93 95 96 101 103 106 108 137 147 155 167 170 172 177 179 184 190 193 199]\n# step=6 row=43 minW=40 found cw of W=38: [4 9 13 15 17 19 20 28 34 40 46 47 61 71 81 82 84 86 95 98 101 107 109 118 125 128 131 143 147 148 154 165 176 180 181 185 192 198]\n# step=54 row=44 minW=38 found cw of W=36: [7 17 35 36 38 42 44 51 55 58 70 74 84 90 97 98 100 120 122 125 129 131 137 157 164 165 167 169 170 172 176 178 185 187 196 198]\n# step=56 row=27 minW=36 found cw of W=32: [4 18 19 23 29 30 48 57 58 65 66 68 71 85 90 96 101 106 115 123 127 133 135 153 164 168 173 190 191 192 194 199]\n# step=57 row=15 minW=32 found cw of W=30: [13 23 25 40 46 48 53 64 70 80 88 90 96 107 110 118 120 123 133 137 155 159 163 177 180 182 185 190 198 200]\n# step=237 row=65 minW=30 found cw of W=28: [16 18 38 45 48 57 62 67 70 74 86 101 103 105 124 125 129 134 137 141 150 152 153 168 170 179 182 192]\n#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</si>
  <si>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minW=205 found cw of W=66: [1 2 17 18 21 24 29 36 39 43 45 47 50 56 57 61 62 63 65 66 69 71 74 77 79 84 86 90 91 92 93 96 107 113 115 125 126 128 129 130 131 132 135 138 139 142 145 147 152 153 157 158 159 161 164 165 172 179 186 192 194 196 200 201 202 203]\n# step=0 row=2 minW=66 found cw of W=50: [1 3 6 7 17 20 24 44 45 47 48 50 51 57 58 62 69 70 71 74 77 84 90 91 92 98 101 102 113 115 116 119 125 126 130 135 138 143 145 152 153 156 158 159 166 169 170 180 186 203]\n# step=0 row=33 minW=50 found cw of W=48: [1 3 6 17 21 22 24 29 32 35 39 44 47 50 61 67 69 74 79 84 91 92 98 100 102 103 104 107 111 115 116 129 135 139 147 152 153 157 158 159 165 166 170 172 179 180 184 186]\n# step=0 row=50 minW=48 found cw of W=46: [1 6 12 15 35 37 39 40 44 50 57 58 63 67 69 74 80 82 83 84 90 102 103 104 107 108 111 115 125 126 128 129 131 135 150 152 158 170 172 173 179 180 183 186 196 197]\n# step=1 row=4 minW=46 found cw of W=36: [1 2 9 11 23 30 43 53 54 60 64 65 66 71 77 87 107 108 113 121 132 133 134 137 138 139 147 155 159 166 175 176 179 181 190 196]\n# step=44 row=23 minW=36 found cw of W=32: [15 20 23 36 57 58 64 69 74 78 83 86 89 110 118 130 131 132 137 142 146 154 156 157 159 172 178 186 193 194 198 199]\n# step=166 row=69 minW=32 found cw of W=28: [9 11 19 35 38 40 42 47 49 56 59 63 67 79 103 108 110 115 117 121 124 127 145 155 174 189 199 203]\n#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</si>
  <si>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minW=208 found cw of W=64: [3 4 5 6 7 8 12 20 21 22 23 25 28 29 40 42 47 48 51 53 54 64 66 72 73 74 77 81 84 89 90 92 94 101 102 103 108 109 115 116 117 119 120 122 125 132 135 144 145 153 160 166 167 170 171 172 177 180 184 188 192 194 201 202]\n# step=0 row=1 minW=64 found cw of W=50: [4 5 7 9 12 15 22 28 31 33 39 48 51 52 54 63 70 78 81 82 84 86 92 97 100 102 111 115 116 117 119 120 125 139 142 143 145 151 155 160 161 177 180 184 185 188 190 192 194 201]\n# step=0 row=2 minW=50 found cw of W=48: [5 11 15 20 23 28 33 42 51 56 59 63 64 66 70 82 84 89 90 91 92 97 101 102 108 111 114 115 116 120 123 125 139 143 149 151 159 160 170 177 183 184 185 192 197 201 202 204]\n# step=0 row=4 minW=48 found cw of W=40: [1 4 5 6 17 19 25 26 28 29 31 38 39 42 51 54 63 66 88 94 95 97 100 107 111 114 120 131 132 139 142 143 144 155 167 177 183 192 200 204]\n# step=4 row=15 minW=40 found cw of W=38: [9 10 22 26 28 30 44 47 49 52 53 56 58 64 65 67 73 78 84 91 116 123 125 133 142 148 153 164 166 168 182 187 190 191 192 196 203 205]\n# step=12 row=65 minW=38 found cw of W=34: [2 26 33 38 45 46 53 55 56 59 60 65 71 72 112 119 123 124 125 131 141 164 171 176 181 183 184 188 191 192 197 198 200 203]\n# step=16 row=57 minW=34 found cw of W=32: [1 17 27 28 37 42 47 62 63 75 88 90 107 111 116 118 122 129 131 139 144 155 157 159 165 166 175 176 187 191 198 201]\n# step=172 row=9 minW=32 found cw of W=30: [1 2 3 5 10 25 36 39 48 60 72 74 93 94 102 104 107 112 117 129 139 140 148 162 171 173 174 176 177 181]\n# step=729 row=31 minW=30 found cw of W=28: [7 11 17 23 29 37 39 45 46 66 86 88 92 96 104 105 108 145 149 157 165 167 173 174 175 183 184 204]\n#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</si>
  <si>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minW=211 found cw of W=48: [1 2 5 8 13 16 20 22 28 31 41 48 53 54 63 71 72 76 77 79 86 90 92 94 97 98 101 108 111 117 118 120 123 128 145 146 147 148 149 153 164 167 178 187 190 194 198 203]\n# step=0 row=17 minW=48 found cw of W=46: [3 5 8 10 17 18 21 29 35 40 41 47 48 54 57 58 63 73 75 77 78 88 94 97 100 108 110 111 117 118 120 133 147 150 157 161 164 167 169 170 175 178 190 194 197 198]\n# step=0 row=22 minW=46 found cw of W=38: [5 8 10 13 23 26 29 31 35 38 39 44 52 54 75 79 83 87 93 96 100 101 108 124 128 133 148 149 150 157 169 170 175 179 184 192 198 203]\n# step=5 row=62 minW=38 found cw of W=36: [4 8 20 29 38 40 47 48 50 52 55 63 66 74 77 78 80 90 93 99 106 115 117 120 125 147 150 163 176 178 180 185 188 192 203 206]\n# step=16 row=48 minW=36 found cw of W=32: [3 20 32 39 42 44 48 57 71 77 81 90 91 96 109 112 120 121 136 141 143 147 151 161 166 172 184 188 190 191 197 206]\n# step=518 row=25 minW=32 found cw of W=30: [3 6 7 8 13 25 37 48 49 54 66 73 76 77 78 79 83 88 117 118 133 149 158 165 177 187 189 194 203 206]\n# round=1000 of 10000 minW=30\n# step=1759 row=43 minW=30 found cw of W=28: [3 14 16 17 31 40 46 62 66 73 76 84 87 89 93 101 102 110 116 131 132 146 156 159 163 172 201 206]\n#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</si>
  <si>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minW=214 found cw of W=68: [2 4 8 9 11 12 13 18 20 21 25 28 30 33 36 43 50 54 55 57 59 60 61 62 64 67 69 70 83 84 89 92 93 96 97 99 100 101 104 111 112 113 114 121 125 132 133 140 141 144 146 150 151 153 162 164 168 171 178 182 183 184 197 199 201 202 206 209]\n# step=0 row=1 minW=68 found cw of W=50: [2 5 9 11 12 13 14 15 21 25 28 29 51 53 54 57 58 61 63 67 68 76 79 80 82 83 84 85 98 99 101 114 125 132 139 144 150 157 163 167 169 171 172 185 193 195 199 200 205 209]\n# step=0 row=5 minW=50 found cw of W=46: [9 15 19 27 29 31 42 45 59 62 63 64 67 68 69 80 86 90 92 97 100 106 107 109 111 113 124 125 133 140 163 168 169 173 177 178 180 182 187 195 196 201 205 206 209 210]\n# step=1 row=15 minW=46 found cw of W=44: [1 8 9 13 21 22 23 31 32 50 54 57 58 61 64 70 72 92 94 107 110 112 114 116 117 129 132 135 141 150 151 155 164 173 174 178 181 183 185 187 188 192 196 199]\n# step=2 row=25 minW=44 found cw of W=40: [12 16 19 21 30 31 34 46 53 58 59 63 69 73 74 83 85 86 90 102 105 108 117 122 124 126 134 144 145 156 157 158 163 172 179 193 197 200 201 211]\n# step=7 row=12 minW=40 found cw of W=38: [15 18 19 28 29 35 40 43 44 45 47 58 61 63 71 82 83 89 91 118 124 134 153 154 157 161 162 170 171 177 182 185 186 187 195 200 203 213]\n# step=82 row=15 minW=38 found cw of W=36: [2 7 8 18 25 34 43 44 45 51 57 63 67 68 76 77 78 79 96 104 108 114 128 134 144 147 148 160 175 176 179 186 187 193 209 210]\n# step=91 row=9 minW=36 found cw of W=32: [6 8 17 18 32 35 36 37 41 42 45 65 67 68 72 84 112 116 136 138 143 148 150 155 159 160 174 177 178 179 184 210]\n# round=1000 of 10000 minW=32\n# round=2000 of 10000 minW=32\n# step=2900 row=56 minW=32 found cw of W=30: [1 14 23 26 39 49 50 64 69 77 85 87 97 102 108 110 113 119 120 135 143 148 158 165 173 179 184 190 192 211]\n#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</si>
  <si>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minW=217 found cw of W=52: [1 2 3 6 15 16 20 29 34 43 44 45 47 49 53 57 58 63 70 73 74 84 92 102 104 106 111 117 119 122 124 125 131 135 142 147 150 156 159 160 173 174 176 183 187 188 193 194 196 201 202 203]\n# step=0 row=12 minW=52 found cw of W=50: [2 3 6 14 16 26 27 28 33 38 44 45 50 52 56 58 59 63 65 70 74 75 78 80 81 86 87 98 99 100 104 110 113 117 124 135 137 142 152 153 159 160 176 177 185 188 194 200 202 203]\n# step=0 row=18 minW=50 found cw of W=38: [6 14 16 20 26 29 31 36 38 50 52 53 57 61 63 75 78 86 92 98 102 103 110 113 121 122 124 133 135 147 160 173 174 180 185 193 197 201]\n# step=33 row=28 minW=38 found cw of W=36: [5 21 38 39 44 45 57 63 71 73 77 78 81 92 94 96 98 110 111 112 125 143 145 150 153 164 165 166 168 170 184 188 189 197 201 207]\n# step=118 row=2 minW=36 found cw of W=34: [8 10 14 28 29 31 32 47 53 54 55 56 65 69 80 82 98 101 104 111 125 126 128 130 158 170 172 175 183 191 199 202 209 213]\n# step=557 row=2 minW=34 found cw of W=30: [3 6 21 28 30 44 50 63 64 78 84 101 102 116 120 122 123 130 135 136 142 147 156 165 172 173 192 195 202 214]\n#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</si>
  <si>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minW=220 found cw of W=68: [1 2 3 6 13 16 18 20 27 28 29 32 33 41 42 43 45 48 49 51 55 58 60 63 66 70 76 78 79 80 82 89 93 95 100 101 106 111 116 118 120 121 122 126 131 134 147 148 151 153 155 159 164 168 175 178 184 187 188 193 197 199 201 206 207 209 212 216]\n# step=0 row=1 minW=68 found cw of W=54: [2 4 10 13 16 19 24 25 29 31 36 40 43 48 51 63 66 70 72 75 77 80 82 92 102 106 109 111 113 121 122 126 131 134 136 143 145 153 155 156 159 162 170 171 177 179 184 189 195 197 199 204 207 212]\n# step=0 row=2 minW=54 found cw of W=50: [5 6 13 16 18 20 24 27 31 32 33 36 40 41 45 46 51 63 71 78 80 89 93 100 109 111 113 118 120 130 131 136 142 144 152 153 159 164 170 177 178 179 184 187 192 193 197 203 204 215]\n# step=0 row=32 minW=50 found cw of W=42: [10 13 16 18 20 21 24 25 27 36 42 48 52 55 58 89 90 94 97 100 109 116 121 122 125 126 142 143 156 159 163 164 166 171 188 189 195 199 201 204 215 216]\n# step=7 row=70 minW=42 found cw of W=40: [1 13 15 17 24 29 31 35 42 60 77 84 88 89 105 122 126 128 133 134 136 143 147 150 157 159 162 163 170 175 177 178 181 188 195 199 201 207 209 216]\n# step=9 row=75 minW=40 found cw of W=38: [3 11 19 22 23 25 36 39 46 54 58 59 63 68 76 81 84 86 91 92 98 112 140 141 144 154 159 164 168 169 182 192 200 204 205 209 213 217]\n# step=78 row=66 minW=38 found cw of W=36: [8 12 35 43 44 48 62 64 67 73 74 77 81 85 93 94 101 106 116 137 138 139 140 146 147 150 166 167 174 179 181 190 194 208 211 212]\n# step=308 row=14 minW=36 found cw of W=32: [11 22 28 38 42 46 61 63 64 69 71 76 79 84 95 115 122 131 134 136 139 142 144 149 152 174 184 192 195 204 210 212]\n# round=1000 of 10000 minW=32\n# round=2000 of 10000 minW=32\n# round=3000 of 10000 minW=32\n# round=4000 of 10000 minW=32\n# round=5000 of 10000 minW=32\n# round=6000 of 10000 minW=32\n# round=7000 of 10000 minW=32\n# round=8000 of 10000 minW=32\n# step=8866 row=2 minW=32 found cw of W=30: [6 7 9 15 37 41 43 45 53 57 61 77 98 110 118 119 131 134 150 152 153 155 161 171 187 189 192 199 203 204]\n# round=9000 of 10000 minW=30\n# round=10000 of 10000 minW=30\nRW algorithm upper bound for the distance d=30\n</t>
  </si>
  <si>
    <t># step=0 row=0 minW=223 found cw of W=54: [1 3 4 8 11 17 18 19 27 34 37 41 46 54 57 61 65 66 68 69 71 75 82 85 93 94 108 111 113 114 125 127 128 131 135 139 140 142 147 151 152 165 166 168 175 187 188 189 194 199 201 217 219 221]\n# step=0 row=1 minW=54 found cw of W=52: [2 4 7 8 17 19 20 22 27 34 38 39 58 65 68 69 82 83 88 93 94 96 111 112 114 120 125 130 135 136 139 141 142 150 152 155 157 162 165 175 182 185 187 188 194 199 204 206 209 210 215 217]\n# step=0 row=5 minW=52 found cw of W=46: [4 5 8 12 16 19 24 30 46 53 54 57 61 65 82 83 86 93 96 108 113 114 120 122 128 131 136 139 141 147 152 153 157 164 170 172 178 182 187 188 196 201 209 210 215 221]\n# step=0 row=25 minW=46 found cw of W=44: [4 9 11 12 20 22 24 30 34 35 37 38 39 46 53 58 65 72 85 86 88 95 98 104 108 109 111 112 113 132 139 142 146 147 152 157 162 168 169 170 194 201 216 221]\n# step=3 row=72 minW=44 found cw of W=42: [9 19 25 30 33 37 44 49 61 64 65 67 69 71 72 83 95 107 124 126 129 131 136 138 139 141 143 145 146 167 169 173 178 185 192 197 198 200 203 205 209 210]\n# step=12 row=23 minW=42 found cw of W=38: [3 4 7 10 13 17 22 24 26 38 45 61 66 71 73 77 78 81 82 87 91 93 96 112 136 144 145 147 156 158 167 172 174 193 209 210 214 218]\n# step=23 row=7 minW=38 found cw of W=36: [1 6 8 21 22 25 29 31 32 42 48 53 54 61 82 95 100 111 116 122 127 130 145 149 154 170 173 174 177 179 180 185 202 204 209 219]\n# step=412 row=9 minW=36 found cw of W=34: [5 14 16 26 36 38 45 48 49 57 59 65 73 75 90 100 110 123 130 134 146 149 153 162 186 193 196 204 205 207 208 213 220 221]\n# step=998 row=19 minW=34 found cw of W=30: [37 45 47 49 52 59 60 63 67 68 72 86 87 90 112 121 123 133 137 141 142 146 160 161 164 185 186 193 200 208]\n#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</si>
  <si>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minW=226 found cw of W=64: [1 3 6 7 13 15 16 17 20 27 31 34 38 41 42 43 55 60 63 64 65 74 75 78 82 88 95 100 103 109 112 116 120 122 125 128 131 138 139 140 145 149 150 151 156 165 166 167 175 177 178 181 187 188 192 193 195 197 200 203 205 206 210 220]\n# step=0 row=5 minW=64 found cw of W=60: [7 10 17 22 23 25 31 37 38 41 43 50 52 55 56 58 60 61 65 66 78 81 82 92 95 112 114 116 120 121 123 124 125 127 130 140 141 143 150 153 156 160 170 172 173 175 181 188 189 193 195 196 198 199 206 208 210 211 218 225]\n# step=0 row=9 minW=60 found cw of W=58: [5 18 19 20 27 31 32 34 37 38 40 43 50 52 54 56 58 60 66 67 69 73 74 93 94 98 99 107 109 115 122 123 125 127 130 141 145 149 155 170 173 174 177 181 187 188 193 197 198 204 205 206 208 210 217 219 220 223]\n# step=0 row=17 minW=58 found cw of W=54: [20 22 31 37 38 41 43 45 50 51 53 54 56 59 63 66 75 78 81 85 92 95 99 112 114 116 122 124 125 128 131 138 141 143 145 150 153 156 160 167 172 174 181 188 189 193 195 197 199 201 204 209 218 220]\n# step=0 row=36 minW=54 found cw of W=52: [1 13 15 16 17 20 23 24 27 31 43 45 55 58 63 67 73 74 78 88 92 98 100 106 112 121 123 124 130 138 145 149 150 151 153 165 166 170 174 175 177 187 193 195 196 198 199 208 217 220 223 225]\n# step=0 row=46 minW=52 found cw of W=50: [7 13 16 19 22 24 38 40 42 50 52 53 56 58 61 65 75 78 81 82 88 94 100 101 103 114 115 122 125 127 131 133 140 145 150 153 156 166 172 174 175 176 178 188 189 192 197 203 211 220]\n# step=1 row=22 minW=50 found cw of W=42: [25 30 35 36 42 50 52 57 58 64 68 70 80 84 89 94 99 100 115 121 124 133 134 139 143 145 155 159 164 169 174 180 185 186 190 192 196 199 200 202 207 209]\n# step=3 row=27 minW=42 found cw of W=38: [4 21 30 44 45 46 49 57 60 62 76 86 89 96 97 98 104 120 129 134 135 137 141 151 154 161 164 172 173 179 180 194 196 199 204 207 209 216]\n# step=168 row=71 minW=38 found cw of W=36: [4 8 16 23 26 34 40 45 51 53 67 71 73 74 77 79 91 98 100 109 120 131 141 142 146 152 158 175 176 190 201 203 206 216 223 224]\n# step=280 row=20 minW=36 found cw of W=34: [9 13 24 36 40 41 45 48 56 69 82 84 102 105 111 124 130 133 137 144 157 163 174 177 180 190 191 195 198 199 205 206 208 212]\n# round=1000 of 10000 minW=34\n# round=2000 of 10000 minW=34\n# step=2862 row=22 minW=34 found cw of W=32: [1 4 30 51 52 54 62 64 72 105 106 114 119 123 124 125 127 129 135 139 151 154 181 189 194 198 199 200 201 210 212 222]\n#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</si>
  <si>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minW=229 found cw of W=52: [2 12 21 25 27 29 34 41 42 43 45 46 53 65 66 78 84 88 89 92 97 103 105 109 110 113 115 116 117 118 121 129 134 136 141 142 146 147 160 165 168 177 185 189 191 192 195 198 210 212 222 223]\n# step=0 row=26 minW=52 found cw of W=50: [17 20 21 25 26 29 33 45 47 49 54 60 65 66 76 80 82 84 97 101 109 121 122 131 133 135 136 141 142 146 147 150 152 156 158 160 169 172 178 181 198 199 201 206 207 209 211 222 223 226]\n# step=0 row=49 minW=50 found cw of W=44: [4 13 28 30 32 33 43 46 47 59 60 65 73 78 84 89 92 104 105 106 108 109 115 116 123 129 130 134 141 149 154 156 160 168 181 191 192 195 198 205 206 210 211 212]\n# step=28 row=43 minW=44 found cw of W=42: [3 5 16 41 47 48 52 71 72 75 83 89 95 97 100 101 117 121 124 127 133 144 145 148 151 155 157 159 165 168 171 173 176 177 197 199 203 204 209 220 221 223]\n# step=54 row=61 minW=42 found cw of W=36: [11 15 29 31 32 36 37 40 56 66 68 70 74 87 91 94 97 99 100 107 108 112 113 116 144 146 150 152 170 173 175 176 181 208 218 228]\n# step=841 row=5 minW=36 found cw of W=34: [5 7 12 13 19 25 33 45 50 52 56 58 72 83 88 89 113 125 126 128 131 134 152 157 171 177 185 189 197 201 207 208 224 228]\n# round=1000 of 10000 minW=34\n# step=1547 row=25 minW=34 found cw of W=30: [1 10 24 35 56 63 65 75 79 84 86 94 104 107 111 114 132 139 149 151 153 155 160 170 176 180 183 190 217 225]\n#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</si>
  <si>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minW=232 found cw of W=66: [1 2 4 5 6 12 17 23 27 29 35 39 47 48 49 56 59 60 61 68 69 74 75 76 79 80 83 85 89 91 94 95 103 104 106 112 116 120 123 125 127 136 137 138 146 148 151 153 155 157 158 159 162 168 172 177 180 197 200 201 203 204 210 222 225 229]\n# step=0 row=1 minW=66 found cw of W=64: [2 3 4 5 11 12 18 21 25 26 30 35 38 49 51 57 58 61 63 68 73 75 76 79 86 88 89 91 95 107 112 116 119 120 125 127 128 134 136 138 140 146 150 152 153 157 158 159 163 168 175 179 180 192 193 196 197 202 203 204 212 213 222 223]\n# step=0 row=3 minW=64 found cw of W=60: [2 4 6 9 18 21 26 35 38 39 48 49 50 57 58 59 60 63 66 69 72 74 75 76 79 85 91 95 98 102 110 112 119 125 127 134 135 137 140 143 145 149 151 153 158 160 162 163 168 179 180 187 192 193 196 203 213 222 223 229]\n# step=0 row=7 minW=60 found cw of W=54: [2 8 21 22 27 28 29 35 47 49 50 51 54 60 66 68 75 79 85 86 95 104 105 106 112 115 119 120 123 125 126 128 136 137 145 148 152 153 163 172 175 176 192 196 197 200 201 202 204 208 213 220 225 230]\n# step=0 row=16 minW=54 found cw of W=52: [6 11 12 21 22 25 26 27 29 30 35 38 44 47 59 69 75 76 79 80 86 88 89 95 98 102 103 104 106 107 112 115 116 119 125 127 136 146 153 156 157 160 163 172 176 193 196 198 201 202 204 229]\n# step=1 row=6 minW=52 found cw of W=46: [12 19 24 27 28 32 39 44 52 55 60 62 69 73 74 75 83 89 101 104 105 106 111 115 116 127 129 130 132 133 146 151 152 160 173 183 186 188 192 198 204 207 210 214 216 227]\n# step=17 row=20 minW=46 found cw of W=44: [1 2 14 15 16 20 49 53 56 60 62 67 70 71 77 78 83 85 86 93 97 100 104 105 120 126 133 137 144 147 148 156 160 162 163 168 169 177 181 182 197 207 216 231]\n# step=23 row=37 minW=44 found cw of W=42: [1 11 21 25 26 32 33 36 46 57 58 61 68 72 80 88 91 92 98 103 110 113 116 122 123 134 135 138 143 152 155 157 168 169 179 186 193 199 220 222 226 229]\n# step=32 row=5 minW=42 found cw of W=40: [3 15 17 29 32 36 38 50 61 62 64 71 78 80 82 83 87 91 92 109 113 117 138 139 141 145 148 150 155 159 160 164 168 171 183 192 194 204 222 227]\n# step=85 row=78 minW=40 found cw of W=38: [2 21 26 29 38 41 53 59 61 67 72 78 79 84 98 103 106 118 136 139 142 149 150 152 153 154 155 161 192 207 215 216 219 221 227 229 230 231]\n# step=425 row=47 minW=38 found cw of W=36: [1 4 22 24 30 44 46 56 59 60 64 69 73 76 78 82 88 101 103 133 136 137 141 146 151 158 159 165 176 180 184 198 200 227 228 230]\n# round=1000 of 10000 minW=36\n# round=2000 of 10000 minW=36\n# step=2217 row=3 minW=36 found cw of W=32: [2 4 5 9 11 20 34 45 50 72 82 88 106 108 111 113 125 127 143 145 149 156 158 163 174 183 185 190 199 202 220 222]\n# step=2862 row=77 minW=32 found cw of W=30: [5 6 13 25 27 31 49 55 60 62 63 79 82 86 90 97 102 116 126 139 156 160 163 174 181 185 193 209 214 217]\n#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</si>
  <si>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minW=235 found cw of W=62: [1 2 3 6 8 10 15 19 20 23 26 34 39 40 43 45 65 68 72 81 85 90 94 95 102 109 117 121 122 123 125 131 140 147 152 157 158 162 163 164 166 168 171 172 173 175 176 179 180 182 187 190 196 200 203 209 218 221 224 225 228 230]\n# step=0 row=1 minW=62 found cw of W=54: [1 3 4 5 6 12 19 27 39 40 43 44 47 49 50 56 59 62 65 68 80 81 94 95 102 104 117 121 122 128 134 138 140 147 157 158 160 161 162 168 172 173 175 180 182 183 196 203 205 215 216 221 224 225]\n# step=0 row=2 minW=54 found cw of W=52: [1 6 10 13 15 20 25 26 27 34 43 47 49 50 51 67 68 85 86 92 98 103 109 121 123 131 145 148 152 154 157 162 163 164 166 169 170 171 182 183 187 190 201 203 205 206 207 209 224 226 230 232]\n# step=0 row=5 minW=52 found cw of W=44: [4 6 10 15 18 20 23 26 27 33 39 43 44 50 65 74 80 81 95 98 101 102 104 117 121 123 128 140 152 158 159 160 162 166 171 173 174 180 183 189 200 201 218 221]\n# step=0 row=64 minW=44 found cw of W=42: [1 2 3 5 6 7 10 15 17 20 23 44 49 56 68 74 77 81 95 102 125 134 138 147 155 157 158 161 162 163 166 171 176 179 180 200 203 205 216 224 225 230]\n# step=2 row=0 minW=42 found cw of W=38: [1 22 23 27 28 30 36 37 56 57 63 65 70 71 94 100 101 108 113 115 116 119 134 135 141 148 152 157 172 183 184 191 192 194 197 221 227 230]\n# step=8 row=20 minW=38 found cw of W=36: [6 7 15 21 36 39 41 45 47 50 55 60 63 65 76 77 93 99 101 108 114 123 141 143 162 163 179 186 195 197 203 206 211 216 232 233]\n# step=10 row=66 minW=36 found cw of W=34: [10 14 19 25 28 47 50 51 53 54 67 76 92 93 95 96 117 127 129 131 132 145 166 171 173 174 175 181 184 195 203 205 206 232]\n# step=36 row=69 minW=34 found cw of W=32: [1 3 14 20 28 35 36 50 67 72 92 103 106 108 113 114 130 132 142 143 157 159 176 181 186 206 208 210 220 221 223 228]\n# step=144 row=16 minW=32 found cw of W=30: [10 12 28 29 37 41 46 56 60 61 70 84 88 99 107 124 147 148 149 162 168 177 184 193 197 212 216 217 225 227]\n# step=241 row=9 minW=30 found cw of W=28: [1 21 23 39 56 60 68 74 75 81 90 99 101 109 117 118 120 134 146 152 157 159 168 187 196 198 216 231]\n# round=1000 of 10000 minW=28\n# round=2000 of 10000 minW=28\n# round=3000 of 10000 minW=28\n# round=4000 of 10000 minW=28\n# round=5000 of 10000 minW=28\n# round=6000 of 10000 minW=28\n# step=6002 row=0 minW=28 found cw of W=26: [3 10 12 14 18 36 38 52 67 71 81 83 88 99 114 116 133 149 161 168 170 174 177 208 211 223]\n# round=7000 of 10000 minW=26\n# round=8000 of 10000 minW=26\n# round=9000 of 10000 minW=26\n# round=10000 of 10000 minW=26\nRW algorithm upper bound for the distance d=26\n</t>
  </si>
  <si>
    <t># step=0 row=0 minW=238 found cw of W=68: [1 15 20 21 22 33 37 41 43 46 49 56 58 63 64 65 66 67 68 73 80 88 90 91 94 96 99 100 102 103 109 113 114 120 122 128 131 136 137 141 142 145 146 147 148 151 167 169 170 175 180 181 182 188 191 192 193 195 204 210 214 215 220 222 223 227 230 231]\n# step=0 row=1 minW=68 found cw of W=64: [2 8 20 21 22 32 33 42 48 51 54 58 63 64 65 66 73 81 86 87 88 89 90 91 99 102 103 107 109 117 121 130 131 133 141 142 143 145 146 147 150 165 167 168 169 170 179 180 181 182 186 188 190 191 196 206 210 216 220 223 225 226 229 231]\n# step=0 row=3 minW=64 found cw of W=54: [4 18 21 32 33 41 51 54 56 57 58 64 67 83 90 92 94 96 102 107 108 114 117 130 136 141 145 150 151 154 169 171 173 175 176 179 181 186 187 190 191 193 196 199 212 214 216 220 222 224 225 229 230 233]\n# step=0 row=5 minW=54 found cw of W=52: [6 7 8 15 30 32 33 37 41 48 51 54 58 64 67 68 86 87 88 90 107 108 114 117 120 130 131 136 142 143 146 147 150 164 167 169 173 186 187 188 190 191 193 195 196 206 210 212 215 216 221 229]\n# step=0 row=13 minW=52 found cw of W=50: [6 17 18 26 32 37 46 48 49 51 54 68 73 90 92 96 105 107 108 109 117 125 128 130 131 133 142 143 147 148 150 154 164 169 171 176 186 187 188 190 195 196 206 210 221 222 227 229 231 233]\n# step=0 row=22 minW=50 found cw of W=48: [18 21 32 35 37 46 54 57 65 66 67 73 86 89 91 92 94 102 114 117 120 133 136 143 147 148 150 165 168 170 171 173 176 179 181 190 195 196 199 204 222 223 224 225 226 227 229 231]\n# step=0 row=82 minW=48 found cw of W=46: [20 32 37 41 42 49 64 66 86 88 89 90 91 92 96 99 102 117 121 122 127 128 133 141 143 145 151 154 165 167 168 169 170 171 175 181 190 195 196 199 201 206 212 220 230 233]\n# step=0 row=88 minW=46 found cw of W=44: [15 26 30 37 49 56 57 58 65 85 89 90 91 94 103 105 109 113 114 117 120 128 134 137 146 147 150 164 168 169 170 182 192 193 195 196 199 213 214 215 223 225 226 229]\n# step=1 row=41 minW=44 found cw of W=42: [4 9 28 29 31 32 36 38 50 58 59 64 77 78 81 85 100 106 107 108 110 117 120 127 129 137 138 140 143 156 157 160 162 164 167 179 185 190 194 199 206 219]\n# step=1 row=75 minW=42 found cw of W=40: [9 15 26 28 36 43 49 59 65 66 81 85 88 89 94 100 102 105 115 119 128 132 137 138 144 145 146 158 160 164 168 179 181 186 198 201 211 216 225 237]\n# step=13 row=17 minW=40 found cw of W=36: [1 6 12 13 18 45 57 63 77 80 83 85 91 92 94 96 97 105 110 114 124 136 137 141 152 156 162 173 175 184 189 193 216 220 221 231]\n# step=20 row=73 minW=36 found cw of W=32: [5 11 22 25 32 43 46 51 61 69 83 91 93 95 101 119 122 137 140 162 163 169 170 172 174 183 190 198 204 209 216 227]\n# step=79 row=20 minW=32 found cw of W=30: [9 11 27 35 46 52 58 70 77 78 86 90 100 102 111 114 125 137 139 156 157 165 167 179 181 185 190 210 218 228]\n# round=1000 of 10000 minW=30\n# step=1211 row=4 minW=30 found cw of W=28: [6 13 15 19 33 61 63 74 85 90 94 109 110 125 129 140 152 153 169 171 177 188 189 191 204 208 221 231]\n#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</si>
  <si>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minW=241 found cw of W=60: [4 5 6 7 13 16 17 22 27 33 36 41 42 43 45 52 55 62 64 66 70 78 79 84 85 86 87 93 96 98 102 103 114 122 123 128 132 133 139 140 150 159 177 178 183 187 193 194 196 201 205 208 213 215 219 220 222 224 226 238]\n# step=0 row=8 minW=60 found cw of W=58: [3 6 10 11 17 22 25 27 30 33 40 42 43 52 53 55 56 57 65 70 74 75 78 86 90 91 98 102 103 105 113 118 122 130 132 133 140 141 145 150 154 155 163 177 178 183 187 190 198 200 203 210 215 216 217 220 221 238]\n# step=0 row=15 minW=58 found cw of W=56: [3 6 13 14 16 17 26 27 30 42 43 48 53 55 60 62 64 65 67 69 86 93 96 98 103 105 114 118 120 121 128 131 133 145 147 149 163 174 177 178 183 185 186 187 190 194 198 200 201 202 203 211 215 220 222 224]\n# step=0 row=36 minW=56 found cw of W=50: [3 5 7 12 16 23 30 31 41 45 53 62 67 70 74 75 79 84 85 87 96 98 103 105 106 111 113 121 127 133 142 144 145 147 150 154 155 159 163 164 172 178 185 186 190 193 205 207 224 225]\n# step=0 row=71 minW=50 found cw of W=40: [3 5 12 35 37 40 42 55 57 60 66 69 76 85 103 112 115 117 118 120 133 139 140 145 146 149 150 156 163 172 183 192 198 202 213 215 217 219 225 230]\n# step=81 row=4 minW=40 found cw of W=36: [3 18 20 26 28 29 31 52 57 61 62 67 71 83 94 102 106 108 111 118 131 142 151 158 174 178 180 182 189 198 211 212 217 221 227 238]\n# step=998 row=14 minW=36 found cw of W=34: [5 20 22 25 35 38 46 47 67 76 77 83 100 105 106 107 117 118 126 144 146 147 156 157 163 165 182 186 187 195 197 207 224 226]\n# round=1000 of 10000 minW=34\n# round=2000 of 10000 minW=34\n# round=3000 of 10000 minW=34\n# round=4000 of 10000 minW=34\n# step=4565 row=33 minW=34 found cw of W=32: [1 16 18 29 39 41 45 59 69 73 75 78 81 89 95 96 99 119 125 139 143 153 155 169 175 178 179 189 201 223 229 238]\n# round=5000 of 10000 minW=32\n# round=6000 of 10000 minW=32\n# round=7000 of 10000 minW=32\n# round=8000 of 10000 minW=32\n# round=9000 of 10000 minW=32\n# round=10000 of 10000 minW=32\nRW algorithm upper bound for the distance d=32\n</t>
  </si>
  <si>
    <t># step=0 row=0 minW=244 found cw of W=60: [1 5 9 12 13 15 16 20 23 25 28 29 32 35 37 40 43 47 60 67 76 84 86 90 93 97 103 104 109 110 113 115 116 119 120 121 126 130 135 157 158 163 165 175 177 182 184 187 196 199 200 201 205 207 209 211 216 222 229 239]\n# step=0 row=1 minW=60 found cw of W=58: [3 9 13 17 20 28 29 32 35 37 39 43 44 46 48 50 60 69 77 78 82 84 90 93 94 97 98 99 110 113 115 117 118 121 127 129 130 131 135 150 163 174 178 180 182 190 196 197 198 201 202 205 206 211 216 222 239 240]\n# step=0 row=2 minW=58 found cw of W=54: [4 12 16 17 20 23 29 35 37 43 47 48 50 58 67 69 76 82 84 85 88 98 104 113 116 120 124 125 129 130 133 135 138 139 150 157 163 165 169 174 178 182 191 194 199 201 206 209 211 212 214 216 219 229]\n# step=0 row=54 minW=54 found cw of W=50: [12 15 19 20 21 25 37 48 52 60 64 67 68 84 97 106 109 110 117 118 127 129 130 131 133 135 138 141 149 158 162 165 174 177 178 181 182 183 190 191 198 208 211 212 216 219 226 229 239 243]\n# step=1 row=57 minW=50 found cw of W=48: [3 4 9 12 27 43 51 55 71 75 83 85 90 93 95 96 108 110 114 117 120 121 124 133 136 138 140 142 152 154 162 164 165 176 177 191 195 198 201 202 213 214 219 221 223 235 237 243]\n# step=1 row=71 minW=48 found cw of W=46: [17 27 36 47 63 75 79 81 93 100 101 102 103 105 108 110 117 123 128 129 133 136 144 145 153 154 155 160 174 179 181 182 183 184 186 191 204 210 214 217 226 234 235 236 237 243]\n# step=5 row=86 minW=46 found cw of W=44: [22 23 26 27 31 32 43 44 48 57 61 62 66 68 72 78 79 108 112 113 121 122 124 131 143 152 159 162 184 185 188 202 203 206 210 212 219 223 228 230 233 234 241 243]\n# step=9 row=70 minW=44 found cw of W=42: [8 12 23 26 27 32 33 35 43 44 58 66 68 69 80 91 99 107 115 123 124 135 139 147 149 150 151 170 172 174 180 185 189 194 195 196 197 204 206 216 232 242]\n# step=11 row=68 minW=42 found cw of W=40: [2 3 8 19 21 22 27 28 29 32 39 46 53 57 68 81 100 103 106 108 109 110 127 131 134 138 141 144 149 162 164 165 170 183 187 194 201 212 222 225]\n# step=41 row=6 minW=40 found cw of W=38: [4 12 21 22 31 32 33 41 45 54 55 58 65 66 77 85 88 102 103 110 113 122 129 139 146 158 161 169 174 191 193 195 207 210 216 217 228 242]\n# step=86 row=54 minW=38 found cw of W=36: [2 5 9 23 24 25 41 42 50 52 64 76 77 83 90 92 97 106 107 131 138 145 153 158 167 173 178 185 186 188 203 204 214 219 234 238]\n# step=171 row=27 minW=36 found cw of W=34: [5 9 20 21 23 26 31 32 34 49 55 73 86 88 90 92 97 104 112 113 115 129 156 169 173 178 182 183 188 210 211 217 235 237]\n# round=1000 of 10000 minW=34\n# step=1878 row=36 minW=34 found cw of W=32: [4 27 31 38 41 50 65 69 73 80 85 106 108 109 119 124 126 131 146 151 155 187 190 193 203 205 207 231 232 235 236 242]\n#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</si>
  <si>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minW=247 found cw of W=64: [6 13 14 15 19 22 24 27 29 34 38 39 40 46 52 63 71 82 85 90 94 95 96 98 99 112 121 122 124 133 141 143 147 150 152 163 167 170 172 176 179 180 181 183 186 188 191 193 194 198 202 206 210 215 216 223 225 227 229 232 234 235 245 246]\n# step=0 row=4 minW=64 found cw of W=62: [1 3 5 8 16 24 26 27 28 30 32 34 46 50 52 53 61 69 71 72 73 82 83 85 93 95 101 104 110 111 130 134 135 147 150 151 154 163 169 172 175 177 180 183 186 188 190 191 193 194 196 198 210 212 214 225 229 232 235 237 245 246]\n# step=0 row=22 minW=62 found cw of W=60: [3 4 8 13 14 19 22 24 27 28 29 32 34 38 44 60 61 63 72 73 75 78 79 88 93 95 96 97 104 109 110 111 120 126 130 140 150 154 160 161 163 167 168 170 172 175 179 183 188 196 198 212 222 224 225 227 232 237 239 245]\n# step=0 row=58 minW=60 found cw of W=56: [3 5 8 22 24 25 27 39 44 46 50 51 52 61 63 70 71 72 75 78 82 85 93 98 111 112 121 124 126 152 154 156 163 169 172 175 180 186 188 189 191 193 194 206 210 214 215 216 225 227 235 238 239 242 245 246]\n# step=0 row=76 minW=56 found cw of W=50: [4 13 14 28 30 32 34 40 44 45 46 72 79 85 94 96 97 101 110 112 119 126 127 130 141 143 147 150 154 160 161 163 167 168 176 177 179 183 196 198 201 204 210 212 223 225 229 232 242 245]\n# step=1 row=3 minW=50 found cw of W=48: [10 12 14 19 27 44 45 47 51 58 59 61 72 73 74 77 84 109 113 114 122 129 133 141 143 146 152 157 159 162 166 174 176 178 183 195 196 204 208 209 222 228 234 236 237 238 239 244]\n# step=3 row=80 minW=48 found cw of W=46: [1 12 15 20 24 30 31 42 52 57 59 71 75 82 85 86 94 104 105 106 114 126 132 134 140 146 165 167 168 179 184 186 187 194 195 196 206 208 214 221 222 223 228 235 239 246]\n# step=21 row=55 minW=46 found cw of W=44: [4 11 19 27 28 30 33 34 36 39 41 54 59 65 75 80 82 84 85 95 97 109 110 112 115 118 141 145 164 166 167 168 175 177 179 183 198 203 205 218 227 229 239 244]\n# step=45 row=86 minW=44 found cw of W=38: [1 2 13 14 15 16 25 42 58 59 67 74 83 84 96 98 102 107 124 125 131 133 134 140 149 156 158 160 177 179 184 207 213 215 216 223 240 242]\n# step=333 row=57 minW=38 found cw of W=36: [5 6 13 16 18 27 30 45 62 64 68 70 72 77 95 98 100 117 122 135 144 146 163 169 170 191 194 199 204 209 217 232 234 236 241 245]\n# step=549 row=18 minW=36 found cw of W=32: [11 13 14 24 48 49 50 56 57 60 67 84 93 96 106 124 128 130 139 142 146 158 166 177 206 210 213 214 220 228 231 240]\n#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</si>
  <si>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minW=250 found cw of W=52: [2 3 14 16 17 20 30 32 33 36 38 44 47 49 54 58 65 81 82 90 92 94 97 105 109 115 119 137 139 140 141 148 165 168 169 173 175 177 182 183 186 188 192 196 199 204 210 213 215 222 223 247]\n# step=0 row=12 minW=52 found cw of W=44: [3 14 20 22 29 38 44 47 48 57 59 64 65 70 74 81 94 97 100 113 118 134 147 148 152 153 164 169 177 183 186 188 195 196 201 204 210 213 214 217 223 225 235 240]\n# step=2 row=75 minW=44 found cw of W=38: [11 25 30 39 47 53 60 74 77 78 79 81 82 114 116 126 129 130 143 145 157 159 160 161 162 164 165 177 191 196 197 199 205 209 212 219 228 242]\n# step=87 row=89 minW=38 found cw of W=36: [3 8 14 23 34 38 49 53 65 66 74 75 76 86 109 117 120 132 134 136 137 147 174 180 189 192 203 204 217 220 230 231 232 240 241 242]\n# step=980 row=7 minW=36 found cw of W=32: [2 6 19 21 24 28 45 61 63 85 89 93 107 108 111 121 129 142 144 146 152 163 176 185 187 191 204 211 212 225 235 246]\n#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</si>
  <si>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minW=253 found cw of W=66: [2 3 9 12 16 17 18 19 21 23 27 35 37 38 46 49 56 61 66 67 77 78 82 86 87 90 93 96 99 100 101 107 116 117 122 126 128 129 134 141 146 150 166 174 183 186 187 189 195 200 201 203 205 210 212 213 214 217 218 224 225 229 230 235 245 246]\n# step=0 row=3 minW=66 found cw of W=62: [8 9 10 11 14 15 16 18 19 23 26 27 35 38 40 43 44 46 50 54 56 58 63 66 77 78 79 81 93 94 99 100 101 102 107 109 110 119 122 124 127 138 140 142 145 150 162 165 176 179 182 185 187 193 195 212 214 218 229 231 245 247]\n# step=0 row=18 minW=62 found cw of W=56: [1 3 6 8 10 25 27 35 37 40 42 44 46 49 50 61 68 70 74 78 82 85 87 90 91 92 94 99 116 118 119 126 129 130 140 141 152 158 162 166 175 183 193 195 200 202 205 208 212 213 217 218 224 225 229 238]\n# step=1 row=55 minW=56 found cw of W=52: [9 13 19 20 27 33 35 46 52 61 62 65 67 68 69 71 78 79 93 103 104 115 117 119 137 140 141 142 145 154 155 156 166 181 195 199 214 220 221 224 225 226 230 233 235 236 237 238 240 246 247 250]\n# step=4 row=33 minW=52 found cw of W=50: [3 6 18 20 22 36 39 40 42 45 48 50 54 62 63 66 82 91 102 109 116 120 123 125 126 131 138 139 145 146 147 159 171 174 175 188 190 193 200 208 209 213 215 216 218 223 229 234 243 250]\n# step=7 row=56 minW=50 found cw of W=48: [3 5 7 15 23 27 28 30 43 44 52 54 57 74 81 87 91 97 107 114 123 124 134 138 145 146 158 159 162 166 173 181 183 195 196 207 208 211 212 218 220 225 229 230 243 246 249 250]\n# step=8 row=4 minW=48 found cw of W=46: [3 8 11 19 26 29 33 42 47 56 59 64 66 75 76 94 99 101 103 112 117 126 131 134 143 150 151 159 163 165 171 176 178 179 183 185 194 196 197 218 224 232 235 244 247 249]\n# step=29 row=25 minW=46 found cw of W=38: [4 6 10 12 13 30 53 54 55 63 69 82 88 89 90 94 96 103 109 114 132 134 147 148 162 173 181 187 193 216 218 221 222 223 232 237 246 250]\n# round=1000 of 10000 minW=38\n# round=2000 of 10000 minW=38\n# round=3000 of 10000 minW=38\n# round=4000 of 10000 minW=38\n# round=5000 of 10000 minW=38\n# step=5046 row=19 minW=38 found cw of W=36: [21 23 29 37 42 43 46 49 57 58 61 67 94 105 107 110 119 122 126 130 133 141 142 150 151 160 178 194 197 203 205 206 211 229 234 244]\n# round=6000 of 10000 minW=36\n# round=7000 of 10000 minW=36\n# round=8000 of 10000 minW=36\n# round=9000 of 10000 minW=36\n# round=10000 of 10000 minW=36\nRW algorithm upper bound for the distance d=36\n</t>
  </si>
  <si>
    <t># step=0 row=0 minW=256 found cw of W=70: [2 12 13 15 18 22 28 30 36 37 43 49 51 52 64 66 68 69 74 76 77 81 83 92 94 97 100 105 108 109 113 118 120 122 129 134 137 146 150 151 157 159 162 167 168 172 177 179 183 188 190 192 193 194 200 203 205 206 213 214 221 231 234 235 238 239 242 246 251 252]\n# step=0 row=1 minW=70 found cw of W=62: [3 9 11 12 14 15 24 25 28 29 30 36 37 39 42 48 49 65 68 69 77 81 83 84 88 89 94 95 97 100 108 113 114 116 121 122 134 145 150 157 161 168 174 180 181 184 193 194 195 200 201 209 212 218 230 238 239 242 246 247 251 254]\n# step=0 row=13 minW=62 found cw of W=60: [11 22 25 28 31 36 39 49 50 52 64 66 68 74 77 79 83 84 93 94 95 97 98 105 106 134 135 137 145 146 150 151 157 159 164 167 168 178 179 180 181 182 183 190 191 192 195 198 201 206 209 230 231 234 235 238 242 247 252 254]\n# step=0 row=19 minW=60 found cw of W=50: [18 28 36 42 43 47 48 49 51 55 64 65 69 77 79 82 84 89 94 98 103 106 122 132 134 140 145 146 157 162 167 174 179 183 191 198 206 207 212 213 218 221 230 231 234 235 239 242 249 254]\n# step=4 row=61 minW=50 found cw of W=44: [17 20 21 25 29 46 52 68 72 75 80 82 83 93 105 106 107 113 131 137 147 151 155 157 160 161 162 169 178 187 192 195 198 199 232 236 238 240 246 247 250 252 253 254]\n# step=35 row=79 minW=44 found cw of W=42: [2 23 24 33 39 41 46 48 57 58 67 69 75 83 85 87 95 97 98 106 108 117 118 122 124 143 154 160 170 180 182 183 191 194 202 207 211 216 218 227 237 253]\n# step=53 row=95 minW=42 found cw of W=40: [7 23 25 31 44 50 55 58 63 70 74 75 85 90 92 98 110 116 117 129 130 136 140 143 144 148 155 165 175 183 193 202 215 220 221 229 244 245 250 255]\n# step=168 row=3 minW=40 found cw of W=38: [13 20 28 32 47 53 54 56 61 66 73 85 97 105 111 113 117 124 126 132 135 141 146 147 163 182 183 196 209 211 220 223 224 232 236 243 248 255]\n# step=727 row=3 minW=38 found cw of W=34: [14 15 30 36 52 57 67 70 74 85 90 98 99 107 108 112 115 129 142 160 170 175 183 185 192 193 197 206 214 222 237 240 244 245]\n#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</si>
  <si>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minW=259 found cw of W=68: [2 4 6 7 8 9 10 13 14 17 28 29 31 35 36 37 41 43 44 45 49 51 54 57 67 76 90 91 94 95 96 99 103 114 115 120 122 130 132 133 135 140 142 143 151 153 154 169 174 177 178 179 186 203 206 207 209 213 215 217 218 219 223 228 237 240 248 255]\n# step=0 row=2 minW=68 found cw of W=60: [6 9 14 15 24 28 29 48 51 53 58 66 68 76 91 92 95 101 114 115 118 120 123 126 130 132 133 142 144 146 147 148 151 152 153 154 164 171 177 186 196 204 206 209 212 216 218 219 220 223 225 228 232 233 234 237 239 248 250 257]\n# step=0 row=23 minW=60 found cw of W=58: [3 10 13 14 17 27 28 31 35 37 41 44 53 57 58 67 72 75 91 96 99 100 108 109 114 115 132 139 142 143 144 149 151 152 154 158 159 161 175 177 189 194 195 199 201 203 207 209 213 216 218 228 235 237 238 239 240 245]\n# step=1 row=9 minW=58 found cw of W=56: [4 6 11 13 23 29 35 36 37 38 40 45 50 55 57 59 62 76 78 79 80 85 92 97 109 115 117 121 123 125 133 136 141 145 146 148 152 153 176 185 203 208 210 211 212 217 219 229 232 238 239 248 250 251 252 257]\n# step=1 row=24 minW=56 found cw of W=54: [7 14 17 27 28 35 39 44 48 50 59 60 67 73 76 79 80 84 89 100 102 103 120 122 126 131 136 141 145 152 153 159 166 167 175 179 188 199 200 206 207 208 211 212 216 217 220 227 232 238 248 251 253 256]\n# step=1 row=76 minW=54 found cw of W=50: [4 5 14 25 37 39 40 43 57 67 70 75 81 85 89 90 91 98 100 121 126 137 139 143 144 148 154 163 165 166 175 184 197 207 209 211 215 223 225 230 234 239 240 242 247 249 251 252 253 257]\n# step=13 row=20 minW=50 found cw of W=48: [1 10 16 22 30 41 42 49 54 59 60 63 66 69 72 81 87 96 99 100 102 103 107 127 128 130 135 136 145 146 152 155 158 160 167 168 185 186 189 193 194 202 216 222 226 235 246 254]\n# step=25 row=15 minW=48 found cw of W=46: [6 20 29 33 36 41 42 49 50 61 77 86 89 90 101 118 126 127 134 148 153 161 167 171 172 175 176 178 187 192 201 204 205 208 212 214 220 221 222 233 234 239 247 249 253 257]\n# step=85 row=78 minW=46 found cw of W=44: [2 8 14 15 25 27 34 35 64 70 71 76 81 83 92 94 100 101 111 129 134 138 145 150 152 156 157 161 162 165 174 178 199 206 207 215 220 224 231 238 247 251 253 255]\n# step=161 row=80 minW=44 found cw of W=42: [10 12 18 20 22 28 53 60 62 65 68 69 75 77 89 98 105 106 108 109 120 129 135 142 146 161 175 182 190 191 195 200 206 215 221 225 228 234 237 240 241 249]\n# round=1000 of 10000 minW=42\n# step=1279 row=48 minW=42 found cw of W=40: [6 8 16 18 34 35 45 48 77 84 94 102 104 107 117 119 120 123 129 132 134 137 143 144 149 163 178 193 203 205 207 209 215 217 218 223 229 230 235 256]\n# round=2000 of 10000 minW=40\n# round=3000 of 10000 minW=40\n# round=4000 of 10000 minW=40\n# round=5000 of 10000 minW=40\n# step=5140 row=33 minW=40 found cw of W=38: [15 20 22 23 27 28 33 35 52 62 72 77 98 102 104 105 106 108 109 113 119 121 133 134 138 155 158 163 184 187 188 190 191 200 219 220 234 241]\n# round=6000 of 10000 minW=38\n# round=7000 of 10000 minW=38\n# round=8000 of 10000 minW=38\n# round=9000 of 10000 minW=38\n# round=10000 of 10000 minW=38\nRW algorithm upper bound for the distance d=38\n</t>
  </si>
  <si>
    <t># step=0 row=0 minW=262 found cw of W=72: [3 10 11 12 15 20 21 22 25 27 29 33 35 39 42 47 52 60 62 67 69 72 75 81 94 99 100 101 107 109 115 122 126 127 130 131 133 134 138 140 141 149 154 156 159 167 177 181 184 185 187 188 189 195 199 201 202 203 207 214 216 217 218 220 225 226 227 228 234 249 254 255]\n# step=0 row=3 minW=72 found cw of W=58: [2 6 13 19 20 22 24 25 29 31 33 39 42 47 58 60 66 70 75 94 100 101 106 111 114 115 116 118 120 123 127 134 143 145 153 157 166 170 173 176 180 181 188 194 196 199 201 202 210 213 214 216 230 234 249 253 257 260]\n# step=1 row=23 minW=58 found cw of W=52: [5 10 11 13 20 23 33 35 40 48 57 58 62 66 67 74 75 76 84 85 92 97 107 127 130 132 138 144 146 151 154 162 163 167 185 187 197 207 209 217 219 222 225 232 233 236 238 240 248 254 258 259]\n# step=12 row=77 minW=52 found cw of W=50: [14 18 24 35 53 54 55 57 58 60 62 66 68 69 70 82 86 91 105 111 115 116 128 140 142 144 148 149 153 155 156 161 162 163 178 188 202 203 209 215 228 232 234 235 244 248 249 250 256 260]\n# step=13 row=87 minW=50 found cw of W=48: [11 13 15 18 26 41 47 50 53 58 59 63 70 71 74 85 91 100 101 109 111 134 140 142 149 150 161 163 166 172 178 185 188 189 192 196 198 200 215 224 229 232 233 236 244 245 250 253]\n# step=25 row=26 minW=48 found cw of W=46: [8 9 14 18 26 31 32 34 40 43 44 52 57 58 73 79 81 83 90 96 101 105 118 121 127 132 135 159 160 166 168 171 177 182 200 206 217 218 219 222 226 231 232 246 257 258]\n# step=57 row=12 minW=46 found cw of W=44: [3 7 11 13 15 22 26 30 40 44 49 54 56 65 66 82 91 94 95 106 109 113 127 132 136 141 142 145 177 178 182 185 187 189 193 204 218 219 229 230 232 239 240 256]\n# step=163 row=64 minW=44 found cw of W=42: [1 9 12 16 19 27 34 44 49 52 60 73 74 79 81 85 98 106 114 126 127 139 153 161 167 168 175 183 185 186 190 208 213 214 218 223 234 240 247 253 254 259]\n# step=435 row=81 minW=42 found cw of W=40: [10 22 29 30 33 34 37 44 46 54 57 59 68 77 82 95 116 117 120 121 124 133 137 144 146 147 148 155 164 169 173 182 184 196 218 224 228 234 235 260]\n# round=1000 of 10000 minW=40\n# round=2000 of 10000 minW=40\n# round=3000 of 10000 minW=40\n# step=3832 row=31 minW=40 found cw of W=38: [6 9 28 30 39 53 54 59 61 62 70 85 89 91 96 103 129 130 144 148 149 151 176 178 180 190 202 204 213 216 217 227 228 231 233 238 244 259]\n# round=4000 of 10000 minW=38\n# round=5000 of 10000 minW=38\n# round=6000 of 10000 minW=38\n# round=7000 of 10000 minW=38\n# round=8000 of 10000 minW=38\n# round=9000 of 10000 minW=38\n# round=10000 of 10000 minW=38\nRW algorithm upper bound for the distance d=38\n</t>
  </si>
  <si>
    <t># step=0 row=0 minW=265 found cw of W=72: [1 6 10 12 19 28 35 44 47 50 53 54 55 57 58 67 69 71 75 77 81 86 89 96 98 103 116 120 121 122 123 124 130 134 135 141 142 147 148 154 155 157 159 165 168 169 171 173 174 182 184 188 191 195 208 209 210 212 218 220 222 226 231 233 234 235 236 242 251 256 259 261]\n# step=0 row=3 minW=72 found cw of W=70: [2 5 6 8 10 11 16 17 18 19 27 28 33 50 52 53 54 55 58 59 67 68 69 75 77 86 90 93 97 98 99 102 104 105 107 112 116 119 124 132 140 141 142 145 147 148 155 157 165 169 174 182 184 185 190 194 200 203 207 209 212 220 226 231 233 234 236 244 251 257]\n# step=0 row=4 minW=70 found cw of W=66: [2 6 7 8 9 10 12 28 47 50 54 57 58 66 68 69 77 80 86 89 90 95 97 104 107 112 116 120 127 132 142 144 147 148 150 155 157 168 169 171 177 182 184 186 188 192 195 200 208 215 220 223 226 232 233 234 235 236 238 242 243 244 253 257 259 262]\n# step=0 row=10 minW=66 found cw of W=62: [8 10 18 19 23 27 28 33 35 42 47 50 54 64 66 67 69 75 77 81 86 97 98 102 104 111 121 123 124 128 141 142 144 155 157 165 168 169 171 173 184 185 190 192 194 195 203 204 212 216 218 223 226 229 232 240 242 251 256 259 261 262]\n# step=0 row=16 minW=62 found cw of W=58: [2 6 11 16 17 18 21 28 33 34 42 47 53 54 57 58 68 86 90 99 104 105 106 107 109 112 121 122 124 128 131 132 135 141 144 145 155 165 168 171 174 182 195 200 204 212 216 218 219 220 230 232 234 243 244 253 256 259]\n# step=0 row=35 minW=58 found cw of W=52: [2 6 10 11 16 19 27 28 55 70 81 82 89 90 96 99 107 112 119 120 121 124 131 132 141 144 147 148 155 169 177 182 184 186 192 200 203 204 207 208 209 212 219 220 229 231 232 235 236 243 246 258]\n# step=34 row=6 minW=52 found cw of W=50: [4 8 13 20 21 22 25 31 48 50 52 54 55 62 66 84 90 91 102 108 109 110 111 113 119 130 131 132 138 140 154 166 168 172 178 179 180 184 189 190 199 218 219 220 224 230 231 238 254 256]\n# step=49 row=52 minW=50 found cw of W=48: [5 6 8 21 23 30 32 35 38 39 57 61 64 65 66 72 75 77 78 81 93 95 109 111 113 131 145 149 157 163 165 169 182 183 184 201 206 208 211 214 215 219 240 241 242 245 248 254]\n# step=53 row=36 minW=48 found cw of W=44: [35 37 41 42 46 57 65 66 71 81 107 111 121 126 129 131 132 134 136 144 152 157 163 170 195 199 209 211 213 214 218 219 220 224 232 233 240 241 242 245 247 251 257 258]\n# step=107 row=54 minW=44 found cw of W=42: [2 4 10 15 17 40 42 52 53 66 71 75 76 78 92 94 103 105 106 123 139 142 145 154 155 164 178 182 186 194 211 216 218 227 228 229 230 233 243 247 251 254]\n# step=444 row=35 minW=42 found cw of W=40: [4 16 29 37 44 45 65 70 74 80 81 82 89 92 94 98 103 132 153 155 157 159 168 169 170 172 177 182 186 191 192 205 213 221 243 245 246 247 250 260]\n# round=1000 of 10000 minW=40\n# step=1310 row=5 minW=40 found cw of W=38: [12 17 22 36 40 42 45 46 67 81 82 85 98 105 124 126 140 151 165 167 168 173 186 188 198 214 216 218 221 222 228 239 243 253 255 256 257 258]\n#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</si>
  <si>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minW=268 found cw of W=84: [3 7 8 20 21 22 32 35 36 37 42 45 47 48 59 63 65 73 74 84 86 88 89 91 93 95 97 98 100 105 106 108 109 110 116 121 126 129 132 133 139 140 141 143 146 151 152 154 162 166 175 177 180 181 182 184 185 187 189 194 195 197 200 205 213 214 218 220 221 222 223 225 226 228 229 230 232 235 237 240 252 255 262 267]\n# step=0 row=1 minW=84 found cw of W=72: [1 4 5 7 8 16 17 20 26 33 34 35 36 37 42 45 48 59 60 72 73 76 83 84 90 91 103 104 105 109 113 115 116 122 130 131 134 137 139 140 141 143 147 149 161 162 163 172 180 182 183 185 186 192 193 195 202 205 212 213 214 215 219 228 229 230 232 236 237 252 254 262]\n# step=0 row=4 minW=72 found cw of W=70: [1 11 13 15 20 22 26 28 33 36 37 42 45 47 48 50 51 58 63 65 79 84 86 93 97 102 105 108 109 115 117 122 130 131 134 139 140 141 146 152 154 158 163 166 174 175 178 179 182 186 189 193 194 197 200 214 215 219 225 226 230 235 236 247 252 255 257 262 263 267]\n# step=0 row=8 minW=70 found cw of W=66: [2 5 7 8 11 15 22 24 26 31 32 35 45 50 57 60 85 86 88 89 90 91 92 96 98 103 104 105 106 113 115 117 120 121 123 126 129 134 139 141 146 147 149 166 175 177 178 179 181 183 186 187 189 192 194 195 200 206 212 213 215 218 230 236 255 263]\n# step=0 row=33 minW=66 found cw of W=64: [1 6 7 15 21 26 32 33 34 37 42 47 51 57 59 72 73 74 76 79 80 83 84 85 86 90 91 95 96 106 108 110 113 115 120 121 122 126 132 139 140 146 161 162 172 175 180 193 195 197 202 209 212 220 221 225 228 237 252 254 257 258 262 263]\n# step=0 row=40 minW=64 found cw of W=58: [6 7 8 15 17 31 32 33 35 36 47 51 58 60 63 65 76 83 85 88 89 90 95 96 97 98 100 104 105 114 121 122 123 139 140 147 149 151 152 154 165 172 177 179 187 189 194 195 203 209 212 213 214 225 228 240 263 267]\n# step=0 row=86 minW=58 found cw of W=54: [1 7 11 15 31 33 36 42 50 59 60 74 76 84 88 89 90 92 104 116 117 122 133 137 141 146 149 151 158 163 165 170 174 177 178 181 185 189 205 206 209 214 220 222 226 228 230 235 237 240 247 259 262 263]\n# step=7 row=7 minW=54 found cw of W=52: [4 5 12 16 18 21 24 26 29 30 31 33 46 67 73 80 81 90 93 94 97 110 112 118 119 121 122 137 142 144 156 162 166 169 178 179 186 190 194 196 201 202 204 209 210 224 226 231 233 255 259 267]\n# step=20 row=7 minW=52 found cw of W=50: [8 17 30 31 32 33 38 40 47 55 69 72 73 79 89 95 97 101 107 111 117 119 121 124 136 140 145 157 161 168 171 184 190 195 196 200 206 209 211 213 216 218 229 233 234 246 247 251 260 267]\n# step=72 row=83 minW=50 found cw of W=46: [3 8 18 19 24 37 39 46 49 50 59 64 65 73 80 83 96 101 102 119 122 148 153 165 168 172 181 185 186 190 191 196 197 202 208 211 215 217 224 227 228 243 251 254 257 258]\n# step=853 row=28 minW=46 found cw of W=42: [2 6 14 30 33 34 39 50 58 71 73 75 76 90 91 95 103 106 109 110 112 126 128 141 153 164 179 195 198 199 201 208 211 212 215 228 230 236 242 249 251 254]\n# round=1000 of 10000 minW=42\n# step=1857 row=52 minW=42 found cw of W=40: [2 18 26 33 47 49 53 57 69 91 106 109 110 112 114 122 136 138 142 159 163 164 167 177 178 195 196 198 199 201 203 204 235 247 248 252 253 256 266 267]\n#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</si>
  <si>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minW=271 found cw of W=72: [1 2 3 7 25 34 38 40 42 46 52 57 58 60 68 71 73 74 76 81 84 85 89 91 93 94 97 99 105 111 113 114 127 132 134 139 142 144 146 150 155 160 161 163 164 166 174 175 182 184 189 195 201 203 204 205 214 217 218 220 224 226 229 234 236 237 238 245 248 250 261 269]\n# step=0 row=6 minW=72 found cw of W=68: [2 7 10 11 15 20 22 30 34 35 43 46 47 71 73 74 76 84 99 105 108 116 120 124 125 127 132 134 136 139 140 141 142 144 149 151 154 160 161 163 164 166 174 175 182 187 189 190 191 198 200 202 206 217 222 223 224 227 229 230 231 232 234 239 241 244 250 265]\n# step=0 row=21 minW=68 found cw of W=66: [2 15 18 19 22 25 34 38 43 45 47 49 52 54 60 87 89 97 105 107 108 112 113 114 117 120 124 127 131 134 135 142 144 145 150 154 160 164 165 175 178 182 187 197 199 203 204 205 207 210 217 218 221 223 224 227 229 235 244 250 254 255 265 267 268 269]\n# step=0 row=48 minW=66 found cw of W=62: [15 18 24 25 30 35 40 42 47 49 52 55 58 68 76 81 84 86 87 94 99 105 114 115 120 121 124 125 132 134 139 146 149 154 155 156 164 165 166 184 189 198 211 214 220 224 227 232 235 236 238 239 244 245 246 248 254 255 261 264 266 267]\n# step=0 row=56 minW=62 found cw of W=58: [3 7 11 19 31 38 41 43 46 47 57 58 72 74 93 108 114 115 117 123 124 127 128 131 132 136 145 148 149 154 156 160 164 174 175 187 191 198 199 204 205 207 211 213 214 217 222 223 227 235 237 239 244 246 250 252 264 265]\n# step=2 row=21 minW=58 found cw of W=56: [9 10 16 23 29 36 37 39 40 53 56 60 68 73 75 77 78 82 86 99 104 106 114 127 130 139 140 146 147 150 154 155 158 159 172 174 176 190 194 203 204 209 216 219 229 230 233 237 244 245 249 253 255 257 258 264]\n# step=5 row=68 minW=56 found cw of W=52: [5 17 21 46 51 52 58 60 64 75 82 85 86 87 93 107 116 118 122 126 134 136 142 147 150 157 162 164 165 168 172 173 175 176 177 183 185 201 206 208 212 216 224 231 237 238 244 247 252 254 258 263]\n# step=9 row=68 minW=52 found cw of W=50: [2 3 4 7 9 14 18 19 33 34 38 39 40 50 61 65 77 93 95 100 106 107 113 123 128 129 137 167 168 175 182 184 185 187 189 190 194 196 197 198 199 203 214 220 227 230 241 245 258 265]\n# step=60 row=9 minW=50 found cw of W=48: [8 9 20 22 24 25 35 37 38 42 47 52 60 64 70 71 78 81 99 105 107 110 114 123 125 132 146 150 153 157 160 161 168 188 195 197 202 205 213 217 218 227 232 236 243 244 247 261]\n# step=118 row=60 minW=48 found cw of W=46: [1 10 11 14 23 29 31 33 41 45 55 56 64 71 72 77 81 96 104 113 116 119 121 123 127 131 138 145 146 161 162 167 176 178 181 186 190 191 206 217 225 228 244 261 266 268]\n# step=658 row=18 minW=46 found cw of W=42: [6 13 39 45 58 71 78 92 93 96 101 105 106 109 118 132 135 140 144 153 166 171 174 182 183 191 193 195 196 199 208 219 222 230 234 238 243 251 256 258 261 264]\n# round=1000 of 10000 minW=42\n# round=2000 of 10000 minW=42\n# round=3000 of 10000 minW=42\n# step=3004 row=63 minW=42 found cw of W=38: [20 25 33 38 43 69 82 85 94 102 107 114 123 128 133 136 140 141 142 149 153 168 172 175 184 192 197 200 204 205 226 230 231 232 239 243 249 258]\n# round=4000 of 10000 minW=38\n# round=5000 of 10000 minW=38\n# round=6000 of 10000 minW=38\n# round=7000 of 10000 minW=38\n# round=8000 of 10000 minW=38\n# round=9000 of 10000 minW=38\n# round=10000 of 10000 minW=38\nRW algorithm upper bound for the distance d=38\n</t>
  </si>
  <si>
    <t># step=0 row=0 minW=274 found cw of W=64: [1 4 8 11 12 16 19 22 28 34 37 39 45 48 57 60 61 65 67 70 75 78 81 85 94 95 110 113 117 119 124 129 134 135 140 152 161 166 169 172 174 176 183 185 190 193 194 198 208 215 216 219 220 221 225 226 227 230 231 239 242 247 249 265]\n# step=0 row=2 minW=64 found cw of W=60: [5 12 22 23 24 25 28 33 34 48 51 55 60 67 68 69 75 76 81 83 84 85 93 96 107 112 113 115 119 125 129 141 150 153 155 159 166 172 184 194 198 203 205 207 215 220 230 232 233 237 241 242 244 246 249 251 258 265 266 267]\n# step=0 row=11 minW=60 found cw of W=56: [2 8 16 25 29 32 33 35 48 49 50 55 58 60 64 65 67 68 69 81 84 85 93 116 124 130 131 134 141 150 155 159 170 174 190 198 211 214 217 221 222 225 230 231 237 240 241 242 247 249 251 261 263 265 266 267]\n# step=1 row=9 minW=56 found cw of W=52: [2 3 4 8 23 28 30 33 41 61 66 70 71 76 78 79 81 83 94 97 106 114 116 118 119 124 132 151 161 162 163 167 168 169 172 175 184 186 188 190 197 207 209 212 242 243 248 254 259 261 265 266]\n# step=1 row=12 minW=52 found cw of W=42: [10 17 18 25 26 27 35 37 44 50 61 73 74 76 78 79 101 109 114 116 135 141 151 163 164 165 167 168 169 175 199 205 208 209 217 219 242 243 254 259 261 266]\n# round=1000 of 10000 minW=42\n# step=1792 row=51 minW=42 found cw of W=40: [18 23 28 29 33 34 39 46 51 56 68 69 84 85 93 99 122 123 134 137 142 147 159 160 162 175 184 190 200 205 210 211 213 214 215 216 221 225 253 267]\n# round=2000 of 10000 minW=40\n# step=2807 row=1 minW=40 found cw of W=38: [4 28 37 53 55 58 60 73 82 85 95 96 98 101 102 110 116 119 142 149 151 164 170 172 173 176 187 189 192 193 201 207 219 233 235 237 261 263]\n#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</si>
  <si>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minW=277 found cw of W=86: [1 2 4 6 10 15 18 19 22 24 25 33 35 36 41 42 44 49 51 56 61 62 63 66 67 72 76 77 78 82 90 92 94 95 96 98 100 109 113 114 116 117 123 132 133 134 137 141 149 155 158 162 164 165 174 183 185 187 192 194 199 201 202 203 205 215 217 219 220 224 228 229 235 240 241 245 246 251 254 257 260 261 262 274 275 276]\n# step=0 row=1 minW=86 found cw of W=82: [2 3 6 8 12 15 18 19 20 22 28 33 34 35 36 42 45 52 57 61 62 63 67 69 70 72 73 76 77 78 82 87 92 95 100 107 109 113 114 120 122 127 128 132 133 134 136 137 149 155 161 162 170 172 174 175 186 190 196 201 202 203 204 205 214 217 218 224 225 228 236 245 246 251 256 257 260 261 264 267 271 276]\n# step=0 row=2 minW=82 found cw of W=72: [1 2 3 5 8 13 15 19 34 36 45 50 51 52 54 57 61 63 66 69 72 77 85 87 95 96 97 98 105 107 114 122 124 127 128 132 133 136 137 144 146 149 155 158 159 161 164 165 172 185 186 188 190 192 203 206 214 216 218 219 224 225 228 234 235 245 251 257 261 264 269 271]\n# step=0 row=7 minW=72 found cw of W=66: [1 4 6 19 20 24 26 36 41 42 43 49 50 54 57 58 62 66 72 76 77 85 87 90 92 95 96 98 109 118 123 124 134 141 146 149 154 158 164 165 172 175 183 185 187 201 203 204 208 215 216 220 225 227 234 242 257 260 261 264 267 269 271 274 275 276]\n# step=0 row=35 minW=66 found cw of W=62: [1 3 5 6 7 16 18 24 28 30 34 43 44 49 50 51 54 57 69 73 76 91 92 97 99 108 114 120 132 133 137 146 147 149 161 162 167 175 183 185 187 190 202 206 208 214 218 224 225 227 228 229 233 234 235 239 254 257 259 260 267 276]\n# step=0 row=60 minW=62 found cw of W=60: [1 6 7 15 20 33 34 35 36 41 42 50 56 58 62 69 70 77 85 87 91 92 94 98 99 100 133 134 136 137 147 155 161 165 170 179 183 185 186 192 199 204 217 218 219 220 228 229 234 239 240 242 246 247 254 257 261 262 269 276]\n# step=1 row=59 minW=60 found cw of W=58: [3 13 15 22 23 33 38 43 47 50 55 56 59 64 66 67 71 78 89 96 105 107 109 114 116 125 130 132 135 138 139 142 145 146 148 156 158 159 163 166 175 183 187 188 201 207 208 224 230 237 238 239 243 258 262 267 273 275]\n# step=5 row=42 minW=58 found cw of W=56: [10 13 18 26 27 32 40 41 43 47 49 61 68 69 71 73 81 84 94 95 103 110 112 125 134 135 137 141 144 151 153 163 165 172 176 186 187 194 195 197 204 210 211 216 217 224 225 226 229 231 236 243 252 253 264 265]\n# step=5 row=94 minW=56 found cw of W=54: [2 7 10 13 21 27 36 38 40 42 43 45 55 64 65 70 71 83 90 99 103 104 128 135 136 137 156 163 165 172 174 176 180 186 194 195 196 197 205 211 222 224 226 228 239 249 254 257 264 266 267 268 272 274]\n# step=6 row=38 minW=54 found cw of W=48: [4 7 15 25 26 29 47 51 59 61 68 73 74 77 78 96 100 101 107 109 115 117 118 138 143 144 148 153 160 161 165 166 167 170 191 192 193 201 207 213 230 231 236 240 243 253 259 261]\n# step=605 row=57 minW=48 found cw of W=46: [1 7 23 29 31 40 48 67 70 80 90 97 99 109 115 117 121 123 133 144 150 153 155 157 158 159 162 172 177 179 185 189 201 209 224 225 232 236 242 245 247 249 250 269 271 274]\n# round=1000 of 10000 minW=46\n# round=2000 of 10000 minW=46\n# round=3000 of 10000 minW=46\n# step=3082 row=91 minW=46 found cw of W=42: [1 15 45 46 63 76 94 97 106 107 111 114 115 118 121 127 130 136 155 168 172 173 175 176 185 186 189 198 203 206 207 210 213 219 222 228 229 230 264 265 267 268]\n# round=4000 of 10000 minW=42\n# round=5000 of 10000 minW=42\n# round=6000 of 10000 minW=42\n# round=7000 of 10000 minW=42\n# round=8000 of 10000 minW=42\n# round=9000 of 10000 minW=42\n# round=10000 of 10000 minW=42\nRW algorithm upper bound for the distance d=42\n</t>
  </si>
  <si>
    <t># step=0 row=0 minW=280 found cw of W=76: [1 2 4 13 15 18 19 28 31 32 38 39 49 50 52 63 64 67 68 69 78 80 83 87 94 95 97 98 108 111 113 118 120 121 122 125 130 131 132 136 139 141 143 144 145 150 152 157 158 160 161 162 170 180 191 199 205 206 211 213 215 217 223 229 232 234 235 237 243 245 249 251 263 264 266 269]\n# step=0 row=1 minW=76 found cw of W=72: [3 4 6 10 15 18 20 28 32 33 34 49 52 53 55 56 63 67 68 71 72 75 79 82 84 92 96 99 108 109 111 112 117 118 121 125 126 127 141 148 150 151 156 160 161 162 164 171 172 177 182 190 196 202 205 206 210 211 234 235 238 239 242 243 244 255 258 261 264 268 275 278]\n# step=0 row=3 minW=72 found cw of W=70: [4 5 8 9 10 14 15 16 18 19 27 32 33 39 48 49 52 56 59 63 64 65 67 68 75 76 79 92 97 98 101 103 117 121 123 125 126 127 141 145 152 157 158 160 161 162 171 172 182 195 200 201 202 204 205 210 213 214 216 220 225 235 242 249 255 261 262 264 275 278]\n# step=0 row=18 minW=70 found cw of W=68: [10 13 14 15 18 27 28 31 33 34 39 48 50 52 56 57 59 63 65 67 68 69 72 79 83 92 97 105 107 108 112 117 124 126 132 139 141 143 144 145 158 160 161 162 165 170 171 172 190 196 198 199 204 205 210 213 214 220 232 237 242 243 245 249 263 264 269 278]\n# step=0 row=37 minW=68 found cw of W=58: [1 6 9 10 17 34 39 48 50 63 64 69 70 72 75 79 82 83 87 94 98 99 107 110 112 117 122 124 125 127 139 141 143 151 157 158 165 172 180 191 195 196 200 205 210 215 217 218 225 232 244 249 251 255 256 261 268 269]\n# step=12 row=18 minW=58 found cw of W=56: [2 4 19 29 30 34 37 40 50 53 54 56 71 74 76 87 90 94 96 100 102 104 111 123 130 143 145 147 148 149 160 162 167 180 183 184 187 188 189 190 193 195 197 204 205 215 220 226 238 239 241 253 255 257 262 277]\n# step=13 row=48 minW=56 found cw of W=54: [1 5 8 11 13 19 26 29 30 33 37 39 45 51 66 67 68 82 101 116 123 131 132 135 138 139 140 142 144 160 171 174 175 176 187 191 197 199 205 209 212 215 219 223 224 228 232 233 235 252 254 264 267 269]\n# step=50 row=57 minW=54 found cw of W=52: [1 23 24 30 34 37 41 45 58 59 63 66 68 72 76 78 85 87 91 92 94 115 116 117 118 123 127 130 156 158 160 161 165 169 172 178 181 185 208 211 227 231 244 245 251 252 253 264 265 273 274 277]\n# step=153 row=86 minW=52 found cw of W=50: [1 2 8 17 31 48 53 54 70 76 87 88 89 94 95 100 103 110 120 128 129 136 141 148 150 153 158 166 169 179 180 181 182 193 194 196 213 217 221 222 229 239 240 241 243 246 251 256 259 272]\n# step=201 row=7 minW=50 found cw of W=46: [4 21 22 28 39 49 52 59 72 73 76 83 88 89 109 110 111 112 119 142 156 158 162 163 166 176 190 202 203 204 205 207 208 212 214 225 238 245 249 251 255 256 258 262 274 275]\n# step=422 row=16 minW=46 found cw of W=44: [2 15 18 32 39 42 45 48 55 63 67 72 76 79 81 85 88 89 108 114 117 125 132 141 142 156 160 165 168 178 182 188 204 207 210 228 231 235 241 261 262 265 267 274]\n# round=1000 of 10000 minW=44\n# step=1954 row=45 minW=44 found cw of W=42: [7 9 23 24 30 35 42 44 46 47 50 51 54 58 63 71 79 84 88 100 113 116 117 128 135 137 139 140 143 144 151 156 164 170 181 195 206 216 240 263 265 270]\n# round=2000 of 10000 minW=42\n# round=3000 of 10000 minW=42\n# round=4000 of 10000 minW=42\n# round=5000 of 10000 minW=42\n# round=6000 of 10000 minW=42\n# step=6755 row=67 minW=42 found cw of W=40: [7 10 22 37 38 40 41 53 68 71 96 99 103 111 113 117 124 130 131 133 135 146 155 175 177 189 192 193 204 206 208 210 217 227 228 248 254 257 268 270]\n# round=7000 of 10000 minW=40\n# round=8000 of 10000 minW=40\n# round=9000 of 10000 minW=40\n# round=10000 of 10000 minW=40\nRW algorithm upper bound for the distance d=40\n</t>
  </si>
  <si>
    <t># step=0 row=0 minW=283 found cw of W=76: [2 12 19 28 34 41 46 48 49 56 60 61 62 66 71 72 78 82 83 84 86 89 97 98 99 104 106 113 124 128 129 133 135 137 138 142 143 154 161 162 165 171 172 176 177 178 179 180 182 183 184 185 190 191 192 193 198 216 218 223 227 231 232 234 244 249 250 254 255 256 260 265 273 276 278 279]\n# step=0 row=1 minW=76 found cw of W=72: [3 4 5 6 12 19 23 28 32 33 34 41 50 58 64 66 72 73 74 78 80 82 88 91 98 99 100 104 106 108 113 122 127 128 131 135 142 144 152 155 156 161 162 165 174 176 177 179 184 185 191 198 202 211 220 225 236 249 250 252 254 255 256 259 260 261 262 266 271 273 276 278]\n# step=0 row=2 minW=72 found cw of W=68: [3 6 7 8 11 16 19 21 27 48 49 58 59 60 62 66 71 73 74 78 80 82 84 86 88 91 100 101 102 104 113 121 122 128 129 137 143 145 151 152 154 156 165 172 174 175 178 180 191 198 199 204 209 216 222 223 231 236 239 245 247 254 261 262 269 270 276 279]\n# step=0 row=4 minW=68 found cw of W=64: [4 9 11 12 13 27 28 33 36 48 49 58 60 61 62 64 70 73 74 83 84 88 91 97 99 105 106 108 117 121 127 128 130 143 152 153 154 160 164 177 179 182 183 191 192 193 197 201 202 211 216 222 236 247 249 250 252 254 261 262 272 273 277 279]\n# step=0 row=7 minW=64 found cw of W=58: [4 16 17 23 32 33 34 36 41 49 56 61 72 73 82 83 86 91 97 98 104 105 111 127 129 130 135 137 143 144 151 153 160 178 180 182 191 198 199 204 211 220 222 223 231 238 244 245 247 249 254 260 261 270 271 272 276 279]\n# step=4 row=20 minW=58 found cw of W=52: [7 8 9 12 13 23 28 29 36 38 41 49 51 52 55 56 58 60 70 73 76 79 80 103 106 117 118 130 132 143 146 149 150 154 164 167 172 173 180 195 196 201 212 216 217 229 239 246 264 266 268 274]\n# step=22 row=74 minW=52 found cw of W=48: [1 4 5 15 29 33 48 54 55 56 59 62 67 75 78 79 83 84 87 90 108 110 118 142 148 161 169 174 189 192 193 202 203 204 212 217 221 243 244 247 250 266 267 268 271 272 275 278]\n# step=259 row=15 minW=48 found cw of W=46: [1 6 9 12 21 39 45 46 50 55 59 61 68 71 74 77 81 95 100 102 103 106 108 109 140 144 149 155 156 162 165 168 175 177 184 196 202 203 209 227 233 247 250 265 271 278]\n# round=1000 of 10000 minW=46\n# step=1139 row=44 minW=46 found cw of W=44: [17 29 40 71 79 91 96 109 114 120 121 123 124 125 133 134 148 151 156 158 166 173 176 178 182 190 203 205 208 214 215 218 219 227 242 245 250 252 259 260 270 272 276 279]\n# round=2000 of 10000 minW=44\n# round=3000 of 10000 minW=44\n# step=3861 row=32 minW=44 found cw of W=42: [2 10 12 13 15 16 22 33 39 41 47 66 71 78 81 88 104 106 109 110 120 127 133 134 135 138 141 147 158 160 172 175 190 201 210 214 228 232 241 252 259 276]\n# round=4000 of 10000 minW=42\n# round=5000 of 10000 minW=42\n# round=6000 of 10000 minW=42\n# round=7000 of 10000 minW=42\n# round=8000 of 10000 minW=42\n# round=9000 of 10000 minW=42\n# round=10000 of 10000 minW=42\nRW algorithm upper bound for the distance d=42\n</t>
  </si>
  <si>
    <t># step=0 row=0 minW=286 found cw of W=68: [2 17 19 23 30 36 45 46 57 58 59 60 63 73 75 77 85 86 96 97 105 109 110 121 122 131 132 134 135 136 140 142 146 147 150 152 153 154 165 168 172 177 181 191 200 204 205 207 209 213 216 217 220 227 229 230 231 236 237 241 242 245 250 253 260 265 272 275]\n# step=0 row=6 minW=68 found cw of W=64: [5 11 15 19 27 30 40 43 44 47 50 57 59 60 63 65 66 77 79 85 96 99 100 109 110 114 124 132 135 139 140 142 147 149 154 160 161 165 170 171 172 174 176 180 191 194 201 204 217 219 220 227 233 235 240 242 244 247 250 253 260 265 266 271]\n# step=0 row=7 minW=64 found cw of W=62: [5 12 15 23 27 30 43 51 54 57 58 62 63 65 66 70 79 85 86 96 97 99 100 106 109 117 122 132 134 149 152 156 160 161 165 170 173 174 176 180 191 192 194 201 202 204 205 212 213 220 227 229 233 241 248 251 252 253 265 268 271 276]\n# step=0 row=18 minW=62 found cw of W=52: [15 17 31 35 37 40 41 45 57 61 62 70 73 75 85 86 97 107 109 110 113 124 131 135 136 140 146 147 152 156 157 165 168 170 171 177 181 192 202 204 207 208 219 221 225 226 227 241 242 266 272 275]\n# step=0 row=74 minW=52 found cw of W=50: [15 20 41 45 49 57 59 62 63 66 79 102 107 113 115 116 121 122 142 144 146 147 153 154 156 157 161 174 176 180 181 197 202 205 208 211 216 217 231 235 237 241 242 247 248 251 253 271 275 276]\n# step=8 row=58 minW=50 found cw of W=48: [5 6 9 16 20 28 46 55 56 59 63 69 70 71 79 83 97 104 107 111 115 123 138 139 145 150 151 154 158 161 163 164 166 168 174 178 192 195 196 202 233 234 236 240 256 258 260 263]\n# step=96 row=18 minW=48 found cw of W=46: [12 14 17 27 43 46 48 52 56 65 70 71 75 78 85 96 107 108 109 112 113 116 117 138 141 149 151 156 160 170 173 180 181 191 203 208 211 212 217 238 242 244 251 260 261 276]\n# step=296 row=91 minW=46 found cw of W=44: [7 15 20 30 41 46 48 49 55 69 75 79 98 106 107 108 110 123 125 130 138 141 145 147 170 172 193 197 201 202 203 210 218 225 231 233 238 239 240 242 245 259 267 269]\n# step=461 row=76 minW=44 found cw of W=42: [7 11 21 23 34 35 47 49 50 63 67 70 105 106 107 116 118 120 127 129 130 140 150 158 165 168 174 179 197 200 202 215 222 235 237 239 240 245 257 263 269 274]\n# step=722 row=33 minW=42 found cw of W=40: [4 7 9 16 22 25 34 38 46 59 68 78 85 99 102 120 125 128 129 141 149 154 163 165 177 178 181 199 206 212 220 223 228 244 260 268 272 273 275 276]\n# round=1000 of 10000 minW=40\n# step=1498 row=13 minW=40 found cw of W=38: [3 4 7 14 15 18 32 36 37 38 61 66 80 85 107 113 123 127 131 132 133 161 166 172 175 176 193 194 197 202 204 205 218 251 261 267 271 275]\n#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</si>
  <si>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minW=289 found cw of W=60: [3 4 7 9 12 21 22 25 28 29 50 52 53 55 61 63 69 71 78 83 111 117 118 121 123 124 125 126 129 130 148 151 152 157 160 165 168 174 176 187 195 196 199 201 204 207 219 222 225 226 242 245 248 255 256 263 264 272 275 283]\n# step=0 row=2 minW=60 found cw of W=58: [7 8 9 25 27 28 39 55 67 72 81 82 83 89 99 102 104 106 111 117 121 124 126 129 130 132 134 135 151 158 159 163 165 168 174 188 195 198 199 201 202 207 213 219 222 225 226 228 230 254 255 261 270 273 274 275 281 284]\n# step=0 row=4 minW=58 found cw of W=56: [1 4 7 9 11 21 22 25 28 52 53 67 72 82 87 88 97 99 107 117 118 121 124 125 129 130 132 144 147 148 152 159 160 163 165 183 184 187 195 196 199 201 221 225 226 228 240 243 245 248 255 256 261 264 274 283]\n# step=0 row=10 minW=56 found cw of W=52: [1 4 6 7 9 12 20 21 25 27 28 37 50 51 53 63 67 69 83 87 97 105 106 124 129 132 147 152 158 163 176 183 196 198 199 202 204 212 213 217 219 225 228 229 242 245 248 254 255 261 272 275]\n# step=0 row=29 minW=52 found cw of W=50: [4 6 7 22 25 27 28 37 39 52 61 66 67 69 71 78 82 83 117 118 132 135 144 147 157 163 168 174 185 187 196 198 199 213 217 219 220 228 229 240 243 244 258 261 263 264 274 275 281 283]\n# step=0 row=34 minW=50 found cw of W=44: [2 4 6 9 12 25 50 52 63 67 77 81 82 87 102 105 125 126 129 132 148 159 163 174 176 183 185 188 194 196 204 217 221 222 225 228 242 269 270 272 273 274 281 284]\n# step=0 row=111 minW=44 found cw of W=40: [1 9 27 29 51 55 72 78 83 87 97 101 102 105 111 125 147 151 158 159 163 166 176 183 187 188 197 198 207 219 254 255 259 262 264 270 272 275 283 284]\n# step=1 row=47 minW=40 found cw of W=38: [7 10 15 20 21 23 25 28 32 34 50 53 70 83 103 111 117 119 121 124 126 128 130 142 146 150 166 176 179 186 202 212 222 238 245 246 272 282]\n# step=19 row=36 minW=38 found cw of W=34: [3 12 14 19 21 30 35 53 58 63 70 85 88 90 99 111 115 120 126 142 159 181 204 206 207 213 216 227 238 245 250 262 280 282]\n# step=129 row=9 minW=34 found cw of W=32: [24 27 28 39 48 59 60 63 89 91 111 113 116 120 123 124 133 135 141 150 185 187 207 209 212 229 237 240 246 251 252 255]\n# step=564 row=53 minW=32 found cw of W=30: [29 30 32 33 44 51 60 76 97 109 111 125 129 132 139 142 147 186 193 205 207 222 224 228 235 236 238 252 268 282]\n# step=698 row=19 minW=30 found cw of W=28: [10 21 33 34 35 41 48 59 75 80 106 130 142 144 155 169 183 184 213 225 227 233 238 265 267 272 279 280]\n#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</si>
  <si>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minW=292 found cw of W=76: [1 4 6 9 11 14 24 27 30 35 43 45 53 58 59 65 66 67 68 70 75 76 78 79 81 82 83 85 103 105 108 112 114 115 116 118 121 123 124 133 142 147 150 155 160 163 167 175 176 180 195 198 202 203 208 209 211 212 213 215 220 224 229 230 237 244 253 257 259 261 262 269 270 275 276 279]\n# step=0 row=1 minW=76 found cw of W=74: [5 6 9 15 27 28 32 34 45 49 55 58 66 67 70 71 75 76 78 82 85 101 103 108 122 123 124 125 128 129 130 131 133 134 140 147 152 155 156 159 160 163 166 167 168 173 175 176 183 198 199 203 205 209 219 220 225 227 230 231 237 239 243 244 253 256 257 261 263 269 273 276 279 280]\n# step=0 row=2 minW=74 found cw of W=72: [1 7 9 15 24 27 28 30 31 34 35 37 38 45 46 53 64 71 73 75 76 82 85 98 103 104 105 116 121 124 125 126 131 133 134 135 142 143 144 150 151 156 160 161 166 167 168 176 183 200 202 203 209 213 223 224 225 229 230 241 248 253 257 263 264 267 269 270 273 276 279 280]\n# step=0 row=8 minW=72 found cw of W=68: [1 6 9 18 21 23 24 28 30 31 34 35 37 38 40 45 64 68 71 85 101 115 116 121 122 125 126 128 130 131 135 140 144 155 156 160 161 166 167 168 177 179 195 198 200 203 213 215 217 219 223 224 227 229 231 234 237 239 241 252 253 257 262 263 264 274 276 279]\n# step=0 row=18 minW=68 found cw of W=56: [1 9 14 15 19 24 30 31 38 42 45 49 53 58 65 70 71 76 108 112 114 118 121 123 130 135 137 139 140 150 155 159 160 166 167 168 195 203 205 208 211 213 215 220 224 225 227 234 237 239 243 256 257 259 263 270]\n# step=0 row=50 minW=56 found cw of W=54: [1 19 21 23 31 32 34 40 49 53 55 58 66 67 73 75 81 85 106 116 123 126 129 130 133 140 142 148 150 152 163 166 195 203 215 217 220 223 225 227 228 230 234 237 239 243 245 252 261 263 267 269 275 279]\n# step=1 row=48 minW=54 found cw of W=48: [8 15 17 25 27 30 40 41 46 47 50 60 66 72 81 84 101 110 118 119 122 127 143 144 155 162 175 179 198 202 207 209 211 215 216 221 234 235 244 252 254 259 260 266 272 275 276 278]\n# step=11 row=85 minW=48 found cw of W=46: [4 18 19 20 21 25 30 38 41 42 43 49 57 59 70 80 83 85 101 108 116 118 122 125 131 132 135 146 154 164 167 182 205 212 214 222 224 228 229 235 236 237 253 261 274 277]\n# step=24 row=59 minW=46 found cw of W=42: [18 20 24 29 48 51 60 64 67 74 76 77 109 110 115 117 124 134 140 148 155 164 173 175 177 180 206 207 218 221 223 231 237 242 252 254 258 268 271 272 274 277]\n# step=594 row=3 minW=42 found cw of W=40: [2 7 9 17 20 22 24 27 41 44 51 53 68 71 74 78 81 85 86 99 104 114 117 119 121 124 139 141 150 175 203 235 236 245 262 265 268 275 279 280]\n#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</si>
  <si>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minW=295 found cw of W=76: [1 3 4 5 8 10 15 16 19 21 23 27 49 55 58 61 65 66 69 71 72 73 77 80 82 83 99 102 103 104 105 106 108 114 117 119 121 123 124 125 129 134 142 147 153 159 161 163 166 167 173 175 179 180 191 199 202 203 211 221 222 227 232 240 254 259 262 264 267 268 269 271 276 277 279 289]\n# step=0 row=2 minW=76 found cw of W=60: [7 9 10 11 16 22 25 42 43 44 49 50 56 59 67 68 69 71 73 77 84 93 105 108 113 114 121 130 131 133 141 154 155 157 165 167 171 175 177 180 182 205 207 211 218 219 221 228 229 231 238 240 245 246 253 264 267 275 278 289]\n# step=0 row=72 minW=60 found cw of W=54: [5 11 16 19 22 27 32 44 56 59 67 68 71 74 81 104 109 114 117 119 121 125 128 133 135 144 154 157 159 161 165 166 172 176 180 191 201 202 217 218 219 226 228 231 233 240 242 257 259 267 274 277 278 289]\n# step=7 row=7 minW=54 found cw of W=52: [5 7 18 19 20 28 31 34 38 44 57 58 60 73 75 103 105 110 114 115 116 117 118 123 124 130 132 133 134 136 142 155 156 166 171 173 184 186 208 212 213 221 222 224 227 228 231 232 256 264 282 284]\n# step=55 row=66 minW=52 found cw of W=50: [17 18 20 33 45 47 51 53 59 61 69 74 87 91 92 99 105 115 118 138 146 148 150 163 176 182 184 189 190 197 203 214 229 236 241 243 244 246 247 248 249 255 257 261 265 270 274 280 282 283]\n# step=252 row=54 minW=50 found cw of W=48: [10 17 21 26 29 38 43 49 50 52 53 68 70 73 74 90 108 111 115 117 119 121 122 124 131 141 144 146 148 166 174 188 209 215 219 220 225 229 234 242 244 245 248 249 266 269 270 272]\n# round=1000 of 10000 minW=48\n# step=1673 row=18 minW=48 found cw of W=44: [9 23 27 33 36 40 46 51 54 61 75 76 81 83 84 85 87 92 107 112 121 125 131 134 149 150 152 159 169 173 175 179 182 183 185 190 210 236 242 248 267 272 273 279]\n# round=2000 of 10000 minW=44\n# round=3000 of 10000 minW=44\n# round=4000 of 10000 minW=44\n# round=5000 of 10000 minW=44\n# round=6000 of 10000 minW=44\n# round=7000 of 10000 minW=44\n# round=8000 of 10000 minW=44\n# step=8060 row=40 minW=44 found cw of W=42: [6 8 12 15 20 28 29 37 39 43 46 51 59 60 68 70 74 77 82 90 91 104 106 110 113 118 126 127 135 137 141 144 149 157 158 166 168 172 175 180 188 189]\n# round=9000 of 10000 minW=42\n# round=10000 of 10000 minW=42\nRW algorithm upper bound for the distance d=42\n</t>
  </si>
  <si>
    <t># step=0 row=0 minW=298 found cw of W=76: [3 8 12 13 19 21 25 26 30 35 38 41 46 48 57 58 65 66 77 79 81 82 86 88 89 92 93 100 102 115 118 119 123 125 127 129 133 134 136 144 145 151 155 157 164 165 167 176 178 180 181 187 199 206 210 211 214 218 219 222 223 226 232 235 236 239 243 246 250 254 255 266 284 287 290 291]\n# step=0 row=9 minW=76 found cw of W=66: [1 2 8 12 19 24 27 30 35 37 40 41 56 57 60 61 65 66 68 76 77 79 85 89 100 101 102 115 118 119 123 127 129 136 146 148 155 159 160 163 164 167 174 175 176 178 180 184 201 206 210 214 218 225 226 233 238 239 245 247 255 262 264 273 279 287]\n# step=0 row=21 minW=66 found cw of W=64: [4 8 12 13 21 26 29 30 32 34 45 49 57 59 61 63 65 68 75 77 81 82 85 86 92 101 103 104 107 125 127 128 129 131 133 144 146 148 156 158 160 161 163 164 167 180 181 190 200 203 210 211 219 226 245 260 261 262 273 275 283 284 289 290]\n# step=0 row=42 minW=64 found cw of W=60: [1 2 8 13 21 30 37 41 45 56 57 58 61 66 81 82 90 93 101 107 114 115 119 126 129 136 138 144 148 151 156 157 160 162 163 165 173 176 180 181 184 192 199 211 213 214 218 219 225 237 239 247 250 254 261 262 272 275 283 288]\n# step=0 row=67 minW=60 found cw of W=56: [1 2 13 19 21 25 29 45 48 52 58 59 65 66 67 68 77 79 84 86 88 89 100 101 103 118 127 128 134 157 158 164 165 173 174 178 187 192 202 211 219 223 226 233 243 246 250 265 266 272 273 275 282 284 287 291]\n# step=14 row=69 minW=56 found cw of W=50: [4 17 24 25 30 37 39 41 46 50 61 62 64 65 69 71 76 78 87 102 109 110 114 121 124 129 138 160 161 163 168 170 187 201 202 208 209 213 215 220 222 235 239 244 248 263 274 276 285 286]\n# step=100 row=61 minW=50 found cw of W=44: [8 11 22 28 44 51 55 61 66 67 72 76 79 80 83 91 105 107 113 127 128 137 138 142 154 160 166 171 175 178 179 182 190 204 209 212 220 227 236 237 241 242 249 264]\n# round=1000 of 10000 minW=44\n# step=1862 row=11 minW=44 found cw of W=42: [3 19 22 29 41 48 49 60 61 66 67 70 71 79 82 88 102 108 116 134 140 147 164 165 170 171 207 215 217 220 227 233 247 258 259 263 265 268 270 277 280 286]\n#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</si>
  <si>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minW=301 found cw of W=84: [2 5 7 10 12 15 20 21 25 29 33 35 37 49 50 54 55 57 62 63 67 68 69 80 82 83 102 106 110 120 121 125 126 127 129 131 132 138 139 147 154 157 159 160 162 167 168 169 170 173 180 181 183 187 191 192 205 206 207 212 215 226 227 231 232 233 235 237 238 239 247 249 250 255 259 260 263 270 273 281 282 287 291 292]\n# step=0 row=1 minW=84 found cw of W=72: [3 5 10 13 18 21 22 24 28 29 37 41 42 53 57 60 63 65 68 70 72 82 83 84 88 103 107 110 117 118 126 127 129 133 134 141 150 157 159 165 168 180 181 183 185 188 205 207 213 217 221 222 224 226 227 228 233 234 237 242 250 253 259 260 263 270 272 280 281 282 284 285]\n# step=0 row=4 minW=72 found cw of W=70: [6 7 11 12 21 24 28 29 33 35 41 53 57 59 60 63 65 67 72 76 80 82 83 84 91 107 121 127 131 132 135 138 139 141 145 150 159 165 169 170 183 185 206 211 212 224 227 228 229 231 232 233 238 239 245 250 253 257 260 263 267 269 270 272 276 280 282 284 285 291]\n# step=0 row=6 minW=70 found cw of W=68: [7 12 15 17 20 22 24 28 35 37 38 42 53 57 59 60 63 65 69 70 72 103 106 111 120 124 126 128 129 131 133 134 137 138 150 157 160 165 167 169 170 172 181 187 192 203 206 207 211 212 215 217 222 226 229 231 233 234 235 242 250 253 259 263 267 281 287 292]\n# step=0 row=23 minW=68 found cw of W=64: [1 5 6 7 10 12 15 19 21 24 28 29 33 54 57 63 67 70 71 84 91 103 107 110 119 121 128 129 134 135 138 139 145 154 157 159 160 167 172 180 187 201 203 205 206 212 215 224 233 234 235 238 239 245 259 260 263 270 271 272 280 284 287 291]\n# step=0 row=35 minW=64 found cw of W=60: [6 7 10 19 21 24 25 33 37 42 50 53 57 59 67 70 76 80 83 84 91 92 107 110 117 119 124 125 126 131 134 135 149 157 167 173 176 180 181 183 206 217 221 226 231 233 234 235 237 242 249 250 253 259 270 273 281 284 291 292]\n# step=0 row=38 minW=60 found cw of W=56: [1 5 13 19 20 22 28 37 42 62 69 70 76 80 82 83 88 91 105 119 120 121 128 129 145 147 149 157 159 162 169 173 176 183 185 192 201 213 221 222 229 237 242 245 247 249 257 259 270 273 280 282 285 288 291 292]\n# step=1 row=78 minW=56 found cw of W=54: [12 19 37 41 42 48 49 53 54 63 65 80 87 102 104 105 114 119 123 128 136 141 144 147 149 153 154 159 163 168 178 181 185 187 202 204 205 212 214 223 228 236 237 242 244 247 248 259 265 268 278 280 281 285]\n# step=14 row=14 minW=54 found cw of W=48: [2 5 7 8 9 16 20 25 27 32 36 47 50 53 63 74 92 102 105 109 114 120 123 125 127 132 150 155 156 157 171 177 207 208 214 216 223 236 247 253 255 256 257 263 271 274 277 292]\n# step=323 row=78 minW=48 found cw of W=46: [4 11 19 25 44 45 46 66 73 82 90 101 118 122 124 125 128 132 141 142 146 178 179 182 187 189 201 204 211 218 219 222 224 228 232 241 242 244 245 266 273 278 279 287 289 290]\n# step=337 row=25 minW=46 found cw of W=42: [17 18 19 22 23 28 30 43 48 49 54 55 56 62 70 80 88 89 117 118 119 122 123 127 128 143 148 149 154 155 162 170 180 187 188 192 227 230 256 287 289 292]\n# round=1000 of 10000 minW=42\n# round=2000 of 10000 minW=42\n# step=2157 row=97 minW=42 found cw of W=40: [4 9 16 25 28 31 34 40 41 43 49 53 69 70 71 72 91 104 109 116 125 128 131 134 138 140 141 143 149 162 170 171 172 184 191 238 253 262 269 284]\n#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</si>
  <si>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minW=304 found cw of W=74: [2 8 20 21 26 34 37 40 41 42 47 51 54 57 61 65 68 75 79 81 83 91 92 103 104 109 111 120 129 130 135 138 143 145 147 148 152 153 154 155 158 162 163 166 169 173 176 180 182 183 186 189 205 212 221 222 223 228 230 231 242 243 246 248 254 255 264 274 284 285 287 290 293 294]\n# step=0 row=2 minW=74 found cw of W=68: [4 5 9 15 17 21 24 33 41 42 47 53 56 57 58 65 68 70 75 77 79 81 83 89 91 92 104 111 121 125 135 143 147 148 151 157 158 166 171 180 182 186 189 205 206 207 211 212 217 219 222 223 235 236 243 248 252 255 260 270 277 279 285 287 290 291 293 294]\n# step=0 row=8 minW=68 found cw of W=62: [16 17 19 20 24 25 29 37 43 50 52 53 54 57 65 68 75 76 89 90 91 116 119 120 125 135 138 149 151 153 155 157 158 160 166 177 182 184 186 189 191 217 218 219 220 222 227 231 236 245 250 255 258 261 270 277 283 285 287 290 291 293]\n# step=0 row=17 minW=62 found cw of W=58: [1 6 9 17 20 22 33 36 50 53 54 56 60 70 77 79 83 90 91 92 107 120 129 130 135 137 145 147 151 155 161 163 171 180 182 190 191 203 211 219 221 222 224 230 231 235 236 246 248 255 258 264 279 283 285 291 293 294]\n# step=2 row=58 minW=58 found cw of W=56: [10 13 16 17 29 33 41 43 57 60 62 64 67 75 81 85 88 89 115 120 124 134 137 138 142 144 149 158 163 164 165 167 169 182 189 190 193 212 215 216 218 219 221 225 231 238 239 250 262 265 268 269 270 277 287 294]\n# step=4 row=60 minW=56 found cw of W=54: [3 18 30 36 37 40 46 50 51 55 71 72 74 81 82 84 85 114 116 119 123 131 133 137 143 147 164 169 172 174 182 183 185 186 188 191 205 215 217 224 234 239 242 244 252 253 257 265 270 274 275 276 289 292]\n# step=26 row=32 minW=54 found cw of W=50: [6 10 15 19 23 24 42 46 64 68 83 85 86 87 90 103 111 119 120 128 136 143 151 152 165 174 179 185 186 187 189 204 208 217 220 225 226 229 237 248 252 253 270 275 280 285 286 289 290 292]\n# step=163 row=32 minW=50 found cw of W=42: [2 7 12 15 20 33 36 45 57 59 64 73 82 88 90 92 103 112 113 116 121 127 129 134 137 139 146 158 162 165 183 191 209 213 228 230 240 261 263 275 290 294]\n# step=706 row=25 minW=42 found cw of W=40: [11 21 39 42 56 60 64 68 73 74 76 79 88 107 109 112 113 130 143 163 165 174 177 180 184 188 189 208 210 214 223 231 241 258 262 264 270 276 285 289]\n#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</si>
  <si>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minW=307 found cw of W=82: [2 8 9 11 18 20 25 29 31 32 34 35 38 47 53 56 58 60 66 71 72 75 76 80 82 84 85 94 112 117 120 122 124 135 136 141 144 145 151 155 160 162 167 173 174 176 178 182 190 195 202 206 212 213 214 215 219 226 229 233 235 236 237 239 242 243 246 247 251 253 260 269 270 278 279 286 288 289 292 297 298 304]\n# step=0 row=1 minW=82 found cw of W=72: [4 9 16 18 25 31 35 36 41 42 47 53 56 59 70 74 80 84 86 90 94 98 99 105 106 113 118 120 135 137 138 141 151 155 159 162 168 172 174 179 182 188 189 193 196 199 207 213 215 229 235 237 243 245 246 251 253 260 261 263 264 270 276 278 281 288 291 294 295 301 302 303]\n# step=0 row=5 minW=72 found cw of W=66: [8 11 16 17 22 25 29 33 34 36 38 41 46 47 53 55 56 60 67 70 75 77 80 82 84 85 98 105 112 113 118 119 124 136 138 148 155 157 159 169 180 182 184 185 190 207 212 214 229 233 237 242 245 251 260 261 264 274 279 281 282 287 288 289 292 302]\n# step=0 row=11 minW=66 found cw of W=58: [5 8 15 35 36 38 39 53 55 58 66 67 70 71 80 84 90 94 96 112 117 119 124 137 138 143 144 155 157 159 160 167 168 169 172 173 176 182 190 196 202 209 212 214 221 226 242 243 245 246 261 269 278 288 292 294 300 304]\n# step=1 row=9 minW=58 found cw of W=54: [4 15 24 25 27 28 37 46 56 60 61 64 72 78 91 92 94 95 98 99 106 110 126 129 139 148 151 156 158 162 174 180 185 186 189 191 196 197 212 219 229 232 253 258 265 268 287 288 291 293 295 296 302 303]\n# step=2 row=110 minW=54 found cw of W=50: [6 10 21 36 54 59 63 69 76 83 89 91 92 95 112 119 125 129 132 138 153 156 165 167 169 171 182 185 187 194 198 202 210 221 225 227 231 234 255 263 269 271 280 284 289 293 295 299 300 304]\n# step=3 row=21 minW=50 found cw of W=48: [1 3 6 14 24 27 40 42 46 48 56 62 71 82 89 97 101 104 108 111 116 122 126 139 142 144 157 173 179 184 188 191 205 206 207 213 224 231 241 250 252 259 260 266 281 290 301 305]\n# step=49 row=13 minW=48 found cw of W=44: [4 12 13 15 30 38 48 52 57 59 60 78 81 89 91 106 110 115 117 125 132 137 173 175 183 190 191 193 203 212 216 227 239 242 252 256 261 263 264 275 277 282 292 305]\n# step=610 row=29 minW=44 found cw of W=42: [10 12 14 22 46 48 56 60 68 69 70 86 92 93 94 116 117 135 148 150 153 159 162 170 172 177 183 195 214 216 219 226 237 255 260 261 273 279 285 290 296 298]\n# round=1000 of 10000 minW=42\n# round=2000 of 10000 minW=42\n# step=2937 row=31 minW=42 found cw of W=40: [1 2 9 12 19 26 33 43 47 61 74 79 81 82 96 102 104 107 114 116 128 135 144 149 167 184 198 204 205 209 213 218 223 246 247 265 269 278 283 285]\n# round=3000 of 10000 minW=40\n# round=4000 of 10000 minW=40\n# round=5000 of 10000 minW=40\n# round=6000 of 10000 minW=40\n# step=6081 row=41 minW=40 found cw of W=38: [12 30 37 38 41 47 48 64 69 70 76 88 100 108 113 114 120 143 153 166 172 183 190 202 204 210 215 222 234 241 242 251 252 255 273 280 285 306]\n# round=7000 of 10000 minW=38\n# round=8000 of 10000 minW=38\n# round=9000 of 10000 minW=38\n# round=10000 of 10000 minW=38\nRW algorithm upper bound for the distance d=38\n</t>
  </si>
  <si>
    <t># step=0 row=0 minW=310 found cw of W=76: [1 3 5 6 9 11 14 16 20 23 24 28 37 42 45 47 50 56 57 61 62 69 73 77 82 84 87 91 100 108 110 112 119 123 138 145 147 148 150 157 159 164 171 172 173 175 176 183 187 194 201 207 209 212 213 217 220 229 230 234 241 243 250 256 260 263 268 274 276 278 283 286 288 293 304 306]\n# step=0 row=1 minW=76 found cw of W=64: [2 5 6 8 11 13 14 18 20 22 31 32 40 47 56 69 73 75 77 79 84 105 110 111 114 121 123 125 142 143 144 149 153 159 168 172 173 174 175 176 180 182 185 190 211 212 213 219 220 237 238 245 247 252 253 256 271 276 277 278 281 288 290 293]\n# step=0 row=13 minW=64 found cw of W=60: [5 13 18 22 23 41 42 52 54 57 62 69 73 79 82 84 92 98 108 111 118 121 123 125 137 142 145 147 168 172 175 176 182 183 187 190 193 199 214 219 221 226 229 240 245 247 250 258 260 263 268 271 278 286 288 293 296 298 302 304]\n# step=0 row=47 minW=60 found cw of W=58: [5 6 8 9 18 21 22 24 26 32 40 42 47 62 79 92 107 108 110 112 114 121 124 125 129 135 137 138 142 143 145 153 168 171 173 182 187 190 196 210 212 213 214 217 230 240 241 245 253 256 268 271 274 276 290 293 298 299]\n# step=2 row=54 minW=58 found cw of W=52: [5 10 16 22 25 26 34 46 50 53 57 60 71 78 80 81 89 93 95 97 110 125 128 138 149 152 153 156 160 162 163 174 181 184 191 192 195 198 200 211 213 216 222 232 240 241 255 265 286 294 298 299]\n# step=30 row=73 minW=52 found cw of W=50: [1 10 16 19 22 23 29 45 47 52 58 62 65 78 87 91 93 94 107 114 119 122 123 125 126 130 132 148 150 155 161 168 177 179 183 194 207 210 216 217 226 233 268 280 282 284 286 293 299 300]\n# step=45 row=65 minW=50 found cw of W=48: [3 5 11 17 19 20 25 37 40 43 52 55 59 61 71 82 96 106 108 126 131 140 146 154 164 171 174 181 203 205 217 223 225 226 229 231 234 246 257 258 261 265 274 284 288 302 306 308]\n# step=45 row=88 minW=48 found cw of W=46: [11 12 13 20 22 27 33 37 48 52 61 67 69 77 82 90 106 114 116 120 123 125 126 139 140 155 164 170 172 181 185 191 193 197 209 218 223 229 233 239 242 254 283 284 294 300]\n# step=457 row=104 minW=46 found cw of W=44: [20 28 29 35 45 51 57 58 62 79 80 81 83 102 117 118 122 138 149 155 165 180 184 186 192 194 220 221 225 226 234 235 251 252 257 258 263 264 283 285 286 295 297 308]\n# step=515 row=80 minW=44 found cw of W=40: [3 4 9 19 30 33 35 44 65 84 89 93 117 120 126 128 136 138 141 147 157 168 171 187 190 209 210 215 220 223 225 229 231 236 244 260 274 293 295 299]\n# round=1000 of 10000 minW=40\n# round=2000 of 10000 minW=40\n# round=3000 of 10000 minW=40\n# round=4000 of 10000 minW=40\n# round=5000 of 10000 minW=40\n# round=6000 of 10000 minW=40\n# step=6185 row=88 minW=40 found cw of W=38: [10 16 18 45 62 63 66 67 69 74 80 83 100 101 107 147 148 170 177 183 186 187 191 196 210 216 222 224 250 268 269 272 275 290 294 299 306 307]\n# round=7000 of 10000 minW=38\n# round=8000 of 10000 minW=38\n# step=8914 row=37 minW=38 found cw of W=36: [9 13 20 26 34 40 41 51 68 76 89 93 108 112 116 122 123 129 133 137 154 158 164 179 186 211 225 236 246 247 261 267 274 289 295 299]\n# round=9000 of 10000 minW=36\n# round=10000 of 10000 minW=36\nRW algorithm upper bound for the distance d=36\n</t>
  </si>
  <si>
    <t># step=0 row=0 minW=313 found cw of W=88: [1 2 9 16 18 23 25 30 31 37 40 41 43 45 49 50 51 57 61 63 64 66 69 79 81 85 86 90 91 93 95 97 101 106 120 122 123 124 141 143 154 156 168 169 170 172 177 181 190 199 200 201 202 205 206 209 217 227 228 231 233 238 239 247 248 249 251 253 257 259 260 265 269 271 273 276 277 281 285 287 289 293 298 299 301 304 306 310]\n# step=0 row=1 minW=88 found cw of W=84: [1 3 9 15 18 22 23 25 36 40 43 45 47 50 52 58 61 63 65 66 82 85 86 90 95 97 98 101 105 119 120 122 123 125 126 131 140 141 147 150 154 156 158 162 168 177 181 188 189 190 194 195 197 199 200 205 211 217 224 227 229 231 233 235 245 248 253 254 255 262 269 271 272 273 274 281 285 290 292 299 301 304 305 306]\n# step=0 row=2 minW=84 found cw of W=76: [4 15 17 20 22 23 25 26 32 41 45 49 50 51 56 57 58 59 61 64 65 69 81 82 86 90 91 93 95 101 108 119 122 125 126 129 130 150 154 162 163 168 169 172 177 181 188 190 195 197 199 205 206 225 226 228 229 231 240 249 253 254 257 259 264 265 269 276 277 281 285 289 290 292 298 310]\n# step=0 row=7 minW=76 found cw of W=72: [9 12 15 16 17 18 20 30 32 37 40 41 47 57 58 59 61 63 80 82 85 86 91 97 98 105 116 119 120 122 124 126 128 141 143 153 156 162 163 165 172 181 189 190 194 195 201 203 206 209 217 225 230 232 238 240 247 248 249 255 257 260 265 271 276 285 288 290 298 306 307 310]\n# step=0 row=10 minW=72 found cw of W=64: [10 15 16 19 32 43 47 49 51 57 59 61 66 67 81 86 90 91 95 105 114 119 120 124 125 126 128 141 147 153 158 163 167 181 188 190 195 199 200 201 203 209 227 228 229 230 232 240 245 255 259 262 265 269 271 274 275 285 289 292 298 304 305 307]\n# step=0 row=69 minW=64 found cw of W=62: [9 10 15 22 23 24 30 36 40 46 47 49 52 61 63 67 76 81 82 85 91 101 114 119 122 124 140 143 147 150 151 153 167 170 180 194 200 201 205 206 217 226 228 230 231 232 238 247 248 251 260 269 274 275 289 290 293 298 299 304 305 310]\n# step=0 row=93 minW=62 found cw of W=54: [1 15 17 22 24 25 36 43 52 57 59 61 81 82 85 91 93 97 101 105 119 123 124 125 129 141 147 163 165 168 169 194 195 197 205 206 225 227 228 229 230 232 244 245 260 265 272 273 289 290 293 298 305 310]\n# step=84 row=40 minW=54 found cw of W=52: [6 20 21 26 29 32 45 54 57 64 72 76 79 87 88 94 98 105 110 121 129 130 133 136 137 176 178 183 188 189 192 199 202 205 209 225 228 229 233 241 253 262 265 272 282 284 292 293 295 302 303 309]\n# step=92 row=2 minW=52 found cw of W=50: [5 7 11 12 17 36 38 42 45 50 64 65 70 73 74 83 92 104 118 120 140 146 149 154 158 161 169 174 176 177 178 187 196 205 206 213 215 219 220 222 224 225 246 262 265 272 280 309 310 312]\n# step=245 row=115 minW=50 found cw of W=44: [7 19 25 35 42 63 64 71 80 81 85 89 91 92 103 107 111 120 121 125 139 146 155 168 169 173 184 185 189 195 211 224 225 227 229 233 259 271 273 277 279 297 300 311]\n# round=1000 of 10000 minW=44\n# round=2000 of 10000 minW=44\n#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</si>
  <si>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minW=316 found cw of W=88: [1 2 3 9 10 19 21 22 29 33 35 36 43 45 49 51 53 56 58 63 65 66 75 77 92 99 104 105 106 114 116 117 120 121 125 134 136 138 140 146 152 153 155 156 160 161 163 165 166 167 168 170 171 180 182 199 200 210 212 213 220 221 222 225 226 229 230 231 232 241 246 251 253 255 257 258 259 260 263 265 270 271 272 302 304 305 309 314]\n# step=0 row=3 minW=88 found cw of W=86: [1 3 10 11 15 21 22 23 25 33 35 36 45 46 49 51 53 57 58 65 66 67 72 75 77 83 91 94 97 99 104 106 107 108 114 115 116 118 120 122 124 125 129 130 138 140 151 152 156 165 167 170 177 180 182 187 188 199 209 210 212 219 223 227 229 230 231 232 233 234 246 255 257 259 263 267 268 270 272 276 277 292 301 307 309 315]\n# step=0 row=4 minW=86 found cw of W=70: [12 16 21 29 33 34 40 43 53 55 58 63 65 66 67 72 77 87 92 105 106 115 116 118 119 120 122 129 134 136 138 139 144 145 146 155 165 168 170 177 180 182 200 211 220 221 222 223 224 225 226 227 231 234 241 249 251 253 260 263 265 268 270 276 277 285 297 302 305 315]\n# step=0 row=18 minW=70 found cw of W=66: [1 9 10 33 34 45 50 51 52 53 58 65 66 72 76 87 91 97 106 115 117 124 125 129 136 138 139 145 149 152 155 156 157 163 165 166 167 170 171 177 180 181 187 197 210 219 222 229 230 234 241 250 254 255 257 263 270 271 272 285 292 297 301 302 307 315]\n# step=4 row=86 minW=66 found cw of W=64: [12 16 28 38 43 53 61 70 78 79 80 82 84 88 92 94 98 103 107 120 121 126 129 133 143 150 157 166 169 178 185 186 188 189 190 194 199 203 207 208 209 212 222 225 231 234 253 255 262 263 274 280 283 288 289 291 292 293 295 298 299 302 312 314]\n# step=7 row=17 minW=64 found cw of W=58: [4 5 14 18 19 33 42 43 47 55 66 74 76 83 87 95 96 100 109 113 116 119 123 132 138 155 158 160 161 162 164 176 182 192 207 215 218 221 229 237 252 253 257 260 263 266 267 269 276 281 284 286 287 293 305 306 310 312]\n# step=22 row=10 minW=58 found cw of W=54: [6 7 8 10 12 21 22 33 34 42 43 61 67 69 85 89 94 97 111 112 126 129 139 147 158 169 174 177 183 187 191 194 202 208 210 218 220 222 232 234 243 253 263 271 274 277 282 288 292 295 296 304 313 315]\n# step=256 row=20 minW=54 found cw of W=52: [2 9 11 29 32 34 37 48 51 57 70 77 80 81 86 105 107 109 114 127 132 142 143 149 153 155 156 165 174 175 185 186 200 205 214 221 232 237 239 242 244 248 254 260 267 270 279 287 296 305 310 315]\n# round=1000 of 10000 minW=52\n# round=2000 of 10000 minW=52\n# step=2194 row=37 minW=52 found cw of W=50: [3 9 16 19 21 33 37 40 53 74 89 92 108 110 118 119 124 126 127 132 139 142 145 149 167 169 179 182 184 188 197 206 215 219 223 224 226 232 237 243 244 254 263 272 274 287 289 293 299 311]\n# round=3000 of 10000 minW=50\n# step=3077 row=74 minW=50 found cw of W=48: [8 11 15 21 22 33 40 41 42 49 50 53 57 64 65 67 81 89 90 92 111 113 116 120 128 147 149 154 158 162 167 169 170 172 186 195 197 216 231 232 233 243 250 251 254 260 272 299]\n# round=4000 of 10000 minW=48\n# round=5000 of 10000 minW=48\n# round=6000 of 10000 minW=48\n# round=7000 of 10000 minW=48\n# round=8000 of 10000 minW=48\n# step=8590 row=6 minW=48 found cw of W=46: [1 2 7 25 26 28 31 46 54 63 70 82 86 89 92 94 107 110 112 136 141 151 156 157 159 188 191 192 197 199 205 211 215 235 236 238 246 261 262 273 280 292 293 297 299 310]\n# round=9000 of 10000 minW=46\n# round=10000 of 10000 minW=46\nRW algorithm upper bound for the distance d=46\n</t>
  </si>
  <si>
    <t># step=0 row=0 minW=319 found cw of W=76: [2 11 12 19 20 26 28 37 39 42 43 45 47 50 54 55 66 67 79 82 88 91 94 104 107 108 120 123 126 130 141 143 149 153 154 163 166 172 177 187 188 190 194 198 203 210 211 213 223 224 226 229 231 236 238 240 247 251 254 257 260 262 266 267 269 272 279 283 291 293 296 303 304 306 309 317]\n# step=0 row=2 minW=76 found cw of W=70: [7 8 12 21 22 26 28 32 35 36 39 43 45 55 64 67 82 97 100 102 104 108 113 114 116 120 130 133 141 145 161 163 166 172 177 185 187 188 194 198 203 206 210 211 214 222 224 226 233 234 236 238 239 240 244 248 255 257 269 272 276 278 279 283 291 293 300 304 314 317]\n# step=0 row=10 minW=70 found cw of W=68: [3 5 10 11 12 14 15 17 18 19 21 22 33 35 36 39 43 44 50 69 77 81 88 94 100 104 107 111 116 123 133 149 163 166 175 177 190 197 203 206 210 213 215 223 224 226 227 230 231 233 234 239 245 247 248 251 256 262 269 272 283 289 293 296 300 303 306 309]\n# step=0 row=11 minW=68 found cw of W=62: [1 10 12 14 18 19 20 26 28 31 34 35 38 39 42 44 54 55 66 68 77 79 82 94 107 120 133 140 141 144 149 154 157 161 166 187 188 194 222 224 230 231 232 238 239 240 243 251 254 255 256 260 263 266 272 278 280 289 291 293 300 306]\n# step=0 row=45 minW=62 found cw of W=56: [7 10 14 19 20 24 26 28 31 35 36 43 54 64 67 68 69 77 88 107 113 117 126 130 141 145 149 163 175 177 180 187 197 203 213 222 223 226 231 238 240 243 248 251 266 269 276 279 280 283 286 289 293 300 303 309]\n# step=0 row=76 minW=56 found cw of W=46: [15 18 19 22 31 32 36 39 45 54 68 71 75 77 82 94 104 107 121 141 161 172 177 181 185 188 190 210 213 230 231 234 243 244 247 248 251 257 266 267 278 280 289 291 296 306]\n# step=10 row=88 minW=46 found cw of W=44: [2 10 11 16 18 25 33 38 40 44 45 53 79 94 104 108 117 120 122 124 126 128 144 150 151 159 181 182 198 209 222 226 232 234 237 245 252 287 288 291 304 306 315 316]\n# step=562 row=78 minW=44 found cw of W=42: [17 24 34 38 54 57 58 59 67 69 78 97 116 128 130 140 144 148 160 161 163 164 165 168 172 173 175 176 178 184 203 210 222 229 234 254 267 274 278 282 284 316]\n# round=1000 of 10000 minW=42\n# step=1338 row=72 minW=42 found cw of W=40: [2 4 7 10 13 23 49 54 65 66 67 79 90 108 113 116 117 119 122 148 155 172 173 176 184 185 186 200 216 223 228 235 254 266 277 282 290 292 302 306]\n# round=2000 of 10000 minW=40\n# round=3000 of 10000 minW=40\n# round=4000 of 10000 minW=40\n# round=5000 of 10000 minW=40\n# round=6000 of 10000 minW=40\n# round=7000 of 10000 minW=40\n# round=8000 of 10000 minW=40\n# round=9000 of 10000 minW=40\n# step=9071 row=97 minW=40 found cw of W=38: [19 20 40 44 50 51 53 59 62 76 83 108 125 133 141 146 150 155 157 168 171 175 176 189 197 214 232 239 247 261 262 265 271 277 281 282 288 303]\n# round=10000 of 10000 minW=38\nRW algorithm upper bound for the distance d=38\n</t>
  </si>
  <si>
    <t># step=0 row=0 minW=322 found cw of W=76: [1 2 6 14 16 26 27 30 32 34 48 49 53 54 55 58 62 65 67 71 72 84 89 91 98 105 108 109 111 113 118 133 134 136 139 141 146 150 155 159 162 165 166 172 178 179 180 181 194 195 198 200 205 212 218 225 228 230 243 244 253 257 263 266 267 268 273 276 281 287 288 298 301 302 303 307]\n# step=0 row=1 minW=76 found cw of W=72: [3 14 20 30 32 34 39 48 53 54 55 57 58 72 77 89 92 93 94 95 97 100 101 108 110 112 118 121 123 125 141 156 159 162 164 165 168 169 184 185 193 196 204 205 206 215 219 225 230 232 234 244 246 253 262 263 266 267 268 275 276 286 292 300 306 307 308 309 312 313 314 315]\n# step=0 row=72 minW=72 found cw of W=68: [5 6 14 20 29 32 34 44 49 50 51 54 55 57 58 62 69 72 76 77 88 90 92 98 112 113 122 136 141 155 156 160 164 165 166 169 176 182 184 194 195 197 203 204 206 212 228 229 234 246 258 262 264 265 267 268 269 273 286 289 290 301 306 310 311 312 313 319]\n# step=0 row=73 minW=68 found cw of W=64: [14 27 45 49 51 62 64 69 88 89 93 94 95 97 98 105 108 109 111 112 122 125 134 137 139 156 165 168 176 179 185 193 194 195 199 200 204 207 215 216 218 219 228 229 232 244 246 259 265 272 275 276 278 286 292 300 301 303 306 308 309 312 314 319]\n# step=1 row=47 minW=64 found cw of W=62: [3 4 5 13 14 15 18 27 30 31 35 37 39 44 52 54 60 69 71 92 94 97 100 109 120 121 122 125 128 131 132 137 138 142 151 159 161 163 171 177 178 190 201 204 216 217 218 219 235 238 239 241 251 253 270 274 278 283 284 297 306 314]\n# step=12 row=103 minW=62 found cw of W=60: [1 8 9 12 17 24 28 34 37 40 41 51 52 57 59 63 75 76 79 81 91 98 109 110 114 124 130 147 149 158 161 170 171 178 182 183 198 205 215 216 217 221 222 223 226 237 238 242 248 251 255 256 266 268 271 273 278 285 293 295]\n# step=21 row=73 minW=60 found cw of W=58: [5 14 22 25 27 35 38 40 41 44 49 58 72 73 74 75 76 79 88 92 94 95 97 101 121 124 134 135 142 148 160 165 166 179 180 181 182 183 195 201 202 204 208 212 219 231 236 239 242 252 254 258 263 267 273 293 306 319]\n# step=28 row=110 minW=58 found cw of W=56: [2 19 28 30 37 41 46 54 64 77 86 96 99 100 117 118 126 127 129 141 144 148 153 160 161 170 173 175 182 184 193 195 201 203 204 205 206 207 216 224 225 234 236 242 244 248 267 277 278 280 282 289 302 308 311 312]\n# step=107 row=11 minW=56 found cw of W=54: [11 22 25 28 36 40 50 51 59 64 70 75 83 93 100 101 105 108 115 117 121 130 132 135 146 147 151 157 158 166 182 184 191 200 211 212 215 222 224 225 228 236 237 250 253 258 278 284 291 297 298 314 315 318]\n# step=532 row=27 minW=54 found cw of W=52: [1 6 7 8 11 12 18 25 33 38 50 51 56 72 73 75 84 85 88 89 91 92 97 113 119 125 132 145 158 176 180 182 191 195 196 199 204 207 212 215 221 222 225 247 264 270 283 286 299 305 314 319]\n# step=562 row=95 minW=52 found cw of W=50: [5 15 28 30 32 36 38 59 66 67 69 72 83 84 98 101 112 113 116 150 153 156 169 172 175 190 200 220 223 229 242 244 246 250 252 257 260 263 273 276 279 280 281 282 283 286 298 307 312 315]\n# step=563 row=84 minW=50 found cw of W=46: [1 9 11 22 24 28 31 35 40 48 49 51 57 63 64 65 66 75 76 85 118 129 152 155 158 166 173 182 183 186 192 215 223 238 242 245 249 254 259 263 271 273 277 278 279 293]\n# round=1000 of 10000 minW=46\n# round=2000 of 10000 minW=46\n# step=2708 row=19 minW=46 found cw of W=44: [4 22 28 29 33 40 45 49 60 73 74 85 87 93 94 111 115 116 129 140 152 156 160 161 189 192 195 201 209 222 223 242 243 254 267 268 274 287 288 296 301 302 307 316]\n# round=3000 of 10000 minW=44\n# round=4000 of 10000 minW=44\n# round=5000 of 10000 minW=44\n# round=6000 of 10000 minW=44\n# round=7000 of 10000 minW=44\n# round=8000 of 10000 minW=44\n# round=9000 of 10000 minW=44\n# round=10000 of 10000 minW=44\nRW algorithm upper bound for the distance d=44\n</t>
  </si>
  <si>
    <t># step=0 row=0 minW=325 found cw of W=76: [1 4 7 8 12 13 21 25 29 33 45 58 59 61 67 68 69 73 74 78 85 89 90 93 104 109 114 127 131 132 133 137 139 145 147 149 153 154 160 161 167 169 175 186 193 198 200 202 220 222 223 224 228 229 235 237 239 240 247 249 253 255 257 262 268 269 274 284 285 289 290 305 308 309 310 320]\n# step=0 row=1 minW=76 found cw of W=68: [3 7 9 11 12 13 25 27 29 49 53 58 59 60 67 78 80 85 89 90 93 98 103 104 107 111 114 116 127 129 133 135 147 149 154 157 167 182 186 198 202 215 222 223 224 225 227 228 229 235 237 245 255 257 262 269 274 276 283 290 296 301 305 309 310 314 319 320]\n# step=0 row=2 minW=68 found cw of W=44: [6 7 8 10 13 33 52 57 61 67 74 85 93 94 103 107 114 116 120 127 132 139 160 161 165 169 182 193 201 213 215 223 226 228 229 235 240 247 249 269 283 310 319 321]\n# step=0 row=66 minW=44 found cw of W=40: [6 7 12 18 25 29 33 44 60 67 68 74 78 80 85 93 103 116 120 126 133 149 152 168 175 186 188 193 202 222 223 224 245 249 257 284 290 309 310 319]\n# step=122 row=101 minW=40 found cw of W=38: [11 19 28 36 49 50 56 62 67 68 71 74 98 99 103 115 127 134 136 140 144 158 175 176 182 206 208 211 223 227 242 248 265 272 278 287 315 316]\n# step=375 row=134 minW=38 found cw of W=36: [18 21 30 41 42 47 53 60 66 68 70 99 126 130 138 150 161 166 176 178 182 191 207 209 213 237 238 257 263 274 276 282 290 299 317 321]\n# round=1000 of 10000 minW=36\n# round=2000 of 10000 minW=36\n# step=2732 row=122 minW=36 found cw of W=34: [28 40 41 45 54 61 71 73 74 95 100 104 123 136 139 140 148 149 162 169 180 181 201 208 231 247 248 261 287 288 290 309 311 320]\n# round=3000 of 10000 minW=34\n# round=4000 of 10000 minW=34\n# step=4283 row=93 minW=34 found cw of W=32: [2 11 24 59 60 64 67 80 93 105 110 140 147 152 165 167 168 172 175 187 196 201 213 227 240 248 255 260 273 295 296 304]\n# round=5000 of 10000 minW=32\n# round=6000 of 10000 minW=32\n# round=7000 of 10000 minW=32\n# round=8000 of 10000 minW=32\n# round=9000 of 10000 minW=32\n# round=10000 of 10000 minW=32\nRW algorithm upper bound for the distance d=32\n</t>
  </si>
  <si>
    <t># step=0 row=0 minW=328 found cw of W=66: [1 2 7 8 12 21 36 40 45 48 53 54 55 65 66 68 73 92 95 96 103 104 105 116 117 121 122 129 134 145 148 154 160 170 175 177 182 189 191 192 198 214 219 220 231 238 239 243 257 258 266 269 271 272 273 279 283 298 300 301 307 310 313 314 321 322]\n# step=0 row=3 minW=66 found cw of W=60: [2 7 8 9 13 40 42 45 51 64 65 66 82 90 96 97 100 103 105 106 109 111 117 118 119 134 139 154 189 192 196 198 199 201 215 216 225 228 231 243 248 258 260 269 282 283 284 298 300 301 305 307 310 314 315 318 321 323 325 327]\n# step=0 row=5 minW=60 found cw of W=58: [2 4 7 11 12 26 30 32 40 42 64 66 86 90 92 96 97 100 106 109 117 121 130 134 135 141 148 170 187 191 196 199 209 215 216 220 222 225 226 229 239 243 248 257 258 260 279 282 284 296 300 304 305 310 314 315 325 327]\n# step=0 row=50 minW=58 found cw of W=50: [2 4 13 21 30 40 42 55 86 90 96 100 103 107 111 116 117 119 123 129 150 170 175 187 198 199 209 214 222 225 226 228 231 232 238 239 248 258 259 260 273 279 284 296 304 307 314 321 323 325]\n# step=4 row=6 minW=50 found cw of W=46: [6 14 15 23 26 27 42 43 48 50 70 88 97 102 103 122 124 128 132 135 136 153 157 159 169 179 196 199 200 210 211 212 224 231 232 237 260 261 262 278 305 306 308 309 315 319]\n# step=37 row=78 minW=46 found cw of W=44: [5 7 8 15 17 18 28 40 50 75 80 81 84 85 89 91 106 109 114 116 119 137 149 181 184 190 193 194 195 200 212 226 228 233 235 236 268 290 298 304 307 321 324 327]\n# step=80 row=71 minW=44 found cw of W=42: [6 8 12 20 37 42 57 59 60 61 64 70 86 100 105 115 139 146 150 151 164 168 169 170 173 179 194 197 211 214 226 230 238 248 259 273 275 303 304 306 318 320]\n# step=725 row=35 minW=42 found cw of W=40: [10 14 19 37 56 57 71 73 78 89 104 110 114 130 136 146 153 165 166 171 182 184 187 196 198 202 213 219 223 228 232 237 239 245 262 280 289 293 305 311]\n# round=1000 of 10000 minW=40\n# round=2000 of 10000 minW=40\n# step=2065 row=138 minW=40 found cw of W=36: [1 4 11 39 44 57 94 97 107 109 123 149 157 164 165 173 186 188 203 218 219 222 229 232 257 258 262 266 273 274 275 282 295 297 315 325]\n#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</si>
  <si>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minW=331 found cw of W=66: [1 2 4 7 12 17 24 32 34 39 52 55 56 57 60 70 74 86 93 97 100 106 113 120 124 128 143 144 146 148 160 162 165 166 167 168 175 196 202 203 210 216 221 222 223 224 227 230 232 234 237 238 244 252 253 256 258 259 270 278 280 285 290 294 312 317]\n# step=0 row=1 minW=66 found cw of W=62: [1 3 7 11 12 14 17 18 24 29 32 33 34 43 47 50 57 60 70 74 83 85 93 95 100 111 121 127 139 143 144 157 160 165 167 175 188 193 195 200 201 203 205 207 223 227 232 234 238 244 252 263 275 280 285 290 294 298 310 311 317 320]\n# step=0 row=2 minW=62 found cw of W=48: [5 12 17 18 24 25 29 38 43 50 56 60 64 65 85 100 106 111 113 120 139 142 144 166 168 174 175 188 195 216 221 223 225 230 232 237 238 244 245 252 254 258 263 270 278 280 298 320]\n# step=6 row=51 minW=48 found cw of W=44: [1 5 10 19 25 33 37 45 67 80 84 93 104 106 107 114 115 120 125 129 135 138 143 155 177 185 189 194 203 211 214 216 217 219 221 224 235 248 257 295 299 300 321 329]\n# step=19 row=134 minW=44 found cw of W=40: [2 6 11 22 24 27 46 58 60 61 90 93 97 102 107 123 133 156 159 168 171 199 203 206 212 217 222 226 231 233 242 243 244 247 269 280 309 310 316 317]\n# step=71 row=53 minW=40 found cw of W=36: [5 14 15 39 40 53 54 63 82 90 101 103 115 116 118 124 125 140 149 164 173 179 185 200 211 212 226 228 250 260 273 289 295 302 322 323]\n#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</si>
  <si>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minW=334 found cw of W=80: [1 2 7 11 14 20 22 24 30 38 43 45 49 51 57 58 64 65 67 70 79 94 95 101 108 118 120 121 122 126 131 135 142 147 149 156 169 174 176 178 180 181 182 186 188 189 190 194 197 205 206 209 215 219 223 224 231 232 236 237 244 252 253 258 265 271 273 279 285 286 291 293 297 299 300 305 308 320 323 326]\n# step=0 row=1 minW=80 found cw of W=60: [1 4 5 11 14 22 34 38 43 50 51 55 64 65 70 94 104 105 108 115 116 117 122 126 142 145 147 149 156 159 170 174 175 179 186 205 209 219 223 228 236 237 244 253 258 265 267 270 272 273 277 281 285 287 290 292 297 320 326 327]\n# step=0 row=21 minW=60 found cw of W=58: [8 11 14 15 24 30 38 44 45 50 55 57 58 67 70 74 93 94 95 105 115 122 135 147 149 156 169 170 171 174 178 181 182 188 204 205 206 210 212 226 230 236 237 252 258 266 272 277 279 281 282 285 293 296 299 321 323 327]\n# step=0 row=30 minW=58 found cw of W=56: [5 7 8 11 20 45 49 51 58 62 63 64 74 83 108 116 118 120 122 131 141 142 147 156 163 169 170 173 174 175 178 181 189 206 209 212 215 219 230 231 252 253 258 271 273 274 281 289 292 296 300 305 317 320 323 326]\n# step=0 row=46 minW=56 found cw of W=54: [7 11 14 15 34 51 57 58 64 65 67 79 90 95 101 104 105 108 118 120 122 142 145 163 169 170 174 175 178 179 186 190 209 210 212 219 231 236 237 253 273 274 279 281 285 287 290 297 312 317 320 321 326 327]\n# step=2 row=57 minW=54 found cw of W=52: [1 3 8 19 21 33 36 41 42 57 63 65 81 88 96 106 108 109 119 128 130 138 144 145 147 150 152 153 154 168 176 198 205 213 223 225 239 243 249 256 261 265 285 303 309 310 316 318 324 328 330 331]\n# step=2 row=101 minW=52 found cw of W=50: [1 8 26 29 45 52 61 62 91 95 102 109 119 128 130 136 137 139 155 156 159 163 168 173 174 190 202 207 213 214 216 217 223 239 241 247 250 251 266 270 279 283 285 301 317 318 325 327 328 331]\n# step=3 row=44 minW=50 found cw of W=48: [1 22 25 31 33 36 37 41 57 58 64 66 68 69 84 94 96 99 100 109 112 133 147 152 154 155 168 169 172 179 189 195 207 210 211 247 253 255 259 265 266 283 286 288 291 300 316 331]\n# step=11 row=2 minW=48 found cw of W=46: [1 8 10 12 26 31 39 40 48 50 53 57 61 87 90 96 99 105 112 119 123 133 142 144 150 151 159 161 168 172 174 207 210 215 216 218 232 244 248 255 275 285 309 312 326 329]\n# step=31 row=34 minW=46 found cw of W=44: [25 29 30 31 35 37 38 53 70 78 103 106 117 129 134 136 140 142 146 149 161 163 164 181 189 194 203 208 211 214 217 219 228 240 245 252 259 272 274 305 314 319 322 330]\n# step=37 row=34 minW=44 found cw of W=42: [11 44 54 60 81 85 95 97 99 107 114 121 122 155 157 158 165 169 173 182 190 192 195 196 205 206 210 217 225 232 268 269 280 282 284 293 301 306 316 319 328 329]\n# step=50 row=58 minW=42 found cw of W=40: [1 3 18 19 26 49 52 62 63 66 80 84 104 112 120 121 127 129 130 132 137 146 160 177 187 191 196 215 225 231 232 238 243 257 274 284 285 298 306 307]\n# step=337 row=70 minW=40 found cw of W=32: [1 12 38 47 55 59 60 65 72 94 96 121 123 125 136 148 158 166 176 183 200 223 232 236 247 259 260 281 282 311 316 318]\n# round=1000 of 10000 minW=32\n#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</si>
  <si>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minW=337 found cw of W=64: [1 2 7 10 15 22 23 30 31 32 40 41 47 59 61 64 69 79 83 85 93 119 121 122 126 127 134 138 140 142 144 146 152 153 164 171 176 180 182 192 194 195 197 205 211 225 226 233 238 247 250 252 255 258 271 276 285 292 293 294 303 304 306 323]\n# step=0 row=48 minW=64 found cw of W=60: [1 6 10 12 22 23 26 30 40 41 46 47 69 79 80 85 93 97 113 116 121 122 134 138 140 142 146 147 153 158 174 180 182 187 194 205 210 216 228 230 233 236 247 252 258 259 264 271 286 292 293 294 299 303 304 306 309 321 322 328]\n# step=0 row=95 minW=60 found cw of W=56: [4 6 14 16 17 26 29 52 59 64 75 78 79 80 85 94 120 121 125 126 134 138 142 146 152 156 162 171 190 192 197 207 215 216 228 230 232 233 237 240 241 246 253 254 258 264 268 274 276 288 299 303 318 319 327 328]\n# step=3 row=50 minW=56 found cw of W=54: [3 9 13 15 17 19 40 42 45 59 65 68 70 73 80 90 98 129 131 132 135 136 137 143 148 152 154 170 171 174 177 182 189 202 211 227 233 237 239 244 247 248 249 255 260 269 282 286 292 297 301 304 322 323]\n# step=3 row=92 minW=54 found cw of W=50: [6 12 13 17 20 26 36 37 65 68 70 83 90 100 114 119 124 125 130 134 148 149 162 182 185 188 189 203 207 211 226 230 231 241 242 244 246 250 274 289 292 297 300 301 307 314 315 319 323 324]\n# step=181 row=35 minW=50 found cw of W=48: [4 7 33 37 45 70 73 75 78 80 90 92 94 97 101 114 119 120 135 137 145 149 159 170 174 188 190 192 195 204 209 226 228 232 247 249 269 271 282 286 294 297 299 300 307 314 318 325]\n# step=437 row=83 minW=48 found cw of W=42: [11 27 36 43 54 59 68 69 74 80 83 95 103 120 124 125 127 129 130 139 144 155 166 171 186 192 195 207 213 215 232 235 236 237 239 241 242 256 260 292 293 325]\n# round=1000 of 10000 minW=42\n# round=2000 of 10000 minW=42\n# round=3000 of 10000 minW=42\n# round=4000 of 10000 minW=42\n# step=4342 row=45 minW=42 found cw of W=40: [1 4 9 41 42 45 51 61 76 87 91 94 116 119 121 144 154 157 173 182 185 200 203 205 207 208 225 231 256 265 275 294 297 300 311 312 317 318 319 320]\n# round=5000 of 10000 minW=40\n# round=6000 of 10000 minW=40\n# round=7000 of 10000 minW=40\n# round=8000 of 10000 minW=40\n# round=9000 of 10000 minW=40\n# round=10000 of 10000 minW=40\nRW algorithm upper bound for the distance d=40\n</t>
  </si>
  <si>
    <t># step=0 row=0 minW=340 found cw of W=62: [1 9 10 11 24 26 31 39 42 44 52 53 57 60 64 68 69 71 73 75 78 89 90 112 122 123 124 126 139 144 152 157 165 167 177 181 182 184 186 191 197 201 202 203 204 214 215 225 227 239 250 268 279 280 283 286 301 310 314 317 327 328]\n# step=0 row=4 minW=62 found cw of W=60: [5 9 10 11 24 26 38 39 46 48 56 60 62 69 78 81 84 86 89 112 118 130 131 139 150 152 157 161 171 175 182 191 194 199 203 204 211 214 221 225 235 236 237 243 244 250 263 264 270 272 282 284 286 310 315 316 317 324 327 334]\n# step=0 row=10 minW=60 found cw of W=54: [9 16 42 44 56 57 60 71 72 77 79 84 87 89 122 124 129 130 131 145 150 157 165 171 183 184 185 190 198 200 201 214 215 221 237 243 244 258 263 268 278 282 283 284 286 296 305 310 311 314 315 327 328 334]\n# step=2 row=35 minW=54 found cw of W=52: [4 14 26 28 31 32 35 63 66 80 82 90 99 108 117 124 127 134 139 143 144 145 157 158 162 168 177 178 179 193 198 199 209 212 237 247 254 256 261 270 271 275 281 289 290 291 308 311 312 316 322 334]\n# step=7 row=144 minW=52 found cw of W=50: [28 30 33 42 44 49 56 66 70 72 76 77 81 83 107 109 141 150 153 159 164 169 181 183 189 190 193 194 206 220 221 223 256 259 263 266 268 270 272 275 277 292 294 298 306 309 319 334 335 336]\n# step=8 row=133 minW=50 found cw of W=46: [10 18 31 35 39 42 43 54 59 65 79 84 117 118 123 124 131 144 150 160 167 171 172 173 178 184 186 192 199 204 230 231 237 261 263 265 268 269 273 284 286 297 299 310 312 317]\n# step=25 row=64 minW=46 found cw of W=44: [2 7 11 24 26 42 50 53 54 61 62 74 85 87 89 91 92 95 115 120 137 140 154 163 167 168 175 204 205 225 237 252 253 267 268 279 281 287 300 311 313 315 321 338]\n# step=39 row=8 minW=44 found cw of W=42: [7 14 26 31 44 51 52 80 86 100 103 106 138 157 162 164 167 171 193 196 198 211 212 213 216 218 233 240 251 252 257 275 278 280 284 309 311 312 324 325 331 332]\n# step=514 row=56 minW=42 found cw of W=40: [5 11 42 46 50 54 61 65 66 70 74 75 84 98 118 122 134 167 171 174 179 183 188 197 205 211 216 220 235 237 247 268 272 276 284 291 300 318 329 333]\n# step=943 row=17 minW=40 found cw of W=38: [1 20 26 29 32 49 59 67 69 98 104 109 114 119 122 133 139 142 146 158 162 172 180 193 197 214 217 222 232 235 258 259 271 295 306 310 324 327]\n# round=1000 of 10000 minW=38\n# round=2000 of 10000 minW=38\n# step=2393 row=112 minW=38 found cw of W=36: [4 44 57 60 75 78 79 89 92 97 100 105 117 121 146 155 166 170 173 187 191 204 234 259 268 270 279 300 301 305 315 317 318 323 326 331]\n# step=2513 row=135 minW=36 found cw of W=34: [1 7 38 53 77 87 91 110 114 122 131 151 154 163 165 167 170 181 219 223 233 235 244 267 276 278 279 280 283 294 303 313 317 332]\n# round=3000 of 10000 minW=34\n# step=3056 row=93 minW=34 found cw of W=30: [6 22 28 77 82 98 99 104 118 119 136 141 142 163 168 190 195 210 212 221 231 248 249 255 276 281 323 324 330 334]\n# round=4000 of 10000 minW=30\n# round=5000 of 10000 minW=30\n# round=6000 of 10000 minW=30\n# round=7000 of 10000 minW=30\n# round=8000 of 10000 minW=30\n# round=9000 of 10000 minW=30\n# round=10000 of 10000 minW=30\nRW algorithm upper bound for the distance d=30\n</t>
  </si>
  <si>
    <t># step=0 row=0 minW=343 found cw of W=72: [1 3 5 15 16 22 28 35 36 46 47 48 55 60 61 62 65 71 80 95 96 97 98 99 119 126 136 139 141 143 150 157 161 162 169 171 174 175 179 181 188 194 201 205 209 210 211 212 214 218 229 231 240 243 244 253 255 256 257 263 271 274 285 290 295 299 302 315 319 327 328 332]\n# step=0 row=1 minW=72 found cw of W=60: [3 4 5 13 16 18 22 23 25 35 38 42 58 62 65 68 70 76 96 98 118 119 121 127 136 137 139 149 150 154 156 157 167 175 184 188 190 202 210 212 213 218 231 235 244 246 264 266 268 271 281 286 289 290 293 296 302 316 327 332]\n# step=0 row=5 minW=60 found cw of W=58: [3 5 11 13 16 18 22 35 36 38 46 70 76 79 98 99 119 125 127 128 132 136 139 143 149 150 162 172 173 176 179 182 188 190 202 204 212 221 231 242 244 253 257 266 274 276 286 287 290 293 296 298 302 307 316 318 327 335]\n# step=0 row=10 minW=58 found cw of W=56: [10 13 14 15 16 22 23 24 34 38 48 55 59 65 70 91 95 97 98 99 121 124 127 132 136 137 138 148 154 169 175 179 181 184 189 194 209 211 212 214 235 242 243 244 246 266 268 276 287 289 295 303 308 319 327 328]\n# step=0 row=29 minW=56 found cw of W=54: [3 5 13 18 23 25 34 43 55 60 61 66 67 70 76 91 97 99 119 121 126 127 132 137 139 143 148 150 154 162 169 172 174 175 181 190 202 211 213 214 231 235 240 257 264 268 271 276 286 294 298 316 319 328]\n# step=0 row=120 minW=54 found cw of W=52: [10 15 22 25 28 35 42 43 46 47 48 58 59 71 95 98 124 136 139 149 150 156 157 161 162 163 171 172 173 175 179 182 188 189 194 209 212 213 243 256 264 274 277 285 289 293 296 299 302 303 308 327]\n# step=0 row=132 minW=52 found cw of W=50: [10 13 35 46 48 60 62 65 68 70 71 91 95 97 124 127 128 143 149 150 154 162 173 174 176 179 189 194 196 202 209 211 213 218 242 257 264 268 274 287 296 298 299 303 308 310 316 319 327 332]\n# step=4 row=42 minW=50 found cw of W=48: [4 16 18 19 20 21 23 42 44 45 47 52 69 75 80 85 92 104 117 123 130 132 142 144 156 158 161 194 199 213 218 219 231 232 237 247 248 249 251 256 258 273 280 297 303 320 327 333]\n# step=13 row=37 minW=48 found cw of W=46: [5 12 22 30 34 37 47 48 50 54 56 73 76 80 84 85 119 126 132 136 139 148 150 161 162 164 168 170 172 173 180 187 194 207 246 253 258 264 265 286 287 294 304 312 313 321]\n# step=26 row=127 minW=46 found cw of W=44: [7 20 21 44 47 49 53 73 75 76 83 86 94 99 100 112 121 135 137 158 179 184 187 197 198 210 214 223 248 251 275 277 281 293 298 303 304 312 314 322 324 327 337 340]\n# step=47 row=133 minW=44 found cw of W=40: [2 3 23 27 34 58 74 79 89 96 98 106 116 117 125 137 141 147 151 156 159 170 172 177 188 191 239 261 262 265 270 273 284 291 305 307 317 324 326 334]\n# step=226 row=58 minW=40 found cw of W=36: [6 22 27 62 68 73 80 98 115 119 124 126 127 131 136 137 174 176 189 220 229 233 234 238 240 241 245 251 255 288 296 301 303 308 326 334]\n# round=1000 of 10000 minW=36\n# round=2000 of 10000 minW=36\n# step=2472 row=37 minW=36 found cw of W=34: [5 8 27 39 40 45 58 70 88 93 128 146 151 153 154 159 175 202 207 215 223 224 233 236 242 255 260 265 286 289 298 329 337 338]\n# round=3000 of 10000 minW=34\n# step=3374 row=56 minW=34 found cw of W=28: [7 16 19 21 27 37 39 59 66 87 96 104 118 121 133 135 151 153 180 199 232 244 255 287 313 315 324 332]\n# round=4000 of 10000 minW=28\n# round=5000 of 10000 minW=28\n# round=6000 of 10000 minW=28\n# round=7000 of 10000 minW=28\n# round=8000 of 10000 minW=28\n# round=9000 of 10000 minW=28\n# round=10000 of 10000 minW=28\nRW algorithm upper bound for the distance d=28\n</t>
  </si>
  <si>
    <t># step=0 row=0 minW=346 found cw of W=98: [1 2 8 12 13 14 15 21 24 25 31 37 42 46 48 51 53 55 58 59 60 62 63 66 69 80 81 88 91 95 96 102 105 108 117 125 127 128 129 131 142 144 145 149 157 159 161 163 168 173 174 176 178 182 183 195 196 199 203 206 210 212 213 216 217 219 220 231 238 240 245 246 251 254 255 257 259 260 261 264 267 274 281 285 290 291 292 296 297 298 299 314 326 327 328 331 334 338]\n# step=0 row=3 minW=98 found cw of W=86: [8 9 12 13 16 18 22 24 26 35 40 53 54 55 58 59 60 61 62 63 80 85 88 93 95 100 105 124 127 133 141 145 146 155 159 163 166 168 169 173 174 176 178 182 183 190 195 196 199 200 204 206 213 216 217 219 220 238 243 246 252 254 260 261 265 274 278 281 285 290 292 297 298 305 311 314 318 319 321 323 325 328 330 331 332 334]\n# step=0 row=10 minW=86 found cw of W=82: [2 3 12 13 21 22 24 29 31 34 42 44 46 48 51 52 55 63 65 67 91 92 96 98 100 105 108 117 118 127 131 144 145 149 157 159 161 163 167 169 172 175 176 178 182 184 196 198 204 206 212 213 214 216 219 220 243 246 251 252 254 260 261 281 284 285 287 290 291 295 299 311 313 319 322 326 327 329 330 331 334 338]\n# step=0 row=40 minW=82 found cw of W=70: [2 5 6 8 11 13 15 18 24 26 42 46 53 60 65 66 67 69 75 78 80 91 94 95 96 100 108 117 118 120 123 126 128 133 135 141 142 157 159 161 168 169 175 195 203 206 209 212 213 233 236 245 250 254 257 274 284 295 296 297 299 305 308 318 325 326 327 328 330 338]\n# step=1 row=23 minW=70 found cw of W=66: [5 7 8 11 13 17 21 25 39 59 80 85 88 89 90 101 105 106 120 121 122 128 133 142 143 146 147 155 158 174 189 192 200 203 205 207 208 210 214 216 220 221 222 236 238 241 247 248 251 255 257 258 261 262 269 270 273 304 307 310 319 322 323 325 329 337]\n# step=33 row=21 minW=66 found cw of W=62: [10 23 25 31 36 38 43 52 59 64 71 73 93 98 103 107 117 123 127 130 138 140 145 146 153 157 158 163 165 172 179 183 186 188 193 203 208 209 211 218 223 232 238 240 242 245 260 266 272 278 280 282 287 289 298 308 318 324 326 328 337 338]\n# round=1000 of 10000 minW=62\n# step=1346 row=7 minW=62 found cw of W=58: [1 7 10 15 18 20 29 30 35 36 45 47 55 59 63 64 78 80 85 117 122 130 133 135 145 149 150 151 167 170 178 180 193 194 196 206 219 222 223 231 232 240 259 264 275 277 282 289 294 295 309 310 311 315 321 334 337 338]\n# round=2000 of 10000 minW=58\n# step=2199 row=8 minW=58 found cw of W=54: [14 16 25 26 27 34 37 39 40 45 57 60 65 70 83 88 91 107 141 142 143 149 154 161 163 172 178 180 183 187 197 198 203 205 206 220 222 244 246 255 258 267 270 275 276 278 290 293 298 300 302 312 320 335]\n# round=3000 of 10000 minW=54\n# round=4000 of 10000 minW=54\n# round=5000 of 10000 minW=54\n# round=6000 of 10000 minW=54\n# step=6548 row=59 minW=54 found cw of W=50: [3 7 8 15 26 27 46 50 54 70 72 76 77 79 106 118 127 136 144 161 171 172 178 183 189 191 194 212 220 221 237 238 242 245 251 256 257 259 280 284 286 287 293 298 300 302 304 307 327 335]\n# round=7000 of 10000 minW=50\n# round=8000 of 10000 minW=50\n# round=9000 of 10000 minW=50\n# round=10000 of 10000 minW=50\nRW algorithm upper bound for the distance d=50\n</t>
  </si>
  <si>
    <t># step=0 row=0 minW=349 found cw of W=98: [3 5 6 7 8 10 13 15 20 22 29 33 35 37 44 48 59 60 63 70 72 75 78 79 80 83 84 85 87 93 98 103 106 107 108 119 121 122 124 127 129 134 139 142 154 158 164 168 170 181 187 188 191 192 193 194 197 198 201 203 209 214 222 239 242 243 247 250 252 254 255 258 261 265 267 269 270 274 276 284 286 291 292 295 297 302 303 308 309 311 312 313 314 315 316 335 339 340]\n# step=0 row=1 minW=98 found cw of W=80: [9 14 21 22 23 45 48 59 63 64 66 71 72 75 78 79 84 85 88 103 106 108 127 133 136 137 142 149 151 157 160 161 164 167 168 181 182 188 191 192 193 194 195 198 199 200 201 209 218 222 223 241 243 246 249 252 254 255 258 265 267 273 276 283 284 291 295 296 297 303 308 309 314 315 320 325 334 335 339 340]\n# step=0 row=9 minW=80 found cw of W=78: [1 3 6 7 8 24 25 26 28 33 35 41 45 49 51 59 78 80 82 83 85 87 88 93 95 103 107 108 117 120 122 124 127 128 136 140 141 158 161 165 174 180 181 187 191 194 196 201 203 209 212 223 224 235 236 239 243 244 252 258 260 265 267 273 274 283 290 291 296 297 303 307 314 315 320 327 328 335]\n# step=0 row=15 minW=78 found cw of W=74: [1 7 10 11 13 15 22 24 25 28 33 35 37 44 48 49 57 64 66 70 78 79 83 87 101 102 103 123 127 128 133 140 141 142 149 151 154 157 160 161 164 165 168 173 180 181 182 187 194 199 203 224 233 242 244 245 247 249 254 258 260 269 270 273 277 284 297 302 303 311 333 334 335 340]\n# step=0 row=45 minW=74 found cw of W=72: [1 11 13 14 22 23 33 35 37 44 45 47 51 54 66 67 71 80 82 84 85 87 92 120 127 128 129 133 149 153 154 158 161 163 167 181 182 187 192 193 196 200 201 203 204 209 212 218 224 233 236 244 246 249 254 255 267 270 274 276 286 297 299 308 309 314 320 324 325 328 334 340]\n# step=2 row=58 minW=72 found cw of W=68: [4 18 21 25 29 31 40 41 42 43 52 53 57 73 77 80 90 91 96 99 101 103 104 120 141 155 157 158 166 169 173 180 193 194 195 197 202 207 212 214 217 218 221 222 250 253 261 263 271 272 275 282 284 296 305 310 311 312 313 318 322 330 331 334 335 336 337 338]\n# step=3 row=85 minW=68 found cw of W=66: [19 24 29 34 36 37 43 44 47 48 50 61 66 73 75 77 78 79 97 99 102 106 120 125 135 142 145 150 153 162 171 182 189 195 197 199 200 215 217 218 220 222 224 236 241 256 258 268 275 276 278 279 280 282 287 293 307 309 310 313 315 316 329 333 336 340]\n# step=32 row=14 minW=66 found cw of W=60: [7 11 13 29 35 46 48 53 59 63 68 72 75 76 77 79 84 99 101 127 131 143 150 154 159 162 164 177 178 179 188 191 193 194 209 221 223 239 245 247 259 261 266 267 270 275 285 291 293 294 300 308 310 311 316 325 331 333 337 339]\n# step=441 row=18 minW=60 found cw of W=48: [17 21 23 29 33 37 44 52 63 66 75 86 88 94 105 133 137 138 139 145 146 156 165 168 179 184 191 192 197 202 203 210 214 254 262 265 269 272 276 281 298 300 308 313 319 320 330 337]\n# round=1000 of 10000 minW=48\n# round=2000 of 10000 minW=48\n# round=3000 of 10000 minW=48\n# round=4000 of 10000 minW=48\n# round=5000 of 10000 minW=48\n# round=6000 of 10000 minW=48\n# round=7000 of 10000 minW=48\n# round=8000 of 10000 minW=48\n# round=9000 of 10000 minW=48\n# round=10000 of 10000 minW=48\nRW algorithm upper bound for the distance d=48\n</t>
  </si>
  <si>
    <t># step=0 row=0 minW=352 found cw of W=86: [1 2 3 7 9 15 16 21 24 25 29 30 36 38 40 42 43 45 48 49 57 64 69 70 80 87 89 90 96 97 102 118 119 120 126 131 133 138 141 142 148 150 157 159 160 162 166 167 174 176 184 186 187 192 197 199 202 203 207 213 220 225 241 248 249 263 264 265 267 270 272 282 284 293 298 301 309 316 319 320 321 323 331 336 337 342]\n# step=0 row=2 minW=86 found cw of W=80: [2 3 6 8 10 18 19 21 29 30 32 38 40 41 42 43 45 57 58 61 64 85 86 107 120 122 123 124 132 136 138 150 156 157 159 167 168 174 175 178 184 187 188 202 203 206 219 220 222 223 224 225 236 239 241 242 244 249 252 263 264 266 267 272 273 275 277 279 284 285 298 301 304 305 323 336 337 339 340 342]\n# step=0 row=6 minW=80 found cw of W=74: [3 7 9 15 20 21 25 30 36 41 42 43 47 49 50 57 58 68 75 77 89 90 94 96 107 120 124 126 132 137 138 142 150 165 166 167 174 175 178 187 192 194 195 196 197 202 203 206 210 220 223 224 264 267 270 275 276 277 281 282 295 302 304 312 313 314 319 320 324 327 328 330 337 340]\n# step=0 row=41 minW=74 found cw of W=68: [3 4 8 15 19 30 31 37 40 43 45 47 58 59 78 84 85 89 96 103 107 108 121 124 131 141 145 150 154 157 160 167 176 188 192 195 196 199 201 202 210 213 219 220 224 225 237 241 242 248 249 253 258 262 264 265 267 279 281 284 292 305 309 313 316 323 327 336]\n# step=1 row=78 minW=68 found cw of W=64: [1 13 14 16 17 29 33 39 42 48 51 53 55 56 75 93 100 103 118 119 122 124 125 131 133 147 150 159 161 168 182 186 189 192 197 199 215 221 223 236 239 241 242 247 251 263 264 273 278 282 287 289 290 299 303 306 314 316 327 332 334 337 338 340]\n# step=35 row=44 minW=64 found cw of W=60: [2 10 11 15 18 21 36 40 53 55 58 60 61 63 65 69 92 94 95 98 99 103 119 128 138 139 142 149 150 153 177 182 183 195 206 209 214 216 220 244 249 252 256 259 266 267 274 287 289 292 295 297 300 303 312 323 328 329 331 332]\n# step=78 row=58 minW=60 found cw of W=50: [8 11 14 29 34 36 37 39 50 67 69 70 71 72 89 123 125 126 128 135 144 145 146 153 154 163 167 172 175 181 188 189 190 206 240 243 248 252 261 262 268 273 280 289 292 298 301 303 304 307]\n# round=1000 of 10000 minW=50\n# round=2000 of 10000 minW=50\n# round=3000 of 10000 minW=50\n# round=4000 of 10000 minW=50\n# round=5000 of 10000 minW=50\n# step=5924 row=6 minW=50 found cw of W=48: [1 9 22 23 32 33 39 55 60 64 73 75 79 87 119 126 127 134 135 140 150 156 162 175 177 183 192 195 203 208 235 236 244 251 252 256 266 279 289 292 298 300 307 312 313 320 321 325]\n# round=6000 of 10000 minW=48\n# round=7000 of 10000 minW=48\n# round=8000 of 10000 minW=48\n# round=9000 of 10000 minW=48\n# round=10000 of 10000 minW=48\nRW algorithm upper bound for the distance d=48\n</t>
  </si>
  <si>
    <t># step=0 row=0 minW=355 found cw of W=106: [2 3 5 8 16 18 20 22 25 35 41 47 48 49 53 60 71 73 81 86 87 92 93 95 96 97 108 120 126 130 134 136 141 142 143 144 145 146 148 152 157 159 161 162 165 167 171 174 178 179 181 182 183 191 194 195 199 200 202 203 210 212 215 216 219 223 227 239 241 248 256 258 259 260 262 263 264 266 270 271 275 279 280 284 292 297 299 300 301 307 312 313 318 320 321 322 323 329 330 331 332 334 337 341 344 345]\n# step=0 row=1 minW=106 found cw of W=102: [5 6 7 8 11 13 16 18 21 25 30 41 43 47 48 50 60 61 69 82 87 90 94 95 96 97 99 100 106 108 109 125 126 127 128 129 130 134 135 137 142 143 145 146 148 152 159 162 165 173 174 178 183 187 191 194 200 202 203 208 212 215 216 217 218 219 223 241 242 245 246 248 249 253 254 255 257 260 263 264 270 279 280 284 286 291 292 297 301 309 312 320 321 323 331 332 334 337 341 342 344 345]\n# step=0 row=10 minW=102 found cw of W=98: [4 5 7 19 22 25 26 28 36 39 43 49 50 53 60 61 71 73 81 86 92 93 95 97 100 102 106 121 122 124 130 132 136 137 138 141 143 144 146 152 154 157 161 162 165 167 171 178 181 182 185 191 194 198 199 200 202 203 210 215 216 218 219 223 224 227 239 241 242 243 248 250 254 256 258 259 270 280 283 286 297 299 300 303 307 312 316 318 320 321 322 329 331 334 337 338 341 345]\n# step=0 row=12 minW=98 found cw of W=82: [1 2 5 8 11 13 16 18 22 25 30 31 35 37 43 47 50 55 61 79 84 92 94 95 96 97 108 119 120 121 124 125 126 127 129 134 135 139 141 142 143 144 148 149 155 157 165 197 202 210 212 215 217 219 223 224 239 241 242 243 245 249 253 254 257 258 259 260 262 271 275 279 286 291 297 331 332 335 337 341 342 344]\n# step=0 row=14 minW=82 found cw of W=78: [1 11 21 25 29 34 37 43 47 49 52 60 62 68 73 81 90 92 95 96 98 99 109 119 121 122 124 132 136 137 138 139 143 144 147 148 152 155 167 178 180 186 190 191 194 195 199 208 210 212 219 223 224 239 240 242 247 250 254 255 256 262 266 279 283 288 308 312 313 330 331 332 334 335 337 341 342 345]\n# step=0 row=40 minW=78 found cw of W=74: [7 11 13 19 21 28 29 41 48 49 55 60 61 67 69 84 98 99 101 102 103 108 121 124 125 136 138 141 142 147 152 157 159 162 165 167 173 178 183 184 187 190 194 216 217 221 224 239 242 247 249 254 255 256 257 259 260 264 270 275 280 283 284 297 301 302 303 308 312 320 337 338 342 344]\n# step=8 row=63 minW=74 found cw of W=70: [1 2 3 13 15 22 31 33 39 57 62 70 72 73 74 77 87 94 100 103 105 106 107 108 119 121 125 127 139 143 150 162 175 185 186 187 188 191 192 198 212 214 218 224 226 238 243 245 249 251 257 258 261 267 268 269 275 280 298 303 304 305 308 313 316 323 332 339 341 343]\n# step=10 row=20 minW=70 found cw of W=66: [2 3 4 5 6 13 17 32 50 51 62 67 70 77 82 84 90 91 92 97 98 100 101 120 124 126 130 134 135 139 150 152 156 169 193 195 200 202 203 208 215 218 220 226 239 240 241 244 248 249 252 257 270 274 286 298 303 306 311 321 327 328 334 337 338 344]\n# step=176 row=88 minW=66 found cw of W=62: [1 5 27 29 41 44 48 53 55 64 67 68 70 83 85 87 89 93 105 119 123 130 136 142 147 153 154 155 171 177 182 183 185 188 191 201 203 216 219 226 248 254 260 263 271 272 273 277 280 284 291 295 301 304 309 323 325 329 334 337 341 344]\n# round=1000 of 10000 minW=62\n# step=1699 row=83 minW=62 found cw of W=54: [4 9 25 30 31 45 52 57 70 79 81 89 97 102 104 105 106 108 127 129 130 143 154 162 168 170 172 180 188 199 201 207 209 223 224 240 247 248 266 267 272 280 281 286 290 293 298 315 319 327 333 338 340 344]\n# round=2000 of 10000 minW=54\n# round=3000 of 10000 minW=54\n# round=4000 of 10000 minW=54\n# round=5000 of 10000 minW=54\n# round=6000 of 10000 minW=54\n# round=7000 of 10000 minW=54\n# round=8000 of 10000 minW=54\n# round=9000 of 10000 minW=54\n# round=10000 of 10000 minW=54\nRW algorithm upper bound for the distance d=54\n</t>
  </si>
  <si>
    <t># step=0 row=0 minW=358 found cw of W=82: [1 5 7 8 11 21 22 27 28 33 34 37 39 45 50 53 59 60 63 70 71 85 86 87 89 90 93 94 99 103 106 115 117 124 128 130 131 133 134 139 140 146 147 158 164 169 176 178 187 189 201 212 213 222 225 239 245 246 247 250 252 253 258 260 271 272 275 291 295 298 301 306 309 320 323 324 325 327 328 337 353 355]\n# step=0 row=1 minW=82 found cw of W=70: [4 7 8 9 11 13 18 21 22 26 28 30 33 34 39 45 48 51 68 70 82 89 91 99 100 106 115 128 130 134 137 140 145 147 148 152 164 176 189 190 199 204 207 208 209 219 225 242 245 246 251 253 260 267 268 272 277 286 289 295 306 309 318 320 323 326 328 329 337 353]\n# step=0 row=4 minW=70 found cw of W=60: [1 8 13 15 18 22 26 27 28 33 37 39 45 48 53 56 59 60 70 85 90 91 100 103 106 111 134 137 141 145 146 147 158 164 165 175 178 179 181 189 190 199 204 209 219 225 239 246 251 271 275 284 286 291 300 309 318 329 341 349]\n# step=0 row=49 minW=60 found cw of W=58: [1 7 8 13 22 33 48 56 70 71 75 82 85 89 90 91 103 108 111 117 118 132 133 134 139 152 175 176 182 187 189 190 194 198 201 204 208 209 222 228 239 245 246 252 253 258 260 286 295 301 306 317 329 346 347 349 355 356]\n# step=0 row=142 minW=58 found cw of W=54: [1 7 13 33 39 48 53 56 59 68 71 72 75 82 87 89 90 94 99 100 128 134 141 165 175 178 181 187 190 194 202 209 213 219 222 239 245 247 251 253 260 271 277 284 286 291 300 310 320 321 325 327 337 341]\n# step=2 row=91 minW=54 found cw of W=52: [17 19 21 25 30 36 46 47 49 60 61 70 77 81 91 100 104 107 129 180 189 191 196 200 203 204 209 210 212 219 229 230 248 255 257 259 263 268 274 284 285 287 298 310 322 323 328 331 342 345 348 349]\n# step=11 row=143 minW=52 found cw of W=50: [2 8 9 10 12 13 16 28 37 60 72 107 113 115 121 128 129 135 142 147 158 168 176 179 187 191 192 195 200 204 215 221 226 246 250 251 261 275 277 287 295 306 311 314 319 323 334 340 351 353]\n# step=24 row=123 minW=50 found cw of W=48: [6 7 16 18 25 26 27 29 34 38 52 53 58 60 61 75 98 99 100 101 107 114 126 144 148 151 153 169 171 177 180 217 219 226 233 244 254 256 264 265 270 276 288 291 298 313 337 339]\n# step=48 row=86 minW=48 found cw of W=46: [9 10 27 41 55 62 64 67 73 84 90 93 102 105 107 113 128 129 141 145 146 160 165 167 174 181 184 193 203 205 209 224 232 260 264 284 286 302 303 305 311 312 324 331 340 345]\n# step=89 row=45 minW=46 found cw of W=42: [2 6 19 26 33 34 44 51 52 64 66 71 77 81 86 99 110 116 125 135 138 141 152 153 163 171 183 185 196 205 211 218 240 254 260 264 289 309 319 330 348 354]\n# step=535 row=37 minW=42 found cw of W=38: [6 8 24 33 37 39 42 43 67 68 74 81 94 115 127 134 140 152 155 156 161 162 182 186 193 200 213 218 244 253 259 262 274 277 301 306 337 353]\n# round=1000 of 10000 minW=38\n# round=2000 of 10000 minW=38\n# round=3000 of 10000 minW=38\n# round=4000 of 10000 minW=38\n# round=5000 of 10000 minW=38\n# step=5855 row=100 minW=38 found cw of W=34: [5 16 20 44 50 55 82 108 113 117 124 135 139 152 163 168 169 174 177 179 188 197 201 227 235 271 287 296 298 307 316 351 354 355]\n# round=6000 of 10000 minW=34\n# round=7000 of 10000 minW=34\n# round=8000 of 10000 minW=34\n# round=9000 of 10000 minW=34\n# round=10000 of 10000 minW=34\nRW algorithm upper bound for the distance d=34\n</t>
  </si>
  <si>
    <t># step=0 row=0 minW=361 found cw of W=74: [1 2 11 23 46 54 57 58 59 69 70 76 77 85 88 92 95 100 101 102 109 110 121 143 166 167 169 174 176 178 183 188 189 197 198 202 205 206 208 210 211 212 213 215 221 222 224 225 237 238 242 251 287 289 296 297 299 303 308 310 316 318 322 326 330 331 333 340 344 345 349 350 357 358]\n# step=0 row=2 minW=74 found cw of W=72: [3 6 11 18 21 23 28 46 47 48 53 58 69 70 76 77 78 88 91 92 101 103 104 109 121 123 141 142 143 157 166 167 171 172 178 183 188 193 197 206 208 210 212 213 221 238 241 246 251 258 262 268 277 288 291 292 293 303 308 309 310 313 316 318 326 330 331 333 343 344 349 358]\n# step=0 row=3 minW=72 found cw of W=68: [3 7 11 12 18 21 23 25 27 47 53 57 59 63 70 76 77 78 85 95 100 104 114 117 121 123 127 141 142 143 145 149 157 167 169 171 173 176 183 197 202 205 213 215 224 238 241 251 252 258 262 267 269 277 289 291 296 297 299 310 316 318 322 333 340 354 357 358]\n# step=0 row=8 minW=68 found cw of W=64: [1 3 11 12 13 16 21 25 27 46 47 48 54 57 58 59 77 85 88 102 104 109 110 114 123 141 145 149 166 173 174 176 178 179 189 197 205 208 211 222 224 225 237 238 241 251 252 253 256 267 269 287 288 293 296 297 309 331 345 349 350 354 357 358]\n# step=0 row=11 minW=64 found cw of W=58: [3 12 18 21 23 25 26 29 53 54 59 60 63 69 78 82 92 95 100 101 102 103 104 117 123 141 143 145 146 167 173 174 179 183 189 193 198 204 206 212 213 215 221 222 223 224 252 258 269 287 300 313 322 324 326 333 340 357]\n# step=0 row=67 minW=58 found cw of W=56: [1 4 17 18 46 48 53 77 80 92 101 103 104 117 137 142 152 157 159 160 166 169 171 176 177 183 197 204 206 210 211 212 221 223 224 237 241 244 258 262 272 277 279 280 288 289 291 293 296 297 303 320 324 326 330 331]\n# step=0 row=146 minW=56 found cw of W=46: [1 3 18 26 27 48 82 88 92 93 101 103 104 109 121 123 159 171 173 177 183 188 189 202 206 211 212 213 221 224 258 266 267 279 288 291 293 297 303 308 309 326 328 331 343 349]\n# step=52 row=55 minW=46 found cw of W=44: [4 13 21 36 46 53 59 60 62 73 75 79 81 108 113 117 133 138 154 156 166 173 194 199 209 214 228 239 244 258 261 274 299 300 302 313 314 315 321 329 334 353 357 359]\n# step=141 row=114 minW=44 found cw of W=42: [12 13 30 31 39 50 69 76 84 93 105 106 111 114 124 132 133 149 151 157 159 170 185 189 196 208 213 219 232 234 244 269 270 277 305 324 328 339 345 346 351 352]\n# step=450 row=78 minW=42 found cw of W=40: [122 123 130 131 136 145 148 155 163 168 175 183 187 188 195 202 209 213 216 233 242 243 250 251 256 265 268 275 283 288 295 303 307 308 315 322 329 333 336 353]\n# round=1000 of 10000 minW=40\n# step=1567 row=62 minW=40 found cw of W=36: [8 15 22 24 38 43 66 71 96 99 123 128 134 135 163 168 179 182 186 191 206 215 219 233 243 254 262 264 278 288 299 302 326 335 336 353]\n# round=2000 of 10000 minW=36\n# round=3000 of 10000 minW=36\n# round=4000 of 10000 minW=36\n# round=5000 of 10000 minW=36\n# step=5062 row=111 minW=36 found cw of W=34: [1 2 12 16 20 34 45 49 66 71 75 87 122 133 143 154 180 186 193 196 241 252 253 256 260 263 285 289 300 311 313 315 316 327]\n# round=6000 of 10000 minW=34\n# round=7000 of 10000 minW=34\n# round=8000 of 10000 minW=34\n# round=9000 of 10000 minW=34\n# round=10000 of 10000 minW=34\nRW algorithm upper bound for the distance d=34\n</t>
  </si>
  <si>
    <t># step=0 row=0 minW=364 found cw of W=84: [2 9 20 21 22 25 26 44 49 51 52 55 68 74 76 78 80 82 83 84 87 88 89 91 96 99 101 105 107 108 109 116 123 126 130 146 169 172 176 187 192 194 195 198 199 200 203 205 209 211 212 213 217 220 222 226 228 229 237 241 247 262 263 264 268 286 290 291 294 308 310 313 315 318 319 321 322 325 329 331 332 334 351 362]\n# step=0 row=1 minW=84 found cw of W=76: [3 4 5 9 12 19 25 26 37 44 51 58 61 67 71 76 82 83 87 91 97 99 103 108 111 118 125 126 130 133 141 147 157 161 169 172 188 192 198 203 209 211 212 213 214 217 218 220 227 232 237 239 245 261 262 267 278 279 282 286 290 300 303 318 319 325 329 330 332 334 335 338 345 348 350 358]\n# step=0 row=2 minW=76 found cw of W=72: [6 22 26 43 44 47 57 58 75 78 79 83 84 87 89 96 99 102 103 116 118 119 125 126 127 133 141 146 161 164 168 169 173 192 198 199 200 205 213 217 220 227 238 239 240 241 246 247 254 262 264 267 268 282 286 290 294 299 300 313 317 319 325 329 331 334 344 345 348 358 359 362]\n# step=0 row=5 minW=72 found cw of W=68: [9 11 12 37 47 49 52 57 59 68 74 79 83 87 89 96 99 103 107 108 116 119 130 132 140 141 157 161 168 169 172 173 180 195 198 209 213 214 217 220 227 228 229 237 238 240 254 261 262 278 279 282 290 291 293 299 310 319 321 325 329 330 331 334 335 345 348 359]\n# step=0 row=14 minW=68 found cw of W=64: [19 20 25 29 37 43 47 52 58 61 75 76 80 82 87 91 96 97 99 101 108 109 116 119 125 140 141 146 147 157 164 168 169 172 194 200 203 212 218 220 222 237 240 241 246 268 271 278 279 290 293 294 300 303 315 317 318 321 322 329 338 350 351 362]\n# step=0 row=52 minW=64 found cw of W=60: [4 12 19 22 43 49 51 55 59 68 75 76 80 82 87 88 97 99 107 108 123 134 154 164 176 180 187 192 198 200 202 203 217 218 220 228 229 241 244 246 254 255 261 264 275 291 293 308 310 313 317 318 319 321 322 323 329 330 338 362]\n# step=0 row=130 minW=60 found cw of W=54: [1 4 12 19 22 25 43 61 74 79 80 83 88 91 97 107 116 119 122 125 140 141 157 164 173 187 190 195 202 211 212 213 218 228 238 240 254 262 264 267 278 294 303 308 311 321 322 323 325 330 332 334 358 359]\n# step=12 row=60 minW=54 found cw of W=52: [5 7 12 15 18 19 40 51 56 77 98 114 126 128 132 133 140 142 144 147 159 162 168 170 188 198 205 222 223 235 239 241 253 257 260 263 265 268 280 282 283 289 291 293 298 309 326 340 343 344 360 362]\n# step=13 row=145 minW=52 found cw of W=50: [3 7 13 23 39 40 44 48 52 59 65 70 79 92 114 120 126 134 160 161 176 186 189 191 200 212 214 219 221 230 238 241 245 247 249 265 286 290 294 297 301 310 333 334 335 340 342 351 356 359]\n# step=128 row=42 minW=50 found cw of W=42: [12 24 56 71 75 78 82 103 107 115 132 133 139 145 148 172 193 197 199 207 211 216 222 224 229 236 253 260 269 293 298 313 314 317 318 324 328 332 337 343 349 350]\n# round=1000 of 10000 minW=42\n# step=1256 row=5 minW=42 found cw of W=40: [2 11 18 31 48 50 52 56 93 110 142 149 152 153 170 171 174 177 186 212 221 229 231 238 244 253 260 263 270 274 290 291 294 295 307 333 335 342 350 359]\n#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</si>
  <si>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minW=367 found cw of W=74: [1 2 4 6 20 23 29 33 36 39 41 43 45 48 57 62 65 86 89 92 94 97 100 102 104 106 113 119 126 128 134 142 155 158 161 162 163 166 167 170 190 208 211 215 216 219 220 228 230 231 235 240 245 246 256 267 273 284 287 288 301 306 309 312 336 337 342 344 346 348 352 353 362 363]\n# step=0 row=4 minW=74 found cw of W=66: [6 12 14 23 29 32 41 43 45 50 52 62 64 68 69 70 75 82 86 89 92 98 107 117 125 126 128 132 142 154 162 163 167 174 190 192 208 211 220 230 231 235 239 240 247 248 254 256 258 264 267 273 284 287 294 306 308 313 319 326 336 351 352 353 357 362]\n# step=0 row=16 minW=66 found cw of W=60: [1 2 3 29 33 34 41 58 60 62 65 70 74 75 80 89 97 102 113 116 117 119 126 142 143 151 155 156 160 163 166 170 179 192 196 197 202 219 230 238 239 241 245 246 247 248 264 265 282 288 292 301 302 304 306 309 333 346 352 357]\n# step=0 row=61 minW=60 found cw of W=58: [2 3 10 20 38 39 41 42 52 65 75 77 94 98 100 102 106 113 125 134 140 143 151 160 161 162 163 170 174 197 200 211 215 228 229 230 246 254 256 262 264 265 273 284 286 292 309 321 322 333 337 338 342 344 346 351 352 357]\n# step=0 row=79 minW=58 found cw of W=52: [1 2 6 10 16 33 38 41 48 57 62 70 86 89 92 98 102 106 107 116 123 126 128 155 160 163 170 179 180 190 192 208 216 220 228 230 231 238 246 248 254 260 302 306 312 333 336 338 346 351 352 353]\n# step=22 row=7 minW=52 found cw of W=50: [8 16 20 30 32 40 41 50 54 70 71 80 108 112 113 114 126 127 128 130 139 152 162 168 176 178 194 196 216 230 248 249 250 260 261 264 276 285 290 294 300 314 315 316 318 324 338 356 357 358]\n# step=23 row=4 minW=50 found cw of W=48: [14 20 27 36 40 42 44 65 68 82 95 97 103 113 115 116 142 149 152 181 190 196 200 204 207 210 212 217 232 235 237 238 258 274 280 284 286 288 303 309 318 322 329 332 334 341 347 354]\n# step=93 row=97 minW=48 found cw of W=46: [2 3 5 10 11 12 27 31 38 55 63 67 87 90 91 98 102 106 124 125 127 132 134 153 169 185 192 199 213 215 224 238 255 271 282 291 299 311 314 321 331 334 337 342 350 360]\n# step=209 row=107 minW=46 found cw of W=42: [11 13 15 16 20 27 41 63 76 77 86 97 103 104 133 137 142 153 167 173 198 200 203 220 226 231 257 260 271 275 285 289 295 307 321 322 325 330 341 342 347 353]\n# step=561 row=113 minW=42 found cw of W=40: [3 23 40 44 51 55 59 68 72 79 100 114 116 119 123 125 142 181 186 194 198 222 229 235 236 241 245 264 267 284 288 295 299 308 312 320 323 351 357 360]\n# step=863 row=94 minW=40 found cw of W=38: [15 18 29 42 44 46 52 59 61 63 98 103 115 120 129 137 151 156 174 180 183 185 222 225 237 240 251 262 278 286 288 290 302 303 342 344 362 364]\n# round=1000 of 10000 minW=38\n# step=1824 row=157 minW=38 found cw of W=32: [7 29 40 69 74 85 96 101 102 109 113 116 146 178 180 188 196 218 224 235 251 268 273 284 300 302 310 313 329 345 353 360]\n# round=2000 of 10000 minW=32\n#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</si>
  <si>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minW=370 found cw of W=86: [1 3 4 5 13 15 26 33 37 39 40 42 44 48 50 51 52 55 56 62 65 69 79 85 86 90 94 97 98 100 109 111 115 116 119 120 126 134 136 138 145 156 160 167 168 173 178 179 183 188 194 199 202 207 208 213 223 234 238 242 247 250 251 257 268 272 285 286 288 291 294 297 298 306 308 315 317 322 330 332 340 343 344 355 362 366]\n# step=0 row=1 minW=86 found cw of W=74: [2 3 5 6 11 15 19 50 52 56 62 67 78 79 87 94 97 98 102 110 111 115 116 120 126 127 128 129 134 138 139 145 154 156 168 171 173 175 179 192 197 199 201 202 205 212 234 237 238 239 248 250 262 265 268 277 279 291 294 308 313 315 320 322 328 333 335 340 343 344 348 356 360 366]\n# step=0 row=6 minW=74 found cw of W=66: [1 5 15 20 23 33 39 40 42 44 47 48 50 51 52 65 67 78 79 81 84 87 90 97 102 120 127 128 138 156 159 167 169 170 171 173 183 188 194 199 201 202 212 213 247 250 266 269 282 285 286 288 292 297 298 306 313 317 322 327 330 333 335 343 348 366]\n# step=0 row=10 minW=66 found cw of W=48: [2 26 28 30 33 39 42 46 48 79 81 84 85 90 94 97 98 102 109 115 127 128 151 153 168 169 202 205 207 208 213 238 248 250 251 272 279 285 288 291 294 327 328 340 343 344 348 355]\n# step=13 row=9 minW=48 found cw of W=46: [11 14 15 23 36 40 41 42 47 66 80 90 93 102 108 120 134 137 146 155 159 164 165 166 180 181 194 195 216 228 261 278 286 289 293 303 304 312 317 318 326 336 348 351 354 366]\n# step=222 row=93 minW=46 found cw of W=44: [9 10 11 14 27 42 44 55 65 81 87 97 99 108 137 138 140 150 172 181 188 201 203 210 220 221 231 236 255 256 257 261 263 288 290 295 301 304 324 326 327 344 345 359]\n# round=1000 of 10000 minW=44\n# step=1040 row=81 minW=44 found cw of W=38: [36 38 43 48 51 64 68 100 105 115 139 147 159 161 171 174 177 179 183 187 202 210 221 223 228 237 262 270 289 300 302 306 314 325 333 344 360 361]\n# round=2000 of 10000 minW=38\n# round=3000 of 10000 minW=38\n# round=4000 of 10000 minW=38\n# round=5000 of 10000 minW=38\n# round=6000 of 10000 minW=38\n# round=7000 of 10000 minW=38\n# step=7725 row=75 minW=38 found cw of W=36: [127 129 137 149 155 156 157 163 169 176 177 180 198 216 219 227 237 238 250 252 260 272 278 279 280 286 292 299 300 303 321 339 342 350 360 361]\n# round=8000 of 10000 minW=36\n# round=9000 of 10000 minW=36\n# round=10000 of 10000 minW=36\nRW algorithm upper bound for the distance d=36\n</t>
  </si>
  <si>
    <t>outfile: /home/ucapmwe/dist-benchmark/results/codeTables-QECC_sample.txt-dist_m4ri_RW-20260219_120618.289950_85062422.txt</t>
  </si>
  <si>
    <t># step=0 row=0 minW=10 found cw of W=2: [1 7]\n# round=1000 of 10000 minW=2\n# round=2000 of 10000 minW=2\n# round=3000 of 10000 minW=2\n# round=4000 of 10000 minW=2\n# round=5000 of 10000 minW=2\n# round=6000 of 10000 minW=2\n# round=7000 of 10000 minW=2\n# round=8000 of 10000 minW=2\n# round=9000 of 10000 minW=2\n# round=10000 of 10000 minW=2\nRW algorithm upper bound for the distance d=2\n</t>
  </si>
  <si>
    <t># step=0 row=0 minW=16 found cw of W=6: [1 2 5 11 12 15]\n#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</si>
  <si>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minW=19 found cw of W=6: [1 8 9 13 14 15]\n#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</si>
  <si>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minW=22 found cw of W=6: [1 5 6 8 12 13]\n#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</si>
  <si>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minW=25 found cw of W=6: [1 12 13 17 20 21]\n#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</si>
  <si>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minW=28 found cw of W=6: [3 5 10 19 21 23]\n#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</si>
  <si>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row=1 minW=31 found cw of W=8: [3 4 7 12 14 17 22 23]\n# round=1000 of 10000 minW=8\n# round=2000 of 10000 minW=8\n# round=3000 of 10000 minW=8\n# round=4000 of 10000 minW=8\n# round=5000 of 10000 minW=8\n# round=6000 of 10000 minW=8\n# round=7000 of 10000 minW=8\n# round=8000 of 10000 minW=8\n# round=9000 of 10000 minW=8\n# round=10000 of 10000 minW=8\nRW algorithm upper bound for the distance d=8\n</t>
  </si>
  <si>
    <t># step=0 row=0 minW=34 found cw of W=10: [2 3 4 5 9 15 16 20 24 25]\n#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</si>
  <si>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minW=37 found cw of W=8: [1 4 11 15 16 25 27 35]\n# step=0 row=1 minW=8 found cw of W=6: [5 7 15 19 27 29]\n#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</si>
  <si>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minW=43 found cw of W=10: [3 5 11 16 17 19 20 30 34 39]\n#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</si>
  <si>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minW=46 found cw of W=14: [1 4 5 11 12 16 20 21 25 26 34 36 40 42]\n# step=0 row=2 minW=14 found cw of W=12: [4 5 6 12 20 25 27 29 34 36 40 44]\n# step=0 row=7 minW=12 found cw of W=10: [7 8 12 13 22 25 28 38 40 42]\n#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</si>
  <si>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row=2 minW=49 found cw of W=14: [3 17 18 19 22 25 27 30 33 34 38 41 43 46]\n# step=0 row=7 minW=14 found cw of W=12: [6 13 16 22 28 30 31 44 45 46 47 48]\n#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</si>
  <si>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minW=52 found cw of W=16: [1 6 7 9 10 13 18 20 24 25 27 30 37 40 42 43]\n# step=0 row=1 minW=16 found cw of W=10: [3 5 8 15 20 25 30 32 39 47]\n#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</si>
  <si>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minW=55 found cw of W=14: [1 3 4 5 7 10 13 22 25 37 39 41 46 49]\n# step=0 row=1 minW=14 found cw of W=10: [3 4 6 13 14 22 24 39 49 50]\n#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</si>
  <si>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minW=58 found cw of W=12: [1 7 13 16 20 21 25 26 32 40 44 54]\n# step=0 row=3 minW=12 found cw of W=10: [6 7 13 16 25 26 36 51 54 55]\n#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</si>
  <si>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minW=61 found cw of W=22: [1 3 4 5 9 13 14 15 17 21 23 24 29 36 37 39 45 53 54 55 56 59]\n# step=0 row=1 minW=22 found cw of W=12: [3 6 14 17 23 28 37 39 46 48 54 59]\n#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</si>
  <si>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minW=64 found cw of W=18: [1 6 7 8 12 13 14 17 35 39 43 48 49 50 54 55 59 60]\n# step=0 row=3 minW=18 found cw of W=12: [5 10 12 13 17 18 34 39 47 52 54 59]\n#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</si>
  <si>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minW=67 found cw of W=14: [1 5 16 17 23 27 33 37 39 43 55 59 60 65]\n# step=0 row=8 minW=14 found cw of W=12: [3 5 13 25 26 35 39 43 48 49 61 65]\n# step=0 row=10 minW=12 found cw of W=10: [3 5 15 18 19 25 27 37 40 41]\n#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</si>
  <si>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minW=70 found cw of W=24: [3 4 5 6 7 8 10 12 17 18 20 26 27 28 33 35 37 52 53 54 60 63 64 66]\n# step=0 row=1 minW=24 found cw of W=18: [1 2 3 5 7 9 25 26 27 32 33 37 47 50 51 53 56 60]\n# step=0 row=4 minW=18 found cw of W=16: [1 2 5 8 10 14 18 28 30 33 37 47 48 53 54 64]\n# step=1 row=14 minW=16 found cw of W=14: [9 19 20 22 32 34 40 43 46 57 63 65 68 69]\n#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</si>
  <si>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minW=73 found cw of W=14: [2 3 8 10 14 17 26 29 32 34 38 41 51 53]\n# step=0 row=4 minW=14 found cw of W=12: [7 9 14 17 29 31 33 38 41 47 53 71]\n# step=0 row=6 minW=12 found cw of W=10: [9 13 14 29 38 44 53 57 61 68]\n#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</si>
  <si>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minW=76 found cw of W=18: [2 7 8 15 17 22 23 34 40 42 43 52 57 58 59 68 72 73]\n# step=0 row=1 minW=18 found cw of W=16: [3 7 8 9 15 17 28 40 42 46 48 57 58 59 71 73]\n# step=0 row=3 minW=16 found cw of W=14: [1 6 8 15 23 26 31 40 43 45 58 68 70 73]\n# step=0 row=13 minW=14 found cw of W=12: [21 23 36 39 43 45 46 48 61 64 68 70]\n# step=1 row=7 minW=12 found cw of W=10: [1 9 13 24 34 35 38 51 60 74]\n#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</si>
  <si>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minW=79 found cw of W=22: [1 5 6 7 9 10 13 17 24 27 28 33 35 36 46 50 54 57 58 65 69 72]\n# step=0 row=1 minW=22 found cw of W=18: [2 4 6 7 9 11 12 13 30 32 33 35 46 54 63 64 65 72]\n# step=0 row=2 minW=18 found cw of W=14: [4 5 6 13 15 17 30 31 32 36 41 62 65 69]\n# step=2 row=1 minW=14 found cw of W=12: [4 10 17 22 43 45 46 48 56 62 71 72]\n#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</si>
  <si>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minW=82 found cw of W=20: [3 7 8 11 14 19 21 28 34 35 36 37 38 46 48 55 57 63 64 68]\n# step=0 row=1 minW=20 found cw of W=14: [4 5 7 8 22 31 33 34 37 49 59 60 62 64]\n# step=0 row=7 minW=14 found cw of W=12: [11 12 19 20 29 36 46 47 56 63 65 66]\n#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</si>
  <si>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minW=85 found cw of W=18: [1 4 9 11 15 17 18 23 29 39 41 43 46 60 65 69 73 79]\n# step=0 row=2 minW=18 found cw of W=16: [4 5 7 12 13 15 18 24 33 40 43 52 60 63 69 74]\n# step=0 row=4 minW=16 found cw of W=14: [10 15 17 18 23 37 40 43 46 65 66 68 73 79]\n# step=0 row=5 minW=14 found cw of W=12: [7 11 14 18 35 39 40 41 42 46 68 69]\n#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</si>
  <si>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minW=88 found cw of W=24: [1 11 12 14 20 23 25 30 36 43 44 47 48 49 50 52 54 65 69 70 73 76 77 79]\n# step=0 row=3 minW=24 found cw of W=22: [5 6 9 12 14 15 17 19 25 28 34 35 38 48 51 54 70 72 73 75 80 86]\n# step=0 row=14 minW=22 found cw of W=18: [7 9 15 19 31 34 38 43 44 48 51 57 60 63 65 72 80 86]\n# step=0 row=20 minW=18 found cw of W=16: [6 8 15 17 19 20 35 41 44 48 49 57 66 70 75 86]\n# step=2 row=10 minW=16 found cw of W=14: [4 8 9 27 38 43 53 55 62 66 72 82 84 85]\n#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</si>
  <si>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minW=91 found cw of W=22: [1 4 5 9 10 15 28 29 31 32 39 40 43 45 52 59 62 64 65 73 82 88]\n# step=0 row=4 minW=22 found cw of W=20: [2 9 10 15 16 24 28 31 39 40 41 45 52 54 61 62 71 76 82 88]\n# step=0 row=5 minW=20 found cw of W=18: [2 3 9 10 15 17 24 29 33 39 42 45 54 59 62 70 72 77]\n# step=0 row=9 minW=18 found cw of W=16: [10 13 15 19 22 24 28 32 45 54 62 70 73 79 82 88]\n# step=0 row=17 minW=16 found cw of W=14: [2 3 5 13 15 19 33 43 45 46 62 65 76 79]\n# step=1 row=4 minW=14 found cw of W=12: [5 6 25 26 29 32 35 36 55 59 62 86]\n#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</si>
  <si>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minW=94 found cw of W=22: [1 11 15 17 18 22 23 25 38 41 43 48 53 56 63 69 72 73 74 77 80 85]\n# step=0 row=1 minW=22 found cw of W=20: [2 7 15 17 22 25 29 38 39 47 48 49 53 60 64 70 77 78 80 87]\n# step=0 row=2 minW=20 found cw of W=18: [3 16 22 29 39 41 43 46 47 49 53 60 65 70 72 74 77 80]\n# step=0 row=3 minW=18 found cw of W=16: [4 7 23 29 35 38 41 46 47 49 72 77 78 80 85 91]\n# step=0 row=5 minW=16 found cw of W=14: [9 16 17 18 25 29 38 40 48 49 56 60 69 78]\n# step=2 row=3 minW=14 found cw of W=12: [4 5 15 18 24 32 36 49 63 66 77 86]\n#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</si>
  <si>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minW=97 found cw of W=26: [1 3 5 9 11 15 18 20 23 25 29 31 35 43 51 52 55 57 65 69 73 79 82 83 93 95]\n# step=0 row=1 minW=26 found cw of W=24: [4 12 16 18 20 25 26 31 36 37 40 44 50 51 52 57 58 59 69 72 80 83 91 95]\n# step=0 row=2 minW=24 found cw of W=18: [1 6 15 20 25 26 31 33 37 42 47 57 58 69 70 74 84 95]\n# step=1 row=4 minW=18 found cw of W=16: [9 15 20 27 29 34 39 46 52 66 71 73 78 79 91 93]\n#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</si>
  <si>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minW=100 found cw of W=24: [1 2 5 8 9 12 15 17 18 28 34 35 38 48 50 57 61 62 74 75 78 84 90 95]\n# step=0 row=1 minW=24 found cw of W=22: [1 3 6 10 14 17 18 22 33 34 39 43 50 57 61 66 69 80 84 88 90 94]\n# step=0 row=4 minW=22 found cw of W=20: [1 3 6 9 12 17 19 24 39 41 52 61 67 69 74 75 78 83 90 94]\n# step=0 row=20 minW=20 found cw of W=18: [1 9 14 20 22 24 34 47 53 54 56 61 75 87 88 89 90 94]\n# step=1 row=16 minW=18 found cw of W=16: [7 16 20 26 39 40 41 46 49 53 59 60 72 74 79 93]\n#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</si>
  <si>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minW=103 found cw of W=22: [1 6 11 13 15 17 20 25 26 28 35 37 40 47 49 51 54 60 71 79 93 96]\n# step=0 row=1 minW=22 found cw of W=14: [2 11 15 25 26 37 49 51 70 71 79 85 93 94]\n# step=0 row=4 minW=14 found cw of W=12: [5 26 28 29 36 39 57 63 70 91 94 96]\n# step=5 row=18 minW=12 found cw of W=10: [1 19 25 27 29 35 53 59 61 63]\n#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</si>
  <si>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minW=106 found cw of W=28: [2 5 16 18 19 20 21 26 28 32 37 47 48 53 54 55 59 63 67 70 75 82 83 86 91 94 96 105]\n# step=0 row=5 minW=28 found cw of W=26: [1 5 7 11 16 21 24 25 28 35 36 53 54 57 59 63 70 75 77 81 86 88 89 91 92 95]\n# step=0 row=12 minW=26 found cw of W=24: [1 5 16 19 24 25 27 32 36 38 48 53 54 62 67 70 73 75 83 86 88 94 95 105]\n# step=0 row=15 minW=24 found cw of W=22: [1 5 7 25 26 32 33 36 38 46 48 61 66 67 73 75 77 81 83 95 101 103]\n# step=1 row=13 minW=22 found cw of W=20: [2 6 12 13 14 16 23 33 34 37 41 48 61 69 82 84 86 93 96 103]\n# step=2 row=16 minW=20 found cw of W=18: [2 5 11 23 29 30 34 46 58 59 65 68 72 75 94 99 103 104]\n#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</si>
  <si>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minW=109 found cw of W=28: [1 2 5 6 8 11 13 19 21 22 29 34 37 38 41 42 43 49 54 55 58 79 80 83 90 93 101 106]\n# step=0 row=2 minW=28 found cw of W=24: [2 4 6 10 13 18 19 21 22 33 42 46 49 55 58 59 64 74 76 90 93 95 100 105]\n# step=0 row=8 minW=24 found cw of W=22: [4 11 13 21 22 23 29 38 43 49 55 58 60 74 76 79 83 91 93 95 96 101]\n# step=1 row=8 minW=22 found cw of W=20: [4 5 7 13 26 31 32 33 34 40 42 62 69 77 78 79 85 103 104 106]\n# step=4 row=4 minW=20 found cw of W=18: [5 7 8 11 17 24 27 32 43 58 60 77 80 83 89 94 99 104]\n#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</si>
  <si>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minW=112 found cw of W=28: [2 3 8 13 19 25 26 28 35 39 40 42 53 56 61 63 65 66 71 79 82 87 90 98 99 103 108 109]\n# step=0 row=6 minW=28 found cw of W=26: [1 8 16 17 28 31 32 35 38 42 47 53 63 65 66 67 68 79 82 84 91 100 103 104 106 109]\n# step=0 row=24 minW=26 found cw of W=24: [1 2 13 24 28 38 45 47 51 60 61 65 68 69 71 76 82 84 87 88 97 105 106 108]\n# step=0 row=28 minW=24 found cw of W=22: [8 17 19 25 26 35 38 47 51 53 56 67 75 82 84 88 90 91 99 100 104 109]\n# step=1 row=8 minW=22 found cw of W=20: [5 12 15 17 18 24 25 31 33 49 52 54 55 62 64 68 70 79 98 101]\n# step=3 row=31 minW=20 found cw of W=18: [3 11 12 16 18 21 29 30 34 48 53 66 71 77 86 92 95 104]\n#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</si>
  <si>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minW=115 found cw of W=20: [1 3 9 16 18 24 26 30 31 41 62 64 68 70 77 85 92 94 107 108]\n# step=1 row=24 minW=20 found cw of W=18: [10 15 18 21 23 26 29 30 56 59 60 61 67 86 91 98 102 106]\n#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</si>
  <si>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minW=118 found cw of W=32: [1 2 3 17 19 22 25 30 38 39 42 44 45 46 52 54 56 61 64 69 74 78 79 80 83 84 85 91 93 97 113 116]\n# step=0 row=3 minW=32 found cw of W=24: [6 7 9 10 18 25 31 38 46 48 57 60 64 65 69 70 74 77 84 88 99 104 108 113]\n# step=1 row=15 minW=24 found cw of W=22: [3 16 21 23 24 27 42 44 52 55 62 65 67 72 83 91 99 102 104 105 106 111]\n# step=2 row=28 minW=22 found cw of W=20: [7 13 20 23 26 29 44 52 56 57 59 62 64 68 83 85 95 96 103 104]\n# step=9 row=34 minW=20 found cw of W=18: [12 17 30 39 46 47 51 56 60 61 68 69 78 85 86 99 100 107]\n#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</si>
  <si>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minW=121 found cw of W=28: [1 4 9 27 31 32 35 37 44 50 52 53 56 58 72 74 81 89 90 92 93 96 98 107 111 114 115 117]\n# step=0 row=9 minW=28 found cw of W=26: [9 11 19 20 21 23 30 32 33 50 56 60 61 70 72 74 78 89 90 91 96 99 103 113 114 118]\n# step=0 row=11 minW=26 found cw of W=20: [11 24 31 41 50 53 58 61 64 71 74 78 81 90 91 93 98 101 114 118]\n# step=2 row=33 minW=20 found cw of W=18: [4 13 17 22 25 32 35 48 49 57 65 72 84 88 89 93 102 115]\n#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</si>
  <si>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minW=124 found cw of W=30: [2 3 4 5 7 8 14 15 17 24 30 31 44 46 47 48 55 56 62 79 84 86 88 90 99 103 106 112 113 120]\n# step=0 row=1 minW=30 found cw of W=28: [3 10 16 17 31 35 41 44 46 50 51 52 63 66 67 72 76 78 87 91 93 98 99 104 107 108 119 123]\n# step=0 row=7 minW=28 found cw of W=24: [3 9 12 21 30 35 37 43 44 47 52 53 57 67 76 84 88 91 93 98 103 108 112 119]\n# step=1 row=16 minW=24 found cw of W=22: [5 14 18 24 25 29 30 37 40 46 50 55 59 65 70 71 72 78 81 91 107 113]\n#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</si>
  <si>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minW=127 found cw of W=38: [1 6 7 8 9 10 14 15 18 19 22 24 33 40 48 49 52 56 57 61 63 65 66 68 70 77 85 92 93 102 105 106 107 110 112 117 119 124]\n# step=0 row=2 minW=38 found cw of W=32: [5 8 9 12 14 17 19 21 26 28 34 38 40 41 44 47 54 56 59 63 65 83 86 92 93 103 107 110 112 118 122 124]\n# step=0 row=5 minW=32 found cw of W=28: [2 3 7 11 12 14 15 17 19 21 27 33 44 49 54 56 59 77 80 87 95 99 103 105 111 117 119 122]\n# step=0 row=28 minW=28 found cw of W=26: [2 6 9 11 12 21 23 28 38 40 44 48 54 57 61 63 65 81 93 95 99 103 112 122 123 124]\n# step=1 row=1 minW=26 found cw of W=24: [2 3 18 19 23 32 37 44 45 60 61 64 65 72 73 74 81 82 106 114 115 121 123 124]\n# step=3 row=27 minW=24 found cw of W=22: [1 12 17 21 31 43 44 48 51 54 59 63 73 77 81 83 86 90 93 119 123 125]\n# step=12 row=45 minW=22 found cw of W=20: [7 10 19 27 31 50 57 58 61 66 69 83 91 92 94 99 100 108 115 125]\n# step=26 row=8 minW=20 found cw of W=18: [6 10 12 21 27 48 52 54 64 71 80 84 105 106 111 113 122 126]\n#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</si>
  <si>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minW=130 found cw of W=34: [1 2 3 5 6 11 15 18 19 21 22 26 33 39 40 44 47 49 60 61 62 65 76 82 88 89 90 91 97 101 103 107 112 126]\n# step=0 row=2 minW=34 found cw of W=26: [2 4 6 12 23 30 33 39 49 52 58 59 70 76 79 88 90 95 98 101 102 109 113 116 122 125]\n# step=0 row=6 minW=26 found cw of W=18: [25 32 39 45 52 59 65 68 72 75 79 82 88 95 102 108 115 122]\n#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</si>
  <si>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minW=133 found cw of W=30: [1 3 5 8 11 17 18 24 29 35 39 42 54 61 62 68 75 77 79 83 86 89 91 93 96 98 99 117 119 121]\n# step=0 row=3 minW=30 found cw of W=22: [11 13 24 30 33 42 51 57 59 63 64 68 75 86 95 99 103 107 108 118 119 121]\n# step=0 row=22 minW=22 found cw of W=20: [11 12 29 30 35 39 42 48 54 56 66 79 83 86 92 98 99 110 117 118]\n# step=62 row=26 minW=20 found cw of W=18: [30 31 34 35 47 57 62 63 79 80 91 101 106 107 118 119 122 124]\n#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</si>
  <si>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minW=136 found cw of W=34: [1 3 4 5 12 14 19 24 33 34 39 40 43 48 49 55 78 80 84 86 87 88 91 95 100 102 104 109 114 124 125 130 131 132]\n# step=0 row=6 minW=34 found cw of W=26: [1 2 12 17 18 23 24 30 31 35 49 55 62 68 75 79 80 91 92 94 100 102 108 114 121 124]\n# step=1 row=21 minW=26 found cw of W=24: [23 24 26 32 35 44 48 58 68 71 73 74 77 84 88 93 103 114 118 119 125 129 133 134]\n# step=5 row=34 minW=24 found cw of W=18: [30 31 34 35 48 58 63 64 80 81 93 103 108 109 120 121 124 126]\n#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</si>
  <si>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minW=139 found cw of W=36: [1 7 11 12 14 15 16 17 31 33 39 40 53 54 59 60 63 64 82 87 88 93 100 103 104 105 107 108 110 123 125 128 131 132 133 134]\n# step=0 row=7 minW=36 found cw of W=30: [8 12 17 25 31 33 34 35 39 41 46 54 59 61 64 88 104 105 107 109 110 117 123 125 126 127 131 133 134 138]\n# step=0 row=29 minW=30 found cw of W=28: [7 11 23 31 33 38 39 40 41 57 59 61 64 69 79 84 86 87 88 89 99 105 107 110 123 131 134 135]\n# step=0 row=31 minW=28 found cw of W=18: [4 8 12 35 46 54 57 63 64 81 86 96 103 104 109 110 132 138]\n#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</si>
  <si>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minW=142 found cw of W=42: [2 3 4 5 14 24 25 26 28 31 32 38 42 45 46 48 49 51 52 57 69 71 78 79 83 85 86 87 95 97 104 108 116 119 120 122 130 133 134 136 139 140]\n# step=0 row=1 minW=42 found cw of W=34: [3 6 7 21 24 25 36 46 48 49 57 67 69 70 71 75 78 83 92 95 96 97 100 101 104 114 115 116 117 119 122 125 139 140]\n# step=0 row=6 minW=34 found cw of W=30: [1 2 3 6 9 11 19 21 26 28 45 54 56 57 66 73 86 87 92 95 96 97 100 101 104 105 115 122 133 134]\n# step=0 row=9 minW=30 found cw of W=26: [2 9 23 26 28 31 49 54 56 57 67 69 70 72 73 75 78 86 92 101 104 114 116 119 133 139]\n# step=0 row=24 minW=26 found cw of W=24: [3 4 11 25 30 36 38 46 60 73 77 83 85 86 92 97 98 105 107 119 120 133 139 140]\n# step=1 row=5 minW=24 found cw of W=18: [6 16 27 29 46 56 58 74 76 81 92 100 103 105 110 128 139 140]\n#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</si>
  <si>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minW=145 found cw of W=40: [2 3 10 13 15 16 19 27 29 30 38 39 41 42 43 44 50 54 56 64 67 77 79 87 88 89 99 102 104 106 109 111 123 126 127 134 136 138 139 140]\n# step=0 row=1 minW=40 found cw of W=36: [1 4 5 8 10 19 24 29 37 40 42 45 52 53 54 56 72 77 78 79 80 87 90 92 97 102 106 115 126 127 128 133 135 136 140 141]\n# step=0 row=2 minW=36 found cw of W=32: [3 7 8 19 22 24 27 37 38 40 42 50 52 55 67 70 79 80 92 98 99 100 104 120 123 127 128 133 134 136 138 140]\n# step=0 row=6 minW=32 found cw of W=28: [1 3 4 6 8 13 14 16 19 22 27 40 41 54 56 62 64 67 70 79 89 97 99 100 109 123 127 136]\n# step=0 row=13 minW=28 found cw of W=24: [10 15 33 39 40 44 50 54 61 63 70 72 86 92 98 102 106 109 118 120 129 134 135 136]\n# step=19 row=28 minW=24 found cw of W=22: [7 8 17 24 35 41 43 46 49 56 72 74 83 88 91 94 97 103 113 122 136 137]\n# step=39 row=12 minW=22 found cw of W=20: [1 9 14 31 32 38 41 51 57 79 80 85 86 93 97 99 110 133 137 141]\n#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</si>
  <si>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minW=148 found cw of W=36: [1 9 14 17 19 26 27 28 30 32 41 44 48 50 70 74 75 76 81 83 93 95 96 107 112 115 117 119 123 126 128 132 139 144 145 146]\n# step=0 row=2 minW=36 found cw of W=34: [3 19 20 28 29 30 32 36 39 41 44 49 67 70 76 81 83 85 88 93 96 98 101 116 117 118 119 125 126 127 128 132 139 145]\n# step=0 row=3 minW=34 found cw of W=32: [6 9 15 17 19 20 27 28 39 40 43 44 60 67 71 74 88 89 92 93 104 107 109 113 115 116 117 118 120 123 125 126]\n# step=0 row=6 minW=32 found cw of W=30: [11 17 18 28 29 30 36 39 41 44 49 60 70 74 76 85 88 93 95 98 115 116 119 123 125 126 127 128 139 144]\n# step=0 row=7 minW=30 found cw of W=28: [9 12 15 17 18 19 28 29 30 36 41 60 61 81 85 96 107 109 113 115 116 117 126 127 128 130 139 145]\n# step=0 row=9 minW=28 found cw of W=26: [14 16 17 19 26 27 30 39 48 49 65 70 71 75 76 88 95 98 112 115 117 119 120 128 144 146]\n# step=0 row=10 minW=26 found cw of W=24: [9 21 29 30 32 35 40 44 48 49 67 76 81 89 93 98 107 116 119 125 127 128 133 146]\n# step=1 row=5 minW=24 found cw of W=22: [7 11 19 25 29 30 41 60 68 74 86 89 92 94 105 127 128 135 138 139 141 143]\n# step=2 row=28 minW=22 found cw of W=20: [3 11 26 28 30 31 49 52 62 70 73 75 77 80 109 111 119 122 128 147]\n# step=3 row=45 minW=20 found cw of W=18: [2 8 12 19 23 51 52 67 72 83 97 101 106 110 116 117 132 146]\n# step=21 row=49 minW=18 found cw of W=16: [8 15 28 41 56 57 64 83 87 93 105 126 132 136 139 142]\n# step=210 row=54 minW=16 found cw of W=14: [51 55 60 63 73 79 98 100 104 109 112 122 128 147]\n# round=1000 of 10000 minW=14\n# round=2000 of 10000 minW=14\n# round=3000 of 10000 minW=14\n# round=4000 of 10000 minW=14\n# round=5000 of 10000 minW=14\n# round=6000 of 10000 minW=14\n# round=7000 of 10000 minW=14\n# round=8000 of 10000 minW=14\n# round=9000 of 10000 minW=14\n# round=10000 of 10000 minW=14\nRW algorithm upper bound for the distance d=14\n</t>
  </si>
  <si>
    <t># step=0 row=0 minW=151 found cw of W=38: [3 5 9 10 11 20 21 25 32 39 44 45 47 50 53 55 58 76 80 90 93 95 97 108 109 110 111 120 121 125 126 130 132 139 140 143 144 150]\n# step=0 row=1 minW=38 found cw of W=36: [5 6 10 11 16 19 20 25 39 46 47 50 55 58 60 61 66 67 69 70 71 76 80 84 96 97 106 108 117 121 125 126 130 134 139 150]\n# step=0 row=3 minW=36 found cw of W=26: [5 8 9 12 19 21 32 34 42 45 53 55 58 67 69 71 76 95 103 109 112 117 126 132 134 142]\n# step=0 row=39 minW=26 found cw of W=24: [16 19 25 34 42 50 55 66 67 69 70 76 80 90 92 105 117 120 125 126 130 134 140 150]\n# step=1 row=37 minW=24 found cw of W=22: [7 8 17 47 50 51 52 55 57 58 69 74 78 101 102 105 117 119 124 128 147 150]\n# step=14 row=29 minW=22 found cw of W=20: [5 10 12 18 20 26 29 40 50 60 62 68 70 76 79 99 105 140 149 150]\n# step=15 row=60 minW=20 found cw of W=18: [6 11 43 48 49 56 59 61 71 84 85 93 99 109 121 134 135 148]\n# step=66 row=23 minW=18 found cw of W=16: [15 21 30 39 45 59 62 65 71 89 95 98 109 112 130 148]\n# round=1000 of 10000 minW=16\n# round=2000 of 10000 minW=16\n# round=3000 of 10000 minW=16\n# round=4000 of 10000 minW=16\n# round=5000 of 10000 minW=16\n# round=6000 of 10000 minW=16\n# round=7000 of 10000 minW=16\n# round=8000 of 10000 minW=16\n# round=9000 of 10000 minW=16\n# round=10000 of 10000 minW=16\nRW algorithm upper bound for the distance d=16\n</t>
  </si>
  <si>
    <t># step=0 row=0 minW=154 found cw of W=30: [2 19 22 23 24 32 36 43 44 49 53 62 68 70 73 74 81 83 87 90 93 94 95 100 113 119 126 132 141 144]\n# step=0 row=4 minW=30 found cw of W=28: [4 5 11 27 29 43 45 49 50 51 59 62 63 69 78 80 87 100 101 102 106 107 110 114 120 138 145 147]\n# step=0 row=31 minW=28 found cw of W=22: [6 17 19 20 23 32 51 68 69 70 71 74 75 86 97 102 108 120 126 134 137 148]\n# step=4 row=60 minW=22 found cw of W=20: [1 4 13 18 21 26 35 41 48 64 77 86 96 103 106 120 123 143 147 150]\n# step=84 row=27 minW=20 found cw of W=18: [59 61 66 69 70 74 82 91 95 110 112 117 120 121 125 133 142 146]\n#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</si>
  <si>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minW=157 found cw of W=34: [1 9 10 12 13 15 25 27 29 34 35 46 47 53 59 61 62 75 77 81 92 99 104 111 116 117 119 127 131 138 139 144 150 156]\n# step=0 row=4 minW=34 found cw of W=30: [2 4 9 12 17 21 25 34 35 39 42 50 54 69 75 77 83 86 91 92 108 113 116 125 127 135 139 144 146 154]\n# step=0 row=10 minW=30 found cw of W=26: [9 14 21 24 27 28 29 34 39 42 56 71 76 79 80 81 91 92 108 113 118 123 125 138 144 146]\n# step=0 row=21 minW=26 found cw of W=22: [7 14 21 26 27 46 57 59 62 69 84 92 109 114 118 121 125 130 131 136 144 150]\n#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</si>
  <si>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minW=160 found cw of W=46: [2 3 9 14 16 17 20 22 24 31 43 50 51 53 54 56 61 73 74 75 78 81 82 89 97 98 103 104 106 107 108 114 115 120 122 123 127 130 131 134 135 137 142 149 150 151]\n# step=0 row=1 minW=46 found cw of W=40: [4 6 7 14 18 22 23 31 32 43 49 50 53 57 59 60 61 66 67 71 72 75 85 89 95 97 98 102 103 106 114 119 125 129 137 142 148 149 150 151]\n# step=0 row=8 minW=40 found cw of W=36: [1 3 9 15 21 22 24 29 32 43 49 50 56 60 67 68 74 75 76 81 85 94 96 98 102 103 107 113 115 120 129 130 134 135 147 151]\n# step=0 row=23 minW=36 found cw of W=34: [1 4 9 12 18 22 32 35 49 53 54 57 58 61 65 71 74 75 76 85 89 90 97 102 106 111 114 115 127 129 141 142 143 150]\n# step=0 row=44 minW=34 found cw of W=30: [5 16 18 19 20 24 31 35 43 50 61 73 74 82 90 95 103 111 114 122 124 125 127 130 135 137 141 143 148 149]\n# step=6 row=49 minW=30 found cw of W=28: [6 15 26 28 29 31 32 44 47 68 72 74 84 86 89 95 97 112 125 127 132 134 135 138 139 142 148 153]\n# step=10 row=38 minW=28 found cw of W=26: [3 8 9 10 15 27 28 38 46 49 69 81 90 91 94 99 102 109 114 115 116 121 122 133 143 147]\n# step=24 row=22 minW=26 found cw of W=24: [7 14 16 24 32 34 39 45 58 60 69 77 79 85 87 92 103 104 111 120 132 151 156 157]\n# step=35 row=12 minW=24 found cw of W=22: [15 21 22 28 30 43 46 53 60 68 74 75 86 92 96 113 134 136 139 145 152 159]\n#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</si>
  <si>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minW=163 found cw of W=40: [1 5 11 17 18 22 27 28 29 30 43 45 49 54 55 61 65 71 76 78 83 86 91 93 97 99 104 113 115 126 132 135 136 138 140 145 147 157 158 162]\n# step=0 row=1 minW=40 found cw of W=36: [2 8 11 17 18 22 28 29 43 49 50 54 57 62 65 76 78 83 91 92 93 97 99 104 110 111 125 126 132 136 145 146 147 153 157 162]\n# step=0 row=5 minW=36 found cw of W=30: [5 10 18 28 29 31 33 42 45 46 63 64 69 74 82 83 85 87 91 92 99 113 117 123 126 128 145 146 150 154]\n# step=0 row=30 minW=30 found cw of W=28: [8 18 23 30 31 50 54 57 62 63 69 74 77 85 93 99 100 111 117 123 126 128 138 147 153 154 158 162]\n# step=1 row=35 minW=28 found cw of W=26: [9 15 18 23 25 26 32 41 51 52 60 69 78 79 80 89 95 105 106 114 117 126 131 132 140 143]\n# step=7 row=15 minW=26 found cw of W=24: [5 6 15 19 22 28 33 34 36 46 52 59 76 84 88 100 106 114 123 127 136 138 141 144]\n# step=13 row=40 minW=24 found cw of W=22: [20 27 31 38 40 46 53 74 76 79 81 91 93 100 130 133 139 145 146 147 148 161]\n# step=14 row=21 minW=22 found cw of W=20: [12 13 36 37 45 51 52 64 66 67 72 86 90 118 126 140 145 153 159 160]\n#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</si>
  <si>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minW=166 found cw of W=50: [1 4 5 10 12 18 19 22 23 25 29 41 42 49 52 59 60 67 73 75 79 80 85 95 96 97 98 99 103 104 106 109 110 111 120 129 130 132 133 134 139 140 150 153 154 158 161 162 164 165]\n# step=0 row=1 minW=50 found cw of W=48: [1 6 7 8 9 10 13 19 24 27 41 42 49 52 55 60 61 63 64 66 71 79 80 82 85 87 96 98 103 104 109 110 111 115 117 120 121 123 126 129 135 140 142 152 153 158 162 164]\n# step=0 row=2 minW=48 found cw of W=38: [11 19 23 24 25 27 29 42 44 49 51 54 56 63 73 75 79 80 82 95 97 99 104 106 107 110 111 118 121 128 129 130 133 139 150 162 164 165]\n# step=0 row=3 minW=38 found cw of W=36: [4 8 10 12 13 14 19 25 29 32 44 49 59 65 67 69 71 77 80 95 99 103 104 107 109 118 123 126 129 132 139 142 150 158 162 164]\n# step=0 row=10 minW=36 found cw of W=34: [1 3 8 13 22 24 28 42 52 53 54 58 60 63 73 77 83 95 98 99 107 109 110 111 115 123 128 134 150 152 153 154 163 165]\n# step=2 row=56 minW=34 found cw of W=30: [16 19 20 22 29 34 39 40 58 69 75 77 84 90 91 94 98 99 110 113 124 126 129 144 145 146 150 153 154 165]\n# step=15 row=41 minW=30 found cw of W=26: [11 19 22 41 44 47 57 66 72 83 91 93 96 99 102 103 110 112 127 129 132 138 146 148 158 165]\n# step=273 row=33 minW=26 found cw of W=24: [9 14 15 33 35 38 41 45 50 55 64 65 69 86 90 93 96 100 110 120 125 141 143 160]\n#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</si>
  <si>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minW=169 found cw of W=46: [2 6 8 14 18 19 20 29 31 33 37 41 43 48 52 55 57 62 66 70 74 81 85 89 90 91 97 99 105 109 111 113 114 120 122 131 132 137 143 146 147 149 160 161 164 165]\n# step=0 row=3 minW=46 found cw of W=44: [1 5 7 11 16 18 20 24 29 30 31 42 43 44 58 61 63 64 65 67 68 72 74 76 80 81 86 91 100 104 105 113 114 120 121 124 137 141 143 147 154 155 160 161]\n# step=0 row=13 minW=44 found cw of W=42: [1 2 7 8 10 11 14 16 18 19 30 31 42 43 50 52 53 55 63 67 70 72 81 85 86 98 105 106 109 111 113 114 120 122 130 131 137 141 143 155 161 164]\n# step=0 row=15 minW=42 found cw of W=40: [1 10 16 19 33 41 43 47 48 49 50 51 56 63 64 65 66 74 80 81 89 91 97 99 103 104 105 106 113 119 120 121 128 130 131 136 137 147 163 168]\n# step=0 row=20 minW=40 found cw of W=36: [1 2 5 7 9 10 12 37 42 43 48 51 52 58 61 75 85 91 104 105 109 113 119 121 122 124 131 141 147 149 154 155 161 163 164 165]\n# step=0 row=21 minW=36 found cw of W=34: [11 16 21 27 29 37 41 42 47 49 63 65 66 67 72 76 77 80 83 85 97 99 103 104 119 121 122 132 136 149 154 155 160 161]\n# step=1 row=28 minW=34 found cw of W=32: [1 12 15 24 29 34 37 43 44 45 56 57 63 80 82 84 90 93 94 99 107 119 124 127 138 140 141 150 156 157 163 168]\n# step=7 row=34 minW=32 found cw of W=28: [3 11 13 14 28 35 36 49 69 81 82 84 87 91 92 96 97 105 111 115 123 126 137 138 143 152 153 167]\n# step=44 row=7 minW=28 found cw of W=26: [14 15 22 25 29 35 36 42 64 70 82 85 91 92 105 111 112 120 127 134 137 138 154 161 167 168]\n# step=126 row=25 minW=26 found cw of W=24: [10 20 26 28 29 31 37 47 57 60 66 76 82 84 85 87 93 103 109 112 113 116 165 168]\n#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</si>
  <si>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minW=172 found cw of W=48: [1 2 5 10 12 14 19 22 23 27 28 36 37 41 48 49 50 56 58 66 68 71 77 82 93 96 104 105 106 107 116 119 123 124 125 126 133 134 136 137 139 141 142 151 153 155 161 170]\n# step=0 row=1 minW=48 found cw of W=46: [1 3 5 10 11 14 22 23 26 28 41 42 45 48 49 50 56 58 64 67 68 71 75 77 80 81 84 99 104 105 106 107 117 119 121 132 134 136 138 140 141 142 155 159 161 170]\n# step=0 row=3 minW=46 found cw of W=42: [7 10 12 15 19 26 27 28 36 48 52 56 64 65 66 72 77 78 80 82 83 84 93 97 102 105 107 122 123 124 126 133 134 135 137 139 142 154 159 164 166 170]\n# step=0 row=9 minW=42 found cw of W=36: [4 5 11 15 21 23 27 28 37 39 42 48 49 54 56 66 80 83 99 105 106 107 111 118 119 123 125 129 135 140 141 142 151 153 164 170]\n# step=0 row=19 minW=36 found cw of W=32: [4 16 19 22 23 26 27 28 45 46 47 49 50 52 64 67 73 80 84 102 103 106 107 118 121 124 133 136 140 142 161 166]\n# step=3 row=50 minW=32 found cw of W=28: [1 14 15 18 30 38 40 45 51 53 72 74 84 86 87 95 97 103 110 115 128 131 132 141 143 159 160 165]\n# step=38 row=40 minW=28 found cw of W=26: [5 10 12 14 19 33 35 37 38 50 60 62 70 90 92 102 117 124 126 127 128 133 151 152 159 164]\n#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</si>
  <si>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minW=175 found cw of W=42: [2 5 8 10 11 14 18 26 31 33 39 42 46 48 51 63 64 72 88 89 94 100 104 105 106 110 115 118 122 124 126 127 134 142 146 149 152 155 163 167 168 173]\n# step=0 row=1 minW=42 found cw of W=36: [6 9 12 14 19 26 33 42 49 56 59 64 70 72 80 88 89 94 97 100 104 107 114 115 117 125 135 138 142 146 147 149 152 155 162 173]\n# step=0 row=17 minW=36 found cw of W=28: [3 5 9 11 14 30 31 36 42 47 51 52 61 63 64 67 72 94 100 105 107 122 127 146 147 165 167 168]\n# step=4 row=36 minW=28 found cw of W=24: [5 17 28 42 44 47 52 53 58 63 74 75 82 100 102 103 105 111 116 132 140 144 161 168]\n# step=39 row=18 minW=24 found cw of W=22: [26 31 41 43 44 56 57 75 83 86 95 101 102 115 133 141 142 144 147 153 157 172]\n# step=313 row=39 minW=22 found cw of W=20: [19 21 23 27 33 51 53 57 66 85 89 91 109 115 124 135 137 139 147 169]\n#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</si>
  <si>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minW=178 found cw of W=44: [2 3 6 7 9 11 14 20 21 24 26 37 43 47 48 55 58 59 61 62 68 70 75 81 85 102 105 108 117 124 125 132 134 138 139 140 142 155 164 165 166 167 173 177]\n# step=0 row=1 minW=44 found cw of W=38: [3 4 11 18 24 30 37 40 46 57 62 66 69 70 71 75 81 89 92 98 107 116 118 122 125 128 130 134 136 140 142 151 155 157 158 164 166 177]\n# step=0 row=16 minW=38 found cw of W=28: [3 14 18 31 34 39 51 53 57 58 62 63 70 90 93 107 116 118 122 129 132 136 157 166 169 171 176 177]\n# step=4 row=31 minW=28 found cw of W=24: [1 2 4 5 21 22 26 37 39 63 64 68 69 79 80 81 98 119 120 127 128 138 144 155]\n# step=11 row=53 minW=24 found cw of W=22: [15 20 37 41 45 53 54 55 58 79 82 90 96 100 113 114 117 133 141 149 163 171]\n# step=40 row=47 minW=22 found cw of W=20: [4 6 11 30 48 51 63 68 82 102 117 124 127 129 141 148 161 166 169 176]\n#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</si>
  <si>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minW=181 found cw of W=42: [3 5 8 9 17 18 23 33 34 46 47 54 62 63 68 71 77 85 87 89 91 94 97 104 107 112 114 122 125 129 131 138 143 145 147 149 151 153 157 164 166 172]\n# step=0 row=13 minW=42 found cw of W=40: [1 2 4 5 17 21 23 25 29 33 34 37 40 48 61 65 66 71 85 89 94 97 101 104 107 112 122 124 126 131 137 141 143 153 160 161 164 167 168 172]\n# step=0 row=16 minW=40 found cw of W=34: [7 17 21 25 29 34 40 41 43 46 48 53 62 63 67 94 99 107 113 114 122 123 137 141 145 149 159 160 161 163 166 167 168 174]\n# step=1 row=17 minW=34 found cw of W=26: [3 9 19 23 29 36 41 42 47 50 64 95 96 101 117 123 124 129 139 143 149 155 162 167 170 177]\n# step=26 row=65 minW=26 found cw of W=24: [15 27 28 34 37 50 58 75 87 94 97 101 102 111 115 118 120 148 161 162 170 171 175 180]\n# round=1000 of 10000 minW=24\n# step=1093 row=19 minW=24 found cw of W=22: [8 17 19 27 33 34 50 56 59 65 77 93 94 112 125 128 139 147 170 172 176 179]\n#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</si>
  <si>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minW=184 found cw of W=46: [2 6 7 8 15 16 27 28 31 34 37 42 50 51 66 68 69 70 71 76 77 79 83 84 89 98 102 111 112 117 120 124 127 128 131 132 140 144 145 149 153 156 163 164 178 181]\n# step=0 row=8 minW=46 found cw of W=40: [7 8 14 15 16 17 20 24 28 32 35 41 44 63 68 69 71 75 76 78 79 83 85 89 102 105 114 117 120 124 132 138 140 142 144 154 157 175 178 181]\n# step=0 row=11 minW=40 found cw of W=36: [14 17 24 25 27 30 32 37 39 44 55 66 71 75 76 78 79 84 97 98 100 102 105 127 132 137 140 145 146 147 149 152 154 158 163 177]\n# step=0 row=55 minW=36 found cw of W=34: [10 11 13 14 18 20 28 29 30 53 66 72 75 77 79 85 89 97 111 117 120 127 132 135 138 142 146 151 152 158 172 175 178 181]\n# step=1 row=36 minW=34 found cw of W=28: [8 17 19 25 42 43 49 50 73 78 80 87 91 95 98 111 120 130 134 147 148 152 156 159 164 165 171 181]\n# step=62 row=56 minW=28 found cw of W=26: [12 22 23 39 57 59 65 69 70 101 102 109 117 120 126 130 131 134 144 145 161 162 163 170 178 179]\n# step=66 row=56 minW=26 found cw of W=24: [3 6 8 23 26 33 34 51 55 64 69 77 84 88 90 95 112 128 138 148 149 151 155 177]\n# step=182 row=46 minW=24 found cw of W=22: [9 17 42 45 51 55 60 82 86 91 103 104 116 131 139 143 147 152 165 167 173 182]\n# round=1000 of 10000 minW=22\n# round=2000 of 10000 minW=22\n# round=3000 of 10000 minW=22\n# round=4000 of 10000 minW=22\n# round=5000 of 10000 minW=22\n# round=6000 of 10000 minW=22\n# round=7000 of 10000 minW=22\n# round=8000 of 10000 minW=22\n# round=9000 of 10000 minW=22\n# round=10000 of 10000 minW=22\nRW algorithm upper bound for the distance d=22\n</t>
  </si>
  <si>
    <t># step=0 row=0 minW=187 found cw of W=36: [1 14 20 27 28 33 37 39 40 43 44 47 55 76 82 90 95 102 103 105 108 110 123 124 125 151 161 163 165 168 170 171 172 179 185 186]\n# step=0 row=3 minW=36 found cw of W=32: [2 9 12 14 20 21 39 40 43 50 55 63 64 69 83 87 102 103 105 112 122 125 131 133 136 138 144 149 163 165 179 184]\n# step=0 row=76 minW=32 found cw of W=26: [2 9 26 28 32 33 37 43 48 50 57 64 82 95 99 105 110 112 121 133 144 150 152 156 181 183]\n# step=5 row=6 minW=26 found cw of W=24: [18 29 38 41 47 51 52 55 75 77 91 103 105 110 113 117 137 139 142 162 167 171 172 176]\n# step=19 row=44 minW=24 found cw of W=22: [4 15 17 36 50 60 66 76 77 78 81 98 108 120 122 138 140 141 143 170 174 182]\n# step=655 row=19 minW=22 found cw of W=20: [16 17 46 47 76 82 83 104 105 111 138 140 141 144 145 166 167 170 171 173]\n# round=1000 of 10000 minW=20\n# round=2000 of 10000 minW=20\n# round=3000 of 10000 minW=20\n# round=4000 of 10000 minW=20\n# round=5000 of 10000 minW=20\n# round=6000 of 10000 minW=20\n# round=7000 of 10000 minW=20\n# round=8000 of 10000 minW=20\n# round=9000 of 10000 minW=20\n# round=10000 of 10000 minW=20\nRW algorithm upper bound for the distance d=20\n</t>
  </si>
  <si>
    <t># step=0 row=0 minW=190 found cw of W=48: [1 8 15 17 18 19 23 24 31 32 36 39 44 45 49 50 52 53 66 70 77 82 83 86 87 95 99 107 112 115 116 118 123 127 129 133 134 140 141 143 144 146 157 165 171 176 181 186]\n# step=0 row=1 minW=48 found cw of W=46: [2 5 8 9 13 14 15 17 18 19 20 24 27 31 36 55 66 76 78 82 83 86 87 99 100 109 112 116 118 123 128 129 131 134 135 140 143 144 149 153 157 163 172 175 179 186]\n# step=0 row=9 minW=46 found cw of W=40: [3 5 9 13 14 18 25 27 28 32 39 46 49 50 53 55 59 61 72 78 86 91 95 116 129 131 139 140 141 144 149 151 153 165 172 175 176 181 185 187]\n# step=0 row=25 minW=40 found cw of W=36: [14 18 24 31 44 45 46 53 59 63 65 66 69 70 72 86 107 115 118 122 126 128 129 132 133 135 140 144 149 150 157 171 172 178 179 181]\n# step=0 row=40 minW=36 found cw of W=34: [6 14 18 19 32 36 49 52 53 59 61 63 66 69 77 78 82 87 95 99 100 102 116 126 129 141 144 150 163 165 175 178 185 187]\n# step=1 row=26 minW=34 found cw of W=32: [1 10 19 20 21 24 30 33 41 52 53 61 64 68 80 83 87 91 93 100 104 116 131 136 143 145 147 154 159 163 178 187]\n# step=7 row=67 minW=32 found cw of W=30: [2 4 10 26 27 32 36 43 48 50 51 53 58 63 65 67 69 73 90 95 111 132 152 162 169 176 177 179 184 189]\n# step=27 row=39 minW=30 found cw of W=28: [9 12 26 29 33 40 45 46 57 58 75 76 92 96 108 109 111 114 118 121 135 139 152 166 174 177 181 183]\n# step=900 row=31 minW=28 found cw of W=26: [1 17 26 30 41 45 55 63 77 88 89 99 104 117 118 121 126 127 140 143 151 156 162 171 180 184]\n#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</si>
  <si>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minW=193 found cw of W=38: [1 8 11 19 22 26 30 31 34 40 44 52 56 64 72 75 87 91 94 95 102 108 109 116 118 120 128 129 147 150 151 154 155 162 166 168 173 182]\n# step=0 row=1 minW=38 found cw of W=34: [2 8 14 18 19 39 40 44 51 56 60 62 67 72 82 89 102 103 108 109 118 120 130 131 142 147 153 166 168 173 179 182 188 190]\n# step=0 row=71 minW=34 found cw of W=32: [11 14 19 26 28 33 40 48 60 64 67 75 78 82 87 94 102 116 124 131 146 147 151 154 156 158 161 166 168 176 180 192]\n# step=2 row=1 minW=32 found cw of W=30: [2 4 8 11 35 38 43 46 47 55 60 66 68 71 72 78 99 107 111 116 121 135 139 142 166 174 180 183 185 188]\n# step=13 row=50 minW=30 found cw of W=26: [14 18 20 32 35 52 57 58 61 66 80 82 84 85 96 97 99 125 130 142 144 149 161 180 185 186]\n# step=38 row=39 minW=26 found cw of W=24: [4 11 16 28 38 39 57 61 68 79 80 96 107 127 139 143 156 160 166 167 171 185 189 191]\n#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</si>
  <si>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minW=196 found cw of W=48: [2 9 14 15 18 19 20 23 24 31 32 46 50 52 55 56 58 59 63 73 79 80 83 84 85 89 90 96 99 102 109 111 117 120 121 128 132 138 139 153 155 162 164 167 174 180 188 189]\n# step=0 row=15 minW=48 found cw of W=46: [14 17 20 21 24 30 31 32 34 36 37 39 40 41 44 50 54 56 58 60 79 82 85 89 95 99 104 105 106 108 109 114 117 121 151 161 162 166 167 173 179 180 182 184 188 190]\n# step=0 row=17 minW=46 found cw of W=44: [9 18 20 21 23 24 30 31 36 43 44 46 48 52 55 58 59 80 83 84 85 88 89 95 102 109 114 120 123 124 128 139 145 149 151 161 166 167 173 176 178 179 182 193]\n# step=0 row=28 minW=44 found cw of W=40: [11 15 16 17 30 32 34 36 39 46 52 56 58 59 76 80 81 82 84 88 93 95 96 99 104 111 114 117 121 123 124 128 149 153 158 161 162 166 179 193]\n# step=0 row=58 minW=40 found cw of W=36: [8 9 11 14 16 19 20 31 32 36 37 39 46 73 79 80 81 85 90 95 96 102 104 109 115 139 141 145 149 155 160 162 166 174 176 180]\n# step=2 row=31 minW=36 found cw of W=34: [1 3 14 19 20 21 29 37 38 59 61 68 75 83 84 86 90 94 102 117 124 127 129 131 140 144 148 150 155 168 182 191 192 194]\n# step=42 row=21 minW=34 found cw of W=32: [1 3 5 22 25 27 37 45 46 50 51 52 62 66 92 94 110 112 115 123 133 135 152 155 159 167 176 177 181 182 188 192]\n# step=107 row=47 minW=32 found cw of W=30: [11 24 31 34 47 53 54 64 67 86 99 100 106 111 113 119 120 129 132 141 151 154 161 165 171 176 177 178 183 185]\n# step=611 row=54 minW=30 found cw of W=28: [15 18 22 30 34 38 41 44 45 47 61 80 88 89 99 102 103 106 109 112 148 152 153 154 160 167 175 191]\n#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</si>
  <si>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minW=199 found cw of W=60: [1 2 3 4 11 12 15 20 22 26 32 40 42 44 45 48 51 59 61 65 69 71 77 78 80 81 82 84 86 92 94 96 98 99 103 109 114 125 128 133 134 136 137 146 148 150 154 160 162 165 169 172 174 175 176 177 183 193 194 197]\n# step=0 row=1 minW=60 found cw of W=56: [4 5 6 7 12 16 20 26 32 44 45 46 47 48 49 51 52 58 59 60 62 64 65 71 73 78 86 92 98 99 103 108 109 110 112 113 114 118 122 124 125 126 131 136 138 148 165 169 174 175 177 181 183 188 194 196]\n# step=0 row=3 minW=56 found cw of W=38: [3 4 5 13 14 20 33 36 46 47 52 58 64 65 69 77 79 80 84 96 99 108 112 113 118 124 128 136 137 143 150 152 162 168 174 194 196 197]\n# step=3 row=34 minW=38 found cw of W=34: [7 8 21 27 28 34 38 46 52 58 62 64 87 93 96 98 100 104 106 118 121 124 130 131 139 140 160 162 164 172 178 187 194 197]\n# step=6 row=39 minW=34 found cw of W=32: [12 15 18 21 23 27 28 34 37 38 39 40 43 61 78 93 94 100 103 104 106 109 120 125 147 150 153 155 171 186 191 193]\n# step=9 row=8 minW=32 found cw of W=30: [11 20 21 30 37 43 48 50 51 94 96 103 105 107 109 114 117 121 125 126 143 152 153 160 171 173 182 187 191 192]\n# step=397 row=20 minW=30 found cw of W=28: [3 6 7 13 28 29 30 37 42 63 69 72 73 91 95 96 108 114 117 125 145 157 160 169 180 183 191 195]\n#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</si>
  <si>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minW=202 found cw of W=58: [1 2 3 5 9 10 12 13 14 17 18 20 31 33 39 44 47 61 65 66 68 69 72 76 80 81 84 85 87 90 92 95 97 100 101 111 112 115 127 130 132 137 144 146 157 159 162 164 165 168 173 179 181 182 194 195 197 200]\n# step=0 row=4 minW=58 found cw of W=54: [1 7 10 12 14 20 22 23 24 32 33 35 37 39 45 46 49 61 65 66 68 69 74 77 81 87 89 90 92 98 99 100 102 104 111 112 113 116 123 130 134 136 146 158 159 165 173 178 190 195 197 199 200 201]\n# step=0 row=10 minW=54 found cw of W=50: [1 2 4 10 14 17 20 22 31 33 35 40 45 46 47 48 58 68 69 79 81 84 87 89 95 97 99 100 102 106 107 112 113 115 123 125 127 134 138 144 146 162 164 165 166 173 181 190 194 201]\n# step=0 row=12 minW=50 found cw of W=46: [3 7 9 12 14 17 20 22 31 32 37 44 45 46 47 51 53 62 65 66 69 74 76 77 79 81 84 87 89 102 113 118 132 136 137 144 165 166 169 171 178 179 181 187 196 200]\n# step=1 row=6 minW=46 found cw of W=44: [3 12 13 14 19 23 25 30 32 39 41 49 53 54 63 81 82 83 86 92 97 98 110 116 117 120 128 130 134 137 146 147 149 150 157 165 166 173 175 177 184 188 195 201]\n# step=2 row=33 minW=44 found cw of W=42: [3 17 19 21 23 24 33 34 39 48 53 54 57 60 64 70 81 88 90 91 94 97 100 107 115 120 121 124 127 128 131 132 148 151 153 161 164 168 173 174 195 199]\n# step=5 row=64 minW=42 found cw of W=38: [6 10 22 23 25 27 28 37 58 66 67 69 70 73 88 92 94 109 114 121 122 130 134 136 137 144 155 156 157 162 171 176 181 188 189 192 197 200]\n# step=7 row=7 minW=38 found cw of W=34: [10 13 19 22 32 40 60 71 75 86 92 98 99 110 112 118 122 126 127 133 138 142 144 147 156 159 165 174 177 179 185 189 193 200]\n# step=21 row=43 minW=34 found cw of W=32: [3 4 12 14 21 25 29 40 53 59 66 71 79 80 81 88 92 96 107 111 119 130 131 137 147 178 186 187 193 197 198 200]\n# step=299 row=62 minW=32 found cw of W=30: [16 19 25 26 27 42 44 45 56 58 92 93 94 96 102 107 109 111 119 127 150 153 163 169 174 179 186 190 192 194]\n# round=1000 of 10000 minW=30\n# step=1115 row=66 minW=30 found cw of W=28: [8 10 13 24 27 35 56 58 61 75 90 91 93 94 113 116 124 125 128 144 147 157 160 169 180 183 190 191]\n#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</si>
  <si>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minW=205 found cw of W=58: [6 7 11 12 14 15 20 22 23 27 29 31 35 36 50 57 61 63 77 80 82 83 84 89 90 91 97 100 103 104 108 109 114 118 119 125 127 129 132 134 142 143 145 147 152 156 157 163 167 168 176 177 182 187 195 199 200 202]\n# step=0 row=2 minW=58 found cw of W=50: [1 6 9 11 17 19 21 23 25 27 30 34 36 46 56 63 64 69 75 84 85 87 88 89 90 91 93 102 106 108 119 127 131 132 142 143 145 147 152 156 158 163 166 172 174 176 182 187 192 195]\n# step=0 row=16 minW=50 found cw of W=44: [1 8 9 11 14 15 17 23 25 26 33 43 47 48 57 61 63 64 69 73 77 82 83 85 91 93 100 104 111 125 129 131 134 141 144 147 162 168 169 172 183 184 200 202]\n# step=0 row=68 minW=44 found cw of W=42: [1 3 9 15 16 19 20 22 23 26 27 33 35 38 44 47 55 61 63 69 71 77 83 87 90 91 100 103 106 109 129 152 156 162 163 168 169 177 180 183 191 199]\n# step=1 row=62 minW=42 found cw of W=36: [2 3 4 5 10 22 26 34 35 38 61 62 66 73 75 78 94 96 106 108 115 125 134 138 139 140 143 158 164 170 171 176 183 193 197 198]\n# step=25 row=47 minW=36 found cw of W=34: [2 20 25 27 29 35 43 46 47 51 52 57 63 67 69 70 95 103 108 114 119 123 137 156 161 165 176 179 183 188 191 193 199 203]\n# step=98 row=16 minW=34 found cw of W=32: [26 33 41 45 46 49 54 56 58 66 73 91 92 107 109 110 113 117 122 125 134 141 159 160 162 169 175 178 182 192 193 194]\n# step=330 row=54 minW=32 found cw of W=28: [7 11 19 27 29 35 36 37 45 46 66 75 79 85 91 97 105 107 113 114 134 153 155 159 163 171 172 175]\n#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</si>
  <si>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minW=208 found cw of W=50: [1 2 6 15 23 24 28 29 39 45 51 52 54 55 59 63 64 66 70 75 87 88 95 96 97 98 108 111 114 118 120 121 124 128 131 132 133 140 153 156 157 161 162 164 165 180 187 192 200 204]\n# step=0 row=3 minW=50 found cw of W=48: [5 7 9 15 19 23 26 28 29 37 38 41 42 45 49 52 55 59 63 64 66 74 75 76 78 95 98 106 110 115 118 120 121 124 128 132 133 135 144 153 157 161 166 176 180 183 184 189]\n# step=0 row=8 minW=48 found cw of W=44: [1 3 5 15 20 24 25 28 37 38 42 49 51 59 66 70 72 74 75 76 87 89 90 97 101 106 115 118 120 128 133 144 145 153 156 159 162 163 170 176 180 184 202 204]\n# step=0 row=32 minW=44 found cw of W=42: [14 17 23 24 26 29 36 37 41 49 52 54 63 75 78 83 86 90 96 98 101 105 106 110 121 125 129 132 133 144 147 159 161 162 164 165 170 187 192 194 198 202]\n# step=2 row=44 minW=42 found cw of W=38: [11 18 23 26 41 46 52 55 61 71 74 82 89 91 92 94 95 96 107 110 121 127 132 140 143 149 151 156 158 160 163 165 176 184 193 196 199 201]\n# step=2 row=55 minW=38 found cw of W=36: [3 17 22 25 26 29 42 52 61 70 75 80 84 90 91 94 95 98 111 121 122 123 130 132 133 139 141 144 149 153 155 159 191 192 201 202]\n# step=29 row=0 minW=36 found cw of W=32: [1 13 15 21 28 29 37 46 49 51 56 62 70 71 84 98 115 117 120 131 134 135 140 151 159 166 175 186 187 194 203 204]\n# step=328 row=14 minW=32 found cw of W=30: [3 22 35 38 40 43 49 50 51 54 71 85 88 94 104 112 118 119 123 126 140 141 154 157 160 163 176 178 189 195]\n# step=439 row=67 minW=30 found cw of W=28: [1 6 14 15 18 42 45 48 52 57 67 83 87 98 106 111 115 121 139 144 153 167 175 183 184 186 195 205]\n# round=1000 of 10000 minW=28\n#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</si>
  <si>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minW=211 found cw of W=70: [1 4 5 10 20 21 22 26 27 31 32 33 41 43 53 55 57 58 60 64 66 72 73 74 83 84 85 91 93 94 95 97 102 103 104 107 113 114 115 123 124 126 128 136 141 142 143 145 150 153 154 155 160 162 163 164 165 166 171 174 177 181 184 185 194 195 196 197 200 204]\n# step=0 row=1 minW=70 found cw of W=52: [2 4 5 10 11 18 20 31 33 42 43 51 53 55 58 59 64 74 81 83 88 90 92 93 96 102 103 104 106 107 113 114 121 123 125 128 129 142 145 150 153 162 163 166 171 172 174 176 177 182 184 204]\n# step=0 row=6 minW=52 found cw of W=50: [6 9 13 21 25 27 32 33 41 43 55 59 65 76 79 90 91 92 93 94 95 96 103 104 107 113 114 120 124 126 129 132 135 153 160 162 163 164 166 167 172 174 177 181 184 190 194 195 196 202]\n# step=0 row=12 minW=50 found cw of W=42: [5 11 18 19 20 24 27 29 32 43 45 55 58 64 66 88 89 92 93 94 96 97 102 111 113 115 120 128 131 136 145 151 160 162 163 166 169 181 190 195 201 204]\n# step=5 row=41 minW=42 found cw of W=40: [8 12 14 17 27 31 37 38 44 45 49 52 60 62 76 81 82 93 104 107 108 114 122 126 128 132 146 148 151 154 157 163 167 171 174 185 189 196 198 200]\n# step=6 row=10 minW=40 found cw of W=38: [3 5 11 20 24 26 32 45 47 51 52 53 66 67 73 81 90 102 107 109 114 115 117 119 122 127 137 145 164 166 177 179 184 189 191 193 197 206]\n# step=7 row=63 minW=38 found cw of W=36: [5 10 12 14 28 39 42 43 45 59 74 75 78 80 85 99 112 113 114 122 126 133 144 148 152 154 155 168 169 179 184 185 192 196 199 203]\n# step=37 row=35 minW=36 found cw of W=34: [5 8 15 18 19 32 38 40 41 48 55 56 61 75 88 89 102 108 109 110 111 120 122 125 131 132 148 155 179 188 190 192 196 202]\n# step=48 row=12 minW=34 found cw of W=32: [8 11 12 19 25 30 36 46 52 54 78 81 82 85 92 99 100 105 106 110 116 136 155 159 162 165 169 175 180 192 194 206]\n# step=297 row=47 minW=32 found cw of W=30: [7 29 32 34 36 37 46 51 61 63 71 82 102 104 105 107 116 126 130 133 141 147 152 169 175 176 191 196 200 201]\n# round=1000 of 10000 minW=30\n# step=1214 row=4 minW=30 found cw of W=28: [13 18 29 32 34 37 43 47 53 83 86 91 97 102 104 113 117 123 134 136 156 158 161 167 169 177 204 206]\n# round=2000 of 10000 minW=28\n#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</si>
  <si>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minW=214 found cw of W=46: [1 8 16 17 18 22 26 27 31 32 44 46 48 59 64 79 87 88 93 96 97 99 117 118 122 124 129 132 135 140 143 160 167 169 170 173 174 186 189 190 193 195 200 201 203 211]\n# step=0 row=4 minW=46 found cw of W=42: [4 8 13 18 30 31 41 42 46 52 56 57 60 65 75 84 96 99 109 113 117 118 128 129 140 141 150 160 167 170 172 173 180 183 189 194 198 200 202 207 211 212]\n# step=16 row=65 minW=42 found cw of W=40: [5 13 14 23 29 30 35 37 42 48 52 61 64 65 68 76 84 86 96 100 101 112 119 126 132 133 135 136 139 156 157 165 167 177 179 183 184 194 197 204]\n# step=18 row=17 minW=40 found cw of W=38: [6 13 25 31 37 53 69 71 73 75 77 78 82 83 87 89 96 102 104 115 124 125 133 142 144 146 149 153 154 155 158 160 175 179 186 196 204 211]\n# step=23 row=16 minW=38 found cw of W=34: [15 17 21 23 27 41 43 48 56 60 73 85 86 88 95 98 111 116 119 120 138 144 156 163 165 166 182 183 185 187 191 198 202 209]\n# step=340 row=5 minW=34 found cw of W=30: [7 8 15 25 43 49 51 64 66 69 71 75 78 84 96 110 120 135 137 139 146 150 155 157 181 185 193 210 211 213]\n#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</si>
  <si>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minW=217 found cw of W=56: [2 3 5 6 8 11 13 18 20 21 29 36 44 53 62 69 71 74 75 79 80 89 90 92 93 100 101 107 108 110 122 128 132 135 140 142 149 150 151 155 157 161 172 179 182 188 194 197 200 204 206 207 212 213 214 215]\n# step=0 row=8 minW=56 found cw of W=52: [1 4 6 7 11 18 21 24 26 29 34 36 51 52 56 60 63 70 71 73 74 79 81 90 93 96 98 101 107 110 116 128 129 132 134 135 143 146 148 150 153 155 178 179 180 182 188 195 196 201 206 214]\n# step=0 row=32 minW=52 found cw of W=50: [1 4 5 7 15 17 18 23 24 36 44 45 46 47 48 51 56 60 62 69 71 79 85 87 89 90 96 108 110 119 120 129 132 142 143 145 148 149 157 167 182 188 189 190 195 200 201 206 213 214]\n# step=0 row=38 minW=50 found cw of W=48: [1 4 7 11 17 23 45 47 51 52 53 69 74 76 81 89 100 104 113 116 119 120 132 134 135 140 142 145 146 151 153 155 167 172 176 185 188 189 192 195 196 197 204 206 207 212 213 214]\n# step=0 row=66 minW=48 found cw of W=44: [2 3 6 13 19 24 36 42 45 46 47 60 63 69 71 75 81 85 89 91 96 98 105 108 113 114 119 134 135 142 146 150 153 161 170 177 185 189 190 204 206 213 214 215]\n# step=1 row=11 minW=44 found cw of W=42: [1 2 15 17 26 27 28 41 43 44 56 57 62 63 66 71 73 80 82 87 100 106 113 116 118 126 128 143 146 152 154 161 170 171 178 187 190 198 201 206 207 210]\n# step=4 row=45 minW=42 found cw of W=38: [10 16 18 20 32 37 49 50 55 63 69 84 86 88 94 100 104 108 109 120 121 122 134 135 141 142 154 156 158 162 164 166 172 180 192 199 206 214]\n# step=6 row=47 minW=38 found cw of W=36: [1 6 7 40 45 49 51 60 64 73 75 88 90 96 97 102 112 113 115 123 139 147 150 151 160 162 168 169 174 185 187 189 193 204 208 211]\n# step=32 row=9 minW=36 found cw of W=34: [3 4 9 16 21 26 37 41 47 51 55 63 75 76 82 84 88 93 98 109 116 119 123 127 135 141 142 153 154 156 185 188 213 214]\n# step=330 row=69 minW=34 found cw of W=32: [1 13 19 26 30 33 39 40 48 51 62 64 71 74 85 91 98 102 103 105 111 131 145 146 175 184 192 195 203 206 208 215]\n# round=1000 of 10000 minW=32\n# round=2000 of 10000 minW=32\n# step=2725 row=44 minW=32 found cw of W=30: [14 28 30 37 39 45 48 52 60 65 82 92 102 103 104 117 124 128 132 154 158 164 172 175 176 181 183 192 200 209]\n#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</si>
  <si>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minW=220 found cw of W=56: [1 2 4 7 18 34 36 38 40 42 47 51 53 61 62 66 73 74 76 77 80 83 88 93 99 103 107 109 111 115 118 122 134 135 137 139 141 145 146 148 149 156 161 164 166 172 176 186 191 193 195 197 199 210 214 218]\n# step=0 row=1 minW=56 found cw of W=52: [3 5 7 20 27 30 31 36 38 41 42 48 55 56 57 61 76 77 80 83 97 104 106 111 113 120 121 122 130 133 134 138 139 150 151 156 166 170 173 176 179 182 186 187 188 193 195 201 202 206 211 212]\n# step=0 row=4 minW=52 found cw of W=44: [2 7 10 14 26 30 31 34 37 38 42 52 57 61 66 69 84 99 104 107 111 113 120 121 125 132 134 138 139 142 148 153 156 157 160 176 183 186 188 193 194 203 205 211]\n# step=0 row=7 minW=44 found cw of W=42: [3 4 13 14 26 36 37 38 41 46 48 56 61 66 69 76 84 97 99 103 109 112 121 124 134 139 142 145 150 157 159 160 170 176 183 184 185 187 192 197 202 218]\n# step=7 row=4 minW=42 found cw of W=38: [4 8 11 12 13 23 24 29 37 39 42 49 52 65 74 77 81 85 86 90 93 98 110 111 115 125 138 147 157 163 166 169 170 171 175 184 185 195]\n# step=98 row=33 minW=38 found cw of W=36: [5 11 16 20 22 25 27 30 40 43 45 55 56 69 78 84 88 100 103 106 110 113 129 142 146 161 162 166 168 171 179 183 189 191 201 219]\n# step=152 row=51 minW=36 found cw of W=34: [8 18 22 25 31 40 41 52 53 59 66 69 72 81 91 92 96 98 107 125 139 144 145 165 168 169 177 180 186 187 199 205 215 217]\n# step=358 row=26 minW=34 found cw of W=30: [2 4 16 27 28 35 43 59 68 70 71 75 80 86 89 100 122 130 144 150 153 159 174 181 189 195 203 205 214 216]\n#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</si>
  <si>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minW=223 found cw of W=68: [3 5 10 17 18 20 24 27 43 45 48 51 52 58 63 64 70 75 76 78 79 84 85 89 99 105 106 107 108 116 118 119 121 122 125 126 127 133 135 144 146 149 150 151 152 159 163 165 166 168 172 173 175 179 180 181 182 190 191 192 195 201 206 207 209 211 212 220]\n# step=0 row=1 minW=68 found cw of W=58: [1 2 3 4 6 14 15 17 18 20 32 34 41 48 68 71 77 85 91 93 96 98 104 106 108 112 115 116 121 122 127 133 135 137 142 146 149 150 152 154 159 162 163 166 167 168 170 172 178 186 190 195 201 207 209 211 219 220]\n# step=0 row=11 minW=58 found cw of W=50: [1 2 4 10 14 15 17 22 27 29 32 34 42 51 52 55 58 63 64 68 71 75 78 84 94 104 124 125 127 137 138 142 150 162 163 165 168 170 175 177 178 180 182 190 198 200 201 203 206 219]\n# step=0 row=22 minW=50 found cw of W=38: [2 10 15 32 34 41 42 43 44 50 55 63 76 84 91 93 98 104 108 115 116 124 125 126 133 163 165 167 172 178 180 191 192 199 200 203 207 211]\n# step=65 row=74 minW=38 found cw of W=36: [24 25 38 39 61 62 72 73 76 98 99 102 106 109 113 120 121 123 129 135 136 140 145 150 176 180 183 186 194 195 197 203 214 219 220 221]\n# step=73 row=50 minW=36 found cw of W=32: [2 6 7 8 19 26 36 40 41 51 59 65 76 80 81 82 100 115 122 133 141 142 146 167 184 188 196 199 213 215 216 220]\n# round=1000 of 10000 minW=32\n# round=2000 of 10000 minW=32\n# round=3000 of 10000 minW=32\n# round=4000 of 10000 minW=32\n# step=4011 row=13 minW=32 found cw of W=30: [30 32 33 36 47 66 70 83 89 95 97 101 110 113 121 139 143 157 163 169 171 175 178 180 181 187 213 214 217 218]\n# round=5000 of 10000 minW=30\n# round=6000 of 10000 minW=30\n# round=7000 of 10000 minW=30\n# round=8000 of 10000 minW=30\n# round=9000 of 10000 minW=30\n# round=10000 of 10000 minW=30\nRW algorithm upper bound for the distance d=30\n</t>
  </si>
  <si>
    <t># step=0 row=0 minW=226 found cw of W=70: [1 6 15 17 23 27 30 32 38 43 46 56 59 61 62 64 70 74 77 81 82 89 90 92 97 98 102 105 107 110 112 113 114 116 118 119 121 124 127 128 130 131 132 134 139 140 142 143 151 152 157 164 172 185 187 189 191 194 199 202 203 205 207 211 212 215 217 218 220 224]\n# step=0 row=1 minW=70 found cw of W=62: [2 10 11 12 13 15 23 27 35 43 46 56 57 59 62 64 68 70 71 77 86 88 93 98 102 107 110 112 114 116 118 122 124 127 128 130 131 132 133 134 139 142 160 162 165 168 182 187 189 191 196 197 199 202 203 205 208 212 217 218 220 221]\n# step=0 row=2 minW=62 found cw of W=58: [4 12 13 17 22 23 27 36 38 43 44 46 57 61 62 69 71 77 79 82 87 88 95 98 102 110 113 118 121 122 127 128 129 130 131 133 137 142 144 152 157 167 170 172 185 186 194 197 202 203 204 205 206 207 208 211 217 221]\n# step=0 row=6 minW=58 found cw of W=56: [11 12 19 23 30 35 41 44 56 61 63 64 71 77 82 86 90 94 95 98 103 104 105 110 114 119 127 129 130 132 136 137 139 142 143 145 152 157 162 165 170 178 179 189 191 202 204 205 206 207 212 213 217 218 220 221]\n# step=0 row=7 minW=56 found cw of W=54: [12 13 15 18 20 22 23 30 36 38 41 43 44 57 61 62 63 68 71 79 82 87 88 92 93 95 98 105 113 118 119 122 128 129 131 133 137 143 154 157 165 167 172 186 191 197 203 204 206 207 208 211 213 221]\n# step=0 row=8 minW=54 found cw of W=48: [6 17 18 21 23 24 27 32 38 43 44 61 64 79 81 98 99 102 103 110 112 113 114 118 121 127 128 133 139 142 145 154 167 168 171 178 182 185 187 189 194 196 202 203 208 211 217 220]\n# step=1 row=48 minW=48 found cw of W=46: [1 15 19 21 26 31 32 33 35 37 39 44 46 54 58 62 63 79 86 90 96 97 101 105 106 108 109 110 119 133 138 150 151 154 161 169 172 180 182 184 187 189 196 204 212 225]\n# step=5 row=1 minW=46 found cw of W=44: [1 7 8 13 19 31 36 39 47 50 59 63 64 72 75 82 83 86 93 98 105 110 111 114 116 122 137 151 161 163 168 169 173 180 181 185 191 200 209 212 213 214 222 225]\n# step=8 row=66 minW=44 found cw of W=42: [5 7 10 29 37 41 44 46 49 51 54 58 75 80 82 85 90 97 105 114 116 119 123 125 132 145 150 165 172 179 180 187 189 196 198 199 200 201 204 207 208 220]\n# step=11 row=66 minW=42 found cw of W=36: [1 8 12 28 31 37 40 42 45 47 50 70 75 76 83 90 92 99 103 114 117 120 122 125 138 145 150 162 165 167 174 181 187 189 190 213]\n# step=157 row=44 minW=36 found cw of W=34: [11 18 24 25 29 32 42 62 74 82 86 96 99 104 110 111 122 123 137 140 143 157 168 171 175 182 185 186 192 197 198 215 218 224]\n# step=609 row=38 minW=34 found cw of W=32: [2 19 23 24 46 49 51 52 63 64 66 75 87 89 92 94 98 99 123 124 141 150 152 162 164 167 196 198 201 202 213 214]\n# step=710 row=59 minW=32 found cw of W=30: [14 18 26 27 28 31 34 37 45 47 56 65 69 71 89 102 112 120 124 140 146 168 176 178 181 184 197 199 206 219]\n#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</si>
  <si>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minW=229 found cw of W=66: [2 4 5 7 27 29 33 37 42 46 50 52 54 55 57 59 65 66 67 69 71 72 76 81 91 97 104 107 109 116 119 122 125 126 130 131 137 141 142 143 144 147 150 154 156 159 167 173 179 180 181 183 189 192 194 195 201 204 209 211 213 220 221 224 226 228]\n# step=0 row=2 minW=66 found cw of W=64: [2 4 7 9 11 15 16 25 29 32 34 36 38 49 55 69 70 71 72 73 74 75 85 91 97 104 107 114 116 119 120 127 131 132 143 144 145 147 148 149 151 154 156 159 163 168 173 177 180 181 183 184 186 188 192 195 196 201 203 208 219 220 222 226]\n# step=0 row=3 minW=64 found cw of W=60: [2 7 10 11 27 33 36 38 50 52 55 66 70 71 75 76 85 91 97 104 105 109 110 114 116 118 125 126 127 131 132 142 143 145 147 149 154 159 161 162 163 167 173 179 180 181 186 188 192 194 201 203 204 208 219 221 222 225 227 228]\n# step=0 row=7 minW=60 found cw of W=50: [1 2 13 16 18 29 31 38 40 42 50 52 54 69 73 74 75 76 107 110 112 116 118 125 126 127 131 132 137 145 149 150 151 153 154 165 168 170 181 186 188 190 201 203 204 206 207 208 213 228]\n# step=1 row=15 minW=50 found cw of W=46: [1 4 5 7 8 13 16 26 30 33 34 35 38 49 53 54 59 63 77 80 92 97 102 111 130 139 143 144 146 150 157 159 160 165 173 182 185 186 190 201 205 211 219 220 222 226]\n# step=5 row=52 minW=46 found cw of W=38: [14 15 16 18 22 30 40 44 56 67 81 90 91 92 94 97 98 101 103 104 106 117 118 144 148 157 173 177 179 180 192 193 194 196 208 219 220 224]\n# step=106 row=74 minW=38 found cw of W=34: [16 21 27 31 34 42 46 51 69 75 82 103 113 116 118 121 122 123 125 127 144 158 168 173 183 186 189 192 197 199 201 220 221 227]\n# round=1000 of 10000 minW=34\n# round=2000 of 10000 minW=34\n# round=3000 of 10000 minW=34\n# round=4000 of 10000 minW=34\n# round=5000 of 10000 minW=34\n# step=5270 row=40 minW=34 found cw of W=32: [1 3 10 20 23 27 35 60 62 65 68 79 86 87 96 99 103 108 110 117 137 153 163 184 186 187 193 212 213 214 217 220]\n# round=6000 of 10000 minW=32\n# round=7000 of 10000 minW=32\n# round=8000 of 10000 minW=32\n# step=8417 row=6 minW=32 found cw of W=30: [6 12 17 19 21 32 34 46 88 89 94 96 117 122 128 129 131 158 165 169 170 171 172 173 184 186 193 204 205 207]\n# round=9000 of 10000 minW=30\n# round=10000 of 10000 minW=30\nRW algorithm upper bound for the distance d=30\n</t>
  </si>
  <si>
    <t># step=0 row=0 minW=232 found cw of W=66: [1 5 8 12 14 18 20 22 24 26 28 30 34 41 43 50 52 53 54 61 67 76 78 79 81 82 85 89 91 92 95 97 99 101 105 116 118 120 124 125 126 127 129 130 140 141 144 145 146 153 156 158 169 180 184 188 193 201 202 203 208 215 217 218 222 223]\n# step=0 row=1 minW=66 found cw of W=64: [2 4 9 11 20 22 24 25 26 28 30 32 40 49 50 54 58 62 66 79 88 89 92 95 96 97 98 99 105 109 111 118 124 127 141 143 144 146 152 153 158 163 166 169 172 173 175 178 179 180 184 188 194 195 201 203 208 212 216 218 221 223 229 230]\n# step=0 row=2 minW=64 found cw of W=56: [2 3 7 9 13 14 18 20 23 26 28 30 50 54 61 62 73 76 79 80 82 85 91 97 100 101 103 104 105 111 125 126 127 131 141 144 152 159 161 162 163 167 172 178 181 184 188 202 203 215 216 218 221 227 229 230]\n# step=0 row=13 minW=56 found cw of W=54: [2 5 12 14 22 23 24 26 31 45 52 53 54 58 59 61 66 67 79 81 82 85 89 91 92 95 98 99 100 108 122 124 126 127 129 130 140 143 158 162 169 172 175 178 180 201 203 204 208 212 213 215 217 221]\n# step=0 row=78 minW=54 found cw of W=52: [4 5 9 14 16 20 22 23 24 26 40 41 49 52 61 66 67 76 79 83 91 97 98 99 100 101 124 125 128 129 138 142 143 152 153 156 158 159 160 163 170 175 180 194 195 201 202 203 205 219 221 229]\n# step=1 row=27 minW=52 found cw of W=46: [2 12 13 14 18 23 35 39 41 52 53 61 62 67 72 75 79 89 90 95 100 101 108 110 112 122 128 129 130 141 144 147 152 168 178 185 187 193 195 199 205 215 216 218 224 226]\n# step=13 row=71 minW=46 found cw of W=42: [4 14 19 24 44 45 48 50 58 65 68 72 77 81 96 105 106 113 121 122 124 125 129 131 135 138 139 145 168 178 182 183 190 201 204 206 208 215 216 219 226 231]\n# step=56 row=13 minW=42 found cw of W=40: [7 8 12 16 17 23 27 34 47 49 54 58 63 76 82 84 87 89 92 93 111 117 122 126 131 142 153 159 162 164 169 171 177 181 194 199 201 212 217 219]\n# step=115 row=27 minW=40 found cw of W=38: [5 6 9 10 14 28 30 43 45 47 51 54 56 70 76 82 83 96 105 119 120 122 124 133 135 153 154 163 164 168 173 184 196 205 208 212 224 231]\n# step=498 row=79 minW=38 found cw of W=36: [16 17 22 29 34 44 54 66 67 72 75 93 94 99 106 110 114 116 121 139 143 145 151 152 154 187 188 191 193 208 216 221 222 226 228 231]\n# round=1000 of 10000 minW=36\n# step=1087 row=57 minW=36 found cw of W=34: [11 23 34 40 45 46 50 60 63 68 73 77 79 87 95 118 119 122 123 145 150 156 164 165 172 177 188 194 195 196 204 214 217 231]\n# round=2000 of 10000 minW=34\n# round=3000 of 10000 minW=34\n# round=4000 of 10000 minW=34\n# round=5000 of 10000 minW=34\n# round=6000 of 10000 minW=34\n# round=7000 of 10000 minW=34\n# step=7562 row=6 minW=34 found cw of W=32: [4 11 16 17 22 24 27 44 48 58 67 93 97 116 121 123 135 143 144 145 158 165 171 174 176 178 181 193 200 202 220 222]\n# round=8000 of 10000 minW=32\n# round=9000 of 10000 minW=32\n# round=10000 of 10000 minW=32\nRW algorithm upper bound for the distance d=32\n</t>
  </si>
  <si>
    <t># step=0 row=0 minW=235 found cw of W=64: [1 2 3 5 6 8 13 14 26 36 40 48 50 52 54 61 62 67 68 69 76 79 81 83 86 98 100 104 110 112 114 118 119 120 123 125 132 139 140 141 146 147 153 154 156 158 162 169 170 176 178 188 190 197 198 201 203 204 206 208 219 223 231 234]\n# step=0 row=1 minW=64 found cw of W=52: [1 2 7 11 18 20 26 27 36 40 41 45 50 52 56 59 62 63 67 68 75 76 79 85 92 104 105 110 114 118 125 126 128 134 137 140 153 154 158 167 170 174 176 188 197 201 203 204 208 219 223 224]\n# step=0 row=3 minW=52 found cw of W=48: [2 4 6 8 10 12 14 15 36 39 41 42 50 54 57 59 62 63 69 82 86 88 109 110 112 114 119 120 132 135 137 140 147 155 156 158 162 168 170 171 187 188 190 195 206 219 233 234]\n# step=0 row=14 minW=48 found cw of W=36: [6 8 12 14 27 38 40 41 42 48 52 56 57 59 76 84 86 92 105 116 118 119 128 130 134 135 137 145 154 155 168 198 204 206 223 233]\n# step=50 row=9 minW=36 found cw of W=32: [1 20 32 35 43 50 52 62 64 74 83 98 101 112 121 122 130 140 142 148 149 157 161 179 188 190 191 200 206 226 227 230]\n# step=359 row=27 minW=32 found cw of W=30: [7 13 20 22 26 35 36 49 70 76 80 88 98 100 104 113 122 127 128 142 154 158 163 166 169 192 200 206 220 226]\n# step=570 row=74 minW=30 found cw of W=26: [1 28 30 44 51 57 64 68 95 106 112 121 122 128 129 135 140 157 173 186 190 199 206 218 220 224]\n# round=1000 of 10000 minW=26\n# round=2000 of 10000 minW=26\n# round=3000 of 10000 minW=26\n# round=4000 of 10000 minW=26\n# round=5000 of 10000 minW=26\n# round=6000 of 10000 minW=26\n# round=7000 of 10000 minW=26\n# round=8000 of 10000 minW=26\n# round=9000 of 10000 minW=26\n# round=10000 of 10000 minW=26\nRW algorithm upper bound for the distance d=26\n</t>
  </si>
  <si>
    <t># step=0 row=0 minW=238 found cw of W=50: [3 6 21 24 25 33 39 50 51 55 60 61 64 68 71 81 82 83 86 89 99 104 108 111 112 118 121 123 134 143 147 150 152 160 162 164 165 168 178 179 182 187 190 200 202 208 209 218 219 231]\n# step=0 row=7 minW=50 found cw of W=46: [2 6 16 22 25 28 32 35 39 57 58 61 68 72 76 81 91 95 100 104 107 108 109 111 113 114 122 137 147 149 150 151 164 170 179 180 187 188 192 197 201 215 219 228 229 234]\n# step=0 row=45 minW=46 found cw of W=40: [5 12 24 30 47 57 58 60 64 72 73 76 84 91 98 99 100 108 109 111 119 121 129 137 143 151 155 177 178 179 182 187 190 198 200 205 208 215 218 231]\n# step=15 row=39 minW=40 found cw of W=38: [21 26 30 35 40 47 52 53 54 58 68 71 72 73 79 95 100 104 105 109 114 119 126 145 146 152 174 183 210 211 212 216 224 225 226 229 230 237]\n# step=17 row=47 minW=38 found cw of W=36: [7 8 9 11 15 23 29 38 46 47 59 64 72 90 102 111 117 120 126 138 141 148 151 152 165 166 167 173 187 190 199 204 220 222 227 231]\n# step=52 row=19 minW=36 found cw of W=32: [13 27 42 50 51 75 81 82 86 92 101 103 106 116 121 125 126 148 154 155 160 161 165 180 182 195 204 205 208 209 227 234]\n# step=148 row=42 minW=32 found cw of W=30: [6 30 33 36 46 60 63 69 83 87 92 95 101 107 109 112 115 132 142 148 162 164 166 171 174 180 186 204 211 218]\n# round=1000 of 10000 minW=30\n# round=2000 of 10000 minW=30\n# round=3000 of 10000 minW=30\n# round=4000 of 10000 minW=30\n# round=5000 of 10000 minW=30\n# round=6000 of 10000 minW=30\n# step=6066 row=38 minW=30 found cw of W=28: [8 12 21 22 27 31 36 42 53 71 84 91 105 106 110 115 128 132 150 154 163 166 179 180 184 200 207 233]\n# round=7000 of 10000 minW=28\n# round=8000 of 10000 minW=28\n# round=9000 of 10000 minW=28\n# round=10000 of 10000 minW=28\nRW algorithm upper bound for the distance d=28\n</t>
  </si>
  <si>
    <t># step=0 row=0 minW=241 found cw of W=72: [1 3 8 9 11 16 20 25 27 28 29 30 33 34 41 44 52 61 62 68 73 74 75 78 79 83 88 91 92 96 97 98 101 104 108 109 112 113 119 124 128 140 141 146 153 155 157 158 161 169 172 177 178 180 181 184 185 187 190 192 194 199 201 208 212 220 222 226 228 234 237 239]\n# step=0 row=1 minW=72 found cw of W=62: [2 3 9 19 22 27 28 30 33 34 41 44 49 52 61 73 75 76 79 83 88 92 96 99 101 102 108 113 114 117 121 124 129 132 133 135 137 140 141 142 146 148 153 162 168 169 172 176 181 187 190 197 213 215 217 220 222 226 228 235 236 239]\n# step=0 row=8 minW=62 found cw of W=52: [4 10 11 19 21 22 27 28 29 30 34 35 41 44 47 50 52 61 68 73 89 90 91 98 99 102 108 109 115 117 119 121 124 130 132 141 145 153 157 164 169 178 181 187 190 194 197 199 207 225 228 237]\n# step=0 row=54 minW=52 found cw of W=46: [5 8 10 22 25 27 33 34 44 47 50 52 53 62 73 76 85 90 102 112 113 119 130 135 141 145 146 149 153 168 185 187 192 194 199 204 207 212 213 215 221 222 225 226 229 236]\n# step=1 row=50 minW=46 found cw of W=44: [3 4 12 24 38 41 44 54 67 69 70 78 79 82 83 104 114 116 118 123 135 144 150 152 154 157 162 164 172 194 196 201 203 204 214 215 224 227 229 232 234 237 238 239]\n# step=3 row=62 minW=44 found cw of W=42: [3 5 21 23 25 37 47 49 51 53 55 57 76 89 94 100 116 127 129 131 133 135 137 138 143 147 150 163 165 169 174 180 181 183 185 196 197 218 223 227 230 236]\n# step=16 row=18 minW=42 found cw of W=38: [11 21 25 27 32 33 35 39 55 71 74 79 85 88 96 101 109 113 119 131 146 147 165 168 171 176 185 187 189 192 195 211 215 226 227 231 234 239]\n# step=462 row=50 minW=38 found cw of W=36: [1 10 31 37 41 45 52 54 69 76 81 93 95 99 101 111 113 117 125 132 143 150 154 170 173 175 179 181 193 201 214 223 229 230 234 236]\n# step=534 row=41 minW=36 found cw of W=34: [2 3 7 12 15 24 27 38 41 44 48 53 62 87 95 97 104 107 116 124 128 138 142 148 162 163 172 177 196 198 201 213 218 228]\n#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</si>
  <si>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minW=244 found cw of W=60: [2 5 13 18 21 24 29 30 37 40 43 59 61 72 73 74 78 80 81 83 93 95 102 116 118 120 123 132 142 143 145 147 152 157 162 167 174 175 176 180 186 191 192 197 201 202 204 205 213 221 224 226 228 233 234 235 236 238 240 242]\n# step=0 row=3 minW=60 found cw of W=48: [10 13 15 18 21 26 28 40 46 55 62 66 73 80 81 91 93 95 102 107 109 113 117 118 132 135 145 147 157 161 162 174 175 176 177 180 194 198 199 202 208 213 216 217 224 226 235 238]\n# step=0 row=78 minW=48 found cw of W=44: [5 15 16 18 30 59 61 62 66 74 75 76 78 91 93 97 99 110 115 118 121 123 132 142 143 147 152 157 167 172 174 177 191 192 196 199 202 204 213 221 233 236 237 240]\n# step=2 row=5 minW=44 found cw of W=38: [6 8 11 25 26 30 33 48 52 54 74 76 81 86 87 89 107 110 116 117 119 129 145 157 162 167 173 187 191 192 195 197 198 200 214 216 226 236]\n# step=60 row=6 minW=38 found cw of W=36: [3 5 9 16 17 18 22 27 31 32 71 79 84 90 98 99 101 106 108 112 115 139 147 149 152 167 178 182 184 187 194 196 220 228 230 241]\n# step=63 row=52 minW=36 found cw of W=30: [22 26 32 37 41 42 56 68 77 91 107 114 118 122 125 126 130 131 137 172 184 194 195 204 206 207 211 212 230 239]\n# round=1000 of 10000 minW=30\n# round=2000 of 10000 minW=30\n# round=3000 of 10000 minW=30\n# round=4000 of 10000 minW=30\n# round=5000 of 10000 minW=30\n# round=6000 of 10000 minW=30\n# round=7000 of 10000 minW=30\n# round=8000 of 10000 minW=30\n# round=9000 of 10000 minW=30\n# round=10000 of 10000 minW=30\nRW algorithm upper bound for the distance d=30\n</t>
  </si>
  <si>
    <t># step=0 row=0 minW=247 found cw of W=74: [2 3 5 6 8 13 16 19 20 22 30 33 34 35 41 46 48 49 53 54 65 68 69 72 76 80 82 85 98 100 101 104 114 116 117 120 121 123 126 127 130 131 133 134 136 141 144 151 158 162 164 166 169 170 172 177 182 184 194 196 197 202 203 208 209 210 215 216 217 223 226 229 232 236]\n# step=0 row=1 minW=74 found cw of W=68: [4 12 13 15 16 19 21 27 30 31 33 35 38 39 45 53 54 64 70 74 78 79 82 86 94 97 98 100 101 102 103 109 112 113 115 117 121 125 126 128 131 133 136 138 141 143 144 156 177 182 184 202 207 208 209 210 213 215 217 220 223 225 226 228 234 242 243 246]\n# step=0 row=3 minW=68 found cw of W=56: [1 6 9 15 19 21 30 31 33 34 35 38 40 45 48 49 53 55 64 65 78 82 86 88 91 100 101 103 116 117 120 127 130 134 144 151 154 164 165 168 179 182 194 195 197 204 213 216 217 219 226 228 229 233 236 242]\n# step=0 row=4 minW=56 found cw of W=52: [5 6 10 20 21 28 39 41 45 46 49 52 55 61 67 68 69 70 76 79 82 102 103 112 113 115 121 123 125 127 131 151 154 169 170 174 192 194 195 197 207 210 216 219 225 231 232 234 236 240 243 246]\n# step=0 row=21 minW=52 found cw of W=50: [3 5 6 8 12 13 19 22 27 38 39 45 54 58 64 79 80 85 88 94 97 100 101 104 109 112 120 121 127 133 136 138 140 144 151 154 162 169 172 177 179 182 194 215 220 226 228 233 236 243]\n# step=2 row=23 minW=50 found cw of W=46: [1 3 5 11 13 26 36 39 41 46 56 69 70 71 72 79 80 82 83 87 95 97 103 106 118 121 123 130 141 151 154 162 167 175 179 185 188 190 210 212 220 223 234 235 243 246]\n# step=36 row=23 minW=46 found cw of W=44: [4 8 11 12 22 25 31 33 44 52 56 67 73 77 79 90 93 98 107 109 113 120 134 140 147 149 153 161 164 168 176 180 186 191 197 202 208 220 222 229 235 237 241 246]\n# step=59 row=55 minW=44 found cw of W=40: [3 5 7 8 10 21 26 34 38 40 43 51 54 55 56 82 85 89 90 94 99 125 133 137 138 143 152 169 174 176 181 185 190 198 202 204 218 225 234 246]\n# step=118 row=81 minW=40 found cw of W=38: [2 6 7 30 38 41 44 45 46 51 71 84 95 111 112 116 120 123 124 125 127 129 133 146 153 159 170 171 177 193 198 206 207 208 210 211 228 241]\n# step=119 row=73 minW=38 found cw of W=36: [15 20 28 29 35 47 48 63 66 97 101 103 106 112 114 117 126 132 136 145 156 183 184 185 188 192 193 194 196 208 211 212 214 218 230 238]\n# round=1000 of 10000 minW=36\n#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</si>
  <si>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minW=250 found cw of W=66: [1 2 6 8 11 12 14 15 21 27 34 51 54 55 56 57 61 62 63 67 77 78 79 83 84 89 91 94 97 104 112 117 122 123 124 130 134 137 138 145 146 150 152 153 154 160 164 166 168 178 181 193 195 205 206 207 213 222 223 227 235 236 237 244 245 247]\n# step=0 row=1 minW=66 found cw of W=56: [2 3 8 11 12 27 36 43 44 49 54 57 60 61 78 80 91 94 95 96 104 112 119 123 124 126 129 134 137 142 143 145 154 156 166 168 169 179 187 193 195 206 207 210 212 215 217 223 225 227 228 237 239 244 246 249]\n# step=0 row=8 minW=56 found cw of W=50: [2 6 12 19 49 53 56 60 61 62 63 77 79 80 81 83 84 89 92 102 117 122 123 126 134 136 143 145 146 149 154 160 166 167 168 175 178 200 205 206 209 215 217 222 227 232 237 245 246 247]\n# step=0 row=15 minW=50 found cw of W=48: [2 6 11 15 21 24 28 32 34 43 45 51 56 70 77 78 79 83 89 90 94 96 98 107 111 117 123 128 142 154 160 161 164 168 173 179 187 198 206 209 217 222 225 236 237 245 247 249]\n# step=0 row=70 minW=48 found cw of W=42: [2 8 11 12 21 27 44 51 56 59 62 79 81 83 91 95 122 126 129 134 145 147 149 153 156 166 168 177 187 193 205 209 210 212 222 225 230 232 236 239 245 247]\n# step=10 row=22 minW=42 found cw of W=38: [3 7 23 32 33 37 42 53 63 65 75 85 90 101 106 109 113 116 136 137 154 156 158 162 168 169 184 192 196 198 203 208 220 229 231 237 239 245]\n# step=140 row=22 minW=38 found cw of W=36: [2 6 7 10 20 22 27 29 34 40 48 60 70 74 83 85 89 93 97 103 106 110 123 132 143 153 157 173 180 188 189 195 200 214 215 249]\n# step=370 row=70 minW=36 found cw of W=34: [4 14 15 20 24 27 29 35 37 38 47 53 62 63 77 87 98 101 103 107 112 121 130 136 137 145 146 160 180 184 193 201 203 220]\n# round=1000 of 10000 minW=34\n# round=2000 of 10000 minW=34\n# round=3000 of 10000 minW=34\n# round=4000 of 10000 minW=34\n# round=5000 of 10000 minW=34\n# round=6000 of 10000 minW=34\n# round=7000 of 10000 minW=34\n# round=8000 of 10000 minW=34\n# step=8246 row=48 minW=34 found cw of W=32: [17 21 34 36 39 43 60 76 78 93 98 100 104 108 122 123 126 136 144 157 159 161 176 181 191 200 202 206 219 226 227 240]\n# step=8417 row=22 minW=32 found cw of W=30: [24 28 45 46 49 61 62 88 94 114 118 128 138 157 159 162 171 177 190 194 197 201 212 215 221 227 228 240 242 245]\n# round=9000 of 10000 minW=30\n# round=10000 of 10000 minW=30\nRW algorithm upper bound for the distance d=30\n</t>
  </si>
  <si>
    <t># step=0 row=0 minW=253 found cw of W=72: [1 6 8 14 16 18 21 29 31 33 35 38 39 48 50 51 53 55 57 61 65 67 68 70 74 75 80 82 87 89 90 98 107 113 115 116 119 123 129 132 133 134 137 145 147 155 158 159 169 171 173 176 184 186 189 191 200 201 206 213 217 219 223 225 231 233 235 236 238 239 248 250]\n# step=0 row=2 minW=72 found cw of W=64: [1 3 7 11 12 18 22 26 29 35 48 50 51 53 57 58 67 70 71 74 79 81 96 99 106 113 114 115 116 119 130 132 134 137 141 144 148 149 155 158 160 165 166 169 171 175 179 183 186 194 198 199 200 214 219 226 228 232 233 235 238 244 247 250]\n# step=0 row=5 minW=64 found cw of W=62: [1 3 5 6 7 12 16 18 25 26 33 35 51 55 57 63 67 68 70 79 82 87 89 90 96 99 107 112 113 114 119 129 137 139 144 147 148 151 160 169 175 183 184 186 191 193 194 196 197 198 201 213 219 221 225 228 232 236 238 244 247 250]\n# step=0 row=6 minW=62 found cw of W=54: [5 12 16 28 33 35 38 48 50 51 53 55 57 58 61 65 67 72 75 79 81 96 103 107 113 115 119 132 134 137 149 151 155 156 159 165 166 173 184 187 191 196 197 199 201 206 219 223 225 226 229 239 247 250]\n# step=1 row=0 minW=54 found cw of W=50: [4 5 8 18 20 24 25 26 30 36 45 52 56 62 69 73 88 101 102 104 106 109 114 134 137 156 158 159 160 165 173 176 185 190 192 194 204 213 218 220 221 224 230 237 240 241 242 243 244 249]\n# step=3 row=17 minW=50 found cw of W=46: [4 9 14 17 23 26 31 38 41 44 52 54 59 75 89 98 107 110 117 119 122 125 128 135 136 138 143 145 153 157 159 164 166 172 173 177 185 199 201 203 219 229 237 241 248 250]\n# step=20 row=14 minW=46 found cw of W=44: [3 5 6 10 23 26 28 30 44 46 61 63 75 78 82 89 94 96 104 107 110 133 145 147 148 151 161 165 171 174 180 188 196 198 212 214 217 232 235 243 245 246 249 250]\n# step=28 row=30 minW=44 found cw of W=40: [2 6 13 21 24 45 48 49 51 52 70 75 76 79 81 82 86 90 97 98 123 127 132 133 135 136 145 154 159 160 163 182 189 192 207 211 213 229 249 250]\n# step=38 row=2 minW=40 found cw of W=38: [2 4 8 14 21 27 41 42 44 49 55 62 65 67 74 86 93 105 111 125 126 128 133 145 146 156 161 172 176 177 182 223 229 233 235 240 242 245]\n# round=1000 of 10000 minW=38\n# round=2000 of 10000 minW=38\n# round=3000 of 10000 minW=38\n# round=4000 of 10000 minW=38\n# round=5000 of 10000 minW=38\n# step=5027 row=17 minW=38 found cw of W=36: [8 24 27 45 52 53 54 58 62 73 86 108 121 122 129 136 139 142 146 151 155 156 159 170 176 195 205 206 221 222 223 235 239 240 241 243]\n# round=6000 of 10000 minW=36\n# round=7000 of 10000 minW=36\n# round=8000 of 10000 minW=36\n# round=9000 of 10000 minW=36\n# round=10000 of 10000 minW=36\nRW algorithm upper bound for the distance d=36\n</t>
  </si>
  <si>
    <t># step=0 row=0 minW=256 found cw of W=70: [3 5 8 9 16 17 26 28 31 32 34 43 44 45 46 48 50 53 59 61 72 74 78 80 82 83 84 85 90 94 96 99 102 107 111 112 113 117 122 124 129 130 131 135 146 163 164 165 167 168 173 178 181 184 186 192 197 201 204 207 209 213 218 223 229 242 244 249 254 255]\n# step=0 row=2 minW=70 found cw of W=60: [4 5 7 11 13 16 28 30 32 36 45 53 55 63 66 72 74 82 83 84 85 88 89 90 99 104 107 111 113 117 120 121 124 139 140 148 157 164 168 173 177 181 183 184 186 189 192 196 200 205 209 215 223 224 236 244 249 252 254 255]\n# step=0 row=6 minW=60 found cw of W=52: [1 8 14 16 21 26 28 29 30 31 37 45 48 54 61 63 78 84 85 92 93 102 111 112 113 119 122 124 136 139 146 148 167 170 171 177 184 186 187 191 197 199 200 201 204 209 215 218 221 248 252 254]\n# step=0 row=53 minW=52 found cw of W=50: [1 4 7 8 16 18 26 31 32 34 35 37 40 43 54 65 71 74 75 85 89 92 93 99 102 107 111 117 120 121 122 156 160 167 170 171 184 186 187 188 192 201 204 206 210 213 224 235 244 252]\n# step=1 row=21 minW=50 found cw of W=44: [1 9 11 19 23 28 30 32 52 54 63 67 68 69 70 80 82 86 94 96 101 104 108 117 131 139 141 142 151 152 153 155 165 167 186 198 200 216 222 226 227 233 236 239]\n# step=34 row=15 minW=44 found cw of W=38: [5 6 16 17 27 30 42 43 51 58 60 63 64 74 75 79 102 110 111 112 115 143 144 145 148 160 175 176 186 195 196 212 213 221 229 234 244 249]\n# step=887 row=89 minW=38 found cw of W=36: [9 23 30 50 54 58 63 68 73 86 90 91 96 99 108 133 134 143 158 160 168 171 175 176 179 181 184 200 218 219 220 224 233 238 245 253]\n# round=1000 of 10000 minW=36\n# round=2000 of 10000 minW=36\n# round=3000 of 10000 minW=36\n# round=4000 of 10000 minW=36\n# step=4052 row=59 minW=36 found cw of W=34: [23 27 40 42 45 49 66 82 84 90 101 106 108 112 116 130 131 134 144 152 165 167 169 175 186 191 201 210 212 216 229 236 237 250]\n# round=5000 of 10000 minW=34\n# round=6000 of 10000 minW=34\n# round=7000 of 10000 minW=34\n# round=8000 of 10000 minW=34\n# round=9000 of 10000 minW=34\n# round=10000 of 10000 minW=34\nRW algorithm upper bound for the distance d=34\n</t>
  </si>
  <si>
    <t># step=0 row=0 minW=259 found cw of W=64: [1 2 3 6 8 9 11 12 13 15 16 24 29 30 31 32 35 49 54 58 67 73 76 82 86 87 89 92 98 102 115 117 123 124 126 127 131 139 144 148 153 159 174 180 181 183 185 187 196 202 204 207 209 210 212 213 217 221 225 226 234 248 254 258]\n# step=0 row=26 minW=64 found cw of W=62: [3 4 6 8 9 11 12 13 18 19 33 35 38 39 45 54 57 59 65 67 77 80 89 92 95 98 100 110 119 124 126 131 139 143 147 149 151 153 154 160 166 168 176 180 183 185 186 190 191 196 207 211 212 225 226 231 233 235 240 246 249 254]\n# step=0 row=65 minW=62 found cw of W=58: [3 6 11 12 15 18 28 31 35 38 45 49 53 54 57 59 76 82 86 89 92 93 95 98 106 110 114 117 121 123 125 136 137 144 151 168 179 181 183 187 190 192 196 209 210 211 217 221 222 223 225 226 229 230 231 237 248 258]\n# step=0 row=89 minW=58 found cw of W=50: [9 11 12 13 14 15 19 24 31 35 38 40 41 49 53 54 57 75 76 79 88 95 98 100 110 117 121 135 147 154 162 165 167 168 174 183 185 187 191 210 212 213 225 226 229 233 240 247 253 254]\n# step=33 row=18 minW=50 found cw of W=48: [3 5 15 16 30 33 42 43 50 56 58 59 62 65 79 83 89 91 92 100 102 109 119 128 129 135 136 138 148 155 160 162 178 186 187 195 202 221 224 228 230 231 237 241 246 248 251 255]\n# step=34 row=39 minW=48 found cw of W=46: [1 7 11 13 24 27 38 41 47 48 61 65 67 74 75 83 93 97 117 127 132 137 144 147 158 159 160 165 173 185 196 199 203 210 218 219 220 223 230 237 239 244 245 247 251 255]\n# step=100 row=58 minW=46 found cw of W=44: [2 11 12 22 23 28 40 51 60 69 75 78 81 84 88 92 93 97 110 114 117 126 127 134 135 146 155 161 162 164 167 170 178 179 184 194 195 196 203 213 220 221 223 248]\n# step=337 row=80 minW=44 found cw of W=40: [1 2 4 12 16 20 22 23 24 52 56 57 59 67 70 74 88 102 105 106 109 115 121 138 142 145 154 156 173 176 184 191 194 196 201 207 229 239 240 246]\n# round=1000 of 10000 minW=40\n# step=1953 row=34 minW=40 found cw of W=38: [3 11 15 19 27 31 42 45 46 47 57 62 71 72 77 79 89 97 101 103 128 131 132 137 158 170 189 191 199 203 219 223 229 234 243 249 251 256]\n#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</si>
  <si>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minW=262 found cw of W=68: [1 3 10 11 15 19 20 22 23 24 25 28 42 47 52 55 66 67 68 74 77 79 89 90 93 95 100 102 106 109 111 112 116 129 131 133 134 137 139 153 154 155 160 161 163 164 165 168 175 176 180 182 184 185 187 194 197 202 203 218 220 224 229 247 250 252 253 255]\n# step=0 row=1 minW=68 found cw of W=64: [2 10 14 15 16 19 23 25 29 37 39 46 49 54 68 70 77 82 90 95 96 101 102 106 107 108 112 116 125 126 129 135 141 142 144 150 152 154 155 157 168 169 176 177 182 183 184 190 194 195 197 211 212 216 220 222 223 229 231 237 239 241 251 255]\n# step=0 row=4 minW=64 found cw of W=62: [3 8 11 12 18 19 22 25 32 37 46 49 50 54 55 67 68 70 89 92 98 99 106 109 113 116 133 141 142 143 145 149 150 153 155 157 160 164 166 169 176 177 179 182 192 199 200 203 206 211 223 224 230 232 236 237 240 241 247 251 253 256]\n# step=0 row=6 minW=62 found cw of W=58: [3 12 13 16 19 23 28 42 47 49 52 55 66 70 74 77 79 82 89 95 99 100 106 107 108 113 116 124 131 134 139 142 143 153 160 161 165 169 176 177 182 190 194 195 197 200 202 203 211 216 218 223 230 244 247 251 252 253]\n# step=1 row=52 minW=58 found cw of W=56: [5 6 13 29 31 32 33 41 45 46 54 58 60 62 65 67 79 81 85 92 100 102 103 107 109 116 119 120 128 132 133 141 144 147 148 149 152 166 168 169 170 172 173 180 189 190 194 196 205 231 232 235 241 256 257 260]\n# step=1 row=59 minW=56 found cw of W=46: [6 13 24 28 29 32 35 36 37 39 46 50 57 64 78 85 100 112 115 116 123 137 144 145 146 151 153 154 156 160 165 172 180 198 199 206 209 211 213 220 232 233 240 241 243 247]\n# step=39 row=20 minW=46 found cw of W=42: [8 13 18 23 24 33 45 48 50 53 54 78 88 111 114 120 124 129 132 137 143 151 161 164 165 166 175 182 187 192 197 201 211 216 222 227 228 230 238 248 251 253]\n# step=183 row=10 minW=42 found cw of W=38: [9 14 15 20 23 24 28 42 46 55 60 76 83 90 96 101 102 105 113 115 133 135 142 158 163 170 173 177 192 194 197 198 200 216 222 234 245 260]\n# round=1000 of 10000 minW=38\n#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</si>
  <si>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minW=265 found cw of W=66: [2 8 10 11 17 18 31 32 39 40 45 54 57 62 63 68 73 76 78 82 89 93 99 101 103 105 107 117 119 121 124 127 128 129 133 142 145 150 152 154 163 164 165 170 177 178 181 184 186 189 191 194 195 205 208 209 212 217 239 240 242 244 249 251 253 254]\n# step=0 row=5 minW=66 found cw of W=62: [5 10 11 13 14 17 33 39 48 65 69 75 76 78 89 90 92 96 99 101 103 117 118 120 127 128 136 137 139 145 151 154 157 158 162 163 164 165 177 178 180 181 184 186 190 191 193 205 206 208 209 216 225 227 233 239 241 242 246 250 253 254]\n# step=0 row=30 minW=62 found cw of W=60: [1 3 8 10 18 20 26 31 33 34 39 57 61 62 63 65 71 78 79 82 91 93 96 107 118 119 127 128 148 149 152 154 163 168 169 170 177 181 186 194 195 196 202 206 209 210 216 233 236 238 239 240 241 242 247 251 254 255 256 257]\n# step=0 row=31 minW=60 found cw of W=46: [26 33 42 45 48 49 61 68 71 78 80 81 91 92 118 119 121 124 136 144 145 149 151 152 158 165 168 169 179 180 202 206 207 212 218 221 225 232 233 239 240 244 246 247 253 254]\n# step=7 row=37 minW=46 found cw of W=44: [1 2 6 15 21 32 33 44 47 51 53 58 66 69 73 78 81 90 94 96 97 118 120 126 132 146 154 157 166 169 174 177 184 185 191 197 206 209 214 223 227 229 249 262]\n# step=189 row=86 minW=44 found cw of W=40: [16 19 27 32 39 43 50 51 55 72 83 85 95 104 116 131 136 138 139 143 149 159 160 163 168 172 183 195 203 204 208 215 224 237 247 251 256 259 260 261]\n# round=1000 of 10000 minW=40\n# round=2000 of 10000 minW=40\n# round=3000 of 10000 minW=40\n# step=3576 row=46 minW=40 found cw of W=38: [10 11 13 27 34 67 71 72 73 74 76 80 96 98 99 101 122 123 128 135 149 155 161 162 169 170 184 203 211 216 223 237 247 248 252 256 257 258]\n# round=4000 of 10000 minW=38\n# round=5000 of 10000 minW=38\n# round=6000 of 10000 minW=38\n# round=7000 of 10000 minW=38\n# round=8000 of 10000 minW=38\n# round=9000 of 10000 minW=38\n# round=10000 of 10000 minW=38\nRW algorithm upper bound for the distance d=38\n</t>
  </si>
  <si>
    <t># step=0 row=0 minW=268 found cw of W=72: [1 2 5 15 16 21 23 28 30 31 37 39 43 44 45 53 58 68 69 73 74 78 79 81 84 85 90 91 93 107 108 113 115 117 126 128 133 134 136 144 146 147 158 162 164 173 174 178 182 183 193 194 196 197 199 201 202 204 208 209 221 225 231 233 235 246 252 253 256 257 259 267]\n# step=0 row=9 minW=72 found cw of W=66: [2 3 6 17 18 19 23 24 25 28 30 32 37 47 51 52 58 59 61 62 77 80 81 84 85 95 103 106 114 115 117 119 120 129 135 136 140 141 144 146 147 150 162 166 169 170 173 174 180 181 192 196 197 201 202 204 209 210 215 218 224 233 235 237 240 251]\n# step=0 row=12 minW=66 found cw of W=60: [3 4 6 8 11 16 17 18 28 31 35 36 43 44 50 54 55 59 62 69 79 80 89 95 97 106 107 108 113 117 121 133 139 141 143 146 158 162 166 169 181 182 189 194 197 202 209 210 213 214 221 230 233 235 237 240 251 255 257 267]\n# step=1 row=33 minW=60 found cw of W=58: [4 5 11 12 21 22 23 25 27 34 38 45 47 51 55 71 74 83 84 88 93 100 101 104 108 110 111 112 118 120 126 127 130 134 136 140 142 160 171 172 174 177 183 193 197 203 205 207 209 212 215 219 231 233 252 260 262 263]\n# step=2 row=76 minW=58 found cw of W=56: [2 4 5 12 14 24 25 28 37 40 53 55 65 68 72 78 79 81 84 93 98 100 103 109 113 114 118 120 124 125 126 151 152 154 161 167 168 180 183 187 189 190 198 206 207 209 213 214 218 231 233 240 241 246 259 262]\n# step=7 row=27 minW=56 found cw of W=54: [1 4 5 9 12 13 16 18 28 32 33 35 36 67 70 72 75 77 84 86 87 89 91 94 95 98 101 102 107 113 117 121 125 132 151 173 178 179 180 182 184 194 202 211 213 221 240 245 248 250 253 255 264 265]\n# step=42 row=37 minW=54 found cw of W=52: [3 8 9 11 14 21 24 28 37 41 46 59 63 64 68 72 77 80 83 89 92 98 103 112 118 121 126 130 137 148 150 152 161 168 178 186 189 199 201 202 206 207 210 224 226 239 242 246 255 257 258 261]\n# step=51 row=35 minW=52 found cw of W=46: [1 4 15 21 24 25 29 32 33 47 57 67 68 77 86 90 93 95 104 109 110 113 121 122 134 136 137 138 145 156 157 160 164 184 198 203 207 223 226 227 234 235 249 253 255 264]\n# step=336 row=48 minW=46 found cw of W=44: [9 15 19 22 23 24 25 26 32 39 49 59 63 66 71 84 89 107 111 114 115 121 128 140 147 160 164 170 178 187 193 196 197 201 202 227 229 236 237 241 244 253 259 262]\n# round=1000 of 10000 minW=44\n# step=1186 row=12 minW=44 found cw of W=42: [5 6 16 30 39 41 44 68 71 74 77 85 90 95 101 113 114 121 125 130 132 155 157 164 166 179 183 190 194 202 203 208 210 214 217 221 222 244 249 252 253 263]\n# round=2000 of 10000 minW=42\n# round=3000 of 10000 minW=42\n# step=3748 row=74 minW=42 found cw of W=40: [2 9 10 13 17 23 27 32 44 50 57 68 69 70 77 83 92 95 98 106 112 114 116 121 133 140 146 157 166 172 180 181 184 188 191 203 228 229 247 248]\n# round=4000 of 10000 minW=40\n# round=5000 of 10000 minW=40\n# round=6000 of 10000 minW=40\n# round=7000 of 10000 minW=40\n# step=7810 row=11 minW=40 found cw of W=38: [2 23 32 34 36 41 44 51 54 67 70 94 103 111 112 121 123 125 136 140 141 146 147 156 165 180 183 192 200 219 222 225 230 232 235 236 248 254]\n# round=8000 of 10000 minW=38\n# round=9000 of 10000 minW=38\n# round=10000 of 10000 minW=38\nRW algorithm upper bound for the distance d=38\n</t>
  </si>
  <si>
    <t># step=0 row=0 minW=271 found cw of W=76: [1 2 3 5 10 17 21 22 23 24 25 30 32 36 37 40 57 59 62 64 68 69 77 82 83 88 89 92 94 96 99 100 103 104 105 109 112 114 122 123 126 129 130 142 147 149 154 158 170 173 179 181 183 184 185 186 189 193 194 195 197 199 201 203 205 210 213 217 219 232 242 249 257 260 262 268]\n# step=0 row=1 minW=76 found cw of W=72: [4 5 15 16 17 22 27 36 42 47 52 55 56 59 62 69 77 79 80 82 83 85 91 92 95 96 105 106 113 114 117 122 125 126 127 132 138 145 149 150 152 158 164 169 171 173 174 175 181 182 184 186 197 202 203 204 212 215 217 227 228 232 236 240 248 249 254 257 260 261 262 264]\n# step=0 row=2 minW=72 found cw of W=70: [2 5 6 10 15 21 22 23 24 27 30 32 52 55 56 61 72 77 80 84 85 88 89 91 94 97 103 105 106 109 110 113 117 122 126 129 138 145 152 162 175 177 179 181 182 184 185 186 187 190 193 196 199 200 201 202 204 210 216 219 228 232 236 241 242 257 260 264 267 268]\n# step=0 row=7 minW=70 found cw of W=66: [2 8 14 16 22 25 27 29 30 36 37 42 45 47 55 56 57 59 62 68 79 85 88 96 97 98 99 104 114 117 125 132 137 138 142 145 147 149 150 169 170 174 175 178 182 186 187 189 196 202 204 205 209 210 215 216 217 225 228 232 236 240 242 248 260 264]\n# step=0 row=9 minW=66 found cw of W=62: [1 5 8 10 15 20 21 22 23 25 30 32 51 60 61 68 69 72 79 80 84 85 88 98 99 103 104 106 110 122 123 129 137 141 142 150 162 169 170 175 178 181 185 189 190 193 194 195 196 201 202 203 205 210 213 219 227 232 241 248 249 264]\n# step=0 row=48 minW=62 found cw of W=58: [2 5 8 15 16 21 27 32 36 42 43 60 61 69 72 79 86 91 97 98 105 106 113 117 122 127 129 132 133 137 138 139 142 145 150 162 169 171 174 176 181 182 185 187 201 203 216 217 219 227 228 229 232 235 241 249 261 264]\n# step=3 row=62 minW=58 found cw of W=48: [2 7 15 21 22 23 27 33 39 49 64 65 70 72 81 92 94 105 113 117 120 126 128 129 133 141 154 155 160 164 168 178 184 187 201 202 210 213 216 218 223 229 231 252 254 258 261 268]\n# step=42 row=64 minW=48 found cw of W=44: [1 2 6 18 26 32 35 37 57 60 66 68 87 89 96 98 100 115 117 125 133 143 158 161 164 177 179 181 182 188 190 198 205 206 207 212 217 223 233 237 240 246 251 254]\n# step=355 row=78 minW=44 found cw of W=42: [19 21 25 32 43 55 58 60 61 65 66 78 80 83 87 101 102 111 120 135 144 145 151 156 168 173 174 177 191 192 199 205 210 212 223 225 234 238 240 245 260 264]\n# round=1000 of 10000 minW=42\n# step=1531 row=82 minW=42 found cw of W=40: [5 31 34 37 52 56 60 70 76 77 79 83 91 95 101 103 106 122 127 139 160 166 172 173 179 181 191 193 196 211 212 214 229 232 236 240 257 259 262 269]\n# round=2000 of 10000 minW=40\n# step=2438 row=33 minW=40 found cw of W=38: [4 6 17 18 19 28 41 50 67 72 73 74 82 85 94 96 112 124 166 170 171 172 175 197 198 199 202 208 214 221 230 247 252 253 254 256 260 261]\n#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</si>
  <si>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minW=274 found cw of W=70: [2 3 5 8 9 10 14 18 21 24 27 35 40 41 42 53 55 56 57 59 60 66 70 73 74 79 80 85 96 100 101 106 116 118 123 125 140 144 157 161 165 169 171 173 184 185 190 196 197 200 203 206 207 214 216 217 222 223 224 231 237 238 239 241 242 255 260 261 264 267]\n# step=0 row=5 minW=70 found cw of W=62: [2 3 7 8 10 19 24 27 33 39 41 42 48 53 57 58 59 60 74 81 83 86 93 98 101 102 105 106 110 116 130 132 133 138 140 144 152 157 165 172 173 174 177 185 190 193 196 197 206 207 209 215 229 230 231 239 240 241 242 243 248 264]\n# step=0 row=30 minW=62 found cw of W=54: [4 7 8 10 18 26 27 40 41 44 56 58 68 74 78 79 81 82 93 95 96 98 102 105 109 116 132 144 157 160 164 165 170 173 184 187 190 192 193 196 207 208 209 222 226 235 238 240 248 250 251 255 260 263]\n# step=6 row=42 minW=54 found cw of W=52: [6 10 13 16 25 26 42 44 45 49 53 72 74 78 82 85 86 101 102 104 109 120 128 131 132 133 135 136 140 145 156 161 163 169 188 193 198 200 207 208 211 219 222 223 235 236 247 252 256 264 267 268]\n# step=10 row=3 minW=52 found cw of W=50: [3 16 17 22 26 28 29 31 33 34 35 52 63 65 73 82 86 95 111 113 115 117 119 122 124 138 161 162 164 171 173 176 185 186 198 199 202 206 211 216 217 229 234 245 247 252 253 262 267 268]\n# step=18 row=11 minW=50 found cw of W=48: [4 5 11 16 27 28 31 34 35 43 69 80 92 101 102 106 117 118 127 132 134 145 147 153 160 163 165 174 183 186 187 192 197 198 208 210 213 216 217 218 223 236 238 244 254 256 262 265]\n# step=31 row=67 minW=48 found cw of W=44: [2 9 11 16 17 20 23 46 48 59 62 78 94 101 107 108 109 111 114 126 127 135 155 156 163 171 184 185 191 192 193 200 217 218 226 228 230 241 244 246 247 254 260 262]\n# round=1000 of 10000 minW=44\n# step=1215 row=15 minW=44 found cw of W=42: [2 3 14 16 17 20 22 23 31 38 56 60 73 77 94 95 100 114 122 130 139 146 147 149 151 160 164 168 184 186 191 196 198 199 202 204 220 221 230 237 240 251]\n# step=1883 row=69 minW=42 found cw of W=40: [4 9 19 20 38 41 46 49 55 59 61 65 67 73 84 85 95 100 101 106 111 129 132 140 146 147 150 152 156 173 192 197 201 228 238 249 255 264 266 267]\n# round=2000 of 10000 minW=40\n# round=3000 of 10000 minW=40\n# round=4000 of 10000 minW=40\n# round=5000 of 10000 minW=40\n# round=6000 of 10000 minW=40\n# step=6833 row=43 minW=40 found cw of W=38: [21 28 35 48 62 71 73 77 102 112 119 123 125 127 135 137 139 144 145 147 162 164 170 172 193 214 216 217 218 226 228 235 236 238 244 259 261 263]\n# round=7000 of 10000 minW=38\n# round=8000 of 10000 minW=38\n# round=9000 of 10000 minW=38\n# round=10000 of 10000 minW=38\nRW algorithm upper bound for the distance d=38\n</t>
  </si>
  <si>
    <t># step=0 row=0 minW=277 found cw of W=86: [1 2 6 8 28 30 33 36 37 40 45 46 47 50 54 58 61 64 71 73 76 77 80 88 89 92 95 98 100 108 113 114 115 119 121 123 128 131 139 142 146 148 149 150 156 169 170 171 173 175 178 179 180 184 185 186 187 200 205 206 207 211 212 213 214 215 217 221 223 224 229 230 240 241 245 255 257 260 262 263 264 265 267 270 271 273]\n# step=0 row=1 minW=86 found cw of W=84: [3 4 6 8 9 13 24 27 28 33 36 37 40 44 48 54 56 59 61 64 73 80 81 82 85 87 88 92 93 99 101 104 110 114 121 127 136 138 139 140 149 151 157 171 173 174 175 178 180 184 185 187 188 190 191 192 196 197 202 206 208 211 212 213 217 219 220 221 224 230 231 238 240 241 245 248 249 257 263 264 267 269 270 271]\n# step=0 row=2 minW=84 found cw of W=74: [7 8 9 10 13 17 22 27 30 33 37 44 46 50 54 64 73 76 77 83 85 89 95 98 110 114 115 119 122 123 127 128 136 138 139 142 146 153 157 168 169 170 171 173 178 179 187 190 191 192 193 194 197 201 202 207 215 217 219 220 221 231 245 248 249 257 262 263 265 267 269 270 271 273]\n# step=0 row=9 minW=74 found cw of W=72: [2 4 6 8 9 15 20 22 27 28 33 36 40 41 45 46 48 50 55 71 80 82 85 95 99 104 109 112 113 114 119 123 127 142 147 148 156 168 172 173 174 175 179 186 187 188 190 191 192 193 196 199 201 205 212 215 217 219 220 224 225 229 230 232 240 248 255 260 265 267 269 271]\n# step=0 row=26 minW=72 found cw of W=68: [5 6 9 13 17 22 27 30 45 55 58 59 61 64 65 69 71 76 78 80 82 83 92 97 98 107 108 113 121 122 131 138 139 140 146 147 149 150 151 153 156 161 173 174 175 184 193 197 199 200 201 205 206 211 213 223 229 230 231 232 238 241 249 255 260 262 264 265]\n# step=0 row=29 minW=68 found cw of W=66: [2 5 6 7 8 15 22 24 28 33 36 45 46 48 50 56 59 61 64 69 86 87 88 92 95 97 98 99 101 107 121 127 128 140 142 146 148 151 153 157 161 168 172 173 180 184 186 187 192 193 206 208 212 213 217 219 229 230 238 248 249 260 264 265 270 271]\n# step=0 row=33 minW=66 found cw of W=58: [22 27 30 36 41 46 47 48 54 56 58 61 71 72 73 76 83 85 88 93 95 99 105 108 109 114 121 123 127 131 146 148 150 153 175 180 185 187 191 197 200 201 211 213 214 215 219 220 223 225 230 231 232 255 256 257 260 269]\n# step=13 row=12 minW=58 found cw of W=56: [7 13 15 30 37 38 40 51 53 56 57 58 61 66 71 75 76 83 85 91 97 99 120 122 130 132 139 143 144 145 148 155 163 169 175 176 183 184 189 197 199 212 221 231 236 241 242 245 247 250 259 260 261 268 269 276]\n# step=14 row=48 minW=56 found cw of W=54: [5 11 15 18 21 22 23 24 25 43 50 55 61 62 68 71 76 91 95 105 106 113 114 115 129 131 140 149 153 154 163 166 169 183 187 189 195 197 198 199 202 208 209 221 223 227 232 234 239 241 252 258 260 261]\n# step=36 row=20 minW=54 found cw of W=52: [2 7 11 12 14 26 29 49 52 53 55 56 57 63 74 79 87 94 95 104 110 113 117 125 128 132 141 144 146 149 171 177 187 191 195 198 202 205 209 210 213 217 220 224 237 238 239 240 247 258 269 271]\n# step=79 row=5 minW=52 found cw of W=44: [6 11 13 14 24 26 30 33 39 49 68 85 86 90 91 93 96 98 100 102 103 106 116 118 122 125 128 131 141 144 160 168 177 185 188 192 194 197 220 236 260 270 274 275]\n# round=1000 of 10000 minW=44\n# round=2000 of 10000 minW=44\n# round=3000 of 10000 minW=44\n# round=4000 of 10000 minW=44\n# step=4496 row=19 minW=44 found cw of W=42: [4 5 10 16 25 32 35 36 38 43 49 50 53 69 81 82 84 92 96 97 102 108 117 122 128 130 135 141 142 145 155 158 161 173 174 176 214 216 219 247 250 276]\n# round=5000 of 10000 minW=42\n# round=6000 of 10000 minW=42\n# round=7000 of 10000 minW=42\n# round=8000 of 10000 minW=42\n# round=9000 of 10000 minW=42\n# round=10000 of 10000 minW=42\nRW algorithm upper bound for the distance d=42\n</t>
  </si>
  <si>
    <t># step=0 row=0 minW=280 found cw of W=70: [2 3 6 8 12 15 16 20 25 29 31 35 40 41 44 46 54 55 56 60 62 70 74 92 95 101 104 105 108 111 116 118 119 128 133 139 146 148 149 154 155 157 160 163 166 182 184 185 189 192 197 202 204 206 209 212 215 217 227 230 239 240 246 247 250 253 259 260 275 277]\n# step=0 row=4 minW=70 found cw of W=68: [1 12 15 16 17 20 21 23 28 31 41 46 47 50 53 55 56 58 61 62 69 74 75 81 87 91 94 98 104 105 108 110 111 121 124 128 137 139 146 155 157 159 162 166 174 180 191 197 202 204 206 207 209 221 227 230 233 236 241 242 244 247 250 252 259 260 261 277]\n# step=0 row=9 minW=68 found cw of W=66: [4 11 13 15 20 25 27 29 32 42 43 44 47 50 54 58 61 70 78 86 89 91 92 98 100 108 111 112 113 118 120 124 128 148 153 157 166 179 182 184 185 190 191 193 197 199 204 205 215 217 218 221 228 229 230 233 236 240 241 244 246 247 250 256 259 264]\n# step=0 row=40 minW=66 found cw of W=64: [4 9 10 11 27 35 41 42 44 47 53 55 56 58 62 72 74 75 77 81 91 99 100 102 103 111 114 119 120 124 128 134 135 137 139 146 148 149 155 157 159 163 168 174 182 190 192 193 197 204 207 212 217 232 233 244 250 252 256 258 260 263 275 277]\n# step=0 row=82 minW=64 found cw of W=62: [9 10 11 13 18 19 20 23 31 33 35 40 42 43 44 51 54 58 62 72 74 75 92 102 103 104 106 112 114 124 126 133 135 144 148 154 155 157 158 159 163 184 185 204 206 207 209 221 229 230 240 241 244 247 250 251 252 256 258 260 261 277]\n# step=1 row=62 minW=62 found cw of W=60: [7 8 13 17 19 20 33 52 54 57 59 75 80 83 86 88 94 100 106 109 110 113 115 119 120 121 136 139 147 149 150 156 160 163 164 168 174 187 194 202 205 208 212 213 214 219 229 232 238 242 245 249 253 256 257 266 267 269 272 274]\n# step=2 row=10 minW=60 found cw of W=50: [6 9 10 12 15 23 24 29 30 34 35 37 40 46 50 51 58 66 70 97 100 102 103 105 116 117 118 127 133 139 156 159 167 180 190 192 193 201 211 215 216 221 223 236 237 244 249 256 260 273]\n# step=171 row=15 minW=50 found cw of W=48: [3 8 16 20 22 23 27 36 37 39 44 49 61 78 79 80 88 101 109 115 116 127 131 134 137 139 163 171 176 180 181 189 206 213 220 222 223 224 225 227 232 235 247 256 265 266 269 273]\n# step=206 row=75 minW=48 found cw of W=44: [1 2 6 10 14 19 23 26 27 29 34 36 40 48 50 52 61 64 73 87 94 103 112 120 133 149 157 185 188 192 200 209 212 215 220 222 234 236 238 242 247 259 273 278]\n# step=375 row=32 minW=44 found cw of W=42: [1 3 5 15 23 27 30 31 32 51 52 62 67 72 75 78 81 83 84 85 90 187 189 191 201 209 213 216 217 218 237 238 248 253 258 261 264 267 269 270 271 276]\n# step=808 row=78 minW=42 found cw of W=40: [17 19 24 26 33 35 38 41 46 64 65 71 77 81 83 89 92 108 110 112 119 124 126 128 131 134 148 157 158 164 170 174 176 182 185 201 210 217 232 241]\n#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</si>
  <si>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minW=283 found cw of W=96: [1 7 10 11 12 13 16 19 21 24 25 37 40 41 42 46 47 50 53 57 59 62 67 68 69 70 71 74 75 79 81 84 86 89 91 101 102 106 109 110 111 114 118 119 120 127 128 131 135 136 137 138 141 142 144 147 153 162 165 170 171 180 181 189 196 198 199 201 203 205 207 208 209 214 221 222 228 231 232 234 236 245 250 255 257 258 262 263 264 265 267 269 272 275 277 279]\n# step=0 row=1 minW=96 found cw of W=80: [2 7 8 11 12 16 18 30 31 34 35 36 37 40 44 50 53 62 64 67 68 70 79 84 85 86 89 91 95 97 102 104 106 110 112 114 124 131 136 137 139 140 142 144 147 148 162 164 166 179 181 185 189 190 191 195 198 199 208 219 222 223 224 228 230 231 232 233 234 236 242 250 252 255 260 267 272 274 275 277]\n# step=0 row=2 minW=80 found cw of W=76: [3 10 12 13 19 21 24 35 36 37 40 41 44 45 53 54 59 62 67 69 70 71 74 78 84 85 86 87 91 95 102 104 106 107 111 114 118 125 127 130 131 135 137 140 151 153 163 164 165 172 180 181 185 189 191 196 205 207 208 209 219 221 223 228 231 232 233 234 241 242 245 250 255 262 272 273]\n# step=0 row=5 minW=76 found cw of W=72: [8 10 12 14 18 19 24 25 30 31 35 36 39 42 44 45 53 57 62 64 68 69 70 79 84 86 87 91 97 106 107 108 114 118 119 124 125 127 128 138 151 162 164 166 172 178 179 185 191 196 198 201 206 207 208 221 222 223 224 227 230 233 241 250 252 257 260 266 267 273 274 275]\n# step=0 row=6 minW=72 found cw of W=68: [7 11 15 16 19 30 31 35 36 39 41 45 47 54 68 69 71 74 79 81 85 86 87 91 95 97 102 105 110 112 120 125 128 135 140 141 151 164 165 166 179 189 191 195 196 203 206 207 214 218 222 223 224 227 233 234 242 245 256 257 258 260 262 267 269 274 275 279]\n# step=0 row=10 minW=68 found cw of W=66: [7 8 10 11 21 23 31 36 37 41 47 50 57 59 67 68 70 81 84 85 86 87 89 91 97 101 104 105 111 112 120 127 128 131 135 136 138 141 144 148 151 153 164 178 179 191 196 205 206 209 211 214 219 221 222 224 230 232 242 255 256 269 274 275 277 279]\n# step=0 row=17 minW=66 found cw of W=64: [8 12 16 18 21 31 37 39 41 47 49 53 54 57 64 68 75 78 81 85 87 101 105 106 107 108 110 112 124 125 130 131 135 137 139 141 147 148 151 162 163 171 172 179 185 195 196 199 201 202 209 218 224 227 231 233 237 252 257 263 265 269 275 279]\n# step=0 row=41 minW=64 found cw of W=58: [12 13 19 21 30 31 34 37 39 42 44 46 50 57 59 68 75 78 87 95 106 108 117 124 125 127 131 136 137 138 140 142 144 148 151 153 162 164 171 180 189 201 202 207 209 211 221 222 227 231 236 242 258 263 265 266 274 275]\n# step=0 row=58 minW=58 found cw of W=54: [11 13 25 39 40 41 47 54 57 67 75 78 79 84 85 89 101 102 107 119 125 127 135 137 139 140 141 147 158 178 180 185 195 196 199 219 221 227 228 231 233 234 241 242 245 252 255 263 266 267 273 274 277 279]\n# step=12 row=2 minW=54 found cw of W=52: [3 5 17 21 30 36 38 39 43 44 67 70 75 81 83 90 99 116 123 124 133 153 159 160 166 169 174 179 181 183 191 205 209 210 217 224 226 231 232 247 253 254 255 258 260 268 269 271 273 275 277 278]\n# step=28 row=64 minW=52 found cw of W=44: [3 9 23 45 46 51 55 56 58 73 77 80 82 84 89 90 96 103 105 126 129 132 145 149 167 174 176 177 178 183 184 190 191 199 211 220 223 226 233 234 244 246 265 271]\n# round=1000 of 10000 minW=44\n# step=1224 row=81 minW=44 found cw of W=42: [23 27 29 47 54 59 60 78 89 90 98 104 119 123 125 137 140 141 148 155 156 170 173 176 183 184 192 198 211 213 215 219 231 234 247 248 249 250 264 266 267 270]\n# round=2000 of 10000 minW=42\n# step=2521 row=93 minW=42 found cw of W=40: [10 40 41 58 71 89 97 99 104 107 113 121 124 127 134 137 138 144 152 160 161 168 178 191 193 201 207 215 218 221 229 231 232 238 254 255 259 262 272 277]\n#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</si>
  <si>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minW=286 found cw of W=80: [1 4 9 12 21 22 24 25 28 29 30 32 34 35 38 47 54 57 62 67 77 81 83 84 85 86 99 107 112 113 116 120 121 124 125 127 131 133 134 135 139 140 146 149 152 155 157 159 166 167 169 176 178 180 181 191 199 207 208 212 214 216 218 224 225 226 229 230 234 235 237 241 250 254 257 261 262 264 267 274]\n# step=0 row=1 minW=80 found cw of W=58: [2 4 6 21 25 40 43 53 54 57 58 69 73 79 81 85 101 106 107 108 109 113 116 120 121 125 127 130 140 141 148 149 152 153 159 164 169 180 192 194 201 202 203 204 208 216 220 222 225 230 233 235 236 254 263 264 269 271]\n# step=0 row=4 minW=58 found cw of W=48: [8 12 13 21 24 29 32 35 52 53 54 57 61 66 67 69 73 79 83 84 103 107 112 116 124 127 141 148 149 150 152 156 161 164 168 169 203 207 214 225 236 242 245 257 264 269 273 274]\n# step=16 row=42 minW=48 found cw of W=46: [2 6 18 23 28 34 39 43 44 49 51 59 69 77 82 85 101 103 112 122 123 129 130 134 135 138 144 146 150 155 192 198 207 208 213 217 225 230 234 245 249 250 259 267 272 275]\n# step=262 row=3 minW=46 found cw of W=40: [1 4 14 16 22 29 32 38 54 55 64 65 66 67 75 85 96 99 109 111 122 142 150 153 159 161 163 170 212 217 219 222 228 237 244 248 255 257 258 275]\n# round=1000 of 10000 minW=40\n# round=2000 of 10000 minW=40\n# round=3000 of 10000 minW=40\n# step=3185 row=26 minW=40 found cw of W=38: [11 13 23 28 32 53 55 62 72 73 78 84 86 106 107 108 118 121 132 150 152 153 157 168 173 176 202 216 218 222 227 243 247 248 262 271 274 276]\n# round=4000 of 10000 minW=38\n# round=5000 of 10000 minW=38\n# round=6000 of 10000 minW=38\n# round=7000 of 10000 minW=38\n# round=8000 of 10000 minW=38\n# round=9000 of 10000 minW=38\n# round=10000 of 10000 minW=38\nRW algorithm upper bound for the distance d=38\n</t>
  </si>
  <si>
    <t># step=0 row=0 minW=289 found cw of W=52: [3 4 5 10 11 16 19 38 41 47 59 61 65 67 70 71 81 82 85 88 106 107 110 112 123 133 137 164 166 172 177 178 179 181 195 196 197 206 211 219 229 230 239 251 253 257 259 260 263 268 275 280]\n# step=0 row=2 minW=52 found cw of W=50: [3 9 10 11 14 16 21 23 33 34 35 56 60 61 66 78 83 88 105 106 107 110 112 117 119 122 126 129 130 131 140 144 161 166 172 184 195 218 222 236 240 248 252 253 257 258 262 268 270 275]\n# step=0 row=15 minW=50 found cw of W=46: [9 15 25 41 47 49 56 59 66 67 83 85 86 89 105 119 122 133 137 139 144 162 164 172 175 179 181 182 184 185 207 215 217 218 229 235 239 240 241 248 251 259 260 268 271 280]\n# step=0 row=119 minW=46 found cw of W=40: [3 9 11 35 37 40 42 61 67 78 81 86 89 90 105 107 138 139 164 175 177 179 182 184 185 188 195 227 229 232 235 253 259 260 270 271 275 280 282 284]\n# step=5 row=20 minW=40 found cw of W=38: [10 20 24 35 36 40 55 56 57 70 73 84 86 92 106 122 151 153 158 163 165 180 182 183 212 216 218 227 228 232 248 254 259 261 262 265 279 284]\n# step=36 row=59 minW=38 found cw of W=36: [14 22 35 44 45 54 68 72 74 79 84 87 100 115 131 132 140 148 150 164 166 167 196 206 211 214 228 237 244 262 263 264 266 271 276 279]\n# step=76 row=2 minW=36 found cw of W=30: [4 19 25 26 39 40 68 72 86 92 100 105 115 121 126 136 149 164 168 171 178 188 201 218 222 231 245 267 274 278]\n# round=1000 of 10000 minW=30\n# round=2000 of 10000 minW=30\n# step=2047 row=85 minW=30 found cw of W=28: [11 17 32 40 41 49 61 62 64 83 113 127 136 142 145 153 158 182 203 223 224 233 238 249 253 256 275 278]\n#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</si>
  <si>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minW=292 found cw of W=80: [2 4 5 8 20 32 35 39 49 53 54 57 59 64 74 75 82 85 100 101 102 112 113 115 118 119 120 121 123 126 127 129 131 133 135 136 141 142 143 148 152 156 160 171 172 176 178 182 196 197 202 209 210 212 214 215 216 217 218 220 223 224 228 229 230 232 238 239 240 243 245 247 248 249 251 257 258 273 275 276]\n# step=0 row=1 minW=80 found cw of W=58: [3 12 23 44 49 54 57 59 65 67 73 75 77 78 79 81 82 85 99 109 113 118 120 121 125 131 133 135 136 138 142 151 154 156 162 164 170 174 196 197 210 215 218 222 228 230 232 233 235 238 239 243 269 272 273 275 276 279]\n# step=1 row=65 minW=58 found cw of W=56: [11 12 27 31 36 46 47 50 59 60 61 64 70 71 98 101 103 104 108 109 110 111 114 117 124 129 130 133 143 157 169 176 178 180 195 198 200 201 207 208 211 214 225 226 227 241 244 253 255 258 264 265 266 273 275 277]\n# step=1 row=82 minW=56 found cw of W=54: [2 12 17 25 26 27 28 31 32 45 46 47 48 49 56 60 62 69 72 81 99 103 104 110 117 119 123 124 129 134 142 143 145 157 163 166 169 178 200 201 206 207 211 214 216 219 222 225 231 241 243 250 256 260]\n# step=2 row=80 minW=54 found cw of W=52: [5 6 8 12 15 24 30 34 35 36 40 50 53 60 66 81 102 103 105 106 112 113 116 121 127 133 137 139 141 148 152 157 166 173 178 179 203 206 210 213 228 229 236 238 244 245 247 249 260 263 270 276]\n# step=3 row=51 minW=52 found cw of W=50: [15 16 20 21 23 30 35 36 54 60 65 67 68 69 71 81 98 102 108 109 117 118 129 132 133 139 151 152 162 178 180 181 195 199 205 206 209 210 217 224 226 236 249 254 261 262 263 265 277 278]\n# step=25 row=6 minW=50 found cw of W=46: [1 21 31 32 35 36 40 42 60 65 68 72 80 84 98 111 124 126 128 129 130 132 137 139 142 146 160 161 165 170 208 215 221 223 227 230 239 243 254 257 258 259 266 267 274 278]\n# step=132 row=74 minW=46 found cw of W=44: [13 18 19 23 32 37 51 54 63 66 71 79 80 83 102 108 110 115 116 118 120 124 134 139 149 151 153 160 163 168 175 177 199 205 215 221 226 236 245 246 250 272 273 277]\n# step=177 row=74 minW=44 found cw of W=40: [2 3 30 31 43 45 50 55 61 72 85 103 106 108 118 124 126 128 140 147 152 159 164 182 183 196 197 200 203 205 215 221 223 224 239 255 256 261 266 280]\n# round=1000 of 10000 minW=40\n# round=2000 of 10000 minW=40\n# round=3000 of 10000 minW=40\n# round=4000 of 10000 minW=40\n# round=5000 of 10000 minW=40\n# round=6000 of 10000 minW=40\n# step=6791 row=13 minW=40 found cw of W=38: [1 13 25 27 32 34 41 43 44 58 65 69 71 75 110 115 118 120 122 124 128 129 136 166 168 172 195 212 215 217 225 228 233 235 237 238 252 259]\n# round=7000 of 10000 minW=38\n# round=8000 of 10000 minW=38\n# round=9000 of 10000 minW=38\n# round=10000 of 10000 minW=38\nRW algorithm upper bound for the distance d=38\n</t>
  </si>
  <si>
    <t># step=0 row=0 minW=295 found cw of W=84: [2 5 10 14 15 18 19 25 27 28 31 32 33 36 42 52 56 64 66 69 71 76 77 78 79 81 82 83 85 92 100 101 103 106 113 120 122 123 126 128 130 131 144 146 149 150 155 159 165 174 177 179 181 182 190 199 204 206 210 214 215 218 220 223 226 227 232 238 242 244 247 252 253 257 260 262 263 265 267 273 274 278 280 281]\n# step=0 row=4 minW=84 found cw of W=64: [5 6 13 19 25 27 30 33 35 43 45 52 55 56 58 68 72 76 80 85 86 91 101 103 104 113 114 116 120 123 131 133 141 143 144 156 158 159 164 166 173 174 178 184 199 209 211 212 214 215 218 223 226 242 248 251 252 256 257 262 268 271 281 287]\n# step=0 row=82 minW=64 found cw of W=62: [1 6 10 14 15 18 19 23 26 28 29 32 33 39 45 52 56 58 65 66 68 69 76 78 81 83 90 99 101 103 104 113 121 122 124 126 127 131 142 150 156 166 174 176 179 181 199 201 206 210 214 215 220 228 235 240 241 252 261 262 265 286]\n# step=4 row=28 minW=62 found cw of W=60: [3 19 20 26 29 36 37 41 43 45 47 49 50 55 60 63 66 76 79 84 85 111 116 117 118 123 124 129 136 139 141 143 161 165 172 182 187 190 199 209 214 221 225 227 232 233 234 243 245 246 251 256 262 263 270 272 275 281 285 288]\n# step=7 row=89 minW=60 found cw of W=58: [2 5 17 18 28 29 38 46 48 51 52 55 64 66 72 73 81 82 84 85 93 121 124 127 130 133 135 141 144 146 147 149 150 162 171 173 198 201 213 214 219 222 224 228 231 233 234 239 245 251 262 268 271 277 278 280 281 289]\n# step=10 row=13 minW=58 found cw of W=50: [5 14 22 31 32 39 41 46 47 52 62 67 68 71 84 87 88 105 112 115 125 129 130 137 141 145 146 160 166 171 179 185 188 201 203 213 218 223 237 239 242 244 248 263 267 269 277 280 284 286]\n# step=176 row=39 minW=50 found cw of W=42: [8 9 11 19 24 25 30 36 45 52 55 56 58 63 69 70 73 89 106 107 109 122 123 128 134 143 148 154 156 161 167 168 171 181 184 187 215 246 248 251 279 282]\n#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</si>
  <si>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minW=298 found cw of W=62: [3 6 10 15 18 19 36 41 46 55 56 62 64 66 67 69 70 72 75 78 81 83 84 89 102 104 109 117 121 124 135 140 158 159 161 165 166 169 171 174 184 188 191 203 204 213 217 220 223 244 253 254 257 258 262 267 276 279 281 282 283 290]\n# step=0 row=20 minW=62 found cw of W=56: [5 19 22 28 32 38 39 41 46 47 48 52 53 56 58 65 66 73 79 81 84 103 121 124 134 137 139 140 145 147 151 152 157 158 159 164 165 168 172 178 202 203 217 223 226 230 233 237 238 245 254 257 258 267 279 282]\n# step=2 row=100 minW=56 found cw of W=54: [2 12 23 41 46 50 52 60 66 73 79 81 83 84 88 101 103 110 112 116 120 122 132 140 151 156 159 166 178 180 181 183 185 187 190 192 202 209 210 211 215 219 231 244 248 255 264 265 271 280 281 284 289 291]\n# step=5 row=62 minW=54 found cw of W=50: [6 7 9 21 27 35 45 47 48 51 62 69 71 75 77 78 80 81 83 113 120 134 144 146 150 159 167 168 170 175 177 179 180 182 183 192 204 205 207 212 225 246 258 260 266 273 274 275 282 291]\n# step=33 row=51 minW=50 found cw of W=48: [4 23 24 26 32 34 36 44 47 56 60 62 80 81 82 92 103 105 107 122 123 125 131 132 133 134 135 141 147 150 159 161 180 181 189 191 204 206 231 233 240 242 245 246 249 254 278 288]\n# step=230 row=34 minW=48 found cw of W=46: [3 7 9 10 15 22 25 29 45 58 65 69 75 78 80 93 102 106 108 111 114 121 128 137 141 144 145 146 164 168 170 177 179 190 192 208 210 223 236 240 244 245 256 269 273 289]\n# step=300 row=32 minW=46 found cw of W=42: [1 19 23 32 34 49 50 65 80 85 105 111 122 129 131 132 133 138 139 144 148 149 153 159 170 183 199 204 210 217 228 231 237 238 243 252 258 263 269 278 282 283]\n# round=1000 of 10000 minW=42\n# round=2000 of 10000 minW=42\n# round=3000 of 10000 minW=42\n# round=4000 of 10000 minW=42\n# round=5000 of 10000 minW=42\n# round=6000 of 10000 minW=42\n# round=7000 of 10000 minW=42\n# round=8000 of 10000 minW=42\n# round=9000 of 10000 minW=42\n# round=10000 of 10000 minW=42\nRW algorithm upper bound for the distance d=42\n</t>
  </si>
  <si>
    <t># step=0 row=0 minW=301 found cw of W=84: [1 5 10 13 14 15 16 18 31 44 45 49 52 56 58 60 64 73 75 76 80 83 85 92 101 105 108 110 113 118 122 123 131 132 135 136 138 143 145 146 152 154 157 160 162 165 166 168 176 182 183 187 189 192 208 214 215 216 222 223 232 235 236 238 243 244 246 249 254 256 257 258 262 264 265 266 268 273 275 280 282 285 287 289]\n# step=0 row=2 minW=84 found cw of W=68: [4 8 13 16 18 19 23 32 39 44 46 49 55 58 73 76 82 92 102 108 113 118 119 121 123 126 136 138 139 146 150 157 161 164 165 166 175 176 179 180 182 187 189 192 202 204 216 221 226 232 236 238 244 249 250 255 257 258 261 264 265 266 273 275 279 280 287 289]\n# step=0 row=11 minW=68 found cw of W=64: [5 7 8 14 15 16 23 31 33 34 35 39 42 46 47 52 56 58 68 73 76 92 105 107 121 122 123 131 132 133 138 142 145 146 147 162 164 168 179 185 189 208 214 215 216 221 222 232 234 235 238 239 245 252 256 258 262 264 273 276 279 285 289 292]\n# step=0 row=72 minW=64 found cw of W=60: [16 18 31 33 35 39 45 46 57 68 70 71 73 85 107 111 113 115 118 121 126 131 132 133 136 138 139 143 154 156 157 162 168 170 182 190 192 207 211 213 215 216 221 226 232 235 236 238 243 245 246 254 256 262 271 273 282 285 290 292]\n# step=1 row=36 minW=60 found cw of W=56: [4 5 9 14 15 16 23 27 28 30 33 39 43 45 51 60 68 71 73 85 88 89 102 109 116 117 122 123 127 128 130 131 133 143 145 151 160 168 173 183 185 186 189 202 204 205 214 215 217 222 231 239 271 283 286 288]\n# step=13 row=45 minW=56 found cw of W=54: [10 11 17 18 19 23 25 27 30 39 40 41 51 57 65 67 69 71 91 117 118 123 125 127 134 139 148 150 153 159 160 162 181 191 210 211 219 230 234 240 241 248 250 251 253 257 259 260 262 265 267 269 271 281]\n# step=13 row=58 minW=54 found cw of W=52: [6 10 20 24 26 31 40 43 51 54 57 60 64 65 71 91 105 106 108 120 122 123 124 126 131 139 140 141 147 157 159 160 162 165 174 191 205 208 210 222 223 239 241 243 247 251 254 259 262 264 271 274]\n# step=14 row=74 minW=52 found cw of W=50: [1 7 10 13 20 22 23 27 39 41 52 60 62 67 75 103 107 113 119 122 123 134 135 136 150 151 158 162 172 175 184 201 203 210 219 220 227 234 235 236 239 241 250 251 252 258 260 267 272 284]\n# step=15 row=82 minW=50 found cw of W=48: [2 5 10 11 12 23 27 29 35 41 62 68 79 80 81 89 102 104 105 110 123 143 148 149 150 168 172 173 191 204 211 212 227 229 235 241 243 248 249 250 262 272 273 279 280 281 289 291]\n# step=315 row=47 minW=48 found cw of W=44: [6 18 24 51 55 61 65 73 80 81 90 118 124 130 137 141 143 149 151 153 155 158 161 162 165 166 173 175 180 191 206 230 237 241 243 249 253 258 262 266 275 281 290 291]\n# round=1000 of 10000 minW=44\n# step=1100 row=61 minW=44 found cw of W=42: [2 5 10 19 28 41 50 59 64 67 102 104 110 115 116 128 135 139 145 147 150 154 167 178 181 184 204 205 215 216 219 235 239 241 245 247 254 259 264 278 281 284]\n# round=2000 of 10000 minW=42\n# round=3000 of 10000 minW=42\n# step=3749 row=88 minW=42 found cw of W=40: [12 26 29 41 57 60 62 72 74 101 112 113 126 128 129 150 152 161 162 164 167 170 172 181 188 201 213 228 241 250 252 257 260 261 264 267 270 274 281 288]\n# round=4000 of 10000 minW=40\n# round=5000 of 10000 minW=40\n# round=6000 of 10000 minW=40\n# round=7000 of 10000 minW=40\n# round=8000 of 10000 minW=40\n# round=9000 of 10000 minW=40\n# round=10000 of 10000 minW=40\nRW algorithm upper bound for the distance d=40\n</t>
  </si>
  <si>
    <t># step=0 row=0 minW=304 found cw of W=88: [1 2 6 8 11 12 13 20 21 26 30 31 32 35 37 48 50 54 57 65 67 69 70 73 77 81 82 107 109 110 112 113 114 117 118 122 127 131 133 135 136 137 138 143 155 156 157 158 164 165 169 170 171 177 180 181 182 183 184 186 190 203 204 211 218 219 222 233 236 238 244 250 252 257 258 265 266 267 269 270 275 278 279 281 282 285 287 291]\n# step=0 row=1 minW=88 found cw of W=84: [3 5 7 9 10 11 13 16 26 30 31 34 36 37 38 42 45 48 50 51 55 67 70 73 75 80 82 83 107 108 110 118 127 131 132 134 137 143 146 152 153 155 157 158 165 168 171 174 176 177 179 180 181 183 186 187 190 205 207 208 212 213 215 218 219 235 236 239 240 250 252 254 256 257 258 259 266 278 280 281 285 287 288 291]\n# step=0 row=4 minW=84 found cw of W=72: [1 3 9 10 11 12 17 20 22 30 34 35 37 42 45 48 50 51 65 69 76 77 81 103 104 106 107 110 112 113 118 123 131 136 138 143 146 152 153 155 156 158 164 168 169 170 175 181 187 203 204 207 208 212 222 236 250 252 254 256 257 259 265 267 269 270 276 278 279 282 283 288]\n# step=0 row=5 minW=72 found cw of W=68: [3 4 8 9 12 13 16 18 20 21 31 32 35 37 39 45 51 54 55 70 73 76 83 86 109 110 113 118 122 129 133 134 135 136 138 140 145 146 152 155 167 169 171 174 179 186 190 205 206 215 218 219 220 222 230 233 235 236 246 257 268 270 278 280 285 287 288 291]\n# step=0 row=15 minW=68 found cw of W=66: [3 5 9 11 13 16 29 30 35 36 38 45 53 57 69 76 104 106 112 114 117 118 129 131 132 136 141 143 145 146 154 155 164 165 168 170 174 175 179 181 184 186 187 211 219 230 231 233 238 240 242 244 246 256 259 265 266 269 275 276 278 280 282 285 287 288]\n# step=0 row=27 minW=66 found cw of W=46: [3 9 13 16 26 31 34 51 54 67 73 78 80 81 83 103 114 118 127 141 145 152 168 174 177 180 181 182 187 190 204 205 211 218 219 233 236 242 246 256 278 280 281 285 288 291]\n# step=18 row=60 minW=46 found cw of W=44: [7 25 30 31 32 35 36 42 44 54 56 61 63 64 70 72 78 119 131 132 133 137 143 152 155 161 162 173 175 178 179 209 220 227 237 246 253 258 262 265 266 272 276 279]\n# step=493 row=93 minW=44 found cw of W=40: [15 21 42 46 52 73 106 115 124 132 136 140 142 143 147 153 154 157 160 163 171 184 187 207 216 217 223 225 233 237 241 243 255 258 261 264 272 275 285 288]\n#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</si>
  <si>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minW=307 found cw of W=68: [1 2 4 5 14 17 26 29 33 40 46 51 71 77 81 97 98 99 100 103 104 107 110 123 125 134 136 141 142 152 153 156 163 166 186 189 190 192 194 199 200 201 202 208 212 218 221 225 227 230 233 236 237 238 243 250 254 258 265 268 275 281 285 288 291 292 294 296]\n# step=0 row=35 minW=68 found cw of W=56: [2 7 10 20 38 43 56 59 61 68 69 71 79 95 97 98 100 104 114 118 121 122 123 125 143 154 156 158 161 173 186 189 190 199 200 211 214 216 220 223 225 227 242 245 247 256 258 265 272 273 283 288 291 292 299 304]\n# step=1 row=59 minW=56 found cw of W=54: [3 10 13 14 15 20 22 25 29 48 50 51 58 72 74 85 91 93 94 101 102 105 117 121 122 124 127 131 155 165 176 185 186 187 194 195 196 204 214 217 218 223 252 254 255 257 262 267 276 287 288 295 296 305]\n# step=9 row=98 minW=54 found cw of W=52: [1 13 14 18 40 42 44 45 55 57 59 61 69 72 82 87 94 107 115 116 119 123 134 142 143 144 146 147 151 152 161 163 170 174 177 184 189 205 209 221 222 225 236 245 253 254 259 261 272 273 279 298]\n# step=16 row=24 minW=52 found cw of W=50: [5 7 13 17 25 27 42 45 49 50 53 60 69 89 91 101 104 106 107 109 119 129 139 144 146 151 152 158 161 162 175 182 191 196 206 208 217 229 241 248 249 257 260 263 273 277 284 295 298 305]\n# step=25 row=25 minW=50 found cw of W=48: [1 32 34 36 38 54 58 63 69 75 81 82 85 86 87 92 98 103 136 155 157 163 164 174 187 195 197 236 240 242 257 258 259 262 265 266 267 273 276 279 285 286 290 291 296 297 299 302]\n# step=63 row=82 minW=48 found cw of W=46: [7 29 35 42 46 52 53 57 60 63 70 72 82 89 90 96 109 111 127 137 148 154 155 161 164 165 174 180 184 188 198 203 213 229 233 246 261 263 264 266 274 282 290 293 294 305]\n# step=884 row=26 minW=46 found cw of W=42: [21 49 56 59 60 65 72 79 81 87 102 108 120 127 139 151 158 161 166 167 170 175 183 188 189 193 195 210 222 225 229 241 264 268 272 276 277 283 290 295 297 306]\n# round=1000 of 10000 minW=42\n# round=2000 of 10000 minW=42\n# round=3000 of 10000 minW=42\n# round=4000 of 10000 minW=42\n# step=4603 row=84 minW=42 found cw of W=36: [6 15 18 20 41 48 50 55 61 74 81 83 90 95 99 108 120 131 136 143 171 183 197 201 219 224 233 238 252 254 259 265 273 278 287 294]\n# round=5000 of 10000 minW=36\n# round=6000 of 10000 minW=36\n# round=7000 of 10000 minW=36\n# round=8000 of 10000 minW=36\n# round=9000 of 10000 minW=36\n# round=10000 of 10000 minW=36\nRW algorithm upper bound for the distance d=36\n</t>
  </si>
  <si>
    <t># step=0 row=0 minW=310 found cw of W=72: [2 3 6 8 9 10 14 18 19 30 36 37 38 48 57 58 59 60 61 62 68 74 76 77 78 81 82 84 91 93 98 104 105 106 112 113 122 131 133 141 143 151 160 162 170 176 179 181 185 194 196 207 212 214 220 224 234 242 243 246 264 266 267 268 273 274 279 280 283 287 290 304]\n# step=0 row=1 minW=72 found cw of W=60: [2 5 8 14 30 36 38 50 59 62 64 68 72 73 76 80 81 82 87 88 91 93 105 108 117 118 121 132 133 137 141 150 162 165 166 170 175 179 183 185 190 191 196 201 214 221 224 235 240 242 253 256 269 270 273 274 279 287 297 304]\n# step=0 row=34 minW=60 found cw of W=56: [7 8 12 13 14 19 21 29 30 57 61 62 68 74 77 78 80 82 98 100 105 115 118 122 126 132 133 143 149 160 162 165 170 179 180 183 185 208 213 214 219 220 221 227 229 246 252 265 267 273 274 280 282 284 304 306]\n# step=4 row=11 minW=56 found cw of W=54: [2 12 15 20 22 23 26 28 38 39 48 51 57 78 84 98 99 100 115 118 121 124 125 126 128 141 146 150 151 166 185 197 200 202 203 208 224 226 227 231 232 234 245 249 253 257 263 269 284 288 290 300 303 304]\n# step=4 row=105 minW=54 found cw of W=52: [2 5 13 17 22 23 25 42 58 75 84 93 98 99 108 114 115 116 124 125 126 127 128 129 132 138 160 175 184 196 199 202 204 208 217 218 223 227 230 232 235 241 248 263 264 278 281 287 290 302 304 307]\n# step=7 row=102 minW=52 found cw of W=48: [3 4 18 21 25 28 41 43 44 56 61 62 73 76 89 91 93 97 98 106 128 131 146 152 165 170 176 178 192 194 196 199 203 210 224 227 247 250 255 262 267 273 281 282 302 303 304 306]\n# step=154 row=119 minW=48 found cw of W=46: [6 18 19 21 56 57 66 74 76 77 81 83 98 109 110 118 121 125 131 143 146 159 160 163 165 180 186 198 201 205 213 221 225 227 228 234 246 249 266 268 272 280 282 287 301 308]\n# step=279 row=20 minW=46 found cw of W=44: [16 25 26 36 41 44 50 53 56 65 66 68 80 85 96 97 122 127 131 144 147 155 156 164 171 188 199 204 222 225 230 231 232 234 242 256 258 262 267 271 272 286 303 307]\n# step=279 row=106 minW=44 found cw of W=42: [16 19 30 43 46 58 63 66 67 70 71 80 82 83 97 101 106 122 133 139 146 149 155 161 165 166 170 174 179 186 200 204 209 222 242 258 268 272 276 282 286 288]\n# round=1000 of 10000 minW=42\n# step=1965 row=21 minW=42 found cw of W=38: [9 11 17 19 42 51 53 54 61 70 74 94 107 110 112 114 122 154 157 169 173 175 180 183 184 210 213 223 248 259 267 272 278 280 283 286 287 300]\n# round=2000 of 10000 minW=38\n# round=3000 of 10000 minW=38\n# round=4000 of 10000 minW=38\n# round=5000 of 10000 minW=38\n# round=6000 of 10000 minW=38\n# round=7000 of 10000 minW=38\n# round=8000 of 10000 minW=38\n# round=9000 of 10000 minW=38\n# round=10000 of 10000 minW=38\nRW algorithm upper bound for the distance d=38\n</t>
  </si>
  <si>
    <t># step=0 row=0 minW=313 found cw of W=94: [1 4 5 7 15 17 30 31 32 34 35 40 41 44 45 46 50 51 54 56 58 62 64 68 72 75 78 79 80 83 86 90 91 92 98 100 104 114 117 119 120 121 127 134 136 149 150 156 160 162 166 168 169 170 173 182 183 184 190 193 194 196 202 203 204 209 212 213 215 218 221 224 231 239 242 243 248 249 252 258 259 260 262 273 274 276 277 280 283 291 297 299 307 312]\n# step=0 row=1 minW=94 found cw of W=66: [2 4 6 7 11 24 26 28 30 31 34 42 45 58 59 60 62 68 72 77 83 85 91 104 110 114 115 117 132 133 134 142 149 156 159 161 162 166 173 181 191 210 212 215 218 221 232 234 237 239 242 246 250 260 263 265 267 268 276 277 280 291 293 295 299 312]\n# step=1 row=3 minW=66 found cw of W=62: [8 11 15 27 33 40 41 46 75 79 80 84 85 86 92 98 104 111 113 116 119 133 137 142 144 146 148 150 155 164 172 176 179 183 188 189 193 195 196 199 215 216 217 219 220 235 237 246 249 250 252 259 268 276 280 288 294 297 299 303 306 312]\n# step=1 row=110 minW=62 found cw of W=60: [4 8 9 21 22 27 41 46 48 53 57 65 67 69 82 100 101 102 114 116 126 131 133 139 146 150 156 161 164 169 170 171 186 192 200 201 202 204 205 206 212 216 217 218 220 229 237 243 249 250 256 260 261 268 274 277 296 304 305 306]\n# step=3 row=95 minW=60 found cw of W=58: [1 5 16 28 41 42 46 49 52 54 55 59 66 68 75 80 86 90 96 98 105 111 116 130 145 149 150 152 154 159 162 170 177 179 184 190 194 200 202 208 213 215 220 224 234 236 250 253 256 257 258 260 262 266 267 276 281 312]\n# step=38 row=75 minW=58 found cw of W=56: [3 9 10 16 22 24 28 30 36 44 53 63 72 74 75 89 93 98 102 106 107 108 113 114 120 126 132 134 139 141 142 148 157 163 165 167 178 187 191 197 202 206 210 212 232 243 244 245 246 267 269 280 283 291 295 297]\n# step=83 row=101 minW=56 found cw of W=54: [13 21 22 23 26 28 34 41 54 57 58 59 62 77 83 87 88 89 101 102 126 127 128 141 146 162 166 171 182 192 193 197 198 206 221 229 232 234 236 242 245 249 250 262 265 267 275 285 286 291 295 301 302 309]\n# step=89 row=21 minW=54 found cw of W=52: [2 13 27 37 43 53 55 63 66 85 87 90 92 93 95 97 102 106 112 117 124 137 138 147 159 170 172 187 191 194 199 200 202 206 207 216 228 235 241 242 245 261 271 276 291 293 300 301 304 305 306 311]\n# step=135 row=17 minW=52 found cw of W=50: [3 6 12 16 17 31 43 48 53 66 68 70 71 76 88 91 96 99 107 110 120 121 128 133 135 143 147 148 150 157 170 175 179 180 183 192 220 232 237 247 252 254 256 276 278 283 287 299 304 307]\n# step=478 row=66 minW=50 found cw of W=48: [2 5 6 10 25 28 44 47 50 52 57 69 75 81 82 87 127 132 140 148 150 151 154 156 158 175 184 185 186 199 201 210 213 214 218 231 233 244 254 262 265 277 279 283 288 295 303 305]\n# round=1000 of 10000 minW=48\n# round=2000 of 10000 minW=48\n# round=3000 of 10000 minW=48\n# round=4000 of 10000 minW=48\n# step=4225 row=49 minW=48 found cw of W=44: [1 2 6 14 42 44 58 59 74 78 89 105 106 110 116 122 123 134 135 141 146 161 176 181 193 200 207 220 222 226 227 238 239 245 252 265 266 267 280 282 285 286 304 311]\n# round=5000 of 10000 minW=44\n# round=6000 of 10000 minW=44\n# round=7000 of 10000 minW=44\n# round=8000 of 10000 minW=44\n# round=9000 of 10000 minW=44\n# round=10000 of 10000 minW=44\nRW algorithm upper bound for the distance d=44\n</t>
  </si>
  <si>
    <t># step=0 row=0 minW=316 found cw of W=98: [3 7 9 11 12 18 20 23 29 32 38 45 49 55 59 63 64 68 75 76 78 80 81 91 92 93 98 99 100 104 108 109 112 116 117 118 119 122 128 130 132 134 145 146 147 148 153 158 160 163 169 172 174 180 181 183 185 187 193 196 197 200 208 214 219 223 224 227 228 230 235 237 242 248 250 251 252 253 255 258 259 263 268 269 273 277 278 279 291 292 298 303 305 308 309 310 313 314]\n# step=0 row=1 minW=98 found cw of W=88: [2 4 5 9 15 18 21 23 34 38 43 46 47 49 52 53 54 61 62 63 64 68 69 80 81 86 92 93 99 100 104 105 110 112 120 126 128 132 133 135 139 145 146 147 153 154 158 163 169 180 191 197 200 201 204 210 212 214 217 219 228 237 238 240 248 250 251 252 253 256 257 258 262 264 268 271 272 273 278 279 285 290 291 303 305 306 310 314]\n# step=0 row=4 minW=88 found cw of W=72: [4 7 11 13 18 25 30 32 34 43 45 48 49 59 63 68 80 81 91 93 97 99 100 105 108 112 116 130 139 147 148 154 157 158 163 164 167 174 176 180 185 193 196 200 202 203 213 214 223 228 240 242 252 255 258 262 263 268 272 273 278 279 281 285 291 298 303 305 308 309 310 315]\n# step=0 row=24 minW=72 found cw of W=70: [1 18 20 21 27 29 30 45 46 48 49 55 62 63 64 66 68 69 70 76 80 81 91 93 98 99 104 105 108 122 126 133 134 135 154 157 167 169 173 174 175 176 180 181 196 203 208 210 211 213 227 228 230 237 238 255 256 258 262 265 273 276 281 285 290 291 303 309 313 314]\n# step=0 row=32 minW=70 found cw of W=62: [4 7 15 21 27 29 32 43 46 47 48 49 52 54 61 62 71 78 80 88 91 98 105 112 120 126 130 132 134 154 157 160 172 174 176 180 183 201 203 204 208 214 235 242 253 256 257 258 264 265 271 272 277 279 285 290 298 301 306 309 313 315]\n# step=1 row=50 minW=62 found cw of W=56: [4 7 12 13 14 20 21 26 36 47 48 53 57 68 79 84 96 103 107 109 110 112 113 117 118 119 126 130 131 136 141 142 152 158 162 169 184 185 186 209 212 215 218 230 235 241 247 258 274 278 290 291 294 306 313 314]\n# step=43 row=7 minW=56 found cw of W=54: [8 10 20 22 25 27 29 30 49 64 67 75 80 88 89 91 100 106 112 113 115 122 127 129 132 135 137 156 157 165 169 172 180 204 206 211 217 227 230 234 235 239 242 259 261 262 270 290 298 299 301 309 310 311]\n# step=762 row=111 minW=54 found cw of W=50: [16 17 30 35 38 41 44 49 54 60 62 64 81 82 84 98 100 116 122 126 140 146 154 155 165 167 189 195 206 207 209 210 221 226 231 240 248 254 260 264 274 291 292 300 308 310 311 312 314 315]\n# round=1000 of 10000 minW=50\n# round=2000 of 10000 minW=50\n# round=3000 of 10000 minW=50\n# round=4000 of 10000 minW=50\n# step=4269 row=97 minW=50 found cw of W=48: [4 7 29 34 35 37 42 56 57 67 70 77 79 89 90 100 109 111 135 140 142 146 150 157 161 162 173 178 181 184 194 195 216 217 239 240 244 251 252 255 262 277 278 280 283 286 287 310]\n# round=5000 of 10000 minW=48\n# round=6000 of 10000 minW=48\n# round=7000 of 10000 minW=48\n# round=8000 of 10000 minW=48\n# round=9000 of 10000 minW=48\n# round=10000 of 10000 minW=48\nRW algorithm upper bound for the distance d=48\n</t>
  </si>
  <si>
    <t># step=0 row=0 minW=319 found cw of W=82: [1 4 6 7 10 11 13 14 22 26 28 29 31 34 35 38 47 53 55 57 58 59 64 70 71 74 92 94 101 104 105 113 115 116 118 119 120 128 131 134 135 137 140 144 148 151 163 164 165 174 176 177 180 191 192 197 207 209 210 211 213 216 218 221 223 224 237 238 247 254 257 259 265 267 276 280 297 298 303 304 306 315]\n# step=0 row=1 minW=82 found cw of W=78: [2 8 11 13 17 20 22 28 31 32 38 39 44 47 51 55 58 62 74 81 88 90 91 92 98 100 104 105 114 119 120 125 126 128 134 135 137 138 148 150 151 164 165 167 168 174 180 182 187 194 196 199 202 210 211 214 223 226 229 231 241 250 251 254 257 259 263 267 271 273 280 288 303 304 305 308 310 312]\n# step=0 row=2 minW=78 found cw of W=68: [3 4 7 8 11 13 16 21 29 31 34 35 53 55 59 64 65 70 71 88 90 92 94 95 105 109 113 114 115 118 119 130 131 135 137 140 142 148 176 177 182 187 194 196 201 204 211 216 221 223 224 228 233 236 237 247 248 254 265 267 271 276 277 288 293 304 306 310]\n# step=0 row=8 minW=68 found cw of W=64: [4 6 7 8 19 20 25 28 32 44 55 59 62 81 92 95 98 100 104 105 109 113 114 120 125 126 130 131 138 142 144 150 165 168 174 176 182 197 199 201 202 204 209 210 211 215 216 218 226 236 240 248 250 267 280 282 288 293 303 304 305 308 312 315]\n# step=0 row=26 minW=64 found cw of W=60: [4 6 8 13 16 17 25 28 29 31 32 38 39 51 55 59 65 69 81 88 90 92 98 108 114 119 125 135 137 138 139 153 167 175 176 187 194 196 199 214 216 218 228 229 231 237 240 245 250 251 259 263 267 271 273 277 282 304 305 310]\n# step=0 row=52 minW=60 found cw of W=56: [4 7 8 10 13 14 16 20 25 26 28 35 55 57 59 61 62 71 83 92 98 113 114 116 118 119 120 125 126 130 131 132 134 135 153 163 168 176 177 187 189 216 224 228 231 236 241 247 259 267 271 273 282 293 304 310]\n# step=1 row=1 minW=56 found cw of W=54: [7 11 17 19 21 24 25 38 41 45 47 50 57 60 61 62 68 71 83 89 99 111 113 116 117 123 125 127 144 145 147 149 162 163 167 196 205 217 222 236 237 251 255 257 259 262 268 272 274 280 283 295 301 302]\n# step=1 row=12 minW=54 found cw of W=52: [2 4 5 16 21 29 33 39 57 72 73 74 76 81 88 93 97 103 108 110 129 135 139 144 153 161 163 171 182 194 196 197 199 203 207 217 228 233 235 250 251 259 267 277 284 285 286 293 302 303 313 315]\n# step=6 row=105 minW=52 found cw of W=50: [10 16 17 20 33 36 38 53 60 69 75 76 79 87 102 103 107 110 122 123 139 141 142 144 157 158 159 166 175 181 185 198 203 204 208 211 213 216 222 232 247 263 264 288 299 304 309 310 315 317]\n# step=22 row=1 minW=50 found cw of W=48: [1 3 4 15 33 43 44 47 54 59 67 75 81 96 99 100 102 104 105 107 109 110 118 121 137 158 160 165 173 180 189 206 208 210 211 224 243 245 255 256 259 264 286 287 293 295 308 311]\n# step=33 row=7 minW=48 found cw of W=44: [9 18 21 36 41 44 46 55 57 60 66 68 77 92 112 127 140 142 145 150 152 155 161 163 167 169 174 195 207 218 221 230 246 251 253 261 272 273 275 278 289 301 304 313]\n# step=649 row=125 minW=44 found cw of W=42: [2 22 34 37 38 39 44 61 62 70 81 90 95 99 111 131 132 140 143 144 150 167 168 171 176 180 187 195 201 203 214 217 234 237 238 251 277 286 301 302 309 311]\n# round=1000 of 10000 minW=42\n# round=2000 of 10000 minW=42\n# round=3000 of 10000 minW=42\n# step=3987 row=75 minW=42 found cw of W=40: [16 29 30 34 42 45 60 67 72 74 81 99 101 108 122 136 138 155 159 173 176 178 183 184 205 214 241 244 246 254 257 261 265 272 282 286 289 290 293 313]\n# round=4000 of 10000 minW=40\n# round=5000 of 10000 minW=40\n# round=6000 of 10000 minW=40\n# round=7000 of 10000 minW=40\n# round=8000 of 10000 minW=40\n# step=8215 row=113 minW=40 found cw of W=38: [9 14 20 21 22 30 40 45 47 61 67 76 84 101 112 127 136 140 146 153 167 182 186 190 203 206 207 218 221 226 232 234 246 257 279 292 309 312]\n# round=9000 of 10000 minW=38\n# round=10000 of 10000 minW=38\nRW algorithm upper bound for the distance d=38\n</t>
  </si>
  <si>
    <t># step=0 row=0 minW=322 found cw of W=94: [1 2 5 6 7 10 16 23 24 28 30 31 33 35 37 42 43 44 50 52 53 63 67 71 80 82 85 86 94 97 100 102 113 117 123 125 129 130 134 135 138 142 144 145 149 153 154 159 160 161 169 175 179 187 188 190 191 192 193 195 207 209 210 215 216 219 221 232 236 238 241 244 247 252 257 258 260 261 264 268 276 277 281 282 285 286 295 296 297 298 302 308 311 317]\n# step=0 row=1 minW=94 found cw of W=76: [5 8 13 24 28 30 31 35 37 39 44 50 53 57 68 69 72 80 82 86 89 93 96 98 99 100 103 120 123 125 128 135 142 144 151 154 161 169 174 175 179 187 188 190 193 195 196 204 205 207 219 222 230 232 235 238 244 245 253 261 264 267 268 271 276 281 283 295 296 297 302 307 310 311 313 317]\n# step=0 row=6 minW=76 found cw of W=68: [2 3 17 21 24 31 37 43 57 61 63 80 86 97 103 108 110 117 118 124 125 128 129 131 134 142 144 150 151 153 158 160 161 167 172 175 178 187 188 191 193 197 204 215 216 224 225 232 236 241 245 249 258 260 265 267 268 271 274 275 277 279 282 285 295 298 304 317]\n# step=0 row=61 minW=68 found cw of W=66: [3 12 23 24 28 30 33 35 39 44 56 57 58 65 67 68 82 89 90 93 98 99 110 130 134 135 142 151 153 154 157 158 160 163 164 165 175 188 192 196 197 204 205 207 210 226 238 241 244 247 253 260 261 264 265 267 279 281 295 296 299 307 311 313 314 317]\n# step=1 row=51 minW=66 found cw of W=60: [18 28 43 49 50 52 60 66 68 75 77 83 86 87 91 95 98 99 101 103 105 110 125 135 142 143 157 159 161 167 168 169 174 175 177 182 184 190 193 194 199 202 206 208 212 217 249 250 257 263 268 275 276 280 281 284 305 306 312 317]\n# step=5 row=82 minW=60 found cw of W=56: [11 14 34 38 54 58 61 66 74 80 86 94 96 98 104 112 136 141 143 145 157 164 168 170 179 182 185 186 187 198 203 207 209 219 225 228 243 250 264 268 271 272 277 280 286 288 289 292 293 300 305 308 312 314 316 318]\n# step=79 row=1 minW=56 found cw of W=50: [1 4 11 17 19 22 29 31 33 66 69 70 72 79 84 98 100 103 112 118 122 124 126 127 136 140 144 149 156 159 173 176 177 205 215 218 219 229 234 236 245 251 256 263 266 286 293 298 314 317]\n# step=556 row=10 minW=50 found cw of W=48: [22 24 29 30 60 62 65 67 76 85 87 95 96 99 100 119 129 131 134 143 154 164 169 183 187 192 199 202 203 204 206 207 209 226 241 243 244 250 261 271 274 279 281 294 301 306 311 316]\n# round=1000 of 10000 minW=48\n# round=2000 of 10000 minW=48\n# round=3000 of 10000 minW=48\n# round=4000 of 10000 minW=48\n# step=4844 row=108 minW=48 found cw of W=46: [8 12 16 19 22 23 28 34 35 56 57 78 80 85 88 111 114 115 117 123 124 126 130 135 142 148 164 166 204 212 218 221 224 226 231 236 248 255 270 273 292 294 299 302 311 319]\n# round=5000 of 10000 minW=46\n# round=6000 of 10000 minW=46\n# round=7000 of 10000 minW=46\n# round=8000 of 10000 minW=46\n# round=9000 of 10000 minW=46\n# round=10000 of 10000 minW=46\nRW algorithm upper bound for the distance d=46\n</t>
  </si>
  <si>
    <t># step=0 row=0 minW=325 found cw of W=72: [1 8 9 11 20 26 28 33 39 42 48 49 53 60 69 70 71 74 75 78 79 82 88 92 96 97 100 101 108 116 118 119 122 136 141 150 157 158 170 178 179 181 186 188 190 200 201 204 205 216 217 225 226 230 236 242 255 264 266 269 276 278 285 289 290 291 295 296 304 309 316 317]\n# step=0 row=1 minW=72 found cw of W=66: [2 11 21 29 33 39 53 60 67 68 71 72 75 88 89 96 97 100 101 108 113 118 119 124 129 131 133 135 141 146 170 175 177 179 180 181 188 195 197 201 204 205 209 216 218 221 226 232 239 241 243 245 254 255 269 276 278 284 285 289 291 296 303 304 309 316]\n# step=0 row=3 minW=66 found cw of W=60: [4 8 9 28 33 40 50 67 70 72 75 78 83 89 92 100 106 108 112 116 126 128 133 135 136 141 146 152 160 166 170 175 178 180 182 186 188 200 209 214 216 225 234 236 241 243 254 256 260 266 268 274 278 290 291 296 299 305 316 317]\n# step=0 row=6 minW=60 found cw of W=54: [9 10 12 14 20 21 30 33 41 48 52 67 68 69 72 74 82 83 88 89 106 118 122 126 128 129 133 141 158 160 166 175 177 180 181 186 196 214 225 228 234 241 246 257 264 266 274 284 289 290 294 298 299 305]\n# step=0 row=31 minW=54 found cw of W=52: [8 14 20 26 30 40 48 49 50 62 67 69 70 78 83 89 96 100 101 116 133 135 157 158 166 170 175 177 178 181 182 188 190 204 209 230 236 241 242 243 246 256 264 274 289 290 294 296 298 299 305 316]\n# step=0 row=94 minW=52 found cw of W=50: [10 26 30 39 40 50 60 67 74 75 78 79 82 83 89 100 103 135 146 160 170 175 177 182 186 195 197 200 201 211 226 242 243 246 254 255 256 266 268 276 278 285 291 295 298 299 303 308 309 316]\n# step=1 row=22 minW=50 found cw of W=48: [4 5 12 22 26 30 32 46 47 48 54 58 59 62 67 72 82 85 86 92 110 130 136 147 155 162 180 193 206 218 220 221 228 242 244 246 248 255 262 264 274 275 278 283 298 302 308 314]\n# step=1 row=58 minW=48 found cw of W=46: [10 12 21 22 36 44 46 50 54 61 67 74 109 112 118 126 129 130 136 151 175 179 182 195 200 202 206 216 217 220 228 234 244 252 259 260 262 266 270 277 287 303 308 310 314 324]\n# step=2 row=66 minW=46 found cw of W=40: [4 27 36 42 50 57 58 63 69 74 83 84 99 109 117 135 140 150 154 159 161 164 165 166 191 217 220 225 248 252 262 266 267 269 272 279 285 290 300 315]\n# step=65 row=110 minW=40 found cw of W=38: [5 13 33 51 54 57 62 63 75 85 86 95 99 108 112 113 135 136 165 179 193 194 203 205 207 220 229 243 244 249 267 270 278 279 287 291 313 324]\n# step=178 row=9 minW=38 found cw of W=34: [1 9 16 17 31 35 51 55 68 77 102 107 109 110 117 123 139 143 163 176 185 189 206 213 218 231 232 233 267 297 314 318 321 323]\n# round=1000 of 10000 minW=34\n# round=2000 of 10000 minW=34\n# step=2927 row=56 minW=34 found cw of W=32: [7 9 25 33 34 44 47 74 100 103 111 117 121 133 142 152 174 184 201 208 214 219 223 229 249 263 282 290 292 309 319 322]\n# round=3000 of 10000 minW=32\n# round=4000 of 10000 minW=32\n# round=5000 of 10000 minW=32\n# round=6000 of 10000 minW=32\n# round=7000 of 10000 minW=32\n# round=8000 of 10000 minW=32\n# round=9000 of 10000 minW=32\n# round=10000 of 10000 minW=32\nRW algorithm upper bound for the distance d=32\n</t>
  </si>
  <si>
    <t># step=0 row=0 minW=328 found cw of W=80: [1 3 4 8 14 15 16 23 32 34 39 47 50 59 61 64 69 70 75 77 78 81 83 85 86 91 92 95 102 104 108 110 111 112 113 117 119 123 127 132 140 143 145 149 159 162 168 170 173 174 178 186 187 192 195 200 204 207 217 220 228 233 234 236 249 250 254 257 258 265 271 283 288 293 299 303 310 316 320 322]\n# step=0 row=1 minW=80 found cw of W=72: [2 4 8 14 15 18 20 23 27 32 33 34 41 50 65 83 86 88 92 102 104 108 110 116 117 119 123 129 130 133 136 140 141 143 148 155 159 173 190 192 194 195 197 200 207 209 217 219 220 222 225 228 233 236 239 241 242 249 251 257 259 264 282 283 299 303 309 310 316 318 320 322]\n# step=0 row=2 minW=72 found cw of W=64: [5 14 15 16 18 23 27 29 34 39 41 49 50 70 75 76 78 81 83 92 93 104 111 114 116 123 124 125 132 136 141 143 148 149 155 162 170 186 187 192 194 206 220 225 236 247 250 258 259 264 267 268 271 279 288 293 294 295 299 303 310 311 315 322]\n# step=0 row=8 minW=64 found cw of W=54: [3 4 12 14 20 23 27 47 49 50 64 69 86 91 93 96 104 108 111 113 121 123 125 129 136 141 149 155 159 162 173 178 186 194 195 200 205 207 217 220 221 234 241 250 258 264 265 267 271 295 303 311 316 322]\n# step=2 row=99 minW=54 found cw of W=50: [3 10 17 28 31 32 33 47 54 66 67 83 89 96 97 116 117 119 126 141 156 162 176 178 185 197 198 203 205 213 215 217 221 225 226 246 249 251 271 272 284 287 294 301 306 312 315 322 324 326]\n# step=4 row=62 minW=50 found cw of W=48: [8 12 20 22 23 25 31 35 48 56 61 76 85 88 89 95 97 100 106 107 108 121 129 132 138 140 141 144 147 157 165 194 197 206 215 216 217 226 240 243 247 250 256 279 294 307 313 318]\n# step=8 row=65 minW=48 found cw of W=40: [6 17 24 25 26 29 33 37 62 65 66 74 78 96 102 114 115 133 135 138 146 154 168 174 176 187 188 205 223 235 243 251 263 277 280 284 285 292 297 320]\n# step=75 row=42 minW=40 found cw of W=38: [5 11 17 35 38 65 68 70 90 100 105 108 113 114 117 120 126 135 146 166 179 195 199 209 214 216 222 226 244 253 255 256 275 283 286 304 325 326]\n# round=1000 of 10000 minW=38\n# round=2000 of 10000 minW=38\n# round=3000 of 10000 minW=38\n# step=3163 row=0 minW=38 found cw of W=36: [2 12 28 37 45 48 73 80 81 87 100 118 126 127 137 148 154 162 163 189 190 196 216 220 227 230 235 236 255 257 266 271 272 291 318 325]\n# round=4000 of 10000 minW=36\n# round=5000 of 10000 minW=36\n# step=5563 row=134 minW=36 found cw of W=32: [11 37 40 48 62 77 78 97 109 146 147 149 153 156 172 178 180 210 229 256 262 265 266 280 281 287 289 295 296 315 319 327]\n# round=6000 of 10000 minW=32\n# round=7000 of 10000 minW=32\n# round=8000 of 10000 minW=32\n# round=9000 of 10000 minW=32\n# round=10000 of 10000 minW=32\nRW algorithm upper bound for the distance d=32\n</t>
  </si>
  <si>
    <t># step=0 row=0 minW=331 found cw of W=58: [1 7 11 23 27 33 36 37 38 50 51 52 54 55 58 67 79 85 88 92 99 102 111 126 132 133 134 137 138 140 142 162 168 177 185 195 198 202 212 227 231 236 242 244 248 250 252 253 256 257 258 270 271 274 275 295 299 319]\n# step=0 row=6 minW=58 found cw of W=50: [9 11 13 16 42 45 50 58 63 67 69 79 85 100 106 116 126 129 132 142 143 146 148 152 173 195 209 212 217 226 229 231 233 239 242 252 253 256 258 265 270 278 287 289 299 319 320 322 326 327]\n# step=2 row=18 minW=50 found cw of W=48: [11 16 23 33 40 45 46 50 52 55 56 57 66 77 78 94 108 111 119 126 131 139 143 150 155 157 165 185 207 218 221 229 231 241 243 249 266 267 270 272 276 277 286 295 297 298 314 317]\n# step=4 row=55 minW=48 found cw of W=46: [3 17 18 39 44 63 70 81 85 91 92 94 95 101 113 117 128 130 133 145 148 154 159 173 180 184 210 211 213 227 237 240 243 255 258 259 269 294 301 305 311 312 314 315 320 323]\n# step=32 row=43 minW=46 found cw of W=42: [13 14 19 22 28 42 51 72 77 84 85 99 102 107 121 123 129 132 149 175 182 187 194 200 205 209 212 215 219 231 234 248 259 262 271 285 305 310 315 325 327 329]\n# step=39 row=91 minW=42 found cw of W=40: [4 10 19 30 33 43 58 60 67 85 88 92 95 102 105 108 111 137 143 147 168 177 187 202 215 218 221 224 230 239 247 250 257 263 280 297 305 308 315 322]\n# step=329 row=30 minW=40 found cw of W=38: [20 24 34 42 59 68 74 78 86 88 111 128 130 148 151 152 160 167 173 177 178 188 193 221 238 244 254 258 261 270 277 279 283 287 294 303 306 308]\n# round=1000 of 10000 minW=38\n# step=1747 row=25 minW=38 found cw of W=36: [11 17 22 25 32 34 41 51 53 59 61 63 68 102 107 113 121 127 132 134 135 138 142 161 163 171 212 217 223 244 248 254 261 279 283 288]\n# round=2000 of 10000 minW=36\n#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</si>
  <si>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minW=334 found cw of W=60: [2 3 6 9 14 17 19 22 27 34 35 37 50 54 60 63 65 66 71 84 90 96 102 104 106 107 114 120 125 128 131 146 165 171 177 195 197 201 206 207 211 213 224 228 241 242 244 249 256 259 272 285 287 293 308 317 322 326 328 329]\n# step=0 row=9 minW=60 found cw of W=54: [1 6 8 10 18 20 24 27 30 34 44 54 57 63 66 71 87 92 95 98 114 119 129 133 135 138 141 165 170 177 186 204 209 217 219 223 225 228 232 242 244 256 266 279 281 285 293 297 309 314 315 317 328 330]\n# step=0 row=52 minW=54 found cw of W=52: [5 6 8 10 17 18 24 42 43 45 90 92 94 104 105 106 107 116 117 119 128 129 133 135 140 141 154 186 194 201 204 206 211 219 232 244 251 252 264 267 297 305 314 315 316 317 322 326 327 328 329 330]\n# step=0 row=61 minW=52 found cw of W=50: [5 6 9 10 18 22 27 34 37 44 45 48 60 66 71 94 106 107 116 120 129 131 133 138 141 156 171 177 180 197 204 206 211 217 218 228 232 242 252 256 259 266 270 291 293 308 315 316 317 322]\n# step=2 row=35 minW=50 found cw of W=46: [5 14 22 24 29 44 48 52 54 61 68 80 82 85 91 97 101 116 125 135 140 152 159 163 164 165 168 172 179 191 199 202 206 212 219 244 263 266 275 279 304 307 310 317 319 330]\n# step=21 row=110 minW=46 found cw of W=42: [3 16 25 34 43 55 64 77 78 93 106 107 112 118 144 145 166 167 175 193 196 204 209 211 214 223 225 229 238 247 255 265 278 299 300 304 307 320 322 325 328 329]\n# step=207 row=28 minW=42 found cw of W=40: [12 24 39 50 54 60 75 77 81 82 100 109 123 125 128 133 159 162 165 171 174 182 186 192 209 220 236 239 244 246 261 270 272 273 285 293 299 304 320 322]\n# step=343 row=130 minW=40 found cw of W=36: [1 27 29 34 37 56 61 64 67 73 88 104 107 138 140 145 158 160 162 167 175 189 207 218 223 259 269 271 273 283 289 295 300 310 318 326]\n# round=1000 of 10000 minW=36\n# round=2000 of 10000 minW=36\n# round=3000 of 10000 minW=36\n# step=3383 row=64 minW=36 found cw of W=34: [9 17 23 27 34 35 43 61 74 77 88 102 138 146 154 170 172 173 188 192 205 218 231 239 245 256 281 284 296 303 310 316 324 329]\n# round=4000 of 10000 minW=34\n# round=5000 of 10000 minW=34\n# round=6000 of 10000 minW=34\n# round=7000 of 10000 minW=34\n# round=8000 of 10000 minW=34\n# round=9000 of 10000 minW=34\n# round=10000 of 10000 minW=34\nRW algorithm upper bound for the distance d=34\n</t>
  </si>
  <si>
    <t># step=0 row=0 minW=337 found cw of W=88: [1 2 3 5 13 17 29 30 33 39 43 48 49 54 56 57 58 66 69 71 72 73 75 76 79 80 85 88 91 92 95 98 99 101 115 116 117 124 125 141 142 145 149 151 152 155 156 161 166 168 172 178 181 187 188 192 194 196 201 203 204 205 207 210 211 225 226 228 236 241 261 264 268 272 281 282 284 295 296 297 303 306 308 309 312 313 317 325]\n# step=0 row=1 minW=88 found cw of W=82: [1 3 4 13 16 19 26 30 32 35 39 43 49 54 55 57 58 59 62 64 66 75 85 86 89 97 98 100 101 115 117 124 125 131 133 138 139 142 145 147 151 152 155 156 161 166 170 171 174 187 191 194 196 197 201 204 205 212 225 228 229 236 240 245 251 256 257 264 268 279 281 288 290 303 306 308 310 316 317 321 322 325]\n# step=0 row=3 minW=82 found cw of W=70: [1 8 16 23 26 30 32 34 50 54 56 62 72 73 83 86 88 91 92 93 99 100 101 115 116 120 131 138 142 145 152 166 174 178 183 188 191 195 197 203 210 211 212 216 225 227 228 240 243 247 256 257 258 264 274 280 290 295 296 297 300 303 309 310 312 316 317 322 325 328]\n# step=0 row=10 minW=70 found cw of W=66: [10 19 24 30 32 33 35 50 55 58 66 69 71 76 79 85 89 93 97 99 100 116 122 136 139 142 147 156 161 172 178 181 185 187 188 194 197 201 204 207 210 211 212 216 228 243 251 256 257 268 273 274 279 282 284 295 297 299 303 306 316 317 319 321 322 328]\n# step=0 row=73 minW=66 found cw of W=64: [1 16 17 26 27 30 32 33 34 35 48 50 58 59 66 69 73 76 85 88 92 95 97 98 99 100 101 138 139 142 145 147 156 170 171 181 187 196 197 201 205 207 209 211 212 225 240 241 256 258 268 272 274 290 297 299 300 308 312 313 316 317 322 325]\n# step=0 row=74 minW=64 found cw of W=62: [16 19 29 30 49 55 57 58 59 62 64 66 79 85 89 93 95 97 99 131 133 136 141 142 149 150 168 171 172 174 188 194 196 197 201 210 211 213 216 240 245 248 261 262 273 279 280 281 282 284 288 290 300 303 306 308 317 319 321 322 325 328]\n# step=1 row=5 minW=62 found cw of W=52: [6 11 15 44 48 55 62 68 72 73 77 82 90 94 95 103 104 119 123 130 139 143 144 147 160 174 176 180 185 186 189 194 196 206 215 216 230 231 239 242 251 255 256 259 268 279 288 296 298 308 314 319]\n# step=38 row=123 minW=52 found cw of W=48: [9 10 12 19 29 40 41 46 53 58 73 83 84 87 88 89 97 114 116 121 135 165 185 200 205 209 210 212 213 226 228 234 236 243 247 253 264 265 270 282 307 308 311 313 317 322 324 325]\n# step=111 row=110 minW=48 found cw of W=46: [8 25 37 38 67 70 72 75 77 86 91 93 94 115 116 120 137 147 149 150 160 171 176 182 186 187 189 193 198 200 203 205 211 227 228 259 272 283 288 291 296 298 305 312 318 323]\n# step=150 row=112 minW=46 found cw of W=40: [7 11 27 29 34 39 42 52 61 92 97 102 123 126 146 152 161 181 189 196 206 207 209 231 238 251 253 263 264 266 273 276 285 293 301 308 316 318 319 326]\n# round=1000 of 10000 minW=40\n# round=2000 of 10000 minW=40\n# round=3000 of 10000 minW=40\n# round=4000 of 10000 minW=40\n# round=5000 of 10000 minW=40\n# round=6000 of 10000 minW=40\n# round=7000 of 10000 minW=40\n# round=8000 of 10000 minW=40\n# round=9000 of 10000 minW=40\n# round=10000 of 10000 minW=40\nRW algorithm upper bound for the distance d=40\n</t>
  </si>
  <si>
    <t># step=0 row=0 minW=340 found cw of W=60: [1 24 40 43 46 50 56 58 69 70 71 75 83 84 90 97 101 103 106 107 110 111 114 122 143 151 156 159 163 164 166 169 171 175 182 196 207 216 222 224 235 250 256 264 266 277 279 288 296 297 301 310 316 320 323 327 332 333 335 336]\n# step=0 row=8 minW=60 found cw of W=54: [14 30 31 37 38 46 50 56 58 68 70 71 75 84 90 96 104 107 109 111 114 118 127 132 143 150 151 152 159 160 163 169 171 182 196 217 227 231 245 257 265 273 294 295 296 297 301 309 310 316 322 333 335 337]\n# step=0 row=62 minW=54 found cw of W=52: [19 21 27 31 35 37 43 46 50 51 58 96 97 103 107 111 134 143 145 150 151 152 153 156 159 161 163 166 171 182 188 197 216 224 245 253 256 257 258 261 264 265 266 274 277 279 295 301 310 322 323 333]\n# step=1 row=31 minW=52 found cw of W=48: [3 9 21 40 42 45 46 54 57 71 78 85 109 112 122 124 125 127 155 156 158 165 170 177 180 184 188 189 198 224 229 237 238 240 247 266 269 272 278 280 290 293 301 302 304 335 337 338]\n# step=2 row=39 minW=48 found cw of W=46: [21 23 27 29 33 39 51 57 59 75 76 91 93 97 98 101 102 106 107 111 128 136 140 142 146 149 164 172 173 188 204 206 211 219 241 247 262 265 283 286 302 323 327 328 333 337]\n# step=16 row=94 minW=46 found cw of W=42: [10 25 37 41 73 74 89 96 100 108 123 128 136 156 162 184 186 190 200 201 203 206 209 210 241 249 251 263 267 269 275 297 300 303 313 314 315 316 319 323 326 334]\n# step=27 row=8 minW=42 found cw of W=40: [14 16 19 29 31 35 47 53 58 76 78 98 99 100 111 112 123 127 133 142 144 148 152 162 171 191 224 225 236 242 245 246 265 273 275 279 302 324 325 326]\n# step=293 row=65 minW=40 found cw of W=38: [20 23 31 37 38 40 57 61 69 70 76 79 94 107 144 147 150 156 170 178 182 191 209 220 246 249 260 264 266 269 287 291 296 302 304 305 320 322]\n# step=537 row=20 minW=38 found cw of W=36: [16 19 39 44 49 51 53 55 57 64 68 69 73 91 94 95 96 98 242 245 265 270 275 277 279 281 283 290 294 295 299 317 320 321 322 324]\n# round=1000 of 10000 minW=36\n# round=2000 of 10000 minW=36\n# round=3000 of 10000 minW=36\n# round=4000 of 10000 minW=36\n# round=5000 of 10000 minW=36\n# step=5624 row=26 minW=36 found cw of W=32: [7 13 25 30 34 39 49 50 54 67 70 71 75 90 93 99 233 239 251 256 260 265 275 276 280 293 296 297 301 316 319 325]\n# round=6000 of 10000 minW=32\n# round=7000 of 10000 minW=32\n# round=8000 of 10000 minW=32\n# round=9000 of 10000 minW=32\n# round=10000 of 10000 minW=32\nRW algorithm upper bound for the distance d=32\n</t>
  </si>
  <si>
    <t># step=0 row=0 minW=343 found cw of W=76: [1 2 7 11 12 14 21 23 28 32 33 48 49 50 51 53 60 63 67 74 90 98 105 106 110 111 116 121 122 126 130 135 137 143 147 157 158 164 167 170 175 177 178 185 188 196 204 207 223 225 229 236 239 242 244 256 257 260 271 272 276 277 279 284 288 289 292 295 299 310 321 326 333 334 337 338]\n# step=0 row=1 minW=76 found cw of W=66: [2 3 7 9 11 16 21 23 28 32 43 48 50 63 65 67 69 95 103 105 109 110 115 116 117 121 122 123 133 135 137 162 164 169 170 173 174 176 183 185 196 207 209 217 223 224 229 236 239 244 247 256 260 271 283 284 287 288 290 291 293 295 299 310 321 333]\n# step=0 row=6 minW=66 found cw of W=64: [7 9 11 12 14 15 18 21 23 28 33 45 48 50 51 60 63 69 82 95 98 103 109 111 121 123 126 129 130 135 137 143 147 156 158 162 163 164 174 175 177 183 196 207 209 212 217 223 224 225 239 242 244 246 256 257 270 272 273 277 279 289 321 338]\n# step=0 row=9 minW=64 found cw of W=58: [7 11 18 21 24 45 49 51 53 68 69 81 90 97 98 103 105 107 115 121 126 128 135 138 143 162 163 167 169 174 175 176 182 183 195 204 209 211 217 219 221 223 229 239 240 242 246 257 273 276 279 283 288 289 290 323 326 337]\n# step=0 row=34 minW=58 found cw of W=54: [2 7 21 32 43 49 53 56 60 61 69 70 74 88 90 95 98 101 109 110 116 121 122 133 135 147 154 167 169 170 174 176 178 183 184 204 209 212 223 224 236 247 260 261 268 271 277 283 289 290 292 302 316 329]\n# step=0 row=88 minW=54 found cw of W=52: [9 12 16 18 43 50 60 61 82 90 99 101 103 105 110 111 122 123 130 156 157 158 163 164 170 177 178 185 196 204 209 212 213 217 219 225 236 240 246 270 272 277 284 288 289 291 292 299 323 326 329 338]\n# step=1 row=17 minW=52 found cw of W=50: [7 14 16 17 40 41 45 50 52 61 69 77 79 108 115 122 128 145 147 159 163 164 170 183 189 194 197 200 219 222 229 235 236 244 245 259 261 268 269 277 280 284 289 303 305 307 308 311 314 333]\n# step=5 row=88 minW=50 found cw of W=48: [2 3 8 17 26 30 41 56 82 91 94 96 102 107 108 110 117 119 122 124 144 164 170 177 185 196 208 215 216 217 219 221 230 233 238 245 254 269 278 291 299 319 324 329 331 333 336 338]\n# step=9 row=4 minW=48 found cw of W=46: [7 11 12 13 16 29 44 65 70 79 84 95 100 103 106 107 119 132 145 152 158 179 185 212 213 214 233 235 239 240 241 244 246 257 259 266 298 299 307 312 323 326 327 331 334 335]\n# step=46 row=114 minW=46 found cw of W=42: [5 21 23 28 33 58 74 85 91 99 130 135 137 139 140 148 167 174 175 194 195 211 213 218 233 244 253 254 256 261 262 281 286 288 289 302 308 309 313 319 325 332]\n# step=211 row=135 minW=42 found cw of W=40: [1 24 32 36 42 46 48 56 58 60 61 68 74 79 95 106 115 116 138 156 172 175 182 187 188 209 221 222 230 260 264 274 276 284 288 301 307 334 335 336]\n# step=442 row=6 minW=40 found cw of W=32: [5 13 16 18 23 25 47 64 68 82 83 96 119 161 162 178 182 205 217 224 241 244 246 251 253 276 310 311 319 324 331 338]\n# round=1000 of 10000 minW=32\n# round=2000 of 10000 minW=32\n# step=2685 row=21 minW=32 found cw of W=28: [4 9 10 16 32 38 43 51 56 64 70 105 110 111 232 237 238 244 260 266 271 279 284 292 298 333 338 339]\n# round=3000 of 10000 minW=28\n# round=4000 of 10000 minW=28\n# round=5000 of 10000 minW=28\n# round=6000 of 10000 minW=28\n# round=7000 of 10000 minW=28\n# round=8000 of 10000 minW=28\n# round=9000 of 10000 minW=28\n# round=10000 of 10000 minW=28\nRW algorithm upper bound for the distance d=28\n</t>
  </si>
  <si>
    <t># step=0 row=0 minW=346 found cw of W=82: [2 5 6 8 15 17 19 22 23 24 28 49 51 55 58 68 69 71 75 76 78 81 84 86 91 94 96 97 100 102 109 117 120 121 123 132 140 143 153 160 164 173 174 178 183 184 196 201 203 205 206 207 209 212 213 216 217 224 245 249 252 253 254 255 268 275 281 285 289 293 301 305 306 308 314 318 320 322 326 328 330 331]\n# step=0 row=36 minW=82 found cw of W=78: [2 4 6 7 13 17 18 19 22 23 37 44 46 49 63 65 67 68 74 77 91 92 96 101 105 117 119 122 123 131 133 138 143 146 152 156 157 161 164 165 167 170 173 175 178 180 183 189 198 203 206 216 217 236 238 243 246 247 249 252 258 261 271 272 274 280 282 285 288 290 297 307 313 318 322 326 332 335]\n# step=0 row=55 minW=78 found cw of W=74: [2 7 17 19 23 24 31 35 46 47 50 51 58 60 63 69 72 74 75 76 78 84 86 93 96 109 117 121 122 123 143 150 152 153 160 162 164 173 178 179 184 189 191 198 199 201 208 212 217 236 238 247 249 253 254 258 261 267 268 275 276 279 280 281 290 294 302 305 308 313 326 327 332 339]\n# step=3 row=8 minW=74 found cw of W=70: [7 8 14 21 28 30 31 33 34 42 45 46 55 56 62 63 73 74 76 81 91 99 103 116 122 126 128 129 133 152 153 157 175 178 183 186 191 204 206 213 214 223 231 238 241 243 248 251 258 260 261 263 264 267 268 275 276 285 286 290 292 298 301 303 304 311 319 328 333 338]\n# step=9 row=59 minW=70 found cw of W=66: [2 14 15 16 22 26 28 37 45 70 71 75 79 81 82 85 89 91 93 101 103 125 129 131 134 138 152 156 159 160 162 177 179 184 185 186 191 196 200 201 214 232 240 245 249 252 253 256 258 271 274 277 292 294 299 305 306 309 312 316 319 321 323 329 331 333]\n# step=30 row=104 minW=66 found cw of W=62: [5 14 17 21 37 39 54 56 58 74 79 83 84 89 93 97 102 104 108 109 117 118 132 136 152 156 184 188 189 191 192 194 198 199 201 203 206 208 210 212 217 232 233 235 244 269 271 284 286 288 299 303 306 307 316 318 319 321 325 334 338 339]\n# step=442 row=43 minW=62 found cw of W=54: [2 3 4 5 11 13 14 25 29 48 54 55 63 64 81 86 89 94 98 101 119 120 126 128 137 140 146 148 154 163 169 178 182 190 194 201 204 213 216 232 233 244 252 259 261 263 269 285 294 297 305 309 311 324]\n# round=1000 of 10000 minW=54\n# round=2000 of 10000 minW=54\n# round=3000 of 10000 minW=54\n# round=4000 of 10000 minW=54\n# round=5000 of 10000 minW=54\n# round=6000 of 10000 minW=54\n# step=6197 row=80 minW=54 found cw of W=50: [7 20 26 36 42 44 53 63 65 80 81 82 86 91 92 95 100 101 108 133 141 151 153 155 157 168 174 178 185 201 206 207 210 214 215 237 248 250 268 270 274 289 295 300 310 311 312 329 331 338]\n# round=7000 of 10000 minW=50\n# round=8000 of 10000 minW=50\n# round=9000 of 10000 minW=50\n# round=10000 of 10000 minW=50\nRW algorithm upper bound for the distance d=50\n</t>
  </si>
  <si>
    <t># step=0 row=0 minW=349 found cw of W=96: [1 2 5 9 10 12 16 21 29 33 40 46 48 53 54 55 69 70 73 77 78 79 82 87 88 90 91 95 102 103 108 119 122 124 128 130 131 132 139 141 143 145 147 156 164 167 171 173 180 182 189 194 195 202 203 206 211 215 216 218 219 223 224 233 234 235 237 238 240 241 242 246 247 253 255 257 259 263 265 278 283 285 286 289 296 298 301 302 309 314 318 320 323 331 332 339]\n# step=0 row=2 minW=96 found cw of W=90: [4 5 9 13 16 28 33 34 38 46 47 50 53 54 64 66 69 70 71 79 80 82 84 85 86 87 88 90 92 97 98 103 117 120 124 125 130 132 141 143 145 150 154 160 163 166 171 175 178 180 182 185 202 203 204 206 209 210 213 216 219 233 237 240 245 246 257 259 260 261 265 276 278 285 286 287 291 294 302 303 311 312 314 316 317 324 325 326 330 332]\n# step=0 row=15 minW=90 found cw of W=84: [9 19 28 29 30 31 32 34 38 39 40 43 46 48 52 55 57 62 73 77 85 86 87 88 91 92 94 95 98 122 124 125 130 133 139 141 145 146 150 156 160 164 167 168 173 187 189 192 198 200 204 210 211 213 238 240 246 249 251 255 257 260 263 264 270 271 275 276 278 283 287 294 303 308 309 314 316 317 318 319 323 324 329 330]\n# step=0 row=25 minW=84 found cw of W=76: [2 9 10 20 28 32 40 43 53 56 57 62 64 65 66 67 69 77 79 84 86 92 93 98 99 108 117 119 121 122 124 129 136 145 156 160 169 178 180 181 182 185 192 198 213 218 224 233 234 235 237 238 240 241 242 245 260 261 264 275 276 288 289 299 308 309 311 314 316 318 324 325 329 330 331 334]\n# step=0 row=86 minW=76 found cw of W=74: [2 11 13 16 19 20 23 31 34 37 40 43 46 47 48 52 53 64 67 69 78 79 90 91 98 103 108 121 132 136 139 141 150 163 164 167 168 169 180 185 194 200 204 206 209 210 213 219 221 223 224 234 237 243 245 251 257 263 269 272 275 278 283 299 311 316 320 323 325 326 329 330 337 339]\n# step=1 row=89 minW=74 found cw of W=68: [2 8 31 35 40 49 50 51 53 57 66 68 73 74 78 80 85 87 99 106 123 124 134 137 142 150 156 158 166 167 168 169 173 174 175 179 184 196 201 203 207 217 218 219 234 239 250 253 258 263 266 267 274 281 284 290 291 295 298 305 306 310 323 331 333 334 335 338]\n# step=11 row=7 minW=68 found cw of W=66: [7 10 18 20 24 30 40 41 46 47 49 50 54 60 69 72 74 75 90 100 105 126 134 140 145 147 155 162 165 166 167 170 174 176 186 189 195 203 209 214 216 224 239 252 261 262 263 271 272 273 279 283 290 301 302 304 305 306 307 311 319 322 325 330 337 340]\n# step=21 row=0 minW=66 found cw of W=64: [2 7 9 11 12 19 24 40 45 47 54 60 64 75 84 86 91 92 97 105 122 127 129 135 140 158 159 161 169 170 177 182 183 187 191 201 211 212 234 238 239 241 244 245 272 274 275 279 285 292 293 296 298 299 303 316 317 318 323 324 327 328 329 337]\n# step=51 row=84 minW=64 found cw of W=58: [2 11 15 21 32 39 47 50 57 58 59 60 61 62 71 74 75 82 97 106 107 138 139 144 148 153 157 163 165 166 170 172 174 176 190 191 198 213 222 234 243 247 253 254 255 260 269 271 273 281 286 288 289 291 293 294 303 339]\n# step=627 row=65 minW=58 found cw of W=52: [5 21 24 31 33 36 40 45 62 74 84 88 91 94 106 123 125 137 138 140 151 152 156 162 165 168 190 197 198 203 210 213 222 237 239 241 254 263 265 267 277 278 281 284 294 313 314 316 319 320 323 329]\n# round=1000 of 10000 minW=52\n# round=2000 of 10000 minW=52\n# step=2240 row=19 minW=52 found cw of W=50: [9 20 27 30 48 53 55 60 67 72 73 74 81 83 87 102 120 136 146 147 151 153 155 163 164 169 189 196 203 216 219 236 241 259 263 267 269 271 279 287 292 299 304 306 312 313 315 332 334 335]\n#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</si>
  <si>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row=1 minW=352 found cw of W=96: [5 6 10 14 15 18 23 25 28 30 33 34 35 42 46 47 50 51 52 54 57 58 59 61 62 65 72 73 75 80 83 91 95 118 122 124 135 146 149 150 151 152 157 159 160 163 164 167 169 179 182 186 189 193 194 196 197 203 204 207 208 216 219 235 240 241 244 248 249 257 259 262 263 264 266 274 277 285 288 291 292 293 295 303 307 309 310 311 313 317 320 321 324 329 333 336]\n# step=0 row=6 minW=96 found cw of W=92: [1 2 10 13 15 16 18 20 22 23 24 28 30 37 39 42 47 52 53 55 56 57 65 71 72 73 77 83 84 92 93 99 107 123 133 139 140 146 151 152 154 159 160 162 169 172 176 179 182 185 189 193 194 204 210 212 219 224 235 236 240 244 247 249 252 254 258 262 263 264 268 269 273 277 279 281 287 290 291 293 296 302 305 307 310 317 318 321 326 329 333 336]\n# step=0 row=8 minW=92 found cw of W=90: [1 10 16 19 24 26 30 33 35 36 41 46 48 50 51 53 57 58 59 61 65 71 77 85 91 92 94 100 103 107 118 130 133 135 136 137 140 142 147 150 151 157 160 163 165 167 172 179 182 185 190 196 204 207 208 217 224 244 247 252 254 257 258 259 260 268 269 270 274 275 277 285 287 289 291 292 293 295 296 302 305 307 311 313 319 321 324 326 328 337]\n# step=0 row=10 minW=90 found cw of W=86: [14 26 28 29 30 34 39 46 48 51 52 53 54 55 56 65 72 75 77 80 85 87 91 93 95 99 102 103 107 123 124 127 130 140 141 142 146 147 151 152 160 162 163 164 165 169 176 178 179 182 189 197 204 208 210 212 219 224 240 241 244 247 248 257 258 259 260 262 269 273 277 279 281 285 287 288 289 290 293 295 296 309 311 319 333 337]\n# step=0 row=22 minW=86 found cw of W=76: [1 5 14 16 18 22 24 28 36 37 39 41 42 46 47 48 50 53 55 56 61 62 70 79 84 86 91 93 95 100 102 103 118 122 123 133 139 154 157 159 163 165 167 172 176 178 179 185 194 196 204 208 210 217 219 240 248 252 258 262 270 273 274 275 281 287 290 293 302 304 311 318 320 321 329 337]\n# step=0 row=29 minW=76 found cw of W=70: [1 2 20 25 26 30 37 42 46 47 51 53 54 55 61 72 84 87 92 96 102 107 118 130 132 136 137 141 142 154 159 163 176 178 179 185 186 189 193 194 196 205 212 213 224 236 247 249 253 258 260 264 281 285 287 288 289 293 296 302 303 310 311 313 318 321 322 326 329 336]\n# step=1 row=62 minW=70 found cw of W=64: [5 18 22 41 44 48 59 64 69 74 77 81 92 102 106 130 137 146 147 150 158 161 165 167 170 171 177 185 191 195 202 204 208 211 215 216 219 239 247 252 254 256 263 264 267 284 287 288 293 294 298 302 303 311 312 315 319 321 325 326 328 332 333 340]\n# step=11 row=11 minW=64 found cw of W=62: [8 10 21 23 30 43 45 52 60 61 62 64 68 77 81 82 85 87 89 91 97 99 104 125 135 140 147 154 160 161 165 176 177 179 181 190 194 195 199 204 222 244 252 255 271 278 279 282 286 293 295 302 307 312 315 319 323 325 331 333 338 339]\n# step=58 row=70 minW=62 found cw of W=60: [2 6 10 18 31 32 40 44 48 49 53 56 60 62 70 76 81 83 91 92 94 103 123 130 135 136 144 148 155 157 161 170 173 179 183 187 188 198 208 211 220 221 225 236 244 247 253 261 266 272 282 283 294 300 305 310 317 326 338 342]\n# step=99 row=111 minW=60 found cw of W=54: [3 6 14 19 21 25 31 34 38 39 42 48 51 56 63 77 85 90 91 99 101 105 106 120 129 134 136 142 148 159 165 170 173 180 194 207 208 214 218 222 223 240 246 248 251 255 268 272 273 285 287 319 331 333]\n# round=1000 of 10000 minW=54\n# round=2000 of 10000 minW=54\n# step=2164 row=62 minW=54 found cw of W=50: [1 4 6 10 11 20 26 27 38 41 45 48 64 74 81 89 91 97 102 121 128 144 155 158 160 165 181 191 196 204 205 214 219 222 225 235 240 244 254 260 277 279 313 315 321 322 323 325 339 342]\n#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</si>
  <si>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minW=355 found cw of W=110: [2 3 4 5 6 12 21 27 31 37 42 43 48 51 53 55 59 60 62 65 69 77 83 90 93 94 95 98 99 101 103 108 109 120 122 128 132 134 140 143 145 149 153 156 157 158 159 161 165 166 169 177 180 182 191 198 202 203 204 206 208 211 215 217 218 221 222 225 226 227 239 241 242 246 248 250 252 257 258 261 271 273 274 275 276 277 278 283 289 291 296 300 301 305 309 313 316 319 320 321 322 324 330 331 333 334 336 337 340 343]\n# step=0 row=1 minW=110 found cw of W=94: [1 5 7 8 13 15 21 22 28 41 43 48 50 51 53 59 60 63 67 69 73 75 77 78 82 83 93 101 102 104 108 109 125 128 132 133 140 141 155 156 158 159 161 166 168 169 177 180 183 189 190 191 195 198 201 202 209 211 218 220 225 226 227 237 241 244 246 249 250 257 259 264 273 274 276 289 296 298 299 301 303 305 307 308 311 314 316 318 320 327 336 337 340 343]\n# step=0 row=10 minW=94 found cw of W=90: [1 2 3 6 9 11 12 13 15 21 26 28 39 41 42 47 51 53 55 60 77 78 82 83 90 93 98 101 103 105 109 119 120 124 127 129 132 137 140 144 153 155 169 180 182 183 185 189 196 197 201 203 208 209 210 211 221 227 239 248 249 250 251 255 257 258 264 271 273 275 277 278 283 289 291 296 298 300 301 303 307 313 315 318 321 327 328 334 337 341]\n# step=0 row=22 minW=90 found cw of W=82: [1 2 6 8 9 11 12 13 19 22 28 37 39 42 47 48 50 55 59 61 65 69 74 75 77 78 90 95 102 103 105 109 120 127 129 137 138 140 155 157 165 166 168 177 182 190 191 192 196 202 206 208 218 220 222 225 227 237 242 244 248 249 256 264 278 291 297 300 301 305 308 309 311 313 320 324 331 336 339 340 341 343]\n# step=0 row=47 minW=82 found cw of W=70: [5 15 21 22 27 28 37 41 42 43 50 55 60 62 65 67 73 78 82 83 98 99 103 124 128 130 137 138 139 140 145 155 156 162 168 180 182 185 201 202 203 204 209 216 217 241 242 246 248 251 255 256 264 274 277 278 279 280 291 296 300 301 309 314 318 320 321 322 327 339]\n# step=8 row=52 minW=70 found cw of W=66: [1 5 12 14 17 23 28 31 33 34 43 48 59 60 62 65 71 77 78 80 90 95 97 104 108 119 122 126 129 142 146 151 166 167 177 178 182 183 189 195 198 202 207 226 240 241 244 247 248 250 253 259 260 267 270 279 285 298 300 314 320 325 326 331 333 340]\n# step=119 row=55 minW=66 found cw of W=62: [20 28 41 45 51 52 54 57 58 60 62 70 75 80 87 94 97 98 99 104 108 137 138 143 146 150 152 159 160 163 169 175 176 180 184 188 193 197 198 199 202 212 216 222 223 226 255 261 268 270 278 288 290 296 302 315 317 320 323 333 335 341]\n# step=125 row=114 minW=62 found cw of W=58: [5 14 15 16 18 21 24 33 40 44 52 57 79 82 88 100 123 132 133 136 140 146 147 149 150 155 158 170 182 187 196 211 216 220 224 252 257 258 260 264 265 267 268 269 273 280 293 300 305 314 315 318 324 329 334 336 338 342]\n# step=485 row=48 minW=58 found cw of W=50: [6 10 28 34 41 43 47 54 67 75 76 78 79 84 91 97 122 124 127 128 130 136 142 152 159 161 165 169 172 177 186 194 196 202 221 240 245 248 254 260 264 287 295 303 304 311 315 327 333 339]\n# round=1000 of 10000 minW=50\n# round=2000 of 10000 minW=50\n# round=3000 of 10000 minW=50\n# round=4000 of 10000 minW=50\n# round=5000 of 10000 minW=50\n# round=6000 of 10000 minW=50\n# round=7000 of 10000 minW=50\n# round=8000 of 10000 minW=50\n# round=9000 of 10000 minW=50\n# round=10000 of 10000 minW=50\nRW algorithm upper bound for the distance d=50\n</t>
  </si>
  <si>
    <t># step=0 row=0 minW=358 found cw of W=68: [1 2 12 36 38 42 45 48 54 55 58 62 66 69 71 73 76 78 79 84 88 89 100 101 118 120 121 131 140 142 146 154 155 157 161 166 174 177 181 185 187 190 197 203 207 208 218 219 220 227 233 259 261 265 273 283 285 286 292 306 307 311 314 317 337 346 352 356]\n# step=0 row=6 minW=68 found cw of W=62: [10 14 27 36 37 38 45 47 51 54 55 67 73 76 78 79 89 106 108 118 121 125 129 131 133 135 140 142 150 156 157 166 170 173 174 183 197 208 216 225 226 233 240 244 250 254 259 261 265 269 274 283 302 305 311 314 317 335 345 346 352 356]\n# step=0 row=16 minW=62 found cw of W=58: [2 3 5 12 16 27 35 37 43 45 48 51 55 58 62 71 79 90 108 121 124 125 131 135 142 146 150 155 156 161 164 168 170 174 181 187 190 198 204 226 227 235 241 244 261 269 273 274 280 281 286 287 296 306 323 328 345 354]\n# step=0 row=33 minW=58 found cw of W=54: [12 16 25 27 36 37 38 45 47 54 64 66 78 82 90 106 125 131 135 140 142 143 144 146 156 157 168 177 183 185 197 198 212 227 233 235 244 259 261 262 274 283 285 287 292 296 317 320 328 331 344 346 352 354]\n# step=0 row=120 minW=54 found cw of W=52: [2 10 16 25 27 30 33 36 58 69 71 76 84 89 101 121 129 131 135 140 142 144 150 156 161 166 183 188 190 203 204 208 216 218 220 250 259 261 265 268 269 271 274 275 280 285 296 302 314 323 335 337]\n# step=1 row=21 minW=52 found cw of W=48: [3 15 20 22 28 40 50 56 60 73 84 92 98 100 122 134 138 141 147 151 159 163 168 170 174 175 177 179 192 214 217 219 227 233 257 258 270 282 287 288 289 293 296 322 330 333 346 352]\n# step=4 row=124 minW=48 found cw of W=46: [3 5 20 22 32 33 59 64 74 77 81 99 104 110 119 122 124 139 144 151 158 168 175 183 190 193 196 200 219 221 223 229 232 238 260 263 271 277 287 294 297 309 337 338 340 351]\n# step=33 row=153 minW=46 found cw of W=34: [124 128 147 153 158 160 186 196 197 200 217 223 227 229 232 234 236 243 247 266 272 277 279 305 315 316 319 336 342 346 348 351 353 355]\n# round=1000 of 10000 minW=34\n#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</si>
  <si>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minW=361 found cw of W=76: [1 4 5 12 15 20 27 39 42 43 48 49 53 65 71 73 74 77 83 95 105 112 115 118 121 131 133 137 147 148 157 159 161 162 168 169 172 173 179 185 193 198 200 210 225 229 232 234 235 239 244 245 251 252 253 255 257 260 268 277 281 283 292 299 311 314 317 318 320 323 330 335 349 354 358 359]\n# step=0 row=1 minW=76 found cw of W=72: [2 8 17 20 24 27 35 39 43 46 49 50 51 52 53 54 62 65 71 73 74 77 78 90 112 116 118 120 128 132 144 147 159 161 169 173 175 183 185 186 192 193 198 202 229 232 236 238 242 252 257 260 275 281 283 286 290 291 292 294 295 302 303 306 311 312 314 317 322 330 349 360]\n# step=0 row=7 minW=72 found cw of W=68: [4 5 13 15 17 18 39 40 42 43 48 52 53 54 78 81 95 98 105 115 118 120 121 122 132 135 137 148 157 159 162 168 173 176 183 192 194 200 201 202 225 229 235 240 241 242 244 245 252 253 258 268 277 280 283 292 294 296 303 312 314 318 320 322 335 338 349 358]\n# step=0 row=10 minW=68 found cw of W=64: [8 12 13 22 27 35 46 50 52 55 61 62 65 71 73 74 77 80 83 95 103 105 116 118 121 128 131 132 133 135 137 142 147 155 161 172 176 181 185 186 193 194 198 200 223 225 236 238 241 251 255 257 281 286 290 295 296 302 306 311 317 318 323 335]\n# step=0 row=22 minW=64 found cw of W=60: [8 12 13 15 17 35 41 49 50 51 73 77 78 89 90 103 116 118 121 128 130 132 133 135 137 148 161 169 172 175 176 183 186 192 193 198 200 223 229 234 236 238 241 250 268 275 290 291 292 295 296 303 306 312 317 320 329 330 349 354]\n# step=0 row=42 minW=60 found cw of W=58: [4 5 8 12 13 17 20 27 39 40 42 46 49 74 78 81 93 98 112 115 116 118 122 128 130 132 135 137 147 155 162 169 176 183 198 201 232 234 235 236 242 244 245 250 253 255 260 275 279 280 286 296 303 314 333 338 354 358]\n# step=0 row=111 minW=58 found cw of W=54: [4 8 12 25 35 39 40 46 48 53 61 71 73 77 78 81 90 98 105 112 128 130 133 135 139 145 148 168 173 181 192 193 201 202 225 232 244 250 252 253 255 259 268 275 279 280 286 311 312 317 318 322 330 338]\n# step=1 row=65 minW=54 found cw of W=50: [3 8 10 19 21 34 42 64 82 86 91 92 103 105 109 112 130 139 151 157 165 166 171 196 199 201 202 211 223 229 231 232 243 248 261 271 274 277 282 285 286 291 304 316 319 321 326 332 345 351]\n# step=3 row=125 minW=50 found cw of W=46: [1 4 7 17 32 39 56 57 58 71 73 77 80 93 95 117 121 127 146 153 176 177 180 193 200 215 227 228 229 230 244 257 266 272 273 279 298 300 311 317 333 347 348 349 350 357]\n# step=40 row=36 minW=46 found cw of W=40: [5 8 26 47 65 69 72 91 95 100 105 108 122 123 125 128 133 146 165 167 168 184 192 193 211 215 219 220 242 243 253 285 288 304 305 309 313 339 345 348]\n# step=806 row=26 minW=40 found cw of W=38: [13 16 23 26 28 43 48 55 60 67 83 97 101 117 133 143 146 154 175 180 194 214 225 232 256 268 274 283 288 307 314 323 334 337 341 345 352 357]\n# round=1000 of 10000 minW=38\n# round=2000 of 10000 minW=38\n# step=2716 row=48 minW=38 found cw of W=36: [20 24 33 36 41 44 48 62 87 92 93 98 99 102 103 104 144 153 154 164 168 182 220 223 260 274 276 281 327 332 333 338 339 340 342 344]\n# round=3000 of 10000 minW=36\n# round=4000 of 10000 minW=36\n# round=5000 of 10000 minW=36\n# round=6000 of 10000 minW=36\n# round=7000 of 10000 minW=36\n# round=8000 of 10000 minW=36\n# round=9000 of 10000 minW=36\n# round=10000 of 10000 minW=36\nRW algorithm upper bound for the distance d=36\n</t>
  </si>
  <si>
    <t># step=0 row=0 minW=364 found cw of W=74: [1 2 5 15 19 20 23 32 40 48 55 59 60 64 66 67 70 71 73 83 87 94 104 116 122 123 126 135 141 143 144 153 156 165 176 181 185 186 188 194 195 200 202 203 204 214 215 225 226 233 237 239 256 257 261 264 277 282 286 290 301 307 308 312 313 316 321 323 324 329 335 347 354 360]\n# step=0 row=1 minW=74 found cw of W=72: [2 5 7 15 19 22 23 30 40 45 46 49 51 52 55 60 66 70 71 89 104 106 116 118 123 126 135 151 156 161 165 166 167 170 176 178 180 181 190 196 202 203 206 210 220 225 226 227 249 256 257 261 264 265 277 286 293 294 299 301 308 311 312 313 317 323 324 327 341 347 358 360]\n# step=0 row=8 minW=72 found cw of W=68: [2 4 5 12 15 17 19 20 22 48 51 59 64 66 67 73 80 83 87 89 93 94 123 125 126 140 141 144 157 158 161 183 185 187 188 191 195 196 203 204 206 209 210 214 215 233 254 257 259 264 265 278 279 282 290 293 301 304 312 315 316 317 322 324 327 329 330 354]\n# step=0 row=12 minW=68 found cw of W=66: [4 5 15 18 19 20 23 27 32 40 45 46 49 51 52 60 64 76 83 87 88 93 94 116 125 135 141 143 148 153 158 161 166 167 170 173 175 181 185 187 191 194 195 204 215 233 247 256 257 260 261 264 265 279 293 296 308 312 315 316 318 329 330 335 354 358]\n# step=0 row=49 minW=66 found cw of W=58: [6 12 15 49 51 55 59 60 64 67 70 73 76 87 89 93 94 103 106 118 140 144 151 170 176 180 181 185 186 188 190 194 203 206 209 210 214 215 220 227 248 254 257 261 265 272 293 307 311 312 318 324 327 329 330 341 345 360]\n# step=1 row=139 minW=58 found cw of W=56: [3 7 9 24 29 33 40 52 64 67 70 74 80 82 88 90 96 99 101 114 124 129 130 133 139 145 146 154 156 160 169 173 185 188 192 203 249 250 254 260 267 271 277 281 282 290 312 313 316 322 330 332 338 341 343 356]\n# step=3 row=116 minW=56 found cw of W=54: [4 8 12 13 19 33 34 56 62 66 75 90 98 99 104 106 119 120 125 127 129 134 135 136 140 148 155 163 170 174 177 183 196 211 219 220 225 227 228 230 248 254 256 257 269 275 284 291 295 308 349 351 361 362]\n# step=4 row=153 minW=54 found cw of W=50: [2 3 10 36 39 44 46 48 59 93 99 100 105 114 115 117 123 124 128 132 157 160 165 172 177 180 182 200 203 215 220 221 224 226 249 252 253 288 290 293 298 303 321 324 335 336 345 356 357 359]\n# step=33 row=139 minW=50 found cw of W=46: [4 24 36 49 56 59 61 82 83 100 107 111 112 113 151 155 157 165 170 175 177 180 182 198 202 205 219 221 227 228 232 234 246 266 272 276 286 296 319 323 324 325 326 340 348 354]\n# step=237 row=65 minW=46 found cw of W=44: [2 24 29 37 48 56 65 68 72 74 78 106 109 115 153 158 167 169 177 193 207 213 222 227 228 230 232 234 244 266 271 274 288 307 310 316 320 328 334 343 349 353 355 357]\n# round=1000 of 10000 minW=44\n# round=2000 of 10000 minW=44\n# step=2040 row=20 minW=44 found cw of W=40: [1 6 31 32 38 42 51 65 66 68 77 83 86 95 107 120 123 127 152 153 161 163 172 173 186 189 199 228 243 244 280 282 294 308 319 320 325 328 337 362]\n# round=3000 of 10000 minW=40\n# round=4000 of 10000 minW=40\n# step=4141 row=141 minW=40 found cw of W=38: [19 21 36 47 52 57 61 89 94 99 113 115 124 140 142 167 172 177 181 182 206 210 214 220 245 278 288 289 293 294 298 299 302 327 335 336 355 357]\n# round=5000 of 10000 minW=38\n# round=6000 of 10000 minW=38\n# round=7000 of 10000 minW=38\n# round=8000 of 10000 minW=38\n# round=9000 of 10000 minW=38\n# round=10000 of 10000 minW=38\nRW algorithm upper bound for the distance d=38\n</t>
  </si>
  <si>
    <t># step=0 row=0 minW=367 found cw of W=86: [2 4 13 14 15 18 26 31 32 39 40 44 55 59 61 63 65 69 71 72 73 88 89 92 106 114 126 131 135 136 137 144 150 153 161 164 165 168 179 183 185 189 190 193 194 195 199 207 210 211 214 217 229 231 232 233 236 239 246 253 262 266 270 272 276 284 286 287 288 290 299 301 303 309 311 312 313 321 329 339 350 351 353 354 355 361]\n# step=0 row=1 minW=86 found cw of W=78: [5 6 11 14 15 17 18 32 39 45 55 59 63 66 71 72 73 85 88 92 106 107 126 127 133 136 137 139 150 153 154 161 166 167 168 178 179 181 188 190 193 194 199 206 207 214 217 220 224 229 231 233 235 239 248 250 262 272 275 288 290 299 300 301 307 312 317 321 328 332 339 342 346 350 353 355 357 361]\n# step=0 row=2 minW=78 found cw of W=66: [9 10 20 26 40 57 59 61 65 66 69 72 73 85 89 106 114 118 126 131 164 168 178 181 183 185 188 189 190 194 197 199 207 208 211 224 229 232 235 236 239 240 248 254 264 270 284 286 290 300 301 307 309 311 312 313 317 319 321 330 346 350 351 354 357 361]\n# step=0 row=17 minW=66 found cw of W=52: [7 26 32 40 45 53 57 59 61 63 71 72 73 88 89 92 110 114 118 119 129 144 153 167 175 179 183 190 193 194 195 210 211 214 217 231 232 235 236 240 266 270 275 276 284 303 307 312 339 353 357 363]\n# step=28 row=20 minW=52 found cw of W=50: [1 14 21 25 34 42 45 56 57 62 63 99 107 110 123 130 136 147 164 167 168 176 179 184 185 190 196 215 220 221 226 231 239 242 252 265 278 290 298 300 312 318 337 342 348 351 353 354 361 364]\n# step=50 row=75 minW=50 found cw of W=48: [8 23 25 28 34 54 55 59 61 65 67 70 73 78 86 96 102 106 110 111 130 138 145 177 183 187 192 197 200 225 228 237 260 269 272 278 298 303 311 317 319 330 340 346 347 354 355 359]\n# step=77 row=57 minW=48 found cw of W=46: [3 13 22 31 52 57 64 76 79 81 84 93 103 116 119 120 136 144 148 150 153 170 171 179 198 201 206 212 215 226 247 257 258 270 272 292 293 296 308 325 334 347 348 360 363 364]\n# step=79 row=68 minW=46 found cw of W=44: [8 12 20 37 44 54 57 60 66 89 93 98 107 113 134 135 138 158 160 161 164 165 179 220 235 236 252 257 260 264 280 281 282 283 286 287 288 298 304 310 333 337 351 358]\n# step=173 row=54 minW=44 found cw of W=42: [2 12 15 25 39 41 53 54 64 74 75 101 118 120 124 134 143 144 157 161 173 175 180 186 195 196 197 212 259 265 266 269 279 285 295 298 302 317 334 345 362 364]\n# step=795 row=104 minW=42 found cw of W=40: [12 21 24 29 34 36 42 50 61 67 68 78 85 92 95 107 154 158 164 170 180 190 200 214 228 229 256 265 268 273 276 278 292 294 302 305 311 329 339 350]\n# round=1000 of 10000 minW=40\n# round=2000 of 10000 minW=40\n# round=3000 of 10000 minW=40\n# round=4000 of 10000 minW=40\n# round=5000 of 10000 minW=40\n# round=6000 of 10000 minW=40\n# step=6623 row=131 minW=40 found cw of W=38: [13 17 23 32 37 46 53 74 77 78 87 106 112 119 135 139 189 195 200 221 229 231 267 276 281 290 297 311 317 318 321 331 343 350 351 353 356 363]\n# round=7000 of 10000 minW=38\n# step=7850 row=4 minW=38 found cw of W=36: [1 2 14 25 36 37 41 48 52 54 58 66 71 79 94 100 113 116 123 124 136 147 158 159 163 170 174 176 180 188 193 201 216 222 235 238]\n# round=8000 of 10000 minW=36\n# round=9000 of 10000 minW=36\n# round=10000 of 10000 minW=36\nRW algorithm upper bound for the distance d=36\n</t>
  </si>
  <si>
    <t># step=0 row=0 minW=370 found cw of W=64: [1 2 15 28 30 34 46 47 51 56 59 65 67 70 71 72 73 76 78 82 91 101 106 112 124 138 145 149 151 153 160 169 177 179 182 184 188 190 194 196 199 206 224 235 237 240 248 268 272 280 283 293 297 300 307 316 318 324 328 329 337 352 360 363]\n# step=0 row=14 minW=64 found cw of W=58: [2 16 26 34 36 47 51 54 73 84 88 92 105 108 112 120 130 137 148 150 160 174 177 182 194 196 200 215 218 221 223 228 231 235 237 238 248 253 260 262 271 272 273 280 282 283 293 305 317 323 330 334 341 344 346 360 361 366]\n# step=0 row=57 minW=58 found cw of W=54: [10 15 34 39 41 53 56 65 69 78 84 86 92 104 106 112 130 131 133 138 139 149 151 164 176 179 184 188 192 194 199 200 207 215 221 227 228 235 253 254 262 272 274 280 285 307 317 322 323 324 332 344 351 352]\n# step=5 row=138 minW=54 found cw of W=52: [3 16 24 32 34 47 63 64 66 68 69 94 96 102 105 114 139 150 154 155 157 166 179 192 194 198 205 210 213 219 225 228 237 241 249 270 273 277 289 293 302 309 310 312 314 317 321 328 333 336 340 364]\n# step=16 row=150 minW=52 found cw of W=50: [3 5 20 28 29 31 33 46 53 60 77 79 85 96 110 117 128 135 149 151 152 153 154 156 160 166 176 183 200 202 209 211 214 215 219 240 249 258 266 272 276 283 289 292 331 332 334 337 338 356]\n# step=46 row=23 minW=50 found cw of W=48: [31 34 37 44 45 49 50 72 75 77 82 84 88 90 103 117 136 142 159 167 168 173 180 187 195 197 200 205 211 213 222 228 259 265 277 280 282 283 295 303 310 320 321 330 345 349 351 363]\n# step=57 row=62 minW=48 found cw of W=42: [14 18 29 45 50 59 66 68 70 74 75 91 94 98 104 107 112 114 134 141 152 158 161 189 198 214 221 235 257 260 281 284 291 296 305 314 316 320 340 350 353 360]\n# step=547 row=5 minW=42 found cw of W=38: [1 8 12 16 21 25 38 50 51 55 56 92 96 103 108 112 131 132 135 139 144 147 158 161 173 179 231 235 247 255 270 271 281 297 301 338 342 349]\n# round=1000 of 10000 minW=38\n# round=2000 of 10000 minW=38\n# round=3000 of 10000 minW=38\n# step=3137 row=94 minW=38 found cw of W=36: [144 146 154 155 159 164 181 184 192 193 204 214 216 217 218 220 224 242 267 269 277 278 282 287 304 307 315 316 327 337 339 340 341 343 347 365]\n# round=4000 of 10000 minW=36\n# round=5000 of 10000 minW=36\n# round=6000 of 10000 minW=36\n# round=7000 of 10000 minW=36\n# round=8000 of 10000 minW=36\n# round=9000 of 10000 minW=36\n# round=10000 of 10000 minW=36\nRW algorithm upper bound for the distance d=36\n</t>
  </si>
  <si>
    <t>regroupPerm: 0</t>
  </si>
  <si>
    <t>outfile: /home/ucapmwe/dist-benchmark/results/codeTables-QECC_sample.txt-QDistRndMW-20260220_072505.516428_85062422.txt</t>
  </si>
  <si>
    <t>Trial:0 w:4; pErr:0.0000, weight 4 CW found:131, wDict:4:9918,5:82</t>
  </si>
  <si>
    <t>Trial:0 w:5; pErr:0.0000, weight 5 CW found:210, wDict:5:9999,7:1</t>
  </si>
  <si>
    <t>Trial:0 w:3; pErr:0.0000, weight 3 CW found:153, wDict:3:9997,4:3</t>
  </si>
  <si>
    <t>Trial:0 w:3; pErr:0.0000, weight 3 CW found:144, wDict:3:9998,4:2</t>
  </si>
  <si>
    <t>Trial:0 w:5; pErr:0.0000, weight 5 CW found:718, wDict:5:9833,6:167</t>
  </si>
  <si>
    <t>Trial:0 w:5; pErr:0.0000, weight 5 CW found:680, wDict:5:9859,6:141</t>
  </si>
  <si>
    <t>Trial:0 w:6; pErr:0.0000, weight 6 CW found:348, wDict:6:9949,7:51</t>
  </si>
  <si>
    <t>Trial:0 w:5; pErr:0.0000, weight 5 CW found:335, wDict:5:9977,6:23</t>
  </si>
  <si>
    <t>Trial:0 w:5; pErr:0.0000, weight 5 CW found:552, wDict:5:9965,6:35</t>
  </si>
  <si>
    <t>Trial:0 w:5; pErr:0.0000, weight 5 CW found:621, wDict:5:9952,6:48</t>
  </si>
  <si>
    <t>Trial:0 w:6; pErr:0.0000, weight 6 CW found:1218, wDict:6:9622,7:374,8:4</t>
  </si>
  <si>
    <t>Trial:0 w:6; pErr:0.0000, weight 6 CW found:1265, wDict:6:9575,7:424,8:1</t>
  </si>
  <si>
    <t>Trial:0 w:5; pErr:0.0000, weight 5 CW found:2049, wDict:5:9547,6:452,7:1</t>
  </si>
  <si>
    <t>Trial:0 w:7; pErr:0.0000, weight 7 CW found:2058, wDict:7:8340,8:1627,9:33</t>
  </si>
  <si>
    <t>Trial:0 w:6; Trial:8 w:5; pErr:0.0000, weight 5 CW found:2091, wDict:5:4145,6:5801,7:54</t>
  </si>
  <si>
    <t>Trial:0 w:5; pErr:0.0000, weight 5 CW found:2125, wDict:5:4106,6:5839,7:55</t>
  </si>
  <si>
    <t>Trial:0 w:6; pErr:0.0004, weight 6 CW found:3275, wDict:6:6555,7:3419,8:26</t>
  </si>
  <si>
    <t>Trial:0 w:6; pErr:0.0005, weight 6 CW found:3348, wDict:6:6579,7:3386,8:35</t>
  </si>
  <si>
    <t>Trial:0 w:6; pErr:0.0005, weight 6 CW found:3304, wDict:6:6627,7:3342,8:31</t>
  </si>
  <si>
    <t>Trial:0 w:7; pErr:0.0143, weight 7 CW found:4753, wDict:7:6417,8:3294,9:285,10:4</t>
  </si>
  <si>
    <t>Trial:0 w:6; pErr:0.0069, weight 6 CW found:4275, wDict:6:4982,7:4637,8:372,9:9</t>
  </si>
  <si>
    <t>Trial:0 w:6; pErr:0.0069, weight 6 CW found:4272, wDict:6:5021,7:4589,8:386,9:4</t>
  </si>
  <si>
    <t>Trial:0 w:8; pErr:0.0327, weight 8 CW found:5937, wDict:8:7386,9:2329,10:281,11:4</t>
  </si>
  <si>
    <t>Trial:0 w:9; Trial:2 w:8; pErr:0.1013, weight 8 CW found:9545, wDict:8:6325,9:3435,10:236,11:4</t>
  </si>
  <si>
    <t>Trial:0 w:6; Trial:1 w:5; pErr:0.0294, weight 5 CW found:7887, wDict:5:5773,6:4192,7:35</t>
  </si>
  <si>
    <t>Trial:0 w:10; Trial:3 w:9; pErr:0.1623, weight 9 CW found:9762, wDict:9:3495,10:4586,11:1746,12:172,13:1</t>
  </si>
  <si>
    <t>Trial:0 w:9; pErr:0.1640, weight 9 CW found:9669, wDict:9:3460,10:4595,11:1778,12:164,13:3</t>
  </si>
  <si>
    <t>Trial:0 w:9; pErr:0.1587, weight 9 CW found:9680, wDict:9:3565,10:4536,11:1735,12:159,13:5</t>
  </si>
  <si>
    <t>Trial:0 w:10; Trial:1 w:9; pErr:0.1660, weight 9 CW found:9926, wDict:9:3477,10:4558,11:1785,12:178,13:2</t>
  </si>
  <si>
    <t>Trial:0 w:10; Trial:6 w:9; pErr:0.2077, weight 9 CW found:9716, wDict:9:1531,10:3727,11:2800,12:1659,13:274,14:9</t>
  </si>
  <si>
    <t>Trial:0 w:10; Trial:3 w:9; pErr:0.2032, weight 9 CW found:9792, wDict:9:2833,10:3412,11:2649,12:988,13:115,14:3</t>
  </si>
  <si>
    <t>Trial:0 w:13; Trial:1 w:11; pErr:0.2927, weight 11 CW found:13406, wDict:11:2674,12:2404,13:3932,14:749,15:240,16:1</t>
  </si>
  <si>
    <t>Trial:0 w:12; Trial:3 w:11; Trial:6 w:10; Trial:37 w:9; pErr:0.3025, weight 9 CW found:13393, wDict:9:449,10:1019,11:3194,12:3651,13:1458,14:223,15:6</t>
  </si>
  <si>
    <t>Trial:0 w:9; pErr:0.3029, weight 9 CW found:13742, wDict:9:565,10:1476,11:3782,12:3210,13:896,14:70,15:1</t>
  </si>
  <si>
    <t>Trial:0 w:12; Trial:2 w:11; Trial:11 w:9; pErr:0.3153, weight 9 CW found:13547, wDict:9:370,10:1059,11:2528,12:3447,13:2151,14:427,15:18</t>
  </si>
  <si>
    <t>Trial:0 w:11; Trial:13 w:10; Trial:27 w:9; pErr:0.3162, weight 9 CW found:13601, wDict:9:380,10:1053,11:2513,12:3469,13:2108,14:452,15:24,16:1</t>
  </si>
  <si>
    <t>Trial:0 w:14; Trial:1 w:12; Trial:8 w:10; Trial:17 w:9; pErr:0.3229, weight 9 CW found:13381, wDict:9:165,10:1166,11:2542,12:2782,13:2435,14:833,15:77</t>
  </si>
  <si>
    <t>Trial:0 w:12; Trial:1 w:11; Trial:5 w:10; Trial:7 w:9; pErr:0.3230, weight 9 CW found:13483, wDict:9:282,10:1707,11:3047,12:2777,13:1786,14:386,15:15</t>
  </si>
  <si>
    <t>Trial:0 w:11; Trial:13 w:10; pErr:0.3377, weight 10 CW found:13728, wDict:10:151,11:921,12:2471,13:2166,14:2413,15:1586,16:290,17:2</t>
  </si>
  <si>
    <t>Trial:0 w:9; Trial:17 w:8; Trial:333 w:7; pErr:0.3380, weight 7 CW found:15333, wDict:7:53,8:695,9:3051,10:4301,11:1727,12:169,13:4</t>
  </si>
  <si>
    <t>Trial:0 w:13; Trial:1 w:11; Trial:4 w:10; Trial:35 w:9; Trial:984 w:8; pErr:0.3492, weight 8 CW found:13546, wDict:8:29,9:460,10:1937,11:3210,12:3118,13:1140,14:104,15:2</t>
  </si>
  <si>
    <t>Trial:0 w:13; Trial:1 w:11; Trial:7 w:10; Trial:93 w:9; pErr:0.3516, weight 9 CW found:14783, wDict:9:146,10:1092,11:2182,12:3312,13:2542,14:675,15:51</t>
  </si>
  <si>
    <t>Trial:0 w:14; Trial:1 w:12; Trial:8 w:11; pErr:0.3571, weight 11 CW found:14664, wDict:11:1848,12:2015,13:2666,14:2552,15:841,16:78</t>
  </si>
  <si>
    <t>Trial:0 w:15; Trial:1 w:13; Trial:12 w:11; pErr:0.3624, weight 11 CW found:15076, wDict:11:91,12:363,13:1027,14:2280,15:3154,16:2327,17:711,18:47</t>
  </si>
  <si>
    <t>Trial:0 w:13; Trial:1 w:10; pErr:0.3621, weight 10 CW found:15629, wDict:10:235,11:856,12:2004,13:3291,14:2669,15:847,16:97,17:1</t>
  </si>
  <si>
    <t>Trial:0 w:15; Trial:4 w:14; Trial:7 w:13; Trial:364 w:12; pErr:0.3653, weight 12 CW found:14570, wDict:12:40,13:361,14:978,15:2350,16:2979,17:2434,18:778,19:78,20:1,21:1</t>
  </si>
  <si>
    <t>Trial:0 w:17; Trial:2 w:16; Trial:5 w:15; Trial:30 w:14; Trial:39 w:13; Trial:353 w:12; pErr:0.3656, weight 12 CW found:14397, wDict:12:63,13:161,14:735,15:1739,16:3053,17:2684,18:1326,19:223,20:16</t>
  </si>
  <si>
    <t>Trial:0 w:18; Trial:1 w:16; Trial:3 w:15; Trial:25 w:14; Trial:207 w:13; pErr:0.3666, weight 13 CW found:14462, wDict:13:67,14:293,15:1084,16:2066,17:3248,18:2218,19:913,20:108,21:3</t>
  </si>
  <si>
    <t>Trial:0 w:15; Trial:1 w:13; Trial:13 w:11; Trial:341 w:10; pErr:0.3655, weight 10 CW found:14612, wDict:10:40,11:205,12:634,13:1507,14:2748,15:3011,16:1575,17:269,18:9,19:2</t>
  </si>
  <si>
    <t>Trial:0 w:11; Trial:168 w:10; pErr:0.3662, weight 10 CW found:14870, wDict:10:26,11:124,12:457,13:1131,14:2325,15:3122,16:2214,17:564,18:37</t>
  </si>
  <si>
    <t>Trial:0 w:16; Trial:2 w:15; Trial:24 w:14; Trial:28 w:12; Trial:1528 w:11; pErr:0.3672, weight 11 CW found:12774, wDict:11:20,12:114,13:392,14:1108,15:2202,16:3136,17:2228,18:723,19:76,20:1</t>
  </si>
  <si>
    <t>Trial:0 w:17; Trial:2 w:14; Trial:3 w:12; Trial:171 w:11; pErr:0.3667, weight 11 CW found:14899, wDict:11:32,12:128,13:390,14:1110,15:2193,16:3013,17:2311,18:762,19:59,20:1,21:1</t>
  </si>
  <si>
    <t>Trial:0 w:15; Trial:1 w:13; Trial:17 w:12; Trial:22 w:11; Trial:109 w:10; pErr:0.3668, weight 10 CW found:15317, wDict:10:14,11:183,12:640,13:1624,14:2808,15:3015,16:1446,17:256,18:14</t>
  </si>
  <si>
    <t>Trial:0 w:17; Trial:2 w:14; Trial:207 w:13; pErr:0.3678, weight 13 CW found:14388, wDict:13:20,14:203,15:617,16:1341,17:2452,18:2898,19:1921,20:514,21:34</t>
  </si>
  <si>
    <t>Trial:0 w:15; Trial:6 w:14; Trial:8 w:13; Trial:281 w:12; pErr:0.3676, weight 12 CW found:14700, wDict:12:39,13:337,14:785,15:1847,16:2916,17:2740,18:1141,19:186,20:9</t>
  </si>
  <si>
    <t>Trial:0 w:18; Trial:3 w:15; Trial:2739 w:14; pErr:0.3677, weight 14 CW found:10609, wDict:14:15,15:85,16:248,17:725,18:1561,19:2613,20:2707,21:1628,22:382,23:36</t>
  </si>
  <si>
    <t>Trial:0 w:19; Trial:3 w:18; Trial:7 w:17; Trial:19 w:15; Trial:360 w:14; pErr:0.3677, weight 14 CW found:13995, wDict:14:20,15:107,16:249,17:758,18:1466,19:2723,20:2607,21:1648,22:388,23:34</t>
  </si>
  <si>
    <t>Trial:0 w:21; Trial:4 w:19; Trial:11 w:17; Trial:36 w:16; Trial:49 w:15; Trial:2498 w:14; pErr:0.3679, weight 14 CW found:10863, wDict:14:12,15:33,16:131,17:403,18:927,19:1863,20:2703,21:2518,22:1162,23:234,24:13,25:1</t>
  </si>
  <si>
    <t>Trial:0 w:19; Trial:3 w:18; Trial:27 w:17; Trial:28 w:15; Trial:592 w:14; pErr:0.3677, weight 14 CW found:13756, wDict:14:10,15:42,16:119,17:397,18:920,19:1911,20:2588,21:2594,22:1160,23:248,24:11</t>
  </si>
  <si>
    <t>Trial:0 w:20; Trial:4 w:19; Trial:7 w:18; Trial:9 w:16; Trial:10 w:14; pErr:0.3679, weight 14 CW found:14487, wDict:14:5,15:46,16:139,17:363,18:882,19:1918,20:2618,21:2616,22:1156,23:243,24:14</t>
  </si>
  <si>
    <t>Trial:0 w:20; Trial:2 w:18; Trial:3 w:17; Trial:29 w:16; Trial:623 w:15; Trial:1302 w:14; pErr:0.3677, weight 14 CW found:12746, wDict:14:7,15:39,16:116,17:384,18:905,19:1844,20:2655,21:2641,22:1125,23:268,24:16</t>
  </si>
  <si>
    <t>Trial:0 w:22; Trial:1 w:21; Trial:2 w:20; Trial:4 w:19; Trial:77 w:18; Trial:94 w:17; Trial:950 w:15; pErr:0.3679, weight 15 CW found:13216, wDict:15:5,16:16,17:94,18:280,19:723,20:1320,21:2450,22:2632,23:1869,24:528,25:81,26:2</t>
  </si>
  <si>
    <t>Trial:0 w:23; Trial:1 w:19; Trial:17 w:18; Trial:134 w:17; Trial:687 w:16; Trial:1336 w:15; pErr:0.3678, weight 15 CW found:12459, wDict:15:4,16:22,17:108,18:263,19:695,20:1364,21:2435,22:2613,23:1841,24:587,25:67,26:1</t>
  </si>
  <si>
    <t>Trial:0 w:23; Trial:2 w:20; Trial:65 w:19; Trial:75 w:18; Trial:283 w:16; Trial:4078 w:15; pErr:0.3679, weight 15 CW found:8543, wDict:15:3,16:14,17:44,18:137,19:366,20:818,21:1735,22:2545,23:2624,24:1321,25:349,26:44</t>
  </si>
  <si>
    <t>Trial:0 w:22; Trial:1 w:21; Trial:3 w:19; Trial:60 w:17; Trial:717 w:16; Trial:1949 w:15; pErr:0.3679, weight 15 CW found:11724, wDict:15:6,16:13,17:46,18:111,19:355,20:850,21:1746,22:2390,23:2669,24:1387,25:382,26:44,27:1</t>
  </si>
  <si>
    <t>Trial:0 w:23; Trial:2 w:21; Trial:55 w:20; Trial:82 w:18; Trial:229 w:16; Trial:9410 w:15; pErr:0.3679, weight 15 CW found:844, wDict:15:1,16:6,17:20,18:64,19:174,20:485,21:1119,22:1888,23:2701,24:2207,25:1103,26:211,27:20,28:1</t>
  </si>
  <si>
    <t>Trial:0 w:23; Trial:5 w:22; Trial:43 w:21; Trial:104 w:20; Trial:136 w:19; Trial:676 w:16; Trial:7141 w:15; pErr:0.3679, weight 15 CW found:4122, wDict:15:1,16:2,17:13,18:36,19:115,20:384,21:824,22:1579,23:2459,24:2564,25:1521,26:444,27:57,28:1</t>
  </si>
  <si>
    <t>Trial:0 w:23; Trial:1 w:21; Trial:26 w:19; Trial:42 w:18; Trial:778 w:17; Trial:2255 w:15; pErr:0.3679, weight 15 CW found:10960, wDict:15:2,16:1,17:9,18:28,19:93,20:243,21:636,22:1328,23:2188,24:2645,25:1954,26:744,27:120,28:9</t>
  </si>
  <si>
    <t>Trial:0 w:21; Trial:3 w:20; Trial:4 w:17; Trial:128 w:16; Trial:268 w:15; Trial:2099 w:14; Trial:6705 w:13; pErr:0.3679, weight 13 CW found:4842, wDict:13:2,14:11,15:29,16:102,17:236,18:700,19:1456,20:2581,21:2704,22:1660,23:479,24:39,25:1</t>
  </si>
  <si>
    <t>Trial:0 w:19; Trial:1 w:17; Trial:40 w:16; Trial:709 w:14; pErr:0.3679, weight 14 CW found:13593, wDict:14:2,15:18,16:40,17:148,18:397,19:927,20:1783,21:2676,22:2496,23:1220,24:281,25:11,26:1</t>
  </si>
  <si>
    <t>Trial:0 w:24; Trial:1 w:20; Trial:58 w:19; Trial:125 w:18; Trial:458 w:17; Trial:2737 w:16; Trial:6904 w:15; pErr:0.3679, weight 15 CW found:4481, wDict:15:1,16:1,17:7,18:23,19:96,20:222,21:609,22:1280,23:2269,24:2680,25:1969,26:711,27:124,28:8</t>
  </si>
  <si>
    <t>Trial:0 w:21; Trial:25 w:20; Trial:32 w:19; Trial:426 w:15; pErr:0.3679, weight 15 CW found:13852, wDict:15:1,16:5,17:22,18:76,19:184,20:468,21:1092,22:1942,23:2643,24:2282,25:1089,26:177,27:19</t>
  </si>
  <si>
    <t>Trial:0 w:24; Trial:4 w:22; Trial:23 w:21; Trial:25 w:20; Trial:99 w:19; Trial:498 w:18; Trial:2173 w:17; pErr:0.3679, weight 17 CW found:10962, wDict:17:1,18:9,19:38,20:90,21:247,22:627,23:1202,24:2067,25:2702,26:2007,27:851,28:149,29:10</t>
  </si>
  <si>
    <t>Trial:0 w:24; Trial:1 w:23; Trial:3 w:20; Trial:54 w:19; Trial:133 w:18; Trial:302 w:17; Trial:670 w:16; Trial:1626 w:15; pErr:0.3679, weight 15 CW found:12170, wDict:15:1,16:7,17:19,18:75,19:188,20:498,21:1101,22:1971,23:2646,24:2247,25:1038,26:195,27:14</t>
  </si>
  <si>
    <t>Trial:0 w:27; Trial:2 w:26; Trial:3 w:25; Trial:5 w:24; Trial:10 w:23; Trial:45 w:22; Trial:60 w:21; Trial:224 w:20; Trial:481 w:19; pErr:0.3679, weight 19 CW found:13481, wDict:19:11,20:35,21:67,22:244,23:515,24:1285,25:1927,26:2692,27:1950,28:1054,29:198,30:22</t>
  </si>
  <si>
    <t>Trial:0 w:26; Trial:1 w:23; Trial:9 w:22; Trial:30 w:21; Trial:51 w:20; Trial:128 w:19; Trial:314 w:17; pErr:0.3679, weight 17 CW found:13890, wDict:17:4,18:13,19:51,20:145,21:344,22:761,23:1550,24:2430,25:2577,26:1582,27:480,28:61,29:2</t>
  </si>
  <si>
    <t>Trial:0 w:29; Trial:1 w:27; Trial:3 w:26; Trial:16 w:24; Trial:88 w:23; Trial:131 w:22; Trial:156 w:21; Trial:1660 w:20; Trial:2523 w:19; pErr:0.3679, weight 19 CW found:10540, wDict:19:1,20:6,21:18,22:60,23:161,24:411,25:859,26:1628,27:2345,28:2422,29:1485,30:520,31:81,32:3</t>
  </si>
  <si>
    <t>Trial:0 w:26; Trial:1 w:24; Trial:18 w:23; Trial:41 w:22; Trial:202 w:21; Trial:857 w:20; Trial:1310 w:19; pErr:0.3679, weight 19 CW found:12132, wDict:19:3,20:13,21:39,22:86,23:253,24:478,25:1139,26:1989,27:2454,28:2208,29:1067,30:251,31:20</t>
  </si>
  <si>
    <t>Trial:0 w:26; Trial:2 w:24; Trial:92 w:21; Trial:1694 w:20; Trial:3026 w:19; pErr:0.3679, weight 19 CW found:9806, wDict:19:2,20:6,21:35,22:82,23:240,24:500,25:1168,26:1894,27:2516,28:2191,29:1077,30:269,31:18,32:2</t>
  </si>
  <si>
    <t>Trial:0 w:29; Trial:2 w:27; Trial:21 w:26; Trial:51 w:25; Trial:76 w:23; Trial:108 w:21; Trial:3590 w:20; Trial:5488 w:19; pErr:0.3679, weight 19 CW found:6398, wDict:19:1,20:5,21:6,22:15,23:59,24:110,25:345,26:525,27:1366,28:1696,29:2850,30:1795,31:1044,32:154,33:29</t>
  </si>
  <si>
    <t>Trial:0 w:28; Trial:1 w:26; Trial:17 w:25; Trial:54 w:21; Trial:2114 w:20; pErr:0.3679, weight 20 CW found:11036, wDict:20:4,21:8,22:15,23:43,24:108,25:301,26:567,27:1388,28:1781,29:2798,30:1745,31:1031,32:188,33:23</t>
  </si>
  <si>
    <t>Trial:0 w:25; Trial:17 w:23; Trial:76 w:21; Trial:88 w:20; Trial:1537 w:19; pErr:0.3679, weight 19 CW found:11849, wDict:19:3,20:11,21:16,22:59,23:171,24:423,25:880,26:1640,27:2366,28:2391,29:1493,30:484,31:61,32:2</t>
  </si>
  <si>
    <t>Trial:0 w:28; Trial:26 w:20; pErr:0.3679, weight 20 CW found:13886, wDict:20:1,21:4,22:8,23:7,24:49,25:127,26:281,27:588,28:1217,29:1983,30:2404,31:2038,32:998,33:259,34:34,35:2</t>
  </si>
  <si>
    <t>Trial:0 w:30; Trial:1 w:29; Trial:2 w:28; Trial:11 w:26; Trial:38 w:24; Trial:698 w:22; Trial:2800 w:21; Trial:4131 w:20; pErr:0.3679, weight 20 CW found:8181, wDict:20:1,21:7,22:11,23:26,24:66,25:144,26:410,27:699,28:1519,29:2039,30:2611,31:1604,32:737,33:115,34:11</t>
  </si>
  <si>
    <t>Trial:0 w:30; Trial:2 w:28; Trial:7 w:26; Trial:8 w:25; Trial:34 w:22; Trial:498 w:21; Trial:2209 w:20; pErr:0.3679, weight 20 CW found:10903, wDict:20:3,21:5,22:7,23:18,24:68,25:137,26:414,27:715,28:1564,29:2087,30:2507,31:1625,32:731,33:110,34:8,35:1</t>
  </si>
  <si>
    <t>Trial:0 w:24; Trial:4 w:22; Trial:640 w:20; Trial:3662 w:19; pErr:0.3679, weight 19 CW found:8832, wDict:19:1,20:6,21:31,22:102,23:222,24:585,25:1126,26:1948,27:2455,28:2130,29:1106,30:270,31:18</t>
  </si>
  <si>
    <t>Trial:0 w:23; Trial:2 w:21; Trial:4 w:20; Trial:5 w:19; Trial:16 w:17; Trial:110 w:16; Trial:190 w:15; Trial:7430 w:14; pErr:0.3679, weight 14 CW found:3728, wDict:14:1,15:15,16:57,17:146,18:381,19:961,20:1812,21:2662,22:2568,23:1167,24:214,25:16</t>
  </si>
  <si>
    <t>Trial:0 w:27; Trial:2 w:25; Trial:6 w:22; Trial:95 w:20; Trial:6817 w:19; pErr:0.3679, weight 19 CW found:4453, wDict:19:1,20:6,21:22,22:87,23:236,24:486,25:1163,26:1962,27:2469,28:2212,29:1047,30:278,31:31</t>
  </si>
  <si>
    <t>Trial:0 w:28; Trial:6 w:27; Trial:50 w:25; Trial:616 w:24; Trial:1193 w:23; Trial:3071 w:22; Trial:4292 w:21; pErr:0.3679, weight 21 CW found:8195, wDict:21:3,22:2,23:8,24:9,25:74,26:104,27:460,28:466,29:1778,30:1398,31:3144,32:1250,33:1130,34:134,35:40</t>
  </si>
  <si>
    <t>Trial:0 w:30; Trial:3 w:28; Trial:32 w:27; Trial:120 w:26; Trial:176 w:25; Trial:500 w:24; Trial:2670 w:23; Trial:3255 w:22; Trial:4895 w:21; pErr:0.3679, weight 21 CW found:7058, wDict:21:4,22:8,23:8,24:32,25:109,26:170,27:525,28:767,29:1931,30:2000,31:2608,32:1232,33:543,34:55,35:7,36:1</t>
  </si>
  <si>
    <t>Trial:0 w:29; Trial:2 w:28; Trial:7 w:27; Trial:30 w:26; Trial:51 w:24; Trial:133 w:23; Trial:2166 w:21; Trial:8039 w:20; pErr:0.3679, weight 20 CW found:2725, wDict:20:1,21:6,22:8,23:24,24:73,25:143,26:365,27:737,28:1571,29:2017,30:2544,31:1654,32:703,33:140,34:13,35:1</t>
  </si>
  <si>
    <t>Trial:0 w:28; Trial:11 w:21; Trial:2264 w:20; pErr:0.3679, weight 20 CW found:10724, wDict:20:1,21:6,22:9,23:24,24:64,25:136,26:414,27:775,28:1519,29:2039,30:2565,31:1584,32:727,33:124,34:13</t>
  </si>
  <si>
    <t>Trial:0 w:28; Trial:2 w:26; Trial:21 w:24; Trial:271 w:22; Trial:667 w:21; Trial:1937 w:20; Trial:6912 w:19; pErr:0.3679, weight 19 CW found:4284, wDict:19:1,20:2,21:14,22:18,23:50,24:149,25:365,26:841,27:1501,28:2265,29:2490,30:1669,31:550,32:80,33:5</t>
  </si>
  <si>
    <t>Trial:0 w:28; Trial:1 w:26; Trial:2 w:24; Trial:53 w:21; Trial:3288 w:19; pErr:0.3679, weight 19 CW found:9329, wDict:19:1,20:2,21:8,22:27,23:88,24:210,25:542,26:1080,27:1825,28:2437,29:2266,30:1197,31:284,32:32,33:1</t>
  </si>
  <si>
    <t>Trial:0 w:30; Trial:5 w:24; Trial:858 w:22; pErr:0.3679, weight 22 CW found:12671, wDict:22:2,23:4,24:18,25:41,26:99,27:242,28:589,29:1137,30:1919,31:2356,32:2090,33:1126,34:322,35:52,36:3</t>
  </si>
  <si>
    <t>Trial:0 w:32; Trial:1 w:31; Trial:19 w:30; Trial:34 w:29; Trial:46 w:28; Trial:114 w:27; Trial:129 w:25; Trial:548 w:24; Trial:724 w:23; Trial:5407 w:22; pErr:0.3679, weight 22 CW found:6396, wDict:22:1,23:2,24:1,25:4,26:32,27:61,28:127,29:322,30:642,31:1240,32:1915,33:2373,34:1979,35:997,36:283,37:18,38:3</t>
  </si>
  <si>
    <t>Trial:0 w:24; Trial:8 w:23; Trial:60 w:22; Trial:173 w:21; Trial:663 w:20; Trial:3822 w:16; pErr:0.3679, weight 16 CW found:8690, wDict:16:1,18:1,19:2,20:4,21:15,22:56,23:185,24:407,25:876,26:1646,27:2388,28:2382,29:1480,30:494,31:60,32:3</t>
  </si>
  <si>
    <t>Trial:0 w:31; Trial:3 w:29; Trial:46 w:26; Trial:150 w:25; Trial:251 w:23; Trial:2914 w:21; pErr:0.3679, weight 21 CW found:9851, wDict:21:1,23:2,24:2,25:15,26:39,27:98,28:269,29:529,30:1070,31:1782,32:2350,33:2185,34:1236,35:359,36:59,37:3,38:1</t>
  </si>
  <si>
    <t>Trial:0 w:24; Trial:3 w:23; Trial:14 w:22; Trial:18 w:20; Trial:107 w:19; Trial:222 w:17; Trial:6097 w:16; Trial:6251 w:15; pErr:0.3679, weight 15 CW found:5398, wDict:15:1,16:2,17:13,18:29,19:85,20:280,21:597,22:1273,23:2298,24:2787,25:1883,26:641,27:107,28:4</t>
  </si>
  <si>
    <t>Trial:0 w:26; Trial:3 w:24; Trial:97 w:23; Trial:108 w:22; Trial:144 w:21; Trial:461 w:20; Trial:1108 w:19; Trial:2677 w:18; Trial:5827 w:16; pErr:0.3679, weight 16 CW found:6017, wDict:16:1,18:1,19:8,20:29,21:98,22:230,23:586,24:1131,25:2020,26:2599,27:2152,28:932,29:192,30:20,31:1</t>
  </si>
  <si>
    <t>Trial:0 w:24; Trial:13 w:23; Trial:28 w:22; Trial:41 w:21; Trial:267 w:20; Trial:897 w:19; Trial:3765 w:18; pErr:0.3679, weight 18 CW found:9025, wDict:18:3,19:13,20:42,21:135,22:322,23:758,24:1473,25:2308,26:2527,27:1755,28:592,29:68,30:4</t>
  </si>
  <si>
    <t>Trial:0 w:26; Trial:1 w:25; Trial:4 w:24; Trial:6 w:23; Trial:27 w:20; Trial:352 w:19; Trial:894 w:17; pErr:0.3679, weight 17 CW found:13086, wDict:17:1,18:5,19:19,20:62,21:165,22:479,23:996,24:1787,25:2629,26:2310,27:1256,28:260,29:31</t>
  </si>
  <si>
    <t>Trial:0 w:28; Trial:9 w:27; Trial:50 w:26; Trial:82 w:25; Trial:166 w:23; Trial:953 w:22; pErr:0.3679, weight 22 CW found:12767, wDict:22:4,23:17,24:61,25:158,26:342,27:775,28:1417,29:2124,30:2487,31:1802,32:682,33:120,34:11</t>
  </si>
  <si>
    <t>Trial:0 w:25; Trial:1 w:24; Trial:9 w:22; Trial:49 w:21; Trial:66 w:19; Trial:428 w:18; Trial:864 w:16; Trial:2535 w:14; pErr:0.3679, weight 14 CW found:10692, wDict:14:1,16:2,18:6,19:9,20:30,21:87,22:227,23:568,24:1205,25:2037,26:2563,27:2192,28:881,29:178,30:14</t>
  </si>
  <si>
    <t>Trial:0 w:27; Trial:1 w:24; Trial:9 w:22; Trial:56 w:18; Trial:3056 w:17; Trial:3351 w:16; pErr:0.3679, weight 16 CW found:9572, wDict:16:3,17:4,18:16,19:22,20:63,21:185,22:460,23:1012,24:1813,25:2494,26:2359,27:1233,28:299,29:36,30:1</t>
  </si>
  <si>
    <t>Trial:0 w:37; Trial:7 w:35; Trial:24 w:31; Trial:27 w:29; Trial:1282 w:27; Trial:3740 w:25; pErr:0.3679, weight 25 CW found:11320, wDict:25:1,27:8,29:21,31:126,33:550,35:1871,37:3996,39:2974,41:444,43:9</t>
  </si>
  <si>
    <t>Trial:0 w:35; Trial:3 w:34; Trial:5 w:32; Trial:161 w:31; Trial:272 w:29; Trial:901 w:28; Trial:1811 w:24; pErr:0.3679, weight 24 CW found:11132, wDict:24:2,25:3,26:5,27:6,28:8,29:17,30:55,31:99,32:330,33:454,34:1186,35:1321,36:2654,37:1708,38:1632,39:390,40:124,41:6</t>
  </si>
  <si>
    <t>Trial:0 w:36; Trial:2 w:32; Trial:112 w:28; Trial:1620 w:27; Trial:2325 w:25; Trial:6208 w:24; pErr:0.3679, weight 24 CW found:5111, wDict:24:1,25:4,26:4,27:9,28:11,29:14,30:59,31:90,32:308,33:441,34:1201,35:1337,36:2689,37:1678,38:1603,39:402,40:141,41:8</t>
  </si>
  <si>
    <t>Trial:0 w:37; Trial:5 w:33; Trial:27 w:29; Trial:3170 w:27; Trial:5671 w:25; pErr:0.3679, weight 25 CW found:7886, wDict:25:3,27:7,29:9,31:112,33:478,35:1887,37:4083,39:3009,41:408,43:4</t>
  </si>
  <si>
    <t>Trial:0 w:26; Trial:7 w:21; Trial:490 w:20; Trial:1985 w:18; pErr:0.3679, weight 18 CW found:11546, wDict:18:3,20:10,21:54,22:138,23:297,24:763,25:1404,26:2141,27:2558,28:1846,29:676,30:107,31:3</t>
  </si>
  <si>
    <t>Trial:0 w:26; Trial:1 w:25; Trial:6 w:24; Trial:85 w:21; Trial:195 w:19; Trial:1943 w:18; pErr:0.3679, weight 18 CW found:11398, wDict:18:4,19:5,20:12,21:54,22:133,23:320,24:686,25:1409,26:2221,27:2566,28:1852,29:632,30:98,31:7,32:1</t>
  </si>
  <si>
    <t>Trial:0 w:27; Trial:4 w:25; Trial:5 w:24; Trial:24 w:23; Trial:38 w:22; Trial:702 w:21; Trial:1929 w:19; Trial:3625 w:18; pErr:0.3679, weight 18 CW found:9046, wDict:18:1,19:2,20:5,21:10,22:23,23:80,24:207,25:509,26:1081,27:1847,28:2470,29:2238,30:1152,31:342,32:32,33:1</t>
  </si>
  <si>
    <t>Trial:0 w:27; Trial:1 w:24; Trial:61 w:22; Trial:470 w:21; Trial:666 w:20; Trial:5149 w:19; Trial:9277 w:18; pErr:0.3679, weight 18 CW found:1043, wDict:18:1,19:1,20:6,21:16,22:43,23:109,24:301,25:652,26:1296,27:2093,28:2529,29:1985,30:804,31:158,32:5,33:1</t>
  </si>
  <si>
    <t>Trial:0 w:29; Trial:1 w:27; Trial:4 w:26; Trial:9 w:24; Trial:24 w:23; Trial:254 w:22; Trial:303 w:20; Trial:3622 w:19; Trial:4430 w:18; pErr:0.3679, weight 18 CW found:7736, wDict:18:1,19:2,20:4,21:20,22:52,23:162,24:414,25:901,26:1632,27:2349,28:2472,29:1463,30:469,31:57,32:2</t>
  </si>
  <si>
    <t>outfile: /home/ucapmwe/dist-benchmark/results/codeTables-QECC_sample.txt-QDistRndMW-20260220_072505.517001_85062422.txt</t>
  </si>
  <si>
    <t>Trial:0 w:4; pErr:0.0000, weight 4 CW found:89, wDict:4:9904,5:96</t>
  </si>
  <si>
    <t>Trial:0 w:3; pErr:0.0000, weight 3 CW found:120, wDict:3:9999,4:1</t>
  </si>
  <si>
    <t>Trial:0 w:3; pErr:0.0000, weight 3 CW found:118, wDict:3:9999,4:1</t>
  </si>
  <si>
    <t>Trial:0 w:5; pErr:0.0000, weight 5 CW found:346, wDict:5:9946,6:54</t>
  </si>
  <si>
    <t>Trial:0 w:5; pErr:0.0000, weight 5 CW found:325, wDict:5:9950,6:49,7:1</t>
  </si>
  <si>
    <t>Trial:0 w:6; pErr:0.0000, weight 6 CW found:348, wDict:6:9936,7:63,8:1</t>
  </si>
  <si>
    <t>Trial:0 w:5; pErr:0.0000, weight 5 CW found:387, wDict:5:9954,6:46</t>
  </si>
  <si>
    <t>Trial:0 w:5; pErr:0.0000, weight 5 CW found:566, wDict:5:9953,6:47</t>
  </si>
  <si>
    <t>Trial:0 w:5; pErr:0.0000, weight 5 CW found:559, wDict:5:9952,6:48</t>
  </si>
  <si>
    <t>Trial:0 w:6; pErr:0.0000, weight 6 CW found:953, wDict:6:9618,7:376,8:6</t>
  </si>
  <si>
    <t>Trial:0 w:6; pErr:0.0000, weight 6 CW found:954, wDict:6:9610,7:382,8:8</t>
  </si>
  <si>
    <t>Trial:0 w:5; pErr:0.0000, weight 5 CW found:874, wDict:5:9850,6:150</t>
  </si>
  <si>
    <t>Trial:0 w:8; Trial:1 w:7; pErr:0.0000, weight 7 CW found:1574, wDict:7:8667,8:1298,9:35</t>
  </si>
  <si>
    <t>Trial:0 w:6; Trial:3 w:5; pErr:0.0000, weight 5 CW found:1913, wDict:5:4063,6:5867,7:70</t>
  </si>
  <si>
    <t>Trial:0 w:6; Trial:3 w:5; pErr:0.0000, weight 5 CW found:1848, wDict:5:3990,6:5951,7:58,8:1</t>
  </si>
  <si>
    <t>Trial:0 w:6; pErr:0.0001, weight 6 CW found:2620, wDict:6:6595,7:3358,8:47</t>
  </si>
  <si>
    <t>Trial:0 w:6; pErr:0.0000, weight 6 CW found:2406, wDict:6:6709,7:3265,8:26</t>
  </si>
  <si>
    <t>Trial:0 w:6; pErr:0.0000, weight 6 CW found:2423, wDict:6:6746,7:3223,8:31</t>
  </si>
  <si>
    <t>Trial:0 w:8; Trial:2 w:7; pErr:0.0028, weight 7 CW found:3368, wDict:7:6938,8:2766,9:292,10:4</t>
  </si>
  <si>
    <t>Trial:0 w:6; pErr:0.0035, weight 6 CW found:3455, wDict:6:6028,7:3427,8:539,9:6</t>
  </si>
  <si>
    <t>Trial:0 w:6; pErr:0.0038, weight 6 CW found:3489, wDict:6:5989,7:3482,8:524,9:5</t>
  </si>
  <si>
    <t>Trial:0 w:9; Trial:1 w:8; pErr:0.0229, weight 8 CW found:5045, wDict:8:6699,9:2782,10:504,11:15</t>
  </si>
  <si>
    <t>Trial:0 w:8; pErr:0.0496, weight 8 CW found:6930, wDict:8:5919,9:3733,10:346,11:2</t>
  </si>
  <si>
    <t>Trial:0 w:5; pErr:0.0007, weight 5 CW found:4821, wDict:5:4130,6:5850,7:20</t>
  </si>
  <si>
    <t>Trial:0 w:9; pErr:0.0754, weight 9 CW found:6667, wDict:9:4187,10:4127,11:1535,12:149,13:2</t>
  </si>
  <si>
    <t>Trial:0 w:9; pErr:0.0736, weight 9 CW found:6660, wDict:9:4251,10:4061,11:1554,12:131,13:3</t>
  </si>
  <si>
    <t>Trial:0 w:11; Trial:1 w:10; Trial:3 w:9; pErr:0.0729, weight 9 CW found:6626, wDict:9:4300,10:4005,11:1554,12:138,13:3</t>
  </si>
  <si>
    <t>Trial:0 w:11; Trial:1 w:10; Trial:5 w:9; pErr:0.0725, weight 9 CW found:6661, wDict:9:4230,10:4120,11:1487,12:159,13:4</t>
  </si>
  <si>
    <t>Trial:0 w:10; Trial:9 w:9; pErr:0.1064, weight 9 CW found:6685, wDict:9:1856,10:4269,11:2211,12:1335,13:305,14:24</t>
  </si>
  <si>
    <t>Trial:0 w:12; Trial:1 w:10; Trial:4 w:9; pErr:0.1099, weight 9 CW found:6897, wDict:9:3538,10:3239,11:2192,12:870,13:159,14:2</t>
  </si>
  <si>
    <t>Trial:0 w:13; Trial:1 w:11; pErr:0.2470, weight 11 CW found:11553, wDict:11:2351,12:2021,13:4276,14:1041,15:305,16:6</t>
  </si>
  <si>
    <t>Trial:0 w:12; Trial:1 w:11; Trial:2 w:9; pErr:0.2416, weight 9 CW found:11178, wDict:9:722,10:1231,11:2542,12:3517,13:1676,14:299,15:13</t>
  </si>
  <si>
    <t>Trial:0 w:11; Trial:3 w:10; Trial:36 w:9; pErr:0.2376, weight 9 CW found:10969, wDict:9:899,10:1611,11:3208,12:3161,13:1023,14:95,15:3</t>
  </si>
  <si>
    <t>Trial:0 w:10; Trial:44 w:9; pErr:0.2747, weight 9 CW found:12097, wDict:9:414,10:929,11:2262,12:3303,13:2366,14:674,15:52</t>
  </si>
  <si>
    <t>Trial:0 w:13; Trial:2 w:12; Trial:3 w:10; Trial:18 w:9; pErr:0.2720, weight 9 CW found:11836, wDict:9:399,10:984,11:2328,12:3296,13:2350,14:589,15:54</t>
  </si>
  <si>
    <t>Trial:0 w:12; Trial:2 w:11; Trial:6 w:10; Trial:242 w:9; pErr:0.3209, weight 9 CW found:13557, wDict:9:129,10:806,11:1725,12:2461,13:3101,14:1583,15:189,16:6</t>
  </si>
  <si>
    <t>Trial:0 w:12; Trial:1 w:11; Trial:4 w:10; Trial:5 w:9; pErr:0.3156, weight 9 CW found:13531, wDict:9:172,10:1255,11:2178,12:2748,13:2701,14:898,15:48</t>
  </si>
  <si>
    <t>Trial:0 w:12; Trial:14 w:11; Trial:89 w:10; pErr:0.3375, weight 10 CW found:14213, wDict:10:80,11:553,12:1651,13:1731,14:2763,15:2554,16:637,17:31</t>
  </si>
  <si>
    <t>Trial:0 w:10; Trial:3 w:9; Trial:7 w:8; Trial:11 w:7; pErr:0.2747, weight 7 CW found:12557, wDict:7:288,8:773,9:2981,10:3840,11:1847,12:262,13:9</t>
  </si>
  <si>
    <t>Trial:0 w:11; Trial:3 w:10; Trial:54 w:9; Trial:4764 w:8; pErr:0.3342, weight 8 CW found:7559, wDict:8:5,9:506,10:1621,11:3146,12:3019,13:1509,14:190,15:4</t>
  </si>
  <si>
    <t>Trial:0 w:14; Trial:1 w:12; Trial:6 w:11; Trial:9 w:10; Trial:33 w:9; pErr:0.3257, weight 9 CW found:13581, wDict:9:175,10:1066,11:2002,12:2986,13:2696,14:996,15:78,16:1</t>
  </si>
  <si>
    <t>Trial:0 w:13; Trial:1 w:12; Trial:9 w:11; pErr:0.3299, weight 11 CW found:13630, wDict:11:1835,12:1941,13:2236,14:2795,15:1018,16:172,17:3</t>
  </si>
  <si>
    <t>Trial:0 w:13; Trial:20 w:12; Trial:83 w:11; pErr:0.3514, weight 11 CW found:14212, wDict:11:82,12:311,13:911,14:2029,15:3053,16:2557,17:945,18:110,19:2</t>
  </si>
  <si>
    <t>Trial:0 w:14; Trial:2 w:13; Trial:5 w:12; Trial:16 w:11; Trial:69 w:10; pErr:0.3502, weight 10 CW found:14471, wDict:10:205,11:707,12:1768,13:2992,14:2980,15:1190,16:153,17:5</t>
  </si>
  <si>
    <t>Trial:0 w:17; Trial:1 w:15; Trial:3 w:14; Trial:61 w:13; Trial:64 w:12; pErr:0.3582, weight 12 CW found:14471, wDict:12:24,13:296,14:883,15:2111,16:2919,17:2567,18:1019,19:170,20:11</t>
  </si>
  <si>
    <t>Trial:0 w:17; Trial:4 w:16; Trial:8 w:15; Trial:9 w:14; Trial:40 w:12; pErr:0.3618, weight 12 CW found:14646, wDict:12:40,13:116,14:608,15:1578,16:2781,17:2882,18:1590,19:384,20:21</t>
  </si>
  <si>
    <t>Trial:0 w:17; Trial:1 w:16; Trial:8 w:13; pErr:0.3621, weight 13 CW found:14503, wDict:13:33,14:209,15:849,16:1934,17:3226,18:2307,19:1226,20:200,21:16</t>
  </si>
  <si>
    <t>Trial:0 w:15; Trial:1 w:13; Trial:2 w:12; Trial:47 w:11; Trial:222 w:10; pErr:0.3601, weight 10 CW found:14486, wDict:10:37,11:152,12:499,13:1267,14:2508,15:3136,16:1926,17:440,18:35</t>
  </si>
  <si>
    <t>Trial:0 w:15; Trial:1 w:13; Trial:67 w:12; Trial:154 w:11; Trial:1335 w:10; pErr:0.3622, weight 10 CW found:12756, wDict:10:19,11:94,12:339,13:939,14:2080,15:3085,16:2473,17:855,18:113,19:3</t>
  </si>
  <si>
    <t>Trial:0 w:17; Trial:1 w:15; Trial:11 w:13; Trial:115 w:12; Trial:240 w:11; pErr:0.3639, weight 11 CW found:14397, wDict:11:31,12:81,13:347,14:921,15:1903,16:2921,17:2576,18:1068,19:146,20:6</t>
  </si>
  <si>
    <t>Trial:0 w:16; Trial:1 w:11; pErr:0.3640, weight 11 CW found:14904, wDict:11:25,12:84,13:337,14:868,15:1949,16:2967,17:2578,18:1023,19:165,20:4</t>
  </si>
  <si>
    <t>Trial:0 w:15; Trial:2 w:14; Trial:10 w:13; Trial:27 w:12; Trial:56 w:11; Trial:210 w:10; pErr:0.3610, weight 10 CW found:14569, wDict:10:45,11:216,12:598,13:1408,14:2537,15:2939,16:1770,17:463,18:23,19:1</t>
  </si>
  <si>
    <t>Trial:0 w:17; Trial:4 w:16; Trial:34 w:15; Trial:63 w:14; Trial:836 w:13; pErr:0.3666, weight 13 CW found:13317, wDict:13:5,14:133,15:522,16:1165,17:2129,18:2886,19:2252,20:805,21:99,22:4</t>
  </si>
  <si>
    <t>Trial:0 w:17; Trial:2 w:14; Trial:10 w:13; Trial:150 w:12; pErr:0.3648, weight 12 CW found:14673, wDict:12:94,13:329,14:734,15:1554,16:2638,17:2723,18:1574,19:335,20:19</t>
  </si>
  <si>
    <t>Trial:0 w:19; Trial:2 w:15; Trial:314 w:14; pErr:0.3669, weight 14 CW found:13944, wDict:14:27,15:77,16:225,17:621,18:1307,19:2317,20:2778,21:1944,22:634,23:65,24:5</t>
  </si>
  <si>
    <t>Trial:0 w:19; Trial:1 w:18; Trial:14 w:17; Trial:46 w:16; Trial:110 w:14; pErr:0.3671, weight 14 CW found:14232, wDict:14:29,15:71,16:213,17:592,18:1237,19:2343,20:2669,21:2089,22:661,23:91,24:5</t>
  </si>
  <si>
    <t>Trial:0 w:21; Trial:1 w:19; Trial:7 w:18; Trial:9 w:17; Trial:49 w:16; Trial:965 w:14; pErr:0.3673, weight 14 CW found:12959, wDict:14:5,15:26,16:130,17:329,18:754,19:1627,20:2377,21:2751,22:1490,23:467,24:43,25:1</t>
  </si>
  <si>
    <t>Trial:0 w:19; Trial:12 w:18; Trial:51 w:17; Trial:267 w:15; Trial:2422 w:14; pErr:0.3678, weight 14 CW found:10980, wDict:14:6,15:31,16:104,17:316,18:745,19:1585,20:2494,21:2693,22:1538,23:447,24:38,25:3</t>
  </si>
  <si>
    <t>Trial:0 w:22; Trial:1 w:20; Trial:3 w:19; Trial:27 w:17; Trial:77 w:16; Trial:207 w:15; Trial:749 w:14; pErr:0.3675, weight 14 CW found:13237, wDict:14:7,15:32,16:92,17:316,18:756,19:1643,20:2442,21:2734,22:1537,23:397,24:43,25:1</t>
  </si>
  <si>
    <t>Trial:0 w:21; Trial:2 w:19; Trial:11 w:17; Trial:93 w:16; Trial:98 w:15; Trial:414 w:14; pErr:0.3674, weight 14 CW found:13791, wDict:14:3,15:30,16:117,17:296,18:757,19:1686,20:2390,21:2710,22:1520,23:433,24:54,25:4</t>
  </si>
  <si>
    <t>Trial:0 w:20; Trial:1 w:19; Trial:42 w:18; Trial:81 w:17; Trial:376 w:16; Trial:2030 w:15; pErr:0.3678, weight 15 CW found:11460, wDict:15:5,16:18,17:64,18:202,19:592,20:1122,21:2238,22:2550,23:2189,24:869,25:143,26:8</t>
  </si>
  <si>
    <t>Trial:0 w:22; Trial:3 w:20; Trial:4 w:18; Trial:66 w:17; Trial:644 w:16; Trial:1595 w:15; pErr:0.3676, weight 15 CW found:12041, wDict:15:4,16:16,17:88,18:222,19:558,20:1149,21:2095,22:2594,23:2246,24:867,25:156,26:5</t>
  </si>
  <si>
    <t>Trial:0 w:21; Trial:1 w:20; Trial:7 w:19; Trial:13 w:18; Trial:122 w:17; Trial:958 w:15; pErr:0.3678, weight 15 CW found:12958, wDict:15:2,16:4,17:38,18:102,19:282,20:640,21:1481,22:2212,23:2684,24:1826,25:637,26:89,27:3</t>
  </si>
  <si>
    <t>Trial:0 w:23; Trial:2 w:22; Trial:6 w:21; Trial:15 w:19; Trial:232 w:17; Trial:380 w:16; Trial:2202 w:15; pErr:0.3679, weight 15 CW found:11043, wDict:15:3,16:9,17:25,18:109,19:294,20:723,21:1470,22:2217,23:2634,24:1782,25:623,26:107,27:4</t>
  </si>
  <si>
    <t>Trial:0 w:24; Trial:1 w:17; Trial:5127 w:15; pErr:0.3678, weight 15 CW found:6966, wDict:15:3,16:1,17:17,18:57,19:140,20:338,21:915,22:1583,23:2519,24:2404,25:1579,26:382,27:60,28:2</t>
  </si>
  <si>
    <t>Trial:0 w:25; Trial:2 w:24; Trial:5 w:20; Trial:84 w:19; Trial:85 w:18; Trial:1789 w:17; Trial:4784 w:16; Trial:8218 w:15; pErr:0.3679, weight 15 CW found:2535, wDict:15:2,16:1,17:12,18:40,19:109,20:257,21:649,22:1361,23:2248,24:2554,25:1935,26:698,27:130,28:4</t>
  </si>
  <si>
    <t>Trial:0 w:23; Trial:1 w:22; Trial:20 w:21; Trial:21 w:20; Trial:52 w:19; Trial:121 w:18; Trial:509 w:17; Trial:5551 w:16; pErr:0.3679, weight 16 CW found:6233, wDict:16:1,17:4,18:30,19:59,20:171,21:473,22:996,23:1995,24:2570,25:2297,26:1098,27:283,28:22,29:1</t>
  </si>
  <si>
    <t>Trial:0 w:21; Trial:4 w:18; Trial:38 w:17; Trial:99 w:16; Trial:433 w:15; Trial:1229 w:14; Trial:1874 w:13; pErr:0.3678, weight 13 CW found:11741, wDict:13:2,14:9,15:23,16:70,17:220,18:596,19:1230,20:2140,21:2810,22:2038,23:755,24:104,25:3</t>
  </si>
  <si>
    <t>Trial:0 w:20; Trial:3 w:19; Trial:23 w:17; Trial:208 w:16; Trial:904 w:15; Trial:2783 w:14; pErr:0.3678, weight 14 CW found:10335, wDict:14:5,15:7,16:34,17:126,18:285,19:740,20:1458,21:2420,22:2711,23:1655,24:497,25:61,26:1</t>
  </si>
  <si>
    <t>Trial:0 w:22; Trial:4 w:20; Trial:9 w:18; Trial:762 w:17; Trial:4113 w:16; pErr:0.3679, weight 16 CW found:8276, wDict:16:2,17:7,18:20,19:74,20:194,21:485,22:1086,23:1903,24:2490,25:2306,26:1138,27:270,28:23,29:2</t>
  </si>
  <si>
    <t>Trial:0 w:23; Trial:3 w:21; Trial:20 w:20; Trial:43 w:19; Trial:91 w:18; Trial:1123 w:16; pErr:0.3679, weight 16 CW found:12658, wDict:16:5,17:16,18:49,19:130,20:365,21:920,22:1647,23:2446,24:2403,25:1562,26:415,27:41,28:1</t>
  </si>
  <si>
    <t>Trial:0 w:25; Trial:1 w:24; Trial:6 w:22; Trial:10 w:21; Trial:20 w:19; Trial:58 w:17; pErr:0.3679, weight 17 CW found:14044, wDict:17:2,18:7,19:25,20:95,21:209,22:452,23:990,24:1852,25:2442,26:2336,27:1230,28:323,29:34,30:3</t>
  </si>
  <si>
    <t>Trial:0 w:22; Trial:4 w:21; Trial:31 w:20; Trial:56 w:19; Trial:370 w:18; Trial:544 w:16; Trial:2462 w:15; pErr:0.3679, weight 15 CW found:10761, wDict:15:2,16:5,17:20,18:49,19:167,20:377,21:882,22:1713,23:2467,24:2406,25:1415,26:442,27:55</t>
  </si>
  <si>
    <t>Trial:0 w:26; Trial:2 w:25; Trial:5 w:24; Trial:21 w:23; Trial:22 w:22; Trial:91 w:21; Trial:483 w:20; Trial:669 w:19; Trial:1790 w:18; pErr:0.3679, weight 18 CW found:11541, wDict:18:2,19:11,20:18,21:83,22:183,23:430,24:982,25:1570,26:2590,27:2245,28:1446,29:391,30:45,31:4</t>
  </si>
  <si>
    <t>Trial:0 w:25; Trial:1 w:24; Trial:2 w:23; Trial:24 w:18; Trial:244 w:17; pErr:0.3679, weight 17 CW found:13705, wDict:17:5,18:11,19:32,20:107,21:259,22:616,23:1242,24:2090,25:2624,26:1995,27:879,28:123,29:17</t>
  </si>
  <si>
    <t>Trial:0 w:30; Trial:1 w:26; Trial:2 w:25; Trial:14 w:24; Trial:17 w:23; Trial:51 w:21; Trial:3722 w:20; pErr:0.3679, weight 20 CW found:8661, wDict:20:3,21:19,22:35,23:138,24:323,25:681,26:1366,27:2114,28:2424,29:1911,30:825,31:143,32:18</t>
  </si>
  <si>
    <t>Trial:0 w:25; Trial:22 w:21; Trial:826 w:20; Trial:1918 w:19; pErr:0.3679, weight 19 CW found:11178, wDict:19:2,20:12,21:20,22:68,23:166,24:404,25:918,26:1566,27:2388,28:2423,29:1480,30:478,31:71,32:4</t>
  </si>
  <si>
    <t>Trial:0 w:28; Trial:2 w:27; Trial:4 w:26; Trial:5 w:25; Trial:18 w:24; Trial:36 w:23; Trial:63 w:21; Trial:512 w:20; pErr:0.3679, weight 20 CW found:13178, wDict:20:7,21:27,22:56,23:150,24:423,25:893,26:1600,27:2366,28:2386,29:1439,30:564,31:83,32:6</t>
  </si>
  <si>
    <t>Trial:0 w:31; Trial:1 w:29; Trial:4 w:26; Trial:36 w:25; Trial:69 w:24; Trial:70 w:22; Trial:71 w:21; Trial:1933 w:20; Trial:7971 w:19; pErr:0.3679, weight 19 CW found:2853, wDict:19:1,20:5,21:7,22:12,23:31,24:79,25:251,26:459,27:1117,28:1473,29:2622,30:1915,31:1541,32:393,33:87,34:7</t>
  </si>
  <si>
    <t>Trial:0 w:30; Trial:2 w:27; Trial:4 w:26; Trial:12 w:25; Trial:22 w:24; Trial:26 w:22; Trial:280 w:21; Trial:1684 w:19; pErr:0.3679, weight 19 CW found:11560, wDict:19:3,20:6,21:15,22:18,23:43,24:85,25:252,26:424,27:1166,28:1495,29:2614,30:1957,31:1488,32:355,33:75,34:4</t>
  </si>
  <si>
    <t>Trial:0 w:27; Trial:1 w:25; Trial:2 w:24; Trial:14 w:23; Trial:301 w:22; Trial:2022 w:20; pErr:0.3679, weight 20 CW found:11066, wDict:20:7,21:14,22:27,23:131,24:358,25:685,26:1273,27:2113,28:2498,29:1889,30:807,31:179,32:19</t>
  </si>
  <si>
    <t>Trial:0 w:32; Trial:1 w:30; Trial:7 w:29; Trial:8 w:28; Trial:12 w:27; Trial:25 w:26; Trial:26 w:25; Trial:301 w:24; Trial:484 w:21; Trial:2693 w:20; pErr:0.3679, weight 20 CW found:10070, wDict:20:6,21:8,22:11,23:12,24:25,25:82,26:223,27:463,28:967,29:1580,30:2259,31:2248,32:1524,33:506,34:83,35:3</t>
  </si>
  <si>
    <t>Trial:0 w:30; Trial:2 w:28; Trial:4 w:26; Trial:21 w:25; Trial:126 w:23; Trial:184 w:21; Trial:8497 w:20; pErr:0.3679, weight 20 CW found:2039, wDict:20:1,21:10,22:14,23:11,24:50,25:119,26:298,27:565,28:1329,29:1761,30:2515,31:1910,32:1149,33:226,34:38,35:4</t>
  </si>
  <si>
    <t>Trial:0 w:29; Trial:4 w:28; Trial:6 w:26; Trial:168 w:24; Trial:1620 w:23; Trial:2135 w:21; Trial:3965 w:20; pErr:0.3679, weight 20 CW found:8200, wDict:20:3,21:8,22:3,23:21,24:55,25:100,26:309,27:578,28:1279,29:1798,30:2478,31:1896,32:1172,33:264,34:33,35:3</t>
  </si>
  <si>
    <t>Trial:0 w:27; Trial:6 w:24; Trial:49 w:23; Trial:75 w:22; Trial:122 w:21; Trial:1588 w:20; pErr:0.3679, weight 20 CW found:11776, wDict:20:9,21:30,22:58,23:160,24:433,25:843,26:1613,27:2353,28:2430,29:1493,30:496,31:80,32:1,33:1</t>
  </si>
  <si>
    <t>Trial:0 w:21; Trial:12 w:20; Trial:38 w:19; Trial:118 w:16; Trial:152 w:15; Trial:2319 w:14; pErr:0.3679, weight 14 CW found:11179, wDict:14:2,15:18,16:52,17:115,18:284,19:658,20:1530,21:2399,22:2584,23:1765,24:533,25:59,26:1</t>
  </si>
  <si>
    <t>Trial:0 w:25; Trial:13 w:24; Trial:42 w:21; Trial:1097 w:20; Trial:3973 w:19; pErr:0.3679, weight 19 CW found:8431, wDict:19:5,20:9,21:34,22:62,23:171,24:411,25:893,26:1585,27:2273,28:2452,29:1516,30:513,31:71,32:5</t>
  </si>
  <si>
    <t>Trial:0 w:32; Trial:1 w:31; Trial:15 w:30; Trial:19 w:29; Trial:46 w:28; Trial:56 w:25; Trial:372 w:24; Trial:381 w:21; pErr:0.3679, weight 21 CW found:13648, wDict:21:5,22:1,23:5,24:9,25:68,26:66,27:351,28:347,29:1349,30:1200,31:3045,32:1499,33:1693,34:264,35:95,36:3</t>
  </si>
  <si>
    <t>Trial:0 w:32; Trial:3 w:30; Trial:10 w:28; Trial:30 w:27; Trial:37 w:26; Trial:76 w:22; Trial:786 w:21; pErr:0.3679, weight 21 CW found:12607, wDict:21:22,22:7,23:19,24:19,25:83,26:164,27:397,28:626,29:1589,30:1781,31:2651,32:1532,33:915,34:170,35:24,36:1</t>
  </si>
  <si>
    <t>Trial:0 w:29; Trial:3 w:27; Trial:25 w:25; Trial:76 w:24; Trial:105 w:22; Trial:411 w:21; Trial:1533 w:20; pErr:0.3679, weight 20 CW found:11626, wDict:20:8,21:15,22:14,23:13,24:45,25:122,26:287,27:606,28:1283,29:1783,30:2505,31:1927,32:1085,33:255,34:52</t>
  </si>
  <si>
    <t>Trial:0 w:29; Trial:4 w:28; Trial:9 w:27; Trial:72 w:26; Trial:126 w:24; Trial:145 w:22; Trial:1352 w:20; pErr:0.3679, weight 20 CW found:12031, wDict:20:6,21:11,22:7,23:14,24:52,25:122,26:278,27:539,28:1246,29:1792,30:2555,31:1888,32:1176,33:279,34:34,35:1</t>
  </si>
  <si>
    <t>Trial:0 w:29; Trial:1 w:28; Trial:4 w:27; Trial:9 w:26; Trial:22 w:25; Trial:97 w:22; Trial:1727 w:21; Trial:8013 w:20; pErr:0.3679, weight 20 CW found:2708, wDict:20:3,21:4,22:17,23:39,24:104,25:318,26:612,27:1168,28:1943,29:2500,30:2030,31:981,32:247,33:34</t>
  </si>
  <si>
    <t>Trial:0 w:30; Trial:1 w:24; Trial:21 w:23; Trial:685 w:22; Trial:2181 w:21; Trial:3651 w:20; pErr:0.3679, weight 20 CW found:8739, wDict:20:6,21:9,22:25,23:63,24:136,25:329,26:792,27:1509,28:2186,29:2443,30:1700,31:674,32:121,33:7</t>
  </si>
  <si>
    <t>Trial:0 w:33; Trial:1 w:32; Trial:2 w:24; Trial:97 w:23; Trial:4611 w:20; pErr:0.3679, weight 20 CW found:7377, wDict:20:1,23:4,24:8,25:28,26:75,27:189,28:384,29:871,30:1501,31:2121,32:2386,33:1604,34:688,35:131,36:9</t>
  </si>
  <si>
    <t>Trial:0 w:36; Trial:1 w:33; Trial:2 w:29; Trial:175 w:28; Trial:374 w:27; Trial:447 w:25; pErr:0.3679, weight 25 CW found:12983, wDict:25:5,26:16,27:37,28:77,29:212,30:481,31:949,32:1647,33:2177,34:2142,35:1566,36:564,37:117,38:10</t>
  </si>
  <si>
    <t>Trial:0 w:27; Trial:4 w:24; Trial:39 w:23; Trial:74 w:22; Trial:382 w:16; pErr:0.3679, weight 16 CW found:13380, wDict:16:2,19:4,20:6,21:13,22:41,23:117,24:292,25:656,26:1209,27:2089,28:2399,29:2005,30:944,31:213,32:10</t>
  </si>
  <si>
    <t>Trial:0 w:33; Trial:1 w:32; Trial:5 w:31; Trial:16 w:30; Trial:71 w:29; Trial:136 w:27; Trial:313 w:26; Trial:400 w:25; Trial:3872 w:24; pErr:0.3679, weight 24 CW found:8413, wDict:24:2,25:14,26:22,27:70,28:147,29:388,30:750,31:1424,32:2073,33:2339,34:1799,35:759,36:194,37:17,38:2</t>
  </si>
  <si>
    <t>Trial:0 w:24; Trial:2 w:23; Trial:16 w:22; Trial:21 w:21; Trial:29 w:19; Trial:578 w:18; Trial:2650 w:17; Trial:2755 w:15; pErr:0.3679, weight 15 CW found:10355, wDict:15:1,16:2,17:5,18:34,19:65,20:194,21:453,22:969,23:1822,24:2615,25:2411,26:1150,27:257,28:21,29:1</t>
  </si>
  <si>
    <t>Trial:0 w:26; Trial:3 w:25; Trial:7 w:22; Trial:17 w:20; Trial:1045 w:19; Trial:4994 w:18; pErr:0.3679, weight 18 CW found:7181, wDict:18:3,19:10,20:19,21:55,22:184,23:377,24:837,25:1585,26:2422,27:2483,28:1476,29:484,30:62,31:3</t>
  </si>
  <si>
    <t>Trial:0 w:23; Trial:2 w:21; Trial:49 w:19; Trial:4346 w:18; pErr:0.3679, weight 18 CW found:7970, wDict:18:3,19:14,20:27,21:87,22:212,23:532,24:1145,25:1981,26:2491,27:2123,28:1113,29:239,30:32,31:1</t>
  </si>
  <si>
    <t>Trial:0 w:28; Trial:1 w:26; Trial:7 w:24; Trial:9 w:23; Trial:22 w:22; Trial:57 w:21; Trial:85 w:20; Trial:381 w:16; pErr:0.3679, weight 16 CW found:13681, wDict:16:2,17:1,18:7,19:22,20:52,21:130,22:308,23:723,24:1379,25:2266,26:2530,27:1819,28:670,29:87,30:4</t>
  </si>
  <si>
    <t>Trial:0 w:28; Trial:21 w:24; Trial:983 w:23; Trial:1988 w:22; Trial:5064 w:21; Trial:5250 w:20; pErr:0.3679, weight 20 CW found:6620, wDict:20:1,21:2,22:6,23:10,24:64,25:106,26:260,27:528,28:1108,29:1844,30:2429,31:2106,32:1131,33:362,34:40,35:3</t>
  </si>
  <si>
    <t>Trial:0 w:20; Trial:61 w:18; Trial:149 w:16; Trial:452 w:14; pErr:0.3679, weight 14 CW found:13315, wDict:14:7,15:1,16:26,17:1,18:73,19:8,20:165,21:64,22:326,23:379,24:929,25:1577,26:2277,27:2288,28:1381,29:428,30:67,31:3</t>
  </si>
  <si>
    <t>Trial:0 w:25; Trial:2 w:14; pErr:0.3679, weight 14 CW found:13852, wDict:14:19,15:1,16:65,17:1,18:195,19:12,20:376,21:110,22:591,23:651,24:1448,25:1946,26:2326,27:1572,28:591,29:87,30:9</t>
  </si>
  <si>
    <t>Trial:0 w:37; Trial:5 w:35; Trial:19 w:33; Trial:61 w:27; Trial:3272 w:25; pErr:0.3679, weight 25 CW found:11926, wDict:25:2,27:8,29:15,31:92,33:412,35:1498,37:3517,39:3578,41:842,43:36</t>
  </si>
  <si>
    <t>Trial:0 w:38; Trial:1 w:36; Trial:7 w:33; Trial:74 w:32; Trial:104 w:28; Trial:1539 w:27; Trial:1895 w:24; pErr:0.3679, weight 24 CW found:10998, wDict:24:1,26:2,27:5,28:10,29:24,30:33,31:72,32:220,33:323,34:900,35:1101,36:2348,37:1725,38:2143,39:716,40:340,41:34,42:3</t>
  </si>
  <si>
    <t>Trial:0 w:37; Trial:1 w:35; Trial:13 w:34; Trial:48 w:31; Trial:190 w:27; Trial:2987 w:26; Trial:6252 w:25; pErr:0.3679, weight 25 CW found:5197, wDict:25:1,26:1,27:8,28:5,29:15,30:42,31:61,32:187,33:299,34:897,35:1069,36:2397,37:1725,38:2168,39:784,40:312,41:26,42:3</t>
  </si>
  <si>
    <t>Trial:0 w:39; Trial:3 w:35; Trial:9 w:33; Trial:313 w:31; Trial:367 w:29; Trial:1700 w:27; pErr:0.3679, weight 27 CW found:14846, wDict:27:3,29:15,31:77,33:359,35:1463,37:3544,39:3643,41:875,43:21</t>
  </si>
  <si>
    <t>Trial:0 w:25; Trial:17 w:24; Trial:48 w:23; Trial:147 w:22; Trial:175 w:21; Trial:528 w:19; Trial:661 w:17; pErr:0.3679, weight 17 CW found:13094, wDict:17:18,18:13,19:15,20:19,21:50,22:125,23:243,24:520,25:1069,26:1820,27:2422,28:2165,29:1183,30:300,31:36,32:2</t>
  </si>
  <si>
    <t>Trial:0 w:27; Trial:6 w:25; Trial:17 w:20; Trial:131 w:18; Trial:311 w:14; pErr:0.3679, weight 14 CW found:13658, wDict:14:4,16:12,18:34,19:3,20:78,21:28,22:232,23:209,24:566,25:936,26:1825,27:2353,28:2192,29:1160,30:336,31:32</t>
  </si>
  <si>
    <t>Trial:0 w:22; Trial:274 w:21; Trial:1311 w:20; Trial:1508 w:18; pErr:0.3679, weight 18 CW found:11814, wDict:18:13,19:1,20:21,21:5,22:50,23:56,24:146,25:344,26:820,27:1369,28:2108,29:2442,30:1788,31:688,32:136,33:12,34:1</t>
  </si>
  <si>
    <t>Trial:0 w:30; Trial:1 w:27; Trial:3 w:26; Trial:10 w:25; Trial:12 w:22; Trial:60 w:18; pErr:0.3679, weight 18 CW found:13999, wDict:18:21,19:1,20:23,21:12,22:72,23:55,24:260,25:447,26:1016,27:1668,28:2270,29:2244,30:1432,31:417,32:58,33:4</t>
  </si>
  <si>
    <t>Trial:0 w:25; Trial:2 w:24; Trial:23 w:23; Trial:51 w:22; Trial:75 w:20; Trial:320 w:18; Trial:8647 w:17; pErr:0.3679, weight 17 CW found:1924, wDict:17:1,18:32,20:33,21:18,22:92,23:116,24:385,25:567,26:1216,27:1940,28:2485,29:1987,30:873,31:231,32:24</t>
  </si>
  <si>
    <t>outfile: /home/ucapmwe/dist-benchmark/results/codeTables-QECC_sample.txt-QDistRndMW-20260220_072505.517971_85062422.txt</t>
  </si>
  <si>
    <t>Trial:0 w:4; pErr:0.0000, weight 4 CW found:564, wDict:4:9987,5:13</t>
  </si>
  <si>
    <t>Trial:0 w:3; pErr:0.0000, weight 3 CW found:995, wDict:3:9995,4:5</t>
  </si>
  <si>
    <t>Trial:0 w:3; pErr:0.0000, weight 3 CW found:891, wDict:3:9999,4:1</t>
  </si>
  <si>
    <t>Trial:0 w:5; pErr:0.0000, weight 5 CW found:4669, wDict:5:9956,6:44</t>
  </si>
  <si>
    <t>Trial:0 w:5; pErr:0.0000, weight 5 CW found:4774, wDict:5:9947,6:53</t>
  </si>
  <si>
    <t>Trial:0 w:6; pErr:0.0058, weight 6 CW found:14285, wDict:6:9993,7:7</t>
  </si>
  <si>
    <t>Trial:0 w:5; pErr:0.0000, weight 5 CW found:6076, wDict:5:9998,6:2</t>
  </si>
  <si>
    <t>Trial:0 w:5; pErr:0.0005, weight 5 CW found:10933, wDict:5:9992,6:8</t>
  </si>
  <si>
    <t>Trial:0 w:5; pErr:0.0004, weight 5 CW found:10925, wDict:5:9994,6:6</t>
  </si>
  <si>
    <t>Trial:0 w:6; pErr:0.0430, weight 6 CW found:17808, wDict:6:9881,7:119</t>
  </si>
  <si>
    <t>Trial:0 w:6; pErr:0.0449, weight 6 CW found:17886, wDict:6:9869,7:131</t>
  </si>
  <si>
    <t>Trial:0 w:5; pErr:0.0062, weight 5 CW found:9982, wDict:5:9887,6:113</t>
  </si>
  <si>
    <t>Trial:0 w:7; pErr:0.2396, weight 7 CW found:26666, wDict:7:9186,8:808,9:6</t>
  </si>
  <si>
    <t>Trial:0 w:6; Trial:1 w:5; pErr:0.2424, weight 5 CW found:32655, wDict:5:5271,6:4714,7:15</t>
  </si>
  <si>
    <t>Trial:0 w:6; Trial:1 w:5; pErr:0.2427, weight 5 CW found:32512, wDict:5:5323,6:4669,7:8</t>
  </si>
  <si>
    <t>Trial:0 w:6; pErr:0.2521, weight 6 CW found:25351, wDict:6:7883,7:2116,8:1</t>
  </si>
  <si>
    <t>Trial:0 w:7; Trial:1 w:6; pErr:0.2519, weight 6 CW found:25643, wDict:6:7872,7:2127,8:1</t>
  </si>
  <si>
    <t>Trial:0 w:7; Trial:1 w:6; pErr:0.2560, weight 6 CW found:26074, wDict:6:7797,7:2196,8:7</t>
  </si>
  <si>
    <t>Trial:0 w:7; pErr:0.3256, weight 7 CW found:26656, wDict:7:7715,8:2209,9:76</t>
  </si>
  <si>
    <t>Trial:0 w:6; pErr:0.2931, weight 6 CW found:24659, wDict:6:6347,7:3529,8:124</t>
  </si>
  <si>
    <t>Trial:0 w:6; pErr:0.2919, weight 6 CW found:24608, wDict:6:6365,7:3532,8:103</t>
  </si>
  <si>
    <t>Trial:0 w:8; pErr:0.3552, weight 8 CW found:30570, wDict:8:8448,9:1484,10:68</t>
  </si>
  <si>
    <t>Trial:0 w:8; pErr:0.3614, weight 8 CW found:32422, wDict:8:7545,9:2387,10:68</t>
  </si>
  <si>
    <t>Trial:0 w:5; pErr:0.2765, weight 5 CW found:28999, wDict:5:7137,6:2858,7:5</t>
  </si>
  <si>
    <t>Trial:0 w:9; pErr:0.3661, weight 9 CW found:25027, wDict:9:4728,10:4384,11:844,12:44</t>
  </si>
  <si>
    <t>Trial:0 w:9; pErr:0.3662, weight 9 CW found:25313, wDict:9:4573,10:4465,11:929,12:33</t>
  </si>
  <si>
    <t>Trial:0 w:9; pErr:0.3658, weight 9 CW found:25316, wDict:9:4575,10:4505,11:893,12:27</t>
  </si>
  <si>
    <t>Trial:0 w:10; Trial:6 w:9; pErr:0.3658, weight 9 CW found:25333, wDict:9:4718,10:4402,11:851,12:29</t>
  </si>
  <si>
    <t>Trial:0 w:11; Trial:2 w:9; pErr:0.3669, weight 9 CW found:22087, wDict:9:2036,10:4528,11:2420,12:941,13:74,14:1</t>
  </si>
  <si>
    <t>Trial:0 w:9; pErr:0.3662, weight 9 CW found:21613, wDict:9:3881,10:3610,11:2055,12:438,13:16</t>
  </si>
  <si>
    <t>Trial:0 w:11; pErr:0.3678, weight 11 CW found:23484, wDict:11:3611,12:2919,13:3147,14:285,15:38</t>
  </si>
  <si>
    <t>Trial:0 w:11; Trial:11 w:9; pErr:0.3674, weight 9 CW found:22356, wDict:9:638,10:1518,11:3947,12:3159,13:705,14:33</t>
  </si>
  <si>
    <t>Trial:0 w:11; Trial:5 w:9; pErr:0.3676, weight 9 CW found:22690, wDict:9:834,10:2074,11:4472,12:2342,13:272,14:6</t>
  </si>
  <si>
    <t>Trial:0 w:13; Trial:1 w:12; Trial:2 w:10; Trial:4 w:9; pErr:0.3677, weight 9 CW found:21455, wDict:9:557,10:1564,11:3121,12:3403,13:1243,14:110,15:2</t>
  </si>
  <si>
    <t>Trial:0 w:11; Trial:10 w:10; Trial:39 w:9; pErr:0.3675, weight 9 CW found:21749, wDict:9:605,10:1487,11:3172,12:3317,13:1307,14:108,15:4</t>
  </si>
  <si>
    <t>Trial:0 w:12; Trial:5 w:11; Trial:7 w:10; Trial:42 w:9; pErr:0.3677, weight 9 CW found:20496, wDict:9:278,10:1746,11:3171,12:2838,13:1653,14:306,15:8</t>
  </si>
  <si>
    <t>Trial:0 w:12; Trial:1 w:11; Trial:5 w:10; Trial:8 w:9; pErr:0.3677, weight 9 CW found:20765, wDict:9:434,10:2476,11:3512,12:2485,13:986,14:106,15:1</t>
  </si>
  <si>
    <t>Trial:0 w:14; Trial:2 w:10; pErr:0.3678, weight 10 CW found:20160, wDict:10:231,11:1259,12:3147,13:2511,14:1997,15:782,16:73</t>
  </si>
  <si>
    <t>Trial:0 w:10; Trial:2 w:9; Trial:22 w:8; Trial:91 w:7; pErr:0.3675, weight 7 CW found:22830, wDict:7:81,8:1005,9:4257,10:3876,11:748,12:33</t>
  </si>
  <si>
    <t>Trial:0 w:10; Trial:33 w:9; Trial:113 w:8; pErr:0.3677, weight 8 CW found:21116, wDict:8:34,9:686,10:2762,11:3612,12:2411,13:476,14:19</t>
  </si>
  <si>
    <t>Trial:0 w:12; Trial:2 w:10; Trial:9 w:9; pErr:0.3678, weight 9 CW found:20754, wDict:9:211,10:1576,11:2891,12:3493,13:1615,14:211,15:3</t>
  </si>
  <si>
    <t>Trial:0 w:11; pErr:0.3678, weight 11 CW found:20387, wDict:11:2688,12:2646,13:2678,14:1704,15:275,16:9</t>
  </si>
  <si>
    <t>Trial:0 w:16; Trial:1 w:14; Trial:22 w:12; Trial:157 w:11; pErr:0.3679, weight 11 CW found:20445, wDict:11:123,12:531,13:1602,14:2934,15:3243,16:1379,17:181,18:7</t>
  </si>
  <si>
    <t>Trial:0 w:13; Trial:4 w:10; pErr:0.3679, weight 10 CW found:21082, wDict:10:353,11:1261,12:2718,13:3544,14:1836,15:278,16:10</t>
  </si>
  <si>
    <t>Trial:0 w:16; Trial:1 w:15; Trial:5 w:14; Trial:45 w:12; pErr:0.3679, weight 12 CW found:20784, wDict:12:83,13:582,14:1532,15:2993,16:2989,17:1579,18:230,19:12</t>
  </si>
  <si>
    <t>Trial:0 w:16; Trial:2 w:14; Trial:38 w:13; Trial:85 w:12; pErr:0.3679, weight 12 CW found:20667, wDict:12:117,13:262,14:1110,15:2411,16:3431,17:2078,18:558,19:32,20:1</t>
  </si>
  <si>
    <t>Trial:0 w:17; Trial:2 w:16; Trial:4 w:15; Trial:32 w:14; Trial:127 w:13; pErr:0.3679, weight 13 CW found:20610, wDict:13:102,14:382,15:1591,16:2744,17:3269,18:1552,19:348,20:12</t>
  </si>
  <si>
    <t>Trial:0 w:13; Trial:4 w:12; Trial:28 w:11; Trial:37 w:10; pErr:0.3679, weight 10 CW found:20313, wDict:10:74,11:336,12:912,13:2188,14:3294,15:2463,16:692,17:41</t>
  </si>
  <si>
    <t>Trial:0 w:16; Trial:2 w:12; Trial:27 w:10; pErr:0.3679, weight 10 CW found:20329, wDict:10:44,11:188,12:604,13:1628,14:3173,15:3012,16:1205,17:138,18:8</t>
  </si>
  <si>
    <t>Trial:0 w:17; Trial:1 w:14; Trial:12 w:12; Trial:818 w:11; pErr:0.3679, weight 11 CW found:18771, wDict:11:40,12:145,13:639,14:1567,15:2974,16:3066,17:1349,18:217,19:3</t>
  </si>
  <si>
    <t>Trial:0 w:11; pErr:0.3679, weight 11 CW found:20168, wDict:11:39,12:191,13:622,14:1621,15:2855,16:3110,17:1382,18:172,19:8</t>
  </si>
  <si>
    <t>Trial:0 w:14; Trial:3 w:13; Trial:5 w:11; Trial:120 w:10; pErr:0.3679, weight 10 CW found:20166, wDict:10:34,11:276,12:935,13:2222,14:3418,15:2438,16:645,17:32</t>
  </si>
  <si>
    <t>Trial:0 w:18; Trial:1 w:16; Trial:7 w:15; Trial:14 w:14; Trial:699 w:13; pErr:0.3679, weight 13 CW found:18802, wDict:13:50,14:321,15:850,16:1868,17:3100,18:2706,19:971,20:131,21:3</t>
  </si>
  <si>
    <t>Trial:0 w:15; Trial:9 w:14; Trial:18 w:13; Trial:79 w:12; pErr:0.3679, weight 12 CW found:19828, wDict:12:78,13:504,14:1344,15:2611,16:3164,17:1897,18:378,19:24</t>
  </si>
  <si>
    <t>Trial:0 w:19; Trial:1 w:17; Trial:8 w:16; Trial:70 w:15; Trial:338 w:14; pErr:0.3679, weight 14 CW found:19230, wDict:14:30,15:167,16:419,17:1165,18:2133,19:3079,20:2192,21:735,22:77,23:3</t>
  </si>
  <si>
    <t>Trial:0 w:16; Trial:20 w:15; Trial:122 w:14; pErr:0.3679, weight 14 CW found:19841, wDict:14:31,15:155,16:383,17:1145,18:2164,19:3139,20:2155,21:747,22:80,23:1</t>
  </si>
  <si>
    <t>Trial:0 w:20; Trial:1 w:19; Trial:3 w:18; Trial:5 w:17; Trial:34 w:15; Trial:185 w:14; pErr:0.3679, weight 14 CW found:19581, wDict:14:5,15:64,16:204,17:622,18:1457,19:2634,20:2758,21:1807,22:409,23:40</t>
  </si>
  <si>
    <t>Trial:0 w:21; Trial:1 w:18; Trial:9 w:17; Trial:36 w:15; Trial:111 w:14; pErr:0.3679, weight 14 CW found:19646, wDict:14:6,15:68,16:221,17:629,18:1390,19:2554,20:2841,21:1811,22:439,23:40,24:1</t>
  </si>
  <si>
    <t>Trial:0 w:20; Trial:2 w:19; Trial:3 w:18; Trial:20 w:17; Trial:63 w:16; Trial:310 w:15; Trial:628 w:14; pErr:0.3679, weight 14 CW found:18555, wDict:14:10,15:57,16:239,17:630,18:1372,19:2562,20:2801,21:1835,22:464,23:30</t>
  </si>
  <si>
    <t>Trial:0 w:21; Trial:1 w:20; Trial:2 w:17; Trial:252 w:14; pErr:0.3679, weight 14 CW found:19482, wDict:14:10,15:68,16:215,17:626,18:1421,19:2552,20:2816,21:1807,22:453,23:32</t>
  </si>
  <si>
    <t>Trial:0 w:19; Trial:29 w:18; Trial:33 w:17; Trial:97 w:16; Trial:329 w:15; pErr:0.3679, weight 15 CW found:19136, wDict:15:13,16:33,17:151,18:396,19:1109,20:1991,21:2951,22:2290,23:947,24:115,25:4</t>
  </si>
  <si>
    <t>Trial:0 w:21; Trial:5 w:20; Trial:14 w:17; Trial:44 w:16; Trial:551 w:15; pErr:0.3679, weight 15 CW found:18626, wDict:15:6,16:44,17:160,18:448,19:1100,20:1963,21:2972,22:2284,23:882,24:135,25:6</t>
  </si>
  <si>
    <t>Trial:0 w:22; Trial:7 w:21; Trial:12 w:20; Trial:21 w:18; Trial:448 w:17; Trial:692 w:16; Trial:1700 w:15; pErr:0.3679, weight 15 CW found:16465, wDict:15:5,16:20,17:57,18:221,19:617,20:1254,21:2463,22:2809,23:1926,24:562,25:65,26:1</t>
  </si>
  <si>
    <t>Trial:0 w:20; Trial:34 w:19; Trial:126 w:18; Trial:139 w:17; Trial:1035 w:16; Trial:1270 w:15; pErr:0.3679, weight 15 CW found:17321, wDict:15:12,16:13,17:77,18:208,19:614,20:1259,21:2417,22:2715,23:2037,24:592,25:53,26:3</t>
  </si>
  <si>
    <t>Trial:0 w:23; Trial:2 w:21; Trial:3 w:19; Trial:26 w:18; Trial:79 w:17; Trial:1526 w:16; Trial:5849 w:15; pErr:0.3679, weight 15 CW found:8066, wDict:15:3,16:11,17:37,18:113,19:333,20:775,21:1705,22:2552,23:2670,24:1404,25:362,26:35</t>
  </si>
  <si>
    <t>Trial:0 w:24; Trial:1 w:21; Trial:3 w:17; Trial:1217 w:16; Trial:2182 w:15; pErr:0.3679, weight 15 CW found:15298, wDict:15:3,16:2,17:25,18:71,19:206,20:598,21:1281,22:2366,23:2797,24:1934,25:639,26:75,27:3</t>
  </si>
  <si>
    <t>Trial:0 w:22; Trial:1 w:21; Trial:15 w:16; Trial:230 w:15; pErr:0.3679, weight 15 CW found:19169, wDict:15:1,16:7,17:10,18:46,19:169,20:432,21:1007,22:1956,23:2788,24:2286,25:1088,26:191,27:19</t>
  </si>
  <si>
    <t>Trial:0 w:19; Trial:2 w:18; Trial:20 w:17; Trial:57 w:16; Trial:188 w:14; Trial:4176 w:13; pErr:0.3679, weight 13 CW found:11297, wDict:13:3,14:17,15:57,16:166,17:426,18:1163,19:2171,20:3019,21:2125,22:768,23:79,24:5,25:1</t>
  </si>
  <si>
    <t>Trial:0 w:19; Trial:22 w:18; Trial:84 w:17; Trial:254 w:16; Trial:328 w:14; pErr:0.3679, weight 14 CW found:18878, wDict:14:9,15:28,16:81,17:227,18:621,19:1458,20:2524,21:2847,22:1721,23:454,24:29,25:1</t>
  </si>
  <si>
    <t>Trial:0 w:23; Trial:1 w:22; Trial:2 w:20; Trial:29 w:18; Trial:424 w:17; Trial:8967 w:16; pErr:0.3679, weight 16 CW found:1921, wDict:16:1,17:14,18:48,19:141,20:463,21:1078,22:1957,23:2792,24:2307,25:1005,26:181,27:13</t>
  </si>
  <si>
    <t>Trial:0 w:21; Trial:12 w:19; Trial:146 w:18; Trial:209 w:16; Trial:2522 w:15; pErr:0.3679, weight 15 CW found:14492, wDict:15:1,16:9,17:32,18:111,19:296,20:806,21:1708,22:2547,23:2648,24:1479,25:343,26:19,27:1</t>
  </si>
  <si>
    <t>Trial:0 w:25; Trial:1 w:24; Trial:3 w:23; Trial:14 w:22; Trial:42 w:21; Trial:83 w:20; Trial:246 w:19; Trial:2002 w:18; pErr:0.3679, weight 18 CW found:15546, wDict:18:11,19:56,20:170,21:419,22:988,23:1822,24:2668,25:2433,26:1177,27:242,28:14</t>
  </si>
  <si>
    <t>Trial:0 w:23; Trial:4 w:22; Trial:6 w:20; Trial:44 w:19; Trial:196 w:17; Trial:731 w:16; pErr:0.3679, weight 16 CW found:17830, wDict:16:6,17:38,18:131,19:307,20:828,21:1787,22:2552,23:2720,24:1324,25:285,26:21,27:1</t>
  </si>
  <si>
    <t>Trial:0 w:25; Trial:4 w:24; Trial:6 w:23; Trial:11 w:22; Trial:38 w:21; Trial:222 w:20; Trial:247 w:19; Trial:2664 w:18; pErr:0.3679, weight 18 CW found:14229, wDict:18:8,19:12,20:66,21:164,22:453,23:847,24:1879,25:2430,26:2609,27:1186,28:321,29:25</t>
  </si>
  <si>
    <t>Trial:0 w:25; Trial:1 w:24; Trial:3 w:23; Trial:4 w:21; Trial:77 w:18; Trial:885 w:17; pErr:0.3679, weight 17 CW found:17433, wDict:17:6,18:21,19:80,20:229,21:577,22:1326,23:2207,24:2793,25:2019,26:623,27:116,28:3</t>
  </si>
  <si>
    <t>Trial:0 w:28; Trial:2 w:27; Trial:4 w:26; Trial:8 w:24; Trial:34 w:23; Trial:71 w:22; Trial:148 w:21; Trial:287 w:20; pErr:0.3679, weight 20 CW found:18934, wDict:20:14,21:26,22:99,23:292,24:690,25:1332,26:2336,27:2652,28:1812,29:641,30:100,31:6</t>
  </si>
  <si>
    <t>Trial:0 w:22; Trial:14 w:21; Trial:505 w:20; Trial:1741 w:19; pErr:0.3679, weight 19 CW found:15792, wDict:19:5,20:21,21:55,22:170,23:402,24:897,25:1658,26:2505,27:2581,28:1352,29:324,30:30</t>
  </si>
  <si>
    <t>Trial:0 w:25; Trial:1 w:22; Trial:189 w:19; pErr:0.3679, weight 19 CW found:18801, wDict:19:6,20:21,21:65,22:158,23:398,24:906,25:1754,26:2535,27:2504,28:1280,29:343,30:29,31:1</t>
  </si>
  <si>
    <t>Trial:0 w:28; Trial:2 w:25; Trial:36 w:24; Trial:51 w:23; Trial:196 w:22; Trial:595 w:21; Trial:1466 w:20; Trial:2801 w:19; pErr:0.3679, weight 19 CW found:13761, wDict:19:3,20:8,21:11,22:25,23:106,24:160,25:597,26:896,27:2224,28:2195,29:2549,30:891,31:307,32:26,33:2</t>
  </si>
  <si>
    <t>Trial:0 w:29; Trial:1 w:28; Trial:2 w:19; pErr:0.3679, weight 19 CW found:19380, wDict:19:5,20:8,21:21,22:29,23:94,24:154,25:563,26:903,27:2156,28:2224,29:2497,30:997,31:320,32:28,33:1</t>
  </si>
  <si>
    <t>Trial:0 w:23; Trial:42 w:22; Trial:191 w:21; Trial:586 w:20; Trial:3403 w:19; pErr:0.3679, weight 19 CW found:12730, wDict:19:2,20:15,21:39,22:97,23:300,24:716,25:1436,26:2266,27:2646,28:1747,29:640,30:92,31:4</t>
  </si>
  <si>
    <t>Trial:0 w:29; Trial:2 w:28; Trial:10 w:26; Trial:66 w:24; Trial:458 w:22; Trial:731 w:21; Trial:4191 w:20; pErr:0.3679, weight 20 CW found:11057, wDict:20:3,21:8,22:16,23:27,24:77,25:233,26:433,27:997,28:1860,29:2488,30:2320,31:1188,32:322,33:27,34:1</t>
  </si>
  <si>
    <t>Trial:0 w:28; Trial:2 w:27; Trial:33 w:26; Trial:75 w:23; Trial:291 w:22; Trial:360 w:21; Trial:812 w:20; pErr:0.3679, weight 20 CW found:17645, wDict:20:5,21:10,22:19,23:42,24:91,25:273,26:686,27:1210,28:2198,29:2453,30:2089,31:761,32:161,33:2</t>
  </si>
  <si>
    <t>Trial:0 w:26; Trial:10 w:25; Trial:202 w:23; Trial:251 w:22; Trial:418 w:21; pErr:0.3679, weight 21 CW found:18241, wDict:21:15,22:21,23:32,24:115,25:250,26:689,27:1274,28:2213,29:2427,30:2055,31:749,32:149,33:11</t>
  </si>
  <si>
    <t>Trial:0 w:26; Trial:1 w:25; Trial:2 w:24; Trial:12 w:23; Trial:55 w:22; Trial:85 w:20; Trial:219 w:19; pErr:0.3679, weight 19 CW found:18575, wDict:19:8,20:17,21:68,22:156,23:383,24:897,25:1741,26:2565,27:2512,28:1312,29:310,30:30,31:1</t>
  </si>
  <si>
    <t>Trial:0 w:20; Trial:2 w:19; Trial:4 w:17; Trial:35 w:16; Trial:55 w:15; Trial:2796 w:14; pErr:0.3679, weight 14 CW found:13426, wDict:14:5,15:19,16:97,17:250,18:665,19:1501,20:2552,21:2936,22:1605,23:345,24:25</t>
  </si>
  <si>
    <t>Trial:0 w:27; Trial:2 w:26; Trial:3 w:23; Trial:6 w:19; pErr:0.3679, weight 19 CW found:19200, wDict:19:3,20:21,21:62,22:139,23:379,24:929,25:1758,26:2569,27:2450,28:1324,29:338,30:28</t>
  </si>
  <si>
    <t>Trial:0 w:31; Trial:1 w:29; Trial:6 w:27; Trial:29 w:25; Trial:167 w:24; Trial:515 w:22; Trial:851 w:21; pErr:0.3679, weight 21 CW found:18038, wDict:21:10,22:3,23:15,24:23,25:130,26:169,27:748,28:817,29:2639,30:1722,31:2760,32:652,33:294,34:16,35:2</t>
  </si>
  <si>
    <t>Trial:0 w:31; Trial:1 w:29; Trial:2 w:28; Trial:3 w:27; Trial:18 w:26; Trial:19 w:25; Trial:25 w:22; Trial:56 w:21; pErr:0.3679, weight 21 CW found:18963, wDict:21:10,22:22,23:18,24:47,25:162,26:305,27:921,28:1318,29:2655,30:2151,31:1833,32:468,33:88,34:2</t>
  </si>
  <si>
    <t>Trial:0 w:28; Trial:10 w:26; Trial:15 w:25; Trial:65 w:23; Trial:101 w:22; Trial:1167 w:21; Trial:3492 w:20; pErr:0.3679, weight 20 CW found:12440, wDict:20:3,21:10,22:20,23:38,24:103,25:247,26:703,27:1211,28:2362,29:2390,30:2029,31:738,32:138,33:7,34:1</t>
  </si>
  <si>
    <t>Trial:0 w:30; Trial:1 w:28; Trial:4 w:27; Trial:6 w:25; Trial:13 w:24; Trial:39 w:23; Trial:421 w:22; Trial:1766 w:21; Trial:3667 w:20; pErr:0.3679, weight 20 CW found:12087, wDict:20:1,21:9,22:20,23:30,24:118,25:265,26:696,27:1214,28:2273,29:2421,30:2067,31:734,32:140,33:12</t>
  </si>
  <si>
    <t>Trial:0 w:26; Trial:5 w:24; Trial:33 w:22; Trial:79 w:21; Trial:1442 w:20; Trial:5471 w:18; pErr:0.3679, weight 18 CW found:8329, wDict:18:2,20:4,21:13,22:43,23:106,24:250,25:663,26:1405,27:2257,28:2595,29:1858,30:695,31:104,32:4,33:1</t>
  </si>
  <si>
    <t>Trial:0 w:25; Trial:21 w:23; Trial:54 w:22; Trial:106 w:21; Trial:1215 w:20; Trial:2255 w:18; pErr:0.3679, weight 18 CW found:14359, wDict:18:1,20:8,21:23,22:67,23:154,24:378,25:885,26:1714,27:2437,28:2538,29:1368,30:381,31:45,32:1</t>
  </si>
  <si>
    <t>Trial:0 w:29; Trial:11 w:28; Trial:12 w:27; Trial:64 w:26; Trial:130 w:25; Trial:797 w:23; Trial:4188 w:22; pErr:0.3679, weight 22 CW found:10867, wDict:22:3,23:14,24:29,25:74,26:198,27:485,28:1024,29:1739,30:2457,31:2356,32:1224,33:346,34:46,35:5</t>
  </si>
  <si>
    <t>Trial:0 w:32; Trial:2 w:31; Trial:7 w:29; Trial:50 w:28; Trial:162 w:27; Trial:447 w:26; Trial:1197 w:25; Trial:1430 w:24; pErr:0.3679, weight 24 CW found:15809, wDict:24:4,25:15,26:42,27:89,28:251,29:586,30:1113,31:1940,32:2439,33:2140,34:1112,35:241,36:26,37:2</t>
  </si>
  <si>
    <t>Trial:0 w:26; Trial:7 w:25; Trial:10 w:24; Trial:36 w:23; Trial:79 w:21; Trial:2798 w:19; Trial:7567 w:17; Trial:7580 w:16; pErr:0.3679, weight 16 CW found:4535, wDict:16:1,17:1,18:2,19:5,20:8,21:39,22:108,23:296,24:664,25:1466,26:2355,27:2621,28:1750,29:604,30:76,31:4</t>
  </si>
  <si>
    <t>Trial:0 w:29; Trial:10 w:26; Trial:619 w:25; Trial:1177 w:24; Trial:1673 w:23; Trial:3284 w:22; pErr:0.3679, weight 22 CW found:12433, wDict:22:1,23:3,24:8,25:23,26:93,27:172,28:435,29:933,30:1676,31:2468,32:2389,33:1326,34:415,35:55,36:3</t>
  </si>
  <si>
    <t>Trial:0 w:19; Trial:486 w:17; Trial:1854 w:16; Trial:6521 w:15; pErr:0.3679, weight 15 CW found:6407, wDict:15:1,16:8,17:11,18:51,19:171,20:443,21:1099,22:2066,23:2856,24:2264,25:893,26:132,27:4,28:1</t>
  </si>
  <si>
    <t>Trial:0 w:27; Trial:2 w:26; Trial:3 w:25; Trial:4 w:24; Trial:6 w:23; Trial:58 w:22; Trial:91 w:21; Trial:139 w:20; Trial:219 w:19; Trial:1007 w:17; pErr:0.3679, weight 17 CW found:16556, wDict:17:2,18:6,19:22,20:66,21:170,22:462,23:949,24:1906,25:2718,26:2360,27:1091,28:235,29:13</t>
  </si>
  <si>
    <t>Trial:0 w:23; Trial:4 w:22; Trial:5 w:21; Trial:89 w:20; Trial:181 w:16; pErr:0.3679, weight 16 CW found:18191, wDict:16:1,18:12,19:22,20:72,21:240,22:612,23:1312,24:2224,25:2692,26:2065,27:650,28:95,29:3</t>
  </si>
  <si>
    <t>Trial:0 w:28; Trial:1 w:25; Trial:2 w:22; Trial:58 w:21; Trial:68 w:20; Trial:387 w:19; Trial:2175 w:18; Trial:7092 w:17; pErr:0.3679, weight 17 CW found:5500, wDict:17:1,18:13,19:38,20:122,21:327,22:769,23:1678,24:2503,25:2611,26:1534,27:374,28:29,29:1</t>
  </si>
  <si>
    <t>Trial:0 w:28; Trial:5 w:26; Trial:7 w:25; Trial:108 w:24; Trial:465 w:23; Trial:1306 w:20; Trial:3691 w:19; pErr:0.3679, weight 19 CW found:11619, wDict:19:1,20:3,21:8,22:13,23:45,24:93,25:242,26:664,27:1346,28:2101,29:2615,30:1999,31:735,32:126,33:9</t>
  </si>
  <si>
    <t>Trial:0 w:24; Trial:3 w:22; Trial:42 w:21; Trial:72 w:20; Trial:741 w:19; Trial:1677 w:18; Trial:2412 w:16; Trial:4858 w:14; pErr:0.3679, weight 14 CW found:9294, wDict:14:1,16:5,17:1,18:5,19:22,20:60,21:151,22:458,23:1015,24:1908,25:2593,26:2420,27:1141,28:204,29:15,30:1</t>
  </si>
  <si>
    <t>Trial:0 w:21; Trial:27 w:19; Trial:782 w:18; Trial:2030 w:14; pErr:0.3679, weight 14 CW found:14675, wDict:14:2,16:3,18:15,19:31,20:130,21:316,22:780,23:1700,24:2526,25:2592,26:1498,27:385,28:21,29:1</t>
  </si>
  <si>
    <t>Trial:0 w:37; Trial:3 w:33; Trial:15 w:31; Trial:697 w:29; Trial:1020 w:27; Trial:1339 w:25; pErr:0.3679, weight 25 CW found:21855, wDict:25:4,27:15,29:36,31:187,33:949,35:3110,37:4306,39:1339,41:54</t>
  </si>
  <si>
    <t>Trial:0 w:36; Trial:1 w:35; Trial:2 w:34; Trial:10 w:32; Trial:70 w:31; Trial:171 w:28; Trial:790 w:26; Trial:1419 w:25; Trial:8813 w:24; pErr:0.3679, weight 24 CW found:2254, wDict:24:1,25:5,26:9,27:18,28:18,29:28,30:99,31:169,32:581,33:789,34:1913,35:1762,36:2693,37:1202,38:641,39:64,40:8</t>
  </si>
  <si>
    <t>Trial:0 w:36; Trial:2 w:35; Trial:6 w:34; Trial:14 w:33; Trial:15 w:32; Trial:20 w:26; Trial:1493 w:25; Trial:1657 w:24; pErr:0.3679, weight 24 CW found:15554, wDict:24:3,25:3,26:7,27:13,28:22,29:30,30:102,31:194,32:573,33:731,34:2011,35:1817,36:2656,37:1171,38:593,39:68,40:6</t>
  </si>
  <si>
    <t>Trial:0 w:37; Trial:1 w:31; Trial:577 w:29; Trial:990 w:27; Trial:2343 w:25; pErr:0.3679, weight 25 CW found:19350, wDict:25:3,27:13,29:31,31:211,33:917,35:3124,37:4264,39:1386,41:51</t>
  </si>
  <si>
    <t>Trial:0 w:23; Trial:22 w:21; Trial:141 w:19; Trial:1673 w:18; pErr:0.3679, weight 18 CW found:15317, wDict:18:5,19:14,20:28,21:78,22:211,23:544,24:1213,25:2134,26:2749,27:2098,28:791,29:128,30:7</t>
  </si>
  <si>
    <t>Trial:0 w:26; Trial:3 w:25; Trial:4 w:24; Trial:47 w:23; Trial:49 w:22; Trial:78 w:21; Trial:132 w:20; Trial:425 w:19; Trial:3196 w:16; pErr:0.3679, weight 16 CW found:12418, wDict:16:3,18:1,19:7,20:35,21:71,22:220,23:565,24:1230,25:2206,26:2795,27:2017,28:740,29:106,30:4</t>
  </si>
  <si>
    <t>Trial:0 w:27; Trial:3 w:25; Trial:48 w:24; Trial:58 w:23; Trial:124 w:22; Trial:432 w:18; Trial:3109 w:17; pErr:0.3679, weight 17 CW found:12465, wDict:17:1,18:1,19:1,20:8,21:20,22:56,23:167,24:390,25:866,26:1699,27:2451,28:2577,29:1378,30:357,31:25,32:3</t>
  </si>
  <si>
    <t>Trial:0 w:25; Trial:5 w:24; Trial:32 w:23; Trial:96 w:21; Trial:260 w:20; Trial:641 w:19; pErr:0.3679, weight 19 CW found:16837, wDict:19:5,20:12,21:17,22:88,23:183,24:577,25:1152,26:2047,27:2667,28:2163,29:927,30:149,31:13</t>
  </si>
  <si>
    <t>Trial:0 w:27; Trial:2 w:24; Trial:5 w:23; Trial:70 w:22; Trial:75 w:21; Trial:274 w:20; Trial:504 w:19; Trial:3205 w:18; pErr:0.3679, weight 18 CW found:12338, wDict:18:3,19:3,20:13,21:40,22:110,23:295,24:724,25:1423,26:2348,27:2711,28:1721,29:541,30:67,31:1</t>
  </si>
  <si>
    <t>GurobiDist</t>
  </si>
  <si>
    <t>BZDistMW</t>
  </si>
  <si>
    <t>dist_m4ri_CC</t>
  </si>
  <si>
    <t>Sheet</t>
  </si>
  <si>
    <t>Method</t>
  </si>
  <si>
    <t>GF4BlockEncoding</t>
  </si>
  <si>
    <t>Magma</t>
  </si>
  <si>
    <t>method: magmaMinWeight</t>
  </si>
  <si>
    <t>PauliProductType: X</t>
  </si>
  <si>
    <t>SingleQubitPauliErrors: 1</t>
  </si>
  <si>
    <t>fourBlock: 1</t>
  </si>
  <si>
    <t>CCstart: 1</t>
  </si>
  <si>
    <t>outfile: /Users/markwebster/Dropbox/QuantumComputing/dev/codeDistance/results/codeTables-QECC_sample.txt-magmaMinWeight-20251230_121035.609401_85062422.txt</t>
  </si>
  <si>
    <t>0.8679157500009751</t>
  </si>
  <si>
    <t>Magma V2.28-26    Tue Dec 30 2025 12:10:36 on Marks-MacBook-Air-2 [Seed = \n672301251]\nType ? for help.  Type &lt;Ctrl&gt;-D to quit.\n[0 1 0 0 0 0]\n[0 0 1 0 0 0]\n[[3, 1]] quantum code over GF(2^2), stabilised by:\n[    0     1     0]\n[    0     0     1]\nCalculating the Weight Distribution for [3, 4] linear code, #R = 4\nNumber of threads: 1\nCalculating the Weight Distribution for [3, 2] linear code, #R = 4\nNumber of threads: 1\nDoing quick check for code being known to be MDS:\nCode is not known to be MDS\nCalculating the Weight Distribution for [3, 4] linear code, #R = 4\nNumber of threads: 1\nDoing quick check for code being known to be MDS:\nCode is not known to be MDS\nUsing the Dual\n1\n\nTotal time: 0.010 seconds, Total memory usage: 32.09MB\n</t>
  </si>
  <si>
    <t>0.057046084009925835</t>
  </si>
  <si>
    <t>Magma V2.28-26    Tue Dec 30 2025 12:10:36 on Marks-MacBook-Air-2 [Seed = \n3555294009]\nType ? for help.  Type &lt;Ctrl&gt;-D to quit.\n[1 0 1 0 0 0 0 0]\n[0 1 0 1 0 0 0 0]\n[0 0 0 0 1 1 1 1]\n[[4, 1]] quantum code over GF(2^2), stabilised by:\n[    1     0     1     0]\n[  $.1   $.1   $.1   $.1]\n[    0     1     0     1]\nCalculating the Weight Distribution for [4, 5] linear code, #R = 4\nNumber of threads: 1\nCalculating the Weight Distribution for [4, 3] linear code, #R = 4\nNumber of threads: 1\nDoing quick check for code being known to be MDS:\nCode is not known to be MDS\nCalculating the Weight Distribution for [4, 5] linear code, #R = 4\nNumber of threads: 1\nDoing quick check for code being known to be MDS:\nCode is not known to be MDS\nUsing the Dual\n2\n\nTotal time: 0.019 seconds, Total memory usage: 32.09MB\n</t>
  </si>
  <si>
    <t>0.057239332993049175</t>
  </si>
  <si>
    <t>Magma V2.28-26    Tue Dec 30 2025 12:10:36 on Marks-MacBook-Air-2 [Seed = \n3722933559]\nType ? for help.  Type &lt;Ctrl&gt;-D to quit.\n[1 0 0 1 1 1 0 1 0 1]\n[0 1 0 0 1 1 0 0 1 1]\n[0 0 1 1 0 1 0 0 1 1]\n[0 0 0 0 0 0 1 1 1 1]\n[[5, 1]] quantum code over GF(2^2), stabilised by:\n[    1     0 $.1^2   $.1     1]\n[  $.1     0     1 $.1^2   $.1]\n[    0     1     1     1     1]\n[    0   $.1   $.1   $.1   $.1]\nCalculating the Weight Distribution for [5, 6] linear code, #R = 4\nNumber of threads: 1\nCalculating the Weight Distribution for [5, 4] linear code, #R = 4\nNumber of threads: 1\nDoing quick check for code being known to be MDS:\nCode is not known to be MDS\nCalculating the Weight Distribution for [5, 2] linear code, #R = 4\nNumber of threads: 1\nDoing quick check for code being known to be MDS:\nCode is not known to be MDS\nCalculating the Weight Distribution for [5, 6] linear code, #R = 4\nNumber of threads: 1\nDoing quick check for code being known to be MDS:\nCode is not known to be MDS\nUsing the Dual\n3\n\nTotal time: 0.019 seconds, Total memory usage: 32.09MB\n</t>
  </si>
  <si>
    <t>Magma V2.28-26    Tue Dec 30 2025 12:10:36 on Marks-MacBook-Air-2 [Seed = \n3355275053]\nType ? for help.  Type &lt;Ctrl&gt;-D to quit.\n[1 0 0 1 1 0 1 0 1 0 1 0]\n[0 1 0 0 1 0 1 0 0 1 1 0]\n[0 0 1 1 0 0 1 0 0 1 1 0]\n[0 0 0 0 0 1 0 0 0 0 0 0]\n[0 0 0 0 0 0 0 1 1 1 1 0]\n[[6, 1]] quantum code over GF(2^2), stabilised by:\n[    1     0 $.1^2   $.1     1     0]\n[  $.1     0     1 $.1^2   $.1     0]\n[    0     1     1     1     1     0]\n[    0   $.1   $.1   $.1   $.1     0]\n[    0     0     0     0     0     1]\nQuantum GF(2)-Additive code over GF(4) of length 6 with 7 generators.\nLower Bound: 1, Upper Bound: 4\nConstructed 2 distinct generator matrices\nTotal Ranks:      4   4 \nRelative Ranks:   4   2 \n(4 4 4 2 )\n(4 4 4 2 )\nTime Taken: 0.00\nStarting search for low weight codewords... (reset timings)\nEnumerating using 1 generator at a time:\n     New codeword identified of weight 3, time 0.00\n     Impurity detected of weight 1, time 0.00\n     Discarding non-contributing rank 2 matrix\n     New Total Ranks:      4 \n     New Relative Ranks:   4 \n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0.004\n3\n\nTotal time: 0.010 seconds, Total memory usage: 32.09MB\n</t>
  </si>
  <si>
    <t>Magma V2.28-26    Tue Dec 30 2025 12:10:36 on Marks-MacBook-Air-2 [Seed = \n3254479147]\nType ? for help.  Type &lt;Ctrl&gt;-D to quit.\n[1 0 0 1 0 1 1 0 0 0 0 0 0 0]\n[0 1 0 1 1 1 0 0 0 0 0 0 0 0]\n[0 0 1 0 1 1 1 0 0 0 0 0 0 0]\n[0 0 0 0 0 0 0 1 0 0 1 0 1 1]\n[0 0 0 0 0 0 0 0 1 0 1 1 1 0]\n[0 0 0 0 0 0 0 0 0 1 0 1 1 1]\n[[7, 1]] quantum code over GF(2^2), stabilised by:\n[    1     0     0     1     0     1     1]\n[  $.1     0     0   $.1     0   $.1   $.1]\n[    0     1     0     1     1     1     0]\n[    0   $.1     0   $.1   $.1   $.1     0]\n[    0     0     1     0     1     1     1]\n[    0     0   $.1     0   $.1   $.1   $.1]\nQuantum GF(2)-Additive code over GF(4) of length 7 with 8 generators.\nLower Bound: 1, Upper Bound: 4\nBCHBound gives the lower bound = 3\nConstructed 2 distinct generator matrices\nTotal Ranks:      4   4 \nRelative Ranks:   4   3 \n(4 4 4 4 )\n(4 4 4 4 )\nTime Taken: 0.00\nStarting search for low weight codewords... (reset timings)\nEnumerating using 1 generator at a time:\n     New codeword identified of weight 3, time 0.00\nComputation complete \nFinal Results: lower = 3, upper = 3,\nTotal CPU time: 0.00, real time: 0.004\n3\n\nTotal time: 0.010 seconds, Total memory usage: 32.09MB\n</t>
  </si>
  <si>
    <t>Magma V2.28-26    Tue Dec 30 2025 12:10:36 on Marks-MacBook-Air-2 [Seed = \n3421594401]\nType ? for help.  Type &lt;Ctrl&gt;-D to quit.\n[1 0 0 1 1 0 0 0 1 0 1 0 1 0 0 0]\n[0 1 0 0 1 0 0 0 1 0 0 1 1 0 0 0]\n[0 0 1 1 0 0 0 0 1 0 0 1 1 0 0 0]\n[0 0 0 0 0 1 0 0 0 0 0 0 0 0 0 0]\n[0 0 0 0 0 0 1 0 0 0 0 0 0 0 0 0]\n[0 0 0 0 0 0 0 1 0 0 0 0 0 0 0 0]\n[0 0 0 0 0 0 0 0 0 1 1 1 1 0 0 0]\n[[8, 1]] quantum code over GF(2^2), stabilised by:\n[    1     0 $.1^2   $.1     1     0     0     0]\n[  $.1     0     1 $.1^2   $.1     0     0     0]\n[    0     1     1     1     1     0     0     0]\n[    0   $.1   $.1   $.1   $.1     0     0     0]\n[    0     0     0     0     0     1     0     0]\n[    0     0     0     0     0     0     1     0]\n[    0     0     0     0     0     0     0     1]\nQuantum GF(2)-Additive code over GF(4) of length 8 with 9 generators.\nLower Bound: 1, Upper Bound: 5\nConstructed 2 distinct generator matrices\nTotal Ranks:      6   6 \nRelative Ranks:   6   2 \n(4 4 4 2 2 2 )\n(4 4 4 2 2 2 )\n     Discarding non-contributing rank 2 matrix\n     New Total Ranks:      6 \n     New Relative Ranks:   6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</si>
  <si>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12:10:36 on Marks-MacBook-Air-2 [Seed = \n4124007711]\nType ? for help.  Type &lt;Ctrl&gt;-D to quit.\n[1 0 0 1 1 0 0 0 0 1 0 1 0 1 0 0 0 0]\n[0 1 0 0 1 0 0 0 0 1 0 0 1 1 0 0 0 0]\n[0 0 1 1 0 0 0 0 0 1 0 0 1 1 0 0 0 0]\n[0 0 0 0 0 1 0 0 0 0 0 0 0 0 0 0 0 0]\n[0 0 0 0 0 0 1 0 0 0 0 0 0 0 0 0 0 0]\n[0 0 0 0 0 0 0 1 0 0 0 0 0 0 0 0 0 0]\n[0 0 0 0 0 0 0 0 1 0 0 0 0 0 0 0 0 0]\n[0 0 0 0 0 0 0 0 0 0 1 1 1 1 0 0 0 0]\n[[9, 1]] quantum code over GF(2^2), stabilised by:\n[    1     0 $.1^2   $.1     1     0     0     0     0]\n[  $.1     0     1 $.1^2   $.1     0     0     0     0]\n[    0     1     1     1     1     0     0     0     0]\n[    0   $.1   $.1   $.1   $.1     0     0     0     0]\n[    0     0     0     0     0     1     0     0     0]\n[    0     0     0     0     0     0     1     0     0]\n[    0     0     0     0     0     0     0     1     0]\n[    0     0     0     0     0     0     0     0     1]\nQuantum GF(2)-Additive code over GF(4) of length 9 with 10 generators.\nLower Bound: 1, Upper Bound: 5\nConstructed 2 distinct generator matrices\nTotal Ranks:      7   7 \nRelative Ranks:   7   2 \n(4 4 4 2 2 2 2 )\n(4 4 4 2 2 2 2 )\n     Discarding non-contributing rank 2 matrix\n     New Total Ranks:      7 \n     New Relative Ranks:   7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</si>
  <si>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12:10:36 on Marks-MacBook-Air-2 [Seed = \n4291122965]\nType ? for help.  Type &lt;Ctrl&gt;-D to quit.\n[1 0 0 0 0 1 0 0 0 0 0 1 0 1 0 0 0 1 1 0]\n[0 1 0 0 0 1 0 0 0 0 0 1 0 1 1 1 0 0 1 1]\n[0 0 1 0 0 1 0 1 0 0 0 0 1 1 1 1 0 0 0 0]\n[0 0 0 1 0 1 0 0 0 0 0 1 1 1 0 1 1 0 0 1]\n[0 0 0 0 1 1 0 1 0 0 0 1 0 0 0 1 1 1 0 0]\n[0 0 0 0 0 0 1 1 0 0 0 1 1 0 1 1 0 0 1 1]\n[0 0 0 0 0 0 0 0 1 0 0 0 1 1 1 1 1 0 0 1]\n[0 0 0 0 0 0 0 0 0 1 0 1 1 1 1 0 0 1 1 0]\n[0 0 0 0 0 0 0 0 0 0 1 1 1 1 1 1 0 0 0 0]\n[[10, 1]] quantum code over GF(2^2), stabilised by:\n[    1     0     0     0     0     1 $.1^2 $.1^2     1     0]\n[  $.1     0     0     0     0   $.1     0   $.1   $.1     1]\n[    0     1     0     0   $.1 $.1^2 $.1^2     1     1   $.1]\n[    0   $.1     0     0     0   $.1   $.1   $.1 $.1^2 $.1^2]\n[    0     0     1     0     0     1   $.1     1     1   $.1]\n[    0     0   $.1     0   $.1     0 $.1^2 $.1^2     1     1]\n[    0     0     0     1   $.1 $.1^2   $.1   $.1   $.1 $.1^2]\n[    0     0     0   $.1     0   $.1     1 $.1^2     0 $.1^2]\n[    0     0     0     0     1     1     0     1 $.1^2 $.1^2]\nQuantum GF(2)-Additive code over GF(4) of length 10 with 11 generators.\nLower Bound: 1, Upper Bound: 6\nConstructed 2 distinct generator matrices\nTotal Ranks:      6   6 \nRelative Ranks:   6   4 \n(4 4 4 4 4 2 )\n(4 4 4 4 2 4 )\nTime Taken: 0.00\nStarting search for low weight codewords... (reset timings)\nEnumerating using 1 generator at a time:\n     New codeword identified of weight 5, time 0.00\n     New codeword identified of weight 4, time 0.00\n   Completed Matrix  1:  lower =  2, upper =  4. Elapsed: 0.00s\n   Completed Matrix  2:  lower =  2, upper =  4. Elapsed: 0.00s\nTermination predicted with 2 generators at matrix 2\nEnumerating using 2 generators at a time:\n   Completed Matrix  1:  lower =  3, upper =  4. Elapsed: 0.00s\n   Completed Matrix  2:  lower =  4, upper =  4. Elapsed: 0.00s\nComputation complete \nFinal Results: lower = 4, upper = 4,\nTotal CPU time: 0.00, real time: 0.001\n4\n\nTotal time: 0.010 seconds, Total memory usage: 32.09MB\n</t>
  </si>
  <si>
    <t>Magma V2.28-26    Tue Dec 30 2025 12:10:36 on Marks-MacBook-Air-2 [Seed = \n4190327058]\nType ? for help.  Type &lt;Ctrl&gt;-D to quit.\n[1 0 0 0 0 1 0 0 0 0 0 0 1 0 1 0 0 0 1 1 0 0]\n[0 1 0 0 0 1 0 0 0 0 0 0 1 0 1 1 1 0 0 1 1 0]\n[0 0 1 0 0 1 0 0 0 0 0 0 1 0 0 1 0 0 0 0 1 1]\n[0 0 0 1 0 1 0 0 0 0 0 0 1 1 1 0 1 1 0 0 1 0]\n[0 0 0 0 1 1 0 0 0 0 0 0 0 1 1 0 0 1 1 0 1 1]\n[0 0 0 0 0 0 1 0 0 0 1 0 0 1 1 0 0 1 1 1 0 1]\n[0 0 0 0 0 0 0 1 0 0 1 0 1 0 1 1 1 1 1 0 1 1]\n[0 0 0 0 0 0 0 0 1 0 1 0 0 0 1 0 1 0 1 0 1 0]\n[0 0 0 0 0 0 0 0 0 1 1 0 1 0 1 0 0 1 0 1 0 0]\n[0 0 0 0 0 0 0 0 0 0 0 1 1 1 1 1 1 0 0 0 0 0]\n[[11, 1]] quantum code over GF(2^2), stabilised by:\n[    1     0     0     0     0     1   $.1   $.1     0     1     1]\n[  $.1     0     0     0     0   $.1     1 $.1^2 $.1^2     0     1]\n[    0     1     0     0     0     1   $.1 $.1^2   $.1     0 $.1^2]\n[    0   $.1     0     0     0   $.1   $.1   $.1 $.1^2 $.1^2     0]\n[    0     0     1     0     0     1   $.1     1     1   $.1     0]\n[    0     0   $.1     0     0   $.1 $.1^2     0 $.1^2   $.1   $.1]\n[    0     0     0     1     0     1 $.1^2     0     1     1 $.1^2]\n[    0     0     0   $.1     0   $.1     0   $.1     1   $.1     1]\n[    0     0     0     0     1     1     1     0   $.1   $.1     1]\n[    0     0     0     0   $.1   $.1     0 $.1^2   $.1 $.1^2   $.1]\nQuantum GF(2)-Additive code over GF(4) of length 11 with 12 generators.\nLower Bound: 1, Upper Bound: 6\nConstructed 2 distinct generator matrices\nTotal Ranks:      6   6 \nRelative Ranks:   6   5 \n(4 4 4 4 4 4 )\n(4 4 4 4 4 4 )\nTime Taken: 0.00\nStarting search for low weight codewords... (reset timings)\nEnumerating using 1 generator at a time:\n     New codeword identified of weight 5, time 0.00\n   Completed Matrix  1:  lower =  2, upper =  5. Elapsed: 0.00s\n   Completed Matrix  2:  lower =  3, upper =  5. Elapsed: 0.00s\nTermination predicted with 2 generators at matrix 2\nEnumerating using 2 generators at a time:\n   Completed Matrix  1:  lower =  4, upper =  5. Elapsed: 0.00s\n   Completed Matrix  2:  lower =  5, upper =  5. Elapsed: 0.00s\nComputation complete \nFinal Results: lower = 5, upper = 5,\nTotal CPU time: 0.00, real time: 0.001\n5\n\nTotal time: 0.010 seconds, Total memory usage: 32.09MB\n</t>
  </si>
  <si>
    <t>Magma V2.28-26    Tue Dec 30 2025 12:10:37 on Marks-MacBook-Air-2 [Seed = \n3822668552]\nType ? for help.  Type &lt;Ctrl&gt;-D to quit.\n[1 0 0 0 0 1 0 1 0 1 0 1 1 0 0 1 0 1 0 0 1 1 1 1]\n[0 1 0 0 0 1 1 0 1 0 1 0 1 0 0 1 1 0 1 1 0 0 1 1]\n[0 0 1 0 0 0 0 1 1 0 0 1 0 1 0 0 1 0 0 1 0 1 1 0]\n[0 0 0 1 0 0 0 1 1 0 1 0 1 0 0 0 0 1 0 1 0 1 0 1]\n[0 0 0 0 1 1 1 1 1 1 0 0 1 1 0 0 1 1 0 0 0 0 1 1]\n[0 0 0 0 0 0 0 0 0 0 0 0 0 0 1 1 1 1 1 1 1 1 1 1]\n[[12, 6]] quantum code over GF(2^2), stabilised by:\n[    1     0     0 $.1^2     0     1     0   $.1 $.1^2     1 $.1^2     1]\n[  $.1     0     0     1     0   $.1     0 $.1^2     1   $.1     1   $.1]\n[    0     1     0 $.1^2   $.1 $.1^2 $.1^2     1     0   $.1   $.1     0]\n[    0   $.1     0     1 $.1^2     1     1   $.1     0 $.1^2 $.1^2     0]\n[    0     0     1     1     1     1     1     1     1     1     1     1]\n[    0     0   $.1   $.1   $.1   $.1   $.1   $.1   $.1   $.1   $.1   $.1]\nQuantum GF(2)-Additive code over GF(4) of length 12 with 18 generators.\nLower Bound: 1, Upper Bound: 4\nConstructed 2 distinct generator matrices\nTotal Ranks:      9   9 \nRelative Ranks:   9   3 \n(4 4 4 4 4 4 4 4 4 )\n(4 4 4 4 4 4 4 4 4 )\n     Discarding non-contributing rank 3 matrix\n     New Total Ranks:      9 \n     New Relative Ranks:   9 \nTime Taken: 0.00\nStarting search for low weight codewords... (reset timings)\nEnumerating using 1 generator at a time:\n     New codeword identified of weight 3,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</si>
  <si>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12:10:37 on Marks-MacBook-Air-2 [Seed = \n3990308102]\nType ? for help.  Type &lt;Ctrl&gt;-D to quit.\n[1 0 0 0 0 1 0 1 0 1 0 1 0 1 0 0 1 0 1 0 0 1 1 1 1 0]\n[0 1 0 0 0 1 1 0 1 0 1 0 0 1 0 0 1 1 0 1 1 0 0 1 1 0]\n[0 0 1 0 0 0 0 1 1 0 0 1 0 0 1 0 0 1 0 0 1 0 1 1 0 0]\n[0 0 0 1 0 0 0 1 1 0 1 0 0 1 0 0 0 0 1 0 1 0 1 0 1 0]\n[0 0 0 0 1 1 1 1 1 1 0 0 0 1 1 0 0 1 1 0 0 0 0 1 1 0]\n[0 0 0 0 0 0 0 0 0 0 0 0 1 0 0 0 0 0 0 0 0 0 0 0 0 0]\n[0 0 0 0 0 0 0 0 0 0 0 0 0 0 0 1 1 1 1 1 1 1 1 1 1 0]\n[[13, 6]] quantum code over GF(2^2), stabilised by:\n[    1     0     0 $.1^2     0     1     0   $.1 $.1^2     1 $.1^2     1     0]\n[  $.1     0     0     1     0   $.1     0 $.1^2     1   $.1     1   $.1     0]\n[    0     1     0 $.1^2   $.1 $.1^2 $.1^2     1     0   $.1   $.1     0     0]\n[    0   $.1     0     1 $.1^2     1     1   $.1     0 $.1^2 $.1^2     0     0]\n[    0     0     1     1     1     1     1     1     1     1     1     1     0]\n[    0     0   $.1   $.1   $.1   $.1   $.1   $.1   $.1   $.1   $.1   $.1     0]\n[    0     0     0     0     0     0     0     0     0     0     0     0     1]\nQuantum GF(2)-Additive code over GF(4) of length 13 with 19 generators.\nLower Bound: 1, Upper Bound: 5\nConstructed 2 distinct generator matrices\nTotal Ranks:     10  10 \nRelative Ranks:  10   3 \n(4 4 4 4 4 4 4 4 4 2 )\n(4 4 4 4 4 4 4 4 4 2 )\n     Discarding non-contributing rank 3 matrix\n     New Total Ranks:     10 \n     New Relative Ranks:  10 \nTime Taken: 0.00\nStarting search for low weight codewords... (reset timings)\nEnumerating using 1 generator at a time:\n     New codeword identified of weight 3, time 0.00\n     Impurity detected of weight 1, time 0.00\n   Completed Matrix  1:  lower =  2, upper =  3. Elapsed: 0.00s\nTermination predicted with 2 generators at matrix 1\nEnumerating using 2 generators at a time:\n   Completed Matrix  1:  lower =  3, upper =  3. Elapsed: 0.00s\nComputation complete \nFinal Results: lower = 3, upper = 3,\nTotal CPU time: 0.00, real time: 0.001\n3\n\nTotal time: 0.010 seconds, Total memory usage: 32.09MB\n</t>
  </si>
  <si>
    <t>Magma V2.28-26    Tue Dec 30 2025 12:10:37 on Marks-MacBook-Air-2 [Seed = \n2544713596]\nType ? for help.  Type &lt;Ctrl&gt;-D to quit.\n[1 0 0 0 0 0 0 0 0 0 0 0 1 0 0 0 0 1 1 1 0 1 1 1 0 0 0 0]\n[0 1 0 0 0 0 0 0 0 0 0 0 0 1 0 0 0 0 1 1 1 0 1 1 1 0 0 0]\n[0 0 1 0 0 0 0 0 0 0 0 0 1 0 0 0 0 1 1 0 1 0 1 0 1 1 0 0]\n[0 0 0 1 0 0 0 0 0 0 0 0 0 1 0 0 0 0 1 1 0 1 0 1 0 1 1 0]\n[0 0 0 0 1 0 0 0 0 0 0 0 1 0 0 0 0 1 1 0 1 1 0 1 1 0 1 1]\n[0 0 0 0 0 1 0 0 0 0 0 0 0 1 1 0 0 0 1 1 0 1 1 0 1 1 0 1]\n[0 0 0 0 0 0 1 0 0 0 0 0 1 0 1 1 0 1 1 0 1 1 0 0 0 1 1 0]\n[0 0 0 0 0 0 0 1 0 0 0 0 0 1 0 1 1 0 1 1 0 1 1 0 0 0 1 1]\n[0 0 0 0 0 0 0 0 1 0 0 0 1 0 1 0 1 0 1 0 1 1 0 0 0 0 0 1]\n[0 0 0 0 0 0 0 0 0 1 0 0 0 1 1 1 0 1 0 1 0 1 1 0 0 0 0 0]\n[0 0 0 0 0 0 0 0 0 0 1 0 1 0 0 1 1 1 0 1 1 1 0 0 0 0 0 0]\n[0 0 0 0 0 0 0 0 0 0 0 1 0 1 0 0 1 1 1 0 1 1 1 0 0 0 0 0]\n[[14, 2]] quantum code over GF(2^2), stabilised by:\n[1 0 0 0 0 0 1 1 1 $.1 0 $.1 1 1]\n[$.1 0 0 0 0 0 $.1 $.1^2 $.1 1 0 1 $.1 $.1^2]\n[0 1 0 0 0 0 1 0 0 $.1^2 $.1 $.1 $.1^2 0]\n[0 $.1 0 0 0 0 $.1^2 0 0 1 1 $.1^2 $.1 0]\n[0 0 1 0 0 0 0 1 0 0 $.1^2 $.1 $.1 $.1^2]\n[0 0 $.1 0 0 0 0 $.1^2 0 0 1 1 $.1^2 $.1]\n[0 0 0 1 0 0 $.1^2 $.1 $.1 $.1^2 0 0 1 0]\n[0 0 0 $.1 0 0 $.1 $.1^2 1 1 0 0 $.1^2 0]\n[0 0 0 0 1 0 0 $.1^2 $.1 $.1 $.1^2 0 0 1]\n[0 0 0 0 $.1 0 0 $.1 $.1^2 1 1 0 0 $.1^2]\n[0 0 0 0 0 1 1 1 $.1 0 $.1 1 1 1]\n[0 0 0 0 0 $.1 $.1^2 $.1 1 0 1 $.1 $.1^2 $.1]\nQuantum GF(2)-Additive code over GF(4) of length 14 with 16 generators.\nLower Bound: 1, Upper Bound: 7\nConstructed 2 distinct generator matrices\nTotal Ranks:      8   8 \nRelative Ranks:   8   6 \n(4 4 4 4 4 4 4 4 )\n(4 4 4 4 4 4 4 4 )\nTime Taken: 0.00\nStarting search for low weight codewords... (reset timings)\nEnumerating using 1 generator at a time:\n     New codeword identified of weight 5, time 0.00\n   Completed Matrix  1:  lower =  2, upper =  5. Elapsed: 0.00s\n   Completed Matrix  2:  lower =  2, upper =  5. Elapsed: 0.00s\nTermination predicted with 3 generators at matrix 1\nEnumerating using 2 generators at a time:\n   Completed Matrix  1:  lower =  3, upper =  5. Elapsed: 0.00s\n   Completed Matrix  2:  lower =  4, upper =  5. Elapsed: 0.00s\nTermination predicted with 3 generators at matrix 1\nEnumerating using 3 generators at a time:\n   Completed Matrix  1:  lower =  5, upper =  5. Elapsed: 0.00s\nComputation complete \nFinal Results: lower = 5, upper = 5,\nTotal CPU time: 0.00, real time: 0.001\n5\n\nTotal time: 0.010 seconds, Total memory usage: 32.09MB\n</t>
  </si>
  <si>
    <t>0.054226708991336636</t>
  </si>
  <si>
    <t>Magma V2.28-26    Tue Dec 30 2025 12:10:37 on Marks-MacBook-Air-2 [Seed = \n2443917690]\nType ? for help.  Type &lt;Ctrl&gt;-D to quit.\n[1 0 0 0 0 0 0 0 0 0 0 0 1 0 0 0 0 0 1 1 1 0 1 1 1 0 0 0 0 0]\n[0 1 0 0 0 0 0 0 0 0 0 0 0 1 0 0 0 0 0 1 1 1 0 1 1 1 0 0 0 0]\n[0 0 1 0 0 0 0 0 0 0 0 0 1 0 0 0 0 0 1 1 0 1 0 1 0 1 1 0 0 0]\n[0 0 0 1 0 0 0 0 0 0 0 0 0 1 0 0 0 0 0 1 1 0 1 0 1 0 1 1 0 0]\n[0 0 0 0 1 0 0 0 0 0 0 0 1 0 0 0 0 0 1 1 0 1 1 0 1 1 0 1 1 0]\n[0 0 0 0 0 1 0 0 0 0 0 0 0 1 0 1 0 0 0 1 1 0 1 1 0 1 1 0 1 0]\n[0 0 0 0 0 0 1 0 0 0 0 0 1 0 0 1 1 0 1 1 0 1 1 0 0 0 1 1 0 0]\n[0 0 0 0 0 0 0 1 0 0 0 0 0 1 0 0 1 1 0 1 1 0 1 1 0 0 0 1 1 0]\n[0 0 0 0 0 0 0 0 1 0 0 0 1 0 0 1 0 1 0 1 0 1 1 0 0 0 0 0 1 0]\n[0 0 0 0 0 0 0 0 0 1 0 0 0 1 0 1 1 0 1 0 1 0 1 1 0 0 0 0 0 0]\n[0 0 0 0 0 0 0 0 0 0 1 0 1 0 0 0 1 1 1 0 1 1 1 0 0 0 0 0 0 0]\n[0 0 0 0 0 0 0 0 0 0 0 1 0 1 0 0 0 1 1 1 0 1 1 1 0 0 0 0 0 0]\n[0 0 0 0 0 0 0 0 0 0 0 0 0 0 1 0 0 0 0 0 0 0 0 0 0 0 0 0 0 0]\n[[15, 2]] quantum code over GF(2^2), stabilised by:\n[1 0 0 0 0 0 1 1 1 $.1 0 $.1 1 1 0]\n[$.1 0 0 0 0 0 $.1 $.1^2 $.1 1 0 1 $.1 $.1^2 0]\n[0 1 0 0 0 0 1 0 0 $.1^2 $.1 $.1 $.1^2 0 0]\n[0 $.1 0 0 0 0 $.1^2 0 0 1 1 $.1^2 $.1 0 0]\n[0 0 1 0 0 0 0 1 0 0 $.1^2 $.1 $.1 $.1^2 0]\n[0 0 $.1 0 0 0 0 $.1^2 0 0 1 1 $.1^2 $.1 0]\n[0 0 0 1 0 0 $.1^2 $.1 $.1 $.1^2 0 0 1 0 0]\n[0 0 0 $.1 0 0 $.1 $.1^2 1 1 0 0 $.1^2 0 0]\n[0 0 0 0 1 0 0 $.1^2 $.1 $.1 $.1^2 0 0 1 0]\n[0 0 0 0 $.1 0 0 $.1 $.1^2 1 1 0 0 $.1^2 0]\n[0 0 0 0 0 1 1 1 $.1 0 $.1 1 1 1 0]\n[0 0 0 0 0 $.1 $.1^2 $.1 1 0 1 $.1 $.1^2 $.1 0]\n[0 0 0 0 0 0 0 0 0 0 0 0 0 0 1]\nQuantum GF(2)-Additive code over GF(4) of length 15 with 17 generators.\nLower Bound: 1, Upper Bound: 8\nConstructed 2 distinct generator matrices\nTotal Ranks:      9   9 \nRelative Ranks:   9   6 \n(4 4 4 4 4 4 4 4 2 )\n(4 4 4 4 4 4 4 4 2 )\nTime Taken: 0.00\nStarting search for low weight codewords... (reset timings)\nEnumerating using 1 generator at a time:\n     New codeword identified of weight 5, time 0.00\n     Impurity detected of weight 1, time 0.00\n   Completed Matrix  1:  lower =  2, upper =  5. Elapsed: 0.00s\n   Completed Matrix  2:  lower =  2, upper =  5. Elapsed: 0.00s\nTermination predicted with 3 generators at matrix 2\nEnumerating using 2 generators at a time:\n   Completed Matrix  1:  lower =  3, upper =  5. Elapsed: 0.00s\n   Completed Matrix  2:  lower =  3, upper =  5. Elapsed: 0.00s\nTermination predicted with 3 generators at matrix 2\nEnumerating using 3 generators at a time:\n   Completed Matrix  1:  lower =  4, upper =  5. Elapsed: 0.00s\n   Completed Matrix  2:  lower =  5, upper =  5. Elapsed: 0.00s\nComputation complete \nFinal Results: lower = 5, upper = 5,\nTotal CPU time: 0.00, real time: 0.002\n5\n\nTotal time: 0.010 seconds, Total memory usage: 32.09MB\n</t>
  </si>
  <si>
    <t>Magma V2.28-26    Tue Dec 30 2025 12:10:37 on Marks-MacBook-Air-2 [Seed = \n2611032944]\nType ? for help.  Type &lt;Ctrl&gt;-D to quit.\n[1 0 0 0 0 0 0 0 0 0 0 0 0 0 0 1 0 1 1 0 0 1 1 1 1 1 1 0 0 1 1 0]\n[0 1 0 0 0 0 0 0 0 0 0 0 0 0 0 1 0 0 0 1 1 1 1 1 0 0 1 0 0 0 0 1]\n[0 0 1 0 0 0 0 0 0 0 0 0 0 0 0 1 1 1 1 0 1 0 0 0 0 1 1 1 0 1 1 0]\n[0 0 0 1 0 0 0 0 0 0 0 0 0 0 0 1 0 0 0 0 0 1 0 1 1 0 1 1 0 1 0 0]\n[0 0 0 0 1 0 0 0 0 0 0 0 0 0 0 1 0 0 1 0 1 1 1 0 0 0 0 0 1 0 0 0]\n[0 0 0 0 0 1 0 0 0 0 0 0 0 0 0 1 0 1 1 0 0 1 1 0 1 0 0 0 1 0 1 1]\n[0 0 0 0 0 0 1 0 0 0 0 0 0 0 0 1 1 0 0 0 1 0 0 1 1 1 1 1 1 1 1 0]\n[0 0 0 0 0 0 0 1 0 0 0 0 0 0 0 1 0 1 1 0 1 0 0 0 0 0 1 0 1 1 0 1]\n[0 0 0 0 0 0 0 0 1 0 0 0 0 0 0 1 1 1 0 1 0 0 1 1 1 1 1 1 0 0 0 0]\n[0 0 0 0 0 0 0 0 0 1 0 0 0 0 0 1 0 0 0 1 1 0 0 0 0 1 1 1 0 1 1 1]\n[0 0 0 0 0 0 0 0 0 0 1 0 0 0 0 1 1 0 1 1 0 1 1 0 1 0 0 0 0 0 0 0]\n[0 0 0 0 0 0 0 0 0 0 0 1 0 0 0 1 0 1 1 1 0 1 1 1 1 0 0 1 0 0 1 0]\n[0 0 0 0 0 0 0 0 0 0 0 0 1 0 0 1 0 1 0 0 1 0 1 0 0 1 0 0 0 1 1 0]\n[0 0 0 0 0 0 0 0 0 0 0 0 0 1 0 1 0 0 0 0 1 0 0 1 1 1 1 1 0 0 0 1]\n[0 0 0 0 0 0 0 0 0 0 0 0 0 0 1 1 1 1 1 0 0 0 1 1 0 0 0 1 1 1 1 0]\n[[16, 1]] quantum code over GF(2^2), stabilised by:\n[1 0 0 0 0 0 0 $.1 $.1 $.1^2 $.1 $.1^2 0 1 $.1 0]\n[$.1 0 0 0 0 0 0 $.1 $.1^2 $.1^2 0 0 1 0 0 $.1^2]\n[0 1 0 0 0 0 0 0 $.1 $.1 $.1^2 $.1 $.1^2 0 1 $.1]\n[0 $.1 0 0 0 0 0 0 $.1^2 $.1^2 1 $.1^2 1 0 $.1 $.1^2]\n[0 0 1 0 0 0 0 $.1 $.1^2 $.1^2 $.1^2 $.1^2 $.1 $.1 1 $.1]\n[0 0 $.1 0 0 0 0 $.1 1 $.1^2 $.1 0 $.1 1 1 0]\n[0 0 0 1 0 0 0 $.1 1 $.1 $.1 $.1^2 $.1^2 $.1^2 $.1^2 $.1]\n[0 0 0 $.1 0 0 0 $.1 $.1 1 0 0 0 $.1^2 $.1 0]\n[0 0 0 0 1 0 0 $.1 1 0 $.1^2 $.1 $.1^2 $.1 $.1 0]\n[0 0 0 0 $.1 0 0 $.1 $.1 $.1 $.1 $.1 0 1 0 $.1^2]\n[0 0 0 0 0 1 0 0 $.1 1 0 $.1^2 $.1 $.1^2 $.1 $.1]\n[0 0 0 0 0 $.1 0 0 $.1^2 $.1 0 1 $.1^2 1 $.1^2 $.1^2]\n[0 0 0 0 0 0 1 $.1 $.1^2 $.1^2 0 0 $.1^2 $.1^2 $.1 1]\n[0 0 0 0 0 0 $.1 $.1 1 $.1^2 $.1^2 1 0 $.1^2 0 1]\n[0 0 0 0 0 0 0 1 0 $.1 $.1^2 1 1 $.1 $.1^2 $.1^2]\nQuantum GF(2)-Additive code over GF(4) of length 16 with 17 generators.\nLower Bound: 1, Upper Bound: 9\nConstructed 2 distinct generator matrices\nTotal Ranks:      9   9 \nRelative Ranks:   9   7 \n(4 4 4 4 4 4 4 4 2 )\n(4 4 4 4 4 4 4 4 2 )\nTime Taken: 0.00\nStarting search for low weight codewords... (reset timings)\nEnumerating using 1 generator at a time:\n     New codeword identified of weight 8, time 0.00\n     New codeword identified of weight 7, time 0.00\n     New codeword identified of weight 6, time 0.00\n   Completed Matrix  1:  lower =  2, upper =  6. Elapsed: 0.00s\n   Completed Matrix  2:  lower =  2, upper =  6. Elapsed: 0.00s\nTermination predicted with 3 generators at matrix 2\nEnumerating using 2 generators at a time:\n   Completed Matrix  1:  lower =  3, upper =  6. Elapsed: 0.00s\n   Completed Matrix  2:  lower =  4, upper =  6. Elapsed: 0.00s\nTermination predicted with 3 generators at matrix 2\nEnumerating using 3 generators at a time:\n   Completed Matrix  1:  lower =  5, upper =  6. Elapsed: 0.00s\n   Completed Matrix  2:  lower =  6, upper =  6. Elapsed: 0.00s\nComputation complete \nFinal Results: lower = 6, upper = 6,\nTotal CPU time: 0.00, real time: 0.001\n6\n\nTotal time: 0.010 seconds, Total memory usage: 32.09MB\n</t>
  </si>
  <si>
    <t>0.054344375006621704</t>
  </si>
  <si>
    <t>Magma V2.28-26    Tue Dec 30 2025 12:10:37 on Marks-MacBook-Air-2 [Seed = \n2243898734]\nType ? for help.  Type &lt;Ctrl&gt;-D to quit.\n[1 0 0 0 0 0 0 0 0 0 0 0 1 0 0 0 0 0 0 1 0 1 1 0 1 1 0 1 0 0 0 0 0 0]\n[0 1 0 0 0 0 0 0 0 0 0 0 0 1 0 0 0 0 0 0 1 0 1 1 0 1 1 0 1 0 0 0 0 0]\n[0 0 1 0 0 0 0 0 0 0 0 0 0 0 1 0 0 0 0 0 0 1 0 1 1 0 1 1 0 1 0 0 0 0]\n[0 0 0 1 0 0 0 0 0 0 0 0 1 0 0 0 0 0 1 0 0 1 1 1 1 1 1 1 1 0 0 1 0 0]\n[0 0 0 0 1 0 0 0 0 0 0 0 0 0 1 0 0 1 1 0 0 1 1 0 1 0 0 0 1 0 1 1 0 0]\n[0 0 0 0 0 1 0 0 0 0 0 0 1 1 1 0 0 1 1 0 0 0 1 1 0 0 0 1 0 0 0 1 0 0]\n[0 0 0 0 0 0 1 0 0 0 0 0 1 0 0 0 0 1 1 0 0 0 0 1 1 1 0 1 1 1 0 0 0 0]\n[0 0 0 0 0 0 0 1 0 0 0 0 0 1 0 0 0 0 1 1 0 0 0 0 1 1 1 0 1 1 1 0 0 0]\n[0 0 0 0 0 0 0 0 1 0 0 0 0 0 1 0 0 0 0 1 1 0 0 0 0 1 1 1 0 1 1 1 0 0]\n[0 0 0 0 0 0 0 0 0 1 0 0 1 1 1 0 0 1 0 1 1 1 0 0 0 1 1 0 1 1 1 1 0 0]\n[0 0 0 0 0 0 0 0 0 0 1 0 1 0 0 0 0 1 1 1 1 1 1 0 0 1 1 0 0 0 1 1 0 0]\n[0 0 0 0 0 0 0 0 0 0 0 1 0 0 1 0 0 1 0 0 1 0 1 0 0 1 0 0 0 1 1 0 0 0]\n[0 0 0 0 0 0 0 0 0 0 0 0 0 0 0 1 0 0 0 0 0 0 0 0 0 0 0 0 0 0 0 0 0 0]\n[0 0 0 0 0 0 0 0 0 0 0 0 0 0 0 0 1 0 0 0 0 0 0 0 0 0 0 0 0 0 0 0 0 0]\n[[17, 3]] quantum code over GF(2^2), stabilised by:\n[1 0 0 0 0 0 0 $.1 $.1 $.1^2 $.1 $.1^2 0 1 $.1 0 0]\n[$.1 0 0 0 0 0 0 $.1^2 $.1^2 1 $.1^2 1 0 $.1 $.1^2 0 0]\n[0 1 0 0 0 0 $.1 $.1^2 $.1^2 $.1^2 $.1^2 $.1 $.1 1 $.1 0 0]\n[0 $.1 0 0 0 0 $.1^2 1 1 1 1 $.1^2 $.1^2 $.1 $.1^2 0 0]\n[0 0 1 0 0 0 $.1 1 $.1 $.1 $.1^2 $.1^2 $.1^2 $.1^2 $.1 0 0]\n[0 0 $.1 0 0 0 $.1^2 $.1 $.1^2 $.1^2 1 1 1 1 $.1^2 0 0]\n[0 0 0 1 0 0 $.1 1 0 $.1^2 $.1 $.1^2 $.1 $.1 0 0 0]\n[0 0 0 $.1 0 0 $.1^2 $.1 0 1 $.1^2 1 $.1^2 $.1^2 0 0 0]\n[0 0 0 0 1 0 0 $.1 1 0 $.1^2 $.1 $.1^2 $.1 $.1 0 0]\n[0 0 0 0 $.1 0 0 $.1^2 $.1 0 1 $.1^2 1 $.1^2 $.1^2 0 0]\n[0 0 0 0 0 1 $.1 $.1^2 $.1^2 0 0 $.1^2 $.1^2 $.1 1 0 0]\n[0 0 0 0 0 $.1 $.1^2 1 1 0 0 1 1 $.1^2 $.1 0 0]\n[0 0 0 0 0 0 0 0 0 0 0 0 0 0 0 1 0]\n[0 0 0 0 0 0 0 0 0 0 0 0 0 0 0 0 1]\nQuantum GF(2)-Additive code over GF(4) of length 17 with 20 generators.\nLower Bound: 1, Upper Bound: 8\nConstructed 2 distinct generator matrices\nTotal Ranks:     11  11 \nRelative Ranks:  11   6 \n(4 4 4 4 4 4 4 4 4 2 2 )\n(4 4 4 4 4 4 4 4 4 2 2 )\nTime Taken: 0.00\nStarting search for low weight codewords... (reset timings)\nEnumerating using 1 generator at a time:\n     New codeword identified of weight 6, time 0.00\n     New codeword identified of weight 5, time 0.00\n     Impurity detected of weight 1, time 0.00\n     Discarding non-contributing rank 6 matrix\n     New Total Ranks:     11 \n     New Relative Ranks:  11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</si>
  <si>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Magma V2.28-26    Tue Dec 30 2025 12:10:37 on Marks-MacBook-Air-2 [Seed = \n2411013988]\nType ? for help.  Type &lt;Ctrl&gt;-D to quit.\n[1 0 0 0 0 0 0 0 0 0 0 0 0 1 1 0 0 0 1 0 1 1 1 0 0 0 1 1 1 1 0 1 0 1 0 0]\n[0 1 0 0 0 0 0 0 0 0 0 0 0 1 1 1 0 0 1 1 1 0 0 1 0 0 1 0 0 0 0 1 0 1 0 1]\n[0 0 1 0 0 0 0 0 0 0 0 0 0 1 1 1 1 0 0 1 0 0 1 0 1 0 1 0 1 1 1 1 0 1 0 1]\n[0 0 0 1 0 0 0 0 0 0 0 0 0 1 1 1 1 1 1 0 0 1 1 1 0 1 1 0 1 0 1 0 0 1 0 1]\n[0 0 0 0 1 0 0 0 0 0 0 0 0 0 0 0 0 0 0 1 1 1 0 1 0 1 1 1 0 1 0 1 0 0 1 0]\n[0 0 0 0 0 1 0 0 0 0 0 0 0 1 0 0 0 0 0 0 0 0 0 0 0 0 0 0 0 1 0 1 0 1 1 0]\n[0 0 0 0 0 0 1 0 0 0 0 0 0 1 0 0 0 1 0 0 0 1 1 0 0 0 0 1 0 1 1 1 0 1 1 1]\n[0 0 0 0 0 0 0 1 0 0 0 0 0 1 0 1 1 1 0 0 0 0 1 1 0 1 1 1 0 1 0 0 0 1 0 0]\n[0 0 0 0 0 0 0 0 1 0 0 0 0 1 0 1 0 0 1 0 0 0 0 1 0 1 0 0 0 1 1 1 1 1 0 1]\n[0 0 0 0 0 0 0 0 0 1 0 0 0 0 1 0 1 0 1 1 0 0 0 0 1 0 1 0 0 0 1 1 1 1 1 0]\n[0 0 0 0 0 0 0 0 0 0 1 0 0 0 0 1 0 1 0 1 1 0 0 0 0 1 0 1 0 0 0 1 1 1 1 1]\n[0 0 0 0 0 0 0 0 0 0 0 1 0 1 1 1 0 1 0 0 1 1 0 0 1 1 0 1 0 1 0 1 0 0 0 0]\n[0 0 0 0 0 0 0 0 0 0 0 0 1 1 1 1 1 1 0 0 0 0 0 0 1 1 1 1 1 1 1 1 1 1 1 1]\n[[18, 5]] quantum code over GF(2^2), stabilised by:\n[1 0 0 0 0 0 0 1 $.1^2 0 0 $.1^2 1 1 1 0 $.1 1]\n[$.1 0 0 0 0 $.1 0 $.1 1 0 0 $.1 $.1 $.1^2 $.1 $.1^2 0 $.1]\n[0 1 0 0 0 0 0 0 $.1^2 $.1 1 $.1 $.1 $.1 1 $.1^2 $.1 $.1^2]\n[0 $.1 0 0 0 $.1 0 0 1 $.1^2 $.1 0 $.1^2 $.1 $.1 $.1 0 1]\n[0 0 1 0 0 0 0 1 $.1^2 $.1^2 $.1 $.1 $.1 $.1^2 0 1 $.1^2 1]\n[0 0 $.1 0 0 $.1 0 $.1 1 1 $.1^2 0 $.1^2 0 0 1 $.1 $.1]\n[0 0 0 1 0 0 0 1 $.1 $.1^2 $.1^2 1 0 $.1^2 1 0 1 0]\n[0 0 0 $.1 0 $.1 0 $.1 $.1^2 1 1 1 0 0 $.1 $.1^2 1 0]\n[0 0 0 0 1 0 0 $.1 1 1 0 $.1^2 0 0 0 0 1 $.1^2]\n[0 0 0 0 $.1 $.1 0 $.1^2 $.1 $.1 0 $.1 0 1 0 $.1^2 1 1]\n[0 0 0 0 0 1 0 0 0 0 0 $.1 0 $.1^2 0 $.1 $.1 0]\n[0 0 0 0 0 0 1 1 1 1 1 1 $.1 $.1 $.1 $.1 $.1 $.1]\n[0 0 0 0 0 0 $.1 $.1 $.1 $.1 $.1 $.1 $.1^2 $.1^2 $.1^2 $.1^2 $.1^2 $.1^2]\nQuantum GF(2)-Additive code over GF(4) of length 18 with 23 generators.\nLower Bound: 1, Upper Bound: 8\nConstructed 2 distinct generator matrices\nTotal Ranks:     12  12 \nRelative Ranks:  12   6 \n(4 4 4 4 4 4 4 4 4 4 2 4 )\n(4 4 4 4 4 4 4 4 4 4 4 2 )\nTime Taken: 0.00\nStarting search for low weight codewords... (reset timings)\nEnumerating using 1 generator at a time:\n     New codeword identified of weight 6, time 0.00\n     New codeword identified of weight 5, time 0.00\n     Discarding non-contributing rank 6 matrix\n     New Total Ranks:     12 \n     New Relative Ranks:  12 \n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</si>
  <si>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0.054391625002608635</t>
  </si>
  <si>
    <t>Magma V2.28-26    Tue Dec 30 2025 12:10:37 on Marks-MacBook-Air-2 [Seed = \n2310218082]\nType ? for help.  Type &lt;Ctrl&gt;-D to quit.\n[1 0 0 0 0 0 0 0 0 0 0 0 0 1 1 0 0 0 0 1 0 1 1 1 0 0 0 1 1 1 1 0 1 0 1 0 0 0]\n[0 1 0 0 0 0 0 0 0 0 0 0 0 1 1 1 0 0 0 1 1 1 0 0 1 0 0 1 0 0 0 0 1 0 1 0 1 0]\n[0 0 1 0 0 0 0 0 0 0 0 0 0 1 1 1 1 0 0 0 1 0 0 1 0 1 0 1 0 1 1 1 1 0 1 0 1 0]\n[0 0 0 1 0 0 0 0 0 0 0 0 0 1 1 1 1 1 0 1 0 0 1 1 1 0 1 1 0 1 0 1 0 0 1 0 1 0]\n[0 0 0 0 1 0 0 0 0 0 0 0 0 0 0 0 0 0 0 0 1 1 1 0 1 0 1 1 1 0 1 0 1 0 0 1 0 0]\n[0 0 0 0 0 1 0 0 0 0 0 0 0 1 0 0 0 0 0 0 0 0 0 0 0 0 0 0 0 0 1 0 1 0 1 1 0 0]\n[0 0 0 0 0 0 1 0 0 0 0 0 0 1 0 0 0 1 0 0 0 0 1 1 0 0 0 0 1 0 1 1 1 0 1 1 1 0]\n[0 0 0 0 0 0 0 1 0 0 0 0 0 1 0 1 1 1 0 0 0 0 0 1 1 0 1 1 1 0 1 0 0 0 1 0 0 0]\n[0 0 0 0 0 0 0 0 1 0 0 0 0 1 0 1 0 0 0 1 0 0 0 0 1 0 1 0 0 0 1 1 1 1 1 0 1 0]\n[0 0 0 0 0 0 0 0 0 1 0 0 0 0 1 0 1 0 0 1 1 0 0 0 0 1 0 1 0 0 0 1 1 1 1 1 0 0]\n[0 0 0 0 0 0 0 0 0 0 1 0 0 0 0 1 0 1 0 0 1 1 0 0 0 0 1 0 1 0 0 0 1 1 1 1 1 0]\n[0 0 0 0 0 0 0 0 0 0 0 1 0 1 1 1 0 1 0 0 0 1 1 0 0 1 1 0 1 0 1 0 1 0 0 0 0 0]\n[0 0 0 0 0 0 0 0 0 0 0 0 1 1 1 1 1 1 0 0 0 0 0 0 0 1 1 1 1 1 1 1 1 1 1 1 1 0]\n[0 0 0 0 0 0 0 0 0 0 0 0 0 0 0 0 0 0 1 0 0 0 0 0 0 0 0 0 0 0 0 0 0 0 0 0 0 0]\n[[19, 5]] quantum code over GF(2^2), stabilised by:\n[1 0 0 0 0 0 0 1 $.1^2 0 0 $.1^2 1 1 1 0 $.1 1 0]\n[$.1 0 0 0 0 $.1 0 $.1 1 0 0 $.1 $.1 $.1^2 $.1 $.1^2 0 $.1 0]\n[0 1 0 0 0 0 0 0 $.1^2 $.1 1 $.1 $.1 $.1 1 $.1^2 $.1 $.1^2 0]\n[0 $.1 0 0 0 $.1 0 0 1 $.1^2 $.1 0 $.1^2 $.1 $.1 $.1 0 1 0]\n[0 0 1 0 0 0 0 1 $.1^2 $.1^2 $.1 $.1 $.1 $.1^2 0 1 $.1^2 1 0]\n[0 0 $.1 0 0 $.1 0 $.1 1 1 $.1^2 0 $.1^2 0 0 1 $.1 $.1 0]\n[0 0 0 1 0 0 0 1 $.1 $.1^2 $.1^2 1 0 $.1^2 1 0 1 0 0]\n[0 0 0 $.1 0 $.1 0 $.1 $.1^2 1 1 1 0 0 $.1 $.1^2 1 0 0]\n[0 0 0 0 1 0 0 $.1 1 1 0 $.1^2 0 0 0 0 1 $.1^2 0]\n[0 0 0 0 $.1 $.1 0 $.1^2 $.1 $.1 0 $.1 0 1 0 $.1^2 1 1 0]\n[0 0 0 0 0 1 0 0 0 0 0 $.1 0 $.1^2 0 $.1 $.1 0 0]\n[0 0 0 0 0 0 1 1 1 1 1 1 $.1 $.1 $.1 $.1 $.1 $.1 0]\n[0 0 0 0 0 0 $.1 $.1 $.1 $.1 $.1 $.1 $.1^2 $.1^2 $.1^2 $.1^2 $.1^2 $.1^2 0]\n[0 0 0 0 0 0 0 0 0 0 0 0 0 0 0 0 0 0 1]\nQuantum GF(2)-Additive code over GF(4) of length 19 with 24 generators.\nLower Bound: 1, Upper Bound: 8\nConstructed 2 distinct generator matrices\nTotal Ranks:     13  13 \nRelative Ranks:  13   6 \n(4 4 4 4 4 4 4 4 4 4 2 4 2 )\n(4 4 4 4 4 4 4 4 4 4 4 2 2 )\n     Discarding non-contributing rank 6 matrix\n     New Total Ranks:     13 \n     New Relative Ranks:  13 \nTime Taken: 0.00\nStarting search for low weight codewords... (reset timings)\nEnumerating using 1 generator at a time:\n     New codeword identified of weight 6, time 0.00\n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0.002\n5\n\nTotal time: 0.010 seconds, Total memory usage: 32.09MB\n</t>
  </si>
  <si>
    <t>0.054379583001718856</t>
  </si>
  <si>
    <t>Magma V2.28-26    Tue Dec 30 2025 12:10:37 on Marks-MacBook-Air-2 [Seed = \n3012107096]\nType ? for help.  Type &lt;Ctrl&gt;-D to quit.\n[1 0 0 0 0 0 0 0 0 0 0 0 0 0 0 0 0 1 1 0 0 0 0 1 0 1 0 0 0 1 0 0 0 0 0 0 1 1 1 \n    0]\n[0 1 0 0 0 0 0 0 0 0 0 0 0 0 0 0 0 1 1 1 0 1 1 0 0 1 1 1 0 1 0 0 0 1 1 1 1 1 1 \n    1]\n[0 0 1 0 0 0 0 0 0 0 0 0 0 0 0 0 0 1 0 1 0 0 0 1 0 1 0 1 1 1 1 0 0 1 1 1 0 1 0 \n    0]\n[0 0 0 1 0 0 0 0 0 0 0 0 0 0 0 0 0 0 0 0 1 1 0 0 0 0 0 1 1 1 0 1 0 0 0 0 1 0 0 \n    1]\n[0 0 0 0 1 0 0 0 0 0 0 0 0 0 0 0 0 1 0 0 0 0 0 0 1 1 0 1 1 0 1 0 1 1 1 1 1 1 0 \n    0]\n[0 0 0 0 0 1 0 0 0 0 0 0 0 0 0 0 0 1 1 0 1 1 1 0 1 0 1 1 1 0 0 1 0 0 0 0 0 1 1 \n    0]\n[0 0 0 0 0 0 1 0 0 0 0 0 0 0 0 0 0 1 1 1 1 0 0 1 1 0 0 0 1 0 0 0 1 1 1 1 1 0 1 \n    1]\n[0 0 0 0 0 0 0 1 0 0 0 0 0 0 0 0 0 1 0 1 1 1 1 0 1 0 1 0 0 0 1 0 0 0 1 1 0 1 1 \n    0]\n[0 0 0 0 0 0 0 0 1 0 0 0 0 0 0 0 0 0 0 0 0 0 1 1 1 1 1 0 0 0 0 1 0 0 1 0 1 0 0 \n    0]\n[0 0 0 0 0 0 0 0 0 1 0 0 0 0 0 0 0 1 0 0 1 1 1 1 0 0 1 0 0 1 0 0 1 1 1 0 1 1 0 \n    0]\n[0 0 0 0 0 0 0 0 0 0 1 0 0 0 0 0 0 0 1 0 0 1 0 0 1 0 1 1 0 0 0 0 0 0 1 1 0 0 1 \n    1]\n[0 0 0 0 0 0 0 0 0 0 0 1 0 0 0 0 0 1 0 1 1 1 0 0 1 0 0 0 1 1 1 0 0 1 1 0 0 0 0 \n    1]\n[0 0 0 0 0 0 0 0 0 0 0 0 1 0 0 0 0 1 0 0 0 1 0 0 0 0 1 0 0 0 1 1 0 1 1 1 1 0 1 \n    1]\n[0 0 0 0 0 0 0 0 0 0 0 0 0 1 0 0 0 0 1 0 0 0 1 0 0 0 0 1 0 0 1 1 1 0 1 1 1 1 0 \n    1]\n[0 0 0 0 0 0 0 0 0 0 0 0 0 0 1 0 0 0 0 1 0 0 0 1 0 0 0 0 1 0 1 1 1 1 0 1 1 1 1 \n    0]\n[0 0 0 0 0 0 0 0 0 0 0 0 0 0 0 1 0 0 1 0 0 1 0 0 0 0 1 1 0 1 0 1 1 1 0 1 1 1 0 \n    0]\n[0 0 0 0 0 0 0 0 0 0 0 0 0 0 0 0 1 1 0 1 0 1 0 0 1 1 0 0 1 1 0 0 1 0 0 1 0 1 1 \n    0]\n[[20, 3]] quantum code over GF(2^2), stabilised by:\n[1 0 0 0 0 0 0 0 0 $.1^2 0 1 0 $.1^2 $.1 $.1^2 1 $.1 1 0]\n[$.1 0 0 0 0 0 0 0 $.1 1 0 $.1 0 $.1^2 1 $.1^2 0 1 $.1 $.1^2]\n[0 1 0 0 0 0 0 0 $.1 $.1^2 $.1 $.1^2 1 0 1 $.1^2 $.1^2 $.1^2 0 $.1]\n[0 $.1 0 0 0 0 0 0 0 1 $.1^2 1 $.1 $.1^2 1 $.1 $.1 $.1 0 $.1]\n[0 0 1 0 0 0 0 0 $.1 1 0 1 $.1^2 1 $.1 0 $.1^2 1 1 $.1^2]\n[0 0 $.1 0 0 0 0 0 0 $.1 0 $.1 1 1 0 $.1^2 $.1 1 $.1 0]\n[0 0 0 1 0 0 0 0 0 0 1 1 1 0 $.1 0 0 0 1 1]\n[0 0 0 $.1 0 0 0 0 $.1 0 $.1 $.1 $.1 $.1 1 $.1 $.1 $.1 $.1 1]\n[0 0 0 0 1 0 0 0 0 1 $.1^2 1 1 1 1 $.1^2 1 1 1 1]\n[0 0 0 0 $.1 0 0 0 0 $.1 1 $.1 $.1 $.1 $.1 1 $.1 $.1 $.1 $.1]\n[0 0 0 0 0 1 0 0 0 $.1^2 1 $.1 1 $.1 $.1^2 $.1 $.1 $.1^2 0 1]\n[0 0 0 0 0 $.1 0 0 $.1 1 $.1 $.1^2 $.1 1 $.1^2 1 1 $.1^2 0 1]\n[0 0 0 0 0 0 1 0 $.1 $.1^2 $.1^2 $.1 $.1 1 0 $.1 $.1 0 1 $.1^2]\n[0 0 0 0 0 0 $.1 0 0 1 1 $.1^2 $.1^2 1 $.1^2 0 0 $.1^2 $.1 0]\n[0 0 0 0 0 0 0 1 $.1 1 1 0 $.1 $.1 $.1^2 1 $.1 0 $.1 $.1]\n[0 0 0 0 0 0 0 $.1 0 $.1 $.1 0 $.1^2 0 $.1 1 0 $.1^2 $.1^2 $.1]\n[0 0 0 0 0 0 0 0 1 0 0 0 0 1 1 1 1 1 0 $.1]\nQuantum GF(2)-Additive code over GF(4) of length 20 with 23 generators.\nLower Bound: 1, Upper Bound: 10\nConstructed 2 distinct generator matrices\nTotal Ranks:     12  12 \nRelative Ranks:  12   8 \n(4 4 4 4 4 4 4 4 4 4 4 2 )\n(4 4 4 4 4 4 4 4 4 4 4 2 )\nTime Taken: 0.00\nStarting search for low weight codewords... (reset timings)\nEnumerating using 1 generator at a time:\n     New codeword identified of weight 8, time 0.00\n     New codeword identified of weight 7, time 0.00\n   Completed Matrix  1:  lower =  2, upper =  7. Elapsed: 0.00s\n     New codeword identified of weight 6, time 0.00\n   Completed Matrix  2:  lower =  2, upper =  6. Elapsed: 0.00s\nTermination predicted with 4 generators at matrix 2\nEnumerating using 2 generators at a time:\n   Completed Matrix  1:  lower =  3, upper =  6. Elapsed: 0.00s\n   Completed Matrix  2:  lower =  3, upper =  6. Elapsed: 0.00s\nTermination predicted with 4 generators at matrix 2\nEnumerating using 3 generators at a time:\n   Completed Matrix  1:  lower =  4, upper =  6. Elapsed: 0.00s\n   Completed Matrix  2:  lower =  4, upper =  6. Elapsed: 0.00s\nTermination predicted with 4 generators at matrix 2\nEnumerating using 4 generators at a time:\n   Completed Matrix  1:  lower =  5, upper =  6. Elapsed: 0.00s\n   Completed Matrix  2:  lower =  6, upper =  6. Elapsed: 0.00s\nComputation complete \nFinal Results: lower = 6, upper = 6,\nTotal CPU time: 0.00, real time: 0.002\n6\n\nTotal time: 0.010 seconds, Total memory usage: 32.09MB\n</t>
  </si>
  <si>
    <t>Magma V2.28-26    Tue Dec 30 2025 12:10:37 on Marks-MacBook-Air-2 [Seed = \n3179746646]\nType ? for help.  Type &lt;Ctrl&gt;-D to quit.\n[1 0 0 0 0 0 0 0 0 0 0 0 0 0 0 0 0 1 1 0 0 0 0 0 1 0 1 0 0 0 1 0 0 0 0 0 0 1 1 1\n    0 0]\n[0 1 0 0 0 0 0 0 0 0 0 0 0 0 0 0 0 1 1 1 0 0 1 1 0 0 1 1 1 0 1 0 0 0 1 1 1 1 1 1\n    1 0]\n[0 0 1 0 0 0 0 0 0 0 0 0 0 0 0 0 0 1 0 1 0 0 0 0 1 0 1 0 1 1 1 1 0 0 1 1 1 0 1 0\n    0 0]\n[0 0 0 1 0 0 0 0 0 0 0 0 0 0 0 0 0 0 0 0 0 1 1 0 0 0 0 0 1 1 1 0 1 0 0 0 0 1 0 0\n    1 0]\n[0 0 0 0 1 0 0 0 0 0 0 0 0 0 0 0 0 1 0 0 0 0 0 0 0 1 1 0 1 1 0 1 0 1 1 1 1 1 1 0\n    0 0]\n[0 0 0 0 0 1 0 0 0 0 0 0 0 0 0 0 0 1 1 0 0 1 1 1 0 1 0 1 1 1 0 0 1 0 0 0 0 0 1 1\n    0 0]\n[0 0 0 0 0 0 1 0 0 0 0 0 0 0 0 0 0 1 1 1 0 1 0 0 1 1 0 0 0 1 0 0 0 1 1 1 1 1 0 1\n    1 0]\n[0 0 0 0 0 0 0 1 0 0 0 0 0 0 0 0 0 1 0 1 0 1 1 1 0 1 0 1 0 0 0 1 0 0 0 1 1 0 1 1\n    0 0]\n[0 0 0 0 0 0 0 0 1 0 0 0 0 0 0 0 0 0 0 0 0 0 0 1 1 1 1 1 0 0 0 0 1 0 0 1 0 1 0 0\n    0 0]\n[0 0 0 0 0 0 0 0 0 1 0 0 0 0 0 0 0 1 0 0 0 1 1 1 1 0 0 1 0 0 1 0 0 1 1 1 0 1 1 0\n    0 0]\n[0 0 0 0 0 0 0 0 0 0 1 0 0 0 0 0 0 0 1 0 0 0 1 0 0 1 0 1 1 0 0 0 0 0 0 1 1 0 0 1\n    1 0]\n[0 0 0 0 0 0 0 0 0 0 0 1 0 0 0 0 0 1 0 1 0 1 1 0 0 1 0 0 0 1 1 1 0 0 1 1 0 0 0 0\n    1 0]\n[0 0 0 0 0 0 0 0 0 0 0 0 1 0 0 0 0 1 0 0 0 0 1 0 0 0 0 1 0 0 0 1 1 0 1 1 1 1 0 1\n    1 0]\n[0 0 0 0 0 0 0 0 0 0 0 0 0 1 0 0 0 0 1 0 0 0 0 1 0 0 0 0 1 0 0 1 1 1 0 1 1 1 1 0\n    1 0]\n[0 0 0 0 0 0 0 0 0 0 0 0 0 0 1 0 0 0 0 1 0 0 0 0 1 0 0 0 0 1 0 1 1 1 1 0 1 1 1 1\n    0 0]\n[0 0 0 0 0 0 0 0 0 0 0 0 0 0 0 1 0 0 1 0 0 0 1 0 0 0 0 1 1 0 1 0 1 1 1 0 1 1 1 0\n    0 0]\n[0 0 0 0 0 0 0 0 0 0 0 0 0 0 0 0 1 1 0 1 0 0 1 0 0 1 1 0 0 1 1 0 0 1 0 0 1 0 1 1\n    0 0]\n[0 0 0 0 0 0 0 0 0 0 0 0 0 0 0 0 0 0 0 0 1 0 0 0 0 0 0 0 0 0 0 0 0 0 0 0 0 0 0 0\n    0 0]\n[[21, 3]] quantum code over GF(2^2), stabilised by:\n[1 0 0 0 0 0 0 0 0 $.1^2 0 1 0 $.1^2 $.1 $.1^2 1 $.1 1 0 0]\n[$.1 0 0 0 0 0 0 0 $.1 1 0 $.1 0 $.1^2 1 $.1^2 0 1 $.1 $.1^2 0]\n[0 1 0 0 0 0 0 0 $.1 $.1^2 $.1 $.1^2 1 0 1 $.1^2 $.1^2 $.1^2 0 $.1 0]\n[0 $.1 0 0 0 0 0 0 0 1 $.1^2 1 $.1 $.1^2 1 $.1 $.1 $.1 0 $.1 0]\n[0 0 1 0 0 0 0 0 $.1 1 0 1 $.1^2 1 $.1 0 $.1^2 1 1 $.1^2 0]\n[0 0 $.1 0 0 0 0 0 0 $.1 0 $.1 1 1 0 $.1^2 $.1 1 $.1 0 0]\n[0 0 0 1 0 0 0 0 0 0 1 1 1 0 $.1 0 0 0 1 1 0]\n[0 0 0 $.1 0 0 0 0 $.1 0 $.1 $.1 $.1 $.1 1 $.1 $.1 $.1 $.1 1 0]\n[0 0 0 0 1 0 0 0 0 1 $.1^2 1 1 1 1 $.1^2 1 1 1 1 0]\n[0 0 0 0 $.1 0 0 0 0 $.1 1 $.1 $.1 $.1 $.1 1 $.1 $.1 $.1 $.1 0]\n[0 0 0 0 0 1 0 0 0 $.1^2 1 $.1 1 $.1 $.1^2 $.1 $.1 $.1^2 0 1 0]\n[0 0 0 0 0 $.1 0 0 $.1 1 $.1 $.1^2 $.1 1 $.1^2 1 1 $.1^2 0 1 0]\n[0 0 0 0 0 0 1 0 $.1 $.1^2 $.1^2 $.1 $.1 1 0 $.1 $.1 0 1 $.1^2 0]\n[0 0 0 0 0 0 $.1 0 0 1 1 $.1^2 $.1^2 1 $.1^2 0 0 $.1^2 $.1 0 0]\n[0 0 0 0 0 0 0 1 $.1 1 1 0 $.1 $.1 $.1^2 1 $.1 0 $.1 $.1 0]\n[0 0 0 0 0 0 0 $.1 0 $.1 $.1 0 $.1^2 0 $.1 1 0 $.1^2 $.1^2 $.1 0]\n[0 0 0 0 0 0 0 0 1 0 0 0 0 1 1 1 1 1 0 $.1 0]\n[0 0 0 0 0 0 0 0 0 0 0 0 0 0 0 0 0 0 0 0 1]\nQuantum GF(2)-Additive code over GF(4) of length 21 with 24 generators.\nLower Bound: 1, Upper Bound: 10\nConstructed 2 distinct generator matrices\nTotal Ranks:     13  13 \nRelative Ranks:  13   8 \n(4 4 4 4 4 4 4 4 4 4 4 2 2 )\n(4 4 4 4 4 4 4 4 4 4 4 2 2 )\nTime Taken: 0.00\nStarting search for low weight codewords... (reset timings)\nEnumerating using 1 generator at a time:\n     New codeword identified of weight 8, time 0.00\n     New codeword identified of weight 7, time 0.00\n     Impurity detected of weight 1, time 0.00\n   Completed Matrix  1:  lower =  2, upper =  7. Elapsed: 0.00s\n     New codeword identified of weight 6, time 0.00\n     Discarding non-contributing rank 8 matrix\n     New Total Ranks:     13 \n     New Relative Ranks:  13 \n   Completed Matrix  2: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0.003\n6\n\nTotal time: 0.010 seconds, Total memory usage: 32.09MB\n</t>
  </si>
  <si>
    <t>Magma V2.28-26    Tue Dec 30 2025 12:10:37 on Marks-MacBook-Air-2 [Seed = \n2778664270]\nType ? for help.  Type &lt;Ctrl&gt;-D to quit.\n[1 0 0 0 0 0 0 0 0 0 0 1 0 1 0 1 0 1 1 0 0 0 0 0 0 0 1 0 0 1 1 1 0 0 1 0 0 1 0 0\n    1 0 1 0]\n[0 1 0 0 0 0 0 0 0 0 0 0 1 0 1 0 1 0 1 1 0 0 0 0 0 1 1 0 0 1 1 1 0 1 1 1 1 0 1 1\n    1 0 0 0]\n[0 0 1 0 0 0 0 0 0 0 0 0 0 1 0 1 0 1 0 1 1 0 0 0 0 0 1 1 0 0 1 1 1 0 1 1 1 1 0 1\n    1 1 0 0]\n[0 0 0 1 0 0 0 0 0 0 0 1 0 1 1 1 1 1 0 0 1 0 0 0 0 0 1 1 1 1 1 0 1 1 1 1 1 0 1 0\n    0 1 0 0]\n[0 0 0 0 1 0 0 0 0 0 0 1 1 1 1 0 1 0 0 0 0 0 0 0 0 0 1 1 1 0 0 0 0 1 0 1 1 0 0 1\n    1 0 0 0]\n[0 0 0 0 0 1 0 0 0 0 0 0 1 1 1 1 0 1 0 0 0 0 0 0 0 0 0 1 1 1 0 0 0 0 1 0 1 1 0 0\n    1 1 0 0]\n[0 0 0 0 0 0 1 0 0 0 0 0 0 1 1 1 1 0 1 0 0 0 0 0 0 0 0 0 1 1 1 0 0 0 0 1 0 1 1 0\n    0 1 1 0]\n[0 0 0 0 0 0 0 1 0 0 0 0 0 0 1 1 1 1 0 1 0 0 0 0 0 1 1 1 0 0 1 1 1 1 1 0 0 0 1 0\n    1 1 1 0]\n[0 0 0 0 0 0 0 0 1 0 0 0 0 0 0 1 1 1 1 0 1 0 0 0 0 1 0 0 1 1 0 1 0 0 0 1 1 0 0 0\n    1 0 1 0]\n[0 0 0 0 0 0 0 0 0 1 0 1 0 1 0 1 1 0 0 1 0 0 0 0 0 1 1 1 0 1 0 1 0 1 0 0 0 0 0 1\n    0 0 1 0]\n[0 0 0 0 0 0 0 0 0 0 1 0 1 0 1 0 1 1 0 0 1 0 0 0 0 1 0 0 1 1 1 0 0 1 0 0 1 0 0 1\n    0 1 0 0]\n[0 0 0 0 0 0 0 0 0 0 0 0 0 0 0 0 0 0 0 0 0 1 0 0 0 0 0 0 0 0 0 0 0 0 0 0 0 0 0 0\n    0 0 0 0]\n[0 0 0 0 0 0 0 0 0 0 0 0 0 0 0 0 0 0 0 0 0 0 1 0 0 1 1 1 0 1 0 0 1 1 1 0 1 0 0 1\n    1 1 0 0]\n[0 0 0 0 0 0 0 0 0 0 0 0 0 0 0 0 0 0 0 0 0 0 0 1 0 0 1 1 1 0 1 0 0 1 1 1 0 1 0 0\n    1 1 1 0]\n[0 0 0 0 0 0 0 0 0 0 0 0 0 0 0 0 0 0 0 0 0 0 0 0 1 1 1 0 1 0 0 1 1 1 0 1 0 0 1 1\n    1 0 1 0]\n[[22, 7]] quantum code over GF(2^2), stabilised by:\n[1 0 0 0 0 $.1 $.1 $.1 0 1 1 0 $.1^2 0 $.1^2 $.1 0 0 $.1^2 $.1^2 1 0]\n[$.1 0 0 0 0 0 0 0 0 $.1^2 $.1 1 $.1 1 $.1 1 1 0 $.1 $.1^2 $.1 0]\n[0 1 0 0 0 $.1 0 0 $.1 1 0 1 $.1^2 $.1^2 $.1^2 1 $.1 0 $.1^2 0 $.1 0]\n[0 $.1 0 0 0 0 0 0 0 $.1^2 1 $.1^2 $.1^2 $.1^2 $.1^2 $.1^2 0 1 $.1 1 1 0]\n[0 0 1 0 0 0 $.1 0 0 1 $.1^2 1 $.1^2 $.1 1 $.1 0 $.1 $.1 0 $.1 0]\n[0 0 $.1 0 0 $.1 $.1 $.1 0 1 $.1 1 0 $.1^2 0 1 $.1^2 0 $.1 1 0 0]\n[0 0 0 1 0 0 0 $.1 0 $.1^2 $.1^2 $.1 $.1^2 $.1 0 0 $.1^2 0 0 1 $.1 0]\n[0 0 0 $.1 0 0 $.1 $.1 $.1 0 1 $.1 1 0 $.1^2 0 1 $.1^2 0 $.1 1 0]\n[0 0 0 0 1 0 0 0 $.1 $.1^2 1 $.1 0 $.1 0 1 1 $.1^2 $.1 $.1^2 $.1^2 0]\n[0 0 0 0 $.1 $.1 $.1 0 $.1 $.1^2 1 1 1 1 $.1^2 1 0 1 0 $.1^2 $.1^2 0]\n[0 0 0 0 0 $.1^2 $.1 $.1 0 0 0 0 $.1^2 1 $.1^2 $.1^2 0 1 $.1 $.1 0 0]\n[0 0 0 0 0 0 $.1^2 $.1 $.1 0 0 0 0 $.1^2 1 $.1^2 $.1^2 0 1 $.1 $.1 0]\n[0 0 0 0 0 0 0 $.1^2 $.1 1 $.1 1 $.1 1 1 0 $.1 $.1^2 $.1 $.1 0 0]\n[0 0 0 0 0 0 0 0 $.1^2 $.1 1 $.1 1 $.1 1 1 0 $.1 $.1^2 $.1 $.1 0]\n[0 0 0 0 0 0 0 0 0 0 0 0 0 0 0 0 0 0 0 0 0 1]\nQuantum GF(2)-Additive code over GF(4) of length 22 with 29 generators.\nLower Bound: 1, Upper Bound: 9\nConstructed 2 distinct generator matrices\nTotal Ranks:     15  15 \nRelative Ranks:  15   7 \n(4 4 4 4 4 4 4 4 4 4 4 4 4 4 2 )\n(4 4 4 4 4 4 4 4 4 4 4 4 4 4 2 )\n     Discarding non-contributing rank 7 matrix\n     New Total Ranks:     15 \n     New Relative Ranks:  15 \nTime Taken: 0.00\nStarting search for low weight codewords... (reset timings)\nEnumerating using 1 generator at a time:\n     New codeword identified of weight 5, time 0.00\n     Impurity detected of weight 1, time 0.00\n   Completed Matrix  1:  lower =  2, upper =  5. Elapsed: 0.00s\nTermination predicted with 4 generators at matrix 1\nEnumerating using 2 generators at a time:\n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0.003\n5\n\nTotal time: 0.010 seconds, Total memory usage: 32.09MB\n</t>
  </si>
  <si>
    <t>0.055515542000648566</t>
  </si>
  <si>
    <t>Magma V2.28-26    Tue Dec 30 2025 12:10:37 on Marks-MacBook-Air-2 [Seed = \n2945779524]\nType ? for help.  Type &lt;Ctrl&gt;-D to quit.\n[1 0 0 0 0 0 0 0 0 0 0 0 0 0 0 0 0 0 0 1 0 1 1 0 0 0 0 0 0 1 0 1 0 1 1 0 0 1 0 0\n    1 1 0 0 1 0]\n[0 1 0 0 0 0 0 0 0 0 0 0 0 0 0 0 0 0 1 0 0 1 1 0 0 0 0 0 1 0 0 0 0 1 1 1 1 0 1 1\n    1 1 1 1 0 1]\n[0 0 1 0 0 0 0 0 0 0 0 0 0 0 0 0 0 0 1 1 1 1 1 0 0 0 1 1 0 1 1 0 0 0 0 1 0 1 1 1\n    1 1 1 0 0 1]\n[0 0 0 1 0 0 0 0 0 0 0 0 0 0 0 0 0 0 1 1 0 0 1 0 0 0 1 0 1 0 0 1 0 0 1 0 0 0 0 1\n    1 1 1 0 1 1]\n[0 0 0 0 1 0 0 0 0 0 0 0 0 0 0 0 0 0 1 1 0 1 0 0 0 0 1 0 0 1 1 0 1 0 1 1 1 0 1 0\n    1 1 1 0 1 0]\n[0 0 0 0 0 1 0 0 0 0 0 0 0 0 0 0 0 0 0 1 1 0 1 0 0 0 0 1 0 0 1 1 0 1 0 1 1 1 0 1\n    0 1 1 1 0 1]\n[0 0 0 0 0 0 1 0 0 0 0 0 0 0 0 0 0 0 1 0 0 0 0 0 0 0 1 1 1 0 1 1 1 0 0 0 0 1 0 0\n    1 0 1 0 0 1]\n[0 0 0 0 0 0 0 1 0 0 0 0 0 0 0 0 0 0 0 1 0 0 0 0 0 0 1 0 0 1 0 1 0 0 1 0 0 0 0 1\n    1 1 0 1 1 1]\n[0 0 0 0 0 0 0 0 1 0 0 0 0 0 0 0 0 0 0 0 1 0 0 0 0 0 1 0 1 0 1 0 0 1 1 1 0 0 1 1\n    0 1 1 0 0 0]\n[0 0 0 0 0 0 0 0 0 1 0 0 0 0 0 0 0 0 0 0 0 1 0 0 0 0 0 1 0 1 0 1 0 0 1 1 1 0 0 1\n    1 0 1 1 0 0]\n[0 0 0 0 0 0 0 0 0 0 1 0 0 0 0 0 0 0 0 0 0 0 1 0 0 0 0 0 1 0 1 0 1 0 0 1 1 1 0 0\n    1 1 0 1 1 0]\n[0 0 0 0 0 0 0 0 0 0 0 1 0 0 0 0 0 0 1 0 1 1 0 0 0 0 0 0 1 1 1 1 1 0 0 0 0 1 1 1\n    1 1 1 1 1 1]\n[0 0 0 0 0 0 0 0 0 0 0 0 1 0 0 0 0 0 0 1 0 1 1 0 0 0 1 1 1 1 1 1 0 0 1 0 0 0 0 0\n    0 1 1 1 0 0]\n[0 0 0 0 0 0 0 0 0 0 0 0 0 1 0 0 0 0 1 0 0 1 1 0 0 0 0 1 0 1 0 1 0 1 0 1 1 0 0 1\n    1 0 1 0 1 0]\n[0 0 0 0 0 0 0 0 0 0 0 0 0 0 1 0 0 0 1 1 1 1 1 0 0 0 0 0 0 0 0 0 0 1 1 0 0 1 0 1\n    0 1 0 0 0 1]\n[0 0 0 0 0 0 0 0 0 0 0 0 0 0 0 1 0 0 1 1 0 0 1 0 0 0 1 1 0 0 1 0 0 0 0 1 1 0 0 0\n    1 0 1 1 1 1]\n[0 0 0 0 0 0 0 0 0 0 0 0 0 0 0 0 1 0 1 1 0 1 0 0 0 0 1 0 1 0 1 1 0 0 1 0 0 1 1 0\n    0 1 0 0 0 0]\n[0 0 0 0 0 0 0 0 0 0 0 0 0 0 0 0 0 1 0 1 1 0 1 0 0 0 0 1 0 1 0 1 1 0 0 1 0 0 1 1\n    0 0 1 0 0 0]\n[0 0 0 0 0 0 0 0 0 0 0 0 0 0 0 0 0 0 0 0 0 0 0 1 0 0 1 0 0 1 0 0 1 0 0 1 0 0 1 0\n    0 1 0 0 1 0]\n[0 0 0 0 0 0 0 0 0 0 0 0 0 0 0 0 0 0 0 0 0 0 0 0 1 0 0 1 0 0 1 0 0 1 0 0 1 0 0 1\n    0 0 1 0 0 1]\n[0 0 0 0 0 0 0 0 0 0 0 0 0 0 0 0 0 0 0 0 0 0 0 0 0 1 1 1 0 0 0 1 1 1 0 0 0 1 1 1\n    0 0 0 1 1 1]\n[[23, 2]] quantum code over GF(2^2), stabilised by:\n[1 0 0 0 0 0 0 0 0 0 1 1 $.1 $.1 1 $.1 0 $.1 0 $.1 0 $.1^2 1]\n[$.1 0 0 0 0 0 0 0 0 0 0 $.1^2 $.1 0 0 $.1 $.1^2 $.1 $.1 $.1^2 $.1^2 0 $.1]\n[0 1 0 0 0 0 0 0 0 0 1 $.1^2 $.1^2 $.1 $.1^2 1 $.1 0 $.1 1 $.1 $.1 1]\n[0 $.1 0 0 0 0 0 0 0 0 1 0 $.1^2 $.1 1 $.1^2 $.1 1 $.1 0 $.1 0 $.1^2]\n[0 0 1 0 0 0 0 0 0 0 1 $.1^2 1 $.1^2 $.1^2 $.1^2 1 $.1 0 $.1^2 1 0 0]\n[0 0 $.1 0 0 0 0 0 0 0 0 $.1^2 $.1 $.1^2 $.1 $.1 $.1^2 0 1 1 1 $.1^2 1]\n[0 0 0 1 0 0 0 0 0 0 0 1 $.1^2 1 $.1^2 $.1^2 $.1^2 1 $.1 0 $.1^2 1 0]\n[0 0 0 $.1 0 0 0 0 0 0 1 $.1 1 $.1 $.1 $.1 $.1 $.1^2 0 0 1 $.1^2 1]\n[0 0 0 0 1 0 0 0 0 0 0 0 1 $.1^2 1 $.1^2 $.1^2 $.1^2 1 $.1 0 $.1^2 1]\n[0 0 0 0 $.1 0 0 0 0 0 1 $.1^2 0 1 $.1^2 $.1 $.1 $.1 $.1^2 1 0 $.1^2 1]\n[0 0 0 0 0 1 0 0 0 0 1 $.1 $.1 1 $.1 1 $.1^2 $.1^2 $.1^2 0 $.1 $.1 1]\n[0 0 0 0 0 $.1 0 0 0 0 1 $.1^2 1 0 0 $.1^2 $.1 $.1 $.1 $.1 1 $.1 1]\n[0 0 0 0 0 0 1 0 0 0 1 $.1^2 0 $.1 0 $.1 1 $.1^2 $.1^2 $.1 0 0 0]\n[0 0 0 0 0 0 $.1 0 0 0 1 $.1^2 1 1 1 0 $.1^2 $.1 $.1 $.1^2 $.1 $.1^2 0]\n[0 0 0 0 0 0 0 1 0 0 0 1 $.1^2 0 $.1 0 $.1 1 $.1^2 $.1^2 $.1 0 0]\n[0 0 0 0 0 0 0 $.1 0 0 0 1 $.1^2 1 1 1 0 $.1^2 $.1 $.1 $.1^2 $.1 $.1^2]\n[0 0 0 0 0 0 0 0 1 0 0 0 1 $.1^2 0 $.1 0 $.1 1 $.1^2 $.1^2 $.1 0]\n[0 0 0 0 0 0 0 0 $.1 0 0 $.1 $.1^2 $.1^2 1 $.1 1 $.1 $.1^2 1 $.1^2 $.1 $.1^2]\n[0 0 0 0 0 0 0 0 0 1 0 0 0 1 $.1^2 0 $.1 0 $.1 1 $.1^2 $.1^2 $.1]\n[0 0 0 0 0 0 0 0 0 $.1 0 $.1 0 $.1^2 $.1^2 $.1 $.1 $.1^2 $.1 0 0 $.1 $.1^2]\n[0 0 0 0 0 0 0 0 0 0 $.1 $.1 0 0 $.1^2 0 $.1 0 $.1^2 1 1 1 $.1^2]\nQuantum GF(2)-Additive code over GF(4) of length 23 with 25 generators.\nLower Bound: 1, Upper Bound: 12\nConstructed 2 distinct generator matrices\nTotal Ranks:     13  13 \nRelative Ranks:  13  10 \n(4 4 4 4 4 4 4 4 4 4 4 4 2 )\n(4 4 4 4 4 4 4 4 4 4 4 4 2 )\nTime Taken: 0.00\nStarting search for low weight codewords... (reset timings)\nEnumerating using 1 generator at a time:\n     New codeword identified of weight 11, time 0.00\n     New codeword identified of weight 9, time 0.00\n     New codeword identified of weight 8, time 0.00\n     New codeword identified of weight 7, time 0.00\n   Completed Matrix  1:  lower =  2, upper =  7. Elapsed: 0.00s\n   Completed Matrix  2:  lower =  2, upper =  7. Elapsed: 0.00s\nTermination predicted with 4 generators at matrix 2\nEnumerating using 2 generators at a time:\n   Completed Matrix  1:  lower =  3, upper =  7. Elapsed: 0.00s\n   Completed Matrix  2:  lower =  3, upper =  7. Elapsed: 0.00s\nTermination predicted with 4 generators at matrix 2\nEnumerating using 3 generators at a time:\n   Completed Matrix  1:  lower =  4, upper =  7. Elapsed: 0.00s\n   Completed Matrix  2:  lower =  5, upper =  7. Elapsed: 0.00s\nTermination predicted with 4 generators at matrix 2\nEnumerating using 4 generators at a time:\n   Completed Matrix  1:  lower =  6, upper =  7. Elapsed: 0.00s\n   Completed Matrix  2:  lower =  7, upper =  7. Elapsed: 0.00s\nComputation complete \nFinal Results: lower = 7, upper = 7,\nTotal CPU time: 0.00, real time: 0.003\n7\n\nTotal time: 0.010 seconds, Total memory usage: 32.09MB\n</t>
  </si>
  <si>
    <t>Magma V2.28-26    Tue Dec 30 2025 12:10:37 on Marks-MacBook-Air-2 [Seed = \n2844983618]\nType ? for help.  Type &lt;Ctrl&gt;-D to quit.\n[1 0 0 0 0 0 0 0 0 0 0 0 0 0 0 0 0 0 0 1 1 0 0 1 0 0 0 0 0 1 0 0 0 0 1 1 0 1 0 1\n    1 1 0 1 1 1 0 0]\n[0 1 0 0 0 0 0 0 0 0 0 0 0 0 0 0 1 0 0 0 1 1 0 0 0 0 0 0 0 0 1 0 1 0 0 1 1 0 1 0\n    0 1 1 0 1 1 1 0]\n[0 0 1 0 0 0 0 0 0 0 0 0 0 0 0 0 0 1 0 0 0 1 1 0 0 0 0 0 0 0 0 1 0 1 0 0 1 1 0 1\n    0 0 1 1 0 1 1 1]\n[0 0 0 1 0 0 0 0 0 0 0 0 0 0 0 0 0 0 1 0 0 0 1 1 0 1 1 1 1 1 1 1 1 0 1 0 0 1 1 0\n    0 1 1 0 0 1 0 0]\n[0 0 0 0 1 0 0 0 0 0 0 0 0 0 0 0 1 0 0 1 0 0 0 1 0 1 0 0 0 0 0 0 0 1 0 1 0 0 1 1\n    1 1 0 0 1 1 0 1]\n[0 0 0 0 0 1 0 0 0 0 0 0 0 0 0 0 1 1 0 0 1 0 0 0 0 0 1 0 0 0 0 0 1 0 1 0 1 0 0 1\n    1 1 1 0 0 1 1 0]\n[0 0 0 0 0 0 1 0 0 0 0 0 0 0 0 0 0 1 1 0 0 1 0 0 0 0 0 1 0 0 0 0 1 1 0 1 0 1 0 0\n    0 1 1 1 0 0 1 1]\n[0 0 0 0 0 0 0 1 0 0 0 0 0 0 0 0 0 0 1 1 0 0 1 0 0 0 0 0 1 0 0 0 0 1 1 0 1 0 1 0\n    1 0 1 1 1 0 0 1]\n[0 0 0 0 0 0 0 0 1 0 0 0 0 0 0 1 1 0 1 0 1 1 1 1 0 0 0 0 1 0 1 1 1 0 0 0 1 1 0 1\n    0 0 0 1 0 1 0 1]\n[0 0 0 0 0 0 0 0 0 1 0 0 0 0 0 1 0 1 1 1 1 0 0 0 0 1 1 1 0 0 0 1 0 1 0 0 1 0 1 1\n    0 1 1 0 0 0 0 0]\n[0 0 0 0 0 0 0 0 0 0 1 0 0 0 0 1 1 0 0 1 0 0 1 1 0 1 0 0 1 1 0 0 0 0 1 0 1 0 0 0\n    1 1 0 1 1 0 1 0]\n[0 0 0 0 0 0 0 0 0 0 0 1 0 0 0 1 0 1 1 0 0 1 1 0 0 0 1 0 1 1 0 1 1 0 0 1 1 0 0 1\n    0 1 1 1 1 0 0 0]\n[0 0 0 0 0 0 0 0 0 0 0 0 1 0 0 1 1 0 0 1 1 1 0 0 0 1 1 0 0 0 1 0 0 1 0 0 0 0 0 1\n    1 1 0 1 0 1 1 0]\n[0 0 0 0 0 0 0 0 0 0 0 0 0 1 0 1 1 1 1 0 0 0 0 1 0 0 1 1 1 0 1 0 0 0 1 0 1 1 0 1\n    0 1 1 1 1 1 1 0]\n[0 0 0 0 0 0 0 0 0 0 0 0 0 0 1 1 0 1 0 1 1 1 1 1 0 0 0 1 0 1 1 0 0 0 0 1 1 0 1 1\n    0 0 1 0 1 0 1 0]\n[0 0 0 0 0 0 0 0 0 0 0 0 0 0 0 0 0 0 0 0 0 0 0 0 1 1 1 1 1 1 1 1 0 0 0 0 0 0 0 0\n    1 1 1 1 1 1 1 1]\n[[24, 8]] quantum code over GF(2^2), stabilised by:\n[1 0 0 0 0 0 0 0 $.1 1 0 1 $.1^2 1 $.1 $.1 0 $.1^2 $.1^2 1 $.1^2 $.1 1 0]\n[$.1 0 0 0 0 0 0 0 $.1^2 $.1 0 $.1 1 $.1 $.1^2 $.1^2 0 1 1 $.1 1 $.1^2 $.1 0]\n[0 1 0 0 0 0 0 0 $.1 $.1 1 0 1 $.1^2 1 $.1 0 0 $.1^2 $.1^2 1 $.1^2 $.1 1]\n[0 $.1 0 0 0 0 0 0 $.1^2 $.1^2 $.1 0 $.1 1 $.1 $.1^2 0 0 1 1 $.1 1 $.1^2 $.1]\n[0 0 1 0 0 0 0 0 $.1 $.1 $.1 1 0 1 $.1^2 1 1 0 0 $.1^2 $.1^2 1 $.1^2 $.1]\n[0 0 $.1 0 0 0 0 0 $.1^2 $.1^2 $.1^2 $.1 0 $.1 1 $.1 $.1 0 0 1 1 $.1 1 $.1^2]\n[0 0 0 1 0 0 0 0 1 $.1 $.1 $.1 1 0 1 $.1^2 $.1 1 0 0 $.1^2 $.1^2 1 $.1^2]\n[0 0 0 $.1 0 0 0 0 $.1 $.1^2 $.1^2 $.1^2 $.1 0 $.1 1 $.1^2 $.1 0 0 1 1 $.1 1]\n[0 0 0 0 1 0 0 0 $.1^2 1 $.1 $.1 $.1 1 0 1 $.1^2 $.1 1 0 0 $.1^2 $.1^2 1]\n[0 0 0 0 $.1 0 0 0 1 $.1 $.1^2 $.1^2 $.1^2 $.1 0 $.1 1 $.1^2 $.1 0 0 1 1 $.1]\n[0 0 0 0 0 1 0 0 1 $.1^2 1 $.1 $.1 $.1 1 0 1 $.1^2 $.1 1 0 0 $.1^2 $.1^2]\n[0 0 0 0 0 $.1 0 0 $.1 1 $.1 $.1^2 $.1^2 $.1^2 $.1 0 $.1 1 $.1^2 $.1 0 0 1 1]\n[0 0 0 0 0 0 1 0 0 1 $.1^2 1 $.1 $.1 $.1 1 $.1^2 1 $.1^2 $.1 1 0 0 $.1^2]\n[0 0 0 0 0 0 $.1 0 0 $.1 1 $.1 $.1^2 $.1^2 $.1^2 $.1 1 $.1 1 $.1^2 $.1 0 0 1]\n[0 0 0 0 0 0 0 1 1 0 1 $.1^2 1 $.1 $.1 $.1 $.1^2 $.1^2 1 $.1^2 $.1 1 0 0]\n[0 0 0 0 0 0 0 $.1 $.1 0 $.1 1 $.1 $.1^2 $.1^2 $.1^2 1 1 $.1 1 $.1^2 $.1 0 0]\nQuantum GF(2)-Additive code over GF(4) of length 24 with 32 generators.\nLower Bound: 1, Upper Bound: 9\nConstructed 2 distinct generator matrices\nTotal Ranks:     16  16 \nRelative Ranks:  16   8 \n(4 4 4 4 4 4 4 4 4 4 4 4 4 4 4 4 )\n(4 4 4 4 4 4 4 4 4 4 4 4 4 4 4 4 )\n     Discarding non-contributing rank 8 matrix\n     New Total Ranks:     16 \n     New Relative Ranks:  16 \nTime Taken: 0.00\nStarting search for low weight codewords... (reset timings)\nEnumerating using 1 generator at a time:\n     New codeword identified of weight 7,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</si>
  <si>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0.055713708003167994</t>
  </si>
  <si>
    <t>Magma V2.28-26    Tue Dec 30 2025 12:10:37 on Marks-MacBook-Air-2 [Seed = \n1399454648]\nType ? for help.  Type &lt;Ctrl&gt;-D to quit.\n[1 0 0 0 0 0 0 0 0 0 0 0 0 0 0 0 0 0 0 1 1 0 0 1 0 0 0 0 0 0 1 0 0 0 0 1 1 0 1 0\n    1 1 1 0 1 1 1 0 0 0]\n[0 1 0 0 0 0 0 0 0 0 0 0 0 0 0 0 1 0 0 0 1 1 0 0 0 0 0 0 0 0 0 1 0 1 0 0 1 1 0 1\n    0 0 1 1 0 1 1 1 0 0]\n[0 0 1 0 0 0 0 0 0 0 0 0 0 0 0 0 0 1 0 0 0 1 1 0 0 0 0 0 0 0 0 0 1 0 1 0 0 1 1 0\n    1 0 0 1 1 0 1 1 1 0]\n[0 0 0 1 0 0 0 0 0 0 0 0 0 0 0 0 0 0 1 0 0 0 1 1 0 0 1 1 1 1 1 1 1 1 0 1 0 0 1 1\n    0 0 1 1 0 0 1 0 0 0]\n[0 0 0 0 1 0 0 0 0 0 0 0 0 0 0 0 1 0 0 1 0 0 0 1 0 0 1 0 0 0 0 0 0 0 1 0 1 0 0 1\n    1 1 1 0 0 1 1 0 1 0]\n[0 0 0 0 0 1 0 0 0 0 0 0 0 0 0 0 1 1 0 0 1 0 0 0 0 0 0 1 0 0 0 0 0 1 0 1 0 1 0 0\n    1 1 1 1 0 0 1 1 0 0]\n[0 0 0 0 0 0 1 0 0 0 0 0 0 0 0 0 0 1 1 0 0 1 0 0 0 0 0 0 1 0 0 0 0 1 1 0 1 0 1 0\n    0 0 1 1 1 0 0 1 1 0]\n[0 0 0 0 0 0 0 1 0 0 0 0 0 0 0 0 0 0 1 1 0 0 1 0 0 0 0 0 0 1 0 0 0 0 1 1 0 1 0 1\n    0 1 0 1 1 1 0 0 1 0]\n[0 0 0 0 0 0 0 0 1 0 0 0 0 0 0 1 1 0 1 0 1 1 1 1 0 0 0 0 0 1 0 1 1 1 0 0 0 1 1 0\n    1 0 0 0 1 0 1 0 1 0]\n[0 0 0 0 0 0 0 0 0 1 0 0 0 0 0 1 0 1 1 1 1 0 0 0 0 0 1 1 1 0 0 0 1 0 1 0 0 1 0 1\n    1 0 1 1 0 0 0 0 0 0]\n[0 0 0 0 0 0 0 0 0 0 1 0 0 0 0 1 1 0 0 1 0 0 1 1 0 0 1 0 0 1 1 0 0 0 0 1 0 1 0 0\n    0 1 1 0 1 1 0 1 0 0]\n[0 0 0 0 0 0 0 0 0 0 0 1 0 0 0 1 0 1 1 0 0 1 1 0 0 0 0 1 0 1 1 0 1 1 0 0 1 1 0 0\n    1 0 1 1 1 1 0 0 0 0]\n[0 0 0 0 0 0 0 0 0 0 0 0 1 0 0 1 1 0 0 1 1 1 0 0 0 0 1 1 0 0 0 1 0 0 1 0 0 0 0 0\n    1 1 1 0 1 0 1 1 0 0]\n[0 0 0 0 0 0 0 0 0 0 0 0 0 1 0 1 1 1 1 0 0 0 0 1 0 0 0 1 1 1 0 1 0 0 0 1 0 1 1 0\n    1 0 1 1 1 1 1 1 0 0]\n[0 0 0 0 0 0 0 0 0 0 0 0 0 0 1 1 0 1 0 1 1 1 1 1 0 0 0 0 1 0 1 1 0 0 0 0 1 1 0 1\n    1 0 0 1 0 1 0 1 0 0]\n[0 0 0 0 0 0 0 0 0 0 0 0 0 0 0 0 0 0 0 0 0 0 0 0 1 0 0 0 0 0 0 0 0 0 0 0 0 0 0 0\n    0 0 0 0 0 0 0 0 0 0]\n[0 0 0 0 0 0 0 0 0 0 0 0 0 0 0 0 0 0 0 0 0 0 0 0 0 1 1 1 1 1 1 1 1 0 0 0 0 0 0 0\n    0 1 1 1 1 1 1 1 1 0]\n[[25, 8]] quantum code over GF(2^2), stabilised by:\n[1 0 0 0 0 0 0 0 $.1 1 0 1 $.1^2 1 $.1 $.1 0 $.1^2 $.1^2 1 $.1^2 $.1 1 0 0]\n[$.1 0 0 0 0 0 0 0 $.1^2 $.1 0 $.1 1 $.1 $.1^2 $.1^2 0 1 1 $.1 1 $.1^2 $.1 0 0]\n[0 1 0 0 0 0 0 0 $.1 $.1 1 0 1 $.1^2 1 $.1 0 0 $.1^2 $.1^2 1 $.1^2 $.1 1 0]\n[0 $.1 0 0 0 0 0 0 $.1^2 $.1^2 $.1 0 $.1 1 $.1 $.1^2 0 0 1 1 $.1 1 $.1^2 $.1 0]\n[0 0 1 0 0 0 0 0 $.1 $.1 $.1 1 0 1 $.1^2 1 1 0 0 $.1^2 $.1^2 1 $.1^2 $.1 0]\n[0 0 $.1 0 0 0 0 0 $.1^2 $.1^2 $.1^2 $.1 0 $.1 1 $.1 $.1 0 0 1 1 $.1 1 $.1^2 0]\n[0 0 0 1 0 0 0 0 1 $.1 $.1 $.1 1 0 1 $.1^2 $.1 1 0 0 $.1^2 $.1^2 1 $.1^2 0]\n[0 0 0 $.1 0 0 0 0 $.1 $.1^2 $.1^2 $.1^2 $.1 0 $.1 1 $.1^2 $.1 0 0 1 1 $.1 1 0]\n[0 0 0 0 1 0 0 0 $.1^2 1 $.1 $.1 $.1 1 0 1 $.1^2 $.1 1 0 0 $.1^2 $.1^2 1 0]\n[0 0 0 0 $.1 0 0 0 1 $.1 $.1^2 $.1^2 $.1^2 $.1 0 $.1 1 $.1^2 $.1 0 0 1 1 $.1 0]\n[0 0 0 0 0 1 0 0 1 $.1^2 1 $.1 $.1 $.1 1 0 1 $.1^2 $.1 1 0 0 $.1^2 $.1^2 0]\n[0 0 0 0 0 $.1 0 0 $.1 1 $.1 $.1^2 $.1^2 $.1^2 $.1 0 $.1 1 $.1^2 $.1 0 0 1 1 0]\n[0 0 0 0 0 0 1 0 0 1 $.1^2 1 $.1 $.1 $.1 1 $.1^2 1 $.1^2 $.1 1 0 0 $.1^2 0]\n[0 0 0 0 0 0 $.1 0 0 $.1 1 $.1 $.1^2 $.1^2 $.1^2 $.1 1 $.1 1 $.1^2 $.1 0 0 1 0]\n[0 0 0 0 0 0 0 1 1 0 1 $.1^2 1 $.1 $.1 $.1 $.1^2 $.1^2 1 $.1^2 $.1 1 0 0 0]\n[0 0 0 0 0 0 0 $.1 $.1 0 $.1 1 $.1 $.1^2 $.1^2 $.1^2 1 1 $.1 1 $.1^2 $.1 0 0 0]\n[0 0 0 0 0 0 0 0 0 0 0 0 0 0 0 0 0 0 0 0 0 0 0 0 1]\nQuantum GF(2)-Additive code over GF(4) of length 25 with 33 generators.\nLower Bound: 1, Upper Bound: 10\nConstructed 2 distinct generator matrices\nTotal Ranks:     17  17 \nRelative Ranks:  17   8 \n(4 4 4 4 4 4 4 4 4 4 4 4 4 4 4 4 2 )\n(4 4 4 4 4 4 4 4 4 4 4 4 4 4 4 4 2 )\n     Discarding non-contributing rank 8 matrix\n     New Total Ranks:     17 \n     New Relative Ranks:  17 \nTime Taken: 0.00\nStarting search for low weight codewords... (reset timings)\nEnumerating using 1 generator at a time:\n     New codeword identified of weight 7, time 0.00\n     Impurity detected of weight 1, time 0.00\n   Completed Matrix  1:  lower =  2, upper =  7. Elapsed: 0.00s\nTermination predicted with 6 generators at matrix 1\nEnumerating using 2 generators at a time:\n     New codeword identified of weight 6, time 0.00\n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0.004\n5\n\nTotal time: 0.010 seconds, Total memory usage: 32.09MB\n</t>
  </si>
  <si>
    <t>Magma V2.28-26    Tue Dec 30 2025 12:10:37 on Marks-MacBook-Air-2 [Seed = \n1567094198]\nType ? for help.  Type &lt;Ctrl&gt;-D to quit.\n[1 0 0 0 0 0 0 0 0 0 0 0 0 0 0 0 0 0 1 1 1 0 0 0 0 0 0 1 1 1 0 0 0 0 0 0 1 0 0 0\n    1 0 0 1 0 1 1 1 0 1 0 0]\n[0 1 0 0 0 0 0 0 0 0 0 0 0 0 0 0 0 0 1 1 0 1 1 1 0 0 1 1 1 0 0 1 1 0 0 0 1 1 1 1\n    1 1 1 1 0 1 0 1 0 1 0 0]\n[0 0 1 0 0 0 0 0 0 0 0 0 0 0 0 0 0 0 0 0 1 0 0 0 0 0 1 1 1 1 1 0 1 0 1 1 0 0 0 1\n    1 0 1 0 1 1 1 1 1 0 0 0]\n[0 0 0 1 0 0 0 0 0 0 0 0 0 0 0 0 0 0 0 0 0 1 0 0 0 0 0 1 1 1 1 1 0 1 0 1 1 0 0 0\n    1 1 0 1 0 1 1 1 1 1 0 0]\n[0 0 0 0 1 0 0 0 0 0 0 0 0 0 0 0 0 0 1 0 1 0 0 1 0 0 1 1 1 0 0 0 0 0 1 0 0 1 1 1\n    1 1 0 1 0 1 0 1 0 0 0 0]\n[0 0 0 0 0 1 0 0 0 0 0 0 0 0 0 0 0 0 1 0 1 1 0 0 0 0 0 0 1 0 0 1 1 1 1 0 1 1 1 0\n    0 0 0 0 0 0 0 1 0 1 0 0]\n[0 0 0 0 0 0 1 0 0 0 0 0 0 0 0 0 0 0 1 1 1 1 0 1 0 0 1 1 0 0 1 1 0 1 1 1 1 1 0 0\n    1 0 1 1 1 1 1 0 0 1 0 0]\n[0 0 0 0 0 0 0 1 0 0 0 0 0 0 0 0 0 0 0 0 1 1 0 1 0 0 1 1 1 0 1 1 1 1 0 0 1 0 0 0\n    0 0 0 0 1 0 1 0 0 0 0 0]\n[0 0 0 0 0 0 0 0 1 0 0 0 0 0 0 0 0 0 1 1 1 1 1 0 0 0 0 0 1 0 0 0 0 0 0 1 1 0 0 1\n    1 1 1 0 1 1 1 0 1 1 0 0]\n[0 0 0 0 0 0 0 0 0 1 0 0 0 0 0 0 0 0 1 1 0 1 0 0 0 0 1 1 0 0 1 1 1 0 0 0 0 1 1 1\n    0 1 0 0 1 0 0 1 1 0 0 0]\n[0 0 0 0 0 0 0 0 0 0 1 0 0 0 0 0 0 0 0 1 1 0 1 0 0 0 0 1 1 0 0 1 1 1 0 0 0 0 1 1\n    1 0 1 0 0 1 0 0 1 1 0 0]\n[0 0 0 0 0 0 0 0 0 0 0 1 0 0 0 0 0 0 1 0 0 1 1 0 0 0 1 1 1 0 1 1 0 1 1 0 1 0 1 0\n    0 1 1 0 1 1 0 0 1 0 0 0]\n[0 0 0 0 0 0 0 0 0 0 0 0 1 0 0 0 0 0 0 1 0 0 1 1 0 0 0 1 1 1 0 1 1 0 1 1 0 1 0 1\n    0 0 1 1 0 1 1 0 0 1 0 0]\n[0 0 0 0 0 0 0 0 0 0 0 0 0 1 0 0 0 0 0 1 1 0 1 0 0 0 1 0 1 1 0 0 1 0 1 0 1 1 0 0\n    1 1 0 0 1 1 1 0 0 0 0 0]\n[0 0 0 0 0 0 0 0 0 0 0 0 0 0 1 0 0 0 0 0 1 1 0 1 0 0 0 1 0 1 1 0 0 1 0 1 0 1 1 0\n    0 1 1 0 0 1 1 1 0 0 0 0]\n[0 0 0 0 0 0 0 0 0 0 0 0 0 0 0 1 0 0 1 1 1 1 1 0 0 0 0 1 1 1 1 0 1 1 0 1 0 1 1 0\n    1 1 0 1 1 0 0 0 0 1 0 0]\n[0 0 0 0 0 0 0 0 0 0 0 0 0 0 0 0 1 0 1 1 0 1 0 0 0 0 1 1 1 0 0 0 1 1 1 0 0 0 0 0\n    1 1 0 1 0 0 1 0 1 1 0 0]\n[0 0 0 0 0 0 0 0 0 0 0 0 0 0 0 0 0 1 1 1 0 0 0 1 0 0 1 0 1 0 1 1 1 1 1 1 1 0 1 1\n    1 1 0 1 0 1 1 1 1 0 0 0]\n[0 0 0 0 0 0 0 0 0 0 0 0 0 0 0 0 0 0 0 0 0 0 0 0 1 0 0 0 0 0 0 0 0 0 0 0 0 0 0 0\n    0 0 0 0 0 0 0 0 0 0 0 0]\n[0 0 0 0 0 0 0 0 0 0 0 0 0 0 0 0 0 0 0 0 0 0 0 0 0 1 0 0 0 0 0 0 0 0 0 0 0 0 0 0\n    0 0 0 0 0 0 0 0 0 0 0 0]\n[[26, 6]] quantum code over GF(2^2), stabilised by:\n[1 0 0 0 0 0 0 0 0 1 1 0 $.1^2 0 $.1 0 0 $.1^2 $.1^2 1 $.1 $.1^2 $.1 $.1 0 0]\n[$.1 0 0 0 0 0 0 0 0 $.1 $.1 0 1 0 $.1^2 0 0 1 1 $.1 $.1^2 1 $.1^2 $.1^2 0 0]\n[0 1 0 0 0 0 0 0 0 $.1 0 $.1 $.1^2 1 $.1^2 1 $.1 $.1 0 0 $.1^2 1 0 $.1^2 0 0]\n[0 $.1 0 0 0 0 0 0 0 $.1^2 0 $.1^2 1 $.1 1 $.1 $.1^2 $.1^2 0 0 1 $.1 0 1 0 0]\n[0 0 1 0 0 0 0 0 0 $.1^2 0 1 $.1^2 0 0 $.1 $.1 1 $.1^2 1 $.1^2 $.1 0 $.1 0 0]\n[0 0 $.1 0 0 0 0 0 0 1 0 $.1 1 0 0 $.1^2 $.1^2 $.1 1 $.1 1 $.1^2 0 $.1^2 0 0]\n[0 0 0 1 0 0 0 0 0 $.1 $.1 $.1^2 $.1 1 $.1^2 $.1^2 0 0 $.1 0 $.1^2 0 1 1 0 0]\n[0 0 0 $.1 0 0 0 0 0 $.1^2 $.1^2 1 $.1^2 $.1 1 1 0 0 $.1^2 0 1 0 $.1 $.1 0 0]\n[0 0 0 0 1 0 0 0 0 1 1 0 1 $.1^2 $.1^2 1 $.1 1 $.1 0 1 1 $.1 $.1 0 0]\n[0 0 0 0 $.1 0 0 0 0 $.1 $.1 0 $.1 1 1 $.1 $.1^2 $.1 $.1^2 0 $.1 $.1 $.1^2 $.1^2\n    0 0]\n[0 0 0 0 0 1 0 0 0 $.1 0 $.1 $.1^2 $.1^2 0 0 $.1^2 0 $.1 1 $.1 $.1 $.1 $.1^2 0 \n    0]\n[0 0 0 0 0 $.1 0 0 0 $.1^2 0 $.1^2 1 1 0 0 1 0 $.1^2 $.1 $.1^2 $.1^2 $.1^2 1 0 \n    0]\n[0 0 0 0 0 0 1 0 0 $.1^2 0 1 $.1^2 0 $.1 1 $.1^2 0 1 $.1^2 $.1 $.1^2 $.1^2 0 0 \n    0]\n[0 0 0 0 0 0 $.1 0 0 1 0 $.1 1 0 $.1^2 $.1 1 0 $.1 1 $.1^2 1 1 0 0 0]\n[0 0 0 0 0 0 0 1 0 0 $.1^2 0 1 $.1^2 0 $.1 1 $.1^2 0 1 $.1^2 $.1 $.1^2 $.1^2 0 \n    0]\n[0 0 0 0 0 0 0 $.1 0 0 1 0 $.1 1 0 $.1^2 $.1 1 0 $.1 1 $.1^2 1 1 0 0]\n[0 0 0 0 0 0 0 0 1 $.1^2 $.1 $.1 1 $.1 $.1 1 1 $.1 $.1 1 $.1 $.1 $.1^2 1 0 0]\n[0 0 0 0 0 0 0 0 $.1 1 $.1^2 $.1^2 $.1 $.1^2 $.1^2 $.1 $.1 $.1^2 $.1^2 $.1 $.1^2\n    $.1^2 1 $.1 0 0]\n[0 0 0 0 0 0 0 0 0 0 0 0 0 0 0 0 0 0 0 0 0 0 0 0 1 0]\n[0 0 0 0 0 0 0 0 0 0 0 0 0 0 0 0 0 0 0 0 0 0 0 0 0 1]\nQuantum GF(2)-Additive code over GF(4) of length 26 with 32 generators.\nLower Bound: 1, Upper Bound: 11\nConstructed 2 distinct generator matrices\nTotal Ranks:     17  17 \nRelative Ranks:  17   9 \n(4 4 4 4 4 4 4 4 4 4 4 4 4 4 4 2 2 )\n(4 4 4 4 4 4 4 4 4 4 4 4 4 4 4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17 \n     New Relative Ranks:  17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0.009\n6\n\nTotal time: 0.019 seconds, Total memory usage: 32.09MB\n</t>
  </si>
  <si>
    <t>Magma V2.28-26    Tue Dec 30 2025 12:10:37 on Marks-MacBook-Air-2 [Seed = \n1199435692]\nType ? for help.  Type &lt;Ctrl&gt;-D to quit.\n[1 0 0 0 0 0 0 0 0 0 0 0 0 0 0 0 0 0 1 1 1 0 0 0 0 0 0 0 1 1 1 0 0 0 0 0 0 1 0 0\n    0 1 0 0 1 0 1 1 1 0 1 0 0 0]\n[0 1 0 0 0 0 0 0 0 0 0 0 0 0 0 0 0 0 1 1 0 1 1 1 0 0 0 1 1 1 0 0 1 1 0 0 0 1 1 1\n    1 1 1 1 1 0 1 0 1 0 1 0 0 0]\n[0 0 1 0 0 0 0 0 0 0 0 0 0 0 0 0 0 0 0 0 1 0 0 0 0 0 0 1 1 1 1 1 0 1 0 1 1 0 0 0\n    1 1 0 1 0 1 1 1 1 1 0 0 0 0]\n[0 0 0 1 0 0 0 0 0 0 0 0 0 0 0 0 0 0 0 0 0 1 0 0 0 0 0 0 1 1 1 1 1 0 1 0 1 1 0 0\n    0 1 1 0 1 0 1 1 1 1 1 0 0 0]\n[0 0 0 0 1 0 0 0 0 0 0 0 0 0 0 0 0 0 1 0 1 0 0 1 0 0 0 1 1 1 0 0 0 0 0 1 0 0 1 1\n    1 1 1 0 1 0 1 0 1 0 0 0 0 0]\n[0 0 0 0 0 1 0 0 0 0 0 0 0 0 0 0 0 0 1 0 1 1 0 0 0 0 0 0 0 1 0 0 1 1 1 1 0 1 1 1\n    0 0 0 0 0 0 0 0 1 0 1 0 0 0]\n[0 0 0 0 0 0 1 0 0 0 0 0 0 0 0 0 0 0 1 1 1 1 0 1 0 0 0 1 1 0 0 1 1 0 1 1 1 1 1 0\n    0 1 0 1 1 1 1 1 0 0 1 0 0 0]\n[0 0 0 0 0 0 0 1 0 0 0 0 0 0 0 0 0 0 0 0 1 1 0 1 0 0 0 1 1 1 0 1 1 1 1 0 0 1 0 0\n    0 0 0 0 0 1 0 1 0 0 0 0 0 0]\n[0 0 0 0 0 0 0 0 1 0 0 0 0 0 0 0 0 0 1 1 1 1 1 0 0 0 0 0 0 1 0 0 0 0 0 0 1 1 0 0\n    1 1 1 1 0 1 1 1 0 1 1 0 0 0]\n[0 0 0 0 0 0 0 0 0 1 0 0 0 0 0 0 0 0 1 1 0 1 0 0 0 0 0 1 1 0 0 1 1 1 0 0 0 0 1 1\n    1 0 1 0 0 1 0 0 1 1 0 0 0 0]\n[0 0 0 0 0 0 0 0 0 0 1 0 0 0 0 0 0 0 0 1 1 0 1 0 0 0 0 0 1 1 0 0 1 1 1 0 0 0 0 1\n    1 1 0 1 0 0 1 0 0 1 1 0 0 0]\n[0 0 0 0 0 0 0 0 0 0 0 1 0 0 0 0 0 0 1 0 0 1 1 0 0 0 0 1 1 1 0 1 1 0 1 1 0 1 0 1\n    0 0 1 1 0 1 1 0 0 1 0 0 0 0]\n[0 0 0 0 0 0 0 0 0 0 0 0 1 0 0 0 0 0 0 1 0 0 1 1 0 0 0 0 1 1 1 0 1 1 0 1 1 0 1 0\n    1 0 0 1 1 0 1 1 0 0 1 0 0 0]\n[0 0 0 0 0 0 0 0 0 0 0 0 0 1 0 0 0 0 0 1 1 0 1 0 0 0 0 1 0 1 1 0 0 1 0 1 0 1 1 0\n    0 1 1 0 0 1 1 1 0 0 0 0 0 0]\n[0 0 0 0 0 0 0 0 0 0 0 0 0 0 1 0 0 0 0 0 1 1 0 1 0 0 0 0 1 0 1 1 0 0 1 0 1 0 1 1\n    0 0 1 1 0 0 1 1 1 0 0 0 0 0]\n[0 0 0 0 0 0 0 0 0 0 0 0 0 0 0 1 0 0 1 1 1 1 1 0 0 0 0 0 1 1 1 1 0 1 1 0 1 0 1 1\n    0 1 1 0 1 1 0 0 0 0 1 0 0 0]\n[0 0 0 0 0 0 0 0 0 0 0 0 0 0 0 0 1 0 1 1 0 1 0 0 0 0 0 1 1 1 0 0 0 1 1 1 0 0 0 0\n    0 1 1 0 1 0 0 1 0 1 1 0 0 0]\n[0 0 0 0 0 0 0 0 0 0 0 0 0 0 0 0 0 1 1 1 0 0 0 1 0 0 0 1 0 1 0 1 1 1 1 1 1 1 0 1\n    1 1 1 0 1 0 1 1 1 1 0 0 0 0]\n[0 0 0 0 0 0 0 0 0 0 0 0 0 0 0 0 0 0 0 0 0 0 0 0 1 0 0 0 0 0 0 0 0 0 0 0 0 0 0 0\n    0 0 0 0 0 0 0 0 0 0 0 0 0 0]\n[0 0 0 0 0 0 0 0 0 0 0 0 0 0 0 0 0 0 0 0 0 0 0 0 0 1 0 0 0 0 0 0 0 0 0 0 0 0 0 0\n    0 0 0 0 0 0 0 0 0 0 0 0 0 0]\n[0 0 0 0 0 0 0 0 0 0 0 0 0 0 0 0 0 0 0 0 0 0 0 0 0 0 1 0 0 0 0 0 0 0 0 0 0 0 0 0\n    0 0 0 0 0 0 0 0 0 0 0 0 0 0]\n[[27, 6]] quantum code over GF(2^2), stabilised by:\n[1 0 0 0 0 0 0 0 0 1 1 0 $.1^2 0 $.1 0 0 $.1^2 $.1^2 1 $.1 $.1^2 $.1 $.1 0 0 0]\n[$.1 0 0 0 0 0 0 0 0 $.1 $.1 0 1 0 $.1^2 0 0 1 1 $.1 $.1^2 1 $.1^2 $.1^2 0 0 0]\n[0 1 0 0 0 0 0 0 0 $.1 0 $.1 $.1^2 1 $.1^2 1 $.1 $.1 0 0 $.1^2 1 0 $.1^2 0 0 0]\n[0 $.1 0 0 0 0 0 0 0 $.1^2 0 $.1^2 1 $.1 1 $.1 $.1^2 $.1^2 0 0 1 $.1 0 1 0 0 0]\n[0 0 1 0 0 0 0 0 0 $.1^2 0 1 $.1^2 0 0 $.1 $.1 1 $.1^2 1 $.1^2 $.1 0 $.1 0 0 0]\n[0 0 $.1 0 0 0 0 0 0 1 0 $.1 1 0 0 $.1^2 $.1^2 $.1 1 $.1 1 $.1^2 0 $.1^2 0 0 0]\n[0 0 0 1 0 0 0 0 0 $.1 $.1 $.1^2 $.1 1 $.1^2 $.1^2 0 0 $.1 0 $.1^2 0 1 1 0 0 0]\n[0 0 0 $.1 0 0 0 0 0 $.1^2 $.1^2 1 $.1^2 $.1 1 1 0 0 $.1^2 0 1 0 $.1 $.1 0 0 0]\n[0 0 0 0 1 0 0 0 0 1 1 0 1 $.1^2 $.1^2 1 $.1 1 $.1 0 1 1 $.1 $.1 0 0 0]\n[0 0 0 0 $.1 0 0 0 0 $.1 $.1 0 $.1 1 1 $.1 $.1^2 $.1 $.1^2 0 $.1 $.1 $.1^2 $.1^2\n    0 0 0]\n[0 0 0 0 0 1 0 0 0 $.1 0 $.1 $.1^2 $.1^2 0 0 $.1^2 0 $.1 1 $.1 $.1 $.1 $.1^2 0 0\n    0]\n[0 0 0 0 0 $.1 0 0 0 $.1^2 0 $.1^2 1 1 0 0 1 0 $.1^2 $.1 $.1^2 $.1^2 $.1^2 1 0 0\n    0]\n[0 0 0 0 0 0 1 0 0 $.1^2 0 1 $.1^2 0 $.1 1 $.1^2 0 1 $.1^2 $.1 $.1^2 $.1^2 0 0 0\n    0]\n[0 0 0 0 0 0 $.1 0 0 1 0 $.1 1 0 $.1^2 $.1 1 0 $.1 1 $.1^2 1 1 0 0 0 0]\n[0 0 0 0 0 0 0 1 0 0 $.1^2 0 1 $.1^2 0 $.1 1 $.1^2 0 1 $.1^2 $.1 $.1^2 $.1^2 0 0\n    0]\n[0 0 0 0 0 0 0 $.1 0 0 1 0 $.1 1 0 $.1^2 $.1 1 0 $.1 1 $.1^2 1 1 0 0 0]\n[0 0 0 0 0 0 0 0 1 $.1^2 $.1 $.1 1 $.1 $.1 1 1 $.1 $.1 1 $.1 $.1 $.1^2 1 0 0 0]\n[0 0 0 0 0 0 0 0 $.1 1 $.1^2 $.1^2 $.1 $.1^2 $.1^2 $.1 $.1 $.1^2 $.1^2 $.1 $.1^2\n    $.1^2 1 $.1 0 0 0]\n[0 0 0 0 0 0 0 0 0 0 0 0 0 0 0 0 0 0 0 0 0 0 0 0 1 0 0]\n[0 0 0 0 0 0 0 0 0 0 0 0 0 0 0 0 0 0 0 0 0 0 0 0 0 1 0]\n[0 0 0 0 0 0 0 0 0 0 0 0 0 0 0 0 0 0 0 0 0 0 0 0 0 0 1]\nQuantum GF(2)-Additive code over GF(4) of length 27 with 33 generators.\nLower Bound: 1, Upper Bound: 12\nConstructed 2 distinct generator matrices\nTotal Ranks:     18  18 \nRelative Ranks:  18   9 \n(4 4 4 4 4 4 4 4 4 4 4 4 4 4 4 2 2 2 )\n(4 4 4 4 4 4 4 4 4 4 4 4 4 4 4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18 \n     New Relative Ranks:  18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0.010\n6\n\nTotal time: 0.019 seconds, Total memory usage: 32.09MB\n</t>
  </si>
  <si>
    <t>Magma V2.28-26    Tue Dec 30 2025 12:10:37 on Marks-MacBook-Air-2 [Seed = \n1098639786]\nType ? for help.  Type &lt;Ctrl&gt;-D to quit.\n[1 0 0 0 0 0 0 0 0 0 0 0 0 0 0 0 0 0 1 1 1 0 0 0 0 0 0 0 0 1 1 1 0 0 0 0 0 0 1 0\n    0 0 1 0 0 1 0 1 1 1 0 1 0 0 0 0]\n[0 1 0 0 0 0 0 0 0 0 0 0 0 0 0 0 0 0 1 1 0 1 1 1 0 0 0 0 1 1 1 0 0 1 1 0 0 0 1 1\n    1 1 1 1 1 1 0 1 0 1 0 1 0 0 0 0]\n[0 0 1 0 0 0 0 0 0 0 0 0 0 0 0 0 0 0 0 0 1 0 0 0 0 0 0 0 1 1 1 1 1 0 1 0 1 1 0 0\n    0 1 1 0 1 0 1 1 1 1 1 0 0 0 0 0]\n[0 0 0 1 0 0 0 0 0 0 0 0 0 0 0 0 0 0 0 0 0 1 0 0 0 0 0 0 0 1 1 1 1 1 0 1 0 1 1 0\n    0 0 1 1 0 1 0 1 1 1 1 1 0 0 0 0]\n[0 0 0 0 1 0 0 0 0 0 0 0 0 0 0 0 0 0 1 0 1 0 0 1 0 0 0 0 1 1 1 0 0 0 0 0 1 0 0 1\n    1 1 1 1 0 1 0 1 0 1 0 0 0 0 0 0]\n[0 0 0 0 0 1 0 0 0 0 0 0 0 0 0 0 0 0 1 0 1 1 0 0 0 0 0 0 0 0 1 0 0 1 1 1 1 0 1 1\n    1 0 0 0 0 0 0 0 0 1 0 1 0 0 0 0]\n[0 0 0 0 0 0 1 0 0 0 0 0 0 0 0 0 0 0 1 1 1 1 0 1 0 0 0 0 1 1 0 0 1 1 0 1 1 1 1 1\n    0 0 1 0 1 1 1 1 1 0 0 1 0 0 0 0]\n[0 0 0 0 0 0 0 1 0 0 0 0 0 0 0 0 0 0 0 0 1 1 0 1 0 0 0 0 1 1 1 0 1 1 1 1 0 0 1 0\n    0 0 0 0 0 0 1 0 1 0 0 0 0 0 0 0]\n[0 0 0 0 0 0 0 0 1 0 0 0 0 0 0 0 0 0 1 1 1 1 1 0 0 0 0 0 0 0 1 0 0 0 0 0 0 1 1 0\n    0 1 1 1 1 0 1 1 1 0 1 1 0 0 0 0]\n[0 0 0 0 0 0 0 0 0 1 0 0 0 0 0 0 0 0 1 1 0 1 0 0 0 0 0 0 1 1 0 0 1 1 1 0 0 0 0 1\n    1 1 0 1 0 0 1 0 0 1 1 0 0 0 0 0]\n[0 0 0 0 0 0 0 0 0 0 1 0 0 0 0 0 0 0 0 1 1 0 1 0 0 0 0 0 0 1 1 0 0 1 1 1 0 0 0 0\n    1 1 1 0 1 0 0 1 0 0 1 1 0 0 0 0]\n[0 0 0 0 0 0 0 0 0 0 0 1 0 0 0 0 0 0 1 0 0 1 1 0 0 0 0 0 1 1 1 0 1 1 0 1 1 0 1 0\n    1 0 0 1 1 0 1 1 0 0 1 0 0 0 0 0]\n[0 0 0 0 0 0 0 0 0 0 0 0 1 0 0 0 0 0 0 1 0 0 1 1 0 0 0 0 0 1 1 1 0 1 1 0 1 1 0 1\n    0 1 0 0 1 1 0 1 1 0 0 1 0 0 0 0]\n[0 0 0 0 0 0 0 0 0 0 0 0 0 1 0 0 0 0 0 1 1 0 1 0 0 0 0 0 1 0 1 1 0 0 1 0 1 0 1 1\n    0 0 1 1 0 0 1 1 1 0 0 0 0 0 0 0]\n[0 0 0 0 0 0 0 0 0 0 0 0 0 0 1 0 0 0 0 0 1 1 0 1 0 0 0 0 0 1 0 1 1 0 0 1 0 1 0 1\n    1 0 0 1 1 0 0 1 1 1 0 0 0 0 0 0]\n[0 0 0 0 0 0 0 0 0 0 0 0 0 0 0 1 0 0 1 1 1 1 1 0 0 0 0 0 0 1 1 1 1 0 1 1 0 1 0 1\n    1 0 1 1 0 1 1 0 0 0 0 1 0 0 0 0]\n[0 0 0 0 0 0 0 0 0 0 0 0 0 0 0 0 1 0 1 1 0 1 0 0 0 0 0 0 1 1 1 0 0 0 1 1 1 0 0 0\n    0 0 1 1 0 1 0 0 1 0 1 1 0 0 0 0]\n[0 0 0 0 0 0 0 0 0 0 0 0 0 0 0 0 0 1 1 1 0 0 0 1 0 0 0 0 1 0 1 0 1 1 1 1 1 1 1 0\n    1 1 1 1 0 1 0 1 1 1 1 0 0 0 0 0]\n[0 0 0 0 0 0 0 0 0 0 0 0 0 0 0 0 0 0 0 0 0 0 0 0 1 0 0 0 0 0 0 0 0 0 0 0 0 0 0 0\n    0 0 0 0 0 0 0 0 0 0 0 0 0 0 0 0]\n[0 0 0 0 0 0 0 0 0 0 0 0 0 0 0 0 0 0 0 0 0 0 0 0 0 1 0 0 0 0 0 0 0 0 0 0 0 0 0 0\n    0 0 0 0 0 0 0 0 0 0 0 0 0 0 0 0]\n[0 0 0 0 0 0 0 0 0 0 0 0 0 0 0 0 0 0 0 0 0 0 0 0 0 0 1 0 0 0 0 0 0 0 0 0 0 0 0 0\n    0 0 0 0 0 0 0 0 0 0 0 0 0 0 0 0]\n[0 0 0 0 0 0 0 0 0 0 0 0 0 0 0 0 0 0 0 0 0 0 0 0 0 0 0 1 0 0 0 0 0 0 0 0 0 0 0 0\n    0 0 0 0 0 0 0 0 0 0 0 0 0 0 0 0]\n[[28, 6]] quantum code over GF(2^2), stabilised by:\n[1 0 0 0 0 0 0 0 0 1 1 0 $.1^2 0 $.1 0 0 $.1^2 $.1^2 1 $.1 $.1^2 $.1 $.1 0 0 0 \n    0]\n[$.1 0 0 0 0 0 0 0 0 $.1 $.1 0 1 0 $.1^2 0 0 1 1 $.1 $.1^2 1 $.1^2 $.1^2 0 0 0 \n    0]\n[0 1 0 0 0 0 0 0 0 $.1 0 $.1 $.1^2 1 $.1^2 1 $.1 $.1 0 0 $.1^2 1 0 $.1^2 0 0 0 \n    0]\n[0 $.1 0 0 0 0 0 0 0 $.1^2 0 $.1^2 1 $.1 1 $.1 $.1^2 $.1^2 0 0 1 $.1 0 1 0 0 0 \n    0]\n[0 0 1 0 0 0 0 0 0 $.1^2 0 1 $.1^2 0 0 $.1 $.1 1 $.1^2 1 $.1^2 $.1 0 $.1 0 0 0 \n    0]\n[0 0 $.1 0 0 0 0 0 0 1 0 $.1 1 0 0 $.1^2 $.1^2 $.1 1 $.1 1 $.1^2 0 $.1^2 0 0 0 \n    0]\n[0 0 0 1 0 0 0 0 0 $.1 $.1 $.1^2 $.1 1 $.1^2 $.1^2 0 0 $.1 0 $.1^2 0 1 1 0 0 0 \n    0]\n[0 0 0 $.1 0 0 0 0 0 $.1^2 $.1^2 1 $.1^2 $.1 1 1 0 0 $.1^2 0 1 0 $.1 $.1 0 0 0 \n    0]\n[0 0 0 0 1 0 0 0 0 1 1 0 1 $.1^2 $.1^2 1 $.1 1 $.1 0 1 1 $.1 $.1 0 0 0 0]\n[0 0 0 0 $.1 0 0 0 0 $.1 $.1 0 $.1 1 1 $.1 $.1^2 $.1 $.1^2 0 $.1 $.1 $.1^2 $.1^2\n    0 0 0 0]\n[0 0 0 0 0 1 0 0 0 $.1 0 $.1 $.1^2 $.1^2 0 0 $.1^2 0 $.1 1 $.1 $.1 $.1 $.1^2 0 0\n    0 0]\n[0 0 0 0 0 $.1 0 0 0 $.1^2 0 $.1^2 1 1 0 0 1 0 $.1^2 $.1 $.1^2 $.1^2 $.1^2 1 0 0\n    0 0]\n[0 0 0 0 0 0 1 0 0 $.1^2 0 1 $.1^2 0 $.1 1 $.1^2 0 1 $.1^2 $.1 $.1^2 $.1^2 0 0 0\n    0 0]\n[0 0 0 0 0 0 $.1 0 0 1 0 $.1 1 0 $.1^2 $.1 1 0 $.1 1 $.1^2 1 1 0 0 0 0 0]\n[0 0 0 0 0 0 0 1 0 0 $.1^2 0 1 $.1^2 0 $.1 1 $.1^2 0 1 $.1^2 $.1 $.1^2 $.1^2 0 0\n    0 0]\n[0 0 0 0 0 0 0 $.1 0 0 1 0 $.1 1 0 $.1^2 $.1 1 0 $.1 1 $.1^2 1 1 0 0 0 0]\n[0 0 0 0 0 0 0 0 1 $.1^2 $.1 $.1 1 $.1 $.1 1 1 $.1 $.1 1 $.1 $.1 $.1^2 1 0 0 0 \n    0]\n[0 0 0 0 0 0 0 0 $.1 1 $.1^2 $.1^2 $.1 $.1^2 $.1^2 $.1 $.1 $.1^2 $.1^2 $.1 $.1^2\n    $.1^2 1 $.1 0 0 0 0]\n[0 0 0 0 0 0 0 0 0 0 0 0 0 0 0 0 0 0 0 0 0 0 0 0 1 0 0 0]\n[0 0 0 0 0 0 0 0 0 0 0 0 0 0 0 0 0 0 0 0 0 0 0 0 0 1 0 0]\n[0 0 0 0 0 0 0 0 0 0 0 0 0 0 0 0 0 0 0 0 0 0 0 0 0 0 1 0]\n[0 0 0 0 0 0 0 0 0 0 0 0 0 0 0 0 0 0 0 0 0 0 0 0 0 0 0 1]\nQuantum GF(2)-Additive code over GF(4) of length 28 with 34 generators.\nLower Bound: 1, Upper Bound: 12\nConstructed 2 distinct generator matrices\nTotal Ranks:     19  19 \nRelative Ranks:  19   9 \n(4 4 4 4 4 4 4 4 4 4 4 4 4 4 4 2 2 2 2 )\n(4 4 4 4 4 4 4 4 4 4 4 4 4 4 4 2 2 2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Discarding non-contributing rank 9 matrix\n     New Total Ranks:     19 \n     New Relative Ranks:  19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0.00s\nComputation complete \nFinal Results: lower = 6, upper = 6,\nTotal CPU time: 0.00, real time: 0.011\n6\n\nTotal time: 0.019 seconds, Total memory usage: 32.09MB\n</t>
  </si>
  <si>
    <t>0.12554295800509863</t>
  </si>
  <si>
    <t>Magma V2.28-26    Tue Dec 30 2025 12:10:38 on Marks-MacBook-Air-2 [Seed = \n1265755043]\nType ? for help.  Type &lt;Ctrl&gt;-D to quit.\n[1 0 0 0 0 0 0 0 0 0 0 0 0 0 0 0 0 0 0 0 0 0 0 0 0 1 1 0 1 1 0 1 1 1 1 1 0 0 0 1\n    1 0 0 1 0 0 1 0 0 1 1 1 0 1 1 0 1 0]\n[0 1 0 0 0 0 0 0 0 0 0 0 0 0 0 0 0 0 0 0 0 0 1 0 0 0 0 1 1 0 0 1 0 1 0 1 0 0 0 1\n    0 0 1 1 0 1 1 1 1 0 1 1 1 0 0 0 1 0]\n[0 0 1 0 0 0 0 0 0 0 0 0 0 0 0 0 0 0 0 0 0 0 1 0 1 0 0 0 1 1 0 0 1 1 0 0 0 1 1 1\n    0 0 1 0 1 1 0 0 1 0 0 0 0 1 0 1 1 1]\n[0 0 0 1 0 0 0 0 0 0 0 0 0 0 0 0 0 0 0 0 0 0 0 0 0 0 1 1 1 1 1 0 0 1 0 0 0 1 1 0\n    1 1 1 1 1 0 1 1 0 1 1 1 0 1 0 1 1 0]\n[0 0 0 0 1 0 0 0 0 0 0 0 0 0 0 0 0 0 0 0 0 0 1 0 0 0 1 1 0 0 0 0 1 0 0 0 1 0 1 0\n    1 0 0 0 0 0 1 1 0 0 1 1 1 0 0 1 0 0]\n[0 0 0 0 0 1 0 0 0 0 0 0 0 0 0 0 0 0 0 0 0 0 0 0 1 0 1 1 0 1 1 1 1 0 0 0 0 0 1 1\n    0 0 0 0 1 0 0 0 0 1 0 0 0 1 1 0 1 1]\n[0 0 0 0 0 0 1 0 0 0 0 0 0 0 0 0 0 0 0 0 0 0 1 0 1 0 1 0 0 0 1 1 1 0 0 0 1 0 1 1\n    0 1 0 1 1 1 1 0 0 1 0 0 1 1 0 1 1 0]\n[0 0 0 0 0 0 0 1 0 0 0 0 0 0 0 0 0 0 0 0 0 0 0 0 1 1 1 1 1 1 1 0 0 0 0 0 0 0 1 1\n    1 1 1 0 0 1 1 0 1 1 1 1 1 1 0 0 1 0]\n[0 0 0 0 0 0 0 0 1 0 0 0 0 0 0 0 0 0 0 0 0 0 1 0 0 1 0 1 0 0 0 0 1 0 1 0 1 0 0 0\n    0 0 0 0 1 1 0 1 1 1 1 1 1 1 0 1 1 0]\n[0 0 0 0 0 0 0 0 0 1 0 0 0 0 0 0 0 0 0 0 0 0 0 0 1 0 0 0 0 1 1 1 1 0 0 1 0 0 1 0\n    0 1 0 0 1 1 1 1 0 0 1 0 0 1 0 0 1 0]\n[0 0 0 0 0 0 0 0 0 0 1 0 0 0 0 0 0 0 0 0 0 0 0 0 0 1 0 0 0 0 1 1 1 1 0 0 1 0 0 1\n    0 0 1 0 0 1 1 1 1 0 0 1 0 0 1 0 0 1]\n[0 0 0 0 0 0 0 0 0 0 0 1 0 0 0 0 0 0 0 0 0 0 1 0 1 1 0 1 1 0 0 1 1 0 1 0 1 1 1 0\n    0 1 0 0 1 0 0 1 1 0 1 0 0 1 1 1 1 1]\n[0 0 0 0 0 0 0 0 0 0 0 0 1 0 0 0 0 0 0 0 0 0 0 0 0 0 0 1 0 1 0 0 1 1 1 1 0 0 1 0\n    0 1 0 0 1 0 0 1 1 1 1 0 0 1 0 0 1 0]\n[0 0 0 0 0 0 0 0 0 0 0 0 0 1 0 0 0 0 0 0 0 0 0 0 0 0 0 0 1 0 1 0 0 1 1 1 1 0 0 1\n    0 0 1 0 0 1 0 0 1 1 1 1 0 0 1 0 0 1]\n[0 0 0 0 0 0 0 0 0 0 0 0 0 0 1 0 0 0 0 0 0 0 0 0 1 1 0 1 0 0 1 0 1 1 0 1 1 1 1 1\n    1 0 1 1 0 1 1 0 1 0 0 1 0 1 0 0 0 0]\n[0 0 0 0 0 0 0 0 0 0 0 0 0 0 0 1 0 0 0 0 0 0 0 0 0 1 1 0 1 0 0 1 0 1 1 0 1 1 1 1\n    1 1 0 1 1 0 1 1 0 1 0 0 1 0 1 0 0 0]\n[0 0 0 0 0 0 0 0 0 0 0 0 0 0 0 0 1 0 0 0 0 0 1 0 0 0 0 1 1 0 1 1 0 0 0 1 1 1 1 0\n    0 0 0 1 0 0 1 1 0 0 1 0 0 1 1 0 1 1]\n[0 0 0 0 0 0 0 0 0 0 0 0 0 0 0 0 0 1 0 0 0 0 0 0 0 1 1 1 0 1 0 1 1 0 1 0 1 0 1 0\n    0 1 1 0 0 1 0 0 1 0 1 0 0 1 0 0 0 0]\n[0 0 0 0 0 0 0 0 0 0 0 0 0 0 0 0 0 0 1 0 0 0 0 0 0 0 1 1 1 0 1 0 1 1 0 1 0 1 0 1\n    0 0 1 1 0 0 1 0 0 1 0 1 0 0 1 0 0 0]\n[0 0 0 0 0 0 0 0 0 0 0 0 0 0 0 0 0 0 0 1 0 0 1 0 0 0 1 1 0 0 1 0 1 1 0 0 0 0 1 1\n    0 1 1 0 0 1 1 1 1 0 1 0 1 0 1 0 1 1]\n[0 0 0 0 0 0 0 0 0 0 0 0 0 0 0 0 0 0 0 0 1 0 1 0 0 1 0 0 1 1 1 0 1 1 1 0 1 1 0 1\n    0 0 1 0 0 0 0 0 0 1 1 0 0 0 0 1 1 1]\n[0 0 0 0 0 0 0 0 0 0 0 0 0 0 0 0 0 0 0 0 0 1 0 0 0 1 0 1 1 1 1 1 0 1 0 1 0 0 1 1\n    1 1 1 1 1 1 0 1 0 0 0 0 0 1 1 1 1 0]\n[0 0 0 0 0 0 0 0 0 0 0 0 0 0 0 0 0 0 0 0 0 0 0 1 1 0 1 0 1 1 1 1 1 1 0 0 0 1 1 0\n    0 1 0 0 1 0 0 1 1 1 0 1 1 0 1 0 0 1]\n[[29, 6]] quantum code over GF(2^2), stabilised by:\n[1 0 0 0 0 0 0 0 0 0 0 $.1 $.1 1 1 $.1^2 0 0 $.1^2 0 $.1^2 $.1 1 $.1 1 0 $.1^2 0\n    1]\n[$.1 0 0 0 0 0 0 0 0 0 0 $.1 0 1 1 1 $.1^2 1 0 1 $.1^2 $.1^2 1 0 1 $.1^2 1 1 1]\n[0 1 0 0 0 0 0 0 0 0 0 $.1 $.1^2 1 1 0 0 $.1 0 1 $.1 0 0 $.1^2 0 $.1^2 0 $.1 \n    $.1^2]\n[0 $.1 0 0 0 0 0 0 0 0 0 $.1 $.1^2 $.1^2 1 0 $.1 1 1 $.1 $.1^2 0 1 $.1^2 $.1 \n    $.1^2 $.1^2 0 $.1]\n[0 0 1 0 0 0 0 0 0 0 0 $.1 $.1 $.1^2 $.1^2 $.1 1 $.1^2 $.1^2 0 0 $.1 $.1 0 0 $.1\n    $.1 0 $.1]\n[0 0 $.1 0 0 0 0 0 0 0 0 0 $.1^2 0 1 $.1^2 $.1 $.1^2 0 $.1^2 1 0 0 $.1^2 $.1 $.1\n    $.1 $.1 $.1^2]\n[0 0 0 1 0 0 0 0 0 0 0 0 $.1^2 1 1 1 0 0 $.1 1 $.1^2 $.1^2 $.1 0 1 0 $.1^2 $.1^2\n    $.1^2]\n[0 0 0 $.1 0 0 0 0 0 0 0 $.1 0 $.1^2 $.1 $.1 $.1 1 $.1 0 $.1 1 $.1 0 0 0 $.1^2 \n    $.1 $.1]\n[0 0 0 0 1 0 0 0 0 0 0 $.1 0 $.1^2 $.1^2 $.1 0 $.1^2 1 $.1 0 $.1^2 1 $.1 $.1^2 \n    $.1^2 1 $.1^2 $.1^2]\n[0 0 0 0 $.1 0 0 0 0 0 0 0 $.1^2 $.1^2 1 0 0 $.1^2 0 0 $.1^2 1 1 0 1 0 1 $.1 1]\n[0 0 0 0 0 1 0 0 0 0 0 $.1 $.1 0 1 0 $.1^2 $.1^2 $.1 1 $.1^2 0 1 1 1 1 $.1 1 \n    $.1^2]\n[0 0 0 0 0 $.1 0 0 0 0 0 $.1 1 0 $.1^2 0 $.1^2 $.1 $.1^2 $.1 $.1 0 $.1^2 $.1^2 \n    $.1 $.1^2 0 0 1]\n[0 0 0 0 0 0 1 0 0 0 0 $.1 $.1 $.1 $.1 $.1 1 0 $.1 $.1 0 $.1^2 $.1 1 $.1 $.1^2 0\n    $.1 1]\n[0 0 0 0 0 0 $.1 0 0 0 0 $.1 $.1^2 $.1 0 $.1 $.1^2 1 $.1 1 0 1 $.1 1 1 0 $.1^2 1\n    $.1^2]\n[0 0 0 0 0 0 0 1 0 0 0 $.1 $.1^2 1 $.1 $.1^2 1 $.1^2 0 0 0 $.1^2 1 0 $.1^2 0 \n    $.1^2 1 1]\n[0 0 0 0 0 0 0 $.1 0 0 0 $.1 $.1 $.1^2 0 $.1^2 $.1^2 0 0 $.1 0 0 $.1^2 $.1 $.1 \n    $.1^2 1 $.1^2 1]\n[0 0 0 0 0 0 0 0 1 0 0 $.1 $.1^2 0 1 $.1^2 0 $.1^2 $.1^2 $.1 $.1 $.1^2 1 $.1^2 \n    $.1 1 0 $.1 $.1]\n[0 0 0 0 0 0 0 0 $.1 0 0 $.1 $.1^2 1 $.1^2 1 0 1 0 $.1 0 $.1^2 $.1 1 0 0 $.1^2 0\n    0]\n[0 0 0 0 0 0 0 0 0 1 0 0 $.1^2 0 $.1 $.1^2 1 1 $.1 1 1 1 $.1^2 $.1^2 $.1 $.1 0 1\n    1]\n[0 0 0 0 0 0 0 0 0 $.1 0 0 $.1 $.1^2 1 $.1^2 1 0 1 0 $.1 0 $.1^2 $.1 1 0 0 $.1^2\n    0]\n[0 0 0 0 0 0 0 0 0 0 1 $.1 1 0 0 $.1^2 0 $.1^2 1 0 $.1^2 $.1 $.1^2 1 1 0 $.1 1 \n    $.1]\n[0 0 0 0 0 0 0 0 0 0 $.1 0 0 $.1 $.1^2 1 $.1^2 1 0 1 0 $.1 0 $.1^2 $.1 1 0 0 \n    $.1^2]\n[0 0 0 0 0 0 0 0 0 0 0 1 $.1^2 $.1 $.1 $.1 1 1 $.1 $.1^2 $.1^2 0 $.1 1 0 1 1 \n    $.1^2 $.1]\nQuantum GF(2)-Additive code over GF(4) of length 29 with 35 generators.\nLower Bound: 1, Upper Bound: 13\nConstructed 2 distinct generator matrices\nTotal Ranks:     18  18 \nRelative Ranks:  18  11 \n(4 4 4 4 4 4 4 4 4 4 4 4 4 4 4 4 4 2 )\n(4 4 4 4 4 4 4 4 4 4 4 4 4 4 4 4 4 2 )\nTime Taken: 0.00\nStarting search for low weight codewords... (reset timings)\nEnumerating using 1 generator at a time:\n     New codeword identified of weight 11, time 0.00\n     New codeword identified of weight 10, time 0.00\n     New codeword identified of weight 9, time 0.00\n     New codeword identified of weight 8, time 0.00\n     New codeword identified of weight 7, time 0.00\n     Discarding non-contributing rank 11 matrix\n     New Total Ranks:     18 \n     New Relative Ranks:  18 \n   Completed Matrix  1:  lower =  2, upper =  7. Elapsed: 0.00s\nTermination predicted with 6 generators at matrix 1\nEnumerating using 2 generators at a time:\n   Completed Matrix  1:  lower =  3, upper =  7. Elapsed: 0.00s\nTermination predicted with 6 generators at matrix 1\nEnumerating using 3 generators at a time:\n   Completed Matrix  1:  lower =  4, upper =  7. Elapsed: 0.00s\nTermination predicted with 6 generators at matrix 1\nEnumerating using 4 generators at a time:\n   Completed Matrix  1:  lower =  5, upper =  7. Elapsed: 0.00s\nTermination predicted with 6 generators at matrix 1\nEnumerating using 5 generators at a time:\n   Completed Matrix  1:  lower =  6, upper =  7. Elapsed: 0.00s\nTermination predicted with 6 generators at matrix 1\nEnumerating using 6 generators at a time:\n   Completed Matrix  1:  lower =  7, upper =  7. Elapsed: 0.06s\nComputation complete \nFinal Results: lower = 7, upper = 7,\nTotal CPU time: 0.06, real time: 0.073\n7\n\nTotal time: 0.080 seconds, Total memory usage: 32.09MB\n</t>
  </si>
  <si>
    <t>Magma V2.28-26    Tue Dec 30 2025 12:10:38 on Marks-MacBook-Air-2 [Seed = \n1968168349]\nType ? for help.  Type &lt;Ctrl&gt;-D to quit.\n[1 0 0 0 0 0 0 0 0 0 0 0 0 0 0 0 0 0 0 1 0 0 1 0 0 1 0 1 1 0 0 1 1 0 1 1 1 0 0 0\n    1 1 1 1 0 0 0 1 0 0 0 0 0 0 0 1 1 0 1 1]\n[0 1 0 0 0 0 0 0 0 0 0 0 0 0 0 0 0 0 0 0 1 0 0 1 0 0 0 0 0 0 1 0 0 1 1 1 0 0 1 1\n    1 1 0 1 1 0 0 1 1 1 0 1 0 0 1 1 0 1 1 1]\n[0 0 1 0 0 0 0 0 0 0 0 0 0 0 0 0 0 0 0 1 0 0 1 0 0 1 0 1 1 0 1 0 0 1 1 1 1 0 0 0\n    0 1 1 0 1 1 0 0 0 0 0 1 1 0 0 1 1 0 0 1]\n[0 0 0 1 0 0 0 0 0 0 0 0 0 0 0 0 0 0 0 1 1 0 0 1 0 0 0 1 0 0 1 0 0 1 1 1 1 1 0 0\n    0 0 1 1 0 1 1 0 1 1 1 1 0 0 1 0 1 1 1 1]\n[0 0 0 0 1 0 0 0 0 0 0 0 0 0 0 0 0 0 0 1 1 0 1 0 0 1 0 1 0 0 1 0 0 1 1 1 1 1 1 1\n    1 0 0 1 1 0 1 1 1 0 0 0 1 0 0 1 0 1 0 1]\n[0 0 0 0 0 1 0 0 0 0 0 0 0 0 0 0 0 0 0 1 1 0 0 1 1 0 0 0 0 0 1 0 1 1 0 1 0 0 0 1\n    0 1 1 0 1 1 0 0 0 1 1 0 0 0 1 0 1 1 0 1]\n[0 0 0 0 0 0 1 0 0 0 0 0 0 0 0 0 0 0 0 0 1 0 1 0 0 0 0 0 1 0 1 1 1 1 0 0 0 1 1 0\n    1 0 0 1 0 1 1 1 0 1 1 0 1 1 0 0 1 1 0 1]\n[0 0 0 0 0 0 0 1 0 0 0 0 0 0 0 0 0 0 0 1 0 0 0 1 1 0 0 0 0 0 1 0 1 0 1 0 0 0 1 0\n    0 1 0 0 1 0 1 1 0 1 0 0 0 0 1 1 1 0 1 1]\n[0 0 0 0 0 0 0 0 1 0 0 0 0 0 0 0 0 0 0 1 1 0 0 0 1 1 0 1 0 0 1 0 1 0 1 1 1 1 1 0\n    1 0 0 0 0 1 0 0 0 0 0 0 1 1 0 0 0 1 0 0]\n[0 0 0 0 0 0 0 0 0 1 0 0 0 0 0 0 0 0 0 0 1 0 0 0 1 1 0 1 0 0 0 1 0 1 0 1 1 1 1 0\n    0 1 0 0 0 0 1 0 0 0 0 0 1 1 0 1 1 1 0 0]\n[0 0 0 0 0 0 0 0 0 0 1 0 0 0 0 0 0 0 0 0 0 0 1 0 1 0 0 0 1 1 0 0 1 0 1 0 1 1 1 0\n    1 0 1 0 0 0 0 1 0 0 0 0 1 0 0 0 1 1 1 1]\n[0 0 0 0 0 0 0 0 0 0 0 1 0 0 0 0 0 0 0 1 0 0 0 1 0 1 0 0 0 0 1 1 1 1 1 0 1 1 1 1\n    0 0 1 0 0 0 0 1 1 0 0 0 0 0 0 0 0 0 1 1]\n[0 0 0 0 0 0 0 0 0 0 0 0 1 0 0 0 0 0 0 0 1 0 0 0 1 0 0 0 1 1 1 1 0 1 0 1 1 0 0 0\n    0 0 1 1 0 0 0 1 1 0 0 1 0 0 1 1 1 0 1 1]\n[0 0 0 0 0 0 0 0 0 0 0 0 0 1 0 0 0 0 0 0 0 0 0 0 1 1 0 0 0 1 1 1 0 1 0 1 0 1 0 1\n    0 1 1 0 1 0 0 1 0 0 1 1 1 0 0 0 0 1 0 0]\n[0 0 0 0 0 0 0 0 0 0 0 0 0 0 1 0 0 0 0 0 0 0 1 0 0 0 0 0 0 1 0 1 0 1 0 1 0 0 1 0\n    0 1 0 0 0 1 0 1 0 1 1 0 0 0 1 1 1 0 1 0]\n[0 0 0 0 0 0 0 0 0 0 0 0 0 0 0 1 0 0 0 0 0 0 0 1 0 0 0 1 0 1 0 0 1 1 1 1 1 1 1 0\n    1 1 1 1 0 0 1 0 0 0 0 1 1 0 0 0 0 0 0 0]\n[0 0 0 0 0 0 0 0 0 0 0 0 0 0 0 0 1 0 0 1 0 0 1 0 1 1 0 1 0 0 0 1 1 1 0 0 0 1 1 1\n    1 0 0 0 1 0 0 0 0 0 0 0 1 1 0 1 1 0 1 1]\n[0 0 0 0 0 0 0 0 0 0 0 0 0 0 0 0 0 1 0 0 1 0 0 1 0 1 0 0 0 1 1 0 0 1 0 0 1 1 0 0\n    0 1 1 0 0 1 0 1 0 1 0 1 0 1 0 1 0 1 1 1]\n[0 0 0 0 0 0 0 0 0 0 0 0 0 0 0 0 0 0 1 0 0 0 0 0 0 0 0 0 1 1 1 1 0 1 1 1 0 0 0 0\n    1 1 1 0 0 0 1 0 0 0 0 0 1 0 0 0 1 0 0 0]\n[0 0 0 0 0 0 0 0 0 0 0 0 0 0 0 0 0 0 0 0 0 1 0 0 1 0 0 1 0 1 0 0 1 0 1 0 1 1 1 0\n    1 0 1 0 0 0 0 1 0 1 0 1 1 0 0 0 0 1 0 0]\n[0 0 0 0 0 0 0 0 0 0 0 0 0 0 0 0 0 0 0 0 0 0 0 0 0 0 1 0 1 1 0 0 1 0 1 0 1 1 1 1\n    1 0 1 0 0 0 0 1 0 1 0 1 0 0 1 1 1 0 1 0]\n[[30, 9]] quantum code over GF(2^2), stabilised by:\n[1 0 0 0 0 0 0 0 0 0 $.1 1 $.1 1 $.1^2 $.1^2 $.1 $.1 $.1 0 0 $.1^2 $.1 0 $.1 1 0\n    1 $.1^2 0]\n[$.1 0 0 0 0 0 0 0 0 0 0 $.1^2 $.1^2 $.1 $.1 0 $.1^2 0 1 0 1 $.1 1 $.1^2 $.1 0 \n    $.1 1 $.1 $.1]\n[0 1 0 0 0 0 0 0 0 0 0 0 $.1 0 $.1^2 $.1^2 0 $.1 $.1^2 $.1 $.1^2 $.1 1 0 $.1 $.1\n    $.1^2 $.1^2 $.1 $.1]\n[0 $.1 0 0 0 0 0 0 0 0 $.1 1 $.1^2 $.1^2 $.1 $.1 0 $.1^2 0 1 $.1 1 0 $.1 $.1^2 1\n    $.1 $.1^2 $.1^2 $.1]\n[0 0 1 0 0 0 0 0 0 0 $.1 1 0 $.1 0 $.1^2 $.1^2 0 $.1 $.1^2 0 $.1^2 0 $.1 0 1 0 \n    $.1 1 $.1]\n[0 0 $.1 0 0 0 0 0 0 0 0 1 $.1 1 1 $.1 1 0 $.1 0 0 0 0 $.1^2 0 $.1^2 $.1^2 $.1^2\n    1 1]\n[0 0 0 1 0 0 0 0 0 0 0 1 $.1 $.1 0 0 0 $.1^2 1 $.1 $.1 $.1 $.1 $.1^2 0 0 $.1^2 1\n    0 $.1^2]\n[0 0 0 $.1 0 0 0 0 0 0 0 $.1^2 0 1 0 $.1 $.1^2 $.1^2 $.1^2 $.1 $.1^2 1 1 0 $.1^2\n    $.1 $.1^2 $.1 0 $.1^2]\n[0 0 0 0 1 0 0 0 0 0 0 0 $.1^2 $.1^2 1 $.1^2 $.1 $.1 1 1 0 1 $.1 1 1 $.1 $.1 \n    $.1^2 0 0]\n[0 0 0 0 $.1 0 0 0 0 0 0 $.1 $.1 $.1^2 0 $.1^2 $.1^2 1 0 $.1^2 $.1^2 $.1 $.1^2 0\n    0 1 $.1 0 0 1]\n[0 0 0 0 0 1 0 0 0 0 0 $.1 $.1^2 1 1 1 0 $.1 $.1^2 1 $.1 $.1 $.1^2 0 $.1^2 1 0 1\n    0 1]\n[0 0 0 0 0 $.1 0 0 0 0 0 1 0 $.1^2 0 $.1^2 1 1 $.1^2 0 $.1^2 0 1 1 $.1 $.1 $.1^2\n    0 0 $.1^2]\n[0 0 0 0 0 0 1 0 0 0 0 $.1^2 $.1^2 0 0 $.1 0 $.1 1 $.1^2 $.1 $.1^2 $.1^2 $.1^2 0\n    1 1 1 $.1 $.1]\n[0 0 0 0 0 0 $.1 0 0 0 $.1 0 $.1^2 1 0 $.1^2 1 $.1^2 $.1^2 $.1^2 $.1 0 1 0 $.1^2\n    $.1^2 $.1 0 $.1 $.1^2]\n[0 0 0 0 0 0 0 1 0 0 $.1 $.1^2 0 1 $.1 0 1 0 $.1^2 1 $.1 0 $.1^2 $.1 1 $.1^2 1 \n    $.1^2 0 $.1^2]\n[0 0 0 0 0 0 0 $.1 0 0 $.1 $.1 $.1 $.1 $.1 $.1^2 1 $.1^2 1 $.1^2 1 1 1 0 $.1 $.1\n    $.1^2 1 $.1 1]\n[0 0 0 0 0 0 0 0 1 0 0 $.1 1 1 $.1 1 $.1 $.1^2 $.1 $.1^2 $.1^2 1 0 0 0 $.1^2 1 1\n    $.1 0]\n[0 0 0 0 0 0 0 0 $.1 0 $.1 1 $.1^2 1 $.1^2 1 $.1 $.1^2 0 1 0 0 1 $.1^2 0 $.1^2 0\n    1 1 $.1^2]\n[0 0 0 0 0 0 0 0 0 1 0 $.1 1 $.1^2 $.1^2 $.1 $.1 $.1 $.1 $.1 0 1 $.1^2 $.1 $.1 0\n    1 $.1 $.1 $.1^2]\n[0 0 0 0 0 0 0 0 0 $.1 0 0 0 0 0 0 0 0 0 0 0 1 $.1 0 $.1^2 $.1 $.1^2 $.1^2 $.1^2\n    0]\n[0 0 0 0 0 0 0 0 0 0 1 0 0 0 0 0 0 0 0 $.1 0 $.1^2 1 0 0 0 $.1 1 $.1^2 $.1]\nQuantum GF(2)-Additive code over GF(4) of length 30 with 39 generators.\nLower Bound: 1, Upper Bound: 12\nConstructed 2 distinct generator matrices\nTotal Ranks:     20  20 \nRelative Ranks:  20  10 \n(4 4 4 4 4 4 4 4 4 4 4 4 4 4 4 4 4 4 4 2 )\n(4 4 4 4 4 4 4 4 4 4 4 4 4 4 4 4 4 4 4 2 )\nTime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Discarding non-contributing rank 10 matrix\n     New Total Ranks:     20 \n     New Relative Ranks:  20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0.023\n6\n\nTotal time: 0.030 seconds, Total memory usage: 32.09MB\n</t>
  </si>
  <si>
    <t>Magma V2.28-26    Tue Dec 30 2025 12:10:38 on Marks-MacBook-Air-2 [Seed = \n2135283607]\nType ? for help.  Type &lt;Ctrl&gt;-D to quit.\n[1 0 0 0 0 0 0 0 0 0 0 0 0 0 0 0 0 0 0 1 0 0 1 0 0 1 0 1 1 0 0 0 1 1 0 1 1 1 0 0\n    0 1 1 1 1 0 0 0 1 0 0 0 0 0 0 0 1 1 0 1 1 0]\n[0 1 0 0 0 0 0 0 0 0 0 0 0 0 0 0 0 0 0 0 1 0 0 1 0 0 0 0 0 0 0 1 0 0 1 1 1 0 0 1\n    1 1 1 0 1 1 0 0 1 1 1 0 1 0 0 1 1 0 1 1 1 0]\n[0 0 1 0 0 0 0 0 0 0 0 0 0 0 0 0 0 0 0 1 0 0 1 0 0 1 0 1 1 0 0 1 0 0 1 1 1 1 0 0\n    0 0 1 1 0 1 1 0 0 0 0 0 1 1 0 0 1 1 0 0 1 0]\n[0 0 0 1 0 0 0 0 0 0 0 0 0 0 0 0 0 0 0 1 1 0 0 1 0 0 0 1 0 0 0 1 0 0 1 1 1 1 1 0\n    0 0 0 1 1 0 1 1 0 1 1 1 1 0 0 1 0 1 1 1 1 0]\n[0 0 0 0 1 0 0 0 0 0 0 0 0 0 0 0 0 0 0 1 1 0 1 0 0 1 0 1 0 0 0 1 0 0 1 1 1 1 1 1\n    1 1 0 0 1 1 0 1 1 1 0 0 0 1 0 0 1 0 1 0 1 0]\n[0 0 0 0 0 1 0 0 0 0 0 0 0 0 0 0 0 0 0 1 1 0 0 1 1 0 0 0 0 0 0 1 0 1 1 0 1 0 0 0\n    1 0 1 1 0 1 1 0 0 0 1 1 0 0 0 1 0 1 1 0 1 0]\n[0 0 0 0 0 0 1 0 0 0 0 0 0 0 0 0 0 0 0 0 1 0 1 0 0 0 0 0 1 0 0 1 1 1 1 0 0 0 1 1\n    0 1 0 0 1 0 1 1 1 0 1 1 0 1 1 0 0 1 1 0 1 0]\n[0 0 0 0 0 0 0 1 0 0 0 0 0 0 0 0 0 0 0 1 0 0 0 1 1 0 0 0 0 0 0 1 0 1 0 1 0 0 0 1\n    0 0 1 0 0 1 0 1 1 0 1 0 0 0 0 1 1 1 0 1 1 0]\n[0 0 0 0 0 0 0 0 1 0 0 0 0 0 0 0 0 0 0 1 1 0 0 0 1 1 0 1 0 0 0 1 0 1 0 1 1 1 1 1\n    0 1 0 0 0 0 1 0 0 0 0 0 0 1 1 0 0 0 1 0 0 0]\n[0 0 0 0 0 0 0 0 0 1 0 0 0 0 0 0 0 0 0 0 1 0 0 0 1 1 0 1 0 0 0 0 1 0 1 0 1 1 1 1\n    0 0 1 0 0 0 0 1 0 0 0 0 0 1 1 0 1 1 1 0 0 0]\n[0 0 0 0 0 0 0 0 0 0 1 0 0 0 0 0 0 0 0 0 0 0 1 0 1 0 0 0 1 1 0 0 0 1 0 1 0 1 1 1\n    0 1 0 1 0 0 0 0 1 0 0 0 0 1 0 0 0 1 1 1 1 0]\n[0 0 0 0 0 0 0 0 0 0 0 1 0 0 0 0 0 0 0 1 0 0 0 1 0 1 0 0 0 0 0 1 1 1 1 1 0 1 1 1\n    1 0 0 1 0 0 0 0 1 1 0 0 0 0 0 0 0 0 0 1 1 0]\n[0 0 0 0 0 0 0 0 0 0 0 0 1 0 0 0 0 0 0 0 1 0 0 0 1 0 0 0 1 1 0 1 1 0 1 0 1 1 0 0\n    0 0 0 1 1 0 0 0 1 1 0 0 1 0 0 1 1 1 0 1 1 0]\n[0 0 0 0 0 0 0 0 0 0 0 0 0 1 0 0 0 0 0 0 0 0 0 0 1 1 0 0 0 1 0 1 1 0 1 0 1 0 1 0\n    1 0 1 1 0 1 0 0 1 0 0 1 1 1 0 0 0 0 1 0 0 0]\n[0 0 0 0 0 0 0 0 0 0 0 0 0 0 1 0 0 0 0 0 0 0 1 0 0 0 0 0 0 1 0 0 1 0 1 0 1 0 0 1\n    0 0 1 0 0 0 1 0 1 0 1 1 0 0 0 1 1 1 0 1 0 0]\n[0 0 0 0 0 0 0 0 0 0 0 0 0 0 0 1 0 0 0 0 0 0 0 1 0 0 0 1 0 1 0 0 0 1 1 1 1 1 1 1\n    0 1 1 1 1 0 0 1 0 0 0 0 1 1 0 0 0 0 0 0 0 0]\n[0 0 0 0 0 0 0 0 0 0 0 0 0 0 0 0 1 0 0 1 0 0 1 0 1 1 0 1 0 0 0 0 1 1 1 0 0 0 1 1\n    1 1 0 0 0 1 0 0 0 0 0 0 0 1 1 0 1 1 0 1 1 0]\n[0 0 0 0 0 0 0 0 0 0 0 0 0 0 0 0 0 1 0 0 1 0 0 1 0 1 0 0 0 1 0 1 0 0 1 0 0 1 1 0\n    0 0 1 1 0 0 1 0 1 0 1 0 1 0 1 0 1 0 1 1 1 0]\n[0 0 0 0 0 0 0 0 0 0 0 0 0 0 0 0 0 0 1 0 0 0 0 0 0 0 0 0 1 1 0 1 1 0 1 1 1 0 0 0\n    0 1 1 1 0 0 0 1 0 0 0 0 0 1 0 0 0 1 0 0 0 0]\n[0 0 0 0 0 0 0 0 0 0 0 0 0 0 0 0 0 0 0 0 0 1 0 0 1 0 0 1 0 1 0 0 0 1 0 1 0 1 1 1\n    0 1 0 1 0 0 0 0 1 0 1 0 1 1 0 0 0 0 1 0 0 0]\n[0 0 0 0 0 0 0 0 0 0 0 0 0 0 0 0 0 0 0 0 0 0 0 0 0 0 1 0 1 1 0 0 0 1 0 1 0 1 1 1\n    1 1 0 1 0 0 0 0 1 0 1 0 1 0 0 1 1 1 0 1 0 0]\n[0 0 0 0 0 0 0 0 0 0 0 0 0 0 0 0 0 0 0 0 0 0 0 0 0 0 0 0 0 0 1 0 0 0 0 0 0 0 0 0\n    0 0 0 0 0 0 0 0 0 0 0 0 0 0 0 0 0 0 0 0 0 0]\n[[31, 9]] quantum code over GF(2^2), stabilised by:\n[1 0 0 0 0 0 0 0 0 0 $.1 1 $.1 1 $.1^2 $.1^2 $.1 $.1 $.1 0 0 $.1^2 $.1 0 $.1 1 0\n    1 $.1^2 0 0]\n[$.1 0 0 0 0 0 0 0 0 0 0 $.1^2 $.1^2 $.1 $.1 0 $.1^2 0 1 0 1 $.1 1 $.1^2 $.1 0 \n    $.1 1 $.1 $.1 0]\n[0 1 0 0 0 0 0 0 0 0 0 0 $.1 0 $.1^2 $.1^2 0 $.1 $.1^2 $.1 $.1^2 $.1 1 0 $.1 $.1\n    $.1^2 $.1^2 $.1 $.1 0]\n[0 $.1 0 0 0 0 0 0 0 0 $.1 1 $.1^2 $.1^2 $.1 $.1 0 $.1^2 0 1 $.1 1 0 $.1 $.1^2 1\n    $.1 $.1^2 $.1^2 $.1 0]\n[0 0 1 0 0 0 0 0 0 0 $.1 1 0 $.1 0 $.1^2 $.1^2 0 $.1 $.1^2 0 $.1^2 0 $.1 0 1 0 \n    $.1 1 $.1 0]\n[0 0 $.1 0 0 0 0 0 0 0 0 1 $.1 1 1 $.1 1 0 $.1 0 0 0 0 $.1^2 0 $.1^2 $.1^2 $.1^2\n    1 1 0]\n[0 0 0 1 0 0 0 0 0 0 0 1 $.1 $.1 0 0 0 $.1^2 1 $.1 $.1 $.1 $.1 $.1^2 0 0 $.1^2 1\n    0 $.1^2 0]\n[0 0 0 $.1 0 0 0 0 0 0 0 $.1^2 0 1 0 $.1 $.1^2 $.1^2 $.1^2 $.1 $.1^2 1 1 0 $.1^2\n    $.1 $.1^2 $.1 0 $.1^2 0]\n[0 0 0 0 1 0 0 0 0 0 0 0 $.1^2 $.1^2 1 $.1^2 $.1 $.1 1 1 0 1 $.1 1 1 $.1 $.1 \n    $.1^2 0 0 0]\n[0 0 0 0 $.1 0 0 0 0 0 0 $.1 $.1 $.1^2 0 $.1^2 $.1^2 1 0 $.1^2 $.1^2 $.1 $.1^2 0\n    0 1 $.1 0 0 1 0]\n[0 0 0 0 0 1 0 0 0 0 0 $.1 $.1^2 1 1 1 0 $.1 $.1^2 1 $.1 $.1 $.1^2 0 $.1^2 1 0 1\n    0 1 0]\n[0 0 0 0 0 $.1 0 0 0 0 0 1 0 $.1^2 0 $.1^2 1 1 $.1^2 0 $.1^2 0 1 1 $.1 $.1 $.1^2\n    0 0 $.1^2 0]\n[0 0 0 0 0 0 1 0 0 0 0 $.1^2 $.1^2 0 0 $.1 0 $.1 1 $.1^2 $.1 $.1^2 $.1^2 $.1^2 0\n    1 1 1 $.1 $.1 0]\n[0 0 0 0 0 0 $.1 0 0 0 $.1 0 $.1^2 1 0 $.1^2 1 $.1^2 $.1^2 $.1^2 $.1 0 1 0 $.1^2\n    $.1^2 $.1 0 $.1 $.1^2 0]\n[0 0 0 0 0 0 0 1 0 0 $.1 $.1^2 0 1 $.1 0 1 0 $.1^2 1 $.1 0 $.1^2 $.1 1 $.1^2 1 \n    $.1^2 0 $.1^2 0]\n[0 0 0 0 0 0 0 $.1 0 0 $.1 $.1 $.1 $.1 $.1 $.1^2 1 $.1^2 1 $.1^2 1 1 1 0 $.1 $.1\n    $.1^2 1 $.1 1 0]\n[0 0 0 0 0 0 0 0 1 0 0 $.1 1 1 $.1 1 $.1 $.1^2 $.1 $.1^2 $.1^2 1 0 0 0 $.1^2 1 1\n    $.1 0 0]\n[0 0 0 0 0 0 0 0 $.1 0 $.1 1 $.1^2 1 $.1^2 1 $.1 $.1^2 0 1 0 0 1 $.1^2 0 $.1^2 0\n    1 1 $.1^2 0]\n[0 0 0 0 0 0 0 0 0 1 0 $.1 1 $.1^2 $.1^2 $.1 $.1 $.1 $.1 $.1 0 1 $.1^2 $.1 $.1 0\n    1 $.1 $.1 $.1^2 0]\n[0 0 0 0 0 0 0 0 0 $.1 0 0 0 0 0 0 0 0 0 0 0 1 $.1 0 $.1^2 $.1 $.1^2 $.1^2 $.1^2\n    0 0]\n[0 0 0 0 0 0 0 0 0 0 1 0 0 0 0 0 0 0 0 $.1 0 $.1^2 1 0 0 0 $.1 1 $.1^2 $.1 0]\n[0 0 0 0 0 0 0 0 0 0 0 0 0 0 0 0 0 0 0 0 0 0 0 0 0 0 0 0 0 0 1]\nQuantum GF(2)-Additive code over GF(4) of length 31 with 40 generators.\nLower Bound: 1, Upper Bound: 12\nConstructed 2 distinct generator matrices\nTotal Ranks:     21  21 \nRelative Ranks:  21  10 \n(4 4 4 4 4 4 4 4 4 4 4 4 4 4 4 4 4 4 4 2 2 )\n(4 4 4 4 4 4 4 4 4 4 4 4 4 4 4 4 4 4 4 2 2 )\n     Discarding non-contributing rank 10 matrix\n     New Total Ranks:     21 \n     New Relative Ranks:  21 \nTime Taken: 0.00\nStarting search for low weight codewords... (reset timings)\nEnumerating using 1 generator at a time:\n     New codeword identified of weight 9, time 0.00\n     New codeword identified of weight 8, time 0.00\n     New codeword identified of weight 7, time 0.00\n     New codeword identified of weight 6, time 0.00\n     Impurity detected of weight 1, time 0.00\n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0.00s\nTermination predicted with 5 generators at matrix 1\nEnumerating using 5 generators at a time:\n   Completed Matrix  1:  lower =  6, upper =  6. Elapsed: 0.02s\nComputation complete \nFinal Results: lower = 6, upper = 6,\nTotal CPU time: 0.02, real time: 0.026\n6\n\nTotal time: 0.030 seconds, Total memory usage: 32.09MB\n</t>
  </si>
  <si>
    <t>0.2605038329929812</t>
  </si>
  <si>
    <t>Magma V2.28-26    Tue Dec 30 2025 12:10:38 on Marks-MacBook-Air-2 [Seed = \n2034487697]\nType ? for help.  Type &lt;Ctrl&gt;-D to quit.\n[1 0 0 0 0 0 0 0 0 0 0 0 0 0 0 0 0 0 0 0 1 0 1 1 0 0 0 0 1 1 0 0 0 0 0 0 0 0 1 1\n    1 0 1 0 1 0 1 1 1 1 1 0 0 1 0 1 1 1 1 1 0 1 1 0]\n[0 1 0 0 0 0 0 0 0 0 0 0 0 0 0 0 0 0 0 0 0 1 0 1 1 0 0 0 0 1 1 0 0 0 0 0 0 0 1 0\n    1 0 1 1 0 0 1 0 0 1 0 1 0 1 1 1 1 0 0 0 1 0 1 0]\n[0 0 1 0 0 0 0 0 0 0 0 0 0 0 0 0 0 0 0 0 1 0 0 1 1 1 0 0 1 1 1 0 0 0 0 0 0 0 0 1\n    1 0 0 1 0 1 0 1 0 1 1 0 1 0 1 1 0 1 0 0 0 0 1 0]\n[0 0 0 1 0 0 0 0 0 0 0 0 0 0 0 0 0 0 0 0 1 1 1 1 1 1 1 0 1 0 1 0 0 0 0 0 0 0 0 0\n    0 0 0 0 0 1 1 0 1 1 1 1 0 1 0 1 0 0 1 0 0 1 1 0]\n[0 0 0 0 1 0 0 0 0 0 0 0 0 0 0 0 0 0 0 0 1 1 0 0 1 1 1 1 1 0 0 0 0 0 0 0 0 0 0 0\n    1 1 0 0 1 1 1 1 0 0 1 1 1 0 1 0 0 0 0 1 0 1 0 0]\n[0 0 0 0 0 1 0 0 0 0 0 0 0 0 0 0 0 0 0 0 0 1 1 0 0 1 1 1 1 1 0 0 0 0 0 0 0 0 0 0\n    0 1 1 0 0 1 1 1 1 0 0 1 1 1 0 1 0 0 0 0 1 0 1 0]\n[0 0 0 0 0 0 1 0 0 0 0 0 0 0 0 0 0 0 0 0 0 0 1 1 0 0 1 1 1 1 1 0 0 0 0 0 0 0 1 1\n    0 1 0 1 0 1 0 0 0 1 1 0 1 0 1 1 1 1 1 1 0 1 0 0]\n[0 0 0 0 0 0 0 1 0 0 0 0 0 0 0 0 0 0 0 0 1 0 1 0 1 0 0 1 0 0 1 0 0 0 0 0 0 0 1 0\n    0 0 0 0 0 0 0 1 1 1 0 1 0 0 0 0 0 0 0 0 1 1 0 0]\n[0 0 0 0 0 0 0 0 1 0 0 0 0 0 0 0 0 0 0 0 1 1 1 0 0 1 0 0 0 1 0 0 0 0 0 0 0 0 1 0\n    1 0 1 0 1 0 1 1 0 0 0 0 1 1 0 1 1 1 1 1 0 0 0 0]\n[0 0 0 0 0 0 0 0 0 1 0 0 0 0 0 0 0 0 0 0 0 1 1 1 0 0 1 0 0 0 1 0 0 0 0 0 0 0 0 1\n    0 1 0 1 0 1 0 1 1 0 0 0 0 1 1 0 1 1 1 1 1 0 0 0]\n[0 0 0 0 0 0 0 0 0 0 1 0 0 0 0 0 0 0 0 0 1 0 0 0 1 0 0 1 1 1 0 0 0 0 0 0 0 0 1 1\n    0 0 0 0 0 0 0 1 0 0 1 0 0 1 1 0 1 0 0 0 1 0 1 0]\n[0 0 0 0 0 0 0 0 0 0 0 1 0 0 0 0 0 0 0 0 0 1 0 0 0 1 0 0 1 1 1 0 0 0 0 0 0 0 1 0\n    1 1 1 0 0 1 1 1 0 0 1 1 0 1 1 0 0 0 1 1 0 1 0 0]\n[0 0 0 0 0 0 0 0 0 0 0 0 1 0 0 0 0 0 0 0 1 0 0 1 0 0 1 0 1 0 1 0 0 0 0 0 0 0 1 0\n    1 1 0 1 1 0 0 0 0 1 1 1 1 1 1 0 1 1 1 0 1 1 0 0]\n[0 0 0 0 0 0 0 0 0 0 0 0 0 1 0 0 0 0 0 0 1 1 1 1 1 0 0 1 1 0 0 0 0 0 0 0 0 0 1 0\n    1 1 0 0 0 1 1 1 1 1 0 1 1 0 1 0 1 0 0 0 0 0 0 0]\n[0 0 0 0 0 0 0 0 0 0 0 0 0 0 1 0 0 0 0 0 0 1 1 1 1 1 0 0 1 1 0 0 0 0 0 0 0 0 0 1\n    0 1 1 0 0 0 1 1 1 1 1 0 1 1 0 1 0 1 0 0 0 0 0 0]\n[0 0 0 0 0 0 0 0 0 0 0 0 0 0 0 1 0 0 0 0 0 0 1 1 1 1 1 0 0 1 1 0 0 0 0 0 0 0 0 0\n    1 0 1 1 0 0 0 1 1 1 1 1 0 1 1 0 1 0 1 0 0 0 0 0]\n[0 0 0 0 0 0 0 0 0 0 0 0 0 0 0 0 1 0 0 0 1 0 1 0 1 1 1 1 1 1 1 0 0 0 0 0 0 0 1 1\n    1 1 1 1 0 0 1 1 0 0 0 1 1 1 1 0 1 0 1 0 0 1 1 0]\n[0 0 0 0 0 0 0 0 0 0 0 0 0 0 0 0 0 1 0 0 1 1 1 0 0 1 1 1 0 0 1 0 0 0 0 0 0 0 0 1\n    0 0 1 1 0 1 0 1 1 1 0 0 1 1 1 1 1 1 0 1 0 1 0 0]\n[0 0 0 0 0 0 0 0 0 0 0 0 0 0 0 0 0 0 1 0 1 1 0 0 0 0 1 1 0 1 0 0 0 0 0 0 0 0 1 1\n    0 0 1 1 0 0 0 1 0 0 0 0 0 0 1 0 0 0 0 1 1 1 0 0]\n[0 0 0 0 0 0 0 0 0 0 0 0 0 0 0 0 0 0 0 1 0 1 1 0 0 0 0 1 1 0 1 0 0 0 0 0 0 0 0 1\n    1 0 0 1 1 0 0 0 1 0 0 0 0 0 0 1 0 0 0 0 1 1 1 0]\n[0 0 0 0 0 0 0 0 0 0 0 0 0 0 0 0 0 0 0 0 0 0 0 0 0 0 0 0 0 0 0 1 0 0 0 0 0 0 0 0\n    0 0 0 0 0 0 0 0 0 0 0 0 0 0 0 0 0 0 0 0 0 0 0 0]\n[0 0 0 0 0 0 0 0 0 0 0 0 0 0 0 0 0 0 0 0 0 0 0 0 0 0 0 0 0 0 0 0 1 0 0 0 0 0 1 1\n    0 1 1 0 0 1 1 1 1 0 1 0 0 1 0 1 0 1 1 1 0 0 0 0]\n[0 0 0 0 0 0 0 0 0 0 0 0 0 0 0 0 0 0 0 0 0 0 0 0 0 0 0 0 0 0 0 0 0 1 0 0 0 0 0 1\n    1 0 1 1 0 0 1 1 1 1 0 1 0 0 1 0 1 0 1 1 1 0 0 0]\n[0 0 0 0 0 0 0 0 0 0 0 0 0 0 0 0 0 0 0 0 0 0 0 0 0 0 0 0 0 0 0 0 0 0 1 0 0 0 0 0\n    1 1 0 1 1 0 0 1 1 1 1 0 1 0 0 1 0 1 0 1 1 1 0 0]\n[0 0 0 0 0 0 0 0 0 0 0 0 0 0 0 0 0 0 0 0 0 0 0 0 0 0 0 0 0 0 0 0 0 0 0 1 0 0 0 0\n    0 1 1 0 1 1 0 0 1 1 1 1 0 1 0 0 1 0 1 0 1 1 1 0]\n[0 0 0 0 0 0 0 0 0 0 0 0 0 0 0 0 0 0 0 0 0 0 0 0 0 0 0 0 0 0 0 0 0 0 0 0 1 0 1 1\n    0 1 0 1 0 0 0 1 1 1 0 1 1 1 1 1 0 0 1 0 0 1 1 0]\n[0 0 0 0 0 0 0 0 0 0 0 0 0 0 0 0 0 0 0 0 0 0 0 0 0 0 0 0 0 0 0 0 0 0 0 0 0 1 1 0\n    1 1 0 0 1 1 1 1 0 1 0 0 1 0 1 0 1 1 1 0 0 0 1 0]\n[[32, 5]] quantum code over GF(2^2), stabilised by:\n[1 0 0 0 0 0 0 0 0 0 0 0 $.1 $.1 $.1^2 0 $.1^2 $.1^2 0 $.1 $.1^2 0 0 $.1 $.1 \n    $.1^2 0 0 1 $.1^2 0 0]\n[$.1 0 0 0 0 0 0 0 0 0 0 0 0 0 1 0 $.1 1 1 0 0 $.1^2 0 $.1^2 $.1^2 $.1 $.1 $.1 \n    $.1^2 0 1 0]\n[0 1 0 0 0 0 0 0 0 0 0 0 0 $.1 $.1 $.1^2 0 $.1^2 $.1^2 0 $.1 $.1^2 0 0 $.1 $.1 \n    $.1^2 0 0 1 $.1^2 0]\n[0 $.1 0 0 0 0 0 0 0 0 0 0 $.1 $.1 $.1^2 1 $.1^2 1 1 $.1^2 $.1^2 0 $.1^2 $.1 1 0\n    $.1 $.1 $.1^2 0 0 0]\n[0 0 1 0 0 0 0 0 0 0 0 0 $.1 $.1 0 $.1 $.1 $.1 $.1 1 $.1^2 1 $.1^2 1 1 $.1^2 0 1\n    $.1 $.1^2 0 0]\n[0 0 $.1 0 0 0 0 0 0 0 0 0 0 $.1 $.1 $.1^2 1 $.1^2 1 1 $.1^2 $.1^2 0 $.1^2 $.1 1\n    0 $.1 $.1 $.1^2 0 0]\n[0 0 0 1 0 0 0 0 0 0 0 0 0 $.1 $.1 0 $.1 $.1 $.1 $.1 1 $.1^2 1 $.1^2 1 1 $.1^2 0\n    1 $.1 $.1^2 0]\n[0 0 0 $.1 0 0 0 0 0 0 0 0 0 0 $.1 $.1 $.1^2 1 $.1^2 1 1 $.1^2 $.1^2 0 $.1^2 $.1\n    1 0 $.1 $.1 $.1^2 0]\n[0 0 0 0 1 0 0 0 0 0 0 0 $.1 $.1 0 $.1 1 0 $.1^2 0 1 $.1 $.1^2 0 $.1 0 $.1^2 1 \n    $.1 $.1 $.1^2 0]\n[0 0 0 0 $.1 0 0 0 0 0 0 0 $.1 $.1 $.1 $.1 $.1^2 1 0 1 $.1 $.1 $.1^2 $.1 1 $.1 0\n    $.1^2 $.1 1 $.1^2 0]\n[0 0 0 0 0 1 0 0 0 0 0 0 $.1 0 0 0 $.1^2 $.1^2 1 1 $.1^2 $.1 $.1 $.1 1 $.1^2 $.1\n    1 $.1^2 1 $.1^2 0]\n[0 0 0 0 0 $.1 0 0 0 0 0 0 $.1 0 0 $.1 $.1^2 1 0 $.1 $.1 1 $.1 $.1 $.1^2 0 0 $.1\n    1 1 0 0]\n[0 0 0 0 0 0 1 0 0 0 0 0 $.1 0 $.1 0 1 1 $.1 $.1^2 $.1 0 $.1 $.1^2 $.1^2 0 1 0 \n    $.1^2 0 0 0]\n[0 0 0 0 0 0 $.1 0 0 0 0 0 0 $.1 0 0 $.1 $.1^2 1 0 $.1 $.1 1 $.1 $.1 $.1^2 0 0 \n    $.1 1 1 0]\n[0 0 0 0 0 0 0 1 0 0 0 0 0 $.1 0 $.1 0 1 1 $.1 $.1^2 $.1 0 $.1 $.1^2 $.1^2 0 1 0\n    $.1^2 0 0]\n[0 0 0 0 0 0 0 $.1 0 0 0 0 $.1 $.1 1 0 $.1^2 1 $.1^2 $.1^2 $.1^2 $.1 $.1 $.1^2 0\n    1 $.1^2 0 1 1 1 0]\n[0 0 0 0 0 0 0 0 1 0 0 0 0 0 $.1 0 $.1 0 1 1 $.1 $.1^2 $.1 0 $.1 $.1^2 $.1^2 0 1\n    0 $.1^2 0]\n[0 0 0 0 0 0 0 0 $.1 0 0 0 $.1 0 1 1 $.1^2 0 1 1 0 $.1^2 $.1 0 1 $.1^2 1 $.1^2 1\n    $.1 1 0]\n[0 0 0 0 0 0 0 0 0 1 0 0 $.1 $.1 $.1 $.1 1 0 1 $.1^2 $.1 1 $.1^2 $.1^2 1 $.1^2 1\n    1 $.1 $.1 1 0]\n[0 0 0 0 0 0 0 0 0 $.1 0 0 $.1 0 $.1^2 1 $.1 0 0 $.1^2 $.1 0 $.1^2 0 $.1 $.1 \n    $.1^2 1 $.1 $.1 $.1 0]\n[0 0 0 0 0 0 0 0 0 0 1 0 $.1 0 1 $.1 1 $.1 0 $.1^2 0 $.1 1 1 1 $.1 $.1^2 1 0 1 \n    $.1 0]\n[0 0 0 0 0 0 0 0 0 0 $.1 0 0 $.1 1 $.1^2 $.1^2 $.1^2 1 0 $.1^2 1 0 0 $.1^2 0 0 1\n    $.1 $.1 $.1^2 0]\n[0 0 0 0 0 0 0 0 0 0 0 1 0 $.1 1 1 0 0 $.1^2 0 $.1^2 $.1^2 $.1 $.1 $.1 $.1^2 0 1\n    $.1 0 0 0]\n[0 0 0 0 0 0 0 0 0 0 0 $.1 $.1 $.1 0 1 $.1 1 $.1 $.1^2 $.1^2 0 1 1 1 $.1 $.1 $.1\n    $.1^2 1 $.1^2 0]\n[0 0 0 0 0 0 0 0 0 0 0 0 1 0 $.1 1 1 0 0 $.1^2 0 $.1^2 $.1^2 $.1 $.1 $.1 $.1^2 0\n    1 $.1 0 0]\n[0 0 0 0 0 0 0 0 0 0 0 0 0 1 0 $.1 1 1 0 0 $.1^2 0 $.1^2 $.1^2 $.1 $.1 $.1 $.1^2\n    0 1 $.1 0]\n[0 0 0 0 0 0 0 0 0 0 0 0 0 0 0 0 0 0 0 0 0 0 0 0 0 0 0 0 0 0 0 1]\nQuantum GF(2)-Additive code over GF(4) of length 32 with 37 generators.\nLower Bound: 1, Upper Bound: 15\nConstructed 2 distinct generator matrices\nTotal Ranks:     19  19 \nRelative Ranks:  19  13 \n(4 4 4 4 4 4 4 4 4 4 4 4 4 4 2 4 4 4 4 )\n(4 4 4 4 4 4 4 4 4 4 4 4 4 4 4 4 4 4 2 )\nTime Taken: 0.00\nStarting search for low weight codewords... (reset timings)\nEnumerating using 1 generator at a time:\n     New codeword identified of weight 9, time 0.00\n     Impurity detected of weight 1, time 0.00\n     New codeword identified of weight 8, time 0.00\n   Completed Matrix  1:  lower =  2, upper =  8. Elapsed: 0.00s\n   Completed Matrix  2:  lower =  2, upper =  8. Elapsed: 0.00s\nTermination predicted with 6 generators at matrix 2\nEnumerating using 2 generators at a time:\n   Completed Matrix  1:  lower =  3, upper =  8. Elapsed: 0.00s\n   Completed Matrix  2:  lower =  3, upper =  8. Elapsed: 0.00s\nTermination predicted with 6 generators at matrix 2\nEnumerating using 3 generators at a time:\n   Completed Matrix  1:  lower =  4, upper =  8. Elapsed: 0.00s\n   Completed Matrix  2:  lower =  4, upper =  8. Elapsed: 0.00s\nTermination predicted with 6 generators at matrix 2\nEnumerating using 4 generators at a time:\n   Completed Matrix  1:  lower =  5, upper =  8. Elapsed: 0.00s\n   Completed Matrix  2:  lower =  5, upper =  8. Elapsed: 0.00s\nTermination predicted with 6 generators at matrix 2\nEnumerating using 5 generators at a time:\n   Completed Matrix  1:  lower =  6, upper =  8. Elapsed: 0.02s\n   Completed Matrix  2:  lower =  6, upper =  8. Elapsed: 0.03s\nTermination predicted with 6 generators at matrix 2\nEnumerating using 6 generators at a time:\n   Completed Matrix  1:  lower =  7, upper =  8. Elapsed: 0.12s\n   Completed Matrix  2:  lower =  8, upper =  8. Elapsed: 0.21s\nComputation complete \nFinal Results: lower = 8, upper = 8,\nTotal CPU time: 0.21, real time: 0.207\n8\n\nTotal time: 0.220 seconds, Total memory usage: 32.09MB\n</t>
  </si>
  <si>
    <t>1.1908722920052242</t>
  </si>
  <si>
    <t>Magma V2.28-26    Tue Dec 30 2025 12:10:38 on Marks-MacBook-Air-2 [Seed = \n1666829195]\nType ? for help.  Type &lt;Ctrl&gt;-D to quit.\n[1 0 0 0 0 0 0 0 0 0 0 0 0 0 0 0 0 0 0 0 0 0 0 0 1 0 0 0 0 1 1 0 0 0 1 0 1 1 0 0\n    1 1 0 0 1 0 1 1 0 0 0 0 0 1 1 1 1 1 0 1 0 1 1 0 0 0]\n[0 1 0 0 0 0 0 0 0 0 0 0 0 0 0 0 0 0 0 0 0 0 0 0 0 0 0 1 1 0 0 1 0 0 1 1 1 0 1 0\n    0 1 0 1 1 0 1 0 1 1 1 1 1 0 1 0 1 1 0 1 0 1 0 1 1 1]\n[0 0 1 0 0 0 0 0 0 0 0 0 0 0 0 0 0 0 0 0 0 0 0 1 0 0 0 0 1 0 1 0 1 0 0 0 1 1 1 1\n    1 0 1 0 0 0 1 1 1 0 0 1 0 0 0 1 0 0 0 0 1 1 0 0 1 1]\n[0 0 0 1 0 0 0 0 0 0 0 0 0 0 0 0 0 0 0 0 0 0 0 1 0 0 0 1 1 0 0 0 0 0 0 0 1 1 1 1\n    0 1 0 1 1 0 0 1 1 0 0 0 1 0 1 0 1 0 1 1 0 0 1 0 1 0]\n[0 0 0 0 1 0 0 0 0 0 0 0 0 0 0 0 0 0 0 0 0 0 0 1 1 0 0 0 1 1 0 1 0 0 1 1 0 0 0 0\n    1 1 1 1 1 1 0 1 1 1 1 1 0 0 0 0 0 0 1 0 1 1 1 0 1 1]\n[0 0 0 0 0 1 0 0 0 0 0 0 0 0 0 0 0 0 0 0 0 0 0 0 1 0 0 0 0 1 1 0 0 0 1 0 1 0 1 0\n    1 0 0 0 1 0 1 1 0 1 1 1 0 0 1 1 0 1 1 1 0 1 0 1 1 1]\n[0 0 0 0 0 0 1 0 0 0 0 0 0 0 0 0 0 0 0 0 0 0 0 1 0 0 0 0 1 0 1 0 1 0 0 1 0 1 1 1\n    1 0 0 1 0 1 0 1 1 0 0 0 1 0 1 1 1 0 1 0 1 0 1 1 1 0]\n[0 0 0 0 0 0 0 1 0 0 0 0 0 0 0 0 0 0 0 0 0 0 0 1 0 0 0 1 0 1 1 1 1 0 0 0 0 0 1 0\n    0 1 1 0 0 1 0 1 0 0 0 0 0 1 0 0 1 1 1 1 0 0 1 1 0 0]\n[0 0 0 0 0 0 0 0 1 0 0 0 0 0 0 0 0 0 0 0 0 0 0 0 1 0 0 1 1 1 0 1 0 0 0 0 1 1 1 0\n    0 1 1 1 0 1 1 0 0 1 1 0 1 0 0 1 1 1 1 0 0 1 0 1 1 0]\n[0 0 0 0 0 0 0 0 0 1 0 0 0 0 0 0 0 0 0 0 0 0 0 1 1 0 0 1 0 0 1 1 1 0 1 1 1 1 0 1\n    0 1 0 1 0 1 0 0 0 0 1 0 0 1 1 1 0 1 1 1 1 0 1 0 1 1]\n[0 0 0 0 0 0 0 0 0 0 1 0 0 0 0 0 0 0 0 0 0 0 0 1 1 0 0 1 1 1 0 0 0 0 1 0 0 0 0 0\n    1 0 1 1 0 0 0 1 0 0 0 1 1 1 0 0 1 0 1 1 1 1 1 1 1 1]\n[0 0 0 0 0 0 0 0 0 0 0 1 0 0 0 0 0 0 0 0 0 0 0 0 0 0 0 0 1 1 0 1 1 0 0 0 1 1 1 1\n    0 1 1 1 1 0 1 1 1 1 1 0 1 0 0 0 1 1 1 1 0 1 0 0 1 1]\n[0 0 0 0 0 0 0 0 0 0 0 0 1 0 0 0 0 0 0 0 0 0 0 1 0 0 0 1 1 0 0 0 0 0 1 0 0 1 1 1\n    1 1 0 1 1 0 1 0 0 0 0 0 0 0 1 1 1 1 0 1 1 1 0 1 1 1]\n[0 0 0 0 0 0 0 0 0 0 0 0 0 1 0 0 0 0 0 0 0 0 0 0 1 0 0 1 0 1 0 0 0 0 0 0 0 1 1 0\n    0 0 1 1 0 0 0 1 1 0 0 1 0 1 0 0 1 0 1 1 0 0 0 1 0 0]\n[0 0 0 0 0 0 0 0 0 0 0 0 0 0 1 0 0 0 0 0 0 0 0 0 1 0 0 1 0 0 1 0 0 0 1 1 1 0 1 0\n    0 0 0 0 0 1 0 1 1 0 1 0 1 1 1 1 1 0 0 0 1 0 1 1 0 1]\n[0 0 0 0 0 0 0 0 0 0 0 0 0 0 0 1 0 0 0 0 0 0 0 0 0 0 0 1 0 0 0 0 0 0 1 1 0 0 0 1\n    1 1 1 1 0 0 0 0 1 1 0 1 0 0 1 0 1 1 0 0 0 0 0 1 0 1]\n[0 0 0 0 0 0 0 0 0 0 0 0 0 0 0 0 1 0 0 0 0 0 0 0 1 0 0 1 1 1 0 1 0 0 1 1 1 1 1 1\n    0 1 0 1 0 1 1 1 1 0 0 1 0 0 1 0 0 1 0 0 1 0 1 1 0 1]\n[0 0 0 0 0 0 0 0 0 0 0 0 0 0 0 0 0 1 0 0 0 0 0 0 1 0 0 0 0 1 0 1 1 0 0 0 1 1 0 0\n    0 0 0 1 0 0 1 1 0 0 1 0 0 0 1 1 0 1 0 0 0 1 0 1 1 0]\n[0 0 0 0 0 0 0 0 0 0 0 0 0 0 0 0 0 0 1 0 0 0 0 1 0 0 0 0 0 0 0 0 0 0 0 0 1 1 0 0\n    1 1 0 0 0 1 1 0 1 1 0 0 0 1 0 0 1 1 1 0 1 0 1 1 1 1]\n[0 0 0 0 0 0 0 0 0 0 0 0 0 0 0 0 0 0 0 1 0 0 0 0 0 0 0 0 1 0 0 0 0 0 1 1 0 1 0 1\n    0 0 1 0 1 0 1 1 0 0 1 0 0 1 1 1 0 0 1 1 0 1 1 0 0 1]\n[0 0 0 0 0 0 0 0 0 0 0 0 0 0 0 0 0 0 0 0 1 0 0 1 1 0 0 0 1 1 0 1 0 0 0 1 1 1 0 0\n    0 0 0 1 1 0 0 1 0 0 1 1 1 0 1 0 0 1 1 0 0 0 1 1 0 0]\n[0 0 0 0 0 0 0 0 0 0 0 0 0 0 0 0 0 0 0 0 0 1 0 1 1 0 0 1 0 0 1 1 1 0 0 0 0 0 0 0\n    0 0 0 0 1 0 1 1 0 1 1 0 0 0 0 0 0 0 0 0 1 0 0 1 1 0]\n[0 0 0 0 0 0 0 0 0 0 0 0 0 0 0 0 0 0 0 0 0 0 1 0 1 0 0 1 0 0 1 0 0 0 1 0 0 0 1 1\n    0 0 1 0 1 0 1 0 0 0 0 1 1 1 0 1 0 1 0 1 0 0 1 0 1 0]\n[0 0 0 0 0 0 0 0 0 0 0 0 0 0 0 0 0 0 0 0 0 0 0 0 0 1 0 0 0 1 0 0 0 0 0 0 1 1 0 0\n    0 0 1 0 0 1 0 0 0 0 1 0 1 1 1 0 0 1 1 0 0 1 0 0 1 1]\n[0 0 0 0 0 0 0 0 0 0 0 0 0 0 0 0 0 0 0 0 0 0 0 0 0 0 1 0 1 1 0 1 1 0 0 1 0 1 1 0\n    1 0 1 0 1 1 1 0 1 0 0 0 0 0 0 1 1 1 0 0 0 0 1 1 0 0]\n[0 0 0 0 0 0 0 0 0 0 0 0 0 0 0 0 0 0 0 0 0 0 0 0 0 0 0 0 0 0 0 0 0 1 1 1 1 1 1 1\n    1 1 1 1 1 1 1 1 1 1 1 1 1 1 1 1 1 1 1 1 1 1 1 1 1 0]\n[[33, 7]] quantum code over GF(2^2), stabilised by:\n[1 0 0 0 0 0 0 0 0 0 0 0 0 $.1^2 1 0 $.1^2 0 0 1 $.1 $.1^2 0 1 1 $.1^2 $.1^2 $.1\n    $.1^2 $.1^2 $.1^2 1 0]\n[$.1 0 0 0 0 0 0 0 0 0 0 0 0 1 $.1 0 1 0 0 $.1 $.1^2 1 0 $.1 $.1 1 1 $.1^2 1 1 1\n    $.1 0]\n[0 1 0 0 0 0 0 0 0 0 0 0 0 1 $.1^2 0 $.1^2 1 $.1 1 $.1 $.1 $.1 $.1 $.1 0 $.1 0 \n    $.1^2 $.1^2 $.1^2 1 1]\n[0 $.1 0 0 0 0 0 0 0 0 0 0 0 $.1 1 0 1 $.1 $.1^2 $.1 $.1^2 $.1^2 $.1^2 $.1^2 \n    $.1^2 0 $.1^2 0 1 1 1 $.1 $.1]\n[0 0 1 0 0 0 0 0 0 0 0 0 0 0 1 0 1 $.1 1 1 $.1^2 $.1^2 1 0 $.1^2 1 0 $.1 $.1 1 \n    $.1 $.1^2 0]\n[0 0 $.1 0 0 0 0 0 0 0 0 0 0 0 $.1 0 $.1 $.1^2 $.1 $.1 1 1 $.1 0 1 $.1 0 $.1^2 \n    $.1^2 $.1 $.1^2 1 0]\n[0 0 0 1 0 0 0 0 0 0 0 0 0 1 1 $.1 $.1 $.1^2 1 1 $.1^2 0 0 $.1^2 $.1 1 $.1^2 1 \n    $.1 1 1 1 0]\n[0 0 0 $.1 0 0 0 0 0 0 0 0 0 $.1 $.1 $.1^2 $.1^2 1 $.1 $.1 1 0 0 1 $.1^2 $.1 1 \n    $.1 $.1^2 $.1 $.1 $.1 0]\n[0 0 0 0 1 0 0 0 0 0 0 0 0 $.1 1 $.1 0 $.1 $.1^2 1 $.1^2 0 $.1^2 1 0 $.1^2 0 $.1\n    $.1^2 1 $.1 0 $.1]\n[0 0 0 0 $.1 0 0 0 0 0 0 0 0 $.1^2 $.1 $.1^2 0 $.1^2 1 $.1 1 0 1 $.1 0 1 0 $.1^2\n    1 $.1 $.1^2 0 $.1^2]\n[0 0 0 0 0 1 0 0 0 0 0 0 0 $.1 1 $.1 1 1 $.1^2 $.1 0 $.1 1 1 1 $.1^2 0 $.1^2 \n    $.1^2 0 $.1^2 $.1 $.1^2]\n[0 0 0 0 0 $.1 0 0 0 0 0 0 0 $.1^2 $.1 $.1^2 $.1 $.1 1 $.1^2 0 $.1^2 $.1 $.1 $.1\n    1 0 1 1 0 1 $.1^2 1]\n[0 0 0 0 0 0 1 0 0 0 0 0 0 $.1 $.1^2 $.1^2 0 1 $.1^2 1 1 0 1 $.1^2 0 0 1 $.1^2 0\n    $.1^2 $.1^2 1 1]\n[0 0 0 0 0 0 $.1 0 0 0 0 0 0 $.1^2 1 1 0 $.1 1 $.1 $.1 0 $.1 1 0 0 $.1 1 0 1 1 \n    $.1 $.1]\n[0 0 0 0 0 0 0 1 0 0 0 0 0 $.1^2 0 1 $.1^2 0 $.1^2 $.1^2 1 $.1^2 1 0 $.1^2 1 0 \n    $.1 1 1 $.1^2 0 $.1]\n[0 0 0 0 0 0 0 $.1 0 0 0 0 0 1 0 $.1 1 0 1 1 $.1 1 $.1 0 1 $.1 0 $.1^2 $.1 $.1 1\n    0 $.1^2]\n[0 0 0 0 0 0 0 0 1 0 0 0 0 $.1^2 0 1 1 1 $.1^2 1 $.1^2 1 1 1 1 1 $.1 $.1 0 $.1 0\n    1 $.1]\n[0 0 0 0 0 0 0 0 $.1 0 0 0 0 1 0 $.1 $.1 $.1 1 $.1 1 $.1 $.1 $.1 $.1 $.1 $.1^2 \n    $.1^2 0 $.1^2 0 $.1 $.1^2]\n[0 0 0 0 0 0 0 0 0 1 0 0 0 1 0 1 $.1^2 0 $.1^2 $.1^2 $.1 $.1^2 0 $.1^2 $.1 $.1^2\n    $.1 1 0 1 $.1 1 0]\n[0 0 0 0 0 0 0 0 0 $.1 0 0 0 $.1 0 $.1 1 0 1 1 $.1^2 1 0 1 $.1^2 1 $.1^2 $.1 0 \n    $.1 $.1^2 $.1 0]\n[0 0 0 0 0 0 0 0 0 0 1 0 0 $.1 1 0 $.1 $.1^2 $.1 0 0 1 $.1 $.1 0 $.1 $.1^2 $.1^2\n    0 $.1^2 $.1 $.1^2 1]\n[0 0 0 0 0 0 0 0 0 0 $.1 0 0 $.1^2 $.1 0 $.1^2 1 $.1^2 0 0 $.1 $.1^2 $.1^2 0 \n    $.1^2 1 1 0 1 $.1^2 1 $.1]\n[0 0 0 0 0 0 0 0 0 0 0 1 0 1 1 0 1 1 0 0 0 $.1^2 0 $.1^2 $.1^2 0 0 $.1 0 0 $.1 \n    $.1 $.1^2]\n[0 0 0 0 0 0 0 0 0 0 0 $.1 0 $.1 $.1 0 $.1 $.1 0 0 0 1 0 1 1 0 0 $.1^2 0 0 $.1^2\n    $.1^2 1]\n[0 0 0 0 0 0 0 0 0 0 0 0 1 $.1 0 1 1 0 1 $.1 $.1^2 $.1 $.1^2 1 1 $.1^2 1 $.1 0 \n    $.1 1 1 $.1^2]\n[0 0 0 0 0 0 0 0 0 0 0 0 $.1 $.1^2 0 $.1 $.1 0 $.1 $.1^2 1 $.1^2 1 $.1 $.1 1 $.1\n    $.1^2 0 $.1^2 $.1 $.1 1]\nQuantum GF(2)-Additive code over GF(4) of length 33 with 40 generators.\nLower Bound: 1, Upper Bound: 14\nConstructed 2 distinct generator matrices\nTotal Ranks:     20  20 \nRelative Ranks:  20  13 \n(4 4 4 4 4 4 4 4 4 4 4 4 4 4 4 4 4 4 4 4 )\n(4 4 4 4 4 4 4 4 4 4 4 4 4 4 4 4 4 4 4 4 )\nTime Taken: 0.00\nStarting search for low weight codewords... (reset timings)\nEnumerating using 1 generator at a time:\n     New codeword identified of weight 10, time 0.00\n     New codeword identified of weight 8, time 0.00\n     Discarding non-contributing rank 13 matrix\n     New Total Ranks:     20 \n     New Relative Ranks:  20 \n   Completed Matrix  1:  lower =  2, upper =  8. Elapsed: 0.00s\nTermination predicted with 7 generators at matrix 1\nEnumerating using 2 generators at a time:\n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Completed Matrix  1:  lower =  5, upper =  8. Elapsed: 0.00s\nTermination predicted with 7 generators at matrix 1\nEnumerating using 5 generators at a time:\n   Completed Matrix  1:  lower =  6, upper =  8. Elapsed: 0.03s\nTermination predicted with 7 generators at matrix 1\nEnumerating using 6 generators at a time:\n   Completed Matrix  1:  lower =  7, upper =  8. Elapsed: 0.18s\nTermination predicted with 7 generators at matrix 1\nEnumerating using 7 generators at a time:\n   Completed Matrix  1:  lower =  8, upper =  8. Elapsed: 1.13s\nComputation complete \nFinal Results: lower = 8, upper = 8,\nTotal CPU time: 1.13, real time: 1.135\n8\n\nTotal time: 1.149 seconds, Total memory usage: 32.09MB\n</t>
  </si>
  <si>
    <t>Magma V2.28-26    Tue Dec 30 2025 12:10:39 on Marks-MacBook-Air-2 [Seed = \n1834468740]\nType ? for help.  Type &lt;Ctrl&gt;-D to quit.\n[1 0 0 0 0 0 0 0 0 0 0 0 0 0 0 0 0 1 1 1 1 1 1 0 0 1 1 0 0 1 1 1 1 1 0 1 0 0 0 0\n    1 0 1 1 0 1 0 0 0 0 1 0 0 1 1 0 1 1 1 1 1 1 1 1 0 1 1 0]\n[0 1 0 0 0 0 0 0 0 0 0 0 0 0 0 0 0 1 0 0 0 0 0 1 0 1 0 1 0 1 0 0 0 0 0 1 1 0 0 0\n    1 1 1 0 1 1 1 0 0 0 1 1 0 1 0 1 1 0 0 0 0 0 0 0 1 1 0 1]\n[0 0 1 0 0 0 0 0 0 0 0 0 0 0 0 0 0 0 1 0 0 0 0 0 1 0 1 0 1 0 1 0 0 0 1 0 1 1 0 0\n    0 1 1 1 0 1 1 1 0 0 0 1 1 0 1 0 1 1 0 0 0 0 0 0 0 1 1 0]\n[0 0 0 1 0 0 0 0 0 0 0 0 0 0 0 0 0 0 0 1 0 0 0 0 0 1 0 1 0 1 0 1 0 0 0 1 0 1 1 0\n    0 0 1 1 1 0 1 1 1 0 0 0 1 1 0 1 0 1 1 0 0 0 0 0 0 0 1 1]\n[0 0 0 0 1 0 0 0 0 0 0 0 0 0 0 0 0 0 0 0 1 0 0 0 0 0 1 0 1 0 1 0 1 0 1 0 1 0 1 1\n    0 0 0 1 1 1 0 1 1 1 0 0 0 1 1 0 1 0 1 1 0 0 0 0 0 0 0 1]\n[0 0 0 0 0 1 0 0 0 0 0 0 0 0 0 0 0 0 0 0 0 1 0 0 0 0 0 1 0 1 0 1 0 1 1 1 0 1 0 1\n    1 0 0 0 1 1 1 0 1 1 1 0 0 0 1 1 0 1 0 1 1 0 0 0 0 0 0 0]\n[0 0 0 0 0 0 1 0 0 0 0 0 0 0 0 0 0 1 1 1 1 1 0 0 0 1 1 0 1 1 0 1 0 1 0 0 1 0 1 0\n    0 1 1 1 0 0 1 1 0 1 0 1 0 1 1 1 0 1 0 1 0 0 1 1 0 1 1 0]\n[0 0 0 0 0 0 0 1 0 0 0 0 0 0 0 0 0 1 0 0 0 0 0 0 0 1 0 1 0 0 0 1 0 1 0 1 0 1 0 1\n    1 0 0 0 1 1 0 1 1 0 0 0 1 1 0 1 0 1 0 1 0 1 1 0 1 1 0 1]\n[0 0 0 0 0 0 0 0 1 0 0 0 0 0 0 0 0 1 0 1 1 1 1 0 0 1 0 0 1 1 1 1 0 1 1 1 1 0 1 0\n    0 1 1 1 0 0 1 0 1 1 1 0 0 0 0 0 0 1 0 1 0 1 0 0 0 0 0 0]\n[0 0 0 0 0 0 0 0 0 1 0 0 0 0 0 0 0 1 0 1 0 0 0 1 0 1 0 0 0 0 0 0 0 1 0 0 1 1 0 1\n    1 0 0 0 1 1 0 1 0 1 0 1 0 1 1 0 1 1 0 1 0 1 0 1 0 1 1 0]\n[0 0 0 0 0 0 0 0 0 0 1 0 0 0 0 0 0 1 0 1 0 1 1 0 1 1 0 0 0 1 1 1 1 1 0 1 0 1 1 0\n    0 1 1 1 0 0 1 0 1 0 0 0 1 1 0 1 1 0 0 1 0 1 0 1 1 1 0 1]\n[0 0 0 0 0 0 0 0 0 0 0 1 0 0 0 0 0 1 0 1 0 1 0 1 0 0 0 0 0 1 0 0 0 0 1 1 1 0 1 1\n    1 0 0 0 1 1 0 1 0 1 1 0 0 0 0 0 0 0 1 1 0 1 0 1 1 0 0 0]\n[0 0 0 0 0 0 0 0 0 0 0 0 1 0 0 0 0 0 1 0 1 0 1 0 1 0 0 0 0 0 1 0 0 0 0 1 1 1 0 1\n    1 1 0 0 0 1 1 0 1 0 1 1 0 0 0 0 0 0 0 1 1 0 1 0 1 1 0 0]\n[0 0 0 0 0 0 0 0 0 0 0 0 0 1 0 0 0 0 0 1 0 1 0 1 0 1 0 0 0 0 0 1 0 0 0 0 1 1 1 0\n    1 1 1 0 0 0 1 1 0 1 0 1 1 0 0 0 0 0 0 0 1 1 0 1 0 1 1 0]\n[0 0 0 0 0 0 0 0 0 0 0 0 0 0 1 0 0 0 0 0 1 0 1 0 1 0 1 0 0 0 0 0 1 0 0 0 0 1 1 1\n    0 1 1 1 0 0 0 1 1 0 1 0 1 1 0 0 0 0 0 0 0 1 1 0 1 0 1 1]\n[0 0 0 0 0 0 0 0 0 0 0 0 0 0 0 1 0 0 0 0 0 1 0 1 0 1 0 1 0 0 0 0 0 1 1 0 0 0 1 1\n    1 0 1 1 1 0 0 0 1 1 0 1 0 1 1 0 0 0 0 0 0 0 1 1 0 1 0 1]\n[0 0 0 0 0 0 0 0 0 0 0 0 0 0 0 0 1 1 1 1 1 1 0 0 1 1 0 0 1 1 1 1 1 1 1 0 0 0 0 1\n    0 1 1 0 1 0 0 0 0 1 0 0 1 1 0 1 1 1 1 1 1 1 1 0 1 1 0 0]\n[[34, 17]] quantum code over GF(2^2), stabilised by:\n[1 0 0 0 0 0 0 0 0 1 $.1^2 0 0 $.1^2 $.1^2 1 1 $.1 0 1 $.1^2 1 1 $.1^2 1 0 $.1 1\n    1 $.1^2 $.1^2 0 0 $.1^2]\n[$.1 0 0 0 0 0 0 0 $.1 1 1 0 1 0 $.1^2 0 1 1 $.1 1 $.1^2 0 $.1^2 1 $.1 1 1 0 \n    $.1^2 0 1 0 1 1]\n[0 1 0 0 0 0 0 0 $.1 0 $.1^2 $.1^2 1 $.1^2 $.1^2 $.1 1 $.1 0 0 1 $.1 $.1^2 $.1^2\n    0 0 $.1^2 $.1^2 $.1^2 $.1 1 $.1^2 1 $.1]\n[0 $.1 0 0 0 0 0 0 0 $.1^2 $.1 1 0 $.1 $.1^2 $.1 1 $.1^2 1 $.1^2 $.1 $.1 1 0 0 \n    $.1 $.1^2 0 1 0 $.1^2 1 0 $.1]\n[0 0 1 0 0 0 0 0 $.1 $.1^2 1 $.1^2 $.1 1 0 $.1^2 $.1^2 0 0 1 $.1^2 1 1 $.1 1 1 1\n    $.1^2 0 $.1^2 $.1^2 1 $.1 0]\n[0 0 $.1 0 0 0 0 0 $.1 1 $.1 $.1 0 0 1 $.1^2 $.1^2 0 1 0 0 $.1 1 0 $.1 1 $.1^2 \n    $.1^2 $.1^2 1 1 $.1^2 0 1]\n[0 0 0 1 0 0 0 0 0 $.1 $.1^2 1 $.1^2 $.1 1 0 $.1^2 $.1^2 0 0 1 $.1^2 1 1 $.1 1 1\n    1 $.1^2 0 $.1^2 $.1^2 1 $.1]\n[0 0 0 $.1 0 0 0 0 0 $.1^2 $.1 $.1 $.1 $.1^2 $.1^2 0 $.1 1 0 0 $.1^2 1 $.1^2 $.1\n    1 $.1 $.1^2 $.1 $.1 0 $.1 1 $.1^2 $.1^2]\n[0 0 0 0 1 0 0 0 $.1 1 $.1^2 $.1^2 0 $.1^2 1 1 1 $.1 1 1 $.1^2 1 0 0 $.1^2 $.1^2\n    0 1 $.1 $.1^2 1 $.1^2 $.1 0]\n[0 0 0 0 $.1 0 0 0 $.1 0 1 $.1 $.1^2 1 $.1^2 $.1 0 1 $.1^2 0 0 $.1 $.1^2 1 1 0 1\n    $.1 0 1 $.1 $.1 0 1]\n[0 0 0 0 0 1 0 0 0 $.1 1 $.1^2 $.1^2 0 $.1^2 1 1 1 $.1 1 1 $.1^2 1 0 0 $.1^2 \n    $.1^2 0 1 $.1 $.1^2 1 $.1^2 $.1]\n[0 0 0 0 0 $.1 0 0 0 $.1^2 $.1^2 1 $.1 0 $.1 $.1 $.1^2 $.1 1 $.1 $.1^2 1 $.1^2 0\n    0 1 $.1 0 $.1^2 $.1^2 $.1 $.1 $.1 $.1^2]\n[0 0 0 0 0 0 1 0 $.1 1 $.1^2 1 $.1 $.1^2 $.1^2 $.1^2 0 0 $.1^2 $.1^2 $.1 1 0 0 \n    $.1 1 $.1 $.1^2 $.1^2 1 $.1^2 $.1^2 0 $.1]\n[0 0 0 0 0 0 $.1 0 $.1 0 1 $.1^2 0 1 0 $.1^2 $.1 0 0 1 $.1 $.1 $.1^2 1 $.1^2 1 \n    $.1 $.1^2 $.1 0 1 $.1 $.1^2 0]\n[0 0 0 0 0 0 0 1 $.1 $.1^2 0 $.1^2 0 $.1 0 $.1^2 $.1 1 $.1 $.1 0 $.1 $.1 1 $.1 \n    $.1^2 0 $.1 0 $.1^2 0 $.1^2 $.1 1]\n[0 0 0 0 0 0 0 $.1 0 $.1 0 1 $.1^2 0 1 0 $.1^2 $.1 0 0 1 $.1 $.1 $.1^2 1 $.1^2 1\n    $.1 $.1^2 $.1 0 1 $.1 $.1^2]\n[0 0 0 0 0 0 0 0 1 $.1^2 0 0 $.1^2 $.1^2 1 1 $.1 0 1 $.1^2 1 1 $.1^2 1 0 $.1 1 1\n    $.1^2 $.1^2 0 0 $.1^2 1]\nQuantum GF(2)-Additive code over GF(4) of length 34 with 51 generators.\nLower Bound: 1, Upper Bound: 10\nConstructed 2 distinct generator matrices\nTotal Ranks:     26  26 \nRelative Ranks:  26   8 \n(4 4 4 4 4 4 4 4 4 4 4 4 4 4 4 4 4 4 4 4 4 4 4 4 4 2 )\n(4 4 4 4 4 4 4 4 4 4 4 4 4 4 4 4 4 4 4 4 4 4 4 4 4 2 )\n     Discarding non-contributing rank 8 matrix\n     New Total Ranks:     26 \n     New Relative Ranks:  26 \nTime Taken: 0.00\nStarting search for low weight codewords... (reset timings)\nEnumerating using 1 generator at a time:\n     New codeword identified of weight 7, time 0.00\n     New codeword identified of weight 6, time 0.00\n   Completed Matrix  1:  lower =  2, upper =  6. Elapsed: 0.00s\nTermination predicted with 5 generators at matrix 1\nEnumerating using 2 generators at a time:\n     New codeword identified of weight 5, time 0.00\n   Completed Matrix  1:  lower =  3, upper =  5. Elapsed: 0.00s\nTermination predicted with 4 generators at matrix 1\nEnumerating using 3 generators at a time:\n   Completed Matrix  1:  lower =  4, upper =  5. Elapsed: 0.00s\nTermination predicted with 4 generators at matrix 1\nEnumerating using 4 generators at a time:\n   Completed Matrix  1:  lower =  5, upper =  5. Elapsed: 0.00s\nComputation complete \nFinal Results: lower = 5, upper = 5,\nTotal CPU time: 0.00, real time: 0.011\n5\n\nTotal time: 0.019 seconds, Total memory usage: 32.09MB\n</t>
  </si>
  <si>
    <t>0.35134820800158195</t>
  </si>
  <si>
    <t>Magma V2.28-26    Tue Dec 30 2025 12:10:39 on Marks-MacBook-Air-2 [Seed = \n388874238]\nType ? for help.  Type &lt;Ctrl&gt;-D to quit.\n[1 0 0 0 0 0 0 0 0 0 0 0 0 0 0 0 0 0 0 0 0 0 0 0 0 0 0 0 0 0 0 1 0 1 1 1 0 1 0 0\n    1 1 1 1 0 1 1 0 0 1 1 0 0 1 1 0 0 1 0 0 0 0 1 1 0 1 0 1 0 1]\n[0 1 0 0 0 0 0 0 0 0 0 0 0 0 0 0 0 0 0 0 0 0 0 0 0 0 0 0 0 0 0 1 0 0 0 1 1 0 0 0\n    0 1 1 1 0 1 0 1 1 1 0 1 1 1 0 1 1 1 1 1 0 1 1 0 1 0 0 1 1 0]\n[0 0 1 0 0 0 0 0 0 0 0 0 0 0 0 0 0 0 0 0 0 0 0 0 0 0 0 0 0 0 0 0 1 0 0 0 1 1 0 0\n    0 0 1 1 1 0 1 0 1 1 1 0 1 1 1 0 1 1 1 1 1 0 1 1 0 1 0 0 1 1]\n[0 0 0 1 0 0 0 0 0 0 0 0 0 0 0 0 0 0 0 0 0 0 0 0 0 0 0 0 0 0 0 0 0 1 0 1 1 0 0 1\n    1 1 1 0 0 0 1 0 1 0 0 0 1 0 0 0 1 0 0 0 0 0 1 0 0 1 0 1 1 0]\n[0 0 0 0 1 0 0 0 0 0 0 0 0 0 0 0 0 0 0 0 0 0 0 0 0 0 0 0 0 0 0 0 0 0 1 0 1 1 0 0\n    1 1 1 1 0 0 0 1 0 1 0 0 0 1 0 0 0 1 0 0 0 0 0 1 0 0 1 0 1 1]\n[0 0 0 0 0 1 0 0 0 0 0 0 0 0 0 0 0 0 0 0 0 0 0 0 0 0 0 0 0 0 0 1 1 0 1 1 0 1 0 0\n    0 1 1 1 0 1 1 0 0 1 0 0 1 1 0 0 1 1 1 1 0 1 1 1 1 0 1 0 0 1]\n[0 0 0 0 0 0 1 0 0 0 0 0 0 0 0 0 0 0 0 0 0 0 0 0 0 0 0 0 0 0 0 1 0 1 1 1 1 0 0 0\n    0 0 1 1 0 1 0 1 1 1 0 0 1 0 0 0 1 0 1 0 1 1 0 0 1 1 1 0 0 0]\n[0 0 0 0 0 0 0 1 0 0 0 0 0 0 0 0 0 0 0 0 0 0 0 0 0 0 0 0 0 0 0 1 0 0 0 0 0 0 0 1\n    1 1 1 0 1 0 1 1 1 1 1 1 0 1 0 1 0 1 1 1 1 1 1 0 1 0 1 1 1 1]\n[0 0 0 0 0 0 0 0 1 0 0 0 0 0 0 0 0 0 0 0 0 0 0 0 0 0 0 0 0 0 0 0 1 0 0 1 1 1 1 1\n    0 0 0 0 1 0 1 0 0 0 0 0 0 1 0 1 0 1 0 0 0 0 0 0 1 0 1 0 0 0]\n[0 0 0 0 0 0 0 0 0 1 0 0 0 0 0 0 0 0 0 0 0 0 0 0 0 0 0 0 0 0 0 0 0 1 0 0 1 1 1 1\n    1 0 0 0 0 1 0 1 0 0 0 0 0 0 1 0 1 0 1 0 0 0 0 0 0 1 0 1 0 0]\n[0 0 0 0 0 0 0 0 0 0 1 0 0 0 0 0 0 0 0 0 0 0 0 0 0 0 0 0 0 0 0 0 0 0 1 0 0 1 1 1\n    1 1 0 0 0 0 1 0 1 0 0 0 0 0 0 1 0 1 0 1 0 0 0 0 0 0 1 0 1 0]\n[0 0 0 0 0 0 0 0 0 0 0 1 0 0 0 0 0 0 0 0 0 0 0 0 0 0 0 0 0 0 0 1 1 0 1 0 1 1 1 0\n    0 0 0 1 0 0 0 0 0 1 0 1 0 0 0 1 1 0 0 0 0 0 0 0 1 1 0 1 1 0]\n[0 0 0 0 0 0 0 0 0 0 0 0 1 0 0 0 0 0 0 0 0 0 0 0 0 0 0 0 0 0 0 1 0 1 1 0 1 0 1 0\n    1 1 1 1 1 0 0 1 0 0 1 1 1 0 0 1 1 1 1 0 1 0 0 0 1 0 1 0 0 0]\n[0 0 0 0 0 0 0 0 0 0 0 0 0 1 0 0 0 0 0 0 0 0 0 0 0 0 0 0 0 0 0 1 0 0 0 0 1 0 0 0\n    1 0 0 0 1 1 0 1 1 0 0 0 1 1 0 1 1 1 0 1 1 1 0 0 1 0 0 1 1 1]\n[0 0 0 0 0 0 0 0 0 0 0 0 0 0 1 0 0 0 0 0 0 0 0 0 0 0 0 0 0 0 0 0 1 0 0 1 1 0 1 1\n    1 0 1 1 1 0 0 1 0 0 1 1 1 0 0 1 0 0 0 1 0 0 0 1 1 0 1 1 0 0]\n[0 0 0 0 0 0 0 0 0 0 0 0 0 0 0 1 0 0 0 0 0 0 0 0 0 0 0 0 0 0 0 0 0 1 0 0 1 1 0 1\n    1 1 0 1 1 1 0 0 1 0 0 1 1 1 0 0 1 0 0 0 1 0 0 0 1 1 0 1 1 0]\n[0 0 0 0 0 0 0 0 0 0 0 0 0 0 0 0 1 0 0 0 0 0 0 0 0 0 0 0 0 0 0 0 0 0 1 0 0 1 1 0\n    1 1 1 0 1 1 1 0 0 1 0 0 1 1 1 0 0 1 0 0 0 1 0 0 0 1 1 0 1 1]\n[0 0 0 0 0 0 0 0 0 0 0 0 0 0 0 0 0 1 0 0 0 0 0 0 0 0 0 0 0 0 0 1 1 0 1 1 0 0 0 1\n    0 1 1 1 1 0 0 1 1 1 0 0 1 0 0 1 1 1 1 1 0 1 0 1 0 0 0 0 0 1]\n[0 0 0 0 0 0 0 0 0 0 0 0 0 0 0 0 0 0 1 0 0 0 0 0 0 0 0 0 0 0 0 1 0 1 1 1 1 0 1 0\n    1 0 1 1 0 0 1 0 0 0 0 0 1 0 1 0 0 0 1 0 1 1 0 1 1 0 1 1 0 0]\n[0 0 0 0 0 0 0 0 0 0 0 0 0 0 0 0 0 0 0 1 0 0 0 0 0 0 0 0 0 0 0 1 0 0 0 0 0 0 0 0\n    1 0 1 0 1 0 0 0 0 0 0 1 0 1 0 0 0 0 1 1 1 1 1 0 0 0 0 1 0 1]\n[0 0 0 0 0 0 0 0 0 0 0 0 0 0 0 0 0 0 0 0 1 0 0 0 0 0 0 0 0 0 0 0 1 0 0 1 1 1 1 1\n    1 0 1 0 1 0 1 1 1 1 1 1 0 1 0 1 1 1 1 0 0 0 0 0 1 1 1 1 0 1]\n[0 0 0 0 0 0 0 0 0 0 0 0 0 0 0 0 0 0 0 0 0 1 0 0 0 0 0 0 0 0 0 0 0 1 0 1 0 0 0 0\n    0 0 1 0 1 0 1 0 0 0 0 0 0 1 0 1 0 0 0 0 1 1 1 1 1 0 0 0 0 1]\n[0 0 0 0 0 0 0 0 0 0 0 0 0 0 0 0 0 0 0 0 0 0 1 0 0 0 0 0 0 0 0 0 0 0 1 1 0 1 1 1\n    1 1 1 0 1 0 1 0 1 1 1 1 1 1 0 1 0 1 1 1 1 0 0 0 0 0 1 1 1 1]\n[0 0 0 0 0 0 0 0 0 0 0 0 0 0 0 0 0 0 0 0 0 0 0 1 0 0 0 0 0 0 0 1 1 0 1 1 1 0 0 1\n    1 1 1 1 1 0 1 1 1 0 0 1 0 0 0 0 0 1 1 0 1 0 1 1 0 0 1 0 1 1]\n[0 0 0 0 0 0 0 0 0 0 0 0 0 0 0 0 0 0 0 0 0 0 0 0 1 0 0 0 0 0 0 1 0 1 1 1 1 1 1 0\n    1 1 1 1 0 0 1 1 0 0 1 0 0 1 1 0 1 1 1 0 0 0 1 0 1 0 1 0 0 1]\n[0 0 0 0 0 0 0 0 0 0 0 0 0 0 0 0 0 0 0 0 0 0 0 0 0 1 0 0 0 0 0 1 0 0 0 1 1 1 0 1\n    0 1 1 1 0 1 1 1 0 1 1 1 1 1 0 1 1 0 1 0 0 1 1 0 0 1 1 0 0 0]\n[0 0 0 0 0 0 0 0 0 0 0 0 0 0 0 0 0 0 0 0 0 0 0 0 0 0 1 0 0 0 0 0 1 0 0 0 1 1 1 0\n    1 0 1 1 1 0 1 1 1 0 1 1 1 1 1 0 1 1 0 1 0 0 1 1 0 0 1 1 0 0]\n[0 0 0 0 0 0 0 0 0 0 0 0 0 0 0 0 0 0 0 0 0 0 0 0 0 0 0 1 0 0 0 0 0 1 0 0 0 1 1 1\n    0 1 0 1 1 1 0 1 1 1 0 1 1 1 1 1 0 1 1 0 1 0 0 1 1 0 0 1 1 0]\n[0 0 0 0 0 0 0 0 0 0 0 0 0 0 0 0 0 0 0 0 0 0 0 0 0 0 0 0 1 0 0 0 0 0 1 0 0 0 1 1\n    1 0 1 0 1 1 1 0 1 1 1 0 1 1 1 1 1 0 1 1 0 1 0 0 1 1 0 0 1 1]\n[0 0 0 0 0 0 0 0 0 0 0 0 0 0 0 0 0 0 0 0 0 0 0 0 0 0 0 0 0 1 0 1 1 0 1 1 0 0 1 1\n    1 1 0 1 1 0 0 1 1 0 0 1 1 0 0 1 0 0 0 0 1 1 0 1 0 1 0 1 0 1]\n[0 0 0 0 0 0 0 0 0 0 0 0 0 0 0 0 0 0 0 0 0 0 0 0 0 0 0 0 0 0 1 1 0 1 1 1 1 0 1 1\n    1 1 1 0 0 0 1 0 0 0 1 0 0 0 1 0 0 1 0 1 0 0 0 1 1 0 0 1 1 0]\n[[35, 4]] quantum code over GF(2^2), stabilised by:\n[1 0 0 0 0 0 0 0 0 0 0 0 0 0 0 0 1 $.1^2 1 1 0 $.1 1 $.1 $.1^2 $.1^2 1 $.1 1 $.1\n    0 0 $.1 $.1^2 $.1^2]\n[$.1 0 0 0 0 0 0 0 0 0 0 0 0 0 0 $.1 $.1^2 1 1 1 1 $.1 $.1 $.1^2 $.1^2 0 1 0 1 \n    $.1^2 1 1 1 1 0]\n[0 1 0 0 0 0 0 0 0 0 0 0 0 0 0 0 $.1^2 0 $.1^2 1 1 $.1^2 $.1^2 $.1^2 1 $.1 $.1 \n    $.1 0 0 1 0 0 $.1 $.1]\n[0 $.1 0 0 0 0 0 0 0 0 0 0 0 0 0 0 $.1 $.1^2 1 1 1 1 $.1 $.1 $.1^2 $.1^2 0 1 0 1\n    $.1^2 1 1 1 1]\n[0 0 1 0 0 0 0 0 0 0 0 0 0 0 0 $.1 1 $.1^2 1 $.1^2 0 $.1 $.1 1 $.1 0 $.1 $.1 \n    $.1^2 $.1 $.1^2 $.1^2 $.1^2 $.1 0]\n[0 0 $.1 0 0 0 0 0 0 0 0 0 0 0 0 $.1 $.1 $.1^2 $.1 1 0 1 1 $.1 0 $.1^2 $.1 $.1^2\n    $.1 $.1^2 1 1 $.1 $.1^2 $.1]\n[0 0 0 1 0 0 0 0 0 0 0 0 0 0 0 0 $.1 1 $.1^2 1 $.1^2 0 $.1 $.1 1 $.1 0 $.1 $.1 \n    $.1^2 $.1 $.1^2 $.1^2 $.1^2 $.1]\n[0 0 0 $.1 0 0 0 0 0 0 0 0 0 0 0 $.1 $.1^2 $.1 $.1 $.1 0 $.1^2 0 $.1^2 $.1^2 1 \n    $.1^2 $.1 $.1 0 0 $.1^2 $.1 0 1]\n[0 0 0 0 1 0 0 0 0 0 0 0 0 0 0 $.1 1 $.1 0 $.1^2 0 0 1 0 $.1^2 0 $.1 0 $.1^2 0 0\n    0 0 1 1]\n[0 0 0 0 $.1 0 0 0 0 0 0 0 0 0 0 $.1 0 $.1 $.1^2 $.1 $.1^2 0 $.1^2 0 1 $.1^2 0 0\n    1 1 0 $.1 0 0 $.1^2]\n[0 0 0 0 0 1 0 0 0 0 0 0 0 0 0 $.1 0 0 $.1^2 0 $.1 0 0 1 $.1 $.1^2 1 1 $.1^2 0 0\n    $.1 $.1^2 $.1 $.1]\n[0 0 0 0 0 $.1 0 0 0 0 0 0 0 0 0 0 1 1 $.1 $.1^2 $.1 0 1 1 $.1^2 0 $.1 $.1^2 $.1\n    0 $.1 0 $.1 0 1]\n[0 0 0 0 0 0 1 0 0 0 0 0 0 0 0 $.1 $.1^2 0 1 $.1^2 1 1 1 $.1 0 $.1^2 $.1^2 1 0 1\n    $.1^2 $.1 1 1 0]\n[0 0 0 0 0 0 $.1 0 0 0 0 0 0 0 0 $.1 $.1 0 0 $.1 $.1 $.1 0 1 $.1^2 $.1^2 1 1 0 1\n    0 0 $.1^2 0 $.1^2]\n[0 0 0 0 0 0 0 1 0 0 0 0 0 0 0 0 $.1 $.1^2 0 1 $.1^2 1 1 1 $.1 0 $.1^2 $.1^2 1 0\n    1 $.1^2 $.1 1 1]\n[0 0 0 0 0 0 0 $.1 0 0 0 0 0 0 0 0 1 $.1^2 0 0 $.1 1 $.1^2 $.1 $.1 $.1 $.1 $.1 \n    $.1^2 1 $.1 0 0 $.1^2 1]\n[0 0 0 0 0 0 0 0 1 0 0 0 0 0 0 $.1 $.1 $.1^2 $.1 0 0 $.1^2 1 1 $.1^2 $.1 1 0 0 \n    $.1 0 $.1^2 0 0 $.1]\n[0 0 0 0 0 0 0 0 $.1 0 0 0 0 0 0 $.1 $.1 0 $.1 0 1 $.1 1 $.1^2 0 $.1 $.1^2 1 1 0\n    1 0 $.1^2 $.1 0]\n[0 0 0 0 0 0 0 0 0 1 0 0 0 0 0 $.1 $.1^2 $.1 $.1 $.1 1 $.1^2 $.1 $.1^2 0 $.1 $.1\n    1 1 $.1 1 $.1 0 $.1 $.1]\n[0 0 0 0 0 0 0 0 0 $.1 0 0 0 0 0 0 $.1 $.1 0 $.1 0 1 $.1 1 $.1^2 0 $.1 $.1^2 1 1\n    0 1 0 $.1^2 $.1]\n[0 0 0 0 0 0 0 0 0 0 1 0 0 0 0 $.1 $.1^2 $.1^2 $.1^2 $.1 $.1^2 $.1 $.1 0 $.1 1 \n    $.1 $.1 0 $.1^2 1 $.1^2 1 $.1 0]\n[0 0 0 0 0 0 0 0 0 0 $.1 0 0 0 0 $.1 1 $.1 $.1^2 0 $.1^2 $.1^2 0 0 0 $.1 0 $.1 \n    $.1 $.1^2 $.1 $.1 $.1 $.1 1]\n[0 0 0 0 0 0 0 0 0 0 0 1 0 0 0 0 $.1 $.1^2 $.1^2 $.1^2 $.1 $.1^2 $.1 $.1 0 $.1 1\n    $.1 $.1 0 $.1^2 1 $.1^2 1 $.1]\n[0 0 0 0 0 0 0 0 0 0 0 $.1 0 0 0 $.1 0 0 $.1^2 $.1^2 1 $.1^2 $.1^2 0 $.1 0 $.1^2\n    $.1^2 1 1 $.1^2 0 1 0 1]\n[0 0 0 0 0 0 0 0 0 0 0 0 1 0 0 $.1 1 $.1 $.1 $.1^2 $.1 1 $.1 0 $.1^2 1 $.1 1 \n    $.1^2 0 $.1^2 1 $.1 1 $.1^2]\n[0 0 0 0 0 0 0 0 0 0 0 0 $.1 0 0 $.1 0 1 1 $.1^2 $.1 1 $.1^2 $.1^2 $.1 $.1 1 0 0\n    $.1 1 1 $.1^2 $.1^2 $.1^2]\n[0 0 0 0 0 0 0 0 0 0 0 0 0 1 0 0 1 0 $.1 $.1 $.1^2 1 0 0 $.1^2 $.1 0 1 $.1^2 $.1\n    $.1^2 $.1^2 1 $.1 0]\n[0 0 0 0 0 0 0 0 0 0 0 0 0 $.1 0 0 1 1 1 1 $.1^2 1 0 1 0 $.1^2 $.1^2 $.1 $.1 1 1\n    1 1 $.1^2 $.1]\n[0 0 0 0 0 0 0 0 0 0 0 0 0 0 1 0 0 1 0 $.1 $.1 $.1^2 1 0 0 $.1^2 $.1 0 1 $.1^2 \n    $.1 $.1^2 $.1^2 1 $.1]\n[0 0 0 0 0 0 0 0 0 0 0 0 0 0 $.1 $.1 1 1 0 1 0 0 0 $.1 0 1 $.1^2 $.1^2 $.1^2 0 \n    $.1 $.1^2 $.1 $.1^2 1]\n[0 0 0 0 0 0 0 0 0 0 0 0 0 0 0 $.1^2 1 0 0 0 $.1^2 1 $.1 $.1^2 1 1 $.1^2 $.1 1 \n    $.1^2 0 0 0 1 $.1^2]\nQuantum GF(2)-Additive code over GF(4) of length 35 with 39 generators.\nLower Bound: 1, Upper Bound: 17\nConstructed 2 distinct generator matrices\nTotal Ranks:     20  20 \nRelative Ranks:  20  15 \n(4 4 4 4 4 4 4 4 4 4 4 4 4 4 4 4 4 4 4 2 )\n(4 4 4 4 4 4 4 4 4 4 4 4 4 4 4 4 4 4 4 2 )\nTime Taken: 0.00\nStarting search for low weight codewords... (reset timings)\nEnumerating using 1 generator at a time:\n     New codeword identified of weight 14, time 0.00\n     New codeword identified of weight 12,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0.02s\n   Completed Matrix  2:  lower =  7, upper =  9. Elapsed: 0.03s\nTermination predicted with 6 generators at matrix 2\nEnumerating using 6 generators at a time:\n   Completed Matrix  1:  lower =  8, upper =  9. Elapsed: 0.17s\n   Completed Matrix  2:  lower =  9, upper =  9. Elapsed: 0.28s\nComputation complete \nFinal Results: lower = 9, upper = 9,\nTotal CPU time: 0.28, real time: 0.297\n9\n\nTotal time: 0.310 seconds, Total memory usage: 32.09MB\n</t>
  </si>
  <si>
    <t>1.2553371249960037</t>
  </si>
  <si>
    <t>Magma V2.28-26    Tue Dec 30 2025 12:10:40 on Marks-MacBook-Air-2 [Seed = \n288078215]\nType ? for help.  Type &lt;Ctrl&gt;-D to quit.\n[1 0 0 0 0 0 0 0 0 0 0 0 0 0 0 0 0 0 0 0 0 0 0 0 0 0 0 0 0 0 0 1 0 1 1 0 1 0 1 0\n    0 1 1 1 1 0 1 1 0 0 1 1 0 0 1 1 0 0 1 0 0 0 0 1 1 0 1 0 1 0 1 0]\n[0 1 0 0 0 0 0 0 0 0 0 0 0 0 0 0 0 0 0 0 0 0 0 0 0 0 0 0 0 0 0 1 0 0 0 0 1 1 0 0\n    0 0 1 1 1 0 1 0 1 1 1 0 1 1 1 0 1 1 1 1 1 0 1 1 0 1 0 0 1 1 0 0]\n[0 0 1 0 0 0 0 0 0 0 0 0 0 0 0 0 0 0 0 0 0 0 0 0 0 0 0 0 0 0 0 0 1 0 0 0 0 1 1 0\n    0 0 0 1 1 1 0 1 0 1 1 1 0 1 1 1 0 1 1 1 1 1 0 1 1 0 1 0 0 1 1 0]\n[0 0 0 1 0 0 0 0 0 0 0 0 0 0 0 0 0 0 0 0 0 0 0 0 0 0 0 0 0 0 0 0 0 1 0 0 1 1 0 0\n    1 1 1 1 0 0 0 1 0 1 0 0 0 1 0 0 0 1 0 0 0 0 0 1 0 0 1 0 1 1 0 0]\n[0 0 0 0 1 0 0 0 0 0 0 0 0 0 0 0 0 0 0 0 0 0 0 0 0 0 0 0 0 0 0 0 0 0 1 0 0 1 1 0\n    0 1 1 1 1 0 0 0 1 0 1 0 0 0 1 0 0 0 1 0 0 0 0 0 1 0 0 1 0 1 1 0]\n[0 0 0 0 0 1 0 0 0 0 0 0 0 0 0 0 0 0 0 0 0 0 0 0 0 0 0 0 0 0 0 1 1 0 1 0 1 0 1 0\n    0 0 1 1 1 0 1 1 0 0 1 0 0 1 1 0 0 1 1 1 1 0 1 1 1 1 0 1 0 0 1 0]\n[0 0 0 0 0 0 1 0 0 0 0 0 0 0 0 0 0 0 0 0 0 0 0 0 0 0 0 0 0 0 0 1 0 1 1 0 1 1 0 0\n    0 0 0 1 1 0 1 0 1 1 1 0 0 1 0 0 0 1 0 1 0 1 1 0 0 1 1 1 0 0 0 0]\n[0 0 0 0 0 0 0 1 0 0 0 0 0 0 0 0 0 0 0 0 0 0 0 0 0 0 0 0 0 0 0 1 0 0 0 0 0 0 0 0\n    1 1 1 1 0 1 0 1 1 1 1 1 1 0 1 0 1 0 1 1 1 1 1 1 0 1 0 1 1 1 1 0]\n[0 0 0 0 0 0 0 0 1 0 0 0 0 0 0 0 0 0 0 0 0 0 0 0 0 0 0 0 0 0 0 0 1 0 0 0 1 1 1 1\n    1 0 0 0 0 1 0 1 0 0 0 0 0 0 1 0 1 0 1 0 0 0 0 0 0 1 0 1 0 0 0 0]\n[0 0 0 0 0 0 0 0 0 1 0 0 0 0 0 0 0 0 0 0 0 0 0 0 0 0 0 0 0 0 0 0 0 1 0 0 0 1 1 1\n    1 1 0 0 0 0 1 0 1 0 0 0 0 0 0 1 0 1 0 1 0 0 0 0 0 0 1 0 1 0 0 0]\n[0 0 0 0 0 0 0 0 0 0 1 0 0 0 0 0 0 0 0 0 0 0 0 0 0 0 0 0 0 0 0 0 0 0 1 0 0 0 1 1\n    1 1 1 0 0 0 0 1 0 1 0 0 0 0 0 0 1 0 1 0 1 0 0 0 0 0 0 1 0 1 0 0]\n[0 0 0 0 0 0 0 0 0 0 0 1 0 0 0 0 0 0 0 0 0 0 0 0 0 0 0 0 0 0 0 1 1 0 1 0 0 1 1 1\n    0 0 0 0 1 0 0 0 0 0 1 0 1 0 0 0 1 1 0 0 0 0 0 0 0 1 1 0 1 1 0 0]\n[0 0 0 0 0 0 0 0 0 0 0 0 1 0 0 0 0 0 0 0 0 0 0 0 0 0 0 0 0 0 0 1 0 1 1 0 0 1 0 1\n    0 1 1 1 1 1 0 0 1 0 0 1 1 1 0 0 1 1 1 1 0 1 0 0 0 1 0 1 0 0 0 0]\n[0 0 0 0 0 0 0 0 0 0 0 0 0 1 0 0 0 0 0 0 0 0 0 0 0 0 0 0 0 0 0 1 0 0 0 0 0 1 0 0\n    0 1 0 0 0 1 1 0 1 1 0 0 0 1 1 0 1 1 1 0 1 1 1 0 0 1 0 0 1 1 1 0]\n[0 0 0 0 0 0 0 0 0 0 0 0 0 0 1 0 0 0 0 0 0 0 0 0 0 0 0 0 0 0 0 0 1 0 0 0 1 1 0 1\n    1 1 0 1 1 1 0 0 1 0 0 1 1 1 0 0 1 0 0 0 1 0 0 0 1 1 0 1 1 0 0 0]\n[0 0 0 0 0 0 0 0 0 0 0 0 0 0 0 1 0 0 0 0 0 0 0 0 0 0 0 0 0 0 0 0 0 1 0 0 0 1 1 0\n    1 1 1 0 1 1 1 0 0 1 0 0 1 1 1 0 0 1 0 0 0 1 0 0 0 1 1 0 1 1 0 0]\n[0 0 0 0 0 0 0 0 0 0 0 0 0 0 0 0 1 0 0 0 0 0 0 0 0 0 0 0 0 0 0 0 0 0 1 0 0 0 1 1\n    0 1 1 1 0 1 1 1 0 0 1 0 0 1 1 1 0 0 1 0 0 0 1 0 0 0 1 1 0 1 1 0]\n[0 0 0 0 0 0 0 0 0 0 0 0 0 0 0 0 0 1 0 0 0 0 0 0 0 0 0 0 0 0 0 1 1 0 1 0 1 0 0 0\n    1 0 1 1 1 1 0 0 1 1 1 0 0 1 0 0 1 1 1 1 1 0 1 0 1 0 0 0 0 0 1 0]\n[0 0 0 0 0 0 0 0 0 0 0 0 0 0 0 0 0 0 1 0 0 0 0 0 0 0 0 0 0 0 0 1 0 1 1 0 1 1 0 1\n    0 1 0 1 1 0 0 1 0 0 0 0 0 1 0 1 0 0 0 1 0 1 1 0 1 1 0 1 1 0 0 0]\n[0 0 0 0 0 0 0 0 0 0 0 0 0 0 0 0 0 0 0 1 0 0 0 0 0 0 0 0 0 0 0 1 0 0 0 0 0 0 0 0\n    0 1 0 1 0 1 0 0 0 0 0 0 1 0 1 0 0 0 0 1 1 1 1 1 0 0 0 0 1 0 1 0]\n[0 0 0 0 0 0 0 0 0 0 0 0 0 0 0 0 0 0 0 0 1 0 0 0 0 0 0 0 0 0 0 0 1 0 0 0 1 1 1 1\n    1 1 0 1 0 1 0 1 1 1 1 1 1 0 1 0 1 1 1 1 0 0 0 0 0 1 1 1 1 0 1 0]\n[0 0 0 0 0 0 0 0 0 0 0 0 0 0 0 0 0 0 0 0 0 1 0 0 0 0 0 0 0 0 0 0 0 1 0 0 1 0 0 0\n    0 0 0 1 0 1 0 1 0 0 0 0 0 0 1 0 1 0 0 0 0 1 1 1 1 1 0 0 0 0 1 0]\n[0 0 0 0 0 0 0 0 0 0 0 0 0 0 0 0 0 0 0 0 0 0 1 0 0 0 0 0 0 0 0 0 0 0 1 0 1 0 1 1\n    1 1 1 1 0 1 0 1 0 1 1 1 1 1 1 0 1 0 1 1 1 1 0 0 0 0 0 1 1 1 1 0]\n[0 0 0 0 0 0 0 0 0 0 0 0 0 0 0 0 0 0 0 0 0 0 0 1 0 0 0 0 0 0 0 1 1 0 1 0 1 1 0 0\n    1 1 1 1 1 1 0 1 1 1 0 0 1 0 0 0 0 0 1 1 0 1 0 1 1 0 0 1 0 1 1 0]\n[0 0 0 0 0 0 0 0 0 0 0 0 0 0 0 0 0 0 0 0 0 0 0 0 1 0 0 0 0 0 0 1 0 1 1 0 1 1 1 1\n    0 1 1 1 1 0 0 1 1 0 0 1 0 0 1 1 0 1 1 1 0 0 0 1 0 1 0 1 0 0 1 0]\n[0 0 0 0 0 0 0 0 0 0 0 0 0 0 0 0 0 0 0 0 0 0 0 0 0 1 0 0 0 0 0 1 0 0 0 0 1 1 1 0\n    1 0 1 1 1 0 1 1 1 0 1 1 1 1 1 0 1 1 0 1 0 0 1 1 0 0 1 1 0 0 0 0]\n[0 0 0 0 0 0 0 0 0 0 0 0 0 0 0 0 0 0 0 0 0 0 0 0 0 0 1 0 0 0 0 0 1 0 0 0 0 1 1 1\n    0 1 0 1 1 1 0 1 1 1 0 1 1 1 1 1 0 1 1 0 1 0 0 1 1 0 0 1 1 0 0 0]\n[0 0 0 0 0 0 0 0 0 0 0 0 0 0 0 0 0 0 0 0 0 0 0 0 0 0 0 1 0 0 0 0 0 1 0 0 0 0 1 1\n    1 0 1 0 1 1 1 0 1 1 1 0 1 1 1 1 1 0 1 1 0 1 0 0 1 1 0 0 1 1 0 0]\n[0 0 0 0 0 0 0 0 0 0 0 0 0 0 0 0 0 0 0 0 0 0 0 0 0 0 0 0 1 0 0 0 0 0 1 0 0 0 0 1\n    1 1 0 1 0 1 1 1 0 1 1 1 0 1 1 1 1 1 0 1 1 0 1 0 0 1 1 0 0 1 1 0]\n[0 0 0 0 0 0 0 0 0 0 0 0 0 0 0 0 0 0 0 0 0 0 0 0 0 0 0 0 0 1 0 1 1 0 1 0 1 0 0 1\n    1 1 1 0 1 1 0 0 1 1 0 0 1 1 0 0 1 0 0 0 0 1 1 0 1 0 1 0 1 0 1 0]\n[0 0 0 0 0 0 0 0 0 0 0 0 0 0 0 0 0 0 0 0 0 0 0 0 0 0 0 0 0 0 1 1 0 1 1 0 1 1 0 1\n    1 1 1 1 0 0 0 1 0 0 0 1 0 0 0 1 0 0 1 0 1 0 0 0 1 1 0 0 1 1 0 0]\n[0 0 0 0 0 0 0 0 0 0 0 0 0 0 0 0 0 0 0 0 0 0 0 0 0 0 0 0 0 0 0 0 0 0 0 1 0 0 0 0\n    0 0 0 0 0 0 0 0 0 0 0 0 0 0 0 0 0 0 0 0 0 0 0 0 0 0 0 0 0 0 0 0]\n[[36, 4]] quantum code over GF(2^2), stabilised by:\n[1 0 0 0 0 0 0 0 0 0 0 0 0 0 0 0 1 $.1^2 1 1 0 $.1 1 $.1 $.1^2 $.1^2 1 $.1 1 $.1\n    0 0 $.1 $.1^2 $.1^2 0]\n[$.1 0 0 0 0 0 0 0 0 0 0 0 0 0 0 $.1 $.1^2 1 1 1 1 $.1 $.1 $.1^2 $.1^2 0 1 0 1 \n    $.1^2 1 1 1 1 0 0]\n[0 1 0 0 0 0 0 0 0 0 0 0 0 0 0 0 $.1^2 0 $.1^2 1 1 $.1^2 $.1^2 $.1^2 1 $.1 $.1 \n    $.1 0 0 1 0 0 $.1 $.1 0]\n[0 $.1 0 0 0 0 0 0 0 0 0 0 0 0 0 0 $.1 $.1^2 1 1 1 1 $.1 $.1 $.1^2 $.1^2 0 1 0 1\n    $.1^2 1 1 1 1 0]\n[0 0 1 0 0 0 0 0 0 0 0 0 0 0 0 $.1 1 $.1^2 1 $.1^2 0 $.1 $.1 1 $.1 0 $.1 $.1 \n    $.1^2 $.1 $.1^2 $.1^2 $.1^2 $.1 0 0]\n[0 0 $.1 0 0 0 0 0 0 0 0 0 0 0 0 $.1 $.1 $.1^2 $.1 1 0 1 1 $.1 0 $.1^2 $.1 $.1^2\n    $.1 $.1^2 1 1 $.1 $.1^2 $.1 0]\n[0 0 0 1 0 0 0 0 0 0 0 0 0 0 0 0 $.1 1 $.1^2 1 $.1^2 0 $.1 $.1 1 $.1 0 $.1 $.1 \n    $.1^2 $.1 $.1^2 $.1^2 $.1^2 $.1 0]\n[0 0 0 $.1 0 0 0 0 0 0 0 0 0 0 0 $.1 $.1^2 $.1 $.1 $.1 0 $.1^2 0 $.1^2 $.1^2 1 \n    $.1^2 $.1 $.1 0 0 $.1^2 $.1 0 1 0]\n[0 0 0 0 1 0 0 0 0 0 0 0 0 0 0 $.1 1 $.1 0 $.1^2 0 0 1 0 $.1^2 0 $.1 0 $.1^2 0 0\n    0 0 1 1 0]\n[0 0 0 0 $.1 0 0 0 0 0 0 0 0 0 0 $.1 0 $.1 $.1^2 $.1 $.1^2 0 $.1^2 0 1 $.1^2 0 0\n    1 1 0 $.1 0 0 $.1^2 0]\n[0 0 0 0 0 1 0 0 0 0 0 0 0 0 0 $.1 0 0 $.1^2 0 $.1 0 0 1 $.1 $.1^2 1 1 $.1^2 0 0\n    $.1 $.1^2 $.1 $.1 0]\n[0 0 0 0 0 $.1 0 0 0 0 0 0 0 0 0 0 1 1 $.1 $.1^2 $.1 0 1 1 $.1^2 0 $.1 $.1^2 $.1\n    0 $.1 0 $.1 0 1 0]\n[0 0 0 0 0 0 1 0 0 0 0 0 0 0 0 $.1 $.1^2 0 1 $.1^2 1 1 1 $.1 0 $.1^2 $.1^2 1 0 1\n    $.1^2 $.1 1 1 0 0]\n[0 0 0 0 0 0 $.1 0 0 0 0 0 0 0 0 $.1 $.1 0 0 $.1 $.1 $.1 0 1 $.1^2 $.1^2 1 1 0 1\n    0 0 $.1^2 0 $.1^2 0]\n[0 0 0 0 0 0 0 1 0 0 0 0 0 0 0 0 $.1 $.1^2 0 1 $.1^2 1 1 1 $.1 0 $.1^2 $.1^2 1 0\n    1 $.1^2 $.1 1 1 0]\n[0 0 0 0 0 0 0 $.1 0 0 0 0 0 0 0 0 1 $.1^2 0 0 $.1 1 $.1^2 $.1 $.1 $.1 $.1 $.1 \n    $.1^2 1 $.1 0 0 $.1^2 1 0]\n[0 0 0 0 0 0 0 0 1 0 0 0 0 0 0 $.1 $.1 $.1^2 $.1 0 0 $.1^2 1 1 $.1^2 $.1 1 0 0 \n    $.1 0 $.1^2 0 0 $.1 0]\n[0 0 0 0 0 0 0 0 $.1 0 0 0 0 0 0 $.1 $.1 0 $.1 0 1 $.1 1 $.1^2 0 $.1 $.1^2 1 1 0\n    1 0 $.1^2 $.1 0 0]\n[0 0 0 0 0 0 0 0 0 1 0 0 0 0 0 $.1 $.1^2 $.1 $.1 $.1 1 $.1^2 $.1 $.1^2 0 $.1 $.1\n    1 1 $.1 1 $.1 0 $.1 $.1 0]\n[0 0 0 0 0 0 0 0 0 $.1 0 0 0 0 0 0 $.1 $.1 0 $.1 0 1 $.1 1 $.1^2 0 $.1 $.1^2 1 1\n    0 1 0 $.1^2 $.1 0]\n[0 0 0 0 0 0 0 0 0 0 1 0 0 0 0 $.1 $.1^2 $.1^2 $.1^2 $.1 $.1^2 $.1 $.1 0 $.1 1 \n    $.1 $.1 0 $.1^2 1 $.1^2 1 $.1 0 0]\n[0 0 0 0 0 0 0 0 0 0 $.1 0 0 0 0 $.1 1 $.1 $.1^2 0 $.1^2 $.1^2 0 0 0 $.1 0 $.1 \n    $.1 $.1^2 $.1 $.1 $.1 $.1 1 0]\n[0 0 0 0 0 0 0 0 0 0 0 1 0 0 0 0 $.1 $.1^2 $.1^2 $.1^2 $.1 $.1^2 $.1 $.1 0 $.1 1\n    $.1 $.1 0 $.1^2 1 $.1^2 1 $.1 0]\n[0 0 0 0 0 0 0 0 0 0 0 $.1 0 0 0 $.1 0 0 $.1^2 $.1^2 1 $.1^2 $.1^2 0 $.1 0 $.1^2\n    $.1^2 1 1 $.1^2 0 1 0 1 0]\n[0 0 0 0 0 0 0 0 0 0 0 0 1 0 0 $.1 1 $.1 $.1 $.1^2 $.1 1 $.1 0 $.1^2 1 $.1 1 \n    $.1^2 0 $.1^2 1 $.1 1 $.1^2 0]\n[0 0 0 0 0 0 0 0 0 0 0 0 $.1 0 0 $.1 0 1 1 $.1^2 $.1 1 $.1^2 $.1^2 $.1 $.1 1 0 0\n    $.1 1 1 $.1^2 $.1^2 $.1^2 0]\n[0 0 0 0 0 0 0 0 0 0 0 0 0 1 0 0 1 0 $.1 $.1 $.1^2 1 0 0 $.1^2 $.1 0 1 $.1^2 $.1\n    $.1^2 $.1^2 1 $.1 0 0]\n[0 0 0 0 0 0 0 0 0 0 0 0 0 $.1 0 0 1 1 1 1 $.1^2 1 0 1 0 $.1^2 $.1^2 $.1 $.1 1 1\n    1 1 $.1^2 $.1 0]\n[0 0 0 0 0 0 0 0 0 0 0 0 0 0 1 0 0 1 0 $.1 $.1 $.1^2 1 0 0 $.1^2 $.1 0 1 $.1^2 \n    $.1 $.1^2 $.1^2 1 $.1 0]\n[0 0 0 0 0 0 0 0 0 0 0 0 0 0 $.1 $.1 1 1 0 1 0 0 0 $.1 0 1 $.1^2 $.1^2 $.1^2 0 \n    $.1 $.1^2 $.1 $.1^2 1 0]\n[0 0 0 0 0 0 0 0 0 0 0 0 0 0 0 $.1^2 1 0 0 0 $.1^2 1 $.1 $.1^2 1 1 $.1^2 $.1 1 \n    $.1^2 0 0 0 1 $.1^2 0]\n[0 0 0 0 0 0 0 0 0 0 0 0 0 0 0 0 0 0 0 0 0 0 0 0 0 0 0 0 0 0 0 0 0 0 0 1]\nQuantum GF(2)-Additive code over GF(4) of length 36 with 40 generators.\nLower Bound: 1, Upper Bound: 17\nConstructed 2 distinct generator matrices\nTotal Ranks:     21  21 \nRelative Ranks:  21  15 \n(4 4 4 4 4 4 4 4 4 4 4 4 4 4 4 4 4 4 2 4 2 )\n(4 4 4 4 4 4 4 4 4 4 4 4 4 4 4 4 4 4 4 2 2 )\nTime Taken: 0.00\nStarting search for low weight codewords... (reset timings)\nEnumerating using 1 generator at a time:\n     New codeword identified of weight 14, time 0.00\n     New codeword identified of weight 9, time 0.00\n     Impurity detected of weight 1,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0.03s\n   Completed Matrix  2:  lower =  6, upper =  9. Elapsed: 0.05s\nTermination predicted with 7 generators at matrix 1\nEnumerating using 6 generators at a time:\n   Completed Matrix  1:  lower =  7, upper =  9. Elapsed: 0.19s\n   Completed Matrix  2:  lower =  8, upper =  9. Elapsed: 0.34s\nTermination predicted at 1 s with 7 generators at matrix 1\nEnumerating using 7 generators at a time:\n   Completed Matrix  1:  lower =  9, upper =  9. Elapsed: 1.19s\nComputation complete \nFinal Results: lower = 9, upper = 9,\nTotal CPU time: 1.19, real time: 1.201\n9\n\nTotal time: 1.209 seconds, Total memory usage: 32.09MB\n</t>
  </si>
  <si>
    <t>2.4793415419990197</t>
  </si>
  <si>
    <t>Magma V2.28-26    Tue Dec 30 2025 12:10:41 on Marks-MacBook-Air-2 [Seed = \n121483152]\nType ? for help.  Type &lt;Ctrl&gt;-D to quit.\n[1 0 0 0 0 0 0 0 0 0 0 0 0 0 0 0 0 0 0 0 0 0 0 0 0 0 0 0 0 0 0 1 0 1 1 0 0 1 0 1\n    0 0 1 1 1 1 0 1 1 0 0 1 1 0 0 1 1 0 0 1 0 0 0 0 1 1 0 1 0 1 0 1 0 0]\n[0 1 0 0 0 0 0 0 0 0 0 0 0 0 0 0 0 0 0 0 0 0 0 0 0 0 0 0 0 0 0 1 0 0 0 0 0 1 1 0\n    0 0 0 1 1 1 0 1 0 1 1 1 0 1 1 1 0 1 1 1 1 1 0 1 1 0 1 0 0 1 1 0 0 0]\n[0 0 1 0 0 0 0 0 0 0 0 0 0 0 0 0 0 0 0 0 0 0 0 0 0 0 0 0 0 0 0 0 1 0 0 0 0 0 1 1\n    0 0 0 0 1 1 1 0 1 0 1 1 1 0 1 1 1 0 1 1 1 1 1 0 1 1 0 1 0 0 1 1 0 0]\n[0 0 0 1 0 0 0 0 0 0 0 0 0 0 0 0 0 0 0 0 0 0 0 0 0 0 0 0 0 0 0 0 0 1 0 0 0 1 1 0\n    0 1 1 1 1 0 0 0 1 0 1 0 0 0 1 0 0 0 1 0 0 0 0 0 1 0 0 1 0 1 1 0 0 0]\n[0 0 0 0 1 0 0 0 0 0 0 0 0 0 0 0 0 0 0 0 0 0 0 0 0 0 0 0 0 0 0 0 0 0 1 0 0 0 1 1\n    0 0 1 1 1 1 0 0 0 1 0 1 0 0 0 1 0 0 0 1 0 0 0 0 0 1 0 0 1 0 1 1 0 0]\n[0 0 0 0 0 1 0 0 0 0 0 0 0 0 0 0 0 0 0 0 0 0 0 0 0 0 0 0 0 0 0 1 1 0 1 0 0 1 0 1\n    0 0 0 1 1 1 0 1 1 0 0 1 0 0 1 1 0 0 1 1 1 1 0 1 1 1 1 0 1 0 0 1 0 0]\n[0 0 0 0 0 0 1 0 0 0 0 0 0 0 0 0 0 0 0 0 0 0 0 0 0 0 0 0 0 0 0 1 0 1 1 0 0 1 1 0\n    0 0 0 0 1 1 0 1 0 1 1 1 0 0 1 0 0 0 1 0 1 0 1 1 0 0 1 1 1 0 0 0 0 0]\n[0 0 0 0 0 0 0 1 0 0 0 0 0 0 0 0 0 0 0 0 0 0 0 0 0 0 0 0 0 0 0 1 0 0 0 0 0 0 0 0\n    0 1 1 1 1 0 1 0 1 1 1 1 1 1 0 1 0 1 0 1 1 1 1 1 1 0 1 0 1 1 1 1 0 0]\n[0 0 0 0 0 0 0 0 1 0 0 0 0 0 0 0 0 0 0 0 0 0 0 0 0 0 0 0 0 0 0 0 1 0 0 0 0 1 1 1\n    1 1 0 0 0 0 1 0 1 0 0 0 0 0 0 1 0 1 0 1 0 0 0 0 0 0 1 0 1 0 0 0 0 0]\n[0 0 0 0 0 0 0 0 0 1 0 0 0 0 0 0 0 0 0 0 0 0 0 0 0 0 0 0 0 0 0 0 0 1 0 0 0 0 1 1\n    1 1 1 0 0 0 0 1 0 1 0 0 0 0 0 0 1 0 1 0 1 0 0 0 0 0 0 1 0 1 0 0 0 0]\n[0 0 0 0 0 0 0 0 0 0 1 0 0 0 0 0 0 0 0 0 0 0 0 0 0 0 0 0 0 0 0 0 0 0 1 0 0 0 0 1\n    1 1 1 1 0 0 0 0 1 0 1 0 0 0 0 0 0 1 0 1 0 1 0 0 0 0 0 0 1 0 1 0 0 0]\n[0 0 0 0 0 0 0 0 0 0 0 1 0 0 0 0 0 0 0 0 0 0 0 0 0 0 0 0 0 0 0 1 1 0 1 0 0 0 1 1\n    1 0 0 0 0 1 0 0 0 0 0 1 0 1 0 0 0 1 1 0 0 0 0 0 0 0 1 1 0 1 1 0 0 0]\n[0 0 0 0 0 0 0 0 0 0 0 0 1 0 0 0 0 0 0 0 0 0 0 0 0 0 0 0 0 0 0 1 0 1 1 0 0 0 1 0\n    1 0 1 1 1 1 1 0 0 1 0 0 1 1 1 0 0 1 1 1 1 0 1 0 0 0 1 0 1 0 0 0 0 0]\n[0 0 0 0 0 0 0 0 0 0 0 0 0 1 0 0 0 0 0 0 0 0 0 0 0 0 0 0 0 0 0 1 0 0 0 0 0 0 1 0\n    0 0 1 0 0 0 1 1 0 1 1 0 0 0 1 1 0 1 1 1 0 1 1 1 0 0 1 0 0 1 1 1 0 0]\n[0 0 0 0 0 0 0 0 0 0 0 0 0 0 1 0 0 0 0 0 0 0 0 0 0 0 0 0 0 0 0 0 1 0 0 0 0 1 1 0\n    1 1 1 0 1 1 1 0 0 1 0 0 1 1 1 0 0 1 0 0 0 1 0 0 0 1 1 0 1 1 0 0 0 0]\n[0 0 0 0 0 0 0 0 0 0 0 0 0 0 0 1 0 0 0 0 0 0 0 0 0 0 0 0 0 0 0 0 0 1 0 0 0 0 1 1\n    0 1 1 1 0 1 1 1 0 0 1 0 0 1 1 1 0 0 1 0 0 0 1 0 0 0 1 1 0 1 1 0 0 0]\n[0 0 0 0 0 0 0 0 0 0 0 0 0 0 0 0 1 0 0 0 0 0 0 0 0 0 0 0 0 0 0 0 0 0 1 0 0 0 0 1\n    1 0 1 1 1 0 1 1 1 0 0 1 0 0 1 1 1 0 0 1 0 0 0 1 0 0 0 1 1 0 1 1 0 0]\n[0 0 0 0 0 0 0 0 0 0 0 0 0 0 0 0 0 1 0 0 0 0 0 0 0 0 0 0 0 0 0 1 1 0 1 0 0 1 0 0\n    0 1 0 1 1 1 1 0 0 1 1 1 0 0 1 0 0 1 1 1 1 1 0 1 0 1 0 0 0 0 0 1 0 0]\n[0 0 0 0 0 0 0 0 0 0 0 0 0 0 0 0 0 0 1 0 0 0 0 0 0 0 0 0 0 0 0 1 0 1 1 0 0 1 1 0\n    1 0 1 0 1 1 0 0 1 0 0 0 0 0 1 0 1 0 0 0 1 0 1 1 0 1 1 0 1 1 0 0 0 0]\n[0 0 0 0 0 0 0 0 0 0 0 0 0 0 0 0 0 0 0 1 0 0 0 0 0 0 0 0 0 0 0 1 0 0 0 0 0 0 0 0\n    0 0 1 0 1 0 1 0 0 0 0 0 0 1 0 1 0 0 0 0 1 1 1 1 1 0 0 0 0 1 0 1 0 0]\n[0 0 0 0 0 0 0 0 0 0 0 0 0 0 0 0 0 0 0 0 1 0 0 0 0 0 0 0 0 0 0 0 1 0 0 0 0 1 1 1\n    1 1 1 0 1 0 1 0 1 1 1 1 1 1 0 1 0 1 1 1 1 0 0 0 0 0 1 1 1 1 0 1 0 0]\n[0 0 0 0 0 0 0 0 0 0 0 0 0 0 0 0 0 0 0 0 0 1 0 0 0 0 0 0 0 0 0 0 0 1 0 0 0 1 0 0\n    0 0 0 0 1 0 1 0 1 0 0 0 0 0 0 1 0 1 0 0 0 0 1 1 1 1 1 0 0 0 0 1 0 0]\n[0 0 0 0 0 0 0 0 0 0 0 0 0 0 0 0 0 0 0 0 0 0 1 0 0 0 0 0 0 0 0 0 0 0 1 0 0 1 0 1\n    1 1 1 1 1 0 1 0 1 0 1 1 1 1 1 1 0 1 0 1 1 1 1 0 0 0 0 0 1 1 1 1 0 0]\n[0 0 0 0 0 0 0 0 0 0 0 0 0 0 0 0 0 0 0 0 0 0 0 1 0 0 0 0 0 0 0 1 1 0 1 0 0 1 1 0\n    0 1 1 1 1 1 1 0 1 1 1 0 0 1 0 0 0 0 0 1 1 0 1 0 1 1 0 0 1 0 1 1 0 0]\n[0 0 0 0 0 0 0 0 0 0 0 0 0 0 0 0 0 0 0 0 0 0 0 0 1 0 0 0 0 0 0 1 0 1 1 0 0 1 1 1\n    1 0 1 1 1 1 0 0 1 1 0 0 1 0 0 1 1 0 1 1 1 0 0 0 1 0 1 0 1 0 0 1 0 0]\n[0 0 0 0 0 0 0 0 0 0 0 0 0 0 0 0 0 0 0 0 0 0 0 0 0 1 0 0 0 0 0 1 0 0 0 0 0 1 1 1\n    0 1 0 1 1 1 0 1 1 1 0 1 1 1 1 1 0 1 1 0 1 0 0 1 1 0 0 1 1 0 0 0 0 0]\n[0 0 0 0 0 0 0 0 0 0 0 0 0 0 0 0 0 0 0 0 0 0 0 0 0 0 1 0 0 0 0 0 1 0 0 0 0 0 1 1\n    1 0 1 0 1 1 1 0 1 1 1 0 1 1 1 1 1 0 1 1 0 1 0 0 1 1 0 0 1 1 0 0 0 0]\n[0 0 0 0 0 0 0 0 0 0 0 0 0 0 0 0 0 0 0 0 0 0 0 0 0 0 0 1 0 0 0 0 0 1 0 0 0 0 0 1\n    1 1 0 1 0 1 1 1 0 1 1 1 0 1 1 1 1 1 0 1 1 0 1 0 0 1 1 0 0 1 1 0 0 0]\n[0 0 0 0 0 0 0 0 0 0 0 0 0 0 0 0 0 0 0 0 0 0 0 0 0 0 0 0 1 0 0 0 0 0 1 0 0 0 0 0\n    1 1 1 0 1 0 1 1 1 0 1 1 1 0 1 1 1 1 1 0 1 1 0 1 0 0 1 1 0 0 1 1 0 0]\n[0 0 0 0 0 0 0 0 0 0 0 0 0 0 0 0 0 0 0 0 0 0 0 0 0 0 0 0 0 1 0 1 1 0 1 0 0 1 0 0\n    1 1 1 1 0 1 1 0 0 1 1 0 0 1 1 0 0 1 0 0 0 0 1 1 0 1 0 1 0 1 0 1 0 0]\n[0 0 0 0 0 0 0 0 0 0 0 0 0 0 0 0 0 0 0 0 0 0 0 0 0 0 0 0 0 0 1 1 0 1 1 0 0 1 1 0\n    1 1 1 1 1 0 0 0 1 0 0 0 1 0 0 0 1 0 0 1 0 1 0 0 0 1 1 0 0 1 1 0 0 0]\n[0 0 0 0 0 0 0 0 0 0 0 0 0 0 0 0 0 0 0 0 0 0 0 0 0 0 0 0 0 0 0 0 0 0 0 1 0 0 0 0\n    0 0 0 0 0 0 0 0 0 0 0 0 0 0 0 0 0 0 0 0 0 0 0 0 0 0 0 0 0 0 0 0 0 0]\n[0 0 0 0 0 0 0 0 0 0 0 0 0 0 0 0 0 0 0 0 0 0 0 0 0 0 0 0 0 0 0 0 0 0 0 0 1 0 0 0\n    0 0 0 0 0 0 0 0 0 0 0 0 0 0 0 0 0 0 0 0 0 0 0 0 0 0 0 0 0 0 0 0 0 0]\n[[37, 4]] quantum code over GF(2^2), stabilised by:\n[1 0 0 0 0 0 0 0 0 0 0 0 0 0 0 0 1 $.1^2 1 1 0 $.1 1 $.1 $.1^2 $.1^2 1 $.1 1 $.1\n    0 0 $.1 $.1^2 $.1^2 0 0]\n[$.1 0 0 0 0 0 0 0 0 0 0 0 0 0 0 $.1 $.1^2 1 1 1 1 $.1 $.1 $.1^2 $.1^2 0 1 0 1 \n    $.1^2 1 1 1 1 0 0 0]\n[0 1 0 0 0 0 0 0 0 0 0 0 0 0 0 0 $.1^2 0 $.1^2 1 1 $.1^2 $.1^2 $.1^2 1 $.1 $.1 \n    $.1 0 0 1 0 0 $.1 $.1 0 0]\n[0 $.1 0 0 0 0 0 0 0 0 0 0 0 0 0 0 $.1 $.1^2 1 1 1 1 $.1 $.1 $.1^2 $.1^2 0 1 0 1\n    $.1^2 1 1 1 1 0 0]\n[0 0 1 0 0 0 0 0 0 0 0 0 0 0 0 $.1 1 $.1^2 1 $.1^2 0 $.1 $.1 1 $.1 0 $.1 $.1 \n    $.1^2 $.1 $.1^2 $.1^2 $.1^2 $.1 0 0 0]\n[0 0 $.1 0 0 0 0 0 0 0 0 0 0 0 0 $.1 $.1 $.1^2 $.1 1 0 1 1 $.1 0 $.1^2 $.1 $.1^2\n    $.1 $.1^2 1 1 $.1 $.1^2 $.1 0 0]\n[0 0 0 1 0 0 0 0 0 0 0 0 0 0 0 0 $.1 1 $.1^2 1 $.1^2 0 $.1 $.1 1 $.1 0 $.1 $.1 \n    $.1^2 $.1 $.1^2 $.1^2 $.1^2 $.1 0 0]\n[0 0 0 $.1 0 0 0 0 0 0 0 0 0 0 0 $.1 $.1^2 $.1 $.1 $.1 0 $.1^2 0 $.1^2 $.1^2 1 \n    $.1^2 $.1 $.1 0 0 $.1^2 $.1 0 1 0 0]\n[0 0 0 0 1 0 0 0 0 0 0 0 0 0 0 $.1 1 $.1 0 $.1^2 0 0 1 0 $.1^2 0 $.1 0 $.1^2 0 0\n    0 0 1 1 0 0]\n[0 0 0 0 $.1 0 0 0 0 0 0 0 0 0 0 $.1 0 $.1 $.1^2 $.1 $.1^2 0 $.1^2 0 1 $.1^2 0 0\n    1 1 0 $.1 0 0 $.1^2 0 0]\n[0 0 0 0 0 1 0 0 0 0 0 0 0 0 0 $.1 0 0 $.1^2 0 $.1 0 0 1 $.1 $.1^2 1 1 $.1^2 0 0\n    $.1 $.1^2 $.1 $.1 0 0]\n[0 0 0 0 0 $.1 0 0 0 0 0 0 0 0 0 0 1 1 $.1 $.1^2 $.1 0 1 1 $.1^2 0 $.1 $.1^2 $.1\n    0 $.1 0 $.1 0 1 0 0]\n[0 0 0 0 0 0 1 0 0 0 0 0 0 0 0 $.1 $.1^2 0 1 $.1^2 1 1 1 $.1 0 $.1^2 $.1^2 1 0 1\n    $.1^2 $.1 1 1 0 0 0]\n[0 0 0 0 0 0 $.1 0 0 0 0 0 0 0 0 $.1 $.1 0 0 $.1 $.1 $.1 0 1 $.1^2 $.1^2 1 1 0 1\n    0 0 $.1^2 0 $.1^2 0 0]\n[0 0 0 0 0 0 0 1 0 0 0 0 0 0 0 0 $.1 $.1^2 0 1 $.1^2 1 1 1 $.1 0 $.1^2 $.1^2 1 0\n    1 $.1^2 $.1 1 1 0 0]\n[0 0 0 0 0 0 0 $.1 0 0 0 0 0 0 0 0 1 $.1^2 0 0 $.1 1 $.1^2 $.1 $.1 $.1 $.1 $.1 \n    $.1^2 1 $.1 0 0 $.1^2 1 0 0]\n[0 0 0 0 0 0 0 0 1 0 0 0 0 0 0 $.1 $.1 $.1^2 $.1 0 0 $.1^2 1 1 $.1^2 $.1 1 0 0 \n    $.1 0 $.1^2 0 0 $.1 0 0]\n[0 0 0 0 0 0 0 0 $.1 0 0 0 0 0 0 $.1 $.1 0 $.1 0 1 $.1 1 $.1^2 0 $.1 $.1^2 1 1 0\n    1 0 $.1^2 $.1 0 0 0]\n[0 0 0 0 0 0 0 0 0 1 0 0 0 0 0 $.1 $.1^2 $.1 $.1 $.1 1 $.1^2 $.1 $.1^2 0 $.1 $.1\n    1 1 $.1 1 $.1 0 $.1 $.1 0 0]\n[0 0 0 0 0 0 0 0 0 $.1 0 0 0 0 0 0 $.1 $.1 0 $.1 0 1 $.1 1 $.1^2 0 $.1 $.1^2 1 1\n    0 1 0 $.1^2 $.1 0 0]\n[0 0 0 0 0 0 0 0 0 0 1 0 0 0 0 $.1 $.1^2 $.1^2 $.1^2 $.1 $.1^2 $.1 $.1 0 $.1 1 \n    $.1 $.1 0 $.1^2 1 $.1^2 1 $.1 0 0 0]\n[0 0 0 0 0 0 0 0 0 0 $.1 0 0 0 0 $.1 1 $.1 $.1^2 0 $.1^2 $.1^2 0 0 0 $.1 0 $.1 \n    $.1 $.1^2 $.1 $.1 $.1 $.1 1 0 0]\n[0 0 0 0 0 0 0 0 0 0 0 1 0 0 0 0 $.1 $.1^2 $.1^2 $.1^2 $.1 $.1^2 $.1 $.1 0 $.1 1\n    $.1 $.1 0 $.1^2 1 $.1^2 1 $.1 0 0]\n[0 0 0 0 0 0 0 0 0 0 0 $.1 0 0 0 $.1 0 0 $.1^2 $.1^2 1 $.1^2 $.1^2 0 $.1 0 $.1^2\n    $.1^2 1 1 $.1^2 0 1 0 1 0 0]\n[0 0 0 0 0 0 0 0 0 0 0 0 1 0 0 $.1 1 $.1 $.1 $.1^2 $.1 1 $.1 0 $.1^2 1 $.1 1 \n    $.1^2 0 $.1^2 1 $.1 1 $.1^2 0 0]\n[0 0 0 0 0 0 0 0 0 0 0 0 $.1 0 0 $.1 0 1 1 $.1^2 $.1 1 $.1^2 $.1^2 $.1 $.1 1 0 0\n    $.1 1 1 $.1^2 $.1^2 $.1^2 0 0]\n[0 0 0 0 0 0 0 0 0 0 0 0 0 1 0 0 1 0 $.1 $.1 $.1^2 1 0 0 $.1^2 $.1 0 1 $.1^2 $.1\n    $.1^2 $.1^2 1 $.1 0 0 0]\n[0 0 0 0 0 0 0 0 0 0 0 0 0 $.1 0 0 1 1 1 1 $.1^2 1 0 1 0 $.1^2 $.1^2 $.1 $.1 1 1\n    1 1 $.1^2 $.1 0 0]\n[0 0 0 0 0 0 0 0 0 0 0 0 0 0 1 0 0 1 0 $.1 $.1 $.1^2 1 0 0 $.1^2 $.1 0 1 $.1^2 \n    $.1 $.1^2 $.1^2 1 $.1 0 0]\n[0 0 0 0 0 0 0 0 0 0 0 0 0 0 $.1 $.1 1 1 0 1 0 0 0 $.1 0 1 $.1^2 $.1^2 $.1^2 0 \n    $.1 $.1^2 $.1 $.1^2 1 0 0]\n[0 0 0 0 0 0 0 0 0 0 0 0 0 0 0 $.1^2 1 0 0 0 $.1^2 1 $.1 $.1^2 1 1 $.1^2 $.1 1 \n    $.1^2 0 0 0 1 $.1^2 0 0]\n[0 0 0 0 0 0 0 0 0 0 0 0 0 0 0 0 0 0 0 0 0 0 0 0 0 0 0 0 0 0 0 0 0 0 0 1 0]\n[0 0 0 0 0 0 0 0 0 0 0 0 0 0 0 0 0 0 0 0 0 0 0 0 0 0 0 0 0 0 0 0 0 0 0 0 1]\nQuantum GF(2)-Additive code over GF(4) of length 37 with 41 generators.\nLower Bound: 1, Upper Bound: 18\nConstructed 2 distinct generator matrices\nTotal Ranks:     22  22 \nRelative Ranks:  22  15 \n(4 4 2 4 4 4 4 4 4 4 4 4 4 4 4 4 4 4 4 2 4 2 )\n(4 4 4 4 4 4 4 4 4 4 4 4 4 4 4 4 4 2 4 2 4 2 )\nTime Taken: 0.00\nStarting search for low weight codewords... (reset timings)\nEnumerating using 1 generator at a time:\n     New codeword identified of weight 13, time 0.00\n     New codeword identified of weight 11, time 0.00\n     Impurity detected of weight 1, time 0.00\n     New codeword identified of weight 10, time 0.00\n   Completed Matrix  1:  lower =  2, upper = 10. Elapsed: 0.00s\n     New codeword identified of weight 9, time 0.00\n   Completed Matrix  2:  lower =  2, upper =  9. Elapsed: 0.00s\nTermination predicted with 7 generators at matrix 2\nEnumerating using 2 generators at a time:\n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0.00s\nTermination predicted with 7 generators at matrix 2\nEnumerating using 5 generators at a time:\n   Completed Matrix  1:  lower =  6, upper =  9. Elapsed: 0.03s\n   Completed Matrix  2:  lower =  6, upper =  9. Elapsed: 0.05s\nTermination predicted with 7 generators at matrix 2\nEnumerating using 6 generators at a time:\n   Completed Matrix  1:  lower =  7, upper =  9. Elapsed: 0.23s\n   Completed Matrix  2:  lower =  7, upper =  9. Elapsed: 0.38s\nTermination predicted at 2 s with 7 generators at matrix 2\nEnumerating using 7 generators at a time:\n   Completed Matrix  1:  lower =  8, upper =  9. Elapsed: 1.40s\n   Completed Matrix  2:  lower =  9, upper =  9. Elapsed: 2.41s\nComputation complete \nFinal Results: lower = 9, upper = 9,\nTotal CPU time: 2.41, real time: 2.424\n9\n\nTotal time: 2.430 seconds, Total memory usage: 32.09MB\n</t>
  </si>
  <si>
    <t>7.490182666006149</t>
  </si>
  <si>
    <t>Magma V2.28-26    Tue Dec 30 2025 12:10:43 on Marks-MacBook-Air-2 [Seed = \n204907673]\nType ? for help.  Type &lt;Ctrl&gt;-D to quit.\n[1 0 0 0 0 0 0 0 0 0 0 0 0 0 0 0 0 0 0 0 0 0 0 0 0 0 0 0 0 0 0 1 0 1 1 0 0 0 1 0\n    1 0 0 1 1 1 1 0 1 1 0 0 1 1 0 0 1 1 0 0 1 0 0 0 0 1 1 0 1 0 1 0 1 0 0 0]\n[0 1 0 0 0 0 0 0 0 0 0 0 0 0 0 0 0 0 0 0 0 0 0 0 0 0 0 0 0 0 0 1 0 0 0 0 0 0 1 1\n    0 0 0 0 1 1 1 0 1 0 1 1 1 0 1 1 1 0 1 1 1 1 1 0 1 1 0 1 0 0 1 1 0 0 0 0]\n[0 0 1 0 0 0 0 0 0 0 0 0 0 0 0 0 0 0 0 0 0 0 0 0 0 0 0 0 0 0 0 0 1 0 0 0 0 0 0 1\n    1 0 0 0 0 1 1 1 0 1 0 1 1 1 0 1 1 1 0 1 1 1 1 1 0 1 1 0 1 0 0 1 1 0 0 0]\n[0 0 0 1 0 0 0 0 0 0 0 0 0 0 0 0 0 0 0 0 0 0 0 0 0 0 0 0 0 0 0 0 0 1 0 0 0 0 1 1\n    0 0 1 1 1 1 0 0 0 1 0 1 0 0 0 1 0 0 0 1 0 0 0 0 0 1 0 0 1 0 1 1 0 0 0 0]\n[0 0 0 0 1 0 0 0 0 0 0 0 0 0 0 0 0 0 0 0 0 0 0 0 0 0 0 0 0 0 0 0 0 0 1 0 0 0 0 1\n    1 0 0 1 1 1 1 0 0 0 1 0 1 0 0 0 1 0 0 0 1 0 0 0 0 0 1 0 0 1 0 1 1 0 0 0]\n[0 0 0 0 0 1 0 0 0 0 0 0 0 0 0 0 0 0 0 0 0 0 0 0 0 0 0 0 0 0 0 1 1 0 1 0 0 0 1 0\n    1 0 0 0 1 1 1 0 1 1 0 0 1 0 0 1 1 0 0 1 1 1 1 0 1 1 1 1 0 1 0 0 1 0 0 0]\n[0 0 0 0 0 0 1 0 0 0 0 0 0 0 0 0 0 0 0 0 0 0 0 0 0 0 0 0 0 0 0 1 0 1 1 0 0 0 1 1\n    0 0 0 0 0 1 1 0 1 0 1 1 1 0 0 1 0 0 0 1 0 1 0 1 1 0 0 1 1 1 0 0 0 0 0 0]\n[0 0 0 0 0 0 0 1 0 0 0 0 0 0 0 0 0 0 0 0 0 0 0 0 0 0 0 0 0 0 0 1 0 0 0 0 0 0 0 0\n    0 0 1 1 1 1 0 1 0 1 1 1 1 1 1 0 1 0 1 0 1 1 1 1 1 1 0 1 0 1 1 1 1 0 0 0]\n[0 0 0 0 0 0 0 0 1 0 0 0 0 0 0 0 0 0 0 0 0 0 0 0 0 0 0 0 0 0 0 0 1 0 0 0 0 0 1 1\n    1 1 1 0 0 0 0 1 0 1 0 0 0 0 0 0 1 0 1 0 1 0 0 0 0 0 0 1 0 1 0 0 0 0 0 0]\n[0 0 0 0 0 0 0 0 0 1 0 0 0 0 0 0 0 0 0 0 0 0 0 0 0 0 0 0 0 0 0 0 0 1 0 0 0 0 0 1\n    1 1 1 1 0 0 0 0 1 0 1 0 0 0 0 0 0 1 0 1 0 1 0 0 0 0 0 0 1 0 1 0 0 0 0 0]\n[0 0 0 0 0 0 0 0 0 0 1 0 0 0 0 0 0 0 0 0 0 0 0 0 0 0 0 0 0 0 0 0 0 0 1 0 0 0 0 0\n    1 1 1 1 1 0 0 0 0 1 0 1 0 0 0 0 0 0 1 0 1 0 1 0 0 0 0 0 0 1 0 1 0 0 0 0]\n[0 0 0 0 0 0 0 0 0 0 0 1 0 0 0 0 0 0 0 0 0 0 0 0 0 0 0 0 0 0 0 1 1 0 1 0 0 0 0 1\n    1 1 0 0 0 0 1 0 0 0 0 0 1 0 1 0 0 0 1 1 0 0 0 0 0 0 0 1 1 0 1 1 0 0 0 0]\n[0 0 0 0 0 0 0 0 0 0 0 0 1 0 0 0 0 0 0 0 0 0 0 0 0 0 0 0 0 0 0 1 0 1 1 0 0 0 0 1\n    0 1 0 1 1 1 1 1 0 0 1 0 0 1 1 1 0 0 1 1 1 1 0 1 0 0 0 1 0 1 0 0 0 0 0 0]\n[0 0 0 0 0 0 0 0 0 0 0 0 0 1 0 0 0 0 0 0 0 0 0 0 0 0 0 0 0 0 0 1 0 0 0 0 0 0 0 1\n    0 0 0 1 0 0 0 1 1 0 1 1 0 0 0 1 1 0 1 1 1 0 1 1 1 0 0 1 0 0 1 1 1 0 0 0]\n[0 0 0 0 0 0 0 0 0 0 0 0 0 0 1 0 0 0 0 0 0 0 0 0 0 0 0 0 0 0 0 0 1 0 0 0 0 0 1 1\n    0 1 1 1 0 1 1 1 0 0 1 0 0 1 1 1 0 0 1 0 0 0 1 0 0 0 1 1 0 1 1 0 0 0 0 0]\n[0 0 0 0 0 0 0 0 0 0 0 0 0 0 0 1 0 0 0 0 0 0 0 0 0 0 0 0 0 0 0 0 0 1 0 0 0 0 0 1\n    1 0 1 1 1 0 1 1 1 0 0 1 0 0 1 1 1 0 0 1 0 0 0 1 0 0 0 1 1 0 1 1 0 0 0 0]\n[0 0 0 0 0 0 0 0 0 0 0 0 0 0 0 0 1 0 0 0 0 0 0 0 0 0 0 0 0 0 0 0 0 0 1 0 0 0 0 0\n    1 1 0 1 1 1 0 1 1 1 0 0 1 0 0 1 1 1 0 0 1 0 0 0 1 0 0 0 1 1 0 1 1 0 0 0]\n[0 0 0 0 0 0 0 0 0 0 0 0 0 0 0 0 0 1 0 0 0 0 0 0 0 0 0 0 0 0 0 1 1 0 1 0 0 0 1 0\n    0 0 1 0 1 1 1 1 0 0 1 1 1 0 0 1 0 0 1 1 1 1 1 0 1 0 1 0 0 0 0 0 1 0 0 0]\n[0 0 0 0 0 0 0 0 0 0 0 0 0 0 0 0 0 0 1 0 0 0 0 0 0 0 0 0 0 0 0 1 0 1 1 0 0 0 1 1\n    0 1 0 1 0 1 1 0 0 1 0 0 0 0 0 1 0 1 0 0 0 1 0 1 1 0 1 1 0 1 1 0 0 0 0 0]\n[0 0 0 0 0 0 0 0 0 0 0 0 0 0 0 0 0 0 0 1 0 0 0 0 0 0 0 0 0 0 0 1 0 0 0 0 0 0 0 0\n    0 0 0 1 0 1 0 1 0 0 0 0 0 0 1 0 1 0 0 0 0 1 1 1 1 1 0 0 0 0 1 0 1 0 0 0]\n[0 0 0 0 0 0 0 0 0 0 0 0 0 0 0 0 0 0 0 0 1 0 0 0 0 0 0 0 0 0 0 0 1 0 0 0 0 0 1 1\n    1 1 1 1 0 1 0 1 0 1 1 1 1 1 1 0 1 0 1 1 1 1 0 0 0 0 0 1 1 1 1 0 1 0 0 0]\n[0 0 0 0 0 0 0 0 0 0 0 0 0 0 0 0 0 0 0 0 0 1 0 0 0 0 0 0 0 0 0 0 0 1 0 0 0 0 1 0\n    0 0 0 0 0 1 0 1 0 1 0 0 0 0 0 0 1 0 1 0 0 0 0 1 1 1 1 1 0 0 0 0 1 0 0 0]\n[0 0 0 0 0 0 0 0 0 0 0 0 0 0 0 0 0 0 0 0 0 0 1 0 0 0 0 0 0 0 0 0 0 0 1 0 0 0 1 0\n    1 1 1 1 1 1 0 1 0 1 0 1 1 1 1 1 1 0 1 0 1 1 1 1 0 0 0 0 0 1 1 1 1 0 0 0]\n[0 0 0 0 0 0 0 0 0 0 0 0 0 0 0 0 0 0 0 0 0 0 0 1 0 0 0 0 0 0 0 1 1 0 1 0 0 0 1 1\n    0 0 1 1 1 1 1 1 0 1 1 1 0 0 1 0 0 0 0 0 1 1 0 1 0 1 1 0 0 1 0 1 1 0 0 0]\n[0 0 0 0 0 0 0 0 0 0 0 0 0 0 0 0 0 0 0 0 0 0 0 0 1 0 0 0 0 0 0 1 0 1 1 0 0 0 1 1\n    1 1 0 1 1 1 1 0 0 1 1 0 0 1 0 0 1 1 0 1 1 1 0 0 0 1 0 1 0 1 0 0 1 0 0 0]\n[0 0 0 0 0 0 0 0 0 0 0 0 0 0 0 0 0 0 0 0 0 0 0 0 0 1 0 0 0 0 0 1 0 0 0 0 0 0 1 1\n    1 0 1 0 1 1 1 0 1 1 1 0 1 1 1 1 1 0 1 1 0 1 0 0 1 1 0 0 1 1 0 0 0 0 0 0]\n[0 0 0 0 0 0 0 0 0 0 0 0 0 0 0 0 0 0 0 0 0 0 0 0 0 0 1 0 0 0 0 0 1 0 0 0 0 0 0 1\n    1 1 0 1 0 1 1 1 0 1 1 1 0 1 1 1 1 1 0 1 1 0 1 0 0 1 1 0 0 1 1 0 0 0 0 0]\n[0 0 0 0 0 0 0 0 0 0 0 0 0 0 0 0 0 0 0 0 0 0 0 0 0 0 0 1 0 0 0 0 0 1 0 0 0 0 0 0\n    1 1 1 0 1 0 1 1 1 0 1 1 1 0 1 1 1 1 1 0 1 1 0 1 0 0 1 1 0 0 1 1 0 0 0 0]\n[0 0 0 0 0 0 0 0 0 0 0 0 0 0 0 0 0 0 0 0 0 0 0 0 0 0 0 0 1 0 0 0 0 0 1 0 0 0 0 0\n    0 1 1 1 0 1 0 1 1 1 0 1 1 1 0 1 1 1 1 1 0 1 1 0 1 0 0 1 1 0 0 1 1 0 0 0]\n[0 0 0 0 0 0 0 0 0 0 0 0 0 0 0 0 0 0 0 0 0 0 0 0 0 0 0 0 0 1 0 1 1 0 1 0 0 0 1 0\n    0 1 1 1 1 0 1 1 0 0 1 1 0 0 1 1 0 0 1 0 0 0 0 1 1 0 1 0 1 0 1 0 1 0 0 0]\n[0 0 0 0 0 0 0 0 0 0 0 0 0 0 0 0 0 0 0 0 0 0 0 0 0 0 0 0 0 0 1 1 0 1 1 0 0 0 1 1\n    0 1 1 1 1 1 0 0 0 1 0 0 0 1 0 0 0 1 0 0 1 0 1 0 0 0 1 1 0 0 1 1 0 0 0 0]\n[0 0 0 0 0 0 0 0 0 0 0 0 0 0 0 0 0 0 0 0 0 0 0 0 0 0 0 0 0 0 0 0 0 0 0 1 0 0 0 0\n    0 0 0 0 0 0 0 0 0 0 0 0 0 0 0 0 0 0 0 0 0 0 0 0 0 0 0 0 0 0 0 0 0 0 0 0]\n[0 0 0 0 0 0 0 0 0 0 0 0 0 0 0 0 0 0 0 0 0 0 0 0 0 0 0 0 0 0 0 0 0 0 0 0 1 0 0 0\n    0 0 0 0 0 0 0 0 0 0 0 0 0 0 0 0 0 0 0 0 0 0 0 0 0 0 0 0 0 0 0 0 0 0 0 0]\n[0 0 0 0 0 0 0 0 0 0 0 0 0 0 0 0 0 0 0 0 0 0 0 0 0 0 0 0 0 0 0 0 0 0 0 0 0 1 0 0\n    0 0 0 0 0 0 0 0 0 0 0 0 0 0 0 0 0 0 0 0 0 0 0 0 0 0 0 0 0 0 0 0 0 0 0 0]\n[[38, 4]] quantum code over GF(2^2), stabilised by:\n[1 0 0 0 0 0 0 0 0 0 0 0 0 0 0 0 1 $.1^2 1 1 0 $.1 1 $.1 $.1^2 $.1^2 1 $.1 1 $.1\n    0 0 $.1 $.1^2 $.1^2 0 0 0]\n[$.1 0 0 0 0 0 0 0 0 0 0 0 0 0 0 $.1 $.1^2 1 1 1 1 $.1 $.1 $.1^2 $.1^2 0 1 0 1 \n    $.1^2 1 1 1 1 0 0 0 0]\n[0 1 0 0 0 0 0 0 0 0 0 0 0 0 0 0 $.1^2 0 $.1^2 1 1 $.1^2 $.1^2 $.1^2 1 $.1 $.1 \n    $.1 0 0 1 0 0 $.1 $.1 0 0 0]\n[0 $.1 0 0 0 0 0 0 0 0 0 0 0 0 0 0 $.1 $.1^2 1 1 1 1 $.1 $.1 $.1^2 $.1^2 0 1 0 1\n    $.1^2 1 1 1 1 0 0 0]\n[0 0 1 0 0 0 0 0 0 0 0 0 0 0 0 $.1 1 $.1^2 1 $.1^2 0 $.1 $.1 1 $.1 0 $.1 $.1 \n    $.1^2 $.1 $.1^2 $.1^2 $.1^2 $.1 0 0 0 0]\n[0 0 $.1 0 0 0 0 0 0 0 0 0 0 0 0 $.1 $.1 $.1^2 $.1 1 0 1 1 $.1 0 $.1^2 $.1 $.1^2\n    $.1 $.1^2 1 1 $.1 $.1^2 $.1 0 0 0]\n[0 0 0 1 0 0 0 0 0 0 0 0 0 0 0 0 $.1 1 $.1^2 1 $.1^2 0 $.1 $.1 1 $.1 0 $.1 $.1 \n    $.1^2 $.1 $.1^2 $.1^2 $.1^2 $.1 0 0 0]\n[0 0 0 $.1 0 0 0 0 0 0 0 0 0 0 0 $.1 $.1^2 $.1 $.1 $.1 0 $.1^2 0 $.1^2 $.1^2 1 \n    $.1^2 $.1 $.1 0 0 $.1^2 $.1 0 1 0 0 0]\n[0 0 0 0 1 0 0 0 0 0 0 0 0 0 0 $.1 1 $.1 0 $.1^2 0 0 1 0 $.1^2 0 $.1 0 $.1^2 0 0\n    0 0 1 1 0 0 0]\n[0 0 0 0 $.1 0 0 0 0 0 0 0 0 0 0 $.1 0 $.1 $.1^2 $.1 $.1^2 0 $.1^2 0 1 $.1^2 0 0\n    1 1 0 $.1 0 0 $.1^2 0 0 0]\n[0 0 0 0 0 1 0 0 0 0 0 0 0 0 0 $.1 0 0 $.1^2 0 $.1 0 0 1 $.1 $.1^2 1 1 $.1^2 0 0\n    $.1 $.1^2 $.1 $.1 0 0 0]\n[0 0 0 0 0 $.1 0 0 0 0 0 0 0 0 0 0 1 1 $.1 $.1^2 $.1 0 1 1 $.1^2 0 $.1 $.1^2 $.1\n    0 $.1 0 $.1 0 1 0 0 0]\n[0 0 0 0 0 0 1 0 0 0 0 0 0 0 0 $.1 $.1^2 0 1 $.1^2 1 1 1 $.1 0 $.1^2 $.1^2 1 0 1\n    $.1^2 $.1 1 1 0 0 0 0]\n[0 0 0 0 0 0 $.1 0 0 0 0 0 0 0 0 $.1 $.1 0 0 $.1 $.1 $.1 0 1 $.1^2 $.1^2 1 1 0 1\n    0 0 $.1^2 0 $.1^2 0 0 0]\n[0 0 0 0 0 0 0 1 0 0 0 0 0 0 0 0 $.1 $.1^2 0 1 $.1^2 1 1 1 $.1 0 $.1^2 $.1^2 1 0\n    1 $.1^2 $.1 1 1 0 0 0]\n[0 0 0 0 0 0 0 $.1 0 0 0 0 0 0 0 0 1 $.1^2 0 0 $.1 1 $.1^2 $.1 $.1 $.1 $.1 $.1 \n    $.1^2 1 $.1 0 0 $.1^2 1 0 0 0]\n[0 0 0 0 0 0 0 0 1 0 0 0 0 0 0 $.1 $.1 $.1^2 $.1 0 0 $.1^2 1 1 $.1^2 $.1 1 0 0 \n    $.1 0 $.1^2 0 0 $.1 0 0 0]\n[0 0 0 0 0 0 0 0 $.1 0 0 0 0 0 0 $.1 $.1 0 $.1 0 1 $.1 1 $.1^2 0 $.1 $.1^2 1 1 0\n    1 0 $.1^2 $.1 0 0 0 0]\n[0 0 0 0 0 0 0 0 0 1 0 0 0 0 0 $.1 $.1^2 $.1 $.1 $.1 1 $.1^2 $.1 $.1^2 0 $.1 $.1\n    1 1 $.1 1 $.1 0 $.1 $.1 0 0 0]\n[0 0 0 0 0 0 0 0 0 $.1 0 0 0 0 0 0 $.1 $.1 0 $.1 0 1 $.1 1 $.1^2 0 $.1 $.1^2 1 1\n    0 1 0 $.1^2 $.1 0 0 0]\n[0 0 0 0 0 0 0 0 0 0 1 0 0 0 0 $.1 $.1^2 $.1^2 $.1^2 $.1 $.1^2 $.1 $.1 0 $.1 1 \n    $.1 $.1 0 $.1^2 1 $.1^2 1 $.1 0 0 0 0]\n[0 0 0 0 0 0 0 0 0 0 $.1 0 0 0 0 $.1 1 $.1 $.1^2 0 $.1^2 $.1^2 0 0 0 $.1 0 $.1 \n    $.1 $.1^2 $.1 $.1 $.1 $.1 1 0 0 0]\n[0 0 0 0 0 0 0 0 0 0 0 1 0 0 0 0 $.1 $.1^2 $.1^2 $.1^2 $.1 $.1^2 $.1 $.1 0 $.1 1\n    $.1 $.1 0 $.1^2 1 $.1^2 1 $.1 0 0 0]\n[0 0 0 0 0 0 0 0 0 0 0 $.1 0 0 0 $.1 0 0 $.1^2 $.1^2 1 $.1^2 $.1^2 0 $.1 0 $.1^2\n    $.1^2 1 1 $.1^2 0 1 0 1 0 0 0]\n[0 0 0 0 0 0 0 0 0 0 0 0 1 0 0 $.1 1 $.1 $.1 $.1^2 $.1 1 $.1 0 $.1^2 1 $.1 1 \n    $.1^2 0 $.1^2 1 $.1 1 $.1^2 0 0 0]\n[0 0 0 0 0 0 0 0 0 0 0 0 $.1 0 0 $.1 0 1 1 $.1^2 $.1 1 $.1^2 $.1^2 $.1 $.1 1 0 0\n    $.1 1 1 $.1^2 $.1^2 $.1^2 0 0 0]\n[0 0 0 0 0 0 0 0 0 0 0 0 0 1 0 0 1 0 $.1 $.1 $.1^2 1 0 0 $.1^2 $.1 0 1 $.1^2 $.1\n    $.1^2 $.1^2 1 $.1 0 0 0 0]\n[0 0 0 0 0 0 0 0 0 0 0 0 0 $.1 0 0 1 1 1 1 $.1^2 1 0 1 0 $.1^2 $.1^2 $.1 $.1 1 1\n    1 1 $.1^2 $.1 0 0 0]\n[0 0 0 0 0 0 0 0 0 0 0 0 0 0 1 0 0 1 0 $.1 $.1 $.1^2 1 0 0 $.1^2 $.1 0 1 $.1^2 \n    $.1 $.1^2 $.1^2 1 $.1 0 0 0]\n[0 0 0 0 0 0 0 0 0 0 0 0 0 0 $.1 $.1 1 1 0 1 0 0 0 $.1 0 1 $.1^2 $.1^2 $.1^2 0 \n    $.1 $.1^2 $.1 $.1^2 1 0 0 0]\n[0 0 0 0 0 0 0 0 0 0 0 0 0 0 0 $.1^2 1 0 0 0 $.1^2 1 $.1 $.1^2 1 1 $.1^2 $.1 1 \n    $.1^2 0 0 0 1 $.1^2 0 0 0]\n[0 0 0 0 0 0 0 0 0 0 0 0 0 0 0 0 0 0 0 0 0 0 0 0 0 0 0 0 0 0 0 0 0 0 0 1 0 0]\n[0 0 0 0 0 0 0 0 0 0 0 0 0 0 0 0 0 0 0 0 0 0 0 0 0 0 0 0 0 0 0 0 0 0 0 0 1 0]\n[0 0 0 0 0 0 0 0 0 0 0 0 0 0 0 0 0 0 0 0 0 0 0 0 0 0 0 0 0 0 0 0 0 0 0 0 0 1]\nQuantum GF(2)-Additive code over GF(4) of length 38 with 42 generators.\nLower Bound: 1, Upper Bound: 18\nConstructed 2 distinct generator matrices\nTotal Ranks:     23  23 \nRelative Ranks:  23  15 \n(4 4 2 4 4 4 4 4 4 4 4 4 4 4 4 2 4 4 4 4 2 4 2 )\n(4 4 4 4 4 4 4 4 4 4 4 4 4 4 4 4 4 2 4 2 4 2 2 )\nTime Taken: 0.00\nStarting search for low weight codewords... (reset timings)\nEnumerating using 1 generator at a time:\n     New codeword identified of weight 15, time 0.00\n     New codeword identified of weight 13, time 0.00\n     New codeword identified of weight 12, time 0.00\n     Impurity detected of weight 1, time 0.00\n     New codeword identified of weight 11, time 0.00\n     New codeword identified of weight 10, time 0.00\n     New codeword identified of weight 9, time 0.00\n     Discarding non-contributing rank 15 matrix\n     New Total Ranks:     23 \n     New Relative Ranks:  23 \n   Completed Matrix  1:  lower =  2, upper =  9. Elapsed: 0.00s\nTermination predicted with 8 generators at matrix 1\nEnumerating using 2 generators at a time:\n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0.01s\nTermination predicted with 8 generators at matrix 1\nEnumerating using 5 generators at a time:\n   Completed Matrix  1:  lower =  6, upper =  9. Elapsed: 0.03s\nTermination predicted with 8 generators at matrix 1\nEnumerating using 6 generators at a time:\n   Completed Matrix  1:  lower =  7, upper =  9. Elapsed: 0.22s\nTermination predicted at 7 s with 8 generators at matrix 1\nEnumerating using 7 generators at a time:\n   Completed Matrix  1:  lower =  8, upper =  9. Elapsed: 1.39s\nTermination predicted at 7 s with 8 generators at matrix 1\nEnumerating using 8 generators at a time:\n   Completed Matrix  1:  lower =  9, upper =  9. Elapsed: 7.41s\nComputation complete \nFinal Results: lower = 9, upper = 9,\nTotal CPU time: 7.41, real time: 7.428\n9\n\nTotal time: 7.440 seconds, Total memory usage: 32.09MB\n</t>
  </si>
  <si>
    <t>0.6305987499945331</t>
  </si>
  <si>
    <t>Magma V2.28-26    Tue Dec 30 2025 12:10:51 on Marks-MacBook-Air-2 [Seed = \n822843820]\nType ? for help.  Type &lt;Ctrl&gt;-D to quit.\n[1 0 0 0 0 0 0 0 0 0 0 0 0 0 0 0 0 0 0 0 0 0 0 0 0 0 0 0 0 0 0 0 0 0 0 0 1 0 0 1\n    0 1 1 1 1 1 0 0 1 1 0 0 1 0 0 1 0 1 0 1 0 0 1 0 0 1 1 0 0 1 1 1 1 1 0 1 0 1]\n[0 1 0 0 0 0 0 0 0 0 0 0 0 0 0 0 0 0 0 0 0 0 0 0 0 0 0 0 0 0 0 0 0 0 0 1 0 1 0 0\n    0 1 0 0 0 1 1 1 1 1 1 1 0 1 1 0 0 0 0 0 1 1 0 1 1 1 1 1 1 1 0 0 0 1 0 0 0 0]\n[0 0 1 0 0 0 0 0 0 0 0 0 0 0 0 0 0 0 0 0 0 0 0 0 0 0 0 0 0 0 0 0 0 0 0 0 0 0 1 1\n    0 1 0 1 1 1 1 1 0 0 1 1 0 0 1 0 0 1 0 1 0 1 0 0 1 0 0 1 1 0 0 1 1 1 1 1 0 1]\n[0 0 0 1 0 0 0 0 0 0 0 0 0 0 0 0 0 0 0 0 0 0 0 0 0 0 0 0 0 0 0 0 0 0 0 1 0 0 0 0\n    0 1 0 1 0 1 1 0 0 0 0 0 1 0 1 1 1 0 0 0 1 1 1 0 1 0 0 0 0 0 1 1 0 1 0 1 0 0]\n[0 0 0 0 1 0 0 0 0 0 0 0 0 0 0 0 0 0 0 0 0 0 0 0 0 0 0 0 0 0 0 0 0 0 0 0 1 0 0 0\n    0 0 1 0 1 0 1 1 0 0 0 0 0 1 0 1 1 1 0 0 0 1 1 1 0 1 0 0 0 0 0 1 1 0 1 0 1 0]\n[0 0 0 0 0 1 0 0 0 0 0 0 0 0 0 0 0 0 0 0 0 0 0 0 0 0 0 0 0 0 0 0 0 0 0 0 0 1 0 0\n    0 0 0 1 0 1 0 1 1 0 0 0 0 0 1 0 1 1 1 0 0 0 1 1 1 0 1 0 0 0 0 0 1 1 0 1 0 1]\n[0 0 0 0 0 0 1 0 0 0 0 0 0 0 0 0 0 0 0 0 0 0 0 0 0 0 0 0 0 0 0 0 0 0 0 1 0 0 1 0\n    1 1 1 1 0 0 1 1 0 1 0 1 0 0 1 1 1 1 0 1 0 1 0 1 0 0 0 1 1 1 1 1 1 1 0 0 0 0]\n[0 0 0 0 0 0 0 1 0 0 0 0 0 0 0 0 0 0 0 0 0 0 0 0 0 0 0 0 0 0 0 0 0 0 0 0 0 0 0 1\n    0 0 0 0 0 1 0 1 0 1 1 0 0 0 0 0 1 0 1 1 1 0 0 0 1 1 1 0 1 0 0 0 0 0 1 1 0 1]\n[0 0 0 0 0 0 0 0 1 0 0 0 0 0 0 0 0 0 0 0 0 0 0 0 0 0 0 0 0 0 0 0 0 0 0 1 1 0 0 1\n    0 0 0 0 0 1 1 1 1 1 1 0 1 0 1 1 1 0 1 0 1 0 1 0 1 1 0 1 1 1 0 0 0 1 1 0 0 1]\n[0 0 0 0 0 0 0 0 0 1 0 0 0 0 0 0 0 0 0 0 0 0 0 0 0 0 0 0 0 0 0 0 0 0 0 1 0 1 0 1\n    0 0 0 0 0 1 1 0 1 0 1 0 1 1 1 0 0 0 1 0 0 0 1 1 1 1 0 0 0 1 1 0 0 1 0 0 1 1]\n[0 0 0 0 0 0 0 0 0 0 1 0 0 0 0 0 0 0 0 0 0 0 0 0 0 0 0 0 0 0 0 0 0 0 0 1 0 0 1 1\n    0 0 0 0 0 1 1 0 0 0 0 0 1 1 0 0 1 1 1 0 0 1 1 1 0 1 0 0 1 0 1 1 0 1 0 1 1 0]\n[0 0 0 0 0 0 0 0 0 0 0 1 0 0 0 0 0 0 0 0 0 0 0 0 0 0 0 0 0 0 0 0 0 0 0 0 0 0 0 1\n    1 1 1 1 1 1 1 1 1 1 0 0 1 1 1 1 0 0 1 0 0 0 0 1 1 1 0 0 0 0 1 0 0 1 1 1 1 0]\n[0 0 0 0 0 0 0 0 0 0 0 0 1 0 0 0 0 0 0 0 0 0 0 0 0 0 0 0 0 0 0 0 0 0 0 0 1 0 0 1\n    1 0 0 0 0 0 1 1 0 0 1 0 1 1 1 0 1 1 0 0 0 0 1 0 1 0 0 0 0 1 1 0 1 1 1 0 1 0]\n[0 0 0 0 0 0 0 0 0 0 0 0 0 1 0 0 0 0 0 0 0 0 0 0 0 0 0 0 0 0 0 0 0 0 0 0 0 1 0 0\n    1 1 0 0 0 0 0 1 1 0 0 1 0 1 1 1 0 1 1 0 0 0 0 1 0 1 0 0 0 0 1 1 0 1 1 1 0 1]\n[0 0 0 0 0 0 0 0 0 0 0 0 0 0 1 0 0 0 0 0 0 0 0 0 0 0 0 0 0 0 0 0 0 0 0 1 0 0 1 0\n    1 0 0 1 1 0 0 1 0 1 0 1 1 0 0 1 0 0 0 1 0 1 0 0 0 1 1 0 1 1 1 0 0 0 0 1 0 0]\n[0 0 0 0 0 0 0 0 0 0 0 0 0 0 0 1 0 0 0 0 0 0 0 0 0 0 0 0 0 0 0 0 0 0 0 0 0 0 0 1\n    0 0 1 1 0 0 0 0 0 1 1 0 0 1 0 1 1 1 0 1 1 0 0 0 0 1 0 1 0 0 0 0 1 1 0 1 1 1]\n[0 0 0 0 0 0 0 0 0 0 0 0 0 0 0 0 1 0 0 0 0 0 0 0 0 0 0 0 0 0 0 0 0 0 0 1 1 0 0 1\n    0 0 0 1 1 1 0 1 0 1 1 0 1 0 0 1 0 0 0 1 1 0 1 0 1 0 0 0 0 0 0 0 0 0 0 1 0 0]\n[0 0 0 0 0 0 0 0 0 0 0 0 0 0 0 0 0 1 0 0 0 0 0 0 0 0 0 0 0 0 0 0 0 0 0 0 0 1 0 1\n    1 1 1 1 0 0 1 0 0 1 1 1 1 1 0 1 1 1 0 1 1 1 1 1 0 0 1 0 0 1 1 1 1 1 0 1 1 1]\n[0 0 0 0 0 0 0 0 0 0 0 0 0 0 0 0 0 0 1 0 0 0 0 0 0 0 0 0 0 0 0 0 0 0 0 1 0 0 1 0\n    0 0 0 0 0 0 0 0 1 0 1 0 1 1 0 0 0 1 0 0 1 0 1 1 0 1 0 1 1 1 0 0 0 1 0 0 0 1]\n[0 0 0 0 0 0 0 0 0 0 0 0 0 0 0 0 0 0 0 1 0 0 0 0 0 0 0 0 0 0 0 0 0 0 0 1 0 0 0 1\n    1 0 0 0 0 1 0 1 0 0 0 0 1 1 0 1 1 1 0 1 0 0 1 1 0 0 0 0 0 1 1 0 0 1 0 1 1 1]\n[0 0 0 0 0 0 0 0 0 0 0 0 0 0 0 0 0 0 0 0 1 0 0 0 0 0 0 0 0 0 0 0 0 0 0 1 1 0 0 0\n    0 0 1 1 1 0 1 1 0 0 0 1 0 1 0 0 0 1 0 0 1 1 0 1 0 1 0 0 1 1 0 0 1 0 0 0 0 1]\n[0 0 0 0 0 0 0 0 0 0 0 0 0 0 0 0 0 0 0 0 0 1 0 0 0 0 0 0 0 0 0 0 0 0 0 1 0 1 0 1\n    1 0 0 1 1 0 0 0 1 1 0 1 0 0 0 1 1 1 0 1 0 0 0 0 0 0 0 0 1 1 1 0 0 0 1 1 1 1]\n[0 0 0 0 0 0 0 0 0 0 0 0 0 0 0 0 0 0 0 0 0 0 1 0 0 0 0 0 0 0 0 0 0 0 0 1 0 0 1 1\n    0 1 0 0 1 0 0 1 0 0 1 1 0 0 1 1 0 0 0 1 1 1 1 0 1 0 1 0 1 1 1 1 0 1 1 0 0 0]\n[0 0 0 0 0 0 0 0 0 0 0 0 0 0 0 0 0 0 0 0 0 0 0 1 0 0 0 0 0 0 0 0 0 0 0 0 0 0 0 1\n    1 1 0 1 1 0 0 0 0 1 0 1 0 0 0 0 1 1 0 1 1 1 0 1 0 0 1 1 0 0 0 0 0 1 1 0 0 1]\n[0 0 0 0 0 0 0 0 0 0 0 0 0 0 0 0 0 0 0 0 0 0 0 0 1 0 0 0 0 0 0 0 0 0 0 1 1 0 0 1\n    0 1 1 0 1 0 0 1 0 1 1 1 0 0 1 1 1 0 0 1 1 0 0 0 0 0 1 1 0 0 0 0 0 1 0 0 1 1]\n[0 0 0 0 0 0 0 0 0 0 0 0 0 0 0 0 0 0 0 0 0 0 0 0 0 1 0 0 0 0 0 0 0 0 0 1 0 1 0 1\n    0 0 1 1 0 0 0 1 1 1 1 0 0 0 1 0 0 0 1 1 1 0 1 0 1 0 1 1 0 0 0 0 0 1 0 1 1 0]\n[0 0 0 0 0 0 0 0 0 0 0 0 0 0 0 0 0 0 0 0 0 0 0 0 0 0 1 0 0 0 0 0 0 0 0 0 0 0 1 1\n    1 1 1 0 0 1 0 0 0 0 1 1 1 0 0 0 0 1 0 0 1 1 1 1 0 0 1 1 1 1 1 1 1 1 1 1 1 0]\n[0 0 0 0 0 0 0 0 0 0 0 0 0 0 0 0 0 0 0 0 0 0 0 0 0 0 0 1 0 0 0 0 0 0 0 0 0 0 0 0\n    1 1 1 1 0 0 1 0 0 0 0 1 1 1 0 0 0 0 1 0 0 1 1 1 1 0 0 1 1 1 1 1 1 1 1 1 1 1]\n[0 0 0 0 0 0 0 0 0 0 0 0 0 0 0 0 0 0 0 0 0 0 0 0 0 0 0 0 1 0 0 0 0 0 0 1 1 0 0 1\n    1 1 1 1 1 1 0 0 0 1 0 1 0 1 0 1 1 1 1 0 0 1 0 1 0 1 1 0 0 1 1 1 1 0 0 0 0 0]\n[0 0 0 0 0 0 0 0 0 0 0 0 0 0 0 0 0 0 0 0 0 0 0 0 0 0 0 0 0 1 0 0 0 0 0 0 0 1 0 1\n    1 0 0 0 0 0 1 0 1 1 1 0 0 0 1 1 1 0 1 0 0 0 0 0 1 1 0 1 0 1 0 0 0 0 0 1 0 1]\n[0 0 0 0 0 0 0 0 0 0 0 0 0 0 0 0 0 0 0 0 0 0 0 0 0 0 0 0 0 0 1 0 0 0 0 1 0 0 1 0\n    0 0 1 1 1 0 0 0 1 1 1 0 0 0 1 1 0 1 1 1 0 1 0 0 1 0 1 0 0 1 0 1 1 0 1 0 0 0]\n[0 0 0 0 0 0 0 0 0 0 0 0 0 0 0 0 0 0 0 0 0 0 0 0 0 0 0 0 0 0 0 1 0 0 0 0 0 0 0 1\n    0 1 1 0 0 0 0 0 1 0 1 1 1 0 0 0 1 1 1 0 1 0 0 0 0 0 1 1 0 1 0 1 0 0 0 0 0 1]\n[0 0 0 0 0 0 0 0 0 0 0 0 0 0 0 0 0 0 0 0 0 0 0 0 0 0 0 0 0 0 0 0 1 0 0 1 1 0 0 1\n    0 0 1 1 0 1 0 1 0 0 0 0 0 1 1 1 1 0 0 0 0 0 1 0 1 0 1 1 0 0 1 0 1 1 1 1 1 1]\n[0 0 0 0 0 0 0 0 0 0 0 0 0 0 0 0 0 0 0 0 0 0 0 0 0 0 0 0 0 0 0 0 0 1 0 1 0 1 0 1\n    0 0 0 1 1 1 1 1 1 1 0 1 1 0 0 0 0 0 1 1 0 1 1 1 1 1 1 1 0 0 0 1 0 0 0 0 0 0]\n[0 0 0 0 0 0 0 0 0 0 0 0 0 0 0 0 0 0 0 0 0 0 0 0 0 0 0 0 0 0 0 0 0 0 1 0 0 0 1 1\n    1 1 1 1 0 0 1 1 0 0 1 0 0 1 0 1 0 1 0 0 1 0 0 1 1 0 0 1 1 1 1 1 0 1 0 1 0 1]\n[[39, 4]] quantum code over GF(2^2), stabilised by:\n[1 0 0 0 0 0 0 0 0 0 0 0 0 0 0 0 0 $.1 $.1 0 $.1 $.1 $.1^2 $.1 $.1 1 1 $.1^2 $.1\n    $.1 $.1^2 $.1 1 $.1^2 0 $.1^2 $.1 0 $.1^2]\n[$.1 0 0 0 0 0 0 0 0 0 0 0 0 0 0 0 0 0 $.1 1 $.1^2 $.1^2 $.1 0 $.1^2 1 0 1 0 0 0\n    1 0 1 $.1^2 0 $.1 $.1^2 $.1^2]\n[0 1 0 0 0 0 0 0 0 0 0 0 0 0 0 0 0 $.1 $.1^2 1 $.1^2 0 $.1 0 $.1^2 $.1 0 1 $.1^2\n    $.1 $.1^2 $.1^2 $.1^2 $.1 $.1^2 $.1 0 1 1]\n[0 $.1 0 0 0 0 0 0 0 0 0 0 0 0 0 0 0 0 $.1^2 1 0 $.1^2 0 $.1^2 $.1^2 $.1 1 $.1^2\n    $.1^2 $.1 $.1 $.1 1 0 1 $.1 1 1 1]\n[0 0 1 0 0 0 0 0 0 0 0 0 0 0 0 0 0 $.1 0 $.1^2 $.1^2 1 $.1^2 0 $.1 $.1 $.1^2 \n    $.1^2 $.1^2 1 1 1 $.1 0 $.1 0 0 0 $.1]\n[0 0 $.1 0 0 0 0 0 0 0 0 0 0 0 0 0 0 $.1 $.1 $.1^2 $.1^2 $.1 0 $.1 1 $.1 $.1^2 \n    $.1 1 1 1 0 $.1^2 $.1 0 $.1 0 1 $.1]\n[0 0 0 1 0 0 0 0 0 0 0 0 0 0 0 0 0 0 1 $.1^2 $.1 $.1^2 $.1 $.1 $.1^2 $.1^2 $.1 0\n    1 1 $.1^2 $.1^2 1 $.1 0 $.1^2 1 $.1^2 $.1]\n[0 0 0 $.1 0 0 0 0 0 0 0 0 0 0 0 0 0 0 1 1 $.1 $.1^2 1 1 1 0 $.1 0 0 $.1^2 $.1^2\n    $.1^2 0 $.1^2 $.1 1 $.1^2 $.1^2 $.1^2]\n[0 0 0 0 1 0 0 0 0 0 0 0 0 0 0 0 0 $.1 1 $.1 0 0 $.1^2 1 $.1^2 $.1^2 $.1 $.1 0 1\n    0 $.1^2 $.1 $.1 $.1 $.1 0 $.1 $.1]\n[0 0 0 0 $.1 0 0 0 0 0 0 0 0 0 0 0 0 $.1 1 $.1 $.1 0 $.1^2 $.1 0 1 1 $.1 0 0 $.1\n    $.1^2 $.1 $.1^2 $.1^2 0 $.1 0 $.1]\n[0 0 0 0 0 1 0 0 0 0 0 0 0 0 0 0 0 $.1 $.1^2 $.1 1 $.1 0 0 0 $.1^2 $.1 $.1 $.1 0\n    0 0 $.1 1 $.1 0 1 $.1^2 $.1^2]\n[0 0 0 0 0 $.1 0 0 0 0 0 0 0 0 0 0 0 0 1 $.1 $.1^2 $.1 $.1^2 $.1 1 1 1 $.1 0 $.1\n    $.1 0 $.1^2 $.1 $.1^2 $.1 1 1 $.1]\n[0 0 0 0 0 0 1 0 0 0 0 0 0 0 0 0 0 $.1 $.1^2 0 1 $.1^2 $.1 $.1^2 1 0 $.1 $.1 $.1\n    $.1 1 0 1 1 1 0 $.1^2 $.1 $.1]\n[0 0 0 0 0 0 $.1 0 0 0 0 0 0 0 0 0 0 $.1 1 $.1 1 1 $.1 0 $.1^2 1 0 1 $.1 0 $.1^2\n    $.1 1 0 $.1 1 1 $.1 0]\n[0 0 0 0 0 0 0 1 0 0 0 0 0 0 0 0 0 0 1 0 1 1 0 $.1^2 0 0 0 1 0 0 0 $.1^2 0 1 1 0\n    1 0 0]\n[0 0 0 0 0 0 0 $.1 0 0 0 0 0 0 0 0 0 0 $.1 1 $.1 1 1 $.1 0 $.1^2 1 0 1 $.1 0 \n    $.1^2 $.1 1 0 $.1 1 1 $.1]\n[0 0 0 0 0 0 0 0 1 0 0 0 0 0 0 0 0 0 0 1 0 1 1 0 $.1^2 0 0 0 1 0 0 0 $.1^2 0 1 1\n    0 1 0]\n[0 0 0 0 0 0 0 0 $.1 0 0 0 0 0 0 0 0 $.1 1 1 $.1 0 1 $.1 $.1^2 0 $.1 1 0 1 $.1^2\n    0 $.1 1 1 $.1 1 $.1 0]\n[0 0 0 0 0 0 0 0 0 1 0 0 0 0 0 0 0 0 0 0 1 0 1 1 0 $.1^2 0 0 0 1 0 0 0 $.1^2 0 1\n    1 0 1]\n[0 0 0 0 0 0 0 0 0 $.1 0 0 0 0 0 0 0 0 $.1 1 1 $.1 0 1 $.1 $.1^2 0 $.1 1 0 1 \n    $.1^2 0 $.1 1 1 $.1 1 $.1]\n[0 0 0 0 0 0 0 0 0 0 1 0 0 0 0 0 0 0 0 0 0 1 0 1 1 0 $.1^2 0 0 0 1 0 0 0 $.1^2 0\n    1 1 0]\n[0 0 0 0 0 0 0 0 0 0 $.1 0 0 0 0 0 0 $.1 1 1 $.1 $.1^2 $.1 $.1^2 0 $.1 $.1 0 $.1\n    1 1 1 $.1 $.1^2 $.1 $.1^2 $.1 1 0]\n[0 0 0 0 0 0 0 0 0 0 0 1 0 0 0 0 0 $.1 $.1 0 $.1 $.1 $.1 $.1 $.1^2 0 1 0 $.1 $.1\n    $.1^2 $.1^2 1 $.1^2 0 0 $.1 1 $.1]\n[0 0 0 0 0 0 0 0 0 0 0 $.1 0 0 0 0 0 0 $.1 1 1 $.1 $.1^2 $.1 $.1^2 0 $.1 $.1 0 \n    $.1 1 1 1 $.1 $.1^2 $.1 $.1^2 $.1 1]\n[0 0 0 0 0 0 0 0 0 0 0 0 1 0 0 0 0 $.1 $.1^2 1 $.1^2 0 $.1 1 $.1^2 $.1^2 1 1 0 \n    $.1 $.1^2 $.1^2 $.1 $.1 $.1^2 $.1 $.1^2 1 0]\n[0 0 0 0 0 0 0 0 0 0 0 0 $.1 0 0 0 0 0 0 $.1 1 1 $.1 $.1^2 $.1 $.1^2 0 $.1 $.1 0\n    $.1 1 1 1 $.1 $.1^2 $.1 $.1^2 $.1]\n[0 0 0 0 0 0 0 0 0 0 0 0 0 1 0 0 0 0 $.1 $.1^2 1 $.1^2 0 $.1 1 $.1^2 $.1^2 1 1 0\n    $.1 $.1^2 $.1^2 $.1 $.1 $.1^2 $.1 $.1^2 1]\n[0 0 0 0 0 0 0 0 0 0 0 0 0 $.1 0 0 0 0 $.1^2 $.1^2 $.1^2 1 $.1 $.1^2 0 $.1^2 \n    $.1^2 $.1^2 0 0 $.1 0 1 1 1 $.1^2 $.1 1 1]\n[0 0 0 0 0 0 0 0 0 0 0 0 0 0 1 0 0 0 0 $.1 $.1^2 1 $.1^2 0 $.1 1 $.1^2 $.1^2 1 1\n    0 $.1 $.1^2 $.1^2 $.1 $.1 $.1^2 $.1 $.1^2]\n[0 0 0 0 0 0 0 0 0 0 0 0 0 0 $.1 0 0 0 0 $.1^2 $.1^2 $.1^2 1 $.1 $.1^2 0 $.1^2 \n    $.1^2 $.1^2 0 0 $.1 0 1 1 1 $.1^2 $.1 1]\n[0 0 0 0 0 0 0 0 0 0 0 0 0 0 0 1 0 0 $.1^2 $.1^2 $.1^2 $.1^2 $.1 $.1 $.1^2 $.1^2\n    1 0 1 $.1^2 $.1^2 $.1 $.1 $.1^2 $.1^2 $.1^2 $.1^2 0 0]\n[0 0 0 0 0 0 0 0 0 0 0 0 0 0 0 $.1 0 $.1 $.1 0 1 1 0 $.1^2 0 $.1 1 0 1 1 $.1^2 \n    $.1 $.1^2 $.1^2 1 $.1 $.1^2 $.1^2 1]\n[0 0 0 0 0 0 0 0 0 0 0 0 0 0 0 0 1 $.1 $.1 $.1^2 1 1 0 0 0 $.1 $.1 $.1 $.1 $.1^2\n    0 1 $.1^2 1 $.1^2 0 1 $.1^2 $.1^2]\n[0 0 0 0 0 0 0 0 0 0 0 0 0 0 0 0 $.1 $.1 0 $.1 $.1 $.1^2 $.1 $.1 1 1 $.1^2 $.1 \n    $.1 $.1^2 $.1 1 $.1^2 0 $.1^2 $.1 0 $.1^2 0]\n[0 0 0 0 0 0 0 0 0 0 0 0 0 0 0 0 0 $.1^2 $.1^2 1 0 $.1^2 1 $.1^2 1 0 $.1^2 $.1 \n    $.1 $.1 $.1 0 0 0 1 1 $.1^2 $.1 $.1]\nQuantum GF(2)-Additive code over GF(4) of length 39 with 43 generators.\nLower Bound: 1, Upper Bound: 19\nConstructed 2 distinct generator matrices\nTotal Ranks:     22  22 \nRelative Ranks:  22  17 \n(4 4 4 4 4 4 4 4 4 4 4 4 4 4 4 4 4 4 4 4 4 2 )\n(4 4 4 4 4 4 4 4 4 4 4 4 4 4 4 4 4 4 4 4 4 2 )\nTime Taken: 0.00\nStarting search for low weight codewords... (reset timings)\nEnumerating using 1 generator at a time:\n     New codeword identified of weight 14, time 0.00\n     New codeword identified of weight 11, time 0.00\n     New codeword identified of weight 10, time 0.00\n   Completed Matrix  1:  lower =  2, upper = 10. Elapsed: 0.00s\n     New codeword identified of weight 9, time 0.00\n   Completed Matrix  2:  lower =  2, upper =  9. Elapsed: 0.00s\nTermination predicted with 6 generators at matrix 2\nEnumerating using 2 generators at a time:\n   Completed Matrix  1:  lower =  3, upper =  9. Elapsed: 0.00s\n   Completed Matrix  2:  lower =  3, upper =  9. Elapsed: 0.00s\nTermination predicted with 6 generators at matrix 2\nEnumerating using 3 generators at a time:\n   Completed Matrix  1:  lower =  4, upper =  9. Elapsed: 0.00s\n   Completed Matrix  2:  lower =  4, upper =  9. Elapsed: 0.00s\nTermination predicted with 6 generators at matrix 2\nEnumerating using 4 generators at a time:\n   Completed Matrix  1:  lower =  5, upper =  9. Elapsed: 0.00s\n   Completed Matrix  2:  lower =  5, upper =  9. Elapsed: 0.00s\nTermination predicted with 6 generators at matrix 2\nEnumerating using 5 generators at a time:\n   Completed Matrix  1:  lower =  6, upper =  9. Elapsed: 0.03s\n   Completed Matrix  2:  lower =  7, upper =  9. Elapsed: 0.06s\nTermination predicted with 6 generators at matrix 2\nEnumerating using 6 generators at a time:\n   Completed Matrix  1:  lower =  8, upper =  9. Elapsed: 0.32s\n   Completed Matrix  2:  lower =  9, upper =  9. Elapsed: 0.57s\nComputation complete \nFinal Results: lower = 9, upper = 9,\nTotal CPU time: 0.57, real time: 0.573\n9\n\nTotal time: 0.590 seconds, Total memory usage: 32.09MB\n</t>
  </si>
  <si>
    <t>3.224313541999436</t>
  </si>
  <si>
    <t>Magma V2.28-26    Tue Dec 30 2025 12:10:52 on Marks-MacBook-Air-2 [Seed = \n989959073]\nType ? for help.  Type &lt;Ctrl&gt;-D to quit.\n[1 0 0 0 0 0 0 0 0 0 0 0 0 0 0 0 0 0 0 0 0 0 0 0 0 0 0 0 0 0 0 0 0 0 0 0 1 0 0 0\n    1 0 1 1 1 1 1 0 0 1 1 0 0 1 0 0 1 0 1 0 1 0 0 1 0 0 1 1 0 0 1 1 1 1 1 0 1 0 \n    1 0]\n[0 1 0 0 0 0 0 0 0 0 0 0 0 0 0 0 0 0 0 0 0 0 0 0 0 0 0 0 0 0 0 0 0 1 0 0 0 0 0 0\n    1 0 1 0 1 1 0 0 0 0 0 1 0 1 1 1 0 0 0 1 1 1 0 1 0 0 0 0 0 1 1 0 1 0 1 0 0 0 \n    0 0]\n[0 0 1 0 0 0 0 0 0 0 0 0 0 0 0 0 0 0 0 0 0 0 0 0 0 0 0 0 0 0 0 0 0 0 0 0 0 0 1 0\n    1 0 1 0 1 1 1 1 1 0 0 1 1 0 0 1 0 0 1 0 1 0 1 0 0 1 0 0 1 1 0 0 1 1 1 1 1 0 \n    1 0]\n[0 0 0 1 0 0 0 0 0 0 0 0 0 0 0 0 0 0 0 0 0 0 0 0 0 0 0 0 0 0 0 0 0 0 0 1 0 0 0 0\n    0 0 1 0 1 0 1 1 0 0 0 0 0 1 0 1 1 1 0 0 0 1 1 1 0 1 0 0 0 0 0 1 1 0 1 0 1 0 \n    0 0]\n[0 0 0 0 1 0 0 0 0 0 0 0 0 0 0 0 0 0 0 0 0 0 0 0 0 0 0 0 0 0 0 0 0 0 0 0 1 0 0 0\n    0 0 0 1 0 1 0 1 1 0 0 0 0 0 1 0 1 1 1 0 0 0 1 1 1 0 1 0 0 0 0 0 1 1 0 1 0 1 \n    0 0]\n[0 0 0 0 0 1 0 0 0 0 0 0 0 0 0 0 0 0 0 0 0 0 0 0 0 0 0 0 0 0 0 0 0 0 0 0 0 1 0 0\n    0 0 0 0 1 0 1 0 1 1 0 0 0 0 0 1 0 1 1 1 0 0 0 1 1 1 0 1 0 0 0 0 0 1 1 0 1 0 \n    1 0]\n[0 0 0 0 0 0 1 0 0 0 0 0 0 0 0 0 0 0 0 0 0 0 0 0 0 0 0 0 0 0 0 0 0 1 0 0 0 1 1 0\n    1 1 1 1 0 1 1 0 0 1 0 0 0 1 0 1 1 1 1 1 0 0 0 1 0 1 1 1 0 1 1 1 0 1 1 0 0 0 \n    0 0]\n[0 0 0 0 0 0 0 1 0 0 0 0 0 0 0 0 0 0 0 0 0 0 0 0 0 0 0 0 0 0 0 0 0 1 0 1 0 1 0 0\n    0 0 0 0 1 1 0 1 0 1 0 1 1 1 0 0 0 1 0 0 0 1 1 1 1 0 0 0 1 1 0 0 1 0 0 1 1 0 \n    1 0]\n[0 0 0 0 0 0 0 0 1 0 0 0 0 0 0 0 0 0 0 0 0 0 0 0 0 0 0 0 0 0 0 0 0 1 0 0 1 1 0 0\n    0 0 0 0 1 1 0 0 0 0 0 1 1 0 0 1 1 1 0 0 1 1 1 0 1 0 0 1 0 1 1 0 1 0 1 1 0 0 \n    1 0]\n[0 0 0 0 0 0 0 0 0 1 0 0 0 0 0 0 0 0 0 0 0 0 0 0 0 0 0 0 0 0 0 0 0 1 0 0 0 0 0 0\n    0 0 0 0 1 1 0 0 1 0 1 1 1 0 1 1 0 0 0 0 1 0 1 0 0 0 0 1 1 0 1 1 1 0 1 0 0 1 \n    1 0]\n[0 0 0 0 0 0 0 0 0 0 1 0 0 0 0 0 0 0 0 0 0 0 0 0 0 0 0 0 0 0 0 0 0 1 0 0 0 1 1 0\n    0 0 0 0 1 1 0 0 1 1 1 0 1 0 1 0 0 1 1 0 1 0 0 0 0 1 0 1 1 1 0 1 0 0 1 0 1 1 \n    0 0]\n[0 0 0 0 0 0 0 0 0 0 0 1 0 0 0 0 0 0 0 0 0 0 0 0 0 0 0 0 0 0 0 0 0 1 0 1 0 1 0 0\n    0 1 1 1 0 0 0 0 0 0 0 0 1 0 1 1 1 0 0 0 1 0 1 1 0 0 0 1 1 0 0 1 1 0 1 1 1 1 \n    0 0]\n[0 0 0 0 0 0 0 0 0 0 0 0 1 0 0 0 0 0 0 0 0 0 0 0 0 0 0 0 0 0 0 0 0 0 0 0 1 0 0 0\n    1 1 0 0 0 0 0 1 1 0 0 1 0 1 1 1 0 1 1 0 0 0 0 1 0 1 0 0 0 0 1 1 0 1 1 1 0 1 \n    0 0]\n[0 0 0 0 0 0 0 0 0 0 0 0 0 1 0 0 0 0 0 0 0 0 0 0 0 0 0 0 0 0 0 0 0 0 0 0 0 1 0 0\n    0 1 1 0 0 0 0 0 1 1 0 0 1 0 1 1 1 0 1 1 0 0 0 0 1 0 1 0 0 0 0 1 1 0 1 1 1 0 \n    1 0]\n[0 0 0 0 0 0 0 0 0 0 0 0 0 0 1 0 0 0 0 0 0 0 0 0 0 0 0 0 0 0 0 0 0 1 0 0 0 1 1 0\n    1 1 0 0 0 0 1 1 0 1 0 0 0 0 0 0 1 0 0 1 0 0 0 1 1 1 0 0 1 1 1 1 1 0 0 0 1 0 \n    0 0]\n[0 0 0 0 0 0 0 0 0 0 0 0 0 0 0 1 0 0 0 0 0 0 0 0 0 0 0 0 0 0 0 0 0 1 0 1 0 1 0 0\n    0 0 0 1 0 1 1 1 1 1 0 1 1 1 1 0 1 1 1 1 0 1 1 1 1 1 0 1 0 0 0 0 1 1 1 0 1 1 \n    1 0]\n[0 0 0 0 0 0 0 0 0 0 0 0 0 0 0 0 1 0 0 0 0 0 0 0 0 0 0 0 0 0 0 0 0 1 0 0 1 1 0 0\n    0 0 0 0 0 0 0 1 0 1 0 1 1 0 0 0 1 0 0 1 0 1 1 0 1 0 1 1 1 0 0 0 1 0 0 0 1 0 \n    0 0]\n[0 0 0 0 0 0 0 0 0 0 0 0 0 0 0 0 0 1 0 0 0 0 0 0 0 0 0 0 0 0 0 0 0 0 0 0 0 1 0 0\n    1 1 1 1 1 0 0 1 0 0 1 1 1 1 1 0 1 1 1 0 1 1 1 1 1 0 0 1 0 0 1 1 1 1 1 0 1 1 \n    1 0]\n[0 0 0 0 0 0 0 0 0 0 0 0 0 0 0 0 0 0 1 0 0 0 0 0 0 0 0 0 0 0 0 0 0 1 0 0 0 1 1 0\n    1 0 0 0 1 1 1 1 1 0 1 1 1 0 1 0 0 0 1 1 1 1 1 0 0 1 0 1 0 1 1 0 1 0 1 0 0 0 \n    1 0]\n[0 0 0 0 0 0 0 0 0 0 0 0 0 0 0 0 0 0 0 1 0 0 0 0 0 0 0 0 0 0 0 0 0 0 0 1 0 0 0 0\n    1 1 0 0 0 0 1 0 1 0 0 0 0 1 1 0 1 1 1 0 1 0 0 1 1 0 0 0 0 0 1 1 0 0 1 0 1 1 \n    1 0]\n[0 0 0 0 0 0 0 0 0 0 0 0 0 0 0 0 0 0 0 0 1 0 0 0 0 0 0 0 0 0 0 0 0 1 0 0 1 1 0 0\n    1 0 0 1 0 0 1 0 0 1 1 0 0 1 1 0 0 0 1 1 1 1 0 1 0 1 0 1 1 1 1 0 1 1 0 0 0 0 \n    1 0]\n[0 0 0 0 0 0 0 0 0 0 0 0 0 0 0 0 0 0 0 0 0 1 0 0 0 0 0 0 0 0 0 0 0 1 0 0 0 0 0 0\n    0 1 0 0 0 0 1 1 1 0 0 0 0 1 0 0 1 1 1 1 0 0 1 1 1 1 1 1 1 1 1 1 1 0 0 1 1 1 \n    1 0]\n[0 0 0 0 0 0 0 0 0 0 0 0 0 0 0 0 0 0 0 0 0 0 1 0 0 0 0 0 0 0 0 0 0 1 0 0 0 1 1 0\n    0 0 1 0 1 0 1 1 0 1 1 1 0 1 0 1 1 0 0 1 0 1 0 0 1 0 1 0 1 1 1 1 0 0 1 1 0 0 \n    0 0]\n[0 0 0 0 0 0 0 0 0 0 0 0 0 0 0 0 0 0 0 0 0 0 0 1 0 0 0 0 0 0 0 0 0 1 0 1 0 1 0 0\n    0 1 1 0 0 0 1 1 1 1 0 0 0 1 0 0 0 1 1 1 0 1 0 1 0 1 1 0 0 0 0 0 1 0 1 1 0 0 \n    1 0]\n[0 0 0 0 0 0 0 0 0 0 0 0 0 0 0 0 0 0 0 0 0 0 0 0 1 0 0 0 0 0 0 0 0 1 0 0 1 1 0 0\n    0 0 1 1 1 0 1 1 0 1 0 1 0 1 0 1 1 1 0 1 0 1 1 1 1 1 1 0 0 0 0 0 1 0 1 0 0 1 \n    1 0]\n[0 0 0 0 0 0 0 0 0 0 0 0 0 0 0 0 0 0 0 0 0 0 0 0 0 1 0 0 0 0 0 0 0 1 0 0 0 0 0 0\n    0 0 0 1 0 1 1 1 0 0 0 1 1 1 0 1 0 0 0 0 0 1 1 0 1 0 1 0 0 0 0 0 1 0 1 0 1 1 \n    0 0]\n[0 0 0 0 0 0 0 0 0 0 0 0 0 0 0 0 0 0 0 0 0 0 0 0 0 0 1 0 0 0 0 0 0 0 0 0 0 0 1 0\n    1 1 1 1 0 0 1 0 0 0 0 1 1 1 0 0 0 0 1 0 0 1 1 1 1 0 0 1 1 1 1 1 1 1 1 1 1 1 \n    0 0]\n[0 0 0 0 0 0 0 0 0 0 0 0 0 0 0 0 0 0 0 0 0 0 0 0 0 0 0 1 0 0 0 0 0 1 0 1 0 1 0 0\n    1 1 1 1 0 1 1 0 1 1 1 0 0 0 1 0 0 0 0 0 1 0 0 0 0 0 1 1 0 1 1 1 0 1 1 1 1 1 \n    1 0]\n[0 0 0 0 0 0 0 0 0 0 0 0 0 0 0 0 0 0 0 0 0 0 0 0 0 0 0 0 1 0 0 0 0 1 0 0 1 1 0 0\n    0 1 1 1 0 0 0 1 1 1 0 0 0 1 1 0 1 1 1 0 1 0 0 1 0 1 0 0 1 0 1 1 0 1 0 0 0 0 \n    0 0]\n[0 0 0 0 0 0 0 0 0 0 0 0 0 0 0 0 0 0 0 0 0 0 0 0 0 0 0 0 0 1 0 0 0 0 0 0 0 1 0 0\n    1 1 0 0 0 0 0 1 0 1 1 1 0 0 0 1 1 1 0 1 0 0 0 0 0 1 1 0 1 0 1 0 0 0 0 0 1 0 \n    1 0]\n[0 0 0 0 0 0 0 0 0 0 0 0 0 0 0 0 0 0 0 0 0 0 0 0 0 0 0 0 0 0 1 0 0 1 0 0 0 1 1 0\n    1 0 0 1 0 0 1 1 1 0 0 1 1 1 0 1 1 0 1 0 0 0 0 1 1 0 1 0 1 0 1 0 0 1 0 1 0 0 \n    0 0]\n[0 0 0 0 0 0 0 0 0 0 0 0 0 0 0 0 0 0 0 0 0 0 0 0 0 0 0 0 0 0 0 1 0 1 0 1 0 1 0 0\n    0 0 1 1 1 1 1 1 1 0 1 1 0 0 0 0 0 1 1 0 1 1 1 1 1 1 1 0 0 0 1 0 0 0 0 0 0 0 \n    1 0]\n[0 0 0 0 0 0 0 0 0 0 0 0 0 0 0 0 0 0 0 0 0 0 0 0 0 0 0 0 0 0 0 0 1 1 0 0 1 1 0 0\n    0 0 0 1 0 1 0 1 0 1 1 0 1 1 1 1 1 1 0 1 1 0 1 0 1 0 1 0 0 0 0 1 1 1 1 1 1 1 \n    1 0]\n[0 0 0 0 0 0 0 0 0 0 0 0 0 0 0 0 0 0 0 0 0 0 0 0 0 0 0 0 0 0 0 0 0 0 1 0 0 0 1 0\n    1 1 1 1 1 0 0 1 1 0 0 1 0 0 1 0 1 0 1 0 0 1 0 0 1 1 0 0 1 1 1 1 1 0 1 0 1 0 \n    1 0]\n[0 0 0 0 0 0 0 0 0 0 0 0 0 0 0 0 0 0 0 0 0 0 0 0 0 0 0 0 0 0 0 0 0 0 0 0 0 0 0 1\n    0 0 0 0 0 0 0 0 0 0 0 0 0 0 0 0 0 0 0 0 0 0 0 0 0 0 0 0 0 0 0 0 0 0 0 0 0 0 \n    0 0]\n[[40, 5]] quantum code over GF(2^2), stabilised by:\n[1 0 0 0 0 0 0 0 0 0 0 0 0 0 0 0 0 $.1 $.1 0 $.1 $.1 $.1^2 $.1 $.1 1 1 $.1^2 $.1\n    $.1 $.1^2 $.1 1 $.1^2 0 $.1^2 $.1 0 $.1^2 0]\n[$.1 0 0 0 0 0 0 0 0 0 0 0 0 0 0 0 0 $.1^2 1 0 $.1^2 0 $.1^2 $.1^2 $.1 1 $.1^2 \n    $.1^2 $.1 $.1 $.1 1 0 1 $.1 1 1 1 1 0]\n[0 1 0 0 0 0 0 0 0 0 0 0 0 0 0 0 0 1 0 0 $.1^2 $.1^2 $.1^2 $.1^2 $.1 $.1 $.1^2 \n    $.1^2 1 0 1 $.1^2 $.1^2 $.1 $.1 $.1^2 $.1^2 $.1^2 $.1^2 0]\n[0 $.1 0 0 0 0 0 0 0 0 0 0 0 0 0 0 0 $.1^2 0 0 0 0 1 0 $.1 $.1 $.1 1 1 0 0 $.1 1\n    0 0 $.1^2 $.1 $.1^2 $.1^2 0]\n[0 0 1 0 0 0 0 0 0 0 0 0 0 0 0 0 0 1 $.1^2 $.1 $.1^2 $.1 $.1 $.1^2 $.1^2 $.1 0 1\n    1 $.1^2 $.1^2 1 $.1 0 $.1^2 1 $.1^2 $.1 0 0]\n[0 0 $.1 0 0 0 0 0 0 0 0 0 0 0 0 0 0 1 1 $.1 $.1^2 1 1 1 0 $.1 0 0 $.1^2 $.1^2 \n    $.1^2 0 $.1^2 $.1 1 $.1^2 $.1^2 $.1^2 0 0]\n[0 0 0 1 0 0 0 0 0 0 0 0 0 0 0 0 0 0 1 $.1^2 $.1 $.1^2 $.1 $.1 $.1^2 $.1^2 $.1 0\n    1 1 $.1^2 $.1^2 1 $.1 0 $.1^2 1 $.1^2 $.1 0]\n[0 0 0 $.1 0 0 0 0 0 0 0 0 0 0 0 0 0 0 1 1 $.1 $.1^2 1 1 1 0 $.1 0 0 $.1^2 $.1^2\n    $.1^2 0 $.1^2 $.1 1 $.1^2 $.1^2 $.1^2 0]\n[0 0 0 0 1 0 0 0 0 0 0 0 0 0 0 0 0 $.1 1 $.1 0 0 $.1^2 1 $.1^2 $.1^2 $.1 $.1 0 1\n    0 $.1^2 $.1 $.1 $.1 $.1 0 $.1 $.1 0]\n[0 0 0 0 $.1 0 0 0 0 0 0 0 0 0 0 0 0 1 $.1 $.1^2 $.1 $.1^2 $.1 1 1 1 $.1 0 $.1 \n    $.1 0 $.1^2 $.1 $.1^2 $.1 1 1 $.1 0 0]\n[0 0 0 0 0 1 0 0 0 0 0 0 0 0 0 0 0 $.1 $.1^2 $.1 1 $.1 0 0 0 $.1^2 $.1 $.1 $.1 0\n    0 0 $.1 1 $.1 0 1 $.1^2 $.1^2 0]\n[0 0 0 0 0 $.1 0 0 0 0 0 0 0 0 0 0 0 0 1 $.1 $.1^2 $.1 $.1^2 $.1 1 1 1 $.1 0 $.1\n    $.1 0 $.1^2 $.1 $.1^2 $.1 1 1 $.1 0]\n[0 0 0 0 0 0 1 0 0 0 0 0 0 0 0 0 0 1 0 1 1 0 $.1^2 0 0 0 1 0 0 0 $.1^2 0 1 1 0 1\n    0 0 0 0]\n[0 0 0 0 0 0 $.1 0 0 0 0 0 0 0 0 0 0 $.1 1 $.1 1 1 $.1 0 $.1^2 1 0 1 $.1 0 $.1^2\n    $.1 1 0 $.1 1 1 $.1 0 0]\n[0 0 0 0 0 0 0 1 0 0 0 0 0 0 0 0 0 0 1 0 1 1 0 $.1^2 0 0 0 1 0 0 0 $.1^2 0 1 1 0\n    1 0 0 0]\n[0 0 0 0 0 0 0 $.1 0 0 0 0 0 0 0 0 0 0 $.1 1 $.1 1 1 $.1 0 $.1^2 1 0 1 $.1 0 \n    $.1^2 $.1 1 0 $.1 1 1 $.1 0]\n[0 0 0 0 0 0 0 0 1 0 0 0 0 0 0 0 0 0 0 1 0 1 1 0 $.1^2 0 0 0 1 0 0 0 $.1^2 0 1 1\n    0 1 0 0]\n[0 0 0 0 0 0 0 0 $.1 0 0 0 0 0 0 0 0 $.1 1 1 $.1 0 1 $.1 $.1^2 0 $.1 1 0 1 $.1^2\n    0 $.1 1 1 $.1 1 $.1 0 0]\n[0 0 0 0 0 0 0 0 0 1 0 0 0 0 0 0 0 0 0 0 1 0 1 1 0 $.1^2 0 0 0 1 0 0 0 $.1^2 0 1\n    1 0 1 0]\n[0 0 0 0 0 0 0 0 0 $.1 0 0 0 0 0 0 0 0 $.1 1 1 $.1 0 1 $.1 $.1^2 0 $.1 1 0 1 \n    $.1^2 0 $.1 1 1 $.1 1 $.1 0]\n[0 0 0 0 0 0 0 0 0 0 1 0 0 0 0 0 0 $.1^2 $.1^2 1 0 $.1 1 $.1 0 0 0 $.1 $.1 $.1 \n    $.1^2 0 0 0 $.1 1 $.1 $.1^2 $.1 0]\n[0 0 0 0 0 0 0 0 0 0 $.1 0 0 0 0 0 0 $.1 1 1 $.1 $.1^2 $.1 $.1^2 0 $.1 $.1 0 $.1\n    1 1 1 $.1 $.1^2 $.1 $.1^2 $.1 1 0 0]\n[0 0 0 0 0 0 0 0 0 0 0 1 0 0 0 0 0 $.1 $.1 0 $.1 $.1 $.1 $.1 $.1^2 0 1 0 $.1 $.1\n    $.1^2 $.1^2 1 $.1^2 0 0 $.1 1 $.1 0]\n[0 0 0 0 0 0 0 0 0 0 0 $.1 0 0 0 0 0 0 $.1 1 1 $.1 $.1^2 $.1 $.1^2 0 $.1 $.1 0 \n    $.1 1 1 1 $.1 $.1^2 $.1 $.1^2 $.1 1 0]\n[0 0 0 0 0 0 0 0 0 0 0 0 1 0 0 0 0 $.1 $.1^2 1 $.1^2 0 $.1 1 $.1^2 $.1^2 1 1 0 \n    $.1 $.1^2 $.1^2 $.1 $.1 $.1^2 $.1 $.1^2 1 0 0]\n[0 0 0 0 0 0 0 0 0 0 0 0 $.1 0 0 0 0 $.1^2 $.1^2 $.1^2 1 $.1 $.1^2 0 $.1^2 $.1^2\n    $.1^2 0 0 $.1 0 1 1 1 $.1^2 $.1 1 1 0 0]\n[0 0 0 0 0 0 0 0 0 0 0 0 0 1 0 0 0 0 $.1 $.1^2 1 $.1^2 0 $.1 1 $.1^2 $.1^2 1 1 0\n    $.1 $.1^2 $.1^2 $.1 $.1 $.1^2 $.1 $.1^2 1 0]\n[0 0 0 0 0 0 0 0 0 0 0 0 0 $.1 0 0 0 0 $.1^2 $.1^2 $.1^2 1 $.1 $.1^2 0 $.1^2 \n    $.1^2 $.1^2 0 0 $.1 0 1 1 1 $.1^2 $.1 1 1 0]\n[0 0 0 0 0 0 0 0 0 0 0 0 0 0 1 0 0 $.1^2 $.1^2 $.1^2 $.1^2 $.1 $.1 $.1^2 $.1^2 1\n    0 1 $.1^2 $.1^2 $.1 $.1 $.1^2 $.1^2 $.1^2 $.1^2 0 0 1 0]\n[0 0 0 0 0 0 0 0 0 0 0 0 0 0 $.1 0 0 $.1^2 $.1^2 $.1 $.1^2 0 0 1 $.1 0 0 1 1 $.1\n    $.1 $.1 0 1 0 0 0 0 $.1^2 0]\n[0 0 0 0 0 0 0 0 0 0 0 0 0 0 0 1 0 $.1^2 0 $.1 $.1^2 0 $.1^2 1 $.1 $.1^2 $.1 $.1\n    $.1^2 1 1 $.1 $.1 $.1^2 $.1 $.1 0 $.1 $.1 0]\n[0 0 0 0 0 0 0 0 0 0 0 0 0 0 0 $.1 0 1 1 1 1 $.1 1 0 1 $.1 $.1 $.1 $.1^2 $.1^2 1\n    $.1 $.1^2 $.1^2 0 $.1^2 0 1 $.1^2 0]\n[0 0 0 0 0 0 0 0 0 0 0 0 0 0 0 0 1 $.1 $.1 $.1^2 1 1 0 0 0 $.1 $.1 $.1 $.1 $.1^2\n    0 1 $.1^2 1 $.1^2 0 1 $.1^2 $.1^2 0]\n[0 0 0 0 0 0 0 0 0 0 0 0 0 0 0 0 $.1 1 $.1^2 $.1^2 $.1 0 $.1^2 1 0 1 0 0 0 1 0 1\n    $.1^2 0 $.1 $.1^2 $.1^2 1 $.1 0]\n[0 0 0 0 0 0 0 0 0 0 0 0 0 0 0 0 0 0 0 0 0 0 0 0 0 0 0 0 0 0 0 0 0 0 0 0 0 0 0 \n    1]\nQuantum GF(2)-Additive code over GF(4) of length 40 with 45 generators.\nLower Bound: 1, Upper Bound: 19\nConstructed 2 distinct generator matrices\nTotal Ranks:     23  23 \nRelative Ranks:  23  17 \n(4 4 4 4 4 4 4 4 4 4 4 2 4 4 4 4 4 4 4 4 4 4 4 )\n(4 4 4 4 4 4 4 4 4 4 4 4 4 4 4 4 4 4 4 4 4 4 2 )\nTime Taken: 0.00\nStarting search for low weight codewords... (reset timings)\nEnumerating using 1 generator at a time:\n     New codeword identified of weight 16, time 0.00\n     New codeword identified of weight 12, time 0.00\n     New codeword identified of weight 10, time 0.00\n     Impurity detected of weight 1,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0.01s\n   Completed Matrix  2:  lower =  5, upper =  9. Elapsed: 0.01s\nTermination predicted with 7 generators at matrix 1\nEnumerating using 5 generators at a time:\n   Completed Matrix  1:  lower =  6, upper =  9. Elapsed: 0.05s\n   Completed Matrix  2:  lower =  6, upper =  9. Elapsed: 0.09s\nTermination predicted with 7 generators at matrix 1\nEnumerating using 6 generators at a time:\n   Completed Matrix  1:  lower =  7, upper =  9. Elapsed: 0.43s\n   Completed Matrix  2:  lower =  8, upper =  9. Elapsed: 0.77s\nTermination predicted at 3 s with 7 generators at matrix 1\nEnumerating using 7 generators at a time:\n   Completed Matrix  1:  lower =  9, upper =  9. Elapsed: 3.16s\nComputation complete \nFinal Results: lower = 9, upper = 9,\nTotal CPU time: 3.16, real time: 3.167\n9\n\nTotal time: 3.180 seconds, Total memory usage: 32.09MB\n</t>
  </si>
  <si>
    <t>0.6267612500087125</t>
  </si>
  <si>
    <t>Magma V2.28-26    Tue Dec 30 2025 12:10:55 on Marks-MacBook-Air-2 [Seed = \n588876730]\nType ? for help.  Type &lt;Ctrl&gt;-D to quit.\n[1 0 0 0 0 0 0 0 0 0 0 0 0 0 0 0 0 0 0 0 0 0 0 0 0 0 0 0 0 0 0 0 0 0 0 0 0 1 1 1\n    0 0 0 0 0 1 1 0 0 1 1 0 1 1 0 0 0 0 0 0 0 0 0 0 0 0 1 0 0 1 1 0 1 1 1 1 1 1 \n    0 0 0 1]\n[0 1 0 0 0 0 0 0 0 0 0 0 0 0 0 0 0 0 0 0 0 0 0 0 0 0 0 0 0 0 0 0 0 0 0 0 0 0 1 1\n    1 0 0 1 0 1 0 0 0 0 0 1 1 0 0 0 0 1 0 1 1 1 0 0 1 0 1 0 1 0 1 0 0 0 0 0 1 1 \n    0 0 1 1]\n[0 0 1 0 0 0 0 0 0 0 0 0 0 0 0 0 0 0 0 0 0 0 0 0 0 0 0 0 0 0 0 0 0 0 0 0 0 1 0 0\n    0 0 0 0 0 0 1 1 0 1 0 1 1 1 1 0 0 0 0 1 1 0 1 0 0 0 0 0 0 1 1 0 1 0 0 0 0 0 \n    0 0 0 1]\n[0 0 0 1 0 0 0 0 0 0 0 0 0 0 0 0 0 0 0 0 0 0 0 0 0 0 0 0 0 0 0 0 0 0 0 0 0 0 1 0\n    0 0 0 1 0 1 1 0 1 0 0 0 0 0 0 1 0 1 0 1 0 0 0 1 1 0 1 1 1 0 1 0 0 0 1 1 0 0 \n    1 0 1 1]\n[0 0 0 0 1 0 0 0 0 0 0 0 0 0 0 0 0 0 0 0 0 0 0 0 0 0 0 0 0 0 0 0 0 0 0 0 0 0 0 1\n    0 0 0 1 1 1 0 0 0 1 1 0 1 1 1 0 1 1 1 1 0 1 0 0 0 1 1 0 0 1 0 0 0 1 1 0 1 0 \n    1 1 1 0]\n[0 0 0 0 0 1 0 0 0 0 0 0 0 0 0 0 0 0 0 0 0 0 0 0 0 0 0 0 0 0 0 0 0 0 0 0 0 0 0 0\n    1 0 0 0 1 1 1 0 0 0 1 1 0 1 1 1 0 1 1 1 1 0 1 0 0 0 1 1 0 0 1 0 0 0 1 1 0 1 \n    0 1 1 1]\n[0 0 0 0 0 0 1 0 0 0 0 0 0 0 0 0 0 0 0 0 0 0 0 0 0 0 0 0 0 0 0 0 0 0 0 0 0 1 0 1\n    1 0 0 0 1 1 1 0 0 1 0 0 1 0 0 1 1 0 0 0 1 0 0 1 0 1 0 0 1 0 1 0 1 0 0 1 1 1 \n    0 0 1 1]\n[0 0 0 0 0 0 0 1 0 0 0 0 0 0 0 0 0 0 0 0 0 0 0 0 0 0 0 0 0 0 0 0 0 0 0 0 0 1 1 1\n    0 0 0 0 1 1 1 0 0 1 1 1 0 1 1 0 1 1 1 1 0 0 0 0 1 1 1 1 0 1 1 0 1 1 0 0 1 0 \n    0 0 0 1]\n[0 0 0 0 0 0 0 0 1 0 0 0 0 0 0 0 0 0 0 0 0 0 0 0 0 0 0 0 0 0 0 0 0 0 0 0 0 0 1 1\n    1 0 0 1 0 0 0 0 0 0 0 1 0 1 0 1 0 0 1 0 0 1 0 0 1 1 0 0 0 0 1 0 0 0 0 1 0 1 \n    1 0 1 1]\n[0 0 0 0 0 0 0 0 0 1 0 0 0 0 0 0 0 0 0 0 0 0 0 0 0 0 0 0 0 0 0 0 0 0 0 0 0 1 0 0\n    0 0 0 0 0 0 0 1 0 1 0 1 1 0 0 0 1 0 1 0 0 1 1 0 0 0 1 1 0 0 1 0 1 0 0 0 1 1 \n    0 1 0 1]\n[0 0 0 0 0 0 0 0 0 0 1 0 0 0 0 0 0 0 0 0 0 0 0 0 0 0 0 0 0 0 0 0 0 0 0 0 0 0 1 0\n    0 0 0 1 0 1 1 1 1 0 0 0 0 0 1 0 0 0 0 0 1 1 1 1 1 0 1 0 0 0 0 0 0 0 1 1 0 1 \n    0 0 0 1]\n[0 0 0 0 0 0 0 0 0 0 0 1 0 0 0 0 0 0 0 0 0 0 0 0 0 0 0 0 0 0 0 0 0 0 0 0 0 0 0 1\n    0 0 0 1 1 1 0 0 1 1 1 0 1 1 1 1 0 1 0 1 1 0 1 1 0 1 1 0 1 0 0 1 0 1 1 0 1 0 \n    0 0 1 1]\n[0 0 0 0 0 0 0 0 0 0 0 0 1 0 0 0 0 0 0 0 0 0 0 0 0 0 0 0 0 0 0 0 0 0 0 0 0 0 0 0\n    1 0 0 1 1 0 0 1 0 1 0 1 1 0 0 1 1 1 1 1 0 0 0 1 0 0 0 0 1 1 0 1 1 1 0 0 0 1 \n    1 0 1 0]\n[0 0 0 0 0 0 0 0 0 0 0 0 0 1 0 0 0 0 0 0 0 0 0 0 0 0 0 0 0 0 0 0 0 0 0 0 0 1 0 1\n    1 0 0 1 0 0 1 0 1 1 0 1 0 0 0 0 1 0 0 1 0 0 0 0 0 1 1 0 1 1 0 0 0 0 0 1 0 1 \n    1 1 1 0]\n[0 0 0 0 0 0 0 0 0 0 0 0 0 0 1 0 0 0 0 0 0 0 0 0 0 0 0 0 0 0 0 0 0 0 0 0 0 1 1 1\n    0 0 0 1 0 1 1 1 0 0 0 1 0 1 0 0 0 0 1 0 0 0 0 0 1 1 0 1 1 1 0 0 1 1 1 1 1 1 \n    1 1 0 0]\n[0 0 0 0 0 0 0 0 0 0 0 0 0 0 0 1 0 0 0 0 0 0 0 0 0 0 0 0 0 0 0 0 0 0 0 0 0 0 1 1\n    1 0 0 0 1 0 1 1 1 0 0 0 1 0 1 0 0 0 0 1 0 0 0 0 0 1 1 0 1 1 1 0 0 1 1 1 1 1 \n    1 1 1 0]\n[0 0 0 0 0 0 0 0 0 0 0 0 0 0 0 0 1 0 0 0 0 0 0 0 0 0 0 0 0 0 0 0 0 0 0 0 0 1 0 0\n    0 0 0 1 1 0 1 1 1 0 1 1 1 0 0 1 0 1 1 0 0 0 0 0 1 1 0 1 1 1 0 1 1 1 0 0 1 0 \n    1 1 0 0]\n[0 0 0 0 0 0 0 0 0 0 0 0 0 0 0 0 0 1 0 0 0 0 0 0 0 0 0 0 0 0 0 0 0 0 0 0 0 0 1 0\n    0 0 0 0 1 1 0 1 1 1 0 1 1 1 0 0 1 0 1 1 0 0 0 0 0 1 1 0 1 1 1 0 1 1 1 0 0 1 \n    0 1 1 0]\n[0 0 0 0 0 0 0 0 0 0 0 0 0 0 0 0 0 0 1 0 0 0 0 0 0 0 0 0 0 0 0 0 0 0 0 0 0 0 0 1\n    0 0 0 0 0 1 1 0 1 1 1 0 1 1 1 0 0 1 0 1 1 0 0 0 0 0 1 1 0 1 1 1 0 1 1 1 0 0 \n    1 0 1 1]\n[0 0 0 0 0 0 0 0 0 0 0 0 0 0 0 0 0 0 0 1 0 0 0 0 0 0 0 0 0 0 0 0 0 0 0 0 0 0 0 0\n    1 0 0 1 0 1 0 0 0 1 0 1 1 0 0 1 0 1 1 1 0 0 0 0 1 0 1 0 0 0 1 0 1 1 0 0 1 0 \n    1 1 1 0]\n[0 0 0 0 0 0 0 0 0 0 0 0 0 0 0 0 0 0 0 0 1 0 0 0 0 0 0 0 0 0 0 0 0 0 0 0 0 1 0 1\n    1 0 0 1 0 1 0 0 0 1 0 1 0 0 0 0 1 1 0 1 0 0 0 0 1 0 1 1 1 0 1 1 1 0 0 1 0 0 \n    0 1 0 0]\n[0 0 0 0 0 0 0 0 0 0 0 0 0 0 0 0 0 0 0 0 0 1 0 0 0 0 0 0 0 0 0 0 0 0 0 0 0 1 1 1\n    0 0 0 1 0 1 0 0 0 1 0 1 0 1 0 0 0 0 0 0 0 0 0 0 1 0 1 1 0 1 1 1 0 0 1 1 1 1 \n    0 0 0 1]\n[0 0 0 0 0 0 0 0 0 0 0 0 0 0 0 0 0 0 0 0 0 0 1 0 0 0 0 0 0 0 0 0 0 0 0 0 0 0 1 1\n    1 0 0 1 1 1 0 1 0 0 0 0 0 1 0 0 0 1 0 1 1 1 0 0 1 1 1 0 0 0 1 0 1 1 1 0 1 1 \n    0 0 1 1]\n[0 0 0 0 0 0 0 0 0 0 0 0 0 0 0 0 0 0 0 0 0 0 0 1 0 0 0 0 0 0 0 0 0 0 0 0 0 1 0 0\n    0 0 0 0 0 1 1 1 1 1 0 1 0 0 0 0 0 0 0 1 1 0 1 0 0 0 1 0 0 0 1 0 1 1 1 1 0 0 \n    0 0 0 1]\n[0 0 0 0 0 0 0 0 0 0 0 0 0 0 0 0 0 0 0 0 0 0 0 0 1 0 0 0 0 0 0 0 0 0 0 0 0 0 1 0\n    0 0 0 1 0 1 0 0 1 1 0 0 0 1 1 0 0 1 0 1 0 0 0 1 1 0 1 0 1 0 0 0 0 0 0 0 1 0 \n    1 0 1 1]\n[0 0 0 0 0 0 0 0 0 0 0 0 0 0 0 0 0 0 0 0 0 0 0 0 0 1 0 0 0 0 0 0 0 0 0 0 0 0 0 1\n    0 0 0 1 1 1 0 1 0 1 0 0 1 1 0 1 0 1 1 1 0 1 0 0 0 1 1 0 1 1 0 1 0 1 1 1 0 1 \n    1 1 1 0]\n[0 0 0 0 0 0 0 0 0 0 0 0 0 0 0 0 0 0 0 0 0 0 0 0 0 0 1 0 0 0 0 0 0 0 0 0 0 0 0 0\n    1 0 0 0 1 1 1 0 1 0 1 0 0 1 1 0 1 0 1 1 1 0 1 0 0 0 1 1 0 1 1 0 1 0 1 1 1 0 \n    1 1 1 1]\n[0 0 0 0 0 0 0 0 0 0 0 0 0 0 0 0 0 0 0 0 0 0 0 0 0 0 0 1 0 0 0 0 0 0 0 0 0 1 0 1\n    1 0 0 0 1 1 1 0 0 0 0 0 0 0 0 1 0 1 1 0 1 0 0 1 0 1 0 0 1 0 0 0 1 1 0 1 1 0 \n    1 1 1 1]\n[0 0 0 0 0 0 0 0 0 0 0 0 0 0 0 0 0 0 0 0 0 0 0 0 0 0 0 0 1 0 0 0 0 0 0 0 0 1 1 1\n    0 0 0 0 1 1 1 0 0 1 0 1 0 0 1 0 1 0 0 0 0 0 0 0 1 1 1 1 0 1 1 1 1 1 1 0 1 0 \n    1 1 1 1]\n[0 0 0 0 0 0 0 0 0 0 0 0 0 0 0 0 0 0 0 0 0 0 0 0 0 0 0 0 0 1 0 0 0 0 0 0 0 0 1 1\n    1 0 0 1 0 0 0 0 0 0 0 0 0 1 1 1 0 0 0 1 1 1 0 0 1 1 0 0 0 0 1 0 1 0 0 0 0 1 \n    1 1 0 0]\n[0 0 0 0 0 0 0 0 0 0 0 0 0 0 0 0 0 0 0 0 0 0 0 0 0 0 0 0 0 0 1 0 0 0 0 0 0 1 0 0\n    0 0 0 1 0 1 1 0 0 1 1 1 1 1 1 1 1 1 1 0 0 1 1 0 1 0 0 0 1 0 1 1 1 0 1 1 0 1 \n    1 1 0 1]\n[0 0 0 0 0 0 0 0 0 0 0 0 0 0 0 0 0 0 0 0 0 0 0 0 0 0 0 0 0 0 0 1 0 0 0 0 0 0 1 0\n    0 0 0 1 1 1 0 0 0 0 0 1 0 0 0 1 1 0 1 0 1 1 1 1 1 1 1 1 1 1 0 0 1 0 1 0 1 0 \n    0 1 0 1]\n[0 0 0 0 0 0 0 0 0 0 0 0 0 0 0 0 0 0 0 0 0 0 0 0 0 0 0 0 0 0 0 0 1 0 0 0 0 0 0 1\n    0 0 0 1 1 0 0 1 0 0 1 0 0 1 1 0 1 0 0 0 1 0 1 1 0 1 0 0 0 1 1 1 0 0 1 0 0 1 \n    1 0 0 1]\n[0 0 0 0 0 0 0 0 0 0 0 0 0 0 0 0 0 0 0 0 0 0 0 0 0 0 0 0 0 0 0 0 0 1 0 0 0 0 0 0\n    1 0 0 1 1 0 1 1 1 0 1 1 1 1 0 1 0 0 0 1 1 0 0 1 0 0 0 1 1 0 1 0 1 1 1 0 0 0 \n    0 1 1 1]\n[0 0 0 0 0 0 0 0 0 0 0 0 0 0 0 0 0 0 0 0 0 0 0 0 0 0 0 0 0 0 0 0 0 0 1 0 0 1 0 1\n    1 0 0 0 0 1 0 0 1 0 0 0 1 1 0 0 1 0 1 1 1 0 0 0 1 1 0 1 1 1 1 0 1 1 1 1 0 1 \n    1 0 1 1]\n[0 0 0 0 0 0 0 0 0 0 0 0 0 0 0 0 0 0 0 0 0 0 0 0 0 0 0 0 0 0 0 0 0 0 0 1 0 1 1 1\n    0 0 0 0 1 0 1 1 0 0 0 1 0 1 0 0 0 1 1 0 1 0 0 0 0 0 1 1 1 1 0 0 1 1 1 1 1 1 \n    0 1 0 1]\n[0 0 0 0 0 0 0 0 0 0 0 0 0 0 0 0 0 0 0 0 0 0 0 0 0 0 0 0 0 0 0 0 0 0 0 0 1 0 1 1\n    1 0 0 1 0 0 1 0 1 0 1 0 0 1 0 0 0 1 1 0 1 0 0 0 1 0 1 0 0 1 1 1 0 0 0 0 1 1 \n    0 0 0 1]\n[0 0 0 0 0 0 0 0 0 0 0 0 0 0 0 0 0 0 0 0 0 0 0 0 0 0 0 0 0 0 0 0 0 0 0 0 0 0 0 0\n    0 1 0 1 1 1 0 0 1 0 1 1 1 0 0 1 0 1 1 1 0 0 1 0 1 1 1 0 0 1 0 1 1 1 0 0 1 0 \n    1 1 1 0]\n[0 0 0 0 0 0 0 0 0 0 0 0 0 0 0 0 0 0 0 0 0 0 0 0 0 0 0 0 0 0 0 0 0 0 0 0 0 0 0 0\n    0 0 1 0 1 1 1 0 0 1 0 1 1 1 0 0 1 0 1 1 1 0 0 1 0 1 1 1 0 0 1 0 1 1 1 0 0 1 \n    0 1 1 1]\n[[41, 2]] quantum code over GF(2^2), stabilised by:\n[1 0 0 0 0 0 0 0 0 0 0 0 0 0 1 1 1 0 1 0 0 0 0 0 0 0 1 1 0 $.1^2 0 1 $.1 $.1 $.1\n    1 $.1 $.1^2 0 1 0]\n[$.1 0 0 0 0 0 0 0 0 0 0 0 0 0 1 0 1 1 0 0 0 0 0 0 0 0 1 $.1 $.1^2 $.1 0 0 $.1 0\n    1 $.1^2 $.1^2 1 $.1^2 $.1^2 $.1^2]\n[0 1 0 0 0 0 0 0 0 0 0 0 0 0 0 1 1 1 0 1 0 0 0 0 0 0 0 1 1 0 $.1^2 0 1 $.1 $.1 \n    $.1 1 $.1 $.1^2 0 1]\n[0 $.1 0 0 0 0 0 0 0 0 0 0 0 0 1 1 1 0 1 0 0 0 0 0 0 0 $.1^2 $.1 $.1^2 $.1^2 \n    $.1^2 0 $.1 1 $.1 0 1 0 $.1^2 0 $.1^2]\n[0 0 1 0 0 0 0 0 0 0 0 0 0 0 1 0 0 0 1 0 1 0 0 0 0 $.1 $.1 1 $.1 0 1 $.1^2 1 1 \n    $.1 $.1 $.1 $.1^2 0 $.1^2 $.1^2]\n[0 0 $.1 0 0 0 0 0 0 0 0 0 0 0 1 1 0 0 0 1 0 0 0 0 0 0 $.1^2 0 $.1^2 $.1^2 $.1 \n    $.1^2 $.1 1 $.1^2 $.1^2 $.1 $.1 $.1 0 0]\n[0 0 0 1 0 0 0 0 0 0 0 0 0 0 1 1 1 1 0 1 0 1 0 0 0 0 1 1 0 $.1 1 1 1 $.1 $.1^2 \n    $.1^2 0 1 1 $.1^2 $.1^2]\n[0 0 0 $.1 0 0 0 0 0 0 0 0 0 0 0 1 1 0 0 0 1 0 0 0 0 0 0 $.1^2 0 $.1^2 $.1^2 $.1\n    $.1^2 $.1 1 $.1^2 $.1^2 $.1 $.1 $.1 0]\n[0 0 0 0 1 0 0 0 0 0 0 0 0 0 1 1 0 0 1 0 1 0 1 0 0 0 $.1^2 $.1 0 0 $.1^2 1 $.1^2\n    $.1 0 $.1 1 $.1^2 $.1^2 $.1 $.1^2]\n[0 0 0 0 $.1 0 0 0 0 0 0 0 0 0 0 0 1 1 0 0 0 1 0 0 0 0 0 0 $.1^2 0 $.1^2 $.1^2 \n    $.1 $.1^2 $.1 1 $.1^2 $.1^2 $.1 $.1 $.1]\n[0 0 0 0 0 1 0 0 0 0 0 0 0 0 1 1 0 1 0 1 0 1 0 1 0 0 $.1^2 0 $.1^2 0 1 $.1^2 \n    $.1^2 0 0 1 0 $.1 1 0 $.1]\n[0 0 0 0 0 $.1 0 0 0 0 0 0 0 0 0 0 0 1 1 0 0 0 1 0 0 $.1 1 $.1 $.1 $.1 0 $.1^2 0\n    1 1 $.1^2 $.1^2 $.1 $.1^2 1 1]\n[0 0 0 0 0 0 1 0 0 0 0 0 0 0 0 1 1 0 1 0 1 0 1 0 1 $.1 1 1 $.1 $.1 0 1 0 0 $.1 1\n    $.1^2 1 $.1 $.1 $.1^2]\n[0 0 0 0 0 0 $.1 0 0 0 0 0 0 0 1 0 1 1 1 1 0 0 0 1 0 $.1 0 0 1 $.1^2 $.1^2 0 $.1\n    0 1 1 $.1^2 1 0 $.1^2 $.1]\n[0 0 0 0 0 0 0 1 0 0 0 0 0 0 1 0 0 0 0 1 0 1 0 1 0 1 1 $.1 0 $.1 $.1^2 0 $.1^2 \n    $.1^2 $.1 $.1^2 $.1^2 0 $.1^2 1 $.1]\n[0 0 0 0 0 0 0 $.1 0 0 0 0 0 0 0 1 0 1 1 1 1 0 0 0 1 $.1 $.1^2 $.1 $.1 0 $.1^2 \n    $.1^2 $.1^2 1 $.1 0 $.1^2 $.1 1 $.1^2 0]\n[0 0 0 0 0 0 0 0 1 0 0 0 0 0 0 1 0 0 0 0 1 0 1 0 1 $.1 0 $.1^2 0 1 $.1 $.1^2 \n    $.1^2 0 1 $.1^2 1 $.1 0 0 $.1]\n[0 0 0 0 0 0 0 0 $.1 0 0 0 0 0 0 0 1 0 1 1 1 1 0 0 0 1 $.1 $.1^2 $.1 $.1 0 $.1^2\n    $.1^2 $.1^2 1 $.1 0 $.1^2 $.1 1 $.1^2]\n[0 0 0 0 0 0 0 0 0 1 0 0 0 0 0 0 1 0 0 0 0 1 0 1 0 $.1^2 $.1^2 $.1 1 1 1 $.1 0 0\n    $.1 0 1 0 $.1 $.1^2 $.1^2]\n[0 0 0 0 0 0 0 0 0 $.1 0 0 0 0 1 0 1 0 0 1 1 1 1 0 0 0 $.1 1 $.1 $.1 $.1^2 0 1 0\n    1 0 0 $.1^2 1 1 1]\n[0 0 0 0 0 0 0 0 0 0 1 0 0 0 1 0 1 0 0 0 0 0 1 0 1 0 0 0 $.1^2 1 0 1 0 $.1^2 $.1\n    $.1^2 $.1 $.1 $.1 1 $.1^2]\n[0 0 0 0 0 0 0 0 0 0 $.1 0 0 0 1 1 1 0 0 0 1 1 1 1 0 $.1 $.1 $.1^2 $.1 $.1^2 \n    $.1^2 $.1^2 1 1 0 1 0 $.1 1 1 $.1]\n[0 0 0 0 0 0 0 0 0 0 0 1 0 0 1 1 1 0 0 0 0 0 0 1 0 1 $.1^2 $.1^2 1 $.1^2 0 0 \n    $.1^2 $.1^2 1 $.1^2 1 1 0 1 1]\n[0 0 0 0 0 0 0 0 0 0 0 $.1 0 0 0 1 1 1 0 0 0 1 1 1 1 $.1 $.1^2 0 1 $.1^2 $.1^2 \n    $.1^2 0 $.1 $.1^2 1 $.1^2 1 $.1 $.1 $.1]\n[0 0 0 0 0 0 0 0 0 0 0 0 1 0 1 1 0 0 0 0 0 0 0 0 1 $.1 $.1^2 $.1 0 0 $.1 0 1 \n    $.1^2 $.1^2 1 $.1^2 $.1^2 $.1^2 0 $.1]\n[0 0 0 0 0 0 0 0 0 0 0 0 $.1 0 0 0 1 1 1 0 0 0 1 1 1 $.1^2 $.1^2 1 $.1 0 $.1^2 \n    $.1^2 0 $.1^2 0 $.1 $.1^2 $.1 1 1 1]\n[0 0 0 0 0 0 0 0 0 0 0 0 0 1 0 1 1 0 0 0 0 0 0 0 0 $.1^2 $.1^2 1 0 1 0 $.1 $.1^2\n    $.1 1 $.1 $.1^2 $.1 $.1^2 0 $.1^2]\n[0 0 0 0 0 0 0 0 0 0 0 0 0 $.1 1 0 1 0 1 1 0 0 0 1 1 $.1^2 1 $.1 $.1 $.1^2 1 \n    $.1^2 $.1 0 $.1^2 0 $.1 1 0 1 $.1]\n[0 0 0 0 0 0 0 0 0 0 0 0 0 0 $.1 1 0 1 0 1 1 0 0 0 1 $.1^2 $.1 $.1^2 0 $.1^2 \n    $.1^2 1 0 1 $.1 $.1 $.1 $.1^2 1 $.1^2 $.1]\n[0 0 0 0 0 0 0 0 0 0 0 0 0 0 0 $.1 1 0 1 0 1 1 0 0 0 $.1^2 $.1 0 1 1 $.1^2 $.1^2\n    $.1 $.1^2 $.1^2 $.1^2 0 $.1^2 $.1^2 $.1 0]\n[0 0 0 0 0 0 0 0 0 0 0 0 0 0 0 0 $.1 1 0 1 0 1 1 0 0 0 $.1^2 $.1 0 1 1 $.1^2 \n    $.1^2 $.1 $.1^2 $.1^2 $.1^2 0 $.1^2 $.1^2 $.1]\n[0 0 0 0 0 0 0 0 0 0 0 0 0 0 0 0 0 $.1 1 0 1 0 1 1 0 $.1 1 1 0 1 1 1 0 0 0 $.1 1\n    $.1 0 0 0]\n[0 0 0 0 0 0 0 0 0 0 0 0 0 0 0 0 0 0 $.1 1 0 1 0 1 1 0 $.1 1 1 0 1 1 1 0 0 0 $.1\n    1 $.1 0 0]\n[0 0 0 0 0 0 0 0 0 0 0 0 0 0 0 0 0 0 0 $.1 1 0 1 0 1 1 0 $.1 1 1 0 1 1 1 0 0 0 \n    $.1 1 $.1 0]\n[0 0 0 0 0 0 0 0 0 0 0 0 0 0 0 0 0 0 0 0 $.1 1 0 1 0 1 1 0 $.1 1 1 0 1 1 1 0 0 0\n    $.1 1 $.1]\n[0 0 0 0 0 0 0 0 0 0 0 0 0 0 0 0 0 0 0 0 0 $.1 1 0 1 $.1 0 $.1^2 $.1 $.1^2 1 1 \n    $.1^2 $.1 $.1^2 0 $.1 1 0 1 $.1]\n[0 0 0 0 0 0 0 0 0 0 0 0 0 0 0 0 0 0 0 0 0 0 $.1 1 0 $.1^2 $.1^2 $.1 1 $.1^2 \n    $.1^2 1 $.1 0 0 $.1 $.1 $.1^2 1 $.1^2 $.1]\n[0 0 0 0 0 0 0 0 0 0 0 0 0 0 0 0 0 0 0 0 0 0 0 $.1 1 $.1 $.1 1 0 0 $.1^2 $.1^2 \n    $.1 1 $.1 1 0 $.1^2 $.1^2 $.1 0]\n[0 0 0 0 0 0 0 0 0 0 0 0 0 0 0 0 0 0 0 0 0 0 0 0 $.1 1 $.1 $.1 1 0 0 $.1^2 $.1^2\n    $.1 1 $.1 1 0 $.1^2 $.1^2 $.1]\nQuantum GF(2)-Additive code over GF(4) of length 41 with 43 generators.\nLower Bound: 1, Upper Bound: 21\nConstructed 2 distinct generator matrices\nTotal Ranks:     22  22 \nRelative Ranks:  22  19 \n(4 4 4 4 4 4 4 4 4 4 4 4 4 4 4 4 4 4 4 4 4 2 )\n(4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12, time 0.00\n   Completed Matrix  1:  lower =  2, upper = 12. Elapsed: 0.00s\n     New codeword identified of weight 11, time 0.00\n   Completed Matrix  2:  lower =  2, upper = 11. Elapsed: 0.00s\nTermination predicted with 6 generators at matrix 2\nEnumerating using 2 generators at a time:\n   Completed Matrix  1:  lower =  3, upper = 11. Elapsed: 0.00s\n   Completed Matrix  2:  lower =  3, upper = 11. Elapsed: 0.00s\nTermination predicted with 6 generators at matrix 2\nEnumerating using 3 generators at a time:\n   Completed Matrix  1:  lower =  4, upper = 11. Elapsed: 0.00s\n   Completed Matrix  2:  lower =  5, upper = 11. Elapsed: 0.00s\nTermination predicted with 6 generators at matrix 2\nEnumerating using 4 generators at a time:\n   Completed Matrix  1:  lower =  6, upper = 11. Elapsed: 0.00s\n   Completed Matrix  2:  lower =  7, upper = 11. Elapsed: 0.00s\nTermination predicted with 6 generators at matrix 2\nEnumerating using 5 generators at a time:\n   Completed Matrix  1:  lower =  8, upper = 11. Elapsed: 0.03s\n   Completed Matrix  2:  lower =  9, upper = 11. Elapsed: 0.06s\nTermination predicted with 6 generators at matrix 2\nEnumerating using 6 generators at a time:\n   Completed Matrix  1:  lower = 10, upper = 11. Elapsed: 0.32s\n   Completed Matrix  2:  lower = 11, upper = 11. Elapsed: 0.57s\nComputation complete \nFinal Results: lower = 11, upper = 11,\nTotal CPU time: 0.57, real time: 0.571\n11\n\nTotal time: 0.590 seconds, Total memory usage: 32.09MB\n</t>
  </si>
  <si>
    <t>4.4930964579980355</t>
  </si>
  <si>
    <t>Magma V2.28-26    Tue Dec 30 2025 12:10:55 on Marks-MacBook-Air-2 [Seed = \n756516276]\nType ? for help.  Type &lt;Ctrl&gt;-D to quit.\n[1 0 0 0 0 0 0 0 0 0 0 0 0 0 0 0 0 0 0 1 0 0 0 0 0 0 0 0 0 0 0 0 0 0 0 0 0 0 0 1\n    0 0 0 0 0 0 0 1 1 0 1 1 1 1 0 1 1 0 0 0 0 1 0 1 1 0 0 1 1 1 1 0 1 0 1 1 0 0 \n    0 1 1 0 0 0]\n[0 1 0 0 0 0 0 0 0 0 0 0 0 0 0 0 0 0 0 1 1 0 0 0 0 0 0 0 0 0 0 0 0 0 0 0 0 1 1 1\n    1 1 0 0 1 0 1 0 1 0 0 0 1 0 0 1 1 1 0 1 0 0 0 1 0 1 1 0 1 0 0 1 1 0 1 1 1 1 \n    0 1 1 1 0 1]\n[0 0 1 0 0 0 0 0 0 0 0 0 0 0 0 0 0 0 0 0 1 0 0 0 0 0 0 0 0 0 0 0 0 0 0 0 0 1 1 0\n    1 1 0 0 1 1 1 1 0 0 0 0 0 0 0 0 1 0 0 1 1 0 1 0 0 0 1 0 1 1 0 1 1 0 1 1 1 0 \n    0 1 0 0 1 1]\n[0 0 0 1 0 0 0 0 0 0 0 0 0 0 0 0 0 0 0 0 0 0 0 0 0 0 0 0 0 0 0 0 0 0 0 0 0 1 1 0\n    0 1 0 0 0 0 1 0 0 1 0 0 0 0 0 0 0 1 0 1 1 0 1 0 0 1 1 0 1 0 0 1 0 0 0 1 1 0 \n    1 1 1 0 1 1]\n[0 0 0 0 1 0 0 0 0 0 0 0 0 0 0 0 0 0 0 0 0 0 0 0 0 0 0 0 0 0 0 0 0 0 0 0 0 1 1 1\n    0 1 0 0 0 1 1 1 1 0 1 0 1 1 0 1 0 0 1 0 0 0 0 0 1 0 1 1 0 0 0 0 1 1 1 0 0 1 \n    0 0 1 0 0 0]\n[0 0 0 0 0 1 0 0 0 0 0 0 0 0 0 0 0 0 0 1 0 0 0 0 0 0 0 0 0 0 0 0 0 0 0 0 0 0 0 0\n    1 0 0 0 0 0 1 0 1 0 1 1 1 0 1 0 0 1 0 1 0 1 0 1 1 1 0 0 1 1 0 0 0 0 1 0 0 1 \n    0 1 0 1 1 0]\n[0 0 0 0 0 0 1 0 0 0 0 0 0 0 0 0 0 0 0 0 1 0 0 0 0 0 0 0 0 0 0 0 0 0 0 0 0 1 1 1\n    0 1 0 0 1 0 1 1 1 1 0 0 1 0 0 0 0 0 0 1 1 0 0 1 0 1 1 1 0 1 0 1 1 0 0 1 0 0 \n    1 1 1 1 0 0]\n[0 0 0 0 0 0 0 1 0 0 0 0 0 0 0 0 0 0 0 1 0 0 0 0 0 0 0 0 0 0 0 0 0 0 0 0 0 1 1 0\n    1 1 0 0 1 1 0 1 0 1 0 1 0 0 0 0 1 1 1 0 0 0 0 0 0 1 0 0 0 1 1 0 1 0 1 1 0 0 \n    0 1 1 1 0 0]\n[0 0 0 0 0 0 0 0 1 0 0 0 0 0 0 0 0 0 0 1 1 0 0 0 0 0 0 0 0 0 0 0 0 0 0 0 0 1 1 1\n    0 1 0 0 1 1 1 1 0 1 1 0 0 0 1 1 0 0 1 1 1 0 0 1 0 1 1 1 0 1 0 0 1 1 1 1 0 1 \n    0 1 0 0 1 0]\n[0 0 0 0 0 0 0 0 0 1 0 0 0 0 0 0 0 0 0 0 1 0 0 0 0 0 0 0 0 0 0 0 0 0 0 0 0 0 0 1\n    1 0 0 0 0 1 1 1 0 1 1 0 0 0 0 0 1 1 0 1 1 1 0 0 1 0 1 1 0 0 0 0 1 0 0 1 1 1 \n    0 0 0 0 1 1]\n[0 0 0 0 0 0 0 0 0 0 1 0 0 0 0 0 0 0 0 0 0 0 0 0 0 0 0 0 0 0 0 0 0 0 0 0 0 0 0 1\n    1 0 0 0 0 0 1 0 1 1 0 0 1 1 1 1 1 1 0 0 1 0 1 0 1 1 1 1 0 0 1 1 1 0 0 1 1 0 \n    1 1 1 1 1 1]\n[0 0 0 0 0 0 0 0 0 0 0 1 0 0 0 0 0 0 0 0 0 0 0 0 0 0 0 0 0 0 0 0 0 0 0 0 0 1 1 1\n    1 1 0 0 0 1 0 0 0 1 1 1 0 1 1 0 1 0 1 1 0 0 1 0 0 0 0 0 1 1 0 0 1 1 1 0 1 1 \n    0 0 0 1 1 1]\n[0 0 0 0 0 0 0 0 0 0 0 0 1 0 0 0 0 0 0 1 0 0 0 0 0 0 0 0 0 0 0 0 0 0 0 0 0 1 1 1\n    1 1 0 0 0 1 0 0 0 1 1 1 0 1 0 0 0 1 1 1 0 1 0 0 1 0 1 1 0 1 1 1 0 1 1 1 1 0 \n    1 1 0 0 0 0]\n[0 0 0 0 0 0 0 0 0 0 0 0 0 1 0 0 0 0 0 0 1 0 0 0 0 0 0 0 0 0 0 0 0 0 0 0 0 0 0 0\n    1 0 0 0 0 0 0 1 1 0 1 0 0 1 1 0 0 1 1 0 0 0 0 0 1 0 1 0 1 0 1 0 1 1 1 1 0 1 \n    0 1 0 1 0 1]\n[0 0 0 0 0 0 0 0 0 0 0 0 0 0 1 0 0 0 0 1 0 0 0 0 0 0 0 0 0 0 0 0 0 0 0 0 0 1 1 0\n    0 1 0 0 1 0 1 1 1 1 1 1 1 0 1 1 1 0 0 0 0 1 1 1 0 1 0 1 1 0 0 0 0 1 0 0 1 0 \n    1 0 0 1 0 1]\n[0 0 0 0 0 0 0 0 0 0 0 0 0 0 0 1 0 0 0 1 1 0 0 0 0 0 0 0 0 0 0 0 0 0 0 0 0 0 0 0\n    0 0 0 0 1 0 1 1 0 0 0 1 0 1 0 1 0 1 1 0 0 0 1 0 1 1 0 1 1 1 1 0 1 1 0 1 0 0 \n    1 0 1 1 1 1]\n[0 0 0 0 0 0 0 0 0 0 0 0 0 0 0 0 1 0 0 0 1 0 0 0 0 0 0 0 0 0 0 0 0 0 0 0 0 1 1 0\n    0 1 0 0 0 0 0 1 1 1 1 0 0 1 0 0 0 1 0 0 0 0 1 1 1 0 1 1 0 0 0 1 1 0 0 1 1 1 \n    0 1 0 0 0 1]\n[0 0 0 0 0 0 0 0 0 0 0 0 0 0 0 0 0 1 0 0 0 0 0 0 0 0 0 0 0 0 0 0 0 0 0 0 0 0 0 1\n    0 0 0 0 1 1 1 1 1 0 1 0 0 1 1 1 0 0 0 0 0 1 0 1 0 0 1 1 0 1 0 0 1 0 0 0 1 0 \n    0 0 1 1 0 1]\n[0 0 0 0 0 0 0 0 0 0 0 0 0 0 0 0 0 0 1 0 0 0 0 0 0 0 0 0 0 0 0 0 0 0 0 0 0 0 0 0\n    1 0 0 0 0 1 0 1 1 1 1 0 0 0 0 1 0 0 1 1 1 1 0 0 1 1 0 0 1 0 1 0 0 0 1 1 1 1 \n    1 1 1 1 1 1]\n[0 0 0 0 0 0 0 0 0 0 0 0 0 0 0 0 0 0 0 0 0 1 0 0 0 0 0 0 0 0 0 0 0 0 0 0 0 1 0 0\n    0 1 0 0 1 0 0 1 0 0 0 0 1 0 0 1 0 1 1 0 1 0 0 1 0 1 1 0 0 0 1 0 1 1 0 0 1 0 \n    0 1 1 0 1 0]\n[0 0 0 0 0 0 0 0 0 0 0 0 0 0 0 0 0 0 0 0 0 0 1 0 0 0 0 0 0 0 0 0 0 0 0 0 0 0 0 1\n    0 1 0 0 0 1 1 1 0 0 0 1 1 0 0 0 1 1 1 0 1 1 1 0 0 1 0 0 0 0 0 0 0 0 1 0 1 1 \n    0 0 0 0 0 0]\n[0 0 0 0 0 0 0 0 0 0 0 0 0 0 0 0 0 0 0 0 0 0 0 1 0 0 0 0 0 0 0 0 0 0 0 0 0 0 1 1\n    1 1 0 0 1 1 0 1 1 0 1 0 0 1 1 0 1 1 1 1 0 1 1 1 0 1 1 0 0 1 1 1 1 0 0 0 0 1 \n    0 1 1 0 1 1]\n[0 0 0 0 0 0 0 0 0 0 0 0 0 0 0 0 0 0 0 0 0 0 0 0 1 0 0 0 0 0 0 0 0 0 0 0 0 0 1 0\n    1 0 0 0 1 0 0 0 1 1 1 1 1 0 0 1 1 1 1 1 1 0 1 0 1 1 1 1 0 1 0 0 0 1 0 1 0 0 \n    0 1 0 1 1 0]\n[0 0 0 0 0 0 0 0 0 0 0 0 0 0 0 0 0 0 0 0 0 0 0 0 0 1 0 0 0 0 0 0 0 0 0 0 0 1 1 0\n    0 1 0 0 0 0 1 1 0 1 0 1 1 1 1 1 0 0 0 1 0 1 0 0 0 1 0 1 1 1 1 1 0 1 1 1 0 0 \n    1 0 1 0 1 0]\n[0 0 0 0 0 0 0 0 0 0 0 0 0 0 0 0 0 0 0 0 0 0 0 0 0 0 1 0 0 0 0 0 0 0 0 0 0 1 1 1\n    0 1 0 0 1 0 0 0 1 0 1 0 0 1 1 0 1 1 1 0 0 0 1 1 0 1 0 0 1 1 0 1 0 1 1 1 0 0 \n    0 0 1 1 1 1]\n[0 0 0 0 0 0 0 0 0 0 0 0 0 0 0 0 0 0 0 0 0 0 0 0 0 0 0 1 0 0 0 0 0 0 0 0 0 0 0 0\n    1 1 0 0 1 0 1 0 0 1 1 1 1 0 0 1 1 1 1 1 0 0 0 0 1 1 1 0 0 0 0 1 0 0 1 0 1 0 \n    1 1 1 1 0 0]\n[0 0 0 0 0 0 0 0 0 0 0 0 0 0 0 0 0 0 0 0 0 0 0 0 0 0 0 0 1 0 0 0 0 0 0 0 0 0 1 1\n    0 0 0 0 0 1 1 0 1 0 1 0 0 0 0 0 1 0 1 0 0 0 1 0 1 0 0 0 0 0 0 1 1 1 0 1 1 1 \n    0 1 0 0 1 1]\n[0 0 0 0 0 0 0 0 0 0 0 0 0 0 0 0 0 0 0 0 0 0 0 0 0 0 0 0 0 1 0 0 0 0 0 0 0 1 1 0\n    1 0 0 0 0 1 0 0 0 1 1 1 0 0 1 1 1 0 1 1 1 0 0 1 0 1 1 0 0 1 0 1 1 0 1 1 0 1 \n    0 0 1 0 0 0]\n[0 0 0 0 0 0 0 0 0 0 0 0 0 0 0 0 0 0 0 0 0 0 0 0 0 0 0 0 0 0 1 0 0 0 0 0 0 0 1 1\n    0 1 0 0 0 0 1 0 0 0 1 1 1 0 0 1 1 1 0 1 1 1 0 0 1 0 1 1 0 0 1 0 1 1 0 1 1 0 \n    1 0 0 1 0 0]\n[0 0 0 0 0 0 0 0 0 0 0 0 0 0 0 0 0 0 0 0 0 0 0 0 0 0 0 0 0 0 0 1 0 0 0 0 0 1 0 1\n    1 1 0 0 1 0 0 0 0 0 0 1 0 1 0 1 1 0 0 0 0 1 1 1 0 0 1 1 1 0 1 1 1 0 1 0 0 1 \n    0 0 1 0 0 0]\n[0 0 0 0 0 0 0 0 0 0 0 0 0 0 0 0 0 0 0 0 0 0 0 0 0 0 0 0 0 0 0 0 1 0 0 0 0 0 0 1\n    1 0 0 0 1 0 1 0 0 0 1 0 0 0 0 0 0 1 0 0 0 0 1 1 1 1 0 1 1 0 1 0 0 1 0 0 0 0 \n    0 1 1 1 1 1]\n[0 0 0 0 0 0 0 0 0 0 0 0 0 0 0 0 0 0 0 0 0 0 0 0 0 0 0 0 0 0 0 0 0 1 0 0 0 1 1 1\n    1 1 0 0 0 0 1 0 0 0 1 1 0 0 1 1 1 1 0 0 1 0 0 1 1 1 0 0 1 0 0 0 0 1 1 1 1 0 \n    1 0 1 1 1 0]\n[0 0 0 0 0 0 0 0 0 0 0 0 0 0 0 0 0 0 0 0 0 0 0 0 0 0 0 0 0 0 0 0 0 0 1 0 0 1 1 1\n    1 0 0 0 1 0 0 0 0 0 0 1 0 0 0 0 1 0 0 0 1 1 0 1 1 0 0 0 0 1 1 0 1 1 1 1 0 1 \n    0 0 1 1 0 1]\n[0 0 0 0 0 0 0 0 0 0 0 0 0 0 0 0 0 0 0 0 0 0 0 0 0 0 0 0 0 0 0 0 0 0 0 1 0 1 0 0\n    1 1 0 0 1 1 1 0 1 0 0 1 1 1 0 1 0 1 1 1 0 1 0 0 0 1 0 1 0 0 0 0 1 1 1 1 1 0 \n    1 1 0 0 0 1]\n[0 0 0 0 0 0 0 0 0 0 0 0 0 0 0 0 0 0 0 0 0 0 0 0 0 0 0 0 0 0 0 0 0 0 0 0 1 1 1 0\n    0 0 0 0 1 1 1 0 0 1 0 0 0 1 1 1 1 1 0 1 0 0 1 0 0 1 0 0 1 0 1 0 1 0 1 1 0 1 \n    0 0 0 0 1 0]\n[0 0 0 0 0 0 0 0 0 0 0 0 0 0 0 0 0 0 0 0 0 0 0 0 0 0 0 0 0 0 0 0 0 0 0 0 0 0 0 0\n    0 0 1 0 1 1 0 1 1 0 1 1 0 1 1 0 1 1 0 1 1 0 1 1 1 0 1 1 0 1 1 0 1 1 0 1 1 0 \n    1 1 0 1 1 0]\n[0 0 0 0 0 0 0 0 0 0 0 0 0 0 0 0 0 0 0 0 0 0 0 0 0 0 0 0 0 0 0 0 0 0 0 0 0 0 0 0\n    0 0 0 1 1 0 1 1 0 1 1 0 1 1 0 1 1 0 1 1 0 1 1 1 0 1 1 0 1 1 0 1 1 0 1 1 0 1 \n    1 0 1 1 0 1]\n[[42, 5]] quantum code over GF(2^2), stabilised by:\n[1 0 0 0 0 0 0 0 0 0 0 0 0 0 0 0 0 0 0 1 0 $.1 $.1 1 1 $.1 0 $.1^2 0 $.1 0 1 \n    $.1^2 1 $.1 1 $.1 1 1 1 1 $.1^2]\n[$.1 0 0 0 0 0 0 0 0 0 0 0 0 0 0 0 0 0 $.1 $.1 0 $.1^2 $.1^2 $.1 $.1^2 1 $.1^2 1\n    $.1^2 0 $.1^2 $.1 $.1 $.1 0 $.1 1 $.1 0 $.1 $.1 0]\n[0 1 0 0 0 0 0 0 0 0 0 0 0 0 0 0 0 0 0 1 1 1 $.1 $.1 $.1 $.1^2 0 0 $.1 $.1 0 1 0\n    $.1 $.1^2 1 1 $.1^2 $.1 1 $.1 $.1^2]\n[0 $.1 0 0 0 0 0 0 0 0 0 0 0 0 0 0 0 0 $.1 $.1 $.1 $.1 $.1^2 $.1^2 $.1 $.1^2 \n    $.1^2 0 0 0 $.1^2 $.1 $.1^2 $.1^2 $.1 $.1 0 1 1 $.1 $.1^2 0]\n[0 0 1 0 0 0 0 0 0 0 0 0 0 0 0 0 0 0 0 0 1 $.1 $.1^2 $.1^2 $.1^2 $.1^2 $.1 1 0 \n    $.1 0 $.1^2 $.1 $.1^2 0 0 $.1^2 1 $.1 $.1 0 1]\n[0 0 $.1 0 0 0 0 0 0 0 0 0 0 0 0 0 0 0 $.1 0 $.1 $.1^2 1 1 0 $.1^2 0 $.1 $.1^2 0\n    $.1^2 1 0 1 $.1^2 0 $.1^2 $.1 1 $.1^2 0 $.1^2]\n[0 0 0 1 0 0 0 0 0 0 0 0 0 0 0 0 0 0 0 0 0 1 0 $.1 1 $.1^2 1 1 0 0 0 0 1 $.1 \n    $.1^2 $.1 $.1 $.1^2 $.1^2 $.1^2 0 1]\n[0 0 0 $.1 0 0 0 0 0 0 0 0 0 0 0 0 0 0 0 0 0 $.1 0 $.1^2 $.1 1 $.1 $.1 0 0 0 0 \n    $.1 $.1^2 1 $.1^2 $.1^2 1 1 1 0 $.1]\n[0 0 0 0 1 0 0 0 0 0 0 0 0 0 0 0 0 0 0 0 0 0 1 0 1 0 0 $.1^2 0 0 0 $.1^2 1 $.1 0\n    $.1 $.1 $.1 0 $.1 0 $.1]\n[0 0 0 0 $.1 0 0 0 0 0 0 0 0 0 0 0 0 0 $.1 0 0 0 $.1 0 $.1^2 $.1 $.1^2 1 $.1^2 \n    $.1^2 $.1^2 1 1 $.1^2 $.1^2 $.1^2 1 $.1^2 $.1 $.1^2 0 $.1]\n[0 0 0 0 0 1 0 0 0 0 0 0 0 0 0 0 0 0 0 1 0 1 0 1 0 $.1 1 $.1 $.1^2 $.1 $.1 $.1 \n    $.1^2 $.1^2 $.1 $.1 $.1 $.1^2 $.1 1 $.1 0]\n[0 0 0 0 0 $.1 0 0 0 0 0 0 0 0 0 0 0 0 0 $.1 0 $.1 0 $.1 0 $.1^2 $.1 $.1^2 1 \n    $.1^2 $.1^2 $.1^2 1 1 $.1^2 $.1^2 $.1^2 1 $.1^2 $.1 $.1^2 0]\n[0 0 0 0 0 0 1 0 0 0 0 0 0 0 0 0 0 0 0 0 1 0 1 0 1 0 $.1 1 $.1 $.1^2 $.1 $.1 $.1\n    $.1^2 $.1^2 $.1 $.1 $.1 $.1^2 $.1 1 $.1]\n[0 0 0 0 0 0 $.1 0 0 0 0 0 0 0 0 0 0 0 0 0 $.1 0 $.1 0 $.1 0 $.1^2 $.1 $.1^2 1 \n    $.1^2 $.1^2 $.1^2 1 1 $.1^2 $.1^2 $.1^2 1 $.1^2 $.1 $.1^2]\n[0 0 0 0 0 0 0 1 0 0 0 0 0 0 0 0 0 0 0 1 0 0 $.1 0 1 $.1^2 0 1 1 0 $.1^2 $.1^2 1\n    $.1^2 1 $.1 0 $.1^2 $.1^2 $.1 $.1^2 $.1]\n[0 0 0 0 0 0 0 $.1 0 0 0 0 0 0 0 0 0 0 $.1 $.1 0 0 $.1^2 0 $.1^2 $.1^2 $.1^2 $.1\n    1 $.1^2 $.1 1 1 1 1 $.1^2 $.1 1 $.1^2 $.1^2 1 $.1]\n[0 0 0 0 0 0 0 0 1 0 0 0 0 0 0 0 0 0 0 1 1 0 0 $.1 $.1^2 $.1^2 1 0 0 $.1^2 $.1 \n    $.1 $.1 0 1 $.1 $.1 1 0 $.1^2 1 1]\n[0 0 0 0 0 0 0 0 $.1 0 0 0 0 0 0 0 0 0 $.1 $.1 $.1 0 0 $.1^2 0 $.1^2 1 0 $.1^2 \n    $.1 0 $.1^2 0 0 1 $.1^2 1 $.1 $.1 1 $.1 $.1^2]\n[0 0 0 0 0 0 0 0 0 1 0 0 0 0 0 0 0 0 0 0 1 0 $.1 1 $.1^2 $.1 $.1 0 0 0 1 1 1 1 \n    $.1 $.1 0 $.1 0 0 $.1 $.1]\n[0 0 0 0 0 0 0 0 0 $.1 0 0 0 0 0 0 0 0 $.1 0 $.1 0 $.1^2 $.1 0 1 0 0 $.1^2 $.1^2\n    1 $.1 1 $.1 0 $.1^2 $.1 $.1^2 $.1 0 $.1^2 $.1]\n[0 0 0 0 0 0 0 0 0 0 1 0 0 0 0 0 0 0 0 0 0 $.1 $.1 $.1^2 $.1^2 $.1^2 0 1 1 0 $.1\n    1 $.1^2 1 1 0 0 0 0 1 $.1 $.1^2]\n[0 0 0 0 0 0 0 0 0 0 $.1 0 0 0 0 0 0 0 0 0 0 $.1^2 $.1^2 1 1 1 0 $.1 $.1 0 $.1^2\n    $.1 1 $.1 $.1 0 0 0 0 $.1 $.1^2 1]\n[0 0 0 0 0 0 0 0 0 0 0 1 0 0 0 0 0 0 0 0 0 $.1 $.1 $.1 0 $.1 0 $.1 0 1 0 1 0 0 \n    $.1^2 0 0 0 $.1^2 1 $.1 0]\n[0 0 0 0 0 0 0 0 0 0 0 $.1 0 0 0 0 0 0 $.1 0 0 $.1^2 $.1^2 $.1^2 1 1 $.1^2 $.1^2\n    $.1^2 1 $.1^2 $.1 $.1^2 0 $.1 0 $.1 0 $.1^2 $.1 $.1^2 1]\n[0 0 0 0 0 0 0 0 0 0 0 0 1 0 0 0 0 0 0 1 0 $.1^2 $.1 $.1 $.1 $.1^2 $.1^2 $.1 $.1\n    $.1 $.1^2 $.1 1 $.1 0 1 0 1 0 $.1 1 $.1]\n[0 0 0 0 0 0 0 0 0 0 0 0 $.1 0 0 0 0 0 0 $.1 0 1 $.1^2 $.1^2 $.1^2 1 1 $.1^2 \n    $.1^2 $.1^2 1 $.1^2 $.1 $.1^2 0 $.1 0 $.1 0 $.1^2 $.1 $.1^2]\n[0 0 0 0 0 0 0 0 0 0 0 0 0 1 0 0 0 0 0 0 1 $.1 $.1^2 $.1 $.1 $.1 $.1^2 $.1^2 $.1\n    $.1 $.1 $.1^2 $.1 1 $.1 0 1 0 1 0 $.1 1]\n[0 0 0 0 0 0 0 0 0 0 0 0 0 $.1 0 0 0 0 0 0 $.1 $.1^2 1 $.1^2 $.1^2 $.1^2 1 1 \n    $.1^2 $.1^2 $.1^2 1 $.1^2 $.1 $.1^2 0 $.1 0 $.1 0 $.1^2 $.1]\n[0 0 0 0 0 0 0 0 0 0 0 0 0 0 1 0 0 0 0 1 0 $.1^2 0 $.1 $.1^2 0 $.1 0 $.1^2 0 $.1\n    $.1^2 0 $.1^2 $.1^2 $.1^2 $.1 0 1 0 1 1]\n[0 0 0 0 0 0 0 0 0 0 0 0 0 0 $.1 0 0 0 $.1 $.1 0 1 0 $.1^2 0 $.1 0 0 $.1 $.1^2 0\n    1 $.1^2 1 $.1 1 1 0 0 0 $.1 $.1^2]\n[0 0 0 0 0 0 0 0 0 0 0 0 0 0 0 1 0 0 0 1 1 $.1^2 $.1^2 0 1 1 $.1 $.1 1 1 $.1 \n    $.1^2 $.1 1 1 0 $.1^2 $.1^2 $.1^2 1 $.1^2 $.1^2]\n[0 0 0 0 0 0 0 0 0 0 0 0 0 0 0 $.1 0 0 $.1 $.1 $.1 1 1 0 $.1^2 0 0 $.1^2 1 1 0 1\n    0 $.1 1 0 $.1^2 1 $.1^2 $.1 1 0]\n[0 0 0 0 0 0 0 0 0 0 0 0 0 0 0 0 1 0 0 0 1 $.1 1 $.1 1 0 0 $.1^2 $.1 1 $.1^2 1 0\n    1 $.1^2 $.1 $.1 $.1^2 $.1 $.1^2 0 0]\n[0 0 0 0 0 0 0 0 0 0 0 0 0 0 0 0 $.1 0 $.1 0 $.1 $.1^2 $.1 $.1^2 $.1^2 $.1 $.1^2\n    1 0 1 $.1 $.1 $.1^2 $.1 $.1 $.1^2 1 1 1 1 0 1]\n[0 0 0 0 0 0 0 0 0 0 0 0 0 0 0 0 0 1 0 0 0 0 0 0 0 1 $.1 $.1^2 $.1 $.1 $.1^2 \n    $.1^2 $.1^2 0 1 1 0 $.1 1 $.1^2 1 1]\n[0 0 0 0 0 0 0 0 0 0 0 0 0 0 0 0 0 $.1 0 0 0 0 0 0 0 $.1 $.1^2 1 $.1^2 $.1^2 1 1\n    1 0 $.1 $.1 0 $.1^2 $.1 1 $.1 $.1]\n[0 0 0 0 0 0 0 0 0 0 0 0 0 0 0 0 0 0 1 0 0 0 0 0 $.1^2 1 $.1 0 $.1 $.1 $.1 0 $.1\n    0 $.1 0 1 0 1 0 0 $.1^2]\nQuantum GF(2)-Additive code over GF(4) of length 42 with 47 generators.\nLower Bound: 1, Upper Bound: 20\nConstructed 2 distinct generator matrices\nTotal Ranks:     24  24 \nRelative Ranks:  24  18 \n(4 4 4 4 4 4 4 4 4 4 4 4 4 4 4 4 4 4 4 4 4 4 4 2 )\n(4 4 4 4 4 4 4 4 4 4 4 4 4 4 4 4 4 4 4 4 4 4 4 2 )\nTime Taken: 0.00\nStarting search for low weight codewords... (reset timings)\nEnumerating using 1 generator at a time:\n     New codeword identified of weight 17, time 0.00\n     New codeword identified of weight 15, time 0.00\n     New codeword identified of weight 14, time 0.00\n     New codeword identified of weight 13, time 0.00\n     Impurity detected of weight 12, time 0.00\n     New codeword identified of weight 12, time 0.00\n     New codeword identified of weight 9, time 0.00\n   Completed Matrix  1:  lower =  2, upper =  9. Elapsed: 0.00s\n   Completed Matrix  2:  lower =  2, upper =  9. Elapsed: 0.00s\nTermination predicted with 7 generators at matrix 1\nEnumerating using 2 generators at a time:\n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0.00s\nTermination predicted with 7 generators at matrix 1\nEnumerating using 5 generators at a time:\n   Completed Matrix  1:  lower =  6, upper =  9. Elapsed: 0.06s\n   Completed Matrix  2:  lower =  6, upper =  9. Elapsed: 0.11s\nTermination predicted with 7 generators at matrix 1\nEnumerating using 6 generators at a time:\n   Completed Matrix  1:  lower =  7, upper =  9. Elapsed: 0.57s\n   Completed Matrix  2:  lower =  8, upper =  9. Elapsed: 1.03s\nTermination predicted at 4 s with 7 generators at matrix 1\nEnumerating using 7 generators at a time:\n   Completed Matrix  1:  lower =  9, upper =  9. Elapsed: 4.44s\nComputation complete \nFinal Results: lower = 9, upper = 9,\nTotal CPU time: 4.44, real time: 4.434\n9\n\nTotal time: 4.450 seconds, Total memory usage: 32.09MB\n</t>
  </si>
  <si>
    <t>11.075541833997704</t>
  </si>
  <si>
    <t>Magma V2.28-26    Tue Dec 30 2025 12:11:00 on Marks-MacBook-Air-2 [Seed = \n2945779538]\nType ? for help.  Type &lt;Ctrl&gt;-D to quit.\n[1 0 0 0 0 0 0 0 0 0 0 0 0 0 0 0 0 0 1 1 0 0 0 0 0 0 0 0 0 0 0 0 0 0 0 0 0 0 0 1\n    1 0 0 0 0 0 1 0 0 0 1 0 1 1 1 0 0 1 0 1 1 1 0 0 1 0 1 0 1 0 1 0 0 1 0 0 0 1 \n    1 1 0 0 1 1 1 0]\n[0 1 0 0 0 0 0 0 0 0 0 0 0 0 0 0 0 0 1 1 1 0 0 0 0 0 0 0 0 0 0 0 0 0 0 0 0 1 1 1\n    0 1 0 0 0 1 1 1 1 0 1 1 0 1 0 0 0 1 1 1 0 1 1 0 1 1 0 1 0 0 0 1 1 1 0 0 0 0 \n    0 1 0 0 0 1 0 0]\n[0 0 1 0 0 0 0 0 0 0 0 0 0 0 0 0 0 0 1 0 1 0 0 0 0 0 0 0 0 0 0 0 0 0 0 0 0 1 1 0\n    0 1 0 0 0 1 0 1 0 1 1 1 0 0 0 0 1 1 0 1 0 0 1 1 0 1 1 1 0 0 1 1 1 1 0 0 0 0 \n    1 1 0 1 1 0 0 0]\n[0 0 0 1 0 0 0 0 0 0 0 0 0 0 0 0 0 0 0 0 0 0 0 0 0 0 0 0 0 0 0 0 0 0 0 0 0 1 1 0\n    0 1 0 0 0 0 0 1 0 0 1 0 0 0 0 0 0 0 1 0 1 1 0 1 0 0 1 1 0 1 0 0 1 0 0 0 1 1 \n    0 1 1 1 0 1 1 0]\n[0 0 0 0 1 0 0 0 0 0 0 0 0 0 0 0 0 0 1 0 0 0 0 0 0 0 0 0 0 0 0 0 0 0 0 0 0 1 1 1\n    1 1 0 0 0 0 0 1 0 0 1 0 0 1 1 0 0 0 0 0 1 1 1 0 0 0 1 1 1 1 0 1 0 1 1 0 1 1 \n    0 1 1 0 1 1 1 0]\n[0 0 0 0 0 1 0 0 0 0 0 0 0 0 0 0 0 0 0 1 0 0 0 0 0 0 0 0 0 0 0 0 0 0 0 0 0 0 0 0\n    1 0 0 0 0 0 0 1 0 1 0 1 1 1 0 1 0 0 1 0 1 0 1 0 1 1 1 0 0 1 1 0 0 0 0 1 0 0 \n    1 0 1 0 1 1 0 0]\n[0 0 0 0 0 0 1 0 0 0 0 0 0 0 0 0 0 0 0 0 1 0 0 0 0 0 0 0 0 0 0 0 0 0 0 0 0 1 1 1\n    0 1 0 0 0 1 0 1 1 1 1 0 0 1 0 0 0 0 0 0 1 1 0 0 1 0 1 1 1 0 1 0 1 1 0 0 1 0 \n    0 1 1 1 1 0 0 0]\n[0 0 0 0 0 0 0 1 0 0 0 0 0 0 0 0 0 0 1 1 0 0 0 0 0 0 0 0 0 0 0 0 0 0 0 0 0 1 1 0\n    0 1 0 0 0 1 0 0 0 1 0 1 1 0 0 0 1 1 1 0 1 1 1 0 0 1 0 0 0 1 1 0 0 1 0 0 0 1 \n    1 1 0 0 0 1 1 0]\n[0 0 0 0 0 0 0 0 1 0 0 0 0 0 0 0 0 0 1 1 1 0 0 0 0 0 0 0 0 0 0 0 0 0 0 0 0 1 1 1\n    1 1 0 0 0 1 0 1 0 1 0 0 0 0 0 1 0 0 0 0 0 0 1 0 1 1 0 1 1 1 1 1 0 1 1 0 0 1 \n    0 1 0 1 1 0 1 0]\n[0 0 0 0 0 0 0 0 0 1 0 0 0 0 0 0 0 0 1 0 1 0 0 0 0 0 0 0 0 0 0 0 0 0 0 0 0 0 0 1\n    0 0 0 0 0 0 0 1 0 1 0 0 0 0 0 0 1 1 1 1 0 0 0 0 0 0 1 1 1 1 0 1 0 1 0 1 0 0 \n    0 1 1 1 1 0 0 0]\n[0 0 0 0 0 0 0 0 0 0 1 0 0 0 0 0 0 0 0 0 0 0 0 0 0 0 0 0 0 0 0 0 0 0 0 0 0 0 0 1\n    1 0 0 0 0 0 0 1 0 1 1 0 0 1 1 1 1 1 1 0 0 1 0 1 0 1 1 1 1 0 0 1 1 1 0 0 1 1 \n    0 1 1 1 1 1 1 0]\n[0 0 0 0 0 0 0 0 0 0 0 1 0 0 0 0 0 0 1 0 0 0 0 0 0 0 0 0 0 0 0 0 0 0 0 0 0 1 1 1\n    0 1 0 0 0 0 0 0 1 1 0 0 1 0 1 1 1 1 0 0 0 1 1 1 0 1 1 0 0 0 1 1 0 1 1 0 1 0 \n    0 1 1 1 0 0 0 0]\n[0 0 0 0 0 0 0 0 0 0 0 0 1 0 0 0 0 0 0 1 0 0 0 0 0 0 0 0 0 0 0 0 0 0 0 0 0 1 1 1\n    1 1 0 0 0 0 1 0 0 0 1 1 1 0 1 0 0 0 1 1 1 0 1 0 0 1 0 1 1 0 1 1 1 0 1 1 1 1 \n    0 1 1 0 0 0 0 0]\n[0 0 0 0 0 0 0 0 0 0 0 0 0 1 0 0 0 0 0 0 1 0 0 0 0 0 0 0 0 0 0 0 0 0 0 0 0 0 0 0\n    1 0 0 0 0 0 0 0 1 1 0 1 0 0 1 1 0 0 1 1 0 0 0 0 0 1 0 1 0 1 0 1 0 1 1 1 1 0 \n    1 0 1 0 1 0 1 0]\n[0 0 0 0 0 0 0 0 0 0 0 0 0 0 1 0 0 0 1 1 0 0 0 0 0 0 0 0 0 0 0 0 0 0 0 0 0 1 1 0\n    1 1 0 0 0 1 1 1 0 0 0 0 1 1 0 1 0 1 0 1 1 1 0 1 1 1 0 0 1 0 0 1 0 0 1 1 1 0 \n    1 0 1 1 0 1 0 0]\n[0 0 0 0 0 0 0 0 0 0 0 0 0 0 0 1 0 0 1 1 1 0 0 0 0 0 0 0 0 0 0 0 0 0 0 0 0 0 0 0\n    1 0 0 0 0 1 1 1 0 1 1 1 1 0 1 0 0 0 1 0 1 1 1 1 0 0 0 0 1 0 1 0 0 1 1 1 0 1 \n    1 0 1 0 0 0 0 0]\n[0 0 0 0 0 0 0 0 0 0 0 0 0 0 0 0 1 0 1 0 1 0 0 0 0 0 0 0 0 0 0 0 0 0 0 0 0 1 1 0\n    1 1 0 0 0 0 1 0 0 0 0 0 0 0 1 0 1 0 1 1 1 1 1 1 1 0 1 1 1 1 0 1 1 1 0 1 0 0 \n    0 1 0 1 1 1 0 0]\n[0 0 0 0 0 0 0 0 0 0 0 0 0 0 0 0 0 1 0 0 0 0 0 0 0 0 0 0 0 0 0 0 0 0 0 0 0 0 0 1\n    0 0 0 0 0 1 1 1 1 1 0 1 0 0 1 1 1 0 0 0 0 0 1 0 1 0 0 1 1 0 1 0 0 1 0 0 0 1 \n    0 0 0 1 1 0 1 0]\n[0 0 0 0 0 0 0 0 0 0 0 0 0 0 0 0 0 0 0 0 0 1 0 0 0 0 0 0 0 0 0 0 0 0 0 0 0 1 0 0\n    0 1 0 0 0 1 0 0 1 0 0 0 0 1 0 0 1 0 1 1 0 1 0 0 1 0 1 1 0 0 0 1 0 1 1 0 0 1 \n    0 0 1 1 0 1 0 0]\n[0 0 0 0 0 0 0 0 0 0 0 0 0 0 0 0 0 0 0 0 0 0 1 0 0 0 0 0 0 0 0 0 0 0 0 0 0 0 0 1\n    0 1 0 0 0 0 1 1 1 0 0 0 1 1 0 0 0 1 1 1 0 1 1 1 0 0 1 0 0 0 0 0 0 0 0 1 0 1 \n    1 0 0 0 0 0 0 0]\n[0 0 0 0 0 0 0 0 0 0 0 0 0 0 0 0 0 0 0 0 0 0 0 1 0 0 0 0 0 0 0 0 0 0 0 0 0 0 1 1\n    1 1 0 0 0 1 1 0 1 1 0 1 0 0 1 1 0 1 1 1 1 0 1 1 1 0 1 1 0 0 1 1 1 1 0 0 0 0 \n    1 0 1 1 0 1 1 0]\n[0 0 0 0 0 0 0 0 0 0 0 0 0 0 0 0 0 0 0 0 0 0 0 0 1 0 0 0 0 0 0 0 0 0 0 0 0 0 1 0\n    1 0 0 0 0 1 0 0 0 1 1 1 1 1 0 0 1 1 1 1 1 1 0 1 0 1 1 1 1 0 1 0 0 0 1 0 1 0 \n    0 0 1 0 1 1 0 0]\n[0 0 0 0 0 0 0 0 0 0 0 0 0 0 0 0 0 0 0 0 0 0 0 0 0 1 0 0 0 0 0 0 0 0 0 0 0 1 1 0\n    0 1 0 0 0 0 0 1 1 0 1 0 1 1 1 1 1 0 0 0 1 0 1 0 0 0 1 0 1 1 1 1 1 0 1 1 1 0 \n    0 1 0 1 0 1 0 0]\n[0 0 0 0 0 0 0 0 0 0 0 0 0 0 0 0 0 0 0 0 0 0 0 0 0 0 1 0 0 0 0 0 0 0 0 0 0 1 1 1\n    0 1 0 0 0 1 0 0 0 1 0 1 0 0 1 1 0 1 1 1 0 0 0 1 1 0 1 0 0 1 1 0 1 0 1 1 1 0 \n    0 0 0 1 1 1 1 0]\n[0 0 0 0 0 0 0 0 0 0 0 0 0 0 0 0 0 0 0 0 0 0 0 0 0 0 0 1 0 0 0 0 0 0 0 0 0 0 0 0\n    1 1 0 0 0 1 0 1 0 0 1 1 1 1 0 0 1 1 1 1 1 0 0 0 0 1 1 1 0 0 0 0 1 0 0 1 0 1 \n    0 1 1 1 1 0 0 0]\n[0 0 0 0 0 0 0 0 0 0 0 0 0 0 0 0 0 0 0 0 0 0 0 0 0 0 0 0 1 0 0 0 0 0 0 0 0 0 1 1\n    0 0 0 0 0 0 1 1 0 1 0 1 0 0 0 0 0 1 0 1 0 0 0 1 0 1 0 0 0 0 0 0 1 1 1 0 1 1 \n    1 0 1 0 0 1 1 0]\n[0 0 0 0 0 0 0 0 0 0 0 0 0 0 0 0 0 0 0 0 0 0 0 0 0 0 0 0 0 1 0 0 0 0 0 0 0 1 1 0\n    1 0 0 0 0 0 1 0 0 0 1 1 1 0 0 1 1 1 0 1 1 1 0 0 1 0 1 1 0 0 1 0 1 1 0 1 1 0 \n    1 0 0 1 0 0 0 0]\n[0 0 0 0 0 0 0 0 0 0 0 0 0 0 0 0 0 0 0 0 0 0 0 0 0 0 0 0 0 0 1 0 0 0 0 0 0 0 1 1\n    0 1 0 0 0 0 0 1 0 0 0 1 1 1 0 0 1 1 1 0 1 1 1 0 0 1 0 1 1 0 0 1 0 1 1 0 1 1 \n    0 1 0 0 1 0 0 0]\n[0 0 0 0 0 0 0 0 0 0 0 0 0 0 0 0 0 0 0 0 0 0 0 0 0 0 0 0 0 0 0 1 0 0 0 0 0 1 0 1\n    1 1 0 0 0 1 0 0 0 0 0 0 1 0 1 0 1 1 0 0 0 0 1 1 1 0 0 1 1 1 0 1 1 1 0 1 0 0 \n    1 0 0 1 0 0 0 0]\n[0 0 0 0 0 0 0 0 0 0 0 0 0 0 0 0 0 0 0 0 0 0 0 0 0 0 0 0 0 0 0 0 1 0 0 0 0 0 0 1\n    1 0 0 0 0 1 0 1 0 0 0 1 0 0 0 0 0 0 1 0 0 0 0 1 1 1 1 0 1 1 0 1 0 0 1 0 0 0 \n    0 0 1 1 1 1 1 0]\n[0 0 0 0 0 0 0 0 0 0 0 0 0 0 0 0 0 0 0 0 0 0 0 0 0 0 0 0 0 0 0 0 0 1 0 0 0 1 1 1\n    1 1 0 0 0 0 0 1 0 0 0 1 1 0 0 1 1 1 1 0 0 1 0 0 1 1 1 0 0 1 0 0 0 0 1 1 1 1 \n    0 1 0 1 1 1 0 0]\n[0 0 0 0 0 0 0 0 0 0 0 0 0 0 0 0 0 0 0 0 0 0 0 0 0 0 0 0 0 0 0 0 0 0 1 0 0 1 1 1\n    1 0 0 0 0 1 0 0 0 0 0 0 1 0 0 0 0 1 0 0 0 1 1 0 1 1 0 0 0 0 1 1 0 1 1 1 1 0 \n    1 0 0 1 1 0 1 0]\n[0 0 0 0 0 0 0 0 0 0 0 0 0 0 0 0 0 0 0 0 0 0 0 0 0 0 0 0 0 0 0 0 0 0 0 1 0 1 0 0\n    1 1 0 0 0 1 1 1 0 1 0 0 1 1 1 0 1 0 1 1 1 0 1 0 0 0 1 0 1 0 0 0 0 1 1 1 1 1 \n    0 1 1 0 0 0 1 0]\n[0 0 0 0 0 0 0 0 0 0 0 0 0 0 0 0 0 0 0 0 0 0 0 0 0 0 0 0 0 0 0 0 0 0 0 0 1 1 1 0\n    0 0 0 0 0 1 1 1 0 0 1 0 0 0 1 1 1 1 1 0 1 0 0 1 0 0 1 0 0 1 0 1 0 1 0 1 1 0 \n    1 0 0 0 0 1 0 0]\n[0 0 0 0 0 0 0 0 0 0 0 0 0 0 0 0 0 0 0 0 0 0 0 0 0 0 0 0 0 0 0 0 0 0 0 0 0 0 0 0\n    0 0 1 0 0 0 0 0 0 0 0 0 0 0 0 0 0 0 0 0 0 0 0 0 0 0 0 0 0 0 0 0 0 0 0 0 0 0 \n    0 0 0 0 0 0 0 0]\n[0 0 0 0 0 0 0 0 0 0 0 0 0 0 0 0 0 0 0 0 0 0 0 0 0 0 0 0 0 0 0 0 0 0 0 0 0 0 0 0\n    0 0 0 1 0 1 1 0 1 1 0 1 1 0 1 1 0 1 1 0 1 1 0 1 1 1 0 1 1 0 1 1 0 1 1 0 1 1 \n    0 1 1 0 1 1 0 0]\n[0 0 0 0 0 0 0 0 0 0 0 0 0 0 0 0 0 0 0 0 0 0 0 0 0 0 0 0 0 0 0 0 0 0 0 0 0 0 0 0\n    0 0 0 0 1 1 0 1 1 0 1 1 0 1 1 0 1 1 0 1 1 0 1 1 1 0 1 1 0 1 1 0 1 1 0 1 1 0 \n    1 1 0 1 1 0 1 0]\n[[43, 6]] quantum code over GF(2^2), stabilised by:\n[1 0 0 0 0 0 0 0 0 0 0 0 0 0 0 0 0 0 1 1 0 $.1 $.1 1 $.1 $.1^2 $.1 $.1^2 $.1 0 \n    $.1 1 1 1 0 1 $.1^2 1 0 1 1 0 0]\n[$.1 0 0 0 0 0 0 0 0 0 0 0 0 0 0 0 0 0 $.1 $.1 0 $.1^2 $.1^2 $.1 $.1^2 1 $.1^2 1\n    $.1^2 0 $.1^2 $.1 $.1 $.1 0 $.1 1 $.1 0 $.1 $.1 0 0]\n[0 1 0 0 0 0 0 0 0 0 0 0 0 0 0 0 0 0 1 1 1 1 $.1 $.1 1 $.1 $.1 0 0 0 $.1 1 $.1 \n    $.1 1 1 0 $.1^2 $.1^2 1 $.1 0 0]\n[0 $.1 0 0 0 0 0 0 0 0 0 0 0 0 0 0 0 0 $.1 $.1 $.1 $.1 $.1^2 $.1^2 $.1 $.1^2 \n    $.1^2 0 0 0 $.1^2 $.1 $.1^2 $.1^2 $.1 $.1 0 1 1 $.1 $.1^2 0 0]\n[0 0 1 0 0 0 0 0 0 0 0 0 0 0 0 0 0 0 1 0 1 $.1 $.1^2 $.1^2 0 $.1 0 1 $.1 0 $.1 \n    $.1^2 0 $.1^2 $.1 0 $.1 1 $.1^2 $.1 0 $.1 0]\n[0 0 $.1 0 0 0 0 0 0 0 0 0 0 0 0 0 0 0 $.1 0 $.1 $.1^2 1 1 0 $.1^2 0 $.1 $.1^2 0\n    $.1^2 1 0 1 $.1^2 0 $.1^2 $.1 1 $.1^2 0 $.1^2 0]\n[0 0 0 1 0 0 0 0 0 0 0 0 0 0 0 0 0 0 0 0 0 1 0 $.1 1 $.1^2 1 1 0 0 0 0 1 $.1 \n    $.1^2 $.1 $.1 $.1^2 $.1^2 $.1^2 0 1 0]\n[0 0 0 $.1 0 0 0 0 0 0 0 0 0 0 0 0 0 0 0 0 0 $.1 0 $.1^2 $.1 1 $.1 $.1 0 0 0 0 \n    $.1 $.1^2 1 $.1^2 $.1^2 1 1 1 0 $.1 0]\n[0 0 0 0 1 0 0 0 0 0 0 0 0 0 0 0 0 0 1 0 0 0 1 0 $.1 1 $.1 $.1^2 $.1 $.1 $.1 \n    $.1^2 $.1^2 $.1 $.1 $.1 $.1^2 $.1 1 $.1 0 1 0]\n[0 0 0 0 $.1 0 0 0 0 0 0 0 0 0 0 0 0 0 $.1 0 0 0 $.1 0 $.1^2 $.1 $.1^2 1 $.1^2 \n    $.1^2 $.1^2 1 1 $.1^2 $.1^2 $.1^2 1 $.1^2 $.1 $.1^2 0 $.1 0]\n[0 0 0 0 0 1 0 0 0 0 0 0 0 0 0 0 0 0 0 1 0 1 0 1 0 $.1 1 $.1 $.1^2 $.1 $.1 $.1 \n    $.1^2 $.1^2 $.1 $.1 $.1 $.1^2 $.1 1 $.1 0 0]\n[0 0 0 0 0 $.1 0 0 0 0 0 0 0 0 0 0 0 0 0 $.1 0 $.1 0 $.1 0 $.1^2 $.1 $.1^2 1 \n    $.1^2 $.1^2 $.1^2 1 1 $.1^2 $.1^2 $.1^2 1 $.1^2 $.1 $.1^2 0 0]\n[0 0 0 0 0 0 1 0 0 0 0 0 0 0 0 0 0 0 0 0 1 0 1 0 1 0 $.1 1 $.1 $.1^2 $.1 $.1 $.1\n    $.1^2 $.1^2 $.1 $.1 $.1 $.1^2 $.1 1 $.1 0]\n[0 0 0 0 0 0 $.1 0 0 0 0 0 0 0 0 0 0 0 0 0 $.1 0 $.1 0 $.1 0 $.1^2 $.1 $.1^2 1 \n    $.1^2 $.1^2 $.1^2 1 1 $.1^2 $.1^2 $.1^2 1 $.1^2 $.1 $.1^2 0]\n[0 0 0 0 0 0 0 1 0 0 0 0 0 0 0 0 0 0 1 1 0 0 $.1 0 $.1 $.1 $.1 1 $.1^2 $.1 1 \n    $.1^2 $.1^2 $.1^2 $.1^2 $.1 1 $.1^2 $.1 $.1 $.1^2 1 0]\n[0 0 0 0 0 0 0 $.1 0 0 0 0 0 0 0 0 0 0 $.1 $.1 0 0 $.1^2 0 $.1^2 $.1^2 $.1^2 $.1\n    1 $.1^2 $.1 1 1 1 1 $.1^2 $.1 1 $.1^2 $.1^2 1 $.1 0]\n[0 0 0 0 0 0 0 0 1 0 0 0 0 0 0 0 0 0 1 1 1 0 0 $.1 0 $.1 $.1^2 0 $.1 1 0 $.1 0 0\n    $.1^2 $.1 $.1^2 1 1 $.1^2 1 $.1 0]\n[0 0 0 0 0 0 0 0 $.1 0 0 0 0 0 0 0 0 0 $.1 $.1 $.1 0 0 $.1^2 0 $.1^2 1 0 $.1^2 \n    $.1 0 $.1^2 0 0 1 $.1^2 1 $.1 $.1 1 $.1 $.1^2 0]\n[0 0 0 0 0 0 0 0 0 1 0 0 0 0 0 0 0 0 1 0 1 0 $.1 1 0 $.1^2 0 0 $.1 $.1 $.1^2 1 \n    $.1^2 1 0 $.1 1 $.1 1 0 $.1 1 0]\n[0 0 0 0 0 0 0 0 0 $.1 0 0 0 0 0 0 0 0 $.1 0 $.1 0 $.1^2 $.1 0 1 0 0 $.1^2 $.1^2\n    1 $.1 1 $.1 0 $.1^2 $.1 $.1^2 $.1 0 $.1^2 $.1 0]\n[0 0 0 0 0 0 0 0 0 0 1 0 0 0 0 0 0 0 0 0 0 $.1 $.1 $.1^2 $.1^2 $.1^2 0 1 1 0 $.1\n    1 $.1^2 1 1 0 0 0 0 1 $.1 $.1^2 0]\n[0 0 0 0 0 0 0 0 0 0 $.1 0 0 0 0 0 0 0 0 0 0 $.1^2 $.1^2 1 1 1 0 $.1 $.1 0 $.1^2\n    $.1 1 $.1 $.1 0 0 0 0 $.1 $.1^2 1 0]\n[0 0 0 0 0 0 0 0 0 0 0 1 0 0 0 0 0 0 1 0 0 $.1 $.1 $.1 $.1^2 $.1^2 $.1 $.1 $.1 \n    $.1^2 $.1 1 $.1 0 1 0 1 0 $.1 1 $.1 $.1^2 0]\n[0 0 0 0 0 0 0 0 0 0 0 $.1 0 0 0 0 0 0 $.1 0 0 $.1^2 $.1^2 $.1^2 1 1 $.1^2 $.1^2\n    $.1^2 1 $.1^2 $.1 $.1^2 0 $.1 0 $.1 0 $.1^2 $.1 $.1^2 1 0]\n[0 0 0 0 0 0 0 0 0 0 0 0 1 0 0 0 0 0 0 1 0 $.1^2 $.1 $.1 $.1 $.1^2 $.1^2 $.1 $.1\n    $.1 $.1^2 $.1 1 $.1 0 1 0 1 0 $.1 1 $.1 0]\n[0 0 0 0 0 0 0 0 0 0 0 0 $.1 0 0 0 0 0 0 $.1 0 1 $.1^2 $.1^2 $.1^2 1 1 $.1^2 \n    $.1^2 $.1^2 1 $.1^2 $.1 $.1^2 0 $.1 0 $.1 0 $.1^2 $.1 $.1^2 0]\n[0 0 0 0 0 0 0 0 0 0 0 0 0 1 0 0 0 0 0 0 1 $.1 $.1^2 $.1 $.1 $.1 $.1^2 $.1^2 $.1\n    $.1 $.1 $.1^2 $.1 1 $.1 0 1 0 1 0 $.1 1 0]\n[0 0 0 0 0 0 0 0 0 0 0 0 0 $.1 0 0 0 0 0 0 $.1 $.1^2 1 $.1^2 $.1^2 $.1^2 1 1 \n    $.1^2 $.1^2 $.1^2 1 $.1^2 $.1 $.1^2 0 $.1 0 $.1 0 $.1^2 $.1 0]\n[0 0 0 0 0 0 0 0 0 0 0 0 0 0 1 0 0 0 1 1 0 $.1^2 0 $.1 0 1 0 0 1 $.1 0 $.1^2 $.1\n    $.1^2 1 $.1^2 $.1^2 0 0 0 1 $.1 0]\n[0 0 0 0 0 0 0 0 0 0 0 0 0 0 $.1 0 0 0 $.1 $.1 0 1 0 $.1^2 0 $.1 0 0 $.1 $.1^2 0\n    1 $.1^2 1 $.1 1 1 0 0 0 $.1 $.1^2 0]\n[0 0 0 0 0 0 0 0 0 0 0 0 0 0 0 1 0 0 1 1 1 $.1^2 $.1^2 0 $.1 0 0 $.1 $.1^2 $.1^2\n    0 $.1^2 0 1 $.1^2 0 $.1 $.1^2 $.1 1 $.1^2 0 0]\n[0 0 0 0 0 0 0 0 0 0 0 0 0 0 0 $.1 0 0 $.1 $.1 $.1 1 1 0 $.1^2 0 0 $.1^2 1 1 0 1\n    0 $.1 1 0 $.1^2 1 $.1^2 $.1 1 0 0]\n[0 0 0 0 0 0 0 0 0 0 0 0 0 0 0 0 1 0 1 0 1 $.1 1 $.1 $.1 1 $.1 $.1^2 0 $.1^2 1 1\n    $.1 1 1 $.1 $.1^2 $.1^2 $.1^2 $.1^2 0 $.1^2 0]\n[0 0 0 0 0 0 0 0 0 0 0 0 0 0 0 0 $.1 0 $.1 0 $.1 $.1^2 $.1 $.1^2 $.1^2 $.1 $.1^2\n    1 0 1 $.1 $.1 $.1^2 $.1 $.1 $.1^2 1 1 1 1 0 1 0]\n[0 0 0 0 0 0 0 0 0 0 0 0 0 0 0 0 0 1 0 0 0 0 0 0 0 1 $.1 $.1^2 $.1 $.1 $.1^2 \n    $.1^2 $.1^2 0 1 1 0 $.1 1 $.1^2 1 1 0]\n[0 0 0 0 0 0 0 0 0 0 0 0 0 0 0 0 0 $.1 0 0 0 0 0 0 0 $.1 $.1^2 1 $.1^2 $.1^2 1 1\n    1 0 $.1 $.1 0 $.1^2 $.1 1 $.1 $.1 0]\n[0 0 0 0 0 0 0 0 0 0 0 0 0 0 0 0 0 0 0 0 0 0 0 0 0 0 0 0 0 0 0 0 0 0 0 0 0 0 0 0\n    0 0 1]\nQuantum GF(2)-Additive code over GF(4) of length 43 with 49 generators.\nLower Bound: 1, Upper Bound: 20\nConstructed 2 distinct generator matrices\nTotal Ranks:     25  25 \nRelative Ranks:  25  18 \n(4 4 4 4 4 4 4 4 4 4 4 4 4 4 4 4 4 4 4 4 4 4 4 4 2 )\n(4 4 4 4 4 4 4 4 4 4 4 4 4 4 4 4 4 4 4 4 4 4 4 4 2 )\nTime Taken: 0.00\nStarting search for low weight codewords... (reset timings)\nEnumerating using 1 generator at a time:\n     New codeword identified of weight 15, time 0.00\n     New codeword identified of weight 14, time 0.00\n     New codeword identified of weight 13, time 0.00\n     New codeword identified of weight 12, time 0.00\n     Impurity detected of weight 1, time 0.00\n   Completed Matrix  1:  lower =  2, upper = 12. Elapsed: 0.00s\n   Completed Matrix  2:  lower =  2, upper = 12. Elapsed: 0.00s\nTermination predicted with 9 generators at matrix 1\nEnumerating using 2 generators at a time:\n     New codeword identified of weight 11, time 0.00\n     New codeword identified of weight 9, time 0.00\n   Completed Matrix  1:  lower =  3, upper =  9. Elapsed: 0.00s\n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0.02s\nTermination predicted with 7 generators at matrix 2\nEnumerating using 5 generators at a time:\n   Completed Matrix  1:  lower =  6, upper =  9. Elapsed: 0.08s\n   Completed Matrix  2:  lower =  6, upper =  9. Elapsed: 0.14s\nTermination predicted with 7 generators at matrix 2\nEnumerating using 6 generators at a time:\n   Completed Matrix  1:  lower =  7, upper =  9. Elapsed: 0.76s\n   Completed Matrix  2:  lower =  7, upper =  9. Elapsed: 1.35s\nTermination predicted at 11 s with 7 generators at matrix 2\nEnumerating using 7 generators at a time:\n   Completed Matrix  1:  lower =  8, upper =  9. Elapsed: 6.20s\n   Completed Matrix  2:  lower =  9, upper =  9. Elapsed: 11.01s\nComputation complete \nFinal Results: lower = 9, upper = 9,\nTotal CPU time: 11.01, real time: 11.020\n9\n\nTotal time: 11.029 seconds, Total memory usage: 32.09MB\n</t>
  </si>
  <si>
    <t>7.5369881660008105</t>
  </si>
  <si>
    <t>Magma V2.28-26    Tue Dec 30 2025 12:11:11 on Marks-MacBook-Air-2 [Seed = \n3128955468]\nType ? for help.  Type &lt;Ctrl&gt;-D to quit.\n[1 0 0 0 0 0 0 0 0 0 0 0 0 0 0 0 0 0 0 0 0 0 0 0 0 0 0 0 0 0 0 0 0 0 0 0 0 1 0 1\n    0 1 1 0 0 0 0 0 1 0 1 0 1 1 1 1 0 1 1 0 0 1 0 0 1 0 0 0 1 0 1 1 0 0 1 1 0 0 \n    0 1 0 0 1 0 0 0 1 1]\n[0 1 0 0 0 0 0 0 0 0 0 0 0 0 0 0 0 0 0 0 0 0 0 0 0 0 0 0 0 0 0 0 0 0 0 0 0 0 0 0\n    0 0 0 0 1 0 0 0 1 1 1 0 0 0 1 0 1 0 0 1 1 1 1 0 0 0 0 1 1 0 0 0 1 0 1 0 0 1 \n    1 0 1 0 0 0 0 1 0 0]\n[0 0 1 0 0 0 0 0 0 0 0 0 0 0 0 0 0 0 0 0 0 0 0 0 0 0 0 0 0 0 0 0 0 0 0 0 0 0 1 0\n    0 0 1 0 1 0 0 1 1 1 1 1 0 0 0 1 0 0 0 1 0 0 0 0 0 0 1 0 1 1 1 0 1 0 1 0 0 0 \n    0 0 1 0 1 1 1 0 0 0]\n[0 0 0 1 0 0 0 0 0 0 0 0 0 0 0 0 0 0 0 0 0 0 0 0 0 0 0 0 0 0 0 0 0 0 0 0 0 0 0 0\n    0 0 0 0 1 0 0 1 0 0 1 0 0 0 0 0 0 1 0 0 1 1 0 0 1 1 1 0 1 1 1 0 1 0 1 0 1 1 \n    0 1 0 1 0 1 0 0 1 0]\n[0 0 0 0 1 0 0 0 0 0 0 0 0 0 0 0 0 0 0 0 0 0 0 0 0 0 0 0 0 0 0 0 0 0 0 0 0 1 1 1\n    0 1 1 0 1 0 0 1 0 1 0 1 0 0 0 1 1 0 0 1 0 1 0 0 0 1 1 0 0 0 1 0 0 0 0 1 1 0 \n    0 0 0 0 1 0 1 0 0 0]\n[0 0 0 0 0 1 0 0 0 0 0 0 0 0 0 0 0 0 0 0 0 0 0 0 0 0 0 0 0 0 0 0 0 0 0 0 0 0 1 0\n    0 0 1 0 0 1 1 1 1 1 1 0 0 1 1 0 1 1 0 0 0 0 1 1 1 0 1 1 0 0 1 0 1 0 0 1 0 0 \n    1 0 1 0 1 1 0 1 0 1]\n[0 0 0 0 0 0 1 0 0 0 0 0 0 0 0 0 0 0 0 0 0 0 0 0 0 0 0 0 0 0 0 0 0 0 0 0 0 1 1 0\n    0 0 1 0 0 1 0 1 1 0 1 1 1 1 1 0 1 0 1 1 1 1 1 1 0 0 0 1 0 0 1 1 1 1 0 1 0 0 \n    0 1 1 1 1 1 0 0 1 1]\n[0 0 0 0 0 0 0 1 0 0 0 0 0 0 0 0 0 0 0 0 0 0 0 0 0 0 0 0 0 0 0 0 0 0 0 0 0 0 1 0\n    0 0 0 1 1 0 1 0 0 1 0 0 0 1 1 1 1 0 1 0 0 1 1 0 1 0 1 0 1 0 0 0 0 0 0 1 1 1 \n    1 1 0 0 1 0 1 1 0 0]\n[0 0 0 0 0 0 0 0 1 0 0 0 0 0 0 0 0 0 0 0 0 0 0 0 0 0 0 0 0 0 0 0 0 0 0 0 0 0 0 1\n    0 1 0 1 0 1 0 1 0 0 0 0 0 1 0 0 0 0 0 1 1 1 1 1 1 0 1 1 1 0 0 0 0 1 0 1 0 0 \n    1 1 0 0 0 1 1 0 1 1]\n[0 0 0 0 0 0 0 0 0 1 0 0 0 0 0 0 0 0 0 0 0 0 0 0 0 0 0 0 0 0 0 0 0 0 0 0 0 1 0 0\n    0 1 0 1 0 1 1 1 0 0 0 1 0 1 0 0 1 0 1 1 1 0 1 0 0 0 0 1 1 0 1 0 0 0 1 0 0 0 \n    1 0 0 0 0 1 1 0 1 1]\n[0 0 0 0 0 0 0 0 0 0 1 0 0 0 0 0 0 0 0 0 0 0 0 0 0 0 0 0 0 0 0 0 0 0 0 0 0 0 1 0\n    0 0 0 1 0 1 1 0 0 1 1 1 1 1 1 1 0 0 0 0 0 1 1 0 0 1 0 1 0 1 1 0 1 1 1 0 1 0 \n    0 1 1 0 0 0 1 1 0 1]\n[0 0 0 0 0 0 0 0 0 0 0 1 0 0 0 0 0 0 0 0 0 0 0 0 0 0 0 0 0 0 0 0 0 0 0 0 0 1 1 1\n    0 1 0 1 1 1 1 0 1 0 0 0 1 1 0 1 0 1 1 0 0 1 0 0 0 0 1 0 1 0 1 0 0 0 1 1 0 0 \n    1 1 1 0 1 0 1 1 1 0]\n[0 0 0 0 0 0 0 0 0 0 0 0 1 0 0 0 0 0 0 0 0 0 0 0 0 0 0 0 0 0 0 0 0 0 0 0 0 1 1 1\n    0 0 1 0 0 1 0 1 1 1 0 0 1 1 0 1 1 0 1 1 1 1 0 1 0 0 1 0 0 0 1 0 0 0 0 0 0 1 \n    1 1 0 1 1 0 0 0 1 1]\n[0 0 0 0 0 0 0 0 0 0 0 0 0 1 0 0 0 0 0 0 0 0 0 0 0 0 0 0 0 0 0 0 0 0 0 0 0 0 1 1\n    0 1 0 1 0 1 1 0 0 0 0 1 1 0 1 0 0 0 0 0 0 0 1 0 1 0 0 1 1 1 0 0 1 0 0 1 1 1 \n    1 1 1 0 0 1 0 1 1 1]\n[0 0 0 0 0 0 0 0 0 0 0 0 0 0 1 0 0 0 0 0 0 0 0 0 0 0 0 0 0 0 0 0 0 0 0 0 0 1 1 0\n    0 0 0 1 1 0 0 1 1 1 0 0 1 1 1 1 0 1 0 1 0 1 0 1 1 0 0 1 1 0 0 0 1 0 0 1 0 0 \n    0 1 0 1 0 0 0 0 1 0]\n[0 0 0 0 0 0 0 0 0 0 0 0 0 0 0 1 0 0 0 0 0 0 0 0 0 0 0 0 0 0 0 0 0 0 0 0 0 0 1 0\n    0 1 0 1 1 0 1 0 0 0 0 0 0 1 0 1 1 1 1 1 0 0 0 0 1 1 1 1 1 1 1 0 1 0 0 1 1 0 \n    0 0 0 0 1 1 1 0 0 1]\n[0 0 0 0 0 0 0 0 0 0 0 0 0 0 0 0 1 0 0 0 0 0 0 0 0 0 0 0 0 0 0 0 0 0 0 0 0 1 0 1\n    0 1 0 1 0 0 1 1 0 1 1 0 0 1 1 0 0 1 1 0 0 1 1 1 0 1 1 1 0 0 0 1 1 1 1 1 0 1 \n    0 1 1 1 1 0 1 1 1 0]\n[0 0 0 0 0 0 0 0 0 0 0 0 0 0 0 0 0 1 0 0 0 0 0 0 0 0 0 0 0 0 0 0 0 0 0 0 0 1 0 1\n    0 0 1 1 1 1 1 0 0 0 1 1 0 1 0 1 0 0 1 1 1 0 0 1 0 0 1 0 1 0 1 0 1 0 0 0 1 0 \n    0 1 1 0 1 0 0 1 1 1]\n[0 0 0 0 0 0 0 0 0 0 0 0 0 0 0 0 0 0 1 0 0 0 0 0 0 0 0 0 0 0 0 0 0 0 0 0 0 1 0 1\n    0 0 1 1 0 1 0 1 0 0 0 0 0 0 1 1 0 0 1 0 1 0 0 0 1 1 0 0 0 1 1 0 1 1 0 0 0 1 \n    0 0 0 0 0 0 0 1 1 1]\n[0 0 0 0 0 0 0 0 0 0 0 0 0 0 0 0 0 0 0 1 0 0 0 0 0 0 0 0 0 0 0 0 0 0 0 0 0 0 1 1\n    0 0 0 1 1 0 1 1 0 1 0 1 0 1 1 1 0 1 0 1 0 0 0 1 0 1 0 0 0 0 1 0 1 0 1 0 0 1 \n    1 0 1 1 0 1 1 0 1 0]\n[0 0 0 0 0 0 0 0 0 0 0 0 0 0 0 0 0 0 0 0 1 0 0 0 0 0 0 0 0 0 0 0 0 0 0 0 0 1 0 0\n    0 1 0 0 1 1 0 0 1 0 1 0 1 1 1 0 0 1 0 1 0 0 1 0 0 0 0 1 0 1 1 0 0 0 0 1 1 0 \n    1 0 1 0 1 1 1 0 1 1]\n[0 0 0 0 0 0 0 0 0 0 0 0 0 0 0 0 0 0 0 0 0 1 0 0 0 0 0 0 0 0 0 0 0 0 0 0 0 1 0 1\n    0 1 0 1 1 1 0 1 0 0 1 1 0 0 1 1 1 0 0 1 0 1 0 0 1 0 0 0 0 0 1 1 0 1 1 0 0 0 \n    0 0 1 1 1 1 1 0 0 1]\n[0 0 0 0 0 0 0 0 0 0 0 0 0 0 0 0 0 0 0 0 0 0 1 0 0 0 0 0 0 0 0 0 0 0 0 0 0 0 1 0\n    0 1 0 1 0 1 0 1 0 0 1 0 0 0 1 0 0 0 0 1 0 0 0 1 0 1 1 0 1 0 1 1 0 0 0 0 0 0 \n    1 1 1 1 0 0 0 1 0 1]\n[0 0 0 0 0 0 0 0 0 0 0 0 0 0 0 0 0 0 0 0 0 0 0 1 0 0 0 0 0 0 0 0 0 0 0 0 0 0 1 0\n    0 0 1 1 0 1 1 1 0 1 1 0 0 1 1 0 0 0 0 0 1 1 0 0 1 0 0 0 0 0 1 0 0 1 0 1 0 0 \n    1 1 1 1 0 0 1 0 0 1]\n[0 0 0 0 0 0 0 0 0 0 0 0 0 0 0 0 0 0 0 0 0 0 0 0 1 0 0 0 0 0 0 0 0 0 0 0 0 1 1 1\n    0 0 1 1 1 1 1 0 0 1 1 1 0 0 0 1 0 0 0 0 1 1 1 0 1 0 1 1 1 0 0 0 1 1 0 0 0 0 \n    1 0 0 0 0 0 0 1 0 1]\n[0 0 0 0 0 0 0 0 0 0 0 0 0 0 0 0 0 0 0 0 0 0 0 0 0 1 0 0 0 0 0 0 0 0 0 0 0 0 1 0\n    0 1 0 1 1 1 0 1 0 1 1 1 0 1 0 0 1 0 0 0 0 1 1 1 0 0 1 0 0 1 0 0 0 1 1 1 1 0 \n    0 1 1 1 0 0 0 0 0 1]\n[0 0 0 0 0 0 0 0 0 0 0 0 0 0 0 0 0 0 0 0 0 0 0 0 0 0 1 0 0 0 0 0 0 0 0 0 0 0 0 1\n    0 0 0 1 1 0 1 0 0 0 1 1 0 1 1 0 1 0 0 0 1 0 0 0 0 0 1 0 1 0 0 0 1 0 0 0 1 0 \n    1 1 0 1 0 1 0 0 1 1]\n[0 0 0 0 0 0 0 0 0 0 0 0 0 0 0 0 0 0 0 0 0 0 0 0 0 0 0 1 0 0 0 0 0 0 0 0 0 1 0 0\n    0 0 0 0 0 0 1 1 0 1 1 1 1 0 1 0 1 0 0 1 1 1 1 1 0 1 1 0 0 0 0 1 0 0 0 1 0 0 \n    1 1 1 0 1 1 0 0 0 0]\n[0 0 0 0 0 0 0 0 0 0 0 0 0 0 0 0 0 0 0 0 0 0 0 0 0 0 0 0 1 0 0 0 0 0 0 0 0 1 1 0\n    0 0 1 0 0 1 0 1 0 0 1 1 0 1 1 1 0 0 0 0 0 0 1 1 1 0 1 0 1 1 0 0 1 0 1 1 1 1 \n    0 1 0 1 1 0 1 0 1 1]\n[0 0 0 0 0 0 0 0 0 0 0 0 0 0 0 0 0 0 0 0 0 0 0 0 0 0 0 0 0 1 0 0 0 0 0 0 0 0 1 1\n    0 0 1 0 0 0 0 0 0 0 0 0 0 0 0 0 1 0 0 1 0 0 0 0 1 0 1 1 0 0 1 0 0 1 1 0 1 0 \n    1 1 1 0 1 1 1 0 1 0]\n[0 0 0 0 0 0 0 0 0 0 0 0 0 0 0 0 0 0 0 0 0 0 0 0 0 0 0 0 0 0 1 0 0 0 0 0 0 0 0 1\n    0 1 0 0 0 0 1 0 0 1 1 0 1 1 1 0 0 1 0 0 1 0 0 1 0 1 0 1 1 0 1 0 1 1 0 1 1 0 \n    0 0 0 1 1 0 1 0 0 0]\n[0 0 0 0 0 0 0 0 0 0 0 0 0 0 0 0 0 0 0 0 0 0 0 0 0 0 0 0 0 0 0 1 0 0 0 0 0 0 0 0\n    0 1 1 1 1 1 1 1 0 0 1 0 1 0 0 1 1 1 1 0 0 0 0 0 0 0 0 0 0 0 0 0 1 1 0 0 0 0 \n    0 0 1 1 1 1 0 0 0 1]\n[0 0 0 0 0 0 0 0 0 0 0 0 0 0 0 0 0 0 0 0 0 0 0 0 0 0 0 0 0 0 0 0 1 0 0 0 0 1 0 1\n    0 0 0 1 0 0 0 1 0 1 1 0 0 1 1 1 0 1 1 1 0 1 0 1 1 0 0 0 0 1 1 0 1 1 1 0 0 1 \n    0 1 0 1 0 0 0 1 1 1]\n[0 0 0 0 0 0 0 0 0 0 0 0 0 0 0 0 0 0 0 0 0 0 0 0 0 0 0 0 0 0 0 0 0 1 0 0 0 0 0 0\n    0 0 1 0 0 1 0 0 1 0 1 0 1 1 1 1 0 0 0 0 0 0 1 1 0 0 0 1 1 0 0 0 0 1 1 0 1 1 \n    1 1 0 0 0 0 0 1 0 1]\n[0 0 0 0 0 0 0 0 0 0 0 0 0 0 0 0 0 0 0 0 0 0 0 0 0 0 0 0 0 0 0 0 0 0 1 0 0 0 1 0\n    0 0 0 0 0 1 0 0 0 1 1 0 0 0 0 0 1 0 1 1 1 0 1 0 1 1 1 0 0 0 0 1 1 0 0 0 0 0 \n    1 0 1 1 0 1 1 0 1 0]\n[0 0 0 0 0 0 0 0 0 0 0 0 0 0 0 0 0 0 0 0 0 0 0 0 0 0 0 0 0 0 0 0 0 0 0 1 0 1 1 0\n    0 0 0 0 1 0 1 0 1 1 0 1 0 1 0 1 1 1 0 0 1 1 1 1 0 0 1 0 0 1 1 1 0 1 1 1 0 0 \n    0 0 1 1 1 1 1 0 1 0]\n[0 0 0 0 0 0 0 0 0 0 0 0 0 0 0 0 0 0 0 0 0 0 0 0 0 0 0 0 0 0 0 0 0 0 0 0 1 0 0 1\n    0 1 0 1 1 0 0 1 1 0 0 1 1 0 1 1 0 0 1 0 0 0 1 0 0 1 1 1 0 0 1 1 0 0 0 1 0 1 \n    1 0 0 1 1 0 1 0 1 1]\n[0 0 0 0 0 0 0 0 0 0 0 0 0 0 0 0 0 0 0 0 0 0 0 0 0 0 0 0 0 0 0 0 0 0 0 0 0 0 0 0\n    1 1 0 1 0 1 1 0 1 0 0 1 1 0 0 1 0 0 0 0 0 0 0 0 0 0 0 0 1 1 1 1 1 1 0 1 1 1 \n    0 1 1 1 1 0 1 1 1 0]\n[[44, 6]] quantum code over GF(2^2), stabilised by:\n[1 0 0 0 0 0 0 0 0 0 0 0 0 0 0 0 0 0 $.1 0 $.1 $.1^2 0 $.1 1 $.1 $.1 $.1^2 0 \n    $.1^2 $.1^2 0 $.1 $.1 1 0 $.1 0 1 1 $.1^2 0 1 $.1^2]\n[$.1 0 0 0 0 0 0 0 0 0 0 0 0 0 0 0 0 0 $.1 0 0 $.1^2 0 $.1 $.1 $.1 0 $.1 0 0 $.1\n    $.1^2 $.1 $.1^2 1 $.1^2 0 0 $.1 1 $.1 $.1 0 $.1]\n[0 1 0 0 0 0 0 0 0 0 0 0 0 0 0 0 0 0 0 0 0 $.1^2 $.1^2 $.1 $.1^2 $.1 1 $.1 1 \n    $.1^2 0 $.1^2 $.1^2 1 1 $.1 $.1^2 $.1 1 $.1 1 1 $.1^2 $.1]\n[0 $.1 0 0 0 0 0 0 0 0 0 0 0 0 0 0 0 0 $.1 0 1 1 $.1^2 $.1^2 1 $.1 $.1^2 0 $.1 1\n    $.1 $.1 1 0 $.1^2 0 $.1 $.1 1 $.1^2 1 0 1 $.1^2]\n[0 0 1 0 0 0 0 0 0 0 0 0 0 0 0 0 0 0 $.1 0 $.1 1 1 1 $.1 $.1 $.1 0 0 $.1 $.1 $.1\n    $.1^2 $.1^2 0 1 $.1^2 1 0 $.1^2 $.1 $.1^2 $.1^2 1]\n[0 0 $.1 0 0 0 0 0 0 0 0 0 0 0 0 0 0 0 $.1 0 $.1^2 $.1 $.1 0 $.1 0 $.1 $.1^2 1 \n    $.1 $.1 $.1 0 $.1^2 $.1 1 0 $.1 $.1 $.1 1 0 0 $.1^2]\n[0 0 0 1 0 0 0 0 0 0 0 0 0 0 0 0 0 0 $.1 0 1 0 1 $.1 $.1^2 1 1 1 1 $.1^2 0 $.1 1\n    $.1 $.1^2 1 $.1 0 $.1^2 $.1 $.1 $.1^2 1 $.1^2]\n[0 0 0 $.1 0 0 0 0 0 0 0 0 0 0 0 0 0 0 0 0 $.1 1 $.1 1 $.1 $.1^2 $.1 1 $.1^2 \n    $.1^2 1 $.1^2 $.1^2 $.1 $.1 $.1^2 0 $.1^2 1 $.1 $.1^2 1 $.1 0]\n[0 0 0 0 1 0 0 0 0 0 0 0 0 0 0 0 0 0 1 0 1 1 $.1 0 0 $.1 0 1 0 1 $.1 0 $.1 $.1 1\n    1 0 $.1 0 0 0 $.1^2 $.1^2 $.1]\n[0 0 0 0 $.1 0 0 0 0 0 0 0 0 0 0 0 0 0 $.1 0 1 0 1 0 $.1 0 0 0 $.1 $.1^2 $.1^2 0\n    0 0 $.1^2 $.1 $.1^2 $.1^2 $.1^2 $.1^2 1 1 $.1^2 $.1^2]\n[0 0 0 0 0 1 0 0 0 0 0 0 0 0 0 0 0 0 $.1^2 0 1 $.1 $.1^2 0 1 1 1 1 $.1 1 $.1^2 \n    $.1 $.1 0 0 $.1^2 $.1^2 1 $.1 0 $.1 1 0 0]\n[0 0 0 0 0 $.1 0 0 0 0 0 0 0 0 0 0 0 0 $.1 0 0 1 0 $.1^2 1 $.1 0 1 $.1^2 1 $.1 \n    $.1 1 $.1 $.1 $.1^2 $.1^2 0 1 1 0 0 $.1 1]\n[0 0 0 0 0 0 1 0 0 0 0 0 0 0 0 0 0 0 $.1^2 0 $.1 1 1 1 $.1 $.1 $.1^2 1 0 1 $.1 \n    $.1 $.1^2 1 $.1 1 $.1^2 0 1 0 $.1 1 $.1^2 $.1^2]\n[0 0 0 0 0 0 $.1 0 0 0 0 0 0 0 0 0 0 0 0 0 $.1 $.1 $.1 $.1 $.1^2 0 $.1 $.1 $.1 \n    $.1 0 $.1^2 0 $.1^2 $.1 1 $.1^2 0 0 0 $.1^2 $.1^2 $.1^2 0]\n[0 0 0 0 0 0 0 1 0 0 0 0 0 0 0 0 0 0 $.1^2 0 $.1 $.1^2 $.1^2 $.1^2 0 $.1^2 $.1 1\n    $.1 $.1 1 0 1 $.1^2 0 $.1 $.1^2 $.1 $.1 1 $.1 $.1^2 $.1^2 0]\n[0 0 0 0 0 0 0 $.1 0 0 0 0 0 0 0 0 0 0 $.1^2 0 1 $.1 $.1^2 1 $.1^2 $.1^2 $.1 1 \n    $.1 $.1^2 $.1 1 0 1 $.1 0 $.1 0 1 1 $.1 0 $.1 0]\n[0 0 0 0 0 0 0 0 1 0 0 0 0 0 0 0 0 0 0 0 0 1 $.1 $.1 0 $.1^2 $.1^2 1 $.1^2 1 \n    $.1^2 1 $.1^2 $.1^2 $.1^2 $.1^2 1 $.1^2 $.1^2 1 $.1^2 $.1^2 $.1 $.1]\n[0 0 0 0 0 0 0 0 $.1 0 0 0 0 0 0 0 0 0 1 0 0 $.1^2 $.1 $.1 $.1^2 $.1 0 0 0 1 0 0\n    $.1^2 $.1 1 1 1 $.1^2 0 0 $.1 $.1 1 $.1^2]\n[0 0 0 0 0 0 0 0 0 1 0 0 0 0 0 0 0 0 1 0 1 $.1 0 0 $.1^2 $.1^2 0 0 $.1 0 1 0 \n    $.1^2 0 1 1 0 $.1 $.1 0 $.1 $.1 0 1]\n[0 0 0 0 0 0 0 0 0 $.1 0 0 0 0 0 0 0 0 $.1 0 1 $.1 $.1^2 $.1^2 0 1 $.1 $.1 1 1 0\n    1 1 1 $.1 1 0 0 0 0 1 1 1 0]\n[0 0 0 0 0 0 0 0 0 0 1 0 0 0 0 0 0 0 $.1^2 0 0 $.1^2 $.1^2 1 0 $.1 0 1 $.1 $.1^2\n    1 1 $.1 $.1^2 $.1 $.1 0 1 0 0 1 $.1^2 $.1^2 $.1^2]\n[0 0 0 0 0 0 0 0 0 0 $.1 0 0 0 0 0 0 0 1 0 0 0 1 $.1 $.1^2 $.1 1 0 $.1^2 1 0 1 0\n    $.1^2 $.1 $.1^2 0 $.1 1 0 $.1 0 $.1 $.1^2]\n[0 0 0 0 0 0 0 0 0 0 0 1 0 0 0 0 0 0 1 0 0 1 0 $.1^2 0 0 0 $.1 $.1 $.1^2 1 1 1 \n    $.1 $.1^2 0 1 $.1 0 1 $.1 $.1^2 0 1]\n[0 0 0 0 0 0 0 0 0 0 0 $.1 0 0 0 0 0 0 0 0 $.1 $.1 1 0 $.1^2 1 1 0 1 0 1 $.1^2 0\n    $.1 1 0 0 $.1 $.1^2 $.1^2 $.1 0 $.1^2 1]\n[0 0 0 0 0 0 0 0 0 0 0 0 1 0 0 0 0 0 1 0 $.1^2 $.1 $.1 1 $.1^2 0 $.1^2 1 $.1^2 \n    $.1 $.1^2 $.1 $.1 $.1 1 0 $.1^2 0 $.1^2 0 $.1^2 $.1 1 0]\n[0 0 0 0 0 0 0 0 0 0 0 0 $.1 0 0 0 0 0 $.1^2 0 $.1 0 $.1 0 0 1 1 1 1 1 $.1^2 1 1\n    0 1 $.1^2 $.1 $.1^2 $.1^2 1 1 $.1 0 0]\n[0 0 0 0 0 0 0 0 0 0 0 0 0 1 0 0 0 0 1 0 1 $.1 1 0 $.1 $.1^2 $.1 $.1 0 0 $.1 $.1\n    0 1 $.1 1 $.1^2 1 $.1 $.1^2 $.1 1 $.1 $.1^2]\n[0 0 0 0 0 0 0 0 0 0 0 0 0 $.1 0 0 0 0 1 0 $.1 1 0 0 $.1 $.1 $.1^2 $.1^2 1 $.1^2\n    $.1 1 0 0 $.1^2 $.1 1 $.1 $.1^2 1 1 0 $.1 0]\n[0 0 0 0 0 0 0 0 0 0 0 0 0 0 1 0 0 0 0 0 $.1^2 1 1 0 0 1 $.1 0 1 1 0 $.1^2 $.1 1\n    $.1^2 1 0 1 1 0 0 1 0 $.1^2]\n[0 0 0 0 0 0 0 0 0 0 0 0 0 0 $.1 0 0 0 1 0 0 $.1^2 0 0 $.1 $.1^2 $.1 0 1 $.1^2 \n    $.1^2 1 $.1 1 $.1 0 1 1 1 $.1^2 $.1 1 1 $.1^2]\n[0 0 0 0 0 0 0 0 0 0 0 0 0 0 0 1 0 0 $.1 0 $.1 1 0 1 1 1 0 0 $.1^2 0 $.1 1 1 $.1\n    $.1^2 $.1^2 $.1 $.1^2 1 $.1^2 $.1^2 $.1^2 $.1 0]\n[0 0 0 0 0 0 0 0 0 0 0 0 0 0 0 $.1 0 0 $.1^2 0 0 0 0 $.1 0 1 $.1^2 1 1 $.1 1 1 \n    $.1^2 0 $.1^2 1 0 $.1^2 0 $.1 $.1^2 $.1 $.1^2 0]\n[0 0 0 0 0 0 0 0 0 0 0 0 0 0 0 0 1 0 $.1^2 0 $.1^2 $.1 1 0 1 $.1 $.1 0 1 0 $.1 \n    $.1 $.1 1 0 0 $.1 $.1^2 $.1^2 $.1^2 $.1 $.1^2 0 0]\n[0 0 0 0 0 0 0 0 0 0 0 0 0 0 0 0 $.1 0 $.1^2 0 $.1^2 $.1^2 1 0 1 $.1^2 1 1 0 $.1\n    1 $.1 0 0 0 0 $.1^2 1 $.1^2 0 0 $.1 0 1]\n[0 0 0 0 0 0 0 0 0 0 0 0 0 0 0 0 0 1 $.1 0 0 0 0 $.1^2 $.1 0 $.1^2 0 0 $.1^2 0 \n    $.1^2 0 $.1 $.1 $.1^2 0 $.1 $.1^2 1 1 0 $.1 1]\n[0 0 0 0 0 0 0 0 0 0 0 0 0 0 0 0 0 $.1 $.1 0 $.1 0 $.1 $.1^2 1 $.1^2 1 $.1 $.1^2\n    $.1^2 $.1 $.1 $.1 $.1 1 0 $.1^2 $.1 0 $.1 1 1 0 0]\n[0 0 0 0 0 0 0 0 0 0 0 0 0 0 0 0 0 0 0 1 0 0 1 $.1 $.1^2 $.1^2 1 0 $.1^2 1 $.1^2\n    0 $.1^2 1 $.1 1 1 0 1 1 $.1^2 $.1^2 0 0]\n[0 0 0 0 0 0 0 0 0 0 0 0 0 0 0 0 0 0 0 $.1 1 0 1 0 1 $.1 $.1^2 0 1 $.1^2 $.1 $.1\n    1 $.1 0 $.1 $.1^2 $.1 0 $.1^2 0 $.1^2 1 $.1^2]\nQuantum GF(2)-Additive code over GF(4) of length 44 with 50 generators.\nLower Bound: 1, Upper Bound: 20\nConstructed 2 distinct generator matrices\nTotal Ranks:     25  25 \nRelative Ranks:  25  19 \n(4 4 4 4 4 4 4 4 4 4 4 4 4 4 4 4 4 4 4 4 4 4 4 4 4 )\n(4 4 4 4 4 4 4 4 4 4 4 4 4 4 4 4 4 4 4 4 4 4 4 4 4 )\nTime Taken: 0.00\nStarting search for low weight codewords... (reset timings)\nEnumerating using 1 generator at a time:\n     New codeword identified of weight 13, time 0.00\n     New codeword identified of weight 12, time 0.00\n   Completed Matrix  1:  lower =  2, upper = 12. Elapsed: 0.00s\n     New codeword identified of weight 11, time 0.00\n   Completed Matrix  2:  lower =  2, upper = 11. Elapsed: 0.00s\nTermination predicted with 8 generators at matrix 1\nEnumerating using 2 generators at a time:\n     New codeword identified of weight 9, time 0.00\n   Completed Matrix  1:  lower =  3, upper =  9. Elapsed: 0.00s\n   Completed Matrix  2:  lower =  3, upper =  9. Elapsed: 0.00s\nTermination predicted with 7 generators at matrix 1\nEnumerating using 3 generators at a time:\n   Completed Matrix  1:  lower =  4, upper =  9. Elapsed: 0.00s\n   Completed Matrix  2:  lower =  4, upper =  9. Elapsed: 0.00s\nTermination predicted with 7 generators at matrix 1\nEnumerating using 4 generators at a time:\n   Completed Matrix  1:  lower =  5, upper =  9. Elapsed: 0.00s\n   Completed Matrix  2:  lower =  5, upper =  9. Elapsed: 0.02s\nTermination predicted with 7 generators at matrix 1\nEnumerating using 5 generators at a time:\n   Completed Matrix  1:  lower =  6, upper =  9. Elapsed: 0.10s\n   Completed Matrix  2:  lower =  6, upper =  9. Elapsed: 0.17s\nTermination predicted with 7 generators at matrix 1\nEnumerating using 6 generators at a time:\n   Completed Matrix  1:  lower =  7, upper =  9. Elapsed: 0.89s\n   Completed Matrix  2:  lower =  8, upper =  9. Elapsed: 1.60s\nTermination predicted at 8 s with 7 generators at matrix 1\nEnumerating using 7 generators at a time:\n   Completed Matrix  1:  lower =  9, upper =  9. Elapsed: 7.46s\nComputation complete \nFinal Results: lower = 9, upper = 9,\nTotal CPU time: 7.46, real time: 7.480\n9\n\nTotal time: 7.470 seconds, Total memory usage: 32.09MB\n</t>
  </si>
  <si>
    <t>15.035402749999776</t>
  </si>
  <si>
    <t>Magma V2.28-26    Tue Dec 30 2025 12:11:18 on Marks-MacBook-Air-2 [Seed = \n2995264124]\nType ? for help.  Type &lt;Ctrl&gt;-D to quit.\n[1 0 0 0 0 0 0 0 0 0 0 0 0 0 0 0 0 0 0 0 0 0 0 0 0 0 0 0 0 0 0 0 0 0 0 0 0 1 0 1\n    0 1 1 0 0 0 0 0 0 1 0 1 0 1 1 1 1 0 1 1 0 0 1 0 0 1 0 0 0 1 0 1 1 0 0 1 1 0 \n    0 0 1 0 0 1 0 0 0 1 1 0]\n[0 1 0 0 0 0 0 0 0 0 0 0 0 0 0 0 0 0 0 0 0 0 0 0 0 0 0 0 0 0 0 0 0 0 0 0 0 0 0 0\n    0 0 0 0 0 1 0 0 0 1 1 1 0 0 0 1 0 1 0 0 1 1 1 1 0 0 0 0 1 1 0 0 0 1 0 1 0 0 \n    1 1 0 1 0 0 0 0 1 0 0 0]\n[0 0 1 0 0 0 0 0 0 0 0 0 0 0 0 0 0 0 0 0 0 0 0 0 0 0 0 0 0 0 0 0 0 0 0 0 0 0 1 0\n    0 0 1 0 0 1 0 0 1 1 1 1 1 0 0 0 1 0 0 0 1 0 0 0 0 0 0 1 0 1 1 1 0 1 0 1 0 0 \n    0 0 0 1 0 1 1 1 0 0 0 0]\n[0 0 0 1 0 0 0 0 0 0 0 0 0 0 0 0 0 0 0 0 0 0 0 0 0 0 0 0 0 0 0 0 0 0 0 0 0 0 0 0\n    0 0 0 0 0 1 0 0 1 0 0 1 0 0 0 0 0 0 1 0 0 1 1 0 0 1 1 1 0 1 1 1 0 1 0 1 0 1 \n    1 0 1 0 1 0 1 0 0 1 0 0]\n[0 0 0 0 1 0 0 0 0 0 0 0 0 0 0 0 0 0 0 0 0 0 0 0 0 0 0 0 0 0 0 0 0 0 0 0 0 1 1 1\n    0 1 1 0 0 1 0 0 1 0 1 0 1 0 0 0 1 1 0 0 1 0 1 0 0 0 1 1 0 0 0 1 0 0 0 0 1 1 \n    0 0 0 0 0 1 0 1 0 0 0 0]\n[0 0 0 0 0 1 0 0 0 0 0 0 0 0 0 0 0 0 0 0 0 0 0 0 0 0 0 0 0 0 0 0 0 0 0 0 0 0 1 0\n    0 0 1 0 0 0 1 1 1 1 1 1 0 0 1 1 0 1 1 0 0 0 0 1 1 1 0 1 1 0 0 1 0 1 0 0 1 0 \n    0 1 0 1 0 1 1 0 1 0 1 0]\n[0 0 0 0 0 0 1 0 0 0 0 0 0 0 0 0 0 0 0 0 0 0 0 0 0 0 0 0 0 0 0 0 0 0 0 0 0 1 1 0\n    0 0 1 0 0 0 1 0 1 1 0 1 1 1 1 1 0 1 0 1 1 1 1 1 1 0 0 0 1 0 0 1 1 1 1 0 1 0 \n    0 0 1 1 1 1 1 0 0 1 1 0]\n[0 0 0 0 0 0 0 1 0 0 0 0 0 0 0 0 0 0 0 0 0 0 0 0 0 0 0 0 0 0 0 0 0 0 0 0 0 0 1 0\n    0 0 0 1 0 1 0 1 0 0 1 0 0 0 1 1 1 1 0 1 0 0 1 1 0 1 0 1 0 1 0 0 0 0 0 0 1 1 \n    1 1 1 0 0 1 0 1 1 0 0 0]\n[0 0 0 0 0 0 0 0 1 0 0 0 0 0 0 0 0 0 0 0 0 0 0 0 0 0 0 0 0 0 0 0 0 0 0 0 0 0 0 1\n    0 1 0 1 0 0 1 0 1 0 0 0 0 0 1 0 0 0 0 0 1 1 1 1 1 1 0 1 1 1 0 0 0 0 1 0 1 0 \n    0 1 1 0 0 0 1 1 0 1 1 0]\n[0 0 0 0 0 0 0 0 0 1 0 0 0 0 0 0 0 0 0 0 0 0 0 0 0 0 0 0 0 0 0 0 0 0 0 0 0 1 0 0\n    0 1 0 1 0 0 1 1 1 0 0 0 1 0 1 0 0 1 0 1 1 1 0 1 0 0 0 0 1 1 0 1 0 0 0 1 0 0 \n    0 1 0 0 0 0 1 1 0 1 1 0]\n[0 0 0 0 0 0 0 0 0 0 1 0 0 0 0 0 0 0 0 0 0 0 0 0 0 0 0 0 0 0 0 0 0 0 0 0 0 0 1 0\n    0 0 0 1 0 0 1 1 0 0 1 1 1 1 1 1 1 0 0 0 0 0 1 1 0 0 1 0 1 0 1 1 0 1 1 1 0 1 \n    0 0 1 1 0 0 0 1 1 0 1 0]\n[0 0 0 0 0 0 0 0 0 0 0 1 0 0 0 0 0 0 0 0 0 0 0 0 0 0 0 0 0 0 0 0 0 0 0 0 0 1 1 1\n    0 1 0 1 0 1 1 1 0 1 0 0 0 1 1 0 1 0 1 1 0 0 1 0 0 0 0 1 0 1 0 1 0 0 0 1 1 0 \n    0 1 1 1 0 1 0 1 1 1 0 0]\n[0 0 0 0 0 0 0 0 0 0 0 0 1 0 0 0 0 0 0 0 0 0 0 0 0 0 0 0 0 0 0 0 0 0 0 0 0 1 1 1\n    0 0 1 0 0 0 1 0 1 1 1 0 0 1 1 0 1 1 0 1 1 1 1 0 1 0 0 1 0 0 0 1 0 0 0 0 0 0 \n    1 1 1 0 1 1 0 0 0 1 1 0]\n[0 0 0 0 0 0 0 0 0 0 0 0 0 1 0 0 0 0 0 0 0 0 0 0 0 0 0 0 0 0 0 0 0 0 0 0 0 0 1 1\n    0 1 0 1 0 0 1 1 0 0 0 0 1 1 0 1 0 0 0 0 0 0 0 1 0 1 0 0 1 1 1 0 0 1 0 0 1 1 \n    1 1 1 1 0 0 1 0 1 1 1 0]\n[0 0 0 0 0 0 0 0 0 0 0 0 0 0 1 0 0 0 0 0 0 0 0 0 0 0 0 0 0 0 0 0 0 0 0 0 0 1 1 0\n    0 0 0 1 0 1 0 0 1 1 1 0 0 1 1 1 1 0 1 0 1 0 1 0 1 1 0 0 1 1 0 0 0 1 0 0 1 0 \n    0 0 1 0 1 0 0 0 0 1 0 0]\n[0 0 0 0 0 0 0 0 0 0 0 0 0 0 0 1 0 0 0 0 0 0 0 0 0 0 0 0 0 0 0 0 0 0 0 0 0 0 1 0\n    0 1 0 1 0 1 0 1 0 0 0 0 0 0 1 0 1 1 1 1 1 0 0 0 0 1 1 1 1 1 1 1 0 1 0 0 1 1 \n    0 0 0 0 0 1 1 1 0 0 1 0]\n[0 0 0 0 0 0 0 0 0 0 0 0 0 0 0 0 1 0 0 0 0 0 0 0 0 0 0 0 0 0 0 0 0 0 0 0 0 1 0 1\n    0 1 0 1 0 0 0 1 1 0 1 1 0 0 1 1 0 0 1 1 0 0 1 1 1 0 1 1 1 0 0 0 1 1 1 1 1 0 \n    1 0 1 1 1 1 0 1 1 1 0 0]\n[0 0 0 0 0 0 0 0 0 0 0 0 0 0 0 0 0 1 0 0 0 0 0 0 0 0 0 0 0 0 0 0 0 0 0 0 0 1 0 1\n    0 0 1 1 0 1 1 1 0 0 0 1 1 0 1 0 1 0 0 1 1 1 0 0 1 0 0 1 0 1 0 1 0 1 0 0 0 1 \n    0 0 1 1 0 1 0 0 1 1 1 0]\n[0 0 0 0 0 0 0 0 0 0 0 0 0 0 0 0 0 0 1 0 0 0 0 0 0 0 0 0 0 0 0 0 0 0 0 0 0 1 0 1\n    0 0 1 1 0 0 1 0 1 0 0 0 0 0 0 1 1 0 0 1 0 1 0 0 0 1 1 0 0 0 1 1 0 1 1 0 0 0 \n    1 0 0 0 0 0 0 0 1 1 1 0]\n[0 0 0 0 0 0 0 0 0 0 0 0 0 0 0 0 0 0 0 1 0 0 0 0 0 0 0 0 0 0 0 0 0 0 0 0 0 0 1 1\n    0 0 0 1 0 1 0 1 1 0 1 0 1 0 1 1 1 0 1 0 1 0 0 0 1 0 1 0 0 0 0 1 0 1 0 1 0 0 \n    1 1 0 1 1 0 1 1 0 1 0 0]\n[0 0 0 0 0 0 0 0 0 0 0 0 0 0 0 0 0 0 0 0 1 0 0 0 0 0 0 0 0 0 0 0 0 0 0 0 0 1 0 0\n    0 1 0 0 0 1 1 0 0 1 0 1 0 1 1 1 0 0 1 0 1 0 0 1 0 0 0 0 1 0 1 1 0 0 0 0 1 1 \n    0 1 0 1 0 1 1 1 0 1 1 0]\n[0 0 0 0 0 0 0 0 0 0 0 0 0 0 0 0 0 0 0 0 0 1 0 0 0 0 0 0 0 0 0 0 0 0 0 0 0 1 0 1\n    0 1 0 1 0 1 1 0 1 0 0 1 1 0 0 1 1 1 0 0 1 0 1 0 0 1 0 0 0 0 0 1 1 0 1 1 0 0 \n    0 0 0 1 1 1 1 1 0 0 1 0]\n[0 0 0 0 0 0 0 0 0 0 0 0 0 0 0 0 0 0 0 0 0 0 1 0 0 0 0 0 0 0 0 0 0 0 0 0 0 0 1 0\n    0 1 0 1 0 0 1 0 1 0 0 1 0 0 0 1 0 0 0 0 1 0 0 0 1 0 1 1 0 1 0 1 1 0 0 0 0 0 \n    0 1 1 1 1 0 0 0 1 0 1 0]\n[0 0 0 0 0 0 0 0 0 0 0 0 0 0 0 0 0 0 0 0 0 0 0 1 0 0 0 0 0 0 0 0 0 0 0 0 0 0 1 0\n    0 0 1 1 0 0 1 1 1 0 1 1 0 0 1 1 0 0 0 0 0 1 1 0 0 1 0 0 0 0 0 1 0 0 1 0 1 0 \n    0 1 1 1 1 0 0 1 0 0 1 0]\n[0 0 0 0 0 0 0 0 0 0 0 0 0 0 0 0 0 0 0 0 0 0 0 0 1 0 0 0 0 0 0 0 0 0 0 0 0 1 1 1\n    0 0 1 1 0 1 1 1 0 0 1 1 1 0 0 0 1 0 0 0 0 1 1 1 0 1 0 1 1 1 0 0 0 1 1 0 0 0 \n    0 1 0 0 0 0 0 0 1 0 1 0]\n[0 0 0 0 0 0 0 0 0 0 0 0 0 0 0 0 0 0 0 0 0 0 0 0 0 1 0 0 0 0 0 0 0 0 0 0 0 0 1 0\n    0 1 0 1 0 1 1 0 1 0 1 1 1 0 1 0 0 1 0 0 0 0 1 1 1 0 0 1 0 0 1 0 0 0 1 1 1 1 \n    0 0 1 1 1 0 0 0 0 0 1 0]\n[0 0 0 0 0 0 0 0 0 0 0 0 0 0 0 0 0 0 0 0 0 0 0 0 0 0 1 0 0 0 0 0 0 0 0 0 0 0 0 1\n    0 0 0 1 0 1 0 1 0 0 0 1 1 0 1 1 0 1 0 0 0 1 0 0 0 0 0 1 0 1 0 0 0 1 0 0 0 1 \n    0 1 1 0 1 0 1 0 0 1 1 0]\n[0 0 0 0 0 0 0 0 0 0 0 0 0 0 0 0 0 0 0 0 0 0 0 0 0 0 0 1 0 0 0 0 0 0 0 0 0 1 0 0\n    0 0 0 0 0 0 0 1 1 0 1 1 1 1 0 1 0 1 0 0 1 1 1 1 1 0 1 1 0 0 0 0 1 0 0 0 1 0 \n    0 1 1 1 0 1 1 0 0 0 0 0]\n[0 0 0 0 0 0 0 0 0 0 0 0 0 0 0 0 0 0 0 0 0 0 0 0 0 0 0 0 1 0 0 0 0 0 0 0 0 1 1 0\n    0 0 1 0 0 0 1 0 1 0 0 1 1 0 1 1 1 0 0 0 0 0 0 1 1 1 0 1 0 1 1 0 0 1 0 1 1 1 \n    1 0 1 0 1 1 0 1 0 1 1 0]\n[0 0 0 0 0 0 0 0 0 0 0 0 0 0 0 0 0 0 0 0 0 0 0 0 0 0 0 0 0 1 0 0 0 0 0 0 0 0 1 1\n    0 0 1 0 0 0 0 0 0 0 0 0 0 0 0 0 0 1 0 0 1 0 0 0 0 1 0 1 1 0 0 1 0 0 1 1 0 1 \n    0 1 1 1 0 1 1 1 0 1 0 0]\n[0 0 0 0 0 0 0 0 0 0 0 0 0 0 0 0 0 0 0 0 0 0 0 0 0 0 0 0 0 0 1 0 0 0 0 0 0 0 0 1\n    0 1 0 0 0 0 0 1 0 0 1 1 0 1 1 1 0 0 1 0 0 1 0 0 1 0 1 0 1 1 0 1 0 1 1 0 1 1 \n    0 0 0 0 1 1 0 1 0 0 0 0]\n[0 0 0 0 0 0 0 0 0 0 0 0 0 0 0 0 0 0 0 0 0 0 0 0 0 0 0 0 0 0 0 1 0 0 0 0 0 0 0 0\n    0 1 1 1 0 1 1 1 1 0 0 1 0 1 0 0 1 1 1 1 0 0 0 0 0 0 0 0 0 0 0 0 0 1 1 0 0 0 \n    0 0 0 1 1 1 1 0 0 0 1 0]\n[0 0 0 0 0 0 0 0 0 0 0 0 0 0 0 0 0 0 0 0 0 0 0 0 0 0 0 0 0 0 0 0 1 0 0 0 0 1 0 1\n    0 0 0 1 0 0 0 0 1 0 1 1 0 0 1 1 1 0 1 1 1 0 1 0 1 1 0 0 0 0 1 1 0 1 1 1 0 0 \n    1 0 1 0 1 0 0 0 1 1 1 0]\n[0 0 0 0 0 0 0 0 0 0 0 0 0 0 0 0 0 0 0 0 0 0 0 0 0 0 0 0 0 0 0 0 0 1 0 0 0 0 0 0\n    0 0 1 0 0 0 1 0 0 1 0 1 0 1 1 1 1 0 0 0 0 0 0 1 1 0 0 0 1 1 0 0 0 0 1 1 0 1 \n    1 1 1 0 0 0 0 0 1 0 1 0]\n[0 0 0 0 0 0 0 0 0 0 0 0 0 0 0 0 0 0 0 0 0 0 0 0 0 0 0 0 0 0 0 0 0 0 1 0 0 0 1 0\n    0 0 0 0 0 0 1 0 0 0 1 1 0 0 0 0 0 1 0 1 1 1 0 1 0 1 1 1 0 0 0 0 1 1 0 0 0 0 \n    0 1 0 1 1 0 1 1 0 1 0 0]\n[0 0 0 0 0 0 0 0 0 0 0 0 0 0 0 0 0 0 0 0 0 0 0 0 0 0 0 0 0 0 0 0 0 0 0 1 0 1 1 0\n    0 0 0 0 0 1 0 1 0 1 1 0 1 0 1 0 1 1 1 0 0 1 1 1 1 0 0 1 0 0 1 1 1 0 1 1 1 0 \n    0 0 0 1 1 1 1 1 0 1 0 0]\n[0 0 0 0 0 0 0 0 0 0 0 0 0 0 0 0 0 0 0 0 0 0 0 0 0 0 0 0 0 0 0 0 0 0 0 0 1 0 0 1\n    0 1 0 1 0 1 0 0 1 1 0 0 1 1 0 1 1 0 0 1 0 0 0 1 0 0 1 1 1 0 0 1 1 0 0 0 1 0 \n    1 1 0 0 1 1 0 1 0 1 1 0]\n[0 0 0 0 0 0 0 0 0 0 0 0 0 0 0 0 0 0 0 0 0 0 0 0 0 0 0 0 0 0 0 0 0 0 0 0 0 0 0 0\n    1 1 0 1 0 0 1 1 0 1 0 0 1 1 0 0 1 0 0 0 0 0 0 0 0 0 0 0 0 1 1 1 1 1 1 0 1 1 \n    1 0 1 1 1 1 0 1 1 1 0 0]\n[0 0 0 0 0 0 0 0 0 0 0 0 0 0 0 0 0 0 0 0 0 0 0 0 0 0 0 0 0 0 0 0 0 0 0 0 0 0 0 0\n    0 0 0 0 1 0 0 0 0 0 0 0 0 0 0 0 0 0 0 0 0 0 0 0 0 0 0 0 0 0 0 0 0 0 0 0 0 0 \n    0 0 0 0 0 0 0 0 0 0 0 0]\n[[45, 6]] quantum code over GF(2^2), stabilised by:\n[1 0 0 0 0 0 0 0 0 0 0 0 0 0 0 0 0 0 $.1 0 $.1 $.1^2 0 $.1 1 $.1 $.1 $.1^2 0 \n    $.1^2 $.1^2 0 $.1 $.1 1 0 $.1 0 1 1 $.1^2 0 1 $.1^2 0]\n[$.1 0 0 0 0 0 0 0 0 0 0 0 0 0 0 0 0 0 $.1 0 0 $.1^2 0 $.1 $.1 $.1 0 $.1 0 0 $.1\n    $.1^2 $.1 $.1^2 1 $.1^2 0 0 $.1 1 $.1 $.1 0 $.1 0]\n[0 1 0 0 0 0 0 0 0 0 0 0 0 0 0 0 0 0 0 0 0 $.1^2 $.1^2 $.1 $.1^2 $.1 1 $.1 1 \n    $.1^2 0 $.1^2 $.1^2 1 1 $.1 $.1^2 $.1 1 $.1 1 1 $.1^2 $.1 0]\n[0 $.1 0 0 0 0 0 0 0 0 0 0 0 0 0 0 0 0 $.1 0 1 1 $.1^2 $.1^2 1 $.1 $.1^2 0 $.1 1\n    $.1 $.1 1 0 $.1^2 0 $.1 $.1 1 $.1^2 1 0 1 $.1^2 0]\n[0 0 1 0 0 0 0 0 0 0 0 0 0 0 0 0 0 0 $.1 0 $.1 1 1 1 $.1 $.1 $.1 0 0 $.1 $.1 $.1\n    $.1^2 $.1^2 0 1 $.1^2 1 0 $.1^2 $.1 $.1^2 $.1^2 1 0]\n[0 0 $.1 0 0 0 0 0 0 0 0 0 0 0 0 0 0 0 $.1 0 $.1^2 $.1 $.1 0 $.1 0 $.1 $.1^2 1 \n    $.1 $.1 $.1 0 $.1^2 $.1 1 0 $.1 $.1 $.1 1 0 0 $.1^2 0]\n[0 0 0 1 0 0 0 0 0 0 0 0 0 0 0 0 0 0 $.1 0 1 0 1 $.1 $.1^2 1 1 1 1 $.1^2 0 $.1 1\n    $.1 $.1^2 1 $.1 0 $.1^2 $.1 $.1 $.1^2 1 $.1^2 0]\n[0 0 0 $.1 0 0 0 0 0 0 0 0 0 0 0 0 0 0 0 0 $.1 1 $.1 1 $.1 $.1^2 $.1 1 $.1^2 \n    $.1^2 1 $.1^2 $.1^2 $.1 $.1 $.1^2 0 $.1^2 1 $.1 $.1^2 1 $.1 0 0]\n[0 0 0 0 1 0 0 0 0 0 0 0 0 0 0 0 0 0 1 0 1 1 $.1 0 0 $.1 0 1 0 1 $.1 0 $.1 $.1 1\n    1 0 $.1 0 0 0 $.1^2 $.1^2 $.1 0]\n[0 0 0 0 $.1 0 0 0 0 0 0 0 0 0 0 0 0 0 $.1 0 1 0 1 0 $.1 0 0 0 $.1 $.1^2 $.1^2 0\n    0 0 $.1^2 $.1 $.1^2 $.1^2 $.1^2 $.1^2 1 1 $.1^2 $.1^2 0]\n[0 0 0 0 0 1 0 0 0 0 0 0 0 0 0 0 0 0 $.1^2 0 1 $.1 $.1^2 0 1 1 1 1 $.1 1 $.1^2 \n    $.1 $.1 0 0 $.1^2 $.1^2 1 $.1 0 $.1 1 0 0 0]\n[0 0 0 0 0 $.1 0 0 0 0 0 0 0 0 0 0 0 0 $.1 0 0 1 0 $.1^2 1 $.1 0 1 $.1^2 1 $.1 \n    $.1 1 $.1 $.1 $.1^2 $.1^2 0 1 1 0 0 $.1 1 0]\n[0 0 0 0 0 0 1 0 0 0 0 0 0 0 0 0 0 0 $.1^2 0 $.1 1 1 1 $.1 $.1 $.1^2 1 0 1 $.1 \n    $.1 $.1^2 1 $.1 1 $.1^2 0 1 0 $.1 1 $.1^2 $.1^2 0]\n[0 0 0 0 0 0 $.1 0 0 0 0 0 0 0 0 0 0 0 0 0 $.1 $.1 $.1 $.1 $.1^2 0 $.1 $.1 $.1 \n    $.1 0 $.1^2 0 $.1^2 $.1 1 $.1^2 0 0 0 $.1^2 $.1^2 $.1^2 0 0]\n[0 0 0 0 0 0 0 1 0 0 0 0 0 0 0 0 0 0 $.1^2 0 $.1 $.1^2 $.1^2 $.1^2 0 $.1^2 $.1 1\n    $.1 $.1 1 0 1 $.1^2 0 $.1 $.1^2 $.1 $.1 1 $.1 $.1^2 $.1^2 0 0]\n[0 0 0 0 0 0 0 $.1 0 0 0 0 0 0 0 0 0 0 $.1^2 0 1 $.1 $.1^2 1 $.1^2 $.1^2 $.1 1 \n    $.1 $.1^2 $.1 1 0 1 $.1 0 $.1 0 1 1 $.1 0 $.1 0 0]\n[0 0 0 0 0 0 0 0 1 0 0 0 0 0 0 0 0 0 0 0 0 1 $.1 $.1 0 $.1^2 $.1^2 1 $.1^2 1 \n    $.1^2 1 $.1^2 $.1^2 $.1^2 $.1^2 1 $.1^2 $.1^2 1 $.1^2 $.1^2 $.1 $.1 0]\n[0 0 0 0 0 0 0 0 $.1 0 0 0 0 0 0 0 0 0 1 0 0 $.1^2 $.1 $.1 $.1^2 $.1 0 0 0 1 0 0\n    $.1^2 $.1 1 1 1 $.1^2 0 0 $.1 $.1 1 $.1^2 0]\n[0 0 0 0 0 0 0 0 0 1 0 0 0 0 0 0 0 0 1 0 1 $.1 0 0 $.1^2 $.1^2 0 0 $.1 0 1 0 \n    $.1^2 0 1 1 0 $.1 $.1 0 $.1 $.1 0 1 0]\n[0 0 0 0 0 0 0 0 0 $.1 0 0 0 0 0 0 0 0 $.1 0 1 $.1 $.1^2 $.1^2 0 1 $.1 $.1 1 1 0\n    1 1 1 $.1 1 0 0 0 0 1 1 1 0 0]\n[0 0 0 0 0 0 0 0 0 0 1 0 0 0 0 0 0 0 $.1^2 0 0 $.1^2 $.1^2 1 0 $.1 0 1 $.1 $.1^2\n    1 1 $.1 $.1^2 $.1 $.1 0 1 0 0 1 $.1^2 $.1^2 $.1^2 0]\n[0 0 0 0 0 0 0 0 0 0 $.1 0 0 0 0 0 0 0 1 0 0 0 1 $.1 $.1^2 $.1 1 0 $.1^2 1 0 1 0\n    $.1^2 $.1 $.1^2 0 $.1 1 0 $.1 0 $.1 $.1^2 0]\n[0 0 0 0 0 0 0 0 0 0 0 1 0 0 0 0 0 0 1 0 0 1 0 $.1^2 0 0 0 $.1 $.1 $.1^2 1 1 1 \n    $.1 $.1^2 0 1 $.1 0 1 $.1 $.1^2 0 1 0]\n[0 0 0 0 0 0 0 0 0 0 0 $.1 0 0 0 0 0 0 0 0 $.1 $.1 1 0 $.1^2 1 1 0 1 0 1 $.1^2 0\n    $.1 1 0 0 $.1 $.1^2 $.1^2 $.1 0 $.1^2 1 0]\n[0 0 0 0 0 0 0 0 0 0 0 0 1 0 0 0 0 0 1 0 $.1^2 $.1 $.1 1 $.1^2 0 $.1^2 1 $.1^2 \n    $.1 $.1^2 $.1 $.1 $.1 1 0 $.1^2 0 $.1^2 0 $.1^2 $.1 1 0 0]\n[0 0 0 0 0 0 0 0 0 0 0 0 $.1 0 0 0 0 0 $.1^2 0 $.1 0 $.1 0 0 1 1 1 1 1 $.1^2 1 1\n    0 1 $.1^2 $.1 $.1^2 $.1^2 1 1 $.1 0 0 0]\n[0 0 0 0 0 0 0 0 0 0 0 0 0 1 0 0 0 0 1 0 1 $.1 1 0 $.1 $.1^2 $.1 $.1 0 0 $.1 $.1\n    0 1 $.1 1 $.1^2 1 $.1 $.1^2 $.1 1 $.1 $.1^2 0]\n[0 0 0 0 0 0 0 0 0 0 0 0 0 $.1 0 0 0 0 1 0 $.1 1 0 0 $.1 $.1 $.1^2 $.1^2 1 $.1^2\n    $.1 1 0 0 $.1^2 $.1 1 $.1 $.1^2 1 1 0 $.1 0 0]\n[0 0 0 0 0 0 0 0 0 0 0 0 0 0 1 0 0 0 0 0 $.1^2 1 1 0 0 1 $.1 0 1 1 0 $.1^2 $.1 1\n    $.1^2 1 0 1 1 0 0 1 0 $.1^2 0]\n[0 0 0 0 0 0 0 0 0 0 0 0 0 0 $.1 0 0 0 1 0 0 $.1^2 0 0 $.1 $.1^2 $.1 0 1 $.1^2 \n    $.1^2 1 $.1 1 $.1 0 1 1 1 $.1^2 $.1 1 1 $.1^2 0]\n[0 0 0 0 0 0 0 0 0 0 0 0 0 0 0 1 0 0 $.1 0 $.1 1 0 1 1 1 0 0 $.1^2 0 $.1 1 1 $.1\n    $.1^2 $.1^2 $.1 $.1^2 1 $.1^2 $.1^2 $.1^2 $.1 0 0]\n[0 0 0 0 0 0 0 0 0 0 0 0 0 0 0 $.1 0 0 $.1^2 0 0 0 0 $.1 0 1 $.1^2 1 1 $.1 1 1 \n    $.1^2 0 $.1^2 1 0 $.1^2 0 $.1 $.1^2 $.1 $.1^2 0 0]\n[0 0 0 0 0 0 0 0 0 0 0 0 0 0 0 0 1 0 $.1^2 0 $.1^2 $.1 1 0 1 $.1 $.1 0 1 0 $.1 \n    $.1 $.1 1 0 0 $.1 $.1^2 $.1^2 $.1^2 $.1 $.1^2 0 0 0]\n[0 0 0 0 0 0 0 0 0 0 0 0 0 0 0 0 $.1 0 $.1^2 0 $.1^2 $.1^2 1 0 1 $.1^2 1 1 0 $.1\n    1 $.1 0 0 0 0 $.1^2 1 $.1^2 0 0 $.1 0 1 0]\n[0 0 0 0 0 0 0 0 0 0 0 0 0 0 0 0 0 1 $.1 0 0 0 0 $.1^2 $.1 0 $.1^2 0 0 $.1^2 0 \n    $.1^2 0 $.1 $.1 $.1^2 0 $.1 $.1^2 1 1 0 $.1 1 0]\n[0 0 0 0 0 0 0 0 0 0 0 0 0 0 0 0 0 $.1 $.1 0 $.1 0 $.1 $.1^2 1 $.1^2 1 $.1 $.1^2\n    $.1^2 $.1 $.1 $.1 $.1 1 0 $.1^2 $.1 0 $.1 1 1 0 0 0]\n[0 0 0 0 0 0 0 0 0 0 0 0 0 0 0 0 0 0 0 1 0 0 1 $.1 $.1^2 $.1^2 1 0 $.1^2 1 $.1^2\n    0 $.1^2 1 $.1 1 1 0 1 1 $.1^2 $.1^2 0 0 0]\n[0 0 0 0 0 0 0 0 0 0 0 0 0 0 0 0 0 0 0 $.1 1 0 1 0 1 $.1 $.1^2 0 1 $.1^2 $.1 $.1\n    1 $.1 0 $.1 $.1^2 $.1 0 $.1^2 0 $.1^2 1 $.1^2 0]\n[0 0 0 0 0 0 0 0 0 0 0 0 0 0 0 0 0 0 0 0 0 0 0 0 0 0 0 0 0 0 0 0 0 0 0 0 0 0 0 0\n    0 0 0 0 1]\nQuantum GF(2)-Additive code over GF(4) of length 45 with 51 generators.\nLower Bound: 1, Upper Bound: 21\nConstructed 2 distinct generator matrices\nTotal Ranks:     26  26 \nRelative Ranks:  26  19 \n(4 4 4 4 4 4 4 4 4 4 4 4 4 4 4 4 4 4 4 4 4 4 4 4 4 2 )\n(4 4 4 4 4 4 4 4 4 4 4 4 4 4 4 4 4 4 4 4 4 4 4 4 4 2 )\nTime Taken: 0.01\nStarting search for low weight codewords... (reset timings)\nEnumerating using 1 generator at a time:\n     New codeword identified of weight 14, time 0.00\n     New codeword identified of weight 12, time 0.00\n     Impurity detected of weight 1, time 0.00\n   Completed Matrix  1:  lower =  2, upper = 12. Elapsed: 0.00s\n     New codeword identified of weight 11, time 0.00\n   Completed Matrix  2:  lower =  2, upper = 11. Elapsed: 0.00s\nTermination predicted with 8 generators at matrix 2\nEnumerating using 2 generators at a time:\n     New codeword identified of weight 10, time 0.00\n   Completed Matrix  1:  lower =  3, upper = 10. Elapsed: 0.00s\n     New codeword identified of weight 9, time 0.00\n   Completed Matrix  2:  lower =  3, upper =  9. Elapsed: 0.00s\nTermination predicted with 7 generators at matrix 2\nEnumerating using 3 generators at a time:\n   Completed Matrix  1:  lower =  4, upper =  9. Elapsed: 0.00s\n   Completed Matrix  2:  lower =  4, upper =  9. Elapsed: 0.00s\nTermination predicted with 7 generators at matrix 2\nEnumerating using 4 generators at a time:\n   Completed Matrix  1:  lower =  5, upper =  9. Elapsed: 0.00s\n   Completed Matrix  2:  lower =  5, upper =  9. Elapsed: 0.01s\nTermination predicted with 7 generators at matrix 2\nEnumerating using 5 generators at a time:\n   Completed Matrix  1:  lower =  6, upper =  9. Elapsed: 0.09s\n   Completed Matrix  2:  lower =  6, upper =  9. Elapsed: 0.16s\nTermination predicted with 7 generators at matrix 2\nEnumerating using 6 generators at a time:\n   Completed Matrix  1:  lower =  7, upper =  9. Elapsed: 0.96s\n   Completed Matrix  2:  lower =  7, upper =  9. Elapsed: 1.77s\nTermination predicted at 15 s with 7 generators at matrix 2\nEnumerating using 7 generators at a time:\n   Completed Matrix  1:  lower =  8, upper =  9. Elapsed: 8.36s\n   Completed Matrix  2:  lower =  9, upper =  9. Elapsed: 14.95s\nComputation complete \nFinal Results: lower = 9, upper = 9,\nTotal CPU time: 14.95, real time: 14.974\n9\n\nTotal time: 14.980 seconds, Total memory usage: 32.09MB\n</t>
  </si>
  <si>
    <t>75.22694999999658</t>
  </si>
  <si>
    <t>Magma V2.28-26    Tue Dec 30 2025 12:11:34 on Marks-MacBook-Air-2 [Seed = \n2227055707]\nType ? for help.  Type &lt;Ctrl&gt;-D to quit.\n[1 0 0 0 0 0 0 0 0 0 0 0 0 0 0 0 0 0 0 0 0 0 0 0 0 0 0 0 0 0 0 0 0 0 0 0 0 0 1 0\n    1 0 1 1 0 1 0 0 0 1 1 1 1 1 1 1 0 0 1 1 1 1 1 1 0 1 1 0 1 0 0 0 0 0 0 1 1 1 \n    0 1 0 0 1 1 1 0 1 1 1 0 1 1]\n[0 1 0 0 0 0 0 0 0 0 0 0 0 0 0 0 0 0 0 0 0 0 0 0 0 0 0 0 0 0 0 0 0 0 0 0 0 0 1 0\n    1 0 1 1 1 0 0 1 1 0 1 1 1 1 0 1 0 0 0 0 0 1 1 0 1 0 1 1 1 0 1 0 1 1 1 1 1 0 \n    1 0 0 0 1 0 1 0 1 1 0 1 0 1]\n[0 0 1 0 0 0 0 0 0 0 0 0 0 0 0 0 0 0 0 0 0 0 0 0 0 0 0 0 0 0 0 0 0 0 0 0 0 0 1 0\n    0 1 0 1 0 1 0 1 0 1 0 0 1 0 1 1 0 0 0 1 0 1 1 1 0 1 0 1 0 0 0 0 1 0 1 0 0 1 \n    1 0 0 1 0 0 1 1 1 1 0 0 0 1]\n[0 0 0 1 0 0 0 0 0 0 0 0 0 0 0 0 0 0 0 0 0 0 0 0 0 0 0 0 0 0 0 0 0 0 0 0 0 0 1 0\n    0 1 1 1 1 0 0 0 0 0 0 1 1 1 1 0 0 0 0 0 0 0 1 0 1 1 0 1 1 1 1 1 1 1 1 1 0 1 \n    1 1 0 1 0 0 0 1 1 0 1 1 0 0]\n[0 0 0 0 1 0 0 0 0 0 0 0 0 0 0 0 0 0 0 0 0 0 0 0 0 0 0 0 0 0 0 0 0 0 0 0 0 0 0 0\n    0 1 0 1 1 1 1 0 0 1 1 1 1 1 0 1 0 0 1 0 0 0 0 1 1 0 0 1 1 1 0 1 0 1 0 1 1 0 \n    1 0 0 0 0 0 1 1 0 0 1 1 1 0]\n[0 0 0 0 0 1 0 0 0 0 0 0 0 0 0 0 0 0 0 0 0 0 0 0 0 0 0 0 0 0 0 0 0 0 0 0 0 0 0 0\n    0 1 1 1 0 1 0 0 0 0 0 1 0 0 0 0 1 0 0 0 1 1 0 1 1 0 1 1 0 1 0 0 1 1 0 1 0 0 \n    1 0 0 0 1 1 1 1 0 1 1 0 0 0]\n[0 0 0 0 0 0 1 0 0 0 0 0 0 0 0 0 0 0 0 0 0 0 0 0 0 0 0 0 0 0 0 0 0 0 0 0 0 0 0 0\n    0 1 1 0 0 0 0 1 0 0 1 0 0 1 1 0 0 1 0 1 1 0 1 1 1 0 1 0 0 0 0 0 0 0 0 1 0 1 \n    1 0 0 0 1 0 0 1 0 1 0 0 1 1]\n[0 0 0 0 0 0 0 1 0 0 0 0 0 0 0 0 0 0 0 0 0 0 0 0 0 0 0 0 0 0 0 0 0 0 0 0 0 0 1 0\n    1 1 1 0 1 0 1 0 0 1 0 0 1 1 0 1 1 0 0 0 1 0 0 1 0 1 0 1 0 1 1 0 0 0 1 0 0 0 \n    0 1 0 0 1 1 0 0 0 0 0 1 1 0]\n[0 0 0 0 0 0 0 0 1 0 0 0 0 0 0 0 0 0 0 0 0 0 0 0 0 0 0 0 0 0 0 0 0 0 0 0 0 0 0 0\n    0 0 0 1 0 1 1 1 0 1 0 1 0 1 0 0 1 1 1 0 0 1 0 0 0 1 0 1 1 0 0 1 1 0 1 1 0 0 \n    0 1 0 0 1 1 0 1 1 1 1 0 1 1]\n[0 0 0 0 0 0 0 0 0 1 0 0 0 0 0 0 0 0 0 0 0 0 0 0 0 0 0 0 0 0 0 0 0 0 0 0 0 0 1 0\n    0 0 1 1 1 0 1 1 0 1 1 0 0 0 1 1 1 1 0 1 1 0 1 1 1 0 1 0 1 0 0 1 1 1 0 1 1 1 \n    0 1 0 1 0 1 0 1 0 1 0 0 0 1]\n[0 0 0 0 0 0 0 0 0 0 1 0 0 0 0 0 0 0 0 0 0 0 0 0 0 0 0 0 0 0 0 0 0 0 0 0 0 0 1 0\n    1 0 1 0 0 1 0 1 0 0 0 1 1 1 0 1 0 1 1 0 1 0 0 1 1 0 1 0 0 0 0 0 0 1 1 0 0 1 \n    0 1 0 0 1 0 0 1 1 1 1 1 1 1]\n[0 0 0 0 0 0 0 0 0 0 0 1 0 0 0 0 0 0 0 0 0 0 0 0 0 0 0 0 0 0 0 0 0 0 0 0 0 0 1 0\n    0 0 0 0 0 0 0 0 0 0 1 1 0 1 0 1 0 0 1 1 1 1 0 1 1 0 1 0 0 1 1 1 1 0 0 1 0 1 \n    1 0 1 1 1 1 0 0 1 0 1 0 1 1]\n[0 0 0 0 0 0 0 0 0 0 0 0 1 0 0 0 0 0 0 0 0 0 0 0 0 0 0 0 0 0 0 0 0 0 0 0 0 0 1 0\n    0 0 0 0 1 0 0 1 1 0 0 0 1 1 1 1 0 0 0 0 1 0 1 0 1 1 0 1 1 1 1 0 0 0 0 1 0 0 \n    0 0 0 0 1 0 0 0 1 1 1 1 1 0]\n[0 0 0 0 0 0 0 0 0 0 0 0 0 1 0 0 0 0 0 0 0 0 0 0 0 0 0 0 0 0 0 0 0 0 0 0 0 0 0 0\n    1 1 0 1 0 1 1 1 1 0 0 0 1 1 0 0 1 0 1 1 0 1 0 1 1 1 1 0 0 1 0 0 1 1 1 1 1 0 \n    0 1 0 1 1 0 1 0 0 1 1 0 1 1]\n[0 0 0 0 0 0 0 0 0 0 0 0 0 0 1 0 0 0 0 0 0 0 0 0 0 0 0 0 0 0 0 0 0 0 0 0 0 0 1 0\n    0 1 0 1 1 0 1 1 0 0 0 0 1 1 1 1 1 1 1 1 0 0 1 1 0 1 1 1 0 1 1 1 0 1 1 1 1 0 \n    0 1 0 1 1 1 1 0 1 0 0 0 0 1]\n[0 0 0 0 0 0 0 0 0 0 0 0 0 0 0 1 0 0 0 0 0 0 0 0 0 0 0 0 0 0 0 0 0 0 0 0 0 0 1 0\n    1 0 0 1 0 1 0 1 0 0 1 0 1 0 1 1 0 1 1 1 1 1 0 1 1 1 0 0 1 1 1 1 0 0 1 1 0 1 \n    1 1 0 0 1 1 0 0 0 0 0 1 1 1]\n[0 0 0 0 0 0 0 0 0 0 0 0 0 0 0 0 1 0 0 0 0 0 0 0 0 0 0 0 0 0 0 0 0 0 0 0 0 0 1 0\n    0 0 0 1 1 0 0 0 0 0 1 0 1 1 1 0 0 0 1 1 0 1 1 1 1 0 0 1 0 0 0 0 0 0 1 1 1 1 \n    1 1 1 1 1 1 1 0 0 1 0 1 1 1]\n[0 0 0 0 0 0 0 0 0 0 0 0 0 0 0 0 0 1 0 0 0 0 0 0 0 0 0 0 0 0 0 0 0 0 0 0 0 0 1 0\n    0 0 0 0 0 1 0 1 1 0 0 0 0 0 1 0 1 0 0 0 1 1 1 1 1 1 0 0 0 1 0 1 1 1 0 0 0 1 \n    0 0 1 0 1 0 0 1 1 0 0 0 0 0]\n[0 0 0 0 0 0 0 0 0 0 0 0 0 0 0 0 0 0 1 0 0 0 0 0 0 0 0 0 0 0 0 0 0 0 0 0 0 0 0 0\n    0 0 1 1 1 0 1 1 1 0 0 1 1 1 0 1 0 1 1 1 1 0 1 0 0 1 1 0 1 0 1 0 0 0 1 1 1 1 \n    0 0 1 1 0 0 0 1 1 1 0 1 1 1]\n[0 0 0 0 0 0 0 0 0 0 0 0 0 0 0 0 0 0 0 1 0 0 0 0 0 0 0 0 0 0 0 0 0 0 0 0 0 0 1 0\n    0 1 1 1 0 1 1 0 0 0 1 0 1 0 0 1 0 0 0 0 1 0 0 1 1 1 0 0 1 0 1 0 0 1 1 0 0 1 \n    0 0 1 0 0 1 0 1 1 0 1 0 0 0]\n[0 0 0 0 0 0 0 0 0 0 0 0 0 0 0 0 0 0 0 0 1 0 0 0 0 0 0 0 0 0 0 0 0 0 0 0 0 0 0 0\n    1 0 1 1 0 0 1 1 0 1 1 1 0 0 0 1 1 0 1 0 1 0 0 1 0 0 0 1 0 1 0 0 1 0 1 1 1 1 \n    0 0 0 0 0 0 1 0 0 0 1 1 1 1]\n[0 0 0 0 0 0 0 0 0 0 0 0 0 0 0 0 0 0 0 0 0 1 0 0 0 0 0 0 0 0 0 0 0 0 0 0 0 0 1 0\n    0 0 1 1 0 0 1 0 0 1 0 1 1 1 1 1 0 1 1 0 0 0 0 0 0 1 1 1 0 1 0 1 0 0 1 0 0 1 \n    0 0 1 1 1 1 0 0 0 1 0 1 0 0]\n[0 0 0 0 0 0 0 0 0 0 0 0 0 0 0 0 0 0 0 0 0 0 1 0 0 0 0 0 0 0 0 0 0 0 0 0 0 0 0 0\n    0 1 1 1 1 0 1 1 0 1 0 1 1 1 0 1 1 0 0 1 0 0 0 0 1 1 0 0 1 0 0 0 0 0 1 1 0 0 \n    1 1 1 1 0 1 0 1 1 1 0 0 1 0]\n[0 0 0 0 0 0 0 0 0 0 0 0 0 0 0 0 0 0 0 0 0 0 0 1 0 0 0 0 0 0 0 0 0 0 0 0 0 0 0 0\n    1 0 0 0 1 1 0 0 1 0 0 1 0 1 1 1 1 1 0 1 1 0 0 0 0 0 0 1 1 1 0 1 0 1 0 0 1 0 \n    0 1 0 0 1 1 1 1 0 0 0 1 0 1]\n[0 0 0 0 0 0 0 0 0 0 0 0 0 0 0 0 0 0 0 0 0 0 0 0 1 0 0 0 0 0 0 0 0 0 0 0 0 0 1 0\n    1 1 0 0 0 1 1 1 1 0 1 1 1 0 1 1 0 1 0 1 0 1 0 1 1 1 1 1 0 0 1 0 1 1 1 1 0 0 \n    0 1 1 0 0 0 0 1 1 1 0 0 1 0]\n[0 0 0 0 0 0 0 0 0 0 0 0 0 0 0 0 0 0 0 0 0 0 0 0 0 1 0 0 0 0 0 0 0 0 0 0 0 0 0 0\n    0 1 0 1 1 0 1 0 1 0 0 0 0 0 0 1 1 0 0 1 0 1 1 1 0 1 1 1 0 0 0 1 1 0 1 0 0 1 \n    1 0 0 1 0 1 0 1 1 1 1 1 1 0]\n[0 0 0 0 0 0 0 0 0 0 0 0 0 0 0 0 0 0 0 0 0 0 0 0 0 0 1 0 0 0 0 0 0 0 0 0 0 0 0 0\n    0 0 1 0 1 1 0 1 0 1 0 0 0 0 0 0 1 1 0 0 1 0 1 1 1 0 1 1 1 0 0 0 1 1 0 1 0 0 \n    1 1 0 0 1 0 1 0 1 1 1 1 1 1]\n[0 0 0 0 0 0 0 0 0 0 0 0 0 0 0 0 0 0 0 0 0 0 0 0 0 0 0 1 0 0 0 0 0 0 0 0 0 0 1 0\n    1 0 0 1 0 1 1 1 0 1 0 1 0 0 0 0 1 1 0 1 1 1 0 0 0 0 1 0 0 0 0 0 0 0 1 1 1 1 \n    0 0 1 0 0 0 1 1 0 0 1 1 1 1]\n[0 0 0 0 0 0 0 0 0 0 0 0 0 0 0 0 0 0 0 0 0 0 0 0 0 0 0 0 1 0 0 0 0 0 0 0 0 0 1 0\n    0 0 0 1 1 0 0 1 0 0 0 1 0 0 1 1 1 1 1 0 0 1 1 1 0 1 1 0 0 1 1 1 1 0 1 1 1 0 \n    1 0 0 0 1 0 0 1 1 1 0 0 1 1]\n[0 0 0 0 0 0 0 0 0 0 0 0 0 0 0 0 0 0 0 0 0 0 0 0 0 0 0 0 0 1 0 0 0 0 0 0 0 0 1 0\n    0 0 0 0 0 1 0 1 0 0 0 1 1 1 0 0 0 1 1 0 0 1 1 1 1 0 1 1 1 1 1 0 0 0 0 0 0 1 \n    1 0 0 1 0 0 1 0 0 1 0 0 1 0]\n[0 0 0 0 0 0 0 0 0 0 0 0 0 0 0 0 0 0 0 0 0 0 0 0 0 0 0 0 0 0 1 0 0 0 0 0 0 0 0 0\n    0 0 1 1 1 0 1 1 1 1 0 1 0 0 1 0 0 0 0 0 1 1 1 0 0 1 0 1 0 1 1 1 1 1 0 1 1 1 \n    0 1 1 0 1 1 0 0 0 0 1 1 1 0]\n[0 0 0 0 0 0 0 0 0 0 0 0 0 0 0 0 0 0 0 0 0 0 0 0 0 0 0 0 0 0 0 1 0 0 0 0 0 0 0 0\n    0 0 0 1 1 1 0 1 1 1 1 0 1 0 0 1 0 0 0 0 0 1 1 1 0 0 1 0 1 0 1 1 1 1 1 0 1 1 \n    1 0 1 1 0 1 1 0 0 0 0 1 1 1]\n[0 0 0 0 0 0 0 0 0 0 0 0 0 0 0 0 0 0 0 0 0 0 0 0 0 0 0 0 0 0 0 0 1 0 0 0 0 0 1 0\n    1 0 0 0 1 1 1 1 0 0 0 0 0 1 0 0 0 0 1 1 1 0 1 0 0 1 1 0 1 0 0 1 1 0 1 0 0 0 \n    1 0 0 1 1 1 0 1 0 1 0 0 1 1]\n[0 0 0 0 0 0 0 0 0 0 0 0 0 0 0 0 0 0 0 0 0 0 0 0 0 0 0 0 0 0 0 0 0 1 0 0 0 0 1 0\n    0 0 0 1 0 1 0 1 0 0 1 1 1 0 0 1 1 0 0 1 0 1 0 0 0 1 0 0 0 0 1 1 0 1 1 1 0 1 \n    0 1 0 1 0 1 1 0 1 1 1 1 0 1]\n[0 0 0 0 0 0 0 0 0 0 0 0 0 0 0 0 0 0 0 0 0 0 0 0 0 0 0 0 0 0 0 0 0 0 1 0 0 0 1 0\n    1 1 1 0 1 0 0 1 0 0 0 1 1 1 1 0 0 1 0 1 0 0 1 1 0 0 1 0 1 1 1 1 0 1 0 0 1 1 \n    1 0 0 0 0 1 1 0 1 1 0 1 1 0]\n[0 0 0 0 0 0 0 0 0 0 0 0 0 0 0 0 0 0 0 0 0 0 0 0 0 0 0 0 0 0 0 0 0 0 0 1 0 0 0 0\n    0 0 0 1 0 1 1 0 1 1 1 1 1 1 0 1 0 0 0 0 1 0 0 1 0 1 1 0 0 1 0 1 0 0 0 0 0 1 \n    1 0 1 0 1 0 0 0 1 0 0 0 1 1]\n[0 0 0 0 0 0 0 0 0 0 0 0 0 0 0 0 0 0 0 0 0 0 0 0 0 0 0 0 0 0 0 0 0 0 0 0 1 0 1 0\n    0 0 1 1 1 0 1 1 1 0 1 1 0 1 1 1 0 0 1 0 1 1 0 1 0 0 1 1 0 1 1 1 1 0 0 0 0 1 \n    1 0 1 0 0 1 1 1 1 1 1 1 0 1]\n[0 0 0 0 0 0 0 0 0 0 0 0 0 0 0 0 0 0 0 0 0 0 0 0 0 0 0 0 0 0 0 0 0 0 0 0 0 1 1 0\n    1 0 1 0 0 1 0 1 0 1 1 1 0 1 1 1 0 0 0 1 0 0 1 0 1 1 1 0 1 1 1 1 0 1 0 0 1 0 \n    0 0 1 1 0 0 0 0 1 0 1 0 0 1]\n[0 0 0 0 0 0 0 0 0 0 0 0 0 0 0 0 0 0 0 0 0 0 0 0 0 0 0 0 0 0 0 0 0 0 0 0 0 0 0 1\n    0 1 1 0 0 0 1 0 0 1 1 1 0 0 1 0 0 0 1 0 0 0 0 0 1 1 1 1 0 0 1 0 1 0 1 0 0 0 \n    0 1 1 0 1 0 1 1 1 1 1 0 0 0]\n[[46, 7]] quantum code over GF(2^2), stabilised by:\n[1 0 0 0 0 0 0 0 0 0 0 0 0 0 0 0 0 0 0 $.1 $.1^2 $.1 1 $.1 $.1 $.1 0 0 1 $.1 0 1\n    1 $.1^2 1 $.1^2 0 1 $.1 $.1 $.1^2 0 1 1 1 0]\n[$.1 0 0 0 0 0 0 0 0 0 0 0 0 0 0 0 0 0 0 $.1 1 $.1^2 $.1 $.1^2 $.1^2 $.1^2 0 $.1\n    $.1 0 1 0 $.1^2 $.1^2 1 0 $.1 $.1 $.1^2 $.1^2 $.1^2 $.1 $.1^2 $.1^2 1 0]\n[0 1 0 0 0 0 0 0 0 0 0 0 0 0 0 0 0 0 0 0 $.1 $.1^2 $.1 1 $.1 $.1 $.1 0 0 1 $.1 0\n    1 1 $.1^2 1 $.1^2 0 1 $.1 $.1 $.1^2 0 1 1 1]\n[0 $.1 0 0 0 0 0 0 0 0 0 0 0 0 0 0 0 0 0 0 $.1^2 1 $.1^2 $.1 $.1^2 $.1^2 $.1^2 0\n    0 $.1 $.1^2 0 $.1 $.1 1 $.1 1 0 $.1 $.1^2 $.1^2 1 0 $.1 $.1 $.1]\n[0 0 1 0 0 0 0 0 0 0 0 0 0 0 0 0 0 0 0 0 $.1 0 $.1 $.1^2 1 $.1^2 1 $.1^2 1 0 1 1\n    1 $.1^2 $.1^2 $.1^2 0 $.1 $.1^2 $.1 1 0 $.1^2 0 0 $.1^2]\n[0 0 $.1 0 0 0 0 0 0 0 0 0 0 0 0 0 0 0 0 $.1 $.1^2 0 $.1^2 1 $.1 1 $.1 $.1 $.1 1\n    0 1 0 $.1 0 $.1^2 $.1^2 $.1^2 1 $.1^2 1 $.1^2 $.1^2 $.1 1 1]\n[0 0 0 1 0 0 0 0 0 0 0 0 0 0 0 0 0 0 0 $.1 0 $.1^2 $.1^2 1 $.1^2 $.1 1 1 $.1 0 1\n    1 $.1 $.1 1 $.1 $.1 1 0 1 $.1^2 1 0 0 $.1^2 $.1]\n[0 0 0 $.1 0 0 0 0 0 0 0 0 0 0 0 0 0 0 0 0 0 1 1 $.1 1 $.1^2 $.1 $.1^2 $.1^2 $.1\n    1 $.1^2 0 $.1 0 0 $.1 $.1 0 $.1 0 $.1^2 $.1^2 $.1^2 $.1^2 $.1^2]\n[0 0 0 0 1 0 0 0 0 0 0 0 0 0 0 0 0 0 0 $.1 0 $.1^2 1 1 1 1 $.1^2 0 1 $.1^2 1 $.1\n    $.1^2 $.1^2 $.1 0 $.1 $.1 0 1 $.1^2 1 1 $.1^2 $.1 $.1^2]\n[0 0 0 0 $.1 0 0 0 0 0 0 0 0 0 0 0 0 0 0 $.1 0 1 $.1 $.1 $.1 $.1 1 $.1 $.1 $.1 \n    $.1^2 1 0 $.1^2 0 1 1 $.1^2 0 $.1 $.1^2 0 $.1^2 0 0 1]\n[0 0 0 0 0 1 0 0 0 0 0 0 0 0 0 0 0 0 0 $.1 $.1^2 1 0 $.1 1 $.1 $.1^2 $.1^2 $.1^2\n    0 1 0 $.1^2 1 $.1^2 0 0 1 0 $.1 0 1 $.1^2 $.1^2 1 $.1^2]\n[0 0 0 0 0 $.1 0 0 0 0 0 0 0 0 0 0 0 0 0 0 1 $.1 0 $.1^2 $.1 $.1^2 1 0 1 $.1 1 1\n    $.1 $.1^2 $.1^2 $.1^2 1 $.1 0 $.1^2 1 $.1^2 $.1 $.1 0 1]\n[0 0 0 0 0 0 1 0 0 0 0 0 0 0 0 0 0 0 0 $.1 $.1 $.1 $.1 $.1^2 $.1 $.1 0 $.1^2 $.1\n    $.1 1 1 $.1^2 0 $.1^2 $.1 1 1 $.1^2 $.1 $.1^2 0 1 0 0 $.1^2]\n[0 0 0 0 0 0 $.1 0 0 0 0 0 0 0 0 0 0 0 0 0 $.1^2 $.1^2 $.1^2 1 $.1^2 $.1^2 0 0 \n    $.1^2 1 1 $.1^2 $.1 1 $.1^2 0 $.1^2 $.1 1 $.1^2 0 1 1 $.1^2 $.1 1]\n[0 0 0 0 0 0 0 1 0 0 0 0 0 0 0 0 0 0 0 $.1 $.1 $.1^2 1 1 $.1^2 1 0 0 $.1 $.1^2 \n    $.1^2 1 $.1 0 $.1 $.1 $.1^2 0 $.1^2 1 $.1^2 $.1^2 0 $.1 $.1^2 $.1]\n[0 0 0 0 0 0 0 $.1 0 0 0 0 0 0 0 0 0 0 0 0 $.1^2 1 $.1 $.1 1 $.1 0 1 $.1^2 $.1^2\n    $.1 $.1^2 0 1 1 0 0 0 1 $.1 0 0 $.1^2 0 $.1^2 $.1^2]\n[0 0 0 0 0 0 0 0 1 0 0 0 0 0 0 0 0 0 0 $.1 0 1 1 $.1^2 1 1 0 1 0 $.1^2 $.1 0 \n    $.1^2 $.1^2 0 $.1^2 $.1 $.1^2 1 $.1 $.1^2 1 $.1^2 $.1^2 0 $.1^2]\n[0 0 0 0 0 0 0 0 $.1 0 0 0 0 0 0 0 0 0 0 $.1 0 $.1 $.1 1 $.1 $.1 0 0 0 $.1 $.1 \n    $.1 0 $.1^2 $.1^2 0 1 1 $.1 $.1^2 $.1^2 0 0 0 $.1^2 1]\n[0 0 0 0 0 0 0 0 0 1 0 0 0 0 0 0 0 0 0 $.1 $.1^2 1 $.1 $.1 $.1^2 $.1 $.1^2 0 $.1\n    1 1 $.1^2 1 1 $.1^2 $.1 $.1^2 1 1 $.1^2 $.1^2 1 $.1^2 1 1 1]\n[0 0 0 0 0 0 0 0 0 $.1 0 0 0 0 0 0 0 0 0 0 1 $.1 $.1^2 $.1^2 1 $.1^2 1 1 $.1^2 0\n    1 0 1 $.1^2 $.1^2 0 0 $.1 $.1 1 0 $.1^2 $.1 1 0 $.1]\n[0 0 0 0 0 0 0 0 0 0 1 0 0 0 0 0 0 0 0 0 1 1 0 $.1^2 $.1 $.1 1 $.1 $.1^2 $.1 $.1\n    $.1^2 0 $.1 1 0 $.1 0 $.1 $.1 0 $.1^2 $.1^2 $.1 1 0]\n[0 0 0 0 0 0 0 0 0 0 $.1 0 0 0 0 0 0 0 0 $.1 $.1 $.1 0 1 $.1^2 $.1^2 $.1 0 1 $.1\n    1 $.1 $.1 0 $.1^2 $.1 0 0 $.1^2 $.1^2 $.1^2 $.1 $.1^2 1 $.1^2 0]\n[0 0 0 0 0 0 0 0 0 0 0 1 0 0 0 0 0 0 0 0 1 1 1 0 $.1^2 $.1 $.1 1 0 $.1^2 1 $.1^2\n    1 1 0 $.1 1 0 0 $.1 $.1 $.1 1 $.1 $.1^2 $.1]\n[0 0 0 0 0 0 0 0 0 0 0 $.1 0 0 0 0 0 0 0 0 $.1 $.1 $.1 0 1 $.1^2 $.1^2 $.1 0 1 \n    $.1 1 $.1 $.1 0 $.1^2 $.1 0 0 $.1^2 $.1^2 $.1^2 $.1 $.1^2 1 $.1^2]\n[0 0 0 0 0 0 0 0 0 0 0 0 1 0 0 0 0 0 0 $.1 $.1^2 $.1 $.1^2 $.1^2 0 1 $.1^2 $.1^2\n    $.1^2 1 1 $.1^2 $.1^2 1 $.1^2 $.1 $.1^2 $.1^2 1 1 0 $.1 0 $.1^2 1 0]\n[0 0 0 0 0 0 0 0 0 0 0 0 $.1 0 0 0 0 0 0 $.1 1 $.1^2 1 1 0 $.1 1 $.1^2 1 1 $.1^2\n    $.1^2 0 0 $.1 $.1 $.1^2 1 $.1 $.1 $.1 1 1 0 1 0]\n[0 0 0 0 0 0 0 0 0 0 0 0 0 1 0 0 0 0 0 0 $.1 $.1^2 $.1 $.1^2 $.1^2 0 1 $.1^2 \n    $.1^2 $.1^2 1 1 $.1^2 $.1^2 1 $.1^2 $.1 $.1^2 $.1^2 1 1 0 $.1 0 $.1^2 1]\n[0 0 0 0 0 0 0 0 0 0 0 0 0 $.1 0 0 0 0 0 0 $.1^2 1 $.1^2 1 1 0 $.1 1 1 1 $.1 $.1\n    1 1 $.1 1 $.1^2 1 1 $.1 $.1 0 $.1^2 0 1 $.1]\n[0 0 0 0 0 0 0 0 0 0 0 0 0 0 1 0 0 0 0 0 $.1 0 $.1 $.1^2 $.1^2 $.1 $.1^2 0 $.1 \n    $.1^2 $.1^2 $.1 0 1 1 1 $.1 $.1^2 0 0 $.1 $.1^2 0 $.1 1 1]\n[0 0 0 0 0 0 0 0 0 0 0 0 0 0 $.1 0 0 0 0 $.1 $.1^2 0 $.1^2 1 1 $.1^2 1 $.1^2 \n    $.1^2 0 $.1^2 0 $.1 1 $.1^2 0 0 1 0 0 0 $.1 $.1 1 $.1^2 $.1]\n[0 0 0 0 0 0 0 0 0 0 0 0 0 0 0 1 0 0 0 0 $.1^2 0 1 $.1^2 $.1^2 $.1 1 $.1 $.1^2 \n    $.1 0 1 1 $.1^2 1 $.1 1 1 0 $.1^2 $.1^2 $.1 1 1 $.1 0]\n[0 0 0 0 0 0 0 0 0 0 0 0 0 0 0 $.1 0 0 0 $.1 1 0 $.1 1 1 $.1^2 $.1 0 1 $.1 $.1 1\n    0 $.1 $.1^2 1 1 $.1 0 1 $.1 0 0 0 $.1 0]\n[0 0 0 0 0 0 0 0 0 0 0 0 0 0 0 0 1 0 0 0 1 $.1^2 0 1 $.1^2 $.1^2 $.1 1 0 $.1^2 1\n    1 $.1^2 0 1 $.1 $.1^2 $.1^2 1 0 $.1^2 1 0 0 0 1]\n[0 0 0 0 0 0 0 0 0 0 0 0 0 0 0 0 $.1 0 0 0 $.1 1 0 $.1 1 1 $.1^2 $.1 0 1 $.1 $.1\n    1 0 $.1 $.1^2 1 1 $.1 0 1 $.1 0 0 0 $.1]\n[0 0 0 0 0 0 0 0 0 0 0 0 0 0 0 0 0 1 0 0 $.1 $.1^2 $.1 1 1 $.1 0 $.1^2 0 0 $.1^2\n    $.1 0 1 $.1 1 $.1^2 $.1 0 $.1 $.1^2 1 1 0 1 $.1]\n[0 0 0 0 0 0 0 0 0 0 0 0 0 0 0 0 0 $.1 0 $.1 $.1^2 1 $.1^2 $.1 $.1 $.1^2 0 $.1 0\n    1 $.1^2 0 $.1 1 $.1 0 $.1 $.1^2 0 $.1^2 $.1 1 0 $.1 $.1^2 $.1^2]\n[0 0 0 0 0 0 0 0 0 0 0 0 0 0 0 0 0 0 1 $.1 $.1 1 1 0 1 $.1^2 $.1^2 1 $.1^2 1 1 0\n    0 1 1 $.1^2 1 $.1^2 $.1^2 1 0 1 1 $.1 $.1 1]\n[0 0 0 0 0 0 0 0 0 0 0 0 0 0 0 0 0 0 $.1 $.1 $.1^2 $.1 $.1 0 $.1 1 1 0 1 1 $.1^2\n    $.1 1 0 1 0 0 1 1 $.1 $.1 0 $.1^2 $.1 0 $.1]\n[0 0 0 0 0 0 0 0 0 0 0 0 0 0 0 0 0 0 0 1 0 0 0 0 0 0 0 $.1 0 $.1^2 1 $.1 1 $.1 \n    $.1^2 1 $.1 0 0 0 $.1 $.1 1 1 $.1^2 0]\nQuantum GF(2)-Additive code over GF(4) of length 46 with 53 generators.\nLower Bound: 1, Upper Bound: 21\nConstructed 2 distinct generator matrices\nTotal Ranks:     27  27 \nRelative Ranks:  27  19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13, time 0.00\n     New codeword identified of weight 10, time 0.00\n   Completed Matrix  1:  lower =  2, upper = 10. Elapsed: 0.00s\n   Completed Matrix  2:  lower =  2, upper = 10. Elapsed: 0.00s\nTermination predicted with 8 generators at matrix 2\nEnumerating using 2 generators at a time:\n     New codeword identified of weight 9, time 0.00\n     Discarding non-contributing rank 19 matrix\n     New Total Ranks:     27 \n     New Relative Ranks:  27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0.10s\nTermination predicted with 8 generators at matrix 1\nEnumerating using 6 generators at a time:\n   Completed Matrix  1:  lower =  7, upper =  9. Elapsed: 1.12s\nTermination predicted at 74 s (1m 14s) with 8 generators at matrix 1\nEnumerating using 7 generators at a time:\n   Completed Matrix  1:  lower =  8, upper =  9. Elapsed: 10.18s\nTermination predicted at 75 s (1m 15s) with 8 generators at matrix 1\nEnumerating using 8 generators at a time:\n   Completed Matrix  1:  lower =  9, upper =  9. Elapsed: 75.14s\nComputation complete \nFinal Results: lower = 9, upper = 9,\nTotal CPU time: 75.14, real time: 75.167\n9\n\nTotal time: 75.159 seconds, Total memory usage: 32.09MB\n</t>
  </si>
  <si>
    <t>104.37417645899404</t>
  </si>
  <si>
    <t>Magma V2.28-26    Tue Dec 30 2025 12:12:49 on Marks-MacBook-Air-2 [Seed = \n4257699221]\nType ? for help.  Type &lt;Ctrl&gt;-D to quit.\n[1 0 0 0 0 0 0 0 0 0 0 0 0 0 0 0 0 0 0 0 0 0 0 0 0 0 0 0 0 0 0 0 0 0 0 0 0 0 1 0\n    1 0 1 1 0 1 0 0 0 0 1 1 1 1 1 1 1 0 0 1 1 1 1 1 1 0 1 1 0 1 0 0 0 0 0 0 1 1 \n    1 0 1 0 0 1 1 1 0 1 1 1 0 1 1 0]\n[0 1 0 0 0 0 0 0 0 0 0 0 0 0 0 0 0 0 0 0 0 0 0 0 0 0 0 0 0 0 0 0 0 0 0 0 0 0 1 0\n    1 0 1 1 1 0 0 0 1 1 0 1 1 1 1 0 1 0 0 0 0 0 1 1 0 1 0 1 1 1 0 1 0 1 1 1 1 1 \n    0 1 0 0 0 1 0 1 0 1 1 0 1 0 1 0]\n[0 0 1 0 0 0 0 0 0 0 0 0 0 0 0 0 0 0 0 0 0 0 0 0 0 0 0 0 0 0 0 0 0 0 0 0 0 0 1 1\n    0 0 1 1 0 1 0 1 1 0 0 1 1 1 0 0 1 0 0 1 1 0 1 1 1 1 0 1 0 0 0 1 0 0 0 0 0 0 \n    1 1 1 1 1 1 0 0 0 0 0 1 0 0 1 0]\n[0 0 0 1 0 0 0 0 0 0 0 0 0 0 0 0 0 0 0 0 0 0 0 0 0 0 0 0 0 0 0 0 0 0 0 0 0 0 1 0\n    0 1 1 1 1 0 0 0 0 0 0 0 1 1 1 1 0 0 0 0 0 0 0 1 0 1 1 0 1 1 1 1 1 1 1 1 1 0 \n    1 1 1 0 1 0 0 0 1 1 0 1 1 0 0 0]\n[0 0 0 0 1 0 0 0 0 0 0 0 0 0 0 0 0 0 0 0 0 0 0 0 0 0 0 0 0 0 0 0 0 0 0 0 0 0 0 1\n    0 0 1 1 1 1 0 0 0 0 0 0 0 1 1 1 1 0 0 0 0 0 0 0 1 0 1 1 0 1 1 1 1 1 1 1 1 1 \n    0 1 1 1 0 1 0 0 0 1 1 0 1 1 0 0]\n[0 0 0 0 0 1 0 0 0 0 0 0 0 0 0 0 0 0 0 0 0 0 0 0 0 0 0 0 0 0 0 0 0 0 0 0 0 0 0 1\n    0 0 0 1 0 1 0 1 0 0 1 1 0 0 0 1 0 1 0 1 0 1 1 0 1 0 1 0 0 0 1 1 0 0 1 1 1 0 \n    0 1 1 1 0 0 1 0 0 1 0 0 0 0 0 0]\n[0 0 0 0 0 0 1 0 0 0 0 0 0 0 0 0 0 0 0 0 0 0 0 0 0 0 0 0 0 0 0 0 0 0 0 0 0 0 0 1\n    0 0 0 0 0 0 0 1 1 0 1 0 1 0 1 0 0 0 1 1 1 1 0 1 1 0 1 0 1 0 0 1 0 1 0 1 1 0 \n    1 1 1 1 0 0 0 1 0 1 0 1 0 1 1 0]\n[0 0 0 0 0 0 0 1 0 0 0 0 0 0 0 0 0 0 0 0 0 0 0 0 0 0 0 0 0 0 0 0 0 0 0 0 0 0 1 0\n    1 1 1 0 1 0 0 1 0 0 1 0 0 1 1 0 1 1 0 0 0 1 0 0 1 0 1 0 1 0 1 1 0 0 0 1 0 0 \n    0 0 1 0 0 1 1 0 0 0 0 0 1 1 0 0]\n[0 0 0 0 0 0 0 0 1 0 0 0 0 0 0 0 0 0 0 0 0 0 0 0 0 0 0 0 0 0 0 0 0 0 0 0 0 0 0 1\n    0 1 1 1 0 1 0 0 1 0 0 1 0 0 1 1 0 1 1 0 0 0 1 0 0 1 0 1 0 1 0 1 1 0 0 0 1 0 \n    0 0 0 1 0 0 1 1 0 0 0 0 0 1 1 0]\n[0 0 0 0 0 0 0 0 0 1 0 0 0 0 0 0 0 0 0 0 0 0 0 0 0 0 0 0 0 0 0 0 0 0 0 0 0 0 1 1\n    0 1 0 1 1 0 0 0 1 0 0 0 1 0 0 0 1 1 1 1 1 1 0 1 1 0 1 0 1 1 0 1 1 0 1 1 1 1 \n    1 0 0 1 1 1 1 1 0 1 0 1 0 0 1 0]\n[0 0 0 0 0 0 0 0 0 0 1 0 0 0 0 0 0 0 0 0 0 0 0 0 0 0 0 0 0 0 0 0 0 0 0 0 0 0 1 1\n    1 1 0 0 0 1 0 1 1 0 1 1 0 1 1 1 1 0 1 0 0 1 0 0 1 0 1 0 1 0 0 1 0 1 1 0 0 0 \n    1 0 0 1 0 0 0 1 0 0 0 0 1 1 1 0]\n[0 0 0 0 0 0 0 0 0 0 0 1 0 0 0 0 0 0 0 0 0 0 0 0 0 0 0 0 0 0 0 0 0 0 0 0 0 0 1 0\n    0 0 0 0 0 0 0 0 0 0 0 1 1 0 1 0 1 0 0 1 1 1 1 0 1 1 0 1 0 0 1 1 1 1 0 0 1 0 \n    1 1 0 1 1 1 1 0 0 1 0 1 0 1 1 0]\n[0 0 0 0 0 0 0 0 0 0 0 0 1 0 0 0 0 0 0 0 0 0 0 0 0 0 0 0 0 0 0 0 0 0 0 0 0 0 1 1\n    0 1 1 0 1 0 0 1 1 1 1 1 1 1 1 0 1 0 0 1 0 1 0 1 0 0 0 1 0 1 1 0 0 1 0 1 1 0 \n    0 0 1 1 0 0 0 1 1 0 0 0 1 1 0 0]\n[0 0 0 0 0 0 0 0 0 0 0 0 0 1 0 0 0 0 0 0 0 0 0 0 0 0 0 0 0 0 0 0 0 0 0 0 0 0 0 1\n    1 0 1 1 0 1 0 0 1 1 1 1 1 1 1 1 0 1 0 0 1 0 1 0 1 0 0 0 1 0 1 1 0 0 1 0 1 1 \n    0 0 0 1 1 0 0 0 1 1 0 0 0 1 1 0]\n[0 0 0 0 0 0 0 0 0 0 0 0 0 0 1 0 0 0 0 0 0 0 0 0 0 0 0 0 0 0 0 0 0 0 0 0 0 0 1 1\n    0 0 1 1 1 0 0 0 1 0 1 1 1 1 1 0 1 1 1 0 1 0 0 1 1 1 0 0 0 0 1 0 1 1 1 0 1 1 \n    0 0 0 1 1 0 1 0 1 0 1 1 0 0 1 0]\n[0 0 0 0 0 0 0 0 0 0 0 0 0 0 0 1 0 0 0 0 0 0 0 0 0 0 0 0 0 0 0 0 0 0 0 0 0 0 1 1\n    1 1 1 1 0 1 0 1 1 0 1 0 1 1 0 0 1 0 1 0 1 1 1 0 1 0 0 1 1 1 1 0 1 1 0 0 1 0 \n    1 1 0 1 0 0 1 1 1 1 1 1 1 1 1 0]\n[0 0 0 0 0 0 0 0 0 0 0 0 0 0 0 0 1 0 0 0 0 0 0 0 0 0 0 0 0 0 0 0 0 0 0 0 0 0 1 0\n    0 0 0 1 1 0 0 0 0 0 0 1 0 1 1 1 0 0 0 1 1 0 1 1 1 1 0 0 1 0 0 0 0 0 0 1 1 1 \n    1 1 1 1 1 1 1 1 0 0 1 0 1 1 1 0]\n[0 0 0 0 0 0 0 0 0 0 0 0 0 0 0 0 0 1 0 0 0 0 0 0 0 0 0 0 0 0 0 0 0 0 0 0 0 0 1 1\n    0 1 1 0 0 1 0 1 1 1 1 1 1 0 0 0 0 1 0 1 0 1 1 1 1 0 0 1 1 0 1 1 1 0 1 1 0 0 \n    1 0 1 0 0 0 0 1 0 0 1 1 0 0 0 0]\n[0 0 0 0 0 0 0 0 0 0 0 0 0 0 0 0 0 0 1 0 0 0 0 0 0 0 0 0 0 0 0 0 0 0 0 0 0 0 0 0\n    0 0 1 1 1 0 0 1 1 1 0 0 1 1 1 0 1 0 1 1 1 1 0 1 0 0 1 1 0 1 0 1 0 0 0 1 1 1 \n    1 0 0 1 1 0 0 0 1 1 1 0 1 1 1 0]\n[0 0 0 0 0 0 0 0 0 0 0 0 0 0 0 0 0 0 0 1 0 0 0 0 0 0 0 0 0 0 0 0 0 0 0 0 0 0 1 0\n    0 1 1 1 0 1 0 1 0 0 0 1 0 1 0 0 1 0 0 0 0 1 0 0 1 1 1 0 0 1 0 1 0 0 1 1 0 0 \n    1 0 0 1 0 0 1 0 1 1 0 1 0 0 0 0]\n[0 0 0 0 0 0 0 0 0 0 0 0 0 0 0 0 0 0 0 0 1 0 0 0 0 0 0 0 0 0 0 0 0 0 0 0 0 0 0 0\n    1 0 1 1 0 0 0 1 1 0 1 1 1 0 0 0 1 1 0 1 0 1 0 0 1 0 0 0 1 0 1 0 0 1 0 1 1 1 \n    1 0 0 0 0 0 0 1 0 0 0 1 1 1 1 0]\n[0 0 0 0 0 0 0 0 0 0 0 0 0 0 0 0 0 0 0 0 0 1 0 0 0 0 0 0 0 0 0 0 0 0 0 0 0 0 1 0\n    0 0 1 1 0 0 0 1 0 0 1 0 1 1 1 1 1 0 1 1 0 0 0 0 0 0 1 1 1 0 1 0 1 0 0 1 0 0 \n    1 0 0 1 1 1 1 0 0 0 1 0 1 0 0 0]\n[0 0 0 0 0 0 0 0 0 0 0 0 0 0 0 0 0 0 0 0 0 0 1 0 0 0 0 0 0 0 0 0 0 0 0 0 0 0 0 1\n    0 0 0 1 1 0 0 0 1 0 0 1 0 1 1 1 1 1 0 1 1 0 0 0 0 0 0 1 1 1 0 1 0 1 0 0 1 0 \n    0 1 0 0 1 1 1 1 0 0 0 1 0 1 0 0]\n[0 0 0 0 0 0 0 0 0 0 0 0 0 0 0 0 0 0 0 0 0 0 0 1 0 0 0 0 0 0 0 0 0 0 0 0 0 0 0 0\n    1 0 0 0 1 1 0 0 0 1 0 0 1 0 1 1 1 1 1 0 1 1 0 0 0 0 0 0 1 1 1 0 1 0 1 0 0 1 \n    0 0 1 0 0 1 1 1 1 0 0 0 1 0 1 0]\n[0 0 0 0 0 0 0 0 0 0 0 0 0 0 0 0 0 0 0 0 0 0 0 0 1 0 0 0 0 0 0 0 0 0 0 0 0 0 1 1\n    1 0 1 0 0 1 0 0 1 1 1 0 0 1 0 0 1 0 1 1 1 0 1 0 1 0 0 0 0 0 0 0 0 0 1 0 1 0 \n    0 0 0 0 0 1 0 1 0 0 0 1 0 1 0 0]\n[0 0 0 0 0 0 0 0 0 0 0 0 0 0 0 0 0 0 0 0 0 0 0 0 0 1 0 0 0 0 0 0 0 0 0 0 0 0 0 0\n    0 1 0 1 1 0 0 1 0 1 0 0 0 0 0 0 1 1 0 0 1 0 1 1 1 0 1 1 1 0 0 0 1 1 0 1 0 0 \n    1 1 0 0 1 0 1 0 1 1 1 1 1 1 0 0]\n[0 0 0 0 0 0 0 0 0 0 0 0 0 0 0 0 0 0 0 0 0 0 0 0 0 0 1 0 0 0 0 0 0 0 0 0 0 0 0 0\n    0 0 1 0 1 1 0 0 1 0 1 0 0 0 0 0 0 1 1 0 0 1 0 1 1 1 0 1 1 1 0 0 0 1 1 0 1 0 \n    0 1 1 0 0 1 0 1 0 1 1 1 1 1 1 0]\n[0 0 0 0 0 0 0 0 0 0 0 0 0 0 0 0 0 0 0 0 0 0 0 0 0 0 0 1 0 0 0 0 0 0 0 0 0 0 1 1\n    1 1 1 1 0 1 0 0 1 0 0 1 0 0 0 1 0 1 1 1 1 1 1 0 0 1 1 0 1 0 0 1 0 1 0 0 1 1 \n    1 0 1 0 0 1 0 0 0 1 1 0 1 1 1 0]\n[0 0 0 0 0 0 0 0 0 0 0 0 0 0 0 0 0 0 0 0 0 0 0 0 0 0 0 0 1 0 0 0 0 0 0 0 0 0 1 0\n    0 0 0 1 1 0 0 0 1 0 0 0 1 0 0 1 1 1 1 1 0 0 1 1 1 0 1 1 0 0 1 1 1 1 0 1 1 1 \n    0 1 0 0 0 1 0 0 1 1 1 0 0 1 1 0]\n[0 0 0 0 0 0 0 0 0 0 0 0 0 0 0 0 0 0 0 0 0 0 0 0 0 0 0 0 0 1 0 0 0 0 0 0 0 0 1 1\n    0 1 1 0 0 1 0 1 1 0 1 1 0 1 1 1 0 0 1 0 0 0 1 1 1 0 1 0 0 1 1 0 0 1 0 1 0 0 \n    1 1 1 1 1 1 0 0 1 1 0 1 0 1 0 0]\n[0 0 0 0 0 0 0 0 0 0 0 0 0 0 0 0 0 0 0 0 0 0 0 0 0 0 0 0 0 0 1 0 0 0 0 0 0 0 0 0\n    0 0 1 1 1 0 0 1 1 1 1 0 1 0 0 1 0 0 0 0 0 1 1 1 0 0 1 0 1 0 1 1 1 1 1 0 1 1 \n    1 0 1 1 0 1 1 0 0 0 0 1 1 1 0 0]\n[0 0 0 0 0 0 0 0 0 0 0 0 0 0 0 0 0 0 0 0 0 0 0 0 0 0 0 0 0 0 0 1 0 0 0 0 0 0 0 0\n    0 0 0 1 1 1 0 0 1 1 1 1 0 1 0 0 1 0 0 0 0 0 1 1 1 0 0 1 0 1 0 1 1 1 1 1 0 1 \n    1 1 0 1 1 0 1 1 0 0 0 0 1 1 1 0]\n[0 0 0 0 0 0 0 0 0 0 0 0 0 0 0 0 0 0 0 0 0 0 0 0 0 0 0 0 0 0 0 0 1 0 0 0 0 0 1 1\n    1 1 1 0 1 1 0 0 1 0 1 1 1 0 1 1 0 0 0 0 1 1 0 1 0 1 0 0 1 1 0 1 1 0 0 0 0 0 \n    0 1 1 1 1 0 1 1 0 1 0 1 0 1 1 0]\n[0 0 0 0 0 0 0 0 0 0 0 0 0 0 0 0 0 0 0 0 0 0 0 0 0 0 0 0 0 0 0 0 0 1 0 0 0 0 1 0\n    0 0 0 1 0 1 0 0 1 0 0 1 1 1 0 0 1 1 0 0 1 0 1 0 0 0 1 0 0 0 0 1 1 0 1 1 1 0 \n    1 0 1 0 1 0 1 1 0 1 1 1 1 0 1 0]\n[0 0 0 0 0 0 0 0 0 0 0 0 0 0 0 0 0 0 0 0 0 0 0 0 0 0 0 0 0 0 0 0 0 0 1 0 0 0 1 0\n    1 1 1 0 1 0 0 0 1 0 0 0 1 1 1 1 0 0 1 0 1 0 0 1 1 0 0 1 0 1 1 1 1 0 1 0 0 1 \n    1 1 0 0 0 0 1 1 0 1 1 0 1 1 0 0]\n[0 0 0 0 0 0 0 0 0 0 0 0 0 0 0 0 0 0 0 0 0 0 0 0 0 0 0 0 0 0 0 0 0 0 0 1 0 0 0 1\n    0 1 1 1 0 1 0 0 0 1 0 0 0 1 1 1 1 0 0 1 0 1 0 0 1 1 0 0 1 0 1 1 1 1 0 1 0 0 \n    1 1 1 0 0 0 0 1 1 0 1 1 0 1 1 0]\n[0 0 0 0 0 0 0 0 0 0 0 0 0 0 0 0 0 0 0 0 0 0 0 0 0 0 0 0 0 0 0 0 0 0 0 0 1 0 1 1\n    0 1 0 1 1 0 0 0 1 1 1 0 0 0 1 0 1 0 0 0 0 1 1 0 1 1 1 0 0 0 1 0 1 0 0 1 0 0 \n    1 1 1 0 0 1 1 0 0 0 0 0 1 0 1 0]\n[0 0 0 0 0 0 0 0 0 0 0 0 0 0 0 0 0 0 0 0 0 0 0 0 0 0 0 0 0 0 0 0 0 0 0 0 0 1 1 1\n    1 1 0 0 0 1 0 1 1 0 0 0 0 0 1 0 1 0 0 1 1 0 0 1 0 0 0 0 1 1 1 0 1 1 1 1 0 1 \n    0 0 1 0 1 1 0 1 1 0 1 0 0 0 1 0]\n[0 0 0 0 0 0 0 0 0 0 0 0 0 0 0 0 0 0 0 0 0 0 0 0 0 0 0 0 0 0 0 0 0 0 0 0 0 0 0 0\n    0 0 0 0 0 0 1 0 0 0 0 0 0 0 0 0 0 0 0 0 0 0 0 0 0 0 0 0 0 0 0 0 0 0 0 0 0 0 \n    0 0 0 0 0 0 0 0 0 0 0 0 0 0 0 0]\n[[47, 8]] quantum code over GF(2^2), stabilised by:\n[1 0 0 0 0 0 0 0 0 0 0 0 0 0 0 0 0 0 0 $.1 $.1^2 $.1 1 $.1 $.1 $.1 0 0 1 $.1 0 1\n    1 $.1^2 1 $.1^2 0 1 $.1 $.1 $.1^2 0 1 1 1 0 0]\n[$.1 0 0 0 0 0 0 0 0 0 0 0 0 0 0 0 0 0 0 $.1^2 1 $.1^2 $.1 $.1^2 $.1^2 $.1^2 0 0\n    $.1 $.1^2 0 $.1 $.1 1 $.1 1 0 $.1 $.1^2 $.1^2 1 0 $.1 $.1 $.1 0 0]\n[0 1 0 0 0 0 0 0 0 0 0 0 0 0 0 0 0 0 0 0 $.1 $.1^2 $.1 1 $.1 $.1 $.1 0 0 1 $.1 0\n    1 1 $.1^2 1 $.1^2 0 1 $.1 $.1 $.1^2 0 1 1 1 0]\n[0 $.1 0 0 0 0 0 0 0 0 0 0 0 0 0 0 0 0 0 0 $.1^2 1 $.1^2 $.1 $.1^2 $.1^2 $.1^2 0\n    0 $.1 $.1^2 0 $.1 $.1 1 $.1 1 0 $.1 $.1^2 $.1^2 1 0 $.1 $.1 $.1 0]\n[0 0 1 0 0 0 0 0 0 0 0 0 0 0 0 0 0 0 0 1 $.1 0 $.1 $.1^2 1 $.1^2 1 1 1 $.1^2 0 \n    $.1^2 0 1 0 $.1 $.1 $.1 $.1^2 $.1 $.1^2 $.1 $.1 1 $.1^2 $.1^2 0]\n[0 0 $.1 0 0 0 0 0 0 0 0 0 0 0 0 0 0 0 0 $.1 $.1^2 0 $.1^2 1 $.1 1 $.1 $.1 $.1 1\n    0 1 0 $.1 0 $.1^2 $.1^2 $.1^2 1 $.1^2 1 $.1^2 $.1^2 $.1 1 1 0]\n[0 0 0 1 0 0 0 0 0 0 0 0 0 0 0 0 0 0 0 $.1^2 0 $.1^2 $.1^2 1 $.1^2 $.1 1 $.1^2 \n    $.1 $.1^2 0 $.1^2 $.1^2 0 $.1 $.1^2 0 1 0 1 1 $.1^2 1 1 0 $.1 0]\n[0 0 0 $.1 0 0 0 0 0 0 0 0 0 0 0 0 0 0 0 1 0 1 1 $.1 1 $.1^2 $.1 1 $.1^2 1 0 1 1\n    0 $.1^2 1 0 $.1 0 $.1 $.1 1 $.1 $.1 0 $.1^2 0]\n[0 0 0 0 1 0 0 0 0 0 0 0 0 0 0 0 0 0 0 $.1 0 $.1^2 1 1 1 1 $.1^2 0 1 $.1^2 1 $.1\n    $.1^2 $.1^2 $.1 0 $.1 $.1 0 1 $.1^2 1 1 $.1^2 $.1 $.1^2 0]\n[0 0 0 0 $.1 0 0 0 0 0 0 0 0 0 0 0 0 0 0 $.1^2 0 1 $.1 $.1 $.1 $.1 1 0 $.1 1 $.1\n    $.1^2 1 1 $.1^2 0 $.1^2 $.1^2 0 $.1 1 $.1 $.1 1 $.1^2 1 0]\n[0 0 0 0 0 1 0 0 0 0 0 0 0 0 0 0 0 0 0 $.1^2 $.1^2 1 0 $.1 1 $.1 $.1^2 1 $.1^2 \n    $.1^2 0 $.1 $.1 $.1^2 0 1 $.1 1 0 $.1 $.1 $.1^2 $.1 $.1 $.1 $.1^2 0]\n[0 0 0 0 0 $.1 0 0 0 0 0 0 0 0 0 0 0 0 0 1 1 $.1 0 $.1^2 $.1 $.1^2 1 $.1 1 1 0 \n    $.1^2 $.1^2 1 0 $.1 $.1^2 $.1 0 $.1^2 $.1^2 1 $.1^2 $.1^2 $.1^2 1 0]\n[0 0 0 0 0 0 1 0 0 0 0 0 0 0 0 0 0 0 0 $.1^2 $.1 $.1 $.1 $.1^2 $.1 $.1 0 1 $.1 1\n    0 $.1^2 $.1 $.1 0 $.1^2 $.1^2 1 $.1^2 $.1 1 $.1 0 1 $.1^2 $.1^2 0]\n[0 0 0 0 0 0 $.1 0 0 0 0 0 0 0 0 0 0 0 0 1 $.1^2 $.1^2 $.1^2 1 $.1^2 $.1^2 0 $.1\n    $.1^2 $.1 0 1 $.1^2 $.1^2 0 1 1 $.1 1 $.1^2 $.1 $.1^2 0 $.1 1 1 0]\n[0 0 0 0 0 0 0 1 0 0 0 0 0 0 0 0 0 0 0 $.1^2 $.1 $.1^2 1 1 $.1^2 1 0 $.1 $.1 0 \n    $.1 $.1^2 $.1^2 $.1 1 $.1^2 1 0 $.1^2 1 1 1 1 $.1^2 0 $.1 0]\n[0 0 0 0 0 0 0 $.1 0 0 0 0 0 0 0 0 0 0 0 1 $.1^2 1 $.1 $.1 1 $.1 0 $.1^2 $.1^2 0\n    $.1^2 1 1 $.1^2 $.1 1 $.1 0 1 $.1 $.1 $.1 $.1 1 0 $.1^2 0]\n[0 0 0 0 0 0 0 0 1 0 0 0 0 0 0 0 0 0 0 $.1 0 1 1 $.1^2 1 1 0 1 0 $.1^2 $.1 0 \n    $.1^2 $.1^2 0 $.1^2 $.1 $.1^2 1 $.1 $.1^2 1 $.1^2 $.1^2 0 $.1^2 0]\n[0 0 0 0 0 0 0 0 $.1 0 0 0 0 0 0 0 0 0 0 $.1^2 0 $.1 $.1 1 $.1 $.1 0 $.1 0 1 \n    $.1^2 0 1 1 0 1 $.1^2 1 $.1 $.1^2 1 $.1 1 1 0 1 0]\n[0 0 0 0 0 0 0 0 0 1 0 0 0 0 0 0 0 0 0 $.1^2 $.1^2 1 $.1 $.1 $.1^2 $.1 $.1^2 $.1\n    $.1 $.1 0 1 0 $.1^2 0 $.1^2 1 1 1 $.1^2 1 $.1^2 $.1 0 $.1 1 0]\n[0 0 0 0 0 0 0 0 0 $.1 0 0 0 0 0 0 0 0 0 1 1 $.1 $.1^2 $.1^2 1 $.1^2 1 $.1^2 \n    $.1^2 $.1^2 0 $.1 0 1 0 1 $.1 $.1 $.1 1 $.1 1 $.1^2 0 $.1^2 $.1 0]\n[0 0 0 0 0 0 0 0 0 0 1 0 0 0 0 0 0 0 0 1 1 1 0 $.1^2 $.1 $.1 1 0 $.1^2 1 $.1^2 1\n    1 0 $.1 1 0 0 $.1 $.1 $.1 1 $.1 $.1^2 $.1 0 0]\n[0 0 0 0 0 0 0 0 0 0 $.1 0 0 0 0 0 0 0 0 $.1 $.1 $.1 0 1 $.1^2 $.1^2 $.1 0 1 $.1\n    1 $.1 $.1 0 $.1^2 $.1 0 0 $.1^2 $.1^2 $.1^2 $.1 $.1^2 1 $.1^2 0 0]\n[0 0 0 0 0 0 0 0 0 0 0 1 0 0 0 0 0 0 0 0 1 1 1 0 $.1^2 $.1 $.1 1 0 $.1^2 1 $.1^2\n    1 1 0 $.1 1 0 0 $.1 $.1 $.1 1 $.1 $.1^2 $.1 0]\n[0 0 0 0 0 0 0 0 0 0 0 $.1 0 0 0 0 0 0 0 0 $.1 $.1 $.1 0 1 $.1^2 $.1^2 $.1 0 1 \n    $.1 1 $.1 $.1 0 $.1^2 $.1 0 0 $.1^2 $.1^2 $.1^2 $.1 $.1^2 1 $.1^2 0]\n[0 0 0 0 0 0 0 0 0 0 0 0 1 0 0 0 0 0 0 $.1 $.1^2 $.1 $.1^2 $.1^2 0 1 $.1^2 $.1^2\n    $.1^2 1 1 $.1^2 $.1^2 1 $.1^2 $.1 $.1^2 $.1^2 1 1 0 $.1 0 $.1^2 1 0 0]\n[0 0 0 0 0 0 0 0 0 0 0 0 $.1 0 0 0 0 0 0 $.1^2 1 $.1^2 1 1 0 $.1 1 1 1 $.1 $.1 1\n    1 $.1 1 $.1^2 1 1 $.1 $.1 0 $.1^2 0 1 $.1 0 0]\n[0 0 0 0 0 0 0 0 0 0 0 0 0 1 0 0 0 0 0 0 $.1 $.1^2 $.1 $.1^2 $.1^2 0 1 $.1^2 \n    $.1^2 $.1^2 1 1 $.1^2 $.1^2 1 $.1^2 $.1 $.1^2 $.1^2 1 1 0 $.1 0 $.1^2 1 0]\n[0 0 0 0 0 0 0 0 0 0 0 0 0 $.1 0 0 0 0 0 0 $.1^2 1 $.1^2 1 1 0 $.1 1 1 1 $.1 $.1\n    1 1 $.1 1 $.1^2 1 1 $.1 $.1 0 $.1^2 0 1 $.1 0]\n[0 0 0 0 0 0 0 0 0 0 0 0 0 0 1 0 0 0 0 1 $.1 0 $.1 $.1^2 $.1^2 $.1 $.1^2 $.1 $.1\n    0 $.1 0 1 $.1^2 $.1 0 0 $.1^2 0 0 0 1 1 $.1^2 $.1 1 0]\n[0 0 0 0 0 0 0 0 0 0 0 0 0 0 $.1 0 0 0 0 $.1 $.1^2 0 $.1^2 1 1 $.1^2 1 $.1^2 \n    $.1^2 0 $.1^2 0 $.1 1 $.1^2 0 0 1 0 0 0 $.1 $.1 1 $.1^2 $.1 0]\n[0 0 0 0 0 0 0 0 0 0 0 0 0 0 0 1 0 0 0 1 $.1^2 0 1 $.1^2 $.1^2 $.1 1 0 $.1^2 1 1\n    $.1^2 0 1 $.1 $.1^2 $.1^2 1 0 $.1^2 1 0 0 0 1 0 0]\n[0 0 0 0 0 0 0 0 0 0 0 0 0 0 0 $.1 0 0 0 $.1 1 0 $.1 1 1 $.1^2 $.1 0 1 $.1 $.1 1\n    0 $.1 $.1^2 1 1 $.1 0 1 $.1 0 0 0 $.1 0 0]\n[0 0 0 0 0 0 0 0 0 0 0 0 0 0 0 0 1 0 0 0 1 $.1^2 0 1 $.1^2 $.1^2 $.1 1 0 $.1^2 1\n    1 $.1^2 0 1 $.1 $.1^2 $.1^2 1 0 $.1^2 1 0 0 0 1 0]\n[0 0 0 0 0 0 0 0 0 0 0 0 0 0 0 0 $.1 0 0 0 $.1 1 0 $.1 1 1 $.1^2 $.1 0 1 $.1 $.1\n    1 0 $.1 $.1^2 1 1 $.1 0 1 $.1 0 0 0 $.1 0]\n[0 0 0 0 0 0 0 0 0 0 0 0 0 0 0 0 0 1 0 1 $.1 $.1^2 $.1 1 1 $.1 0 1 0 $.1^2 $.1 0\n    1 $.1^2 1 0 1 $.1 0 $.1 1 $.1^2 0 1 $.1 $.1 0]\n[0 0 0 0 0 0 0 0 0 0 0 0 0 0 0 0 0 $.1 0 $.1 $.1^2 1 $.1^2 $.1 $.1 $.1^2 0 $.1 0\n    1 $.1^2 0 $.1 1 $.1 0 $.1 $.1^2 0 $.1^2 $.1 1 0 $.1 $.1^2 $.1^2 0]\n[0 0 0 0 0 0 0 0 0 0 0 0 0 0 0 0 0 0 1 $.1 $.1 1 1 0 1 $.1^2 $.1^2 1 $.1^2 1 1 0\n    0 1 1 $.1^2 1 $.1^2 $.1^2 1 0 1 1 $.1 $.1 1 0]\n[0 0 0 0 0 0 0 0 0 0 0 0 0 0 0 0 0 0 $.1 $.1^2 $.1^2 $.1 $.1 0 $.1 1 1 $.1 1 $.1\n    $.1 0 0 $.1 $.1 1 $.1 1 1 $.1 0 $.1 $.1 $.1^2 $.1^2 $.1 0]\n[0 0 0 0 0 0 0 0 0 0 0 0 0 0 0 0 0 0 0 0 0 0 0 0 0 0 0 0 0 0 0 0 0 0 0 0 0 0 0 0\n    0 0 0 0 0 0 1]\nQuantum GF(2)-Additive code over GF(4) of length 47 with 55 generators.\nLower Bound: 1, Upper Bound: 21\nConstructed 2 distinct generator matrices\nTotal Ranks:     28  28 \nRelative Ranks:  28  19 \n(4 4 4 4 4 4 4 4 4 4 4 4 4 4 4 4 4 4 4 4 4 4 4 4 4 4 4 2 )\n(4 4 4 4 4 4 4 4 4 4 4 4 4 4 4 4 4 4 4 4 4 4 4 4 4 4 4 2 )\nTime Taken: 0.00\nStarting search for low weight codewords... (reset timings)\nEnumerating using 1 generator at a time:\n     New codeword identified of weight 16, time 0.00\n     New codeword identified of weight 14, time 0.00\n     New codeword identified of weight 13, time 0.00\n     Impurity detected of weight 1, time 0.00\n   Completed Matrix  1:  lower =  2, upper = 13. Elapsed: 0.00s\n   Completed Matrix  2:  lower =  2, upper = 13. Elapsed: 0.00s\nTermination predicted with 10 generators at matrix 2\nEnumerating using 2 generators at a time:\n     New codeword identified of weight 11, time 0.00\n     New codeword identified of weight 10, time 0.00\n     New codeword identified of weight 9, time 0.00\n     Discarding non-contributing rank 19 matrix\n     New Total Ranks:     28 \n     New Relative Ranks:  28 \n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0.00s\nTermination predicted with 8 generators at matrix 1\nEnumerating using 5 generators at a time:\n   Completed Matrix  1:  lower =  6, upper =  9. Elapsed: 0.12s\nTermination predicted with 8 generators at matrix 1\nEnumerating using 6 generators at a time:\n   Completed Matrix  1:  lower =  7, upper =  9. Elapsed: 1.44s\nTermination predicted at 104 s (1m 44s) with 8 generators at matrix 1\nEnumerating using 7 generators at a time:\n   Completed Matrix  1:  lower =  8, upper =  9. Elapsed: 13.45s\nTermination predicted at 104 s (1m 44s) with 8 generators at matrix 1\nEnumerating using 8 generators at a time:\n   Completed Matrix  1:  lower =  9, upper =  9. Elapsed: 104.26s\nComputation complete \nFinal Results: lower = 9, upper = 9,\nTotal CPU time: 104.26, real time: 104.305\n9\n\nTotal time: 104.280 seconds, Total memory usage: 32.09MB\n</t>
  </si>
  <si>
    <t>19.976325750001706</t>
  </si>
  <si>
    <t>Magma V2.28-26    Tue Dec 30 2025 12:14:33 on Marks-MacBook-Air-2 [Seed = \n1057330367]\nType ? for help.  Type &lt;Ctrl&gt;-D to quit.\n[1 0 0 0 0 0 0 0 0 0 0 0 0 0 0 0 0 0 0 0 0 0 0 0 0 0 0 0 0 0 0 0 0 0 0 0 0 0 0 0\n    0 0 0 1 0 1 1 0 0 0 1 1 0 1 1 0 0 0 1 0 0 0 1 0 1 0 1 0 1 0 1 0 1 1 1 1 0 0 \n    0 0 0 0 1 0 1 0 1 1 1 1 0 1 1 0 1 1]\n[0 1 0 0 0 0 0 0 0 0 0 0 0 0 0 0 0 0 0 0 0 0 0 0 0 0 0 0 0 0 0 0 0 0 0 0 0 0 0 0\n    0 0 0 1 0 1 0 1 1 1 0 1 1 0 1 0 0 0 0 0 1 0 0 1 0 0 1 0 1 1 1 1 0 1 0 1 0 0 \n    0 1 1 1 1 1 1 1 1 1 1 1 1 0 1 1 0 0]\n[0 0 1 0 0 0 0 0 0 0 0 0 0 0 0 0 0 0 0 0 0 0 0 0 0 0 0 0 0 0 0 0 0 0 0 0 0 0 0 0\n    0 0 0 1 0 0 1 1 1 1 1 0 0 0 1 0 0 1 0 0 1 1 1 0 0 0 0 1 0 1 0 1 0 0 0 0 1 1 \n    0 1 0 0 0 1 1 1 0 1 1 1 1 1 0 0 0 0]\n[0 0 0 1 0 0 0 0 0 0 0 0 0 0 0 0 0 0 0 0 0 0 0 0 0 0 0 0 0 0 0 0 0 0 0 0 0 0 0 0\n    0 0 0 1 0 0 0 0 1 1 1 1 1 1 1 0 0 1 1 0 1 1 0 1 1 0 0 0 1 0 0 0 0 0 1 0 0 0 \n    1 1 0 1 1 0 1 1 0 0 1 1 1 1 1 1 1 0]\n[0 0 0 0 1 0 0 0 0 0 0 0 0 0 0 0 0 0 0 0 0 0 0 0 0 0 0 0 0 0 0 0 0 0 0 0 0 0 0 0\n    0 0 0 0 0 1 1 1 1 1 1 0 0 0 1 1 1 0 0 1 0 0 1 1 0 0 1 1 0 1 0 1 0 0 0 0 1 0 \n    0 1 1 0 1 0 0 1 1 0 0 1 1 1 0 0 0 0]\n[0 0 0 0 0 1 0 0 0 0 0 0 0 0 0 0 0 0 0 0 0 0 0 0 0 0 0 0 0 0 0 0 0 0 0 0 0 0 0 0\n    0 0 1 0 0 0 0 0 1 1 1 0 0 1 0 0 0 1 0 1 1 1 0 1 1 1 0 0 1 1 1 0 0 1 1 1 0 0 \n    1 1 1 0 1 1 1 0 1 0 0 0 1 0 0 1 1 1]\n[0 0 0 0 0 0 1 0 0 0 0 0 0 0 0 0 0 0 0 0 0 0 0 0 0 0 0 0 0 0 0 0 0 0 0 0 0 0 0 0\n    0 0 1 1 0 1 0 0 1 0 1 0 1 0 0 1 1 1 1 0 1 0 0 0 0 1 0 0 1 0 1 1 0 1 0 0 0 0 \n    1 0 1 0 1 1 1 1 0 0 0 0 0 0 1 0 1 1]\n[0 0 0 0 0 0 0 1 0 0 0 0 0 0 0 0 0 0 0 0 0 0 0 0 0 0 0 0 0 0 0 0 0 0 0 0 0 0 0 0\n    0 0 1 1 0 0 0 1 0 0 0 1 0 0 1 1 1 0 0 1 0 1 1 1 0 1 1 1 1 0 0 0 1 1 0 0 0 0 \n    1 0 0 0 1 0 1 1 1 1 0 0 0 1 0 0 1 0]\n[0 0 0 0 0 0 0 0 1 0 0 0 0 0 0 0 0 0 0 0 0 0 0 0 0 0 0 0 0 0 0 0 0 0 0 0 0 0 0 0\n    0 0 1 1 0 1 0 0 0 0 0 0 0 0 0 0 1 1 1 1 1 0 1 0 0 0 0 1 1 0 0 1 1 0 0 0 1 1 \n    1 0 0 1 1 0 1 1 1 0 1 0 0 1 1 0 0 1]\n[0 0 0 0 0 0 0 0 0 1 0 0 0 0 0 0 0 0 0 0 0 0 0 0 0 0 0 0 0 0 0 0 0 0 0 0 0 0 0 0\n    0 0 0 0 0 1 0 0 1 1 0 0 0 0 0 1 0 1 1 0 0 1 0 1 0 1 1 1 0 1 1 0 1 1 1 0 1 1 \n    1 0 1 1 0 1 1 1 0 1 0 1 0 0 1 1 0 1]\n[0 0 0 0 0 0 0 0 0 0 1 0 0 0 0 0 0 0 0 0 0 0 0 0 0 0 0 0 0 0 0 0 0 0 0 0 0 0 0 0\n    0 0 1 0 0 1 1 0 1 0 1 1 1 0 1 1 0 1 1 1 0 1 0 0 0 0 0 1 0 1 1 1 0 0 0 0 1 1 \n    0 0 0 0 0 0 1 1 1 1 1 0 1 1 1 1 1 0]\n[0 0 0 0 0 0 0 0 0 0 0 1 0 0 0 0 0 0 0 0 0 0 0 0 0 0 0 0 0 0 0 0 0 0 0 0 0 0 0 0\n    0 0 0 1 0 0 1 1 0 1 0 1 1 1 0 1 1 0 1 1 1 0 1 0 0 0 0 0 1 0 1 1 1 0 0 0 0 1 \n    1 0 0 0 0 0 0 1 1 1 1 1 0 1 1 1 1 1]\n[0 0 0 0 0 0 0 0 0 0 0 0 1 0 0 0 0 0 0 0 0 0 0 0 0 0 0 0 0 0 0 0 0 0 0 0 0 0 0 0\n    0 0 1 1 0 1 0 0 0 1 1 1 1 0 1 0 0 1 0 1 0 0 0 1 0 0 1 0 1 0 1 1 0 0 0 1 1 1 \n    0 1 1 0 0 0 0 0 0 0 1 1 1 1 0 0 0 1]\n[0 0 0 0 0 0 0 0 0 0 0 0 0 1 0 0 0 0 0 0 0 0 0 0 0 0 0 0 0 0 0 0 0 0 0 0 0 0 0 0\n    0 0 1 1 0 0 0 1 0 1 1 1 1 0 1 0 0 1 0 0 1 0 1 1 1 1 0 0 1 0 0 0 1 1 1 0 1 1 \n    0 1 1 0 1 1 0 0 0 1 0 1 1 0 1 1 1 1]\n[0 0 0 0 0 0 0 0 0 0 0 0 0 0 1 0 0 0 0 0 0 0 0 0 0 0 0 0 0 0 0 0 0 0 0 0 0 0 0 0\n    0 0 0 1 0 0 0 0 1 1 1 0 1 1 1 1 1 1 0 1 0 0 1 0 1 1 1 0 1 1 0 1 1 1 1 0 0 0 \n    1 0 1 1 0 0 0 0 0 0 1 0 1 1 1 1 1 1]\n[0 0 0 0 0 0 0 0 0 0 0 0 0 0 0 1 0 0 0 0 0 0 0 0 0 0 0 0 0 0 0 0 0 0 0 0 0 0 0 0\n    0 0 0 1 0 1 1 0 1 0 1 1 0 1 1 0 1 1 1 1 0 0 0 1 0 0 0 0 1 1 0 0 1 1 0 1 1 0 \n    0 0 1 0 0 0 1 0 1 0 0 1 0 1 1 1 1 0]\n[0 0 0 0 0 0 0 0 0 0 0 0 0 0 0 0 1 0 0 0 0 0 0 0 0 0 0 0 0 0 0 0 0 0 0 0 0 0 0 0\n    0 0 0 0 0 1 0 0 1 1 0 0 0 1 1 1 1 1 0 1 1 1 0 1 0 1 1 1 0 1 1 1 0 1 1 1 0 1 \n    0 0 0 1 0 1 0 1 0 1 0 0 1 0 0 0 0 0]\n[0 0 0 0 0 0 0 0 0 0 0 0 0 0 0 0 0 1 0 0 0 0 0 0 0 0 0 0 0 0 0 0 0 0 0 0 0 0 0 0\n    0 0 1 1 0 1 1 1 1 1 1 0 0 1 0 1 1 0 0 1 0 1 0 1 1 0 0 1 1 1 0 0 1 1 1 1 0 0 \n    0 0 1 0 1 1 0 0 0 1 1 0 0 0 0 1 1 0]\n[0 0 0 0 0 0 0 0 0 0 0 0 0 0 0 0 0 0 1 0 0 0 0 0 0 0 0 0 0 0 0 0 0 0 0 0 0 0 0 0\n    0 0 1 1 0 1 1 1 0 1 1 1 1 0 1 1 1 1 1 1 1 0 1 1 0 1 1 0 1 0 1 1 1 0 0 1 0 1 \n    1 1 0 0 1 0 0 0 0 1 1 1 0 1 0 0 1 1]\n[0 0 0 0 0 0 0 0 0 0 0 0 0 0 0 0 0 0 0 1 0 0 0 0 0 0 0 0 0 0 0 0 0 0 0 0 0 0 0 0\n    0 0 0 1 0 0 1 1 1 1 1 0 1 1 1 1 0 0 0 0 1 0 1 0 1 0 1 1 1 1 0 0 0 1 0 1 1 1 \n    1 1 1 0 0 0 1 0 0 0 1 1 1 0 0 0 0 1]\n[0 0 0 0 0 0 0 0 0 0 0 0 0 0 0 0 0 0 0 0 1 0 0 0 0 0 0 0 0 0 0 0 0 0 0 0 0 0 0 0\n    0 0 0 0 0 0 0 1 1 0 1 0 0 1 0 1 0 1 1 1 0 0 1 0 0 1 0 1 0 1 1 1 1 0 1 1 1 0 \n    1 1 1 1 0 1 1 1 0 0 0 1 1 1 1 0 0 0]\n[0 0 0 0 0 0 0 0 0 0 0 0 0 0 0 0 0 0 0 0 0 1 0 0 0 0 0 0 0 0 0 0 0 0 0 0 0 0 0 0\n    0 0 1 0 0 0 1 1 1 1 0 0 0 1 1 1 0 0 1 0 1 1 0 1 0 1 1 1 1 1 1 1 0 0 1 0 1 0 \n    1 0 1 0 0 0 0 1 1 1 0 0 1 0 0 0 1 1]\n[0 0 0 0 0 0 0 0 0 0 0 0 0 0 0 0 0 0 0 0 0 0 1 0 0 0 0 0 0 0 0 0 0 0 0 0 0 0 0 0\n    0 0 1 0 0 0 1 1 1 0 1 0 1 0 1 1 1 0 1 1 1 1 1 1 0 1 1 0 0 0 0 0 0 1 0 1 0 0 \n    1 1 1 1 0 1 0 0 0 0 1 0 0 0 0 0 0 0]\n[0 0 0 0 0 0 0 0 0 0 0 0 0 0 0 0 0 0 0 0 0 0 0 1 0 0 0 0 0 0 0 0 0 0 0 0 0 0 0 0\n    0 0 1 1 0 0 1 0 1 1 0 0 0 0 0 0 0 1 0 0 1 0 1 1 1 1 1 0 0 1 0 0 1 1 0 1 1 1 \n    1 0 1 0 0 0 0 0 0 1 0 1 0 1 1 1 1 1]\n[0 0 0 0 0 0 0 0 0 0 0 0 0 0 0 0 0 0 0 0 0 0 0 0 1 0 0 0 0 0 0 0 0 0 0 0 0 0 0 0\n    0 0 1 1 0 0 1 0 0 0 1 0 0 1 1 1 0 1 0 0 0 1 1 0 1 0 1 0 1 1 1 1 0 0 0 0 1 1 \n    0 0 0 0 1 1 0 0 0 1 1 0 1 1 1 0 0 0]\n[0 0 0 0 0 0 0 0 0 0 0 0 0 0 0 0 0 0 0 0 0 0 0 0 0 1 0 0 0 0 0 0 0 0 0 0 0 0 0 0\n    0 0 1 0 0 0 1 1 0 0 0 0 1 0 0 1 0 1 1 1 1 1 0 1 1 0 0 0 0 0 0 1 1 1 0 1 0 1 \n    0 0 1 0 0 1 0 0 1 1 1 1 0 0 0 1 0 1]\n[0 0 0 0 0 0 0 0 0 0 0 0 0 0 0 0 0 0 0 0 0 0 0 0 0 0 1 0 0 0 0 0 0 0 0 0 0 0 0 0\n    0 0 1 0 0 0 1 1 1 1 0 0 1 1 0 0 1 0 0 1 0 1 1 1 0 0 0 1 1 1 1 1 0 0 1 0 1 1 \n    0 0 1 1 0 1 1 0 1 0 1 1 1 1 0 0 1 1]\n[0 0 0 0 0 0 0 0 0 0 0 0 0 0 0 0 0 0 0 0 0 0 0 0 0 0 0 1 0 0 0 0 0 0 0 0 0 0 0 0\n    0 0 0 1 0 1 1 0 0 0 1 0 1 0 0 0 0 0 0 1 1 0 0 1 0 1 1 1 0 1 1 1 0 0 0 1 1 0 \n    1 0 0 1 1 0 0 1 0 1 0 1 1 1 1 1 1 0]\n[0 0 0 0 0 0 0 0 0 0 0 0 0 0 0 0 0 0 0 0 0 0 0 0 0 0 0 0 1 0 0 0 0 0 0 0 0 0 0 0\n    0 0 0 0 0 1 0 0 1 0 0 0 1 0 0 0 1 0 1 0 1 0 0 1 0 1 0 0 1 0 1 0 1 0 0 1 0 1 \n    0 1 0 0 1 0 0 0 1 0 1 0 1 1 0 0 0 0]\n[0 0 0 0 0 0 0 0 0 0 0 0 0 0 0 0 0 0 0 0 0 0 0 0 0 0 0 0 0 1 0 0 0 0 0 0 0 0 0 0\n    0 0 1 1 0 1 1 1 1 1 0 0 0 0 1 0 0 0 1 0 1 1 1 1 1 0 0 0 0 0 1 0 0 0 0 0 0 0 \n    0 0 0 0 0 0 1 0 1 0 0 1 0 0 1 1 1 0]\n[0 0 0 0 0 0 0 0 0 0 0 0 0 0 0 0 0 0 0 0 0 0 0 0 0 0 0 0 0 0 1 0 0 0 0 0 0 0 0 0\n    0 0 1 1 0 1 1 1 0 1 1 0 1 0 0 0 0 0 1 0 0 1 1 0 0 1 1 0 0 1 0 0 1 1 1 0 1 1 \n    1 1 0 1 1 1 1 1 0 0 0 0 1 1 0 1 1 1]\n[0 0 0 0 0 0 0 0 0 0 0 0 0 0 0 0 0 0 0 0 0 0 0 0 0 0 0 0 0 0 0 1 0 0 0 0 0 0 0 0\n    0 0 0 1 0 0 1 1 1 1 1 0 0 1 1 0 1 1 1 0 0 1 0 0 0 0 1 1 1 0 1 1 1 1 1 0 0 0 \n    1 1 1 0 1 0 0 1 1 0 0 0 0 1 0 0 1 1]\n[0 0 0 0 0 0 0 0 0 0 0 0 0 0 0 0 0 0 0 0 0 0 0 0 0 0 0 0 0 0 0 0 1 0 0 0 0 0 0 0\n    0 0 0 0 0 0 0 1 1 0 1 0 0 0 0 1 1 0 0 0 0 1 0 1 0 0 0 1 0 1 0 0 0 1 1 0 0 1 \n    0 1 1 1 0 0 1 0 1 1 0 0 0 0 0 0 0 1]\n[0 0 0 0 0 0 0 0 0 0 0 0 0 0 0 0 0 0 0 0 0 0 0 0 0 0 0 0 0 0 0 0 0 1 0 0 0 0 0 0\n    0 0 0 0 0 1 1 1 0 0 0 1 1 1 1 0 1 0 0 1 0 0 0 0 0 1 1 1 0 0 1 0 1 0 1 1 1 1 \n    1 0 1 1 1 0 1 1 0 1 1 0 0 0 0 1 1 1]\n[0 0 0 0 0 0 0 0 0 0 0 0 0 0 0 0 0 0 0 0 0 0 0 0 0 0 0 0 0 0 0 0 0 0 1 0 0 0 0 0\n    0 0 1 1 0 0 0 1 1 1 0 0 0 1 1 1 0 1 1 0 0 0 0 1 1 1 1 0 0 1 1 0 1 0 0 1 1 0 \n    0 1 1 1 1 0 0 1 0 1 1 1 0 1 0 0 1 0]\n[0 0 0 0 0 0 0 0 0 0 0 0 0 0 0 0 0 0 0 0 0 0 0 0 0 0 0 0 0 0 0 0 0 0 0 1 0 0 0 0\n    0 0 1 1 0 1 0 0 0 1 1 0 1 0 1 0 1 0 0 0 0 0 0 1 0 1 0 1 0 1 1 0 1 0 1 0 0 0 \n    1 1 1 0 0 0 1 0 1 1 1 1 1 1 1 0 0 1]\n[0 0 0 0 0 0 0 0 0 0 0 0 0 0 0 0 0 0 0 0 0 0 0 0 0 0 0 0 0 0 0 0 0 0 0 0 1 0 0 0\n    0 0 0 0 0 1 0 0 1 1 1 1 0 1 0 0 0 1 0 1 1 0 0 0 1 1 0 1 0 0 0 1 0 1 1 1 1 0 \n    0 0 0 0 1 0 1 1 1 1 1 1 1 1 1 1 0 1]\n[0 0 0 0 0 0 0 0 0 0 0 0 0 0 0 0 0 0 0 0 0 0 0 0 0 0 0 0 0 0 0 0 0 0 0 0 0 1 0 0\n    0 0 1 0 0 1 1 0 1 0 1 0 0 0 0 1 1 1 1 0 1 0 1 0 1 1 0 0 0 1 0 0 1 1 0 0 0 1 \n    1 1 0 1 1 1 0 1 1 0 1 1 1 0 0 1 1 0]\n[0 0 0 0 0 0 0 0 0 0 0 0 0 0 0 0 0 0 0 0 0 0 0 0 0 0 0 0 0 0 0 0 0 0 0 0 0 0 1 0\n    0 0 0 1 0 0 1 1 0 1 0 1 0 0 0 0 1 1 1 1 0 1 0 1 0 1 1 0 0 0 1 0 0 1 1 0 0 0 \n    1 1 1 0 1 1 1 0 1 1 0 1 1 1 0 0 1 1]\n[0 0 0 0 0 0 0 0 0 0 0 0 0 0 0 0 0 0 0 0 0 0 0 0 0 0 0 0 0 0 0 0 0 0 0 0 0 0 0 1\n    0 0 1 1 0 1 0 0 0 1 1 1 1 1 0 0 1 1 1 1 0 1 1 0 1 0 0 1 1 1 1 1 1 1 1 0 1 1 \n    1 1 0 1 0 1 1 1 1 0 1 0 1 0 0 1 1 1]\n[0 0 0 0 0 0 0 0 0 0 0 0 0 0 0 0 0 0 0 0 0 0 0 0 0 0 0 0 0 0 0 0 0 0 0 0 0 0 0 0\n    1 0 1 1 0 0 0 1 0 1 1 1 1 0 0 1 0 0 0 1 1 0 0 0 0 0 0 1 0 0 1 0 1 0 0 1 0 1 \n    0 0 1 1 0 1 1 1 1 0 0 1 0 0 0 1 0 0]\n[0 0 0 0 0 0 0 0 0 0 0 0 0 0 0 0 0 0 0 0 0 0 0 0 0 0 0 0 0 0 0 0 0 0 0 0 0 0 0 0\n    0 1 1 1 0 1 0 0 0 0 1 1 0 1 0 1 1 0 1 1 1 1 0 1 1 0 1 0 1 1 0 0 1 0 1 0 0 1 \n    0 1 0 0 0 1 0 1 1 0 0 0 1 1 0 0 1 0]\n[0 0 0 0 0 0 0 0 0 0 0 0 0 0 0 0 0 0 0 0 0 0 0 0 0 0 0 0 0 0 0 0 0 0 0 0 0 0 0 0\n    0 0 0 0 1 1 1 1 1 0 0 1 1 1 0 0 1 0 1 0 0 1 0 1 1 1 1 1 0 0 0 1 0 0 0 1 1 0 \n    0 0 0 0 0 1 0 0 0 0 0 0 0 0 1 1 1 1]\n[[48, 5]] quantum code over GF(2^2), stabilised by:\n[1 0 0 0 0 0 0 0 0 0 0 0 0 0 0 0 0 0 0 0 0 0 $.1^2 0 $.1 0 1 0 $.1 1 0 1 $.1^2 \n    $.1^2 1 $.1 $.1^2 $.1 1 0 0 1 1 $.1 1 0 $.1 1]\n[$.1 0 0 0 0 0 0 0 0 0 0 0 0 0 0 0 0 0 0 0 0 $.1 1 0 $.1^2 0 $.1 $.1 1 1 $.1^2 1\n    $.1 1 1 $.1 $.1 1 1 1 $.1 0 1 1 $.1^2 1 $.1^2 0]\n[0 1 0 0 0 0 0 0 0 0 0 0 0 0 0 0 0 0 0 0 0 0 1 $.1^2 0 $.1 0 1 1 $.1^2 $.1^2 $.1\n    $.1^2 1 $.1^2 $.1^2 1 1 $.1^2 $.1^2 $.1^2 1 0 $.1^2 $.1^2 $.1 $.1^2 $.1]\n[0 $.1 0 0 0 0 0 0 0 0 0 0 0 0 0 0 0 0 0 0 0 0 $.1 1 0 $.1^2 0 $.1 $.1 1 1 $.1^2\n    1 $.1 1 1 $.1 $.1 1 1 1 $.1 0 1 1 $.1^2 1 $.1^2]\n[0 0 1 0 0 0 0 0 0 0 0 0 0 0 0 0 0 0 0 0 0 $.1 $.1^2 $.1 1 $.1 $.1 $.1 0 0 1 $.1\n    0 1 1 $.1^2 1 $.1^2 0 1 $.1 $.1 $.1^2 0 1 1 1 0]\n[0 0 $.1 0 0 0 0 0 0 0 0 0 0 0 0 0 0 0 0 0 0 $.1 1 $.1^2 $.1 $.1^2 $.1^2 $.1 1 \n    $.1 0 1 $.1 $.1 0 $.1 0 0 $.1 1 $.1 $.1 $.1^2 1 1 1 $.1 1]\n[0 0 0 1 0 0 0 0 0 0 0 0 0 0 0 0 0 0 0 0 0 0 $.1 $.1^2 $.1 1 $.1 $.1 $.1 0 0 1 \n    $.1 0 1 1 $.1^2 1 $.1^2 0 1 $.1 $.1 $.1^2 0 1 1 1]\n[0 0 0 $.1 0 0 0 0 0 0 0 0 0 0 0 0 0 0 0 0 0 0 $.1^2 1 $.1^2 $.1 $.1^2 $.1^2 \n    $.1^2 0 0 $.1 $.1^2 0 $.1 $.1 1 $.1 1 0 $.1 $.1^2 $.1^2 1 0 $.1 $.1 $.1]\n[0 0 0 0 1 0 0 0 0 0 0 0 0 0 0 0 0 0 0 0 0 0 $.1 0 $.1 $.1^2 1 $.1 0 $.1^2 $.1^2\n    1 $.1 $.1^2 $.1 $.1 $.1 $.1^2 0 1 $.1 $.1^2 1 $.1^2 1 $.1 $.1^2 $.1]\n[0 0 0 0 $.1 0 0 0 0 0 0 0 0 0 0 0 0 0 0 0 0 $.1 $.1^2 0 $.1^2 1 $.1 1 $.1 $.1 \n    $.1 1 0 1 0 $.1 0 $.1^2 $.1^2 $.1^2 1 $.1^2 1 $.1^2 $.1^2 $.1 1 1]\n[0 0 0 0 0 1 0 0 0 0 0 0 0 0 0 0 0 0 0 0 0 $.1 0 $.1^2 $.1^2 1 $.1^2 $.1^2 0 1 0\n    1 $.1 $.1^2 1 $.1^2 0 $.1 $.1 $.1 1 0 $.1^2 $.1 $.1 $.1 0 $.1^2]\n[0 0 0 0 0 $.1 0 0 0 0 0 0 0 0 0 0 0 0 0 0 0 0 0 1 1 $.1 1 $.1 $.1^2 $.1^2 1 \n    $.1^2 $.1 1 $.1^2 $.1^2 1 0 $.1 1 1 $.1^2 0 0 1 1 0 $.1]\n[0 0 0 0 0 0 1 0 0 0 0 0 0 0 0 0 0 0 0 0 0 $.1 0 $.1^2 1 1 1 1 $.1^2 0 1 $.1^2 1\n    $.1 $.1^2 $.1^2 $.1 0 $.1 $.1 0 1 $.1^2 1 1 $.1^2 $.1 $.1^2]\n[0 0 0 0 0 0 $.1 0 0 0 0 0 0 0 0 0 0 0 0 0 0 $.1 0 1 $.1 $.1 $.1 $.1^2 0 $.1 0 \n    $.1^2 0 $.1^2 $.1^2 $.1 1 1 1 0 1 $.1^2 $.1^2 $.1^2 1 $.1 $.1^2 0]\n[0 0 0 0 0 0 0 1 0 0 0 0 0 0 0 0 0 0 0 0 0 $.1 $.1^2 1 0 $.1 1 $.1^2 $.1 $.1^2 1\n    1 $.1 $.1 0 0 $.1 0 0 $.1 1 $.1^2 0 $.1 1 1 $.1 $.1]\n[0 0 0 0 0 0 0 $.1 0 0 0 0 0 0 0 0 0 0 0 0 0 0 1 $.1 0 $.1^2 $.1 $.1 0 0 $.1^2 \n    $.1^2 $.1 $.1^2 1 $.1 $.1 $.1^2 1 1 1 $.1 1 0 0 0 $.1^2 0]\n[0 0 0 0 0 0 0 0 1 0 0 0 0 0 0 0 0 0 0 0 0 $.1 $.1 $.1 $.1 $.1^2 $.1 $.1^2 1 \n    $.1^2 0 $.1^2 $.1 $.1^2 0 1 $.1 $.1 1 $.1 $.1 $.1^2 $.1^2 $.1^2 $.1^2 $.1 \n    $.1^2 $.1]\n[0 0 0 0 0 0 0 0 $.1 0 0 0 0 0 0 0 0 0 0 0 0 0 $.1^2 $.1^2 $.1^2 1 $.1^2 $.1 1 0\n    1 0 $.1 1 1 0 $.1 0 $.1^2 1 0 $.1 0 $.1 $.1^2 1 1 0]\n[0 0 0 0 0 0 0 0 0 1 0 0 0 0 0 0 0 0 0 0 0 $.1 $.1 $.1^2 1 1 $.1^2 0 1 0 0 $.1 0\n    $.1^2 1 1 $.1^2 $.1 $.1^2 $.1^2 $.1 0 $.1^2 0 $.1 0 0 $.1^2]\n[0 0 0 0 0 0 0 0 0 $.1 0 0 0 0 0 0 0 0 0 0 0 0 $.1^2 1 $.1 $.1 1 $.1^2 1 1 1 $.1\n    1 1 $.1^2 0 0 0 0 $.1^2 0 $.1^2 0 $.1^2 1 $.1 0 $.1]\n[0 0 0 0 0 0 0 0 0 0 1 0 0 0 0 0 0 0 0 0 0 $.1 0 1 1 $.1^2 1 1 0 1 0 $.1^2 $.1 0\n    $.1^2 $.1^2 0 $.1^2 $.1 $.1^2 1 $.1 $.1^2 1 $.1^2 $.1^2 0 $.1^2]\n[0 0 0 0 0 0 0 0 0 0 $.1 0 0 0 0 0 0 0 0 0 0 $.1 0 $.1 $.1 1 $.1 $.1^2 1 0 $.1 \n    $.1^2 1 0 $.1^2 $.1 $.1 0 1 $.1 $.1^2 $.1 $.1^2 $.1^2 $.1 $.1 0 0]\n[0 0 0 0 0 0 0 0 0 0 0 1 0 0 0 0 0 0 0 0 0 $.1 $.1^2 1 $.1 $.1 $.1^2 $.1^2 $.1 0\n    0 0 $.1 1 $.1 0 $.1 $.1 $.1^2 $.1 0 $.1 $.1^2 $.1 1 $.1^2 $.1 0]\n[0 0 0 0 0 0 0 0 0 0 0 $.1 0 0 0 0 0 0 0 0 0 0 1 $.1 $.1^2 $.1^2 1 $.1 0 1 1 1 \n    $.1 $.1 $.1 $.1 $.1 0 0 1 $.1^2 0 0 0 0 $.1^2 $.1^2 $.1^2]\n[0 0 0 0 0 0 0 0 0 0 0 0 1 0 0 0 0 0 0 0 0 0 1 1 0 $.1^2 $.1 $.1^2 0 $.1 1 $.1^2\n    1 1 $.1^2 $.1^2 0 0 $.1 $.1^2 $.1^2 $.1^2 0 0 1 0 $.1 1]\n[0 0 0 0 0 0 0 0 0 0 0 0 $.1 0 0 0 0 0 0 0 0 $.1 $.1 $.1 0 1 $.1^2 $.1^2 $.1 0 1\n    $.1 1 $.1 $.1 0 $.1^2 $.1 0 0 $.1^2 $.1^2 $.1^2 $.1 $.1^2 1 $.1^2 0]\n[0 0 0 0 0 0 0 0 0 0 0 0 0 1 0 0 0 0 0 0 0 0 1 1 1 0 $.1^2 $.1 $.1 1 0 $.1^2 1 \n    $.1^2 1 1 0 $.1 1 0 0 $.1 $.1 $.1 1 $.1 $.1^2 $.1]\n[0 0 0 0 0 0 0 0 0 0 0 0 0 $.1 0 0 0 0 0 0 0 0 $.1 $.1 $.1 0 1 $.1^2 $.1^2 $.1 0\n    1 $.1 1 $.1 $.1 0 $.1^2 $.1 0 0 $.1^2 $.1^2 $.1^2 $.1 $.1^2 1 $.1^2]\n[0 0 0 0 0 0 0 0 0 0 0 0 0 0 1 0 0 0 0 0 0 $.1 $.1^2 $.1 $.1^2 $.1^2 0 1 $.1^2 \n    $.1^2 $.1^2 1 1 $.1^2 $.1^2 1 $.1^2 $.1 $.1^2 $.1^2 1 1 0 $.1 0 $.1^2 1 0]\n[0 0 0 0 0 0 0 0 0 0 0 0 0 0 $.1 0 0 0 0 0 0 $.1 1 $.1^2 1 1 0 $.1^2 0 $.1^2 \n    $.1^2 0 0 1 $.1^2 1 $.1^2 $.1 $.1^2 $.1 $.1^2 $.1^2 $.1 $.1 $.1^2 $.1 $.1 1]\n[0 0 0 0 0 0 0 0 0 0 0 0 0 0 0 1 0 0 0 0 0 0 $.1 $.1^2 $.1 $.1^2 $.1^2 0 1 $.1^2\n    $.1^2 $.1^2 1 1 $.1^2 $.1^2 1 $.1^2 $.1 $.1^2 $.1^2 1 1 0 $.1 0 $.1^2 1]\n[0 0 0 0 0 0 0 0 0 0 0 0 0 0 0 $.1 0 0 0 0 0 0 $.1^2 1 $.1^2 1 1 0 $.1 1 1 1 $.1\n    $.1 1 1 $.1 1 $.1^2 1 1 $.1 $.1 0 $.1^2 0 1 $.1]\n[0 0 0 0 0 0 0 0 0 0 0 0 0 0 0 0 1 0 0 0 0 0 $.1 0 $.1 $.1^2 $.1^2 $.1^2 $.1 0 0\n    $.1 0 0 $.1^2 0 0 1 $.1 0 1 1 $.1 0 $.1 0 $.1 0]\n[0 0 0 0 0 0 0 0 0 0 0 0 0 0 0 0 $.1 0 0 0 0 $.1 $.1^2 0 $.1^2 1 1 $.1^2 1 $.1^2\n    $.1^2 0 $.1^2 0 $.1 1 $.1^2 0 0 1 0 0 0 $.1 $.1 1 $.1^2 $.1]\n[0 0 0 0 0 0 0 0 0 0 0 0 0 0 0 0 0 1 0 0 0 0 $.1^2 0 1 $.1^2 $.1^2 $.1^2 0 $.1 1\n    $.1^2 $.1^2 $.1^2 $.1 $.1 0 $.1 1 $.1 1 $.1 $.1^2 1 $.1^2 $.1^2 1 1]\n[0 0 0 0 0 0 0 0 0 0 0 0 0 0 0 0 0 $.1 0 0 0 $.1 1 0 $.1 1 1 $.1^2 $.1 0 1 $.1 \n    $.1 1 0 $.1 $.1^2 1 1 $.1 0 1 $.1 0 0 0 $.1 0]\n[0 0 0 0 0 0 0 0 0 0 0 0 0 0 0 0 0 0 1 0 0 0 1 $.1^2 0 1 $.1^2 $.1^2 $.1 1 0 \n    $.1^2 1 1 $.1^2 0 1 $.1 $.1^2 $.1^2 1 0 $.1^2 1 0 0 0 1]\n[0 0 0 0 0 0 0 0 0 0 0 0 0 0 0 0 0 0 $.1 0 0 0 $.1 1 0 $.1 1 1 $.1^2 $.1 0 1 $.1\n    $.1 1 0 $.1 $.1^2 1 1 $.1 0 1 $.1 0 0 0 $.1]\n[0 0 0 0 0 0 0 0 0 0 0 0 0 0 0 0 0 0 0 1 0 0 $.1 $.1^2 $.1 1 1 $.1^2 1 $.1^2 $.1\n    1 0 0 $.1^2 0 $.1^2 1 $.1^2 1 1 $.1^2 $.1^2 $.1 $.1^2 $.1 $.1 $.1^2]\n[0 0 0 0 0 0 0 0 0 0 0 0 0 0 0 0 0 0 0 $.1 0 $.1 $.1^2 1 $.1^2 $.1 $.1 $.1^2 0 \n    $.1 0 1 $.1^2 0 $.1 1 $.1 0 $.1 $.1^2 0 $.1^2 $.1 1 0 $.1 $.1^2 $.1^2]\n[0 0 0 0 0 0 0 0 0 0 0 0 0 0 0 0 0 0 0 0 1 $.1 $.1 1 1 0 1 $.1^2 $.1^2 1 $.1^2 1\n    1 0 0 1 1 $.1^2 1 $.1^2 $.1^2 1 0 1 1 $.1 $.1 1]\n[0 0 0 0 0 0 0 0 0 0 0 0 0 0 0 0 0 0 0 0 $.1 $.1 $.1^2 $.1 $.1 0 $.1 0 0 0 $.1^2\n    0 0 0 $.1 1 0 0 0 $.1 0 $.1^2 $.1 $.1^2 1 0 $.1^2 $.1^2]\n[0 0 0 0 0 0 0 0 0 0 0 0 0 0 0 0 0 0 0 0 0 1 0 0 0 0 0 1 1 $.1 $.1 $.1 $.1 0 $.1\n    $.1^2 $.1 1 $.1 $.1^2 1 1 $.1 1 $.1^2 $.1^2 0 1]\nQuantum GF(2)-Additive code over GF(4) of length 48 with 53 generators.\nLower Bound: 1, Upper Bound: 23\nConstructed 2 distinct generator matrices\nTotal Ranks:     27  27 \nRelative Ranks:  27  21 \n(4 4 4 4 4 4 4 4 4 4 4 4 4 4 4 4 4 4 4 4 4 4 4 4 4 4 2 )\n(4 4 4 4 4 4 4 4 4 4 4 4 4 4 4 4 4 4 4 4 4 4 4 4 4 4 2 )\nTime Taken: 0.00\nStarting search for low weight codewords... (reset timings)\nEnumerating using 1 generator at a time:\n     New codeword identified of weight 17, time 0.00\n     New codeword identified of weight 16, time 0.00\n     New codeword identified of weight 14, time 0.00\n     New codeword identified of weight 12, time 0.00\n   Completed Matrix  1:  lower =  2, upper = 12. Elapsed: 0.00s\n   Completed Matrix  2:  lower =  2, upper = 12. Elapsed: 0.00s\nTermination predicted with 8 generators at matrix 2\nEnumerating using 2 generators at a time:\n     New codeword identified of weight 11, time 0.00\n   Completed Matrix  1:  lower =  3, upper = 11. Elapsed: 0.00s\n   Completed Matrix  2:  lower =  3, upper = 11. Elapsed: 0.00s\nTermination predicted with 8 generators at matrix 1\nEnumerating using 3 generators at a time:\n     New codeword identified of weight 10, time 0.00\n   Completed Matrix  1:  lower =  4, upper = 10. Elapsed: 0.00s\n   Completed Matrix  2:  lower =  4, upper = 10. Elapsed: 0.00s\nTermination predicted with 7 generators at matrix 2\nEnumerating using 4 generators at a time:\n   Completed Matrix  1:  lower =  5, upper = 10. Elapsed: 0.00s\n   Completed Matrix  2:  lower =  5, upper = 10. Elapsed: 0.02s\nTermination predicted with 7 generators at matrix 2\nEnumerating using 5 generators at a time:\n   Completed Matrix  1:  lower =  6, upper = 10. Elapsed: 0.11s\n   Completed Matrix  2:  lower =  6, upper = 10. Elapsed: 0.21s\nTermination predicted at 20 s with 7 generators at matrix 2\nEnumerating using 6 generators at a time:\n   Completed Matrix  1:  lower =  7, upper = 10. Elapsed: 1.21s\n   Completed Matrix  2:  lower =  8, upper = 10. Elapsed: 2.22s\nTermination predicted at 20 s with 7 generators at matrix 2\nEnumerating using 7 generators at a time:\n   Completed Matrix  1:  lower =  9, upper = 10. Elapsed: 11.07s\n   Completed Matrix  2:  lower = 10, upper = 10. Elapsed: 19.92s\nComputation complete \nFinal Results: lower = 10, upper = 10,\nTotal CPU time: 19.92, real time: 19.915\n10\n\nTotal time: 19.929 seconds, Total memory usage: 32.09MB\n</t>
  </si>
  <si>
    <t>4.723127666002256</t>
  </si>
  <si>
    <t>Magma V2.28-26    Tue Dec 30 2025 12:14:53 on Marks-MacBook-Air-2 [Seed = \n20687509]\nType ? for help.  Type &lt;Ctrl&gt;-D to quit.\n[1 0 0 0 0 0 0 0 0 0 0 0 0 0 0 0 0 0 0 0 0 0 0 0 0 1 1 1 0 1 0 0 1 1 0 0 1 0 0 0\n    0 0 0 0 0 0 0 0 1 0 0 0 0 0 0 0 1 1 1 1 0 0 1 0 1 1 0 0 1 0 0 1 0 0 1 1 0 1 \n    0 1 1 1 1 1 0 1 1 0 0 1 0 1 0 0 1 0 0 0]\n[0 1 0 0 0 0 0 0 0 0 0 0 0 0 0 0 0 0 0 0 0 0 0 0 0 1 1 1 1 1 0 1 0 0 1 1 0 0 1 0\n    1 0 1 0 0 0 0 1 0 0 0 0 0 0 0 0 0 0 0 0 0 0 0 1 0 1 0 1 1 0 1 0 1 0 0 1 0 0 \n    0 0 1 1 1 1 1 1 1 0 1 1 0 1 1 1 0 1 0 1]\n[0 0 1 0 0 0 0 0 0 0 0 0 0 0 0 0 0 0 0 0 0 0 0 0 0 1 0 0 1 0 1 0 0 1 0 1 0 0 1 0\n    0 1 0 1 0 0 0 0 1 0 0 0 0 0 0 1 1 0 0 1 1 1 1 1 0 1 1 0 1 0 1 1 1 1 1 1 0 0 \n    0 1 1 0 0 0 1 1 0 0 0 1 0 1 1 1 1 0 0 1]\n[0 0 0 1 0 0 0 0 0 0 0 0 0 0 0 0 0 0 0 0 0 0 0 0 0 0 0 1 0 1 1 0 1 0 1 1 0 0 0 1\n    1 0 0 0 1 0 0 0 1 0 0 0 0 0 0 0 1 0 1 1 0 1 1 0 1 0 1 0 1 0 1 1 1 1 0 0 0 0 \n    1 0 1 0 0 0 0 1 0 0 1 1 0 0 1 0 0 0 0 0]\n[0 0 0 0 1 0 0 0 0 0 0 0 0 0 0 0 0 0 0 0 0 0 0 0 0 0 1 1 1 0 0 0 1 1 0 0 0 0 0 0\n    0 1 1 0 0 1 0 0 1 0 0 0 0 0 0 1 1 1 0 0 0 1 0 1 0 0 0 1 1 0 0 1 1 1 0 1 0 0 \n    0 0 0 1 1 0 1 0 0 1 1 1 1 1 1 1 1 1 0 1]\n[0 0 0 0 0 1 0 0 0 0 0 0 0 0 0 0 0 0 0 0 0 0 0 0 0 1 0 1 1 0 1 1 0 0 1 1 0 0 0 0\n    1 0 0 1 0 0 1 0 0 0 0 0 0 0 0 0 0 1 1 0 1 0 0 1 0 1 0 1 1 0 1 1 1 1 1 0 0 1 \n    1 1 1 0 0 0 0 0 0 0 0 1 0 0 1 0 1 0 1 0]\n[0 0 0 0 0 0 1 0 0 0 0 0 0 0 0 0 0 0 0 0 0 0 0 0 0 0 1 0 1 1 0 1 1 0 0 1 1 0 0 0\n    0 1 0 0 1 0 0 1 0 0 0 0 0 0 0 0 0 0 1 1 0 1 0 0 1 0 1 0 1 1 0 1 1 1 1 1 0 0 \n    1 1 1 1 0 0 0 0 0 0 0 0 1 0 0 1 0 1 0 1]\n[0 0 0 0 0 0 0 1 0 0 0 0 0 0 0 0 0 0 0 0 0 0 0 0 0 1 1 0 0 0 1 0 0 0 0 0 0 0 1 0\n    0 0 1 0 0 1 0 1 0 0 0 0 0 0 0 0 0 0 0 1 1 0 1 1 0 1 1 1 0 1 1 0 1 1 0 0 1 0 \n    0 1 1 0 1 0 0 1 1 1 0 0 0 0 0 0 0 1 1 1]\n[0 0 0 0 0 0 0 0 1 0 0 0 0 0 0 0 0 0 0 0 0 0 0 0 0 1 1 1 0 1 1 0 0 1 0 1 0 0 1 0\n    1 0 1 1 0 0 1 0 0 0 0 0 0 0 0 0 0 0 0 0 1 1 0 0 0 0 1 1 0 0 0 1 1 1 1 0 1 1 \n    0 0 0 0 0 0 1 0 1 1 0 0 1 0 1 0 1 1 0 1]\n[0 0 0 0 0 0 0 0 0 1 0 0 0 0 0 0 0 0 0 0 0 0 0 0 0 1 0 0 1 1 1 1 1 1 1 0 0 0 0 1\n    0 1 0 1 1 0 0 1 1 0 0 0 0 0 0 1 0 0 0 1 0 0 1 1 1 0 0 0 0 0 1 1 1 1 0 0 1 0 \n    0 0 1 0 0 1 1 0 1 0 1 0 1 1 1 0 1 1 1 1]\n[0 0 0 0 0 0 0 0 0 0 1 0 0 0 0 0 0 0 0 0 0 0 0 0 0 1 1 0 0 0 0 0 1 0 1 0 0 0 0 0\n    0 0 0 0 1 1 0 0 1 0 0 0 0 0 0 0 0 0 0 0 0 0 1 0 0 0 0 1 0 1 1 0 1 1 1 0 1 0 \n    1 1 1 1 1 1 1 0 0 1 1 1 1 0 1 0 0 0 1 1]\n[0 0 0 0 0 0 0 0 0 0 0 1 0 0 0 0 0 0 0 0 0 0 0 0 0 1 0 0 0 1 0 0 1 0 0 1 1 0 0 0\n    0 0 0 0 0 1 1 0 1 0 0 0 0 0 0 1 0 0 0 1 0 1 0 0 1 0 0 1 0 0 0 0 0 1 0 0 1 0 \n    1 1 0 1 1 0 0 0 1 1 1 1 0 1 1 0 1 0 0 0]\n[0 0 0 0 0 0 0 0 0 0 0 0 1 0 0 0 0 0 0 0 0 0 0 0 0 0 0 1 0 0 0 1 1 1 0 1 0 0 1 0\n    1 0 1 0 0 0 1 0 1 0 0 0 0 0 0 0 0 0 0 0 0 0 0 0 1 0 1 1 1 1 1 1 0 0 0 1 1 0 \n    1 0 0 1 0 0 0 0 1 0 0 1 0 0 1 0 1 1 0 1]\n[0 0 0 0 0 0 0 0 0 0 0 0 0 1 0 0 0 0 0 0 0 0 0 0 0 1 0 0 1 1 1 1 1 0 1 1 1 0 1 0\n    1 1 1 1 0 0 0 1 1 0 0 0 0 0 0 0 0 0 0 0 0 0 0 1 1 1 0 1 0 1 0 1 0 0 0 0 0 1 \n    0 1 1 1 1 1 1 0 0 1 1 0 0 0 1 1 1 0 0 0]\n[0 0 0 0 0 0 0 0 0 0 0 0 0 0 1 0 0 0 0 0 0 0 0 0 0 0 1 0 0 1 1 1 1 1 0 1 1 0 1 1\n    0 1 1 1 1 0 0 1 1 0 0 0 0 0 0 1 0 0 0 1 0 1 0 0 0 1 0 1 0 0 0 1 1 0 0 0 1 1 \n    0 0 0 0 1 0 0 1 0 0 1 1 1 1 1 0 1 0 0 0]\n[0 0 0 0 0 0 0 0 0 0 0 0 0 0 0 1 0 0 0 0 0 0 0 0 0 1 1 0 0 1 1 1 0 0 1 0 0 0 0 0\n    1 0 1 1 1 1 0 1 1 0 0 0 0 0 0 1 1 1 1 0 0 1 1 0 0 0 0 0 0 1 1 1 0 1 1 1 1 0 \n    1 0 0 1 0 1 0 0 0 0 0 0 0 0 1 1 0 0 1 0]\n[0 0 0 0 0 0 0 0 0 0 0 0 0 0 0 0 1 0 0 0 0 0 0 0 0 0 0 0 0 0 0 0 0 0 0 0 1 0 1 1\n    1 1 1 1 1 1 1 0 1 0 0 0 0 0 0 1 1 1 1 0 0 1 1 1 0 0 0 1 0 0 1 0 0 0 0 0 1 0 \n    1 1 0 1 1 0 1 1 1 1 1 0 0 0 0 0 1 1 1 0]\n[0 0 0 0 0 0 0 0 0 0 0 0 0 0 0 0 0 1 0 0 0 0 0 0 0 1 0 0 0 1 1 1 0 1 0 1 0 0 1 1\n    0 1 0 1 1 1 1 0 0 0 0 0 0 0 0 0 1 0 0 0 1 0 1 1 1 0 1 1 0 1 1 1 0 0 0 0 1 1 \n    1 1 1 0 1 1 0 0 1 0 0 0 1 1 0 1 0 1 1 0]\n[0 0 0 0 0 0 0 0 0 0 0 0 0 0 0 0 0 0 1 0 0 0 0 0 0 0 1 0 0 0 1 1 1 0 1 0 1 0 1 0\n    1 0 1 0 1 1 1 1 1 0 0 0 0 0 0 0 1 1 0 0 1 1 1 1 1 0 0 0 0 1 1 0 0 0 0 0 0 0 \n    0 0 1 0 1 1 0 1 0 1 0 0 0 0 0 1 0 0 0 1]\n[0 0 0 0 0 0 0 0 0 0 0 0 0 0 0 0 0 0 0 1 0 0 0 0 0 1 1 0 0 1 0 1 0 0 0 1 1 0 1 1\n    0 1 0 1 0 1 1 0 0 0 0 0 0 0 0 0 0 1 1 0 0 1 1 0 1 1 1 0 0 0 1 1 0 0 1 1 0 0 \n    0 0 0 0 0 1 1 1 0 1 1 0 0 1 0 0 0 1 0 1]\n[0 0 0 0 0 0 0 0 0 0 0 0 0 0 0 0 0 0 0 0 1 0 0 0 0 1 1 1 0 1 0 1 1 1 0 1 1 0 0 0\n    0 0 0 0 1 0 1 0 1 0 0 0 0 0 0 1 0 0 1 0 0 1 1 0 0 1 0 0 0 0 0 0 0 0 0 1 1 1 \n    1 0 0 0 0 0 1 1 1 0 0 1 0 1 1 1 1 0 0 0]\n[0 0 0 0 0 0 0 0 0 0 0 0 0 0 0 0 0 0 0 0 0 1 0 0 0 0 1 1 1 0 1 0 1 1 1 0 1 0 0 1\n    0 0 0 0 0 1 0 0 1 0 0 0 0 0 0 1 0 0 0 0 1 1 0 1 1 1 0 0 0 1 1 0 1 0 0 0 0 1 \n    1 0 1 0 1 1 0 0 1 1 0 0 0 0 1 1 0 0 1 0]\n[0 0 0 0 0 0 0 0 0 0 0 0 0 0 0 0 0 0 0 0 0 0 1 0 0 0 0 1 1 1 0 1 0 1 1 1 0 0 0 1\n    1 0 0 0 0 0 1 1 1 0 0 0 0 0 0 1 0 0 0 1 1 0 0 0 0 0 0 0 0 1 0 1 1 1 0 0 1 0 \n    1 0 1 1 1 0 1 1 0 1 1 0 1 0 0 1 0 1 1 1]\n[0 0 0 0 0 0 0 0 0 0 0 0 0 0 0 0 0 0 0 0 0 0 0 1 0 1 1 1 1 0 1 0 0 1 1 1 0 0 1 1\n    1 1 0 0 0 0 0 1 1 0 0 0 0 0 0 1 0 0 0 1 0 0 1 1 1 1 0 0 0 1 0 0 0 1 0 1 1 1 \n    0 0 1 0 0 0 0 1 0 1 1 1 1 0 0 0 1 0 0 0]\n[0 0 0 0 0 0 0 0 0 0 0 0 0 0 0 0 0 0 0 0 0 0 0 0 1 0 0 0 1 1 1 0 1 0 1 0 0 0 0 1\n    0 1 0 0 0 0 0 0 0 0 0 0 0 0 0 1 0 0 0 1 0 1 1 1 1 0 1 0 1 1 1 0 0 0 0 1 1 1 \n    1 1 0 1 1 0 1 0 0 1 0 1 1 0 1 0 1 0 0 1]\n[0 0 0 0 0 0 0 0 0 0 0 0 0 0 0 0 0 0 0 0 0 0 0 0 0 0 0 0 0 0 0 0 0 0 0 0 0 1 1 0\n    0 0 0 0 0 0 0 1 0 0 0 0 0 0 0 1 0 0 0 1 0 1 0 0 1 0 1 1 1 0 1 1 0 0 0 0 1 1 \n    1 0 1 1 0 1 1 0 0 0 0 0 1 1 1 1 0 1 0 0]\n[0 0 0 0 0 0 0 0 0 0 0 0 0 0 0 0 0 0 0 0 0 0 0 0 0 0 0 0 0 0 0 0 0 0 0 0 0 0 0 0\n    0 0 0 0 0 0 0 0 0 1 0 0 0 0 0 1 0 1 1 0 1 1 0 1 0 0 1 0 1 1 1 1 1 0 0 0 1 1 \n    0 0 0 0 0 0 0 1 1 1 1 0 0 1 1 1 0 1 0 1]\n[0 0 0 0 0 0 0 0 0 0 0 0 0 0 0 0 0 0 0 0 0 0 0 0 0 0 0 0 0 0 0 0 0 0 0 0 0 0 0 0\n    0 0 0 0 0 0 0 0 0 0 1 0 0 0 0 1 0 1 0 1 0 0 0 1 1 1 0 0 0 1 0 1 1 1 0 0 1 1 \n    0 1 0 1 1 0 1 0 1 0 1 0 1 1 0 0 1 0 1 1]\n[0 0 0 0 0 0 0 0 0 0 0 0 0 0 0 0 0 0 0 0 0 0 0 0 0 0 0 0 0 0 0 0 0 0 0 0 0 0 0 0\n    0 0 0 0 0 0 0 0 0 0 0 1 0 0 0 1 0 1 0 0 1 1 1 1 1 0 1 1 0 0 0 0 1 1 1 0 1 1 \n    0 1 1 1 0 1 1 1 0 0 0 0 1 0 0 1 0 1 0 0]\n[0 0 0 0 0 0 0 0 0 0 0 0 0 0 0 0 0 0 0 0 0 0 0 0 0 0 0 0 0 0 0 0 0 0 0 0 0 0 0 0\n    0 0 0 0 0 0 0 0 0 0 0 0 1 0 0 0 1 0 1 0 0 1 1 1 1 1 0 1 1 0 0 0 0 1 1 1 0 1 \n    1 0 1 1 1 0 1 1 1 0 0 0 0 1 0 0 1 0 1 0]\n[0 0 0 0 0 0 0 0 0 0 0 0 0 0 0 0 0 0 0 0 0 0 0 0 0 0 0 0 0 0 0 0 0 0 0 0 0 0 0 0\n    0 0 0 0 0 0 0 0 0 0 0 0 0 1 0 0 0 1 0 1 0 0 1 1 1 1 1 0 1 1 0 0 0 0 1 1 1 0 \n    1 1 0 1 1 1 0 1 1 1 0 0 0 0 1 0 0 1 0 1]\n[0 0 0 0 0 0 0 0 0 0 0 0 0 0 0 0 0 0 0 0 0 0 0 0 0 0 0 0 0 0 0 0 0 0 0 0 0 0 0 0\n    0 0 0 0 0 0 0 0 0 0 0 0 0 0 1 1 1 1 0 0 1 1 1 0 1 0 1 0 0 1 0 0 0 0 0 1 0 1 \n    1 0 1 1 0 1 0 0 1 0 1 1 1 1 1 0 0 0 1 1]\n[[49, 17]] quantum code over GF(2^2), stabilised by:\n[1 0 0 0 0 0 0 0 0 0 0 0 0 0 0 0 0 0 $.1^2 $.1 $.1^2 $.1 $.1^2 $.1 $.1^2 $.1 \n    $.1^2 1 0 0 0 1 0 1 $.1^2 0 1 1 $.1 $.1 $.1 $.1^2 $.1^2 $.1 0 $.1^2 1 $.1^2 \n    $.1]\n[$.1 0 0 0 0 0 0 0 0 0 0 0 0 0 0 0 1 0 1 $.1^2 1 $.1^2 1 $.1^2 1 $.1^2 1 $.1 0 0\n    0 $.1 0 $.1 1 0 $.1^2 1 1 $.1 $.1 0 0 $.1 1 0 $.1^2 $.1 $.1]\n[0 1 0 0 0 0 0 0 0 0 0 0 0 0 0 0 1 $.1 1 0 $.1^2 0 $.1^2 0 $.1^2 0 $.1^2 1 1 0 0\n    $.1 1 $.1 0 $.1^2 $.1^2 $.1 1 $.1^2 $.1 0 1 $.1^2 1 $.1 $.1 1 0]\n[0 $.1 0 0 0 0 0 0 0 0 0 0 0 0 0 0 1 $.1^2 $.1 0 1 0 1 0 1 0 1 $.1 $.1 0 0 $.1^2\n    $.1 $.1^2 0 1 $.1 1 $.1^2 $.1 0 $.1^2 1 $.1 1 0 0 0 $.1^2]\n[0 0 1 0 0 0 0 0 0 0 0 0 0 0 0 0 $.1 $.1^2 0 0 $.1 $.1 $.1 $.1 $.1 $.1 $.1 0 1 1\n    0 $.1^2 $.1 $.1 0 0 $.1 $.1^2 1 1 $.1 0 $.1 0 $.1^2 $.1^2 1 $.1^2 $.1^2]\n[0 0 $.1 0 0 0 0 0 0 0 0 0 0 0 0 0 $.1^2 1 0 0 $.1^2 $.1^2 $.1^2 $.1^2 $.1^2 \n    $.1^2 $.1^2 0 $.1 $.1 0 1 $.1^2 $.1^2 0 0 $.1^2 1 $.1 $.1 $.1^2 0 $.1^2 0 1 \n    1 $.1 1 1]\n[0 0 0 1 0 0 0 0 0 0 0 0 0 0 0 0 $.1 1 0 $.1 $.1^2 0 1 0 1 0 1 $.1^2 0 1 1 1 \n    $.1^2 $.1^2 1 0 $.1^2 1 0 0 $.1 0 $.1 1 1 1 $.1^2 0 1]\n[0 0 0 $.1 0 0 0 0 0 0 0 0 0 0 0 0 $.1^2 $.1 0 $.1^2 1 0 $.1 0 $.1 0 $.1 1 0 $.1\n    $.1 $.1 1 1 $.1 0 1 $.1 0 0 $.1^2 0 $.1^2 $.1 $.1 $.1 1 0 $.1]\n[0 0 0 0 1 0 0 0 0 0 0 0 0 0 0 0 0 $.1 1 0 $.1 $.1^2 0 1 0 1 0 1 $.1^2 0 1 1 1 \n    $.1^2 $.1^2 1 0 $.1^2 1 0 0 $.1 0 $.1 1 1 1 $.1^2 0]\n[0 0 0 0 $.1 0 0 0 0 0 0 0 0 0 0 0 $.1^2 $.1^2 $.1 0 $.1^2 1 0 $.1 0 $.1 0 $.1 1\n    0 $.1 $.1 $.1 1 1 $.1 $.1^2 $.1^2 $.1^2 $.1^2 $.1^2 0 $.1^2 0 1 1 1 $.1^2 \n    $.1^2]\n[0 0 0 0 0 1 0 0 0 0 0 0 0 0 0 0 0 0 $.1 1 0 $.1 $.1^2 0 1 0 1 0 1 $.1^2 0 1 1 1\n    $.1^2 $.1^2 1 0 $.1^2 1 0 0 $.1 0 $.1 1 1 1 $.1^2]\n[0 0 0 0 0 $.1 0 0 0 0 0 0 0 0 0 0 $.1 0 $.1^2 $.1 0 $.1^2 1 0 $.1 0 $.1 0 $.1 1\n    0 $.1 $.1 $.1 1 1 0 1 $.1 0 $.1 $.1 1 $.1 1 0 0 $.1^2 $.1^2]\n[0 0 0 0 0 0 1 0 0 0 0 0 0 0 0 0 $.1^2 0 $.1^2 0 $.1 $.1 1 1 $.1^2 $.1^2 $.1^2 0\n    0 1 $.1^2 1 1 0 $.1 $.1^2 1 $.1 $.1^2 $.1 0 0 0 $.1^2 $.1^2 $.1 $.1^2 0 0]\n[0 0 0 0 0 0 $.1 0 0 0 0 0 0 0 0 0 1 0 1 0 $.1^2 $.1^2 $.1 $.1 1 1 1 0 0 $.1 1 \n    $.1 $.1 0 $.1^2 1 $.1 $.1^2 1 $.1^2 0 0 0 1 1 $.1^2 1 0 0]\n[0 0 0 0 0 0 0 1 0 0 0 0 0 0 0 0 $.1^2 $.1 1 0 1 1 $.1^2 $.1 0 0 $.1 1 0 0 1 1 1\n    $.1^2 1 $.1 $.1 0 $.1^2 1 $.1^2 $.1^2 $.1^2 1 1 0 $.1 1 $.1^2]\n[0 0 0 0 0 0 0 $.1 0 0 0 0 0 0 0 0 $.1 $.1^2 $.1 0 $.1 $.1 1 $.1^2 0 0 $.1^2 $.1\n    0 0 $.1 $.1 $.1 1 $.1 $.1^2 0 $.1 0 1 $.1 $.1 $.1 1 1 $.1^2 0 0 $.1]\n[0 0 0 0 0 0 0 0 1 0 0 0 0 0 0 0 $.1^2 $.1^2 $.1 1 0 1 1 $.1^2 $.1 0 0 $.1 1 0 0\n    1 1 1 $.1^2 1 1 0 1 0 $.1 0 0 0 $.1 $.1 $.1^2 0 $.1]\n[0 0 0 0 0 0 0 0 $.1 0 0 0 0 0 0 0 $.1 1 $.1^2 $.1 0 $.1 $.1 1 $.1^2 0 0 $.1^2 \n    $.1 0 0 $.1 $.1 $.1 1 $.1 1 $.1 $.1^2 $.1^2 0 $.1^2 $.1^2 $.1^2 0 0 $.1 $.1 \n    0]\n[0 0 0 0 0 0 0 0 0 1 0 0 0 0 0 0 $.1 0 0 0 $.1 $.1 $.1 $.1^2 0 0 $.1^2 1 $.1 1 0\n    1 1 0 $.1 $.1^2 $.1 $.1 $.1^2 0 $.1^2 0 $.1 $.1^2 1 0 $.1 $.1 $.1]\n[0 0 0 0 0 0 0 0 0 $.1 0 0 0 0 0 0 $.1 0 0 0 $.1^2 $.1^2 $.1^2 1 0 0 1 $.1 $.1^2\n    $.1 0 $.1 $.1 0 $.1^2 1 $.1 0 $.1^2 1 0 1 $.1 0 $.1^2 1 $.1 0 $.1]\n[0 0 0 0 0 0 0 0 0 0 1 0 0 0 0 0 $.1^2 $.1 $.1^2 $.1 $.1^2 0 1 0 0 $.1 $.1^2 $.1\n    1 $.1 1 1 1 0 $.1^2 $.1 1 1 1 $.1 1 $.1^2 0 $.1^2 0 1 $.1 $.1^2 $.1^2]\n[0 0 0 0 0 0 0 0 0 0 $.1 0 0 0 0 0 0 $.1^2 1 $.1^2 1 0 $.1 0 0 $.1^2 1 $.1^2 $.1\n    $.1^2 $.1 $.1 $.1 0 1 $.1^2 $.1^2 1 0 $.1 $.1^2 0 1 0 1 $.1^2 $.1 $.1 0]\n[0 0 0 0 0 0 0 0 0 0 0 1 0 0 0 0 0 $.1 0 $.1 0 $.1 $.1 0 $.1 1 0 0 $.1 1 $.1 $.1\n    1 $.1 $.1 $.1^2 1 $.1^2 $.1^2 $.1 $.1 $.1 0 0 $.1 $.1^2 $.1^2 1 1]\n[0 0 0 0 0 0 0 0 0 0 0 $.1 0 0 0 0 1 $.1^2 0 $.1^2 0 $.1^2 $.1^2 0 $.1^2 $.1 0 0\n    $.1^2 $.1 $.1^2 $.1^2 $.1 $.1^2 $.1^2 1 $.1^2 $.1 $.1^2 $.1 $.1 $.1 1 1 $.1 \n    0 0 1 $.1^2]\n[0 0 0 0 0 0 0 0 0 0 0 0 1 0 0 0 $.1^2 1 0 1 0 1 0 $.1^2 $.1 $.1^2 $.1^2 $.1^2 0\n    $.1 1 1 $.1 $.1 0 $.1 $.1^2 1 0 $.1^2 1 $.1 $.1 $.1^2 $.1 $.1 $.1 $.1 0]\n[0 0 0 0 0 0 0 0 0 0 0 0 $.1 0 0 0 $.1 $.1 0 $.1 0 $.1 0 1 $.1^2 1 1 1 0 $.1^2 \n    $.1 $.1 $.1^2 $.1^2 0 $.1^2 $.1 0 1 $.1 1 0 0 $.1 0 0 0 1 $.1^2]\n[0 0 0 0 0 0 0 0 0 0 0 0 0 1 0 0 $.1 1 $.1^2 1 $.1^2 1 $.1^2 1 1 $.1^2 1 0 $.1^2\n    0 $.1 $.1 1 1 0 0 $.1^2 $.1^2 $.1 0 $.1 $.1^2 0 $.1^2 $.1^2 0 1 $.1^2 0]\n[0 0 0 0 0 0 0 0 0 0 0 0 0 $.1 0 0 $.1^2 $.1 1 $.1 1 $.1 1 $.1 $.1 1 $.1 0 1 0 \n    $.1^2 $.1^2 $.1 $.1 0 0 1 1 $.1^2 0 $.1^2 1 0 1 1 0 $.1 1 0]\n[0 0 0 0 0 0 0 0 0 0 0 0 0 0 1 0 1 1 $.1 1 $.1 1 $.1 1 $.1 $.1^2 0 0 0 $.1^2 0 \n    $.1^2 $.1 0 $.1 0 0 $.1 1 0 0 $.1^2 $.1 0 1 $.1 $.1^2 $.1 $.1]\n[0 0 0 0 0 0 0 0 0 0 0 0 0 0 $.1 0 $.1^2 $.1 $.1^2 $.1 $.1^2 $.1 $.1^2 $.1 $.1^2\n    1 0 0 0 1 0 1 $.1^2 0 $.1^2 0 1 0 0 1 1 0 $.1 1 $.1^2 $.1 0 0 $.1]\n[0 0 0 0 0 0 0 0 0 0 0 0 0 0 0 1 $.1 $.1 1 $.1 1 $.1 1 $.1 1 $.1 $.1^2 0 0 0 \n    $.1^2 0 $.1^2 $.1 0 $.1 $.1 $.1 $.1^2 $.1 1 1 $.1 $.1^2 1 0 $.1^2 1 $.1]\n[0 0 0 0 0 0 0 0 0 0 0 0 0 0 0 $.1 $.1^2 $.1^2 $.1 $.1^2 $.1 $.1^2 $.1 $.1^2 $.1\n    $.1^2 1 0 0 0 1 0 1 $.1^2 0 $.1^2 $.1^2 $.1^2 1 $.1^2 $.1 $.1 $.1^2 1 $.1 0 \n    1 $.1 $.1^2]\nQuantum GF(2)-Additive code over GF(4) of length 49 with 66 generators.\nLower Bound: 1, Upper Bound: 17\nConstructed 2 distinct generator matrices\nTotal Ranks:     34  33 \nRelative Ranks:  34  15 \n(4 4 4 4 4 4 4 4 4 4 4 4 4 4 4 4 4 4 4 4 4 4 4 4 4 4 4 4 4 4 4 4 2 2 )\n(4 4 4 4 4 4 4 4 4 4 4 4 4 4 4 4 4 4 4 4 4 4 4 4 4 4 4 4 4 4 4 4 4 )\n     Discarding non-contributing rank 15 matrix\n     New Total Ranks:     34 \n     New Relative Ranks:  34 \nTime Taken: 0.00\nStarting search for low weight codewords... (reset timings)\nEnumerating using 1 generator at a time:\n     New codeword identified of weight 12, time 0.00\n     New codeword identified of weight 11, time 0.00\n     New codeword identified of weight 10, time 0.00\n     New codeword identified of weight 9, time 0.00\n   Completed Matrix  1:  lower =  2, upper =  9. Elapsed: 0.00s\nTermination predicted with 8 generators at matrix 1\nEnumerating using 2 generators at a time:\n     New codeword identified of weight 8, time 0.00\n   Completed Matrix  1:  lower =  3, upper =  8. Elapsed: 0.00s\nTermination predicted with 7 generators at matrix 1\nEnumerating using 3 generators at a time:\n   Completed Matrix  1:  lower =  4, upper =  8. Elapsed: 0.00s\nTermination predicted with 7 generators at matrix 1\nEnumerating using 4 generators at a time:\n     New codeword identified of weight 7, time 0.00\n   Completed Matrix  1:  lower =  5, upper =  7. Elapsed: 0.01s\nTermination predicted with 6 generators at matrix 1\nEnumerating using 5 generators at a time:\n   Completed Matrix  1:  lower =  6, upper =  7. Elapsed: 0.31s\nTermination predicted at 4 s with 6 generators at matrix 1\nEnumerating using 6 generators at a time:\n   Completed Matrix  1:  lower =  7, upper =  7. Elapsed: 4.55s\nComputation complete \nFinal Results: lower = 7, upper = 7,\nTotal CPU time: 4.55, real time: 4.668\n7\n\nTotal time: 4.580 seconds, Total memory usage: 32.09MB\n</t>
  </si>
  <si>
    <t>38.28068016700854</t>
  </si>
  <si>
    <t>Magma V2.28-26    Tue Dec 30 2025 12:14:58 on Marks-MacBook-Air-2 [Seed = \n455192816]\nType ? for help.  Type &lt;Ctrl&gt;-D to quit.\n[1 0 0 0 0 0 0 0 0 0 0 0 0 0 0 0 0 0 0 0 0 0 0 0 0 0 0 1 0 0 0 0 0 0 0 0 1 0 0 0\n    0 0 0 1 1 0 1 1 0 1 0 0 0 0 0 0 0 1 0 1 1 0 1 1 0 1 0 1 0 1 0 0 0 0 0 1 1 1 \n    0 0 0 1 1 0 1 0 1 1 1 0 1 0 0 1 1 1 1 1 1 1]\n[0 1 0 0 0 0 0 0 0 0 0 0 0 0 0 0 0 0 0 0 0 0 0 0 0 0 0 1 1 0 0 1 1 0 0 0 0 0 0 1\n    1 1 1 0 0 0 1 0 1 0 0 0 0 0 0 0 0 1 0 1 1 0 1 1 0 1 0 1 0 0 0 1 0 1 0 0 1 1 \n    0 1 0 0 1 0 1 1 0 1 0 0 1 1 0 1 1 1 1 1 0 1]\n[0 0 1 0 0 0 0 0 0 0 0 0 0 0 0 0 0 0 0 0 0 0 0 0 0 0 0 0 1 1 0 1 0 0 0 0 0 0 1 1\n    1 1 0 1 1 0 1 1 0 0 0 0 0 0 0 0 0 0 0 0 0 0 0 0 0 0 1 1 0 0 1 1 1 1 1 1 1 0 \n    0 0 0 1 1 1 1 0 1 1 1 1 0 0 0 1 0 0 0 1 0 0]\n[0 0 0 1 0 0 0 0 0 0 0 0 0 0 0 0 0 0 0 0 0 0 0 0 0 0 0 1 0 1 1 0 1 0 0 1 0 0 1 0\n    0 0 1 1 0 1 0 0 0 0 0 0 0 0 0 0 0 1 0 1 1 0 1 1 0 1 0 0 0 1 0 1 1 1 1 0 0 0 \n    0 1 0 1 0 0 1 0 1 1 1 0 1 1 1 1 1 0 0 0 0 0]\n[0 0 0 0 1 0 0 0 0 0 0 0 0 0 0 0 0 0 0 0 0 0 0 0 0 0 0 1 1 0 1 1 0 0 0 0 0 0 0 1\n    0 0 0 1 0 0 0 0 0 1 0 0 0 0 0 0 0 1 1 1 0 1 1 0 1 1 1 0 0 1 1 0 1 1 1 0 1 1 \n    0 1 1 1 0 1 0 0 1 0 1 0 0 1 0 1 1 1 1 0 1 1]\n[0 0 0 0 0 1 0 0 0 0 0 0 0 0 0 0 0 0 0 0 0 0 0 0 0 0 0 1 1 1 0 0 0 0 0 1 0 0 1 0\n    0 1 0 0 0 0 0 1 1 0 0 0 0 0 0 0 0 1 1 1 0 0 0 1 0 1 0 0 1 1 1 0 0 1 1 1 0 1 \n    0 1 0 0 0 0 1 0 1 1 1 0 1 0 0 1 1 1 1 0 0 1]\n[0 0 0 0 0 0 1 0 0 0 0 0 0 0 0 0 0 0 0 0 0 0 0 0 0 0 0 0 1 1 1 0 0 0 0 0 1 0 0 1\n    1 1 0 1 1 0 0 1 0 1 0 0 0 0 0 0 0 0 0 0 0 1 0 0 0 1 0 0 1 0 0 1 0 1 1 1 1 0 \n    1 0 0 1 1 1 1 0 0 1 1 1 0 0 1 0 0 1 0 0 0 0]\n[0 0 0 0 0 0 0 1 0 0 0 0 0 0 0 0 0 0 0 0 0 0 0 0 0 0 0 0 0 1 1 0 1 0 0 1 0 0 1 0\n    1 1 0 1 1 0 1 0 0 0 0 0 0 0 0 0 0 1 0 1 0 1 1 0 0 1 0 1 0 1 1 1 0 1 1 0 0 0 \n    0 1 1 0 0 0 1 0 0 0 0 0 0 0 0 0 1 1 1 0 0 1]\n[0 0 0 0 0 0 0 0 1 0 0 0 0 0 0 0 0 0 0 0 0 0 0 0 0 0 0 1 0 0 1 0 1 0 0 1 0 0 1 0\n    1 0 1 0 1 0 0 1 1 0 0 0 0 0 0 0 0 0 1 0 0 1 0 0 0 0 1 0 1 0 0 0 0 1 1 1 0 0 \n    0 0 1 0 0 1 0 1 0 1 0 0 0 1 1 0 1 1 0 1 0 1]\n[0 0 0 0 0 0 0 0 0 1 0 0 0 0 0 0 0 0 0 0 0 0 0 0 0 0 0 0 1 0 0 0 1 0 0 1 0 0 1 1\n    0 1 1 0 1 1 1 0 1 0 0 0 0 0 0 0 0 1 0 0 0 1 1 0 0 1 0 1 0 1 1 1 1 1 1 0 0 1 \n    0 0 1 1 1 1 1 0 0 1 0 1 1 0 1 1 0 0 1 0 0 0]\n[0 0 0 0 0 0 0 0 0 0 1 0 0 0 0 0 0 0 0 0 0 0 0 0 0 0 0 0 0 1 0 0 0 0 0 1 0 0 1 1\n    0 1 0 0 1 1 1 1 0 1 0 0 0 0 0 0 0 1 0 1 1 0 1 0 1 1 1 1 0 1 1 1 0 1 1 1 0 0 \n    0 0 1 0 1 0 1 1 1 0 1 0 1 0 1 1 0 1 0 0 0 1]\n[0 0 0 0 0 0 0 0 0 0 0 1 0 0 0 0 0 0 0 0 0 0 0 0 0 0 0 0 0 0 1 1 1 0 0 1 1 0 0 1\n    0 1 1 0 1 0 0 1 1 1 0 0 0 0 0 0 0 0 1 1 1 1 0 0 0 0 0 1 0 0 1 0 1 0 1 0 0 1 \n    1 0 1 1 0 0 0 1 1 1 0 0 0 0 1 0 1 1 1 1 1 0]\n[0 0 0 0 0 0 0 0 0 0 0 0 1 0 0 0 0 0 0 0 0 0 0 0 0 0 0 1 0 0 0 1 1 0 0 0 0 0 1 0\n    0 1 0 0 0 1 1 0 0 1 0 0 0 0 0 0 0 1 1 1 1 0 0 1 1 0 0 0 0 0 1 1 0 0 0 0 1 1 \n    1 0 1 1 1 0 1 0 1 0 0 0 1 0 1 0 0 0 0 0 1 0]\n[0 0 0 0 0 0 0 0 0 0 0 0 0 1 0 0 0 0 0 0 0 0 0 0 0 0 0 0 1 0 0 0 1 0 0 1 1 0 0 0\n    0 0 1 0 0 0 1 0 0 0 0 0 0 0 0 0 0 1 0 0 0 1 0 1 0 0 0 0 1 0 0 1 0 0 0 0 0 1 \n    0 0 0 0 1 1 0 1 1 1 0 1 0 0 0 1 0 1 1 1 0 1]\n[0 0 0 0 0 0 0 0 0 0 0 0 0 0 1 0 0 0 0 0 0 0 0 0 0 0 0 0 0 1 0 0 0 0 0 1 1 0 1 0\n    0 0 0 0 1 1 0 1 0 1 0 0 0 0 0 0 0 0 0 1 1 1 1 0 0 1 0 0 0 0 1 0 1 1 0 0 0 0 \n    1 1 1 1 1 1 0 1 0 0 0 0 0 1 0 1 0 1 0 0 0 1]\n[0 0 0 0 0 0 0 0 0 0 0 0 0 0 0 1 0 0 0 0 0 0 0 0 0 0 0 0 0 0 1 1 1 0 0 1 0 0 1 1\n    1 1 1 1 1 1 1 0 0 1 0 0 0 0 0 0 0 1 0 1 1 0 1 1 0 1 0 1 0 1 1 0 1 0 1 1 1 1 \n    0 1 1 1 0 0 1 1 1 0 1 1 1 0 0 0 0 1 0 0 0 0]\n[0 0 0 0 0 0 0 0 0 0 0 0 0 0 0 0 1 0 0 0 0 0 0 0 0 0 0 0 0 0 0 0 0 0 0 0 1 0 1 1\n    1 1 1 1 1 1 1 0 1 0 0 0 0 0 0 0 0 0 0 0 0 0 0 0 0 0 1 0 0 0 0 0 0 0 0 0 0 0 \n    0 0 0 0 0 0 0 0 1 1 0 1 1 1 1 1 1 1 1 1 1 1]\n[0 0 0 0 0 0 0 0 0 0 0 0 0 0 0 0 0 1 0 0 0 0 0 0 0 0 0 0 0 0 0 0 0 0 0 0 0 0 1 0\n    1 1 0 1 0 1 0 1 1 1 0 0 0 0 0 0 0 1 1 1 1 0 0 1 1 1 1 1 0 1 0 0 1 0 0 0 0 0 \n    1 0 1 1 0 1 0 0 0 0 0 1 0 0 1 1 1 1 1 0 0 1]\n[0 0 0 0 0 0 0 0 0 0 0 0 0 0 0 0 0 0 1 0 0 0 0 0 0 0 0 0 0 0 0 0 0 0 0 1 1 0 0 0\n    1 0 0 0 0 0 1 1 0 1 0 0 0 0 0 0 0 1 1 1 1 0 0 1 1 1 0 0 1 1 0 0 1 0 0 0 0 0 \n    1 1 1 1 0 0 1 0 1 0 1 0 0 0 0 0 1 1 1 0 0 0]\n[0 0 0 0 0 0 0 0 0 0 0 0 0 0 0 0 0 0 0 1 0 0 0 0 0 0 0 0 0 0 0 1 1 0 0 0 1 0 1 1\n    1 0 1 0 1 0 0 1 0 1 0 0 0 0 0 0 0 1 1 0 1 0 0 0 1 0 0 1 1 1 0 1 1 0 0 1 1 1 \n    0 1 0 1 0 1 0 1 0 1 0 1 0 0 1 0 1 1 1 1 0 1]\n[0 0 0 0 0 0 0 0 0 0 0 0 0 0 0 0 0 0 0 0 1 0 0 0 0 0 0 1 0 0 0 1 0 0 0 1 1 0 0 0\n    0 0 0 1 0 0 0 1 0 1 0 0 0 0 0 0 0 1 0 0 0 0 1 0 1 0 1 1 1 0 0 1 1 0 0 0 1 1 \n    0 0 0 0 1 0 0 0 1 1 0 0 0 1 1 1 1 1 1 1 0 0]\n[0 0 0 0 0 0 0 0 0 0 0 0 0 0 0 0 0 0 0 0 0 1 0 0 0 0 0 1 1 0 0 1 0 0 0 0 1 0 1 1\n    1 1 0 0 1 1 0 0 1 1 0 0 0 0 0 0 0 0 0 1 0 0 1 0 1 0 0 1 1 0 0 1 0 1 0 0 0 1 \n    1 0 1 0 1 1 0 1 1 0 0 0 1 1 0 1 0 0 0 1 0 1]\n[0 0 0 0 0 0 0 0 0 0 0 0 0 0 0 0 0 0 0 0 0 0 1 0 0 0 0 1 1 1 0 1 0 0 0 0 0 0 1 0\n    1 1 0 1 1 0 1 1 1 0 0 0 0 0 0 0 0 0 0 0 0 1 1 0 0 1 1 0 0 1 1 1 0 1 1 0 0 0 \n    1 1 0 0 0 0 0 0 0 0 1 0 1 1 1 0 1 1 0 1 0 1]\n[0 0 0 0 0 0 0 0 0 0 0 0 0 0 0 0 0 0 0 0 0 0 0 1 0 0 0 1 1 1 1 0 1 0 0 1 0 0 0 0\n    0 1 1 0 0 1 1 0 1 0 0 0 0 0 0 0 0 1 0 1 1 0 0 0 0 1 1 0 1 0 1 1 1 0 1 0 1 1 \n    0 1 0 1 1 0 1 1 1 1 0 0 0 1 1 0 1 1 1 1 0 0]\n[0 0 0 0 0 0 0 0 0 0 0 0 0 0 0 0 0 0 0 0 0 0 0 0 1 0 0 0 1 1 1 0 1 0 0 0 0 0 1 0\n    1 1 1 1 1 1 0 0 1 0 0 0 0 0 0 0 0 1 1 1 1 0 0 0 0 1 1 0 1 1 1 0 0 0 0 0 1 0 \n    1 0 0 0 0 0 1 0 0 1 1 1 0 1 0 0 0 1 0 0 0 1]\n[0 0 0 0 0 0 0 0 0 0 0 0 0 0 0 0 0 0 0 0 0 0 0 0 0 1 0 0 0 1 1 1 0 0 0 0 0 0 0 1\n    0 1 1 0 1 1 1 1 0 1 0 0 0 0 0 0 0 1 0 0 0 1 0 1 1 1 1 1 0 0 1 1 1 0 0 0 0 1 \n    1 0 1 1 0 0 0 0 1 0 0 1 0 1 1 0 0 0 1 1 0 1]\n[0 0 0 0 0 0 0 0 0 0 0 0 0 0 0 0 0 0 0 0 0 0 0 0 0 0 1 0 0 0 1 1 1 0 0 1 0 0 0 1\n    1 0 0 1 0 0 0 0 0 1 0 0 0 0 0 0 0 0 0 1 1 1 1 0 0 0 0 1 1 1 1 1 1 0 0 0 0 0 \n    1 1 1 0 0 1 1 0 0 1 1 1 0 1 1 0 1 1 1 0 1 0]\n[0 0 0 0 0 0 0 0 0 0 0 0 0 0 0 0 0 0 0 0 0 0 0 0 0 0 0 0 0 0 0 0 0 1 0 1 0 0 0 0\n    1 1 1 0 0 1 0 0 1 0 0 0 0 0 0 0 0 1 1 1 1 0 0 1 1 1 0 1 1 1 0 0 1 0 0 0 0 0 \n    1 1 1 1 0 0 1 0 1 1 0 0 0 0 1 1 0 1 1 0 0 0]\n[0 0 0 0 0 0 0 0 0 0 0 0 0 0 0 0 0 0 0 0 0 0 0 0 0 0 0 0 0 0 0 0 0 0 1 0 0 0 1 1\n    1 0 1 1 1 1 0 0 1 0 0 0 0 0 0 0 0 0 0 0 0 0 0 0 0 0 0 1 0 0 0 0 0 0 0 0 0 0 \n    0 0 0 0 0 0 1 0 0 1 1 1 0 1 1 0 1 0 0 0 0 0]\n[0 0 0 0 0 0 0 0 0 0 0 0 0 0 0 0 0 0 0 0 0 0 0 0 0 0 0 0 0 0 0 0 0 0 0 0 0 1 1 0\n    0 0 0 0 0 0 0 1 0 1 0 0 0 0 0 0 0 1 1 1 1 0 0 1 1 1 1 1 0 1 0 0 1 0 0 0 0 0 \n    1 0 1 1 0 1 1 0 0 0 1 0 1 0 0 0 0 0 1 0 1 1]\n[0 0 0 0 0 0 0 0 0 0 0 0 0 0 0 0 0 0 0 0 0 0 0 0 0 0 0 0 0 0 0 0 0 0 0 0 0 0 0 0\n    0 0 0 0 0 0 0 0 0 0 1 0 0 0 0 0 0 1 0 0 0 1 0 1 0 0 1 1 1 1 1 0 1 1 0 0 0 0 \n    1 1 1 0 1 1 0 1 1 1 0 1 1 1 0 0 0 0 1 0 0 1]\n[0 0 0 0 0 0 0 0 0 0 0 0 0 0 0 0 0 0 0 0 0 0 0 0 0 0 0 0 0 0 0 0 0 0 0 0 0 0 0 0\n    0 0 0 0 0 0 0 0 0 0 0 1 0 0 0 0 0 1 0 1 1 0 1 1 0 1 0 0 1 0 1 1 1 1 1 0 0 0 \n    1 1 0 0 0 0 0 0 0 1 1 1 1 0 0 1 1 1 0 1 0 1]\n[0 0 0 0 0 0 0 0 0 0 0 0 0 0 0 0 0 0 0 0 0 0 0 0 0 0 0 0 0 0 0 0 0 0 0 0 0 0 0 0\n    0 0 0 0 0 0 0 0 0 0 0 0 1 0 0 0 0 1 0 1 0 1 0 0 0 1 1 1 0 0 0 1 0 1 1 1 0 0 \n    1 1 0 1 0 1 1 0 1 0 1 0 1 0 1 1 0 0 1 0 1 1]\n[0 0 0 0 0 0 0 0 0 0 0 0 0 0 0 0 0 0 0 0 0 0 0 0 0 0 0 0 0 0 0 0 0 0 0 0 0 0 0 0\n    0 0 0 0 0 0 0 0 0 0 0 0 0 1 0 0 0 1 0 1 0 0 1 1 1 1 1 0 1 1 0 0 0 0 1 1 1 0 \n    1 1 0 1 1 1 0 1 1 1 0 0 0 0 1 0 0 1 0 1 0 0]\n[0 0 0 0 0 0 0 0 0 0 0 0 0 0 0 0 0 0 0 0 0 0 0 0 0 0 0 0 0 0 0 0 0 0 0 0 0 0 0 0\n    0 0 0 0 0 0 0 0 0 0 0 0 0 0 1 0 0 0 1 0 1 0 0 1 1 1 1 1 0 1 1 0 0 0 0 1 1 1 \n    0 1 1 0 1 1 1 0 1 1 1 0 0 0 0 1 0 0 1 0 1 0]\n[0 0 0 0 0 0 0 0 0 0 0 0 0 0 0 0 0 0 0 0 0 0 0 0 0 0 0 0 0 0 0 0 0 0 0 0 0 0 0 0\n    0 0 0 0 0 0 0 0 0 0 0 0 0 0 0 1 0 0 0 1 0 1 0 0 1 1 1 1 1 0 1 1 0 0 0 0 1 1 \n    1 0 1 1 0 1 1 1 0 1 1 1 0 0 0 0 1 0 0 1 0 1]\n[0 0 0 0 0 0 0 0 0 0 0 0 0 0 0 0 0 0 0 0 0 0 0 0 0 0 0 0 0 0 0 0 0 0 0 0 0 0 0 0\n    0 0 0 0 0 0 0 0 0 0 0 0 0 0 0 0 1 1 1 1 0 0 1 1 1 0 1 0 1 0 0 1 0 0 0 0 0 1 \n    0 1 1 0 1 1 0 1 0 0 1 0 1 1 1 1 1 0 0 0 1 1]\n[[50, 13]] quantum code over GF(2^2), stabilised by:\n[1 0 0 0 0 0 0 0 0 0 0 0 0 0 0 0 0 0 $.1 $.1 $.1^2 $.1 $.1^2 $.1 $.1^2 $.1 $.1^2\n    1 0 0 0 1 0 0 0 0 0 1 $.1^2 1 $.1^2 0 $.1^2 1 1 $.1^2 0 $.1 $.1 0]\n[$.1 0 0 0 0 0 0 0 0 0 0 0 0 0 0 0 0 0 $.1 $.1^2 1 $.1^2 1 $.1^2 1 $.1^2 1 $.1 0\n    $.1 0 $.1 0 0 $.1 1 $.1^2 0 $.1 $.1 $.1^2 1 0 0 $.1^2 0 1 0 $.1 1]\n[0 1 0 0 0 0 0 0 0 0 0 0 0 0 0 0 0 0 $.1 0 $.1^2 0 $.1^2 0 $.1^2 0 $.1^2 1 1 $.1\n    0 $.1 1 0 0 $.1 $.1^2 1 1 0 $.1 $.1^2 $.1 0 0 $.1^2 0 $.1^2 1 1]\n[0 $.1 0 0 0 0 0 0 0 0 0 0 0 0 0 0 0 0 0 0 1 0 1 0 1 0 1 $.1 $.1 $.1 0 $.1^2 $.1\n    0 1 0 $.1^2 $.1^2 0 0 $.1 $.1 0 1 $.1^2 $.1 $.1^2 $.1^2 1 1]\n[0 0 1 0 0 0 0 0 0 0 0 0 0 0 0 0 0 0 $.1 0 $.1 $.1 $.1 $.1 $.1 $.1 $.1 0 1 $.1^2\n    0 $.1^2 $.1 1 1 1 0 $.1^2 $.1^2 0 $.1^2 $.1 0 0 $.1 $.1 1 $.1 $.1 $.1^2]\n[0 0 $.1 0 0 0 0 0 0 0 0 0 0 0 0 0 0 0 0 0 $.1^2 $.1^2 $.1^2 $.1^2 $.1^2 $.1^2 \n    $.1^2 0 $.1 $.1 0 1 $.1^2 $.1^2 $.1 0 0 $.1 1 $.1^2 $.1^2 $.1 $.1 0 0 1 1 \n    $.1^2 1 $.1]\n[0 0 0 1 0 0 0 0 0 0 0 0 0 0 0 0 0 0 $.1 $.1 $.1^2 0 1 0 1 0 1 $.1^2 0 $.1^2 1 1\n    $.1^2 0 $.1^2 1 1 $.1^2 1 $.1 $.1 0 $.1^2 0 $.1^2 1 $.1^2 1 1 $.1^2]\n[0 0 0 $.1 0 0 0 0 0 0 0 0 0 0 0 0 0 0 0 $.1^2 1 0 $.1 0 $.1 0 $.1 1 0 $.1 $.1 \n    $.1 1 1 1 0 $.1 $.1 $.1 0 1 1 $.1^2 0 $.1 0 $.1 $.1 0 $.1]\n[0 0 0 0 1 0 0 0 0 0 0 0 0 0 0 0 0 0 0 0 $.1 $.1^2 0 1 0 1 0 1 $.1^2 0 1 1 1 $.1\n    $.1^2 1 1 1 $.1^2 0 0 $.1^2 $.1^2 0 $.1^2 0 0 $.1 1 0]\n[0 0 0 0 $.1 0 0 0 0 0 0 0 0 0 0 0 0 0 $.1 0 $.1^2 1 0 $.1 0 $.1 0 $.1 1 0 $.1 \n    $.1 $.1 1 0 $.1 0 $.1 $.1^2 1 $.1 0 1 1 $.1^2 0 $.1 1 $.1 $.1]\n[0 0 0 0 0 1 0 0 0 0 0 0 0 0 0 0 0 0 $.1 1 0 $.1 $.1^2 0 1 0 1 0 1 $.1^2 0 1 1 1\n    $.1^2 $.1^2 1 0 $.1^2 1 0 0 $.1 0 $.1 1 1 1 $.1^2 0]\n[0 0 0 0 0 $.1 0 0 0 0 0 0 0 0 0 0 0 0 0 $.1 0 $.1^2 1 0 $.1 0 $.1 0 $.1 $.1^2 0\n    $.1 $.1 0 $.1 0 $.1^2 $.1 0 $.1^2 0 0 $.1 $.1^2 0 $.1^2 1 $.1^2 0 $.1^2]\n[0 0 0 0 0 0 1 0 0 0 0 0 0 0 0 0 0 0 $.1 0 $.1 $.1 1 1 $.1^2 $.1^2 $.1^2 0 0 1 \n    $.1^2 1 1 1 1 $.1^2 $.1^2 0 $.1^2 $.1 $.1 0 $.1^2 $.1^2 1 1 1 $.1^2 $.1^2 \n    $.1^2]\n[0 0 0 0 0 0 $.1 0 0 0 0 0 0 0 0 0 0 0 $.1 0 $.1^2 $.1^2 $.1 $.1 1 1 1 0 0 0 1 \n    $.1 $.1 $.1 0 0 $.1 $.1 $.1 $.1^2 1 1 0 $.1^2 $.1^2 $.1^2 $.1^2 $.1 0 0]\n[0 0 0 0 0 0 0 1 0 0 0 0 0 0 0 0 0 0 0 0 1 1 $.1^2 $.1 0 0 $.1 1 0 0 1 1 1 $.1 1\n    $.1 0 0 0 $.1 0 1 $.1^2 0 0 $.1 0 $.1 1 $.1]\n[0 0 0 0 0 0 0 $.1 0 0 0 0 0 0 0 0 0 0 0 0 $.1 $.1 1 $.1^2 0 0 $.1^2 $.1 0 $.1 \n    $.1 $.1 $.1 $.1 $.1^2 $.1 $.1 $.1 $.1 0 $.1^2 0 0 1 0 $.1 0 1 $.1^2 $.1^2]\n[0 0 0 0 0 0 0 0 1 0 0 0 0 0 0 0 0 0 $.1 1 0 1 1 $.1^2 $.1 0 0 $.1 1 0 0 1 1 1 \n    $.1 1 $.1 1 1 $.1 $.1^2 0 $.1 1 0 $.1^2 0 $.1 $.1^2 $.1^2]\n[0 0 0 0 0 0 0 0 $.1 0 0 0 0 0 0 0 0 0 0 $.1 0 $.1 $.1 1 $.1^2 0 0 $.1^2 $.1 $.1\n    0 $.1 $.1 0 0 $.1^2 $.1 0 $.1^2 $.1 1 0 $.1 1 $.1^2 0 $.1^2 $.1 0 $.1]\n[0 0 0 0 0 0 0 0 0 1 0 0 0 0 0 0 0 0 $.1 0 $.1 $.1 $.1 $.1^2 0 0 $.1^2 1 $.1 \n    $.1^2 0 1 1 $.1^2 $.1 $.1 0 1 0 0 0 1 1 1 1 $.1^2 $.1 $.1^2 1 $.1]\n[0 0 0 0 0 0 0 0 0 $.1 0 0 0 0 0 0 0 0 $.1 0 $.1^2 $.1^2 $.1^2 1 0 0 1 $.1 $.1^2\n    0 0 $.1 $.1 $.1^2 $.1^2 0 0 $.1^2 0 1 $.1^2 0 1 $.1 $.1^2 $.1 $.1 1 1 $.1]\n[0 0 0 0 0 0 0 0 0 0 1 0 0 0 0 0 0 0 $.1 $.1 $.1^2 0 1 0 0 $.1 $.1^2 $.1 1 $.1 1\n    1 1 1 $.1^2 $.1 $.1^2 1 $.1 1 $.1 1 0 $.1 1 $.1^2 0 0 1 $.1]\n[0 0 0 0 0 0 0 0 0 0 $.1 0 0 0 0 0 0 0 0 $.1^2 1 0 $.1 0 0 $.1^2 1 $.1^2 $.1 \n    $.1^2 $.1 $.1 $.1 1 $.1^2 $.1^2 $.1 $.1 0 0 0 0 0 1 1 1 $.1^2 $.1^2 $.1 0]\n[0 0 0 0 0 0 0 0 0 0 0 1 0 0 0 0 0 0 0 $.1 0 $.1 $.1 0 $.1 1 0 0 $.1 1 $.1 $.1 1\n    $.1 1 $.1^2 1 1 0 1 $.1^2 0 $.1^2 1 1 $.1 $.1^2 1 0 1]\n[0 0 0 0 0 0 0 0 0 0 0 $.1 0 0 0 0 0 0 $.1 $.1^2 0 $.1^2 $.1^2 0 $.1^2 $.1 0 0 \n    $.1^2 0 $.1^2 $.1^2 $.1 0 $.1 0 $.1 0 0 0 0 $.1^2 0 $.1 0 $.1 $.1^2 $.1 1 0]\n[0 0 0 0 0 0 0 0 0 0 0 0 1 0 0 0 0 0 0 1 0 1 0 $.1^2 $.1 $.1^2 $.1^2 $.1^2 0 $.1\n    1 1 $.1 $.1 $.1 $.1 0 $.1 $.1^2 $.1 1 0 $.1^2 $.1^2 $.1^2 $.1 1 0 0 $.1^2]\n[0 0 0 0 0 0 0 0 0 0 0 0 $.1 0 0 0 0 0 $.1 $.1 0 $.1 0 1 $.1^2 1 1 1 0 1 $.1 $.1\n    $.1^2 0 $.1^2 $.1 0 1 1 1 $.1^2 $.1^2 0 1 $.1^2 $.1 0 0 1 $.1^2]\n[0 0 0 0 0 0 0 0 0 0 0 0 0 1 0 0 0 0 0 1 $.1^2 1 $.1^2 1 1 $.1^2 1 0 $.1^2 $.1 \n    $.1 $.1 1 $.1^2 1 1 0 1 $.1 1 $.1^2 0 1 1 0 0 0 $.1^2 0 $.1]\n[0 0 0 0 0 0 0 0 0 0 0 0 0 $.1 0 0 0 0 0 $.1 1 $.1 1 $.1 $.1 1 $.1 0 1 0 $.1^2 \n    $.1^2 $.1 $.1^2 0 0 $.1^2 1 0 $.1^2 0 $.1^2 0 0 0 $.1 0 $.1 $.1 $.1^2]\n[0 0 0 0 0 0 0 0 0 0 0 0 0 0 1 0 0 0 0 1 $.1 1 $.1 1 $.1 $.1^2 0 0 0 1 0 $.1^2 \n    $.1 $.1^2 0 1 1 $.1 1 1 $.1^2 0 0 $.1 0 1 0 1 1 0]\n[0 0 0 0 0 0 0 0 0 0 0 0 0 0 $.1 0 0 0 $.1 $.1 $.1^2 $.1 $.1^2 $.1 $.1^2 1 0 0 0\n    1 0 1 $.1^2 1 $.1^2 0 $.1^2 0 $.1^2 $.1 $.1 $.1 $.1 0 $.1 0 $.1 $.1^2 0 $.1]\n[0 0 0 0 0 0 0 0 0 0 0 0 0 0 0 1 0 0 $.1 $.1 1 $.1 1 $.1 1 $.1 $.1^2 0 0 $.1 \n    $.1^2 0 $.1^2 0 0 $.1^2 1 $.1^2 $.1 $.1 $.1 1 $.1 $.1^2 $.1^2 $.1 $.1 1 0 \n    $.1]\n[0 0 0 0 0 0 0 0 0 0 0 0 0 0 0 $.1 0 0 $.1 $.1^2 $.1 $.1^2 $.1 $.1^2 $.1 $.1^2 1\n    0 0 0 1 0 1 $.1^2 1 $.1^2 0 $.1 1 1 $.1^2 $.1 1 0 0 1 $.1 0 $.1 $.1]\n[0 0 0 0 0 0 0 0 0 0 0 0 0 0 0 0 1 0 $.1 0 0 0 0 0 0 0 0 0 0 $.1 0 0 0 $.1^2 0 1\n    1 1 $.1 $.1^2 0 $.1 0 1 $.1^2 0 $.1^2 $.1^2 0 1]\n[0 0 0 0 0 0 0 0 0 0 0 0 0 0 0 0 $.1 0 $.1 0 0 0 0 0 0 0 0 0 0 $.1 0 0 0 $.1^2 0\n    1 $.1 $.1^2 $.1^2 0 $.1^2 1 $.1^2 $.1 0 $.1^2 0 1 $.1^2 $.1^2]\n[0 0 0 0 0 0 0 0 0 0 0 0 0 0 0 0 0 1 0 0 0 0 0 0 0 0 0 0 0 0 0 0 0 0 $.1 0 0 1 \n    $.1 $.1 $.1^2 1 $.1 $.1^2 $.1 $.1^2 0 0 $.1^2 0]\n[0 0 0 0 0 0 0 0 0 0 0 0 0 0 0 0 0 $.1 0 0 0 0 0 0 0 0 0 0 0 0 0 0 0 0 $.1^2 0 0\n    $.1 $.1^2 $.1^2 1 $.1 $.1^2 1 $.1^2 1 0 0 1 0]\n[0 0 0 0 0 0 0 0 0 0 0 0 0 0 0 0 0 0 1 0 0 0 0 0 0 0 0 0 0 0 0 0 0 1 $.1^2 0 1 0\n    1 $.1^2 1 $.1^2 0 $.1^2 1 0 1 1 0 1]\nQuantum GF(2)-Additive code over GF(4) of length 50 with 63 generators.\nLower Bound: 1, Upper Bound: 20\nConstructed 2 distinct generator matrices\nTotal Ranks:     32  32 \nRelative Ranks:  32  18 \n(4 4 4 4 4 4 4 4 4 4 4 4 4 4 4 4 4 4 4 4 4 4 4 4 4 4 4 4 4 2 4 4 )\n(4 4 4 4 4 4 4 4 4 4 4 4 4 4 4 4 4 4 4 4 4 4 4 4 4 4 4 4 4 4 4 2 )\nTime Taken: 0.01\nStarting search for low weight codewords... (reset timings)\nEnumerating using 1 generator at a time:\n     New codeword identified of weight 15, time 0.00\n     New codeword identified of weight 13, time 0.00\n     New codeword identified of weight 12, time 0.00\n     New codeword identified of weight 10, time 0.00\n     Discarding non-contributing rank 18 matrix\n     New Total Ranks:     32 \n     New Relative Ranks:  32 \n   Completed Matrix  1:  lower =  2, upper = 10. Elapsed: 0.00s\nTermination predicted with 9 generators at matrix 1\nEnumerating using 2 generators at a time:\n     New codeword identified of weight 9, time 0.00\n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New codeword identified of weight 8, time 0.00\n   Completed Matrix  1:  lower =  5, upper =  8. Elapsed: 0.01s\nTermination predicted with 7 generators at matrix 1\nEnumerating using 5 generators at a time:\n   Completed Matrix  1:  lower =  6, upper =  8. Elapsed: 0.26s\nTermination predicted at 38 s with 7 generators at matrix 1\nEnumerating using 6 generators at a time:\n   Completed Matrix  1:  lower =  7, upper =  8. Elapsed: 3.43s\nTermination predicted at 38 s with 7 generators at matrix 1\nEnumerating using 7 generators at a time:\n   Completed Matrix  1:  lower =  8, upper =  8. Elapsed: 38.07s\nComputation complete \nFinal Results: lower = 8, upper = 8,\nTotal CPU time: 38.07, real time: 38.217\n8\n\nTotal time: 38.109 seconds, Total memory usage: 32.09MB\n</t>
  </si>
  <si>
    <t>356.73267145799764</t>
  </si>
  <si>
    <t>Magma V2.28-26    Tue Dec 30 2025 12:15:36 on Marks-MacBook-Air-2 [Seed = \n1700777636]\nType ? for help.  Type &lt;Ctrl&gt;-D to quit.\n[1 0 0 0 0 0 0 0 0 0 0 0 0 0 0 0 0 0 0 0 0 0 0 0 0 0 0 1 0 0 0 0 0 0 0 0 1 0 0 0\n    0 0 0 1 1 0 1 1 0 1 0 0 0 0 0 0 0 0 0 1 0 0 0 1 0 1 0 0 0 0 0 0 0 1 0 0 1 1 \n    1 1 0 1 0 1 1 0 0 0 1 1 1 1 1 1 0 0 0 1 1 1 0 1]\n[0 1 0 0 0 0 0 0 0 0 0 0 0 0 0 0 0 0 0 0 0 0 0 0 0 0 0 1 1 0 0 0 0 0 0 1 0 0 0 0\n    0 0 0 1 1 0 0 0 0 0 1 0 0 0 0 0 0 0 0 1 1 0 0 1 1 1 1 1 0 0 1 0 0 1 1 0 1 0 \n    0 0 1 0 1 0 0 1 0 0 0 0 1 0 0 0 0 1 1 0 1 1 1 1]\n[0 0 1 0 0 0 0 0 0 0 0 0 0 0 0 0 0 0 0 0 0 0 0 0 0 0 0 0 1 1 0 0 1 0 0 1 0 0 1 0\n    0 0 1 0 0 0 0 1 1 0 0 0 0 0 0 0 0 0 0 0 1 0 0 0 1 0 1 0 1 0 0 1 0 1 1 1 0 0 \n    1 1 0 1 1 0 0 0 1 0 0 1 1 1 0 1 1 1 1 1 1 1 1 0]\n[0 0 0 1 0 0 0 0 0 0 0 0 0 0 0 0 0 0 0 0 0 0 0 0 0 0 0 1 0 1 1 0 1 0 0 1 0 0 1 0\n    0 0 1 1 0 1 0 0 0 0 0 0 0 0 0 0 0 0 0 1 0 0 0 1 0 1 0 0 1 0 0 0 1 0 1 1 0 0 \n    0 1 1 1 0 0 1 0 0 0 1 1 1 1 0 0 0 0 1 0 0 0 1 1]\n[0 0 0 0 1 0 0 0 0 0 0 0 0 0 0 0 0 0 0 0 0 0 0 0 0 0 0 1 1 0 1 0 1 0 0 1 0 0 0 0\n    1 1 1 0 1 0 1 0 1 1 0 0 0 0 0 0 0 0 0 0 1 1 1 1 0 0 1 0 1 0 0 1 1 0 1 1 1 0 \n    0 0 1 1 0 1 1 0 1 1 1 1 1 1 0 0 0 1 1 0 0 0 1 1]\n[0 0 0 0 0 1 0 0 0 0 0 0 0 0 0 0 0 0 0 0 0 0 0 0 0 0 0 1 1 1 0 0 0 0 0 1 0 0 1 0\n    0 1 0 0 0 0 0 1 1 0 0 0 0 0 0 0 0 0 0 0 0 1 0 0 0 1 0 0 1 1 0 1 0 1 1 1 1 0 \n    1 1 1 1 1 0 1 0 0 0 1 1 1 1 1 1 0 0 0 1 0 0 0 1]\n[0 0 0 0 0 0 1 0 0 0 0 0 0 0 0 0 0 0 0 0 0 0 0 0 0 0 0 0 1 1 1 0 0 0 0 0 1 0 0 1\n    1 1 0 1 1 0 0 1 0 1 0 0 0 0 0 0 0 0 0 0 0 0 1 0 0 0 1 0 0 1 0 0 1 0 1 1 1 1 \n    0 1 0 0 1 1 1 1 0 0 1 1 1 0 0 1 0 0 1 0 0 0 0 0]\n[0 0 0 0 0 0 0 1 0 0 0 0 0 0 0 0 0 0 0 0 0 0 0 0 0 0 0 0 0 1 1 0 1 0 0 1 0 0 1 0\n    1 1 0 1 1 0 1 0 0 0 1 0 0 0 0 0 0 0 0 1 0 1 1 1 1 1 0 0 0 0 0 1 1 1 1 1 0 0 \n    0 1 1 0 1 0 1 0 0 1 0 0 1 0 1 1 1 0 0 1 0 0 0 1]\n[0 0 0 0 0 0 0 0 1 0 0 0 0 0 0 0 0 0 0 0 0 0 0 0 0 0 0 1 0 0 1 0 1 0 0 1 0 0 1 0\n    1 0 1 0 1 0 0 1 1 0 0 0 0 0 0 0 0 0 0 1 0 0 1 0 0 0 0 1 0 1 0 0 0 0 1 1 1 0 \n    0 0 0 1 0 0 1 0 1 0 1 0 0 0 1 1 0 1 1 0 1 0 1 0]\n[0 0 0 0 0 0 0 0 0 1 0 0 0 0 0 0 0 0 0 0 0 0 0 0 0 0 0 0 1 0 0 0 1 0 0 1 0 0 1 1\n    0 1 1 0 1 1 1 0 1 0 1 0 0 0 0 0 0 0 0 1 1 1 1 1 1 1 0 0 0 0 0 1 1 0 1 1 0 0 \n    1 1 0 0 0 1 0 0 0 1 1 0 0 1 1 0 0 1 1 1 0 0 1 1]\n[0 0 0 0 0 0 0 0 0 0 1 0 0 0 0 0 0 0 0 0 0 0 0 0 0 0 0 0 0 1 0 0 0 0 0 1 0 0 1 1\n    0 1 0 0 1 1 1 1 0 1 0 0 0 0 0 0 0 0 0 1 0 0 0 1 1 0 0 1 0 0 0 1 1 1 1 1 1 0 \n    0 1 0 0 1 1 1 0 1 0 0 1 1 1 1 0 0 1 0 0 0 0 0 1]\n[0 0 0 0 0 0 0 0 0 0 0 1 0 0 0 0 0 0 0 0 0 0 0 0 0 0 0 0 0 0 1 0 0 0 0 0 1 0 0 0\n    1 0 0 1 0 0 1 1 0 1 0 0 0 0 0 0 0 0 0 1 0 1 1 0 1 0 1 1 1 0 0 1 1 1 0 1 1 1 \n    0 0 0 0 1 1 1 1 0 0 0 0 0 1 0 0 0 0 0 0 1 0 1 0]\n[0 0 0 0 0 0 0 0 0 0 0 0 1 0 0 0 0 0 0 0 0 0 0 0 0 0 0 1 0 0 0 0 0 0 0 1 0 0 1 1\n    1 0 1 1 1 1 0 0 1 1 0 0 0 0 0 0 0 0 0 0 1 0 0 0 1 0 0 1 1 0 1 1 0 1 0 0 1 0 \n    0 1 0 1 0 0 0 1 1 1 1 0 1 0 1 1 1 0 0 1 0 0 0 1]\n[0 0 0 0 0 0 0 0 0 0 0 0 0 1 0 0 0 0 0 0 0 0 0 0 0 0 0 0 1 0 0 0 1 0 0 1 1 0 0 0\n    0 0 1 0 0 0 1 0 0 0 0 0 0 0 0 0 0 0 0 1 1 1 1 0 0 1 1 0 1 1 1 0 1 1 0 0 0 0 \n    1 1 0 1 1 1 0 1 1 0 1 0 0 0 1 1 0 1 0 1 1 0 0 1]\n[0 0 0 0 0 0 0 0 0 0 0 0 0 0 1 0 0 0 0 0 0 0 0 0 0 0 0 0 0 1 0 0 0 0 0 1 1 0 1 0\n    0 0 0 0 1 1 0 1 0 1 1 0 0 0 0 0 0 0 0 0 1 1 1 1 0 0 1 0 0 0 0 1 0 1 1 0 0 0 \n    0 1 1 1 1 1 1 0 1 0 0 0 0 0 1 0 1 0 1 0 0 0 1 0]\n[0 0 0 0 0 0 0 0 0 0 0 0 0 0 0 1 0 0 0 0 0 0 0 0 0 0 0 0 0 0 1 0 0 0 0 0 0 0 1 0\n    0 0 0 0 0 1 0 0 1 1 0 0 0 0 0 0 0 0 0 1 1 0 0 1 1 1 1 1 0 0 0 1 1 0 0 1 0 0 \n    0 0 1 1 0 1 0 1 0 1 1 1 0 0 1 0 1 0 1 1 0 1 0 1]\n[0 0 0 0 0 0 0 0 0 0 0 0 0 0 0 0 1 0 0 0 0 0 0 0 0 0 0 0 0 0 0 0 0 0 0 0 1 0 1 1\n    1 1 1 1 1 1 1 0 1 0 1 0 0 0 0 0 0 0 0 0 0 0 0 0 0 0 0 1 0 0 0 0 0 0 0 0 0 0 \n    0 0 0 0 0 0 0 0 0 1 1 0 1 1 1 1 1 1 1 1 1 1 1 0]\n[0 0 0 0 0 0 0 0 0 0 0 0 0 0 0 0 0 1 0 0 0 0 0 0 0 0 0 0 0 0 0 0 0 0 0 0 0 0 1 0\n    1 1 0 1 0 1 0 1 1 1 1 0 0 0 0 0 0 0 0 0 0 0 0 0 0 0 0 1 0 0 0 0 0 0 0 0 0 0 \n    0 0 0 0 0 0 0 1 0 1 0 0 0 0 1 0 0 0 0 1 0 0 0 1]\n[0 0 0 0 0 0 0 0 0 0 0 0 0 0 0 0 0 0 1 0 0 0 0 0 0 0 0 0 0 0 0 0 0 0 0 1 1 0 0 0\n    1 0 0 0 0 0 1 1 0 1 0 0 0 0 0 0 0 0 0 0 0 0 0 0 0 0 0 0 1 1 0 0 0 0 0 0 0 0 \n    0 0 1 0 0 0 1 0 0 0 0 1 1 0 1 1 1 0 0 1 0 0 1 1]\n[0 0 0 0 0 0 0 0 0 0 0 0 0 0 0 0 0 0 0 1 0 0 0 0 0 0 0 0 0 0 0 0 0 0 0 1 1 0 1 0\n    0 1 0 1 0 0 1 1 1 1 1 0 0 0 0 0 0 0 0 0 0 0 0 0 0 0 0 1 0 1 0 0 0 0 0 0 0 0 \n    0 0 1 0 0 1 1 0 0 0 0 0 0 1 1 1 1 1 1 0 1 1 1 1]\n[0 0 0 0 0 0 0 0 0 0 0 0 0 0 0 0 0 0 0 0 1 0 0 0 0 0 0 1 0 0 0 0 1 0 0 0 1 0 0 1\n    1 1 1 0 1 0 1 1 1 1 0 0 0 0 0 0 0 0 0 1 0 1 0 1 0 0 0 0 0 1 1 0 0 0 0 0 1 0 \n    0 0 0 0 1 0 0 0 1 1 0 0 1 1 0 1 0 1 1 0 1 1 0 1]\n[0 0 0 0 0 0 0 0 0 0 0 0 0 0 0 0 0 0 0 0 0 1 0 0 0 0 0 1 1 0 0 0 1 0 0 1 1 0 1 0\n    0 0 1 1 0 1 1 0 0 1 0 0 0 0 0 0 0 0 0 0 0 0 0 1 1 1 1 1 1 1 0 0 0 0 1 0 1 1 \n    0 0 0 0 0 0 0 1 0 0 1 0 0 0 1 1 1 1 1 1 1 1 0 0]\n[0 0 0 0 0 0 0 0 0 0 0 0 0 0 0 0 0 0 0 0 0 0 1 0 0 0 0 1 1 1 0 0 1 0 0 1 0 0 1 1\n    0 0 1 0 0 0 0 1 0 0 0 0 0 0 0 0 0 0 0 0 1 0 1 1 1 0 0 0 0 0 1 1 0 0 1 1 1 1 \n    1 0 1 1 0 1 1 1 1 1 1 1 0 0 1 0 0 0 0 1 1 1 0 0]\n[0 0 0 0 0 0 0 0 0 0 0 0 0 0 0 0 0 0 0 0 0 0 0 1 0 0 0 1 1 1 1 0 1 0 0 1 0 0 0 0\n    0 1 1 0 0 1 1 0 1 0 1 0 0 0 0 0 0 0 0 1 0 0 0 0 1 1 0 1 1 1 1 1 1 0 0 1 0 1 \n    1 1 1 1 0 1 1 0 1 0 1 0 1 0 0 0 1 0 0 1 1 0 1 1]\n[0 0 0 0 0 0 0 0 0 0 0 0 0 0 0 0 0 0 0 0 0 0 0 0 1 0 0 0 1 1 1 0 1 0 0 0 0 0 1 0\n    1 1 1 1 1 1 0 0 1 0 1 0 0 0 0 0 0 0 0 0 0 0 0 0 1 1 0 1 1 1 0 1 0 1 0 0 0 1 \n    0 0 0 1 1 0 1 0 0 1 1 1 0 0 0 1 1 1 0 0 0 0 0 1]\n[0 0 0 0 0 0 0 0 0 0 0 0 0 0 0 0 0 0 0 0 0 0 0 0 0 1 0 0 0 1 1 0 1 0 0 1 0 0 0 0\n    1 0 0 1 0 1 0 1 1 1 0 0 0 0 0 0 0 0 0 1 0 1 1 0 1 0 1 0 0 0 1 1 0 0 0 0 1 1 \n    0 1 0 1 0 1 0 0 1 1 1 0 0 1 0 1 1 0 0 0 1 1 1 1]\n[0 0 0 0 0 0 0 0 0 0 0 0 0 0 0 0 0 0 0 0 0 0 0 0 0 0 1 0 0 0 1 0 0 0 0 0 0 0 0 0\n    0 1 1 0 1 0 1 0 1 1 1 0 0 0 0 0 0 0 0 0 0 1 1 1 1 0 1 1 1 1 1 1 0 1 0 0 1 1 \n    1 0 1 0 0 1 0 0 1 1 0 1 1 1 1 0 0 0 0 0 0 0 1 0]\n[0 0 0 0 0 0 0 0 0 0 0 0 0 0 0 0 0 0 0 0 0 0 0 0 0 0 0 0 0 0 0 1 1 0 0 1 0 0 0 1\n    1 1 1 1 1 0 1 0 1 0 0 0 0 0 0 0 0 0 0 0 1 0 0 0 1 0 1 1 0 0 0 0 1 0 0 0 1 1 \n    1 1 0 1 0 1 1 1 1 1 1 0 0 1 0 1 0 1 1 1 0 1 1 0]\n[0 0 0 0 0 0 0 0 0 0 0 0 0 0 0 0 0 0 0 0 0 0 0 0 0 0 0 0 0 0 0 0 0 1 0 1 0 0 0 0\n    1 1 1 0 0 1 0 0 1 0 0 0 0 0 0 0 0 0 0 0 0 0 0 0 0 0 0 0 0 1 0 0 0 0 0 0 0 0 \n    0 0 1 0 0 0 1 0 0 0 1 0 1 0 1 0 0 1 0 1 0 0 1 1]\n[0 0 0 0 0 0 0 0 0 0 0 0 0 0 0 0 0 0 0 0 0 0 0 0 0 0 0 0 0 0 0 0 0 0 1 0 0 0 1 1\n    1 0 1 1 1 1 0 0 1 0 0 0 0 0 0 0 0 0 0 0 0 0 0 0 0 0 0 0 1 0 0 0 0 0 0 0 0 0 \n    0 0 0 0 0 0 0 1 0 0 1 1 1 0 1 1 0 1 0 0 0 0 0 0]\n[0 0 0 0 0 0 0 0 0 0 0 0 0 0 0 0 0 0 0 0 0 0 0 0 0 0 0 0 0 0 0 0 0 0 0 0 0 1 1 0\n    0 0 0 0 0 0 0 1 0 1 1 0 0 0 0 0 0 0 0 0 0 0 0 0 0 0 0 1 0 0 0 0 0 0 0 0 0 0 \n    0 0 0 0 0 0 0 0 0 1 0 1 1 1 1 1 1 1 1 1 0 1 0 1]\n[0 0 0 0 0 0 0 0 0 0 0 0 0 0 0 0 0 0 0 0 0 0 0 0 0 0 0 0 0 0 0 0 0 0 0 0 0 0 0 0\n    0 0 0 0 0 0 0 0 0 0 0 1 0 0 0 0 0 0 0 1 1 1 1 0 0 1 1 1 0 1 0 1 0 0 1 0 0 0 \n    0 0 1 0 1 1 0 1 1 0 1 0 0 1 0 1 1 1 1 1 0 0 0 1]\n[0 0 0 0 0 0 0 0 0 0 0 0 0 0 0 0 0 0 0 0 0 0 0 0 0 0 0 0 0 0 0 0 0 0 0 0 0 0 0 0\n    0 0 0 0 0 0 0 0 0 0 0 0 1 0 0 0 0 0 0 1 0 0 0 1 0 1 0 0 1 1 1 1 1 0 1 1 0 0 \n    0 0 1 1 1 0 1 1 0 1 1 1 0 1 1 1 0 0 0 0 1 0 0 1]\n[0 0 0 0 0 0 0 0 0 0 0 0 0 0 0 0 0 0 0 0 0 0 0 0 0 0 0 0 0 0 0 0 0 0 0 0 0 0 0 0\n    0 0 0 0 0 0 0 0 0 0 0 0 0 1 0 0 0 0 0 1 0 1 1 0 1 1 0 1 0 0 1 0 1 1 1 1 1 0 \n    0 0 1 1 0 0 0 0 0 0 0 1 1 1 1 0 0 1 1 1 0 1 0 1]\n[0 0 0 0 0 0 0 0 0 0 0 0 0 0 0 0 0 0 0 0 0 0 0 0 0 0 0 0 0 0 0 0 0 0 0 0 0 0 0 0\n    0 0 0 0 0 0 0 0 0 0 0 0 0 0 1 0 0 0 0 1 0 1 0 1 0 0 0 1 1 1 0 0 0 1 0 1 1 1 \n    0 0 1 1 0 1 0 1 1 0 1 0 1 0 1 0 1 1 0 0 1 0 1 1]\n[0 0 0 0 0 0 0 0 0 0 0 0 0 0 0 0 0 0 0 0 0 0 0 0 0 0 0 0 0 0 0 0 0 0 0 0 0 0 0 0\n    0 0 0 0 0 0 0 0 0 0 0 0 0 0 0 1 0 0 0 1 0 1 0 0 1 1 1 1 1 0 1 1 0 0 0 0 1 1 \n    1 0 1 1 0 1 1 1 0 1 1 1 0 0 0 0 1 0 0 1 0 1 0 0]\n[0 0 0 0 0 0 0 0 0 0 0 0 0 0 0 0 0 0 0 0 0 0 0 0 0 0 0 0 0 0 0 0 0 0 0 0 0 0 0 0\n    0 0 0 0 0 0 0 0 0 0 0 0 0 0 0 0 1 0 0 0 1 0 1 0 0 1 1 1 1 1 0 1 1 0 0 0 0 1 \n    1 1 0 1 1 0 1 1 1 0 1 1 1 0 0 0 0 1 0 0 1 0 1 0]\n[0 0 0 0 0 0 0 0 0 0 0 0 0 0 0 0 0 0 0 0 0 0 0 0 0 0 0 0 0 0 0 0 0 0 0 0 0 0 0 0\n    0 0 0 0 0 0 0 0 0 0 0 0 0 0 0 0 0 1 0 0 0 1 0 1 0 0 1 1 1 1 1 0 1 1 0 0 0 0 \n    1 1 1 0 1 1 0 1 1 1 0 1 1 1 0 0 0 0 1 0 0 1 0 1]\n[0 0 0 0 0 0 0 0 0 0 0 0 0 0 0 0 0 0 0 0 0 0 0 0 0 0 0 0 0 0 0 0 0 0 0 0 0 0 0 0\n    0 0 0 0 0 0 0 0 0 0 0 0 0 0 0 0 0 0 1 1 1 1 0 0 1 1 1 0 1 0 1 0 0 1 0 0 0 0 \n    0 1 0 1 1 0 1 1 0 1 0 0 1 0 1 1 1 1 1 0 0 0 1 1]\n[[51, 12]] quantum code over GF(2^2), stabilised by:\n[1 0 0 0 0 0 0 0 0 0 0 0 0 0 0 0 0 0 0 $.1 $.1^2 $.1 $.1^2 $.1 $.1^2 $.1 $.1^2 1\n    0 $.1 0 1 0 $.1^2 0 1 0 $.1^2 $.1^2 $.1^2 $.1 $.1^2 $.1 1 $.1^2 $.1 $.1 $.1 \n    $.1^2 $.1 $.1^2]\n[$.1 0 0 0 0 0 0 0 0 0 0 0 0 0 0 0 0 0 0 $.1 1 $.1^2 1 $.1^2 1 $.1^2 1 $.1 0 0 0\n    $.1 $.1 $.1 $.1 0 0 1 0 0 $.1^2 0 0 1 $.1^2 0 $.1 $.1 $.1^2 $.1^2 0]\n[0 1 0 0 0 0 0 0 0 0 0 0 0 0 0 0 0 0 0 0 $.1^2 0 $.1^2 0 $.1^2 0 $.1^2 1 1 0 0 \n    $.1 1 $.1^2 0 $.1^2 $.1^2 $.1^2 1 $.1 $.1^2 0 $.1^2 0 $.1 $.1 $.1 $.1^2 0 \n    $.1^2 $.1]\n[0 $.1 0 0 0 0 0 0 0 0 0 0 0 0 0 0 0 0 0 0 1 0 1 0 1 0 1 $.1 $.1 $.1 0 $.1^2 $.1\n    0 1 0 $.1^2 $.1^2 0 0 $.1 $.1 0 1 $.1^2 $.1 $.1^2 $.1^2 1 1 1]\n[0 0 1 0 0 0 0 0 0 0 0 0 0 0 0 0 0 0 0 0 $.1 $.1 $.1 $.1 $.1 $.1 $.1 0 1 1 0 \n    $.1^2 $.1 $.1 1 0 0 1 $.1^2 $.1 $.1 1 1 0 0 $.1^2 $.1^2 $.1 $.1^2 1 $.1^2]\n[0 0 $.1 0 0 0 0 0 0 0 0 0 0 0 0 0 0 0 0 0 $.1^2 $.1^2 $.1^2 $.1^2 $.1^2 $.1^2 \n    $.1^2 0 $.1 $.1 0 1 $.1^2 $.1^2 $.1 0 0 $.1 1 $.1^2 $.1^2 $.1 $.1 0 0 1 1 \n    $.1^2 1 $.1 1]\n[0 0 0 1 0 0 0 0 0 0 0 0 0 0 0 0 0 0 0 $.1 $.1^2 0 1 0 1 0 1 $.1^2 0 1 1 1 $.1^2\n    $.1^2 $.1^2 0 1 1 1 0 $.1^2 $.1^2 $.1 0 1 0 1 1 0 1 $.1^2]\n[0 0 0 $.1 0 0 0 0 0 0 0 0 0 0 0 0 0 0 0 $.1 1 0 $.1 0 $.1 0 $.1 1 0 $.1 $.1 $.1\n    $.1^2 0 1 0 1 1 0 0 0 $.1^2 $.1 1 0 1 $.1^2 0 0 $.1 $.1^2]\n[0 0 0 0 1 0 0 0 0 0 0 0 0 0 0 0 0 0 0 0 $.1 $.1^2 0 1 0 1 0 1 $.1^2 0 1 1 1 $.1\n    $.1^2 1 1 1 $.1^2 0 0 $.1^2 $.1^2 0 $.1^2 0 0 $.1 1 0 0]\n[0 0 0 0 $.1 0 0 0 0 0 0 0 0 0 0 0 0 0 0 0 $.1^2 1 0 $.1 0 $.1 0 $.1 1 $.1 $.1 \n    $.1 $.1 $.1 0 $.1^2 0 0 $.1^2 $.1^2 $.1^2 $.1^2 0 1 1 1 0 1 $.1^2 0 $.1]\n[0 0 0 0 0 1 0 0 0 0 0 0 0 0 0 0 0 0 0 0 0 $.1 $.1^2 0 1 0 1 0 1 1 0 1 $.1^2 \n    $.1^2 $.1^2 $.1 $.1 1 1 $.1^2 0 1 $.1 1 $.1 1 $.1 $.1^2 $.1 $.1 1]\n[0 0 0 0 0 $.1 0 0 0 0 0 0 0 0 0 0 0 0 0 $.1 0 $.1^2 1 0 $.1 0 $.1 0 $.1 $.1^2 0\n    $.1 $.1 0 $.1 0 $.1^2 $.1 0 $.1^2 0 0 $.1 $.1^2 0 $.1^2 1 $.1^2 0 $.1^2 0]\n[0 0 0 0 0 0 1 0 0 0 0 0 0 0 0 0 0 0 0 0 $.1 $.1 1 1 $.1^2 $.1^2 $.1^2 0 0 $.1^2\n    $.1^2 1 1 $.1 1 $.1 $.1^2 $.1 $.1^2 0 $.1^2 $.1^2 $.1 $.1^2 $.1^2 0 $.1^2 \n    $.1^2 $.1 1 $.1^2]\n[0 0 0 0 0 0 $.1 0 0 0 0 0 0 0 0 0 0 0 0 0 $.1^2 $.1^2 $.1 $.1 1 1 1 0 0 $.1 1 \n    $.1 $.1 1 0 1 $.1 0 $.1 1 0 $.1 1 $.1^2 1 $.1 1 $.1 1 $.1 $.1]\n[0 0 0 0 0 0 0 1 0 0 0 0 0 0 0 0 0 0 0 0 1 1 $.1^2 $.1 0 0 $.1 1 0 0 1 1 1 $.1 1\n    $.1 0 0 0 $.1 0 1 $.1^2 0 0 $.1 0 $.1 1 $.1 1]\n[0 0 0 0 0 0 0 $.1 0 0 0 0 0 0 0 0 0 0 0 0 $.1 $.1 1 $.1^2 0 0 $.1^2 $.1 0 $.1 \n    $.1 $.1 $.1 $.1 $.1^2 $.1 $.1 $.1 $.1 0 $.1^2 0 0 1 0 $.1 0 1 $.1^2 $.1^2 0]\n[0 0 0 0 0 0 0 0 1 0 0 0 0 0 0 0 0 0 0 0 0 1 1 $.1^2 $.1 0 0 $.1 1 $.1 0 1 $.1^2\n    $.1^2 $.1 0 1 0 $.1^2 0 $.1^2 1 $.1 0 0 $.1^2 $.1^2 0 $.1 1 1]\n[0 0 0 0 0 0 0 0 $.1 0 0 0 0 0 0 0 0 0 0 $.1 0 $.1 $.1 1 $.1^2 0 0 $.1^2 $.1 $.1\n    0 $.1 $.1 0 0 $.1^2 $.1 0 $.1^2 $.1 1 0 $.1 1 $.1^2 0 $.1^2 $.1 0 $.1 0]\n[0 0 0 0 0 0 0 0 0 1 0 0 0 0 0 0 0 0 0 0 $.1 $.1 $.1 $.1^2 0 0 $.1^2 1 $.1 1 0 1\n    1 0 $.1 $.1^2 0 $.1^2 0 $.1 1 $.1 0 1 $.1^2 $.1 0 $.1^2 0 0 $.1]\n[0 0 0 0 0 0 0 0 0 $.1 0 0 0 0 0 0 0 0 0 0 $.1^2 $.1^2 $.1^2 1 0 0 1 $.1 $.1^2 \n    $.1 0 $.1 $.1 0 $.1^2 1 0 1 0 $.1^2 $.1 $.1^2 0 $.1 1 $.1^2 0 1 0 0 $.1^2]\n[0 0 0 0 0 0 0 0 0 0 1 0 0 0 0 0 0 0 0 $.1 $.1^2 0 1 0 0 $.1 $.1^2 $.1 1 0 1 1 1\n    $.1 $.1^2 $.1^2 $.1^2 $.1^2 $.1 $.1^2 $.1^2 $.1 1 $.1 $.1^2 $.1 $.1 0 0 0 \n    $.1]\n[0 0 0 0 0 0 0 0 0 0 $.1 0 0 0 0 0 0 0 0 $.1 1 0 $.1 0 0 $.1^2 1 $.1^2 $.1 $.1^2\n    $.1 $.1 0 0 $.1^2 $.1^2 1 1 $.1 0 1 $.1 1 0 $.1^2 0 $.1 1 $.1 0 $.1]\n[0 0 0 0 0 0 0 0 0 0 0 1 0 0 0 0 0 0 0 $.1 0 $.1 $.1 0 $.1 1 0 0 $.1 1 $.1 $.1 1\n    $.1 1 $.1^2 1 1 0 1 $.1^2 0 $.1^2 1 1 $.1 $.1^2 1 0 1 1]\n[0 0 0 0 0 0 0 0 0 0 0 $.1 0 0 0 0 0 0 0 $.1 0 $.1^2 $.1^2 0 $.1^2 $.1 0 0 $.1^2\n    $.1 $.1^2 $.1^2 0 $.1 $.1 1 1 1 $.1 $.1 0 $.1 0 $.1^2 0 $.1 0 0 0 $.1 0]\n[0 0 0 0 0 0 0 0 0 0 0 0 1 0 0 0 0 0 0 0 0 1 0 $.1^2 $.1 $.1^2 $.1^2 $.1^2 0 $.1\n    1 1 0 $.1^2 $.1 $.1 $.1^2 1 1 $.1 0 $.1 $.1 $.1 1 $.1^2 0 $.1 0 $.1^2 $.1^2]\n[0 0 0 0 0 0 0 0 0 0 0 0 $.1 0 0 0 0 0 0 $.1 0 $.1 0 1 $.1^2 1 1 1 0 $.1^2 $.1 \n    $.1 $.1^2 $.1^2 $.1^2 $.1^2 0 $.1^2 1 $.1^2 $.1 0 1 1 1 $.1^2 $.1 0 0 1 $.1]\n[0 0 0 0 0 0 0 0 0 0 0 0 0 1 0 0 0 0 0 0 $.1^2 1 $.1^2 1 1 $.1^2 1 0 $.1^2 $.1 \n    $.1 $.1 $.1^2 $.1 1 1 $.1^2 $.1 0 1 $.1 $.1 0 0 $.1 1 1 1 0 $.1 $.1^2]\n[0 0 0 0 0 0 0 0 0 0 0 0 0 $.1 0 0 0 0 0 $.1 1 $.1 1 $.1 $.1 1 $.1 0 1 0 $.1^2 \n    $.1^2 $.1 $.1^2 0 0 $.1^2 1 0 $.1^2 0 $.1^2 0 0 0 $.1 0 $.1 $.1 $.1^2 1]\n[0 0 0 0 0 0 0 0 0 0 0 0 0 0 1 0 0 0 0 0 $.1 1 $.1 1 $.1 $.1^2 0 0 0 1 0 $.1^2 0\n    $.1 0 1 $.1 1 $.1^2 1 $.1 $.1 1 $.1^2 $.1 0 1 $.1^2 1 0 $.1^2]\n[0 0 0 0 0 0 0 0 0 0 0 0 0 0 $.1 0 0 0 0 $.1 $.1^2 $.1 $.1^2 $.1 $.1^2 1 0 0 0 \n    $.1^2 0 1 $.1^2 $.1 $.1^2 1 $.1^2 $.1 $.1^2 0 $.1^2 1 $.1^2 0 0 1 0 $.1^2 1 \n    0 $.1^2]\n[0 0 0 0 0 0 0 0 0 0 0 0 0 0 0 1 0 0 0 $.1 1 $.1 1 $.1 1 $.1 $.1^2 0 0 0 $.1^2 0\n    $.1^2 $.1^2 0 $.1 1 1 $.1 0 $.1^2 $.1 $.1^2 $.1^2 1 $.1^2 0 1 1 0 $.1^2]\n[0 0 0 0 0 0 0 0 0 0 0 0 0 0 0 $.1 0 0 0 $.1 $.1 $.1^2 $.1 $.1^2 $.1 $.1^2 1 0 0\n    $.1 1 0 $.1^2 1 1 $.1 $.1^2 $.1^2 $.1^2 $.1^2 $.1^2 $.1^2 1 1 0 1 1 $.1 \n    $.1^2 0 1]\n[0 0 0 0 0 0 0 0 0 0 0 0 0 0 0 0 1 0 0 0 0 0 0 0 0 0 0 0 0 0 0 0 0 0 0 0 1 $.1^2\n    $.1 1 1 1 1 1 1 1 1 $.1^2 1 $.1^2 $.1]\n[0 0 0 0 0 0 0 0 0 0 0 0 0 0 0 0 $.1 0 0 0 0 0 0 0 0 0 0 0 0 0 0 0 0 0 0 0 $.1 1\n    $.1^2 $.1 $.1 $.1 $.1 $.1 $.1 $.1 $.1 1 $.1 1 $.1^2]\n[0 0 0 0 0 0 0 0 0 0 0 0 0 0 0 0 0 1 0 0 0 0 0 0 0 0 0 0 0 0 0 0 0 0 $.1 0 0 1 \n    $.1 $.1 $.1^2 1 $.1 $.1^2 $.1 $.1^2 0 0 $.1^2 0 0]\n[0 0 0 0 0 0 0 0 0 0 0 0 0 0 0 0 0 $.1 0 0 0 0 0 0 0 0 0 0 0 0 0 0 0 0 $.1^2 0 0\n    $.1 $.1^2 $.1^2 1 $.1 $.1^2 1 $.1^2 1 0 0 1 0 0]\n[0 0 0 0 0 0 0 0 0 0 0 0 0 0 0 0 0 0 1 0 0 0 0 0 0 0 0 0 0 0 0 0 0 1 $.1^2 0 1 0\n    1 $.1^2 1 $.1^2 0 $.1^2 1 0 1 1 0 1 0]\n[0 0 0 0 0 0 0 0 0 0 0 0 0 0 0 0 0 0 $.1 0 0 0 0 0 0 0 0 0 0 $.1 0 0 0 $.1^2 0 1\n    0 $.1 0 $.1 1 $.1^2 1 0 $.1 1 $.1 0 1 $.1 $.1]\n[0 0 0 0 0 0 0 0 0 0 0 0 0 0 0 0 0 0 0 1 0 0 0 0 0 0 0 0 0 0 0 0 $.1 1 0 0 $.1^2\n    $.1^2 $.1 0 1 $.1 1 1 $.1 1 1 $.1 0 0 $.1]\nQuantum GF(2)-Additive code over GF(4) of length 51 with 63 generators.\nLower Bound: 1, Upper Bound: 21\nConstructed 2 distinct generator matrices\nTotal Ranks:     32  32 \nRelative Ranks:  32  19 \n(4 4 4 4 4 4 4 4 4 4 4 4 4 4 4 4 4 4 4 4 4 4 4 4 4 4 4 4 4 4 4 2 )\n(4 4 4 4 4 4 4 4 4 4 4 4 4 4 4 4 4 4 4 4 4 4 4 4 4 4 4 4 4 4 4 2 )\nTime Taken: 0.01\nStarting search for low weight codewords... (reset timings)\nEnumerating using 1 generator at a time:\n     New codeword identified of weight 11, time 0.00\n     Discarding non-contributing rank 19 matrix\n     New Total Ranks:     32 \n     New Relative Ranks:  32 \n   Completed Matrix  1:  lower =  2, upper = 11. Elapsed: 0.00s\nTermination predicted with 10 generators at matrix 1\nEnumerating using 2 generators at a time:\n     New codeword identified of weight 10, time 0.00\n     New codeword identified of weight 9, time 0.00\n   Completed Matrix  1:  lower =  3, upper =  9. Elapsed: 0.00s\nTermination predicted with 8 generators at matrix 1\nEnumerating using 3 generators at a time:\n   Completed Matrix  1:  lower =  4, upper =  9. Elapsed: 0.00s\nTermination predicted with 8 generators at matrix 1\nEnumerating using 4 generators at a time:\n   Completed Matrix  1:  lower =  5, upper =  9. Elapsed: 0.01s\nTermination predicted with 8 generators at matrix 1\nEnumerating using 5 generators at a time:\n   Completed Matrix  1:  lower =  6, upper =  9. Elapsed: 0.26s\nTermination predicted at 351 s (5m 51s) with 8 generators at matrix 1\nEnumerating using 6 generators at a time:\n   Completed Matrix  1:  lower =  7, upper =  9. Elapsed: 3.52s\nTermination predicted at 357 s (5m 57s) with 8 generators at matrix 1\nEnumerating using 7 generators at a time:\n   Completed Matrix  1:  lower =  8, upper =  9. Elapsed: 38.28s\nTermination predicted at 353 s (5m 53s) with 8 generators at matrix 1\nEnumerating using 8 generators at a time:\n   Completed Matrix  1:  lower =  9, upper =  9. Elapsed: 355.87s\nComputation complete \nFinal Results: lower = 9, upper = 9,\nTotal CPU time: 355.87, real time: 356.633\n9\n\nTotal time: 355.910 seconds, Total memory usage: 32.09MB\n</t>
  </si>
  <si>
    <t>28800.032617624965</t>
  </si>
  <si>
    <t>Magma V2.28-26    Tue Jan  6 2026 16:10:04 on Marks-MacBook-Air-2 [Seed = \n1181883530]\nType ? for help.  Type &lt;Ctrl&gt;-D to quit.\n[1 0 0 0 0 0 0 0 0 0 0 0 0 0 0 0 0 0 0 0 0 0 0 0 0 0 0 0 0 0 0 0 0 1 1 0 0 1 1 0\n    0 0 0 1 0 0 1 0 1 1 0 0 0 0 0 0 0 0 0 0 1 0 1 0 1 1 1 1 0 1 0 1 0 1 1 1 1 0 \n    1 1 1 1 0 0 1 0 1 0 0 1 0 0 0 1 0 0 0 0 1 0 1 0 0 1]\n[0 1 0 0 0 0 0 0 0 0 0 0 0 0 0 0 0 0 0 0 0 0 0 0 0 0 0 0 0 0 0 0 0 0 1 1 0 0 1 1\n    0 0 0 0 1 0 0 1 0 1 1 0 0 0 0 0 0 0 0 0 0 1 0 1 0 1 1 1 1 0 1 0 1 0 1 1 1 1 \n    0 1 1 1 1 0 0 1 0 1 0 0 1 0 0 0 1 0 0 0 0 1 0 1 0 1]\n[0 0 1 0 0 0 0 0 0 0 0 0 0 0 0 0 0 0 0 0 0 0 0 0 0 0 0 0 0 0 0 0 0 1 1 1 1 1 1 1\n    1 0 0 1 0 1 1 0 0 1 1 0 0 0 0 0 0 0 0 0 1 0 0 0 0 1 0 0 1 0 0 0 0 0 1 0 0 1 \n    0 1 0 0 1 1 1 0 0 0 1 1 0 1 0 1 0 1 0 0 1 0 0 0 1 0]\n[0 0 0 1 0 0 0 0 0 0 0 0 0 0 0 0 0 0 0 0 0 0 0 0 0 0 0 0 0 0 0 0 0 1 0 1 1 0 0 1\n    1 1 0 1 1 0 0 1 1 1 1 0 0 0 0 0 0 0 0 0 0 1 1 0 0 0 0 0 0 0 1 1 1 0 1 0 0 1 \n    0 0 1 0 1 1 0 0 0 1 0 1 0 0 1 0 1 0 0 1 1 1 1 1 1 1]\n[0 0 0 0 1 0 0 0 0 0 0 0 0 0 0 0 0 0 0 0 0 0 0 0 0 0 0 0 0 0 0 0 0 1 0 0 1 0 1 0\n    1 1 1 1 1 1 1 0 0 0 1 0 0 0 0 0 0 0 0 0 0 0 0 1 0 0 1 0 0 1 1 0 0 1 1 0 0 1 \n    0 0 0 1 1 1 0 1 0 1 1 0 0 0 0 1 0 1 1 1 0 1 0 0 0 0]\n[0 0 0 0 0 1 0 0 0 0 0 0 0 0 0 0 0 0 0 0 0 0 0 0 0 0 0 0 0 0 0 0 0 1 0 0 0 0 1 1\n    0 1 1 0 1 1 0 1 1 1 0 0 0 0 0 0 0 0 0 0 1 0 1 0 0 1 1 0 0 1 1 0 0 1 0 0 1 0 \n    0 1 1 1 1 1 0 0 0 0 1 0 0 0 0 1 1 0 1 1 0 0 0 0 0 1]\n[0 0 0 0 0 0 1 0 0 0 0 0 0 0 0 0 0 0 0 0 0 0 0 0 0 0 0 0 0 0 0 0 0 0 1 0 0 0 0 1\n    1 0 1 1 0 1 1 0 1 1 1 0 0 0 0 0 0 0 0 0 0 1 0 1 0 0 1 1 0 0 1 1 0 0 1 0 0 1 \n    0 0 1 1 1 1 1 0 0 0 0 1 0 0 0 0 1 1 0 1 1 0 0 0 0 1]\n[0 0 0 0 0 0 0 1 0 0 0 0 0 0 0 0 0 0 0 0 0 0 0 0 0 0 0 0 0 0 0 0 0 1 1 1 0 1 1 0\n    1 1 0 0 1 0 0 1 1 0 1 0 0 0 0 0 0 0 0 0 1 0 0 0 0 1 1 0 1 1 0 0 1 1 1 0 1 0 \n    0 1 1 0 1 1 0 1 1 0 0 1 1 0 0 1 0 1 1 0 0 1 1 0 0 0]\n[0 0 0 0 0 0 0 0 1 0 0 0 0 0 0 0 0 0 0 0 0 0 0 0 0 0 0 0 0 0 0 0 0 1 0 1 1 1 0 1\n    0 1 1 1 0 1 1 0 0 0 0 0 0 0 0 0 0 0 0 0 1 1 1 0 1 1 0 0 0 0 1 1 0 0 0 0 1 1 \n    1 1 0 0 0 1 0 0 0 1 0 1 1 1 0 1 1 0 1 1 1 0 0 1 0 1]\n[0 0 0 0 0 0 0 0 0 1 0 0 0 0 0 0 0 0 0 0 0 0 0 0 0 0 0 0 0 0 0 0 0 0 1 0 1 1 1 0\n    1 0 1 1 1 0 1 1 0 0 0 0 0 0 0 0 0 0 0 0 0 1 1 1 0 1 1 0 0 0 0 1 1 0 0 0 0 1 \n    1 1 1 0 0 0 1 0 0 0 1 0 1 1 1 0 1 1 0 1 1 1 0 0 1 1]\n[0 0 0 0 0 0 0 0 0 0 1 0 0 0 0 0 0 0 0 0 0 0 0 0 0 0 0 0 0 0 0 0 0 0 0 1 0 1 1 1\n    0 1 0 1 1 1 0 1 1 0 0 0 0 0 0 0 0 0 0 0 1 0 1 1 0 1 1 0 0 0 1 0 0 0 0 0 1 1 \n    1 0 0 0 1 0 0 0 1 1 0 0 1 1 1 0 0 1 0 1 1 1 1 1 1 1]\n[0 0 0 0 0 0 0 0 0 0 0 1 0 0 0 0 0 0 0 0 0 0 0 0 0 0 0 0 0 0 0 0 0 0 0 0 1 0 1 1\n    1 0 1 0 1 1 1 0 1 1 0 0 0 0 0 0 0 0 0 0 1 1 0 1 0 1 1 0 0 0 1 1 1 1 0 0 1 0 \n    1 0 1 1 1 1 0 1 1 0 1 1 1 1 1 0 0 0 0 1 1 1 1 0 0 1]\n[0 0 0 0 0 0 0 0 0 0 0 0 1 0 0 0 0 0 0 0 0 0 0 0 0 0 0 0 0 0 0 0 0 0 0 0 0 1 0 1\n    1 1 0 1 0 1 1 1 0 1 1 0 0 0 0 0 0 0 0 0 0 1 1 0 1 0 1 1 0 0 0 1 1 1 1 0 0 1 \n    0 1 0 1 1 1 1 0 1 1 0 1 1 1 1 1 0 0 0 0 1 1 1 1 0 1]\n[0 0 0 0 0 0 0 0 0 0 0 0 0 1 0 0 0 0 0 0 0 0 0 0 0 0 0 0 0 0 0 0 0 1 1 0 0 1 0 0\n    1 1 1 1 1 0 0 1 0 1 1 0 0 0 0 0 0 0 0 0 1 0 0 1 1 0 1 0 1 1 0 1 1 0 0 0 1 0 \n    0 1 0 1 1 1 0 1 1 1 1 1 1 1 1 0 1 0 0 0 1 1 0 1 1 0]\n[0 0 0 0 0 0 0 0 0 0 0 0 0 0 1 0 0 0 0 0 0 0 0 0 0 0 0 0 0 0 0 0 0 1 0 1 0 1 0 0\n    0 1 1 0 1 1 1 0 0 1 1 0 0 0 0 0 0 0 0 0 0 1 1 0 1 1 1 1 0 0 0 1 0 1 1 1 0 0 \n    1 0 1 0 0 1 0 1 1 0 1 1 0 1 1 1 0 1 1 1 1 1 0 1 0 1]\n[0 0 0 0 0 0 0 0 0 0 0 0 0 0 0 1 0 0 0 0 0 0 0 0 0 0 0 0 0 0 0 0 0 1 0 0 1 1 0 0\n    0 0 1 0 0 1 0 1 1 1 1 0 0 0 0 0 0 0 0 0 1 0 0 1 1 0 0 0 1 1 0 1 1 1 0 0 0 0 \n    1 0 1 0 0 0 0 0 0 1 0 0 1 0 1 0 1 0 1 1 0 1 0 0 1 0]\n[0 0 0 0 0 0 0 0 0 0 0 0 0 0 0 0 1 0 0 0 0 0 0 0 0 0 0 0 0 0 0 0 0 1 0 0 0 0 0 0\n    0 0 0 0 0 0 0 0 0 0 1 0 0 0 0 0 0 0 0 0 0 1 1 0 1 1 1 0 0 0 0 1 0 1 0 1 0 1 \n    1 1 0 1 1 0 1 1 0 1 1 0 1 1 0 1 0 1 1 0 0 0 0 1 1 1]\n[0 0 0 0 0 0 0 0 0 0 0 0 0 0 0 0 0 1 0 0 0 0 0 0 0 0 0 0 0 0 0 0 0 1 0 0 0 1 1 0\n    0 0 0 1 0 0 1 0 1 1 0 0 0 0 0 0 0 0 0 0 0 0 0 1 0 1 0 1 0 1 1 1 0 0 0 1 1 1 \n    0 1 1 0 0 1 1 0 1 1 1 1 1 1 1 0 1 0 0 0 1 0 1 1 0 0]\n[0 0 0 0 0 0 0 0 0 0 0 0 0 0 0 0 0 0 1 0 0 0 0 0 0 0 0 0 0 0 0 0 0 0 1 0 0 0 1 1\n    0 0 0 0 1 0 0 1 0 1 1 0 0 0 0 0 0 0 0 0 0 0 0 0 1 0 1 0 1 0 1 1 1 0 0 0 1 1 \n    1 0 1 1 0 0 1 1 0 1 1 1 1 1 1 1 0 1 0 0 0 1 0 1 1 0]\n[0 0 0 0 0 0 0 0 0 0 0 0 0 0 0 0 0 0 0 1 0 0 0 0 0 0 0 0 0 0 0 0 0 1 1 1 0 1 1 1\n    1 0 0 1 0 1 1 0 0 1 1 0 0 0 0 0 0 0 0 0 0 0 1 0 0 1 1 1 0 0 1 0 0 1 1 1 0 0 \n    0 1 0 1 0 0 1 0 1 1 1 1 0 1 1 1 1 0 0 1 1 0 0 1 0 1]\n[0 0 0 0 0 0 0 0 0 0 0 0 0 0 0 0 0 0 0 0 1 0 0 0 0 0 0 0 0 0 0 0 0 1 0 1 1 1 0 1\n    1 1 0 1 1 0 0 1 1 1 1 0 0 0 0 0 0 0 0 0 1 0 1 1 1 1 0 0 1 1 0 0 0 1 0 0 0 0 \n    1 1 0 1 1 0 1 1 1 1 1 0 1 0 1 0 1 1 0 0 0 1 1 0 1 0]\n[0 0 0 0 0 0 0 0 0 0 0 0 0 0 0 0 0 0 0 0 0 1 0 0 0 0 0 0 0 0 0 0 0 1 0 0 1 0 0 0\n    1 1 1 1 1 1 1 0 0 0 1 0 0 0 0 0 0 0 0 0 0 1 1 1 1 1 0 0 0 0 0 1 1 0 0 1 0 1 \n    1 1 1 0 0 1 1 0 1 0 1 1 1 1 0 1 0 1 0 1 1 0 0 0 1 1]\n[0 0 0 0 0 0 0 0 0 0 0 0 0 0 0 0 0 0 0 0 0 0 1 0 0 0 0 0 0 0 0 0 0 1 0 0 0 0 1 0\n    0 1 1 0 1 1 0 1 1 1 0 0 0 0 0 0 0 0 0 0 0 0 0 1 1 1 0 0 0 1 1 1 0 1 1 1 1 1 \n    0 1 1 1 1 0 0 0 0 0 0 1 0 1 1 0 1 0 0 1 0 1 1 1 1 0]\n[0 0 0 0 0 0 0 0 0 0 0 0 0 0 0 0 0 0 0 0 0 0 0 1 0 0 0 0 0 0 0 0 0 0 1 0 0 0 0 1\n    0 0 1 1 0 1 1 0 1 1 1 0 0 0 0 0 0 0 0 0 1 0 0 0 0 0 1 1 0 0 0 1 0 1 1 1 0 0 \n    1 1 0 0 0 1 0 1 1 1 0 1 0 0 1 0 0 1 1 1 1 0 1 0 0 0]\n[0 0 0 0 0 0 0 0 0 0 0 0 0 0 0 0 0 0 0 0 0 0 0 0 1 0 0 0 0 0 0 0 0 1 1 1 0 1 1 0\n    1 0 0 0 1 0 0 1 1 0 1 0 0 0 0 0 0 0 0 0 1 1 1 0 1 1 1 0 1 1 0 1 1 1 0 0 0 0 \n    1 0 0 1 0 0 0 0 0 1 1 1 1 0 0 0 0 0 1 1 0 1 1 1 0 1]\n[0 0 0 0 0 0 0 0 0 0 0 0 0 0 0 0 0 0 0 0 0 0 0 0 0 1 0 0 0 0 0 0 0 1 0 1 1 1 0 1\n    0 1 0 1 0 1 1 0 0 0 0 0 0 0 0 0 0 0 0 0 1 1 0 1 1 0 0 0 0 0 1 1 1 0 0 1 1 0 \n    1 0 1 1 1 0 1 0 1 0 1 0 1 1 0 1 0 0 0 1 0 0 0 1 1 0]\n[0 0 0 0 0 0 0 0 0 0 0 0 0 0 0 0 0 0 0 0 0 0 0 0 0 0 1 0 0 0 0 0 0 0 1 0 1 1 1 0\n    1 0 1 0 1 0 1 1 0 0 0 0 0 0 0 0 0 0 0 0 1 1 1 0 0 0 0 1 0 0 1 1 0 0 0 0 0 0 \n    0 0 1 0 0 1 0 0 1 0 0 0 1 1 1 1 1 0 1 1 1 0 0 1 0 0]\n[0 0 0 0 0 0 0 0 0 0 0 0 0 0 0 0 0 0 0 0 0 0 0 0 0 0 0 1 0 0 0 0 0 0 0 1 0 1 1 1\n    0 1 0 1 0 1 0 1 1 0 0 0 0 0 0 0 0 0 0 0 0 1 1 1 0 0 0 0 1 0 0 1 1 0 0 0 0 0 \n    0 0 0 1 0 0 1 0 0 1 0 0 0 1 1 1 1 1 0 1 1 1 0 0 1 0]\n[0 0 0 0 0 0 0 0 0 0 0 0 0 0 0 0 0 0 0 0 0 0 0 0 0 0 0 0 1 0 0 0 0 0 0 0 1 0 1 1\n    1 0 1 0 1 0 1 0 1 1 0 0 0 0 0 0 0 0 0 0 1 0 1 1 0 1 0 1 0 1 1 0 0 0 0 0 1 1 \n    0 1 1 1 0 0 0 0 1 1 1 1 1 0 1 0 1 1 0 1 1 1 1 1 1 0]\n[0 0 0 0 0 0 0 0 0 0 0 0 0 0 0 0 0 0 0 0 0 0 0 0 0 0 0 0 0 1 0 0 0 0 0 0 0 1 0 1\n    1 1 0 1 0 1 0 1 0 1 1 0 0 0 0 0 0 0 0 0 1 1 0 1 0 1 1 1 1 0 0 1 1 1 0 0 1 0 \n    1 1 0 0 0 0 0 1 1 0 1 0 0 1 0 0 0 1 0 1 1 1 1 0 0 0]\n[0 0 0 0 0 0 0 0 0 0 0 0 0 0 0 0 0 0 0 0 0 0 0 0 0 0 0 0 0 0 1 0 0 1 1 0 0 1 0 0\n    1 1 1 1 1 0 0 0 0 1 1 0 0 0 0 0 0 0 0 0 1 1 0 0 0 1 0 0 1 0 0 1 1 0 0 1 1 1 \n    1 0 0 1 0 0 1 0 0 1 0 0 0 0 1 1 0 0 1 0 0 1 0 1 0 1]\n[0 0 0 0 0 0 0 0 0 0 0 0 0 0 0 0 0 0 0 0 0 0 0 0 0 0 0 0 0 0 0 1 0 1 0 1 0 1 0 0\n    0 1 1 0 1 1 1 0 1 1 1 0 0 0 0 0 0 0 0 0 1 1 0 0 1 1 0 1 0 0 0 1 1 0 1 1 0 1 \n    0 0 1 1 1 0 1 1 1 0 1 1 0 0 0 0 1 0 0 1 1 0 0 0 1 0]\n[0 0 0 0 0 0 0 0 0 0 0 0 0 0 0 0 0 0 0 0 0 0 0 0 0 0 0 0 0 0 0 0 1 1 0 0 1 1 0 0\n    0 0 1 0 0 1 0 1 1 0 1 0 0 0 0 0 0 0 0 0 0 1 0 0 0 1 0 0 1 1 1 1 0 1 1 0 1 1 \n    0 0 0 1 0 1 1 0 1 0 0 1 0 0 0 0 0 1 1 1 0 1 1 1 1 1]\n[0 0 0 0 0 0 0 0 0 0 0 0 0 0 0 0 0 0 0 0 0 0 0 0 0 0 0 0 0 0 0 0 0 0 0 0 0 0 0 0\n    0 0 0 0 0 0 0 0 0 0 0 1 0 0 0 0 0 0 0 0 1 1 1 1 0 1 1 0 0 0 1 1 0 1 1 1 0 1 \n    1 0 1 0 1 1 1 0 1 0 0 1 0 0 0 1 1 1 0 1 1 1 1 0 1 1]\n[0 0 0 0 0 0 0 0 0 0 0 0 0 0 0 0 0 0 0 0 0 0 0 0 0 0 0 0 0 0 0 0 0 0 0 0 0 0 0 0\n    0 0 0 0 0 0 0 0 0 0 0 0 1 0 0 0 0 0 0 0 1 0 0 0 1 1 0 1 0 0 1 0 1 1 0 0 1 1 \n    0 1 1 1 1 0 0 1 1 1 0 1 1 0 0 1 0 0 1 1 0 0 0 1 1 0]\n[0 0 0 0 0 0 0 0 0 0 0 0 0 0 0 0 0 0 0 0 0 0 0 0 0 0 0 0 0 0 0 0 0 0 0 0 0 0 0 0\n    0 0 0 0 0 0 0 0 0 0 0 0 0 1 0 0 0 0 0 0 1 1 0 0 1 0 1 1 1 0 1 1 1 0 1 0 1 0 \n    1 1 0 0 0 1 0 1 0 0 1 1 0 1 0 1 1 0 1 0 1 0 0 1 0 0]\n[0 0 0 0 0 0 0 0 0 0 0 0 0 0 0 0 0 0 0 0 0 0 0 0 0 0 0 0 0 0 0 0 0 0 0 0 0 0 0 0\n    0 0 0 0 0 0 0 0 0 0 0 0 0 0 1 0 0 0 0 0 0 1 1 0 0 1 0 1 1 1 0 1 1 1 0 1 0 1 \n    0 1 1 0 0 0 1 0 1 0 0 1 1 0 1 0 1 1 0 1 0 1 0 0 1 0]\n[0 0 0 0 0 0 0 0 0 0 0 0 0 0 0 0 0 0 0 0 0 0 0 0 0 0 0 0 0 0 0 0 0 0 0 0 0 0 0 0\n    0 0 0 0 0 0 0 0 0 0 0 0 0 0 0 1 0 0 0 0 1 0 1 1 1 1 1 1 1 1 0 0 0 0 1 0 0 1 \n    1 1 0 0 1 0 0 0 1 0 0 1 0 1 0 0 0 1 0 1 1 0 1 1 1 0]\n[0 0 0 0 0 0 0 0 0 0 0 0 0 0 0 0 0 0 0 0 0 0 0 0 0 0 0 0 0 0 0 0 0 0 0 0 0 0 0 0\n    0 0 0 0 0 0 0 0 0 0 0 0 0 0 0 0 1 0 0 0 1 1 0 1 0 0 1 0 1 1 0 0 1 1 0 1 1 1 \n    1 0 0 1 1 1 0 1 1 0 0 1 0 0 1 1 0 0 0 1 1 1 0 0 0 0]\n[0 0 0 0 0 0 0 0 0 0 0 0 0 0 0 0 0 0 0 0 0 0 0 0 0 0 0 0 0 0 0 0 0 0 0 0 0 0 0 0\n    0 0 0 0 0 0 0 0 0 0 0 0 0 0 0 0 0 1 0 0 0 1 1 0 1 0 0 1 0 1 1 0 0 1 1 0 1 1 \n    1 1 0 0 1 1 1 0 1 1 0 0 1 0 0 1 1 0 0 0 1 1 1 0 0 0]\n[0 0 0 0 0 0 0 0 0 0 0 0 0 0 0 0 0 0 0 0 0 0 0 0 0 0 0 0 0 0 0 0 0 0 0 0 0 0 0 0\n    0 0 0 0 0 0 0 0 0 0 0 0 0 0 0 0 0 0 1 0 0 0 1 1 0 1 0 0 1 0 1 1 0 0 1 1 0 1 \n    1 1 1 0 0 1 1 1 0 1 1 0 0 1 0 0 1 1 0 0 0 1 1 1 0 0]\n[0 0 0 0 0 0 0 0 0 0 0 0 0 0 0 0 0 0 0 0 0 0 0 0 0 0 0 0 0 0 0 0 0 0 0 0 0 0 0 0\n    0 0 0 0 0 0 0 0 0 0 0 0 0 0 0 0 0 0 0 1 0 0 0 1 1 0 1 0 0 1 0 1 1 0 0 1 1 0 \n    1 1 1 1 0 0 1 1 1 0 1 1 0 0 1 0 0 1 1 0 0 0 1 1 1 0]\n[[52, 10]] quantum code over GF(2^2), stabilised by:\n[1 0 0 0 0 0 0 0 0 0 0 0 0 0 0 0 0 0 0 0 0 $.1^2 $.1^2 $.1 $.1 $.1^2 1 $.1 0 $.1\n    $.1 $.1 0 0 $.1 1 1 1 $.1^2 1 0 $.1^2 $.1^2 1 $.1^2 $.1^2 0 0 $.1 $.1 1 \n    $.1^2]\n[$.1 0 0 0 0 0 0 0 0 0 0 0 0 0 0 0 0 0 0 0 0 1 1 $.1^2 $.1^2 1 $.1 $.1^2 0 $.1^2\n    $.1^2 $.1^2 0 0 $.1^2 $.1 $.1 $.1 1 $.1 0 1 1 $.1 1 1 0 0 $.1^2 $.1^2 $.1 1]\n[0 1 0 0 0 0 0 0 0 0 0 0 0 0 0 0 0 0 0 0 0 $.1^2 0 1 0 1 $.1 $.1^2 $.1 $.1 0 0 \n    $.1 0 $.1 $.1^2 0 0 $.1 $.1 1 $.1^2 0 $.1 $.1 0 $.1^2 0 $.1 0 $.1^2 0]\n[0 $.1 0 0 0 0 0 0 0 0 0 0 0 0 0 0 0 0 0 0 0 1 0 $.1 0 $.1 $.1^2 1 $.1^2 $.1^2 0\n    0 $.1^2 0 $.1^2 1 0 0 $.1^2 $.1^2 $.1 1 0 $.1^2 $.1^2 0 1 0 $.1^2 0 1 0]\n[0 0 1 0 0 0 0 0 0 0 0 0 0 0 0 0 0 0 0 0 0 $.1 1 1 0 $.1 $.1 $.1^2 $.1^2 $.1^2 \n    $.1^2 1 0 $.1 1 1 0 $.1^2 $.1 1 $.1 $.1^2 1 $.1^2 0 0 0 $.1^2 1 $.1^2 $.1^2 \n    $.1]\n[0 0 $.1 0 0 0 0 0 0 0 0 0 0 0 0 0 0 0 0 0 0 $.1^2 $.1 $.1 0 $.1^2 $.1^2 1 1 1 1\n    $.1 0 $.1^2 $.1 $.1 0 1 $.1^2 $.1 $.1^2 1 $.1 1 0 0 0 1 $.1 1 1 $.1^2]\n[0 0 0 1 0 0 0 0 0 0 0 0 0 0 0 0 0 0 0 0 0 $.1 0 0 0 $.1 1 $.1^2 $.1^2 $.1 $.1 \n    $.1 1 0 $.1^2 $.1 $.1 $.1^2 1 1 1 0 1 $.1 1 $.1 0 0 $.1 0 0 0]\n[0 0 0 $.1 0 0 0 0 0 0 0 0 0 0 0 0 0 0 0 0 0 $.1^2 0 0 0 $.1^2 $.1 1 1 $.1^2 \n    $.1^2 $.1^2 $.1 0 1 $.1^2 $.1^2 1 $.1 $.1 $.1 0 $.1 $.1^2 $.1 $.1^2 0 0 \n    $.1^2 0 0 0]\n[0 0 0 0 1 0 0 0 0 0 0 0 0 0 0 0 0 0 0 0 0 0 $.1 0 0 0 $.1 1 $.1^2 $.1^2 $.1 $.1\n    $.1 1 0 $.1^2 $.1 $.1 $.1^2 1 1 1 0 1 $.1 1 $.1 0 0 $.1 0 0]\n[0 0 0 0 $.1 0 0 0 0 0 0 0 0 0 0 0 0 0 0 0 0 0 $.1^2 0 0 0 $.1^2 $.1 1 1 $.1^2 \n    $.1^2 $.1^2 $.1 0 1 $.1^2 $.1^2 1 $.1 $.1 $.1 0 $.1 $.1^2 $.1 $.1^2 0 0 \n    $.1^2 0 0]\n[0 0 0 0 0 1 0 0 0 0 0 0 0 0 0 0 0 0 0 0 0 0 0 $.1 0 0 0 $.1 1 $.1^2 $.1^2 $.1 \n    $.1 $.1 1 0 $.1^2 $.1 $.1 $.1^2 1 1 1 0 1 $.1 1 $.1 0 0 $.1 0]\n[0 0 0 0 0 $.1 0 0 0 0 0 0 0 0 0 0 0 0 0 0 0 0 0 $.1^2 0 0 0 $.1^2 $.1 1 1 $.1^2\n    $.1^2 $.1^2 $.1 0 1 $.1^2 $.1^2 1 $.1 $.1 $.1 0 $.1 $.1^2 $.1 $.1^2 0 0 \n    $.1^2 0]\n[0 0 0 0 0 0 1 0 0 0 0 0 0 0 0 0 0 0 0 0 0 1 1 $.1^2 1 1 $.1 $.1^2 $.1 $.1 0 0 \n    $.1 $.1 1 $.1^2 $.1 1 $.1^2 0 $.1^2 0 0 $.1^2 1 0 $.1 1 1 $.1^2 $.1 1]\n[0 0 0 0 0 0 $.1 0 0 0 0 0 0 0 0 0 0 0 0 0 0 $.1 $.1 1 $.1 $.1 $.1^2 1 $.1^2 \n    $.1^2 0 0 $.1^2 $.1^2 $.1 1 $.1^2 $.1 1 0 1 0 0 1 $.1 0 $.1^2 $.1 $.1 1 \n    $.1^2 $.1]\n[0 0 0 0 0 0 0 1 0 0 0 0 0 0 0 0 0 0 0 0 0 1 0 $.1 0 0 $.1^2 1 $.1^2 1 1 $.1^2 0\n    $.1 1 $.1^2 1 0 0 1 0 $.1 1 $.1 $.1 0 0 $.1 $.1 $.1 1 0]\n[0 0 0 0 0 0 0 $.1 0 0 0 0 0 0 0 0 0 0 0 0 0 $.1 0 $.1^2 0 0 1 $.1 1 $.1 $.1 1 0\n    $.1^2 $.1 1 $.1 0 0 $.1 0 $.1^2 $.1 $.1^2 $.1^2 0 0 $.1^2 $.1^2 $.1^2 $.1 0]\n[0 0 0 0 0 0 0 0 1 0 0 0 0 0 0 0 0 0 0 0 0 $.1^2 $.1 $.1 0 $.1^2 1 1 1 1 $.1^2 \n    $.1^2 $.1^2 0 0 0 $.1 0 $.1^2 1 1 $.1^2 1 0 1 1 0 0 0 0 $.1^2 $.1^2]\n[0 0 0 0 0 0 0 0 $.1 0 0 0 0 0 0 0 0 0 0 0 0 1 $.1^2 $.1^2 0 1 $.1 $.1 $.1 $.1 1\n    1 1 0 0 0 $.1^2 0 1 $.1 $.1 1 $.1 0 $.1 $.1 0 0 0 0 1 1]\n[0 0 0 0 0 0 0 0 0 1 0 0 0 0 0 0 0 0 0 0 0 $.1 1 $.1^2 $.1^2 $.1 0 0 1 0 0 $.1 \n    $.1^2 $.1^2 1 $.1^2 $.1^2 1 $.1 0 1 $.1^2 1 $.1 $.1 $.1^2 1 0 1 1 $.1^2 1]\n[0 0 0 0 0 0 0 0 0 $.1 0 0 0 0 0 0 0 0 0 0 0 $.1^2 $.1 1 1 $.1^2 0 0 $.1 0 0 \n    $.1^2 1 1 $.1 1 1 $.1 $.1^2 0 $.1 1 $.1 $.1^2 $.1^2 1 $.1 0 $.1 $.1 1 $.1]\n[0 0 0 0 0 0 0 0 0 0 1 0 0 0 0 0 0 0 0 0 0 $.1 0 0 $.1 1 1 1 0 0 1 1 $.1 $.1^2 \n    $.1 $.1 0 0 $.1^2 1 0 $.1^2 1 $.1 0 0 $.1^2 1 1 0 $.1 $.1^2]\n[0 0 0 0 0 0 0 0 0 0 $.1 0 0 0 0 0 0 0 0 0 0 $.1^2 0 0 $.1^2 $.1 $.1 $.1 0 0 $.1\n    $.1 $.1^2 1 $.1^2 $.1^2 0 0 1 $.1 0 1 $.1 $.1^2 0 0 1 $.1 $.1 0 $.1^2 1]\n[0 0 0 0 0 0 0 0 0 0 0 1 0 0 0 0 0 0 0 0 0 1 $.1^2 $.1^2 $.1^2 $.1^2 $.1^2 $.1 1\n    $.1^2 $.1^2 $.1 1 $.1 0 0 0 $.1 1 1 1 1 $.1 $.1^2 $.1^2 1 0 $.1^2 $.1 $.1 \n    $.1 $.1]\n[0 0 0 0 0 0 0 0 0 0 0 $.1 0 0 0 0 0 0 0 0 0 $.1 1 1 1 1 1 $.1^2 $.1 1 1 $.1^2 \n    $.1 $.1^2 0 0 0 $.1^2 $.1 $.1 $.1 $.1 $.1^2 1 1 $.1 0 1 $.1^2 $.1^2 $.1^2 \n    $.1^2]\n[0 0 0 0 0 0 0 0 0 0 0 0 1 0 0 0 0 0 0 0 0 1 0 0 0 $.1 1 0 $.1 $.1 0 0 $.1 1 1 \n    $.1 $.1 $.1 $.1^2 $.1^2 1 0 0 0 $.1 $.1 1 0 0 1 0 $.1^2]\n[0 0 0 0 0 0 0 0 0 0 0 0 $.1 0 0 0 0 0 0 0 0 $.1 0 0 0 $.1^2 $.1 0 $.1^2 $.1^2 0\n    0 $.1^2 $.1 $.1 $.1^2 $.1^2 $.1^2 1 1 $.1 0 0 0 $.1^2 $.1^2 $.1 0 0 $.1 0 1]\n[0 0 0 0 0 0 0 0 0 0 0 0 0 1 0 0 0 0 0 0 0 0 1 0 0 0 $.1 1 0 $.1 $.1 0 0 $.1 1 1\n    $.1 $.1 $.1 $.1^2 $.1^2 1 0 0 0 $.1 $.1 1 0 0 1 $.1^2]\n[0 0 0 0 0 0 0 0 0 0 0 0 0 $.1 0 0 0 0 0 0 0 0 $.1 0 0 0 $.1^2 $.1 0 $.1^2 $.1^2\n    0 0 $.1^2 $.1 $.1 $.1^2 $.1^2 $.1^2 1 1 $.1 0 0 0 $.1^2 $.1^2 $.1 0 0 $.1 1]\n[0 0 0 0 0 0 0 0 0 0 0 0 0 0 1 0 0 0 0 0 0 $.1^2 $.1^2 $.1^2 $.1 $.1^2 1 0 1 $.1\n    0 0 0 0 0 0 0 $.1^2 1 $.1^2 $.1^2 0 $.1 1 $.1^2 $.1^2 $.1 $.1 $.1^2 $.1 1 0]\n[0 0 0 0 0 0 0 0 0 0 0 0 0 0 $.1 0 0 0 0 0 0 1 1 1 $.1^2 1 $.1 0 $.1 $.1^2 0 0 0\n    0 0 0 0 1 $.1 1 1 0 $.1^2 $.1 1 1 $.1^2 $.1^2 1 $.1^2 $.1 0]\n[0 0 0 0 0 0 0 0 0 0 0 0 0 0 0 1 0 0 0 0 0 $.1^2 0 1 1 1 $.1 $.1^2 0 $.1^2 0 $.1\n    0 0 $.1 1 1 1 0 0 $.1^2 0 $.1^2 $.1^2 $.1 0 $.1^2 $.1 0 1 $.1^2 $.1^2]\n[0 0 0 0 0 0 0 0 0 0 0 0 0 0 0 $.1 0 0 0 0 0 1 0 $.1 $.1 $.1 $.1^2 1 0 1 0 $.1^2\n    0 0 $.1^2 $.1 $.1 $.1 0 0 1 0 1 1 $.1^2 0 1 $.1^2 0 $.1 1 1]\n[0 0 0 0 0 0 0 0 0 0 0 0 0 0 0 0 1 0 0 0 0 $.1 1 1 0 $.1^2 $.1 $.1^2 $.1^2 1 $.1\n    1 $.1 0 1 1 $.1 $.1 $.1^2 $.1^2 0 1 $.1 0 1 0 0 $.1^2 $.1^2 1 $.1 1]\n[0 0 0 0 0 0 0 0 0 0 0 0 0 0 0 0 $.1 0 0 0 0 $.1^2 $.1 $.1 0 1 $.1^2 1 1 $.1 \n    $.1^2 $.1 $.1^2 0 $.1 $.1 $.1^2 $.1^2 1 1 0 $.1 $.1^2 0 $.1 0 0 1 1 $.1 \n    $.1^2 $.1]\n[0 0 0 0 0 0 0 0 0 0 0 0 0 0 0 0 0 1 0 0 0 1 $.1^2 $.1 $.1 1 1 1 $.1^2 0 $.1 1 1\n    $.1 $.1^2 $.1^2 $.1^2 0 $.1^2 1 $.1^2 1 0 0 1 0 0 0 0 0 $.1^2 0]\n[0 0 0 0 0 0 0 0 0 0 0 0 0 0 0 0 0 $.1 0 0 0 $.1 1 $.1^2 $.1^2 $.1 $.1 $.1 1 0 \n    $.1^2 $.1 $.1 $.1^2 1 1 1 0 1 $.1 1 $.1 0 0 $.1 0 0 0 0 0 1 0]\n[0 0 0 0 0 0 0 0 0 0 0 0 0 0 0 0 0 0 1 0 0 $.1 $.1^2 $.1 $.1^2 0 $.1 0 1 $.1 1 \n    $.1^2 1 1 $.1^2 0 0 0 $.1 0 1 1 $.1^2 $.1^2 $.1 $.1^2 0 0 1 1 $.1^2 $.1]\n[0 0 0 0 0 0 0 0 0 0 0 0 0 0 0 0 0 0 $.1 0 0 $.1^2 1 $.1^2 1 0 $.1^2 0 $.1 $.1^2\n    $.1 1 $.1 $.1 1 0 0 0 $.1^2 0 $.1 $.1 1 1 $.1^2 1 0 0 $.1 $.1 1 $.1^2]\n[0 0 0 0 0 0 0 0 0 0 0 0 0 0 0 0 0 0 0 1 0 $.1 0 $.1 $.1^2 1 $.1^2 $.1^2 0 0 \n    $.1^2 0 $.1^2 1 0 0 $.1^2 $.1^2 $.1 1 0 $.1^2 $.1^2 0 1 0 $.1^2 0 1 0 $.1 0]\n[0 0 0 0 0 0 0 0 0 0 0 0 0 0 0 0 0 0 0 $.1 0 $.1^2 0 $.1^2 1 $.1 1 1 0 0 1 0 1 \n    $.1 0 0 1 1 $.1^2 $.1 0 1 1 0 $.1 0 1 0 $.1 0 $.1^2 0]\n[0 0 0 0 0 0 0 0 0 0 0 0 0 0 0 0 0 0 0 0 1 1 $.1^2 $.1^2 1 $.1 $.1^2 0 $.1^2 \n    $.1^2 $.1^2 0 0 $.1^2 $.1 $.1 $.1 1 $.1 0 1 1 $.1 1 1 0 0 $.1^2 $.1^2 $.1 \n    $.1 1]\n[0 0 0 0 0 0 0 0 0 0 0 0 0 0 0 0 0 0 0 0 $.1 $.1 1 1 $.1 $.1^2 1 0 1 1 1 0 0 1 \n    $.1^2 $.1^2 $.1^2 $.1 $.1^2 0 $.1 $.1 $.1^2 $.1 $.1 0 0 1 1 $.1^2 $.1^2 $.1]\nQuantum GF(2)-Additive code over GF(4) of length 52 with 62 generators.\nLower Bound: 1, Upper Bound: 22\nConstructed 2 distinct generator matrices\nTotal Ranks:     31  31 \nRelative Ranks:  31  21 \n(4 4 4 4 4 4 4 4 4 4 4 4 4 4 4 4 4 4 4 4 4 4 4 4 4 4 4 4 4 4 4 )\n(4 4 4 4 4 4 4 4 4 4 4 4 4 4 4 4 4 4 4 4 4 4 4 4 4 4 4 4 4 4 4 )\nTime Taken: 0.01\nStarting search for low weight codewords... (reset timings)\nEnumerating using 1 generator at a time:\n     New codeword identified of weight 14, time 0.00\n     New codeword identified of weight 12, time 0.00\n   Completed Matrix  1:  lower =  2, upper = 12. Elapsed: 0.00s\n   Completed Matrix  2:  lower =  2, upper = 12. Elapsed: 0.00s\nTermination predicted with 10 generators at matrix 2\nEnumerating using 2 generators at a time:\n     New codeword identified of weight 11, time 0.00\n     Discarding non-contributing rank 21 matrix\n     New Total Ranks:     31 \n     New Relative Ranks:  31 \n   Completed Matrix  1: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0.01s\nTermination predicted with 10 generators at matrix 1\nEnumerating using 5 generators at a time:\n   Completed Matrix  1:  lower =  6, upper = 11. Elapsed: 0.24s\nTermination predicted at 16781 s (4h 39m 41s) with 10 generators at matrix 1\nEnumerating using 6 generators at a time:\n   Completed Matrix  1:  lower =  7, upper = 11. Elapsed: 3.20s\nTermination predicted at 16938 s (4h 42m 18s) with 10 generators at matrix 1\nEnumerating using 7 generators at a time:\n   Completed Matrix  1:  lower =  8, upper = 11. Elapsed: 34.86s\nTermination predicted at 16929 s (4h 42m 9s) with 10 generators at matrix 1\nEnumerating using 8 generators at a time:\n   Completed Matrix  1:  lower =  9, upper = 11. Elapsed: 379.69s\nTermination predicted at 20092 s (5h 34m 52s) with 10 generators at matrix 1\nEnumerating using 9 generators at a time:\n   Completed Matrix  1:  lower = 10, upper = 11. Elapsed: 3972.76s\nTermination predicted at 26845 s (7h 27m 25s) with 10 generators at matrix 1\nEnumerating using 10 generators at a time:\n</t>
  </si>
  <si>
    <t>846.8566217500484</t>
  </si>
  <si>
    <t>Magma V2.28-26    Wed Jan  7 2026 00:18:09 on Marks-MacBook-Air-2 [Seed = \n2294040285]\nType ? for help.  Type &lt;Ctrl&gt;-D to quit.\n[1 0 0 0 0 0 0 0 0 0 0 0 0 0 0 0 0 0 0 0 0 0 0 0 0 0 0 0 0 0 0 0 0 0 0 0 0 0 0 0\n    0 0 0 0 0 0 0 1 0 1 0 1 1 0 0 1 1 0 0 1 1 0 1 1 1 0 0 1 0 0 0 0 0 1 0 0 0 1 \n    1 0 0 1 0 0 1 0 0 0 0 0 0 0 0 0 0 0 0 1 0 0 1 0 0 1 1 1]\n[0 1 0 0 0 0 0 0 0 0 0 0 0 0 0 0 0 0 0 0 0 0 0 0 0 0 0 0 0 0 0 0 0 0 0 0 0 0 0 0\n    0 0 0 0 0 0 1 0 0 0 0 0 1 1 0 0 0 0 1 0 1 1 1 0 1 1 0 0 1 0 1 1 0 0 1 0 0 1 \n    1 1 1 0 0 0 0 1 0 1 0 1 1 1 0 1 0 0 1 0 0 0 1 1 0 1 0 1]\n[0 0 1 0 0 0 0 0 0 0 0 0 0 0 0 0 0 0 0 0 0 0 0 0 0 0 0 0 0 0 0 0 0 0 0 0 0 0 0 0\n    0 0 0 0 0 0 0 1 0 1 0 0 0 1 1 1 0 1 1 1 0 0 0 0 0 0 0 0 1 1 0 1 1 1 0 0 0 1 \n    1 0 0 0 0 0 1 1 1 1 0 1 1 1 0 0 1 0 0 0 1 0 1 1 1 0 1 0]\n[0 0 0 1 0 0 0 0 0 0 0 0 0 0 0 0 0 0 0 0 0 0 0 0 0 0 0 0 0 0 0 0 0 0 0 0 0 0 0 0\n    0 0 0 0 0 0 0 0 0 0 1 0 0 1 1 1 0 1 0 1 1 0 1 1 0 1 0 0 0 0 1 0 1 1 0 0 1 0 \n    1 0 0 0 0 1 1 1 0 0 0 0 0 0 1 1 1 1 0 0 1 1 1 0 0 1 1 1]\n[0 0 0 0 1 0 0 0 0 0 0 0 0 0 0 0 0 0 0 0 0 0 0 0 0 0 0 0 0 0 0 0 0 0 0 0 0 0 0 0\n    0 0 0 0 0 0 0 1 0 1 1 0 0 1 1 1 0 1 0 0 1 0 1 0 1 1 1 0 0 0 1 1 1 0 1 0 1 1 \n    1 0 0 0 0 1 1 0 0 1 0 0 1 1 0 1 0 0 0 1 1 1 0 1 0 1 1 0]\n[0 0 0 0 0 1 0 0 0 0 0 0 0 0 0 0 0 0 0 0 0 0 0 0 0 0 0 0 0 0 0 0 0 0 0 0 0 0 0 0\n    0 0 0 0 0 0 1 0 0 1 0 0 0 1 1 0 0 0 0 0 0 0 0 1 1 0 1 0 0 1 0 0 1 0 0 0 0 1 \n    1 0 1 1 0 1 0 0 0 0 1 1 0 0 1 1 0 0 0 0 1 0 0 0 0 1 1 0]\n[0 0 0 0 0 0 1 0 0 0 0 0 0 0 0 0 0 0 0 0 0 0 0 0 0 0 0 0 0 0 0 0 0 0 0 0 0 0 0 0\n    0 0 0 0 0 0 1 0 0 1 1 1 0 1 0 1 1 0 0 0 0 1 0 1 0 1 1 1 1 0 1 1 0 0 1 1 1 1 \n    0 1 1 1 0 0 1 1 0 0 0 1 1 1 0 0 1 0 1 1 1 0 0 1 0 1 1 1]\n[0 0 0 0 0 0 0 1 0 0 0 0 0 0 0 0 0 0 0 0 0 0 0 0 0 0 0 0 0 0 0 0 0 0 0 0 0 0 0 0\n    0 0 0 0 0 0 0 1 0 1 1 1 0 1 1 1 0 1 1 1 1 0 1 0 1 0 0 0 1 1 1 1 0 0 1 1 0 0 \n    0 1 0 1 1 1 1 1 1 0 0 1 1 1 1 0 0 0 1 1 1 1 0 1 0 0 0 1]\n[0 0 0 0 0 0 0 0 1 0 0 0 0 0 0 0 0 0 0 0 0 0 0 0 0 0 0 0 0 0 0 0 0 0 0 0 0 0 0 0\n    0 0 0 0 0 0 1 1 0 0 0 1 0 1 1 1 1 1 1 1 1 0 1 0 1 0 1 0 1 0 1 0 0 1 0 0 1 1 \n    0 1 1 0 1 1 1 1 0 1 1 0 0 1 0 1 0 0 1 0 0 0 1 0 0 0 1 1]\n[0 0 0 0 0 0 0 0 0 1 0 0 0 0 0 0 0 0 0 0 0 0 0 0 0 0 0 0 0 0 0 0 0 0 0 0 0 0 0 0\n    0 0 0 0 0 0 0 1 0 1 1 0 1 1 1 0 0 0 0 0 1 1 1 0 1 1 1 1 0 1 1 0 1 1 0 0 1 0 \n    1 0 1 0 1 0 0 1 0 1 1 1 1 0 0 0 1 0 1 0 1 1 0 1 0 0 1 0]\n[0 0 0 0 0 0 0 0 0 0 1 0 0 0 0 0 0 0 0 0 0 0 0 0 0 0 0 0 0 0 0 0 0 0 0 0 0 0 0 0\n    0 0 0 0 0 0 1 1 0 0 1 1 0 1 0 0 0 0 0 0 1 0 1 1 0 0 0 0 0 0 0 0 0 0 0 0 1 1 \n    1 0 1 0 1 0 0 1 0 1 0 1 0 0 0 1 1 1 1 0 1 0 1 0 1 1 1 0]\n[0 0 0 0 0 0 0 0 0 0 0 1 0 0 0 0 0 0 0 0 0 0 0 0 0 0 0 0 0 0 0 0 0 0 0 0 0 0 0 0\n    0 0 0 0 0 0 1 0 0 0 0 0 0 0 0 1 0 0 0 0 0 1 0 1 1 0 0 0 1 1 0 1 0 0 0 0 1 1 \n    0 0 0 0 0 0 0 1 0 1 1 1 0 1 0 1 1 0 1 1 0 1 1 1 0 1 0 0]\n[0 0 0 0 0 0 0 0 0 0 0 0 1 0 0 0 0 0 0 0 0 0 0 0 0 0 0 0 0 0 0 0 0 0 0 0 0 0 0 0\n    0 0 0 0 0 0 0 1 0 1 1 0 1 1 0 1 0 1 1 0 1 0 0 1 0 0 0 0 1 1 1 0 1 0 1 1 0 1 \n    0 0 1 1 0 1 0 0 0 1 0 1 0 0 1 0 1 0 0 1 1 0 1 0 0 0 1 0]\n[0 0 0 0 0 0 0 0 0 0 0 0 0 1 0 0 0 0 0 0 0 0 0 0 0 0 0 0 0 0 0 0 0 0 0 0 0 0 0 0\n    0 0 0 0 0 0 1 0 0 0 0 0 1 1 0 1 0 1 0 0 0 1 1 1 0 1 0 0 1 1 1 0 0 0 0 0 1 0 \n    0 1 0 1 1 1 1 0 1 0 1 1 1 0 1 0 0 1 1 1 1 1 1 0 0 0 1 0]\n[0 0 0 0 0 0 0 0 0 0 0 0 0 0 1 0 0 0 0 0 0 0 0 0 0 0 0 0 0 0 0 0 0 0 0 0 0 0 0 0\n    0 0 0 0 0 0 0 0 0 0 0 0 0 0 0 0 0 0 1 0 0 1 0 1 1 1 0 0 1 0 1 0 1 0 0 1 0 1 \n    0 0 0 1 0 1 0 1 0 1 1 1 0 1 0 0 1 1 1 0 0 1 0 1 0 0 0 1]\n[0 0 0 0 0 0 0 0 0 0 0 0 0 0 0 1 0 0 0 0 0 0 0 0 0 0 0 0 0 0 0 0 0 0 0 0 0 0 0 0\n    0 0 0 0 0 0 1 0 0 1 1 1 0 1 0 0 0 1 0 0 0 1 0 1 1 0 1 0 0 1 1 1 0 0 0 0 1 0 \n    1 0 1 1 0 1 1 1 0 1 1 1 0 0 0 0 0 1 1 1 0 0 1 0 0 1 0 0]\n[0 0 0 0 0 0 0 0 0 0 0 0 0 0 0 0 1 0 0 0 0 0 0 0 0 0 0 0 0 0 0 0 0 0 0 0 0 0 0 0\n    0 0 0 0 0 0 0 1 0 1 0 1 1 0 0 1 0 1 1 0 0 1 0 0 0 1 1 1 0 0 1 0 1 0 1 1 1 0 \n    1 0 1 0 0 0 1 0 0 0 0 1 1 0 0 0 0 1 1 0 1 0 0 0 1 1 0 0]\n[0 0 0 0 0 0 0 0 0 0 0 0 0 0 0 0 0 1 0 0 0 0 0 0 0 0 0 0 0 0 0 0 0 0 0 0 0 0 0 0\n    0 0 0 0 0 0 0 0 0 1 0 0 1 0 1 1 0 1 0 1 1 1 1 0 1 1 0 0 0 1 1 0 1 1 1 1 0 1 \n    1 0 0 0 1 0 1 0 0 0 0 0 0 1 1 0 0 1 1 0 1 1 1 1 1 0 1 0]\n[0 0 0 0 0 0 0 0 0 0 0 0 0 0 0 0 0 0 1 0 0 0 0 0 0 0 0 0 0 0 0 0 0 0 0 0 0 0 0 0\n    0 0 0 0 0 0 1 1 0 0 1 0 0 1 0 1 0 1 0 1 1 0 0 0 0 0 1 1 0 0 0 0 0 0 0 1 1 0 \n    1 0 0 1 0 0 0 1 1 0 1 1 1 1 0 0 1 0 1 0 0 0 0 0 1 1 1 1]\n[0 0 0 0 0 0 0 0 0 0 0 0 0 0 0 0 0 0 0 1 0 0 0 0 0 0 0 0 0 0 0 0 0 0 0 0 0 0 0 0\n    0 0 0 0 0 0 1 1 0 1 1 0 1 0 0 1 0 0 0 1 1 0 0 0 1 0 1 1 1 0 1 0 1 0 1 1 0 1 \n    0 1 0 1 1 1 1 1 1 0 0 1 1 1 0 1 0 0 0 0 1 0 0 1 0 1 0 1]\n[0 0 0 0 0 0 0 0 0 0 0 0 0 0 0 0 0 0 0 0 1 0 0 0 0 0 0 0 0 0 0 0 0 0 0 0 0 0 0 0\n    0 0 0 0 0 0 0 0 0 0 0 1 1 0 1 0 1 1 0 1 1 0 1 0 1 0 1 1 1 1 1 1 1 1 1 1 1 1 \n    0 0 0 0 1 1 0 1 1 0 1 1 1 1 1 1 0 0 0 0 0 1 0 0 0 0 0 1]\n[0 0 0 0 0 0 0 0 0 0 0 0 0 0 0 0 0 0 0 0 0 1 0 0 0 0 0 0 0 0 0 0 0 0 0 0 0 0 0 0\n    0 0 0 0 0 0 1 0 0 1 1 0 0 1 0 0 0 0 1 1 0 0 0 0 0 0 1 1 0 1 1 1 1 1 0 0 0 1 \n    0 0 0 1 1 1 0 1 0 0 1 1 1 1 1 1 1 0 0 1 1 0 1 0 0 0 1 0]\n[0 0 0 0 0 0 0 0 0 0 0 0 0 0 0 0 0 0 0 0 0 0 1 0 0 0 0 0 0 0 0 0 0 0 0 0 0 0 0 0\n    0 0 0 0 0 0 0 1 0 1 0 1 1 1 1 1 1 1 0 0 0 0 1 0 0 1 1 0 0 0 0 1 1 0 1 0 1 1 \n    1 1 1 1 1 0 1 1 1 0 0 0 1 1 1 1 1 0 1 0 0 1 0 1 0 0 0 0]\n[0 0 0 0 0 0 0 0 0 0 0 0 0 0 0 0 0 0 0 0 0 0 0 1 0 0 0 0 0 0 0 0 0 0 0 0 0 0 0 0\n    0 0 0 0 0 0 0 0 0 0 1 0 1 0 1 1 1 1 1 1 0 1 1 1 0 0 0 1 0 0 1 0 0 1 0 1 1 1 \n    1 0 0 1 1 1 1 1 0 0 0 1 1 0 1 1 0 1 0 0 0 0 1 1 0 0 0 1]\n[0 0 0 0 0 0 0 0 0 0 0 0 0 0 0 0 0 0 0 0 0 0 0 0 1 0 0 0 0 0 0 0 0 0 0 0 0 0 0 0\n    0 0 0 0 0 0 0 0 0 1 0 1 0 1 0 0 1 1 0 0 1 1 0 0 0 1 0 1 0 0 0 1 1 1 0 0 1 1 \n    0 0 1 1 0 1 1 0 0 0 0 0 1 0 1 1 0 0 0 1 1 1 0 0 1 0 0 0]\n[0 0 0 0 0 0 0 0 0 0 0 0 0 0 0 0 0 0 0 0 0 0 0 0 0 1 0 0 0 0 0 0 0 0 0 0 0 0 0 0\n    0 0 0 0 0 0 1 1 0 1 1 1 0 1 1 1 0 0 0 0 1 0 1 0 1 0 1 1 1 0 0 1 1 1 0 1 1 1 \n    1 0 0 0 1 1 1 1 0 1 1 1 0 0 0 0 0 1 0 1 0 0 0 0 1 1 0 0]\n[0 0 0 0 0 0 0 0 0 0 0 0 0 0 0 0 0 0 0 0 0 0 0 0 0 0 1 0 0 0 0 0 0 0 0 0 0 0 0 0\n    0 0 0 0 0 0 1 0 0 1 0 1 1 0 0 0 1 0 1 0 0 0 1 1 0 0 1 0 1 1 1 1 0 0 1 0 0 0 \n    1 1 0 1 1 1 1 1 0 0 0 1 0 0 1 1 0 1 0 0 1 1 1 1 1 0 1 1]\n[0 0 0 0 0 0 0 0 0 0 0 0 0 0 0 0 0 0 0 0 0 0 0 0 0 0 0 1 0 0 0 0 0 0 0 0 0 0 0 0\n    0 0 0 0 0 0 1 1 0 1 0 1 1 0 1 1 1 1 0 1 0 1 0 0 0 0 1 0 0 1 0 0 0 1 1 1 1 0 \n    1 0 0 1 0 0 0 0 1 1 0 0 1 0 1 1 1 1 0 1 1 0 0 0 0 1 1 0]\n[0 0 0 0 0 0 0 0 0 0 0 0 0 0 0 0 0 0 0 0 0 0 0 0 0 0 0 0 1 0 0 0 0 0 0 0 0 0 0 0\n    0 0 0 0 0 0 1 1 0 0 1 0 1 1 0 0 1 0 1 0 0 1 0 0 1 1 0 1 0 0 0 0 0 0 0 1 1 0 \n    0 1 1 0 1 0 1 0 0 1 1 0 1 0 0 0 1 0 1 1 1 0 0 1 1 1 1 1]\n[0 0 0 0 0 0 0 0 0 0 0 0 0 0 0 0 0 0 0 0 0 0 0 0 0 0 0 0 0 1 0 0 0 0 0 0 0 0 0 0\n    0 0 0 0 0 0 1 0 0 1 0 1 1 1 1 0 0 1 0 1 1 1 0 0 1 0 1 0 1 0 1 1 1 0 0 1 1 0 \n    0 1 0 0 0 1 0 1 1 1 0 0 1 1 0 0 0 1 0 1 1 0 1 1 1 1 1 0]\n[0 0 0 0 0 0 0 0 0 0 0 0 0 0 0 0 0 0 0 0 0 0 0 0 0 0 0 0 0 0 1 0 0 0 0 0 0 0 0 0\n    0 0 0 0 0 0 1 1 0 1 0 0 0 0 0 1 0 0 0 0 0 0 1 1 1 0 0 0 0 0 1 0 0 0 0 0 1 1 \n    1 1 0 0 0 1 0 0 0 1 1 1 0 1 1 1 1 1 1 1 1 1 1 1 0 1 0 0]\n[0 0 0 0 0 0 0 0 0 0 0 0 0 0 0 0 0 0 0 0 0 0 0 0 0 0 0 0 0 0 0 1 0 0 0 0 0 0 0 0\n    0 0 0 0 0 0 1 0 0 1 1 0 1 1 1 0 1 0 1 0 0 0 0 1 1 1 1 0 1 1 0 0 1 0 1 0 1 0 \n    1 0 0 1 0 1 1 0 1 1 1 1 1 0 1 1 1 0 1 1 0 1 1 0 1 1 0 0]\n[0 0 0 0 0 0 0 0 0 0 0 0 0 0 0 0 0 0 0 0 0 0 0 0 0 0 0 0 0 0 0 0 1 0 0 0 0 0 0 0\n    0 0 0 0 0 0 0 0 0 0 1 1 1 0 0 1 1 0 0 1 0 0 0 1 1 1 0 0 1 0 0 0 0 0 1 0 1 1 \n    1 1 0 1 1 1 0 1 1 1 1 0 1 1 0 1 0 1 1 0 1 1 0 0 1 1 0 0]\n[0 0 0 0 0 0 0 0 0 0 0 0 0 0 0 0 0 0 0 0 0 0 0 0 0 0 0 0 0 0 0 0 0 1 0 0 0 0 0 0\n    0 0 0 0 0 0 1 1 0 1 1 1 1 0 0 1 0 1 1 1 1 1 1 1 1 1 1 0 0 0 0 0 0 0 0 0 0 1 \n    0 1 1 0 1 0 0 0 1 0 0 1 1 0 1 0 0 0 1 1 0 0 0 1 1 1 0 1]\n[0 0 0 0 0 0 0 0 0 0 0 0 0 0 0 0 0 0 0 0 0 0 0 0 0 0 0 0 0 0 0 0 0 0 1 0 0 0 0 0\n    0 0 0 0 0 0 1 1 0 0 0 1 1 0 1 0 1 1 1 0 1 0 0 0 0 0 1 1 0 1 1 0 1 0 1 0 0 1 \n    1 0 0 0 1 1 1 1 0 1 1 1 0 1 1 0 1 1 0 1 0 1 0 1 1 1 1 1]\n[0 0 0 0 0 0 0 0 0 0 0 0 0 0 0 0 0 0 0 0 0 0 0 0 0 0 0 0 0 0 0 0 0 0 0 1 0 0 0 0\n    0 0 0 0 0 0 0 1 0 1 0 0 0 1 0 0 0 1 1 0 0 1 1 0 0 1 1 1 0 1 1 1 0 1 1 0 1 0 \n    0 0 0 0 0 0 1 1 0 0 0 0 0 0 0 1 0 0 0 0 0 0 0 1 0 1 1 1]\n[0 0 0 0 0 0 0 0 0 0 0 0 0 0 0 0 0 0 0 0 0 0 0 0 0 0 0 0 0 0 0 0 0 0 0 0 1 0 0 0\n    0 0 0 0 0 0 0 1 0 0 1 0 1 0 1 0 0 0 1 1 1 1 1 1 1 0 1 0 1 1 1 1 1 1 0 1 1 1 \n    1 1 0 1 0 1 0 1 1 1 0 0 0 1 0 1 1 1 1 1 0 0 1 0 1 1 0 1]\n[0 0 0 0 0 0 0 0 0 0 0 0 0 0 0 0 0 0 0 0 0 0 0 0 0 0 0 0 0 0 0 0 0 0 0 0 0 1 0 0\n    0 0 0 0 0 0 1 1 0 1 0 0 1 1 1 0 1 1 0 0 0 1 1 1 0 0 1 0 1 1 1 0 1 1 0 1 1 1 \n    0 0 0 0 1 1 0 1 0 0 0 0 0 1 0 1 1 0 1 1 1 0 1 0 0 0 0 0]\n[0 0 0 0 0 0 0 0 0 0 0 0 0 0 0 0 0 0 0 0 0 0 0 0 0 0 0 0 0 0 0 0 0 0 0 0 0 0 1 0\n    0 0 0 0 0 0 1 1 0 1 0 0 0 0 0 0 0 1 1 1 0 1 1 1 0 1 0 0 1 0 1 0 0 0 1 1 0 1 \n    0 0 0 0 0 1 1 1 1 1 1 1 1 0 1 1 0 1 0 1 0 1 1 0 0 0 1 1]\n[0 0 0 0 0 0 0 0 0 0 0 0 0 0 0 0 0 0 0 0 0 0 0 0 0 0 0 0 0 0 0 0 0 0 0 0 0 0 0 1\n    0 0 0 0 0 0 0 0 0 1 0 0 0 1 1 0 1 1 1 1 1 0 0 1 0 1 0 0 1 0 1 0 0 1 1 0 0 1 \n    1 0 0 1 1 0 1 1 1 1 1 1 0 0 0 1 1 0 0 1 0 0 1 1 0 0 1 1]\n[0 0 0 0 0 0 0 0 0 0 0 0 0 0 0 0 0 0 0 0 0 0 0 0 0 0 0 0 0 0 0 0 0 0 0 0 0 0 0 0\n    1 0 0 0 0 0 0 1 0 0 1 0 1 0 1 1 1 1 1 1 1 1 1 0 0 0 0 1 1 0 1 0 1 1 0 0 0 0 \n    0 1 0 0 0 0 1 0 1 0 1 1 1 0 1 0 0 0 1 1 1 1 0 0 0 1 1 0]\n[0 0 0 0 0 0 0 0 0 0 0 0 0 0 0 0 0 0 0 0 0 0 0 0 0 0 0 0 0 0 0 0 0 0 0 0 0 0 0 0\n    0 1 0 0 0 0 0 0 0 1 0 0 1 0 1 1 1 0 0 0 0 1 0 1 0 0 0 0 0 0 1 1 1 1 0 0 1 1 \n    1 0 1 0 1 1 0 0 1 0 0 1 0 1 1 0 1 1 0 0 0 1 0 0 1 1 1 1]\n[0 0 0 0 0 0 0 0 0 0 0 0 0 0 0 0 0 0 0 0 0 0 0 0 0 0 0 0 0 0 0 0 0 0 0 0 0 0 0 0\n    0 0 1 0 0 0 1 1 0 1 0 1 0 1 1 0 0 1 0 1 1 1 0 1 1 0 0 0 0 1 0 0 1 1 1 0 1 1 \n    1 0 0 1 1 1 1 1 1 0 0 1 0 0 0 0 1 1 1 1 1 1 1 0 0 0 1 1]\n[0 0 0 0 0 0 0 0 0 0 0 0 0 0 0 0 0 0 0 0 0 0 0 0 0 0 0 0 0 0 0 0 0 0 0 0 0 0 0 0\n    0 0 0 1 0 0 1 0 0 1 0 0 1 1 1 1 0 1 1 1 1 1 0 1 1 0 1 1 0 0 1 0 0 0 1 0 1 0 \n    0 0 1 0 0 1 0 1 0 0 1 1 0 1 1 0 1 0 1 1 0 1 0 0 0 0 0 0]\n[0 0 0 0 0 0 0 0 0 0 0 0 0 0 0 0 0 0 0 0 0 0 0 0 0 0 0 0 0 0 0 0 0 0 0 0 0 0 0 0\n    0 0 0 0 1 0 0 1 0 1 1 1 1 1 1 1 0 1 1 1 0 0 1 1 1 1 1 1 0 0 0 1 0 1 0 0 0 1 \n    1 1 1 0 0 1 1 0 0 0 1 0 0 0 1 0 1 0 0 0 0 0 1 1 1 0 0 0]\n[0 0 0 0 0 0 0 0 0 0 0 0 0 0 0 0 0 0 0 0 0 0 0 0 0 0 0 0 0 0 0 0 0 0 0 0 0 0 0 0\n    0 0 0 0 0 1 1 1 0 1 1 1 1 1 0 1 0 1 0 0 1 0 1 0 1 1 1 0 0 0 1 0 1 0 0 0 1 1 \n    0 1 0 0 0 1 0 0 0 1 0 1 0 1 0 1 1 1 1 1 0 0 0 1 1 0 1 1]\n[0 0 0 0 0 0 0 0 0 0 0 0 0 0 0 0 0 0 0 0 0 0 0 0 0 0 0 0 0 0 0 0 0 0 0 0 0 0 0 0\n    0 0 0 0 0 0 0 0 1 1 0 0 0 0 1 1 1 1 1 1 1 0 0 0 0 1 0 1 0 1 1 0 1 1 0 1 1 1 \n    0 0 1 0 0 1 0 1 0 1 0 0 1 0 1 1 0 0 0 1 0 1 1 0 0 1 0 1]\n[[53, 6]] quantum code over GF(2^2), stabilised by:\n[1 0 0 0 0 0 0 0 0 0 0 0 0 0 0 0 0 0 0 0 0 0 0 0 0 0 1 $.1 1 $.1^2 1 $.1^2 $.1 0\n    1 $.1^2 $.1^2 1 1 1 1 1 $.1^2 $.1^2 $.1^2 $.1^2 1 0 $.1^2 $.1^2 $.1 1 1]\n[$.1 0 0 0 0 0 0 0 0 0 0 0 0 0 0 0 0 0 0 0 0 0 0 0 0 0 $.1 $.1^2 $.1 1 $.1 1 \n    $.1^2 0 $.1 1 1 $.1 $.1 $.1 $.1 $.1 1 1 1 1 $.1 0 1 1 $.1^2 $.1 $.1]\n[0 1 0 0 0 0 0 0 0 0 0 0 0 0 0 0 0 0 0 0 0 0 0 0 0 $.1 $.1^2 $.1^2 0 $.1^2 1 \n    $.1^2 1 $.1 1 $.1^2 0 $.1^2 $.1^2 $.1 $.1^2 $.1^2 0 0 1 $.1 1 0 $.1 $.1 0 0 \n    1]\n[0 $.1 0 0 0 0 0 0 0 0 0 0 0 0 0 0 0 0 0 0 0 0 0 $.1 0 $.1^2 1 1 0 $.1 0 1 1 1 1\n    0 $.1^2 $.1^2 $.1^2 0 1 0 1 1 1 0 $.1 0 1 1 $.1^2 0 $.1^2]\n[0 0 1 0 0 0 0 0 0 0 0 0 0 0 0 0 0 0 0 0 0 0 0 $.1 $.1^2 $.1 $.1 $.1^2 $.1^2 \n    $.1^2 $.1 1 $.1 $.1^2 1 1 1 0 0 1 1 $.1^2 $.1 1 $.1 0 1 $.1 $.1 $.1 1 $.1^2 \n    $.1]\n[0 0 $.1 0 0 0 0 0 0 0 0 0 0 0 0 0 0 0 0 0 0 0 0 $.1 1 $.1^2 $.1^2 1 1 $.1^2 $.1\n    $.1 1 0 0 1 0 1 1 0 $.1 $.1 0 1 1 $.1 $.1 $.1^2 $.1 $.1 0 1 0]\n[0 0 0 1 0 0 0 0 0 0 0 0 0 0 0 0 0 0 0 0 0 0 0 0 $.1^2 $.1 $.1^2 1 1 1 $.1^2 1 1\n    0 $.1 $.1 1 $.1 $.1^2 1 1 1 $.1^2 $.1^2 1 1 0 $.1^2 $.1^2 0 $.1 $.1 0]\n[0 0 0 $.1 0 0 0 0 0 0 0 0 0 0 0 0 0 0 0 0 0 0 0 0 1 $.1^2 1 $.1 $.1 $.1 1 $.1 \n    $.1 0 $.1^2 $.1^2 $.1 $.1^2 1 $.1 $.1 $.1 1 1 $.1 $.1 0 1 1 0 $.1^2 $.1^2 0]\n[0 0 0 0 1 0 0 0 0 0 0 0 0 0 0 0 0 0 0 0 0 0 0 $.1 $.1^2 1 $.1^2 $.1 0 $.1^2 \n    $.1^2 $.1^2 1 1 1 0 0 1 $.1 1 1 $.1^2 $.1^2 $.1^2 $.1 $.1^2 1 1 1 1 $.1^2 \n    $.1^2 1]\n[0 0 0 0 $.1 0 0 0 0 0 0 0 0 0 0 0 0 0 0 0 0 0 0 0 1 $.1 1 $.1^2 0 0 $.1 1 $.1^2\n    1 $.1^2 $.1 1 1 0 $.1^2 $.1 $.1^2 $.1^2 $.1^2 $.1 0 $.1 $.1 1 1 0 1 0]\n[0 0 0 0 0 1 0 0 0 0 0 0 0 0 0 0 0 0 0 0 0 0 0 $.1 0 $.1 $.1 0 $.1^2 $.1 0 0 0 0\n    1 1 $.1 0 $.1^2 $.1^2 0 1 1 $.1^2 0 $.1 $.1 $.1^2 0 $.1^2 $.1^2 0 $.1]\n[0 0 0 0 0 $.1 0 0 0 0 0 0 0 0 0 0 0 0 0 0 0 0 0 $.1 0 $.1^2 $.1^2 0 1 1 1 0 $.1\n    1 0 1 1 1 0 $.1^2 0 1 1 $.1 $.1 1 $.1^2 1 1 0 $.1^2 0 0]\n[0 0 0 0 0 0 1 0 0 0 0 0 0 0 0 0 0 0 0 0 0 0 0 $.1 $.1^2 $.1^2 $.1 $.1^2 0 $.1^2\n    0 1 $.1 $.1^2 $.1^2 0 $.1^2 1 $.1^2 1 0 0 0 $.1 $.1^2 $.1 $.1^2 0 1 0 $.1 0 \n    $.1]\n[0 0 0 0 0 0 $.1 0 0 0 0 0 0 0 0 0 0 0 0 0 0 0 0 $.1 1 1 $.1^2 1 0 $.1^2 1 $.1 1\n    0 $.1^2 $.1^2 $.1^2 $.1^2 0 0 0 $.1^2 $.1^2 0 $.1^2 1 1 0 $.1^2 1 1 0 0]\n[0 0 0 0 0 0 0 1 0 0 0 0 0 0 0 0 0 0 0 0 0 0 0 0 $.1^2 1 $.1 0 $.1^2 1 $.1^2 1 \n    $.1^2 $.1 $.1 $.1^2 $.1 $.1 $.1 $.1 1 $.1^2 $.1^2 $.1^2 $.1 1 $.1 0 0 1 \n    $.1^2 $.1^2 0]\n[0 0 0 0 0 0 0 $.1 0 0 0 0 0 0 0 0 0 0 0 0 0 0 0 0 1 $.1 $.1^2 0 1 $.1 1 $.1 1 \n    $.1^2 $.1^2 1 $.1^2 $.1^2 $.1^2 $.1^2 $.1 1 1 1 $.1^2 $.1 $.1^2 0 0 $.1 1 1 \n    0]\n[0 0 0 0 0 0 0 0 1 0 0 0 0 0 0 0 0 0 0 0 0 0 0 0 $.1 0 1 1 0 $.1 1 1 $.1 $.1 1 \n    $.1^2 0 $.1 $.1^2 $.1 $.1 1 $.1^2 $.1^2 $.1^2 0 1 $.1 $.1 $.1 0 0 $.1^2]\n[0 0 0 0 0 0 0 0 $.1 0 0 0 0 0 0 0 0 0 0 0 0 0 0 0 $.1^2 0 $.1 $.1 0 $.1^2 $.1 \n    $.1 $.1^2 $.1^2 $.1 1 0 $.1^2 1 $.1^2 $.1^2 $.1 1 1 1 0 $.1 $.1^2 $.1^2 \n    $.1^2 0 0 1]\n[0 0 0 0 0 0 0 0 0 1 0 0 0 0 0 0 0 0 0 0 0 0 0 $.1 $.1^2 $.1 $.1 0 $.1^2 $.1^2 \n    $.1 1 $.1^2 0 $.1 $.1^2 1 $.1 0 $.1 0 $.1^2 $.1^2 0 $.1^2 0 $.1 0 $.1^2 1 0 \n    1 0]\n[0 0 0 0 0 0 0 0 0 $.1 0 0 0 0 0 0 0 0 0 0 0 0 0 0 1 $.1^2 $.1^2 0 1 0 0 $.1 0 \n    $.1^2 $.1 $.1^2 $.1^2 0 $.1^2 $.1 0 $.1^2 $.1^2 $.1 0 1 $.1^2 0 $.1 1 1 $.1 \n    $.1]\n[0 0 0 0 0 0 0 0 0 0 1 0 0 0 0 0 0 0 0 0 0 0 0 0 $.1^2 1 $.1^2 $.1 $.1^2 $.1^2 \n    $.1 $.1 1 $.1^2 $.1^2 $.1^2 0 1 0 0 $.1^2 1 0 $.1 $.1 1 1 1 $.1 $.1^2 1 \n    $.1^2 $.1]\n[0 0 0 0 0 0 0 0 0 0 $.1 0 0 0 0 0 0 0 0 0 0 0 0 $.1 1 $.1 1 $.1^2 1 $.1 1 $.1^2\n    1 $.1^2 $.1 0 $.1^2 0 $.1 $.1^2 1 $.1^2 1 $.1 0 1 $.1 $.1 1 $.1^2 1 1 $.1]\n[0 0 0 0 0 0 0 0 0 0 0 1 0 0 0 0 0 0 0 0 0 0 0 0 $.1^2 $.1 1 $.1^2 0 0 $.1 0 $.1\n    0 $.1 $.1^2 0 $.1^2 0 0 $.1^2 $.1^2 $.1^2 $.1 $.1^2 1 0 $.1^2 $.1 $.1^2 \n    $.1^2 $.1 $.1^2]\n[0 0 0 0 0 0 0 0 0 0 0 $.1 0 0 0 0 0 0 0 0 0 0 0 $.1 1 $.1^2 $.1 1 0 $.1^2 1 0 0\n    $.1 0 0 $.1^2 $.1^2 $.1 $.1^2 1 0 0 $.1 $.1 1 0 1 1 $.1^2 $.1 $.1^2 0]\n[0 0 0 0 0 0 0 0 0 0 0 0 1 0 0 0 0 0 0 0 0 0 0 $.1 1 $.1 $.1^2 0 $.1 $.1^2 1 $.1\n    $.1 0 $.1^2 $.1 1 $.1^2 1 $.1^2 $.1^2 1 0 1 $.1^2 $.1^2 $.1 1 $.1^2 1 $.1^2 \n    $.1 1]\n[0 0 0 0 0 0 0 0 0 0 0 0 $.1 0 0 0 0 0 0 0 0 0 0 0 $.1 $.1^2 1 0 $.1^2 0 1 $.1^2\n    $.1 $.1^2 0 1 $.1^2 $.1 1 0 1 0 $.1 0 0 0 $.1^2 $.1 $.1 1 0 $.1^2 0]\n[0 0 0 0 0 0 0 0 0 0 0 0 0 1 0 0 0 0 0 0 0 0 0 0 1 0 0 $.1^2 1 0 0 $.1 $.1 0 1 1\n    $.1^2 $.1 $.1 $.1 0 $.1^2 0 $.1^2 $.1 1 0 $.1 1 1 $.1^2 $.1 $.1]\n[0 0 0 0 0 0 0 0 0 0 0 0 0 $.1 0 0 0 0 0 0 0 0 0 $.1 $.1 0 0 1 $.1 $.1^2 $.1 \n    $.1^2 0 $.1 1 $.1^2 $.1 1 1 0 0 0 1 0 0 1 0 $.1^2 0 0 $.1 $.1^2 $.1]\n[0 0 0 0 0 0 0 0 0 0 0 0 0 0 1 0 0 0 0 0 0 0 0 $.1 $.1^2 0 $.1 0 $.1 1 $.1 0 0 1\n    $.1^2 $.1^2 $.1^2 $.1^2 $.1 $.1 $.1 $.1^2 0 $.1 $.1^2 $.1^2 1 1 $.1 0 0 $.1 \n    $.1]\n[0 0 0 0 0 0 0 0 0 0 0 0 0 0 $.1 0 0 0 0 0 0 0 0 $.1 1 0 $.1^2 0 $.1^2 0 $.1 0 \n    $.1 $.1^2 $.1^2 $.1 $.1^2 0 $.1 1 $.1^2 $.1 $.1^2 0 $.1^2 $.1^2 $.1 $.1 $.1 \n    1 $.1 $.1^2 0]\n[0 0 0 0 0 0 0 0 0 0 0 0 0 0 0 1 0 0 0 0 0 0 0 0 $.1 $.1^2 0 $.1^2 $.1^2 1 $.1 0\n    1 $.1 0 $.1^2 1 $.1^2 0 $.1 1 $.1^2 $.1^2 0 0 $.1^2 0 $.1^2 0 $.1^2 1 1 1]\n[0 0 0 0 0 0 0 0 0 0 0 0 0 0 0 $.1 0 0 0 0 0 0 0 0 $.1^2 1 0 1 1 $.1 $.1^2 0 $.1\n    $.1^2 0 1 $.1 1 0 $.1^2 $.1 1 1 0 0 1 0 1 0 1 $.1 $.1 $.1]\n[0 0 0 0 0 0 0 0 0 0 0 0 0 0 0 0 1 0 0 0 0 0 0 0 $.1^2 $.1^2 1 $.1^2 $.1 1 1 \n    $.1^2 1 0 $.1 1 1 1 1 $.1 $.1 1 $.1^2 $.1 $.1^2 $.1 $.1^2 0 $.1^2 1 $.1^2 \n    $.1^2 $.1]\n[0 0 0 0 0 0 0 0 0 0 0 0 0 0 0 0 $.1 0 0 0 0 0 0 $.1 1 1 $.1 1 $.1^2 1 0 1 1 $.1\n    0 $.1^2 1 0 0 0 $.1^2 $.1^2 0 $.1 $.1 0 1 0 $.1^2 0 $.1 1 $.1]\n[0 0 0 0 0 0 0 0 0 0 0 0 0 0 0 0 0 1 0 0 0 0 0 $.1 1 $.1 $.1^2 $.1 $.1^2 $.1 1 \n    $.1 $.1^2 $.1^2 $.1 1 0 $.1^2 $.1 $.1^2 0 1 1 $.1 0 0 0 $.1 $.1^2 $.1^2 \n    $.1^2 $.1^2 1]\n[0 0 0 0 0 0 0 0 0 0 0 0 0 0 0 0 0 $.1 0 0 0 0 0 0 $.1 $.1^2 1 $.1^2 1 $.1 1 \n    $.1^2 0 $.1 $.1 0 1 $.1 0 0 0 0 0 1 1 1 0 $.1^2 $.1 $.1 0 1 0]\n[0 0 0 0 0 0 0 0 0 0 0 0 0 0 0 0 0 0 1 0 0 0 0 $.1 $.1^2 0 $.1^2 1 1 0 0 1 1 1 1\n    0 $.1 1 $.1 1 $.1^2 $.1 $.1^2 $.1^2 $.1 0 0 $.1 $.1 1 0 1 $.1]\n[0 0 0 0 0 0 0 0 0 0 0 0 0 0 0 0 0 0 $.1 0 0 0 0 $.1 1 0 1 $.1 $.1 $.1 1 $.1 0 \n    $.1^2 0 $.1^2 1 $.1^2 $.1 0 1 0 $.1 $.1 1 $.1 0 $.1^2 $.1 $.1^2 $.1 $.1 0]\n[0 0 0 0 0 0 0 0 0 0 0 0 0 0 0 0 0 0 0 1 0 0 0 0 $.1^2 $.1 0 1 $.1 1 1 $.1^2 1 0\n    $.1^2 1 $.1^2 $.1 $.1 $.1 1 $.1 $.1^2 $.1^2 0 0 0 $.1 $.1 1 1 0 $.1^2]\n[0 0 0 0 0 0 0 0 0 0 0 0 0 0 0 0 0 0 0 $.1 0 0 0 0 1 $.1^2 0 $.1 $.1^2 $.1 $.1 1\n    $.1 0 1 $.1 1 $.1^2 $.1^2 $.1^2 $.1 $.1^2 1 1 0 0 0 $.1^2 $.1^2 $.1 $.1 0 1]\n[0 0 0 0 0 0 0 0 0 0 0 0 0 0 0 0 0 0 0 0 1 0 0 0 1 $.1 0 1 1 $.1^2 1 0 $.1^2 0 1\n    $.1 1 1 $.1^2 0 0 0 0 $.1^2 0 $.1^2 1 0 $.1^2 $.1^2 0 1 $.1]\n[0 0 0 0 0 0 0 0 0 0 0 0 0 0 0 0 0 0 0 0 $.1 0 0 $.1 $.1 $.1^2 0 $.1 $.1 $.1 0 0\n    $.1 $.1 1 $.1 1 0 $.1^2 $.1^2 0 1 1 0 $.1^2 $.1 $.1 0 $.1^2 $.1^2 $.1^2 $.1 \n    $.1]\n[0 0 0 0 0 0 0 0 0 0 0 0 0 0 0 0 0 0 0 0 0 1 0 $.1 1 0 $.1^2 $.1^2 1 $.1^2 $.1 1\n    1 1 1 0 1 1 1 $.1 $.1^2 1 $.1^2 $.1^2 0 0 0 1 $.1 0 1 0 1]\n[0 0 0 0 0 0 0 0 0 0 0 0 0 0 0 0 0 0 0 0 0 $.1 0 $.1 $.1 0 1 1 $.1 $.1^2 $.1 $.1\n    0 $.1^2 0 $.1^2 0 $.1^2 $.1^2 1 1 1 $.1 $.1 $.1 $.1 0 $.1 $.1 1 0 0 1]\n[0 0 0 0 0 0 0 0 0 0 0 0 0 0 0 0 0 0 0 0 0 0 1 0 0 0 0 0 0 0 1 0 0 0 1 $.1 $.1^2\n    0 $.1 1 0 $.1 $.1^2 $.1 $.1 1 $.1 $.1 $.1^2 $.1 0 0 0]\n[0 0 0 0 0 0 0 0 0 0 0 0 0 0 0 0 0 0 0 0 0 0 $.1 0 0 0 0 0 0 0 $.1 0 0 0 $.1 \n    $.1^2 1 0 $.1^2 $.1 0 $.1^2 1 $.1^2 $.1^2 $.1 $.1^2 $.1^2 1 $.1^2 0 0 0]\n[0 0 0 0 0 0 0 0 0 0 0 0 0 0 0 0 0 0 0 0 0 0 0 1 0 0 0 0 0 $.1 1 0 $.1 1 $.1 \n    $.1^2 $.1 1 1 $.1 0 $.1^2 $.1^2 $.1^2 $.1 $.1 0 0 1 1 $.1 0 $.1^2]\nQuantum GF(2)-Additive code over GF(4) of length 53 with 59 generators.\nLower Bound: 1, Upper Bound: 25\nConstructed 2 distinct generator matrices\nTotal Ranks:     30  30 \nRelative Ranks:  30  23 \n(4 4 4 4 4 4 4 4 4 4 4 4 4 4 4 4 4 4 4 4 4 4 4 4 4 4 4 4 4 2 )\n(4 4 4 4 4 4 4 4 4 4 4 4 4 4 4 4 4 4 4 4 4 4 4 4 4 4 4 2 4 4 )\nTime Taken: 0.01\nStarting search for low weight codewords... (reset timings)\nEnumerating using 1 generator at a time:\n     New codeword identified of weight 20, time 0.00\n     New codeword identified of weight 18, time 0.00\n     New codeword identified of weight 16, time 0.00\n     New codeword identified of weight 15, time 0.00\n     New codeword identified of weight 11, time 0.00\n   Completed Matrix  1:  lower =  2, upper = 11. Elapsed: 0.00s\n   Completed Matrix  2:  lower =  2, upper = 11. Elapsed: 0.00s\nTermination predicted with 8 generators at matrix 2\nEnumerating using 2 generators at a time:\n   Completed Matrix  1:  lower =  3, upper = 11. Elapsed: 0.00s\n   Completed Matrix  2:  lower =  3, upper = 11. Elapsed: 0.00s\nTermination predicted with 8 generators at matrix 2\nEnumerating using 3 generators at a time:\n   Completed Matrix  1:  lower =  4, upper = 11. Elapsed: 0.00s\n   Completed Matrix  2:  lower =  4, upper = 11. Elapsed: 0.00s\nTermination predicted with 8 generators at matrix 2\nEnumerating using 4 generators at a time:\n   Completed Matrix  1:  lower =  5, upper = 11. Elapsed: 0.00s\n   Completed Matrix  2:  lower =  5, upper = 11. Elapsed: 0.03s\nTermination predicted with 8 generators at matrix 2\nEnumerating using 5 generators at a time:\n   Completed Matrix  1:  lower =  6, upper = 11. Elapsed: 0.32s\n   Completed Matrix  2:  lower =  6, upper = 11. Elapsed: 0.61s\nTermination predicted at 651 s (10m 51s) with 8 generators at matrix 2\nEnumerating using 6 generators at a time:\n   Completed Matrix  1:  lower =  7, upper = 11. Elapsed: 4.13s\n   Completed Matrix  2:  lower =  7, upper = 11. Elapsed: 7.58s\nTermination predicted at 653 s (10m 53s) with 8 generators at matrix 2\nEnumerating using 7 generators at a time:\n   Completed Matrix  1:  lower =  8, upper = 11. Elapsed: 42.50s\n   Completed Matrix  2:  lower =  9, upper = 11. Elapsed: 77.78s\nTermination predicted at 661 s (11m 1s) with 8 generators at matrix 2\nEnumerating using 8 generators at a time:\n   Completed Matrix  1:  lower = 10, upper = 11. Elapsed: 381.53s\n   Completed Matrix  2:  lower = 11, upper = 11. Elapsed: 687.43s\nComputation complete \nFinal Results: lower = 11, upper = 11,\nTotal CPU time: 687.43, real time: 845.537\n11\n\nTotal time: 687.480 seconds, Total memory usage: 32.09MB\n</t>
  </si>
  <si>
    <t>11549.048411124968</t>
  </si>
  <si>
    <t>Magma V2.28-26    Wed Jan  7 2026 00:32:15 on Marks-MacBook-Air-2 [Seed = \n3621983822]\nType ? for help.  Type &lt;Ctrl&gt;-D to quit.\n[1 0 0 0 0 0 0 0 0 0 0 0 0 0 0 0 0 0 0 0 0 0 0 0 0 0 0 0 0 0 0 0 0 0 0 0 0 0 0 0\n    0 0 1 0 0 1 1 0 0 1 1 0 0 1 0 1 0 1 0 1 1 1 0 1 0 0 0 0 0 0 0 0 1 1 1 0 1 1 \n    0 0 0 0 0 1 1 1 1 1 1 1 0 1 1 0 0 1 1 1 0 1 1 0 1 0 0 0 0 1]\n[0 1 0 0 0 0 0 0 0 0 0 0 0 0 0 0 0 0 0 0 0 0 0 0 0 0 0 0 0 0 0 0 0 0 0 0 0 0 0 0\n    0 0 1 1 1 0 1 1 0 1 1 0 1 0 1 1 1 1 1 1 1 0 1 0 1 0 1 1 0 1 1 1 0 0 0 0 0 0 \n    1 0 0 0 1 0 1 0 1 0 0 0 1 1 0 0 0 1 0 0 1 1 1 0 1 1 1 0 0 1]\n[0 0 1 0 0 0 0 0 0 0 0 0 0 0 0 0 0 0 0 0 0 0 0 0 0 0 0 0 0 0 0 0 0 0 0 0 0 0 0 0\n    0 0 1 1 0 0 0 0 1 0 1 1 0 1 0 0 1 0 0 1 0 0 1 0 0 0 1 0 1 0 1 0 0 0 0 0 1 1 \n    0 1 0 0 0 1 1 1 0 0 1 0 0 1 0 0 0 1 0 0 0 0 0 1 1 0 1 0 0 1]\n[0 0 0 1 0 0 0 0 0 0 0 0 0 0 0 0 0 0 0 0 0 0 0 0 0 0 0 0 0 0 0 0 0 0 0 0 0 0 0 0\n    0 0 0 0 1 0 0 1 1 0 1 1 1 1 1 0 1 1 1 0 0 0 0 0 1 1 1 1 1 0 0 0 0 1 0 1 1 1 \n    1 0 0 1 0 0 0 1 1 1 1 0 0 0 0 0 0 0 1 1 1 0 0 0 0 0 0 0 0 1]\n[0 0 0 0 1 0 0 0 0 0 0 0 0 0 0 0 0 0 0 0 0 0 0 0 0 0 0 0 0 0 0 0 0 0 0 0 0 0 0 0\n    0 0 1 0 0 1 0 1 0 0 0 0 0 1 0 0 1 1 1 1 0 0 1 1 0 0 0 0 1 1 1 0 0 0 1 1 0 0 \n    0 1 1 1 0 0 0 0 0 1 0 1 0 1 0 0 1 1 0 1 1 1 0 0 0 0 0 0 1 0]\n[0 0 0 0 0 1 0 0 0 0 0 0 0 0 0 0 0 0 0 0 0 0 0 0 0 0 0 0 0 0 0 0 0 0 0 0 0 0 0 0\n    0 0 1 1 0 0 0 0 0 1 0 0 1 0 0 1 1 1 0 0 0 0 0 0 1 0 1 1 1 1 1 0 0 0 1 0 1 1 \n    0 0 1 0 0 0 0 0 0 1 1 1 1 1 1 1 1 1 1 1 1 0 0 0 0 0 0 0 0 0]\n[0 0 0 0 0 0 1 0 0 0 0 0 0 0 0 0 0 0 0 0 0 0 0 0 0 0 0 0 0 0 0 0 0 0 0 0 0 0 0 0\n    0 0 0 1 1 1 0 0 0 0 0 1 0 0 1 1 1 0 0 1 0 1 1 0 0 1 0 1 0 1 0 1 0 1 1 0 0 0 \n    1 1 1 1 1 0 1 1 1 1 1 1 1 1 1 1 0 0 0 0 0 0 1 0 1 0 0 1 1 1]\n[0 0 0 0 0 0 0 1 0 0 0 0 0 0 0 0 0 0 0 0 0 0 0 0 0 0 0 0 0 0 0 0 0 0 0 0 0 0 0 0\n    0 0 1 1 0 1 0 0 0 0 0 0 1 1 1 0 1 0 1 1 1 0 0 1 0 0 0 1 0 1 0 0 1 1 0 1 0 1 \n    1 0 0 1 1 1 1 1 1 1 1 0 0 1 1 1 0 1 0 1 0 0 1 1 0 1 1 1 1 1]\n[0 0 0 0 0 0 0 0 1 0 0 0 0 0 0 0 0 0 0 0 0 0 0 0 0 0 0 0 0 0 0 0 0 0 0 0 0 0 0 0\n    0 0 0 0 0 0 1 0 0 1 1 1 0 0 0 0 1 0 1 1 0 0 1 0 0 0 0 0 1 1 1 1 0 0 0 1 1 1 \n    1 1 0 1 0 0 0 1 0 0 0 0 1 0 0 1 1 1 1 0 0 1 0 0 1 0 1 0 0 0]\n[0 0 0 0 0 0 0 0 0 1 0 0 0 0 0 0 0 0 0 0 0 0 0 0 0 0 0 0 0 0 0 0 0 0 0 0 0 0 0 0\n    0 0 0 1 0 1 1 1 0 0 1 0 0 1 0 1 0 1 1 0 0 1 0 0 1 1 1 1 1 0 0 1 1 0 0 1 0 1 \n    0 1 1 0 0 1 0 0 0 0 1 0 0 1 0 0 1 0 1 0 0 1 1 0 0 1 1 1 1 0]\n[0 0 0 0 0 0 0 0 0 0 1 0 0 0 0 0 0 0 0 0 0 0 0 0 0 0 0 0 0 0 0 0 0 0 0 0 0 0 0 0\n    0 0 1 1 0 1 1 0 1 0 1 1 0 0 1 1 1 1 0 1 1 0 1 0 1 0 1 1 1 0 1 0 0 0 1 0 1 1 \n    1 0 1 1 0 1 1 0 1 1 0 1 0 0 1 1 0 0 1 0 0 0 1 1 0 0 0 0 1 0]\n[0 0 0 0 0 0 0 0 0 0 0 1 0 0 0 0 0 0 0 0 0 0 0 0 0 0 0 0 0 0 0 0 0 0 0 0 0 0 0 0\n    0 0 0 0 0 0 1 1 0 0 0 0 1 0 0 0 1 1 0 0 1 0 1 1 1 0 0 1 0 0 1 0 0 1 0 0 1 0 \n    1 0 1 0 0 0 1 1 1 1 1 1 1 0 0 1 0 0 0 1 0 1 0 1 0 1 0 0 0 1]\n[0 0 0 0 0 0 0 0 0 0 0 0 1 0 0 0 0 0 0 0 0 0 0 0 0 0 0 0 0 0 0 0 0 0 0 0 0 0 0 0\n    0 0 0 0 1 0 0 0 0 1 1 1 1 0 1 1 0 0 1 1 1 0 1 1 1 0 0 0 1 1 0 1 1 1 1 1 0 0 \n    0 0 0 0 1 1 1 1 0 1 0 1 1 1 0 1 0 0 0 1 1 0 1 1 1 1 1 1 1 0]\n[0 0 0 0 0 0 0 0 0 0 0 0 0 1 0 0 0 0 0 0 0 0 0 0 0 0 0 0 0 0 0 0 0 0 0 0 0 0 0 0\n    0 0 0 0 0 0 0 0 1 0 1 1 1 1 1 0 1 1 1 1 1 1 0 1 0 1 1 0 0 0 0 0 0 0 1 0 0 1 \n    1 0 0 1 1 0 1 1 1 0 1 0 0 1 1 0 0 1 1 0 0 1 1 0 1 1 1 1 0 0]\n[0 0 0 0 0 0 0 0 0 0 0 0 0 0 1 0 0 0 0 0 0 0 0 0 0 0 0 0 0 0 0 0 0 0 0 0 0 0 0 0\n    0 0 0 1 0 1 0 0 0 1 0 0 1 0 1 1 0 1 0 0 0 0 0 1 0 0 0 0 1 1 1 0 1 0 1 0 1 1 \n    1 0 0 0 1 1 0 1 0 0 0 0 1 0 0 1 0 1 0 1 1 0 1 0 0 1 1 1 0 0]\n[0 0 0 0 0 0 0 0 0 0 0 0 0 0 0 1 0 0 0 0 0 0 0 0 0 0 0 0 0 0 0 0 0 0 0 0 0 0 0 0\n    0 0 1 1 1 0 1 0 0 0 1 0 1 1 0 1 0 0 0 1 1 0 0 1 1 0 1 1 0 1 1 0 0 0 1 0 1 1 \n    1 0 1 1 1 0 0 0 0 1 0 0 1 1 0 1 0 1 0 0 0 0 0 0 0 1 1 1 0 0]\n[0 0 0 0 0 0 0 0 0 0 0 0 0 0 0 0 1 0 0 0 0 0 0 0 0 0 0 0 0 0 0 0 0 0 0 0 0 0 0 0\n    0 0 0 1 1 1 1 0 0 1 1 1 1 1 0 1 0 0 0 0 0 0 0 1 0 1 1 1 1 0 0 1 0 0 0 0 1 1 \n    0 1 1 1 0 1 0 0 0 1 1 1 1 0 1 0 1 1 0 0 0 1 0 1 1 0 0 1 1 1]\n[0 0 0 0 0 0 0 0 0 0 0 0 0 0 0 0 0 1 0 0 0 0 0 0 0 0 0 0 0 0 0 0 0 0 0 0 0 0 0 0\n    0 0 0 1 0 1 0 1 0 0 1 1 1 1 1 0 0 1 1 1 0 0 0 0 1 1 0 0 1 0 1 0 1 1 0 0 0 0 \n    0 0 1 0 1 1 0 0 1 1 1 1 0 0 0 0 1 1 0 1 0 0 0 0 1 0 0 1 1 0]\n[0 0 0 0 0 0 0 0 0 0 0 0 0 0 0 0 0 0 1 0 0 0 0 0 0 0 0 0 0 0 0 0 0 0 0 0 0 0 0 0\n    0 0 1 1 0 1 0 0 0 1 1 0 0 1 0 0 0 1 1 0 1 1 1 1 1 0 1 1 1 1 1 0 0 1 0 1 0 0 \n    0 0 0 0 0 1 0 0 0 0 0 1 0 0 0 1 0 1 0 0 1 1 1 0 0 1 0 0 1 0]\n[0 0 0 0 0 0 0 0 0 0 0 0 0 0 0 0 0 0 0 1 0 0 0 0 0 0 0 0 0 0 0 0 0 0 0 0 0 0 0 0\n    0 0 1 0 0 1 0 1 0 0 0 0 0 0 0 0 1 0 1 0 1 0 0 1 0 1 1 1 1 1 0 1 1 1 1 1 1 0 \n    0 0 0 1 1 0 0 1 1 1 1 1 1 1 0 0 1 0 1 1 1 1 1 0 1 0 0 1 1 0]\n[0 0 0 0 0 0 0 0 0 0 0 0 0 0 0 0 0 0 0 0 1 0 0 0 0 0 0 0 0 0 0 0 0 0 0 0 0 0 0 0\n    0 0 1 1 0 1 1 0 1 1 1 0 0 1 1 1 0 1 0 1 0 1 1 1 0 1 0 1 1 0 0 1 1 1 1 1 1 0 \n    1 1 1 1 1 1 0 1 1 1 0 1 1 0 1 0 0 0 1 1 1 1 1 1 0 1 0 1 1 0]\n[0 0 0 0 0 0 0 0 0 0 0 0 0 0 0 0 0 0 0 0 0 1 0 0 0 0 0 0 0 0 0 0 0 0 0 0 0 0 0 0\n    0 0 0 1 1 1 0 1 0 0 1 0 0 0 0 1 1 0 1 1 1 0 0 1 0 1 1 0 1 1 0 1 0 0 0 0 1 0 \n    0 0 1 0 0 0 1 0 0 0 0 0 0 1 0 0 1 1 1 0 0 0 1 1 1 0 1 1 0 1]\n[0 0 0 0 0 0 0 0 0 0 0 0 0 0 0 0 0 0 0 0 0 0 1 0 0 0 0 0 0 0 0 0 0 0 0 0 0 0 0 0\n    0 0 1 1 1 1 1 0 0 0 0 1 1 0 0 1 1 0 0 0 0 1 1 1 0 0 1 1 1 1 0 1 1 1 0 1 1 0 \n    0 0 0 0 1 0 1 1 0 0 1 0 0 0 1 0 1 0 1 0 0 1 0 1 1 1 1 0 0 1]\n[0 0 0 0 0 0 0 0 0 0 0 0 0 0 0 0 0 0 0 0 0 0 0 1 0 0 0 0 0 0 0 0 0 0 0 0 0 0 0 0\n    0 0 1 1 1 1 1 0 1 1 0 1 0 0 1 0 0 0 1 0 1 1 0 1 1 0 0 0 1 0 0 0 0 0 0 0 0 1 \n    0 0 1 0 0 0 0 0 0 0 1 1 0 1 0 0 0 0 1 0 1 0 1 0 0 1 1 1 0 1]\n[0 0 0 0 0 0 0 0 0 0 0 0 0 0 0 0 0 0 0 0 0 0 0 0 1 0 0 0 0 0 0 0 0 0 0 0 0 0 0 0\n    0 0 1 0 0 1 0 0 1 0 1 1 1 0 1 0 0 1 1 0 1 1 1 1 0 0 0 1 0 0 0 0 0 1 0 0 0 0 \n    1 0 1 0 0 0 1 1 0 1 1 0 1 0 1 1 0 1 1 1 0 1 1 0 0 0 0 1 1 1]\n[0 0 0 0 0 0 0 0 0 0 0 0 0 0 0 0 0 0 0 0 0 0 0 0 0 1 0 0 0 0 0 0 0 0 0 0 0 0 0 0\n    0 0 0 1 1 0 0 1 0 0 1 1 0 0 0 1 0 0 1 0 1 0 1 0 0 1 1 0 1 1 1 0 1 1 0 0 1 0 \n    1 1 1 0 0 0 1 1 1 0 0 0 1 0 1 1 1 1 0 0 1 1 1 1 0 1 0 1 1 0]\n[0 0 0 0 0 0 0 0 0 0 0 0 0 0 0 0 0 0 0 0 0 0 0 0 0 0 1 0 0 0 0 0 0 0 0 0 0 0 0 0\n    0 0 0 0 1 0 1 1 1 0 0 0 0 1 1 0 0 0 0 1 1 1 1 0 1 0 1 0 1 1 1 1 1 0 0 1 0 0 \n    0 1 1 0 0 0 1 1 1 0 0 0 1 1 0 1 1 0 0 1 1 0 0 1 1 0 1 1 0 1]\n[0 0 0 0 0 0 0 0 0 0 0 0 0 0 0 0 0 0 0 0 0 0 0 0 0 0 0 1 0 0 0 0 0 0 0 0 0 0 0 0\n    0 0 1 1 0 1 1 1 1 1 1 1 1 0 0 1 0 0 0 0 0 1 0 1 1 1 0 1 0 1 1 1 1 0 0 1 1 0 \n    0 1 1 0 0 1 0 0 1 1 0 1 0 1 1 0 0 0 0 0 1 1 0 1 0 0 0 1 0 0]\n[0 0 0 0 0 0 0 0 0 0 0 0 0 0 0 0 0 0 0 0 0 0 0 0 0 0 0 0 1 0 0 0 0 0 0 0 0 0 0 0\n    0 0 1 0 1 1 1 1 1 0 1 1 1 1 1 0 0 0 0 1 0 1 0 1 0 1 1 1 1 1 0 0 1 0 0 1 0 0 \n    0 1 1 1 1 1 1 0 1 1 1 0 0 1 1 0 1 1 0 1 0 1 0 1 1 1 1 0 1 1]\n[0 0 0 0 0 0 0 0 0 0 0 0 0 0 0 0 0 0 0 0 0 0 0 0 0 0 0 0 0 1 0 0 0 0 0 0 0 0 0 0\n    0 0 0 0 0 0 1 1 0 1 0 1 0 0 1 0 1 1 0 1 0 1 1 1 0 0 1 1 1 0 0 1 0 1 0 0 1 1 \n    1 0 0 1 1 0 0 0 1 0 0 0 0 1 0 0 1 1 0 1 0 0 1 1 1 0 1 1 0 1]\n[0 0 0 0 0 0 0 0 0 0 0 0 0 0 0 0 0 0 0 0 0 0 0 0 0 0 0 0 0 0 1 0 0 0 0 0 0 0 0 0\n    0 0 1 0 1 0 1 1 0 1 0 0 0 1 1 0 1 1 1 0 1 1 0 0 1 1 1 0 1 0 1 0 1 1 0 1 0 0 \n    0 1 1 1 1 0 0 1 1 0 1 0 1 0 1 1 1 0 0 0 0 0 1 0 0 0 0 0 0 0]\n[0 0 0 0 0 0 0 0 0 0 0 0 0 0 0 0 0 0 0 0 0 0 0 0 0 0 0 0 0 0 0 1 0 0 0 0 0 0 0 0\n    0 0 1 1 0 1 0 0 1 1 0 0 0 0 0 0 1 0 1 0 1 1 1 0 1 0 0 1 0 1 0 0 0 1 1 0 0 1 \n    0 1 1 0 0 0 1 0 1 0 0 0 1 0 0 0 1 0 1 1 0 0 0 1 0 1 0 0 1 1]\n[0 0 0 0 0 0 0 0 0 0 0 0 0 0 0 0 0 0 0 0 0 0 0 0 0 0 0 0 0 0 0 0 1 0 0 0 0 0 0 0\n    0 0 0 1 0 1 0 1 1 0 1 0 1 1 1 0 0 1 1 0 0 0 0 1 0 0 0 1 0 1 0 0 1 1 0 0 1 0 \n    0 1 1 1 1 1 0 1 1 1 1 1 1 0 0 0 0 1 0 1 0 1 0 1 0 0 1 0 0 0]\n[0 0 0 0 0 0 0 0 0 0 0 0 0 0 0 0 0 0 0 0 0 0 0 0 0 0 0 0 0 0 0 0 0 1 0 0 0 0 0 0\n    0 0 1 0 1 1 1 1 0 1 0 0 0 0 0 1 0 0 0 0 1 0 0 1 1 0 1 1 0 1 0 1 1 1 1 1 0 0 \n    0 1 0 0 1 0 0 0 1 1 1 0 1 1 1 1 1 0 1 1 0 1 0 0 1 1 0 1 0 1]\n[0 0 0 0 0 0 0 0 0 0 0 0 0 0 0 0 0 0 0 0 0 0 0 0 0 0 0 0 0 0 0 0 0 0 1 0 0 0 0 0\n    0 0 0 0 1 1 1 0 1 1 0 1 1 1 1 0 1 1 1 1 1 1 0 0 1 0 1 1 1 0 0 0 0 1 1 0 0 1 \n    1 0 1 1 1 1 0 0 1 0 0 1 0 0 1 0 0 0 0 0 1 0 1 0 1 0 1 0 1 0]\n[0 0 0 0 0 0 0 0 0 0 0 0 0 0 0 0 0 0 0 0 0 0 0 0 0 0 0 0 0 0 0 0 0 0 0 1 0 0 0 0\n    0 0 1 0 1 1 0 0 0 0 1 0 1 0 1 1 0 1 1 1 0 1 1 0 0 0 1 1 0 1 0 1 0 0 1 0 0 1 \n    1 1 1 1 0 1 0 1 0 0 0 0 0 0 0 1 0 0 0 0 0 0 0 1 0 1 1 0 1 0]\n[0 0 0 0 0 0 0 0 0 0 0 0 0 0 0 0 0 0 0 0 0 0 0 0 0 0 0 0 0 0 0 0 0 0 0 0 1 0 0 0\n    0 0 0 1 0 0 0 1 1 0 1 0 1 1 0 0 1 1 0 1 1 0 1 1 1 0 0 1 0 1 1 1 1 1 1 0 0 1 \n    0 1 0 0 0 0 0 0 0 0 1 0 1 1 1 0 1 0 0 0 1 0 1 1 0 1 0 0 0 1]\n[0 0 0 0 0 0 0 0 0 0 0 0 0 0 0 0 0 0 0 0 0 0 0 0 0 0 0 0 0 0 0 0 0 0 0 0 0 1 0 0\n    0 0 1 0 0 0 1 1 0 1 1 1 0 1 1 0 1 1 1 0 1 0 1 0 0 0 1 0 0 0 0 0 1 0 1 0 1 0 \n    0 1 1 0 0 1 1 0 0 1 0 1 1 0 1 0 1 0 0 0 1 0 0 0 1 1 0 0 1 0]\n[0 0 0 0 0 0 0 0 0 0 0 0 0 0 0 0 0 0 0 0 0 0 0 0 0 0 0 0 0 0 0 0 0 0 0 0 0 0 1 0\n    0 0 1 0 0 0 1 0 0 0 1 1 0 0 0 1 1 1 1 0 0 0 0 0 0 1 1 0 0 0 1 0 0 1 0 1 1 0 \n    1 1 1 1 1 0 0 0 0 0 1 0 1 0 1 1 0 1 1 0 0 0 0 1 1 1 0 1 0 1]\n[0 0 0 0 0 0 0 0 0 0 0 0 0 0 0 0 0 0 0 0 0 0 0 0 0 0 0 0 0 0 0 0 0 0 0 0 0 0 0 1\n    0 0 1 0 1 1 1 1 0 1 1 0 1 1 0 1 1 1 1 1 1 0 1 1 0 0 1 1 1 0 1 0 0 0 1 0 1 1 \n    1 0 0 1 0 1 1 1 0 1 0 1 0 0 0 1 0 0 0 0 1 0 0 1 0 0 1 0 0 1]\n[0 0 0 0 0 0 0 0 0 0 0 0 0 0 0 0 0 0 0 0 0 0 0 0 0 0 0 0 0 0 0 0 0 0 0 0 0 0 0 0\n    1 0 0 1 0 0 1 0 0 1 1 1 0 1 1 1 1 1 0 1 1 1 0 1 1 0 0 1 0 1 1 0 0 1 1 1 0 1 \n    0 1 1 1 0 1 0 0 1 0 1 1 1 0 0 0 0 0 0 0 1 0 0 1 1 1 0 1 0 1]\n[0 0 0 0 0 0 0 0 0 0 0 0 0 0 0 0 0 0 0 0 0 0 0 0 0 0 0 0 0 0 0 0 0 0 0 0 0 0 0 0\n    0 1 1 0 1 0 0 1 1 1 1 0 0 0 1 0 1 0 0 0 1 0 1 0 0 1 0 0 1 1 1 1 0 1 0 0 0 0 \n    1 0 0 1 0 1 1 0 1 0 1 0 1 0 1 0 1 0 0 0 1 0 1 0 0 1 0 1 0 0]\n[[54, 12]] quantum code over GF(2^2), stabilised by:\n[1 0 0 0 0 0 0 0 0 0 0 0 0 0 0 0 0 0 0 0 1 0 0 $.1^2 0 0 $.1 0 1 $.1^2 $.1 0 0 \n    $.1^2 0 $.1 $.1^2 1 0 $.1 $.1^2 $.1 0 $.1 $.1^2 1 $.1 $.1^2 0 $.1^2 $.1 \n    $.1^2 $.1 $.1]\n[$.1 0 0 0 0 0 0 0 0 0 0 0 0 0 0 0 0 0 0 0 $.1 0 0 1 0 0 $.1^2 0 $.1 1 $.1^2 0 0\n    1 0 $.1^2 1 $.1 0 $.1^2 1 $.1^2 0 $.1^2 1 $.1 $.1^2 1 0 1 $.1^2 1 $.1^2 \n    $.1^2]\n[0 1 0 0 0 0 0 0 0 0 0 0 0 0 0 0 0 0 0 0 0 0 0 $.1^2 $.1^2 0 $.1 0 1 $.1 1 0 1 0\n    0 $.1 $.1^2 0 0 $.1^2 $.1 0 0 $.1 1 1 $.1^2 0 1 0 $.1 1 0 1]\n[0 $.1 0 0 0 0 0 0 0 0 0 0 0 0 0 0 0 0 0 0 0 0 0 1 1 0 $.1^2 0 $.1 $.1^2 $.1 0 \n    $.1 0 0 $.1^2 1 0 0 1 $.1^2 0 0 $.1^2 $.1 $.1 1 0 $.1 0 $.1^2 $.1 0 $.1]\n[0 0 1 0 0 0 0 0 0 0 0 0 0 0 0 0 0 0 0 0 1 0 $.1^2 $.1 $.1^2 $.1 0 0 $.1 0 1 $.1\n    1 $.1 0 0 1 1 1 1 $.1 1 1 $.1^2 $.1 1 $.1 $.1 0 1 1 1 $.1^2 1]\n[0 0 $.1 0 0 0 0 0 0 0 0 0 0 0 0 0 0 0 0 0 $.1 0 1 $.1^2 1 $.1^2 0 0 $.1^2 0 $.1\n    $.1^2 $.1 $.1^2 0 0 $.1 $.1 $.1 $.1 $.1^2 $.1 $.1 1 $.1^2 $.1 $.1^2 $.1^2 0 \n    $.1 $.1 $.1 1 $.1]\n[0 0 0 1 0 0 0 0 0 0 0 0 0 0 0 0 0 0 0 0 0 0 0 $.1^2 1 1 $.1^2 1 0 $.1^2 $.1 0 1\n    $.1^2 $.1 0 0 $.1^2 1 1 $.1^2 $.1 $.1^2 1 0 $.1 1 1 0 1 $.1^2 $.1^2 $.1^2 \n    $.1]\n[0 0 0 $.1 0 0 0 0 0 0 0 0 0 0 0 0 0 0 0 0 0 0 0 1 $.1 $.1 1 $.1 0 1 $.1^2 0 $.1\n    1 $.1^2 0 0 1 $.1 $.1 1 $.1^2 1 $.1 0 $.1^2 $.1 $.1 0 $.1 1 1 1 $.1^2]\n[0 0 0 0 1 0 0 0 0 0 0 0 0 0 0 0 0 0 0 0 $.1 0 1 $.1 $.1 1 $.1^2 $.1 $.1 0 $.1^2\n    $.1^2 $.1^2 $.1^2 0 0 0 $.1 1 $.1 0 1 1 $.1 0 $.1^2 $.1^2 1 0 0 $.1 $.1^2 \n    $.1 $.1]\n[0 0 0 0 $.1 0 0 0 0 0 0 0 0 0 0 0 0 0 0 0 $.1^2 0 $.1 $.1^2 $.1^2 $.1 1 $.1^2 \n    $.1^2 0 1 1 1 1 0 0 0 $.1^2 $.1 $.1^2 0 $.1 $.1 $.1^2 0 1 1 $.1 0 0 $.1^2 1 \n    $.1^2 $.1^2]\n[0 0 0 0 0 1 0 0 0 0 0 0 0 0 0 0 0 0 0 0 0 0 $.1 0 1 1 $.1^2 0 $.1 0 0 $.1 $.1^2\n    $.1 0 $.1^2 1 $.1 $.1 $.1 $.1^2 1 0 1 0 $.1^2 0 1 1 $.1^2 $.1^2 $.1^2 $.1^2 \n    0]\n[0 0 0 0 0 $.1 0 0 0 0 0 0 0 0 0 0 0 0 0 0 0 0 $.1^2 0 $.1 $.1 1 0 $.1^2 0 0 \n    $.1^2 1 $.1^2 0 1 $.1 $.1^2 $.1^2 $.1^2 1 $.1 0 $.1 0 1 0 $.1 $.1 1 1 1 1 0]\n[0 0 0 0 0 0 1 0 0 0 0 0 0 0 0 0 0 0 0 0 0 0 $.1^2 $.1^2 $.1^2 $.1^2 0 $.1 0 1 \n    $.1^2 $.1^2 1 0 $.1^2 $.1 $.1 $.1 $.1 $.1^2 0 1 1 0 $.1 0 0 0 0 $.1^2 1 1 \n    $.1^2 $.1]\n[0 0 0 0 0 0 $.1 0 0 0 0 0 0 0 0 0 0 0 0 0 0 0 1 1 1 1 0 $.1^2 0 $.1 1 1 $.1 0 1\n    $.1^2 $.1^2 $.1^2 $.1^2 1 0 $.1 $.1 0 $.1^2 0 0 0 0 1 $.1 $.1 1 $.1^2]\n[0 0 0 0 0 0 0 1 0 0 0 0 0 0 0 0 0 0 0 0 $.1 0 1 0 0 0 $.1 0 $.1^2 $.1 $.1 $.1^2\n    1 1 0 $.1^2 $.1 $.1^2 0 1 0 $.1^2 $.1^2 $.1 $.1 0 1 $.1 0 1 0 $.1^2 $.1 1]\n[0 0 0 0 0 0 0 $.1 0 0 0 0 0 0 0 0 0 0 0 0 $.1^2 0 $.1 0 0 0 $.1^2 0 1 $.1^2 \n    $.1^2 1 $.1 $.1 0 1 $.1^2 1 0 $.1 0 1 1 $.1^2 $.1^2 0 $.1 $.1^2 0 $.1 0 1 \n    $.1^2 $.1]\n[0 0 0 0 0 0 0 0 1 0 0 0 0 0 0 0 0 0 0 0 $.1^2 0 $.1 $.1 $.1 $.1 $.1 0 $.1 0 0 \n    $.1 $.1 $.1^2 1 1 $.1^2 1 0 $.1 $.1^2 $.1^2 $.1^2 1 0 $.1 0 0 $.1 $.1^2 \n    $.1^2 0 1 $.1^2]\n[0 0 0 0 0 0 0 0 $.1 0 0 0 0 0 0 0 0 0 0 0 1 0 $.1^2 $.1^2 $.1^2 $.1^2 $.1^2 0 \n    $.1^2 0 0 $.1^2 $.1^2 1 $.1 $.1 1 $.1 0 $.1^2 1 1 1 $.1 0 $.1^2 0 0 $.1^2 1 \n    1 0 $.1 1]\n[0 0 0 0 0 0 0 0 0 1 0 0 0 0 0 0 0 0 0 0 0 0 $.1 $.1^2 $.1^2 0 $.1 $.1 $.1^2 \n    $.1^2 1 $.1 1 $.1^2 0 $.1 0 $.1^2 0 $.1 $.1 1 1 $.1^2 $.1^2 $.1 1 $.1 1 0 \n    $.1 1 1 $.1^2]\n[0 0 0 0 0 0 0 0 0 $.1 0 0 0 0 0 0 0 0 0 0 0 0 $.1^2 1 1 0 $.1^2 $.1^2 1 1 $.1 \n    $.1^2 $.1 1 0 $.1^2 0 1 0 $.1^2 $.1^2 $.1 $.1 1 1 $.1^2 $.1 $.1^2 $.1 0 \n    $.1^2 $.1 $.1 1]\n[0 0 0 0 0 0 0 0 0 0 1 0 0 0 0 0 0 0 0 0 $.1 0 $.1 1 $.1^2 $.1^2 1 0 0 0 0 0 $.1\n    $.1 0 0 $.1 0 0 $.1^2 $.1^2 1 $.1^2 0 1 0 $.1^2 $.1 1 0 $.1 1 $.1 $.1^2]\n[0 0 0 0 0 0 0 0 0 0 $.1 0 0 0 0 0 0 0 0 0 $.1^2 0 $.1^2 $.1 1 1 $.1 0 0 0 0 0 \n    $.1^2 $.1^2 0 0 $.1^2 0 0 1 1 $.1 1 0 $.1 0 1 $.1^2 $.1 0 $.1^2 $.1 $.1^2 1]\n[0 0 0 0 0 0 0 0 0 0 0 1 0 0 0 0 0 0 0 0 $.1^2 0 1 $.1 0 1 $.1 $.1 $.1 $.1^2 0 \n    $.1 $.1 0 1 1 $.1^2 0 $.1^2 0 $.1^2 $.1^2 $.1^2 $.1^2 1 0 1 $.1^2 $.1 $.1^2 \n    1 0 1 0]\n[0 0 0 0 0 0 0 0 0 0 0 $.1 0 0 0 0 0 0 0 0 1 0 $.1 $.1^2 0 $.1 $.1^2 $.1^2 $.1^2\n    1 0 $.1^2 $.1^2 0 $.1 $.1 1 0 1 0 1 1 1 1 $.1 0 $.1 1 $.1^2 1 $.1 0 $.1 0]\n[0 0 0 0 0 0 0 0 0 0 0 0 1 0 0 0 0 0 0 0 $.1 0 0 1 $.1 $.1^2 $.1^2 1 $.1^2 1 0 0\n    $.1 $.1^2 1 1 1 1 0 $.1 1 $.1^2 1 $.1^2 1 0 $.1^2 $.1^2 1 1 $.1^2 $.1^2 0 \n    $.1]\n[0 0 0 0 0 0 0 0 0 0 0 0 $.1 0 0 0 0 0 0 0 $.1^2 0 0 $.1 $.1^2 1 1 $.1 1 $.1 0 0\n    $.1^2 1 $.1 $.1 $.1 $.1 0 $.1^2 $.1 1 $.1 1 $.1 0 1 1 $.1 $.1 1 1 0 $.1^2]\n[0 0 0 0 0 0 0 0 0 0 0 0 0 1 0 0 0 0 0 0 0 0 $.1 $.1^2 $.1^2 $.1^2 0 $.1 1 $.1^2\n    1 $.1^2 0 $.1^2 0 $.1^2 $.1 $.1 1 0 $.1 1 1 $.1^2 $.1^2 $.1 $.1 0 $.1 $.1 \n    $.1^2 1 $.1 $.1^2]\n[0 0 0 0 0 0 0 0 0 0 0 0 0 $.1 0 0 0 0 0 0 0 0 $.1^2 1 1 1 0 $.1^2 $.1 1 $.1 1 0\n    1 0 1 $.1^2 $.1^2 $.1 0 $.1^2 $.1 $.1 1 1 $.1^2 $.1^2 0 $.1^2 $.1^2 1 $.1 \n    $.1^2 1]\n[0 0 0 0 0 0 0 0 0 0 0 0 0 0 1 0 0 0 0 0 $.1^2 0 $.1^2 $.1 1 1 1 $.1 $.1^2 $.1^2\n    1 1 0 0 $.1 0 1 0 $.1^2 $.1^2 $.1 1 $.1^2 $.1 $.1^2 $.1^2 0 0 $.1^2 $.1^2 0 \n    0 $.1 $.1]\n[0 0 0 0 0 0 0 0 0 0 0 0 0 0 $.1 0 0 0 0 0 1 0 1 $.1^2 $.1 $.1 $.1 $.1^2 1 1 $.1\n    $.1 0 0 $.1^2 0 $.1 0 1 1 $.1^2 $.1 1 $.1^2 1 1 0 0 1 1 0 0 $.1^2 $.1^2]\n[0 0 0 0 0 0 0 0 0 0 0 0 0 0 0 1 0 0 0 0 $.1^2 0 $.1^2 1 0 1 $.1 $.1^2 0 $.1^2 0\n    $.1 $.1 $.1 $.1^2 0 0 0 1 $.1 $.1 0 0 0 $.1^2 1 $.1 1 0 1 $.1^2 $.1^2 $.1 1]\n[0 0 0 0 0 0 0 0 0 0 0 0 0 0 0 $.1 0 0 0 0 1 0 1 $.1 0 $.1 $.1^2 1 0 1 0 $.1^2 \n    $.1^2 $.1^2 1 0 0 0 $.1 $.1^2 $.1^2 0 0 0 1 $.1 $.1^2 $.1 0 $.1 1 1 $.1^2 \n    $.1]\n[0 0 0 0 0 0 0 0 0 0 0 0 0 0 0 0 1 0 0 0 0 0 $.1^2 $.1^2 1 $.1^2 $.1^2 $.1^2 \n    $.1^2 $.1^2 $.1 $.1^2 1 1 $.1^2 $.1^2 0 1 $.1^2 $.1^2 0 $.1^2 0 $.1^2 1 0 0 \n    0 $.1^2 0 $.1^2 1 1 $.1^2]\n[0 0 0 0 0 0 0 0 0 0 0 0 0 0 0 0 $.1 0 0 0 0 0 1 1 $.1 1 1 1 1 1 $.1^2 1 $.1 $.1\n    1 1 0 $.1 1 1 0 1 0 1 $.1 0 0 0 1 0 1 $.1 $.1 1]\n[0 0 0 0 0 0 0 0 0 0 0 0 0 0 0 0 0 1 0 0 $.1 0 1 1 $.1^2 $.1^2 $.1^2 $.1 $.1^2 0\n    1 0 $.1^2 1 1 0 $.1^2 $.1^2 $.1 $.1 $.1^2 $.1 1 1 $.1 0 1 $.1^2 1 0 0 $.1^2 \n    1 1]\n[0 0 0 0 0 0 0 0 0 0 0 0 0 0 0 0 0 $.1 0 0 $.1^2 0 $.1 $.1 1 1 1 $.1^2 1 0 $.1 0\n    1 $.1 $.1 0 1 1 $.1^2 $.1^2 1 $.1^2 $.1 $.1 $.1^2 0 $.1 1 $.1 0 0 1 $.1 $.1]\n[0 0 0 0 0 0 0 0 0 0 0 0 0 0 0 0 0 0 1 0 $.1 0 $.1 0 $.1^2 1 $.1 0 0 1 0 0 $.1 0\n    1 1 $.1^2 0 $.1 $.1^2 1 1 $.1^2 0 $.1^2 $.1^2 $.1 1 $.1 0 0 $.1^2 $.1^2 \n    $.1^2]\n[0 0 0 0 0 0 0 0 0 0 0 0 0 0 0 0 0 0 $.1 0 $.1^2 0 $.1^2 0 1 $.1 $.1^2 0 0 $.1 0\n    0 $.1^2 0 $.1 $.1 1 0 $.1^2 1 $.1 $.1 1 0 1 1 $.1^2 $.1 $.1^2 0 0 1 1 1]\n[0 0 0 0 0 0 0 0 0 0 0 0 0 0 0 0 0 0 0 1 $.1 0 1 $.1^2 0 $.1 1 1 0 $.1^2 $.1^2 1\n    1 0 1 $.1^2 $.1^2 1 $.1 $.1 $.1^2 1 1 $.1^2 $.1^2 0 $.1^2 $.1^2 $.1 1 $.1^2 \n    $.1^2 $.1 $.1^2]\n[0 0 0 0 0 0 0 0 0 0 0 0 0 0 0 0 0 0 0 $.1 $.1^2 0 $.1 1 0 $.1^2 $.1 $.1 0 1 1 \n    $.1 $.1 0 $.1 1 1 $.1 $.1^2 $.1^2 1 $.1 $.1 1 1 0 1 1 $.1^2 $.1 1 1 $.1^2 1]\n[0 0 0 0 0 0 0 0 0 0 0 0 0 0 0 0 0 0 0 0 0 1 0 $.1^2 1 0 0 $.1^2 $.1 $.1^2 0 1 \n    $.1 0 1 $.1 $.1 1 1 $.1^2 $.1 1 $.1 $.1 1 1 1 0 $.1 $.1 $.1^2 $.1^2 0 $.1^2]\n[0 0 0 0 0 0 0 0 0 0 0 0 0 0 0 0 0 0 0 0 0 $.1 0 1 $.1 0 0 1 $.1^2 1 0 $.1 $.1^2\n    0 $.1 $.1^2 $.1^2 $.1 $.1 1 $.1^2 $.1 $.1^2 $.1^2 $.1 $.1 $.1 0 $.1^2 $.1^2 \n    1 1 0 1]\nQuantum GF(2)-Additive code over GF(4) of length 54 with 66 generators.\nLower Bound: 1, Upper Bound: 22\nConstructed 2 distinct generator matrices\nTotal Ranks:     33  33 \nRelative Ranks:  33  21 \n(4 4 4 4 4 4 4 4 4 4 4 4 4 4 4 4 4 4 4 4 4 4 4 4 4 4 4 4 4 4 4 4 4 )\n(4 4 4 4 4 4 4 4 4 4 4 4 4 4 4 4 4 4 4 4 4 4 4 4 4 4 4 4 4 4 4 4 4 )\nTime Taken: 0.01\nStarting search for low weight codewords... (reset timings)\nEnumerating using 1 generator at a time:\n     New codeword identified of weight 17, time 0.00\n     New codeword identified of weight 16, time 0.00\n     New codeword identified of weight 15, time 0.00\n     New codeword identified of weight 14, time 0.00\n     New codeword identified of weight 13, time 0.00\n     Discarding non-contributing rank 21 matrix\n     New Total Ranks:     33 \n     New Relative Ranks:  33 \n   Completed Matrix  1:  lower =  2, upper = 13. Elapsed: 0.00s\nTermination predicted with 12 generators at matrix 1\nEnumerating using 2 generators at a time:\n     New codeword identified of weight 12, time 0.00\n     New codeword identified of weight 11, time 0.00\n     New codeword identified of weight 10, time 0.00\n   Completed Matrix  1:  lower =  3, upper = 10. Elapsed: 0.00s\nTermination predicted with 9 generators at matrix 1\nEnumerating using 3 generators at a time:\n   Completed Matrix  1:  lower =  4, upper = 10. Elapsed: 0.00s\nTermination predicted with 9 generators at matrix 1\nEnumerating using 4 generators at a time:\n   Completed Matrix  1:  lower =  5, upper = 10. Elapsed: 0.01s\nTermination predicted with 9 generators at matrix 1\nEnumerating using 5 generators at a time:\n   Completed Matrix  1:  lower =  6, upper = 10. Elapsed: 0.53s\nTermination predicted at 7459 s (2h 4m 19s) with 9 generators at matrix 1\nEnumerating using 6 generators at a time:\n   Completed Matrix  1:  lower =  7, upper = 10. Elapsed: 8.40s\nTermination predicted at 8321 s (2h 18m 41s) with 9 generators at matrix 1\nEnumerating using 7 generators at a time:\n   Completed Matrix  1:  lower =  8, upper = 10. Elapsed: 98.38s\nTermination predicted at 8289 s (2h 18m 9s) with 9 generators at matrix 1\nEnumerating using 8 generators at a time:\n   Completed Matrix  1:  lower =  9, upper = 10. Elapsed: 973.65s\nTermination predicted at 8270 s (2h 17m 50s) with 9 generators at matrix 1\nEnumerating using 9 generators at a time:\n   Completed Matrix  1:  lower = 10, upper = 10. Elapsed: 8233.25s\nComputation complete \nFinal Results: lower = 10, upper = 10,\nTotal CPU time: 8233.25, real time: 11548.400\n10\n\nTotal time: 8233.299 seconds, Total memory usage: 32.09MB\n</t>
  </si>
  <si>
    <t>612.0077084579971</t>
  </si>
  <si>
    <t>Magma V2.28-26    Wed Jan  7 2026 03:44:45 on Marks-MacBook-Air-2 [Seed = \n2961444711]\nType ? for help.  Type &lt;Ctrl&gt;-D to quit.\n[1 0 0 0 0 0 0 0 0 0 0 0 0 0 0 0 0 0 0 0 0 0 0 0 0 0 0 0 0 0 0 0 0 0 0 0 0 0 0 0\n    0 0 0 0 0 0 0 0 1 0 0 1 0 0 1 1 1 0 0 0 0 0 0 1 0 0 0 1 0 0 1 1 1 0 1 0 1 1 \n    1 1 0 1 1 1 1 1 0 0 1 1 0 0 0 0 0 0 0 1 1 0 0 1 1 1 0 1 0 0 1 0]\n[0 1 0 0 0 0 0 0 0 0 0 0 0 0 0 0 0 0 0 0 0 0 0 0 0 0 0 0 0 0 0 0 0 0 0 0 0 0 0 0\n    0 0 0 0 0 0 0 0 0 1 0 0 0 0 0 0 0 1 1 1 1 1 1 0 0 0 0 0 1 1 0 0 1 0 0 0 1 1 \n    1 1 1 0 1 0 1 1 1 1 1 1 0 1 1 1 1 0 1 0 1 1 1 1 0 0 1 0 1 0 1 0]\n[0 0 1 0 0 0 0 0 0 0 0 0 0 0 0 0 0 0 0 0 0 0 0 0 0 0 0 0 0 0 0 0 0 0 0 0 0 0 0 0\n    0 0 0 0 0 0 0 0 1 0 0 1 0 0 1 0 1 0 1 0 1 1 0 1 1 1 0 1 0 1 0 0 0 1 0 1 0 0 \n    1 1 1 0 1 1 0 1 1 1 0 1 1 1 1 1 1 0 1 1 0 1 0 1 1 0 1 0 0 1 0 1]\n[0 0 0 1 0 0 0 0 0 0 0 0 0 0 0 0 0 0 0 0 0 0 0 0 0 0 0 0 0 0 0 0 0 0 0 0 0 0 0 0\n    0 0 0 0 0 0 0 0 0 0 0 0 0 0 0 0 0 1 0 1 0 0 1 0 1 0 1 0 1 1 0 1 1 0 0 0 1 0 \n    0 1 0 0 0 1 0 0 1 1 1 0 0 0 0 1 0 1 1 0 0 0 1 0 1 1 1 0 0 0 0 1]\n[0 0 0 0 1 0 0 0 0 0 0 0 0 0 0 0 0 0 0 0 0 0 0 0 0 0 0 0 0 0 0 0 0 0 0 0 0 0 0 0\n    0 0 0 0 0 0 0 0 0 1 0 1 0 1 1 1 1 0 1 1 1 1 1 0 1 1 0 0 0 1 1 0 0 1 0 0 0 1 \n    1 0 0 0 0 0 1 0 1 0 1 1 0 0 0 1 1 1 1 0 1 0 0 1 0 0 1 1 1 1 0 1]\n[0 0 0 0 0 1 0 0 0 0 0 0 0 0 0 0 0 0 0 0 0 0 0 0 0 0 0 0 0 0 0 0 0 0 0 0 0 0 0 0\n    0 0 0 0 0 0 0 0 0 1 0 1 0 0 1 1 1 0 0 0 1 1 0 0 0 0 0 0 1 0 1 0 1 1 0 1 0 1 \n    0 0 1 1 1 0 1 1 0 0 0 1 0 1 1 1 0 1 0 0 1 1 1 0 1 0 0 1 1 1 1 0]\n[0 0 0 0 0 0 1 0 0 0 0 0 0 0 0 0 0 0 0 0 0 0 0 0 0 0 0 0 0 0 0 0 0 0 0 0 0 0 0 0\n    0 0 0 0 0 0 0 0 0 0 0 0 0 1 1 1 0 0 1 1 1 1 1 1 1 1 1 1 1 0 1 1 1 0 0 0 1 0 \n    1 0 1 1 1 0 1 0 1 0 1 1 0 1 1 0 0 0 1 0 1 0 0 0 1 1 0 0 1 1 0 0]\n[0 0 0 0 0 0 0 1 0 0 0 0 0 0 0 0 0 0 0 0 0 0 0 0 0 0 0 0 0 0 0 0 0 0 0 0 0 0 0 0\n    0 0 0 0 0 0 0 0 0 1 0 1 0 0 0 1 0 0 0 0 0 0 1 1 0 0 0 0 1 0 1 1 0 0 0 1 0 0 \n    0 0 0 1 1 1 0 1 1 0 1 1 0 0 0 0 1 0 0 0 1 1 0 1 0 1 1 0 0 1 0 0]\n[0 0 0 0 0 0 0 0 1 0 0 0 0 0 0 0 0 0 0 0 0 0 0 0 0 0 0 0 0 0 0 0 0 0 0 0 0 0 0 0\n    0 0 0 0 0 0 0 0 1 0 0 1 0 1 1 0 0 1 0 1 0 1 1 0 1 0 1 0 1 0 1 0 0 1 1 1 0 0 \n    1 0 0 1 1 0 0 1 0 0 1 1 1 1 0 0 1 1 0 0 0 0 1 1 1 1 0 0 1 1 1 1]\n[0 0 0 0 0 0 0 0 0 1 0 0 0 0 0 0 0 0 0 0 0 0 0 0 0 0 0 0 0 0 0 0 0 0 0 0 0 0 0 0\n    0 0 0 0 0 0 0 0 1 1 0 0 0 1 0 1 1 1 1 1 1 0 1 1 0 1 0 1 0 1 0 1 0 1 0 0 1 0 \n    0 1 1 0 0 1 1 0 1 1 1 1 0 1 1 0 0 1 0 1 0 0 1 0 0 0 1 0 0 0 1 1]\n[0 0 0 0 0 0 0 0 0 0 1 0 0 0 0 0 0 0 0 0 0 0 0 0 0 0 0 0 0 0 0 0 0 0 0 0 0 0 0 0\n    0 0 0 0 0 0 0 0 1 0 0 1 0 1 1 0 1 0 0 1 1 0 0 1 1 0 0 1 0 0 0 1 0 0 0 0 0 0 \n    0 1 1 0 0 1 0 1 1 0 1 0 0 0 0 0 1 1 0 0 1 1 1 1 0 0 1 0 0 1 1 0]\n[0 0 0 0 0 0 0 0 0 0 0 1 0 0 0 0 0 0 0 0 0 0 0 0 0 0 0 0 0 0 0 0 0 0 0 0 0 0 0 0\n    0 0 0 0 0 0 0 0 0 0 0 0 0 0 0 1 0 1 1 0 0 0 1 0 1 1 0 0 0 1 0 0 0 1 1 1 0 1 \n    1 0 0 1 0 0 0 0 0 0 0 1 0 1 0 0 0 1 0 1 1 0 0 0 0 1 0 1 1 1 0 1]\n[0 0 0 0 0 0 0 0 0 0 0 0 1 0 0 0 0 0 0 0 0 0 0 0 0 0 0 0 0 0 0 0 0 0 0 0 0 0 0 0\n    0 0 0 0 0 0 0 0 1 0 0 0 0 1 1 0 1 1 0 1 0 1 0 1 0 0 0 0 0 1 0 1 1 1 1 0 1 1 \n    0 1 0 1 0 0 1 1 1 1 1 0 0 1 0 1 0 0 1 1 1 1 1 0 1 0 0 1 1 1 1 0]\n[0 0 0 0 0 0 0 0 0 0 0 0 0 1 0 0 0 0 0 0 0 0 0 0 0 0 0 0 0 0 0 0 0 0 0 0 0 0 0 0\n    0 0 0 0 0 0 0 0 1 0 0 1 0 0 0 0 1 1 0 1 0 1 0 0 1 1 0 1 1 0 1 0 0 1 0 0 0 0 \n    1 0 1 1 1 1 1 1 1 0 0 0 0 0 0 0 0 0 0 0 1 0 0 1 1 0 1 1 1 1 0 0]\n[0 0 0 0 0 0 0 0 0 0 0 0 0 0 1 0 0 0 0 0 0 0 0 0 0 0 0 0 0 0 0 0 0 0 0 0 0 0 0 0\n    0 0 0 0 0 0 0 0 0 1 0 0 0 1 1 0 1 0 1 1 0 0 1 0 1 0 0 0 1 0 0 0 0 1 1 0 0 1 \n    1 0 1 1 0 0 1 1 1 1 1 1 1 0 1 1 1 0 1 1 1 1 1 1 0 0 0 1 0 1 1 1]\n[0 0 0 0 0 0 0 0 0 0 0 0 0 0 0 1 0 0 0 0 0 0 0 0 0 0 0 0 0 0 0 0 0 0 0 0 0 0 0 0\n    0 0 0 0 0 0 0 0 1 1 0 0 0 1 0 0 1 0 0 1 0 0 0 1 0 0 1 1 0 0 1 1 0 1 0 1 1 0 \n    1 0 0 0 0 0 1 0 1 1 1 1 0 0 0 1 0 1 0 1 0 1 0 1 1 0 1 0 0 0 1 1]\n[0 0 0 0 0 0 0 0 0 0 0 0 0 0 0 0 1 0 0 0 0 0 0 0 0 0 0 0 0 0 0 0 0 0 0 0 0 0 0 0\n    0 0 0 0 0 0 0 0 0 1 0 1 0 0 0 0 0 0 0 0 1 0 0 0 1 1 1 1 1 0 1 1 0 0 1 1 1 0 \n    0 1 1 0 0 1 0 0 0 1 0 0 0 0 0 0 0 1 0 0 0 0 1 0 1 1 0 1 0 0 0 0]\n[0 0 0 0 0 0 0 0 0 0 0 0 0 0 0 0 0 1 0 0 0 0 0 0 0 0 0 0 0 0 0 0 0 0 0 0 0 0 0 0\n    0 0 0 0 0 0 0 0 1 0 0 1 0 0 1 1 1 0 1 1 1 0 1 0 1 1 1 0 1 1 1 1 1 1 1 1 0 0 \n    0 0 1 1 1 1 0 0 0 0 1 1 0 0 0 1 1 0 0 1 1 1 1 0 0 1 1 1 1 0 0 1]\n[0 0 0 0 0 0 0 0 0 0 0 0 0 0 0 0 0 0 1 0 0 0 0 0 0 0 0 0 0 0 0 0 0 0 0 0 0 0 0 0\n    0 0 0 0 0 0 0 0 1 1 0 1 0 0 0 0 1 1 0 1 1 1 1 1 1 1 1 0 0 1 1 0 1 0 0 1 1 0 \n    1 0 1 1 1 0 0 0 1 1 1 1 0 1 0 0 0 0 0 1 1 0 0 0 1 1 1 0 0 0 1 0]\n[0 0 0 0 0 0 0 0 0 0 0 0 0 0 0 0 0 0 0 1 0 0 0 0 0 0 0 0 0 0 0 0 0 0 0 0 0 0 0 0\n    0 0 0 0 0 0 0 0 1 1 0 0 0 0 0 0 1 1 0 1 0 0 1 0 1 1 0 0 0 0 1 1 1 1 0 1 0 0 \n    1 1 0 0 0 1 0 1 1 0 0 0 1 0 1 0 1 0 0 1 0 1 0 0 0 0 0 0 1 0 0 1]\n[0 0 0 0 0 0 0 0 0 0 0 0 0 0 0 0 0 0 0 0 1 0 0 0 0 0 0 0 0 0 0 0 0 0 0 0 0 0 0 0\n    0 0 0 0 0 0 0 0 1 1 0 1 0 1 0 1 0 1 0 1 0 1 1 1 0 1 1 0 0 1 1 0 1 1 0 0 1 0 \n    1 0 0 1 1 0 1 0 1 0 0 1 1 0 1 0 1 1 1 0 1 0 1 1 0 1 1 1 1 0 0 1]\n[0 0 0 0 0 0 0 0 0 0 0 0 0 0 0 0 0 0 0 0 0 1 0 0 0 0 0 0 0 0 0 0 0 0 0 0 0 0 0 0\n    0 0 0 0 0 0 0 0 1 1 0 0 0 1 0 0 1 0 1 1 1 1 1 1 0 1 1 0 1 0 0 1 1 0 1 1 1 0 \n    1 1 1 1 0 0 0 0 1 0 0 0 1 1 1 1 1 0 0 0 1 1 1 0 0 1 0 1 1 0 0 1]\n[0 0 0 0 0 0 0 0 0 0 0 0 0 0 0 0 0 0 0 0 0 0 1 0 0 0 0 0 0 0 0 0 0 0 0 0 0 0 0 0\n    0 0 0 0 0 0 0 0 1 0 0 1 0 0 0 1 1 1 1 1 0 0 0 0 0 0 1 0 1 0 0 0 1 0 0 0 0 1 \n    1 1 1 1 1 0 0 0 1 1 1 1 0 1 0 0 1 0 1 0 0 1 0 0 1 0 1 0 0 0 1 1]\n[0 0 0 0 0 0 0 0 0 0 0 0 0 0 0 0 0 0 0 0 0 0 0 1 0 0 0 0 0 0 0 0 0 0 0 0 0 0 0 0\n    0 0 0 0 0 0 0 0 1 0 0 1 0 1 0 1 1 1 1 1 1 1 0 0 0 1 1 1 0 0 1 0 0 1 1 1 0 0 \n    0 1 1 1 1 1 1 1 1 1 1 0 1 1 0 0 1 0 0 0 0 1 0 0 0 1 0 0 1 0 0 0]\n[0 0 0 0 0 0 0 0 0 0 0 0 0 0 0 0 0 0 0 0 0 0 0 0 1 0 0 0 0 0 0 0 0 0 0 0 0 0 0 0\n    0 0 0 0 0 0 0 0 1 1 0 0 0 1 1 0 1 0 0 1 1 0 0 1 0 1 0 0 0 1 1 0 0 0 1 1 1 1 \n    0 0 0 1 0 0 1 1 0 1 1 1 0 0 0 0 1 1 1 1 0 0 1 0 1 1 0 0 0 0 1 0]\n[0 0 0 0 0 0 0 0 0 0 0 0 0 0 0 0 0 0 0 0 0 0 0 0 0 1 0 0 0 0 0 0 0 0 0 0 0 0 0 0\n    0 0 0 0 0 0 0 0 1 1 0 1 0 1 1 1 0 0 1 1 1 1 0 1 1 0 1 1 0 1 0 0 0 1 1 1 1 1 \n    0 1 1 1 0 0 1 1 0 0 1 1 0 1 0 0 1 1 0 0 1 1 1 1 1 1 0 1 0 0 0 0]\n[0 0 0 0 0 0 0 0 0 0 0 0 0 0 0 0 0 0 0 0 0 0 0 0 0 0 1 0 0 0 0 0 0 0 0 0 0 0 0 0\n    0 0 0 0 0 0 0 0 0 1 0 0 0 1 1 1 0 1 0 0 0 0 1 0 0 1 0 0 0 0 0 1 0 1 0 1 1 0 \n    1 0 0 1 1 0 1 1 0 0 1 1 1 1 0 0 0 1 0 1 0 0 1 1 1 1 0 1 1 0 0 1]\n[0 0 0 0 0 0 0 0 0 0 0 0 0 0 0 0 0 0 0 0 0 0 0 0 0 0 0 1 0 0 0 0 0 0 0 0 0 0 0 0\n    0 0 0 0 0 0 0 0 1 1 0 1 0 1 0 0 0 1 0 0 0 0 0 0 1 0 0 1 0 0 1 0 1 1 1 0 1 0 \n    1 1 1 0 0 1 0 0 0 1 1 0 0 1 1 0 0 1 0 1 1 0 1 1 0 0 0 0 1 0 1 0]\n[0 0 0 0 0 0 0 0 0 0 0 0 0 0 0 0 0 0 0 0 0 0 0 0 0 0 0 0 1 0 0 0 0 0 0 0 0 0 0 0\n    0 0 0 0 0 0 0 0 0 1 0 1 0 1 0 1 0 1 0 1 1 1 1 1 1 0 1 1 0 0 0 0 0 0 0 0 1 1 \n    1 1 0 0 1 0 0 0 0 0 0 1 0 0 1 1 0 1 0 0 1 0 0 1 1 1 1 0 0 1 0 0]\n[0 0 0 0 0 0 0 0 0 0 0 0 0 0 0 0 0 0 0 0 0 0 0 0 0 0 0 0 0 1 0 0 0 0 0 0 0 0 0 0\n    0 0 0 0 0 0 0 0 1 1 0 1 0 0 0 1 0 0 0 1 1 1 0 0 1 1 0 1 1 0 1 1 0 1 1 0 1 1 \n    0 0 1 0 1 1 1 1 0 1 0 0 1 0 0 0 1 1 0 1 1 0 1 1 0 1 1 0 1 0 1 1]\n[0 0 0 0 0 0 0 0 0 0 0 0 0 0 0 0 0 0 0 0 0 0 0 0 0 0 0 0 0 0 1 0 0 0 0 0 0 0 0 0\n    0 0 0 0 0 0 0 0 0 0 0 0 0 0 0 1 1 1 0 1 1 1 1 0 1 0 0 0 1 0 1 0 0 0 1 1 1 0 \n    0 0 0 0 1 1 1 1 1 1 0 1 0 1 0 1 1 0 1 0 1 0 0 0 1 0 0 0 0 1 1 0]\n[0 0 0 0 0 0 0 0 0 0 0 0 0 0 0 0 0 0 0 0 0 0 0 0 0 0 0 0 0 0 0 1 0 0 0 0 0 0 0 0\n    0 0 0 0 0 0 0 0 0 1 0 1 0 1 0 1 1 0 0 1 1 1 1 1 1 0 1 0 1 0 1 1 0 0 1 1 0 1 \n    1 1 0 1 0 1 0 0 0 0 0 0 1 0 0 0 1 0 1 1 1 0 1 1 1 0 1 0 0 1 1 0]\n[0 0 0 0 0 0 0 0 0 0 0 0 0 0 0 0 0 0 0 0 0 0 0 0 0 0 0 0 0 0 0 0 1 0 0 0 0 0 0 0\n    0 0 0 0 0 0 0 0 1 1 0 1 0 0 0 1 0 0 1 1 1 0 1 1 1 0 0 1 1 0 1 1 1 1 1 0 1 1 \n    1 0 1 1 1 0 0 1 1 1 1 1 0 0 0 1 0 1 1 1 1 1 0 0 1 1 1 1 0 0 1 1]\n[0 0 0 0 0 0 0 0 0 0 0 0 0 0 0 0 0 0 0 0 0 0 0 0 0 0 0 0 0 0 0 0 0 1 0 0 0 0 0 0\n    0 0 0 0 0 0 0 0 0 1 0 1 0 0 0 1 0 1 0 1 1 1 1 0 0 0 1 0 1 1 0 1 1 0 1 0 1 1 \n    1 0 0 0 0 0 0 0 0 0 0 1 1 1 0 0 1 0 0 1 1 0 0 0 0 1 1 1 0 1 0 1]\n[0 0 0 0 0 0 0 0 0 0 0 0 0 0 0 0 0 0 0 0 0 0 0 0 0 0 0 0 0 0 0 0 0 0 1 0 0 0 0 0\n    0 0 0 0 0 0 0 0 0 0 0 0 0 0 0 0 0 0 0 0 1 1 0 1 1 0 1 0 0 0 1 1 0 0 1 1 0 1 \n    1 0 0 0 0 1 1 1 0 0 0 0 1 0 1 1 1 1 1 0 1 1 1 0 0 0 1 0 0 1 1 1]\n[0 0 0 0 0 0 0 0 0 0 0 0 0 0 0 0 0 0 0 0 0 0 0 0 0 0 0 0 0 0 0 0 0 0 0 1 0 0 0 0\n    0 0 0 0 0 0 0 0 0 0 0 1 0 0 1 0 0 0 1 1 1 0 0 0 0 1 0 1 1 0 0 0 0 1 1 1 0 1 \n    1 1 0 1 1 1 0 0 0 0 0 0 1 0 0 0 1 1 1 0 0 1 0 1 1 1 1 0 1 1 1 0]\n[0 0 0 0 0 0 0 0 0 0 0 0 0 0 0 0 0 0 0 0 0 0 0 0 0 0 0 0 0 0 0 0 0 0 0 0 1 0 0 0\n    0 0 0 0 0 0 0 0 0 0 0 0 0 0 1 0 0 0 1 0 0 0 0 0 1 0 0 0 1 1 0 0 1 1 0 1 1 1 \n    0 0 0 0 1 0 1 1 0 1 0 1 0 0 0 1 0 1 1 1 0 1 1 0 1 0 1 0 1 1 0 1]\n[0 0 0 0 0 0 0 0 0 0 0 0 0 0 0 0 0 0 0 0 0 0 0 0 0 0 0 0 0 0 0 0 0 0 0 0 0 1 0 0\n    0 0 0 0 0 0 0 0 1 0 0 1 0 0 1 1 0 0 0 1 0 1 0 0 1 1 1 1 0 0 0 0 1 0 1 0 1 0 \n    0 1 0 1 0 0 0 0 0 1 1 0 0 1 0 0 0 1 1 0 1 1 1 0 0 0 0 0 1 1 1 1]\n[0 0 0 0 0 0 0 0 0 0 0 0 0 0 0 0 0 0 0 0 0 0 0 0 0 0 0 0 0 0 0 0 0 0 0 0 0 0 1 0\n    0 0 0 0 0 0 0 0 0 1 0 0 0 1 0 1 1 0 0 1 1 1 1 1 1 0 0 0 0 1 0 0 0 1 1 0 0 1 \n    1 1 0 1 0 0 1 0 0 0 1 1 1 1 1 1 0 1 1 0 0 1 0 0 1 1 0 0 0 0 0 1]\n[0 0 0 0 0 0 0 0 0 0 0 0 0 0 0 0 0 0 0 0 0 0 0 0 0 0 0 0 0 0 0 0 0 0 0 0 0 0 0 1\n    0 0 0 0 0 0 0 0 0 0 0 1 0 0 0 0 1 1 0 0 0 1 1 1 0 0 1 1 0 0 0 0 0 0 1 1 0 0 \n    0 0 1 0 0 1 0 1 0 0 1 1 0 0 1 0 0 0 1 0 0 1 1 0 1 0 1 1 1 1 1 1]\n[0 0 0 0 0 0 0 0 0 0 0 0 0 0 0 0 0 0 0 0 0 0 0 0 0 0 0 0 0 0 0 0 0 0 0 0 0 0 0 0\n    1 0 0 0 0 0 0 0 1 1 0 1 0 1 1 0 1 0 0 0 1 1 1 1 0 1 0 1 1 1 0 1 0 0 0 0 1 0 \n    1 0 0 1 0 0 1 1 1 0 0 0 1 1 0 1 1 1 0 1 0 0 0 0 1 0 0 0 1 0 0 1]\n[0 0 0 0 0 0 0 0 0 0 0 0 0 0 0 0 0 0 0 0 0 0 0 0 0 0 0 0 0 0 0 0 0 0 0 0 0 0 0 0\n    0 1 0 0 0 0 0 0 0 0 0 1 0 0 0 1 1 0 1 1 1 0 1 1 0 0 1 0 1 0 0 1 0 1 0 0 1 1 \n    0 0 1 0 1 0 0 1 1 0 1 1 1 1 1 1 0 0 0 1 1 0 0 1 0 0 1 1 0 0 1 1]\n[0 0 0 0 0 0 0 0 0 0 0 0 0 0 0 0 0 0 0 0 0 0 0 0 0 0 0 0 0 0 0 0 0 0 0 0 0 0 0 0\n    0 0 1 0 0 0 0 0 0 1 0 0 0 1 0 1 1 1 1 0 1 1 1 1 1 0 1 1 0 0 1 0 1 1 0 0 0 1 \n    0 0 1 1 1 0 1 1 0 1 0 0 1 0 0 0 1 0 0 1 1 0 0 0 0 0 1 0 1 0 1 0]\n[0 0 0 0 0 0 0 0 0 0 0 0 0 0 0 0 0 0 0 0 0 0 0 0 0 0 0 0 0 0 0 0 0 0 0 0 0 0 0 0\n    0 0 0 1 0 0 0 0 1 1 0 1 0 0 0 1 1 0 0 1 0 1 1 1 0 1 1 1 0 1 0 1 1 0 0 1 0 0 \n    1 0 1 0 1 1 1 1 0 0 1 0 1 0 1 1 0 0 0 1 0 0 0 1 0 1 0 1 0 0 0 0]\n[0 0 0 0 0 0 0 0 0 0 0 0 0 0 0 0 0 0 0 0 0 0 0 0 0 0 0 0 0 0 0 0 0 0 0 0 0 0 0 0\n    0 0 0 0 1 0 0 0 0 0 0 1 0 0 0 1 0 0 0 0 1 0 1 0 0 0 1 1 1 0 1 0 1 0 0 1 0 1 \n    0 1 0 0 1 0 1 0 0 1 0 1 1 1 1 1 0 0 0 1 0 1 0 0 0 0 0 1 0 0 0 1]\n[0 0 0 0 0 0 0 0 0 0 0 0 0 0 0 0 0 0 0 0 0 0 0 0 0 0 0 0 0 0 0 0 0 0 0 0 0 0 0 0\n    0 0 0 0 0 1 0 0 1 0 0 1 0 1 0 1 0 1 0 0 1 1 1 0 0 0 0 0 0 0 1 0 0 0 0 0 1 0 \n    0 1 1 1 0 0 0 1 1 0 1 0 0 0 0 1 0 0 0 0 1 1 1 0 1 0 1 0 1 0 1 0]\n[0 0 0 0 0 0 0 0 0 0 0 0 0 0 0 0 0 0 0 0 0 0 0 0 0 0 0 0 0 0 0 0 0 0 0 0 0 0 0 0\n    0 0 0 0 0 0 1 0 0 1 0 1 0 0 0 1 1 0 1 1 0 1 0 1 1 1 1 0 0 1 0 0 0 0 0 1 1 0 \n    1 1 0 0 0 1 0 0 1 0 1 1 0 1 1 1 0 0 0 1 0 0 0 0 1 1 0 1 0 0 1 1]\n[0 0 0 0 0 0 0 0 0 0 0 0 0 0 0 0 0 0 0 0 0 0 0 0 0 0 0 0 0 0 0 0 0 0 0 0 0 0 0 0\n    0 0 0 0 0 0 0 1 0 0 0 1 0 0 1 0 0 1 0 0 1 0 0 1 0 0 0 1 0 0 1 1 1 0 0 0 1 0 \n    0 1 0 0 1 0 1 1 0 1 1 1 0 0 1 0 0 0 0 1 1 0 1 0 1 1 1 0 1 1 1 1]\n[0 0 0 0 0 0 0 0 0 0 0 0 0 0 0 0 0 0 0 0 0 0 0 0 0 0 0 0 0 0 0 0 0 0 0 0 0 0 0 0\n    0 0 0 0 0 0 0 0 0 0 1 1 0 1 1 0 0 1 1 0 1 1 1 0 1 0 1 1 1 1 1 0 1 0 0 1 0 1 \n    1 1 0 1 0 0 0 1 1 0 1 0 0 1 1 0 1 1 0 1 0 1 0 0 1 0 0 0 1 1 1 1]\n[0 0 0 0 0 0 0 0 0 0 0 0 0 0 0 0 0 0 0 0 0 0 0 0 0 0 0 0 0 0 0 0 0 0 0 0 0 0 0 0\n    0 0 0 0 0 0 0 0 0 0 0 0 1 1 1 0 0 1 1 0 1 1 1 1 1 0 0 1 1 0 1 0 0 0 1 1 0 0 \n    1 1 1 0 1 0 1 0 1 1 0 1 0 1 0 1 0 0 1 1 1 0 0 0 1 1 1 0 1 0 1 1]\n[[55, 5]] quantum code over GF(2^2), stabilised by:\n[1 0 0 0 0 0 0 0 0 0 0 0 0 0 0 0 0 0 0 0 0 0 0 0 0 $.1 $.1 $.1^2 1 0 $.1 0 1 0 \n    $.1 $.1^2 $.1^2 1 $.1 1 $.1 $.1 $.1 $.1 0 0 0 $.1 0 $.1^2 $.1^2 0 0 $.1^2 \n    $.1^2]\n[$.1 0 0 0 0 0 0 0 0 0 0 0 0 0 0 0 0 0 0 0 0 0 0 0 0 $.1^2 $.1^2 1 $.1 0 $.1^2 0\n    $.1 0 $.1^2 1 1 $.1 $.1^2 $.1 $.1^2 $.1^2 $.1^2 $.1^2 0 0 0 $.1^2 0 1 1 0 0 \n    1 1]\n[0 1 0 0 0 0 0 0 0 0 0 0 0 0 0 0 0 0 0 0 0 0 0 0 0 0 0 $.1 $.1^2 $.1^2 0 1 $.1 \n    $.1 1 1 $.1 $.1^2 1 $.1 $.1 0 1 $.1^2 $.1^2 $.1 0 $.1 $.1^2 $.1^2 1 0 0 1 1]\n[0 $.1 0 0 0 0 0 0 0 0 0 0 0 0 0 0 0 0 0 0 0 0 0 0 0 0 0 $.1^2 1 1 0 $.1 $.1^2 \n    $.1^2 $.1 $.1 $.1^2 1 $.1 $.1^2 $.1^2 0 $.1 1 1 $.1^2 0 $.1^2 1 1 $.1 0 0 \n    $.1 $.1]\n[0 0 1 0 0 0 0 0 0 0 0 0 0 0 0 0 0 0 0 0 0 0 0 0 0 0 $.1^2 $.1^2 $.1 0 $.1 $.1 1\n    $.1 1 1 0 $.1^2 $.1 0 1 0 $.1^2 $.1^2 $.1^2 $.1 $.1 1 0 $.1 1 $.1 1 $.1 0]\n[0 0 $.1 0 0 0 0 0 0 0 0 0 0 0 0 0 0 0 0 0 0 0 0 0 0 0 1 1 $.1^2 0 $.1^2 $.1^2 \n    $.1 $.1^2 $.1 $.1 0 1 $.1^2 0 $.1 0 1 1 1 $.1^2 $.1^2 $.1 0 $.1^2 $.1 $.1^2 \n    $.1 $.1^2 0]\n[0 0 0 1 0 0 0 0 0 0 0 0 0 0 0 0 0 0 0 0 0 0 0 0 0 $.1^2 0 $.1 $.1^2 1 1 1 $.1^2\n    1 1 0 $.1 $.1 1 $.1 $.1^2 1 1 1 $.1^2 $.1^2 1 1 0 $.1^2 $.1^2 0 $.1 $.1 0]\n[0 0 0 $.1 0 0 0 0 0 0 0 0 0 0 0 0 0 0 0 0 0 0 0 0 0 1 0 $.1^2 1 $.1 $.1 $.1 1 \n    $.1 $.1 0 $.1^2 $.1^2 $.1 $.1^2 1 $.1 $.1 $.1 1 1 $.1 $.1 0 1 1 0 $.1^2 \n    $.1^2 0]\n[0 0 0 0 1 0 0 0 0 0 0 0 0 0 0 0 0 0 0 0 0 0 0 0 0 $.1^2 0 1 $.1^2 $.1 0 1 $.1^2\n    0 $.1 1 0 1 0 0 $.1^2 $.1^2 0 $.1 0 $.1^2 $.1 0 0 $.1^2 1 $.1 0 0 0]\n[0 0 0 0 $.1 0 0 0 0 0 0 0 0 0 0 0 0 0 0 0 0 0 0 0 0 1 0 $.1 1 $.1^2 0 $.1 1 0 \n    $.1^2 $.1 0 $.1 0 0 1 1 0 $.1^2 0 1 $.1^2 0 0 1 $.1 $.1^2 0 0 0]\n[0 0 0 0 0 1 0 0 0 0 0 0 0 0 0 0 0 0 0 0 0 0 0 0 0 1 1 0 $.1 1 1 0 $.1^2 0 $.1^2\n    1 $.1 1 0 0 1 1 1 $.1 $.1^2 $.1^2 $.1^2 $.1 $.1 0 $.1^2 0 1 $.1^2 $.1]\n[0 0 0 0 0 $.1 0 0 0 0 0 0 0 0 0 0 0 0 0 0 0 0 0 0 0 $.1 $.1 0 $.1^2 $.1 $.1 0 1\n    0 1 $.1 $.1^2 $.1 0 0 $.1 $.1 $.1 $.1^2 1 1 1 $.1^2 $.1^2 0 1 0 $.1 1 $.1^2]\n[0 0 0 0 0 0 1 0 0 0 0 0 0 0 0 0 0 0 0 0 0 0 0 0 0 1 $.1^2 $.1 1 1 0 $.1^2 1 1 \n    $.1^2 $.1^2 0 $.1^2 $.1^2 $.1^2 $.1 1 1 1 1 0 0 1 $.1^2 $.1 0 1 $.1 1 $.1]\n[0 0 0 0 0 0 $.1 0 0 0 0 0 0 0 0 0 0 0 0 0 0 0 0 0 0 $.1 1 $.1^2 $.1 $.1 0 1 $.1\n    $.1 1 1 0 1 1 1 $.1^2 $.1 $.1 $.1 $.1 0 0 $.1 1 $.1^2 0 $.1 $.1^2 $.1 $.1^2]\n[0 0 0 0 0 0 0 1 0 0 0 0 0 0 0 0 0 0 0 0 0 0 0 0 0 1 $.1 0 $.1 1 $.1^2 0 $.1^2 0\n    1 $.1^2 $.1^2 $.1^2 $.1^2 1 0 $.1 0 $.1 $.1^2 $.1^2 1 0 1 $.1 $.1 $.1 $.1^2 \n    0 1]\n[0 0 0 0 0 0 0 $.1 0 0 0 0 0 0 0 0 0 0 0 0 0 0 0 0 0 $.1 $.1^2 0 $.1^2 $.1 1 0 1\n    0 $.1 1 1 1 1 $.1 0 $.1^2 0 $.1^2 1 1 $.1 0 $.1 $.1^2 $.1^2 $.1^2 1 0 $.1]\n[0 0 0 0 0 0 0 0 1 0 0 0 0 0 0 0 0 0 0 0 0 0 0 0 0 1 $.1 $.1 $.1 $.1 0 $.1 $.1^2\n    $.1 $.1^2 1 0 1 $.1^2 $.1 1 1 $.1 0 0 0 1 0 $.1^2 $.1^2 0 $.1 1 1 $.1]\n[0 0 0 0 0 0 0 0 $.1 0 0 0 0 0 0 0 0 0 0 0 0 0 0 0 0 $.1 $.1^2 $.1^2 $.1^2 $.1^2\n    0 $.1^2 1 $.1^2 1 $.1 0 $.1 1 $.1^2 $.1 $.1 $.1^2 0 0 0 $.1 0 1 1 0 $.1^2 \n    $.1 $.1 $.1^2]\n[0 0 0 0 0 0 0 0 0 1 0 0 0 0 0 0 0 0 0 0 0 0 0 0 0 $.1 0 0 1 1 0 $.1 1 1 $.1 $.1\n    1 $.1^2 0 $.1 $.1^2 $.1 $.1 1 $.1^2 $.1^2 $.1^2 0 1 $.1 $.1 $.1 0 0 $.1^2]\n[0 0 0 0 0 0 0 0 0 $.1 0 0 0 0 0 0 0 0 0 0 0 0 0 0 0 $.1^2 0 0 $.1 $.1 0 $.1^2 \n    $.1 $.1 $.1^2 $.1^2 $.1 1 0 $.1^2 1 $.1^2 $.1^2 $.1 1 1 1 0 $.1 $.1^2 $.1^2 \n    $.1^2 0 0 1]\n[0 0 0 0 0 0 0 0 0 0 1 0 0 0 0 0 0 0 0 0 0 0 0 0 0 $.1^2 0 $.1 $.1 0 $.1^2 1 $.1\n    $.1 0 0 $.1^2 $.1 1 $.1^2 1 0 1 $.1 0 0 $.1^2 $.1^2 $.1^2 $.1 $.1^2 $.1 \n    $.1^2 $.1 1]\n[0 0 0 0 0 0 0 0 0 0 $.1 0 0 0 0 0 0 0 0 0 0 0 0 0 0 1 0 $.1^2 $.1^2 0 1 $.1 \n    $.1^2 $.1^2 0 0 1 $.1^2 $.1 1 $.1 0 $.1 $.1^2 0 0 1 1 1 $.1^2 1 $.1^2 1 \n    $.1^2 $.1]\n[0 0 0 0 0 0 0 0 0 0 0 1 0 0 0 0 0 0 0 0 0 0 0 0 0 0 $.1^2 0 $.1^2 1 $.1 0 1 $.1\n    1 1 $.1^2 0 $.1^2 0 0 $.1^2 0 0 $.1 1 $.1 $.1^2 1 $.1^2 1 0 $.1 1 1]\n[0 0 0 0 0 0 0 0 0 0 0 $.1 0 0 0 0 0 0 0 0 0 0 0 0 0 0 1 0 1 $.1 $.1^2 0 $.1 \n    $.1^2 $.1 $.1 1 0 1 0 0 1 0 0 $.1^2 $.1 $.1^2 1 $.1 1 $.1 0 $.1^2 $.1 $.1]\n[0 0 0 0 0 0 0 0 0 0 0 0 1 0 0 0 0 0 0 0 0 0 0 0 0 0 $.1^2 $.1^2 1 0 1 $.1^2 1 0\n    $.1 $.1 $.1 0 $.1^2 $.1 0 $.1^2 0 $.1 1 1 $.1^2 $.1^2 0 1 1 0 0 0 0]\n[0 0 0 0 0 0 0 0 0 0 0 0 $.1 0 0 0 0 0 0 0 0 0 0 0 0 0 1 1 $.1 0 $.1 1 $.1 0 \n    $.1^2 $.1^2 $.1^2 0 1 $.1^2 0 1 0 $.1^2 $.1 $.1 1 1 0 $.1 $.1 0 0 0 0]\n[0 0 0 0 0 0 0 0 0 0 0 0 0 1 0 0 0 0 0 0 0 0 0 0 0 0 1 0 $.1^2 1 0 $.1^2 1 $.1^2\n    1 $.1 $.1^2 $.1 $.1 $.1 $.1 $.1^2 0 $.1 1 $.1^2 1 $.1^2 0 1 $.1^2 0 1 0 1]\n[0 0 0 0 0 0 0 0 0 0 0 0 0 $.1 0 0 0 0 0 0 0 0 0 0 0 0 $.1 0 1 $.1 0 1 $.1 1 $.1\n    $.1^2 1 $.1^2 $.1^2 $.1^2 $.1^2 1 0 $.1^2 $.1 1 $.1 1 0 $.1 1 0 $.1 0 $.1]\n[0 0 0 0 0 0 0 0 0 0 0 0 0 0 1 0 0 0 0 0 0 0 0 0 0 $.1^2 $.1 $.1^2 0 1 $.1 1 \n    $.1^2 0 $.1 0 0 $.1^2 $.1^2 $.1^2 0 $.1^2 1 0 0 $.1 0 0 $.1^2 $.1 $.1 0 1 1 \n    0]\n[0 0 0 0 0 0 0 0 0 0 0 0 0 0 $.1 0 0 0 0 0 0 0 0 0 0 1 $.1^2 1 0 $.1 $.1^2 $.1 1\n    0 $.1^2 0 0 1 1 1 0 1 $.1 0 0 $.1^2 0 0 1 $.1^2 $.1^2 0 $.1 $.1 0]\n[0 0 0 0 0 0 0 0 0 0 0 0 0 0 0 1 0 0 0 0 0 0 0 0 0 1 $.1 $.1^2 $.1 $.1 1 $.1 1 1\n    $.1^2 1 $.1^2 0 $.1^2 $.1^2 1 1 $.1 1 $.1^2 $.1^2 1 1 $.1^2 $.1^2 1 $.1 1 \n    $.1 1]\n[0 0 0 0 0 0 0 0 0 0 0 0 0 0 0 $.1 0 0 0 0 0 0 0 0 0 $.1 $.1^2 1 $.1^2 $.1^2 $.1\n    $.1^2 $.1 $.1 1 $.1 1 0 1 1 $.1 $.1 $.1^2 $.1 1 1 $.1 $.1 1 1 $.1 $.1^2 $.1 \n    $.1^2 $.1]\n[0 0 0 0 0 0 0 0 0 0 0 0 0 0 0 0 1 0 0 0 0 0 0 0 0 $.1 0 $.1^2 0 $.1^2 $.1^2 1 \n    $.1 0 1 $.1 0 $.1^2 1 $.1^2 0 $.1 1 $.1^2 $.1^2 0 0 $.1^2 0 $.1^2 0 $.1^2 1 \n    1 1]\n[0 0 0 0 0 0 0 0 0 0 0 0 0 0 0 0 $.1 0 0 0 0 0 0 0 0 $.1^2 0 1 0 1 1 $.1 $.1^2 0\n    $.1 $.1^2 0 1 $.1 1 0 $.1^2 $.1 1 1 0 0 1 0 1 0 1 $.1 $.1 $.1]\n[0 0 0 0 0 0 0 0 0 0 0 0 0 0 0 0 0 1 0 0 0 0 0 0 0 0 $.1^2 $.1 1 0 $.1^2 $.1 $.1\n    $.1^2 1 $.1 $.1 $.1 $.1 0 1 1 1 0 1 1 $.1^2 0 $.1^2 $.1 0 $.1 0 1 1]\n[0 0 0 0 0 0 0 0 0 0 0 0 0 0 0 0 0 $.1 0 0 0 0 0 0 0 0 1 $.1^2 $.1 0 1 $.1^2 \n    $.1^2 1 $.1 $.1^2 $.1^2 $.1^2 $.1^2 0 $.1 $.1 $.1 0 $.1 $.1 1 0 1 $.1^2 0 \n    $.1^2 0 $.1 $.1]\n[0 0 0 0 0 0 0 0 0 0 0 0 0 0 0 0 0 0 1 0 0 0 0 0 0 $.1 $.1^2 $.1^2 $.1^2 1 $.1 1\n    1 0 0 $.1 0 $.1^2 $.1 $.1 $.1 0 0 1 $.1^2 $.1^2 1 1 $.1^2 1 $.1^2 1 $.1^2 \n    $.1^2 $.1^2]\n[0 0 0 0 0 0 0 0 0 0 0 0 0 0 0 0 0 0 $.1 0 0 0 0 0 0 $.1^2 1 1 1 $.1 $.1^2 $.1 \n    $.1 0 0 $.1^2 0 1 $.1^2 $.1^2 $.1^2 0 0 $.1 1 1 $.1 $.1 1 $.1 1 $.1 1 1 1]\n[0 0 0 0 0 0 0 0 0 0 0 0 0 0 0 0 0 0 0 1 0 0 0 0 0 $.1 1 $.1 $.1^2 0 $.1^2 $.1 \n    $.1^2 1 $.1 0 $.1 0 0 1 0 $.1^2 $.1 1 1 $.1^2 1 0 0 1 1 $.1 $.1 $.1 $.1]\n[0 0 0 0 0 0 0 0 0 0 0 0 0 0 0 0 0 0 0 $.1 0 0 0 0 0 $.1^2 $.1 $.1^2 1 0 1 $.1^2\n    1 $.1 $.1^2 0 $.1^2 0 0 $.1 0 1 $.1^2 $.1 $.1 1 $.1 0 0 $.1 $.1 $.1^2 $.1^2 \n    $.1^2 $.1^2]\n[0 0 0 0 0 0 0 0 0 0 0 0 0 0 0 0 0 0 0 0 1 0 0 0 0 $.1 1 0 0 0 0 $.1^2 1 1 1 $.1\n    $.1 0 0 $.1 0 0 $.1^2 0 1 1 $.1 $.1^2 $.1^2 0 $.1 $.1^2 0 1 $.1]\n[0 0 0 0 0 0 0 0 0 0 0 0 0 0 0 0 0 0 0 0 $.1 0 0 0 0 $.1^2 $.1 0 0 0 0 1 $.1 $.1\n    $.1 $.1^2 $.1^2 0 0 $.1^2 0 0 1 0 $.1 $.1 $.1^2 1 1 0 $.1^2 1 0 $.1 $.1^2]\n[0 0 0 0 0 0 0 0 0 0 0 0 0 0 0 0 0 0 0 0 0 1 0 0 0 $.1^2 $.1 1 0 $.1^2 $.1 $.1 \n    $.1 $.1 $.1^2 0 0 0 1 0 1 1 1 $.1^2 0 $.1 $.1 $.1 $.1 0 0 $.1 $.1 $.1 0]\n[0 0 0 0 0 0 0 0 0 0 0 0 0 0 0 0 0 0 0 0 0 $.1 0 0 0 1 $.1^2 $.1 0 1 $.1^2 $.1^2\n    $.1^2 $.1^2 1 0 0 0 $.1 0 $.1 $.1 $.1 1 0 $.1^2 $.1^2 $.1^2 $.1^2 0 0 $.1^2 \n    $.1^2 $.1^2 0]\n[0 0 0 0 0 0 0 0 0 0 0 0 0 0 0 0 0 0 0 0 0 0 1 0 0 1 0 0 $.1^2 $.1^2 1 $.1^2 1 \n    $.1^2 $.1 $.1 $.1^2 1 0 1 1 $.1 0 0 $.1^2 1 1 $.1^2 $.1^2 0 1 1 $.1 $.1 0]\n[0 0 0 0 0 0 0 0 0 0 0 0 0 0 0 0 0 0 0 0 0 0 $.1 0 0 $.1 0 0 1 1 $.1 1 $.1 1 \n    $.1^2 $.1^2 1 $.1 0 $.1 $.1 $.1^2 0 0 1 $.1 $.1 1 1 0 $.1 $.1 $.1^2 $.1^2 0]\n[0 0 0 0 0 0 0 0 0 0 0 0 0 0 0 0 0 0 0 0 0 0 0 1 0 1 1 $.1 0 1 $.1 $.1 1 $.1 0 \n    $.1 0 $.1^2 0 0 0 $.1^2 $.1 0 1 0 0 $.1 1 0 $.1^2 0 1 1 1]\n[0 0 0 0 0 0 0 0 0 0 0 0 0 0 0 0 0 0 0 0 0 0 0 $.1 0 $.1 $.1 $.1^2 0 $.1 $.1^2 \n    $.1^2 $.1 $.1^2 0 $.1^2 0 1 0 0 0 1 $.1^2 0 $.1 0 0 $.1^2 $.1 0 1 0 $.1 $.1 \n    $.1]\n[0 0 0 0 0 0 0 0 0 0 0 0 0 0 0 0 0 0 0 0 0 0 0 0 1 0 0 0 0 0 0 0 $.1 1 $.1 $.1 1\n    $.1^2 $.1^2 0 0 0 $.1 $.1^2 0 1 $.1^2 $.1 $.1 $.1^2 $.1 $.1^2 $.1 1 $.1^2]\n[0 0 0 0 0 0 0 0 0 0 0 0 0 0 0 0 0 0 0 0 0 0 0 0 $.1 0 0 0 0 0 0 0 $.1^2 $.1 \n    $.1^2 $.1^2 $.1 1 1 0 0 0 $.1^2 1 0 $.1 1 $.1^2 $.1^2 1 $.1^2 1 $.1^2 $.1 1]\nQuantum GF(2)-Additive code over GF(4) of length 55 with 60 generators.\nLower Bound: 1, Upper Bound: 26\nConstructed 2 distinct generator matrices\nTotal Ranks:     30  30 \nRelative Ranks:  30  25 \n(4 4 4 4 4 4 4 4 4 4 4 4 4 4 4 4 4 4 4 4 4 4 4 4 4 4 4 4 4 4 )\n(4 4 4 4 4 4 4 4 4 4 4 4 4 4 4 4 4 4 4 4 4 4 4 4 4 4 4 4 4 4 )\nTime Taken: 0.01\nStarting search for low weight codewords... (reset timings)\nEnumerating using 1 generator at a time:\n     New codeword identified of weight 17, time 0.00\n     New codeword identified of weight 16, time 0.00\n   Completed Matrix  1:  lower =  2, upper = 16. Elapsed: 0.00s\n     New codeword identified of weight 15, time 0.00\n   Completed Matrix  2:  lower =  2, upper = 15. Elapsed: 0.00s\nTermination predicted with 9 generators at matrix 2\nEnumerating using 2 generators at a time:\n     New codeword identified of weight 13, time 0.00\n   Completed Matrix  1:  lower =  3, upper = 13. Elapsed: 0.00s\n   Completed Matrix  2:  lower =  3, upper = 13. Elapsed: 0.00s\nTermination predicted with 8 generators at matrix 2\nEnumerating using 3 generators at a time:\n   Completed Matrix  1:  lower =  4, upper = 13. Elapsed: 0.00s\n   Completed Matrix  2:  lower =  4, upper = 13. Elapsed: 0.00s\nTermination predicted with 8 generators at matrix 2\nEnumerating using 4 generators at a time:\n     New codeword identified of weight 12, time 0.00\n   Completed Matrix  1:  lower =  5, upper = 12. Elapsed: 0.01s\n   Completed Matrix  2:  lower =  5, upper = 12. Elapsed: 0.03s\nTermination predicted with 8 generators at matrix 1\nEnumerating using 5 generators at a time:\n   Completed Matrix  1:  lower =  6, upper = 12. Elapsed: 0.32s\n   Completed Matrix  2:  lower =  7, upper = 12. Elapsed: 0.63s\nTermination predicted at 418 s (6m 58s) with 8 generators at matrix 1\nEnumerating using 6 generators at a time:\n   Completed Matrix  1:  lower =  8, upper = 12. Elapsed: 4.77s\n   Completed Matrix  2:  lower =  9, upper = 12. Elapsed: 8.95s\nTermination predicted at 460 s (7m 40s) with 8 generators at matrix 1\nEnumerating using 7 generators at a time:\n   Completed Matrix  1:  lower = 10, upper = 12. Elapsed: 51.47s\n   Completed Matrix  2:  lower = 11, upper = 12. Elapsed: 94.09s\nTermination predicted at 461 s (7m 41s) with 8 generators at matrix 1\nEnumerating using 8 generators at a time:\n   Completed Matrix  1:  lower = 12, upper = 12. Elapsed: 460.97s\nComputation complete \nFinal Results: lower = 12, upper = 12,\nTotal CPU time: 460.97, real time: 610.336\n12\n\nTotal time: 461.020 seconds, Total memory usage: 32.09MB\n</t>
  </si>
  <si>
    <t>1230.0170057500363</t>
  </si>
  <si>
    <t>Magma V2.28-26    Wed Jan  7 2026 03:54:56 on Marks-MacBook-Air-2 [Seed = \n2192978671]\nType ? for help.  Type &lt;Ctrl&gt;-D to quit.\n[1 0 0 0 0 0 0 0 0 0 0 0 0 0 0 0 0 0 0 0 0 0 0 0 0 0 0 0 0 0 0 0 0 0 0 0 0 0 0 0\n    0 0 0 0 0 0 0 0 0 0 1 1 0 0 1 0 1 0 1 1 1 0 0 1 0 0 1 1 1 0 0 1 0 1 1 1 0 0 \n    1 1 1 0 1 0 1 0 1 0 0 0 1 1 1 0 1 1 1 1 1 0 0 1 1 1 0 1 1 1 0 0 1 1]\n[0 1 0 0 0 0 0 0 0 0 0 0 0 0 0 0 0 0 0 0 0 0 0 0 0 0 0 0 0 0 0 0 0 0 0 0 0 0 0 0\n    0 0 0 0 0 0 0 0 0 0 0 0 0 0 1 0 1 1 0 0 1 0 0 1 1 1 1 0 1 0 1 0 1 1 1 0 0 1 \n    0 1 0 0 1 1 1 1 0 0 1 0 1 0 0 1 1 1 0 1 0 1 0 1 1 1 1 0 0 1 0 0 1 1]\n[0 0 1 0 0 0 0 0 0 0 0 0 0 0 0 0 0 0 0 0 0 0 0 0 0 0 0 0 0 0 0 0 0 0 0 0 0 0 0 0\n    0 0 0 0 0 0 0 0 0 0 0 1 0 1 1 0 0 0 1 1 1 0 1 1 1 0 0 1 1 1 0 0 0 0 1 0 1 1 \n    1 1 1 1 0 0 1 0 0 0 1 0 0 0 0 0 1 1 0 0 0 0 1 1 1 0 1 0 1 0 1 0 0 1]\n[0 0 0 1 0 0 0 0 0 0 0 0 0 0 0 0 0 0 0 0 0 0 0 0 0 0 0 0 0 0 0 0 0 0 0 0 0 0 0 0\n    0 0 0 0 0 0 0 0 0 0 0 1 0 1 1 0 1 1 1 0 1 1 0 1 1 0 1 1 0 1 1 1 1 1 0 0 1 0 \n    1 1 1 1 0 1 0 0 1 0 0 1 0 0 1 1 1 0 0 0 1 0 0 0 1 1 1 1 0 1 1 0 1 1]\n[0 0 0 0 1 0 0 0 0 0 0 0 0 0 0 0 0 0 0 0 0 0 0 0 0 0 0 0 0 0 0 0 0 0 0 0 0 0 0 0\n    0 0 0 0 0 0 0 0 0 0 0 1 0 0 0 0 1 1 1 0 0 0 1 1 1 0 1 0 1 1 0 1 1 0 1 1 1 0 \n    0 1 0 0 0 0 0 0 0 0 1 0 0 1 1 1 0 1 1 0 1 1 0 1 0 1 1 1 0 0 0 1 1 1]\n[0 0 0 0 0 1 0 0 0 0 0 0 0 0 0 0 0 0 0 0 0 0 0 0 0 0 0 0 0 0 0 0 0 0 0 0 0 0 0 0\n    0 0 0 0 0 0 0 0 0 0 0 1 0 0 1 1 1 1 1 0 0 1 0 0 1 0 1 0 0 0 0 0 1 0 0 0 0 0 \n    0 0 0 1 1 0 1 0 0 1 1 1 1 1 0 1 0 0 0 1 1 1 1 1 1 0 1 1 0 0 1 0 0 1]\n[0 0 0 0 0 0 1 0 0 0 0 0 0 0 0 0 0 0 0 0 0 0 0 0 0 0 0 0 0 0 0 0 0 0 0 0 0 0 0 0\n    0 0 0 0 0 0 0 0 0 0 1 1 0 0 0 1 0 0 1 0 0 1 1 0 0 0 1 0 1 1 0 0 0 1 1 0 1 0 \n    1 1 1 0 0 0 1 1 0 1 1 0 1 1 1 0 0 0 0 0 1 1 0 0 1 1 0 1 1 0 1 0 0 0]\n[0 0 0 0 0 0 0 1 0 0 0 0 0 0 0 0 0 0 0 0 0 0 0 0 0 0 0 0 0 0 0 0 0 0 0 0 0 0 0 0\n    0 0 0 0 0 0 0 0 0 0 1 1 0 1 1 1 0 0 0 1 1 0 0 0 0 0 0 0 0 0 1 1 0 1 0 0 0 0 \n    1 1 0 0 1 0 1 0 0 1 0 1 0 0 1 1 1 0 1 0 1 1 0 0 0 0 1 1 0 1 1 0 0 0]\n[0 0 0 0 0 0 0 0 1 0 0 0 0 0 0 0 0 0 0 0 0 0 0 0 0 0 0 0 0 0 0 0 0 0 0 0 0 0 0 0\n    0 0 0 0 0 0 0 0 0 0 1 1 0 0 1 0 0 1 1 0 0 0 1 0 0 0 0 1 1 0 1 1 0 1 0 1 0 1 \n    1 1 1 0 1 0 0 1 0 0 1 0 0 0 0 0 0 0 1 1 1 1 0 0 0 1 1 0 1 0 0 1 0 1]\n[0 0 0 0 0 0 0 0 0 1 0 0 0 0 0 0 0 0 0 0 0 0 0 0 0 0 0 0 0 0 0 0 0 0 0 0 0 0 0 0\n    0 0 0 0 0 0 0 0 0 0 0 0 0 1 0 0 1 1 0 0 0 0 0 1 0 1 1 1 0 1 0 0 0 1 1 1 0 1 \n    1 1 1 1 1 0 0 1 0 0 0 1 0 0 1 1 1 1 1 1 0 1 1 1 0 0 0 1 0 1 1 1 0 1]\n[0 0 0 0 0 0 0 0 0 0 1 0 0 0 0 0 0 0 0 0 0 0 0 0 0 0 0 0 0 0 0 0 0 0 0 0 0 0 0 0\n    0 0 0 0 0 0 0 0 0 0 0 1 0 1 0 1 0 0 1 1 1 1 1 1 1 1 0 1 0 0 1 1 0 1 1 0 0 1 \n    1 0 1 0 1 0 0 1 0 0 1 1 1 1 0 1 1 1 0 1 0 0 1 0 1 1 0 1 0 0 1 1 1 0]\n[0 0 0 0 0 0 0 0 0 0 0 1 0 0 0 0 0 0 0 0 0 0 0 0 0 0 0 0 0 0 0 0 0 0 0 0 0 0 0 0\n    0 0 0 0 0 0 0 0 0 0 1 0 0 0 1 1 0 1 1 1 0 0 0 1 1 1 1 1 0 0 1 1 0 1 0 0 0 1 \n    0 1 0 1 1 0 0 0 1 0 0 1 0 1 1 1 0 0 0 0 0 0 1 1 0 0 0 1 1 0 1 1 1 0]\n[0 0 0 0 0 0 0 0 0 0 0 0 1 0 0 0 0 0 0 0 0 0 0 0 0 0 0 0 0 0 0 0 0 0 0 0 0 0 0 0\n    0 0 0 0 0 0 0 0 0 0 1 1 0 1 0 0 1 0 0 1 1 1 0 0 1 1 1 1 1 1 0 0 0 1 0 1 0 1 \n    0 1 0 0 1 1 1 1 1 0 0 1 1 0 0 0 1 1 1 0 1 0 1 1 1 0 1 0 1 1 0 1 0 0]\n[0 0 0 0 0 0 0 0 0 0 0 0 0 1 0 0 0 0 0 0 0 0 0 0 0 0 0 0 0 0 0 0 0 0 0 0 0 0 0 0\n    0 0 0 0 0 0 0 0 0 0 0 1 0 1 1 0 1 0 0 0 0 1 0 0 0 1 1 0 0 0 0 1 0 0 1 0 1 0 \n    1 1 0 0 1 0 0 0 0 0 0 1 0 1 1 0 1 1 1 1 0 1 0 1 1 0 0 0 0 1 0 0 0 0]\n[0 0 0 0 0 0 0 0 0 0 0 0 0 0 1 0 0 0 0 0 0 0 0 0 0 0 0 0 0 0 0 0 0 0 0 0 0 0 0 0\n    0 0 0 0 0 0 0 0 0 0 0 0 0 0 0 1 1 1 1 0 1 1 0 1 0 0 1 0 0 0 0 0 0 0 0 1 0 1 \n    0 0 1 1 1 1 0 0 0 0 1 1 1 1 0 0 1 0 1 1 1 0 1 0 1 0 1 1 1 0 0 1 1 1]\n[0 0 0 0 0 0 0 0 0 0 0 0 0 0 0 1 0 0 0 0 0 0 0 0 0 0 0 0 0 0 0 0 0 0 0 0 0 0 0 0\n    0 0 0 0 0 0 0 0 0 0 1 1 0 0 1 0 1 0 0 0 1 1 0 1 1 1 1 1 1 1 0 0 1 0 1 0 0 0 \n    0 0 1 0 1 0 0 0 0 1 1 1 1 0 0 1 0 0 0 1 1 1 1 0 0 0 1 0 0 1 0 0 0 0]\n[0 0 0 0 0 0 0 0 0 0 0 0 0 0 0 0 1 0 0 0 0 0 0 0 0 0 0 0 0 0 0 0 0 0 0 0 0 0 0 0\n    0 0 0 0 0 0 0 0 0 0 0 1 0 0 1 1 1 1 1 0 1 0 0 1 1 1 1 0 1 1 1 0 1 1 0 1 0 0 \n    0 1 0 0 1 1 0 0 0 0 0 0 1 0 1 1 0 1 0 0 1 1 1 1 0 1 1 0 1 0 0 1 1 1]\n[0 0 0 0 0 0 0 0 0 0 0 0 0 0 0 0 0 1 0 0 0 0 0 0 0 0 0 0 0 0 0 0 0 0 0 0 0 0 0 0\n    0 0 0 0 0 0 0 0 0 0 1 1 0 1 1 1 0 1 0 0 0 1 0 1 1 0 0 0 0 1 0 0 1 1 0 0 0 0 \n    1 1 1 1 1 1 1 1 1 0 1 1 1 0 0 0 0 1 1 0 0 1 0 0 1 0 0 1 1 1 1 0 1 0]\n[0 0 0 0 0 0 0 0 0 0 0 0 0 0 0 0 0 0 1 0 0 0 0 0 0 0 0 0 0 0 0 0 0 0 0 0 0 0 0 0\n    0 0 0 0 0 0 0 0 0 0 1 1 0 1 0 0 0 0 1 0 1 0 0 1 1 1 0 1 0 1 1 1 0 0 0 1 0 1 \n    1 1 0 0 0 1 0 0 0 0 1 1 1 0 0 0 1 0 0 1 1 0 0 0 0 0 0 1 0 1 0 0 0 1]\n[0 0 0 0 0 0 0 0 0 0 0 0 0 0 0 0 0 0 0 1 0 0 0 0 0 0 0 0 0 0 0 0 0 0 0 0 0 0 0 0\n    0 0 0 0 0 0 0 0 0 0 0 0 0 1 1 1 1 1 1 0 0 1 0 0 1 0 0 1 0 0 1 0 0 1 0 1 0 1 \n    1 1 1 0 1 1 1 1 1 0 0 1 1 1 1 1 1 0 1 0 0 1 0 1 0 0 1 0 1 0 0 1 1 1]\n[0 0 0 0 0 0 0 0 0 0 0 0 0 0 0 0 0 0 0 0 1 0 0 0 0 0 0 0 0 0 0 0 0 0 0 0 0 0 0 0\n    0 0 0 0 0 0 0 0 0 0 1 1 0 1 1 1 1 1 1 0 1 1 0 0 0 0 1 0 1 0 1 0 0 0 0 0 0 0 \n    0 1 1 1 0 1 1 0 0 1 0 0 0 1 0 1 1 1 0 1 0 0 0 1 1 1 0 0 0 1 0 1 0 1]\n[0 0 0 0 0 0 0 0 0 0 0 0 0 0 0 0 0 0 0 0 0 1 0 0 0 0 0 0 0 0 0 0 0 0 0 0 0 0 0 0\n    0 0 0 0 0 0 0 0 0 0 1 0 0 1 0 1 0 1 0 0 0 1 1 1 0 1 1 0 0 1 1 0 1 0 1 0 1 0 \n    1 1 1 0 0 0 1 0 1 0 0 1 1 1 1 1 0 0 1 0 1 0 1 1 1 1 0 0 1 0 0 0 1 1]\n[0 0 0 0 0 0 0 0 0 0 0 0 0 0 0 0 0 0 0 0 0 0 1 0 0 0 0 0 0 0 0 0 0 0 0 0 0 0 0 0\n    0 0 0 0 0 0 0 0 0 0 1 0 0 1 1 0 1 0 1 1 1 1 0 1 1 1 0 1 0 0 0 0 0 1 1 1 1 1 \n    1 1 1 1 0 0 0 0 1 1 0 0 0 1 0 1 1 0 0 1 0 1 1 0 1 0 1 1 0 1 0 1 1 1]\n[0 0 0 0 0 0 0 0 0 0 0 0 0 0 0 0 0 0 0 0 0 0 0 1 0 0 0 0 0 0 0 0 0 0 0 0 0 0 0 0\n    0 0 0 0 0 0 0 0 0 0 0 0 0 0 1 0 0 1 1 0 0 1 0 0 1 0 0 0 1 1 1 0 1 1 1 0 0 0 \n    1 0 0 1 1 0 1 0 0 0 1 1 1 0 1 1 1 0 1 0 0 0 1 0 0 0 1 0 1 0 1 1 1 0]\n[0 0 0 0 0 0 0 0 0 0 0 0 0 0 0 0 0 0 0 0 0 0 0 0 1 0 0 0 0 0 0 0 0 0 0 0 0 0 0 0\n    0 0 0 0 0 0 0 0 0 0 0 0 0 1 1 1 0 1 0 1 0 1 1 1 0 1 0 0 1 0 0 0 1 1 1 1 0 0 \n    0 1 1 1 1 0 1 0 1 1 1 1 0 0 0 0 1 0 0 1 0 0 0 1 0 0 1 1 1 1 0 0 1 0]\n[0 0 0 0 0 0 0 0 0 0 0 0 0 0 0 0 0 0 0 0 0 0 0 0 0 1 0 0 0 0 0 0 0 0 0 0 0 0 0 0\n    0 0 0 0 0 0 0 0 0 0 1 0 0 0 0 0 1 1 1 0 1 0 1 0 1 0 1 0 1 1 1 0 0 0 0 0 1 1 \n    1 1 1 0 1 0 0 1 0 1 0 0 0 1 1 0 0 1 1 0 0 0 1 0 1 0 0 1 0 1 1 1 1 1]\n[0 0 0 0 0 0 0 0 0 0 0 0 0 0 0 0 0 0 0 0 0 0 0 0 0 0 1 0 0 0 0 0 0 0 0 0 0 0 0 0\n    0 0 0 0 0 0 0 0 0 0 0 0 0 1 1 1 0 0 1 0 1 0 1 0 0 0 1 1 1 1 1 0 0 1 0 1 1 0 \n    1 0 1 0 0 0 0 1 0 0 0 1 0 1 1 1 0 0 0 1 1 0 0 0 0 0 0 1 0 0 1 1 1 1]\n[0 0 0 0 0 0 0 0 0 0 0 0 0 0 0 0 0 0 0 0 0 0 0 0 0 0 0 1 0 0 0 0 0 0 0 0 0 0 0 0\n    0 0 0 0 0 0 0 0 0 0 1 1 0 0 0 1 1 1 1 0 1 1 1 0 0 1 1 1 0 0 1 1 1 0 0 0 0 1 \n    1 1 1 0 0 1 1 0 1 1 1 0 1 1 0 0 1 1 0 0 1 1 1 1 0 1 1 1 0 0 0 1 0 0]\n[0 0 0 0 0 0 0 0 0 0 0 0 0 0 0 0 0 0 0 0 0 0 0 0 0 0 0 0 1 0 0 0 0 0 0 0 0 0 0 0\n    0 0 0 0 0 0 0 0 0 0 1 1 0 0 0 1 0 0 0 1 1 0 0 1 0 0 1 0 0 0 1 1 0 0 1 1 0 1 \n    0 1 1 1 1 1 1 1 0 1 1 1 1 1 1 1 1 0 0 0 1 1 0 1 1 1 0 0 1 0 1 0 1 1]\n[0 0 0 0 0 0 0 0 0 0 0 0 0 0 0 0 0 0 0 0 0 0 0 0 0 0 0 0 0 1 0 0 0 0 0 0 0 0 0 0\n    0 0 0 0 0 0 0 0 0 0 1 0 0 1 1 0 0 0 1 1 1 1 0 1 1 1 1 0 0 0 1 0 0 0 1 1 0 0 \n    0 1 1 0 0 1 1 0 0 0 0 0 0 0 1 0 0 0 0 0 0 1 0 1 1 1 0 0 1 1 1 1 0 0]\n[0 0 0 0 0 0 0 0 0 0 0 0 0 0 0 0 0 0 0 0 0 0 0 0 0 0 0 0 0 0 1 0 0 0 0 0 0 0 0 0\n    0 0 0 0 0 0 0 0 0 0 0 1 0 0 1 1 0 0 0 1 1 1 1 0 1 1 1 1 0 0 0 1 0 0 0 1 1 0 \n    0 0 1 1 0 0 1 1 0 0 0 0 0 0 0 1 0 0 0 0 0 0 1 0 1 1 1 0 0 1 1 1 1 0]\n[0 0 0 0 0 0 0 0 0 0 0 0 0 0 0 0 0 0 0 0 0 0 0 0 0 0 0 0 0 0 0 1 0 0 0 0 0 0 0 0\n    0 0 0 0 0 0 0 0 0 0 1 0 0 1 1 0 0 0 0 0 0 1 0 0 0 1 1 0 1 1 0 1 1 1 1 1 1 0 \n    1 0 1 0 0 0 1 0 0 1 1 0 0 1 0 0 0 0 1 0 1 0 1 1 0 0 1 0 1 0 0 0 1 1]\n[0 0 0 0 0 0 0 0 0 0 0 0 0 0 0 0 0 0 0 0 0 0 0 0 0 0 0 0 0 0 0 0 1 0 0 0 0 0 0 0\n    0 0 0 0 0 0 0 0 0 0 0 0 0 0 1 0 0 0 1 1 1 0 0 0 0 1 0 1 0 0 0 0 0 0 1 0 0 0 \n    0 0 1 1 0 0 1 1 0 1 1 0 1 0 1 1 0 1 1 1 1 1 0 0 1 1 1 0 0 1 0 1 0 0]\n[0 0 0 0 0 0 0 0 0 0 0 0 0 0 0 0 0 0 0 0 0 0 0 0 0 0 0 0 0 0 0 0 0 1 0 0 0 0 0 0\n    0 0 0 0 0 0 0 0 0 0 0 0 0 1 1 1 0 1 1 1 1 0 0 1 0 0 1 0 0 1 1 1 1 0 0 1 0 0 \n    0 0 1 0 1 1 1 0 0 1 0 1 1 0 0 0 1 1 1 1 1 1 1 0 0 1 0 1 1 0 1 1 1 1]\n[0 0 0 0 0 0 0 0 0 0 0 0 0 0 0 0 0 0 0 0 0 0 0 0 0 0 0 0 0 0 0 0 0 0 1 0 0 0 0 0\n    0 0 0 0 0 0 0 0 0 0 1 1 0 1 1 1 1 0 1 0 0 0 1 0 1 1 1 1 0 0 0 0 1 1 1 0 0 0 \n    1 0 0 1 0 1 1 0 1 0 1 0 0 1 1 0 0 1 1 1 1 1 0 0 0 1 1 1 1 1 0 0 0 1]\n[0 0 0 0 0 0 0 0 0 0 0 0 0 0 0 0 0 0 0 0 0 0 0 0 0 0 0 0 0 0 0 0 0 0 0 1 0 0 0 0\n    0 0 0 0 0 0 0 0 0 0 1 0 0 1 0 1 0 1 1 0 0 0 0 0 0 0 0 0 1 0 1 1 1 1 0 1 1 0 \n    1 0 0 1 0 0 1 0 1 1 1 0 1 1 1 0 1 1 1 1 1 1 0 1 0 0 0 1 0 1 0 0 0 1]\n[0 0 0 0 0 0 0 0 0 0 0 0 0 0 0 0 0 0 0 0 0 0 0 0 0 0 0 0 0 0 0 0 0 0 0 0 1 0 0 0\n    0 0 0 0 0 0 0 0 0 0 1 0 0 1 1 0 1 0 1 0 1 1 1 0 0 1 1 0 0 1 1 0 1 1 0 0 0 1 \n    1 1 0 0 1 0 0 0 1 1 1 1 1 1 0 1 0 1 1 1 1 1 0 1 1 1 0 1 1 0 1 1 1 0]\n[0 0 0 0 0 0 0 0 0 0 0 0 0 0 0 0 0 0 0 0 0 0 0 0 0 0 0 0 0 0 0 0 0 0 0 0 0 1 0 0\n    0 0 0 0 0 0 0 0 0 0 0 1 0 1 0 1 0 0 1 1 0 0 1 0 0 0 1 1 1 1 0 0 1 1 1 0 0 0 \n    1 1 0 1 0 0 1 1 1 0 0 1 0 0 1 1 1 1 1 1 1 1 1 0 1 1 0 0 0 1 0 0 1 0]\n[0 0 0 0 0 0 0 0 0 0 0 0 0 0 0 0 0 0 0 0 0 0 0 0 0 0 0 0 0 0 0 0 0 0 0 0 0 0 1 0\n    0 0 0 0 0 0 0 0 0 0 1 0 0 1 0 1 0 0 0 1 0 0 1 0 0 0 0 0 1 0 1 1 0 0 0 0 0 1 \n    1 1 0 1 0 0 1 0 0 0 1 0 1 1 0 1 0 1 0 1 0 1 0 1 0 0 1 1 1 0 0 1 0 1]\n[0 0 0 0 0 0 0 0 0 0 0 0 0 0 0 0 0 0 0 0 0 0 0 0 0 0 0 0 0 0 0 0 0 0 0 0 0 0 0 1\n    0 0 0 0 0 0 0 0 0 0 1 0 0 0 0 0 1 1 1 1 0 0 1 0 0 1 1 0 1 0 0 1 0 0 1 0 1 0 \n    0 1 0 1 1 1 1 1 0 1 1 1 0 0 0 1 1 1 1 0 1 0 0 1 1 1 1 0 0 1 0 0 0 1]\n[0 0 0 0 0 0 0 0 0 0 0 0 0 0 0 0 0 0 0 0 0 0 0 0 0 0 0 0 0 0 0 0 0 0 0 0 0 0 0 0\n    1 0 0 0 0 0 0 0 0 0 0 0 0 0 0 1 0 1 0 0 0 0 1 1 0 1 0 1 0 0 1 0 0 1 0 0 1 0 \n    0 1 0 0 1 1 0 1 1 1 1 0 0 0 0 1 1 0 0 1 1 1 0 1 1 0 0 0 0 0 1 1 0 1]\n[0 0 0 0 0 0 0 0 0 0 0 0 0 0 0 0 0 0 0 0 0 0 0 0 0 0 0 0 0 0 0 0 0 0 0 0 0 0 0 0\n    0 1 0 0 0 0 0 0 0 0 1 1 0 0 1 0 1 1 0 1 1 0 1 0 1 1 0 0 0 1 0 1 1 0 0 0 1 1 \n    1 0 0 1 0 0 0 0 1 0 0 1 0 1 1 1 1 0 0 0 1 1 0 1 1 0 1 1 1 0 0 1 0 1]\n[0 0 0 0 0 0 0 0 0 0 0 0 0 0 0 0 0 0 0 0 0 0 0 0 0 0 0 0 0 0 0 0 0 0 0 0 0 0 0 0\n    0 0 1 0 0 0 0 0 0 0 0 0 0 1 0 0 1 0 0 1 1 1 0 1 0 0 0 1 1 0 1 1 0 0 0 1 1 0 \n    1 1 0 0 0 1 0 1 1 1 0 0 1 0 0 0 0 0 1 0 1 1 1 1 1 1 1 1 1 1 1 1 0 1]\n[0 0 0 0 0 0 0 0 0 0 0 0 0 0 0 0 0 0 0 0 0 0 0 0 0 0 0 0 0 0 0 0 0 0 0 0 0 0 0 0\n    0 0 0 1 0 0 0 0 0 0 0 1 0 1 0 1 0 0 0 1 0 0 0 1 1 1 1 0 0 1 0 0 1 1 0 1 0 0 \n    0 0 1 1 0 1 1 1 0 1 0 1 0 0 0 0 0 0 1 1 1 1 1 0 1 0 1 0 0 1 1 1 1 0]\n[0 0 0 0 0 0 0 0 0 0 0 0 0 0 0 0 0 0 0 0 0 0 0 0 0 0 0 0 0 0 0 0 0 0 0 0 0 0 0 0\n    0 0 0 0 1 0 0 0 0 0 1 0 0 0 1 1 0 1 1 0 0 1 1 0 1 1 1 0 1 0 0 0 1 0 0 1 1 1 \n    1 0 0 1 0 1 1 1 1 0 1 0 0 0 0 1 1 1 1 1 0 1 0 1 0 0 1 0 0 0 0 1 1 0]\n[0 0 0 0 0 0 0 0 0 0 0 0 0 0 0 0 0 0 0 0 0 0 0 0 0 0 0 0 0 0 0 0 0 0 0 0 0 0 0 0\n    0 0 0 0 0 1 0 0 0 0 1 1 0 1 0 0 1 0 0 1 0 1 1 1 0 1 1 1 0 0 0 1 1 0 1 1 1 0 \n    0 0 1 0 1 0 0 0 0 0 0 0 0 0 1 1 1 0 0 1 0 0 0 0 1 0 1 1 0 0 0 0 0 0]\n[0 0 0 0 0 0 0 0 0 0 0 0 0 0 0 0 0 0 0 0 0 0 0 0 0 0 0 0 0 0 0 0 0 0 0 0 0 0 0 0\n    0 0 0 0 0 0 1 0 0 0 0 1 0 1 1 0 1 0 0 0 0 0 0 1 1 0 1 0 0 1 1 1 1 1 0 1 1 1 \n    0 1 1 1 1 0 1 1 1 1 0 1 1 0 1 1 0 1 0 0 1 0 0 0 0 0 0 0 1 0 1 0 1 0]\n[0 0 0 0 0 0 0 0 0 0 0 0 0 0 0 0 0 0 0 0 0 0 0 0 0 0 0 0 0 0 0 0 0 0 0 0 0 0 0 0\n    0 0 0 0 0 0 0 1 0 0 0 0 0 0 0 1 1 1 1 0 1 1 1 1 1 1 0 0 0 0 1 1 0 1 1 0 1 1 \n    1 1 1 0 0 1 0 1 1 1 0 1 1 0 1 0 0 1 1 0 0 1 0 0 0 1 1 1 1 1 1 0 1 0]\n[0 0 0 0 0 0 0 0 0 0 0 0 0 0 0 0 0 0 0 0 0 0 0 0 0 0 0 0 0 0 0 0 0 0 0 0 0 0 0 0\n    0 0 0 0 0 0 0 0 1 0 1 0 0 1 0 1 1 1 0 1 0 0 1 1 1 1 1 0 0 1 0 0 0 1 0 0 0 0 \n    0 0 0 1 0 0 0 1 0 0 1 1 1 1 1 0 0 1 0 1 1 0 0 0 0 0 0 1 1 1 1 1 1 0]\n[0 0 0 0 0 0 0 0 0 0 0 0 0 0 0 0 0 0 0 0 0 0 0 0 0 0 0 0 0 0 0 0 0 0 0 0 0 0 0 0\n    0 0 0 0 0 0 0 0 0 1 1 1 0 0 0 1 1 0 1 0 1 0 0 0 1 1 1 1 1 0 0 0 0 1 0 1 0 1 \n    1 1 0 1 1 1 0 0 1 0 1 0 0 0 0 1 0 0 0 0 0 1 1 0 0 0 0 0 0 1 1 0 0 1]\n[0 0 0 0 0 0 0 0 0 0 0 0 0 0 0 0 0 0 0 0 0 0 0 0 0 0 0 0 0 0 0 0 0 0 0 0 0 0 0 0\n    0 0 0 0 0 0 0 0 0 0 0 0 1 1 0 0 1 1 0 0 1 0 1 0 0 0 0 1 1 1 1 1 0 0 0 0 0 0 \n    0 1 1 0 1 1 1 1 1 1 0 1 1 0 1 0 1 0 0 0 0 0 0 0 0 1 0 1 0 0 1 0 1 0]\n[[56, 5]] quantum code over GF(2^2), stabilised by:\n[1 0 0 0 0 0 0 0 0 0 0 0 0 0 0 0 0 0 0 0 0 0 0 0 0 0 $.1 $.1^2 0 1 0 0 $.1^2 0 \n    $.1^2 $.1^2 $.1^2 0 $.1^2 $.1 $.1 1 $.1 1 1 0 1 0 $.1 $.1 $.1^2 0 0 1 $.1 \n    $.1]\n[$.1 0 0 0 0 0 0 0 0 0 0 0 0 0 0 0 0 0 0 0 0 0 0 0 0 $.1 $.1^2 1 0 $.1 0 1 $.1^2\n    1 $.1 $.1 $.1 $.1 1 $.1^2 0 $.1 1 $.1^2 0 $.1^2 $.1^2 $.1 1 $.1^2 1 1 $.1 1 \n    1 $.1^2]\n[0 1 0 0 0 0 0 0 0 0 0 0 0 0 0 0 0 0 0 0 0 0 0 0 0 $.1 0 1 $.1 $.1^2 1 $.1^2 \n    $.1^2 1 1 $.1 0 1 0 1 $.1 0 $.1^2 $.1 $.1 1 1 0 $.1 $.1^2 1 $.1^2 0 0 0 $.1]\n[0 $.1 0 0 0 0 0 0 0 0 0 0 0 0 0 0 0 0 0 0 0 0 0 0 0 $.1 0 $.1 $.1^2 1 $.1 $.1 0\n    1 0 1 $.1 $.1^2 0 $.1 1 0 0 0 $.1 0 1 1 $.1 1 $.1 $.1 1 $.1 1 $.1^2]\n[0 0 1 0 0 0 0 0 0 0 0 0 0 0 0 0 0 0 0 0 0 0 0 0 0 $.1 $.1^2 $.1^2 0 1 $.1^2 $.1\n    $.1^2 0 $.1^2 $.1 $.1^2 0 0 $.1 1 $.1 $.1 $.1 $.1 $.1^2 $.1 $.1^2 $.1^2 $.1 \n    0 1 0 1 $.1^2 1]\n[0 0 $.1 0 0 0 0 0 0 0 0 0 0 0 0 0 0 0 0 0 0 0 0 0 0 $.1 1 1 0 $.1 1 0 0 $.1^2 \n    $.1^2 1 $.1^2 1 0 $.1^2 0 $.1^2 $.1 0 $.1 $.1^2 0 0 0 $.1^2 0 1 1 0 0 $.1]\n[0 0 0 1 0 0 0 0 0 0 0 0 0 0 0 0 0 0 0 0 0 0 0 0 0 0 1 1 0 $.1 1 $.1 $.1^2 $.1 \n    $.1^2 $.1^2 $.1^2 $.1 $.1^2 1 0 1 $.1 $.1 $.1^2 $.1^2 $.1 $.1 0 $.1^2 0 \n    $.1^2 $.1 1 $.1 0]\n[0 0 0 $.1 0 0 0 0 0 0 0 0 0 0 0 0 0 0 0 0 0 0 0 0 0 $.1 $.1 $.1 0 $.1^2 $.1 $.1\n    $.1^2 $.1 $.1 $.1 $.1 1 1 $.1 $.1^2 $.1 1 $.1 $.1^2 $.1 $.1 1 $.1 1 0 0 1 1 \n    1 0]\n[0 0 0 0 1 0 0 0 0 0 0 0 0 0 0 0 0 0 0 0 0 0 0 0 0 0 1 1 1 0 $.1 1 1 $.1 1 1 1 1\n    $.1^2 $.1^2 1 $.1 1 $.1^2 1 $.1 1 1 $.1^2 1 $.1^2 0 0 $.1^2 $.1^2 $.1^2]\n[0 0 0 0 $.1 0 0 0 0 0 0 0 0 0 0 0 0 0 0 0 0 0 0 0 0 0 $.1 $.1 $.1 0 $.1^2 $.1 \n    $.1 $.1^2 $.1 $.1 $.1 $.1 1 1 $.1 $.1^2 $.1 1 $.1 $.1^2 $.1 $.1 1 $.1 1 0 0 \n    1 1 1]\n[0 0 0 0 0 1 0 0 0 0 0 0 0 0 0 0 0 0 0 0 0 0 0 0 0 $.1 $.1 0 $.1^2 0 0 0 0 $.1^2\n    $.1^2 $.1 1 0 $.1^2 0 1 1 0 0 $.1 1 0 $.1^2 1 $.1^2 0 0 0 0 $.1^2 1]\n[0 0 0 0 0 $.1 0 0 0 0 0 0 0 0 0 0 0 0 0 0 0 0 0 0 0 0 $.1^2 0 1 0 0 $.1 $.1^2 \n    $.1^2 0 $.1 $.1^2 $.1^2 1 0 $.1^2 $.1 $.1^2 $.1 0 $.1^2 $.1 $.1 1 1 0 $.1 \n    $.1^2 1 $.1 $.1]\n[0 0 0 0 0 0 1 0 0 0 0 0 0 0 0 0 0 0 0 0 0 0 0 0 0 0 0 0 $.1^2 1 0 1 $.1 0 $.1^2\n    1 1 $.1 $.1 $.1 $.1 $.1^2 1 1 $.1 $.1 $.1 $.1^2 1 0 1 $.1^2 0 0 1 1]\n[0 0 0 0 0 0 $.1 0 0 0 0 0 0 0 0 0 0 0 0 0 0 0 0 0 0 $.1 0 0 1 $.1 0 $.1^2 1 1 \n    $.1 1 1 1 $.1^2 $.1^2 0 1 0 $.1^2 1 0 $.1 $.1^2 0 0 $.1 0 $.1 $.1^2 0 $.1]\n[0 0 0 0 0 0 0 1 0 0 0 0 0 0 0 0 0 0 0 0 0 0 0 0 0 0 $.1 $.1 $.1^2 1 1 1 $.1^2 \n    $.1 0 1 $.1 $.1 0 $.1^2 0 0 $.1^2 0 $.1^2 $.1 1 1 1 0 $.1 $.1 $.1^2 0 1 \n    $.1^2]\n[0 0 0 0 0 0 0 $.1 0 0 0 0 0 0 0 0 0 0 0 0 0 0 0 0 0 $.1 $.1^2 $.1^2 1 $.1 $.1 \n    $.1^2 $.1^2 $.1 $.1^2 1 0 1 0 1 $.1^2 0 $.1^2 1 $.1^2 0 $.1^2 0 0 0 $.1^2 \n    $.1 $.1^2 $.1^2 0 1]\n[0 0 0 0 0 0 0 0 1 0 0 0 0 0 0 0 0 0 0 0 0 0 0 0 0 $.1 $.1^2 $.1^2 0 $.1 1 $.1^2\n    $.1^2 0 0 1 $.1^2 1 1 $.1^2 1 $.1 $.1 $.1^2 $.1 $.1 $.1 0 0 0 1 1 1 $.1 $.1 \n    $.1]\n[0 0 0 0 0 0 0 0 $.1 0 0 0 0 0 0 0 0 0 0 0 0 0 0 0 0 0 1 1 0 $.1^2 $.1 $.1^2 $.1\n    $.1 1 $.1^2 0 1 $.1 1 $.1^2 $.1^2 0 $.1^2 0 $.1 1 $.1^2 $.1^2 0 $.1 0 1 $.1 \n    0 $.1^2]\n[0 0 0 0 0 0 0 0 0 1 0 0 0 0 0 0 0 0 0 0 0 0 0 0 0 $.1 $.1 0 $.1 $.1^2 $.1 $.1 0\n    1 1 1 $.1 1 1 $.1^2 $.1^2 $.1^2 0 $.1 0 $.1 $.1^2 $.1^2 $.1 1 $.1^2 1 1 1 \n    $.1^2 $.1]\n[0 0 0 0 0 0 0 0 0 $.1 0 0 0 0 0 0 0 0 0 0 0 0 0 0 0 $.1 $.1^2 0 $.1^2 1 $.1^2 0\n    1 1 0 0 1 $.1^2 $.1 1 $.1^2 1 1 0 1 1 $.1 0 $.1 $.1 1 1 $.1^2 0 0 $.1^2]\n[0 0 0 0 0 0 0 0 0 0 1 0 0 0 0 0 0 0 0 0 0 0 0 0 0 $.1 $.1^2 1 1 1 $.1^2 1 $.1 \n    $.1^2 $.1^2 $.1 0 $.1 0 $.1^2 $.1^2 $.1^2 1 1 $.1 1 1 1 0 $.1 $.1 $.1^2 $.1 \n    0 $.1 $.1]\n[0 0 0 0 0 0 0 0 0 0 $.1 0 0 0 0 0 0 0 0 0 0 0 0 0 0 $.1 1 $.1 $.1 $.1 1 1 $.1 \n    $.1 $.1^2 1 $.1 $.1 0 1 $.1^2 1 $.1^2 1 $.1 0 1 $.1^2 1 $.1^2 $.1^2 $.1 $.1 \n    $.1 $.1 $.1^2]\n[0 0 0 0 0 0 0 0 0 0 0 1 0 0 0 0 0 0 0 0 0 0 0 0 0 $.1 $.1^2 0 0 $.1 1 0 1 1 1 0\n    $.1^2 0 $.1^2 $.1 $.1^2 $.1^2 1 0 1 $.1^2 $.1 $.1^2 $.1 0 1 $.1 0 $.1^2 \n    $.1^2 $.1^2]\n[0 0 0 0 0 0 0 0 0 0 0 $.1 0 0 0 0 0 0 0 0 0 0 0 0 0 $.1 1 0 0 $.1^2 $.1 $.1^2 \n    $.1^2 1 0 $.1 $.1^2 1 1 $.1^2 $.1^2 1 $.1^2 $.1^2 $.1^2 $.1^2 0 0 $.1 0 $.1 \n    0 1 $.1^2 0 1]\n[0 0 0 0 0 0 0 0 0 0 0 0 1 0 0 0 0 0 0 0 0 0 0 0 0 $.1 0 $.1 $.1 1 $.1 $.1^2 1 \n    $.1^2 0 $.1 0 $.1 $.1 0 0 $.1^2 1 0 1 1 1 0 $.1^2 $.1 1 $.1 $.1 0 $.1^2 1]\n[0 0 0 0 0 0 0 0 0 0 0 0 $.1 0 0 0 0 0 0 0 0 0 0 0 0 0 0 $.1^2 $.1^2 $.1 $.1^2 \n    $.1^2 1 $.1^2 1 $.1 1 0 $.1^2 0 1 1 1 $.1 1 $.1^2 0 $.1^2 $.1 $.1^2 $.1 1 0 \n    1 $.1 $.1]\n[0 0 0 0 0 0 0 0 0 0 0 0 0 1 0 0 0 0 0 0 0 0 0 0 0 0 0 $.1 1 0 1 $.1^2 1 1 $.1^2\n    $.1 1 $.1^2 0 $.1^2 $.1 $.1 $.1^2 0 $.1 1 $.1 $.1 $.1 $.1 0 $.1 $.1 $.1 1 1]\n[0 0 0 0 0 0 0 0 0 0 0 0 0 $.1 0 0 0 0 0 0 0 0 0 0 0 $.1 0 $.1^2 $.1 0 $.1 0 0 \n    $.1^2 $.1 0 1 $.1^2 0 1 0 $.1^2 $.1^2 1 1 1 $.1 1 1 $.1^2 0 $.1 1 0 0 $.1]\n[0 0 0 0 0 0 0 0 0 0 0 0 0 0 1 0 0 0 0 0 0 0 0 0 0 0 $.1 $.1 1 $.1^2 0 0 1 1 1 1\n    1 $.1 1 1 1 0 $.1 $.1 $.1 $.1 $.1 1 0 $.1^2 0 $.1^2 $.1 $.1 $.1^2 $.1^2]\n[0 0 0 0 0 0 0 0 0 0 0 0 0 0 $.1 0 0 0 0 0 0 0 0 0 0 $.1 $.1^2 $.1^2 $.1 1 0 1 0\n    $.1^2 1 1 1 1 $.1 $.1 1 0 1 $.1 1 0 $.1 0 $.1 1 0 0 1 0 $.1^2 1]\n[0 0 0 0 0 0 0 0 0 0 0 0 0 0 0 1 0 0 0 0 0 0 0 0 0 $.1 $.1^2 $.1^2 0 0 $.1^2 $.1\n    $.1 $.1 $.1^2 0 $.1^2 $.1 1 $.1 $.1^2 $.1^2 $.1 $.1 0 $.1^2 $.1 $.1^2 0 1 \n    $.1 $.1^2 0 $.1^2 0 0]\n[0 0 0 0 0 0 0 0 0 0 0 0 0 0 0 $.1 0 0 0 0 0 0 0 0 0 0 1 1 0 0 1 1 0 1 0 1 0 0 \n    $.1 $.1^2 0 1 0 1 $.1^2 0 1 $.1 $.1^2 $.1 $.1^2 $.1^2 $.1^2 0 $.1^2 0]\n[0 0 0 0 0 0 0 0 0 0 0 0 0 0 0 0 1 0 0 0 0 0 0 0 0 0 $.1^2 $.1^2 $.1^2 0 0 $.1^2\n    1 $.1^2 1 1 $.1 1 $.1^2 1 $.1 1 $.1^2 $.1^2 1 1 1 1 $.1 1 1 $.1 0 1 1 1]\n[0 0 0 0 0 0 0 0 0 0 0 0 0 0 0 0 $.1 0 0 0 0 0 0 0 0 0 1 1 1 0 0 1 $.1 1 $.1 $.1\n    $.1^2 $.1 1 $.1 $.1^2 $.1 1 1 $.1 $.1 $.1 $.1 $.1^2 $.1 $.1 $.1^2 0 $.1 $.1 \n    $.1]\n[0 0 0 0 0 0 0 0 0 0 0 0 0 0 0 0 0 1 0 0 0 0 0 0 0 0 $.1^2 1 0 1 0 1 $.1 0 0 1 0\n    $.1^2 $.1 $.1 $.1^2 $.1 1 $.1^2 $.1 0 0 1 $.1 $.1 $.1^2 $.1 1 1 $.1 $.1]\n[0 0 0 0 0 0 0 0 0 0 0 0 0 0 0 0 0 $.1 0 0 0 0 0 0 0 $.1 1 $.1 0 $.1 0 $.1^2 1 1\n    $.1^2 1 $.1^2 $.1^2 $.1^2 $.1^2 $.1 $.1^2 0 0 1 $.1^2 1 0 1 $.1^2 1 $.1 0 1 \n    1 $.1^2]\n[0 0 0 0 0 0 0 0 0 0 0 0 0 0 0 0 0 0 1 0 0 0 0 0 0 $.1 0 0 0 $.1^2 1 $.1^2 $.1 0\n    1 1 $.1 $.1 $.1^2 0 $.1 1 0 1 0 $.1 1 1 $.1^2 $.1^2 1 $.1^2 $.1 1 0 $.1]\n[0 0 0 0 0 0 0 0 0 0 0 0 0 0 0 0 0 0 $.1 0 0 0 0 0 0 $.1 0 0 0 1 $.1 $.1 $.1 \n    $.1^2 0 0 1 $.1 1 0 1 $.1 1 1 1 1 1 $.1^2 0 1 $.1 $.1 $.1 0 1 $.1^2]\n[0 0 0 0 0 0 0 0 0 0 0 0 0 0 0 0 0 0 0 1 0 0 0 0 0 $.1 $.1^2 $.1^2 1 $.1^2 $.1^2\n    $.1 $.1^2 1 $.1 $.1 0 $.1 $.1^2 1 0 $.1 $.1^2 1 1 1 1 $.1^2 $.1 $.1^2 0 1 0 \n    $.1^2 $.1 1]\n[0 0 0 0 0 0 0 0 0 0 0 0 0 0 0 0 0 0 0 $.1 0 0 0 0 0 $.1 1 1 $.1 1 1 0 0 1 1 1 \n    $.1 $.1 1 $.1 $.1 $.1^2 0 1 $.1^2 0 1 0 $.1 1 0 1 1 $.1^2 $.1 $.1]\n[0 0 0 0 0 0 0 0 0 0 0 0 0 0 0 0 0 0 0 0 1 0 0 0 0 0 1 1 0 $.1^2 $.1^2 $.1 $.1^2\n    $.1 $.1 $.1 $.1^2 1 1 $.1 $.1^2 0 $.1 $.1^2 0 0 0 1 0 $.1 1 $.1^2 $.1 1 0 1]\n[0 0 0 0 0 0 0 0 0 0 0 0 0 0 0 0 0 0 0 0 $.1 0 0 0 0 $.1 $.1 $.1 0 1 1 $.1 $.1^2\n    $.1 0 0 $.1 0 $.1 $.1^2 $.1 0 1 0 $.1 $.1^2 1 0 $.1 $.1^2 $.1 0 1 1 $.1 $.1]\n[0 0 0 0 0 0 0 0 0 0 0 0 0 0 0 0 0 0 0 0 0 1 0 0 0 0 $.1 $.1^2 $.1 $.1 $.1^2 $.1\n    0 $.1^2 $.1 0 1 0 $.1^2 0 0 1 0 $.1^2 1 0 $.1^2 $.1^2 $.1^2 1 0 $.1 $.1^2 \n    $.1 0 $.1]\n[0 0 0 0 0 0 0 0 0 0 0 0 0 0 0 0 0 0 0 0 0 $.1 0 0 0 $.1 $.1^2 1 $.1^2 $.1^2 1 \n    $.1 $.1 0 0 $.1^2 1 $.1 1 0 $.1^2 $.1 $.1 0 0 $.1^2 0 $.1^2 $.1^2 $.1 0 $.1 \n    $.1^2 0 $.1 $.1^2]\n[0 0 0 0 0 0 0 0 0 0 0 0 0 0 0 0 0 0 0 0 0 0 1 0 0 $.1 0 1 $.1 1 $.1 0 1 $.1 $.1\n    $.1^2 $.1^2 $.1^2 0 1 0 $.1 $.1^2 0 0 1 1 $.1 1 $.1 $.1 0 $.1 $.1^2 $.1^2 0]\n[0 0 0 0 0 0 0 0 0 0 0 0 0 0 0 0 0 0 0 0 0 0 $.1 0 0 $.1 0 $.1 $.1^2 $.1 $.1^2 \n    $.1^2 $.1^2 0 1 $.1^2 $.1^2 0 0 $.1 $.1 $.1^2 0 $.1^2 1 0 1 $.1 $.1^2 $.1^2 \n    $.1^2 $.1^2 $.1 $.1^2 0 0]\n[0 0 0 0 0 0 0 0 0 0 0 0 0 0 0 0 0 0 0 0 0 0 0 1 0 0 $.1 0 1 $.1 1 $.1 0 1 $.1 \n    $.1 $.1^2 $.1^2 $.1^2 0 1 0 $.1 $.1^2 0 0 1 1 $.1 1 $.1 $.1 0 $.1 $.1^2 \n    $.1^2]\n[0 0 0 0 0 0 0 0 0 0 0 0 0 0 0 0 0 0 0 0 0 0 0 $.1 0 0 $.1^2 0 $.1 $.1^2 $.1 \n    $.1^2 0 $.1 $.1^2 $.1^2 1 1 1 0 $.1 0 $.1^2 1 0 0 $.1 $.1 $.1^2 $.1 $.1^2 \n    $.1^2 0 $.1^2 1 1]\n[0 0 0 0 0 0 0 0 0 0 0 0 0 0 0 0 0 0 0 0 0 0 0 0 1 $.1 $.1 $.1^2 $.1 0 $.1 $.1^2\n    $.1^2 $.1 0 1 $.1 $.1 1 0 $.1 1 $.1 $.1^2 $.1 0 $.1 $.1^2 1 $.1 0 1 $.1 0 \n    $.1 1]\n[0 0 0 0 0 0 0 0 0 0 0 0 0 0 0 0 0 0 0 0 0 0 0 0 $.1 0 $.1^2 1 $.1^2 0 $.1^2 \n    $.1^2 $.1 1 1 $.1^2 $.1 0 $.1 0 $.1 $.1 0 $.1^2 0 1 1 $.1 1 $.1^2 0 0 0 1 0 \n    $.1]\n[0 0 0 0 0 0 0 0 0 0 0 0 0 0 0 0 0 0 0 0 0 0 0 0 0 1 0 0 0 0 0 $.1^2 1 $.1^2 $.1\n    $.1 $.1 1 0 0 $.1 0 1 $.1^2 1 $.1 $.1^2 1 1 0 0 $.1^2 1 $.1 1 0]\nQuantum GF(2)-Additive code over GF(4) of length 56 with 61 generators.\nLower Bound: 1, Upper Bound: 27\nConstructed 2 distinct generator matrices\nTotal Ranks:     31  31 \nRelative Ranks:  31  25 \n(4 4 4 4 4 4 4 4 4 4 4 4 4 4 4 4 4 4 4 4 4 4 4 4 4 4 4 4 4 4 2 )\n(4 4 4 4 4 4 4 4 4 4 4 4 4 4 4 4 4 4 4 4 4 4 4 4 4 4 4 4 2 4 4 )\nTime Taken: 0.01\nStarting search for low weight codewords... (reset timings)\nEnumerating using 1 generator at a time:\n     New codeword identified of weight 23, time 0.00\n     New codeword identified of weight 20, time 0.00\n     New codeword identified of weight 17, time 0.00\n   Completed Matrix  1:  lower =  2, upper = 17. Elapsed: 0.00s\n     New codeword identified of weight 16, time 0.00\n     New codeword identified of weight 15, time 0.00\n   Completed Matrix  2:  lower =  2, upper = 15. Elapsed: 0.00s\nTermination predicted with 10 generators at matrix 1\nEnumerating using 2 generators at a time:\n     New codeword identified of weight 14, time 0.00\n   Completed Matrix  1:  lower =  3, upper = 14. Elapsed: 0.00s\n   Completed Matrix  2:  lower =  3, upper = 14. Elapsed: 0.00s\nTermination predicted with 9 generators at matrix 2\nEnumerating using 3 generators at a time:\n     New codeword identified of weight 13, time 0.00\n     New codeword identified of weight 12, time 0.00\n   Completed Matrix  1:  lower =  4, upper = 12. Elapsed: 0.00s\n   Completed Matrix  2:  lower =  4, upper = 12. Elapsed: 0.00s\nTermination predicted with 8 generators at matrix 2\nEnumerating using 4 generators at a time:\n   Completed Matrix  1:  lower =  5, upper = 12. Elapsed: 0.01s\n   Completed Matrix  2:  lower =  5, upper = 12. Elapsed: 0.03s\nTermination predicted with 8 generators at matrix 2\nEnumerating using 5 generators at a time:\n   Completed Matrix  1:  lower =  6, upper = 12. Elapsed: 0.34s\n   Completed Matrix  2:  lower =  6, upper = 12. Elapsed: 0.69s\nTermination predicted at 825 s (13m 45s) with 8 generators at matrix 2\nEnumerating using 6 generators at a time:\n   Completed Matrix  1:  lower =  7, upper = 12. Elapsed: 5.13s\n   Completed Matrix  2:  lower =  8, upper = 12. Elapsed: 9.64s\nTermination predicted at 902 s (15m 2s) with 8 generators at matrix 2\nEnumerating using 7 generators at a time:\n   Completed Matrix  1:  lower =  9, upper = 12. Elapsed: 56.28s\n   Completed Matrix  2:  lower = 10, upper = 12. Elapsed: 103.09s\nTermination predicted at 914 s (15m 14s) with 8 generators at matrix 2\nEnumerating using 8 generators at a time:\n   Completed Matrix  1:  lower = 11, upper = 12. Elapsed: 519.81s\n   Completed Matrix  2:  lower = 12, upper = 12. Elapsed: 929.66s\nComputation complete \nFinal Results: lower = 12, upper = 12,\nTotal CPU time: 929.66, real time: 1229.247\n12\n\nTotal time: 929.710 seconds, Total memory usage: 32.09MB\n</t>
  </si>
  <si>
    <t>1239.4447097919765</t>
  </si>
  <si>
    <t>Magma V2.28-26    Wed Jan  7 2026 04:15:27 on Marks-MacBook-Air-2 [Seed = \n2443519247]\nType ? for help.  Type &lt;Ctrl&gt;-D to quit.\n[1 0 0 0 0 0 0 0 0 0 0 0 0 0 0 0 0 0 0 0 0 0 0 0 0 0 0 0 0 0 0 0 0 0 0 0 0 0 0 0\n    0 0 0 0 0 0 0 0 0 0 0 0 1 0 1 0 1 1 1 1 0 1 1 0 1 0 1 0 0 0 1 0 1 0 1 0 1 1 \n    0 0 0 0 0 0 1 0 0 1 1 0 1 1 1 1 0 0 1 1 1 1 0 1 0 1 1 0 1 1 1 1 1 1 1 1]\n[0 1 0 0 0 0 0 0 0 0 0 0 0 0 0 0 0 0 0 0 0 0 0 0 0 0 0 0 0 0 0 0 0 0 0 0 0 0 0 0\n    0 0 0 0 0 0 0 0 0 0 0 0 0 0 1 0 0 1 1 0 0 1 0 0 1 1 1 1 0 1 0 1 0 1 1 1 0 0 \n    1 0 1 0 0 1 1 1 1 0 0 1 0 1 0 0 1 1 1 0 1 0 1 0 1 1 1 1 0 0 1 0 0 1 1 0]\n[0 0 1 0 0 0 0 0 0 0 0 0 0 0 0 0 0 0 0 0 0 0 0 0 0 0 0 0 0 0 0 0 0 0 0 0 0 0 0 0\n    0 0 0 0 0 0 0 0 0 0 0 0 0 0 0 1 0 0 1 1 0 0 1 0 0 1 1 1 1 0 1 0 1 0 1 1 1 0 \n    0 1 0 1 0 0 1 1 1 1 0 0 1 0 1 0 0 1 1 1 0 1 0 1 0 1 1 1 1 0 0 1 0 0 1 1]\n[0 0 0 1 0 0 0 0 0 0 0 0 0 0 0 0 0 0 0 0 0 0 0 0 0 0 0 0 0 0 0 0 0 0 0 0 0 0 0 0\n    0 0 0 0 0 0 0 0 0 0 0 0 1 0 1 1 0 0 0 0 1 1 1 0 1 1 1 0 0 1 1 1 0 0 0 0 1 0 \n    1 1 1 1 1 1 0 0 1 0 0 0 1 0 0 0 0 0 1 1 0 0 0 0 1 1 1 0 1 0 1 0 1 0 0 1]\n[0 0 0 0 1 0 0 0 0 0 0 0 0 0 0 0 0 0 0 0 0 0 0 0 0 0 0 0 0 0 0 0 0 0 0 0 0 0 0 0\n    0 0 0 0 0 0 0 0 0 0 0 0 1 0 1 1 0 0 1 1 1 0 1 1 0 1 1 0 1 1 0 1 1 1 1 1 0 0 \n    1 0 1 1 1 1 0 1 0 0 1 0 0 1 0 0 1 1 1 0 0 0 1 0 0 0 1 1 1 1 0 1 1 0 1 1]\n[0 0 0 0 0 1 0 0 0 0 0 0 0 0 0 0 0 0 0 0 0 0 0 0 0 0 0 0 0 0 0 0 0 0 0 0 0 0 0 0\n    0 0 0 0 0 0 0 0 0 0 0 0 1 0 0 0 0 0 1 1 1 0 0 0 1 1 1 0 1 0 1 1 0 1 1 0 1 1 \n    1 0 0 1 0 0 0 0 0 0 0 0 1 0 0 1 1 1 0 1 1 0 1 1 0 1 0 1 1 1 0 0 0 1 1 1]\n[0 0 0 0 0 0 1 0 0 0 0 0 0 0 0 0 0 0 0 0 0 0 0 0 0 0 0 0 0 0 0 0 0 0 0 0 0 0 0 0\n    0 0 0 0 0 0 0 0 0 0 0 0 1 0 0 1 1 0 1 1 1 0 0 1 0 0 1 0 1 0 0 0 0 0 1 0 0 0 \n    0 0 0 0 0 1 1 0 1 0 0 1 1 1 1 1 0 1 0 0 0 1 1 1 1 1 1 0 1 1 0 0 1 0 0 1]\n[0 0 0 0 0 0 0 1 0 0 0 0 0 0 0 0 0 0 0 0 0 0 0 0 0 0 0 0 0 0 0 0 0 0 0 0 0 0 0 0\n    0 0 0 0 0 0 0 0 0 0 0 0 0 0 1 1 1 1 0 0 0 0 1 1 0 0 1 1 0 0 0 0 0 0 1 1 0 1 \n    0 0 1 0 0 1 0 1 1 1 1 0 1 1 0 0 1 1 0 1 0 1 1 1 1 0 1 1 0 0 1 1 1 1 0 1]\n[0 0 0 0 0 0 0 0 1 0 0 0 0 0 0 0 0 0 0 0 0 0 0 0 0 0 0 0 0 0 0 0 0 0 0 0 0 0 0 0\n    0 0 0 0 0 0 0 0 0 0 0 0 0 0 0 0 1 1 0 0 1 1 0 0 1 0 1 1 1 0 1 1 1 1 1 1 1 1 \n    1 0 1 0 1 1 1 1 1 0 1 0 0 0 1 1 1 0 1 1 1 1 1 1 1 0 0 0 1 0 0 0 1 1 0 1]\n[0 0 0 0 0 0 0 0 0 1 0 0 0 0 0 0 0 0 0 0 0 0 0 0 0 0 0 0 0 0 0 0 0 0 0 0 0 0 0 0\n    0 0 0 0 0 0 0 0 0 0 0 0 0 0 1 0 0 1 0 1 0 0 1 0 0 0 1 1 1 1 0 1 1 1 1 1 1 0 \n    1 1 1 0 0 1 1 1 0 1 1 1 1 1 1 1 0 1 0 1 1 0 1 1 1 0 0 1 1 1 1 1 0 0 0 0]\n[0 0 0 0 0 0 0 0 0 0 1 0 0 0 0 0 0 0 0 0 0 0 0 0 0 0 0 0 0 0 0 0 0 0 0 0 0 0 0 0\n    0 0 0 0 0 0 0 0 0 0 0 0 0 0 1 0 0 0 1 1 0 0 0 0 0 1 0 1 1 1 0 1 0 0 0 1 1 1 \n    0 1 1 1 1 1 1 0 0 1 0 0 0 1 0 0 1 1 1 1 1 1 0 1 1 1 0 0 0 1 0 1 1 1 0 1]\n[0 0 0 0 0 0 0 0 0 0 0 1 0 0 0 0 0 0 0 0 0 0 0 0 0 0 0 0 0 0 0 0 0 0 0 0 0 0 0 0\n    0 0 0 0 0 0 0 0 0 0 0 0 1 0 1 0 1 0 0 0 1 1 1 1 1 1 1 1 0 1 0 0 1 1 0 1 1 0 \n    0 1 1 0 1 0 1 0 0 1 0 0 1 1 1 1 0 1 1 1 0 1 0 0 1 0 1 1 0 1 0 0 1 1 1 0]\n[0 0 0 0 0 0 0 0 0 0 0 0 1 0 0 0 0 0 0 0 0 0 0 0 0 0 0 0 0 0 0 0 0 0 0 0 0 0 0 0\n    0 0 0 0 0 0 0 0 0 0 0 0 1 0 1 0 1 1 0 1 0 1 1 0 1 1 0 0 0 1 1 1 1 1 1 1 1 1 \n    1 1 0 0 1 0 1 1 0 0 0 1 0 0 1 0 1 0 0 1 0 1 0 0 0 1 0 0 0 0 1 1 1 0 1 1]\n[0 0 0 0 0 0 0 0 0 0 0 0 0 1 0 0 0 0 0 0 0 0 0 0 0 0 0 0 0 0 0 0 0 0 0 0 0 0 0 0\n    0 0 0 0 0 0 0 0 0 0 0 0 0 0 0 1 0 1 1 0 1 1 0 1 1 0 0 0 0 1 0 0 0 0 1 1 1 0 \n    1 1 0 0 1 1 1 0 1 1 0 1 0 0 0 1 0 1 1 0 1 1 1 0 0 1 1 0 1 1 1 0 0 0 0 1]\n[0 0 0 0 0 0 0 0 0 0 0 0 0 0 1 0 0 0 0 0 0 0 0 0 0 0 0 0 0 0 0 0 0 0 0 0 0 0 0 0\n    0 0 0 0 0 0 0 0 0 0 0 0 1 0 1 1 0 0 1 0 0 0 0 1 0 0 0 1 1 0 0 0 0 1 0 0 1 0 \n    1 0 1 1 0 0 1 0 0 0 0 0 0 1 0 1 1 0 1 1 1 1 0 1 0 1 1 0 0 0 0 1 0 0 0 0]\n[0 0 0 0 0 0 0 0 0 0 0 0 0 0 0 1 0 0 0 0 0 0 0 0 0 0 0 0 0 0 0 0 0 0 0 0 0 0 0 0\n    0 0 0 0 0 0 0 0 0 0 0 0 0 0 0 0 1 0 1 1 1 0 1 1 0 1 0 0 1 0 0 0 0 0 0 0 0 1 \n    0 1 0 0 1 1 1 1 0 0 0 0 1 1 1 1 0 0 1 0 1 1 1 0 1 0 1 0 1 1 1 0 0 1 1 1]\n[0 0 0 0 0 0 0 0 0 0 0 0 0 0 0 0 1 0 0 0 0 0 0 0 0 0 0 0 0 0 0 0 0 0 0 0 0 0 0 0\n    0 0 0 0 0 0 0 0 0 0 0 0 0 0 1 0 0 1 1 0 1 0 0 1 1 1 0 0 0 1 0 0 0 0 0 0 0 1 \n    1 0 0 1 0 1 1 1 0 0 1 0 1 0 0 1 0 0 0 1 0 0 1 1 0 0 0 0 1 1 0 0 0 1 0 1]\n[0 0 0 0 0 0 0 0 0 0 0 0 0 0 0 0 0 1 0 0 0 0 0 0 0 0 0 0 0 0 0 0 0 0 0 0 0 0 0 0\n    0 0 0 0 0 0 0 0 0 0 0 0 1 0 0 1 1 0 1 1 1 0 1 0 0 1 1 1 1 0 1 1 1 0 1 1 0 1 \n    0 0 0 1 0 0 1 1 0 0 0 0 0 0 1 0 1 1 0 1 0 0 1 1 1 1 0 1 1 0 1 0 0 1 1 1]\n[0 0 0 0 0 0 0 0 0 0 0 0 0 0 0 0 0 0 1 0 0 0 0 0 0 0 0 0 0 0 0 0 0 0 0 0 0 0 0 0\n    0 0 0 0 0 0 0 0 0 0 0 0 0 0 0 0 1 1 0 1 1 0 1 1 1 1 0 1 1 0 1 0 0 0 0 1 1 1 \n    1 0 1 0 0 0 1 0 1 1 0 1 1 0 0 1 0 1 0 0 1 1 0 1 1 0 1 0 0 0 1 0 1 1 1 1]\n[0 0 0 0 0 0 0 0 0 0 0 0 0 0 0 0 0 0 0 1 0 0 0 0 0 0 0 0 0 0 0 0 0 0 0 0 0 0 0 0\n    0 0 0 0 0 0 0 0 0 0 0 0 0 0 0 1 0 1 0 0 0 0 0 0 1 1 0 0 1 1 1 0 1 1 1 0 1 0 \n    1 1 1 0 1 1 0 0 0 0 1 1 1 0 0 1 0 1 1 1 0 0 1 0 1 0 0 0 0 0 0 0 0 1 0 0]\n[0 0 0 0 0 0 0 0 0 0 0 0 0 0 0 0 0 0 0 0 1 0 0 0 0 0 0 0 0 0 0 0 0 0 0 0 0 0 0 0\n    0 0 0 0 0 0 0 0 0 0 0 0 0 0 1 1 1 0 1 1 1 0 0 1 0 0 1 0 0 1 0 0 1 0 0 1 0 1 \n    0 1 1 1 1 0 1 1 1 1 1 0 0 1 1 1 1 1 1 0 1 0 0 1 0 1 0 0 1 0 1 0 0 1 1 1]\n[0 0 0 0 0 0 0 0 0 0 0 0 0 0 0 0 0 0 0 0 0 1 0 0 0 0 0 0 0 0 0 0 0 0 0 0 0 0 0 0\n    0 0 0 0 0 0 0 0 0 0 0 0 0 0 0 0 1 1 1 1 0 0 0 1 1 0 1 1 0 0 0 1 1 0 1 0 1 1 \n    1 0 0 0 0 0 0 0 1 0 1 0 0 1 1 0 0 0 1 0 0 0 0 0 1 1 1 1 0 1 0 0 0 0 0 0]\n[0 0 0 0 0 0 0 0 0 0 0 0 0 0 0 0 0 0 0 0 0 0 1 0 0 0 0 0 0 0 0 0 0 0 0 0 0 0 0 0\n    0 0 0 0 0 0 0 0 0 0 0 0 1 0 0 1 1 1 0 1 1 0 1 1 0 1 1 0 0 0 1 0 1 0 0 0 0 1 \n    0 0 1 0 0 1 0 1 1 0 0 1 0 0 0 0 1 0 0 1 1 1 1 0 0 1 1 1 0 1 1 1 0 1 1 0]\n[0 0 0 0 0 0 0 0 0 0 0 0 0 0 0 0 0 0 0 0 0 0 0 1 0 0 0 0 0 0 0 0 0 0 0 0 0 0 0 0\n    0 0 0 0 0 0 0 0 0 0 0 0 1 0 0 0 0 1 1 0 0 1 0 1 1 1 0 0 1 1 1 1 0 0 1 1 0 0 \n    0 1 1 0 0 0 0 1 0 0 0 0 0 1 1 0 0 0 1 1 0 0 0 1 0 0 1 0 1 0 0 0 0 0 1 0]\n[0 0 0 0 0 0 0 0 0 0 0 0 0 0 0 0 0 0 0 0 0 0 0 0 1 0 0 0 0 0 0 0 0 0 0 0 0 0 0 0\n    0 0 0 0 0 0 0 0 0 0 0 0 0 0 0 1 0 0 0 1 1 0 0 1 0 0 1 0 0 0 1 1 1 0 1 1 1 0 \n    0 0 1 0 0 1 1 0 1 0 0 0 1 1 1 0 1 1 1 0 1 0 0 0 1 0 0 0 1 0 1 0 1 1 1 0]\n[0 0 0 0 0 0 0 0 0 0 0 0 0 0 0 0 0 0 0 0 0 0 0 0 0 1 0 0 0 0 0 0 0 0 0 0 0 0 0 0\n    0 0 0 0 0 0 0 0 0 0 0 0 0 0 1 1 1 0 0 1 0 1 0 1 1 1 0 1 0 0 1 0 0 0 1 1 1 1 \n    0 0 0 1 1 1 1 0 1 0 1 1 1 1 0 0 0 0 1 0 0 1 0 0 0 1 0 0 1 1 1 1 0 0 1 0]\n[0 0 0 0 0 0 0 0 0 0 0 0 0 0 0 0 0 0 0 0 0 0 0 0 0 0 1 0 0 0 0 0 0 0 0 0 0 0 0 0\n    0 0 0 0 0 0 0 0 0 0 0 0 1 0 1 1 0 1 1 1 0 0 0 0 0 0 0 1 0 0 0 0 1 0 1 0 1 1 \n    0 1 1 0 0 1 1 1 0 1 1 0 0 1 1 0 1 1 0 0 1 1 0 0 0 0 1 0 0 0 0 0 1 0 1 0]\n[0 0 0 0 0 0 0 0 0 0 0 0 0 0 0 0 0 0 0 0 0 0 0 0 0 0 0 1 0 0 0 0 0 0 0 0 0 0 0 0\n    0 0 0 0 0 0 0 0 0 0 0 0 0 0 1 1 1 0 0 0 1 0 1 0 1 0 0 0 1 1 1 1 1 0 0 1 0 1 \n    1 0 1 0 1 0 0 0 0 1 0 0 0 1 0 1 1 1 0 0 0 1 1 0 0 0 0 0 0 1 0 0 1 1 1 1]\n[0 0 0 0 0 0 0 0 0 0 0 0 0 0 0 0 0 0 0 0 0 0 0 0 0 0 0 0 1 0 0 0 0 0 0 0 0 0 0 0\n    0 0 0 0 0 0 0 0 0 0 0 0 0 0 1 1 1 1 1 1 0 0 0 1 0 0 1 0 0 1 1 1 1 1 0 0 1 1 \n    1 1 1 0 0 1 0 0 1 0 0 0 1 1 0 0 0 1 1 0 0 1 1 1 0 1 0 1 1 0 0 1 0 0 0 1]\n[0 0 0 0 0 0 0 0 0 0 0 0 0 0 0 0 0 0 0 0 0 0 0 0 0 0 0 0 0 1 0 0 0 0 0 0 0 0 0 0\n    0 0 0 0 0 0 0 0 0 0 0 0 0 0 1 1 1 1 0 0 1 1 0 0 1 1 1 1 0 0 1 1 1 1 1 0 0 0 \n    1 1 0 0 0 0 1 0 1 1 1 0 1 0 0 0 1 0 1 1 0 1 1 1 1 1 1 1 0 1 1 1 1 1 1 0]\n[0 0 0 0 0 0 0 0 0 0 0 0 0 0 0 0 0 0 0 0 0 0 0 0 0 0 0 0 0 0 1 0 0 0 0 0 0 0 0 0\n    0 0 0 0 0 0 0 0 0 0 0 0 1 0 0 0 0 1 0 0 0 1 0 1 1 1 0 0 0 0 1 1 1 0 1 0 0 0 \n    1 0 0 0 0 1 0 0 1 0 1 1 0 1 1 1 1 1 0 1 0 1 0 1 1 1 1 1 0 1 1 0 1 0 0 1]\n[0 0 0 0 0 0 0 0 0 0 0 0 0 0 0 0 0 0 0 0 0 0 0 0 0 0 0 0 0 0 0 1 0 0 0 0 0 0 0 0\n    0 0 0 0 0 0 0 0 0 0 0 0 1 0 0 1 1 0 0 0 0 1 1 1 1 0 1 1 1 1 0 0 0 1 0 0 0 1 \n    1 0 0 0 1 1 0 0 1 1 0 0 0 0 0 0 0 1 0 0 0 0 0 0 1 0 1 1 1 0 0 1 1 1 1 0]\n[0 0 0 0 0 0 0 0 0 0 0 0 0 0 0 0 0 0 0 0 0 0 0 0 0 0 0 0 0 0 0 0 1 0 0 0 0 0 0 0\n    0 0 0 0 0 0 0 0 0 0 0 0 1 0 0 0 0 1 0 0 1 0 1 1 1 0 1 0 0 0 0 0 0 1 0 1 0 0 \n    0 0 1 1 0 1 0 1 1 0 1 0 1 1 1 0 0 1 0 1 1 1 1 0 0 1 0 0 1 1 1 1 0 1 1 0]\n[0 0 0 0 0 0 0 0 0 0 0 0 0 0 0 0 0 0 0 0 0 0 0 0 0 0 0 0 0 0 0 0 0 1 0 0 0 0 0 0\n    0 0 0 0 0 0 0 0 0 0 0 0 0 0 0 1 0 0 0 0 1 1 1 0 0 0 0 1 0 1 0 0 0 0 0 0 1 0 \n    0 0 0 0 1 1 0 0 1 1 0 1 1 0 1 0 1 1 0 1 1 1 1 1 0 0 1 1 1 0 0 1 0 1 0 0]\n[0 0 0 0 0 0 0 0 0 0 0 0 0 0 0 0 0 0 0 0 0 0 0 0 0 0 0 0 0 0 0 0 0 0 1 0 0 0 0 0\n    0 0 0 0 0 0 0 0 0 0 0 0 0 0 1 1 1 0 0 1 1 1 1 0 0 1 0 0 1 0 0 1 1 1 1 0 0 1 \n    0 0 0 0 1 0 1 1 1 0 0 1 0 1 1 0 0 0 1 1 1 1 1 1 1 0 0 1 0 1 1 0 1 1 1 1]\n[0 0 0 0 0 0 0 0 0 0 0 0 0 0 0 0 0 0 0 0 0 0 0 0 0 0 0 0 0 0 0 0 0 0 0 1 0 0 0 0\n    0 0 0 0 0 0 0 0 0 0 0 0 0 0 0 0 1 1 1 0 0 0 1 0 0 0 0 0 0 1 1 1 0 0 0 1 0 1 \n    1 0 1 1 1 0 0 0 1 0 0 1 1 1 1 0 1 1 0 0 1 0 1 1 1 0 0 1 1 0 1 0 0 1 0 0]\n[0 0 0 0 0 0 0 0 0 0 0 0 0 0 0 0 0 0 0 0 0 0 0 0 0 0 0 0 0 0 0 0 0 0 0 0 1 0 0 0\n    0 0 0 0 0 0 0 0 0 0 0 0 1 0 0 1 1 1 0 1 0 0 1 0 1 0 1 1 1 0 0 1 1 1 0 1 1 0 \n    0 0 1 1 1 0 0 1 1 0 0 0 1 1 0 0 1 1 1 0 1 0 1 1 1 1 0 0 0 0 0 0 0 1 0 0]\n[0 0 0 0 0 0 0 0 0 0 0 0 0 0 0 0 0 0 0 0 0 0 0 0 0 0 0 0 0 0 0 0 0 0 0 0 0 1 0 0\n    0 0 0 0 0 0 0 0 0 0 0 0 1 0 0 0 0 1 1 0 0 0 0 1 0 0 1 0 0 0 1 0 1 0 0 1 1 1 \n    1 1 1 0 1 1 1 1 0 0 0 0 1 0 0 0 0 0 0 0 1 0 1 1 1 1 1 1 0 0 1 1 1 0 1 1]\n[0 0 0 0 0 0 0 0 0 0 0 0 0 0 0 0 0 0 0 0 0 0 0 0 0 0 0 0 0 0 0 0 0 0 0 0 0 0 1 0\n    0 0 0 0 0 0 0 0 0 0 0 0 1 0 1 0 1 0 0 0 1 1 0 0 1 0 0 0 1 1 1 1 0 0 1 1 1 0 \n    0 0 1 1 0 1 0 0 1 1 1 0 0 1 0 0 1 1 1 1 1 1 1 1 1 0 1 1 0 0 0 1 0 0 1 0]\n[0 0 0 0 0 0 0 0 0 0 0 0 0 0 0 0 0 0 0 0 0 0 0 0 0 0 0 0 0 0 0 0 0 0 0 0 0 0 0 1\n    0 0 0 0 0 0 0 0 0 0 0 0 1 0 0 1 1 1 0 0 1 1 1 0 0 0 1 1 1 0 0 1 1 1 1 0 1 1 \n    1 1 1 0 1 0 0 1 1 0 1 1 1 1 0 0 0 0 0 0 0 0 0 1 1 1 0 0 1 0 1 1 0 0 0 0]\n[0 0 0 0 0 0 0 0 0 0 0 0 0 0 0 0 0 0 0 0 0 0 0 0 0 0 0 0 0 0 0 0 0 0 0 0 0 0 0 0\n    1 0 0 0 0 0 0 0 0 0 0 0 1 0 1 1 0 1 1 1 0 1 1 0 0 0 1 0 0 0 0 1 0 1 1 0 0 1 \n    0 0 0 0 1 0 1 0 1 1 1 0 1 0 1 1 0 0 1 0 1 1 1 0 1 1 1 1 1 1 0 0 0 1 0 0]\n[0 0 0 0 0 0 0 0 0 0 0 0 0 0 0 0 0 0 0 0 0 0 0 0 0 0 0 0 0 0 0 0 0 0 0 0 0 0 0 0\n    0 1 0 0 0 0 0 0 0 0 0 0 0 0 0 0 1 0 0 1 0 0 0 0 1 1 0 1 0 1 0 0 1 0 0 1 0 0 \n    1 0 0 1 0 0 1 1 0 1 1 1 1 0 0 0 0 1 1 0 0 1 1 1 0 1 1 0 0 0 0 0 1 1 0 1]\n[0 0 0 0 0 0 0 0 0 0 0 0 0 0 0 0 0 0 0 0 0 0 0 0 0 0 0 0 0 0 0 0 0 0 0 0 0 0 0 0\n    0 0 1 0 0 0 0 0 0 0 0 0 0 0 1 0 0 1 1 1 1 1 0 0 0 0 0 0 1 0 1 0 0 1 0 0 1 1 \n    0 1 1 1 1 0 0 1 0 0 0 1 0 0 1 0 1 0 1 1 0 1 1 1 1 1 1 0 1 0 1 1 0 0 0 0]\n[0 0 0 0 0 0 0 0 0 0 0 0 0 0 0 0 0 0 0 0 0 0 0 0 0 0 0 0 0 0 0 0 0 0 0 0 0 0 0 0\n    0 0 0 1 0 0 0 0 0 0 0 0 0 0 1 0 0 0 1 0 0 1 1 1 0 1 0 0 0 1 1 0 1 1 0 0 0 1 \n    1 0 1 1 0 0 0 1 0 1 1 1 0 0 1 0 0 0 0 0 1 0 1 1 1 1 1 1 1 1 1 1 1 1 0 1]\n[0 0 0 0 0 0 0 0 0 0 0 0 0 0 0 0 0 0 0 0 0 0 0 0 0 0 0 0 0 0 0 0 0 0 0 0 0 0 0 0\n    0 0 0 0 1 0 0 0 0 0 0 0 1 0 1 0 1 0 0 0 0 1 0 0 0 1 1 1 1 0 0 1 0 0 1 1 0 1 \n    0 0 0 0 1 1 0 1 1 1 0 1 0 1 0 0 0 0 0 0 1 1 1 1 1 0 1 0 1 0 0 1 1 1 1 0]\n[0 0 0 0 0 0 0 0 0 0 0 0 0 0 0 0 0 0 0 0 0 0 0 0 0 0 0 0 0 0 0 0 0 0 0 0 0 0 0 0\n    0 0 0 0 0 1 0 0 0 0 0 0 1 0 1 0 1 1 0 1 0 0 1 1 0 0 0 0 0 0 0 1 0 0 0 0 1 0 \n    0 1 1 1 1 0 0 0 1 1 0 1 1 1 1 1 0 0 1 0 1 0 0 1 1 1 0 0 1 1 0 1 0 0 1 1]\n[0 0 0 0 0 0 0 0 0 0 0 0 0 0 0 0 0 0 0 0 0 0 0 0 0 0 0 0 0 0 0 0 0 0 0 0 0 0 0 0\n    0 0 0 0 0 0 1 0 0 0 0 0 0 0 0 1 0 1 1 0 1 1 1 1 0 1 1 0 0 1 1 1 0 1 0 0 0 0 \n    0 0 0 1 0 1 1 1 0 0 1 1 0 1 1 1 1 0 1 1 0 0 0 0 1 0 1 0 1 0 0 1 0 1 0 1]\n[0 0 0 0 0 0 0 0 0 0 0 0 0 0 0 0 0 0 0 0 0 0 0 0 0 0 0 0 0 0 0 0 0 0 0 0 0 0 0 0\n    0 0 0 0 0 0 0 1 0 0 0 0 1 0 1 1 0 0 1 0 0 0 0 0 0 1 1 0 1 0 0 1 1 1 1 1 0 1 \n    1 1 0 1 1 1 1 0 1 1 1 1 0 1 1 0 1 1 0 1 0 0 1 0 0 0 0 0 0 0 1 0 1 0 1 0]\n[0 0 0 0 0 0 0 0 0 0 0 0 0 0 0 0 0 0 0 0 0 0 0 0 0 0 0 0 0 0 0 0 0 0 0 0 0 0 0 0\n    0 0 0 0 0 0 0 0 1 0 0 0 0 0 0 0 1 0 1 1 1 0 1 1 1 1 1 1 0 0 0 0 1 1 0 1 1 0 \n    1 1 1 1 1 0 0 1 0 1 1 1 0 1 1 0 1 0 0 1 1 0 0 1 0 0 0 1 1 1 1 1 1 0 1 0]\n[0 0 0 0 0 0 0 0 0 0 0 0 0 0 0 0 0 0 0 0 0 0 0 0 0 0 0 0 0 0 0 0 0 0 0 0 0 0 0 0\n    0 0 0 0 0 0 0 0 0 1 0 0 1 0 0 1 1 1 1 1 1 1 1 0 0 1 0 0 0 0 1 0 0 0 1 1 1 1 \n    1 0 0 1 1 0 0 1 0 1 1 1 1 0 0 0 1 1 0 0 0 0 1 0 1 0 0 0 0 0 1 0 1 0 1 1]\n[0 0 0 0 0 0 0 0 0 0 0 0 0 0 0 0 0 0 0 0 0 0 0 0 0 0 0 0 0 0 0 0 0 0 0 0 0 0 0 0\n    0 0 0 0 0 0 0 0 0 0 1 0 0 0 1 1 1 1 1 0 0 0 0 0 1 0 0 0 0 1 0 1 0 0 1 1 1 0 \n    1 1 1 0 1 0 1 0 0 0 0 1 1 1 1 1 0 0 0 1 0 1 0 1 0 0 0 0 0 1 0 0 1 1 0 0]\n[0 0 0 0 0 0 0 0 0 0 0 0 0 0 0 0 0 0 0 0 0 0 0 0 0 0 0 0 0 0 0 0 0 0 0 0 0 0 0 0\n    0 0 0 0 0 0 0 0 0 0 0 1 1 0 1 1 0 1 0 0 1 0 1 0 1 0 1 1 1 0 1 1 0 0 1 0 1 1 \n    1 0 0 1 1 1 0 1 0 0 1 1 0 1 1 1 0 1 0 1 0 1 0 0 1 0 0 0 0 1 0 1 0 1 0 1]\n[0 0 0 0 0 0 0 0 0 0 0 0 0 0 0 0 0 0 0 0 0 0 0 0 0 0 0 0 0 0 0 0 0 0 0 0 0 0 0 0\n    0 0 0 0 0 0 0 0 0 0 0 0 0 1 1 0 0 0 1 1 0 0 1 0 1 0 0 0 0 1 1 1 1 1 0 0 0 0 \n    0 0 0 1 1 0 1 1 1 1 1 1 0 1 1 0 1 0 1 0 0 0 0 0 0 0 0 1 0 1 0 0 1 0 1 0]\n[[57, 4]] quantum code over GF(2^2), stabilised by:\n[1 0 0 0 0 0 0 0 0 0 0 0 0 0 0 0 0 0 0 0 0 0 0 0 0 0 0 1 $.1^2 $.1^2 0 1 1 0 \n    $.1^2 1 0 $.1^2 1 $.1^2 0 $.1^2 $.1 0 $.1^2 0 $.1 $.1^2 0 $.1^2 1 $.1^2 0 1 \n    $.1^2 0 1]\n[$.1 0 0 0 0 0 0 0 0 0 0 0 0 0 0 0 0 0 0 0 0 0 0 0 0 0 $.1 $.1 1 1 0 $.1 $.1^2 \n    $.1 0 1 $.1^2 $.1 0 1 0 $.1 $.1^2 $.1 0 $.1 0 0 $.1 $.1^2 $.1 1 1 0 $.1 $.1 \n    $.1]\n[0 1 0 0 0 0 0 0 0 0 0 0 0 0 0 0 0 0 0 0 0 0 0 0 0 0 0 $.1 $.1^2 0 1 0 0 $.1^2 0\n    $.1^2 $.1^2 $.1^2 0 $.1^2 $.1 $.1 1 $.1 1 1 0 1 0 $.1 $.1 $.1^2 0 0 1 $.1 \n    $.1]\n[0 $.1 0 0 0 0 0 0 0 0 0 0 0 0 0 0 0 0 0 0 0 0 0 0 0 0 $.1 $.1^2 1 0 $.1 0 1 \n    $.1^2 1 $.1 $.1 $.1 $.1 1 $.1^2 0 $.1 1 $.1^2 0 $.1^2 $.1^2 $.1 1 $.1^2 1 1 \n    $.1 1 1 $.1^2]\n[0 0 1 0 0 0 0 0 0 0 0 0 0 0 0 0 0 0 0 0 0 0 0 0 0 0 $.1 0 1 $.1 $.1^2 1 $.1^2 \n    $.1^2 1 1 $.1 0 1 0 1 $.1 0 $.1^2 $.1 $.1 1 1 0 $.1 $.1^2 1 $.1^2 0 0 0 $.1]\n[0 0 $.1 0 0 0 0 0 0 0 0 0 0 0 0 0 0 0 0 0 0 0 0 0 0 0 $.1 0 $.1 $.1^2 1 $.1 $.1\n    0 1 0 1 $.1 $.1^2 0 $.1 1 0 0 0 $.1 0 1 1 $.1 1 $.1 $.1 1 $.1 1 $.1^2]\n[0 0 0 1 0 0 0 0 0 0 0 0 0 0 0 0 0 0 0 0 0 0 0 0 0 0 $.1 $.1^2 $.1^2 0 1 $.1^2 \n    $.1 $.1^2 0 $.1^2 $.1 $.1^2 0 0 $.1 1 $.1 $.1 $.1 $.1 $.1^2 $.1 $.1^2 $.1^2 \n    $.1 0 1 0 1 $.1^2 1]\n[0 0 0 $.1 0 0 0 0 0 0 0 0 0 0 0 0 0 0 0 0 0 0 0 0 0 0 $.1 1 1 0 $.1 1 0 0 $.1^2\n    $.1^2 1 $.1^2 1 0 $.1^2 0 $.1^2 $.1 0 $.1 $.1^2 0 0 0 $.1^2 0 1 1 0 0 $.1]\n[0 0 0 0 1 0 0 0 0 0 0 0 0 0 0 0 0 0 0 0 0 0 0 0 0 0 0 1 1 0 $.1 1 $.1 $.1^2 $.1\n    $.1^2 $.1^2 $.1^2 $.1 $.1^2 1 0 1 $.1 $.1 $.1^2 $.1^2 $.1 $.1 0 $.1^2 0 \n    $.1^2 $.1 1 $.1 0]\n[0 0 0 0 $.1 0 0 0 0 0 0 0 0 0 0 0 0 0 0 0 0 0 0 0 0 0 $.1 $.1 $.1 0 $.1^2 $.1 \n    $.1 $.1^2 $.1 $.1 $.1 $.1 1 1 $.1 $.1^2 $.1 1 $.1 $.1^2 $.1 $.1 1 $.1 1 0 0 \n    1 1 1 0]\n[0 0 0 0 0 1 0 0 0 0 0 0 0 0 0 0 0 0 0 0 0 0 0 0 0 0 0 1 1 1 0 $.1 1 1 $.1 1 1 1\n    1 $.1^2 $.1^2 1 $.1 1 $.1^2 1 $.1 1 1 $.1^2 1 $.1^2 0 0 $.1^2 $.1^2 $.1^2]\n[0 0 0 0 0 $.1 0 0 0 0 0 0 0 0 0 0 0 0 0 0 0 0 0 0 0 0 0 $.1 $.1 $.1 0 $.1^2 $.1\n    $.1 $.1^2 $.1 $.1 $.1 $.1 1 1 $.1 $.1^2 $.1 1 $.1 $.1^2 $.1 $.1 1 $.1 1 0 0 \n    1 1 1]\n[0 0 0 0 0 0 1 0 0 0 0 0 0 0 0 0 0 0 0 0 0 0 0 0 0 0 $.1 $.1 0 $.1^2 0 0 0 0 \n    $.1^2 $.1^2 $.1 1 0 $.1^2 0 1 1 0 0 $.1 1 0 $.1^2 1 $.1^2 0 0 0 0 $.1^2 1]\n[0 0 0 0 0 0 $.1 0 0 0 0 0 0 0 0 0 0 0 0 0 0 0 0 0 0 0 0 $.1^2 0 1 0 0 $.1 $.1^2\n    $.1^2 0 $.1 $.1^2 $.1^2 1 0 $.1^2 $.1 $.1^2 $.1 0 $.1^2 $.1 $.1 1 1 0 $.1 \n    $.1^2 1 $.1 $.1]\n[0 0 0 0 0 0 0 1 0 0 0 0 0 0 0 0 0 0 0 0 0 0 0 0 0 0 0 0 0 $.1^2 1 0 1 $.1 0 \n    $.1^2 1 1 $.1 $.1 $.1 $.1 $.1^2 1 1 $.1 $.1 $.1 $.1^2 1 0 1 $.1^2 0 0 1 1]\n[0 0 0 0 0 0 0 $.1 0 0 0 0 0 0 0 0 0 0 0 0 0 0 0 0 0 0 $.1 0 0 1 $.1 0 $.1^2 1 1\n    $.1 1 1 1 $.1^2 $.1^2 0 1 0 $.1^2 1 0 $.1 $.1^2 0 0 $.1 0 $.1 $.1^2 0 $.1]\n[0 0 0 0 0 0 0 0 1 0 0 0 0 0 0 0 0 0 0 0 0 0 0 0 0 0 0 $.1 $.1 $.1^2 1 1 1 $.1^2\n    $.1 0 1 $.1 $.1 0 $.1^2 0 0 $.1^2 0 $.1^2 $.1 1 1 1 0 $.1 $.1 $.1^2 0 1 \n    $.1^2]\n[0 0 0 0 0 0 0 0 $.1 0 0 0 0 0 0 0 0 0 0 0 0 0 0 0 0 0 $.1 $.1^2 $.1^2 1 $.1 $.1\n    $.1^2 $.1^2 $.1 $.1^2 1 0 1 0 1 $.1^2 0 $.1^2 1 $.1^2 0 $.1^2 0 0 0 $.1^2 \n    $.1 $.1^2 $.1^2 0 1]\n[0 0 0 0 0 0 0 0 0 1 0 0 0 0 0 0 0 0 0 0 0 0 0 0 0 0 $.1 $.1^2 $.1^2 0 $.1 1 \n    $.1^2 $.1^2 0 0 1 $.1^2 1 1 $.1^2 1 $.1 $.1 $.1^2 $.1 $.1 $.1 0 0 0 1 1 1 \n    $.1 $.1 $.1]\n[0 0 0 0 0 0 0 0 0 $.1 0 0 0 0 0 0 0 0 0 0 0 0 0 0 0 0 0 1 1 0 $.1^2 $.1 $.1^2 \n    $.1 $.1 1 $.1^2 0 1 $.1 1 $.1^2 $.1^2 0 $.1^2 0 $.1 1 $.1^2 $.1^2 0 $.1 0 1 \n    $.1 0 $.1^2]\n[0 0 0 0 0 0 0 0 0 0 1 0 0 0 0 0 0 0 0 0 0 0 0 0 0 0 $.1 $.1 0 $.1 $.1^2 $.1 $.1\n    0 1 1 1 $.1 1 1 $.1^2 $.1^2 $.1^2 0 $.1 0 $.1 $.1^2 $.1^2 $.1 1 $.1^2 1 1 1 \n    $.1^2 $.1]\n[0 0 0 0 0 0 0 0 0 0 $.1 0 0 0 0 0 0 0 0 0 0 0 0 0 0 0 $.1 $.1^2 0 $.1^2 1 $.1^2\n    0 1 1 0 0 1 $.1^2 $.1 1 $.1^2 1 1 0 1 1 $.1 0 $.1 $.1 1 1 $.1^2 0 0 $.1^2]\n[0 0 0 0 0 0 0 0 0 0 0 1 0 0 0 0 0 0 0 0 0 0 0 0 0 0 $.1 $.1^2 1 1 1 $.1^2 1 $.1\n    $.1^2 $.1^2 $.1 0 $.1 0 $.1^2 $.1^2 $.1^2 1 1 $.1 1 1 1 0 $.1 $.1 $.1^2 $.1 \n    0 $.1 $.1]\n[0 0 0 0 0 0 0 0 0 0 0 $.1 0 0 0 0 0 0 0 0 0 0 0 0 0 0 $.1 1 $.1 $.1 $.1 1 1 $.1\n    $.1 $.1^2 1 $.1 $.1 0 1 $.1^2 1 $.1^2 1 $.1 0 1 $.1^2 1 $.1^2 $.1^2 $.1 $.1 \n    $.1 $.1 $.1^2]\n[0 0 0 0 0 0 0 0 0 0 0 0 1 0 0 0 0 0 0 0 0 0 0 0 0 0 $.1 $.1^2 0 0 $.1 1 0 1 1 1\n    0 $.1^2 0 $.1^2 $.1 $.1^2 $.1^2 1 0 1 $.1^2 $.1 $.1^2 $.1 0 1 $.1 0 $.1^2 \n    $.1^2 $.1^2]\n[0 0 0 0 0 0 0 0 0 0 0 0 $.1 0 0 0 0 0 0 0 0 0 0 0 0 0 $.1 1 0 0 $.1^2 $.1 $.1^2\n    $.1^2 1 0 $.1 $.1^2 1 1 $.1^2 $.1^2 1 $.1^2 $.1^2 $.1^2 $.1^2 0 0 $.1 0 $.1 \n    0 1 $.1^2 0 1]\n[0 0 0 0 0 0 0 0 0 0 0 0 0 1 0 0 0 0 0 0 0 0 0 0 0 0 $.1 0 $.1 $.1 1 $.1 $.1^2 1\n    $.1^2 0 $.1 0 $.1 $.1 0 0 $.1^2 1 0 1 1 1 0 $.1^2 $.1 1 $.1 $.1 0 $.1^2 1]\n[0 0 0 0 0 0 0 0 0 0 0 0 0 $.1 0 0 0 0 0 0 0 0 0 0 0 0 0 0 $.1^2 $.1^2 $.1 $.1^2\n    $.1^2 1 $.1^2 1 $.1 1 0 $.1^2 0 1 1 1 $.1 1 $.1^2 0 $.1^2 $.1 $.1^2 $.1 1 0 \n    1 $.1 $.1]\n[0 0 0 0 0 0 0 0 0 0 0 0 0 0 1 0 0 0 0 0 0 0 0 0 0 0 0 0 $.1 1 0 1 $.1^2 1 1 \n    $.1^2 $.1 1 $.1^2 0 $.1^2 $.1 $.1 $.1^2 0 $.1 1 $.1 $.1 $.1 $.1 0 $.1 $.1 \n    $.1 1 1]\n[0 0 0 0 0 0 0 0 0 0 0 0 0 0 $.1 0 0 0 0 0 0 0 0 0 0 0 $.1 0 $.1^2 $.1 0 $.1 0 0\n    $.1^2 $.1 0 1 $.1^2 0 1 0 $.1^2 $.1^2 1 1 1 $.1 1 1 $.1^2 0 $.1 1 0 0 $.1]\n[0 0 0 0 0 0 0 0 0 0 0 0 0 0 0 1 0 0 0 0 0 0 0 0 0 0 0 $.1 $.1 1 $.1^2 0 0 1 1 1\n    1 1 $.1 1 1 1 0 $.1 $.1 $.1 $.1 $.1 1 0 $.1^2 0 $.1^2 $.1 $.1 $.1^2 $.1^2]\n[0 0 0 0 0 0 0 0 0 0 0 0 0 0 0 $.1 0 0 0 0 0 0 0 0 0 0 $.1 $.1^2 $.1^2 $.1 1 0 1\n    0 $.1^2 1 1 1 1 $.1 $.1 1 0 1 $.1 1 0 $.1 0 $.1 1 0 0 1 0 $.1^2 1]\n[0 0 0 0 0 0 0 0 0 0 0 0 0 0 0 0 1 0 0 0 0 0 0 0 0 0 $.1 $.1^2 $.1^2 0 0 $.1^2 \n    $.1 $.1 $.1 $.1^2 0 $.1^2 $.1 1 $.1 $.1^2 $.1^2 $.1 $.1 0 $.1^2 $.1 $.1^2 0 \n    1 $.1 $.1^2 0 $.1^2 0 0]\n[0 0 0 0 0 0 0 0 0 0 0 0 0 0 0 0 $.1 0 0 0 0 0 0 0 0 0 0 1 1 0 0 1 1 0 1 0 1 0 0\n    $.1 $.1^2 0 1 0 1 $.1^2 0 1 $.1 $.1^2 $.1 $.1^2 $.1^2 $.1^2 0 $.1^2 0]\n[0 0 0 0 0 0 0 0 0 0 0 0 0 0 0 0 0 1 0 0 0 0 0 0 0 0 0 $.1^2 $.1^2 $.1^2 0 0 \n    $.1^2 1 $.1^2 1 1 $.1 1 $.1^2 1 $.1 1 $.1^2 $.1^2 1 1 1 1 $.1 1 1 $.1 0 1 1 \n    1]\n[0 0 0 0 0 0 0 0 0 0 0 0 0 0 0 0 0 $.1 0 0 0 0 0 0 0 0 0 1 1 1 0 0 1 $.1 1 $.1 \n    $.1 $.1^2 $.1 1 $.1 $.1^2 $.1 1 1 $.1 $.1 $.1 $.1 $.1^2 $.1 $.1 $.1^2 0 $.1 \n    $.1 $.1]\n[0 0 0 0 0 0 0 0 0 0 0 0 0 0 0 0 0 0 1 0 0 0 0 0 0 0 0 $.1^2 1 0 1 0 1 $.1 0 0 1\n    0 $.1^2 $.1 $.1 $.1^2 $.1 1 $.1^2 $.1 0 0 1 $.1 $.1 $.1^2 $.1 1 1 $.1 $.1]\n[0 0 0 0 0 0 0 0 0 0 0 0 0 0 0 0 0 0 $.1 0 0 0 0 0 0 0 $.1 1 $.1 0 $.1 0 $.1^2 1\n    1 $.1^2 1 $.1^2 $.1^2 $.1^2 $.1^2 $.1 $.1^2 0 0 1 $.1^2 1 0 1 $.1^2 1 $.1 0 \n    1 1 $.1^2]\n[0 0 0 0 0 0 0 0 0 0 0 0 0 0 0 0 0 0 0 1 0 0 0 0 0 0 $.1 0 0 0 $.1^2 1 $.1^2 $.1\n    0 1 1 $.1 $.1 $.1^2 0 $.1 1 0 1 0 $.1 1 1 $.1^2 $.1^2 1 $.1^2 $.1 1 0 $.1]\n[0 0 0 0 0 0 0 0 0 0 0 0 0 0 0 0 0 0 0 $.1 0 0 0 0 0 0 $.1 0 0 0 1 $.1 $.1 $.1 \n    $.1^2 0 0 1 $.1 1 0 1 $.1 1 1 1 1 1 $.1^2 0 1 $.1 $.1 $.1 0 1 $.1^2]\n[0 0 0 0 0 0 0 0 0 0 0 0 0 0 0 0 0 0 0 0 1 0 0 0 0 0 $.1 $.1^2 $.1^2 1 $.1^2 \n    $.1^2 $.1 $.1^2 1 $.1 $.1 0 $.1 $.1^2 1 0 $.1 $.1^2 1 1 1 1 $.1^2 $.1 $.1^2 \n    0 1 0 $.1^2 $.1 1]\n[0 0 0 0 0 0 0 0 0 0 0 0 0 0 0 0 0 0 0 0 $.1 0 0 0 0 0 $.1 1 1 $.1 1 1 0 0 1 1 1\n    $.1 $.1 1 $.1 $.1 $.1^2 0 1 $.1^2 0 1 0 $.1 1 0 1 1 $.1^2 $.1 $.1]\n[0 0 0 0 0 0 0 0 0 0 0 0 0 0 0 0 0 0 0 0 0 1 0 0 0 0 0 1 1 0 $.1^2 $.1^2 $.1 \n    $.1^2 $.1 $.1 $.1 $.1^2 1 1 $.1 $.1^2 0 $.1 $.1^2 0 0 0 1 0 $.1 1 $.1^2 $.1 \n    1 0 1]\n[0 0 0 0 0 0 0 0 0 0 0 0 0 0 0 0 0 0 0 0 0 $.1 0 0 0 0 $.1 $.1 $.1 0 1 1 $.1 \n    $.1^2 $.1 0 0 $.1 0 $.1 $.1^2 $.1 0 1 0 $.1 $.1^2 1 0 $.1 $.1^2 $.1 0 1 1 \n    $.1 $.1]\n[0 0 0 0 0 0 0 0 0 0 0 0 0 0 0 0 0 0 0 0 0 0 1 0 0 0 0 $.1 $.1^2 $.1 $.1 $.1^2 \n    $.1 0 $.1^2 $.1 0 1 0 $.1^2 0 0 1 0 $.1^2 1 0 $.1^2 $.1^2 $.1^2 1 0 $.1 \n    $.1^2 $.1 0 $.1]\n[0 0 0 0 0 0 0 0 0 0 0 0 0 0 0 0 0 0 0 0 0 0 $.1 0 0 0 $.1 $.1^2 1 $.1^2 $.1^2 1\n    $.1 $.1 0 0 $.1^2 1 $.1 1 0 $.1^2 $.1 $.1 0 0 $.1^2 0 $.1^2 $.1^2 $.1 0 $.1 \n    $.1^2 0 $.1 $.1^2]\n[0 0 0 0 0 0 0 0 0 0 0 0 0 0 0 0 0 0 0 0 0 0 0 1 0 0 $.1 0 1 $.1 1 $.1 0 1 $.1 \n    $.1 $.1^2 $.1^2 $.1^2 0 1 0 $.1 $.1^2 0 0 1 1 $.1 1 $.1 $.1 0 $.1 $.1^2 \n    $.1^2 0]\n[0 0 0 0 0 0 0 0 0 0 0 0 0 0 0 0 0 0 0 0 0 0 0 $.1 0 0 $.1 0 $.1 $.1^2 $.1 $.1^2\n    $.1^2 $.1^2 0 1 $.1^2 $.1^2 0 0 $.1 $.1 $.1^2 0 $.1^2 1 0 1 $.1 $.1^2 $.1^2 \n    $.1^2 $.1^2 $.1 $.1^2 0 0]\n[0 0 0 0 0 0 0 0 0 0 0 0 0 0 0 0 0 0 0 0 0 0 0 0 1 0 0 $.1 0 1 $.1 1 $.1 0 1 $.1\n    $.1 $.1^2 $.1^2 $.1^2 0 1 0 $.1 $.1^2 0 0 1 1 $.1 1 $.1 $.1 0 $.1 $.1^2 \n    $.1^2]\n[0 0 0 0 0 0 0 0 0 0 0 0 0 0 0 0 0 0 0 0 0 0 0 0 $.1 0 0 $.1^2 0 $.1 $.1^2 $.1 \n    $.1^2 0 $.1 $.1^2 $.1^2 1 1 1 0 $.1 0 $.1^2 1 0 0 $.1 $.1 $.1^2 $.1 $.1^2 \n    $.1^2 0 $.1^2 1 1]\n[0 0 0 0 0 0 0 0 0 0 0 0 0 0 0 0 0 0 0 0 0 0 0 0 0 1 $.1 $.1 $.1^2 $.1 0 $.1 \n    $.1^2 $.1^2 $.1 0 1 $.1 $.1 1 0 $.1 1 $.1 $.1^2 $.1 0 $.1 $.1^2 1 $.1 0 1 \n    $.1 0 $.1 1]\n[0 0 0 0 0 0 0 0 0 0 0 0 0 0 0 0 0 0 0 0 0 0 0 0 0 $.1 0 $.1^2 1 $.1^2 0 $.1^2 \n    $.1^2 $.1 1 1 $.1^2 $.1 0 $.1 0 $.1 $.1 0 $.1^2 0 1 1 $.1 1 $.1^2 0 0 0 1 0 \n    $.1]\n[0 0 0 0 0 0 0 0 0 0 0 0 0 0 0 0 0 0 0 0 0 0 0 0 0 0 1 0 0 0 0 0 $.1^2 1 $.1^2 \n    $.1 $.1 $.1 1 0 0 $.1 0 1 $.1^2 1 $.1 $.1^2 1 1 0 0 $.1^2 1 $.1 1 0]\nQuantum GF(2)-Additive code over GF(4) of length 57 with 61 generators.\nLower Bound: 1, Upper Bound: 28\nConstructed 2 distinct generator matrices\nTotal Ranks:     31  31 \nRelative Ranks:  31  26 \n(4 4 4 4 4 4 4 4 4 4 4 4 4 4 4 4 4 4 4 4 4 4 4 4 4 4 4 4 4 4 2 )\n(4 4 4 4 4 4 4 4 4 4 4 4 4 4 4 4 4 4 4 4 4 4 4 4 4 4 4 4 4 4 2 )\nTime Taken: 0.01\nStarting search for low weight codewords... (reset timings)\nEnumerating using 1 generator at a time:\n     New codeword identified of weight 20, time 0.00\n     New codeword identified of weight 18, time 0.00\n     New codeword identified of weight 17, time 0.00\n   Completed Matrix  1:  lower =  2, upper = 17. Elapsed: 0.00s\n     New codeword identified of weight 15, time 0.00\n   Completed Matrix  2:  lower =  2, upper = 15. Elapsed: 0.00s\nTermination predicted with 9 generators at matrix 2\nEnumerating using 2 generators at a time:\n   Completed Matrix  1:  lower =  3, upper = 15. Elapsed: 0.00s\n     New codeword identified of weight 14, time 0.00\n   Completed Matrix  2:  lower =  3, upper = 14. Elapsed: 0.00s\nTermination predicted with 9 generators at matrix 1\nEnumerating using 3 generators at a time:\n     New codeword identified of weight 13, time 0.00\n   Completed Matrix  1:  lower =  4, upper = 13. Elapsed: 0.00s\n   Completed Matrix  2:  lower =  4, upper = 13. Elapsed: 0.00s\nTermination predicted with 8 generators at matrix 2\nEnumerating using 4 generators at a time:\n   Completed Matrix  1:  lower =  5, upper = 13. Elapsed: 0.01s\n   Completed Matrix  2:  lower =  5, upper = 13. Elapsed: 0.03s\nTermination predicted with 8 generators at matrix 2\nEnumerating using 5 generators at a time:\n   Completed Matrix  1:  lower =  6, upper = 13. Elapsed: 0.32s\n   Completed Matrix  2:  lower =  7, upper = 13. Elapsed: 0.68s\nTermination predicted at 813 s (13m 33s) with 8 generators at matrix 2\nEnumerating using 6 generators at a time:\n   Completed Matrix  1:  lower =  8, upper = 13. Elapsed: 5.16s\n   Completed Matrix  2:  lower =  9, upper = 13. Elapsed: 9.68s\nTermination predicted at 906 s (15m 6s) with 8 generators at matrix 2\nEnumerating using 7 generators at a time:\n   Completed Matrix  1:  lower = 10, upper = 13. Elapsed: 56.35s\n   Completed Matrix  2:  lower = 11, upper = 13. Elapsed: 103.22s\nTermination predicted at 915 s (15m 15s) with 8 generators at matrix 2\nEnumerating using 8 generators at a time:\n   Completed Matrix  1:  lower = 12, upper = 13. Elapsed: 519.91s\n   Completed Matrix  2:  lower = 13, upper = 13. Elapsed: 936.44s\nComputation complete \nFinal Results: lower = 13, upper = 13,\nTotal CPU time: 936.45, real time: 1237.339\n13\n\nTotal time: 936.490 seconds, Total memory usage: 32.09MB\n</t>
  </si>
  <si>
    <t>25577.464043457992</t>
  </si>
  <si>
    <t>Magma V2.28-26    Wed Jan  7 2026 04:36:07 on Marks-MacBook-Air-2 [Seed = \n2327707982]\nType ? for help.  Type &lt;Ctrl&gt;-D to quit.\n[1 0 0 0 0 0 0 0 0 0 0 0 0 0 0 0 0 0 0 0 0 0 0 0 0 0 0 0 0 0 0 0 0 0 0 0 0 0 0 0\n    0 0 0 0 0 0 0 1 0 1 0 0 1 1 1 0 0 1 0 1 1 0 1 0 0 1 1 0 1 1 1 1 0 1 1 0 1 0 \n    0 1 0 1 0 0 0 0 0 0 1 1 1 0 1 0 0 0 0 1 1 1 1 0 0 0 1 1 0 0 0 1 0 1 0 1 0 0]\n[0 1 0 0 0 0 0 0 0 0 0 0 0 0 0 0 0 0 0 0 0 0 0 0 0 0 0 0 0 0 0 0 0 0 0 0 0 0 0 0\n    0 0 0 0 0 0 0 1 1 1 0 1 1 1 1 0 1 0 0 0 1 1 1 0 1 1 1 1 1 0 1 0 1 0 1 1 1 1 \n    0 1 0 0 1 0 1 1 1 1 1 0 0 0 0 1 0 1 0 1 1 1 0 1 0 0 0 0 0 0 0 0 0 0 0 1 1 0]\n[0 0 1 0 0 0 0 0 0 0 0 0 0 0 0 0 0 0 0 0 0 0 0 0 0 0 0 0 0 0 0 0 0 0 0 0 0 0 0 0\n    0 0 0 0 0 0 1 1 1 1 0 0 0 0 1 0 0 0 1 0 1 0 0 0 0 1 0 1 1 0 0 1 0 0 0 1 0 1 \n    1 0 0 1 1 0 1 0 1 0 0 0 1 0 1 1 1 1 0 1 0 1 1 0 0 0 0 0 0 0 0 1 0 1 0 0 1 1]\n[0 0 0 1 0 0 0 0 0 0 0 0 0 0 0 0 0 0 0 0 0 0 0 0 0 0 0 0 0 0 0 0 0 0 0 0 0 0 0 0\n    0 0 0 0 0 0 0 1 0 0 1 1 1 0 0 0 0 1 0 1 0 0 1 1 1 1 0 1 1 1 1 1 1 0 1 1 0 1 \n    1 0 1 0 1 1 1 1 1 0 1 0 0 1 1 1 0 0 1 1 1 0 1 0 1 0 0 0 0 1 1 1 1 0 1 0 0 1]\n[0 0 0 0 1 0 0 0 0 0 0 0 0 0 0 0 0 0 0 0 0 0 0 0 0 0 0 0 0 0 0 0 0 0 0 0 0 0 0 0\n    0 0 0 0 0 0 1 0 0 0 1 0 1 0 1 0 0 0 0 1 1 1 1 0 1 0 1 0 0 1 0 0 1 1 0 1 0 1 \n    1 1 0 1 1 0 0 1 0 1 0 1 0 1 0 0 0 1 1 0 0 0 1 0 0 1 1 1 1 0 1 0 1 0 0 1 1 0]\n[0 0 0 0 0 1 0 0 0 0 0 0 0 0 0 0 0 0 0 0 0 0 0 0 0 0 0 0 0 0 0 0 0 0 0 0 0 0 0 0\n    0 0 0 0 0 0 1 1 1 0 1 0 1 1 1 1 0 1 0 0 1 0 1 0 0 1 0 0 0 1 1 0 0 0 0 0 1 1 \n    0 1 1 1 0 0 0 0 0 1 1 0 1 0 0 1 1 1 0 0 0 0 1 0 0 1 1 0 0 1 0 1 1 0 1 0 1 1]\n[0 0 0 0 0 0 1 0 0 0 0 0 0 0 0 0 0 0 0 0 0 0 0 0 0 0 0 0 0 0 0 0 0 0 0 0 0 0 0 0\n    0 0 0 0 0 0 0 1 0 0 1 0 0 0 0 1 0 0 0 1 1 0 0 0 0 0 0 1 1 0 0 1 1 1 1 1 0 0 \n    0 0 1 1 0 0 1 0 0 1 0 0 1 0 0 1 0 0 1 0 0 1 1 1 0 0 1 1 0 0 1 0 1 0 1 0 0 1]\n[0 0 0 0 0 0 0 1 0 0 0 0 0 0 0 0 0 0 0 0 0 0 0 0 0 0 0 0 0 0 0 0 0 0 0 0 0 0 0 0\n    0 0 0 0 0 0 0 1 0 1 1 1 0 1 1 1 0 1 0 0 1 1 0 1 1 0 1 0 0 1 0 0 0 1 1 1 1 0 \n    0 1 1 1 1 0 1 0 0 0 0 0 1 1 0 0 0 0 1 1 0 0 0 0 1 0 0 0 1 1 0 1 0 1 1 1 1 0]\n[0 0 0 0 0 0 0 0 1 0 0 0 0 0 0 0 0 0 0 0 0 0 0 0 0 0 0 0 0 0 0 0 0 0 0 0 0 0 0 0\n    0 0 0 0 0 0 0 0 0 1 1 1 1 1 1 0 0 0 0 0 1 1 1 0 1 0 0 1 0 0 1 0 0 0 1 0 0 1 \n    0 1 0 1 0 0 0 0 1 0 0 0 1 1 1 0 1 1 1 1 0 0 0 0 1 1 1 1 0 1 1 1 0 0 0 0 0 1]\n[0 0 0 0 0 0 0 0 0 1 0 0 0 0 0 0 0 0 0 0 0 0 0 0 0 0 0 0 0 0 0 0 0 0 0 0 0 0 0 0\n    0 0 0 0 0 0 0 0 0 1 1 0 1 1 1 0 1 0 0 1 1 1 1 1 0 1 1 1 1 0 1 0 0 0 0 0 0 0 \n    0 1 0 1 1 0 0 0 1 1 0 0 1 0 1 1 1 1 0 1 0 0 1 1 0 1 1 1 1 1 0 0 1 0 0 1 1 0]\n[0 0 0 0 0 0 0 0 0 0 1 0 0 0 0 0 0 0 0 0 0 0 0 0 0 0 0 0 0 0 0 0 0 0 0 0 0 0 0 0\n    0 0 0 0 0 0 1 1 1 0 1 1 1 1 0 1 1 0 0 1 0 0 0 1 0 1 1 1 0 0 1 1 1 0 0 0 0 1 \n    1 0 1 1 1 1 1 0 0 1 0 0 1 1 1 0 1 0 1 0 0 1 0 0 1 1 0 1 0 1 0 1 1 0 0 0 0 1]\n[0 0 0 0 0 0 0 0 0 0 0 1 0 0 0 0 0 0 0 0 0 0 0 0 0 0 0 0 0 0 0 0 0 0 0 0 0 0 0 0\n    0 0 0 0 0 0 0 0 1 0 0 0 1 1 0 0 1 0 0 1 1 1 0 1 0 1 1 0 0 0 1 0 1 1 0 1 0 0 \n    0 0 0 0 1 1 0 1 1 1 1 0 1 1 0 1 1 0 1 1 1 1 1 0 0 0 0 1 1 1 0 1 0 1 0 0 1 1]\n[0 0 0 0 0 0 0 0 0 0 0 0 1 0 0 0 0 0 0 0 0 0 0 0 0 0 0 0 0 0 0 0 0 0 0 0 0 0 0 0\n    0 0 0 0 0 0 1 0 0 0 1 1 0 0 0 0 1 1 1 1 0 0 1 1 1 1 1 0 1 1 1 1 1 1 0 1 0 1 \n    1 0 1 1 0 1 0 1 1 1 1 1 1 0 1 0 1 1 0 1 0 1 1 0 1 0 0 0 0 0 1 1 0 1 1 1 0 0]\n[0 0 0 0 0 0 0 0 0 0 0 0 0 1 0 0 0 0 0 0 0 0 0 0 0 0 0 0 0 0 0 0 0 0 0 0 0 0 0 0\n    0 0 0 0 0 0 0 0 1 0 1 1 0 0 1 0 1 0 0 0 0 0 1 0 0 1 1 0 1 1 1 0 0 1 0 1 0 1 \n    0 0 1 0 1 0 0 0 1 0 0 0 0 1 1 0 1 0 1 0 1 1 1 1 0 0 0 1 0 1 0 0 1 0 1 0 1 0]\n[0 0 0 0 0 0 0 0 0 0 0 0 0 0 1 0 0 0 0 0 0 0 0 0 0 0 0 0 0 0 0 0 0 0 0 0 0 0 0 0\n    0 0 0 0 0 0 1 1 1 0 0 1 0 1 1 1 0 0 0 0 0 0 0 0 1 1 1 0 1 0 1 1 0 1 0 0 0 0 \n    1 1 1 0 1 0 1 1 0 0 0 0 0 0 0 1 1 1 1 1 1 1 0 1 0 0 1 1 1 0 1 1 0 1 1 1 1 0]\n[0 0 0 0 0 0 0 0 0 0 0 0 0 0 0 1 0 0 0 0 0 0 0 0 0 0 0 0 0 0 0 0 0 0 0 0 0 0 0 0\n    0 0 0 0 0 0 1 1 1 0 0 1 1 1 1 1 0 1 0 0 1 0 0 1 1 0 0 1 1 0 0 1 1 0 1 0 1 0 \n    0 0 1 0 0 1 1 1 1 0 0 0 1 1 1 1 0 0 0 0 0 1 1 0 0 0 0 1 1 1 1 0 0 1 1 1 0 0]\n[0 0 0 0 0 0 0 0 0 0 0 0 0 0 0 0 1 0 0 0 0 0 0 0 0 0 0 0 0 0 0 0 0 0 0 0 0 0 0 0\n    0 0 0 0 0 0 0 1 1 0 0 0 1 1 1 0 0 0 1 0 0 1 1 0 0 0 1 1 0 0 1 1 0 0 0 1 0 0 \n    0 1 0 0 1 0 1 1 1 0 1 1 1 0 0 1 1 1 0 0 0 0 1 0 0 0 0 0 0 0 0 1 1 0 1 0 0 0]\n[0 0 0 0 0 0 0 0 0 0 0 0 0 0 0 0 0 1 0 0 0 0 0 0 0 0 0 0 0 0 0 0 0 0 0 0 0 0 0 0\n    0 0 0 0 0 0 0 0 1 0 0 1 0 0 0 0 1 1 0 0 1 0 0 1 1 1 1 0 0 0 0 0 1 0 1 0 1 1 \n    0 0 0 1 1 1 0 0 1 1 1 0 1 1 0 0 1 1 1 1 1 1 1 1 0 0 1 1 0 0 0 1 1 0 1 0 0 0]\n[0 0 0 0 0 0 0 0 0 0 0 0 0 0 0 0 0 0 1 0 0 0 0 0 0 0 0 0 0 0 0 0 0 0 0 0 0 0 0 0\n    0 0 0 0 0 0 0 0 0 0 1 0 1 0 1 0 0 1 1 1 1 0 0 1 0 1 0 1 1 0 0 0 1 1 1 1 1 0 \n    0 0 1 1 1 0 1 0 0 1 1 0 1 0 1 0 1 0 0 0 0 1 1 1 1 0 1 0 1 1 0 1 0 1 1 0 1 1]\n[0 0 0 0 0 0 0 0 0 0 0 0 0 0 0 0 0 0 0 1 0 0 0 0 0 0 0 0 0 0 0 0 0 0 0 0 0 0 0 0\n    0 0 0 0 0 0 0 1 1 1 0 0 1 0 1 1 1 0 1 1 0 1 0 1 0 1 0 1 0 1 0 0 1 0 0 1 0 0 \n    0 1 1 1 0 0 1 0 1 1 0 1 1 1 1 0 0 0 1 1 0 0 1 1 0 0 0 1 1 0 1 0 1 1 0 1 0 0]\n[0 0 0 0 0 0 0 0 0 0 0 0 0 0 0 0 0 0 0 0 1 0 0 0 0 0 0 0 0 0 0 0 0 0 0 0 0 0 0 0\n    0 0 0 0 0 0 1 0 0 0 0 0 0 0 0 1 0 0 1 1 0 0 1 0 1 0 1 1 0 1 0 1 1 1 1 0 1 0 \n    1 0 0 1 1 0 0 0 1 0 0 0 1 0 0 0 1 1 1 1 1 0 0 1 0 1 0 0 0 0 1 0 0 0 1 1 1 0]\n[0 0 0 0 0 0 0 0 0 0 0 0 0 0 0 0 0 0 0 0 0 1 0 0 0 0 0 0 0 0 0 0 0 0 0 0 0 0 0 0\n    0 0 0 0 0 0 1 0 0 0 1 0 1 0 0 1 1 0 1 0 0 0 1 1 1 0 1 1 0 1 1 0 0 1 1 1 1 1 \n    0 1 0 0 0 1 1 0 1 1 0 1 0 1 1 0 1 1 1 0 0 0 0 1 0 0 0 0 1 0 1 1 0 0 0 1 1 0]\n[0 0 0 0 0 0 0 0 0 0 0 0 0 0 0 0 0 0 0 0 0 0 1 0 0 0 0 0 0 0 0 0 0 0 0 0 0 0 0 0\n    0 0 0 0 0 0 0 1 0 1 1 0 0 0 1 0 0 1 0 0 0 1 1 1 0 1 1 1 0 0 1 1 1 1 0 1 0 0 \n    0 0 1 0 1 1 0 0 0 0 1 0 1 0 1 0 1 0 1 1 0 1 1 1 0 1 0 0 0 1 1 0 0 1 0 0 0 1]\n[0 0 0 0 0 0 0 0 0 0 0 0 0 0 0 0 0 0 0 0 0 0 0 1 0 0 0 0 0 0 0 0 0 0 0 0 0 0 0 0\n    0 0 0 0 0 0 0 1 0 0 1 0 1 0 0 1 0 0 0 0 0 0 1 0 0 0 0 0 0 1 0 1 0 0 1 1 0 0 \n    0 1 1 1 1 1 1 1 1 1 1 1 0 1 1 0 0 0 1 1 0 1 0 1 1 0 1 1 1 0 1 0 0 0 0 0 1 0]\n[0 0 0 0 0 0 0 0 0 0 0 0 0 0 0 0 0 0 0 0 0 0 0 0 1 0 0 0 0 0 0 0 0 0 0 0 0 0 0 0\n    0 0 0 0 0 0 1 0 0 0 1 1 0 1 1 1 0 1 1 0 1 0 1 1 0 0 0 0 0 0 0 1 1 0 1 1 0 1 \n    0 1 1 1 1 0 1 0 1 1 0 1 0 1 0 1 1 1 1 1 0 1 0 1 1 1 1 0 0 1 1 0 0 1 1 1 1 0]\n[0 0 0 0 0 0 0 0 0 0 0 0 0 0 0 0 0 0 0 0 0 0 0 0 0 1 0 0 0 0 0 0 0 0 0 0 0 0 0 0\n    0 0 0 0 0 0 0 1 0 0 1 0 0 0 0 1 0 0 1 1 1 1 0 0 0 1 1 1 1 0 0 0 0 1 0 1 1 1 \n    0 1 0 0 1 1 0 1 0 0 1 0 0 0 1 0 1 0 1 1 0 0 1 0 0 1 1 0 0 0 1 0 1 1 0 1 0 1]\n[0 0 0 0 0 0 0 0 0 0 0 0 0 0 0 0 0 0 0 0 0 0 0 0 0 0 1 0 0 0 0 0 0 0 0 0 0 0 0 0\n    0 0 0 0 0 0 1 0 1 1 0 1 1 0 0 1 1 1 0 0 0 0 1 0 0 0 1 1 1 1 1 0 0 0 0 1 1 1 \n    1 1 0 1 1 0 0 1 0 0 1 1 0 1 1 0 1 1 1 1 0 0 1 1 0 0 1 1 1 0 1 1 1 1 1 0 1 1]\n[0 0 0 0 0 0 0 0 0 0 0 0 0 0 0 0 0 0 0 0 0 0 0 0 0 0 0 1 0 0 0 0 0 0 0 0 0 0 0 0\n    0 0 0 0 0 0 1 0 1 0 0 0 0 1 0 0 0 1 1 0 0 0 1 0 0 0 1 0 0 1 1 0 0 0 1 1 0 1 \n    1 0 0 1 1 0 0 1 1 1 0 1 0 1 0 1 1 1 0 1 0 1 1 1 0 0 1 0 0 0 0 1 0 1 1 0 0 1]\n[0 0 0 0 0 0 0 0 0 0 0 0 0 0 0 0 0 0 0 0 0 0 0 0 0 0 0 0 1 0 0 0 0 0 0 0 0 0 0 0\n    0 0 0 0 0 0 1 1 0 1 1 1 1 1 1 0 1 1 0 1 1 1 1 0 0 0 1 1 0 1 1 1 0 1 1 1 1 0 \n    1 0 1 1 1 1 0 0 0 1 0 0 0 1 0 1 0 1 0 0 0 0 1 0 0 1 0 0 0 1 1 1 0 0 1 1 0 0]\n[0 0 0 0 0 0 0 0 0 0 0 0 0 0 0 0 0 0 0 0 0 0 0 0 0 0 0 0 0 1 0 0 0 0 0 0 0 0 0 0\n    0 0 0 0 0 0 1 1 0 0 0 0 1 1 1 1 1 0 0 0 1 1 0 1 1 0 0 0 0 0 0 1 0 1 0 0 0 0 \n    0 0 1 1 1 0 0 0 1 0 1 0 0 0 1 1 1 1 1 1 0 0 0 0 0 1 1 1 1 1 1 0 1 0 1 0 0 0]\n[0 0 0 0 0 0 0 0 0 0 0 0 0 0 0 0 0 0 0 0 0 0 0 0 0 0 0 0 0 0 1 0 0 0 0 0 0 0 0 0\n    0 0 0 0 0 0 0 0 0 0 1 1 1 0 0 1 1 1 1 0 0 1 1 0 1 1 1 0 0 1 1 1 1 0 1 0 0 0 \n    0 1 1 1 1 1 0 1 1 0 0 0 0 0 1 1 0 1 1 1 0 0 0 1 0 0 0 0 1 0 1 0 0 1 0 1 1 1]\n[0 0 0 0 0 0 0 0 0 0 0 0 0 0 0 0 0 0 0 0 0 0 0 0 0 0 0 0 0 0 0 1 0 0 0 0 0 0 0 0\n    0 0 0 0 0 0 1 1 0 0 0 0 0 1 0 0 1 1 0 1 0 0 0 0 0 1 1 0 1 0 1 0 0 1 0 0 1 0 \n    0 1 0 0 0 0 0 0 1 1 0 1 1 1 0 0 1 1 1 1 0 0 1 1 0 0 1 0 1 0 1 1 1 0 1 0 0 0]\n[0 0 0 0 0 0 0 0 0 0 0 0 0 0 0 0 0 0 0 0 0 0 0 0 0 0 0 0 0 0 0 0 1 0 0 0 0 0 0 0\n    0 0 0 0 0 0 0 0 0 1 1 0 0 0 1 0 0 1 0 0 1 0 1 1 1 0 1 1 1 0 0 0 0 1 0 1 1 1 \n    1 1 0 0 1 1 0 0 0 1 1 0 1 0 0 1 1 1 0 0 0 0 0 0 0 0 0 1 0 0 0 0 0 1 0 0 0 1]\n[0 0 0 0 0 0 0 0 0 0 0 0 0 0 0 0 0 0 0 0 0 0 0 0 0 0 0 0 0 0 0 0 0 1 0 0 0 0 0 0\n    0 0 0 0 0 0 1 0 1 0 0 1 0 0 1 1 1 1 0 0 1 0 1 0 1 0 0 0 0 1 0 1 0 1 0 1 0 1 \n    1 0 1 1 0 1 1 1 0 1 0 0 0 1 0 1 0 0 1 0 1 1 1 1 1 0 0 1 1 0 1 1 1 1 0 0 1 0]\n[0 0 0 0 0 0 0 0 0 0 0 0 0 0 0 0 0 0 0 0 0 0 0 0 0 0 0 0 0 0 0 0 0 0 1 0 0 0 0 0\n    0 0 0 0 0 0 1 1 1 0 1 1 1 1 1 0 1 0 0 0 1 0 1 0 1 1 1 1 1 0 0 0 1 1 1 1 0 1 \n    0 1 1 0 0 1 1 0 1 0 1 1 1 1 0 1 1 0 0 0 1 0 1 1 1 1 0 1 1 0 0 0 0 1 1 1 1 0]\n[0 0 0 0 0 0 0 0 0 0 0 0 0 0 0 0 0 0 0 0 0 0 0 0 0 0 0 0 0 0 0 0 0 0 0 1 0 0 0 0\n    0 0 0 0 0 0 1 0 1 0 1 1 0 0 0 1 1 1 0 0 1 1 0 1 0 0 1 1 1 0 0 1 0 0 0 0 0 0 \n    1 1 0 1 1 0 1 1 0 0 0 1 0 1 1 0 1 1 1 0 1 1 1 1 1 1 0 0 1 0 0 0 1 0 0 0 1 0]\n[0 0 0 0 0 0 0 0 0 0 0 0 0 0 0 0 0 0 0 0 0 0 0 0 0 0 0 0 0 0 0 0 0 0 0 0 1 0 0 0\n    0 0 0 0 0 0 1 0 0 1 0 0 1 0 1 0 0 0 1 0 1 1 1 0 0 1 1 0 1 1 0 0 0 0 0 0 0 1 \n    0 0 1 0 0 0 1 1 1 1 0 1 0 1 0 1 0 0 0 1 0 0 1 0 0 1 0 0 1 1 1 0 0 0 0 0 0 1]\n[0 0 0 0 0 0 0 0 0 0 0 0 0 0 0 0 0 0 0 0 0 0 0 0 0 0 0 0 0 0 0 0 0 0 0 0 0 1 0 0\n    0 0 0 0 0 0 0 0 1 0 1 1 0 1 1 1 1 0 1 0 0 0 0 1 1 1 0 1 1 0 0 0 0 0 1 0 0 0 \n    1 0 0 0 1 0 1 0 0 0 0 1 0 0 0 0 0 1 0 1 0 0 1 1 1 1 1 0 0 1 0 0 0 0 0 1 0 1]\n[0 0 0 0 0 0 0 0 0 0 0 0 0 0 0 0 0 0 0 0 0 0 0 0 0 0 0 0 0 0 0 0 0 0 0 0 0 0 1 0\n    0 0 0 0 0 0 0 0 1 1 0 0 1 0 0 1 0 0 0 1 0 1 1 1 0 0 1 0 1 0 1 1 0 0 0 1 1 1 \n    1 1 1 0 1 1 1 1 1 0 0 0 1 1 1 0 0 0 1 0 0 0 0 1 1 1 0 0 0 0 1 1 0 1 0 1 0 0]\n[0 0 0 0 0 0 0 0 0 0 0 0 0 0 0 0 0 0 0 0 0 0 0 0 0 0 0 0 0 0 0 0 0 0 0 0 0 0 0 1\n    0 0 0 0 0 0 0 1 0 1 0 0 1 0 1 0 0 0 1 0 0 0 0 0 1 1 1 1 1 0 0 0 1 1 1 0 1 0 \n    1 0 0 1 1 0 1 1 0 1 1 1 0 0 0 0 1 1 1 0 0 1 1 1 0 0 0 1 0 1 0 1 1 0 1 1 0 1]\n[0 0 0 0 0 0 0 0 0 0 0 0 0 0 0 0 0 0 0 0 0 0 0 0 0 0 0 0 0 0 0 0 0 0 0 0 0 0 0 0\n    1 0 0 0 0 0 0 1 0 1 0 1 1 0 1 1 1 1 0 0 1 1 1 1 1 1 0 1 1 1 0 1 1 1 0 0 0 1 \n    0 0 1 0 0 0 0 0 0 0 1 0 0 0 0 1 0 0 0 1 1 1 1 1 0 1 1 1 0 0 1 1 1 1 0 1 1 1]\n[0 0 0 0 0 0 0 0 0 0 0 0 0 0 0 0 0 0 0 0 0 0 0 0 0 0 0 0 0 0 0 0 0 0 0 0 0 0 0 0\n    0 1 0 0 0 0 1 0 1 1 0 0 0 1 0 1 0 1 1 0 0 0 1 1 1 0 1 1 0 0 1 0 1 0 0 1 0 1 \n    0 0 0 0 0 0 0 1 1 1 0 0 0 1 1 1 1 0 1 0 1 0 0 0 1 0 0 0 0 1 1 0 1 1 0 1 1 0]\n[0 0 0 0 0 0 0 0 0 0 0 0 0 0 0 0 0 0 0 0 0 0 0 0 0 0 0 0 0 0 0 0 0 0 0 0 0 0 0 0\n    0 0 1 0 0 0 1 0 0 1 1 0 1 1 0 1 0 1 1 0 0 1 0 0 0 1 0 0 0 0 0 1 1 0 0 1 0 0 \n    1 1 1 0 0 0 0 1 0 1 0 1 0 1 0 0 0 0 0 0 0 0 0 1 1 1 1 0 0 0 1 1 1 1 0 0 0 1]\n[0 0 0 0 0 0 0 0 0 0 0 0 0 0 0 0 0 0 0 0 0 0 0 0 0 0 0 0 0 0 0 0 0 0 0 0 0 0 0 0\n    0 0 0 1 0 0 0 1 0 1 0 0 0 1 1 1 0 1 1 0 0 0 0 0 0 0 0 0 0 1 1 0 1 1 0 1 1 0 \n    0 1 0 0 1 1 0 0 1 1 1 0 1 1 0 1 1 0 1 1 0 0 0 1 0 1 0 0 1 0 1 0 0 1 1 1 1 0]\n[0 0 0 0 0 0 0 0 0 0 0 0 0 0 0 0 0 0 0 0 0 0 0 0 0 0 0 0 0 0 0 0 0 0 0 0 0 0 0 0\n    0 0 0 0 1 0 0 1 1 0 1 1 1 0 0 0 1 1 0 0 0 0 1 0 1 1 1 1 1 0 0 1 0 0 1 0 1 0 \n    0 1 0 1 0 0 0 0 0 0 0 1 0 0 1 1 0 0 1 0 1 0 1 1 0 1 1 0 1 1 0 1 1 1 0 1 0 1]\n[0 0 0 0 0 0 0 0 0 0 0 0 0 0 0 0 0 0 0 0 0 0 0 0 0 0 0 0 0 0 0 0 0 0 0 0 0 0 0 0\n    0 0 0 0 0 1 0 1 1 1 0 0 0 0 0 1 0 0 1 0 1 0 0 0 0 0 1 1 1 1 1 1 0 0 0 1 1 1 \n    0 0 0 1 1 1 1 0 1 0 0 1 1 1 1 1 1 0 0 1 0 1 0 0 1 1 0 0 1 1 1 1 0 0 1 0 1 1]\n[[58, 12]] quantum code over GF(2^2), stabilised by:\n[1 0 0 0 0 0 0 0 0 0 0 0 0 0 0 0 0 0 0 0 0 0 0 0 $.1 1 $.1 $.1 0 $.1 1 $.1 $.1 \n    $.1 $.1 $.1^2 1 0 0 $.1 $.1^2 0 $.1^2 $.1^2 $.1 $.1^2 1 1 $.1 0 $.1 1 1 1 0 \n    $.1^2 $.1^2 0]\n[$.1 0 0 0 0 0 0 0 0 0 0 0 0 0 0 0 0 0 0 0 0 0 0 $.1 1 1 $.1^2 $.1^2 $.1^2 1 1 \n    $.1 $.1^2 $.1 $.1 0 1 $.1 0 0 $.1^2 0 0 1 0 1 0 0 1 $.1^2 1 $.1^2 0 1 $.1^2 \n    0 1 0]\n[0 1 0 0 0 0 0 0 0 0 0 0 0 0 0 0 0 0 0 0 0 0 0 1 0 1 1 $.1 $.1 0 0 1 $.1^2 0 0 \n    $.1^2 $.1^2 0 $.1 $.1^2 $.1 $.1 $.1 $.1 $.1^2 $.1^2 $.1 1 $.1^2 0 1 $.1 0 0 \n    0 1 $.1^2 $.1^2]\n[0 $.1 0 0 0 0 0 0 0 0 0 0 0 0 0 0 0 0 0 0 0 0 0 $.1 0 1 $.1^2 0 $.1^2 $.1 $.1^2\n    1 0 0 1 $.1 $.1 1 0 1 $.1^2 0 $.1 0 1 0 0 1 $.1 0 0 1 1 0 $.1^2 1 0 $.1]\n[0 0 1 0 0 0 0 0 0 0 0 0 0 0 0 0 0 0 0 0 0 0 0 0 $.1 0 $.1^2 1 $.1^2 $.1 1 $.1^2\n    $.1 $.1^2 $.1^2 0 $.1^2 1 $.1 $.1^2 $.1 $.1^2 1 1 0 $.1^2 $.1 1 0 1 1 $.1 1 \n    $.1 0 $.1 1 $.1^2]\n[0 0 $.1 0 0 0 0 0 0 0 0 0 0 0 0 0 0 0 0 0 0 0 0 $.1^2 $.1^2 $.1^2 1 1 $.1 $.1^2\n    0 $.1 $.1^2 0 0 $.1^2 $.1^2 $.1 $.1^2 $.1^2 1 0 $.1 $.1^2 0 0 $.1 0 0 1 \n    $.1^2 $.1 1 0 1 1 0 $.1^2]\n[0 0 0 1 0 0 0 0 0 0 0 0 0 0 0 0 0 0 0 0 0 0 0 0 1 1 $.1 1 0 $.1^2 $.1^2 0 $.1 0\n    $.1^2 $.1 1 0 0 $.1 0 $.1^2 0 1 $.1^2 1 $.1 1 $.1^2 $.1 $.1 1 $.1 0 $.1^2 \n    $.1^2 0 $.1^2]\n[0 0 0 $.1 0 0 0 0 0 0 0 0 0 0 0 0 0 0 0 0 0 0 0 $.1 0 $.1^2 $.1^2 1 1 $.1 0 \n    $.1^2 $.1^2 1 $.1^2 $.1 1 0 $.1^2 1 0 $.1 $.1^2 $.1^2 0 $.1 $.1 $.1 1 $.1 \n    $.1^2 0 1 $.1 $.1^2 0 1 $.1]\n[0 0 0 0 1 0 0 0 0 0 0 0 0 0 0 0 0 0 0 0 0 0 0 $.1 0 $.1^2 $.1 $.1 $.1^2 $.1^2 0\n    0 $.1^2 $.1 1 $.1^2 0 0 1 1 $.1 $.1 $.1 1 1 1 1 $.1 $.1^2 $.1 $.1^2 $.1 1 0 \n    1 0 $.1^2 $.1^2]\n[0 0 0 0 $.1 0 0 0 0 0 0 0 0 0 0 0 0 0 0 0 0 0 0 1 0 0 $.1^2 1 $.1^2 $.1 0 $.1 \n    $.1 1 1 $.1^2 $.1^2 $.1 $.1^2 1 1 1 1 1 $.1^2 $.1 1 1 0 $.1^2 0 $.1^2 0 0 1 \n    1 1 $.1]\n[0 0 0 0 0 1 0 0 0 0 0 0 0 0 0 0 0 0 0 0 0 0 0 $.1 $.1^2 1 $.1 1 0 0 $.1^2 $.1^2\n    $.1 1 $.1^2 1 1 1 $.1 1 1 0 $.1^2 $.1 0 $.1 1 0 0 $.1 0 $.1^2 1 1 0 $.1^2 \n    $.1^2 $.1^2]\n[0 0 0 0 0 $.1 0 0 0 0 0 0 0 0 0 0 0 0 0 0 0 0 0 1 0 1 0 $.1 $.1 $.1^2 $.1 $.1 0\n    0 1 $.1^2 0 $.1 $.1^2 1 $.1^2 $.1^2 1 $.1^2 $.1^2 1 1 $.1^2 $.1 $.1^2 $.1 0 \n    0 1 $.1^2 0 $.1^2 0]\n[0 0 0 0 0 0 1 0 0 0 0 0 0 0 0 0 0 0 0 0 0 0 0 1 $.1^2 1 $.1^2 $.1^2 $.1 $.1 1 \n    $.1 $.1^2 1 0 1 0 1 $.1 1 $.1 $.1 $.1^2 $.1^2 1 $.1 $.1 0 $.1 1 $.1 1 0 1 0 \n    $.1^2 $.1 0]\n[0 0 0 0 0 0 $.1 0 0 0 0 0 0 0 0 0 0 0 0 0 0 0 0 0 0 1 1 1 0 $.1 $.1^2 1 1 1 \n    $.1^2 1 0 $.1 $.1 $.1^2 $.1^2 $.1^2 $.1 1 0 $.1 $.1^2 0 $.1 0 1 0 1 1 0 $.1 \n    1 $.1]\n[0 0 0 0 0 0 0 1 0 0 0 0 0 0 0 0 0 0 0 0 0 0 0 $.1^2 0 $.1^2 0 $.1^2 $.1 1 0 1 0\n    1 1 $.1 $.1 $.1 0 0 1 1 0 $.1^2 $.1 $.1 0 $.1 $.1 $.1 0 $.1 0 1 0 0 $.1^2 \n    $.1^2]\n[0 0 0 0 0 0 0 $.1 0 0 0 0 0 0 0 0 0 0 0 0 0 0 0 0 $.1^2 $.1^2 0 $.1^2 0 1 0 1 0\n    $.1^2 $.1 1 0 1 $.1 0 $.1^2 $.1^2 0 $.1^2 $.1^2 0 1 $.1 0 $.1^2 1 $.1 1 1 \n    $.1 $.1^2 1 $.1^2]\n[0 0 0 0 0 0 0 0 1 0 0 0 0 0 0 0 0 0 0 0 0 0 0 1 $.1^2 $.1^2 $.1^2 $.1^2 $.1 1 \n    $.1^2 $.1^2 0 0 0 0 1 $.1 0 $.1 $.1^2 1 $.1 0 1 $.1 1 $.1 $.1 1 $.1 0 $.1 0 \n    $.1^2 0 0 0]\n[0 0 0 0 0 0 0 0 $.1 0 0 0 0 0 0 0 0 0 0 0 0 0 0 0 1 $.1^2 $.1^2 1 $.1^2 1 0 $.1\n    $.1 0 $.1^2 1 0 $.1^2 0 $.1 $.1^2 $.1^2 $.1^2 1 $.1^2 1 $.1^2 0 $.1 $.1^2 0 \n    $.1 1 1 1 $.1^2 0 0]\n[0 0 0 0 0 0 0 0 0 1 0 0 0 0 0 0 0 0 0 0 0 0 0 0 $.1 0 1 $.1^2 $.1^2 $.1 $.1^2 0\n    0 $.1^2 0 0 $.1^2 0 0 $.1^2 1 $.1 1 0 $.1 1 $.1 $.1 0 $.1 0 1 0 0 $.1 $.1 0 \n    1]\n[0 0 0 0 0 0 0 0 0 $.1 0 0 0 0 0 0 0 0 0 0 0 0 0 1 $.1 $.1^2 0 $.1 1 1 $.1 $.1^2\n    $.1^2 0 0 $.1 $.1^2 $.1^2 $.1^2 $.1 $.1^2 1 $.1 0 1 0 $.1^2 1 $.1 0 $.1 $.1 \n    1 1 $.1 $.1^2 $.1 0]\n[0 0 0 0 0 0 0 0 0 0 1 0 0 0 0 0 0 0 0 0 0 0 0 1 1 0 $.1^2 $.1 $.1^2 $.1^2 $.1^2\n    0 $.1^2 0 $.1 1 1 $.1 $.1 $.1 0 1 1 $.1^2 0 0 $.1^2 $.1^2 $.1 1 0 0 0 $.1^2 \n    $.1 $.1 $.1 1]\n[0 0 0 0 0 0 0 0 0 0 $.1 0 0 0 0 0 0 0 0 0 0 0 0 $.1^2 0 1 1 $.1 $.1^2 $.1 $.1^2\n    $.1 1 0 0 $.1 $.1 $.1 0 1 $.1^2 $.1 $.1 1 $.1 0 0 $.1 1 0 $.1^2 0 0 0 1 0 \n    $.1 0]\n[0 0 0 0 0 0 0 0 0 0 0 1 0 0 0 0 0 0 0 0 0 0 0 1 1 0 1 1 $.1^2 $.1^2 1 $.1^2 1 \n    $.1 0 $.1^2 0 0 1 $.1^2 1 1 1 1 $.1 $.1^2 1 $.1 $.1^2 $.1 $.1^2 0 0 $.1^2 \n    $.1^2 0 0 $.1]\n[0 0 0 0 0 0 0 0 0 0 0 $.1 0 0 0 0 0 0 0 0 0 0 0 $.1 $.1 $.1^2 $.1^2 0 1 1 1 0 1\n    0 1 0 0 1 0 $.1 0 $.1^2 $.1 $.1^2 0 $.1^2 1 0 1 $.1 0 $.1^2 1 $.1 0 $.1 0 0]\n[0 0 0 0 0 0 0 0 0 0 0 0 1 0 0 0 0 0 0 0 0 0 0 0 0 0 $.1^2 1 $.1^2 1 1 1 0 1 $.1\n    $.1 $.1 0 1 1 1 $.1 1 1 0 0 0 $.1 0 $.1^2 $.1 0 $.1 $.1 0 $.1 $.1 0]\n[0 0 0 0 0 0 0 0 0 0 0 0 $.1 0 0 0 0 0 0 0 0 0 0 0 0 $.1^2 1 $.1 0 $.1^2 $.1^2 0\n    $.1 $.1 0 $.1^2 1 0 1 0 $.1^2 $.1 1 1 1 1 1 $.1 1 1 1 1 $.1 1 0 0 0 1]\n[0 0 0 0 0 0 0 0 0 0 0 0 0 1 0 0 0 0 0 0 0 0 0 1 $.1 $.1^2 $.1^2 1 1 0 0 $.1 1 0\n    $.1 1 1 $.1 0 $.1 $.1^2 $.1^2 $.1^2 $.1^2 1 0 $.1^2 $.1 0 $.1 $.1 0 1 $.1^2 \n    $.1 0 $.1 0]\n[0 0 0 0 0 0 0 0 0 0 0 0 0 $.1 0 0 0 0 0 0 0 0 0 1 $.1^2 0 $.1^2 0 1 $.1^2 0 0 \n    $.1 1 1 $.1 $.1 0 $.1^2 0 $.1^2 0 $.1 1 $.1 $.1 $.1 0 0 $.1^2 $.1 $.1 1 \n    $.1^2 1 0 $.1 0]\n[0 0 0 0 0 0 0 0 0 0 0 0 0 0 1 0 0 0 0 0 0 0 0 0 0 $.1^2 $.1 $.1^2 $.1 1 $.1^2 0\n    $.1^2 $.1 $.1^2 $.1^2 $.1 0 1 $.1 0 0 $.1^2 $.1^2 $.1^2 $.1^2 0 1 1 $.1^2 1 \n    1 $.1 0 1 $.1^2 1 $.1^2]\n[0 0 0 0 0 0 0 0 0 0 0 0 0 0 $.1 0 0 0 0 0 0 0 0 1 0 0 $.1^2 $.1^2 1 $.1^2 $.1^2\n    1 $.1^2 1 $.1^2 $.1^2 $.1^2 1 0 $.1^2 1 1 0 0 1 0 0 0 0 $.1^2 0 1 $.1 $.1^2 \n    $.1^2 1 1 $.1^2]\n[0 0 0 0 0 0 0 0 0 0 0 0 0 0 0 1 0 0 0 0 0 0 0 $.1 1 0 $.1^2 0 1 $.1^2 1 1 1 \n    $.1^2 0 1 1 0 $.1 $.1 $.1 1 $.1^2 1 $.1 $.1 $.1^2 $.1^2 $.1^2 1 0 $.1^2 \n    $.1^2 $.1 $.1 0 $.1^2 $.1]\n[0 0 0 0 0 0 0 0 0 0 0 0 0 0 0 $.1 0 0 0 0 0 0 0 $.1 1 1 $.1^2 $.1 1 $.1 $.1^2 \n    $.1^2 $.1 1 1 0 $.1 $.1^2 1 1 $.1 1 0 1 $.1 1 $.1^2 1 $.1^2 1 $.1 $.1^2 0 \n    $.1^2 1 0 1 0]\n[0 0 0 0 0 0 0 0 0 0 0 0 0 0 0 0 1 0 0 0 0 0 0 $.1 $.1^2 0 $.1 0 1 0 $.1^2 $.1 1\n    $.1^2 $.1^2 $.1 1 1 $.1^2 0 $.1 0 $.1^2 0 1 0 0 $.1 $.1 $.1^2 $.1 1 0 0 0 \n    $.1 0 1]\n[0 0 0 0 0 0 0 0 0 0 0 0 0 0 0 0 $.1 0 0 0 0 0 0 $.1^2 0 1 0 $.1 $.1^2 $.1^2 $.1\n    $.1^2 0 0 1 1 1 $.1^2 1 $.1 $.1 0 0 1 $.1^2 0 0 $.1 1 $.1 1 1 $.1^2 $.1 $.1 \n    $.1^2 1 1]\n[0 0 0 0 0 0 0 0 0 0 0 0 0 0 0 0 0 1 0 0 0 0 0 0 $.1 1 1 0 1 $.1 1 1 0 $.1 $.1 \n    $.1^2 $.1^2 $.1 $.1^2 1 $.1^2 0 $.1^2 1 $.1 0 0 0 0 $.1 1 0 0 $.1 1 $.1 \n    $.1^2 $.1^2]\n[0 0 0 0 0 0 0 0 0 0 0 0 0 0 0 0 0 $.1 0 0 0 0 0 0 $.1^2 0 $.1 0 0 $.1^2 1 0 $.1\n    0 0 1 $.1 1 $.1 $.1^2 $.1 0 $.1^2 0 $.1 1 0 1 1 $.1^2 $.1^2 $.1 0 $.1 0 1 0 \n    $.1]\n[0 0 0 0 0 0 0 0 0 0 0 0 0 0 0 0 0 0 1 0 0 0 0 $.1^2 0 1 0 1 $.1^2 $.1^2 0 1 1 1\n    $.1 $.1 $.1 $.1 $.1 $.1 1 0 $.1 0 0 $.1^2 $.1^2 $.1^2 1 0 1 $.1^2 $.1^2 0 0 \n    $.1 $.1^2 1]\n[0 0 0 0 0 0 0 0 0 0 0 0 0 0 0 0 0 0 $.1 0 0 0 0 0 0 $.1^2 $.1^2 0 1 1 0 $.1 \n    $.1^2 0 0 1 $.1^2 $.1 0 $.1 $.1^2 $.1 $.1 $.1^2 1 $.1^2 $.1^2 1 $.1 $.1^2 1 \n    $.1^2 0 1 $.1 $.1^2 $.1 $.1^2]\n[0 0 0 0 0 0 0 0 0 0 0 0 0 0 0 0 0 0 0 1 0 0 0 1 1 1 0 $.1^2 $.1 $.1^2 1 0 $.1 1\n    1 $.1^2 $.1 $.1^2 0 $.1^2 $.1 1 $.1^2 $.1^2 1 $.1 0 0 $.1 1 1 $.1^2 $.1 $.1 \n    0 0 0 $.1^2]\n[0 0 0 0 0 0 0 0 0 0 0 0 0 0 0 0 0 0 0 $.1 0 0 0 $.1 1 $.1 $.1 1 $.1^2 $.1^2 \n    $.1^2 $.1^2 $.1 $.1^2 $.1^2 1 $.1^2 0 0 $.1^2 0 1 1 $.1 $.1 1 $.1^2 0 0 $.1 \n    0 $.1 $.1^2 $.1 1 0 $.1^2 1]\n[0 0 0 0 0 0 0 0 0 0 0 0 0 0 0 0 0 0 0 0 1 0 0 $.1^2 $.1 0 $.1^2 $.1 1 $.1^2 \n    $.1^2 $.1 $.1 $.1^2 $.1 0 1 1 $.1 0 $.1^2 1 $.1^2 1 1 1 $.1 $.1^2 $.1 $.1 \n    $.1 $.1^2 $.1^2 0 1 0 $.1 1]\n[0 0 0 0 0 0 0 0 0 0 0 0 0 0 0 0 0 0 0 0 $.1 0 0 $.1 $.1 1 1 1 0 1 $.1^2 0 0 0 \n    $.1^2 $.1 1 $.1 1 1 $.1 0 1 $.1 $.1 0 $.1 0 $.1 $.1^2 $.1 $.1^2 $.1 $.1 $.1 \n    $.1 $.1 $.1]\n[0 0 0 0 0 0 0 0 0 0 0 0 0 0 0 0 0 0 0 0 0 1 0 1 0 $.1^2 $.1 1 $.1 0 $.1^2 $.1^2\n    1 $.1 $.1^2 $.1^2 1 $.1 0 $.1^2 $.1 $.1^2 $.1 0 $.1 $.1^2 1 0 1 1 1 $.1^2 \n    $.1 0 $.1 1 $.1^2 $.1]\n[0 0 0 0 0 0 0 0 0 0 0 0 0 0 0 0 0 0 0 0 0 $.1 0 $.1^2 $.1^2 1 0 0 1 $.1 0 $.1 \n    $.1 $.1 1 $.1 $.1 $.1 0 $.1^2 $.1 $.1^2 $.1 $.1 1 $.1 0 $.1 $.1^2 $.1^2 $.1 \n    $.1 1 $.1 0 $.1 1 $.1]\n[0 0 0 0 0 0 0 0 0 0 0 0 0 0 0 0 0 0 0 0 0 0 1 0 0 0 0 0 0 0 0 0 0 0 0 0 $.1^2 1\n    0 1 0 $.1 0 $.1 0 1 $.1^2 $.1^2 0 $.1 $.1 1 $.1 $.1^2 0 0 $.1^2 $.1^2]\n[0 0 0 0 0 0 0 0 0 0 0 0 0 0 0 0 0 0 0 0 0 0 $.1 1 $.1^2 1 $.1^2 1 $.1^2 0 0 1 1\n    0 $.1^2 $.1^2 0 $.1^2 1 $.1^2 0 $.1^2 0 $.1 $.1^2 0 0 $.1^2 0 0 1 $.1^2 \n    $.1^2 $.1^2 $.1 $.1 1 $.1^2]\nQuantum GF(2)-Additive code over GF(4) of length 58 with 70 generators.\nLower Bound: 1, Upper Bound: 24\nConstructed 2 distinct generator matrices\nTotal Ranks:     35  36 \nRelative Ranks:  35  23 \n(4 4 4 4 4 4 4 4 4 4 4 4 4 4 4 4 4 4 4 4 4 4 4 4 4 4 4 4 4 4 4 4 4 4 4 )\n(4 4 4 4 4 4 4 4 4 4 4 4 4 4 4 4 4 4 4 4 4 4 4 4 4 4 4 4 4 4 4 4 4 4 2 2 )\nTime Taken: 0.01\nStarting search for low weight codewords... (reset timings)\nEnumerating using 1 generator at a time:\n     New codeword identified of weight 19, time 0.00\n     New codeword identified of weight 17, time 0.00\n     New codeword identified of weight 15, time 0.00\n     New codeword identified of weight 13, time 0.00\n     New codeword identified of weight 12, time 0.00\n     Discarding non-contributing rank 23 matrix\n     New Total Ranks:     35 \n     New Relative Ranks:  35 \n   Completed Matrix  1:  lower =  2, upper = 12. Elapsed: 0.00s\nTermination predicted with 11 generators at matrix 1\nEnumerating using 2 generators at a time:\n     New codeword identified of weight 11, time 0.00\n   Completed Matrix  1:  lower =  3, upper = 11. Elapsed: 0.00s\nTermination predicted with 10 generators at matrix 1\nEnumerating using 3 generators at a time:\n     New codeword identified of weight 10, time 0.00\n   Completed Matrix  1:  lower =  4, upper = 10. Elapsed: 0.00s\nTermination predicted with 9 generators at matrix 1\nEnumerating using 4 generators at a time:\n   Completed Matrix  1:  lower =  5, upper = 10. Elapsed: 0.03s\nTermination predicted with 9 generators at matrix 1\nEnumerating using 5 generators at a time:\n   Completed Matrix  1:  lower =  6, upper = 10. Elapsed: 0.74s\nTermination predicted at 13858 s (3h 50m 58s) with 9 generators at matrix 1\nEnumerating using 6 generators at a time:\n   Completed Matrix  1:  lower =  7, upper = 10. Elapsed: 12.02s\nTermination predicted at 14818 s (4h 6m 58s) with 9 generators at matrix 1\nEnumerating using 7 generators at a time:\n   Completed Matrix  1:  lower =  8, upper = 10. Elapsed: 152.56s\nTermination predicted at 14902 s (4h 8m 22s) with 9 generators at matrix 1\nEnumerating using 8 generators at a time:\n   Completed Matrix  1:  lower =  9, upper = 10. Elapsed: 1627.42s\nTermination predicted at 14901 s (4h 8m 21s) with 9 generators at matrix 1\nEnumerating using 9 generators at a time:\n   Completed Matrix  1:  lower = 10, upper = 10. Elapsed: 16075.53s\nComputation complete \nFinal Results: lower = 10, upper = 10,\nTotal CPU time: 16075.53, real time: 27554.670\n10\n\nTotal time: 16075.559 seconds, Total memory usage: 32.09MB\n</t>
  </si>
  <si>
    <t>Magma V2.28-26    Wed Jan  7 2026 16:32:41 on Marks-MacBook-Air-2 [Seed = \n4274593135]\nType ? for help.  Type &lt;Ctrl&gt;-D to quit.\n[1 0 0 0 0 0 0 0 0 0 0 0 0 0 0 0 0 0 0 0 0 0 0 0 0 0 0 0 0 0 0 0 0 0 0 0 0 0 0 0\n    0 0 0 0 0 0 0 0 1 0 1 0 0 1 1 1 0 0 1 0 1 1 0 1 0 0 1 1 0 1 1 0 1 1 0 1 1 0 \n    1 0 0 1 0 1 0 0 0 0 0 0 1 1 1 0 1 0 0 0 0 1 1 1 1 0 0 0 1 1 0 0 0 1 0 1 0 1 \n    0 0]\n[0 1 0 0 0 0 0 0 0 0 0 0 0 0 0 0 0 0 0 0 0 0 0 0 0 0 0 0 0 0 0 0 0 0 0 0 0 0 0 0\n    0 0 0 0 0 0 0 0 1 1 1 0 1 1 1 1 0 1 0 0 0 1 1 1 0 1 1 1 1 1 0 0 1 0 1 0 1 1 \n    1 1 0 1 0 0 1 0 1 1 1 1 1 0 0 0 0 1 0 1 0 1 1 1 0 1 0 0 0 0 0 0 0 0 0 0 0 1 \n    1 0]\n[0 0 1 0 0 0 0 0 0 0 0 0 0 0 0 0 0 0 0 0 0 0 0 0 0 0 0 0 0 0 0 0 0 0 0 0 0 0 0 0\n    0 0 0 0 0 0 0 1 1 1 1 0 0 0 0 1 0 0 0 1 0 1 0 0 0 0 1 0 1 1 0 0 0 1 0 0 0 1 \n    0 1 1 0 0 1 1 0 1 0 1 0 0 0 1 0 1 1 1 1 0 1 0 1 1 0 0 0 0 0 0 0 0 1 0 1 0 0 \n    1 1]\n[0 0 0 1 0 0 0 0 0 0 0 0 0 0 0 0 0 0 0 0 0 0 0 0 0 0 0 0 0 0 0 0 0 0 0 0 0 0 0 0\n    0 0 0 0 0 0 0 0 1 1 0 1 1 0 1 1 1 0 1 1 1 0 0 1 0 0 1 0 1 1 0 1 0 0 0 1 0 1 \n    0 0 0 0 0 1 0 1 1 1 0 0 0 0 0 0 0 0 0 1 0 1 0 1 0 0 1 0 1 0 1 1 0 0 0 1 0 1 \n    0 1]\n[0 0 0 0 1 0 0 0 0 0 0 0 0 0 0 0 0 0 0 0 0 0 0 0 0 0 0 0 0 0 0 0 0 0 0 0 0 0 0 0\n    0 0 0 0 0 0 0 1 0 1 0 1 0 0 1 0 1 0 0 1 1 1 1 1 1 0 0 1 0 0 0 1 1 1 0 0 1 1 \n    0 0 0 1 1 0 0 0 0 1 1 1 1 1 0 0 1 1 0 0 0 0 1 1 0 0 0 1 0 1 0 0 0 1 0 1 1 0 \n    1 0]\n[0 0 0 0 0 1 0 0 0 0 0 0 0 0 0 0 0 0 0 0 0 0 0 0 0 0 0 0 0 0 0 0 0 0 0 0 0 0 0 0\n    0 0 0 0 0 0 0 1 1 1 0 1 0 1 1 1 1 0 1 0 0 1 0 1 0 0 1 0 0 0 1 0 1 0 0 0 0 0 \n    1 1 0 1 1 1 0 0 0 0 0 1 1 0 1 0 0 1 1 1 0 0 0 0 1 0 0 1 1 0 0 1 0 1 1 0 1 0 \n    1 1]\n[0 0 0 0 0 0 1 0 0 0 0 0 0 0 0 0 0 0 0 0 0 0 0 0 0 0 0 0 0 0 0 0 0 0 0 0 0 0 0 0\n    0 0 0 0 0 0 0 0 1 1 0 1 0 1 1 1 0 0 0 1 1 1 0 0 1 1 0 0 1 1 1 1 1 0 0 0 0 1 \n    0 1 1 0 0 0 1 0 1 0 1 1 1 0 1 1 1 0 0 1 0 0 1 0 0 1 0 0 0 1 1 0 0 1 0 1 0 1 \n    0 1]\n[0 0 0 0 0 0 0 1 0 0 0 0 0 0 0 0 0 0 0 0 0 0 0 0 0 0 0 0 0 0 0 0 0 0 0 0 0 0 0 0\n    0 0 0 0 0 0 0 0 1 1 1 1 1 1 0 0 0 0 1 1 0 1 1 0 0 0 0 1 0 0 0 1 1 1 1 0 0 1 \n    1 1 1 1 0 0 0 0 1 0 1 0 1 0 1 0 1 1 0 1 0 1 1 1 1 0 1 0 1 0 0 1 1 0 1 0 0 0 \n    1 0]\n[0 0 0 0 0 0 0 0 1 0 0 0 0 0 0 0 0 0 0 0 0 0 0 0 0 0 0 0 0 0 0 0 0 0 0 0 0 0 0 0\n    0 0 0 0 0 0 0 0 0 1 1 1 1 0 0 0 1 0 0 1 0 1 1 1 1 0 0 0 1 0 1 1 0 1 1 1 0 0 \n    0 0 1 1 1 0 1 0 0 0 0 0 1 0 1 0 0 1 1 0 0 1 1 1 1 0 1 1 0 1 1 1 0 0 1 1 1 1 \n    0 1]\n[0 0 0 0 0 0 0 0 0 1 0 0 0 0 0 0 0 0 0 0 0 0 0 0 0 0 0 0 0 0 0 0 0 0 0 0 0 0 0 0\n    0 0 0 0 0 0 0 0 0 1 1 1 0 0 0 0 1 1 0 1 1 1 1 1 0 1 1 1 1 1 1 1 0 1 1 1 1 0 \n    0 1 1 1 1 0 0 0 0 0 0 1 1 0 1 1 0 0 1 0 1 1 1 1 0 1 0 1 0 1 0 1 1 1 0 1 1 0 \n    1 0]\n[0 0 0 0 0 0 0 0 0 0 1 0 0 0 0 0 0 0 0 0 0 0 0 0 0 0 0 0 0 0 0 0 0 0 0 0 0 0 0 0\n    0 0 0 0 0 0 0 1 1 1 0 1 1 1 1 0 1 1 0 0 1 0 0 0 1 0 1 1 1 0 0 0 1 1 1 0 0 0 \n    0 1 1 0 1 1 1 1 1 0 0 1 0 0 1 1 1 0 1 0 1 0 0 1 0 0 1 1 0 1 0 1 0 1 1 0 0 0 \n    0 1]\n[0 0 0 0 0 0 0 0 0 0 0 1 0 0 0 0 0 0 0 0 0 0 0 0 0 0 0 0 0 0 0 0 0 0 0 0 0 0 0 0\n    0 0 0 0 0 0 0 0 0 1 0 0 0 1 1 0 0 1 0 0 1 1 1 0 1 0 1 1 0 0 0 0 1 0 1 1 0 1 \n    0 0 0 0 0 0 1 1 0 1 1 1 1 0 1 1 0 1 1 0 1 1 1 1 1 0 0 0 0 1 1 1 0 1 0 1 0 0 \n    1 1]\n[0 0 0 0 0 0 0 0 0 0 0 0 1 0 0 0 0 0 0 0 0 0 0 0 0 0 0 0 0 0 0 0 0 0 0 0 0 0 0 0\n    0 0 0 0 0 0 0 0 0 1 0 0 1 0 0 0 1 0 1 1 0 0 0 0 0 0 1 1 0 0 1 0 0 1 0 0 0 1 \n    1 0 1 1 0 0 0 1 1 0 1 1 1 0 0 1 1 1 0 1 1 0 0 0 1 0 0 1 1 1 1 0 1 1 0 1 1 0 \n    0 0]\n[0 0 0 0 0 0 0 0 0 0 0 0 0 1 0 0 0 0 0 0 0 0 0 0 0 0 0 0 0 0 0 0 0 0 0 0 0 0 0 0\n    0 0 0 0 0 0 0 1 0 1 0 1 1 1 1 1 1 1 1 0 1 0 0 1 0 0 1 1 0 1 0 1 0 0 0 0 1 1 \n    0 0 0 0 0 0 1 1 0 1 0 1 0 1 1 1 0 1 1 0 1 1 1 0 0 0 1 0 1 0 1 0 0 0 1 0 0 0 \n    0 0]\n[0 0 0 0 0 0 0 0 0 0 0 0 0 0 1 0 0 0 0 0 0 0 0 0 0 0 0 0 0 0 0 0 0 0 0 0 0 0 0 0\n    0 0 0 0 0 0 0 0 0 0 0 1 1 1 1 0 1 1 0 1 0 0 0 1 1 1 1 1 0 1 0 1 0 1 1 0 1 1 \n    0 0 1 0 0 1 0 0 0 0 0 0 1 0 0 0 0 1 1 1 0 0 0 0 0 1 0 0 1 1 1 1 1 1 0 1 0 1 \n    1 0]\n[0 0 0 0 0 0 0 0 0 0 0 0 0 0 0 1 0 0 0 0 0 0 0 0 0 0 0 0 0 0 0 0 0 0 0 0 0 0 0 0\n    0 0 0 0 0 0 0 1 1 0 0 0 1 1 0 0 0 0 0 1 0 0 0 0 1 0 1 1 0 1 1 1 0 0 1 0 1 0 \n    0 1 0 1 0 1 0 0 1 1 1 0 1 0 0 1 1 0 1 0 0 1 0 0 1 1 0 0 0 1 0 0 0 0 1 0 0 0 \n    1 0]\n[0 0 0 0 0 0 0 0 0 0 0 0 0 0 0 0 1 0 0 0 0 0 0 0 0 0 0 0 0 0 0 0 0 0 0 0 0 0 0 0\n    0 0 0 0 0 0 0 1 1 1 0 0 1 1 1 1 1 0 1 0 0 1 0 0 1 1 0 0 1 1 0 0 0 1 1 0 1 0 \n    1 0 0 0 1 0 0 1 1 1 1 0 0 0 1 1 1 1 0 0 0 0 0 1 1 0 0 0 0 1 1 1 1 0 0 1 1 1 \n    0 0]\n[0 0 0 0 0 0 0 0 0 0 0 0 0 0 0 0 0 1 0 0 0 0 0 0 0 0 0 0 0 0 0 0 0 0 0 0 0 0 0 0\n    0 0 0 0 0 0 0 0 1 0 0 0 0 0 0 0 1 0 0 0 0 0 1 1 1 1 0 1 1 0 1 1 0 0 1 1 1 1 \n    0 1 1 1 1 1 0 0 1 1 0 0 0 1 1 1 1 0 1 0 1 0 1 1 0 0 0 0 1 0 1 0 1 0 0 1 0 1 \n    0 0]\n[0 0 0 0 0 0 0 0 0 0 0 0 0 0 0 0 0 0 1 0 0 0 0 0 0 0 0 0 0 0 0 0 0 0 0 0 0 0 0 0\n    0 0 0 0 0 0 0 0 0 1 0 0 1 0 0 0 0 1 1 0 0 1 0 0 1 1 1 1 0 0 0 0 0 0 1 0 1 0 \n    1 1 0 0 0 1 1 1 0 0 1 1 1 0 1 1 0 0 1 1 1 1 1 1 1 1 0 0 1 1 0 0 0 1 1 0 1 0 \n    0 0]\n[0 0 0 0 0 0 0 0 0 0 0 0 0 0 0 0 0 0 0 1 0 0 0 0 0 0 0 0 0 0 0 0 0 0 0 0 0 0 0 0\n    0 0 0 0 0 0 0 0 0 0 0 1 0 1 0 1 0 0 1 1 1 1 0 0 1 0 1 0 1 1 0 0 0 0 1 1 1 1 \n    1 0 0 0 1 1 1 0 1 0 0 1 1 0 1 0 1 0 1 0 0 0 0 1 1 1 1 0 1 0 1 1 0 1 0 1 1 0 \n    1 1]\n[0 0 0 0 0 0 0 0 0 0 0 0 0 0 0 0 0 0 0 0 1 0 0 0 0 0 0 0 0 0 0 0 0 0 0 0 0 0 0 0\n    0 0 0 0 0 0 0 0 1 0 1 0 0 0 1 0 0 1 0 0 1 0 1 0 0 1 1 0 1 0 0 1 1 1 0 1 1 1 \n    0 1 1 1 0 0 1 0 1 0 0 1 1 1 1 0 0 1 0 1 0 1 1 1 0 1 0 0 1 1 0 0 0 1 0 0 1 0 \n    0 0]\n[0 0 0 0 0 0 0 0 0 0 0 0 0 0 0 0 0 0 0 0 0 1 0 0 0 0 0 0 0 0 0 0 0 0 0 0 0 0 0 0\n    0 0 0 0 0 0 0 1 0 1 0 0 0 1 1 1 0 0 0 0 1 0 0 1 1 0 0 1 1 0 0 1 1 0 0 0 0 0 \n    1 1 0 0 1 0 0 0 0 0 0 0 1 0 1 1 1 1 1 0 0 1 0 1 1 1 0 1 1 0 1 0 0 1 1 1 0 0 \n    1 0]\n[0 0 0 0 0 0 0 0 0 0 0 0 0 0 0 0 0 0 0 0 0 0 1 0 0 0 0 0 0 0 0 0 0 0 0 0 0 0 0 0\n    0 0 0 0 0 0 0 1 0 0 0 1 0 1 0 0 1 1 0 1 0 0 0 1 1 1 0 1 1 0 1 0 1 0 0 1 1 1 \n    1 1 0 1 0 0 0 1 1 0 1 1 0 1 0 1 1 0 1 1 1 0 0 0 0 1 0 0 0 0 1 0 1 1 0 0 0 1 \n    1 0]\n[0 0 0 0 0 0 0 0 0 0 0 0 0 0 0 0 0 0 0 0 0 0 0 1 0 0 0 0 0 0 0 0 0 0 0 0 0 0 0 0\n    0 0 0 0 0 0 0 0 1 0 1 1 0 0 0 1 0 0 1 0 0 0 1 1 1 0 1 1 1 0 0 0 1 1 1 1 0 1 \n    0 0 0 0 1 0 1 1 0 0 0 0 1 0 1 0 1 0 1 0 1 1 0 1 1 1 0 1 0 0 0 1 1 0 0 1 0 0 \n    0 1]\n[0 0 0 0 0 0 0 0 0 0 0 0 0 0 0 0 0 0 0 0 0 0 0 0 1 0 0 0 0 0 0 0 0 0 0 0 0 0 0 0\n    0 0 0 0 0 0 0 0 1 1 0 1 0 0 1 1 0 0 0 1 0 0 0 1 1 1 0 0 0 0 0 1 1 0 1 1 0 1 \n    0 1 1 1 0 0 0 1 1 1 0 1 0 1 0 0 0 1 0 1 0 1 1 0 1 1 1 0 0 1 0 0 0 1 1 1 1 1 \n    1 0]\n[0 0 0 0 0 0 0 0 0 0 0 0 0 0 0 0 0 0 0 0 0 0 0 0 0 1 0 0 0 0 0 0 0 0 0 0 0 0 0 0\n    0 0 0 0 0 0 0 1 0 0 0 1 1 0 1 1 1 0 1 1 0 1 0 1 1 0 0 0 0 0 0 0 0 1 1 0 1 1 \n    0 1 0 1 1 1 1 0 1 0 1 1 0 1 0 1 0 1 1 1 1 1 0 1 0 1 1 1 1 0 0 1 1 0 0 1 1 1 \n    1 0]\n[0 0 0 0 0 0 0 0 0 0 0 0 0 0 0 0 0 0 0 0 0 0 0 0 0 0 1 0 0 0 0 0 0 0 0 0 0 0 0 0\n    0 0 0 0 0 0 0 0 1 1 0 1 0 1 1 1 0 0 0 0 1 1 1 0 1 1 1 1 1 1 1 1 1 1 1 0 1 1 \n    1 0 1 1 1 1 0 1 0 1 1 0 0 0 0 1 0 1 1 1 0 1 1 1 0 0 0 1 0 0 1 0 0 1 0 0 1 0 \n    0 1]\n[0 0 0 0 0 0 0 0 0 0 0 0 0 0 0 0 0 0 0 0 0 0 0 0 0 0 0 1 0 0 0 0 0 0 0 0 0 0 0 0\n    0 0 0 0 0 0 0 1 0 0 1 0 1 0 1 1 0 1 1 1 0 0 0 1 1 1 0 1 1 1 0 1 0 1 1 1 1 1 \n    1 0 0 1 1 0 0 0 0 1 1 0 0 1 0 0 0 1 1 0 0 1 1 1 0 1 0 0 0 1 0 0 0 0 0 0 0 1 \n    1 1]\n[0 0 0 0 0 0 0 0 0 0 0 0 0 0 0 0 0 0 0 0 0 0 0 0 0 0 0 0 1 0 0 0 0 0 0 0 0 0 0 0\n    0 0 0 0 0 0 0 1 0 0 0 0 0 1 0 1 1 0 1 0 0 0 0 1 1 1 0 1 0 0 0 1 0 1 1 1 0 1 \n    0 0 0 0 1 0 0 0 0 1 0 1 1 1 0 0 1 0 1 0 1 1 1 0 0 1 0 0 0 0 1 0 1 0 1 0 0 1 \n    0 1]\n[0 0 0 0 0 0 0 0 0 0 0 0 0 0 0 0 0 0 0 0 0 0 0 0 0 0 0 0 0 1 0 0 0 0 0 0 0 0 0 0\n    0 0 0 0 0 0 0 1 1 1 1 1 1 0 0 0 1 1 1 1 1 1 1 1 1 1 0 1 1 0 0 1 0 0 1 0 0 1 \n    1 1 0 0 0 0 0 1 0 0 1 1 1 0 0 0 1 0 0 0 1 0 1 1 0 0 0 1 1 0 1 1 0 0 1 1 0 0 \n    0 0]\n[0 0 0 0 0 0 0 0 0 0 0 0 0 0 0 0 0 0 0 0 0 0 0 0 0 0 0 0 0 0 1 0 0 0 0 0 0 0 0 0\n    0 0 0 0 0 0 0 1 1 0 0 0 0 1 1 1 1 1 0 0 0 1 1 0 1 1 0 0 0 0 0 0 0 1 0 1 0 0 \n    0 0 0 0 1 1 1 0 0 0 1 0 1 0 0 0 1 1 1 1 1 1 0 0 0 0 0 1 1 1 1 1 1 0 1 0 1 0 \n    0 0]\n[0 0 0 0 0 0 0 0 0 0 0 0 0 0 0 0 0 0 0 0 0 0 0 0 0 0 0 0 0 0 0 1 0 0 0 0 0 0 0 0\n    0 0 0 0 0 0 0 0 0 0 0 1 1 1 0 0 1 1 1 1 0 0 1 1 0 1 1 1 0 0 1 0 1 1 1 0 1 0 \n    0 0 0 1 1 1 1 1 0 1 1 0 0 0 0 0 1 1 0 1 1 1 0 0 0 1 0 0 0 0 1 0 1 0 0 1 0 1 \n    1 1]\n[0 0 0 0 0 0 0 0 0 0 0 0 0 0 0 0 0 0 0 0 0 0 0 0 0 0 0 0 0 0 0 0 1 0 0 0 0 0 0 0\n    0 0 0 0 0 0 0 1 1 1 0 0 0 1 0 1 1 1 1 1 1 0 0 0 1 1 1 1 0 1 1 1 0 1 1 0 1 0 \n    1 1 1 1 1 1 1 0 0 0 0 1 1 1 1 0 1 1 1 0 0 1 1 1 0 1 0 0 0 0 0 0 0 0 0 1 0 1 \n    0 0]\n[0 0 0 0 0 0 0 0 0 0 0 0 0 0 0 0 0 0 0 0 0 0 0 0 0 0 0 0 0 0 0 0 0 1 0 0 0 0 0 0\n    0 0 0 0 0 0 0 0 0 1 1 1 0 1 1 0 1 0 1 1 0 1 0 1 0 0 0 1 1 1 1 1 1 1 1 0 1 1 \n    1 0 0 1 1 1 0 1 0 0 1 1 0 0 1 1 1 0 1 0 1 0 1 1 1 0 0 0 1 1 1 0 1 1 1 0 1 1 \n    0 1]\n[0 0 0 0 0 0 0 0 0 0 0 0 0 0 0 0 0 0 0 0 0 0 0 0 0 0 0 0 0 0 0 0 0 0 1 0 0 0 0 0\n    0 0 0 0 0 0 0 1 0 0 0 0 1 1 1 0 0 1 1 1 0 1 0 1 1 0 0 0 0 0 0 1 1 0 1 0 1 1 \n    0 0 0 0 0 0 1 1 1 1 1 1 1 0 0 0 1 0 0 1 0 0 0 0 0 1 1 0 1 1 0 0 0 0 0 0 1 1 \n    1 0]\n[0 0 0 0 0 0 0 0 0 0 0 0 0 0 0 0 0 0 0 0 0 0 0 0 0 0 0 0 0 0 0 0 0 0 0 1 0 0 0 0\n    0 0 0 0 0 0 0 1 1 1 0 1 1 1 1 1 0 1 0 0 0 1 0 1 0 1 1 1 1 1 0 0 0 0 1 1 1 1 \n    0 1 0 1 1 0 0 1 1 0 1 0 1 1 1 1 0 1 1 0 0 0 1 0 1 1 1 1 0 1 1 0 0 0 0 1 1 1 \n    1 0]\n[0 0 0 0 0 0 0 0 0 0 0 0 0 0 0 0 0 0 0 0 0 0 0 0 0 0 0 0 0 0 0 0 0 0 0 0 1 0 0 0\n    0 0 0 0 0 0 0 1 0 1 0 1 1 0 0 0 1 1 1 0 0 1 1 0 1 0 0 1 1 1 0 0 0 1 0 0 0 0 \n    0 0 1 1 0 1 1 0 1 1 0 0 0 1 0 1 1 0 1 1 1 0 1 1 1 1 1 1 0 0 1 0 0 0 1 0 0 0 \n    1 0]\n[0 0 0 0 0 0 0 0 0 0 0 0 0 0 0 0 0 0 0 0 0 0 0 0 0 0 0 0 0 0 0 0 0 0 0 0 0 1 0 0\n    0 0 0 0 0 0 0 1 0 0 1 0 0 1 0 1 0 0 0 1 0 1 1 1 0 0 1 1 0 1 1 0 0 0 0 0 0 0 \n    0 1 0 0 1 0 0 0 1 1 1 1 0 1 0 1 0 1 0 0 0 1 0 0 1 0 0 1 0 0 1 1 1 0 0 0 0 0 \n    0 1]\n[0 0 0 0 0 0 0 0 0 0 0 0 0 0 0 0 0 0 0 0 0 0 0 0 0 0 0 0 0 0 0 0 0 0 0 0 0 0 1 0\n    0 0 0 0 0 0 0 0 0 1 0 1 1 0 1 1 1 1 0 1 0 0 0 0 1 1 1 0 1 1 0 0 0 0 0 0 1 0 \n    0 0 1 0 0 0 1 0 1 0 0 0 0 1 0 0 0 0 0 1 0 1 0 0 1 1 1 1 1 0 0 1 0 0 0 0 0 1 \n    0 1]\n[0 0 0 0 0 0 0 0 0 0 0 0 0 0 0 0 0 0 0 0 0 0 0 0 0 0 0 0 0 0 0 0 0 0 0 0 0 0 0 1\n    0 0 0 0 0 0 0 0 0 1 1 0 0 1 0 0 1 0 0 0 1 0 1 1 1 0 0 1 0 1 0 0 1 1 0 0 0 1 \n    1 1 1 1 1 0 1 1 1 1 1 0 0 0 1 1 1 0 0 0 1 0 0 0 0 1 1 1 0 0 0 0 1 1 0 1 0 1 \n    0 0]\n[0 0 0 0 0 0 0 0 0 0 0 0 0 0 0 0 0 0 0 0 0 0 0 0 0 0 0 0 0 0 0 0 0 0 0 0 0 0 0 0\n    1 0 0 0 0 0 0 0 1 1 1 0 0 0 1 0 1 0 0 0 0 0 0 0 1 0 1 1 1 1 1 1 1 1 0 0 0 0 \n    1 1 0 0 1 0 0 0 1 1 1 1 0 1 0 1 1 1 1 0 0 0 1 0 0 1 0 0 1 1 1 1 1 0 0 1 0 0 \n    0 1]\n[0 0 0 0 0 0 0 0 0 0 0 0 0 0 0 0 0 0 0 0 0 0 0 0 0 0 0 0 0 0 0 0 0 0 0 0 0 0 0 0\n    0 1 0 0 0 0 0 0 1 0 1 0 1 1 0 1 1 1 1 0 0 1 1 1 1 1 1 0 1 1 1 0 0 1 1 1 0 0 \n    0 1 0 0 1 0 0 0 0 0 0 0 1 0 0 0 0 1 0 0 0 1 1 1 1 1 0 1 1 1 0 0 1 1 1 1 0 1 \n    1 1]\n[0 0 0 0 0 0 0 0 0 0 0 0 0 0 0 0 0 0 0 0 0 0 0 0 0 0 0 0 0 0 0 0 0 0 0 0 0 0 0 0\n    0 0 1 0 0 0 0 1 0 1 1 0 0 0 1 0 1 0 1 1 0 0 0 1 1 1 0 1 1 0 0 0 1 0 1 0 0 1 \n    0 1 0 0 0 0 0 0 0 1 1 1 0 0 0 1 1 1 1 0 1 0 1 0 0 0 1 0 0 0 0 1 1 0 1 1 0 1 \n    1 0]\n[0 0 0 0 0 0 0 0 0 0 0 0 0 0 0 0 0 0 0 0 0 0 0 0 0 0 0 0 0 0 0 0 0 0 0 0 0 0 0 0\n    0 0 0 1 0 0 0 1 0 0 1 1 0 1 1 0 1 0 1 1 0 0 1 0 0 0 1 0 0 0 0 0 0 1 1 0 0 1 \n    0 0 1 1 1 0 0 0 0 1 0 1 0 1 0 1 0 0 0 0 0 0 0 0 0 1 1 1 1 0 0 0 1 1 1 1 0 0 \n    0 1]\n[0 0 0 0 0 0 0 0 0 0 0 0 0 0 0 0 0 0 0 0 0 0 0 0 0 0 0 0 0 0 0 0 0 0 0 0 0 0 0 0\n    0 0 0 0 1 0 0 0 1 1 1 0 0 1 0 0 0 0 1 0 0 0 0 0 1 1 0 0 0 0 0 1 0 1 0 0 1 1 \n    1 1 1 1 1 1 0 1 0 0 0 1 0 0 1 0 1 0 1 1 0 1 1 1 1 1 0 1 1 0 0 0 0 1 1 0 0 0 \n    1 0]\n[0 0 0 0 0 0 0 0 0 0 0 0 0 0 0 0 0 0 0 0 0 0 0 0 0 0 0 0 0 0 0 0 0 0 0 0 0 0 0 0\n    0 0 0 0 0 1 0 0 1 1 0 1 1 1 0 0 0 1 1 0 0 0 0 1 0 1 1 1 1 1 0 0 0 1 0 0 1 0 \n    1 0 0 1 0 1 0 0 0 0 0 0 0 1 0 0 1 1 0 0 1 0 1 0 1 1 0 1 1 0 1 1 0 1 1 1 0 1 \n    0 1]\n[0 0 0 0 0 0 0 0 0 0 0 0 0 0 0 0 0 0 0 0 0 0 0 0 0 0 0 0 0 0 0 0 0 0 0 0 0 0 0 0\n    0 0 0 0 0 0 1 0 1 1 1 0 0 0 0 0 1 0 0 1 0 1 0 0 0 0 0 1 1 1 1 0 1 1 0 0 0 1 \n    1 1 0 0 0 1 1 1 1 0 1 0 0 1 1 1 1 1 1 0 0 1 0 1 0 0 1 1 0 0 1 1 1 1 0 0 1 0 \n    1 1]\n[[59, 12]] quantum code over GF(2^2), stabilised by:\n[1 0 0 0 0 0 0 0 0 0 0 0 0 0 0 0 0 0 0 0 0 0 0 0 0 $.1 1 $.1 $.1 0 $.1 1 $.1 $.1\n    $.1 $.1 $.1^2 1 0 0 $.1 $.1^2 0 $.1^2 $.1^2 $.1 $.1^2 1 1 $.1 0 $.1 1 1 1 0 \n    $.1^2 $.1^2 0]\n[$.1 0 0 0 0 0 0 0 0 0 0 0 0 0 0 0 0 0 0 0 0 0 0 0 $.1 1 1 $.1^2 $.1^2 $.1^2 1 1\n    $.1 $.1^2 $.1 $.1 0 1 $.1 0 0 $.1^2 0 0 1 0 1 0 0 1 $.1^2 1 $.1^2 0 1 $.1^2 \n    0 1 0]\n[0 1 0 0 0 0 0 0 0 0 0 0 0 0 0 0 0 0 0 0 0 0 0 0 1 0 1 1 $.1 $.1 0 0 1 $.1^2 0 0\n    $.1^2 $.1^2 0 $.1 $.1^2 $.1 $.1 $.1 $.1 $.1^2 $.1^2 $.1 1 $.1^2 0 1 $.1 0 0 \n    0 1 $.1^2 $.1^2]\n[0 $.1 0 0 0 0 0 0 0 0 0 0 0 0 0 0 0 0 0 0 0 0 0 1 $.1 0 1 $.1^2 0 $.1^2 $.1 \n    $.1^2 1 0 0 1 $.1 1 0 0 0 $.1^2 $.1 $.1 $.1 1 1 $.1^2 $.1 $.1 $.1 $.1 0 \n    $.1^2 $.1^2 $.1^2 1 $.1^2 1]\n[0 0 1 0 0 0 0 0 0 0 0 0 0 0 0 0 0 0 0 0 0 0 0 1 0 $.1 0 $.1^2 1 $.1^2 $.1 1 \n    $.1^2 $.1 $.1^2 $.1^2 0 0 0 $.1 $.1 $.1 1 1 $.1^2 0 $.1 1 $.1 0 $.1^2 $.1^2 \n    $.1^2 $.1^2 1 0 $.1 $.1 0]\n[0 0 $.1 0 0 0 0 0 0 0 0 0 0 0 0 0 0 0 0 0 0 0 0 1 $.1^2 $.1^2 $.1^2 1 1 $.1 \n    $.1^2 0 $.1 $.1^2 0 0 $.1^2 0 $.1^2 $.1^2 $.1 1 $.1 $.1 1 0 1 1 $.1^2 0 \n    $.1^2 1 $.1^2 $.1^2 $.1^2 1 1 $.1^2 0]\n[0 0 0 1 0 0 0 0 0 0 0 0 0 0 0 0 0 0 0 0 0 0 0 0 0 1 1 $.1 1 0 $.1^2 $.1^2 0 $.1\n    0 $.1^2 $.1 1 0 0 $.1 0 $.1^2 0 1 $.1^2 1 $.1 1 $.1^2 $.1 $.1 1 $.1 0 $.1^2 \n    $.1^2 0 $.1^2]\n[0 0 0 $.1 0 0 0 0 0 0 0 0 0 0 0 0 0 0 0 0 0 0 0 1 $.1 0 $.1^2 $.1^2 1 1 $.1 0 \n    $.1^2 $.1^2 1 $.1^2 $.1 $.1 1 $.1^2 0 0 0 $.1^2 1 0 $.1^2 1 1 1 0 1 1 $.1^2 \n    1 $.1^2 0 $.1 1]\n[0 0 0 0 1 0 0 0 0 0 0 0 0 0 0 0 0 0 0 0 0 0 0 0 $.1 0 $.1^2 $.1 $.1 $.1^2 $.1^2\n    0 0 $.1^2 $.1 1 $.1^2 0 0 1 1 $.1 $.1 $.1 1 1 1 1 $.1 $.1^2 $.1 $.1^2 $.1 1 \n    0 1 0 $.1^2 $.1^2]\n[0 0 0 0 $.1 0 0 0 0 0 0 0 0 0 0 0 0 0 0 0 0 0 0 1 1 0 0 $.1^2 1 $.1^2 $.1 0 $.1\n    $.1 1 1 $.1^2 0 $.1^2 $.1^2 0 1 $.1^2 1 $.1^2 $.1^2 $.1^2 $.1 $.1 0 1 $.1 \n    $.1 $.1 $.1^2 1 1 $.1 1]\n[0 0 0 0 0 1 0 0 0 0 0 0 0 0 0 0 0 0 0 0 0 0 0 1 $.1 $.1^2 1 $.1 1 0 0 $.1^2 \n    $.1^2 $.1 1 $.1^2 1 $.1 0 $.1 0 1 $.1 $.1^2 0 0 $.1^2 $.1 $.1^2 0 0 $.1 $.1 \n    $.1^2 $.1 0 $.1^2 0 0]\n[0 0 0 0 0 $.1 0 0 0 0 0 0 0 0 0 0 0 0 0 0 0 0 0 0 1 0 1 0 $.1 $.1 $.1^2 $.1 $.1\n    0 0 1 $.1^2 0 $.1 $.1^2 1 $.1^2 $.1^2 1 $.1^2 $.1^2 1 1 $.1^2 $.1 $.1^2 $.1 \n    0 0 1 $.1^2 0 $.1^2 0]\n[0 0 0 0 0 0 1 0 0 0 0 0 0 0 0 0 0 0 0 0 0 0 0 1 1 $.1^2 1 $.1^2 $.1^2 $.1 $.1 1\n    $.1 $.1^2 1 0 1 $.1^2 0 $.1 0 $.1 0 $.1^2 1 1 $.1^2 1 $.1^2 $.1 $.1^2 0 0 \n    $.1 $.1 0 $.1^2 1 $.1^2]\n[0 0 0 0 0 0 $.1 0 0 0 0 0 0 0 0 0 0 0 0 0 0 0 0 0 0 0 1 1 1 0 $.1 $.1^2 1 1 1 \n    $.1^2 1 0 $.1 $.1 $.1^2 $.1^2 $.1^2 $.1 1 0 $.1 $.1^2 0 $.1 0 1 0 1 1 0 $.1 \n    1 $.1]\n[0 0 0 0 0 0 0 1 0 0 0 0 0 0 0 0 0 0 0 0 0 0 0 1 $.1^2 0 $.1^2 0 $.1^2 $.1 1 0 1\n    0 1 1 $.1 1 $.1^2 0 1 1 $.1^2 0 1 $.1 $.1^2 $.1^2 1 $.1 0 $.1 $.1^2 $.1 $.1 \n    0 0 0 0]\n[0 0 0 0 0 0 0 $.1 0 0 0 0 0 0 0 0 0 0 0 0 0 0 0 1 0 $.1^2 $.1^2 0 $.1^2 0 1 0 1\n    0 $.1^2 $.1 1 $.1^2 0 $.1 1 $.1^2 1 0 1 $.1^2 1 $.1 1 0 1 $.1^2 $.1^2 $.1^2 \n    $.1 $.1 $.1^2 $.1 0]\n[0 0 0 0 0 0 0 0 1 0 0 0 0 0 0 0 0 0 0 0 0 0 0 0 1 $.1^2 $.1^2 $.1^2 $.1^2 $.1 1\n    $.1^2 $.1^2 0 0 0 0 1 $.1 0 $.1 $.1^2 1 $.1 0 1 $.1 1 $.1 $.1 1 $.1 0 $.1 0 \n    $.1^2 0 0 0]\n[0 0 0 0 0 0 0 0 $.1 0 0 0 0 0 0 0 0 0 0 0 0 0 0 1 0 1 $.1^2 $.1^2 1 $.1^2 1 0 \n    $.1 $.1 0 $.1^2 1 $.1^2 $.1 0 $.1^2 $.1^2 1 $.1^2 $.1^2 $.1^2 0 0 $.1^2 $.1 \n    1 $.1 $.1^2 $.1^2 $.1 1 $.1^2 $.1^2 $.1^2]\n[0 0 0 0 0 0 0 0 0 1 0 0 0 0 0 0 0 0 0 0 0 0 0 0 0 $.1 0 1 $.1^2 $.1^2 $.1 $.1^2\n    0 0 $.1^2 0 0 $.1^2 0 0 $.1^2 1 $.1 1 0 $.1 1 $.1 $.1 0 $.1 0 1 0 0 $.1 $.1 \n    0 1]\n[0 0 0 0 0 0 0 0 0 $.1 0 0 0 0 0 0 0 0 0 0 0 0 0 1 1 $.1 $.1^2 0 $.1 1 1 $.1 \n    $.1^2 $.1^2 0 0 $.1 0 $.1 $.1^2 $.1^2 $.1^2 $.1^2 $.1 $.1 1 1 0 $.1 $.1 $.1 \n    0 $.1^2 $.1^2 $.1 $.1 $.1^2 1 $.1^2]\n[0 0 0 0 0 0 0 0 0 0 1 0 0 0 0 0 0 0 0 0 0 0 0 1 1 1 0 $.1^2 $.1 $.1^2 $.1^2 \n    $.1^2 0 $.1^2 0 $.1 1 $.1 $.1^2 $.1 $.1^2 0 $.1^2 1 1 0 1 0 0 $.1 $.1^2 $.1 \n    1 $.1 0 $.1 $.1 1 $.1]\n[0 0 0 0 0 0 0 0 0 0 $.1 0 0 0 0 0 0 0 0 0 0 0 0 1 $.1^2 0 1 1 $.1 $.1^2 $.1 \n    $.1^2 $.1 1 0 0 $.1 1 $.1^2 0 0 $.1^2 0 $.1 $.1^2 $.1 1 $.1^2 1 1 $.1 1 1 \n    $.1 $.1^2 1 0 1 $.1^2]\n[0 0 0 0 0 0 0 0 0 0 0 1 0 0 0 0 0 0 0 0 0 0 0 0 1 1 0 1 1 $.1^2 $.1^2 1 $.1^2 1\n    $.1 0 $.1^2 0 0 1 $.1^2 1 1 1 1 $.1 $.1^2 1 $.1 $.1^2 $.1 $.1^2 0 0 $.1^2 \n    $.1^2 0 0 $.1]\n[0 0 0 0 0 0 0 0 0 0 0 $.1 0 0 0 0 0 0 0 0 0 0 0 1 $.1 $.1 $.1^2 $.1^2 0 1 1 1 0\n    1 0 1 0 $.1^2 0 0 $.1^2 0 1 $.1 1 0 $.1 $.1 $.1^2 1 0 $.1 $.1 $.1^2 1 0 $.1 \n    $.1^2 $.1^2]\n[0 0 0 0 0 0 0 0 0 0 0 0 1 0 0 0 0 0 0 0 0 0 0 0 0 0 $.1^2 $.1 0 $.1 0 0 1 1 0 \n    $.1^2 0 1 0 0 $.1^2 1 $.1 $.1^2 $.1 $.1 $.1^2 $.1 $.1 $.1^2 $.1 $.1 1 $.1^2 \n    1 $.1^2 1 $.1^2 $.1^2]\n[0 0 0 0 0 0 0 0 0 0 0 0 $.1 0 0 0 0 0 0 0 0 0 0 1 $.1^2 $.1^2 $.1^2 $.1^2 0 0 1\n    $.1 $.1 1 1 $.1 $.1^2 $.1^2 0 1 0 $.1 $.1^2 0 0 $.1^2 $.1^2 $.1^2 $.1 $.1 \n    $.1^2 1 1 1 0 $.1^2 1 $.1^2 $.1]\n[0 0 0 0 0 0 0 0 0 0 0 0 0 1 0 0 0 0 0 0 0 0 0 0 0 0 0 $.1^2 1 $.1^2 1 1 1 0 1 \n    $.1 $.1 $.1 0 1 1 1 $.1 1 1 0 0 0 $.1 0 $.1^2 $.1 0 $.1 $.1 0 $.1 $.1 0]\n[0 0 0 0 0 0 0 0 0 0 0 0 0 $.1 0 0 0 0 0 0 0 0 0 1 0 0 $.1^2 1 $.1 0 $.1^2 $.1^2\n    0 $.1 $.1 0 $.1^2 $.1 1 1 1 $.1^2 0 1 $.1^2 1 0 $.1 1 1 $.1^2 $.1^2 0 0 $.1 \n    0 0 $.1^2 $.1]\n[0 0 0 0 0 0 0 0 0 0 0 0 0 0 1 0 0 0 0 0 0 0 0 0 1 $.1 $.1^2 $.1^2 1 1 0 0 $.1 1\n    0 $.1 1 1 $.1 0 $.1 $.1^2 $.1^2 $.1^2 $.1^2 1 0 $.1^2 $.1 0 $.1 $.1 0 1 \n    $.1^2 $.1 0 $.1 0]\n[0 0 0 0 0 0 0 0 0 0 0 0 0 0 $.1 0 0 0 0 0 0 0 0 1 1 $.1^2 0 $.1^2 0 1 $.1^2 0 0\n    $.1 1 1 $.1 1 1 $.1^2 1 $.1^2 $.1 $.1 $.1^2 $.1 $.1^2 1 $.1^2 0 1 0 $.1^2 \n    $.1^2 0 1 0 1 $.1^2]\n[0 0 0 0 0 0 0 0 0 0 0 0 0 0 0 1 0 0 0 0 0 0 0 1 0 0 $.1^2 $.1 $.1^2 $.1 1 $.1^2\n    0 $.1^2 $.1 $.1^2 $.1^2 1 1 1 $.1^2 0 $.1 $.1^2 1 $.1^2 $.1 $.1^2 $.1 1 1 \n    $.1^2 0 0 $.1^2 1 $.1^2 $.1 0]\n[0 0 0 0 0 0 0 0 0 0 0 0 0 0 0 $.1 0 0 0 0 0 0 0 0 1 0 0 $.1^2 $.1^2 1 $.1^2 \n    $.1^2 1 $.1^2 1 $.1^2 $.1^2 $.1^2 1 0 $.1^2 1 1 0 0 1 0 0 0 0 $.1^2 0 1 $.1 \n    $.1^2 $.1^2 1 1 $.1^2]\n[0 0 0 0 0 0 0 0 0 0 0 0 0 0 0 0 1 0 0 0 0 0 0 0 $.1 1 0 $.1^2 0 1 $.1^2 1 1 1 \n    $.1^2 0 1 1 0 $.1 $.1 $.1 1 $.1^2 1 $.1 $.1 $.1^2 $.1^2 $.1^2 1 0 $.1^2 \n    $.1^2 $.1 $.1 0 $.1^2 $.1]\n[0 0 0 0 0 0 0 0 0 0 0 0 0 0 0 0 $.1 0 0 0 0 0 0 1 $.1 1 1 $.1^2 $.1 1 $.1 $.1^2\n    $.1^2 $.1 1 1 0 1 $.1 1 0 $.1 $.1^2 0 $.1^2 $.1 0 0 $.1 $.1^2 $.1^2 0 $.1 \n    $.1 0 1 0 $.1 $.1^2]\n[0 0 0 0 0 0 0 0 0 0 0 0 0 0 0 0 0 1 0 0 0 0 0 0 $.1 $.1^2 0 $.1 0 1 0 $.1^2 $.1\n    1 $.1^2 $.1^2 $.1 1 1 $.1^2 0 $.1 0 $.1^2 0 1 0 0 $.1 $.1 $.1^2 $.1 1 0 0 0 \n    $.1 0 1]\n[0 0 0 0 0 0 0 0 0 0 0 0 0 0 0 0 0 $.1 0 0 0 0 0 1 $.1^2 0 1 0 $.1 $.1^2 $.1^2 \n    $.1 $.1^2 0 0 1 1 $.1 $.1 1 $.1^2 $.1 $.1 0 $.1^2 $.1^2 1 $.1^2 1 1 0 $.1^2 \n    0 1 1 $.1 $.1^2 $.1 $.1]\n[0 0 0 0 0 0 0 0 0 0 0 0 0 0 0 0 0 0 1 0 0 0 0 0 0 $.1 1 1 0 1 $.1 1 1 0 $.1 $.1\n    $.1^2 $.1^2 $.1 $.1^2 1 $.1^2 0 $.1^2 1 $.1 0 0 0 0 $.1 1 0 0 $.1 1 $.1 \n    $.1^2 $.1^2]\n[0 0 0 0 0 0 0 0 0 0 0 0 0 0 0 0 0 0 $.1 0 0 0 0 1 0 $.1^2 0 $.1 0 0 $.1^2 1 0 \n    $.1 0 0 1 1 0 $.1 $.1 $.1 $.1 $.1^2 $.1 $.1 0 $.1^2 $.1 1 1 1 $.1^2 $.1 1 0 \n    1 $.1^2 1]\n[0 0 0 0 0 0 0 0 0 0 0 0 0 0 0 0 0 0 0 1 0 0 0 1 $.1^2 0 1 0 1 $.1^2 $.1^2 0 1 1\n    1 $.1 $.1 1 $.1^2 $.1 $.1^2 1 $.1 $.1 $.1 0 $.1 0 0 1 $.1 $.1^2 $.1 1 $.1^2 \n    0 $.1 0 $.1]\n[0 0 0 0 0 0 0 0 0 0 0 0 0 0 0 0 0 0 0 $.1 0 0 0 1 0 0 $.1^2 $.1^2 0 1 1 0 $.1 \n    $.1^2 0 0 1 0 $.1^2 0 $.1^2 $.1^2 0 $.1 1 1 $.1 0 $.1 $.1 1 $.1^2 $.1 $.1 \n    $.1 $.1 $.1^2 1 0]\n[0 0 0 0 0 0 0 0 0 0 0 0 0 0 0 0 0 0 0 0 1 0 0 1 1 1 1 0 $.1^2 $.1 $.1^2 1 0 $.1\n    1 1 $.1^2 1 $.1 0 $.1 $.1 $.1^2 $.1^2 1 1 $.1^2 $.1^2 $.1^2 $.1 $.1^2 $.1^2 \n    $.1 0 1 0 0 $.1^2 0]\n[0 0 0 0 0 0 0 0 0 0 0 0 0 0 0 0 0 0 0 0 $.1 0 0 1 $.1 1 $.1 $.1 1 $.1^2 $.1^2 \n    $.1^2 $.1^2 $.1 $.1^2 $.1^2 1 0 1 0 $.1 0 $.1^2 1 0 $.1 0 0 $.1^2 0 0 $.1 \n    $.1^2 1 1 1 0 0 $.1]\n[0 0 0 0 0 0 0 0 0 0 0 0 0 0 0 0 0 0 0 0 0 1 0 0 $.1^2 $.1 0 $.1^2 $.1 1 $.1^2 \n    $.1^2 $.1 $.1 $.1^2 $.1 0 1 1 $.1 0 $.1^2 1 $.1^2 1 1 1 $.1 $.1^2 $.1 $.1 \n    $.1 $.1^2 $.1^2 0 1 0 $.1 1]\n[0 0 0 0 0 0 0 0 0 0 0 0 0 0 0 0 0 0 0 0 0 $.1 0 0 $.1 $.1 1 1 1 0 1 $.1^2 0 0 0\n    $.1^2 $.1 1 $.1 1 1 $.1 0 1 $.1 $.1 0 $.1 0 $.1 $.1^2 $.1 $.1^2 $.1 $.1 $.1 \n    $.1 $.1 $.1]\n[0 0 0 0 0 0 0 0 0 0 0 0 0 0 0 0 0 0 0 0 0 0 1 0 1 0 $.1^2 $.1 1 $.1 0 $.1^2 \n    $.1^2 1 $.1 $.1^2 $.1^2 1 $.1 0 $.1^2 $.1 $.1^2 $.1 0 $.1 $.1^2 1 0 1 1 1 \n    $.1^2 $.1 0 $.1 1 $.1^2 $.1]\n[0 0 0 0 0 0 0 0 0 0 0 0 0 0 0 0 0 0 0 0 0 0 $.1 0 $.1^2 $.1^2 1 0 0 1 $.1 0 $.1\n    $.1 $.1 1 $.1 $.1 $.1 0 $.1^2 $.1 $.1^2 $.1 $.1 1 $.1 0 $.1 $.1^2 $.1^2 $.1 \n    $.1 1 $.1 0 $.1 1 $.1]\n[0 0 0 0 0 0 0 0 0 0 0 0 0 0 0 0 0 0 0 0 0 0 0 $.1 1 $.1^2 1 $.1^2 1 $.1^2 0 0 1\n    1 0 $.1^2 $.1^2 0 $.1^2 1 $.1^2 0 $.1^2 0 $.1 $.1^2 0 0 $.1^2 0 0 1 $.1^2 \n    $.1^2 $.1^2 $.1 $.1 1 $.1^2]\nQuantum GF(2)-Additive code over GF(4) of length 59 with 71 generators.\nLower Bound: 1, Upper Bound: 25\nConstructed 2 distinct generator matrices\nTotal Ranks:     36  36 \nRelative Ranks:  36  23 \n(4 4 4 4 4 4 4 4 4 4 4 4 4 4 4 4 4 4 4 4 4 4 4 4 4 4 4 4 4 4 4 4 4 4 4 2 )\n(4 4 4 4 4 4 4 4 4 4 4 4 4 4 4 4 4 4 4 4 4 4 4 4 4 4 4 4 4 4 4 4 4 4 4 2 )\nTime Taken: 0.00\nStarting search for low weight codewords... (reset timings)\nEnumerating using 1 generator at a time:\n     New codeword identified of weight 16, time 0.00\n     New codeword identified of weight 15, time 0.00\n     New codeword identified of weight 14, time 0.00\n     Discarding non-contributing rank 23 matrix\n     New Total Ranks:     36 \n     New Relative Ranks:  36 \n   Completed Matrix  1:  lower =  2, upper = 14. Elapsed: 0.00s\nTermination predicted with 13 generators at matrix 1\nEnumerating using 2 generators at a time:\n     New codeword identified of weight 13, time 0.00\n     New codeword identified of weight 12, time 0.00\n   Completed Matrix  1:  lower =  3, upper = 12. Elapsed: 0.00s\nTermination predicted with 11 generators at matrix 1\nEnumerating using 3 generators at a time:\n     New codeword identified of weight 11, time 0.00\n   Completed Matrix  1:  lower =  4, upper = 11. Elapsed: 0.00s\nTermination predicted with 10 generators at matrix 1\nEnumerating using 4 generators at a time:\n     New codeword identified of weight 10, time 0.00\n   Completed Matrix  1:  lower =  5, upper = 10. Elapsed: 0.02s\nTermination predicted with 9 generators at matrix 1\nEnumerating using 5 generators at a time:\n   Completed Matrix  1:  lower =  6, upper = 10. Elapsed: 0.48s\nTermination predicted at 9226 s (2h 33m 46s) with 9 generators at matrix 1\nEnumerating using 6 generators at a time:\n   Completed Matrix  1:  lower =  7, upper = 10. Elapsed: 7.70s\nTermination predicted at 9643 s (2h 40m 43s) with 9 generators at matrix 1\nEnumerating using 7 generators at a time:\n   Completed Matrix  1:  lower =  8, upper = 10. Elapsed: 123.65s\nTermination predicted at 12201 s (3h 23m 21s) with 9 generators at matrix 1\nEnumerating using 8 generators at a time:\n   Completed Matrix  1:  lower =  9, upper = 10. Elapsed: 1560.87s\nTermination predicted at 14373 s (3h 59m 33s) with 9 generators at matrix 1\nEnumerating using 9 generators at a time:\n   Completed Matrix  1:  lower = 10, upper = 10. Elapsed: 16816.05s\nComputation complete \nFinal Results: lower = 10, upper = 10,\nTotal CPU time: 16816.05, real time: 17224.410\n10\n\nTotal time: 16816.100 seconds, Total memory usage: 32.09MB\n</t>
  </si>
  <si>
    <t>Magma V2.28-26    Wed Jan  7 2026 21:19:47 on Marks-MacBook-Air-2 [Seed = \n1784532589]\nType ? for help.  Type &lt;Ctrl&gt;-D to quit.\n[1 0 0 0 0 0 0 0 0 0 0 0 0 0 0 0 0 0 0 0 0 0 0 0 0 0 0 0 0 0 0 0 0 0 0 0 0 0 0 0\n    0 0 0 0 0 0 0 0 0 0 0 0 1 1 0 0 0 1 0 1 1 0 0 0 1 0 1 0 0 0 1 1 0 0 1 1 0 0 \n    1 1 1 1 1 1 1 1 1 1 1 0 1 0 1 1 1 0 1 1 0 0 1 1 1 1 1 0 1 1 0 0 1 1 1 1 1 1 \n    0 0 1 1]\n[0 1 0 0 0 0 0 0 0 0 0 0 0 0 0 0 0 0 0 0 0 0 0 0 0 0 0 0 0 0 0 0 0 0 0 0 0 0 0 0\n    0 0 0 0 0 0 0 0 1 1 0 0 0 1 1 0 0 0 0 1 0 1 1 0 0 0 1 1 0 0 1 1 1 0 0 0 0 0 \n    0 1 1 0 1 1 1 0 0 0 1 0 0 0 0 0 1 0 0 1 0 1 0 0 1 0 0 0 1 1 1 1 1 1 1 1 1 1 \n    0 0 0 1]\n[0 0 1 0 0 0 0 0 0 0 0 0 0 0 0 0 0 0 0 0 0 0 0 0 0 0 0 0 0 0 0 0 0 0 0 0 0 0 0 0\n    0 0 0 0 0 0 0 0 0 1 0 0 0 1 1 0 1 0 1 1 1 0 1 0 1 0 1 0 0 1 0 0 0 0 1 1 0 1 \n    0 1 0 1 0 1 1 1 0 1 0 0 1 1 0 1 0 0 1 0 0 1 0 1 1 0 0 1 1 0 0 0 1 0 0 0 1 1 \n    0 1 0 0]\n[0 0 0 1 0 0 0 0 0 0 0 0 0 0 0 0 0 0 0 0 0 0 0 0 0 0 0 0 0 0 0 0 0 0 0 0 0 0 0 0\n    0 0 0 0 0 0 0 0 0 0 0 0 0 1 0 1 0 0 0 0 1 1 1 1 1 0 1 1 1 1 1 1 1 1 0 1 0 0 \n    0 1 1 0 0 1 1 0 0 1 0 0 1 1 1 0 1 1 1 0 1 1 0 0 0 0 1 0 1 0 1 1 1 1 1 0 0 1 \n    1 1 1 1]\n[0 0 0 0 1 0 0 0 0 0 0 0 0 0 0 0 0 0 0 0 0 0 0 0 0 0 0 0 0 0 0 0 0 0 0 0 0 0 0 0\n    0 0 0 0 0 0 0 0 0 0 0 0 1 0 1 0 0 0 1 1 0 1 1 0 1 0 1 0 1 0 1 0 1 1 0 0 0 0 \n    1 0 1 0 0 0 1 0 0 0 1 1 1 1 0 0 0 1 0 1 1 0 1 1 1 0 0 1 0 1 0 1 1 0 0 1 1 1 \n    0 1 1 1]\n[0 0 0 0 0 1 0 0 0 0 0 0 0 0 0 0 0 0 0 0 0 0 0 0 0 0 0 0 0 0 0 0 0 0 0 0 0 0 0 0\n    0 0 0 0 0 0 0 0 1 1 0 0 0 0 0 1 1 1 0 0 0 0 0 1 0 0 0 0 1 0 0 1 0 1 0 1 1 0 \n    1 0 0 1 0 1 1 1 1 1 0 0 1 1 1 0 1 0 1 0 1 1 0 1 0 0 1 0 0 1 0 1 1 0 0 1 0 1 \n    1 1 0 1]\n[0 0 0 0 0 0 1 0 0 0 0 0 0 0 0 0 0 0 0 0 0 0 0 0 0 0 0 0 0 0 0 0 0 0 0 0 0 0 0 0\n    0 0 0 0 0 0 0 0 1 1 0 0 1 0 0 1 0 0 0 1 0 1 1 0 1 0 0 1 1 1 0 1 0 0 1 1 0 1 \n    0 1 0 0 1 0 0 1 0 0 1 0 1 0 1 0 1 0 0 0 0 1 1 1 0 0 0 0 1 0 1 0 1 0 1 0 0 0 \n    1 1 0 0]\n[0 0 0 0 0 0 0 1 0 0 0 0 0 0 0 0 0 0 0 0 0 0 0 0 0 0 0 0 0 0 0 0 0 0 0 0 0 0 0 0\n    0 0 0 0 0 0 0 0 0 1 0 0 1 0 0 1 1 0 1 0 1 1 1 1 1 1 0 0 0 0 0 0 0 0 0 1 1 0 \n    1 1 0 0 1 0 0 0 0 0 1 1 1 0 0 0 0 1 0 1 0 0 0 1 0 0 1 0 0 1 1 0 1 0 1 0 0 1 \n    1 1 1 0]\n[0 0 0 0 0 0 0 0 1 0 0 0 0 0 0 0 0 0 0 0 0 0 0 0 0 0 0 0 0 0 0 0 0 0 0 0 0 0 0 0\n    0 0 0 0 0 0 0 0 1 0 0 0 0 0 0 1 1 0 0 0 0 1 0 0 1 1 0 0 1 0 1 0 0 0 1 1 1 0 \n    0 1 1 0 0 0 1 1 0 0 1 1 1 0 1 1 0 1 1 1 0 0 0 1 0 1 0 1 1 1 1 1 1 1 1 0 1 0 \n    0 0 1 0]\n[0 0 0 0 0 0 0 0 0 1 0 0 0 0 0 0 0 0 0 0 0 0 0 0 0 0 0 0 0 0 0 0 0 0 0 0 0 0 0 0\n    0 0 0 0 0 0 0 0 1 0 0 0 0 1 0 0 1 0 1 1 0 1 0 1 0 1 1 0 1 1 0 1 0 0 1 1 1 0 \n    1 0 1 0 1 0 1 0 0 1 0 1 0 1 1 0 1 1 0 0 0 1 1 0 1 0 0 1 0 0 0 0 0 1 1 1 1 1 \n    0 1 1 0]\n[0 0 0 0 0 0 0 0 0 0 1 0 0 0 0 0 0 0 0 0 0 0 0 0 0 0 0 0 0 0 0 0 0 0 0 0 0 0 0 0\n    0 0 0 0 0 0 0 0 1 1 0 0 0 1 1 0 0 1 1 1 1 0 0 0 1 1 0 1 1 0 1 0 1 0 1 1 0 0 \n    0 1 0 1 0 0 0 1 1 1 1 1 1 1 1 0 1 0 1 0 0 1 1 1 0 1 0 1 0 1 1 1 1 0 0 0 0 0 \n    1 0 0 0]\n[0 0 0 0 0 0 0 0 0 0 0 1 0 0 0 0 0 0 0 0 0 0 0 0 0 0 0 0 0 0 0 0 0 0 0 0 0 0 0 0\n    0 0 0 0 0 0 0 0 0 1 0 0 0 1 1 1 1 1 0 1 0 1 0 1 1 0 1 0 0 1 1 1 0 0 1 0 0 0 \n    0 0 1 1 1 1 0 1 1 1 1 1 1 1 0 0 0 1 1 1 1 0 0 1 0 0 0 0 1 1 1 1 0 1 1 1 1 0 \n    1 0 0 1]\n[0 0 0 0 0 0 0 0 0 0 0 0 1 0 0 0 0 0 0 0 0 0 0 0 0 0 0 0 0 0 0 0 0 0 0 0 0 0 0 0\n    0 0 0 0 0 0 0 0 0 0 0 0 1 1 0 1 1 1 0 0 0 1 0 1 1 1 0 1 1 1 1 0 0 1 1 1 0 1 \n    1 1 0 0 1 0 1 0 0 1 1 1 0 0 0 1 1 0 0 0 1 0 0 0 1 1 0 1 0 1 1 1 1 1 1 1 1 1 \n    0 0 0 1]\n[0 0 0 0 0 0 0 0 0 0 0 0 0 1 0 0 0 0 0 0 0 0 0 0 0 0 0 0 0 0 0 0 0 0 0 0 0 0 0 0\n    0 0 0 0 0 0 0 0 0 0 0 0 0 1 0 0 0 1 0 0 1 0 1 0 0 0 0 1 0 1 0 0 0 0 1 0 1 0 \n    0 1 0 1 0 1 1 0 1 1 0 1 0 0 1 0 1 1 0 1 0 0 0 0 0 1 0 1 1 0 0 1 1 0 0 0 0 0 \n    0 0 1 0]\n[0 0 0 0 0 0 0 0 0 0 0 0 0 0 1 0 0 0 0 0 0 0 0 0 0 0 0 0 0 0 0 0 0 0 0 0 0 0 0 0\n    0 0 0 0 0 0 0 0 0 1 0 0 0 0 1 0 1 0 1 0 1 0 0 0 0 0 1 0 1 0 1 1 0 1 1 1 1 1 \n    1 1 0 0 0 1 1 0 0 0 0 1 1 1 0 0 0 1 0 1 1 1 1 0 0 0 0 0 1 0 1 1 0 1 1 0 1 1 \n    1 0 0 1]\n[0 0 0 0 0 0 0 0 0 0 0 0 0 0 0 1 0 0 0 0 0 0 0 0 0 0 0 0 0 0 0 0 0 0 0 0 0 0 0 0\n    0 0 0 0 0 0 0 0 1 1 0 0 1 1 1 0 0 1 0 0 0 0 1 1 0 1 1 1 0 0 1 1 1 0 1 0 1 1 \n    1 1 0 0 0 0 1 1 1 1 0 0 1 0 0 1 1 0 0 1 1 0 0 1 1 1 0 0 0 0 1 0 1 1 0 1 0 1 \n    1 0 1 1]\n[0 0 0 0 0 0 0 0 0 0 0 0 0 0 0 0 1 0 0 0 0 0 0 0 0 0 0 0 0 0 0 0 0 0 0 0 0 0 0 0\n    0 0 0 0 0 0 0 0 0 1 0 0 0 0 0 0 0 1 0 0 1 1 1 1 1 1 1 0 1 0 0 1 0 1 0 0 1 0 \n    1 0 1 0 1 0 1 0 1 0 0 0 1 1 1 0 0 1 1 1 1 0 0 1 1 0 0 1 1 1 1 0 1 1 0 0 1 1 \n    1 1 0 0]\n[0 0 0 0 0 0 0 0 0 0 0 0 0 0 0 0 0 1 0 0 0 0 0 0 0 0 0 0 0 0 0 0 0 0 0 0 0 0 0 0\n    0 0 0 0 0 0 0 0 1 1 0 0 1 0 0 0 0 0 1 0 0 1 0 1 0 0 1 1 0 0 0 1 1 0 0 1 0 0 \n    0 0 1 0 0 0 1 1 1 1 1 1 1 1 0 0 0 0 0 1 0 0 1 0 1 1 1 0 0 1 0 1 0 0 1 0 0 1 \n    1 0 0 1]\n[0 0 0 0 0 0 0 0 0 0 0 0 0 0 0 0 0 0 1 0 0 0 0 0 0 0 0 0 0 0 0 0 0 0 0 0 0 0 0 0\n    0 0 0 0 0 0 0 0 1 1 0 0 1 1 1 0 1 0 0 1 1 0 0 1 0 0 1 0 1 0 1 0 1 1 1 1 0 1 \n    1 0 0 1 1 0 1 0 1 0 0 1 0 1 1 1 0 1 0 1 0 1 1 0 1 1 1 1 0 1 0 0 1 0 1 0 1 0 \n    1 0 0 1]\n[0 0 0 0 0 0 0 0 0 0 0 0 0 0 0 0 0 0 0 1 0 0 0 0 0 0 0 0 0 0 0 0 0 0 0 0 0 0 0 0\n    0 0 0 0 0 0 0 0 1 1 0 0 0 1 1 0 0 1 0 0 1 1 0 1 0 1 1 1 0 1 0 1 1 1 0 1 1 1 \n    1 0 1 1 1 1 1 0 1 0 1 1 0 0 1 0 0 1 1 1 1 0 1 0 1 0 1 0 1 0 1 1 0 1 0 0 1 1 \n    0 1 0 1]\n[0 0 0 0 0 0 0 0 0 0 0 0 0 0 0 0 0 0 0 0 1 0 0 0 0 0 0 0 0 0 0 0 0 0 0 0 0 0 0 0\n    0 0 0 0 0 0 0 0 1 1 0 0 1 0 1 0 0 0 1 1 0 1 1 0 1 0 0 1 1 0 0 1 0 1 0 1 0 1 \n    0 0 0 0 1 0 1 0 1 1 0 1 0 0 0 0 0 0 0 0 1 0 0 0 0 0 0 0 0 1 0 0 0 1 1 0 0 0 \n    1 1 0 1]\n[0 0 0 0 0 0 0 0 0 0 0 0 0 0 0 0 0 0 0 0 0 1 0 0 0 0 0 0 0 0 0 0 0 0 0 0 0 0 0 0\n    0 0 0 0 0 0 0 0 0 0 0 0 0 0 1 0 0 1 0 0 1 1 1 1 0 1 1 1 1 0 1 0 0 1 1 1 1 0 \n    1 1 0 0 1 1 1 1 1 0 0 0 0 0 1 0 1 1 0 0 0 1 1 1 0 1 0 0 0 0 0 1 0 0 1 0 1 0 \n    0 0 0 0]\n[0 0 0 0 0 0 0 0 0 0 0 0 0 0 0 0 0 0 0 0 0 0 1 0 0 0 0 0 0 0 0 0 0 0 0 0 0 0 0 0\n    0 0 0 0 0 0 0 0 1 1 0 0 0 0 0 1 1 0 0 1 0 0 0 0 0 1 1 0 1 1 1 1 1 0 1 1 0 1 \n    1 0 0 0 1 1 1 1 0 0 1 1 0 1 1 1 0 1 0 1 1 1 0 0 1 0 1 1 0 1 0 0 1 0 0 1 0 0 \n    1 0 1 0]\n[0 0 0 0 0 0 0 0 0 0 0 0 0 0 0 0 0 0 0 0 0 0 0 1 0 0 0 0 0 0 0 0 0 0 0 0 0 0 0 0\n    0 0 0 0 0 0 0 0 0 0 0 0 1 1 1 0 0 0 1 0 1 0 0 0 1 1 1 1 0 1 1 0 0 1 0 0 1 1 \n    1 0 1 1 0 0 0 1 1 1 1 1 1 0 1 0 1 0 1 1 0 1 0 1 1 0 0 1 0 0 1 1 0 0 0 0 1 1 \n    1 1 0 1]\n[0 0 0 0 0 0 0 0 0 0 0 0 0 0 0 0 0 0 0 0 0 0 0 0 1 0 0 0 0 0 0 0 0 0 0 0 0 0 0 0\n    0 0 0 0 0 0 0 0 1 1 0 0 1 1 1 1 1 1 0 0 1 1 0 1 1 1 0 1 1 1 1 1 0 0 0 0 1 1 \n    0 1 0 1 1 0 0 1 1 1 0 0 0 0 1 0 1 1 1 0 0 1 0 1 0 1 0 1 0 1 1 0 0 1 0 1 0 1 \n    0 1 1 0]\n[0 0 0 0 0 0 0 0 0 0 0 0 0 0 0 0 0 0 0 0 0 0 0 0 0 1 0 0 0 0 0 0 0 0 0 0 0 0 0 0\n    0 0 0 0 0 0 0 0 1 0 0 0 0 1 0 0 1 1 1 0 0 0 0 1 0 0 1 1 1 1 0 0 0 1 0 0 1 1 \n    0 0 0 0 0 1 1 0 1 1 1 1 0 1 1 1 1 0 1 0 0 0 0 0 1 1 0 1 1 1 1 0 1 0 1 0 1 1 \n    0 0 1 0]\n[0 0 0 0 0 0 0 0 0 0 0 0 0 0 0 0 0 0 0 0 0 0 0 0 0 0 1 0 0 0 0 0 0 0 0 0 0 0 0 0\n    0 0 0 0 0 0 0 0 1 0 0 0 0 1 0 0 0 1 0 1 1 1 1 1 1 0 1 0 1 1 0 0 1 1 1 0 1 0 \n    0 1 0 1 0 1 1 0 0 0 1 0 1 1 0 0 0 1 0 0 0 0 1 1 1 0 1 1 0 1 1 0 0 1 1 0 0 0 \n    1 0 0 1]\n[0 0 0 0 0 0 0 0 0 0 0 0 0 0 0 0 0 0 0 0 0 0 0 0 0 0 0 1 0 0 0 0 0 0 0 0 0 0 0 0\n    0 0 0 0 0 0 0 0 0 0 0 0 0 0 0 0 1 1 1 1 0 0 0 1 0 1 1 0 1 0 1 0 1 1 0 1 1 0 \n    0 0 1 1 0 1 1 0 1 1 1 1 0 1 1 0 1 0 1 1 0 1 0 1 0 1 1 1 1 0 1 1 1 1 1 1 1 1 \n    0 0 0 1]\n[0 0 0 0 0 0 0 0 0 0 0 0 0 0 0 0 0 0 0 0 0 0 0 0 0 0 0 0 1 0 0 0 0 0 0 0 0 0 0 0\n    0 0 0 0 0 0 0 0 0 1 0 0 1 1 1 1 0 1 0 1 1 1 1 0 0 0 1 1 1 1 0 0 0 1 1 1 1 1 \n    0 0 1 1 1 1 0 0 0 1 1 1 0 0 0 0 0 1 1 0 1 1 0 1 0 0 0 1 1 0 0 1 0 1 0 1 1 0 \n    1 1 1 1]\n[0 0 0 0 0 0 0 0 0 0 0 0 0 0 0 0 0 0 0 0 0 0 0 0 0 0 0 0 0 1 0 0 0 0 0 0 0 0 0 0\n    0 0 0 0 0 0 0 0 1 1 0 0 0 1 1 0 1 1 0 1 0 0 1 0 1 0 1 1 1 1 1 1 1 0 0 0 0 0 \n    1 0 1 0 1 1 0 1 0 1 1 1 0 1 0 0 1 0 0 1 1 0 0 0 0 0 1 0 1 0 0 0 1 0 0 0 0 1 \n    0 0 0 1]\n[0 0 0 0 0 0 0 0 0 0 0 0 0 0 0 0 0 0 0 0 0 0 0 0 0 0 0 0 0 0 1 0 0 0 0 0 0 0 0 0\n    0 0 0 0 0 0 0 0 0 0 0 0 0 0 0 1 1 0 0 1 0 1 1 0 1 0 1 0 1 1 1 0 1 0 1 0 1 1 \n    0 1 0 1 1 0 1 1 1 0 0 1 0 1 1 0 0 1 1 1 0 0 1 0 0 1 1 0 0 1 0 0 1 0 1 0 1 0 \n    0 0 0 0]\n[0 0 0 0 0 0 0 0 0 0 0 0 0 0 0 0 0 0 0 0 0 0 0 0 0 0 0 0 0 0 0 1 0 0 0 0 0 0 0 0\n    0 0 0 0 0 0 0 0 0 0 0 0 1 1 0 0 0 0 0 0 1 1 0 1 0 1 1 0 0 1 0 0 1 0 1 0 1 0 \n    0 1 0 0 1 0 1 0 1 1 1 0 0 0 1 1 1 0 0 1 1 1 1 0 1 1 0 1 0 0 0 1 0 1 0 1 0 0 \n    1 1 1 1]\n[0 0 0 0 0 0 0 0 0 0 0 0 0 0 0 0 0 0 0 0 0 0 0 0 0 0 0 0 0 0 0 0 1 0 0 0 0 0 0 0\n    0 0 0 0 0 0 0 0 1 1 0 0 1 0 0 0 0 1 0 0 0 1 1 0 1 1 1 1 1 0 0 1 0 1 0 1 0 1 \n    1 0 0 0 1 0 1 0 1 1 1 0 1 1 0 1 0 1 1 1 1 0 1 0 1 0 0 0 0 0 1 0 0 0 0 0 0 1 \n    1 1 0 1]\n[0 0 0 0 0 0 0 0 0 0 0 0 0 0 0 0 0 0 0 0 0 0 0 0 0 0 0 0 0 0 0 0 0 1 0 0 0 0 0 0\n    0 0 0 0 0 0 0 0 1 0 0 0 1 0 0 1 0 1 0 1 0 1 1 0 0 0 1 0 1 1 0 0 0 0 1 1 0 1 \n    0 0 1 0 1 0 0 1 0 0 1 0 0 0 1 0 0 1 1 0 1 1 0 1 0 1 0 0 1 1 0 1 1 1 1 0 1 1 \n    1 0 0 1]\n[0 0 0 0 0 0 0 0 0 0 0 0 0 0 0 0 0 0 0 0 0 0 0 0 0 0 0 0 0 0 0 0 0 0 1 0 0 0 0 0\n    0 0 0 0 0 0 0 0 0 0 0 0 1 0 0 0 1 0 0 1 1 0 0 0 1 1 0 0 1 0 1 0 0 0 0 1 1 1 \n    1 0 0 1 1 0 0 0 1 1 0 1 0 1 0 0 1 1 1 1 1 0 0 0 1 1 1 0 0 1 1 0 1 0 1 1 1 1 \n    0 0 0 0]\n[0 0 0 0 0 0 0 0 0 0 0 0 0 0 0 0 0 0 0 0 0 0 0 0 0 0 0 0 0 0 0 0 0 0 0 1 0 0 0 0\n    0 0 0 0 0 0 0 0 0 0 0 0 1 1 1 1 0 0 0 0 0 1 1 0 1 0 1 0 0 0 0 1 0 0 0 1 0 0 \n    0 0 0 0 0 0 1 0 0 0 0 1 1 1 1 1 0 0 1 0 0 0 1 1 0 0 0 1 1 0 0 0 0 0 0 0 0 1 \n    0 1 0 1]\n[0 0 0 0 0 0 0 0 0 0 0 0 0 0 0 0 0 0 0 0 0 0 0 0 0 0 0 0 0 0 0 0 0 0 0 0 1 0 0 0\n    0 0 0 0 0 0 0 0 1 1 0 0 0 0 1 1 1 0 0 1 0 1 1 0 1 1 1 0 0 0 0 0 0 1 0 0 1 1 \n    0 0 0 1 1 0 0 0 0 1 0 1 1 1 0 1 1 0 1 0 1 1 1 0 0 0 1 0 1 1 1 0 0 1 0 0 1 0 \n    1 0 0 0]\n[0 0 0 0 0 0 0 0 0 0 0 0 0 0 0 0 0 0 0 0 0 0 0 0 0 0 0 0 0 0 0 0 0 0 0 0 0 1 0 0\n    0 0 0 0 0 0 0 0 0 1 0 0 1 0 1 0 0 1 0 0 0 0 0 1 1 0 1 0 0 1 1 0 0 0 0 0 1 0 \n    0 0 1 1 1 1 0 0 1 0 0 1 1 0 1 0 0 0 1 1 0 1 0 1 0 0 1 1 1 0 0 0 1 0 1 0 0 0 \n    0 0 0 0]\n[0 0 0 0 0 0 0 0 0 0 0 0 0 0 0 0 0 0 0 0 0 0 0 0 0 0 0 0 0 0 0 0 0 0 0 0 0 0 1 0\n    0 0 0 0 0 0 0 0 1 1 0 0 0 1 1 0 0 1 0 1 0 0 1 0 0 0 1 1 0 0 0 0 1 0 1 1 0 0 \n    1 1 0 1 1 0 0 1 0 0 0 1 1 0 1 1 0 0 1 1 0 1 1 1 1 0 1 0 0 1 1 0 0 1 0 1 1 0 \n    0 0 1 0]\n[0 0 0 0 0 0 0 0 0 0 0 0 0 0 0 0 0 0 0 0 0 0 0 0 0 0 0 0 0 0 0 0 0 0 0 0 0 0 0 1\n    0 0 0 0 0 0 0 0 1 0 0 0 1 0 0 0 1 1 0 0 0 0 1 0 1 1 0 0 0 1 1 1 1 0 1 1 1 0 \n    1 1 1 0 0 0 1 0 1 0 0 1 1 0 0 0 0 1 0 1 0 0 0 1 1 1 1 0 0 1 1 1 1 0 0 1 1 0 \n    1 1 0 1]\n[0 0 0 0 0 0 0 0 0 0 0 0 0 0 0 0 0 0 0 0 0 0 0 0 0 0 0 0 0 0 0 0 0 0 0 0 0 0 0 0\n    1 0 0 0 0 0 0 0 0 0 0 0 1 1 1 1 0 0 1 1 1 0 0 0 0 1 1 0 0 1 1 0 1 0 1 0 1 0 \n    1 0 1 1 1 1 0 0 1 1 0 1 1 1 0 0 1 1 1 0 1 1 1 0 0 1 0 0 1 1 0 1 1 1 0 1 0 1 \n    0 0 1 1]\n[0 0 0 0 0 0 0 0 0 0 0 0 0 0 0 0 0 0 0 0 0 0 0 0 0 0 0 0 0 0 0 0 0 0 0 0 0 0 0 0\n    0 1 0 0 0 0 0 0 1 1 0 0 0 1 1 0 1 1 0 0 1 0 1 1 0 1 0 1 0 0 1 0 0 1 1 0 1 1 \n    1 1 0 1 1 0 1 0 1 1 1 0 1 1 1 0 1 0 0 0 0 1 0 1 0 0 1 0 0 0 1 0 0 1 1 0 0 1 \n    0 0 1 1]\n[0 0 0 0 0 0 0 0 0 0 0 0 0 0 0 0 0 0 0 0 0 0 0 0 0 0 0 0 0 0 0 0 0 0 0 0 0 0 0 0\n    0 0 1 0 0 0 0 0 0 1 0 0 1 1 1 0 0 0 0 0 1 0 1 1 1 0 0 1 1 1 0 0 0 0 1 0 0 1 \n    1 0 0 0 0 1 0 0 1 1 0 0 0 0 1 0 0 0 1 0 1 1 0 0 1 1 1 1 1 0 1 1 0 1 1 0 0 1 \n    0 1 1 1]\n[0 0 0 0 0 0 0 0 0 0 0 0 0 0 0 0 0 0 0 0 0 0 0 0 0 0 0 0 0 0 0 0 0 0 0 0 0 0 0 0\n    0 0 0 1 0 0 0 0 1 0 0 0 1 0 1 1 0 1 1 0 1 0 0 0 1 1 1 1 1 0 0 0 0 0 1 1 1 1 \n    0 0 1 0 0 1 0 1 1 0 1 0 0 1 1 1 1 0 1 1 0 0 1 0 0 0 1 0 1 1 0 0 0 0 1 1 0 0 \n    0 1 1 1]\n[0 0 0 0 0 0 0 0 0 0 0 0 0 0 0 0 0 0 0 0 0 0 0 0 0 0 0 0 0 0 0 0 0 0 0 0 0 0 0 0\n    0 0 0 0 1 0 0 0 0 0 0 0 1 0 1 1 1 0 1 1 0 0 0 1 0 1 1 1 0 0 1 0 0 1 1 1 1 0 \n    1 0 0 0 0 0 0 0 1 1 0 1 1 1 0 0 1 1 1 0 0 1 0 0 1 0 1 1 0 0 0 1 0 1 1 1 1 0 \n    1 1 1 1]\n[0 0 0 0 0 0 0 0 0 0 0 0 0 0 0 0 0 0 0 0 0 0 0 0 0 0 0 0 0 0 0 0 0 0 0 0 0 0 0 0\n    0 0 0 0 0 1 0 0 1 0 0 0 1 1 0 1 1 0 0 1 1 1 0 1 1 0 1 1 0 0 1 0 1 0 1 1 1 0 \n    1 0 1 0 0 0 1 1 1 1 0 0 1 0 0 1 0 1 0 1 0 1 0 1 1 0 1 1 1 1 0 1 0 0 1 1 1 1 \n    0 0 0 1]\n[0 0 0 0 0 0 0 0 0 0 0 0 0 0 0 0 0 0 0 0 0 0 0 0 0 0 0 0 0 0 0 0 0 0 0 0 0 0 0 0\n    0 0 0 0 0 0 1 0 0 0 0 0 1 0 0 1 0 0 1 0 0 0 0 0 1 1 0 0 1 1 0 0 0 0 0 0 0 1 \n    1 0 1 1 0 1 0 1 1 1 1 1 1 0 1 1 1 1 1 1 1 0 0 0 1 0 1 0 0 1 0 1 1 1 0 1 1 1 \n    1 1 0 0]\n[0 0 0 0 0 0 0 0 0 0 0 0 0 0 0 0 0 0 0 0 0 0 0 0 0 0 0 0 0 0 0 0 0 0 0 0 0 0 0 0\n    0 0 0 0 0 0 0 1 1 0 0 0 0 1 0 0 0 1 1 0 1 1 1 0 1 1 0 0 1 0 0 1 0 0 0 0 1 1 \n    1 0 0 0 1 0 1 0 0 1 1 1 0 1 0 1 1 1 0 1 0 1 1 1 1 0 1 0 0 0 1 0 0 0 1 1 0 0 \n    1 0 0 0]\n[0 0 0 0 0 0 0 0 0 0 0 0 0 0 0 0 0 0 0 0 0 0 0 0 0 0 0 0 0 0 0 0 0 0 0 0 0 0 0 0\n    0 0 0 0 0 0 0 0 0 0 1 0 1 0 0 0 1 1 1 0 0 0 1 0 1 0 0 1 0 0 0 1 1 1 1 1 1 1 \n    1 0 1 1 1 0 1 1 0 0 0 0 0 1 1 1 1 1 1 1 1 1 1 0 1 0 1 1 0 1 0 0 0 1 1 1 0 0 \n    1 0 0 1]\n[0 0 0 0 0 0 0 0 0 0 0 0 0 0 0 0 0 0 0 0 0 0 0 0 0 0 0 0 0 0 0 0 0 0 0 0 0 0 0 0\n    0 0 0 0 0 0 0 0 0 0 0 1 0 0 0 1 1 0 0 0 0 0 1 1 0 1 1 0 1 1 1 1 1 0 0 0 0 0 \n    1 1 0 1 1 0 0 1 1 0 1 0 1 1 0 0 1 1 0 1 0 1 1 1 1 0 0 0 1 1 1 0 0 1 0 1 0 1 \n    0 1 1 0]\n[[60, 10]] quantum code over GF(2^2), stabilised by:\n[1 0 0 0 0 0 0 0 0 0 0 0 0 0 0 0 0 0 0 0 0 0 0 0 0 0 $.1 $.1 0 0 $.1^2 0 0 1 \n    $.1^2 $.1^2 1 0 1 $.1^2 $.1 $.1^2 $.1 $.1^2 1 1 $.1 $.1^2 $.1 1 $.1^2 1 1 0 \n    $.1 $.1 1 $.1 0 $.1]\n[$.1 0 0 0 0 0 0 0 0 0 0 0 0 0 0 0 0 0 0 0 0 0 0 0 0 0 $.1^2 $.1^2 0 0 1 0 0 $.1\n    1 1 $.1 0 $.1 1 $.1^2 1 $.1^2 1 $.1 $.1 $.1^2 1 $.1^2 $.1 1 $.1 $.1 0 $.1^2 \n    $.1^2 $.1 $.1^2 0 $.1^2]\n[0 1 0 0 0 0 0 0 0 0 0 0 0 0 0 0 0 0 0 0 0 0 0 0 0 0 $.1 0 $.1^2 $.1 $.1 1 0 0 1\n    $.1^2 $.1^2 $.1 $.1 $.1^2 1 $.1^2 1 $.1^2 $.1^2 $.1 $.1^2 $.1^2 $.1 1 $.1 \n    $.1 $.1 0 $.1^2 $.1^2 $.1^2 1 $.1^2 0]\n[0 $.1 0 0 0 0 0 0 0 0 0 0 0 0 0 0 0 0 0 0 0 0 0 0 0 0 $.1^2 0 1 $.1^2 $.1^2 $.1\n    0 0 $.1 1 1 $.1^2 $.1^2 1 $.1 1 $.1 1 1 $.1^2 1 1 $.1^2 $.1 $.1^2 $.1^2 \n    $.1^2 0 1 1 1 $.1 1 0]\n[0 0 1 0 0 0 0 0 0 0 0 0 0 0 0 0 0 0 0 0 0 0 0 0 1 0 $.1 $.1^2 $.1^2 $.1 $.1^2 \n    $.1 0 $.1^2 $.1 $.1 $.1 1 $.1 1 $.1^2 $.1 1 $.1^2 $.1 0 1 $.1 0 $.1^2 0 $.1 \n    1 $.1^2 $.1^2 $.1^2 1 $.1^2 $.1^2 $.1]\n[0 0 $.1 0 0 0 0 0 0 0 0 0 0 0 0 0 0 0 0 0 0 0 0 0 $.1 0 $.1^2 1 1 $.1^2 1 $.1^2\n    0 1 $.1^2 $.1^2 $.1^2 $.1 $.1^2 $.1 1 $.1^2 $.1 1 $.1^2 0 $.1 $.1^2 0 1 0 \n    $.1^2 $.1 1 1 1 $.1 1 1 $.1^2]\n[0 0 0 1 0 0 0 0 0 0 0 0 0 0 0 0 0 0 0 0 0 0 0 0 $.1 0 0 $.1^2 $.1^2 1 $.1 $.1 1\n    $.1^2 1 0 0 $.1 $.1^2 1 1 1 $.1 $.1^2 $.1^2 $.1 $.1 0 $.1^2 $.1^2 $.1 0 $.1 \n    0 $.1^2 0 0 1 $.1 $.1]\n[0 0 0 $.1 0 0 0 0 0 0 0 0 0 0 0 0 0 0 0 0 0 0 0 0 $.1^2 0 0 1 1 $.1 $.1^2 $.1^2\n    $.1 1 $.1 0 0 $.1^2 1 $.1 $.1 $.1 $.1^2 1 1 $.1^2 $.1^2 0 1 1 $.1^2 0 $.1^2 \n    0 1 0 0 $.1 $.1^2 $.1^2]\n[0 0 0 0 1 0 0 0 0 0 0 0 0 0 0 0 0 0 0 0 0 0 0 0 0 0 0 0 $.1^2 0 0 $.1^2 1 $.1^2\n    0 $.1^2 0 $.1^2 $.1^2 $.1 $.1^2 1 $.1^2 1 1 0 1 0 $.1^2 0 $.1^2 $.1^2 $.1^2 \n    1 0 $.1 $.1 0 0 0]\n[0 0 0 0 $.1 0 0 0 0 0 0 0 0 0 0 0 0 0 0 0 0 0 0 0 0 0 0 0 1 0 0 1 $.1 1 0 1 0 1\n    1 $.1^2 1 $.1 1 $.1 $.1 0 $.1 0 1 0 1 1 1 $.1 0 $.1^2 $.1^2 0 0 0]\n[0 0 0 0 0 1 0 0 0 0 0 0 0 0 0 0 0 0 0 0 0 0 0 0 0 0 1 1 1 $.1^2 $.1 1 $.1 $.1 1\n    $.1^2 $.1 $.1^2 $.1 $.1 $.1^2 1 0 0 $.1^2 $.1 $.1^2 0 $.1 $.1^2 $.1 $.1^2 0 \n    $.1^2 $.1^2 $.1^2 1 $.1^2 0 1]\n[0 0 0 0 0 $.1 0 0 0 0 0 0 0 0 0 0 0 0 0 0 0 0 0 0 0 0 $.1 $.1 $.1 1 $.1^2 $.1 \n    $.1^2 $.1^2 $.1 1 $.1^2 1 $.1^2 $.1^2 1 $.1 0 0 1 $.1^2 1 0 $.1^2 1 $.1^2 1 \n    0 1 1 1 $.1 1 0 $.1]\n[0 0 0 0 0 0 1 0 0 0 0 0 0 0 0 0 0 0 0 0 0 0 0 0 1 0 $.1 0 1 0 $.1^2 $.1^2 $.1 1\n    0 0 0 $.1 $.1^2 $.1^2 $.1^2 1 $.1 1 0 $.1 1 $.1 1 1 0 $.1^2 $.1^2 $.1 0 1 1 \n    1 1 $.1]\n[0 0 0 0 0 0 $.1 0 0 0 0 0 0 0 0 0 0 0 0 0 0 0 0 0 $.1 0 $.1^2 0 $.1 0 1 1 $.1^2\n    $.1 0 0 0 $.1^2 1 1 1 $.1 $.1^2 $.1 0 $.1^2 $.1 $.1^2 $.1 $.1 0 1 1 $.1^2 0 \n    $.1 $.1 $.1 $.1 $.1^2]\n[0 0 0 0 0 0 0 1 0 0 0 0 0 0 0 0 0 0 0 0 0 0 0 0 0 0 1 1 0 $.1^2 1 1 1 1 $.1 \n    $.1^2 $.1^2 0 0 $.1 $.1 $.1 1 $.1 $.1 1 $.1 1 $.1^2 $.1^2 $.1 0 1 1 $.1 0 \n    $.1 $.1 $.1^2 $.1^2]\n[0 0 0 0 0 0 0 $.1 0 0 0 0 0 0 0 0 0 0 0 0 0 0 0 0 0 0 $.1 $.1 0 1 $.1 $.1 $.1 \n    $.1 $.1^2 1 1 0 0 $.1^2 $.1^2 $.1^2 $.1 $.1^2 $.1^2 $.1 $.1^2 $.1 1 1 $.1^2 \n    0 $.1 $.1 $.1^2 0 $.1^2 $.1^2 1 1]\n[0 0 0 0 0 0 0 0 1 0 0 0 0 0 0 0 0 0 0 0 0 0 0 0 1 0 $.1 0 0 1 1 1 $.1 1 0 $.1^2\n    1 $.1^2 1 0 0 1 $.1 $.1 $.1 $.1 0 1 0 $.1 $.1 $.1 1 1 $.1^2 $.1 0 $.1^2 \n    $.1^2 $.1^2]\n[0 0 0 0 0 0 0 0 $.1 0 0 0 0 0 0 0 0 0 0 0 0 0 0 0 $.1 0 $.1^2 0 0 $.1 $.1 $.1 \n    $.1^2 $.1 0 1 $.1 1 $.1 0 0 $.1 $.1^2 $.1^2 $.1^2 $.1^2 0 $.1 0 $.1^2 $.1^2 \n    $.1^2 $.1 $.1 1 $.1^2 0 1 1 1]\n[0 0 0 0 0 0 0 0 0 1 0 0 0 0 0 0 0 0 0 0 0 0 0 0 $.1^2 0 $.1^2 1 $.1 $.1^2 $.1 0\n    $.1 0 $.1 $.1 1 0 1 1 $.1^2 $.1 $.1^2 $.1 $.1 $.1^2 1 $.1^2 1 1 $.1^2 0 \n    $.1^2 1 $.1 1 0 $.1 $.1 0]\n[0 0 0 0 0 0 0 0 0 $.1 0 0 0 0 0 0 0 0 0 0 0 0 0 0 1 0 1 $.1 $.1^2 1 $.1^2 0 \n    $.1^2 0 $.1^2 $.1^2 $.1 0 $.1 $.1 1 $.1^2 1 $.1^2 $.1^2 1 $.1 1 $.1 $.1 1 0 \n    1 $.1 $.1^2 $.1 0 $.1^2 $.1^2 0]\n[0 0 0 0 0 0 0 0 0 0 1 0 0 0 0 0 0 0 0 0 0 0 0 0 $.1 0 $.1 1 1 0 $.1^2 $.1 $.1 1\n    $.1^2 0 0 $.1 1 $.1^2 1 $.1^2 1 1 $.1^2 1 1 $.1 1 1 0 1 $.1 $.1^2 0 $.1^2 0 \n    $.1 0 0]\n[0 0 0 0 0 0 0 0 0 0 $.1 0 0 0 0 0 0 0 0 0 0 0 0 0 $.1^2 0 $.1^2 $.1 $.1 0 1 \n    $.1^2 $.1^2 $.1 1 0 0 $.1^2 $.1 1 $.1 1 $.1 $.1 1 $.1 $.1 $.1^2 $.1 $.1 0 \n    $.1 $.1^2 1 0 1 0 $.1^2 0 0]\n[0 0 0 0 0 0 0 0 0 0 0 1 0 0 0 0 0 0 0 0 0 0 0 0 1 0 0 $.1 0 1 0 1 $.1 0 1 $.1^2\n    $.1 $.1 0 0 $.1 $.1^2 $.1^2 1 0 $.1 0 0 0 $.1^2 1 $.1^2 1 $.1^2 1 $.1^2 \n    $.1^2 0 0 1]\n[0 0 0 0 0 0 0 0 0 0 0 $.1 0 0 0 0 0 0 0 0 0 0 0 0 $.1 0 0 $.1^2 0 $.1 0 $.1 \n    $.1^2 0 $.1 1 $.1^2 $.1^2 0 0 $.1^2 1 1 $.1 0 $.1^2 0 0 0 1 $.1 1 $.1 1 $.1 \n    1 1 0 0 $.1]\n[0 0 0 0 0 0 0 0 0 0 0 0 1 0 0 0 0 0 0 0 0 0 0 0 $.1 0 $.1 1 $.1 0 $.1^2 1 1 $.1\n    $.1 $.1^2 0 $.1^2 $.1 1 0 $.1 $.1^2 1 0 1 0 0 $.1 1 $.1^2 $.1 0 $.1^2 $.1 1 \n    0 1 $.1^2 1]\n[0 0 0 0 0 0 0 0 0 0 0 0 $.1 0 0 0 0 0 0 0 0 0 0 0 $.1^2 0 $.1^2 $.1 $.1^2 0 1 \n    $.1 $.1 $.1^2 $.1^2 1 0 1 $.1^2 $.1 0 $.1^2 1 $.1 0 $.1 0 0 $.1^2 $.1 1 \n    $.1^2 0 1 $.1^2 $.1 0 $.1 1 $.1]\n[0 0 0 0 0 0 0 0 0 0 0 0 0 1 0 0 0 0 0 0 0 0 0 0 0 0 $.1 1 $.1^2 0 $.1^2 $.1 \n    $.1^2 $.1 $.1^2 $.1 $.1^2 0 1 0 $.1 1 $.1 0 0 0 1 0 0 1 $.1^2 $.1 $.1^2 0 \n    $.1 $.1 $.1 $.1^2 1 $.1]\n[0 0 0 0 0 0 0 0 0 0 0 0 0 $.1 0 0 0 0 0 0 0 0 0 0 0 0 $.1^2 $.1 1 0 1 $.1^2 1 \n    $.1^2 1 $.1^2 1 0 $.1 0 $.1^2 $.1 $.1^2 0 0 0 $.1 0 0 $.1 1 $.1^2 1 0 $.1^2 \n    $.1^2 $.1^2 1 $.1 $.1^2]\n[0 0 0 0 0 0 0 0 0 0 0 0 0 0 1 0 0 0 0 0 0 0 0 0 $.1^2 0 0 0 $.1 $.1^2 $.1 $.1 \n    $.1^2 1 1 1 0 $.1 $.1^2 0 1 $.1 $.1 0 0 0 1 $.1 1 1 $.1 $.1^2 $.1^2 1 $.1 0 \n    1 $.1^2 1 1]\n[0 0 0 0 0 0 0 0 0 0 0 0 0 0 $.1 0 0 0 0 0 0 0 0 0 1 0 0 0 $.1^2 1 $.1^2 $.1^2 1\n    $.1 $.1 $.1 0 $.1^2 1 0 $.1 $.1^2 $.1^2 0 0 0 $.1 $.1^2 $.1 $.1 $.1^2 1 1 \n    $.1 $.1^2 0 $.1 1 $.1 $.1]\n[0 0 0 0 0 0 0 0 0 0 0 0 0 0 0 1 0 0 0 0 0 0 0 0 0 0 $.1 1 $.1 0 $.1^2 $.1^2 0 0\n    $.1 $.1 $.1 0 0 $.1^2 1 $.1^2 $.1 1 0 $.1^2 $.1^2 $.1^2 0 0 0 $.1^2 1 0 $.1 \n    $.1 $.1 $.1 1 0]\n[0 0 0 0 0 0 0 0 0 0 0 0 0 0 0 $.1 0 0 0 0 0 0 0 0 0 0 $.1^2 $.1 $.1^2 0 1 1 0 0\n    $.1^2 $.1^2 $.1^2 0 0 1 $.1 1 $.1^2 $.1 0 1 1 1 0 0 0 1 $.1 0 $.1^2 $.1^2 \n    $.1^2 $.1^2 $.1 0]\n[0 0 0 0 0 0 0 0 0 0 0 0 0 0 0 0 1 0 0 0 0 0 0 0 1 0 0 $.1^2 0 $.1 0 $.1^2 $.1^2\n    $.1^2 1 0 $.1 $.1 $.1 0 0 $.1^2 1 1 $.1 1 $.1^2 0 0 1 $.1 $.1^2 $.1^2 1 0 \n    $.1 $.1 1 1 0]\n[0 0 0 0 0 0 0 0 0 0 0 0 0 0 0 0 $.1 0 0 0 0 0 0 0 $.1 0 0 1 0 $.1^2 0 1 1 1 $.1\n    0 $.1^2 $.1^2 $.1^2 0 0 1 $.1 $.1 $.1^2 $.1 1 0 0 $.1 $.1^2 1 1 $.1 0 $.1^2 \n    $.1^2 $.1 $.1 0]\n[0 0 0 0 0 0 0 0 0 0 0 0 0 0 0 0 0 1 0 0 0 0 0 0 $.1^2 0 $.1 $.1^2 0 0 0 $.1^2 0\n    0 0 1 $.1^2 $.1^2 $.1 0 $.1^2 $.1 $.1^2 1 0 0 $.1^2 1 $.1^2 1 0 $.1 1 $.1 \n    $.1^2 $.1 $.1^2 1 $.1 $.1^2]\n[0 0 0 0 0 0 0 0 0 0 0 0 0 0 0 0 0 $.1 0 0 0 0 0 0 1 0 $.1^2 1 0 0 0 1 0 0 0 $.1\n    1 1 $.1^2 0 1 $.1^2 1 $.1 0 0 1 $.1 1 $.1 0 $.1^2 $.1 $.1^2 1 $.1^2 1 $.1 \n    $.1^2 1]\n[0 0 0 0 0 0 0 0 0 0 0 0 0 0 0 0 0 0 1 0 0 0 0 0 $.1^2 0 1 0 1 1 $.1 $.1 1 0 1 0\n    $.1^2 1 $.1^2 $.1^2 0 $.1^2 $.1 1 1 1 $.1^2 0 $.1^2 $.1^2 1 1 $.1 $.1 $.1 0 \n    $.1^2 1 $.1 $.1^2]\n[0 0 0 0 0 0 0 0 0 0 0 0 0 0 0 0 0 0 $.1 0 0 0 0 0 1 0 $.1 0 $.1 $.1 $.1^2 $.1^2\n    $.1 0 $.1 0 1 $.1 1 1 0 1 $.1^2 $.1 $.1 $.1 1 0 1 1 $.1 $.1 $.1^2 $.1^2 \n    $.1^2 0 1 $.1 $.1^2 1]\n[0 0 0 0 0 0 0 0 0 0 0 0 0 0 0 0 0 0 0 1 0 0 0 0 0 0 1 1 1 $.1^2 $.1 0 $.1 0 $.1\n    1 0 0 0 $.1 1 $.1^2 0 1 0 $.1 $.1^2 $.1 1 $.1 1 0 $.1 1 1 $.1^2 0 $.1 1 1]\n[0 0 0 0 0 0 0 0 0 0 0 0 0 0 0 0 0 0 0 $.1 0 0 0 0 0 0 $.1 $.1 $.1 1 $.1^2 0 \n    $.1^2 0 $.1^2 $.1 0 0 0 $.1^2 $.1 1 0 $.1 0 $.1^2 1 $.1^2 $.1 $.1^2 $.1 0 \n    $.1^2 $.1 $.1 1 0 $.1^2 $.1 $.1]\n[0 0 0 0 0 0 0 0 0 0 0 0 0 0 0 0 0 0 0 0 1 0 0 0 $.1^2 0 $.1^2 $.1 0 1 $.1^2 $.1\n    $.1^2 $.1^2 0 $.1^2 0 $.1 $.1^2 $.1^2 $.1 1 $.1 0 $.1^2 $.1 $.1 1 $.1 $.1 1 \n    0 0 1 $.1^2 1 1 0 0 1]\n[0 0 0 0 0 0 0 0 0 0 0 0 0 0 0 0 0 0 0 0 $.1 0 0 0 1 0 1 $.1^2 0 $.1 1 $.1^2 1 1\n    0 1 0 $.1^2 1 1 $.1^2 $.1 $.1^2 0 1 $.1^2 $.1^2 $.1 $.1^2 $.1^2 $.1 0 0 $.1 \n    1 $.1 $.1 0 0 $.1]\n[0 0 0 0 0 0 0 0 0 0 0 0 0 0 0 0 0 0 0 0 0 1 0 0 $.1^2 0 1 1 $.1 1 1 $.1^2 0 \n    $.1^2 0 0 0 $.1^2 0 $.1^2 1 $.1^2 0 0 $.1 $.1 0 $.1 0 0 $.1 1 $.1 0 $.1 \n    $.1^2 1 1 $.1 0]\n[0 0 0 0 0 0 0 0 0 0 0 0 0 0 0 0 0 0 0 0 0 $.1 0 0 1 0 $.1 $.1 $.1^2 $.1 $.1 1 0\n    1 0 0 0 1 0 1 $.1 1 0 0 $.1^2 $.1^2 0 $.1^2 0 0 $.1^2 $.1 $.1^2 0 $.1^2 1 \n    $.1 $.1 $.1^2 0]\n[0 0 0 0 0 0 0 0 0 0 0 0 0 0 0 0 0 0 0 0 0 0 1 0 1 0 $.1 $.1^2 $.1 1 $.1^2 $.1 1\n    0 1 $.1 $.1^2 $.1^2 $.1 $.1^2 0 $.1^2 1 0 $.1 1 1 1 $.1^2 $.1 0 0 0 0 $.1 \n    $.1 0 $.1 1 $.1^2]\n[0 0 0 0 0 0 0 0 0 0 0 0 0 0 0 0 0 0 0 0 0 0 $.1 0 $.1 0 $.1^2 1 $.1^2 $.1 1 \n    $.1^2 $.1 0 $.1 $.1^2 1 1 $.1^2 1 0 1 $.1 0 $.1^2 $.1 $.1 $.1 1 $.1^2 0 0 0 \n    0 $.1^2 $.1^2 0 $.1^2 $.1 1]\n[0 0 0 0 0 0 0 0 0 0 0 0 0 0 0 0 0 0 0 0 0 0 0 1 $.1 0 $.1 0 $.1 0 0 0 $.1 $.1^2\n    0 0 1 $.1^2 0 0 0 $.1^2 $.1^2 1 $.1^2 $.1^2 $.1^2 1 0 0 $.1 $.1^2 0 1 1 \n    $.1^2 1 1 $.1^2 $.1]\n[0 0 0 0 0 0 0 0 0 0 0 0 0 0 0 0 0 0 0 0 0 0 0 $.1 $.1^2 0 $.1^2 0 $.1^2 0 0 0 \n    $.1^2 1 0 0 $.1 1 0 0 0 1 1 $.1 1 1 1 $.1 0 0 $.1^2 1 0 $.1 $.1 1 $.1 $.1 1 \n    $.1^2]\n[0 0 0 0 0 0 0 0 0 0 0 0 0 0 0 0 0 0 0 0 0 0 0 0 0 1 $.1 1 0 1 0 $.1^2 $.1 $.1 \n    $.1^2 $.1 $.1 $.1 $.1 $.1 $.1^2 $.1^2 $.1^2 0 0 1 1 0 $.1 1 1 $.1 $.1^2 \n    $.1^2 $.1 $.1^2 $.1^2 $.1^2 $.1^2 1]\n[0 0 0 0 0 0 0 0 0 0 0 0 0 0 0 0 0 0 0 0 0 0 0 0 0 $.1 $.1^2 $.1 0 $.1 0 1 $.1^2\n    $.1^2 1 $.1^2 $.1^2 $.1^2 $.1^2 $.1^2 1 1 1 0 0 $.1 $.1 0 $.1^2 $.1 $.1 \n    $.1^2 1 1 $.1^2 1 1 1 1 $.1]\nQuantum GF(2)-Additive code over GF(4) of length 60 with 70 generators.\nLower Bound: 1, Upper Bound: 26\nConstructed 2 distinct generator matrices\nTotal Ranks:     35  35 \nRelative Ranks:  35  25 \n(4 4 4 4 4 4 4 4 4 4 4 4 4 4 4 4 4 4 4 4 4 4 4 4 4 4 4 4 4 4 4 4 4 4 4 )\n(4 4 4 4 4 4 4 4 4 4 4 4 4 4 4 4 4 4 4 4 4 4 4 4 4 4 4 4 4 4 4 4 4 4 4 )\nTime Taken: 0.00\nStarting search for low weight codewords... (reset timings)\nEnumerating using 1 generator at a time:\n     New codeword identified of weight 23, time 0.00\n     New codeword identified of weight 21, time 0.00\n     New codeword identified of weight 13, time 0.00\n   Completed Matrix  1:  lower =  2, upper = 13. Elapsed: 0.00s\n   Completed Matrix  2:  lower =  2, upper = 13. Elapsed: 0.00s\nTermination predicted with 11 generators at matrix 1\nEnumerating using 2 generators at a time:\n   Completed Matrix  1:  lower =  3, upper = 13. Elapsed: 0.00s\n     New codeword identified of weight 11, time 0.00\n     Discarding non-contributing rank 25 matrix\n     New Total Ranks:     35 \n     New Relative Ranks:  35 \n   Completed Matrix  2: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0.03s\nTermination predicted with 10 generators at matrix 1\nEnumerating using 5 generators at a time:\n   Completed Matrix  1:  lower =  6, upper = 11. Elapsed: 0.83s\nTermination predicted at 123535 s (1d 10h 18m 55s) with 10 generators at matrix \n1\nEnumerating using 6 generators at a time:\n   Completed Matrix  1:  lower =  7, upper = 11. Elapsed: 12.49s\nTermination predicted at 122280 s (1d 9h 58m 0s) with 10 generators at matrix 1\nEnumerating using 7 generators at a time:\n   Completed Matrix  1:  lower =  8, upper = 11. Elapsed: 156.22s\nTermination predicted at 121285 s (1d 9h 41m 25s) with 10 generators at matrix 1\nEnumerating using 8 generators at a time:\n   Completed Matrix  1:  lower =  9, upper = 11. Elapsed: 1653.70s\nTermination predicted at 120349 s (1d 9h 25m 49s) with 10 generators at matrix 1\nEnumerating using 9 generators at a time:\n   Completed Matrix  1:  lower = 10, upper = 11. Elapsed: 14914.65s\nTermination predicted at 118544 s (1d 8h 55m 44s) with 10 generators at matrix 1\nEnumerating using 10 generators at a time:\n</t>
  </si>
  <si>
    <t>Magma V2.28-26    Sat Jan 10 2026 10:40:15 on Marks-MacBook-Air-2 [Seed = \n774204410]\nType ? for help.  Type &lt;Ctrl&gt;-D to quit.\n[1 0 0 0 0 0 0 0 0 0 0 0 0 0 0 0 0 0 0 0 0 0 0 0 0 0 0 0 0 0 0 0 0 0 0 0 0 0 0 0\n    0 0 0 0 0 0 0 0 0 0 0 0 1 1 0 0 0 1 0 1 0 1 0 0 0 1 0 1 0 0 0 1 1 0 0 1 1 0 \n    0 1 1 1 1 1 1 1 1 1 1 1 0 1 0 1 1 1 0 1 1 0 0 1 1 1 1 1 0 1 1 0 0 1 1 1 1 1 \n    1 0 0 1 1 0]\n[0 1 0 0 0 0 0 0 0 0 0 0 0 0 0 0 0 0 0 0 0 0 0 0 0 0 0 0 0 0 0 0 0 0 0 0 0 0 0 0\n    0 0 0 0 0 0 0 0 1 1 0 0 0 1 1 0 0 0 0 1 0 0 1 1 0 0 0 1 1 0 0 1 1 1 0 0 0 0 \n    0 0 1 1 0 1 1 1 0 0 0 1 0 0 0 0 0 1 0 0 1 0 1 0 0 1 0 0 0 1 1 1 1 1 1 1 1 1 \n    1 0 0 0 1 0]\n[0 0 1 0 0 0 0 0 0 0 0 0 0 0 0 0 0 0 0 0 0 0 0 0 0 0 0 0 0 0 0 0 0 0 0 0 0 0 0 0\n    0 0 0 0 0 0 0 0 0 1 0 0 0 1 1 0 1 0 1 1 0 1 0 1 0 1 0 1 0 0 1 0 0 0 0 1 1 0 \n    1 0 1 0 1 0 1 1 1 0 1 0 0 1 1 0 1 0 0 1 0 0 1 0 1 1 0 0 1 1 0 0 0 1 0 0 0 1 \n    1 0 1 0 0 0]\n[0 0 0 1 0 0 0 0 0 0 0 0 0 0 0 0 0 0 0 0 0 0 0 0 0 0 0 0 0 0 0 0 0 0 0 0 0 0 0 0\n    0 0 0 0 0 0 0 0 0 0 0 0 0 1 0 1 0 0 0 0 0 1 1 1 1 1 0 1 1 1 1 1 1 1 1 0 1 0 \n    0 0 1 1 0 0 1 1 0 0 1 0 0 1 1 1 0 1 1 1 0 1 1 0 0 0 0 1 0 1 0 1 1 1 1 1 0 0 \n    1 1 1 1 1 0]\n[0 0 0 0 1 0 0 0 0 0 0 0 0 0 0 0 0 0 0 0 0 0 0 0 0 0 0 0 0 0 0 0 0 0 0 0 0 0 0 0\n    0 0 0 0 0 0 0 0 0 0 0 0 1 0 1 0 0 0 1 1 0 0 1 1 0 1 0 1 0 1 0 1 0 1 1 0 0 0 \n    0 1 0 1 0 0 0 1 0 0 0 1 1 1 1 0 0 0 1 0 1 1 0 1 1 1 0 0 1 0 1 0 1 1 0 0 1 1 \n    1 0 1 1 1 0]\n[0 0 0 0 0 1 0 0 0 0 0 0 0 0 0 0 0 0 0 0 0 0 0 0 0 0 0 0 0 0 0 0 0 0 0 0 0 0 0 0\n    0 0 0 0 0 0 0 0 1 1 0 0 0 0 0 1 1 1 0 0 0 0 0 0 1 0 0 0 0 1 0 0 1 0 1 0 1 1 \n    0 1 0 0 1 0 1 1 1 1 1 0 0 1 1 1 0 1 0 1 0 1 1 0 1 0 0 1 0 0 1 0 1 1 0 0 1 0 \n    1 1 1 0 1 0]\n[0 0 0 0 0 0 1 0 0 0 0 0 0 0 0 0 0 0 0 0 0 0 0 0 0 0 0 0 0 0 0 0 0 0 0 0 0 0 0 0\n    0 0 0 0 0 0 0 0 1 1 0 0 1 0 0 1 0 0 0 1 0 0 1 1 0 1 0 0 1 1 1 0 1 0 0 1 1 0 \n    1 0 1 0 0 1 0 0 1 0 0 1 0 1 0 1 0 1 0 0 0 0 1 1 1 0 0 0 0 1 0 1 0 1 0 1 0 0 \n    0 1 1 0 0 0]\n[0 0 0 0 0 0 0 1 0 0 0 0 0 0 0 0 0 0 0 0 0 0 0 0 0 0 0 0 0 0 0 0 0 0 0 0 0 0 0 0\n    0 0 0 0 0 0 0 0 0 1 0 0 1 0 0 1 1 0 1 0 0 1 1 1 1 1 1 0 0 0 0 0 0 0 0 0 1 1 \n    0 1 1 0 0 1 0 0 0 0 0 1 1 1 0 0 0 0 1 0 1 0 0 0 1 0 0 1 0 0 1 1 0 1 0 1 0 0 \n    1 1 1 1 0 0]\n[0 0 0 0 0 0 0 0 1 0 0 0 0 0 0 0 0 0 0 0 0 0 0 0 0 0 0 0 0 0 0 0 0 0 0 0 0 0 0 0\n    0 0 0 0 0 0 0 0 1 0 0 0 0 0 0 1 1 0 0 0 0 0 1 0 0 1 1 0 0 1 0 1 0 0 0 1 1 1 \n    0 0 1 1 0 0 0 1 1 0 0 1 1 1 0 1 1 0 1 1 1 0 0 0 1 0 1 0 1 1 1 1 1 1 1 1 0 1 \n    0 0 0 1 0 0]\n[0 0 0 0 0 0 0 0 0 1 0 0 0 0 0 0 0 0 0 0 0 0 0 0 0 0 0 0 0 0 0 0 0 0 0 0 0 0 0 0\n    0 0 0 0 0 0 0 0 1 0 0 0 0 1 0 0 1 0 1 1 0 0 1 0 1 0 1 1 0 1 1 0 1 0 0 1 1 1 \n    0 1 0 1 0 1 0 1 0 0 1 0 1 0 1 1 0 1 1 0 0 0 1 1 0 1 0 0 1 0 0 0 0 0 1 1 1 1 \n    1 0 1 1 0 0]\n[0 0 0 0 0 0 0 0 0 0 1 0 0 0 0 0 0 0 0 0 0 0 0 0 0 0 0 0 0 0 0 0 0 0 0 0 0 0 0 0\n    0 0 0 0 0 0 0 0 1 1 0 0 0 1 1 0 0 1 1 1 0 1 0 0 0 1 1 0 1 1 0 1 0 1 0 1 1 0 \n    0 0 1 0 1 0 0 0 1 1 1 1 1 1 1 1 0 1 0 1 0 0 1 1 1 0 1 0 1 0 1 1 1 1 0 0 0 0 \n    0 1 0 0 0 0]\n[0 0 0 0 0 0 0 0 0 0 0 1 0 0 0 0 0 0 0 0 0 0 0 0 0 0 0 0 0 0 0 0 0 0 0 0 0 0 0 0\n    0 0 0 0 0 0 0 0 0 1 0 0 0 1 1 1 1 1 0 1 0 0 1 0 1 1 0 1 0 0 1 1 1 0 0 1 0 0 \n    0 0 0 1 1 1 1 0 1 1 1 1 1 1 1 0 0 0 1 1 1 1 0 0 1 0 0 0 0 1 1 1 1 0 1 1 1 1 \n    0 1 0 0 1 0]\n[0 0 0 0 0 0 0 0 0 0 0 0 1 0 0 0 0 0 0 0 0 0 0 0 0 0 0 0 0 0 0 0 0 0 0 0 0 0 0 0\n    0 0 0 0 0 0 0 0 0 0 0 0 1 1 0 1 1 1 0 0 0 0 1 0 1 1 1 0 1 1 1 1 0 0 1 1 1 0 \n    1 1 1 0 0 1 0 1 0 0 1 1 1 0 0 0 1 1 0 0 0 1 0 0 0 1 1 0 1 0 1 1 1 1 1 1 1 1 \n    1 0 0 0 1 0]\n[0 0 0 0 0 0 0 0 0 0 0 0 0 1 0 0 0 0 0 0 0 0 0 0 0 0 0 0 0 0 0 0 0 0 0 0 0 0 0 0\n    0 0 0 0 0 0 0 0 0 0 0 0 0 1 0 0 0 1 0 0 0 1 0 1 0 0 0 0 1 0 1 0 0 0 0 1 0 1 \n    0 0 1 0 1 0 1 1 0 1 1 0 1 0 0 1 0 1 1 0 1 0 0 0 0 0 1 0 1 1 0 0 1 1 0 0 0 0 \n    0 0 0 1 0 0]\n[0 0 0 0 0 0 0 0 0 0 0 0 0 0 1 0 0 0 0 0 0 0 0 0 0 0 0 0 0 0 0 0 0 0 0 0 0 0 0 0\n    0 0 0 0 0 0 0 0 0 1 0 0 0 0 1 0 1 0 1 0 0 1 0 0 0 0 0 1 0 1 0 1 1 0 1 1 1 1 \n    1 1 1 0 0 0 1 1 0 0 0 0 1 1 1 0 0 0 1 0 1 1 1 1 0 0 0 0 0 1 0 1 1 0 1 1 0 1 \n    1 1 0 0 1 0]\n[0 0 0 0 0 0 0 0 0 0 0 0 0 0 0 1 0 0 0 0 0 0 0 0 0 0 0 0 0 0 0 0 0 0 0 0 0 0 0 0\n    0 0 0 0 0 0 0 0 1 1 0 0 1 1 1 0 0 1 0 0 0 0 0 1 1 0 1 1 1 0 0 1 1 1 0 1 0 1 \n    1 1 1 0 0 0 0 1 1 1 1 0 0 1 0 0 1 1 0 0 1 1 0 0 1 1 1 0 0 0 0 1 0 1 1 0 1 0 \n    1 1 0 1 1 0]\n[0 0 0 0 0 0 0 0 0 0 0 0 0 0 0 0 1 0 0 0 0 0 0 0 0 0 0 0 0 0 0 0 0 0 0 0 0 0 0 0\n    0 0 0 0 0 0 0 0 0 1 0 0 0 0 0 0 0 1 0 0 0 1 1 1 1 1 1 1 0 1 0 0 1 0 1 0 0 1 \n    0 1 0 1 0 1 0 1 0 1 0 0 0 1 1 1 0 0 1 1 1 1 0 0 1 1 0 0 1 1 1 1 0 1 1 0 0 1 \n    1 1 1 0 0 0]\n[0 0 0 0 0 0 0 0 0 0 0 0 0 0 0 0 0 1 0 0 0 0 0 0 0 0 0 0 0 0 0 0 0 0 0 0 0 0 0 0\n    0 0 0 0 0 0 0 0 1 1 0 0 1 0 0 0 0 0 1 0 0 0 1 0 1 0 0 1 1 0 0 0 1 1 0 0 1 0 \n    0 0 0 1 0 0 0 1 1 1 1 1 1 1 1 0 0 0 0 0 1 0 0 1 0 1 1 1 0 0 1 0 1 0 0 1 0 0 \n    1 1 0 0 1 0]\n[0 0 0 0 0 0 0 0 0 0 0 0 0 0 0 0 0 0 1 0 0 0 0 0 0 0 0 0 0 0 0 0 0 0 0 0 0 0 0 0\n    0 0 0 0 0 0 0 0 1 1 0 0 1 1 1 0 1 0 0 1 0 1 0 0 1 0 0 1 0 1 0 1 0 1 1 1 1 0 \n    1 1 0 0 1 1 0 1 0 1 0 0 1 0 1 1 1 0 1 0 1 0 1 1 0 1 1 1 1 0 1 0 0 1 0 1 0 1 \n    0 1 0 0 1 0]\n[0 0 0 0 0 0 0 0 0 0 0 0 0 0 0 0 0 0 0 1 0 0 0 0 0 0 0 0 0 0 0 0 0 0 0 0 0 0 0 0\n    0 0 0 0 0 0 0 0 1 1 0 0 0 1 1 0 0 1 0 0 0 1 1 0 1 0 1 1 1 0 1 0 1 1 1 0 1 1 \n    1 1 0 1 1 1 1 1 0 1 0 1 1 0 0 1 0 0 1 1 1 1 0 1 0 1 0 1 0 1 0 1 1 0 1 0 0 1 \n    1 0 1 0 1 0]\n[0 0 0 0 0 0 0 0 0 0 0 0 0 0 0 0 0 0 0 0 1 0 0 0 0 0 0 0 0 0 0 0 0 0 0 0 0 0 0 0\n    0 0 0 0 0 0 0 0 1 1 0 0 1 0 1 0 0 0 1 1 0 0 1 1 0 1 0 0 1 1 0 0 1 0 1 0 1 0 \n    1 0 0 0 0 1 0 1 0 1 1 0 1 0 0 0 0 0 0 0 0 1 0 0 0 0 0 0 0 0 1 0 0 0 1 1 0 0 \n    0 1 1 0 1 0]\n[0 0 0 0 0 0 0 0 0 0 0 0 0 0 0 0 0 0 0 0 0 1 0 0 0 0 0 0 0 0 0 0 0 0 0 0 0 0 0 0\n    0 0 0 0 0 0 0 0 0 0 0 0 0 0 1 0 0 1 0 0 0 1 1 1 1 0 1 1 1 1 0 1 0 0 1 1 1 1 \n    0 1 1 0 0 1 1 1 1 1 0 0 0 0 0 1 0 1 1 0 0 0 1 1 1 0 1 0 0 0 0 0 1 0 0 1 0 1 \n    0 0 0 0 0 0]\n[0 0 0 0 0 0 0 0 0 0 0 0 0 0 0 0 0 0 0 0 0 0 1 0 0 0 0 0 0 0 0 0 0 0 0 0 0 0 0 0\n    0 0 0 0 0 0 0 0 1 1 0 0 0 0 0 1 1 0 0 1 0 0 0 0 0 0 1 1 0 1 1 1 1 1 0 1 1 0 \n    1 1 0 0 0 1 1 1 1 0 0 1 1 0 1 1 1 0 1 0 1 1 1 0 0 1 0 1 1 0 1 0 0 1 0 0 1 0 \n    0 1 0 1 0 0]\n[0 0 0 0 0 0 0 0 0 0 0 0 0 0 0 0 0 0 0 0 0 0 0 1 0 0 0 0 0 0 0 0 0 0 0 0 0 0 0 0\n    0 0 0 0 0 0 0 0 0 0 0 0 1 1 1 0 0 0 1 0 0 1 0 0 0 1 1 1 1 0 1 1 0 0 1 0 0 1 \n    1 1 0 1 1 0 0 0 1 1 1 1 1 1 0 1 0 1 0 1 1 0 1 0 1 1 0 0 1 0 0 1 1 0 0 0 0 1 \n    1 1 1 0 1 0]\n[0 0 0 0 0 0 0 0 0 0 0 0 0 0 0 0 0 0 0 0 0 0 0 0 1 0 0 0 0 0 0 0 0 0 0 0 0 0 0 0\n    0 0 0 0 0 0 0 0 1 1 0 0 1 1 1 1 1 1 0 0 0 1 1 0 1 1 1 0 1 1 1 1 1 0 0 0 0 1 \n    1 0 1 0 1 1 0 0 1 1 1 0 0 0 0 1 0 1 1 1 0 0 1 0 1 0 1 0 1 0 1 1 0 0 1 0 1 0 \n    1 0 1 1 0 0]\n[0 0 0 0 0 0 0 0 0 0 0 0 0 0 0 0 0 0 0 0 0 0 0 0 0 1 0 0 0 0 0 0 0 0 0 0 0 0 0 0\n    0 0 0 0 0 0 0 0 1 0 0 0 0 1 0 0 1 1 1 0 0 0 0 0 1 0 0 1 1 1 1 0 0 0 1 0 0 1 \n    1 0 0 0 0 0 1 1 0 1 1 1 1 0 1 1 1 1 0 1 0 0 0 0 0 1 1 0 1 1 1 1 0 1 0 1 0 1 \n    1 0 0 1 0 0]\n[0 0 0 0 0 0 0 0 0 0 0 0 0 0 0 0 0 0 0 0 0 0 0 0 0 0 1 0 0 0 0 0 0 0 0 0 0 0 0 0\n    0 0 0 0 0 0 0 0 1 0 0 0 0 1 0 0 0 1 0 1 0 1 1 1 1 1 0 1 0 1 1 0 0 1 1 1 0 1 \n    0 0 1 0 1 0 1 1 0 0 0 1 0 1 1 0 0 0 1 0 0 0 0 1 1 1 0 1 1 0 1 1 0 0 1 1 0 0 \n    0 1 0 0 1 0]\n[0 0 0 0 0 0 0 0 0 0 0 0 0 0 0 0 0 0 0 0 0 0 0 0 0 0 0 1 0 0 0 0 0 0 0 0 0 0 0 0\n    0 0 0 0 0 0 0 0 0 0 0 0 0 0 0 0 1 1 1 1 0 0 0 0 1 0 1 1 0 1 0 1 0 1 1 0 1 1 \n    0 0 0 1 1 0 1 1 0 1 1 1 1 0 1 1 0 1 0 1 1 0 1 0 1 0 1 1 1 1 0 1 1 1 1 1 1 1 \n    1 0 0 0 1 0]\n[0 0 0 0 0 0 0 0 0 0 0 0 0 0 0 0 0 0 0 0 0 0 0 0 0 0 0 0 1 0 0 0 0 0 0 0 0 0 0 0\n    0 0 0 0 0 0 0 0 0 1 0 0 1 1 1 1 0 1 0 1 0 1 1 1 0 0 0 1 1 1 1 0 0 0 1 1 1 1 \n    1 0 0 1 1 1 1 0 0 0 1 1 1 0 0 0 0 0 1 1 0 1 1 0 1 0 0 0 1 1 0 0 1 0 1 0 1 1 \n    0 1 1 1 1 0]\n[0 0 0 0 0 0 0 0 0 0 0 0 0 0 0 0 0 0 0 0 0 0 0 0 0 0 0 0 0 1 0 0 0 0 0 0 0 0 0 0\n    0 0 0 0 0 0 0 0 1 1 0 0 0 1 1 0 1 1 0 1 0 0 0 1 0 1 0 1 1 1 1 1 1 1 0 0 0 0 \n    0 1 0 1 0 1 1 0 1 0 1 1 1 0 1 0 0 1 0 0 1 1 0 0 0 0 0 1 0 1 0 0 0 1 0 0 0 0 \n    1 0 0 0 1 0]\n[0 0 0 0 0 0 0 0 0 0 0 0 0 0 0 0 0 0 0 0 0 0 0 0 0 0 0 0 0 0 1 0 0 0 0 0 0 0 0 0\n    0 0 0 0 0 0 0 0 0 0 0 0 0 0 0 1 1 0 0 1 0 0 1 1 0 1 0 1 0 1 1 1 0 1 0 1 0 1 \n    1 0 1 0 1 1 0 1 1 1 0 0 1 0 1 1 0 0 1 1 1 0 0 1 0 0 1 1 0 0 1 0 0 1 0 1 0 1 \n    0 0 0 0 0 0]\n[0 0 0 0 0 0 0 0 0 0 0 0 0 0 0 0 0 0 0 0 0 0 0 0 0 0 0 0 0 0 0 1 0 0 0 0 0 0 0 0\n    0 0 0 0 0 0 0 0 0 0 0 0 1 1 0 0 0 0 0 0 0 1 1 0 1 0 1 1 0 0 1 0 0 1 0 1 0 1 \n    0 0 1 0 0 1 0 1 0 1 1 1 0 0 0 1 1 1 0 0 1 1 1 1 0 1 1 0 1 0 0 0 1 0 1 0 1 0 \n    0 1 1 1 1 0]\n[0 0 0 0 0 0 0 0 0 0 0 0 0 0 0 0 0 0 0 0 0 0 0 0 0 0 0 0 0 0 0 0 1 0 0 0 0 0 0 0\n    0 0 0 0 0 0 0 0 1 1 0 0 1 0 0 0 0 1 0 0 0 0 1 1 0 1 1 1 1 1 0 0 1 0 1 0 1 0 \n    1 1 0 0 0 1 0 1 0 1 1 1 0 1 1 0 1 0 1 1 1 1 0 1 0 1 0 0 0 0 0 1 0 0 0 0 0 0 \n    1 1 1 0 1 0]\n[0 0 0 0 0 0 0 0 0 0 0 0 0 0 0 0 0 0 0 0 0 0 0 0 0 0 0 0 0 0 0 0 0 1 0 0 0 0 0 0\n    0 0 0 0 0 0 0 0 1 0 0 0 1 0 0 1 0 1 0 1 0 0 1 1 0 0 0 1 0 1 1 0 0 0 0 1 1 0 \n    1 0 0 1 0 1 0 0 1 0 0 1 0 0 0 1 0 0 1 1 0 1 1 0 1 0 1 0 0 1 1 0 1 1 1 1 0 1 \n    1 1 0 0 1 0]\n[0 0 0 0 0 0 0 0 0 0 0 0 0 0 0 0 0 0 0 0 0 0 0 0 0 0 0 0 0 0 0 0 0 0 1 0 0 0 0 0\n    0 0 0 0 0 0 0 0 0 0 0 0 1 0 0 0 1 0 0 1 0 1 0 0 0 1 1 0 0 1 0 1 0 0 0 0 1 1 \n    1 1 0 0 1 1 0 0 0 1 1 0 1 0 1 0 0 1 1 1 1 1 0 0 0 1 1 1 0 0 1 1 0 1 0 1 1 1 \n    1 0 0 0 0 0]\n[0 0 0 0 0 0 0 0 0 0 0 0 0 0 0 0 0 0 0 0 0 0 0 0 0 0 0 0 0 0 0 0 0 0 0 1 0 0 0 0\n    0 0 0 0 0 0 0 0 0 0 0 0 1 1 1 1 0 0 0 0 0 0 1 1 0 1 0 1 0 0 0 0 1 0 0 0 1 0 \n    0 0 0 0 0 0 0 1 0 0 0 0 1 1 1 1 1 0 0 1 0 0 0 1 1 0 0 0 1 1 0 0 0 0 0 0 0 0 \n    1 0 1 0 1 0]\n[0 0 0 0 0 0 0 0 0 0 0 0 0 0 0 0 0 0 0 0 0 0 0 0 0 0 0 0 0 0 0 0 0 0 0 0 1 0 0 0\n    0 0 0 0 0 0 0 0 1 1 0 0 0 0 1 1 1 0 0 1 0 0 1 1 0 1 1 1 0 0 0 0 0 0 1 0 0 1 \n    1 0 0 0 1 1 0 0 0 0 1 0 1 1 1 0 1 1 0 1 0 1 1 1 0 0 0 1 0 1 1 1 0 0 1 0 0 1 \n    0 1 0 0 0 0]\n[0 0 0 0 0 0 0 0 0 0 0 0 0 0 0 0 0 0 0 0 0 0 0 0 0 0 0 0 0 0 0 0 0 0 0 0 0 1 0 0\n    0 0 0 0 0 0 0 0 0 1 0 0 1 0 1 0 0 1 0 0 0 0 0 0 1 1 0 1 0 0 1 1 0 0 0 0 0 1 \n    0 0 0 1 1 1 1 0 0 1 0 0 1 1 0 1 0 0 0 1 1 0 1 0 1 0 0 1 1 1 0 0 0 1 0 1 0 0 \n    0 0 0 0 0 0]\n[0 0 0 0 0 0 0 0 0 0 0 0 0 0 0 0 0 0 0 0 0 0 0 0 0 0 0 0 0 0 0 0 0 0 0 0 0 0 1 0\n    0 0 0 0 0 0 0 0 1 1 0 0 0 1 1 0 0 1 0 1 0 0 0 1 0 0 0 1 1 0 0 0 0 1 0 1 1 0 \n    0 1 1 0 1 1 0 0 1 0 0 0 1 1 0 1 1 0 0 1 1 0 1 1 1 1 0 1 0 0 1 1 0 0 1 0 1 1 \n    0 0 0 1 0 0]\n[0 0 0 0 0 0 0 0 0 0 0 0 0 0 0 0 0 0 0 0 0 0 0 0 0 0 0 0 0 0 0 0 0 0 0 0 0 0 0 1\n    0 0 0 0 0 0 0 0 1 0 0 0 1 0 0 0 1 1 0 0 0 0 0 1 0 1 1 0 0 0 1 1 1 1 0 1 1 1 \n    0 1 1 1 0 0 0 1 0 1 0 0 1 1 0 0 0 0 1 0 1 0 0 0 1 1 1 1 0 0 1 1 1 1 0 0 1 1 \n    0 1 1 0 1 0]\n[0 0 0 0 0 0 0 0 0 0 0 0 0 0 0 0 0 0 0 0 0 0 0 0 0 0 0 0 0 0 0 0 0 0 0 0 0 0 0 0\n    1 0 0 0 0 0 0 0 0 0 0 0 1 1 1 1 0 0 1 1 0 1 0 0 0 0 1 1 0 0 1 1 0 1 0 1 0 1 \n    0 1 0 1 1 1 1 0 0 1 1 0 1 1 1 0 0 1 1 1 0 1 1 1 0 0 1 0 0 1 1 0 1 1 1 0 1 0 \n    1 0 0 1 1 0]\n[0 0 0 0 0 0 0 0 0 0 0 0 0 0 0 0 0 0 0 0 0 0 0 0 0 0 0 0 0 0 0 0 0 0 0 0 0 0 0 0\n    0 1 0 0 0 0 0 0 1 1 0 0 0 1 1 0 1 1 0 0 0 1 0 1 1 0 1 0 1 0 0 1 0 0 1 1 0 1 \n    1 1 1 0 1 1 0 1 0 1 1 1 0 1 1 1 0 1 0 0 0 0 1 0 1 0 0 1 0 0 0 1 0 0 1 1 0 0 \n    1 0 0 1 1 0]\n[0 0 0 0 0 0 0 0 0 0 0 0 0 0 0 0 0 0 0 0 0 0 0 0 0 0 0 0 0 0 0 0 0 0 0 0 0 0 0 0\n    0 0 1 0 0 0 0 0 0 1 0 0 1 1 1 0 0 0 0 0 0 1 0 1 1 1 0 0 1 1 1 0 0 0 0 1 0 0 \n    1 1 0 0 0 0 1 0 0 1 1 0 0 0 0 1 0 0 0 1 0 1 1 0 0 1 1 1 1 1 0 1 1 0 1 1 0 0 \n    1 0 1 1 1 0]\n[0 0 0 0 0 0 0 0 0 0 0 0 0 0 0 0 0 0 0 0 0 0 0 0 0 0 0 0 0 0 0 0 0 0 0 0 0 0 0 0\n    0 0 0 1 0 0 0 0 1 0 0 0 1 0 1 1 0 1 1 0 0 1 0 0 0 1 1 1 1 1 0 0 0 0 0 1 1 1 \n    1 0 0 1 0 0 1 0 1 1 0 1 0 0 1 1 1 1 0 1 1 0 0 1 0 0 0 1 0 1 1 0 0 0 0 1 1 0 \n    0 0 1 1 1 0]\n[0 0 0 0 0 0 0 0 0 0 0 0 0 0 0 0 0 0 0 0 0 0 0 0 0 0 0 0 0 0 0 0 0 0 0 0 0 0 0 0\n    0 0 0 0 1 0 0 0 0 0 0 0 1 0 1 1 1 0 1 1 0 0 0 0 1 0 1 1 1 0 0 1 0 0 1 1 1 1 \n    0 1 0 0 0 0 0 0 0 1 1 0 1 1 1 0 0 1 1 1 0 0 1 0 0 1 0 1 1 0 0 0 1 0 1 1 1 1 \n    0 1 1 1 1 0]\n[0 0 0 0 0 0 0 0 0 0 0 0 0 0 0 0 0 0 0 0 0 0 0 0 0 0 0 0 0 0 0 0 0 0 0 0 0 0 0 0\n    0 0 0 0 0 1 0 0 1 0 0 0 1 1 0 1 1 0 0 1 0 1 1 0 1 1 0 1 1 0 0 1 0 1 0 1 1 1 \n    0 1 0 1 0 0 0 1 1 1 1 0 0 1 0 0 1 0 1 0 1 0 1 0 1 1 0 1 1 1 1 0 1 0 0 1 1 1 \n    1 0 0 0 1 0]\n[0 0 0 0 0 0 0 0 0 0 0 0 0 0 0 0 0 0 0 0 0 0 0 0 0 0 0 0 0 0 0 0 0 0 0 0 0 0 0 0\n    0 0 0 0 0 0 1 0 0 0 0 0 1 0 0 1 0 0 1 0 0 0 0 0 0 1 1 0 0 1 1 0 0 0 0 0 0 0 \n    1 1 0 1 1 0 1 0 1 1 1 1 1 1 0 1 1 1 1 1 1 1 0 0 0 1 0 1 0 0 1 0 1 1 1 0 1 1 \n    1 1 1 0 0 0]\n[0 0 0 0 0 0 0 0 0 0 0 0 0 0 0 0 0 0 0 0 0 0 0 0 0 0 0 0 0 0 0 0 0 0 0 0 0 0 0 0\n    0 0 0 0 0 0 0 1 1 0 0 0 0 1 0 0 0 1 1 0 0 1 1 1 0 1 1 0 0 1 0 0 1 0 0 0 0 1 \n    1 1 0 0 0 1 0 1 0 0 1 1 1 0 1 0 1 1 1 0 1 0 1 1 1 1 0 1 0 0 0 1 0 0 0 1 1 0 \n    0 1 0 0 0 0]\n[0 0 0 0 0 0 0 0 0 0 0 0 0 0 0 0 0 0 0 0 0 0 0 0 0 0 0 0 0 0 0 0 0 0 0 0 0 0 0 0\n    0 0 0 0 0 0 0 0 0 0 1 0 1 0 0 0 1 1 1 0 0 0 0 1 0 1 0 0 1 0 0 0 1 1 1 1 1 1 \n    1 1 0 1 1 1 0 1 1 0 0 0 0 0 1 1 1 1 1 1 1 1 1 1 0 1 0 1 1 0 1 0 0 0 1 1 1 0 \n    0 1 0 0 1 0]\n[0 0 0 0 0 0 0 0 0 0 0 0 0 0 0 0 0 0 0 0 0 0 0 0 0 0 0 0 0 0 0 0 0 0 0 0 0 0 0 0\n    0 0 0 0 0 0 0 0 0 0 0 1 0 0 0 1 1 0 0 0 0 0 0 1 1 0 1 1 0 1 1 1 1 1 0 0 0 0 \n    0 1 1 0 1 1 0 0 1 1 0 1 0 1 1 0 0 1 1 0 1 0 1 1 1 1 0 0 0 1 1 1 0 0 1 0 1 0 \n    1 0 1 1 0 0]\n[0 0 0 0 0 0 0 0 0 0 0 0 0 0 0 0 0 0 0 0 0 0 0 0 0 0 0 0 0 0 0 0 0 0 0 0 0 0 0 0\n    0 0 0 0 0 0 0 0 0 0 0 0 0 0 0 0 0 0 0 0 1 0 0 0 0 0 0 0 0 0 0 0 0 0 0 0 0 0 \n    0 0 0 0 0 0 0 0 0 0 0 0 0 0 0 0 0 0 0 0 0 0 0 0 0 0 0 0 0 0 0 0 0 0 0 0 0 0 \n    0 0 0 0 0 0]\n[[61, 10]] quantum code over GF(2^2), stabilised by:\n[1 0 0 0 0 0 0 0 0 0 0 0 0 0 0 0 0 0 0 0 0 0 0 0 0 0 $.1 $.1 0 0 $.1^2 0 0 1 \n    $.1^2 $.1^2 1 0 1 $.1^2 $.1 $.1^2 $.1 $.1^2 1 1 $.1 $.1^2 $.1 1 $.1^2 1 1 0 \n    $.1 $.1 1 $.1 0 $.1 0]\n[$.1 0 0 0 0 0 0 0 0 0 0 0 0 0 0 0 0 0 0 0 0 0 0 0 0 0 $.1^2 $.1^2 0 0 1 0 0 $.1\n    1 1 $.1 0 $.1 1 $.1^2 1 $.1^2 1 $.1 $.1 $.1^2 1 $.1^2 $.1 1 $.1 $.1 0 $.1^2 \n    $.1^2 $.1 $.1^2 0 $.1^2 0]\n[0 1 0 0 0 0 0 0 0 0 0 0 0 0 0 0 0 0 0 0 0 0 0 0 0 0 $.1 0 $.1^2 $.1 $.1 1 0 0 1\n    $.1^2 $.1^2 $.1 $.1 $.1^2 1 $.1^2 1 $.1^2 $.1^2 $.1 $.1^2 $.1^2 $.1 1 $.1 \n    $.1 $.1 0 $.1^2 $.1^2 $.1^2 1 $.1^2 0 0]\n[0 $.1 0 0 0 0 0 0 0 0 0 0 0 0 0 0 0 0 0 0 0 0 0 0 0 0 $.1^2 0 1 $.1^2 $.1^2 $.1\n    0 0 $.1 1 1 $.1^2 $.1^2 1 $.1 1 $.1 1 1 $.1^2 1 1 $.1^2 $.1 $.1^2 $.1^2 \n    $.1^2 0 1 1 1 $.1 1 0 0]\n[0 0 1 0 0 0 0 0 0 0 0 0 0 0 0 0 0 0 0 0 0 0 0 0 1 0 $.1 $.1^2 $.1^2 $.1 $.1^2 \n    $.1 0 $.1^2 $.1 $.1 $.1 1 $.1 1 $.1^2 $.1 1 $.1^2 $.1 0 1 $.1 0 $.1^2 0 $.1 \n    1 $.1^2 $.1^2 $.1^2 1 $.1^2 $.1^2 $.1 0]\n[0 0 $.1 0 0 0 0 0 0 0 0 0 0 0 0 0 0 0 0 0 0 0 0 0 $.1 0 $.1^2 1 1 $.1^2 1 $.1^2\n    0 1 $.1^2 $.1^2 $.1^2 $.1 $.1^2 $.1 1 $.1^2 $.1 1 $.1^2 0 $.1 $.1^2 0 1 0 \n    $.1^2 $.1 1 1 1 $.1 1 1 $.1^2 0]\n[0 0 0 1 0 0 0 0 0 0 0 0 0 0 0 0 0 0 0 0 0 0 0 0 $.1 0 0 $.1^2 $.1^2 1 $.1 $.1 1\n    $.1^2 1 0 0 $.1 $.1^2 1 1 1 $.1 $.1^2 $.1^2 $.1 $.1 0 $.1^2 $.1^2 $.1 0 $.1 \n    0 $.1^2 0 0 1 $.1 $.1 0]\n[0 0 0 $.1 0 0 0 0 0 0 0 0 0 0 0 0 0 0 0 0 0 0 0 0 $.1^2 0 0 1 1 $.1 $.1^2 $.1^2\n    $.1 1 $.1 0 0 $.1^2 1 $.1 $.1 $.1 $.1^2 1 1 $.1^2 $.1^2 0 1 1 $.1^2 0 $.1^2 \n    0 1 0 0 $.1 $.1^2 $.1^2 0]\n[0 0 0 0 1 0 0 0 0 0 0 0 0 0 0 0 0 0 0 0 0 0 0 0 0 0 0 0 $.1^2 0 0 $.1^2 1 $.1^2\n    0 $.1^2 0 $.1^2 $.1^2 $.1 $.1^2 1 $.1^2 1 1 0 1 0 $.1^2 0 $.1^2 $.1^2 $.1^2 \n    1 0 $.1 $.1 0 0 0 0]\n[0 0 0 0 $.1 0 0 0 0 0 0 0 0 0 0 0 0 0 0 0 0 0 0 0 0 0 0 0 1 0 0 1 $.1 1 0 1 0 1\n    1 $.1^2 1 $.1 1 $.1 $.1 0 $.1 0 1 0 1 1 1 $.1 0 $.1^2 $.1^2 0 0 0 0]\n[0 0 0 0 0 1 0 0 0 0 0 0 0 0 0 0 0 0 0 0 0 0 0 0 0 0 1 1 1 $.1^2 $.1 1 $.1 $.1 1\n    $.1^2 $.1 $.1^2 $.1 $.1 $.1^2 1 0 0 $.1^2 $.1 $.1^2 0 $.1 $.1^2 $.1 $.1^2 0 \n    $.1^2 $.1^2 $.1^2 1 $.1^2 0 1 0]\n[0 0 0 0 0 $.1 0 0 0 0 0 0 0 0 0 0 0 0 0 0 0 0 0 0 0 0 $.1 $.1 $.1 1 $.1^2 $.1 \n    $.1^2 $.1^2 $.1 1 $.1^2 1 $.1^2 $.1^2 1 $.1 0 0 1 $.1^2 1 0 $.1^2 1 $.1^2 1 \n    0 1 1 1 $.1 1 0 $.1 0]\n[0 0 0 0 0 0 1 0 0 0 0 0 0 0 0 0 0 0 0 0 0 0 0 0 1 0 $.1 0 1 0 $.1^2 $.1^2 $.1 1\n    0 0 0 $.1 $.1^2 $.1^2 $.1^2 1 $.1 1 0 $.1 1 $.1 1 1 0 $.1^2 $.1^2 $.1 0 1 1 \n    1 1 $.1 0]\n[0 0 0 0 0 0 $.1 0 0 0 0 0 0 0 0 0 0 0 0 0 0 0 0 0 $.1 0 $.1^2 0 $.1 0 1 1 $.1^2\n    $.1 0 0 0 $.1^2 1 1 1 $.1 $.1^2 $.1 0 $.1^2 $.1 $.1^2 $.1 $.1 0 1 1 $.1^2 0 \n    $.1 $.1 $.1 $.1 $.1^2 0]\n[0 0 0 0 0 0 0 1 0 0 0 0 0 0 0 0 0 0 0 0 0 0 0 0 0 0 1 1 0 $.1^2 1 1 1 1 $.1 \n    $.1^2 $.1^2 0 0 $.1 $.1 $.1 1 $.1 $.1 1 $.1 1 $.1^2 $.1^2 $.1 0 1 1 $.1 0 \n    $.1 $.1 $.1^2 $.1^2 0]\n[0 0 0 0 0 0 0 $.1 0 0 0 0 0 0 0 0 0 0 0 0 0 0 0 0 0 0 $.1 $.1 0 1 $.1 $.1 $.1 \n    $.1 $.1^2 1 1 0 0 $.1^2 $.1^2 $.1^2 $.1 $.1^2 $.1^2 $.1 $.1^2 $.1 1 1 $.1^2 \n    0 $.1 $.1 $.1^2 0 $.1^2 $.1^2 1 1 0]\n[0 0 0 0 0 0 0 0 1 0 0 0 0 0 0 0 0 0 0 0 0 0 0 0 1 0 $.1 0 0 1 1 1 $.1 1 0 $.1^2\n    1 $.1^2 1 0 0 1 $.1 $.1 $.1 $.1 0 1 0 $.1 $.1 $.1 1 1 $.1^2 $.1 0 $.1^2 \n    $.1^2 $.1^2 0]\n[0 0 0 0 0 0 0 0 $.1 0 0 0 0 0 0 0 0 0 0 0 0 0 0 0 $.1 0 $.1^2 0 0 $.1 $.1 $.1 \n    $.1^2 $.1 0 1 $.1 1 $.1 0 0 $.1 $.1^2 $.1^2 $.1^2 $.1^2 0 $.1 0 $.1^2 $.1^2 \n    $.1^2 $.1 $.1 1 $.1^2 0 1 1 1 0]\n[0 0 0 0 0 0 0 0 0 1 0 0 0 0 0 0 0 0 0 0 0 0 0 0 $.1^2 0 $.1^2 1 $.1 $.1^2 $.1 0\n    $.1 0 $.1 $.1 1 0 1 1 $.1^2 $.1 $.1^2 $.1 $.1 $.1^2 1 $.1^2 1 1 $.1^2 0 \n    $.1^2 1 $.1 1 0 $.1 $.1 0 0]\n[0 0 0 0 0 0 0 0 0 $.1 0 0 0 0 0 0 0 0 0 0 0 0 0 0 1 0 1 $.1 $.1^2 1 $.1^2 0 \n    $.1^2 0 $.1^2 $.1^2 $.1 0 $.1 $.1 1 $.1^2 1 $.1^2 $.1^2 1 $.1 1 $.1 $.1 1 0 \n    1 $.1 $.1^2 $.1 0 $.1^2 $.1^2 0 0]\n[0 0 0 0 0 0 0 0 0 0 1 0 0 0 0 0 0 0 0 0 0 0 0 0 $.1 0 $.1 1 1 0 $.1^2 $.1 $.1 1\n    $.1^2 0 0 $.1 1 $.1^2 1 $.1^2 1 1 $.1^2 1 1 $.1 1 1 0 1 $.1 $.1^2 0 $.1^2 0 \n    $.1 0 0 0]\n[0 0 0 0 0 0 0 0 0 0 $.1 0 0 0 0 0 0 0 0 0 0 0 0 0 $.1^2 0 $.1^2 $.1 $.1 0 1 \n    $.1^2 $.1^2 $.1 1 0 0 $.1^2 $.1 1 $.1 1 $.1 $.1 1 $.1 $.1 $.1^2 $.1 $.1 0 \n    $.1 $.1^2 1 0 1 0 $.1^2 0 0 0]\n[0 0 0 0 0 0 0 0 0 0 0 1 0 0 0 0 0 0 0 0 0 0 0 0 1 0 0 $.1 0 1 0 1 $.1 0 1 $.1^2\n    $.1 $.1 0 0 $.1 $.1^2 $.1^2 1 0 $.1 0 0 0 $.1^2 1 $.1^2 1 $.1^2 1 $.1^2 \n    $.1^2 0 0 1 0]\n[0 0 0 0 0 0 0 0 0 0 0 $.1 0 0 0 0 0 0 0 0 0 0 0 0 $.1 0 0 $.1^2 0 $.1 0 $.1 \n    $.1^2 0 $.1 1 $.1^2 $.1^2 0 0 $.1^2 1 1 $.1 0 $.1^2 0 0 0 1 $.1 1 $.1 1 $.1 \n    1 1 0 0 $.1 0]\n[0 0 0 0 0 0 0 0 0 0 0 0 1 0 0 0 0 0 0 0 0 0 0 0 $.1 0 $.1 1 $.1 0 $.1^2 1 1 $.1\n    $.1 $.1^2 0 $.1^2 $.1 1 0 $.1 $.1^2 1 0 1 0 0 $.1 1 $.1^2 $.1 0 $.1^2 $.1 1 \n    0 1 $.1^2 1 0]\n[0 0 0 0 0 0 0 0 0 0 0 0 $.1 0 0 0 0 0 0 0 0 0 0 0 $.1^2 0 $.1^2 $.1 $.1^2 0 1 \n    $.1 $.1 $.1^2 $.1^2 1 0 1 $.1^2 $.1 0 $.1^2 1 $.1 0 $.1 0 0 $.1^2 $.1 1 \n    $.1^2 0 1 $.1^2 $.1 0 $.1 1 $.1 0]\n[0 0 0 0 0 0 0 0 0 0 0 0 0 1 0 0 0 0 0 0 0 0 0 0 0 0 $.1 1 $.1^2 0 $.1^2 $.1 \n    $.1^2 $.1 $.1^2 $.1 $.1^2 0 1 0 $.1 1 $.1 0 0 0 1 0 0 1 $.1^2 $.1 $.1^2 0 \n    $.1 $.1 $.1 $.1^2 1 $.1 0]\n[0 0 0 0 0 0 0 0 0 0 0 0 0 $.1 0 0 0 0 0 0 0 0 0 0 0 0 $.1^2 $.1 1 0 1 $.1^2 1 \n    $.1^2 1 $.1^2 1 0 $.1 0 $.1^2 $.1 $.1^2 0 0 0 $.1 0 0 $.1 1 $.1^2 1 0 $.1^2 \n    $.1^2 $.1^2 1 $.1 $.1^2 0]\n[0 0 0 0 0 0 0 0 0 0 0 0 0 0 1 0 0 0 0 0 0 0 0 0 $.1^2 0 0 0 $.1 $.1^2 $.1 $.1 \n    $.1^2 1 1 1 0 $.1 $.1^2 0 1 $.1 $.1 0 0 0 1 $.1 1 1 $.1 $.1^2 $.1^2 1 $.1 0 \n    1 $.1^2 1 1 0]\n[0 0 0 0 0 0 0 0 0 0 0 0 0 0 $.1 0 0 0 0 0 0 0 0 0 1 0 0 0 $.1^2 1 $.1^2 $.1^2 1\n    $.1 $.1 $.1 0 $.1^2 1 0 $.1 $.1^2 $.1^2 0 0 0 $.1 $.1^2 $.1 $.1 $.1^2 1 1 \n    $.1 $.1^2 0 $.1 1 $.1 $.1 0]\n[0 0 0 0 0 0 0 0 0 0 0 0 0 0 0 1 0 0 0 0 0 0 0 0 0 0 $.1 1 $.1 0 $.1^2 $.1^2 0 0\n    $.1 $.1 $.1 0 0 $.1^2 1 $.1^2 $.1 1 0 $.1^2 $.1^2 $.1^2 0 0 0 $.1^2 1 0 $.1 \n    $.1 $.1 $.1 1 0 0]\n[0 0 0 0 0 0 0 0 0 0 0 0 0 0 0 $.1 0 0 0 0 0 0 0 0 0 0 $.1^2 $.1 $.1^2 0 1 1 0 0\n    $.1^2 $.1^2 $.1^2 0 0 1 $.1 1 $.1^2 $.1 0 1 1 1 0 0 0 1 $.1 0 $.1^2 $.1^2 \n    $.1^2 $.1^2 $.1 0 0]\n[0 0 0 0 0 0 0 0 0 0 0 0 0 0 0 0 1 0 0 0 0 0 0 0 1 0 0 $.1^2 0 $.1 0 $.1^2 $.1^2\n    $.1^2 1 0 $.1 $.1 $.1 0 0 $.1^2 1 1 $.1 1 $.1^2 0 0 1 $.1 $.1^2 $.1^2 1 0 \n    $.1 $.1 1 1 0 0]\n[0 0 0 0 0 0 0 0 0 0 0 0 0 0 0 0 $.1 0 0 0 0 0 0 0 $.1 0 0 1 0 $.1^2 0 1 1 1 $.1\n    0 $.1^2 $.1^2 $.1^2 0 0 1 $.1 $.1 $.1^2 $.1 1 0 0 $.1 $.1^2 1 1 $.1 0 $.1^2 \n    $.1^2 $.1 $.1 0 0]\n[0 0 0 0 0 0 0 0 0 0 0 0 0 0 0 0 0 1 0 0 0 0 0 0 $.1^2 0 $.1 $.1^2 0 0 0 $.1^2 0\n    0 0 1 $.1^2 $.1^2 $.1 0 $.1^2 $.1 $.1^2 1 0 0 $.1^2 1 $.1^2 1 0 $.1 1 $.1 \n    $.1^2 $.1 $.1^2 1 $.1 $.1^2 0]\n[0 0 0 0 0 0 0 0 0 0 0 0 0 0 0 0 0 $.1 0 0 0 0 0 0 1 0 $.1^2 1 0 0 0 1 0 0 0 $.1\n    1 1 $.1^2 0 1 $.1^2 1 $.1 0 0 1 $.1 1 $.1 0 $.1^2 $.1 $.1^2 1 $.1^2 1 $.1 \n    $.1^2 1 0]\n[0 0 0 0 0 0 0 0 0 0 0 0 0 0 0 0 0 0 1 0 0 0 0 0 $.1^2 0 1 0 1 1 $.1 $.1 1 0 1 0\n    $.1^2 1 $.1^2 $.1^2 0 $.1^2 $.1 1 1 1 $.1^2 0 $.1^2 $.1^2 1 1 $.1 $.1 $.1 0 \n    $.1^2 1 $.1 $.1^2 0]\n[0 0 0 0 0 0 0 0 0 0 0 0 0 0 0 0 0 0 $.1 0 0 0 0 0 1 0 $.1 0 $.1 $.1 $.1^2 $.1^2\n    $.1 0 $.1 0 1 $.1 1 1 0 1 $.1^2 $.1 $.1 $.1 1 0 1 1 $.1 $.1 $.1^2 $.1^2 \n    $.1^2 0 1 $.1 $.1^2 1 0]\n[0 0 0 0 0 0 0 0 0 0 0 0 0 0 0 0 0 0 0 1 0 0 0 0 0 0 1 1 1 $.1^2 $.1 0 $.1 0 $.1\n    1 0 0 0 $.1 1 $.1^2 0 1 0 $.1 $.1^2 $.1 1 $.1 1 0 $.1 1 1 $.1^2 0 $.1 1 1 0]\n[0 0 0 0 0 0 0 0 0 0 0 0 0 0 0 0 0 0 0 $.1 0 0 0 0 0 0 $.1 $.1 $.1 1 $.1^2 0 \n    $.1^2 0 $.1^2 $.1 0 0 0 $.1^2 $.1 1 0 $.1 0 $.1^2 1 $.1^2 $.1 $.1^2 $.1 0 \n    $.1^2 $.1 $.1 1 0 $.1^2 $.1 $.1 0]\n[0 0 0 0 0 0 0 0 0 0 0 0 0 0 0 0 0 0 0 0 1 0 0 0 $.1^2 0 $.1^2 $.1 0 1 $.1^2 $.1\n    $.1^2 $.1^2 0 $.1^2 0 $.1 $.1^2 $.1^2 $.1 1 $.1 0 $.1^2 $.1 $.1 1 $.1 $.1 1 \n    0 0 1 $.1^2 1 1 0 0 1 0]\n[0 0 0 0 0 0 0 0 0 0 0 0 0 0 0 0 0 0 0 0 $.1 0 0 0 1 0 1 $.1^2 0 $.1 1 $.1^2 1 1\n    0 1 0 $.1^2 1 1 $.1^2 $.1 $.1^2 0 1 $.1^2 $.1^2 $.1 $.1^2 $.1^2 $.1 0 0 $.1 \n    1 $.1 $.1 0 0 $.1 0]\n[0 0 0 0 0 0 0 0 0 0 0 0 0 0 0 0 0 0 0 0 0 1 0 0 $.1^2 0 1 1 $.1 1 1 $.1^2 0 \n    $.1^2 0 0 0 $.1^2 0 $.1^2 1 $.1^2 0 0 $.1 $.1 0 $.1 0 0 $.1 1 $.1 0 $.1 \n    $.1^2 1 1 $.1 0 0]\n[0 0 0 0 0 0 0 0 0 0 0 0 0 0 0 0 0 0 0 0 0 $.1 0 0 1 0 $.1 $.1 $.1^2 $.1 $.1 1 0\n    1 0 0 0 1 0 1 $.1 1 0 0 $.1^2 $.1^2 0 $.1^2 0 0 $.1^2 $.1 $.1^2 0 $.1^2 1 \n    $.1 $.1 $.1^2 0 0]\n[0 0 0 0 0 0 0 0 0 0 0 0 0 0 0 0 0 0 0 0 0 0 1 0 1 0 $.1 $.1^2 $.1 1 $.1^2 $.1 1\n    0 1 $.1 $.1^2 $.1^2 $.1 $.1^2 0 $.1^2 1 0 $.1 1 1 1 $.1^2 $.1 0 0 0 0 $.1 \n    $.1 0 $.1 1 $.1^2 0]\n[0 0 0 0 0 0 0 0 0 0 0 0 0 0 0 0 0 0 0 0 0 0 $.1 0 $.1 0 $.1^2 1 $.1^2 $.1 1 \n    $.1^2 $.1 0 $.1 $.1^2 1 1 $.1^2 1 0 1 $.1 0 $.1^2 $.1 $.1 $.1 1 $.1^2 0 0 0 \n    0 $.1^2 $.1^2 0 $.1^2 $.1 1 0]\n[0 0 0 0 0 0 0 0 0 0 0 0 0 0 0 0 0 0 0 0 0 0 0 1 $.1 0 $.1 0 $.1 0 0 0 $.1 $.1^2\n    0 0 1 $.1^2 0 0 0 $.1^2 $.1^2 1 $.1^2 $.1^2 $.1^2 1 0 0 $.1 $.1^2 0 1 1 \n    $.1^2 1 1 $.1^2 $.1 0]\n[0 0 0 0 0 0 0 0 0 0 0 0 0 0 0 0 0 0 0 0 0 0 0 $.1 $.1^2 0 $.1^2 0 $.1^2 0 0 0 \n    $.1^2 1 0 0 $.1 1 0 0 0 1 1 $.1 1 1 1 $.1 0 0 $.1^2 1 0 $.1 $.1 1 $.1 $.1 1 \n    $.1^2 0]\n[0 0 0 0 0 0 0 0 0 0 0 0 0 0 0 0 0 0 0 0 0 0 0 0 0 1 $.1 1 0 1 0 $.1^2 $.1 $.1 \n    $.1^2 $.1 $.1 $.1 $.1 $.1 $.1^2 $.1^2 $.1^2 0 0 1 1 0 $.1 1 1 $.1 $.1^2 \n    $.1^2 $.1 $.1^2 $.1^2 $.1^2 $.1^2 1 0]\n[0 0 0 0 0 0 0 0 0 0 0 0 0 0 0 0 0 0 0 0 0 0 0 0 0 $.1 $.1^2 $.1 0 $.1 0 1 $.1^2\n    $.1^2 1 $.1^2 $.1^2 $.1^2 $.1^2 $.1^2 1 1 1 0 0 $.1 $.1 0 $.1^2 $.1 $.1 \n    $.1^2 1 1 $.1^2 1 1 1 1 $.1 0]\n[0 0 0 0 0 0 0 0 0 0 0 0 0 0 0 0 0 0 0 0 0 0 0 0 0 0 0 0 0 0 0 0 0 0 0 0 0 0 0 0\n    0 0 0 0 0 0 0 0 0 0 0 0 0 0 0 0 0 0 0 0 1]\nQuantum GF(2)-Additive code over GF(4) of length 61 with 71 generators.\nLower Bound: 1, Upper Bound: 27\nConstructed 2 distinct generator matrices\nTotal Ranks:     36  36 \nRelative Ranks:  36  25 \n(4 4 4 4 4 4 4 4 4 4 4 4 4 4 4 4 4 4 4 4 4 4 4 4 4 4 4 4 4 4 4 4 4 4 4 2 )\n(4 4 4 4 4 4 4 4 4 4 4 4 4 4 4 4 4 4 4 4 4 4 4 4 4 4 4 4 4 4 4 4 4 4 4 2 )\nTime Taken: 0.01\nStarting search for low weight codewords... (reset timings)\nEnumerating using 1 generator at a time:\n     New codeword identified of weight 23, time 0.00\n     New codeword identified of weight 21, time 0.00\n     New codeword identified of weight 13, time 0.00\n     Impurity detected of weight 1, time 0.00\n   Completed Matrix  1:  lower =  2, upper = 13. Elapsed: 0.00s\n   Completed Matrix  2:  lower =  2, upper = 13. Elapsed: 0.00s\nTermination predicted with 11 generators at matrix 2\nEnumerating using 2 generators at a time:\n   Completed Matrix  1:  lower =  3, upper = 13. Elapsed: 0.00s\n     New codeword identified of weight 11, time 0.00\n     Discarding non-contributing rank 25 matrix\n     New Total Ranks:     36 \n     New Relative Ranks:  36 \n   Completed Matrix  2:  lower =  3, upper = 11. Elapsed: 0.00s\nTermination predicted with 10 generators at matrix 1\nEnumerating using 3 generators at a time:\n   Completed Matrix  1:  lower =  4, upper = 11. Elapsed: 0.00s\nTermination predicted with 10 generators at matrix 1\nEnumerating using 4 generators at a time:\n   Completed Matrix  1:  lower =  5, upper = 11. Elapsed: 0.03s\nTermination predicted with 10 generators at matrix 1\nEnumerating using 5 generators at a time:\n   Completed Matrix  1:  lower =  6, upper = 11. Elapsed: 0.50s\nTermination predicted at 76914 s (21h 21m 54s) with 10 generators at matrix 1\nEnumerating using 6 generators at a time:\n   Completed Matrix  1:  lower =  7, upper = 11. Elapsed: 7.91s\nTermination predicted at 79288 s (22h 1m 28s) with 10 generators at matrix 1\nEnumerating using 7 generators at a time:\n   Completed Matrix  1:  lower =  8, upper = 11. Elapsed: 140.73s\nTermination predicted at 111153 s (1d 6h 52m 33s) with 10 generators at matrix 1\nEnumerating using 8 generators at a time:\n   Completed Matrix  1:  lower =  9, upper = 11. Elapsed: 1736.12s\nTermination predicted at 127958 s (1d 11h 32m 38s) with 10 generators at matrix \n1\nEnumerating using 9 generators at a time:\n   Completed Matrix  1:  lower = 10, upper = 11. Elapsed: 18142.94s\nTermination predicted at 145216 s (1d 16h 20m 16s) with 10 generators at matrix \n1\nEnumerating using 10 generators at a time:\n</t>
  </si>
  <si>
    <t>28800.029423792002</t>
  </si>
  <si>
    <t>Magma V2.28-26    Sat Jan 10 2026 10:40:16 on Marks-MacBook-Air-2 [Seed = \n3687882256]\nType ? for help.  Type &lt;Ctrl&gt;-D to quit.\n[1 0 0 0 0 0 0 0 0 0 0 0 0 0 0 0 0 0 0 0 0 0 0 0 0 0 0 0 0 0 0 0 0 0 0 0 0 0 0 0\n    0 0 0 0 0 0 0 0 0 0 0 0 0 0 0 0 0 0 1 0 1 1 0 0 1 0 0 0 0 0 1 1 1 1 0 0 1 1 \n    0 1 1 1 1 1 0 1 1 0 1 1 0 1 1 1 1 0 1 0 1 0 1 0 1 1 1 0 0 1 0 0 0 0 0 1 1 0 \n    0 0 0 1 0 0 0 0 1 1 0 0 1 0 0 0]\n[0 1 0 0 0 0 0 0 0 0 0 0 0 0 0 0 0 0 0 0 0 0 0 0 0 0 0 0 0 0 0 0 0 0 0 0 0 0 0 0\n    0 0 0 0 0 0 0 0 0 0 0 0 0 0 0 0 0 0 0 0 0 1 1 0 0 0 0 0 0 1 0 0 1 0 1 0 0 1 \n    0 0 0 1 1 0 0 1 0 0 0 0 0 0 1 1 1 0 0 0 1 1 1 0 0 0 1 1 0 0 0 0 0 0 1 0 0 1 \n    0 0 0 0 1 1 0 1 1 0 0 1 0 1 1 0]\n[0 0 1 0 0 0 0 0 0 0 0 0 0 0 0 0 0 0 0 0 0 0 0 0 0 0 0 0 0 0 0 0 0 0 0 0 0 0 0 0\n    0 0 0 0 0 0 0 0 0 0 0 0 0 0 0 0 0 0 1 0 1 1 1 0 0 0 1 1 0 1 1 1 0 0 1 0 0 0 \n    1 0 0 0 0 1 1 0 1 0 1 0 0 1 1 1 1 0 1 1 1 0 1 0 0 1 1 0 0 1 1 1 0 1 0 1 0 1 \n    1 0 1 0 1 1 1 0 1 1 0 0 1 0 0 0]\n[0 0 0 1 0 0 0 0 0 0 0 0 0 0 0 0 0 0 0 0 0 0 0 0 0 0 0 0 0 0 0 0 0 0 0 0 0 0 0 0\n    0 0 0 0 0 0 0 0 0 0 0 0 0 0 0 0 0 0 1 0 0 0 0 0 1 0 0 1 1 1 1 0 0 0 1 0 0 1 \n    0 0 0 0 0 1 0 1 0 1 1 1 0 0 0 1 1 1 1 0 1 0 1 0 1 1 1 0 0 1 1 0 1 1 0 0 1 1 \n    0 0 1 1 0 0 1 1 0 1 1 1 1 0 1 0]\n[0 0 0 0 1 0 0 0 0 0 0 0 0 0 0 0 0 0 0 0 0 0 0 0 0 0 0 0 0 0 0 0 0 0 0 0 0 0 0 0\n    0 0 0 0 0 0 0 0 0 0 0 0 0 0 0 0 0 0 1 0 0 1 1 0 1 0 1 1 0 0 1 0 0 1 1 1 1 0 \n    0 1 1 1 1 0 1 1 0 0 1 0 1 0 1 1 1 0 1 0 0 1 0 0 0 1 1 1 0 0 1 0 1 1 0 1 0 0 \n    1 1 1 1 0 0 0 0 1 0 0 0 0 1 1 0]\n[0 0 0 0 0 1 0 0 0 0 0 0 0 0 0 0 0 0 0 0 0 0 0 0 0 0 0 0 0 0 0 0 0 0 0 0 0 0 0 0\n    0 0 0 0 0 0 0 0 0 0 0 0 0 0 0 0 0 0 0 0 1 1 1 0 1 0 1 0 0 0 1 1 1 1 0 1 1 1 \n    0 1 0 0 0 1 1 0 1 0 0 1 1 0 0 1 0 0 0 1 1 0 1 0 0 0 1 1 0 0 0 0 1 0 0 1 0 0 \n    1 0 0 1 1 0 0 1 1 0 1 0 0 1 1 0]\n[0 0 0 0 0 0 1 0 0 0 0 0 0 0 0 0 0 0 0 0 0 0 0 0 0 0 0 0 0 0 0 0 0 0 0 0 0 0 0 0\n    0 0 0 0 0 0 0 0 0 0 0 0 0 0 0 0 0 0 1 0 0 1 0 0 1 0 1 0 1 1 1 0 1 0 1 0 1 0 \n    0 0 1 1 1 0 0 0 0 0 1 1 0 0 0 1 1 1 1 0 0 0 0 0 0 0 0 1 1 0 1 1 1 0 1 0 0 1 \n    1 1 1 1 0 0 1 0 0 1 0 0 0 0 1 0]\n[0 0 0 0 0 0 0 1 0 0 0 0 0 0 0 0 0 0 0 0 0 0 0 0 0 0 0 0 0 0 0 0 0 0 0 0 0 0 0 0\n    0 0 0 0 0 0 0 0 0 0 0 0 0 0 0 0 0 0 0 0 0 1 0 0 1 0 1 0 1 0 0 1 1 0 0 0 0 0 \n    1 1 1 1 0 0 0 0 0 1 1 0 1 1 0 1 0 0 0 0 1 1 1 1 1 0 1 0 1 0 0 1 1 1 0 0 1 0 \n    1 1 0 0 1 1 1 1 1 1 0 0 0 1 1 0]\n[0 0 0 0 0 0 0 0 1 0 0 0 0 0 0 0 0 0 0 0 0 0 0 0 0 0 0 0 0 0 0 0 0 0 0 0 0 0 0 0\n    0 0 0 0 0 0 0 0 0 0 0 0 0 0 0 0 0 0 1 0 1 1 0 0 1 0 0 1 0 0 0 1 0 0 0 1 1 0 \n    1 0 1 0 0 1 1 0 0 1 0 1 0 0 1 0 0 1 1 0 0 1 0 0 1 1 1 1 1 0 1 1 0 0 0 1 0 1 \n    1 0 1 1 1 0 0 1 0 0 1 0 1 0 0 0]\n[0 0 0 0 0 0 0 0 0 1 0 0 0 0 0 0 0 0 0 0 0 0 0 0 0 0 0 0 0 0 0 0 0 0 0 0 0 0 0 0\n    0 0 0 0 0 0 0 0 0 0 0 0 0 0 0 0 0 0 0 0 1 1 0 0 0 0 1 0 1 1 1 0 0 1 1 0 1 0 \n    1 1 1 0 0 0 1 1 0 1 0 1 0 0 1 1 0 0 0 1 1 1 0 0 1 1 0 0 1 0 0 0 0 0 1 1 1 1 \n    1 0 1 1 0 0 0 1 1 0 1 1 0 0 0 0]\n[0 0 0 0 0 0 0 0 0 0 1 0 0 0 0 0 0 0 0 0 0 0 0 0 0 0 0 0 0 0 0 0 0 0 0 0 0 0 0 0\n    0 0 0 0 0 0 0 0 0 0 0 0 0 0 0 0 0 0 0 0 1 1 0 0 0 0 0 1 1 0 1 1 0 0 1 0 1 1 \n    1 0 1 0 1 1 0 0 1 1 1 0 0 1 0 1 1 1 0 1 1 1 1 1 0 0 0 0 0 1 0 1 0 1 1 1 0 0 \n    1 1 1 1 0 1 1 1 1 0 0 1 1 0 1 0]\n[0 0 0 0 0 0 0 0 0 0 0 1 0 0 0 0 0 0 0 0 0 0 0 0 0 0 0 0 0 0 0 0 0 0 0 0 0 0 0 0\n    0 0 0 0 0 0 0 0 0 0 0 0 0 0 0 0 0 0 1 0 1 1 0 0 1 0 1 1 1 1 0 1 0 0 0 1 0 0 \n    1 1 0 1 1 1 0 1 0 1 1 1 0 0 1 1 0 1 1 1 1 0 0 1 0 1 0 0 0 1 1 0 1 0 0 1 1 1 \n    0 1 0 1 0 0 0 1 1 1 0 0 1 1 0 0]\n[0 0 0 0 0 0 0 0 0 0 0 0 1 0 0 0 0 0 0 0 0 0 0 0 0 0 0 0 0 0 0 0 0 0 0 0 0 0 0 0\n    0 0 0 0 0 0 0 0 0 0 0 0 0 0 0 0 0 0 0 0 1 1 0 0 0 0 1 1 1 0 0 1 1 0 1 0 1 0 \n    0 1 1 1 1 1 1 0 1 1 0 0 0 1 1 0 1 0 0 1 0 0 0 1 1 1 1 1 1 1 1 1 1 1 0 0 0 0 \n    0 1 0 0 1 0 1 1 0 1 0 1 1 1 0 0]\n[0 0 0 0 0 0 0 0 0 0 0 0 0 1 0 0 0 0 0 0 0 0 0 0 0 0 0 0 0 0 0 0 0 0 0 0 0 0 0 0\n    0 0 0 0 0 0 0 0 0 0 0 0 0 0 0 0 0 0 1 0 0 0 0 0 1 0 0 1 0 1 0 0 0 1 0 0 0 0 \n    1 0 1 0 0 0 1 0 0 1 1 1 1 1 1 0 1 1 0 1 1 1 0 0 1 0 0 0 0 1 1 1 0 0 0 1 0 1 \n    0 0 1 1 0 0 0 1 1 1 1 1 0 0 1 0]\n[0 0 0 0 0 0 0 0 0 0 0 0 0 0 1 0 0 0 0 0 0 0 0 0 0 0 0 0 0 0 0 0 0 0 0 0 0 0 0 0\n    0 0 0 0 0 0 0 0 0 0 0 0 0 0 0 0 0 0 1 0 0 1 0 0 0 0 1 1 0 1 1 0 0 1 0 0 0 0 \n    1 1 0 0 0 1 0 0 0 1 1 1 0 0 1 1 0 1 1 0 1 0 0 1 0 1 0 0 1 0 1 0 0 1 1 0 0 0 \n    1 0 1 1 1 1 1 0 0 0 0 1 0 1 0 0]\n[0 0 0 0 0 0 0 0 0 0 0 0 0 0 0 1 0 0 0 0 0 0 0 0 0 0 0 0 0 0 0 0 0 0 0 0 0 0 0 0\n    0 0 0 0 0 0 0 0 0 0 0 0 0 0 0 0 0 0 1 0 1 0 1 0 0 0 0 0 1 1 1 0 0 0 1 0 0 0 \n    0 1 1 1 0 1 0 1 0 1 0 1 1 0 0 1 1 1 0 1 0 0 1 0 1 1 0 1 1 1 0 1 1 0 1 0 1 1 \n    1 0 0 0 0 0 1 0 1 0 0 0 0 0 0 0]\n[0 0 0 0 0 0 0 0 0 0 0 0 0 0 0 0 1 0 0 0 0 0 0 0 0 0 0 0 0 0 0 0 0 0 0 0 0 0 0 0\n    0 0 0 0 0 0 0 0 0 0 0 0 0 0 0 0 0 0 1 0 0 1 0 0 1 0 0 1 1 1 1 1 0 1 0 1 1 0 \n    1 0 1 0 0 1 1 0 0 0 0 1 1 0 0 1 0 1 1 0 0 1 1 1 1 1 0 0 0 1 1 1 0 0 0 1 0 1 \n    1 0 1 0 1 0 1 0 1 0 0 1 0 1 0 0]\n[0 0 0 0 0 0 0 0 0 0 0 0 0 0 0 0 0 1 0 0 0 0 0 0 0 0 0 0 0 0 0 0 0 0 0 0 0 0 0 0\n    0 0 0 0 0 0 0 0 0 0 0 0 0 0 0 0 0 0 0 0 0 0 1 0 0 0 0 0 1 0 0 0 1 1 0 0 0 0 \n    0 0 0 1 0 0 1 1 1 0 1 0 1 0 0 0 0 1 0 0 0 0 1 1 0 0 0 0 0 1 0 0 1 1 0 1 1 1 \n    1 1 1 1 1 0 1 0 0 0 1 1 1 0 0 0]\n[0 0 0 0 0 0 0 0 0 0 0 0 0 0 0 0 0 0 1 0 0 0 0 0 0 0 0 0 0 0 0 0 0 0 0 0 0 0 0 0\n    0 0 0 0 0 0 0 0 0 0 0 0 0 0 0 0 0 0 1 0 1 0 0 0 1 0 1 0 1 0 1 1 1 1 0 1 0 1 \n    1 0 1 0 0 0 0 1 0 1 0 0 1 1 1 1 1 1 1 1 0 0 0 1 1 1 0 1 0 1 1 1 1 1 1 1 0 1 \n    1 1 1 1 1 0 1 0 1 0 0 0 0 0 1 0]\n[0 0 0 0 0 0 0 0 0 0 0 0 0 0 0 0 0 0 0 1 0 0 0 0 0 0 0 0 0 0 0 0 0 0 0 0 0 0 0 0\n    0 0 0 0 0 0 0 0 0 0 0 0 0 0 0 0 0 0 0 0 0 0 0 0 0 0 1 0 0 0 1 1 1 1 0 0 1 1 \n    1 1 0 1 1 0 1 0 1 0 1 0 1 0 0 0 1 1 0 1 0 0 1 1 1 0 0 0 0 1 1 1 0 0 1 0 1 0 \n    0 0 1 1 1 1 0 1 0 1 1 0 1 0 1 0]\n[0 0 0 0 0 0 0 0 0 0 0 0 0 0 0 0 0 0 0 0 1 0 0 0 0 0 0 0 0 0 0 0 0 0 0 0 0 0 0 0\n    0 0 0 0 0 0 0 0 0 0 0 0 0 0 0 0 0 0 0 0 0 1 1 0 1 0 1 1 1 0 1 0 0 0 0 1 0 0 \n    1 1 1 1 0 0 0 1 1 1 1 0 0 1 0 0 0 1 0 1 1 0 1 1 1 1 0 1 1 0 1 1 0 0 0 1 1 1 \n    0 1 0 1 0 0 0 1 0 0 0 0 1 0 1 0]\n[0 0 0 0 0 0 0 0 0 0 0 0 0 0 0 0 0 0 0 0 0 1 0 0 0 0 0 0 0 0 0 0 0 0 0 0 0 0 0 0\n    0 0 0 0 0 0 0 0 0 0 0 0 0 0 0 0 0 0 1 0 1 0 0 0 1 0 0 0 1 1 0 1 1 0 1 0 0 1 \n    0 0 0 0 1 1 0 0 1 0 1 0 1 1 1 1 1 1 0 1 0 0 0 0 0 0 0 1 1 1 0 1 0 0 1 0 0 1 \n    0 1 0 0 1 0 0 1 1 1 1 0 0 1 1 0]\n[0 0 0 0 0 0 0 0 0 0 0 0 0 0 0 0 0 0 0 0 0 0 1 0 0 0 0 0 0 0 0 0 0 0 0 0 0 0 0 0\n    0 0 0 0 0 0 0 0 0 0 0 0 0 0 0 0 0 0 1 0 1 1 0 0 0 0 0 0 0 1 0 0 1 0 1 1 1 0 \n    1 0 0 1 0 1 1 0 1 1 0 0 0 0 1 0 0 1 1 1 0 1 0 0 1 1 0 1 1 1 0 0 1 1 1 0 1 0 \n    1 1 1 1 1 0 1 0 0 1 0 0 0 0 0 0]\n[0 0 0 0 0 0 0 0 0 0 0 0 0 0 0 0 0 0 0 0 0 0 0 1 0 0 0 0 0 0 0 0 0 0 0 0 0 0 0 0\n    0 0 0 0 0 0 0 0 0 0 0 0 0 0 0 0 0 0 0 0 0 0 0 0 0 0 1 1 1 0 0 1 1 0 1 0 1 1 \n    1 0 0 1 1 0 1 0 0 1 1 0 0 1 0 0 0 0 0 1 1 1 0 0 1 0 0 1 1 1 1 1 0 0 1 0 1 1 \n    0 0 1 1 1 0 0 1 0 0 0 1 0 0 1 0]\n[0 0 0 0 0 0 0 0 0 0 0 0 0 0 0 0 0 0 0 0 0 0 0 0 1 0 0 0 0 0 0 0 0 0 0 0 0 0 0 0\n    0 0 0 0 0 0 0 0 0 0 0 0 0 0 0 0 0 0 0 0 0 1 0 0 0 0 1 0 0 0 1 0 0 1 1 1 1 1 \n    1 1 0 0 0 0 1 1 0 1 0 1 0 1 1 1 1 0 0 0 0 1 1 0 0 0 1 1 0 0 1 0 1 0 0 1 0 0 \n    0 0 1 0 1 1 0 0 0 1 1 1 0 0 1 0]\n[0 0 0 0 0 0 0 0 0 0 0 0 0 0 0 0 0 0 0 0 0 0 0 0 0 1 0 0 0 0 0 0 0 0 0 0 0 0 0 0\n    0 0 0 0 0 0 0 0 0 0 0 0 0 0 0 0 0 0 1 0 1 1 0 0 0 0 0 1 1 0 0 1 1 0 1 1 1 1 \n    0 0 1 1 1 0 1 1 1 0 1 0 0 0 0 0 0 0 1 1 1 1 0 0 0 0 0 1 1 0 1 1 0 1 0 0 1 1 \n    0 1 0 0 0 1 1 0 1 1 1 1 0 1 1 0]\n[0 0 0 0 0 0 0 0 0 0 0 0 0 0 0 0 0 0 0 0 0 0 0 0 0 0 1 0 0 0 0 0 0 0 0 0 0 0 0 0\n    0 0 0 0 0 0 0 0 0 0 0 0 0 0 0 0 0 0 1 0 1 1 0 0 1 0 1 0 1 1 1 0 1 0 1 1 0 1 \n    1 1 0 0 0 0 0 0 1 1 0 0 0 1 0 1 1 0 1 0 0 0 1 0 1 1 1 0 0 1 1 0 1 1 1 1 1 0 \n    1 1 1 1 1 1 1 0 0 1 1 0 0 0 0 0]\n[0 0 0 0 0 0 0 0 0 0 0 0 0 0 0 0 0 0 0 0 0 0 0 0 0 0 0 1 0 0 0 0 0 0 0 0 0 0 0 0\n    0 0 0 0 0 0 0 0 0 0 0 0 0 0 0 0 0 0 1 0 0 1 0 0 0 0 0 1 0 0 0 0 0 0 0 1 1 0 \n    1 0 0 1 0 0 1 0 1 1 1 1 1 1 1 1 0 0 0 1 1 0 1 0 1 0 1 1 0 0 1 1 1 0 0 1 1 1 \n    0 0 1 1 1 0 1 0 1 1 1 1 1 0 1 0]\n[0 0 0 0 0 0 0 0 0 0 0 0 0 0 0 0 0 0 0 0 0 0 0 0 0 0 0 0 1 0 0 0 0 0 0 0 0 0 0 0\n    0 0 0 0 0 0 0 0 0 0 0 0 0 0 0 0 0 0 0 0 0 1 1 0 1 0 0 0 1 1 0 1 1 1 1 0 1 1 \n    0 0 0 0 0 1 0 1 1 0 0 0 1 0 1 0 0 1 1 0 1 0 1 0 1 1 1 0 0 1 0 1 0 1 1 0 1 0 \n    1 0 1 1 1 1 0 1 1 0 1 0 1 1 0 0]\n[0 0 0 0 0 0 0 0 0 0 0 0 0 0 0 0 0 0 0 0 0 0 0 0 0 0 0 0 0 1 0 0 0 0 0 0 0 0 0 0\n    0 0 0 0 0 0 0 0 0 0 0 0 0 0 0 0 0 0 1 0 0 1 0 0 0 0 1 0 0 1 0 1 1 0 1 1 0 0 \n    0 0 0 0 1 1 1 1 1 1 1 1 0 0 0 0 0 1 1 0 1 0 1 1 0 0 0 0 1 1 0 1 1 0 1 1 1 0 \n    1 0 1 1 0 0 1 0 1 0 0 1 1 1 0 0]\n[0 0 0 0 0 0 0 0 0 0 0 0 0 0 0 0 0 0 0 0 0 0 0 0 0 0 0 0 0 0 1 0 0 0 0 0 0 0 0 0\n    0 0 0 0 0 0 0 0 0 0 0 0 0 0 0 0 0 0 0 0 0 1 0 0 1 0 0 0 1 0 1 0 0 0 0 1 0 0 \n    1 1 0 1 0 0 0 1 1 1 0 0 1 0 0 0 1 0 0 0 0 0 0 0 0 0 0 1 1 0 1 0 0 1 1 1 0 1 \n    1 1 1 1 0 1 0 0 1 1 1 1 1 0 0 0]\n[0 0 0 0 0 0 0 0 0 0 0 0 0 0 0 0 0 0 0 0 0 0 0 0 0 0 0 0 0 0 0 1 0 0 0 0 0 0 0 0\n    0 0 0 0 0 0 0 0 0 0 0 0 0 0 0 0 0 0 0 0 1 0 1 0 0 0 0 1 1 1 0 0 1 1 1 0 0 1 \n    0 1 0 0 1 1 0 1 0 1 1 1 1 0 0 1 0 1 1 1 0 0 1 0 1 1 1 0 1 1 0 0 0 1 0 1 0 1 \n    1 1 1 1 0 1 0 1 0 1 0 0 1 0 1 0]\n[0 0 0 0 0 0 0 0 0 0 0 0 0 0 0 0 0 0 0 0 0 0 0 0 0 0 0 0 0 0 0 0 1 0 0 0 0 0 0 0\n    0 0 0 0 0 0 0 0 0 0 0 0 0 0 0 0 0 0 1 0 1 1 1 0 1 0 0 1 0 0 0 0 1 0 1 0 1 0 \n    0 0 0 1 0 1 0 1 0 1 1 1 0 0 0 0 1 0 1 1 0 1 1 0 1 1 0 0 0 1 0 1 0 1 1 1 1 1 \n    0 0 1 1 1 1 1 0 1 0 1 1 0 1 0 0]\n[0 0 0 0 0 0 0 0 0 0 0 0 0 0 0 0 0 0 0 0 0 0 0 0 0 0 0 0 0 0 0 0 0 1 0 0 0 0 0 0\n    0 0 0 0 0 0 0 0 0 0 0 0 0 0 0 0 0 0 1 0 1 1 0 0 0 0 0 1 1 1 1 1 0 1 1 0 1 0 \n    1 1 1 0 1 1 1 1 0 0 0 0 0 1 0 1 0 0 0 0 0 1 1 1 1 1 0 0 0 1 1 0 0 0 0 1 0 1 \n    1 1 1 0 0 1 1 0 1 0 1 1 1 1 0 0]\n[0 0 0 0 0 0 0 0 0 0 0 0 0 0 0 0 0 0 0 0 0 0 0 0 0 0 0 0 0 0 0 0 0 0 1 0 0 0 0 0\n    0 0 0 0 0 0 0 0 0 0 0 0 0 0 0 0 0 0 1 0 1 1 0 0 1 0 1 0 1 1 1 0 1 1 0 1 0 0 \n    1 1 0 0 1 0 0 1 1 1 0 0 1 0 1 0 0 0 1 0 0 0 1 0 1 1 0 0 0 0 1 0 1 1 1 0 1 0 \n    1 0 0 1 0 1 0 1 0 1 1 1 1 0 1 0]\n[0 0 0 0 0 0 0 0 0 0 0 0 0 0 0 0 0 0 0 0 0 0 0 0 0 0 0 0 0 0 0 0 0 0 0 1 0 0 0 0\n    0 0 0 0 0 0 0 0 0 0 0 0 0 0 0 0 0 0 0 0 0 1 1 0 1 0 0 0 1 1 1 1 0 1 0 0 1 1 \n    0 0 1 1 1 0 0 1 1 1 1 0 1 1 1 0 1 0 1 1 1 0 0 0 1 0 0 1 1 0 1 0 1 0 0 0 1 0 \n    1 0 1 1 1 1 1 0 0 1 0 1 1 0 0 0]\n[0 0 0 0 0 0 0 0 0 0 0 0 0 0 0 0 0 0 0 0 0 0 0 0 0 0 0 0 0 0 0 0 0 0 0 0 1 0 0 0\n    0 0 0 0 0 0 0 0 0 0 0 0 0 0 0 0 0 0 1 0 1 1 0 0 0 0 0 1 1 1 0 0 0 1 0 0 0 1 \n    0 0 0 0 1 1 0 0 1 0 0 0 0 0 0 1 1 1 0 0 1 1 1 0 0 0 1 0 1 1 0 1 1 0 0 1 1 1 \n    1 0 1 0 0 0 1 1 1 0 0 0 1 0 1 0]\n[0 0 0 0 0 0 0 0 0 0 0 0 0 0 0 0 0 0 0 0 0 0 0 0 0 0 0 0 0 0 0 0 0 0 0 0 0 1 0 0\n    0 0 0 0 0 0 0 0 0 0 0 0 0 0 0 0 0 0 0 0 0 0 0 0 1 0 0 1 0 0 0 0 0 1 0 0 0 0 \n    0 1 1 1 0 1 0 1 1 1 1 1 0 1 0 1 0 0 0 1 1 1 1 1 1 0 0 1 1 1 0 1 0 1 0 1 1 1 \n    1 0 0 0 1 0 0 1 1 1 0 1 1 0 1 0]\n[0 0 0 0 0 0 0 0 0 0 0 0 0 0 0 0 0 0 0 0 0 0 0 0 0 0 0 0 0 0 0 0 0 0 0 0 0 0 1 0\n    0 0 0 0 0 0 0 0 0 0 0 0 0 0 0 0 0 0 1 0 1 0 0 0 1 0 1 0 0 0 1 1 0 1 1 0 0 0 \n    1 0 1 1 0 0 1 0 0 0 1 1 1 0 1 1 0 0 0 1 0 1 1 1 0 0 1 1 0 1 0 0 0 1 1 1 0 0 \n    1 0 1 1 0 1 1 1 1 1 0 0 1 1 0 0]\n[0 0 0 0 0 0 0 0 0 0 0 0 0 0 0 0 0 0 0 0 0 0 0 0 0 0 0 0 0 0 0 0 0 0 0 0 0 0 0 1\n    0 0 0 0 0 0 0 0 0 0 0 0 0 0 0 0 0 0 1 0 0 0 0 0 1 0 1 1 1 1 1 1 0 0 1 1 0 1 \n    1 0 0 0 1 0 1 1 0 1 1 0 0 1 0 1 1 1 0 1 1 1 1 1 0 1 0 1 1 1 1 1 1 1 1 1 0 1 \n    0 1 1 1 1 0 0 1 0 0 0 0 0 0 0 0]\n[0 0 0 0 0 0 0 0 0 0 0 0 0 0 0 0 0 0 0 0 0 0 0 0 0 0 0 0 0 0 0 0 0 0 0 0 0 0 0 0\n    1 0 0 0 0 0 0 0 0 0 0 0 0 0 0 0 0 0 0 0 1 1 1 0 1 0 0 0 1 0 1 0 0 1 0 0 0 0 \n    0 1 1 1 1 1 0 1 0 0 1 1 1 0 0 1 1 0 1 0 1 1 1 0 1 1 0 1 1 1 0 1 0 0 0 1 0 1 \n    1 1 1 1 1 0 0 1 1 1 1 0 0 0 1 0]\n[0 0 0 0 0 0 0 0 0 0 0 0 0 0 0 0 0 0 0 0 0 0 0 0 0 0 0 0 0 0 0 0 0 0 0 0 0 0 0 0\n    0 1 0 0 0 0 0 0 0 0 0 0 0 0 0 0 0 0 1 0 0 1 0 0 1 0 0 0 1 0 0 0 0 0 0 1 1 0 \n    1 1 0 1 0 1 1 0 0 1 1 1 0 1 1 0 1 0 0 0 0 1 0 0 1 0 0 0 1 0 1 1 0 1 0 0 0 0 \n    0 0 0 1 0 0 0 1 1 0 1 0 1 0 0 0]\n[0 0 0 0 0 0 0 0 0 0 0 0 0 0 0 0 0 0 0 0 0 0 0 0 0 0 0 0 0 0 0 0 0 0 0 0 0 0 0 0\n    0 0 1 0 0 0 0 0 0 0 0 0 0 0 0 0 0 0 0 0 0 0 0 0 1 0 0 0 0 1 0 1 0 1 1 1 0 1 \n    0 1 0 0 1 0 1 0 0 0 1 0 1 1 1 1 0 1 1 1 0 0 0 1 0 0 1 0 1 1 1 0 0 0 0 1 0 0 \n    1 0 0 1 1 0 0 1 0 1 0 1 0 0 1 0]\n[0 0 0 0 0 0 0 0 0 0 0 0 0 0 0 0 0 0 0 0 0 0 0 0 0 0 0 0 0 0 0 0 0 0 0 0 0 0 0 0\n    0 0 0 1 0 0 0 0 0 0 0 0 0 0 0 0 0 0 1 0 0 1 1 0 0 0 1 0 0 1 0 1 1 0 1 0 0 1 \n    1 0 0 0 1 1 0 0 1 0 0 0 0 1 1 1 0 1 1 1 1 1 1 1 1 1 0 0 0 1 0 0 1 0 0 1 1 1 \n    0 1 0 0 0 0 1 1 0 0 1 1 1 0 1 0]\n[0 0 0 0 0 0 0 0 0 0 0 0 0 0 0 0 0 0 0 0 0 0 0 0 0 0 0 0 0 0 0 0 0 0 0 0 0 0 0 0\n    0 0 0 0 1 0 0 0 0 0 0 0 0 0 0 0 0 0 1 0 1 0 0 0 0 0 0 0 1 1 0 0 0 0 0 0 1 1 \n    1 1 1 0 0 1 1 1 1 1 0 0 0 1 1 0 1 1 0 1 0 1 1 0 1 1 0 0 1 1 0 0 0 0 1 1 0 1 \n    0 1 0 1 0 0 0 1 1 1 0 0 1 0 0 0]\n[0 0 0 0 0 0 0 0 0 0 0 0 0 0 0 0 0 0 0 0 0 0 0 0 0 0 0 0 0 0 0 0 0 0 0 0 0 0 0 0\n    0 0 0 0 0 1 0 0 0 0 0 0 0 0 0 0 0 0 1 0 1 1 0 0 1 0 0 1 1 0 1 0 0 1 0 0 1 0 \n    1 0 0 1 1 0 1 0 0 1 1 0 0 1 1 0 0 0 0 1 0 1 1 0 0 1 0 1 0 0 1 0 0 0 0 0 0 1 \n    0 0 0 1 0 0 1 0 1 0 0 1 1 0 1 0]\n[0 0 0 0 0 0 0 0 0 0 0 0 0 0 0 0 0 0 0 0 0 0 0 0 0 0 0 0 0 0 0 0 0 0 0 0 0 0 0 0\n    0 0 0 0 0 0 1 0 0 0 0 0 0 0 0 0 0 0 0 0 1 1 0 0 1 0 1 0 0 1 0 0 0 1 0 0 0 1 \n    0 1 0 1 1 1 1 1 0 0 0 1 1 0 1 1 1 0 1 1 1 1 1 0 0 0 0 1 0 1 0 0 0 1 0 0 1 0 \n    1 1 0 0 0 0 1 0 0 0 1 0 1 0 0 0]\n[0 0 0 0 0 0 0 0 0 0 0 0 0 0 0 0 0 0 0 0 0 0 0 0 0 0 0 0 0 0 0 0 0 0 0 0 0 0 0 0\n    0 0 0 0 0 0 0 1 0 0 0 0 0 0 0 0 0 0 0 0 1 1 0 0 0 0 0 0 1 1 1 1 0 0 1 1 0 0 \n    1 0 0 1 0 1 1 1 1 1 0 1 0 0 1 0 1 1 1 0 0 1 1 1 1 1 1 0 1 1 1 0 0 0 0 1 1 0 \n    0 1 0 0 1 1 0 1 0 0 1 1 0 0 1 0]\n[0 0 0 0 0 0 0 0 0 0 0 0 0 0 0 0 0 0 0 0 0 0 0 0 0 0 0 0 0 0 0 0 0 0 0 0 0 0 0 0\n    0 0 0 0 0 0 0 0 1 0 0 0 0 0 0 0 0 0 0 0 0 1 0 0 0 0 0 1 1 1 1 0 0 1 1 0 1 0 \n    1 0 0 1 1 1 0 1 0 0 1 0 0 0 0 1 0 1 1 0 0 1 1 1 1 1 0 1 0 0 0 0 1 0 0 0 0 0 \n    0 0 0 1 0 1 1 0 0 1 1 1 1 0 1 0]\n[0 0 0 0 0 0 0 0 0 0 0 0 0 0 0 0 0 0 0 0 0 0 0 0 0 0 0 0 0 0 0 0 0 0 0 0 0 0 0 0\n    0 0 0 0 0 0 0 0 0 1 0 0 0 0 0 0 0 0 0 0 1 0 0 0 0 0 1 1 0 1 1 1 0 0 1 0 0 0 \n    0 1 1 0 0 0 0 1 1 1 1 1 1 1 0 1 1 1 0 1 1 1 0 0 0 1 1 0 0 0 0 1 0 0 1 1 1 1 \n    0 1 0 1 1 0 1 1 1 1 0 0 0 0 0 0]\n[0 0 0 0 0 0 0 0 0 0 0 0 0 0 0 0 0 0 0 0 0 0 0 0 0 0 0 0 0 0 0 0 0 0 0 0 0 0 0 0\n    0 0 0 0 0 0 0 0 0 0 1 0 0 0 0 0 0 0 1 0 1 1 0 0 1 0 1 1 1 0 0 0 1 0 0 1 1 1 \n    0 1 0 1 0 1 1 0 0 1 0 0 1 1 0 0 0 1 1 1 1 1 0 1 0 1 0 1 0 1 0 1 0 1 0 0 1 0 \n    1 0 1 1 1 0 0 1 0 0 1 0 0 1 1 0]\n[0 0 0 0 0 0 0 0 0 0 0 0 0 0 0 0 0 0 0 0 0 0 0 0 0 0 0 0 0 0 0 0 0 0 0 0 0 0 0 0\n    0 0 0 0 0 0 0 0 0 0 0 1 0 0 0 0 0 0 0 0 0 0 0 0 1 0 0 0 1 1 1 0 0 0 0 0 0 1 \n    1 1 0 1 0 0 0 1 1 0 1 1 1 0 1 1 1 0 1 1 1 1 1 1 1 1 0 1 1 0 1 1 1 1 1 0 1 1 \n    1 0 1 0 0 1 0 0 0 1 0 0 1 1 0 0]\n[0 0 0 0 0 0 0 0 0 0 0 0 0 0 0 0 0 0 0 0 0 0 0 0 0 0 0 0 0 0 0 0 0 0 0 0 0 0 0 0\n    0 0 0 0 0 0 0 0 0 0 0 0 1 0 0 0 0 0 1 0 1 0 0 0 0 0 0 1 0 0 0 0 1 0 1 0 1 0 \n    1 1 0 1 0 0 1 0 1 1 1 1 0 0 1 0 0 1 0 0 0 1 0 0 0 0 1 1 1 0 1 0 1 0 1 0 1 0 \n    1 0 0 0 0 1 0 1 1 0 1 0 0 1 1 0]\n[0 0 0 0 0 0 0 0 0 0 0 0 0 0 0 0 0 0 0 0 0 0 0 0 0 0 0 0 0 0 0 0 0 0 0 0 0 0 0 0\n    0 0 0 0 0 0 0 0 0 0 0 0 0 1 0 0 0 0 1 0 1 1 0 0 0 0 0 1 0 1 1 0 0 1 0 0 1 0 \n    1 0 0 1 1 1 1 0 1 1 0 0 1 0 0 0 1 1 0 0 0 0 1 0 0 1 1 1 0 0 1 0 0 1 0 0 0 1 \n    0 1 0 1 0 1 0 1 1 0 1 1 0 0 1 0]\n[0 0 0 0 0 0 0 0 0 0 0 0 0 0 0 0 0 0 0 0 0 0 0 0 0 0 0 0 0 0 0 0 0 0 0 0 0 0 0 0\n    0 0 0 0 0 0 0 0 0 0 0 0 0 0 1 0 0 0 1 0 1 0 1 0 1 0 0 1 1 1 0 0 0 1 1 0 1 0 \n    0 1 1 0 1 0 0 0 1 1 0 0 0 0 0 1 1 0 1 0 0 0 1 1 0 1 1 1 0 0 1 0 0 1 1 1 0 1 \n    1 0 1 0 0 1 1 1 1 0 1 1 1 1 1 0]\n[0 0 0 0 0 0 0 0 0 0 0 0 0 0 0 0 0 0 0 0 0 0 0 0 0 0 0 0 0 0 0 0 0 0 0 0 0 0 0 0\n    0 0 0 0 0 0 0 0 0 0 0 0 0 0 0 1 0 0 1 0 1 0 1 0 0 0 0 0 1 1 0 1 1 0 0 1 0 0 \n    0 1 0 1 0 0 1 1 1 0 0 0 0 1 0 0 0 1 0 1 1 0 1 0 0 0 1 1 1 0 0 1 0 0 1 1 1 0 \n    1 0 1 1 0 1 1 1 1 0 1 0 0 1 0 0]\n[0 0 0 0 0 0 0 0 0 0 0 0 0 0 0 0 0 0 0 0 0 0 0 0 0 0 0 0 0 0 0 0 0 0 0 0 0 0 0 0\n    0 0 0 0 0 0 0 0 0 0 0 0 0 0 0 0 1 0 0 0 0 0 0 0 1 0 1 1 0 0 1 0 0 0 1 1 1 1 \n    0 1 1 0 1 1 1 1 1 0 0 1 1 1 0 0 0 1 0 0 0 0 0 1 1 1 0 0 0 0 1 0 1 1 0 0 0 0 \n    0 0 0 0 1 0 1 0 0 0 1 0 0 0 0 0]\n[0 0 0 0 0 0 0 0 0 0 0 0 0 0 0 0 0 0 0 0 0 0 0 0 0 0 0 0 0 0 0 0 0 0 0 0 0 0 0 0\n    0 0 0 0 0 0 0 0 0 0 0 0 0 0 0 0 0 1 0 0 0 0 1 0 0 0 1 0 0 1 0 1 0 1 0 0 1 0 \n    1 0 1 0 0 1 1 0 0 0 1 1 1 1 0 0 0 0 1 0 0 0 0 1 1 1 1 0 1 0 0 1 0 1 1 0 0 1 \n    1 0 1 0 1 1 1 1 0 1 0 1 0 1 1 0]\n[0 0 0 0 0 0 0 0 0 0 0 0 0 0 0 0 0 0 0 0 0 0 0 0 0 0 0 0 0 0 0 0 0 0 0 0 0 0 0 0\n    0 0 0 0 0 0 0 0 0 0 0 0 0 0 0 0 0 0 0 1 1 0 0 0 0 0 1 1 0 0 1 0 1 1 1 1 0 1 \n    1 0 0 1 0 0 0 0 1 0 1 0 0 0 0 0 0 0 0 0 0 1 0 0 0 1 1 0 1 1 1 0 1 0 1 1 0 1 \n    1 1 1 1 0 0 1 0 0 1 0 0 1 0 0 0]\n[0 0 0 0 0 0 0 0 0 0 0 0 0 0 0 0 0 0 0 0 0 0 0 0 0 0 0 0 0 0 0 0 0 0 0 0 0 0 0 0\n    0 0 0 0 0 0 0 0 0 0 0 0 0 0 0 0 0 0 0 0 0 0 0 1 0 0 0 1 0 0 1 1 0 1 0 0 0 1 \n    1 0 1 0 1 0 0 0 0 1 0 0 0 1 0 0 1 1 0 0 1 1 0 0 0 0 1 0 0 0 0 0 0 0 0 0 0 0 \n    1 1 1 0 1 1 0 1 0 0 0 0 0 0 0 0]\n[0 0 0 0 0 0 0 0 0 0 0 0 0 0 0 0 0 0 0 0 0 0 0 0 0 0 0 0 0 0 0 0 0 0 0 0 0 0 0 0\n    0 0 0 0 0 0 0 0 0 0 0 0 0 0 0 0 0 0 0 0 0 0 0 0 0 1 0 0 0 0 0 0 0 0 0 0 0 0 \n    0 0 0 0 0 0 0 0 0 0 0 0 0 0 0 0 0 0 0 0 0 0 0 0 0 0 0 0 0 0 0 0 0 0 0 0 0 0 \n    0 0 0 0 0 0 0 0 0 0 0 0 0 0 0 0]\n[[66, 5]] quantum code over GF(2^2), stabilised by:\n[1 0 0 0 0 0 0 0 0 0 0 0 0 0 0 0 0 0 0 0 0 0 0 0 0 0 0 0 0 0 1 0 $.1^2 0 0 1 $.1\n    $.1 1 $.1 0 $.1 $.1 0 $.1 $.1^2 0 0 0 $.1 $.1 $.1^2 $.1^2 1 1 $.1^2 $.1 \n    $.1^2 $.1 0 0 $.1 $.1^2 $.1^2 $.1 0]\n[$.1 0 0 0 0 0 0 0 0 0 0 0 0 0 0 0 0 0 0 0 0 0 0 0 0 0 0 0 0 0 $.1 0 1 0 0 $.1 \n    $.1^2 $.1^2 $.1 $.1^2 0 $.1^2 $.1^2 0 $.1^2 1 0 0 0 $.1^2 $.1^2 1 1 $.1 $.1 \n    1 $.1^2 1 $.1^2 0 0 $.1^2 1 1 $.1^2 0]\n[0 1 0 0 0 0 0 0 0 0 0 0 0 0 0 0 0 0 0 0 0 0 0 0 0 1 0 0 0 0 $.1^2 0 1 0 1 $.1 \n    $.1^2 $.1^2 0 $.1^2 $.1^2 1 0 $.1 0 $.1^2 $.1 $.1^2 $.1^2 1 1 $.1^2 0 1 0 \n    $.1 0 $.1^2 $.1^2 1 1 $.1^2 $.1 1 0 0]\n[0 $.1 0 0 0 0 0 0 0 0 0 0 0 0 0 0 0 0 0 0 0 0 0 0 0 $.1 0 0 0 0 1 0 $.1 0 $.1 \n    $.1^2 1 1 0 1 1 $.1 0 $.1^2 0 1 $.1^2 1 1 $.1 $.1 1 0 $.1 0 $.1^2 0 1 1 $.1 \n    $.1 1 $.1^2 $.1 0 0]\n[0 0 1 0 0 0 0 0 0 0 0 0 0 0 0 0 0 0 0 0 0 0 0 0 0 $.1 0 0 0 0 $.1 0 $.1^2 1 1 \n    $.1^2 $.1 0 $.1^2 $.1^2 $.1^2 1 $.1 1 $.1 $.1 0 0 1 $.1^2 1 0 $.1 $.1^2 0 \n    $.1 $.1 1 0 0 $.1^2 1 0 $.1 $.1 0]\n[0 0 $.1 0 0 0 0 0 0 0 0 0 0 0 0 0 0 0 0 0 0 0 0 0 0 $.1^2 0 0 0 0 $.1^2 0 1 $.1\n    $.1 1 $.1^2 0 1 1 1 $.1 $.1^2 $.1 $.1^2 $.1^2 0 0 $.1 1 $.1 0 $.1^2 1 0 \n    $.1^2 $.1^2 $.1 0 0 1 $.1 0 $.1^2 $.1^2 0]\n[0 0 0 1 0 0 0 0 0 0 0 0 0 0 0 0 0 0 0 0 0 0 0 0 0 $.1 0 0 0 0 $.1^2 0 $.1^2 0 \n    $.1 $.1^2 0 1 $.1^2 0 1 $.1^2 $.1^2 $.1^2 0 1 0 0 $.1 $.1 $.1^2 1 1 $.1^2 \n    $.1^2 1 $.1 $.1 $.1^2 $.1^2 $.1 1 $.1 $.1^2 1 0]\n[0 0 0 $.1 0 0 0 0 0 0 0 0 0 0 0 0 0 0 0 0 0 0 0 0 0 $.1^2 0 0 0 0 1 0 1 0 $.1^2\n    1 0 $.1 1 0 $.1 1 1 1 0 $.1 0 0 $.1^2 $.1^2 1 $.1 $.1 1 1 $.1 $.1^2 $.1^2 1 \n    1 $.1^2 $.1 $.1^2 1 $.1 0]\n[0 0 0 0 1 0 0 0 0 0 0 0 0 0 0 0 0 0 0 0 0 0 0 0 0 $.1 0 0 0 0 $.1^2 0 0 0 1 \n    $.1^2 0 0 $.1^2 0 1 $.1 $.1 $.1 $.1 $.1 $.1 0 $.1^2 1 1 1 1 0 $.1 1 1 $.1 \n    $.1 0 1 1 0 0 1 0]\n[0 0 0 0 $.1 0 0 0 0 0 0 0 0 0 0 0 0 0 0 0 0 0 0 0 0 $.1^2 0 0 0 0 1 0 0 0 $.1 1\n    0 0 1 0 $.1 $.1^2 $.1^2 $.1^2 $.1^2 $.1^2 $.1^2 0 1 $.1 $.1 $.1 $.1 0 $.1^2 \n    $.1 $.1 $.1^2 $.1^2 0 $.1 $.1 0 0 $.1 0]\n[0 0 0 0 0 1 0 0 0 0 0 0 0 0 0 0 0 0 0 0 0 0 0 0 0 $.1 0 0 0 0 $.1^2 0 1 0 0 0 \n    $.1^2 $.1 0 $.1 1 0 1 $.1 $.1 $.1^2 $.1^2 $.1 $.1 0 $.1^2 $.1 1 1 $.1^2 $.1 \n    0 1 $.1^2 0 $.1 $.1^2 $.1^2 1 1 0]\n[0 0 0 0 0 $.1 0 0 0 0 0 0 0 0 0 0 0 0 0 0 0 0 0 0 0 $.1^2 0 0 0 0 1 0 $.1 0 0 0\n    1 $.1^2 0 $.1^2 $.1 0 $.1 $.1^2 $.1^2 1 1 $.1^2 $.1^2 0 1 $.1^2 $.1 $.1 1 \n    $.1^2 0 $.1 1 0 $.1^2 1 1 $.1 $.1 0]\n[0 0 0 0 0 0 1 0 0 0 0 0 0 0 0 0 0 0 0 0 0 0 0 0 0 1 0 0 0 0 0 0 0 0 1 0 0 1 $.1\n    1 $.1 $.1^2 $.1 0 $.1 1 $.1 0 $.1 0 $.1^2 $.1^2 0 $.1^2 0 0 $.1^2 1 $.1 0 1 \n    1 $.1^2 1 1 0]\n[0 0 0 0 0 0 $.1 0 0 0 0 0 0 0 0 0 0 0 0 0 0 0 0 0 0 $.1 0 0 0 0 0 0 0 0 $.1 0 0\n    $.1 $.1^2 $.1 $.1^2 1 $.1^2 0 $.1^2 $.1 $.1^2 0 $.1^2 0 1 1 0 1 0 0 1 $.1 \n    $.1^2 0 $.1 $.1 1 $.1 $.1 0]\n[0 0 0 0 0 0 0 1 0 0 0 0 0 0 0 0 0 0 0 0 0 0 0 0 0 $.1 0 0 0 0 $.1 0 0 $.1^2 0 \n    $.1 $.1^2 1 1 $.1 $.1 1 0 1 1 $.1 $.1 $.1 $.1 $.1^2 1 $.1^2 $.1^2 1 0 $.1^2 \n    0 0 $.1 $.1^2 $.1 1 $.1 $.1 $.1 0]\n[0 0 0 0 0 0 0 $.1 0 0 0 0 0 0 0 0 0 0 0 0 0 0 0 0 0 $.1^2 0 0 0 0 $.1^2 0 0 1 0\n    $.1^2 1 $.1 $.1 $.1^2 $.1^2 $.1 0 $.1 $.1 $.1^2 $.1^2 $.1^2 $.1^2 1 $.1 1 1 \n    $.1 0 1 0 0 $.1^2 1 $.1^2 $.1 $.1^2 $.1^2 $.1^2 0]\n[0 0 0 0 0 0 0 0 1 0 0 0 0 0 0 0 0 0 0 0 0 0 0 0 0 $.1^2 0 0 0 0 1 0 1 0 0 $.1 \n    $.1 1 1 $.1 1 $.1^2 0 0 $.1 1 0 0 $.1^2 $.1 0 1 $.1^2 $.1 1 $.1 $.1^2 1 0 \n    $.1^2 1 0 0 $.1 1 0]\n[0 0 0 0 0 0 0 0 $.1 0 0 0 0 0 0 0 0 0 0 0 0 0 0 0 0 1 0 0 0 0 $.1 0 $.1 0 0 \n    $.1^2 $.1^2 $.1 $.1 $.1^2 $.1 1 0 0 $.1^2 $.1 0 0 1 $.1^2 0 $.1 1 $.1^2 $.1 \n    $.1^2 1 $.1 0 1 $.1 0 0 $.1^2 $.1 0]\n[0 0 0 0 0 0 0 0 0 1 0 0 0 0 0 0 0 0 0 0 0 0 0 0 0 1 0 0 0 0 $.1^2 0 1 $.1 $.1 \n    $.1 $.1 0 $.1^2 0 $.1^2 $.1^2 $.1 0 $.1 $.1^2 1 1 0 0 $.1 $.1^2 1 0 1 $.1^2 \n    1 0 $.1 $.1 1 $.1^2 $.1 $.1 0 0]\n[0 0 0 0 0 0 0 0 0 $.1 0 0 0 0 0 0 0 0 0 0 0 0 0 0 0 $.1 0 0 0 0 1 0 $.1 $.1^2 \n    $.1^2 $.1^2 $.1^2 0 1 0 1 1 $.1^2 0 $.1^2 1 $.1 $.1 0 0 $.1^2 1 $.1 0 $.1 1 \n    $.1 0 $.1^2 $.1^2 $.1 1 $.1^2 $.1^2 0 0]\n[0 0 0 0 0 0 0 0 0 0 1 0 0 0 0 0 0 0 0 0 0 0 0 0 0 1 0 0 0 0 $.1 0 1 1 $.1^2 1 \n    $.1 $.1^2 1 1 0 0 0 1 $.1^2 1 0 $.1^2 $.1^2 0 0 $.1^2 0 1 0 $.1^2 0 $.1^2 1 \n    1 $.1 $.1^2 1 $.1 0 0]\n[0 0 0 0 0 0 0 0 0 0 $.1 0 0 0 0 0 0 0 0 0 0 0 0 0 0 $.1 0 0 0 0 $.1^2 0 $.1 $.1\n    1 $.1 $.1^2 1 $.1 $.1 0 0 0 $.1 1 $.1 0 1 1 0 0 1 0 $.1 0 1 0 1 $.1 $.1 \n    $.1^2 1 $.1 $.1^2 0 0]\n[0 0 0 0 0 0 0 0 0 0 0 1 0 0 0 0 0 0 0 0 0 0 0 0 0 0 0 0 0 0 1 0 $.1 1 $.1 $.1 \n    $.1 0 $.1^2 0 $.1^2 $.1 1 0 $.1 $.1 $.1^2 0 1 0 1 $.1 0 0 $.1^2 $.1^2 1 1 \n    $.1 $.1 $.1 1 $.1 $.1 1 0]\n[0 0 0 0 0 0 0 0 0 0 0 $.1 0 0 0 0 0 0 0 0 0 0 0 0 0 0 0 0 0 0 $.1 0 $.1^2 $.1 \n    $.1^2 $.1^2 $.1^2 0 1 0 1 $.1^2 $.1 0 $.1^2 $.1^2 1 0 $.1 0 $.1 $.1^2 0 0 1 \n    1 $.1 $.1 $.1^2 $.1^2 $.1^2 $.1 $.1^2 $.1^2 $.1 0]\n[0 0 0 0 0 0 0 0 0 0 0 0 1 0 0 0 0 0 0 0 0 0 0 0 0 0 0 0 0 0 1 0 $.1^2 $.1 $.1^2\n    $.1^2 $.1^2 $.1^2 $.1^2 1 0 0 0 0 1 0 $.1^2 $.1^2 $.1^2 0 $.1^2 $.1^2 0 1 \n    $.1^2 $.1 1 1 1 0 1 $.1^2 0 $.1 $.1 0]\n[0 0 0 0 0 0 0 0 0 0 0 0 $.1 0 0 0 0 0 0 0 0 0 0 0 0 0 0 0 0 0 $.1 0 1 $.1^2 1 1\n    1 1 1 $.1 0 0 0 0 $.1 0 1 1 1 0 1 1 0 $.1 1 $.1^2 $.1 $.1 $.1 0 $.1 1 0 \n    $.1^2 $.1^2 0]\n[0 0 0 0 0 0 0 0 0 0 0 0 0 1 0 0 0 0 0 0 0 0 0 0 0 $.1 0 0 0 0 0 0 $.1^2 $.1 \n    $.1^2 $.1 $.1 $.1 $.1 $.1 1 1 0 $.1 0 1 1 $.1 0 $.1 1 0 $.1^2 1 $.1 1 $.1^2 \n    $.1^2 1 $.1^2 $.1 0 $.1 $.1 1 0]\n[0 0 0 0 0 0 0 0 0 0 0 0 0 $.1 0 0 0 0 0 0 0 0 0 0 0 $.1^2 0 0 0 0 0 0 1 $.1^2 1\n    $.1^2 $.1^2 $.1^2 $.1^2 $.1^2 $.1 $.1 0 $.1^2 0 $.1 $.1 $.1^2 0 $.1^2 $.1 0 \n    1 $.1 $.1^2 $.1 1 1 $.1 1 $.1^2 0 $.1^2 $.1^2 $.1 0]\n[0 0 0 0 0 0 0 0 0 0 0 0 0 0 1 0 0 0 0 0 0 0 0 0 0 $.1^2 0 0 0 0 1 0 $.1^2 $.1 0\n    $.1 $.1 1 $.1^2 $.1^2 $.1^2 $.1^2 1 0 $.1^2 1 $.1 $.1^2 $.1 $.1^2 $.1^2 0 1 \n    $.1^2 1 $.1 1 $.1 $.1 0 $.1 0 $.1^2 $.1 0 0]\n[0 0 0 0 0 0 0 0 0 0 0 0 0 0 $.1 0 0 0 0 0 0 0 0 0 0 1 0 0 0 0 $.1 0 1 $.1^2 0 \n    $.1^2 $.1^2 $.1 1 1 1 1 $.1 0 1 $.1 $.1^2 1 $.1^2 1 1 0 $.1 1 $.1 $.1^2 $.1 \n    $.1^2 $.1^2 0 $.1^2 0 1 $.1^2 0 0]\n[0 0 0 0 0 0 0 0 0 0 0 0 0 0 0 1 0 0 0 0 0 0 0 0 0 $.1^2 0 0 0 0 $.1 0 1 $.1^2 \n    $.1 $.1 $.1^2 0 $.1 0 0 0 $.1 0 0 $.1^2 1 1 $.1^2 0 0 1 $.1 $.1 $.1 $.1 $.1 \n    $.1^2 0 0 0 $.1 1 $.1 0 0]\n[0 0 0 0 0 0 0 0 0 0 0 0 0 0 0 $.1 0 0 0 0 0 0 0 0 0 1 0 0 0 0 $.1^2 0 $.1 1 \n    $.1^2 $.1^2 1 0 $.1^2 0 0 0 $.1^2 0 0 1 $.1 $.1 1 0 0 $.1 $.1^2 $.1^2 $.1^2 \n    $.1^2 $.1^2 1 0 0 0 $.1^2 $.1 $.1^2 0 0]\n[0 0 0 0 0 0 0 0 0 0 0 0 0 0 0 0 1 0 0 0 0 0 0 0 0 $.1 0 0 0 0 0 0 0 $.1^2 0 \n    $.1^2 1 $.1^2 $.1^2 1 0 $.1^2 $.1 $.1 $.1 0 0 $.1 1 $.1^2 1 0 $.1^2 1 0 0 \n    $.1 $.1 $.1^2 $.1 1 0 $.1^2 $.1 1 0]\n[0 0 0 0 0 0 0 0 0 0 0 0 0 0 0 0 $.1 0 0 0 0 0 0 0 0 $.1^2 0 0 0 0 0 0 0 1 0 1 \n    $.1 1 1 $.1 0 1 $.1^2 $.1^2 $.1^2 0 0 $.1^2 $.1 1 $.1 0 1 $.1 0 0 $.1^2 \n    $.1^2 1 $.1^2 $.1 0 1 $.1^2 $.1 0]\n[0 0 0 0 0 0 0 0 0 0 0 0 0 0 0 0 0 1 0 0 0 0 0 0 0 0 0 0 0 0 $.1^2 0 1 1 $.1 $.1\n    0 1 0 0 $.1 $.1^2 0 0 $.1 $.1 $.1 1 $.1^2 1 1 $.1^2 $.1^2 $.1 1 $.1^2 $.1 1 \n    $.1^2 $.1^2 $.1^2 $.1^2 $.1^2 1 $.1^2 0]\n[0 0 0 0 0 0 0 0 0 0 0 0 0 0 0 0 0 $.1 0 0 0 0 0 0 0 0 0 0 0 0 1 0 $.1 $.1 $.1^2\n    $.1^2 0 $.1 0 0 $.1^2 1 0 0 $.1^2 $.1^2 $.1^2 $.1 1 $.1 $.1 1 1 $.1^2 $.1 1 \n    $.1^2 $.1 1 1 1 1 1 $.1 1 0]\n[0 0 0 0 0 0 0 0 0 0 0 0 0 0 0 0 0 0 1 0 0 0 0 0 0 1 0 0 0 0 $.1^2 0 0 $.1 1 1 0\n    1 0 $.1 1 1 $.1^2 0 $.1 1 $.1 1 $.1^2 $.1 1 1 $.1 $.1^2 0 $.1 0 $.1^2 1 0 \n    $.1 $.1^2 1 0 1 0]\n[0 0 0 0 0 0 0 0 0 0 0 0 0 0 0 0 0 0 $.1 0 0 0 0 0 0 $.1 0 0 0 0 1 0 0 $.1^2 $.1\n    $.1 0 $.1 0 $.1^2 $.1 $.1 1 0 $.1^2 $.1 $.1^2 $.1 1 $.1^2 $.1 $.1 $.1^2 1 0 \n    $.1^2 0 1 $.1 0 $.1^2 1 $.1 0 $.1 0]\n[0 0 0 0 0 0 0 0 0 0 0 0 0 0 0 0 0 0 0 1 0 0 0 0 0 $.1 0 0 0 0 1 0 $.1 1 0 $.1 0\n    $.1 1 1 $.1 $.1^2 $.1^2 0 1 $.1^2 $.1 1 $.1 1 $.1 1 $.1^2 $.1 $.1 0 1 1 1 0 \n    $.1^2 1 1 $.1 0 0]\n[0 0 0 0 0 0 0 0 0 0 0 0 0 0 0 0 0 0 0 $.1 0 0 0 0 0 $.1^2 0 0 0 0 $.1 0 $.1^2 \n    $.1 0 $.1^2 0 $.1^2 $.1 $.1 $.1^2 1 1 0 $.1 1 $.1^2 $.1 $.1^2 $.1 $.1^2 $.1 \n    1 $.1^2 $.1^2 0 $.1 $.1 $.1 0 1 $.1 $.1 $.1^2 0 0]\n[0 0 0 0 0 0 0 0 0 0 0 0 0 0 0 0 0 0 0 0 1 0 0 0 0 1 0 0 0 0 $.1 0 $.1^2 0 $.1 1\n    1 0 1 $.1 1 0 $.1^2 1 $.1 $.1 1 $.1 $.1^2 0 $.1^2 $.1^2 0 0 0 $.1 $.1 1 $.1 \n    0 $.1^2 $.1 0 0 $.1^2 0]\n[0 0 0 0 0 0 0 0 0 0 0 0 0 0 0 0 0 0 0 0 $.1 0 0 0 0 $.1 0 0 0 0 $.1^2 0 1 0 \n    $.1^2 $.1 $.1 0 $.1 $.1^2 $.1 0 1 $.1 $.1^2 $.1^2 $.1 $.1^2 1 0 1 1 0 0 0 \n    $.1^2 $.1^2 $.1 $.1^2 0 1 $.1^2 0 0 1 0]\n[0 0 0 0 0 0 0 0 0 0 0 0 0 0 0 0 0 0 0 0 0 1 0 0 0 $.1^2 0 0 0 0 $.1 0 $.1^2 $.1\n    $.1 1 0 $.1^2 0 0 $.1 $.1^2 0 $.1 $.1 0 0 0 $.1^2 $.1 1 1 0 $.1 0 1 1 $.1^2 \n    0 1 0 0 0 $.1^2 0 0]\n[0 0 0 0 0 0 0 0 0 0 0 0 0 0 0 0 0 0 0 0 0 $.1 0 0 0 1 0 0 0 0 $.1^2 0 1 $.1^2 \n    $.1^2 $.1 0 1 0 0 $.1^2 1 0 $.1^2 $.1^2 0 0 0 1 $.1^2 $.1 $.1 0 $.1^2 0 $.1 \n    $.1 1 0 $.1 0 0 0 1 0 0]\n[0 0 0 0 0 0 0 0 0 0 0 0 0 0 0 0 0 0 0 0 0 0 1 0 0 0 0 0 0 0 1 0 1 0 $.1 0 1 $.1\n    1 $.1^2 $.1^2 0 1 0 $.1^2 0 0 1 1 $.1 $.1 1 0 $.1 1 $.1^2 $.1^2 0 0 $.1^2 0 \n    1 0 $.1^2 1 0]\n[0 0 0 0 0 0 0 0 0 0 0 0 0 0 0 0 0 0 0 0 0 0 $.1 0 0 0 0 0 0 0 $.1 0 $.1 0 $.1^2\n    0 $.1 $.1^2 $.1 1 1 0 $.1 0 1 0 0 $.1 $.1 $.1^2 $.1^2 $.1 0 $.1^2 $.1 1 1 0 \n    0 1 0 $.1 0 1 $.1 0]\n[0 0 0 0 0 0 0 0 0 0 0 0 0 0 0 0 0 0 0 0 0 0 0 1 0 0 0 0 0 0 $.1^2 0 0 $.1 $.1 0\n    $.1 $.1 $.1^2 1 $.1 1 $.1 1 1 $.1 $.1^2 $.1^2 1 $.1^2 0 $.1 $.1 $.1^2 $.1 \n    $.1^2 0 $.1^2 $.1^2 $.1^2 0 $.1^2 1 $.1 1 0]\n[0 0 0 0 0 0 0 0 0 0 0 0 0 0 0 0 0 0 0 0 0 0 0 $.1 0 0 0 0 0 0 1 0 0 $.1^2 $.1^2\n    0 $.1^2 $.1^2 1 $.1 $.1^2 $.1 $.1^2 $.1 $.1 $.1^2 1 1 $.1 1 0 $.1^2 $.1^2 1 \n    $.1^2 1 0 1 1 1 0 1 $.1 $.1^2 $.1 0]\n[0 0 0 0 0 0 0 0 0 0 0 0 0 0 0 0 0 0 0 0 0 0 0 0 1 0 0 0 0 0 $.1 0 0 $.1^2 1 $.1\n    $.1^2 0 1 1 $.1 0 1 1 $.1 $.1^2 $.1 1 0 $.1^2 0 $.1 $.1^2 1 0 0 0 $.1^2 \n    $.1^2 $.1^2 $.1 $.1 $.1 0 1 0]\n[0 0 0 0 0 0 0 0 0 0 0 0 0 0 0 0 0 0 0 0 0 0 0 0 $.1 0 0 0 0 0 $.1^2 0 0 1 $.1 \n    $.1^2 1 0 $.1 $.1 $.1^2 0 $.1 $.1 $.1^2 1 $.1^2 $.1 0 1 0 $.1^2 1 $.1 0 0 0 \n    1 1 1 $.1^2 $.1^2 $.1^2 0 $.1 0]\n[0 0 0 0 0 0 0 0 0 0 0 0 0 0 0 0 0 0 0 0 0 0 0 0 0 0 1 0 0 0 1 0 0 $.1^2 $.1 0 \n    $.1 1 1 $.1 $.1 1 $.1^2 $.1^2 $.1 0 1 $.1 1 0 $.1^2 $.1 $.1^2 $.1 $.1 0 \n    $.1^2 $.1 1 0 0 0 1 0 1 0]\n[0 0 0 0 0 0 0 0 0 0 0 0 0 0 0 0 0 0 0 0 0 0 0 0 0 0 $.1 0 0 0 $.1 0 0 1 $.1^2 0\n    $.1^2 $.1 $.1 $.1^2 $.1^2 $.1 1 1 $.1^2 0 $.1 $.1^2 $.1 0 1 $.1^2 1 $.1^2 \n    $.1^2 0 1 $.1^2 $.1 0 0 0 $.1 0 $.1 0]\n[0 0 0 0 0 0 0 0 0 0 0 0 0 0 0 0 0 0 0 0 0 0 0 0 0 0 0 1 0 0 $.1 0 0 $.1 $.1 0 \n    $.1 $.1^2 $.1 1 1 $.1 0 0 $.1^2 $.1^2 $.1^2 0 1 1 $.1^2 1 1 $.1^2 0 1 1 0 \n    $.1 1 $.1 $.1^2 0 1 0 0]\n[0 0 0 0 0 0 0 0 0 0 0 0 0 0 0 0 0 0 0 0 0 0 0 0 0 0 0 $.1 0 0 $.1^2 0 0 $.1^2 \n    $.1^2 0 $.1^2 1 $.1^2 $.1 $.1 $.1^2 0 0 1 1 1 0 $.1 $.1 1 $.1 $.1 1 0 $.1 \n    $.1 0 $.1^2 $.1 $.1^2 1 0 $.1 0 0]\n[0 0 0 0 0 0 0 0 0 0 0 0 0 0 0 0 0 0 0 0 0 0 0 0 0 0 0 0 1 0 1 0 1 0 1 1 0 0 1 \n    $.1^2 $.1 1 0 $.1^2 0 $.1 0 $.1 0 1 1 0 $.1 1 $.1 $.1^2 0 $.1 1 $.1 $.1^2 1 \n    $.1^2 $.1^2 1 0]\n[0 0 0 0 0 0 0 0 0 0 0 0 0 0 0 0 0 0 0 0 0 0 0 0 0 0 0 0 $.1 0 $.1 0 $.1 0 $.1 \n    $.1 0 0 $.1 1 $.1^2 $.1 0 1 0 $.1^2 0 $.1^2 0 $.1 $.1 0 $.1^2 $.1 $.1^2 1 0 \n    $.1^2 $.1 $.1^2 1 $.1 1 1 $.1 0]\n[0 0 0 0 0 0 0 0 0 0 0 0 0 0 0 0 0 0 0 0 0 0 0 0 0 0 0 0 0 1 $.1^2 0 1 $.1 $.1 \n    $.1^2 1 $.1 $.1 $.1^2 1 $.1 1 0 1 1 $.1^2 $.1^2 $.1 0 $.1^2 $.1 $.1 1 $.1^2 \n    $.1 $.1^2 0 $.1^2 1 $.1^2 $.1^2 $.1 1 1 0]\n[0 0 0 0 0 0 0 0 0 0 0 0 0 0 0 0 0 0 0 0 0 0 0 0 0 0 0 0 0 $.1 1 0 $.1 $.1^2 \n    $.1^2 1 $.1 $.1^2 $.1^2 1 $.1 $.1^2 $.1 0 $.1 $.1 1 1 $.1^2 0 1 $.1^2 $.1^2 \n    $.1 1 $.1^2 1 0 1 $.1 1 1 $.1^2 $.1 $.1 0]\n[0 0 0 0 0 0 0 0 0 0 0 0 0 0 0 0 0 0 0 0 0 0 0 0 0 0 0 0 0 0 0 1 $.1^2 $.1^2 1 \n    $.1^2 $.1 1 $.1 1 1 $.1^2 0 $.1 0 1 $.1^2 0 1 0 $.1^2 $.1^2 0 0 0 1 $.1 1 \n    $.1 $.1^2 $.1 0 $.1 1 1 0]\n[0 0 0 0 0 0 0 0 0 0 0 0 0 0 0 0 0 0 0 0 0 0 0 0 0 0 0 0 0 0 0 $.1 1 1 $.1 1 \n    $.1^2 $.1 $.1^2 $.1 $.1 1 0 $.1^2 0 $.1 1 0 $.1 0 1 1 0 0 0 $.1 $.1^2 $.1 \n    $.1^2 1 $.1^2 0 $.1^2 $.1 $.1 0]\n[0 0 0 0 0 0 0 0 0 0 0 0 0 0 0 0 0 0 0 0 0 0 0 0 0 0 0 0 0 0 0 0 0 0 0 0 0 0 0 0\n    0 0 0 0 0 0 0 0 0 0 0 0 0 0 0 0 0 0 0 0 0 0 0 0 0 1]\nQuantum GF(2)-Additive code over GF(4) of length 66 with 71 generators.\nLower Bound: 1, Upper Bound: 32\nConstructed 2 distinct generator matrices\nTotal Ranks:     36  36 \nRelative Ranks:  36  30 \n(4 4 4 4 4 4 4 4 4 4 4 4 4 4 4 4 4 4 4 4 4 4 4 4 4 4 4 4 4 4 4 4 4 4 4 2 )\n(4 4 4 4 4 4 4 4 4 4 4 4 4 4 4 4 4 4 4 4 4 4 4 4 4 4 4 4 4 4 4 4 4 4 4 2 )\nTime Taken: 0.00\nStarting search for low weight codewords... (reset timings)\nEnumerating using 1 generator at a time:\n     New codeword identified of weight 25, time 0.00\n     New codeword identified of weight 16, time 0.00\n     Impurity detected of weight 1, time 0.00\n   Completed Matrix  1:  lower =  2, upper = 16. Elapsed: 0.00s\n   Completed Matrix  2:  lower =  2, upper = 16. Elapsed: 0.00s\nTermination predicted with 10 generators at matrix 2\nEnumerating using 2 generators at a time:\n     New codeword identified of weight 15, time 0.00\n   Completed Matrix  1:  lower =  3, upper = 15. Elapsed: 0.00s\n   Completed Matrix  2:  lower =  3, upper = 15. Elapsed: 0.00s\nTermination predicted with 10 generators at matrix 1\nEnumerating using 3 generators at a time:\n   Completed Matrix  1:  lower =  4, upper = 15. Elapsed: 0.00s\n   Completed Matrix  2:  lower =  4, upper = 15. Elapsed: 0.01s\nTermination predicted with 10 generators at matrix 1\nEnumerating using 4 generators at a time:\n     New codeword identified of weight 14, time 0.01\n   Completed Matrix  1:  lower =  5, upper = 14. Elapsed: 0.04s\n   Completed Matrix  2:  lower =  5, upper = 14. Elapsed: 0.08s\nTermination predicted with 9 generators at matrix 2\nEnumerating using 5 generators at a time:\n   Completed Matrix  1:  lower =  6, upper = 14. Elapsed: 0.65s\n   Completed Matrix  2:  lower =  6, upper = 14. Elapsed: 1.21s\nTermination predicted at 23448 s (6h 30m 48s) with 9 generators at matrix 2\nEnumerating using 6 generators at a time:\n   Completed Matrix  1:  lower =  7, upper = 14. Elapsed: 10.58s\n   Completed Matrix  2:  lower =  8, upper = 14. Elapsed: 20.23s\nTermination predicted at 25335 s (7h 2m 15s) with 9 generators at matrix 2\nEnumerating using 7 generators at a time:\n   Completed Matrix  1:  lower =  9, upper = 14. Elapsed: 199.13s\n   Completed Matrix  2:  lower = 10, upper = 14. Elapsed: 379.71s\nTermination predicted at 37467 s (10h 24m 27s) with 9 generators at matrix 2\nEnumerating using 8 generators at a time:\n   Completed Matrix  1:  lower = 11, upper = 14. Elapsed: 2506.26s\n   Completed Matrix  2:  lower = 12, upper = 14. Elapsed: 4626.22s\nTermination predicted at 42600 s (11h 49m 60s) with 9 generators at matrix 2\nEnumerating using 9 generators at a time:\n   Completed Matrix  1:  lower = 13, upper = 14. Elapsed: 24395.63s\n</t>
  </si>
  <si>
    <t xml:space="preserve">Magma V2.28-26    Sat Jan 10 2026 10:40:24 on Marks-MacBook-Air-2 [Seed = \n3435628815]\nType ? for help.  Type &lt;Ctrl&gt;-D to quit.\n[1 0 0 0 0 0 0 0 0 0 0 0 0 0 0 0 0 0 0 0 0 0 0 0 0 0 0 0 0 0 0 0 0 0 0 0 0 0 0 0\n    0 0 0 0 0 0 0 0 0 0 0 0 0 0 0 0 0 0 0 </t>
  </si>
  <si>
    <t xml:space="preserve">Magma V2.28-26    Sat Jan 10 2026 10:40:31 on Marks-MacBook-Air-2 [Seed = \n4277517114]\nType ? for help.  Type &lt;Ctrl&gt;-D to quit.\n[1 0 0 0 0 0 0 0 0 0 0 0 0 0 0 0 0 0 0 0 0 0 0 0 0 0 0 0 0 0 0 0 0 0 0 0 0 0 0 0\n    0 0 0 0 0 0 0 0 0 0 0 0 0 0 0 0 0 0 0 </t>
  </si>
  <si>
    <t>28800.154910167003</t>
  </si>
  <si>
    <t>Magma V2.28-26    Sat Jan 10 2026 18:40:16 on Marks-MacBook-Air-2 [Seed = \n3216264117]\nType ? for help.  Type &lt;Ctrl&gt;-D to quit.\n[1 0 0 0 0 0 0 0 0 0 0 0 0 0 0 0 0 0 0 0 0 0 0 0 0 0 0 0 0 0 0 0 0 0 0 0 0 0 0 0\n    0 0 0 0 0 1 1 1 0 1 1 0 1 1 1 0 1 1 1 1 1 0 1 0 1 0 0 0 0 0 0 1 0 1 1 0 0 1 \n    1 0 1 1 0 1 0 0 1 1 0 0 1 0 1 1 1 1 0 1 0 0 1 1 0 1 0 1 1 0 0 1 0 1 0 1 1 0 \n    0 1 1 1 1 0 1 0]\n[0 1 0 0 0 0 0 0 0 0 0 0 0 0 0 0 0 0 0 0 0 0 0 0 0 0 0 0 0 0 0 0 0 0 0 0 0 0 0 0\n    0 0 0 0 0 0 1 1 0 0 0 0 1 0 1 1 1 0 0 0 1 0 1 0 1 1 1 0 0 0 0 0 1 1 1 1 1 1 \n    1 1 1 1 0 1 1 1 1 1 0 0 0 0 1 1 1 0 1 0 1 0 0 1 0 0 0 1 0 1 0 0 1 0 1 1 1 1 \n    1 1 1 1 0 1 0 1]\n[0 0 1 0 0 0 0 0 0 0 0 0 0 0 0 0 0 0 0 0 0 0 0 0 0 0 0 0 0 0 0 0 0 0 0 0 0 0 0 0\n    0 0 0 0 0 1 1 0 0 0 1 0 1 1 0 1 0 1 0 0 0 0 0 1 0 1 0 1 0 0 1 1 0 1 1 0 0 1 \n    0 0 0 0 1 1 0 1 1 1 1 0 1 1 0 0 1 0 0 1 0 0 1 1 0 0 0 1 0 0 1 0 1 0 0 1 1 0 \n    0 1 0 1 0 0 1 0]\n[0 0 0 1 0 0 0 0 0 0 0 0 0 0 0 0 0 0 0 0 0 0 0 0 0 0 0 0 0 0 0 0 0 0 0 0 0 0 0 0\n    0 0 0 0 0 0 1 1 0 0 0 1 0 1 1 0 1 0 1 0 0 0 0 0 1 0 1 0 1 0 0 1 1 0 1 1 0 0 \n    1 0 0 0 0 1 1 0 1 1 1 1 0 1 1 0 0 1 0 0 1 0 0 1 1 0 0 0 1 0 0 1 0 1 0 0 1 1 \n    0 0 1 0 1 0 0 1]\n[0 0 0 0 1 0 0 0 0 0 0 0 0 0 0 0 0 0 0 0 0 0 0 0 0 0 0 0 0 0 0 0 0 0 0 0 0 0 0 0\n    0 0 0 0 0 1 1 0 0 0 1 0 0 0 1 1 1 1 0 1 0 1 0 0 0 1 1 1 0 1 1 1 1 1 0 0 0 0 \n    1 0 1 1 0 1 0 1 0 1 1 1 0 1 1 0 0 1 1 0 0 0 1 1 0 1 0 1 1 1 0 0 0 1 1 0 0 0 \n    0 0 1 1 1 1 0 0]\n[0 0 0 0 0 1 0 0 0 0 0 0 0 0 0 0 0 0 0 0 0 0 0 0 0 0 0 0 0 0 0 0 0 0 0 0 0 0 0 0\n    0 0 0 0 0 0 1 1 0 1 0 0 1 1 1 1 1 0 0 1 0 0 0 1 1 1 1 0 1 0 1 1 1 1 0 0 0 1 \n    1 1 0 0 1 1 0 0 0 1 1 0 1 0 0 0 0 0 0 1 0 0 0 1 1 1 1 1 0 0 1 0 0 0 1 1 1 0 \n    0 1 1 1 1 0 1 0]\n[0 0 0 0 0 0 1 0 0 0 0 0 0 0 0 0 0 0 0 0 0 0 0 0 0 0 0 0 0 0 0 0 0 0 0 0 0 0 0 0\n    0 0 0 0 0 0 0 1 0 0 0 1 1 0 1 1 0 0 1 1 1 1 1 1 0 1 0 1 0 1 0 1 1 0 1 0 1 1 \n    1 1 0 0 1 0 1 1 1 0 0 1 0 0 1 0 0 1 0 0 1 0 0 0 0 1 0 0 0 0 0 1 0 0 0 0 1 1 \n    1 1 1 1 0 1 0 1]\n[0 0 0 0 0 0 0 1 0 0 0 0 0 0 0 0 0 0 0 0 0 0 0 0 0 0 0 0 0 0 0 0 0 0 0 0 0 0 0 0\n    0 0 0 0 0 1 1 1 0 1 1 1 1 0 1 1 0 1 1 0 0 0 0 0 0 1 0 1 1 0 0 1 1 1 1 0 1 0 \n    1 0 0 0 0 1 0 1 0 0 0 1 0 1 1 1 0 1 0 0 0 0 1 1 1 1 1 0 0 1 0 0 0 1 0 0 1 0 \n    0 0 1 1 0 1 1 0]\n[0 0 0 0 0 0 0 0 1 0 0 0 0 0 0 0 0 0 0 0 0 0 0 0 0 0 0 0 0 0 0 0 0 0 0 0 0 0 0 0\n    0 0 0 0 0 0 1 1 0 0 0 0 0 0 0 1 0 1 0 0 0 1 1 1 1 0 0 0 1 1 0 0 1 0 1 1 1 0 \n    0 1 1 0 1 1 1 1 0 0 1 0 1 1 0 1 1 1 1 0 0 0 0 1 0 1 0 0 1 0 1 0 0 0 1 1 0 1 \n    1 1 0 1 0 0 1 1]\n[0 0 0 0 0 0 0 0 0 1 0 0 0 0 0 0 0 0 0 0 0 0 0 0 0 0 0 0 0 0 0 0 0 0 0 0 0 0 0 0\n    0 0 0 0 0 1 1 0 0 1 1 1 0 1 1 0 0 1 0 1 1 1 0 0 0 0 1 1 0 1 0 1 0 1 1 0 0 0 \n    0 1 0 1 0 1 1 1 0 1 0 0 1 0 0 0 1 0 0 1 0 1 1 1 0 1 1 0 0 0 0 1 1 1 0 1 0 1 \n    0 0 1 0 0 1 0 1]\n[0 0 0 0 0 0 0 0 0 0 1 0 0 0 0 0 0 0 0 0 0 0 0 0 0 0 0 0 0 0 0 0 0 0 0 0 0 0 0 0\n    0 0 0 0 0 1 0 0 0 1 1 1 0 0 0 1 0 0 1 0 0 1 1 0 0 1 0 0 1 0 0 1 1 1 0 0 0 0 \n    0 1 1 0 0 1 1 0 1 1 0 1 1 1 0 0 0 1 1 0 1 1 0 0 1 1 0 0 1 1 0 0 0 0 1 1 0 1 \n    1 0 0 1 0 1 1 0]\n[0 0 0 0 0 0 0 0 0 0 0 1 0 0 0 0 0 0 0 0 0 0 0 0 0 0 0 0 0 0 0 0 0 0 0 0 0 0 0 0\n    0 0 0 0 0 0 1 0 0 1 1 0 0 1 1 0 1 1 1 0 1 0 0 0 1 1 1 1 0 1 0 0 1 1 0 0 0 1 \n    1 0 1 0 0 1 0 1 1 0 1 1 1 1 0 1 0 0 0 1 0 1 1 0 0 0 1 1 1 0 1 0 0 0 0 1 0 0 \n    1 0 1 0 1 1 1 1]\n[0 0 0 0 0 0 0 0 0 0 0 0 1 0 0 0 0 0 0 0 0 0 0 0 0 0 0 0 0 0 0 0 0 0 0 0 0 0 0 0\n    0 0 0 0 0 1 1 0 0 0 1 0 0 1 1 1 0 0 0 0 0 1 1 1 1 1 1 1 1 0 0 1 0 0 1 1 0 1 \n    0 0 0 0 1 0 0 1 0 1 1 1 0 1 0 1 1 0 0 0 1 1 0 0 0 0 1 1 1 1 0 1 1 1 0 1 1 1 \n    0 0 1 1 0 1 1 1]\n[0 0 0 0 0 0 0 0 0 0 0 0 0 1 0 0 0 0 0 0 0 0 0 0 0 0 0 0 0 0 0 0 0 0 0 0 0 0 0 0\n    0 0 0 0 0 1 0 0 0 1 0 1 1 0 0 1 1 0 0 0 1 0 1 1 1 0 1 0 1 1 1 1 1 1 1 0 1 0 \n    1 1 0 0 1 0 0 1 1 1 0 0 0 0 1 0 1 1 1 0 0 0 0 1 0 1 1 0 0 0 1 0 0 0 1 1 0 0 \n    1 0 0 1 1 1 1 1]\n[0 0 0 0 0 0 0 0 0 0 0 0 0 0 1 0 0 0 0 0 0 0 0 0 0 0 0 0 0 0 0 0 0 0 0 0 0 0 0 0\n    0 0 0 0 0 1 0 1 0 0 1 1 1 0 0 0 1 0 1 1 0 1 1 0 0 1 0 1 0 1 0 0 1 0 1 0 0 0 \n    1 0 1 1 1 1 1 1 0 1 0 0 1 0 1 0 0 1 1 1 0 1 1 1 1 0 0 1 0 0 0 1 1 1 0 0 1 1 \n    0 0 1 0 1 1 1 1]\n[0 0 0 0 0 0 0 0 0 0 0 0 0 0 0 1 0 0 0 0 0 0 0 0 0 0 0 0 0 0 0 0 0 0 0 0 0 0 0 0\n    0 0 0 0 0 1 0 1 0 1 1 0 1 0 1 0 1 0 1 0 0 1 0 0 1 1 0 1 1 0 0 1 0 1 1 0 1 1 \n    0 0 1 1 1 1 1 1 0 1 1 1 1 0 1 1 0 1 0 1 1 1 0 0 0 0 0 0 1 1 0 0 0 0 1 0 1 0 \n    0 1 0 1 1 0 1 1]\n[0 0 0 0 0 0 0 0 0 0 0 0 0 0 0 0 1 0 0 0 0 0 0 0 0 0 0 0 0 0 0 0 0 0 0 0 0 0 0 0\n    0 0 0 0 0 1 0 1 0 1 0 0 0 0 1 1 1 0 1 0 1 1 0 1 1 0 0 1 1 1 1 1 1 0 0 0 1 0 \n    1 1 1 1 1 1 1 1 0 1 1 0 0 0 1 1 1 1 0 0 1 0 0 1 1 1 0 0 0 0 1 0 1 1 0 1 1 0 \n    1 1 1 0 0 0 0 1]\n[0 0 0 0 0 0 0 0 0 0 0 0 0 0 0 0 0 1 0 0 0 0 0 0 0 0 0 0 0 0 0 0 0 0 0 0 0 0 0 0\n    0 0 0 0 0 1 0 1 0 1 0 1 0 1 1 1 0 0 1 0 1 0 0 1 0 0 1 1 1 1 0 0 1 1 1 1 1 0 \n    0 0 0 1 1 1 1 1 0 1 1 0 1 1 1 1 1 0 0 0 0 0 1 1 0 0 1 0 0 1 0 1 1 0 1 0 0 0 \n    1 0 1 1 1 1 0 0]\n[0 0 0 0 0 0 0 0 0 0 0 0 0 0 0 0 0 0 1 0 0 0 0 0 0 0 0 0 0 0 0 0 0 0 0 0 0 0 0 0\n    0 0 0 0 0 0 1 0 0 0 0 1 0 1 1 1 0 1 1 0 0 0 1 1 0 0 1 1 1 1 1 0 0 0 1 1 0 0 \n    0 0 1 0 0 0 1 0 0 0 0 1 0 0 0 1 1 0 0 0 0 0 0 1 0 0 1 0 1 0 1 0 1 1 0 0 0 0 \n    1 0 0 1 0 1 1 0]\n[0 0 0 0 0 0 0 0 0 0 0 0 0 0 0 0 0 0 0 1 0 0 0 0 0 0 0 0 0 0 0 0 0 0 0 0 0 0 0 0\n    0 0 0 0 0 0 0 1 0 0 0 0 1 0 1 1 1 0 1 1 0 0 0 1 1 0 0 1 1 1 1 1 0 0 0 1 1 0 \n    0 0 0 1 0 0 0 1 0 0 0 0 1 0 0 0 1 1 0 0 0 0 0 0 1 0 0 1 0 1 0 1 0 1 1 0 0 0 \n    0 1 0 0 1 0 1 1]\n[0 0 0 0 0 0 0 0 0 0 0 0 0 0 0 0 0 0 0 0 1 0 0 0 0 0 0 0 0 0 0 0 0 0 0 0 0 0 0 0\n    0 0 0 0 0 1 1 1 0 0 1 0 1 1 0 1 0 1 0 1 1 1 0 0 1 1 1 0 1 1 0 0 1 0 0 1 0 1 \n    1 1 1 1 1 1 1 0 1 0 0 0 1 0 0 1 0 0 1 0 0 1 1 1 1 1 0 1 0 0 1 0 0 1 1 1 0 1 \n    1 0 0 0 1 1 0 1]\n[0 0 0 0 0 0 0 0 0 0 0 0 0 0 0 0 0 0 0 0 0 1 0 0 0 0 0 0 0 0 0 0 0 0 0 0 0 0 0 0\n    0 0 0 0 0 1 0 0 0 1 1 0 0 0 0 0 0 1 0 1 0 0 0 1 1 0 0 0 0 1 0 1 0 1 1 1 0 1 \n    1 0 0 1 1 1 1 1 1 0 0 1 1 0 1 0 1 1 1 1 0 1 0 0 0 0 1 0 1 1 0 1 1 1 1 1 0 1 \n    0 0 0 0 1 0 1 0]\n[0 0 0 0 0 0 0 0 0 0 0 0 0 0 0 0 0 0 0 0 0 0 1 0 0 0 0 0 0 0 0 0 0 0 0 0 0 0 0 0\n    0 0 0 0 0 0 1 0 0 0 1 1 0 0 0 0 0 0 1 0 1 0 0 0 1 1 0 0 0 0 1 0 1 0 1 1 1 0 \n    1 1 0 0 1 1 1 1 1 1 0 0 1 1 0 1 0 1 1 1 1 0 1 0 0 0 0 1 0 1 1 0 1 1 1 1 1 0 \n    1 0 0 0 0 1 0 1]\n[0 0 0 0 0 0 0 0 0 0 0 0 0 0 0 0 0 0 0 0 0 0 0 1 0 0 0 0 0 0 0 0 0 0 0 0 0 0 0 0\n    0 0 0 0 0 1 1 0 0 0 0 0 1 1 0 0 0 1 1 0 0 1 1 1 1 1 1 0 0 0 1 0 0 0 0 0 1 0 \n    1 0 1 1 1 1 0 0 0 1 0 0 1 1 0 1 1 0 1 1 1 0 1 0 0 0 1 0 1 0 1 1 1 0 1 0 1 0 \n    0 0 1 0 0 0 1 0]\n[0 0 0 0 0 0 0 0 0 0 0 0 0 0 0 0 0 0 0 0 0 0 0 0 1 0 0 0 0 0 0 0 0 0 0 0 0 0 0 0\n    0 0 0 0 0 0 1 1 0 1 0 1 1 0 0 0 0 1 0 0 1 0 0 0 0 0 1 0 0 0 0 1 0 0 1 0 0 0 \n    1 1 0 0 1 0 0 0 1 1 1 1 0 1 0 1 1 1 1 1 1 1 0 1 0 1 0 0 1 0 0 1 1 1 0 1 1 1 \n    0 1 1 1 0 1 0 1]\n[0 0 0 0 0 0 0 0 0 0 0 0 0 0 0 0 0 0 0 0 0 0 0 0 0 1 0 0 0 0 0 0 0 0 0 0 0 0 0 0\n    0 0 0 0 0 1 1 0 0 0 0 0 0 1 0 0 1 0 1 0 0 0 0 0 0 0 1 1 0 0 1 1 1 0 0 0 1 0 \n    1 0 0 1 0 0 1 0 0 1 1 1 0 1 1 1 1 0 1 1 1 0 0 1 0 0 1 1 1 1 0 0 0 0 1 0 1 0 \n    0 0 0 1 0 0 1 0]\n[0 0 0 0 0 0 0 0 0 0 0 0 0 0 0 0 0 0 0 0 0 0 0 0 0 0 1 0 0 0 0 0 0 0 0 0 0 0 0 0\n    0 0 0 0 0 0 1 1 0 0 0 0 0 0 1 0 0 1 0 1 0 0 0 0 0 0 0 1 1 0 0 1 1 1 0 0 0 1 \n    0 1 0 0 1 0 0 1 0 0 1 1 1 0 1 1 1 1 0 1 1 1 0 0 1 0 0 1 1 1 1 0 0 0 0 1 0 1 \n    0 0 0 0 1 0 0 1]\n[0 0 0 0 0 0 0 0 0 0 0 0 0 0 0 0 0 0 0 0 0 0 0 0 0 0 0 1 0 0 0 0 0 0 0 0 0 0 0 0\n    0 0 0 0 0 1 1 0 0 0 1 0 1 0 0 1 1 0 1 0 1 1 0 0 0 0 1 0 1 1 1 1 1 1 1 1 1 0 \n    0 1 0 1 0 0 1 0 1 0 0 1 0 0 0 0 1 0 1 0 1 0 0 1 1 1 0 1 0 1 1 1 1 1 0 0 1 1 \n    0 0 1 0 1 1 0 0]\n[0 0 0 0 0 0 0 0 0 0 0 0 0 0 0 0 0 0 0 0 0 0 0 0 0 0 0 0 1 0 0 0 0 0 0 0 0 0 0 0\n    0 0 0 0 0 0 1 1 0 1 0 0 1 0 1 0 1 0 1 0 1 1 0 1 1 1 0 0 0 1 1 1 1 1 0 1 1 0 \n    1 0 1 1 1 1 1 1 1 0 0 1 1 0 1 1 0 1 1 1 0 1 0 0 1 0 1 1 0 1 1 1 1 1 1 0 1 1 \n    1 1 1 1 0 0 1 0]\n[0 0 0 0 0 0 0 0 0 0 0 0 0 0 0 0 0 0 0 0 0 0 0 0 0 0 0 0 0 1 0 0 0 0 0 0 0 0 0 0\n    0 0 0 0 0 0 0 1 0 1 0 0 0 1 1 1 1 1 0 1 1 0 1 0 1 0 0 1 0 0 1 1 1 0 0 0 0 1 \n    1 1 1 0 0 1 0 0 1 0 1 1 1 0 0 0 1 1 0 1 1 0 1 0 1 0 1 1 1 1 1 1 1 1 1 0 1 1 \n    0 1 0 1 0 1 0 1]\n[0 0 0 0 0 0 0 0 0 0 0 0 0 0 0 0 0 0 0 0 0 0 0 0 0 0 0 0 0 0 1 0 0 0 0 0 0 0 0 0\n    0 0 0 0 0 1 1 1 0 0 0 0 1 0 1 1 0 1 1 0 1 0 0 1 0 1 1 0 1 0 1 0 1 1 0 1 1 0 \n    0 0 0 0 0 1 0 0 0 1 0 1 0 0 0 1 0 0 1 0 1 0 1 0 1 1 0 0 0 1 1 1 0 0 1 1 0 0 \n    0 0 0 0 0 0 1 0]\n[0 0 0 0 0 0 0 0 0 0 0 0 0 0 0 0 0 0 0 0 0 0 0 0 0 0 0 0 0 0 0 1 0 0 0 0 0 0 0 0\n    0 0 0 0 0 0 1 1 0 0 1 1 1 0 0 1 0 1 0 0 0 0 1 1 0 0 0 1 0 1 0 1 0 0 1 0 0 0 \n    0 0 1 0 1 1 1 1 1 0 0 0 1 1 1 0 1 1 0 1 0 1 0 1 1 1 0 1 1 0 1 1 1 0 0 0 1 0 \n    1 1 0 0 1 0 0 1]\n[0 0 0 0 0 0 0 0 0 0 0 0 0 0 0 0 0 0 0 0 0 0 0 0 0 0 0 0 0 0 0 0 1 0 0 0 0 0 0 0\n    0 0 0 0 0 1 1 0 0 0 1 1 0 1 0 0 0 0 1 0 0 1 0 1 1 0 1 0 1 0 0 1 1 0 0 0 1 0 \n    1 1 1 0 0 0 0 1 1 1 0 0 1 0 1 0 0 0 1 0 1 1 0 1 0 1 1 1 0 1 0 1 0 0 0 0 0 0 \n    1 1 0 0 1 1 0 0]\n[0 0 0 0 0 0 0 0 0 0 0 0 0 0 0 0 0 0 0 0 0 0 0 0 0 0 0 0 0 0 0 0 0 1 0 0 0 0 0 0\n    0 0 0 0 0 0 1 1 0 1 0 0 0 1 0 0 0 1 1 0 1 0 0 1 0 0 0 0 0 1 0 0 1 1 1 0 0 0 \n    1 1 1 0 0 1 1 0 0 0 1 1 0 1 1 0 0 0 1 1 0 1 1 0 1 1 1 0 0 1 1 0 1 0 0 0 1 0 \n    0 0 0 0 0 0 1 0]\n[0 0 0 0 0 0 0 0 0 0 0 0 0 0 0 0 0 0 0 0 0 0 0 0 0 0 0 0 0 0 0 0 0 0 1 0 0 0 0 0\n    0 0 0 0 0 0 0 1 0 0 0 1 1 1 1 0 1 1 0 0 0 0 1 1 0 0 1 0 0 0 1 0 0 0 1 1 1 1 \n    0 1 0 1 1 1 1 0 1 0 1 1 1 1 0 1 0 1 0 1 1 0 1 1 1 1 0 0 1 0 1 1 0 1 0 1 0 1 \n    1 1 0 0 1 0 0 1]\n[0 0 0 0 0 0 0 0 0 0 0 0 0 0 0 0 0 0 0 0 0 0 0 0 0 0 0 0 0 0 0 0 0 0 0 1 0 0 0 0\n    0 0 0 0 0 1 1 1 0 0 1 0 0 1 1 1 1 1 1 0 0 1 0 1 1 0 1 1 0 0 1 0 0 0 0 0 0 1 \n    0 1 0 1 1 0 0 1 0 1 0 1 0 0 1 1 1 1 1 0 1 0 1 0 0 1 1 1 1 1 0 1 0 1 1 0 1 1 \n    0 1 0 0 1 1 0 0]\n[0 0 0 0 0 0 0 0 0 0 0 0 0 0 0 0 0 0 0 0 0 0 0 0 0 0 0 0 0 0 0 0 0 0 0 0 1 0 0 0\n    0 0 0 0 0 0 1 1 0 1 1 1 0 0 0 1 0 1 1 1 1 1 1 0 1 0 1 0 1 0 0 1 0 1 1 0 1 0 \n    0 0 0 1 0 1 1 1 1 1 0 1 1 1 0 0 1 0 0 1 0 1 0 1 1 1 0 1 1 0 1 0 1 0 1 0 1 1 \n    0 0 0 0 1 0 1 0]\n[0 0 0 0 0 0 0 0 0 0 0 0 0 0 0 0 0 0 0 0 0 0 0 0 0 0 0 0 0 0 0 0 0 0 0 0 0 1 0 0\n    0 0 0 0 0 0 0 1 0 1 0 1 1 0 1 0 0 0 1 1 0 0 1 1 0 0 1 0 0 1 0 0 1 1 0 1 1 1 \n    1 0 1 1 0 0 0 0 1 0 0 1 1 0 1 1 0 0 1 0 1 0 1 0 0 0 0 0 1 0 0 1 0 1 0 0 1 1 \n    0 0 1 0 1 0 0 1]\n[0 0 0 0 0 0 0 0 0 0 0 0 0 0 0 0 0 0 0 0 0 0 0 0 0 0 0 0 0 0 0 0 0 0 0 0 0 0 1 0\n    0 0 0 0 0 1 1 1 0 0 0 0 0 1 0 1 1 0 0 1 1 1 0 1 1 0 1 1 0 0 0 1 0 1 1 1 0 1 \n    0 0 1 0 1 1 1 0 0 1 0 0 0 0 0 0 1 1 0 1 0 0 1 0 1 0 0 1 1 1 0 0 0 1 1 0 0 0 \n    0 0 1 1 1 1 0 0]\n[0 0 0 0 0 0 0 0 0 0 0 0 0 0 0 0 0 0 0 0 0 0 0 0 0 0 0 0 0 0 0 0 0 0 0 0 0 0 0 1\n    0 0 0 0 0 0 1 1 0 1 1 0 0 0 0 0 0 1 0 0 0 0 1 0 1 0 1 0 1 0 0 0 1 1 0 1 0 0 \n    0 0 1 0 1 1 0 0 0 1 0 1 0 1 0 1 0 0 0 0 1 0 0 1 1 0 1 0 1 0 1 0 0 0 1 0 1 0 \n    1 0 1 1 0 0 1 0]\n[0 0 0 0 0 0 0 0 0 0 0 0 0 0 0 0 0 0 0 0 0 0 0 0 0 0 0 0 0 0 0 0 0 0 0 0 0 0 0 0\n    1 0 0 0 0 0 0 1 0 0 0 0 1 1 0 0 1 1 0 1 0 1 1 0 1 1 1 1 0 1 0 0 0 0 1 0 0 1 \n    0 0 1 1 1 0 1 1 1 0 0 0 1 1 0 0 1 1 0 0 0 1 0 0 0 1 1 0 1 1 0 1 0 0 0 0 0 1 \n    1 0 0 1 0 0 0 1]\n[0 0 0 0 0 0 0 0 0 0 0 0 0 0 0 0 0 0 0 0 0 0 0 0 0 0 0 0 0 0 0 0 0 0 0 0 0 0 0 0\n    0 1 0 0 0 1 1 1 0 1 1 1 0 0 0 0 1 0 0 1 0 1 0 0 1 0 0 0 1 0 0 1 0 0 1 0 1 1 \n    1 1 1 1 1 1 0 1 0 0 0 1 1 0 0 0 0 0 0 0 0 1 0 1 1 1 1 1 0 0 1 0 0 1 0 0 1 1 \n    0 0 0 0 0 1 0 0]\n[0 0 0 0 0 0 0 0 0 0 0 0 0 0 0 0 0 0 0 0 0 0 0 0 0 0 0 0 0 0 0 0 0 0 0 0 0 0 0 0\n    0 0 1 0 0 0 1 1 0 1 0 1 1 0 1 0 1 1 0 0 0 1 1 0 0 0 1 1 0 1 0 0 1 1 1 1 1 1 \n    0 1 0 0 0 1 0 1 1 1 1 1 1 0 0 1 0 1 1 0 0 0 1 0 0 0 0 1 1 1 0 1 0 0 1 1 1 1 \n    0 0 1 0 1 1 1 0]\n[0 0 0 0 0 0 0 0 0 0 0 0 0 0 0 0 0 0 0 0 0 0 0 0 0 0 0 0 0 0 0 0 0 0 0 0 0 0 0 0\n    0 0 0 1 0 0 0 1 0 1 0 0 1 1 1 1 1 1 1 0 1 1 1 1 0 1 1 0 1 0 1 0 0 0 0 1 0 1 \n    0 0 0 1 1 0 0 1 1 0 0 0 1 0 0 1 1 1 0 1 0 0 0 1 1 1 1 0 1 0 1 0 1 0 0 0 0 1 \n    0 0 1 1 1 0 1 1]\n[0 0 0 0 0 0 0 0 0 0 0 0 0 0 0 0 0 0 0 0 0 0 0 0 0 0 0 0 0 0 0 0 0 0 0 0 0 0 0 0\n    0 0 0 0 1 1 1 1 0 1 0 1 0 0 0 1 0 0 0 0 1 0 0 0 0 1 0 0 0 1 1 0 0 0 1 1 0 1 \n    1 1 1 0 1 1 0 0 0 0 0 1 1 0 1 0 1 0 0 0 1 1 1 1 0 0 1 1 0 0 0 1 1 0 0 0 1 1 \n    0 1 0 1 0 0 0 1]\n[0 0 0 0 0 0 0 0 0 0 0 0 0 0 0 0 0 0 0 0 0 0 0 0 0 0 0 0 0 0 0 0 0 0 0 0 0 0 0 0\n    0 0 0 0 0 0 0 0 1 0 1 1 1 1 0 0 1 1 1 1 0 1 1 1 1 0 1 0 0 0 0 0 0 1 0 0 1 1 \n    0 0 1 0 1 1 0 1 1 0 1 0 0 1 1 0 0 1 0 0 0 0 0 0 1 0 1 1 1 0 0 0 0 0 0 1 0 0 \n    1 1 0 0 1 0 0 0]\n[[62, 16]] quantum code over GF(2^2), stabilised by:\n[1 0 0 0 0 0 0 0 0 0 0 0 0 0 0 0 0 0 0 0 0 0 0 $.1^2 $.1^2 $.1 1 1 1 1 1 $.1 $.1\n    $.1 $.1^2 0 $.1^2 0 $.1^2 1 1 0 $.1 1 $.1^2 $.1 1 1 0 $.1 $.1 $.1 $.1^2 1 1 \n    1 0 $.1^2 $.1^2 0 $.1 $.1^2]\n[$.1 0 0 0 0 0 0 0 0 0 0 0 0 0 0 0 0 0 0 0 0 0 0 1 1 $.1^2 $.1 $.1 $.1 $.1 $.1 \n    $.1^2 $.1^2 $.1^2 1 0 1 0 1 $.1 $.1 0 $.1^2 $.1 1 $.1^2 $.1 $.1 0 $.1^2 \n    $.1^2 $.1^2 1 $.1 $.1 $.1 0 1 1 0 $.1^2 1]\n[0 1 0 0 0 0 0 0 0 0 0 0 0 0 0 0 0 0 0 0 0 0 0 $.1^2 0 0 $.1^2 0 $.1^2 0 1 $.1 \n    $.1 1 0 $.1 1 $.1 $.1^2 $.1 $.1^2 $.1 $.1^2 1 $.1 1 $.1^2 $.1 0 1 $.1^2 0 1 \n    $.1^2 $.1 1 0 $.1 $.1 $.1 $.1^2 1]\n[0 $.1 0 0 0 0 0 0 0 0 0 0 0 0 0 0 0 0 0 0 0 0 0 1 0 0 1 0 1 0 $.1 $.1^2 $.1^2 \n    $.1 0 $.1^2 $.1 $.1^2 1 $.1^2 1 $.1^2 1 $.1 $.1^2 $.1 1 $.1^2 0 $.1 1 0 $.1 \n    1 $.1^2 $.1 0 $.1^2 $.1^2 $.1^2 1 $.1]\n[0 0 1 0 0 0 0 0 0 0 0 0 0 0 0 0 0 0 0 0 0 0 0 1 $.1 1 $.1 1 $.1^2 1 0 0 $.1 \n    $.1^2 $.1 $.1 0 $.1^2 $.1^2 1 1 $.1 $.1^2 $.1 0 1 $.1^2 $.1 0 $.1 $.1^2 0 1 \n    1 $.1 $.1 $.1^2 $.1^2 0 0 $.1^2 $.1]\n[0 0 $.1 0 0 0 0 0 0 0 0 0 0 0 0 0 0 0 0 0 0 0 0 $.1 $.1^2 $.1 $.1^2 $.1 1 $.1 0\n    0 $.1^2 1 $.1^2 $.1^2 0 1 1 $.1 $.1 $.1^2 1 $.1^2 0 $.1 1 $.1^2 0 $.1^2 1 0 \n    $.1 $.1 $.1^2 $.1^2 1 1 0 0 1 $.1^2]\n[0 0 0 1 0 0 0 0 0 0 0 0 0 0 0 0 0 0 0 0 0 0 0 $.1 $.1^2 0 $.1 1 0 0 1 $.1 0 0 \n    $.1 1 1 $.1^2 1 0 0 $.1^2 0 1 0 1 $.1 1 1 $.1^2 1 $.1 $.1 1 $.1^2 $.1 1 $.1 \n    0 $.1^2 $.1 1]\n[0 0 0 $.1 0 0 0 0 0 0 0 0 0 0 0 0 0 0 0 0 0 0 0 $.1^2 1 0 $.1^2 $.1 0 0 $.1 \n    $.1^2 0 0 $.1^2 $.1 $.1 1 $.1 0 0 1 0 $.1 0 $.1 $.1^2 $.1 $.1 1 $.1 $.1^2 \n    $.1^2 $.1 1 $.1^2 $.1 $.1^2 0 1 $.1^2 $.1]\n[0 0 0 0 1 0 0 0 0 0 0 0 0 0 0 0 0 0 0 0 0 0 0 1 $.1^2 $.1 $.1 0 $.1 $.1 0 0 $.1\n    1 $.1^2 0 $.1^2 $.1^2 $.1 $.1^2 $.1^2 1 $.1 1 0 $.1^2 $.1^2 $.1^2 $.1^2 \n    $.1^2 1 $.1 $.1^2 $.1 0 $.1^2 0 $.1 0 $.1 $.1 $.1^2]\n[0 0 0 0 $.1 0 0 0 0 0 0 0 0 0 0 0 0 0 0 0 0 0 0 $.1 1 $.1^2 $.1^2 0 $.1^2 $.1^2\n    0 0 $.1^2 $.1 1 0 1 1 $.1^2 1 1 $.1 $.1^2 $.1 0 1 1 1 1 1 $.1 $.1^2 1 $.1^2 \n    0 1 0 $.1^2 0 $.1^2 $.1^2 1]\n[0 0 0 0 0 1 0 0 0 0 0 0 0 0 0 0 0 0 0 0 0 0 0 $.1^2 $.1 0 $.1^2 $.1^2 $.1 $.1^2\n    $.1 $.1^2 0 1 $.1^2 $.1 1 $.1 0 $.1^2 1 0 $.1 1 $.1 $.1 $.1 0 $.1 $.1 $.1 \n    $.1^2 1 $.1^2 1 0 $.1 $.1 $.1^2 1 1 1]\n[0 0 0 0 0 $.1 0 0 0 0 0 0 0 0 0 0 0 0 0 0 0 0 0 1 $.1^2 0 1 1 $.1^2 1 $.1^2 1 0\n    $.1 1 $.1^2 $.1 $.1^2 0 1 $.1 0 $.1^2 $.1 $.1^2 $.1^2 $.1^2 0 $.1^2 $.1^2 \n    $.1^2 1 $.1 1 $.1 0 $.1^2 $.1^2 1 $.1 $.1 $.1]\n[0 0 0 0 0 0 1 0 0 0 0 0 0 0 0 0 0 0 0 0 0 0 0 1 $.1 $.1^2 $.1 1 0 0 $.1^2 $.1^2\n    $.1^2 1 $.1 1 0 $.1^2 $.1^2 $.1 0 0 1 $.1^2 0 1 0 $.1^2 $.1 0 0 1 $.1 1 $.1 \n    1 $.1 1 0 1 0 0]\n[0 0 0 0 0 0 $.1 0 0 0 0 0 0 0 0 0 0 0 0 0 0 0 0 $.1 $.1^2 1 $.1^2 $.1 0 0 1 1 1\n    $.1 $.1^2 $.1 0 1 1 $.1^2 0 0 $.1 1 0 $.1 0 1 $.1^2 0 0 $.1 $.1^2 $.1 $.1^2 \n    $.1 $.1^2 $.1 0 $.1 0 0]\n[0 0 0 0 0 0 0 1 0 0 0 0 0 0 0 0 0 0 0 0 0 0 0 0 1 $.1 $.1^2 $.1 1 0 0 $.1^2 \n    $.1^2 $.1^2 1 $.1 1 0 $.1^2 $.1^2 $.1 0 0 1 $.1^2 0 1 0 $.1^2 $.1 0 0 1 $.1 \n    1 $.1 1 $.1 1 0 1 0]\n[0 0 0 0 0 0 0 $.1 0 0 0 0 0 0 0 0 0 0 0 0 0 0 0 0 $.1 $.1^2 1 $.1^2 $.1 0 0 1 1\n    1 $.1 $.1^2 $.1 0 1 1 $.1^2 0 0 $.1 1 0 $.1 0 1 $.1^2 0 0 $.1 $.1^2 $.1 \n    $.1^2 $.1 $.1^2 $.1 0 $.1 0]\n[0 0 0 0 0 0 0 0 1 0 0 0 0 0 0 0 0 0 0 0 0 0 0 0 0 1 $.1 $.1^2 $.1 1 0 0 $.1^2 \n    $.1^2 $.1^2 1 $.1 1 0 $.1^2 $.1^2 $.1 0 0 1 $.1^2 0 1 0 $.1^2 $.1 0 0 1 $.1 \n    1 $.1 1 $.1 1 0 1]\n[0 0 0 0 0 0 0 0 $.1 0 0 0 0 0 0 0 0 0 0 0 0 0 0 0 0 $.1 $.1^2 1 $.1^2 $.1 0 0 1\n    1 1 $.1 $.1^2 $.1 0 1 1 $.1^2 0 0 $.1 1 0 $.1 0 1 $.1^2 0 0 $.1 $.1^2 $.1 \n    $.1^2 $.1 $.1^2 $.1 0 $.1]\n[0 0 0 0 0 0 0 0 0 1 0 0 0 0 0 0 0 0 0 0 0 0 0 1 1 1 $.1^2 0 0 0 1 1 0 $.1 0 1 \n    $.1^2 0 0 $.1 0 $.1 $.1^2 1 1 $.1 1 1 $.1^2 $.1 1 1 1 0 0 $.1 $.1^2 1 $.1^2 \n    0 0 1]\n[0 0 0 0 0 0 0 0 0 $.1 0 0 0 0 0 0 0 0 0 0 0 0 0 $.1 $.1 $.1 1 0 0 0 $.1 $.1 0 \n    $.1^2 0 $.1 1 0 0 $.1^2 0 $.1^2 1 $.1 $.1 $.1^2 $.1 $.1 1 $.1^2 $.1 $.1 $.1 \n    0 0 $.1^2 1 $.1 1 0 0 $.1]\n[0 0 0 0 0 0 0 0 0 0 1 0 0 0 0 0 0 0 0 0 0 0 0 1 0 0 $.1^2 1 $.1^2 $.1 0 0 1 1 1\n    $.1 $.1^2 1 1 $.1 1 1 $.1^2 $.1 0 $.1 0 0 $.1^2 1 0 $.1 0 1 1 0 0 0 $.1^2 1 \n    1 1]\n[0 0 0 0 0 0 0 0 0 0 $.1 0 0 0 0 0 0 0 0 0 0 0 0 $.1 0 0 1 $.1 1 $.1^2 0 0 $.1 \n    $.1 $.1 $.1^2 1 $.1 $.1 $.1^2 $.1 $.1 1 $.1^2 0 $.1^2 0 0 1 $.1 0 $.1^2 0 \n    $.1 $.1 0 0 0 1 $.1 $.1 $.1]\n[0 0 0 0 0 0 0 0 0 0 0 1 0 0 0 0 0 0 0 0 0 0 0 1 0 1 $.1 1 $.1 1 $.1 1 0 0 $.1 \n    $.1^2 0 1 0 $.1^2 1 0 0 $.1 $.1^2 $.1^2 0 1 $.1 1 $.1^2 $.1^2 $.1^2 0 0 1 \n    $.1 $.1^2 $.1 1 0 0]\n[0 0 0 0 0 0 0 0 0 0 0 $.1 0 0 0 0 0 0 0 0 0 0 0 $.1 0 $.1 $.1^2 $.1 $.1^2 $.1 \n    $.1^2 $.1 0 0 $.1^2 1 0 $.1 0 1 $.1 0 0 $.1^2 1 1 0 $.1 $.1^2 $.1 1 1 1 0 0 \n    $.1 $.1^2 1 $.1^2 $.1 0 0]\n[0 0 0 0 0 0 0 0 0 0 0 0 1 0 0 0 0 0 0 0 0 0 0 0 1 0 1 $.1 1 $.1 1 $.1 1 0 0 $.1\n    $.1^2 0 1 0 $.1^2 1 0 0 $.1 $.1^2 $.1^2 0 1 $.1 1 $.1^2 $.1^2 $.1^2 0 0 1 \n    $.1 $.1^2 $.1 1 0]\n[0 0 0 0 0 0 0 0 0 0 0 0 $.1 0 0 0 0 0 0 0 0 0 0 0 $.1 0 $.1 $.1^2 $.1 $.1^2 $.1\n    $.1^2 $.1 0 0 $.1^2 1 0 $.1 0 1 $.1 0 0 $.1^2 1 1 0 $.1 $.1^2 $.1 1 1 1 0 0 \n    $.1 $.1^2 1 $.1^2 $.1 0]\n[0 0 0 0 0 0 0 0 0 0 0 0 0 1 0 0 0 0 0 0 0 0 0 0 0 1 0 1 $.1 1 $.1 1 $.1 1 0 0 \n    $.1 $.1^2 0 1 0 $.1^2 1 0 0 $.1 $.1^2 $.1^2 0 1 $.1 1 $.1^2 $.1^2 $.1^2 0 0 \n    1 $.1 $.1^2 $.1 1]\n[0 0 0 0 0 0 0 0 0 0 0 0 0 $.1 0 0 0 0 0 0 0 0 0 0 0 $.1 0 $.1 $.1^2 $.1 $.1^2 \n    $.1 $.1^2 $.1 0 0 $.1^2 1 0 $.1 0 1 $.1 0 0 $.1^2 1 1 0 $.1 $.1^2 $.1 1 1 1 \n    0 0 $.1 $.1^2 1 $.1^2 $.1]\n[0 0 0 0 0 0 0 0 0 0 0 0 0 0 1 0 0 0 0 0 0 0 0 1 1 1 $.1^2 $.1 $.1 0 1 $.1^2 1 \n    $.1^2 $.1 $.1 $.1 0 $.1 $.1 $.1 1 $.1 0 1 $.1^2 0 $.1 1 $.1 $.1^2 1 0 $.1^2 \n    $.1 $.1^2 $.1 $.1^2 $.1^2 0 $.1 $.1^2]\n[0 0 0 0 0 0 0 0 0 0 0 0 0 0 $.1 0 0 0 0 0 0 0 0 $.1 $.1 $.1 1 $.1^2 $.1^2 0 $.1\n    1 $.1 1 $.1^2 $.1^2 $.1^2 0 $.1^2 $.1^2 $.1^2 $.1 $.1^2 0 $.1 1 0 $.1^2 $.1 \n    $.1^2 1 $.1 0 1 $.1^2 1 $.1^2 1 1 0 $.1^2 1]\n[0 0 0 0 0 0 0 0 0 0 0 0 0 0 0 1 0 0 0 0 0 0 0 $.1^2 $.1 $.1 0 $.1 0 $.1^2 0 $.1\n    $.1^2 $.1 1 $.1^2 $.1^2 $.1^2 $.1^2 $.1^2 0 1 $.1 1 $.1^2 $.1^2 $.1 $.1^2 \n    $.1^2 0 $.1^2 1 $.1 0 0 $.1 $.1 0 $.1 $.1 $.1^2 1]\n[0 0 0 0 0 0 0 0 0 0 0 0 0 0 0 $.1 0 0 0 0 0 0 0 1 $.1^2 $.1^2 0 $.1^2 0 1 0 \n    $.1^2 1 $.1^2 $.1 1 1 1 1 1 0 $.1 $.1^2 $.1 1 1 $.1^2 1 1 0 1 $.1 $.1^2 0 0 \n    $.1^2 $.1^2 0 $.1^2 $.1^2 1 $.1]\n[0 0 0 0 0 0 0 0 0 0 0 0 0 0 0 0 1 0 0 0 0 0 0 1 $.1 $.1^2 0 $.1 1 $.1 $.1^2 1 \n    $.1 $.1 1 $.1^2 1 1 $.1 1 0 1 0 $.1^2 0 0 1 $.1^2 1 1 $.1 0 0 $.1 1 0 0 1 \n    $.1 0 $.1^2 $.1]\n[0 0 0 0 0 0 0 0 0 0 0 0 0 0 0 0 $.1 0 0 0 0 0 0 $.1 $.1^2 1 0 $.1^2 $.1 $.1^2 1\n    $.1 $.1^2 $.1^2 $.1 1 $.1 $.1 $.1^2 $.1 0 $.1 0 1 0 0 $.1 1 $.1 $.1 $.1^2 0 \n    0 $.1^2 $.1 0 0 $.1 $.1^2 0 1 $.1^2]\n[0 0 0 0 0 0 0 0 0 0 0 0 0 0 0 0 0 1 0 0 0 0 0 $.1 $.1^2 0 0 $.1^2 $.1^2 $.1 $.1\n    1 1 0 $.1^2 $.1 0 $.1 $.1^2 1 0 $.1 $.1^2 $.1 1 1 $.1^2 $.1^2 0 $.1 $.1 \n    $.1^2 $.1 0 0 1 $.1^2 1 $.1 1 $.1 1]\n[0 0 0 0 0 0 0 0 0 0 0 0 0 0 0 0 0 $.1 0 0 0 0 0 $.1^2 1 0 0 1 1 $.1^2 $.1^2 $.1\n    $.1 0 1 $.1^2 0 $.1^2 1 $.1 0 $.1^2 1 $.1^2 $.1 $.1 1 1 0 $.1^2 $.1^2 1 \n    $.1^2 0 0 $.1 1 $.1 $.1^2 $.1 $.1^2 $.1]\n[0 0 0 0 0 0 0 0 0 0 0 0 0 0 0 0 0 0 1 0 0 0 0 1 $.1^2 $.1 $.1 $.1 0 1 $.1 $.1^2\n    1 0 $.1^2 1 0 $.1 $.1^2 1 $.1 1 $.1^2 $.1 $.1^2 $.1 $.1^2 $.1 1 $.1 0 1 $.1 \n    $.1 1 0 $.1^2 0 $.1^2 0 0 $.1^2]\n[0 0 0 0 0 0 0 0 0 0 0 0 0 0 0 0 0 0 $.1 0 0 0 0 $.1 1 $.1^2 $.1^2 $.1^2 0 $.1 \n    $.1^2 1 $.1 0 1 $.1 0 $.1^2 1 $.1 $.1^2 $.1 1 $.1^2 1 $.1^2 1 $.1^2 $.1 \n    $.1^2 0 $.1 $.1^2 $.1^2 $.1 0 1 0 1 0 0 1]\n[0 0 0 0 0 0 0 0 0 0 0 0 0 0 0 0 0 0 0 1 0 0 0 $.1^2 $.1 0 $.1^2 $.1^2 0 1 1 1 \n    $.1^2 $.1 $.1 $.1 0 1 1 $.1 $.1^2 1 $.1 0 1 1 $.1^2 0 $.1^2 0 $.1^2 $.1 $.1 \n    $.1 1 1 1 1 1 $.1 $.1^2 $.1^2]\n[0 0 0 0 0 0 0 0 0 0 0 0 0 0 0 0 0 0 0 $.1 0 0 0 1 $.1^2 0 1 1 0 $.1 $.1 $.1 1 \n    $.1^2 $.1^2 $.1^2 0 $.1 $.1 $.1^2 1 $.1 $.1^2 0 $.1 $.1 1 0 1 0 1 $.1^2 \n    $.1^2 $.1^2 $.1 $.1 $.1 $.1 $.1 $.1^2 1 1]\n[0 0 0 0 0 0 0 0 0 0 0 0 0 0 0 0 0 0 0 0 1 0 0 $.1^2 0 1 1 $.1 1 1 1 $.1 1 0 0 \n    $.1^2 $.1^2 1 $.1 0 0 0 $.1 1 $.1^2 $.1^2 0 0 1 $.1 1 1 1 $.1 1 1 0 $.1^2 0 \n    0 1 0]\n[0 0 0 0 0 0 0 0 0 0 0 0 0 0 0 0 0 0 0 0 $.1 0 0 1 0 $.1 $.1 $.1^2 $.1 $.1 $.1 \n    $.1^2 $.1 0 0 1 1 $.1 $.1^2 0 0 0 $.1^2 $.1 1 1 0 0 $.1 $.1^2 $.1 $.1 $.1 \n    $.1^2 $.1 $.1 0 1 0 0 $.1 0]\n[0 0 0 0 0 0 0 0 0 0 0 0 0 0 0 0 0 0 0 0 0 1 0 0 $.1^2 0 1 1 $.1 1 1 1 $.1 1 0 0\n    $.1^2 $.1^2 1 $.1 0 0 0 $.1 1 $.1^2 $.1^2 0 0 1 $.1 1 1 1 $.1 1 1 0 $.1^2 0 \n    0 1]\n[0 0 0 0 0 0 0 0 0 0 0 0 0 0 0 0 0 0 0 0 0 $.1 0 0 1 0 $.1 $.1 $.1^2 $.1 $.1 $.1\n    $.1^2 $.1 0 0 1 1 $.1 $.1^2 0 0 0 $.1^2 $.1 1 1 0 0 $.1 $.1^2 $.1 $.1 $.1 \n    $.1^2 $.1 $.1 0 1 0 0 $.1]\n[0 0 0 0 0 0 0 0 0 0 0 0 0 0 0 0 0 0 0 0 0 0 1 1 1 $.1 $.1 $.1^2 $.1 0 1 0 1 \n    $.1^2 $.1 $.1 $.1 1 $.1 $.1^2 1 1 1 1 $.1^2 $.1 1 $.1 $.1 $.1 $.1^2 1 0 1 0 \n    $.1 $.1^2 $.1 $.1 1 1 1]\n[0 0 0 0 0 0 0 0 0 0 0 0 0 0 0 0 0 0 0 0 0 0 $.1 $.1 $.1 $.1^2 $.1^2 1 $.1^2 0 \n    $.1 0 $.1 1 $.1^2 $.1^2 $.1^2 $.1 $.1^2 1 $.1 $.1 $.1 $.1 1 $.1^2 $.1 $.1^2 \n    $.1^2 $.1^2 1 $.1 0 $.1 0 $.1^2 1 $.1^2 $.1^2 $.1 $.1 $.1]\nQuantum GF(2)-Additive code over GF(4) of length 62 with 78 generators.\nLower Bound: 1, Upper Bound: 24\nConstructed 2 distinct generator matrices\nTotal Ranks:     39  39 \nRelative Ranks:  39  23 \n(4 4 4 4 4 4 4 4 4 4 4 4 4 4 4 4 4 4 4 4 4 4 4 4 4 4 4 4 4 4 4 4 4 4 4 4 4 4 4 )\n(4 4 4 4 4 4 4 4 4 4 4 4 4 4 4 4 4 4 4 4 4 4 4 4 4 4 4 4 4 4 4 4 4 4 4 4 4 4 4 )\nTime Taken: 0.01\nStarting search for low weight codewords... (reset timings)\nEnumerating using 1 generator at a time:\n     New codeword identified of weight 19, time 0.00\n     New codeword identified of weight 18, time 0.00\n     New codeword identified of weight 15, time 0.00\n     Discarding non-contributing rank 23 matrix\n     New Total Ranks:     39 \n     New Relative Ranks:  39 \n   Completed Matrix  1:  lower =  2, upper = 15. Elapsed: 0.00s\nTermination predicted with 14 generators at matrix 1\nEnumerating using 2 generators at a time:\n     New codeword identified of weight 13, time 0.00\n     New codeword identified of weight 12, time 0.00\n   Completed Matrix  1:  lower =  3, upper = 12. Elapsed: 0.00s\nTermination predicted with 11 generators at matrix 1\nEnumerating using 3 generators at a time:\n     New codeword identified of weight 11, time 0.00\n   Completed Matrix  1:  lower =  4, upper = 11. Elapsed: 0.00s\nTermination predicted with 10 generators at matrix 1\nEnumerating using 4 generators at a time:\n     New codeword identified of weight 10, time 0.02\n   Completed Matrix  1:  lower =  5, upper = 10. Elapsed: 0.05s\nTermination predicted with 9 generators at matrix 1\nEnumerating using 5 generators at a time:\n   Completed Matrix  1:  lower =  6, upper = 10. Elapsed: 1.44s\nTermination predicted at 45536 s (12h 38m 56s) with 9 generators at matrix 1\nEnumerating using 6 generators at a time:\n   Completed Matrix  1:  lower =  7, upper = 10. Elapsed: 26.05s\nTermination predicted at 47583 s (13h 13m 3s) with 9 generators at matrix 1\nEnumerating using 7 generators at a time:\n   Completed Matrix  1:  lower =  8, upper = 10. Elapsed: 361.06s\nTermination predicted at 46036 s (12h 47m 16s) with 9 generators at matrix 1\nEnumerating using 8 generators at a time:\n   Completed Matrix  1:  lower =  9, upper = 10. Elapsed: 4405.59s\nTermination predicted at 46187 s (12h 49m 47s) with 9 generators at matrix 1\nEnumerating using 9 generators at a time:\n</t>
  </si>
  <si>
    <t xml:space="preserve">Magma V2.28-26    Sat Jan 10 2026 18:40:17 on Marks-MacBook-Air-2 [Seed = \n3049144766]\nType ? for help.  Type &lt;Ctrl&gt;-D to quit.\n[1 0 0 0 0 0 0 0 0 0 0 0 0 0 0 0 0 0 0 0 0 0 0 0 0 0 0 0 0 0 0 0 0 0 0 0 0 0 0 0\n    0 0 0 0 0 0 0 0 0 0 0 0 0 0 0 0 0 0 0 </t>
  </si>
  <si>
    <t>28800.114598166998</t>
  </si>
  <si>
    <t xml:space="preserve">Magma V2.28-26    Sat Jan 10 2026 18:40:25 on Marks-MacBook-Air-2 [Seed = \n2796376741]\nType ? for help.  Type &lt;Ctrl&gt;-D to quit.\n[1 0 0 0 0 0 0 0 0 0 0 0 0 0 0 0 0 0 0 0 0 0 0 0 0 0 0 0 0 0 0 0 0 0 0 0 0 0 0 0\n    0 0 0 0 0 0 0 0 0 0 0 0 0 0 0 0 0 0 0 </t>
  </si>
  <si>
    <t>28800.135720624996</t>
  </si>
  <si>
    <t xml:space="preserve">Magma V2.28-26    Sat Jan 10 2026 18:40:33 on Marks-MacBook-Air-2 [Seed = \n3705088231]\nType ? for help.  Type &lt;Ctrl&gt;-D to quit.\n[1 0 0 0 0 0 0 0 0 0 0 0 0 0 0 0 0 0 0 0 0 0 0 0 0 0 0 0 0 0 0 0 0 0 0 0 0 0 0 0\n    0 0 0 0 0 0 0 0 0 0 0 0 0 0 0 0 0 0 0 </t>
  </si>
  <si>
    <t>28800.366222167002</t>
  </si>
  <si>
    <t>Magma V2.28-26    Sun Jan 11 2026 02:40:16 on Marks-MacBook-Air-2 [Seed = \n2374494661]\nType ? for help.  Type &lt;Ctrl&gt;-D to quit.\n[1 0 0 0 0 0 0 0 0 0 0 0 0 0 0 0 0 0 0 0 0 0 0 0 0 0 0 0 0 0 0 0 0 0 0 0 0 0 0 0\n    0 0 0 0 0 0 0 0 0 0 0 0 0 0 0 1 0 0 1 0 0 1 1 0 0 0 0 0 0 0 0 0 0 0 1 1 0 0 \n    1 1 0 0 0 0 1 0 0 0 1 0 0 1 0 1 1 0 0 0 0 1 1 0 1 1 0 0 0 1 0 0 0 0 0 0 0 0 \n    0 0 0 0 0 0 0 0 0 0]\n[0 1 0 0 0 0 0 0 0 0 0 0 0 0 0 0 0 0 0 0 0 0 0 0 0 0 0 0 0 0 0 0 0 0 0 0 0 0 0 0\n    0 0 0 0 0 0 0 0 0 0 0 0 0 0 0 1 1 0 1 1 0 1 0 0 0 0 0 0 0 0 0 0 0 0 1 0 1 0 \n    1 0 1 0 0 0 1 1 0 0 1 1 0 1 1 1 0 1 0 0 0 1 0 1 1 0 1 0 0 1 1 0 0 0 0 0 0 0 \n    0 0 0 0 0 0 0 0 0 0]\n[0 0 1 0 0 0 0 0 0 0 0 0 0 0 0 0 0 0 0 0 0 0 0 0 0 0 0 0 0 0 0 0 0 0 0 0 0 0 0 0\n    0 0 0 0 0 0 0 0 0 0 0 0 0 0 0 0 1 1 0 1 1 0 1 0 0 0 0 0 0 0 0 0 0 0 0 1 0 1 \n    0 1 0 1 0 0 0 1 1 0 0 1 1 0 1 1 1 0 1 0 0 0 1 0 1 1 0 1 0 0 1 1 0 0 0 0 0 0 \n    0 0 0 0 0 0 0 0 0 0]\n[0 0 0 1 0 0 0 0 0 0 0 0 0 0 0 0 0 0 0 0 0 0 0 0 0 0 0 0 0 0 0 0 0 0 0 0 0 0 0 0\n    0 0 0 0 0 0 0 0 0 0 0 0 0 0 0 1 0 1 0 0 1 0 1 0 0 0 0 0 0 0 0 0 0 0 1 1 1 0 \n    0 1 1 0 1 0 1 0 1 1 1 0 1 0 0 0 0 1 0 1 0 1 1 1 1 0 1 0 1 1 0 1 1 0 0 0 0 0 \n    0 0 0 0 0 0 0 0 0 0]\n[0 0 0 0 1 0 0 0 0 0 0 0 0 0 0 0 0 0 0 0 0 0 0 0 0 0 0 0 0 0 0 0 0 0 0 0 0 0 0 0\n    0 0 0 0 0 0 0 0 0 0 0 0 0 0 0 1 1 0 0 0 0 0 1 0 0 0 0 0 0 0 0 0 0 0 1 0 1 1 \n    1 1 1 1 0 1 1 1 0 1 0 1 0 0 0 1 1 0 1 0 1 1 0 1 0 0 0 1 0 0 1 0 1 1 0 0 0 0 \n    0 0 0 0 0 0 0 0 0 0]\n[0 0 0 0 0 1 0 0 0 0 0 0 0 0 0 0 0 0 0 0 0 0 0 0 0 0 0 0 0 0 0 0 0 0 0 0 0 0 0 0\n    0 0 0 0 0 0 0 0 0 0 0 0 0 0 0 1 1 1 1 0 0 1 1 0 0 0 0 0 0 0 0 0 0 0 1 0 0 1 \n    0 0 1 1 1 0 0 1 1 0 0 0 1 1 0 1 0 1 0 1 0 0 0 0 0 1 0 0 1 1 0 1 0 1 1 0 0 0 \n    0 0 0 0 0 0 0 0 0 0]\n[0 0 0 0 0 0 1 0 0 0 0 0 0 0 0 0 0 0 0 0 0 0 0 0 0 0 0 0 0 0 0 0 0 0 0 0 0 0 0 0\n    0 0 0 0 0 0 0 0 0 0 0 0 0 0 0 1 1 1 0 1 0 1 0 0 0 0 0 0 0 0 0 0 0 0 1 0 0 0 \n    0 1 0 1 1 1 1 0 1 1 1 0 0 0 1 1 0 0 1 0 1 1 1 0 1 1 1 0 0 0 1 0 1 0 1 1 0 0 \n    0 0 0 0 0 0 0 0 0 0]\n[0 0 0 0 0 0 0 1 0 0 0 0 0 0 0 0 0 0 0 0 0 0 0 0 0 0 0 0 0 0 0 0 0 0 0 0 0 0 0 0\n    0 0 0 0 0 0 0 0 0 0 0 0 0 0 0 0 1 1 1 0 1 0 1 0 0 0 0 0 0 0 0 0 0 0 0 1 0 0 \n    0 0 1 0 1 1 1 1 0 1 1 1 0 0 0 1 1 0 0 1 0 1 1 1 0 1 1 1 0 0 0 1 0 1 0 1 1 0 \n    0 0 0 0 0 0 0 0 0 0]\n[0 0 0 0 0 0 0 0 1 0 0 0 0 0 0 0 0 0 0 0 0 0 0 0 0 0 0 0 0 0 0 0 0 0 0 0 0 0 0 0\n    0 0 0 0 0 0 0 0 0 0 0 0 0 0 0 1 0 1 0 1 0 0 1 0 0 0 0 0 0 0 0 0 0 0 1 1 1 0 \n    1 1 0 1 0 1 0 1 1 0 0 1 1 1 0 1 0 1 0 0 1 1 0 1 0 1 1 1 1 1 0 0 1 0 1 0 1 1 \n    0 0 0 0 0 0 0 0 0 0]\n[0 0 0 0 0 0 0 0 0 1 0 0 0 0 0 0 0 0 0 0 0 0 0 0 0 0 0 0 0 0 0 0 0 0 0 0 0 0 0 0\n    0 0 0 0 0 0 0 0 0 0 0 0 0 0 0 1 1 0 0 0 1 1 1 0 0 0 0 0 0 0 0 0 0 0 1 0 1 1 \n    1 0 1 0 1 0 0 0 1 1 1 0 1 0 1 1 0 0 1 0 0 0 0 0 0 1 1 1 1 0 1 0 0 1 0 1 0 1 \n    1 0 0 0 0 0 0 0 0 0]\n[0 0 0 0 0 0 0 0 0 0 1 0 0 0 0 0 0 0 0 0 0 0 0 0 0 0 0 0 0 0 0 0 0 0 0 0 0 0 0 0\n    0 0 0 0 0 0 0 0 0 0 0 0 0 0 0 1 1 1 1 0 0 0 0 0 0 0 0 0 0 0 0 0 0 0 1 0 0 1 \n    0 0 0 1 0 1 1 0 0 1 0 1 0 0 0 0 0 0 0 1 0 1 1 0 1 1 1 1 1 0 0 1 0 0 1 0 1 0 \n    1 1 0 0 0 0 0 0 0 0]\n[0 0 0 0 0 0 0 0 0 0 0 1 0 0 0 0 0 0 0 0 0 0 0 0 0 0 0 0 0 0 0 0 0 0 0 0 0 0 0 0\n    0 0 0 0 0 0 0 0 0 0 0 0 0 0 0 0 1 1 1 1 0 0 0 0 0 0 0 0 0 0 0 0 0 0 0 1 0 0 \n    1 0 0 0 1 0 1 1 0 0 1 0 1 0 0 0 0 0 0 0 1 0 1 1 0 1 1 1 1 1 0 0 1 0 0 1 0 1 \n    0 1 1 0 0 0 0 0 0 0]\n[0 0 0 0 0 0 0 0 0 0 0 0 1 0 0 0 0 0 0 0 0 0 0 0 0 0 0 0 0 0 0 0 0 0 0 0 0 0 0 0\n    0 0 0 0 0 0 0 0 0 0 0 0 0 0 0 0 0 1 1 1 1 0 0 0 0 0 0 0 0 0 0 0 0 0 0 0 1 0 \n    0 1 0 0 0 1 0 1 1 0 0 1 0 1 0 0 0 0 0 0 0 1 0 1 1 0 1 1 1 1 1 0 0 1 0 0 1 0 \n    1 0 1 1 0 0 0 0 0 0]\n[0 0 0 0 0 0 0 0 0 0 0 0 0 1 0 0 0 0 0 0 0 0 0 0 0 0 0 0 0 0 0 0 0 0 0 0 0 0 0 0\n    0 0 0 0 0 0 0 0 0 0 0 0 0 0 0 0 0 0 1 1 1 1 0 0 0 0 0 0 0 0 0 0 0 0 0 0 0 1 \n    0 0 1 0 0 0 1 0 1 1 0 0 1 0 1 0 0 0 0 0 0 0 1 0 1 1 0 1 1 1 1 1 0 0 1 0 0 1 \n    0 1 0 1 1 0 0 0 0 0]\n[0 0 0 0 0 0 0 0 0 0 0 0 0 0 1 0 0 0 0 0 0 0 0 0 0 0 0 0 0 0 0 0 0 0 0 0 0 0 0 0\n    0 0 0 0 0 0 0 0 0 0 0 0 0 0 0 0 0 0 0 1 1 1 1 0 0 0 0 0 0 0 0 0 0 0 0 0 0 0 \n    1 0 0 1 0 0 0 1 0 1 1 0 0 1 0 1 0 0 0 0 0 0 0 1 0 1 1 0 1 1 1 1 1 0 0 1 0 0 \n    1 0 1 0 1 1 0 0 0 0]\n[0 0 0 0 0 0 0 0 0 0 0 0 0 0 0 1 0 0 0 0 0 0 0 0 0 0 0 0 0 0 0 0 0 0 0 0 0 0 0 0\n    0 0 0 0 0 0 0 0 0 0 0 0 0 0 0 1 0 0 1 0 1 0 0 0 0 0 0 0 0 0 0 0 0 0 1 1 0 0 \n    1 0 0 0 1 0 1 0 1 0 0 1 0 1 1 1 0 0 0 0 0 1 1 0 0 1 1 1 0 0 1 1 1 1 0 0 1 0 \n    0 1 0 1 0 1 1 0 0 0]\n[0 0 0 0 0 0 0 0 0 0 0 0 0 0 0 0 1 0 0 0 0 0 0 0 0 0 0 0 0 0 0 0 0 0 0 0 0 0 0 0\n    0 0 0 0 0 0 0 0 0 0 0 0 0 0 0 0 1 0 0 1 0 1 0 0 0 0 0 0 0 0 0 0 0 0 0 1 1 0 \n    0 1 0 0 0 1 0 1 0 1 0 0 1 0 1 1 1 0 0 0 0 0 1 1 0 0 1 1 1 0 0 1 1 1 1 0 0 1 \n    0 0 1 0 1 0 1 1 0 0]\n[0 0 0 0 0 0 0 0 0 0 0 0 0 0 0 0 0 1 0 0 0 0 0 0 0 0 0 0 0 0 0 0 0 0 0 0 0 0 0 0\n    0 0 0 0 0 0 0 0 0 0 0 0 0 0 0 0 0 1 0 0 1 0 1 0 0 0 0 0 0 0 0 0 0 0 0 0 1 1 \n    0 0 1 0 0 0 1 0 1 0 1 0 0 1 0 1 1 1 0 0 0 0 0 1 1 0 0 1 1 1 0 0 1 1 1 1 0 0 \n    1 0 0 1 0 1 0 1 1 0]\n[0 0 0 0 0 0 0 0 0 0 0 0 0 0 0 0 0 0 1 0 0 0 0 0 0 0 0 0 0 0 0 0 0 0 0 0 0 0 0 0\n    0 0 0 0 0 0 0 0 0 0 0 0 0 0 0 1 0 0 0 0 0 0 1 0 0 0 0 0 0 0 0 0 0 0 1 1 0 1 \n    0 1 0 1 0 0 1 1 0 1 1 1 0 1 1 1 0 1 1 0 0 1 1 0 0 0 0 0 1 0 1 0 0 1 1 1 1 0 \n    0 1 0 0 1 0 1 0 1 1]\n[0 0 0 0 0 0 0 0 0 0 0 0 0 0 0 0 0 0 0 1 0 0 0 0 0 0 0 0 0 0 0 0 0 0 0 0 0 0 0 0\n    0 0 0 0 0 0 0 0 0 0 0 0 0 0 0 1 1 0 1 0 0 1 1 1 0 0 0 0 0 0 0 0 0 0 1 0 1 0 \n    0 1 1 0 1 0 1 1 1 0 0 1 1 1 1 0 0 0 1 1 0 1 0 1 1 1 0 0 0 0 0 1 0 0 1 1 1 1 \n    0 0 1 0 0 1 0 1 0 1]\n[0 0 0 0 0 0 0 0 0 0 0 0 0 0 0 0 0 0 0 0 1 0 0 0 0 0 0 0 0 0 0 0 0 0 0 0 0 0 0 0\n    0 0 0 0 0 0 0 0 0 0 0 0 0 0 0 1 1 1 1 1 0 1 0 1 1 0 0 0 0 0 0 0 0 0 1 0 0 1 \n    1 1 1 1 0 1 1 1 1 1 1 0 1 0 1 0 1 0 0 1 1 1 0 0 0 0 1 0 0 1 0 0 1 0 0 1 1 1 \n    1 0 0 1 0 0 1 0 1 0]\n[0 0 0 0 0 0 0 0 0 0 0 0 0 0 0 0 0 0 0 0 0 1 0 0 0 0 0 0 0 0 0 0 0 0 0 0 0 0 0 0\n    0 0 0 0 0 0 0 0 0 0 0 0 0 0 0 0 1 1 1 1 1 0 1 0 1 1 0 0 0 0 0 0 0 0 0 1 0 0 \n    1 1 1 1 1 0 1 1 1 1 1 1 0 1 0 1 0 1 0 0 1 1 1 0 0 0 0 1 0 0 1 0 0 1 0 0 1 1 \n    1 1 0 0 1 0 0 1 0 1]\n[0 0 0 0 0 0 0 0 0 0 0 0 0 0 0 0 0 0 0 0 0 0 1 0 0 0 0 0 0 0 0 0 0 0 0 0 0 0 0 0\n    0 0 0 0 0 0 0 0 0 0 0 0 0 0 0 1 0 1 0 1 1 0 1 1 0 1 1 0 0 0 0 0 0 0 1 1 1 0 \n    1 0 1 1 1 1 1 1 1 1 0 1 1 1 1 1 0 0 1 0 0 0 0 1 1 1 0 0 1 1 0 1 0 0 1 0 0 1 \n    1 1 1 0 0 1 0 0 1 0]\n[0 0 0 0 0 0 0 0 0 0 0 0 0 0 0 0 0 0 0 0 0 0 0 1 0 0 0 0 0 0 0 0 0 0 0 0 0 0 0 0\n    0 0 0 0 0 0 0 0 0 0 0 0 0 0 0 1 1 0 0 0 1 0 1 0 1 0 1 1 0 0 0 0 0 0 1 0 1 1 \n    1 0 0 1 1 1 0 1 1 1 0 0 1 0 1 0 0 0 0 1 0 1 1 0 0 0 1 0 0 0 1 0 1 0 0 1 0 0 \n    1 1 1 1 0 0 1 0 0 1]\n[0 0 0 0 0 0 0 0 0 0 0 0 0 0 0 0 0 0 0 0 0 0 0 0 1 0 0 0 0 0 0 0 0 0 0 0 0 0 0 0\n    0 0 0 0 0 0 0 0 0 0 0 0 0 0 0 1 1 1 1 0 0 0 1 1 0 1 0 1 1 0 0 0 0 0 1 0 0 1 \n    0 0 0 0 1 1 0 0 1 1 0 0 0 0 0 0 1 0 0 0 1 1 0 1 1 1 0 1 0 1 0 1 0 1 0 0 1 0 \n    0 1 1 1 1 0 0 1 0 0]\n[0 0 0 0 0 0 0 0 0 0 0 0 0 0 0 0 0 0 0 0 0 0 0 0 0 1 0 0 0 0 0 0 0 0 0 0 0 0 0 0\n    0 0 0 0 0 0 0 0 0 0 0 0 0 0 0 1 1 1 0 1 0 1 1 0 1 0 1 0 1 1 0 0 0 0 1 0 0 0 \n    0 1 0 0 0 1 0 0 0 1 0 0 0 1 0 1 1 1 0 0 0 0 0 0 0 0 1 0 1 1 1 0 1 0 1 0 0 1 \n    0 0 1 1 1 1 0 0 1 0]\n[0 0 0 0 0 0 0 0 0 0 0 0 0 0 0 0 0 0 0 0 0 0 0 0 0 0 1 0 0 0 0 0 0 0 0 0 0 0 0 0\n    0 0 0 0 0 0 0 0 0 0 0 0 0 0 0 1 1 1 0 0 1 1 0 0 0 1 0 1 0 1 1 0 0 0 1 0 0 0 \n    1 1 1 0 0 0 0 0 0 0 0 0 0 1 1 1 0 1 1 0 0 1 1 0 1 1 0 1 0 0 1 1 0 1 0 1 0 0 \n    1 0 0 1 1 1 1 0 0 1]\n[0 0 0 0 0 0 0 0 0 0 0 0 0 0 0 0 0 0 0 0 0 0 0 0 0 0 0 1 0 0 0 0 0 0 0 0 0 0 0 0\n    0 0 0 0 0 0 0 0 0 0 0 0 0 0 0 0 1 1 1 0 0 1 1 1 0 0 1 0 1 0 1 1 0 0 0 1 0 0 \n    0 1 1 1 0 0 0 0 0 0 0 0 0 0 1 1 1 0 1 1 0 0 1 1 0 1 1 0 1 0 0 1 1 0 1 0 1 0 \n    0 1 0 0 1 1 1 1 0 0]\n[0 0 0 0 0 0 0 0 0 0 0 0 0 0 0 0 0 0 0 0 0 0 0 0 0 0 0 0 1 0 0 0 0 0 0 0 0 0 0 0\n    0 0 0 0 0 0 0 0 0 0 0 0 0 0 0 1 0 1 0 1 0 1 0 0 1 0 0 1 0 1 0 1 1 0 1 1 1 0 \n    1 1 1 1 1 0 1 0 0 0 1 0 0 1 0 0 0 1 0 1 1 1 1 1 0 1 1 1 0 0 0 0 1 1 0 1 0 1 \n    0 0 1 0 0 1 1 1 1 0]\n[0 0 0 0 0 0 0 0 0 0 0 0 0 0 0 0 0 0 0 0 0 0 0 0 0 0 0 0 0 1 0 0 0 0 0 0 0 0 0 0\n    0 0 0 0 0 0 0 0 0 0 0 0 0 0 0 0 1 0 1 0 1 0 1 0 0 1 0 0 1 0 1 0 1 1 0 1 1 1 \n    0 1 1 1 1 1 0 1 0 0 0 1 0 0 1 0 0 0 1 0 1 1 1 1 1 0 1 1 1 0 0 0 0 1 1 0 1 0 \n    1 0 0 1 0 0 1 1 1 1]\n[0 0 0 0 0 0 0 0 0 0 0 0 0 0 0 0 0 0 0 0 0 0 0 0 0 0 0 0 0 0 1 0 0 0 0 0 0 0 0 0\n    0 0 0 0 0 0 0 0 0 0 0 0 0 0 0 1 0 1 1 1 0 0 1 1 0 0 1 0 0 1 0 1 0 1 0 1 1 1 \n    0 1 1 1 1 1 0 0 1 0 1 0 1 1 0 0 1 0 0 1 0 0 0 1 0 0 0 1 1 0 0 0 0 0 1 1 0 1 \n    0 1 0 0 1 0 0 1 1 1]\n[0 0 0 0 0 0 0 0 0 0 0 0 0 0 0 0 0 0 0 0 0 0 0 0 0 0 0 0 0 0 0 1 0 0 0 0 0 0 0 0\n    0 0 0 0 0 0 0 0 0 0 0 0 0 0 0 1 1 0 0 1 1 1 1 1 1 0 0 1 0 0 1 0 1 0 0 1 1 1 \n    0 1 1 1 1 1 0 0 0 1 1 1 0 0 1 1 1 1 0 0 1 1 1 0 0 1 0 0 1 0 0 0 0 0 0 1 1 0 \n    1 0 1 0 0 1 0 0 1 1]\n[0 0 0 0 0 0 0 0 0 0 0 0 0 0 0 0 0 0 0 0 0 0 0 0 0 0 0 0 0 0 0 0 1 0 0 0 0 0 0 0\n    0 0 0 0 0 0 0 0 0 0 0 0 0 0 0 1 1 1 1 0 1 0 0 1 1 1 0 0 1 0 0 1 0 1 1 1 1 1 \n    0 1 1 1 1 1 0 0 0 0 0 1 1 1 0 0 0 1 1 0 0 0 0 1 1 1 1 0 0 0 0 0 0 0 0 0 1 1 \n    0 1 0 1 0 0 1 0 0 1]\n[0 0 0 0 0 0 0 0 0 0 0 0 0 0 0 0 0 0 0 0 0 0 0 0 0 0 0 0 0 0 0 0 0 1 0 0 0 0 0 0\n    0 0 0 0 0 0 0 0 0 0 0 0 0 0 0 0 1 1 1 1 0 1 0 1 1 1 1 0 0 1 0 0 1 0 1 1 1 1 \n    1 0 1 1 1 1 1 0 0 0 0 0 1 1 1 0 0 0 1 1 0 0 0 0 1 1 1 1 0 0 0 0 0 0 0 0 0 1 \n    1 0 1 0 1 0 0 1 0 0]\n[0 0 0 0 0 0 0 0 0 0 0 0 0 0 0 0 0 0 0 0 0 0 0 0 0 0 0 0 0 0 0 0 0 0 1 0 0 0 0 0\n    0 0 0 0 0 0 0 0 0 0 0 0 0 0 0 0 0 1 1 1 1 0 1 0 1 1 1 1 0 0 1 0 0 1 0 1 1 1 \n    1 1 0 1 1 1 1 1 0 0 0 0 0 1 1 1 0 0 0 1 1 0 0 0 0 1 1 1 1 0 0 0 0 0 0 0 0 0 \n    1 1 0 1 0 1 0 0 1 0]\n[0 0 0 0 0 0 0 0 0 0 0 0 0 0 0 0 0 0 0 0 0 0 0 0 0 0 0 0 0 0 0 0 0 0 0 1 0 0 0 0\n    0 0 0 0 0 0 0 0 0 0 0 0 0 0 0 1 0 0 0 1 1 0 1 0 0 1 1 1 1 0 0 1 0 0 0 1 1 1 \n    0 0 1 0 1 1 0 1 1 0 1 0 0 1 1 0 0 0 0 0 1 0 1 0 1 1 1 1 1 0 0 0 0 0 0 0 0 0 \n    0 1 1 0 1 0 1 0 0 1]\n[0 0 0 0 0 0 0 0 0 0 0 0 0 0 0 0 0 0 0 0 0 0 0 0 0 0 0 0 0 0 0 0 0 0 0 0 1 0 0 0\n    0 0 0 0 0 0 0 0 0 0 0 0 0 0 0 1 1 0 1 0 1 0 1 1 0 0 1 1 1 1 0 0 1 0 1 1 1 1 \n    0 1 0 1 0 1 0 0 1 1 1 1 0 1 1 0 1 0 0 0 0 0 1 1 1 0 1 1 1 0 0 0 0 0 0 0 0 0 \n    0 0 1 1 0 1 0 1 0 0]\n[0 0 0 0 0 0 0 0 0 0 0 0 0 0 0 0 0 0 0 0 0 0 0 0 0 0 0 0 0 0 0 0 0 0 0 0 0 1 0 0\n    0 0 0 0 0 0 0 0 0 0 0 0 0 0 0 1 1 1 1 1 0 0 1 0 1 0 0 1 1 1 1 0 0 1 1 0 1 1 \n    0 1 1 0 1 0 0 0 0 1 0 1 1 1 1 0 1 1 0 0 0 1 1 1 0 0 0 1 1 0 0 0 0 0 0 0 0 0 \n    0 0 0 1 1 0 1 0 1 0]\n[0 0 0 0 0 0 0 0 0 0 0 0 0 0 0 0 0 0 0 0 0 0 0 0 0 0 0 0 0 0 0 0 0 0 0 0 0 0 1 0\n    0 0 0 0 0 0 0 0 0 0 0 0 0 0 0 1 1 1 0 1 1 1 1 0 0 1 0 0 1 1 1 1 0 0 0 0 0 1 \n    0 1 1 1 0 1 1 0 0 0 0 0 1 0 1 0 1 1 1 0 0 1 0 1 0 1 0 0 1 0 0 0 0 0 0 0 0 0 \n    0 0 0 0 1 1 0 1 0 1]\n[0 0 0 0 0 0 0 0 0 0 0 0 0 0 0 0 0 0 0 0 0 0 0 0 0 0 0 0 0 0 0 0 0 0 0 0 0 0 0 1\n    0 0 0 0 0 0 0 0 0 0 0 0 0 0 0 1 1 1 0 0 1 0 0 1 0 0 1 0 0 1 1 1 1 0 1 1 0 0 \n    0 1 1 1 1 0 0 1 0 0 1 0 0 0 0 0 1 1 1 1 0 1 0 0 0 1 1 0 0 0 0 0 0 0 0 0 0 0 \n    0 0 0 0 0 1 1 0 1 0]\n[0 0 0 0 0 0 0 0 0 0 0 0 0 0 0 0 0 0 0 0 0 0 0 0 0 0 0 0 0 0 0 0 0 0 0 0 0 0 0 0\n    1 0 0 0 0 0 0 0 0 0 0 0 0 0 0 0 1 1 1 0 0 1 0 0 1 0 0 1 0 0 1 1 1 1 0 1 1 0 \n    0 0 1 1 1 1 0 0 1 0 0 1 0 0 0 0 0 1 1 1 1 0 1 0 0 0 1 1 0 0 0 0 0 0 0 0 0 0 \n    0 0 0 0 0 0 1 1 0 1]\n[0 0 0 0 0 0 0 0 0 0 0 0 0 0 0 0 0 0 0 0 0 0 0 0 0 0 0 0 0 0 0 0 0 0 0 0 0 0 0 0\n    0 1 0 0 0 0 0 0 0 0 0 0 0 0 0 0 0 1 1 1 0 0 1 1 0 1 0 0 1 0 0 1 1 1 1 0 1 1 \n    0 0 0 1 1 1 1 0 0 1 0 0 1 0 0 0 0 0 1 1 1 1 0 1 0 0 0 1 1 0 0 0 0 0 0 0 0 0 \n    0 0 0 0 0 0 0 1 1 0]\n[0 0 0 0 0 0 0 0 0 0 0 0 0 0 0 0 0 0 0 0 0 0 0 0 0 0 0 0 0 0 0 0 0 0 0 0 0 0 0 0\n    0 0 1 0 0 0 0 0 0 0 0 0 0 0 0 1 0 0 0 1 1 1 1 0 1 0 1 0 0 1 0 0 1 1 0 0 0 1 \n    0 1 0 0 1 1 0 1 0 0 0 0 0 0 0 1 1 0 0 1 1 0 0 0 0 1 0 0 1 0 0 0 0 0 0 0 0 0 \n    0 0 0 0 0 0 0 0 1 1]\n[0 0 0 0 0 0 0 0 0 0 0 0 0 0 0 0 0 0 0 0 0 0 0 0 0 0 0 0 0 0 0 0 0 0 0 0 0 0 0 0\n    0 0 0 1 0 0 0 0 0 0 0 0 0 0 0 1 1 0 1 0 1 0 0 1 0 1 0 1 0 0 1 0 0 1 0 1 0 0 \n    0 1 1 0 0 1 0 0 1 0 1 0 0 1 0 1 0 1 0 0 1 0 1 0 1 1 1 0 0 0 0 0 0 0 0 0 0 0 \n    0 0 0 0 0 0 0 0 0 1]\n[0 0 0 0 0 0 0 0 0 0 0 0 0 0 0 0 0 0 0 0 0 0 0 0 0 0 0 0 0 0 0 0 0 0 0 0 0 0 0 0\n    0 0 0 0 1 0 0 0 0 0 0 0 0 0 0 0 1 1 0 1 0 1 0 1 1 0 1 0 1 0 0 1 0 0 1 0 1 0 \n    0 0 1 1 0 0 1 0 0 1 0 1 0 0 1 0 1 0 1 0 0 1 0 1 0 1 1 1 0 0 0 0 0 0 0 0 0 0 \n    0 0 0 0 0 0 0 0 0 0]\n[0 0 0 0 0 0 0 0 0 0 0 0 0 0 0 0 0 0 0 0 0 0 0 0 0 0 0 0 0 0 0 0 0 0 0 0 0 0 0 0\n    0 0 0 0 0 1 0 0 0 0 0 0 0 0 0 0 0 1 1 0 1 0 1 0 1 1 0 1 0 1 0 0 1 0 0 1 0 1 \n    0 0 0 1 1 0 0 1 0 0 1 0 1 0 0 1 0 1 0 1 0 0 1 0 1 0 1 1 1 0 0 0 0 0 0 0 0 0 \n    0 0 0 0 0 0 0 0 0 0]\n[0 0 0 0 0 0 0 0 0 0 0 0 0 0 0 0 0 0 0 0 0 0 0 0 0 0 0 0 0 0 0 0 0 0 0 0 0 0 0 0\n    0 0 0 0 0 0 1 0 0 0 0 0 0 0 0 1 0 0 0 1 0 0 1 0 0 1 1 0 1 0 1 0 0 1 1 1 1 0 \n    0 1 0 0 1 1 1 0 1 0 1 1 0 0 0 1 0 0 1 0 1 1 1 1 1 0 0 1 1 0 0 0 0 0 0 0 0 0 \n    0 0 0 0 0 0 0 0 0 0]\n[0 0 0 0 0 0 0 0 0 0 0 0 0 0 0 0 0 0 0 0 0 0 0 0 0 0 0 0 0 0 0 0 0 0 0 0 0 0 0 0\n    0 0 0 0 0 0 0 1 0 0 0 0 0 0 0 1 1 0 1 0 1 1 1 0 0 0 1 1 0 1 0 1 0 0 0 0 1 1 \n    1 1 1 0 0 1 0 1 0 1 1 1 1 1 0 1 0 0 0 1 0 0 0 1 0 0 0 0 1 0 0 0 0 0 0 0 0 0 \n    0 0 0 0 0 0 0 0 0 0]\n[0 0 0 0 0 0 0 0 0 0 0 0 0 0 0 0 0 0 0 0 0 0 0 0 0 0 0 0 0 0 0 0 0 0 0 0 0 0 0 0\n    0 0 0 0 0 0 0 0 1 0 0 0 0 0 0 1 1 1 1 1 0 0 0 0 0 0 0 1 1 0 1 0 1 0 1 1 0 1 \n    0 0 1 1 0 0 0 0 1 0 0 1 1 0 1 1 0 0 0 0 1 1 1 0 0 1 0 0 0 0 0 0 0 0 0 0 0 0 \n    0 0 0 0 0 0 0 0 0 0]\n[0 0 0 0 0 0 0 0 0 0 0 0 0 0 0 0 0 0 0 0 0 0 0 0 0 0 0 0 0 0 0 0 0 0 0 0 0 0 0 0\n    0 0 0 0 0 0 0 0 0 1 0 0 0 0 0 0 1 1 1 1 1 0 0 0 0 0 0 0 1 1 0 1 0 1 0 1 1 0 \n    1 0 0 1 1 0 0 0 0 1 0 0 1 1 0 1 1 0 0 0 0 1 1 1 0 0 1 0 0 0 0 0 0 0 0 0 0 0 \n    0 0 0 0 0 0 0 0 0 0]\n[0 0 0 0 0 0 0 0 0 0 0 0 0 0 0 0 0 0 0 0 0 0 0 0 0 0 0 0 0 0 0 0 0 0 0 0 0 0 0 0\n    0 0 0 0 0 0 0 0 0 0 1 0 0 0 0 0 0 1 1 1 1 1 0 0 0 0 0 0 0 1 1 0 1 0 1 0 1 1 \n    0 1 0 0 1 1 0 0 0 0 1 0 0 1 1 0 1 1 0 0 0 0 1 1 1 0 0 1 0 0 0 0 0 0 0 0 0 0 \n    0 0 0 0 0 0 0 0 0 0]\n[0 0 0 0 0 0 0 0 0 0 0 0 0 0 0 0 0 0 0 0 0 0 0 0 0 0 0 0 0 0 0 0 0 0 0 0 0 0 0 0\n    0 0 0 0 0 0 0 0 0 0 0 1 0 0 0 0 0 0 1 1 1 1 1 0 0 0 0 0 0 0 1 1 0 1 0 1 0 1 \n    1 0 1 0 0 1 1 0 0 0 0 1 0 0 1 1 0 1 1 0 0 0 0 1 1 1 0 0 1 0 0 0 0 0 0 0 0 0 \n    0 0 0 0 0 0 0 0 0 0]\n[0 0 0 0 0 0 0 0 0 0 0 0 0 0 0 0 0 0 0 0 0 0 0 0 0 0 0 0 0 0 0 0 0 0 0 0 0 0 0 0\n    0 0 0 0 0 0 0 0 0 0 0 0 1 0 0 1 0 0 1 1 1 0 0 0 0 0 0 0 0 0 0 1 1 0 0 1 1 0 \n    0 0 0 1 0 0 0 1 0 0 1 0 1 1 0 0 0 0 1 1 0 1 1 0 0 0 1 0 0 0 0 0 0 0 0 0 0 0 \n    0 0 0 0 0 0 0 0 0 0]\n[0 0 0 0 0 0 0 0 0 0 0 0 0 0 0 0 0 0 0 0 0 0 0 0 0 0 0 0 0 0 0 0 0 0 0 0 0 0 0 0\n    0 0 0 0 0 0 0 0 0 0 0 0 0 1 0 0 1 0 0 1 1 1 0 0 0 0 0 0 0 0 0 0 1 1 0 0 1 1 \n    0 0 0 0 1 0 0 0 1 0 0 1 0 1 1 0 0 0 0 1 1 0 1 1 0 0 0 1 0 0 0 0 0 0 0 0 0 0 \n    0 0 0 0 0 0 0 0 0 0]\n[0 0 0 0 0 0 0 0 0 0 0 0 0 0 0 0 0 0 0 0 0 0 0 0 0 0 0 0 0 0 0 0 0 0 0 0 0 0 0 0\n    0 0 0 0 0 0 0 0 0 0 0 0 0 0 1 0 0 1 0 0 1 1 1 0 0 0 0 0 0 0 0 0 0 1 1 0 0 1 \n    1 0 0 0 0 1 0 0 0 1 0 0 1 0 1 1 0 0 0 0 1 1 0 1 1 0 0 0 1 0 0 0 0 0 0 0 0 0 \n    0 0 0 0 0 0 0 0 0 0]\n[[63, 8]] quantum code over GF(2^2), stabilised by:\n[1 0 0 0 0 0 0 0 0 0 0 0 0 0 0 0 0 0 0 0 0 0 0 0 0 0 0 $.1 1 0 1 0 $.1 1 $.1 $.1\n    0 $.1 $.1 0 $.1^2 0 $.1 0 $.1 1 0 $.1 $.1^2 $.1^2 1 1 $.1^2 $.1^2 $.1^2 1 1 \n    1 $.1 1 1 0 1]\n[$.1 0 0 0 0 0 0 0 0 0 0 0 0 0 0 0 0 0 0 0 0 0 0 0 0 0 0 $.1 0 $.1 0 $.1^2 0 1 0\n    $.1 1 $.1^2 0 1 $.1^2 1 $.1^2 $.1^2 1 0 1 0 1 0 $.1^2 $.1 $.1 1 1 $.1 0 1 \n    $.1 $.1 0 $.1 1]\n[0 1 0 0 0 0 0 0 0 0 0 0 0 0 0 0 0 0 0 0 0 0 0 0 0 0 0 $.1 $.1^2 1 1 1 $.1 $.1^2\n    $.1^2 0 $.1 $.1 0 $.1 $.1^2 $.1^2 $.1 $.1 $.1 $.1^2 1 $.1 1 0 $.1 0 $.1 0 0 \n    $.1 0 0 $.1^2 $.1^2 0 1 1]\n[0 $.1 0 0 0 0 0 0 0 0 0 0 0 0 0 0 0 0 0 0 0 0 0 0 0 0 0 $.1 $.1^2 0 $.1^2 0 1 1\n    $.1^2 $.1 $.1 $.1^2 1 0 $.1 $.1^2 $.1^2 $.1^2 1 0 0 $.1^2 $.1^2 $.1 1 $.1 1 \n    1 $.1 0 $.1^2 1 $.1^2 $.1^2 $.1^2 0 $.1^2]\n[0 0 1 0 0 0 0 0 0 0 0 0 0 0 0 0 0 0 0 0 0 0 0 0 0 0 0 $.1 $.1^2 $.1^2 0 1 $.1^2\n    $.1^2 1 1 0 0 0 0 1 $.1^2 1 $.1 0 $.1^2 $.1^2 $.1^2 1 $.1 1 $.1^2 $.1^2 1 \n    $.1^2 1 $.1^2 1 $.1 $.1 $.1 0 0]\n[0 0 $.1 0 0 0 0 0 0 0 0 0 0 0 0 0 0 0 0 0 0 0 0 0 0 0 0 0 $.1^2 1 1 0 $.1 1 \n    $.1^2 $.1^2 $.1^2 $.1^2 1 0 0 $.1^2 $.1 0 0 0 1 $.1 1 0 0 $.1 $.1^2 $.1^2 \n    $.1^2 1 1 $.1^2 1 0 $.1 1 0]\n[0 0 0 1 0 0 0 0 0 0 0 0 0 0 0 0 0 0 0 0 0 0 0 0 0 0 0 0 $.1 $.1^2 $.1^2 0 1 \n    $.1^2 $.1^2 1 1 0 0 0 0 1 $.1^2 1 $.1 0 $.1^2 $.1^2 $.1^2 1 $.1 1 $.1^2 \n    $.1^2 1 $.1^2 1 $.1^2 1 $.1 $.1 $.1 0]\n[0 0 0 $.1 0 0 0 0 0 0 0 0 0 0 0 0 0 0 0 0 0 0 0 0 0 0 0 0 0 $.1^2 1 1 0 $.1 1 \n    $.1^2 $.1^2 $.1^2 $.1^2 1 0 0 $.1^2 $.1 0 0 0 1 $.1 1 0 0 $.1 $.1^2 $.1^2 \n    $.1^2 1 1 $.1^2 1 0 $.1 1]\n[0 0 0 0 1 0 0 0 0 0 0 0 0 0 0 0 0 0 0 0 0 0 0 0 0 0 0 0 0 $.1 $.1^2 $.1^2 0 1 \n    $.1^2 $.1^2 1 1 0 0 0 0 1 $.1^2 1 $.1 0 $.1^2 $.1^2 $.1^2 1 $.1 1 $.1^2 \n    $.1^2 1 $.1^2 1 $.1^2 1 $.1 $.1 $.1]\n[0 0 0 0 $.1 0 0 0 0 0 0 0 0 0 0 0 0 0 0 0 0 0 0 0 0 0 0 $.1 1 0 $.1 1 $.1^2 1 0\n    $.1^2 $.1^2 1 1 $.1^2 $.1 0 $.1 $.1^2 0 1 0 $.1 $.1 1 0 1 $.1^2 1 0 $.1 $.1 \n    0 $.1^2 $.1 0 0 $.1^2]\n[0 0 0 0 0 1 0 0 0 0 0 0 0 0 0 0 0 0 0 0 0 0 0 0 0 0 0 $.1 0 $.1 $.1 0 $.1^2 1 1\n    1 $.1 $.1 1 1 $.1^2 1 $.1^2 $.1 $.1 1 $.1^2 0 $.1 $.1^2 0 $.1^2 0 0 $.1 1 1 \n    $.1 $.1^2 1 1 0 $.1^2]\n[0 0 0 0 0 $.1 0 0 0 0 0 0 0 0 0 0 0 0 0 0 0 0 0 0 0 0 0 0 $.1^2 $.1^2 1 1 $.1^2\n    $.1^2 $.1^2 0 $.1 $.1 $.1^2 0 $.1^2 $.1^2 1 1 0 1 0 $.1 0 1 $.1^2 $.1^2 0 1 \n    $.1^2 $.1^2 $.1^2 $.1 0 0 $.1^2 $.1 0]\n[0 0 0 0 0 0 1 0 0 0 0 0 0 0 0 0 0 0 0 0 0 0 0 0 0 0 0 0 $.1^2 $.1 $.1^2 1 $.1 \n    $.1^2 $.1^2 1 0 $.1^2 0 0 1 $.1 0 0 1 $.1^2 0 1 $.1 1 1 $.1^2 $.1 $.1 $.1 1 \n    0 1 $.1 0 0 $.1^2 0]\n[0 0 0 0 0 0 $.1 0 0 0 0 0 0 0 0 0 0 0 0 0 0 0 0 0 0 0 0 0 0 $.1^2 $.1^2 1 1 \n    $.1^2 $.1^2 $.1^2 0 $.1 $.1 $.1^2 0 $.1^2 $.1^2 1 1 0 1 0 $.1 0 1 $.1^2 \n    $.1^2 0 1 $.1^2 $.1^2 $.1^2 $.1 0 0 $.1^2 $.1]\n[0 0 0 0 0 0 0 1 0 0 0 0 0 0 0 0 0 0 0 0 0 0 0 0 0 0 0 0 0 $.1^2 $.1 $.1^2 1 $.1\n    $.1^2 $.1^2 1 0 $.1^2 0 0 1 $.1 0 0 1 $.1^2 0 1 $.1 1 1 $.1^2 $.1 $.1 $.1 1 \n    0 1 $.1 0 0 $.1^2]\n[0 0 0 0 0 0 0 $.1 0 0 0 0 0 0 0 0 0 0 0 0 0 0 0 0 0 0 0 $.1 0 $.1 $.1^2 0 1 0 \n    $.1^2 1 $.1 $.1^2 $.1 $.1^2 0 1 0 0 0 1 1 1 1 $.1 $.1^2 $.1^2 1 $.1 1 $.1^2 \n    $.1^2 $.1 1 0 0 $.1 $.1]\n[0 0 0 0 0 0 0 0 1 0 0 0 0 0 0 0 0 0 0 0 0 0 0 0 0 0 0 0 1 $.1 $.1 1 1 1 0 $.1^2\n    $.1 0 $.1 $.1 0 1 0 1 $.1^2 1 0 1 $.1 $.1 0 $.1 0 1 0 1 $.1^2 1 0 $.1 $.1^2 \n    $.1 0]\n[0 0 0 0 0 0 0 0 $.1 0 0 0 0 0 0 0 0 0 0 0 0 0 0 0 0 0 0 $.1 $.1 $.1 $.1 0 0 0 0\n    1 0 1 $.1^2 $.1^2 0 1 $.1 $.1^2 1 0 0 1 0 1 1 1 1 0 $.1^2 $.1^2 $.1^2 $.1 0 \n    $.1^2 0 $.1 $.1^2]\n[0 0 0 0 0 0 0 0 0 1 0 0 0 0 0 0 0 0 0 0 0 0 0 0 0 0 0 0 0 1 $.1 $.1 1 1 1 0 \n    $.1^2 $.1 0 $.1 $.1 0 1 0 1 $.1^2 1 0 1 $.1 $.1 0 $.1 0 1 0 1 $.1^2 1 0 $.1 \n    $.1^2 $.1]\n[0 0 0 0 0 0 0 0 0 $.1 0 0 0 0 0 0 0 0 0 0 0 0 0 0 0 0 0 0 $.1^2 0 $.1^2 1 $.1 0\n    $.1 0 0 1 $.1^2 $.1 $.1^2 1 0 1 0 0 1 $.1 $.1^2 $.1^2 $.1^2 $.1 0 $.1^2 $.1 \n    0 $.1 $.1^2 $.1 $.1^2 $.1 $.1 $.1]\n[0 0 0 0 0 0 0 0 0 0 1 0 0 0 0 0 0 0 0 0 0 0 0 0 0 0 0 $.1 0 $.1 1 1 $.1 0 1 \n    $.1^2 1 0 $.1 1 1 $.1^2 $.1^2 $.1 1 1 $.1 1 1 1 1 0 $.1 $.1^2 1 $.1^2 0 0 1 \n    $.1^2 0 0 $.1]\n[0 0 0 0 0 0 0 0 0 0 $.1 0 0 0 0 0 0 0 0 0 0 0 0 0 0 0 0 $.1 0 1 0 0 1 $.1^2 0 0\n    1 $.1^2 1 $.1 1 $.1 $.1 $.1^2 0 0 1 1 $.1^2 $.1^2 0 1 0 1 $.1 0 0 $.1^2 1 0 \n    $.1^2 0 $.1^2]\n[0 0 0 0 0 0 0 0 0 0 0 1 0 0 0 0 0 0 0 0 0 0 0 0 0 0 0 $.1 $.1 $.1 $.1 $.1 1 \n    $.1^2 0 $.1^2 $.1 $.1 0 $.1^2 $.1 0 0 0 $.1^2 1 0 $.1 0 1 $.1 $.1^2 $.1 \n    $.1^2 $.1 $.1^2 $.1^2 1 $.1 $.1^2 $.1^2 $.1 1]\n[0 0 0 0 0 0 0 0 0 0 0 $.1 0 0 0 0 0 0 0 0 0 0 0 0 0 0 0 0 $.1^2 $.1 0 $.1^2 $.1\n    1 1 0 1 0 1 0 $.1 0 $.1^2 1 0 1 1 $.1^2 $.1^2 0 1 $.1^2 0 $.1 $.1^2 1 1 0 \n    $.1^2 $.1 1 1 0]\n[0 0 0 0 0 0 0 0 0 0 0 0 1 0 0 0 0 0 0 0 0 0 0 0 0 0 0 $.1 $.1^2 $.1 $.1^2 $.1 0\n    0 1 $.1 $.1^2 0 0 0 0 $.1 $.1 0 $.1 $.1 1 $.1 1 $.1^2 0 $.1^2 0 1 0 $.1^2 \n    $.1 $.1 $.1^2 $.1^2 $.1 $.1^2 $.1^2]\n[0 0 0 0 0 0 0 0 0 0 0 0 $.1 0 0 0 0 0 0 0 0 0 0 0 0 0 0 0 0 $.1^2 $.1 0 $.1^2 \n    $.1 1 1 0 1 0 1 0 $.1 0 $.1^2 1 0 1 1 $.1^2 $.1^2 0 1 $.1^2 0 $.1 $.1^2 1 1 \n    0 $.1^2 $.1 1 1]\n[0 0 0 0 0 0 0 0 0 0 0 0 0 1 0 0 0 0 0 0 0 0 0 0 0 0 0 0 $.1^2 1 $.1^2 0 0 0 $.1\n    1 $.1^2 $.1 $.1 1 0 1 $.1^2 1 $.1^2 $.1^2 $.1^2 $.1^2 0 $.1 1 $.1^2 $.1 $.1 \n    $.1^2 $.1^2 $.1 $.1 $.1 0 $.1 0 $.1^2]\n[0 0 0 0 0 0 0 0 0 0 0 0 0 $.1 0 0 0 0 0 0 0 0 0 0 0 0 0 $.1 1 0 $.1 $.1 $.1 $.1\n    0 $.1^2 1 $.1 $.1^2 0 $.1 0 0 0 1 0 0 $.1^2 $.1 0 $.1 1 $.1 0 $.1^2 $.1^2 \n    $.1 0 $.1^2 1 $.1 $.1 0]\n[0 0 0 0 0 0 0 0 0 0 0 0 0 0 1 0 0 0 0 0 0 0 0 0 0 0 0 0 1 1 0 0 $.1 0 $.1 $.1 0\n    $.1 0 $.1^2 1 1 0 0 $.1 $.1 $.1 1 1 $.1^2 0 $.1 $.1 0 0 0 $.1 $.1 $.1 1 1 0 \n    0]\n[0 0 0 0 0 0 0 0 0 0 0 0 0 0 $.1 0 0 0 0 0 0 0 0 0 0 0 0 0 $.1 1 0 $.1 $.1 $.1 \n    $.1 0 $.1^2 1 $.1 $.1^2 0 $.1 0 0 0 1 0 0 $.1^2 $.1 0 $.1 1 $.1 0 $.1^2 \n    $.1^2 $.1 0 $.1^2 1 $.1 $.1]\n[0 0 0 0 0 0 0 0 0 0 0 0 0 0 0 1 0 0 0 0 0 0 0 0 0 0 0 0 0 1 1 0 0 $.1 0 $.1 $.1\n    0 $.1 0 $.1^2 1 1 0 0 $.1 $.1 $.1 1 1 $.1^2 0 $.1 $.1 0 0 0 $.1 $.1 $.1 1 1 \n    0]\n[0 0 0 0 0 0 0 0 0 0 0 0 0 0 0 $.1 0 0 0 0 0 0 0 0 0 0 0 $.1 0 0 1 $.1^2 $.1 \n    $.1^2 $.1 0 1 0 1 $.1^2 0 1 1 $.1^2 1 0 0 0 1 $.1^2 1 $.1 0 0 $.1^2 $.1 \n    $.1^2 $.1 0 $.1 $.1^2 $.1^2 $.1^2]\n[0 0 0 0 0 0 0 0 0 0 0 0 0 0 0 0 1 0 0 0 0 0 0 0 0 0 0 0 0 0 1 1 0 0 $.1 0 $.1 \n    $.1 0 $.1 0 $.1^2 1 1 0 0 $.1 $.1 $.1 1 1 $.1^2 0 $.1 $.1 0 0 0 $.1 $.1 $.1 \n    1 1]\n[0 0 0 0 0 0 0 0 0 0 0 0 0 0 0 0 $.1 0 0 0 0 0 0 0 0 0 0 0 $.1^2 $.1 1 $.1 1 $.1\n    1 $.1 1 0 $.1 0 $.1^2 1 0 $.1 0 0 1 $.1 $.1 $.1 1 $.1 $.1^2 $.1 $.1 0 $.1^2 \n    $.1^2 $.1 $.1^2 $.1^2 1 $.1^2]\n[0 0 0 0 0 0 0 0 0 0 0 0 0 0 0 0 0 1 0 0 0 0 0 0 0 0 0 $.1 1 0 1 1 $.1^2 1 $.1 0\n    0 0 0 0 1 0 1 1 $.1^2 1 0 0 1 1 0 0 0 $.1^2 1 $.1^2 1 1 $.1 $.1^2 $.1^2 $.1 \n    0]\n[0 0 0 0 0 0 0 0 0 0 0 0 0 0 0 0 0 $.1 0 0 0 0 0 0 0 0 0 0 1 1 $.1^2 $.1 0 1 0 1\n    $.1^2 0 $.1 $.1^2 0 $.1 0 $.1^2 1 1 1 $.1^2 0 1 0 $.1 $.1^2 1 0 1 1 $.1^2 \n    $.1^2 1 $.1 1 1]\n[0 0 0 0 0 0 0 0 0 0 0 0 0 0 0 0 0 0 1 0 0 0 0 0 0 0 0 0 $.1 1 0 1 1 $.1^2 1 $.1\n    0 0 0 0 0 1 0 1 1 $.1^2 1 0 0 1 1 0 0 0 $.1^2 1 $.1^2 1 1 $.1 $.1^2 $.1^2 \n    $.1]\n[0 0 0 0 0 0 0 0 0 0 0 0 0 0 0 0 0 0 $.1 0 0 0 0 0 0 0 0 $.1 1 1 0 $.1^2 0 1 \n    $.1^2 $.1 1 1 $.1 $.1 0 0 0 0 1 0 1 $.1^2 0 $.1^2 0 1 1 0 $.1 1 0 0 1 $.1 0 \n    $.1 0]\n[0 0 0 0 0 0 0 0 0 0 0 0 0 0 0 0 0 0 0 1 0 0 0 0 0 0 0 $.1 0 0 1 $.1^2 1 0 $.1^2\n    $.1^2 $.1^2 $.1^2 0 1 $.1^2 1 $.1 $.1^2 0 1 $.1 1 1 0 $.1 $.1^2 $.1 1 1 1 1 \n    $.1 $.1^2 $.1^2 $.1 1 $.1]\n[0 0 0 0 0 0 0 0 0 0 0 0 0 0 0 0 0 0 0 $.1 0 0 0 0 0 0 0 0 $.1 1 1 0 $.1^2 0 1 \n    $.1^2 $.1 1 1 $.1 $.1 0 0 0 0 1 0 1 $.1^2 0 $.1^2 0 1 1 0 $.1 1 0 0 1 $.1 0 \n    $.1]\n[0 0 0 0 0 0 0 0 0 0 0 0 0 0 0 0 0 0 0 0 1 0 0 0 0 0 0 $.1 $.1 $.1 0 $.1 $.1^2 0\n    0 1 $.1 0 $.1^2 1 $.1 $.1 $.1 1 $.1 0 0 $.1 0 1 $.1^2 0 1 $.1^2 0 $.1^2 1 0 \n    0 1 $.1^2 0 0]\n[0 0 0 0 0 0 0 0 0 0 0 0 0 0 0 0 0 0 0 0 $.1 0 0 0 0 0 0 $.1 0 0 1 $.1 0 $.1 0 \n    $.1^2 $.1 1 1 0 1 $.1^2 $.1^2 $.1^2 1 0 0 0 0 $.1^2 $.1^2 1 $.1 0 0 $.1 $.1 \n    0 $.1 $.1 1 0 1]\n[0 0 0 0 0 0 0 0 0 0 0 0 0 0 0 0 0 0 0 0 0 1 0 0 0 0 0 0 $.1 $.1 $.1 0 $.1 $.1^2\n    0 0 1 $.1 0 $.1^2 1 $.1 $.1 $.1 1 $.1 0 0 $.1 0 1 $.1^2 0 1 $.1^2 0 $.1^2 1 \n    0 0 1 $.1^2 0]\n[0 0 0 0 0 0 0 0 0 0 0 0 0 0 0 0 0 0 0 0 0 $.1 0 0 0 0 0 $.1 $.1^2 0 1 1 0 1 0 \n    $.1 $.1^2 0 $.1^2 1 $.1^2 1 1 $.1^2 1 0 0 $.1 $.1^2 $.1^2 $.1 $.1 $.1 1 \n    $.1^2 1 $.1^2 $.1^2 $.1 $.1^2 $.1^2 1 1]\n[0 0 0 0 0 0 0 0 0 0 0 0 0 0 0 0 0 0 0 0 0 0 1 0 0 0 0 0 0 $.1 $.1 $.1 0 $.1 \n    $.1^2 0 0 1 $.1 0 $.1^2 1 $.1 $.1 $.1 1 $.1 0 0 $.1 0 1 $.1^2 0 1 $.1^2 0 \n    $.1^2 1 0 0 1 $.1^2]\n[0 0 0 0 0 0 0 0 0 0 0 0 0 0 0 0 0 0 0 0 0 0 $.1 0 0 0 0 $.1 $.1^2 $.1^2 1 1 \n    $.1^2 1 $.1^2 $.1 $.1 1 $.1 $.1^2 $.1 $.1^2 $.1^2 1 1 0 0 $.1 1 0 $.1 $.1^2 \n    1 1 $.1 $.1 0 $.1 1 $.1^2 $.1 $.1^2 0]\n[0 0 0 0 0 0 0 0 0 0 0 0 0 0 0 0 0 0 0 0 0 0 0 1 0 0 0 0 1 $.1 $.1^2 1 0 0 0 \n    $.1^2 1 1 $.1^2 $.1^2 0 $.1 0 1 1 $.1^2 0 0 $.1 $.1^2 0 $.1^2 0 1 $.1 $.1 \n    $.1 0 $.1^2 $.1 1 $.1 1]\n[0 0 0 0 0 0 0 0 0 0 0 0 0 0 0 0 0 0 0 0 0 0 0 $.1 0 0 0 0 $.1 $.1^2 $.1^2 1 1 \n    $.1^2 1 $.1^2 $.1 $.1 1 $.1 $.1^2 $.1 $.1^2 $.1^2 1 1 0 0 $.1 1 0 $.1 $.1^2 \n    1 1 $.1 $.1 0 $.1 1 $.1^2 $.1 $.1^2]\n[0 0 0 0 0 0 0 0 0 0 0 0 0 0 0 0 0 0 0 0 0 0 0 0 1 0 0 $.1 1 1 $.1^2 $.1^2 $.1^2\n    1 $.1 $.1 $.1^2 $.1^2 $.1^2 $.1^2 0 0 0 0 $.1^2 0 $.1^2 $.1 $.1^2 1 $.1 1 0 \n    $.1^2 $.1 $.1^2 $.1^2 $.1^2 $.1 $.1 $.1^2 1 $.1^2]\n[0 0 0 0 0 0 0 0 0 0 0 0 0 0 0 0 0 0 0 0 0 0 0 0 $.1 0 0 0 1 0 $.1 0 $.1^2 1 1 1\n    $.1 $.1^2 0 0 $.1 $.1 $.1^2 0 0 0 0 $.1 $.1 1 $.1^2 $.1^2 $.1^2 1 $.1^2 $.1 \n    $.1^2 $.1 0 1 0 1 $.1]\n[0 0 0 0 0 0 0 0 0 0 0 0 0 0 0 0 0 0 0 0 0 0 0 0 0 1 0 0 $.1^2 $.1^2 0 0 1 $.1^2\n    $.1^2 $.1 $.1^2 $.1 1 $.1 $.1^2 1 1 $.1^2 $.1^2 $.1 1 1 0 0 $.1^2 1 0 $.1 1 \n    1 $.1 $.1^2 $.1^2 1 $.1^2 1 1]\n[0 0 0 0 0 0 0 0 0 0 0 0 0 0 0 0 0 0 0 0 0 0 0 0 0 $.1 0 $.1 0 $.1^2 0 1 0 $.1 1\n    $.1^2 0 1 $.1^2 1 $.1^2 $.1^2 1 0 1 0 1 0 $.1^2 $.1 $.1 1 1 $.1 0 1 $.1 $.1 \n    0 $.1 1 $.1 0]\n[0 0 0 0 0 0 0 0 0 0 0 0 0 0 0 0 0 0 0 0 0 0 0 0 0 0 1 $.1 1 $.1^2 $.1 0 $.1 0 1\n    1 $.1 1 0 1 1 $.1^2 $.1^2 1 1 $.1 $.1 $.1^2 $.1 $.1^2 1 $.1 $.1 $.1^2 1 0 0 \n    $.1^2 1 $.1 0 $.1^2 0]\n[0 0 0 0 0 0 0 0 0 0 0 0 0 0 0 0 0 0 0 0 0 0 0 0 0 0 $.1 0 $.1 0 $.1^2 0 1 0 $.1\n    1 $.1^2 0 1 $.1^2 1 $.1^2 $.1^2 1 0 1 0 1 0 $.1^2 $.1 $.1 1 1 $.1 0 1 $.1 \n    $.1 0 $.1 1 $.1]\n[0 0 0 0 0 0 0 0 0 0 0 0 0 0 0 0 0 0 0 0 0 0 0 0 0 0 0 1 $.1 1 $.1^2 $.1 0 $.1 0\n    1 1 $.1 1 0 1 1 $.1^2 $.1^2 1 1 $.1 $.1 $.1^2 $.1 $.1^2 1 $.1 $.1 $.1^2 1 0 \n    0 $.1^2 1 $.1 0 $.1^2]\nQuantum GF(2)-Additive code over GF(4) of length 63 with 71 generators.\nLower Bound: 1, Upper Bound: 29\nBCHBound gives the lower bound = 3\nConstructed 2 distinct generator matrices\nTotal Ranks:     36  36 \nRelative Ranks:  36  27 \n(4 4 4 4 4 4 4 4 4 4 4 4 4 4 4 4 4 4 4 4 4 4 4 4 4 4 4 4 4 4 4 4 4 4 4 2 )\n(4 4 4 4 4 4 4 4 4 4 4 4 4 4 4 4 4 4 4 4 4 4 4 4 4 4 4 4 4 4 4 4 4 4 4 2 )\nTime Taken: 0.02\nStarting search for low weight codewords... (reset timings)\nEnumerating using 1 generator at a time:\n     New codeword identified of weight 22, time 0.00\n     New codeword identified of weight 17, time 0.00\n     New codeword identified of weight 15, time 0.00\n   Completed Matrix  1:  lower =  2 (3), upper = 15. Elapsed: 0.00s\n   Completed Matrix  2:  lower =  2 (3), upper = 15. Elapsed: 0.00s\nTermination predicted with 11 generators at matrix 2\nEnumerating using 2 generators at a time:\n     New codeword identified of weight 14, time 0.00\n   Completed Matrix  1:  lower =  3, upper = 14. Elapsed: 0.00s\n   Completed Matrix  2:  lower =  3, upper = 14. Elapsed: 0.00s\nTermination predicted with 11 generators at matrix 1\nEnumerating using 3 generators at a time:\n   Completed Matrix  1:  lower =  4, upper = 14. Elapsed: 0.00s\n   Completed Matrix  2:  lower =  4, upper = 14. Elapsed: 0.00s\nTermination predicted with 11 generators at matrix 1\nEnumerating using 4 generators at a time:\n     New codeword identified of weight 13, time 0.00\n   Completed Matrix  1:  lower =  5, upper = 13. Elapsed: 0.03s\n   Completed Matrix  2:  lower =  5, upper = 13. Elapsed: 0.06s\nTermination predicted with 10 generators at matrix 2\nEnumerating using 5 generators at a time:\n   Completed Matrix  1:  lower =  6, upper = 13. Elapsed: 0.85s\n   Completed Matrix  2:  lower =  6, upper = 13. Elapsed: 1.63s\nTermination predicted at 252291 s (2d 22h 4m 51s) with 10 generators at matrix 2\nEnumerating using 6 generators at a time:\n   Completed Matrix  1:  lower =  7, upper = 13. Elapsed: 13.67s\n   Completed Matrix  2:  lower =  7, upper = 13. Elapsed: 25.78s\nTermination predicted at 258414 s (2d 23h 46m 54s) with 10 generators at matrix \n2\nEnumerating using 7 generators at a time:\n   Completed Matrix  1:  lower =  8, upper = 13. Elapsed: 176.97s\n   Completed Matrix  2:  lower =  8, upper = 13. Elapsed: 327.53s\nTermination predicted at 258676 s (2d 23h 51m 16s) with 10 generators at matrix \n2\nEnumerating using 8 generators at a time:\n   Completed Matrix  1:  lower =  9, upper = 13. Elapsed: 1923.87s\n   Completed Matrix  2:  lower =  9, upper = 13. Elapsed: 3511.55s\nTermination predicted at 258815 s (2d 23h 53m 35s) with 10 generators at matrix \n2\nEnumerating using 9 generators at a time:\n</t>
  </si>
  <si>
    <t xml:space="preserve">Magma V2.28-26    Sun Jan 11 2026 02:40:18 on Marks-MacBook-Air-2 [Seed = \n3098729714]\nType ? for help.  Type &lt;Ctrl&gt;-D to quit.\n[1 0 0 0 0 0 0 0 0 0 0 0 0 0 0 0 0 0 0 0 0 0 0 0 0 0 0 0 0 0 0 0 0 0 0 0 0 0 0 0\n    0 0 0 0 0 0 0 0 0 0 0 0 0 0 0 0 0 0 0 </t>
  </si>
  <si>
    <t>28800.124291333006</t>
  </si>
  <si>
    <t xml:space="preserve">Magma V2.28-26    Sun Jan 11 2026 02:40:25 on Marks-MacBook-Air-2 [Seed = \n2829241577]\nType ? for help.  Type &lt;Ctrl&gt;-D to quit.\n[1 0 0 0 0 0 0 0 0 0 0 0 0 0 0 0 0 0 0 0 0 0 0 0 0 0 0 0 0 0 0 0 0 0 0 0 0 0 0 0\n    0 0 0 0 0 0 0 0 0 0 0 0 0 0 0 0 0 0 0 </t>
  </si>
  <si>
    <t>28800.161991417008</t>
  </si>
  <si>
    <t xml:space="preserve">Magma V2.28-26    Sun Jan 11 2026 02:40:33 on Marks-MacBook-Air-2 [Seed = \n1498627360]\nType ? for help.  Type &lt;Ctrl&gt;-D to quit.\n[1 0 0 0 0 0 0 0 0 0 0 0 0 0 0 0 0 0 0 0 0 0 0 0 0 0 0 0 0 0 0 0 0 0 0 0 0 0 0 0\n    0 0 0 0 0 0 0 0 0 0 0 0 0 0 0 0 0 0 0 </t>
  </si>
  <si>
    <t>Magma V2.28-26    Sun Jan 11 2026 20:47:48 on Marks-MacBook-Air-2 [Seed = \n3721443563]\nType ? for help.  Type &lt;Ctrl&gt;-D to quit.\n[1 0 0 0 0 0 0 0 0 0 0 0 0 0 0 0 0 0 0 0 0 0 0 0 0 0 0 0 0 0 0 0 0 0 0 0 0 0 0 0\n    0 0 0 0 0 0 0 0 0 0 0 0 1 0 1 1 0 0 0 0 1 0 1 1 0 0 1 1 0 1 0 0 0 1 0 0 1 1 \n    0 1 0 0 1 1 0 1 1 1 1 0 0 0 1 1 0 1 1 0 1 1 0 1 0 1 1 0 1 1 1 0 1 0 0 1 0 0 \n    0 1 0 1 0 1 0 0 0 1 1 0]\n[0 1 0 0 0 0 0 0 0 0 0 0 0 0 0 0 0 0 0 0 0 0 0 0 0 0 0 0 0 0 0 0 0 0 0 0 0 0 0 0\n    0 0 0 0 0 0 0 0 0 0 0 1 0 0 1 0 0 1 1 1 1 0 0 1 0 0 0 1 1 0 1 0 0 1 0 0 0 0 \n    1 0 1 1 1 1 1 1 0 0 1 1 0 1 1 0 0 1 1 1 1 1 1 0 1 0 0 0 0 1 0 0 1 0 1 1 0 0 \n    0 0 1 0 1 1 1 1 1 1 0 1]\n[0 0 1 0 0 0 0 0 0 0 0 0 0 0 0 0 0 0 0 0 0 0 0 0 0 0 0 0 0 0 0 0 0 0 0 0 0 0 0 0\n    0 0 0 0 0 0 0 1 0 0 0 1 0 1 1 0 0 0 0 0 1 1 0 1 1 0 0 0 1 1 1 0 0 0 0 0 1 0 \n    0 0 0 0 0 1 1 1 0 1 0 0 1 0 1 1 1 0 0 0 0 0 0 1 0 0 0 0 0 1 1 1 0 0 0 1 0 0 \n    1 0 0 0 0 0 0 0 0 0 1 0]\n[0 0 0 1 0 0 0 0 0 0 0 0 0 0 0 0 0 0 0 0 0 0 0 0 0 0 0 0 0 0 0 0 0 0 0 0 0 0 0 0\n    0 0 0 0 0 0 0 0 0 0 0 0 1 1 1 1 0 1 0 1 0 0 0 1 1 0 0 0 1 0 0 0 0 0 0 1 0 0 \n    0 1 1 0 0 0 1 1 0 1 1 1 1 0 1 1 0 0 0 0 0 1 1 0 1 0 1 0 0 0 1 1 1 1 0 0 1 1 \n    0 0 0 1 1 0 0 0 1 1 0 1]\n[0 0 0 0 1 0 0 0 0 0 0 0 0 0 0 0 0 0 0 0 0 0 0 0 0 0 0 0 0 0 0 0 0 0 0 0 0 0 0 0\n    0 0 0 0 0 0 0 1 0 0 0 1 1 0 0 0 0 1 0 1 1 1 0 1 1 1 1 1 1 1 0 1 1 1 1 0 1 1 \n    0 1 1 0 1 0 0 0 0 0 1 1 1 0 0 0 1 1 0 0 1 0 0 1 0 1 1 1 1 0 0 0 1 1 0 1 1 1 \n    0 1 0 1 1 1 0 0 1 1 1 0]\n[0 0 0 0 0 1 0 0 0 0 0 0 0 0 0 0 0 0 0 0 0 0 0 0 0 0 0 0 0 0 0 0 0 0 0 0 0 0 0 0\n    0 0 0 0 0 0 0 0 0 0 0 0 1 0 0 0 0 0 0 1 1 0 1 1 1 0 1 0 1 1 0 0 1 0 0 0 0 1 \n    0 1 0 1 0 1 0 0 0 1 1 0 1 0 0 0 0 1 0 1 1 0 0 0 1 0 1 0 1 0 1 0 0 0 0 1 0 0 \n    1 1 0 1 0 1 0 1 0 0 0 1]\n[0 0 0 0 0 0 1 0 0 0 0 0 0 0 0 0 0 0 0 0 0 0 0 0 0 0 0 0 0 0 0 0 0 0 0 0 0 0 0 0\n    0 0 0 0 0 0 0 1 0 0 0 1 1 0 1 1 0 0 1 1 1 1 0 0 1 1 0 1 0 1 0 1 0 1 1 0 1 0 \n    1 1 1 1 0 0 1 0 1 1 1 0 0 1 0 0 1 0 0 1 0 0 1 0 0 0 0 1 0 0 0 0 0 1 0 0 0 0 \n    1 1 1 1 1 1 0 1 0 1 0 0]\n[0 0 0 0 0 0 0 1 0 0 0 0 0 0 0 0 0 0 0 0 0 0 0 0 0 0 0 0 0 0 0 0 0 0 0 0 0 0 0 0\n    0 0 0 0 0 0 0 0 0 0 0 1 1 1 1 0 0 1 0 1 0 1 1 1 1 0 1 1 1 0 0 0 1 0 1 0 0 0 \n    1 0 0 0 0 0 0 0 1 1 0 0 0 0 0 1 1 0 1 1 1 1 0 1 0 0 1 0 1 1 0 1 1 0 1 0 0 1 \n    0 0 0 0 0 0 0 0 0 0 1 0]\n[0 0 0 0 0 0 0 0 1 0 0 0 0 0 0 0 0 0 0 0 0 0 0 0 0 0 0 0 0 0 0 0 0 0 0 0 0 0 0 0\n    0 0 0 0 0 0 0 0 0 0 0 1 1 0 0 0 0 1 1 1 0 0 0 1 0 1 1 1 1 0 1 1 1 0 0 1 1 1 \n    1 1 0 1 1 0 0 0 0 1 0 1 1 0 0 0 0 0 0 1 1 0 0 0 1 1 1 1 1 1 1 1 0 1 1 0 0 0 \n    1 1 1 0 0 0 0 1 0 0 0 1]\n[0 0 0 0 0 0 0 0 0 1 0 0 0 0 0 0 0 0 0 0 0 0 0 0 0 0 0 0 0 0 0 0 0 0 0 0 0 0 0 0\n    0 0 0 0 0 0 0 1 0 0 0 1 0 0 1 1 0 1 1 0 1 0 1 1 1 0 1 0 0 0 1 1 1 0 0 0 0 0 \n    0 0 1 1 0 1 0 0 0 1 0 1 0 1 1 0 0 1 0 0 1 0 0 0 0 0 0 0 1 1 0 0 1 1 0 0 0 0 \n    1 1 0 0 0 1 0 0 1 1 1 0]\n[0 0 0 0 0 0 0 0 0 0 1 0 0 0 0 0 0 0 0 0 0 0 0 0 0 0 0 0 0 0 0 0 0 0 0 0 0 0 0 0\n    0 0 0 0 0 0 0 0 0 0 0 0 1 1 0 1 0 0 1 0 0 1 1 0 1 0 1 0 0 1 0 0 0 0 0 1 1 0 \n    0 1 1 1 1 0 1 1 1 0 1 0 0 0 0 0 0 0 0 1 0 1 1 0 0 1 0 0 1 0 1 0 0 1 0 1 0 1 \n    0 1 1 1 1 1 0 1 1 1 1 1]\n[0 0 0 0 0 0 0 0 0 0 0 1 0 0 0 0 0 0 0 0 0 0 0 0 0 0 0 0 0 0 0 0 0 0 0 0 0 0 0 0\n    0 0 0 0 0 0 0 1 0 0 0 0 1 1 1 0 0 1 0 1 1 1 1 0 1 1 0 1 0 0 0 1 0 1 0 0 0 0 \n    0 1 1 1 1 1 0 0 1 1 0 0 0 1 1 1 0 1 1 1 1 1 0 1 0 1 0 1 0 0 1 1 1 0 0 1 1 0 \n    0 0 1 0 1 1 0 0 1 1 0 1]\n[0 0 0 0 0 0 0 0 0 0 0 0 1 0 0 0 0 0 0 0 0 0 0 0 0 0 0 0 0 0 0 0 0 0 0 0 0 0 0 0\n    0 0 0 0 0 0 0 1 0 0 0 1 1 1 0 0 0 1 0 0 1 0 0 1 0 0 1 0 0 1 0 0 1 0 0 1 1 1 \n    0 0 0 0 0 1 1 0 0 1 1 0 1 1 0 1 1 1 0 0 0 1 1 0 1 1 0 0 1 1 0 0 1 1 0 0 0 0 \n    1 1 0 1 1 0 0 1 0 1 1 0]\n[0 0 0 0 0 0 0 0 0 0 0 0 0 1 0 0 0 0 0 0 0 0 0 0 0 0 0 0 0 0 0 0 0 0 0 0 0 0 0 0\n    0 0 0 0 0 0 0 0 0 0 0 0 1 0 1 0 0 1 1 1 0 0 1 1 1 1 0 1 1 1 0 1 0 1 0 1 1 0 \n    1 1 1 0 0 0 1 1 1 1 1 0 1 0 0 0 0 0 1 0 0 1 0 1 0 1 0 0 0 1 1 0 0 0 1 0 0 1 \n    0 0 1 1 0 1 0 0 0 1 1 1]\n[0 0 0 0 0 0 0 0 0 0 0 0 0 0 1 0 0 0 0 0 0 0 0 0 0 0 0 0 0 0 0 0 0 0 0 0 0 0 0 0\n    0 0 0 0 0 0 0 1 0 0 0 1 1 0 1 0 0 0 0 0 1 0 0 0 1 1 1 0 1 1 0 1 1 0 0 0 0 1 \n    0 0 1 0 1 0 0 1 0 0 1 0 0 1 0 0 1 0 1 0 1 1 0 0 1 1 1 0 0 1 1 0 0 1 0 1 1 0 \n    0 0 0 0 1 1 0 1 1 1 1 1]\n[0 0 0 0 0 0 0 0 0 0 0 0 0 0 0 1 0 0 0 0 0 0 0 0 0 0 0 0 0 0 0 0 0 0 0 0 0 0 0 0\n    0 0 0 0 0 0 0 1 0 0 0 1 0 1 1 0 0 1 1 0 0 0 1 0 0 0 1 1 1 0 1 0 1 1 1 1 1 1 \n    1 0 1 0 1 1 0 0 1 0 0 1 1 1 0 0 0 0 1 0 1 1 1 0 0 0 0 1 0 1 1 0 0 0 1 0 0 0 \n    1 1 0 0 1 0 0 1 1 1 1 1]\n[0 0 0 0 0 0 0 0 0 0 0 0 0 0 0 0 1 0 0 0 0 0 0 0 0 0 0 0 0 0 0 0 0 0 0 0 0 0 0 0\n    0 0 0 0 0 0 0 1 0 0 0 1 0 0 0 0 0 1 0 1 0 1 1 1 0 1 0 1 0 0 0 1 0 1 0 0 0 0 \n    1 1 1 0 1 1 1 0 0 1 0 0 0 0 0 0 0 1 1 0 1 1 1 1 0 1 1 0 1 1 1 0 0 0 0 1 1 1 \n    1 0 1 0 1 0 1 1 1 1 1 1]\n[0 0 0 0 0 0 0 0 0 0 0 0 0 0 0 0 0 1 0 0 0 0 0 0 0 0 0 0 0 0 0 0 0 0 0 0 0 0 0 0\n    0 0 0 0 0 0 0 1 0 0 0 0 0 1 0 0 0 0 0 1 0 1 1 1 0 1 0 0 0 0 1 1 0 1 0 1 0 0 \n    1 1 0 1 0 1 1 1 0 0 0 1 0 1 1 0 1 0 0 0 1 0 0 1 1 0 1 1 1 0 1 1 1 0 1 1 0 0 \n    0 1 1 1 1 0 1 1 1 1 1 1]\n[0 0 0 0 0 0 0 0 0 0 0 0 0 0 0 0 0 0 1 0 0 0 0 0 0 0 0 0 0 0 0 0 0 0 0 0 0 0 0 0\n    0 0 0 0 0 0 0 1 0 0 0 0 1 1 1 0 0 1 0 1 0 1 0 1 0 1 0 1 0 1 1 1 0 0 1 1 1 1 \n    0 1 0 0 1 0 1 1 0 0 0 1 0 1 1 1 0 0 0 0 0 0 0 0 1 1 1 0 0 1 1 1 0 1 0 1 1 1 \n    1 0 1 1 0 0 0 0 0 1 0 1]\n[0 0 0 0 0 0 0 0 0 0 0 0 0 0 0 0 0 0 0 1 0 0 0 0 0 0 0 0 0 0 0 0 0 0 0 0 0 0 0 0\n    0 0 0 0 0 0 0 1 0 0 0 0 1 0 1 1 0 1 1 1 0 1 0 0 0 1 0 1 1 1 0 1 0 0 0 0 1 0 \n    1 0 0 0 0 1 0 1 0 0 0 1 0 1 1 1 1 1 0 0 0 1 0 0 0 1 0 0 1 0 0 1 0 0 1 0 1 0 \n    0 1 0 1 0 1 0 1 1 0 0 0]\n[0 0 0 0 0 0 0 0 0 0 0 0 0 0 0 0 0 0 0 0 1 0 0 0 0 0 0 0 0 0 0 0 0 0 0 0 0 0 0 0\n    0 0 0 0 0 0 0 0 0 0 0 1 0 1 1 0 0 0 0 1 0 0 0 1 1 1 1 0 0 0 0 1 1 1 1 1 0 1 \n    0 0 1 1 1 0 1 1 1 0 0 1 0 0 1 0 1 1 1 0 1 1 0 0 0 0 1 1 0 1 1 1 0 0 1 0 1 0 \n    0 1 1 1 0 1 1 1 1 1 1 0]\n[0 0 0 0 0 0 0 0 0 0 0 0 0 0 0 0 0 0 0 0 0 1 0 0 0 0 0 0 0 0 0 0 0 0 0 0 0 0 0 0\n    0 0 0 0 0 0 0 0 0 0 0 1 1 1 0 0 0 1 0 1 0 0 1 0 0 1 0 1 0 1 1 1 0 0 1 1 0 1 \n    0 0 0 0 0 1 0 1 1 1 1 1 0 0 0 1 1 0 1 1 0 0 0 0 0 1 1 1 0 0 1 0 0 0 1 0 0 1 \n    0 1 0 1 1 0 1 0 1 1 1 1]\n[0 0 0 0 0 0 0 0 0 0 0 0 0 0 0 0 0 0 0 0 0 0 1 0 0 0 0 0 0 0 0 0 0 0 0 0 0 0 0 0\n    0 0 0 0 0 0 0 1 0 0 0 0 0 1 1 0 0 0 1 0 0 0 0 0 1 0 0 1 0 0 1 0 0 0 0 1 1 0 \n    1 1 0 0 0 0 1 0 1 0 1 1 1 0 1 0 0 1 0 1 1 0 1 0 0 0 1 0 0 0 1 1 1 1 0 1 0 0 \n    0 1 1 1 1 0 0 0 0 0 0 1]\n[0 0 0 0 0 0 0 0 0 0 0 0 0 0 0 0 0 0 0 0 0 0 0 1 0 0 0 0 0 0 0 0 0 0 0 0 0 0 0 0\n    0 0 0 0 0 0 0 1 0 0 0 1 1 0 0 0 0 0 0 1 0 1 0 0 0 0 0 1 1 0 0 0 0 1 0 1 0 1 \n    1 1 0 1 1 0 0 1 1 1 1 1 1 0 0 1 1 0 1 0 1 1 1 1 0 1 0 0 0 0 1 0 1 1 0 1 1 1 \n    1 1 0 1 0 0 0 0 1 0 1 0]\n[0 0 0 0 0 0 0 0 0 0 0 0 0 0 0 0 0 0 0 0 0 0 0 0 1 0 0 0 0 0 0 0 0 0 0 0 0 0 0 0\n    0 0 0 0 0 0 0 0 0 0 0 1 1 1 1 1 0 0 0 0 0 1 1 1 1 1 1 0 0 1 0 0 1 1 1 1 0 0 \n    0 0 0 1 0 1 0 0 0 0 0 1 1 0 1 0 1 1 0 1 0 1 1 1 1 1 1 0 1 0 0 0 1 0 0 1 1 0 \n    1 1 0 1 0 0 0 1 1 0 0 1]\n[0 0 0 0 0 0 0 0 0 0 0 0 0 0 0 0 0 0 0 0 0 0 0 0 0 1 0 0 0 0 0 0 0 0 0 0 0 0 0 0\n    0 0 0 0 0 0 0 1 0 0 0 1 0 0 0 0 0 0 0 1 0 1 0 0 1 1 0 1 0 1 1 0 1 1 1 1 1 0 \n    1 1 0 1 0 0 1 1 0 0 1 0 0 0 1 0 1 1 0 1 1 0 1 1 1 1 1 0 1 0 1 1 0 1 0 0 1 1 \n    1 0 0 1 1 0 1 1 1 1 1 0]\n[0 0 0 0 0 0 0 0 0 0 0 0 0 0 0 0 0 0 0 0 0 0 0 0 0 0 1 0 0 0 0 0 0 0 0 0 0 0 0 0\n    0 0 0 0 0 0 0 0 0 0 0 1 1 0 1 1 0 1 1 0 0 1 0 1 1 0 0 1 1 1 1 0 1 1 0 0 0 0 \n    0 0 0 1 0 0 0 1 1 1 0 1 1 1 0 1 1 0 0 1 0 1 1 1 1 0 0 0 1 0 1 0 0 1 1 0 1 0 \n    1 1 0 1 0 1 1 1 1 0 0 1]\n[0 0 0 0 0 0 0 0 0 0 0 0 0 0 0 0 0 0 0 0 0 0 0 0 0 0 0 1 0 0 0 0 0 0 0 0 0 0 0 0\n    0 0 0 0 0 0 0 1 0 0 0 1 0 0 1 0 0 0 1 0 0 1 0 1 1 1 1 0 1 0 1 1 1 1 1 0 0 0 \n    1 1 0 1 0 0 0 1 1 1 0 0 0 0 0 1 0 1 1 1 1 0 1 1 1 1 0 1 1 0 1 0 0 0 1 1 0 1 \n    1 0 0 1 1 0 0 0 1 1 1 0]\n[0 0 0 0 0 0 0 0 0 0 0 0 0 0 0 0 0 0 0 0 0 0 0 0 0 0 0 0 1 0 0 0 0 0 0 0 0 0 0 0\n    0 0 0 0 0 0 0 0 0 0 0 0 1 1 0 1 0 0 1 0 0 1 1 1 1 0 1 0 0 1 1 1 1 0 0 0 0 0 \n    1 0 0 0 1 0 0 0 1 0 0 1 0 1 0 0 1 0 0 0 0 0 0 1 1 1 1 1 1 0 1 1 0 1 1 0 0 1 \n    1 0 1 1 0 1 1 1 0 0 0 1]\n[0 0 0 0 0 0 0 0 0 0 0 0 0 0 0 0 0 0 0 0 0 0 0 0 0 0 0 0 0 1 0 0 0 0 0 0 0 0 0 0\n    0 0 0 0 0 0 0 1 0 0 0 1 1 0 0 1 0 1 1 0 0 1 1 0 1 1 1 0 1 0 1 0 0 0 1 0 0 1 \n    0 0 0 1 1 1 0 1 1 1 0 0 1 1 1 1 0 0 0 0 1 0 1 0 1 1 0 1 0 1 0 0 1 0 0 0 1 0 \n    0 0 0 0 1 0 1 1 0 0 0 0]\n[0 0 0 0 0 0 0 0 0 0 0 0 0 0 0 0 0 0 0 0 0 0 0 0 0 0 0 0 0 0 1 0 0 0 0 0 0 0 0 0\n    0 0 0 0 0 0 0 0 0 0 0 1 1 1 1 1 0 0 0 1 1 0 0 0 1 0 1 1 1 0 1 0 0 1 1 0 0 0 \n    1 1 1 1 0 1 1 1 1 1 1 1 1 1 1 0 1 0 0 0 1 0 1 1 0 1 1 1 1 0 0 1 1 1 1 1 1 0 \n    0 1 0 1 1 0 0 0 1 0 1 0]\n[0 0 0 0 0 0 0 0 0 0 0 0 0 0 0 0 0 0 0 0 0 0 0 0 0 0 0 0 0 0 0 1 0 0 0 0 0 0 0 0\n    0 0 0 0 0 0 0 0 0 0 0 0 1 1 1 1 0 1 0 0 1 0 0 0 0 1 1 0 0 1 1 1 1 1 1 1 1 1 \n    0 1 1 1 1 0 1 0 1 0 1 0 1 0 1 0 1 0 1 1 0 0 0 1 1 1 0 1 0 0 0 0 1 0 0 0 1 1 \n    0 1 1 0 1 0 1 1 0 0 0 1]\n[0 0 0 0 0 0 0 0 0 0 0 0 0 0 0 0 0 0 0 0 0 0 0 0 0 0 0 0 0 0 0 0 1 0 0 0 0 0 0 0\n    0 0 0 0 0 0 0 1 0 0 0 0 1 1 1 1 0 1 1 0 1 0 0 1 1 0 1 1 0 0 0 0 1 0 1 1 0 0 \n    1 1 1 1 1 1 0 0 0 1 0 0 0 0 1 0 0 0 1 0 1 1 1 0 1 0 0 1 1 1 1 0 1 1 1 1 0 1 \n    0 0 1 0 0 1 1 1 1 0 1 0]\n[0 0 0 0 0 0 0 0 0 0 0 0 0 0 0 0 0 0 0 0 0 0 0 0 0 0 0 0 0 0 0 0 0 1 0 0 0 0 0 0\n    0 0 0 0 0 0 0 0 0 0 0 0 0 0 1 1 0 0 1 0 0 1 1 1 1 0 1 0 1 1 0 1 1 0 0 0 0 0 \n    0 0 0 1 1 1 1 1 1 0 1 0 1 0 1 0 0 0 1 0 0 1 0 1 0 0 0 0 0 0 1 1 0 1 0 0 1 1 \n    1 0 0 0 1 1 0 0 0 1 0 1]\n[0 0 0 0 0 0 0 0 0 0 0 0 0 0 0 0 0 0 0 0 0 0 0 0 0 0 0 0 0 0 0 0 0 0 1 0 0 0 0 0\n    0 0 0 0 0 0 0 1 0 0 0 1 1 1 1 0 0 0 0 0 0 1 0 0 1 1 1 1 0 0 1 0 0 1 0 0 0 0 \n    1 1 0 1 0 1 1 0 1 1 1 1 1 0 1 0 1 0 1 0 0 0 1 0 1 0 0 1 1 1 1 0 1 0 1 0 0 1 \n    0 0 1 1 0 1 0 1 0 0 0 0]\n[0 0 0 0 0 0 0 0 0 0 0 0 0 0 0 0 0 0 0 0 0 0 0 0 0 0 0 0 0 0 0 0 0 0 0 1 0 0 0 0\n    0 0 0 0 0 0 0 0 0 0 0 1 1 1 0 0 0 1 1 0 1 1 0 1 1 0 0 0 1 1 0 0 1 0 0 1 1 1 \n    0 0 0 1 0 0 1 1 0 0 1 1 0 0 0 1 1 0 1 0 1 0 1 1 0 0 1 1 0 0 0 0 1 0 0 1 1 1 \n    1 0 0 0 0 0 0 0 1 1 1 0]\n[0 0 0 0 0 0 0 0 0 0 0 0 0 0 0 0 0 0 0 0 0 0 0 0 0 0 0 0 0 0 0 0 0 0 0 0 1 0 0 0\n    0 0 0 0 0 0 0 0 0 0 0 1 1 0 0 1 0 0 0 0 1 1 1 0 0 1 1 1 1 1 0 0 1 1 1 0 0 1 \n    1 0 0 1 0 0 0 1 0 0 0 0 1 0 1 0 1 1 1 0 1 0 0 1 1 1 0 0 0 1 1 1 1 1 0 0 0 1 \n    1 0 0 0 0 0 1 0 1 1 0 1]\n[0 0 0 0 0 0 0 0 0 0 0 0 0 0 0 0 0 0 0 0 0 0 0 0 0 0 0 0 0 0 0 0 0 0 0 0 0 1 0 0\n    0 0 0 0 0 0 0 1 0 0 0 0 0 1 0 0 0 1 0 0 1 0 1 0 1 0 1 1 1 1 0 1 0 0 1 1 1 1 \n    1 0 0 0 1 0 0 1 1 0 0 1 0 0 1 0 0 0 0 0 0 0 1 0 1 0 0 1 0 1 0 1 0 1 0 1 0 0 \n    0 1 0 1 0 0 1 1 0 1 0 0]\n[0 0 0 0 0 0 0 0 0 0 0 0 0 0 0 0 0 0 0 0 0 0 0 0 0 0 0 0 0 0 0 0 0 0 0 0 0 0 1 0\n    0 0 0 0 0 0 0 0 0 0 0 1 0 0 0 1 0 0 1 0 1 0 0 0 1 0 1 1 0 1 1 0 0 1 0 0 0 1 \n    0 0 1 1 1 1 0 0 0 0 1 0 1 1 1 1 0 0 0 0 0 0 0 1 0 0 0 0 0 0 1 1 0 1 0 1 1 1 \n    0 0 0 1 0 0 0 0 0 1 1 0]\n[0 0 0 0 0 0 0 0 0 0 0 0 0 0 0 0 0 0 0 0 0 0 0 0 0 0 0 0 0 0 0 0 0 0 0 0 0 0 0 1\n    0 0 0 0 0 0 0 0 0 0 0 0 1 0 0 0 0 0 1 1 0 0 1 0 0 1 1 1 1 1 0 0 1 0 0 0 1 0 \n    0 0 0 1 1 1 1 1 1 1 1 0 1 0 0 0 1 0 0 0 1 1 1 0 1 1 0 1 1 0 1 1 1 1 1 0 0 1 \n    1 1 1 0 1 1 0 0 1 1 0 1]\n[0 0 0 0 0 0 0 0 0 0 0 0 0 0 0 0 0 0 0 0 0 0 0 0 0 0 0 0 0 0 0 0 0 0 0 0 0 0 0 0\n    1 0 0 0 0 0 0 1 0 0 0 0 1 1 0 0 0 0 0 1 0 0 0 0 1 0 0 0 0 1 1 1 1 1 0 0 0 1 \n    0 1 0 0 1 1 1 1 1 0 1 1 0 1 1 0 1 1 0 0 0 1 0 1 0 1 1 1 0 1 1 1 0 0 1 1 0 0 \n    0 0 1 0 0 0 1 1 0 0 0 0]\n[0 0 0 0 0 0 0 0 0 0 0 0 0 0 0 0 0 0 0 0 0 0 0 0 0 0 0 0 0 0 0 0 0 0 0 0 0 0 0 0\n    0 1 0 0 0 0 0 0 0 0 0 1 0 1 0 1 0 1 1 0 0 1 1 1 1 0 1 1 0 1 1 0 0 1 0 1 1 1 \n    1 1 0 1 1 1 1 1 1 0 0 1 0 1 1 1 1 0 0 1 1 0 0 0 1 1 0 0 0 1 0 0 0 1 0 1 0 1 \n    0 0 0 0 1 0 1 1 1 1 1 0]\n[0 0 0 0 0 0 0 0 0 0 0 0 0 0 0 0 0 0 0 0 0 0 0 0 0 0 0 0 0 0 0 0 0 0 0 0 0 0 0 0\n    0 0 1 0 0 0 0 0 0 0 0 1 1 1 0 1 0 1 0 0 1 1 1 1 0 1 0 1 1 0 1 1 0 1 0 0 1 0 \n    1 1 1 1 0 1 1 0 0 0 0 0 1 1 0 0 0 0 0 0 0 1 0 0 0 1 0 1 0 0 0 1 1 1 0 1 0 0 \n    1 0 0 0 0 0 0 0 0 0 0 1]\n[0 0 0 0 0 0 0 0 0 0 0 0 0 0 0 0 0 0 0 0 0 0 0 0 0 0 0 0 0 0 0 0 0 0 0 0 0 0 0 0\n    0 0 0 1 0 0 0 1 0 0 0 1 0 0 0 1 0 1 0 1 0 0 1 0 1 0 0 1 0 1 0 0 0 1 0 0 0 0 \n    0 0 1 0 0 0 1 0 1 0 0 0 0 0 1 1 0 1 0 0 1 0 0 0 0 0 0 0 0 0 0 1 1 1 0 1 0 0 \n    1 0 0 1 0 0 0 0 1 0 0 0]\n[0 0 0 0 0 0 0 0 0 0 0 0 0 0 0 0 0 0 0 0 0 0 0 0 0 0 0 0 0 0 0 0 0 0 0 0 0 0 0 0\n    0 0 0 0 1 0 0 0 0 0 0 1 1 0 1 1 0 0 0 0 0 0 1 0 1 0 0 0 0 1 0 1 0 1 0 1 0 0 \n    0 1 1 0 1 0 0 0 0 1 0 1 1 0 0 0 1 0 1 0 1 0 1 0 0 0 0 1 0 0 1 1 0 1 0 1 0 1 \n    0 0 0 1 0 1 0 1 0 1 1 0]\n[0 0 0 0 0 0 0 0 0 0 0 0 0 0 0 0 0 0 0 0 0 0 0 0 0 0 0 0 0 0 0 0 0 0 0 0 0 0 0 0\n    0 0 0 0 0 1 0 0 0 0 0 0 1 1 0 1 0 1 0 0 0 1 0 1 0 1 1 1 1 0 0 0 0 1 1 0 0 1 \n    0 0 1 1 0 1 0 1 0 1 1 1 1 0 0 1 1 0 1 0 0 0 0 1 0 1 1 0 0 1 0 1 1 1 0 1 1 0 \n    1 1 0 0 1 1 0 1 1 1 1 1]\n[0 0 0 0 0 0 0 0 0 0 0 0 0 0 0 0 0 0 0 0 0 0 0 0 0 0 0 0 0 0 0 0 0 0 0 0 0 0 0 0\n    0 0 0 0 0 0 1 1 0 0 0 1 1 0 0 1 0 0 1 1 0 1 0 1 1 0 0 1 1 0 0 0 1 0 1 1 0 0 \n    0 1 0 0 0 0 1 1 1 0 0 1 0 0 1 1 0 1 1 0 0 0 0 0 1 0 1 0 1 1 0 1 1 1 1 0 1 1 \n    1 0 0 1 0 1 0 1 1 1 0 1]\n[0 0 0 0 0 0 0 0 0 0 0 0 0 0 0 0 0 0 0 0 0 0 0 0 0 0 0 0 0 0 0 0 0 0 0 0 0 0 0 0\n    0 0 0 0 0 0 0 0 1 0 0 1 0 0 1 1 0 0 0 0 1 1 0 1 1 1 1 0 1 0 0 0 1 1 0 1 1 0 \n    1 1 1 1 1 0 0 0 1 1 1 0 0 1 1 0 0 0 0 0 0 0 0 0 0 1 0 0 1 0 0 1 1 1 1 1 0 1 \n    0 0 1 1 1 0 0 1 1 1 0 0]\n[0 0 0 0 0 0 0 0 0 0 0 0 0 0 0 0 0 0 0 0 0 0 0 0 0 0 0 0 0 0 0 0 0 0 0 0 0 0 0 0\n    0 0 0 0 0 0 0 0 0 1 0 1 1 1 1 0 0 1 1 1 1 0 1 0 0 1 1 1 0 1 0 0 0 0 0 0 1 0 \n    0 1 1 0 0 1 0 1 1 0 1 1 0 1 0 0 1 1 0 0 1 0 0 0 0 0 0 1 0 1 1 1 0 0 0 0 0 0 \n    1 0 0 1 1 0 0 1 0 0 0 0]\n[0 0 0 0 0 0 0 0 0 0 0 0 0 0 0 0 0 0 0 0 0 0 0 0 0 0 0 0 0 0 0 0 0 0 0 0 0 0 0 0\n    0 0 0 0 0 0 0 0 0 0 1 0 1 1 1 1 0 0 1 1 1 1 0 1 0 0 1 1 1 0 1 0 0 0 0 0 0 1 \n    0 0 1 1 0 0 1 0 1 1 0 1 1 0 1 0 0 1 1 0 0 1 0 0 0 0 0 0 1 0 1 1 1 0 0 0 0 0 \n    0 1 0 0 1 1 0 0 1 0 0 0]\n[0 0 0 0 0 0 0 0 0 0 0 0 0 0 0 0 0 0 0 0 0 0 0 0 0 0 0 0 0 0 0 0 0 0 0 0 0 0 0 0\n    0 0 0 0 0 0 0 0 0 0 0 0 0 0 0 0 1 1 0 0 0 1 0 0 0 0 1 1 1 0 1 0 1 1 0 0 1 1 \n    0 0 0 0 0 0 0 1 0 1 0 1 0 1 0 1 1 1 1 1 0 1 0 0 0 1 1 0 1 1 0 0 0 1 1 1 0 0 \n    0 1 0 0 0 1 1 1 0 1 0 0]\n[[64, 13]] quantum code over GF(2^2), stabilised by:\n[1 0 0 0 0 0 0 0 0 0 0 0 0 0 0 0 0 0 0 0 0 0 0 0 0 0 0 0 $.1^2 0 1 1 $.1 1 1 1 \n    $.1 1 0 $.1^2 1 1 1 $.1 0 1 $.1 1 $.1 1 $.1^2 $.1 $.1 $.1 $.1^2 1 0 $.1^2 \n    $.1^2 1 0 $.1 $.1 0]\n[$.1 0 0 0 0 0 0 0 0 0 0 0 0 0 0 0 0 0 0 0 0 0 0 0 0 $.1 0 0 1 0 $.1 $.1 $.1^2 \n    $.1 $.1 $.1 $.1^2 $.1 0 0 1 1 $.1 $.1^2 0 0 0 $.1^2 $.1 1 1 0 0 $.1 $.1^2 \n    $.1 $.1 $.1 $.1^2 $.1 $.1 0 1 0]\n[0 1 0 0 0 0 0 0 0 0 0 0 0 0 0 0 0 0 0 0 0 0 0 0 0 0 1 0 0 $.1^2 0 1 1 $.1 1 1 1\n    $.1 1 0 0 $.1^2 $.1^2 1 $.1 0 0 0 $.1 1 $.1^2 $.1^2 0 0 1 $.1 1 1 1 $.1 1 1 \n    0 $.1^2]\n[0 $.1 0 0 0 0 0 0 0 0 0 0 0 0 0 0 0 0 0 0 0 0 0 0 0 0 $.1 0 0 1 0 $.1 $.1 $.1^2\n    $.1 $.1 $.1 $.1^2 $.1 0 0 1 1 $.1 $.1^2 0 0 0 $.1^2 $.1 1 1 0 0 $.1 $.1^2 \n    $.1 $.1 $.1 $.1^2 $.1 $.1 0 1]\n[0 0 1 0 0 0 0 0 0 0 0 0 0 0 0 0 0 0 0 0 0 0 0 0 0 $.1 $.1^2 $.1 1 1 1 1 1 $.1 \n    $.1 $.1 $.1^2 0 $.1^2 $.1^2 1 $.1^2 1 0 $.1 0 1 1 $.1 $.1^2 0 0 0 1 $.1 1 0 \n    $.1^2 1 $.1^2 $.1 $.1 $.1^2 $.1^2]\n[0 0 $.1 0 0 0 0 0 0 0 0 0 0 0 0 0 0 0 0 0 0 0 0 0 0 0 1 $.1^2 $.1 $.1 $.1 $.1 \n    $.1 $.1^2 $.1^2 $.1^2 1 0 1 $.1^2 $.1^2 0 $.1 0 $.1^2 $.1^2 $.1^2 0 1 0 0 1 \n    1 0 0 $.1 $.1^2 0 1 1 0 $.1 $.1 1]\n[0 0 0 1 0 0 0 0 0 0 0 0 0 0 0 0 0 0 0 0 0 0 0 0 0 $.1 0 0 $.1^2 0 $.1^2 0 1 $.1\n    $.1 1 0 $.1 1 1 1 0 $.1^2 $.1 $.1^2 0 0 $.1 0 0 0 $.1^2 1 $.1^2 0 $.1^2 \n    $.1^2 $.1^2 1 $.1 $.1^2 0 $.1 1]\n[0 0 0 $.1 0 0 0 0 0 0 0 0 0 0 0 0 0 0 0 0 0 0 0 0 0 0 0 0 1 0 1 0 $.1 $.1^2 \n    $.1^2 $.1 0 $.1^2 $.1 0 $.1^2 1 1 $.1^2 1 $.1^2 1 1 $.1 1 0 0 $.1^2 $.1^2 \n    $.1^2 1 $.1 0 1 $.1^2 $.1 1 0 $.1]\n[0 0 0 0 1 0 0 0 0 0 0 0 0 0 0 0 0 0 0 0 0 0 0 0 0 0 $.1 1 $.1 1 $.1^2 1 0 0 $.1\n    $.1^2 $.1 $.1 0 0 1 $.1^2 1 $.1 $.1^2 $.1^2 $.1 $.1 0 0 0 0 1 $.1^2 0 1 \n    $.1^2 0 $.1 $.1^2 1 $.1 $.1 $.1]\n[0 0 0 0 $.1 0 0 0 0 0 0 0 0 0 0 0 0 0 0 0 0 0 0 0 0 $.1 $.1^2 $.1 $.1^2 $.1 1 \n    $.1 0 0 $.1^2 1 $.1^2 $.1^2 0 1 1 $.1 $.1 $.1^2 1 $.1^2 0 $.1 1 $.1^2 0 \n    $.1^2 1 0 $.1 $.1 $.1^2 $.1^2 1 1 0 0 1 $.1^2]\n[0 0 0 0 0 1 0 0 0 0 0 0 0 0 0 0 0 0 0 0 0 0 0 0 0 $.1 $.1^2 0 $.1 1 0 0 1 $.1 0\n    0 $.1 1 1 $.1^2 1 0 0 $.1^2 0 1 0 1 $.1 1 1 $.1^2 1 $.1 $.1 1 $.1^2 $.1 1 \n    $.1 0 $.1^2 $.1 1]\n[0 0 0 0 0 $.1 0 0 0 0 0 0 0 0 0 0 0 0 0 0 0 0 0 0 0 $.1 1 0 $.1^2 $.1 0 0 $.1 \n    $.1^2 0 0 $.1^2 $.1 $.1 $.1 0 $.1 0 1 0 $.1^2 $.1 1 0 0 $.1 $.1^2 0 0 $.1 \n    $.1 0 1 $.1^2 $.1^2 1 $.1^2 $.1 $.1]\n[0 0 0 0 0 0 1 0 0 0 0 0 0 0 0 0 0 0 0 0 0 0 0 0 0 0 $.1^2 $.1 $.1 0 $.1 $.1 0 0\n    $.1 1 $.1^2 0 $.1^2 0 0 1 $.1^2 1 $.1 0 $.1 0 0 1 $.1^2 1 $.1^2 1 $.1 $.1 1 \n    1 1 $.1 1 0 $.1^2 $.1^2]\n[0 0 0 0 0 0 $.1 0 0 0 0 0 0 0 0 0 0 0 0 0 0 0 0 0 0 $.1 1 $.1^2 $.1^2 0 $.1^2 \n    $.1^2 0 0 $.1^2 $.1 1 0 1 1 $.1^2 1 1 $.1 $.1^2 $.1 0 1 1 1 1 1 $.1 $.1^2 1 \n    $.1^2 0 1 0 $.1^2 0 $.1^2 $.1^2 1]\n[0 0 0 0 0 0 0 1 0 0 0 0 0 0 0 0 0 0 0 0 0 0 0 0 0 $.1 $.1 0 $.1^2 $.1^2 $.1 \n    $.1^2 $.1 $.1^2 0 1 $.1^2 $.1 1 1 $.1 1 1 0 $.1 0 0 1 1 $.1 $.1 0 0 0 0 \n    $.1^2 0 $.1 $.1^2 $.1 $.1 $.1^2 0 1]\n[0 0 0 0 0 0 0 $.1 0 0 0 0 0 0 0 0 0 0 0 0 0 0 0 0 0 0 $.1^2 0 1 1 $.1^2 1 $.1^2\n    1 0 $.1 1 $.1^2 $.1 0 $.1 $.1^2 $.1 0 $.1^2 $.1^2 1 0 0 $.1 $.1^2 1 1 $.1 \n    $.1^2 1 $.1^2 $.1 $.1 $.1^2 0 0 $.1^2 $.1]\n[0 0 0 0 0 0 0 0 1 0 0 0 0 0 0 0 0 0 0 0 0 0 0 0 0 0 $.1 $.1^2 $.1 1 0 0 $.1^2 \n    $.1^2 $.1^2 1 $.1 1 0 0 1 0 0 0 1 $.1 $.1 $.1 $.1^2 1 $.1 $.1 $.1 $.1 $.1^2 \n    1 $.1^2 $.1^2 $.1^2 1 1 $.1^2 1 0]\n[0 0 0 0 0 0 0 0 $.1 0 0 0 0 0 0 0 0 0 0 0 0 0 0 0 0 $.1 $.1^2 1 $.1^2 $.1 0 0 1\n    1 1 $.1 $.1^2 $.1 0 1 1 $.1^2 0 0 $.1 1 0 $.1 0 1 $.1^2 0 0 $.1 $.1^2 $.1 \n    $.1^2 $.1 $.1^2 $.1 0 $.1 0 0]\n[0 0 0 0 0 0 0 0 0 1 0 0 0 0 0 0 0 0 0 0 0 0 0 0 0 0 1 $.1 $.1^2 $.1 1 0 0 $.1^2\n    $.1^2 $.1^2 1 $.1 1 0 $.1^2 $.1^2 $.1 0 0 1 $.1^2 0 1 0 $.1^2 $.1 0 0 1 $.1 \n    1 $.1 1 $.1 1 0 1 0]\n[0 0 0 0 0 0 0 0 0 $.1 0 0 0 0 0 0 0 0 0 0 0 0 0 0 0 0 $.1 $.1^2 1 $.1^2 $.1 0 0\n    1 1 1 $.1 $.1^2 $.1 0 1 1 $.1^2 0 0 $.1 1 0 $.1 0 1 $.1^2 0 0 $.1 $.1^2 $.1 \n    $.1^2 $.1 $.1^2 $.1 0 $.1 0]\n[0 0 0 0 0 0 0 0 0 0 1 0 0 0 0 0 0 0 0 0 0 0 0 0 0 0 0 1 $.1 $.1^2 $.1 1 0 0 \n    $.1^2 $.1^2 $.1^2 1 $.1 1 0 $.1^2 $.1^2 $.1 0 0 1 $.1^2 0 1 0 $.1^2 $.1 0 0 \n    1 $.1 1 $.1 1 $.1 1 0 1]\n[0 0 0 0 0 0 0 0 0 0 $.1 0 0 0 0 0 0 0 0 0 0 0 0 0 0 0 0 $.1 $.1^2 1 $.1^2 $.1 0\n    0 1 1 1 $.1 $.1^2 $.1 0 1 1 $.1^2 0 0 $.1 1 0 $.1 0 1 $.1^2 0 0 $.1 $.1^2 \n    $.1 $.1^2 $.1 $.1^2 $.1 0 $.1]\n[0 0 0 0 0 0 0 0 0 0 0 1 0 0 0 0 0 0 0 0 0 0 0 0 0 0 1 1 $.1^2 0 0 0 1 1 0 $.1 0\n    1 $.1^2 $.1^2 $.1 0 0 $.1 $.1^2 0 $.1^2 1 $.1 $.1^2 $.1^2 0 $.1^2 $.1 0 0 1 \n    0 $.1 1 $.1 $.1 1 1]\n[0 0 0 0 0 0 0 0 0 0 0 $.1 0 0 0 0 0 0 0 0 0 0 0 0 0 $.1 $.1 $.1 1 0 0 0 $.1 $.1\n    0 $.1^2 0 $.1 1 0 0 $.1^2 0 $.1^2 1 $.1 $.1 $.1^2 $.1 $.1 1 $.1^2 $.1 $.1 \n    $.1 0 0 $.1^2 1 $.1 1 0 0 $.1]\n[0 0 0 0 0 0 0 0 0 0 0 0 1 0 0 0 0 0 0 0 0 0 0 0 0 0 0 0 $.1^2 1 $.1^2 $.1 0 0 1\n    1 1 $.1 $.1^2 $.1 $.1^2 0 1 1 $.1^2 $.1^2 $.1 1 $.1^2 $.1 $.1^2 $.1^2 $.1 1 \n    1 1 0 $.1 1 0 $.1 $.1^2 0 1]\n[0 0 0 0 0 0 0 0 0 0 0 0 $.1 0 0 0 0 0 0 0 0 0 0 0 0 $.1 0 0 1 $.1 1 $.1^2 0 0 \n    $.1 $.1 $.1 $.1^2 1 $.1 $.1 $.1^2 $.1 $.1 1 $.1^2 0 $.1^2 0 0 1 $.1 0 $.1^2 \n    0 $.1 $.1 0 0 0 1 $.1 $.1 $.1]\n[0 0 0 0 0 0 0 0 0 0 0 0 0 1 0 0 0 0 0 0 0 0 0 0 0 0 0 1 $.1 1 $.1 1 $.1 1 0 0 \n    $.1 $.1^2 0 $.1 $.1 1 1 0 0 $.1^2 1 0 $.1^2 $.1^2 $.1 $.1^2 1 0 $.1 0 1 \n    $.1^2 $.1^2 $.1^2 $.1^2 $.1^2 1 0]\n[0 0 0 0 0 0 0 0 0 0 0 0 0 $.1 0 0 0 0 0 0 0 0 0 0 0 $.1 0 $.1 $.1^2 $.1 $.1^2 \n    $.1 $.1^2 $.1 0 0 $.1^2 1 0 $.1 0 1 $.1 0 0 $.1^2 1 1 0 $.1 $.1^2 $.1 1 1 1 \n    0 0 $.1 $.1^2 1 $.1^2 $.1 0 0]\n[0 0 0 0 0 0 0 0 0 0 0 0 0 0 1 0 0 0 0 0 0 0 0 0 0 0 1 0 1 $.1 1 $.1 1 $.1 1 0 0\n    $.1 $.1^2 0 1 0 $.1^2 1 0 0 $.1 $.1^2 $.1^2 0 1 $.1 1 $.1^2 $.1^2 $.1^2 0 0 \n    1 $.1 $.1^2 $.1 1 0]\n[0 0 0 0 0 0 0 0 0 0 0 0 0 0 $.1 0 0 0 0 0 0 0 0 0 0 0 $.1 0 $.1 $.1^2 $.1 $.1^2\n    $.1 $.1^2 $.1 0 0 $.1^2 1 0 $.1 0 1 $.1 0 0 $.1^2 1 1 0 $.1 $.1^2 $.1 1 1 1 \n    0 0 $.1 $.1^2 1 $.1^2 $.1 0]\n[0 0 0 0 0 0 0 0 0 0 0 0 0 0 0 1 0 0 0 0 0 0 0 0 0 0 0 1 0 1 $.1 1 $.1 1 $.1 1 0\n    0 $.1 $.1^2 0 1 0 $.1^2 1 0 0 $.1 $.1^2 $.1^2 0 1 $.1 1 $.1^2 $.1^2 $.1^2 0 \n    0 1 $.1 $.1^2 $.1 1]\n[0 0 0 0 0 0 0 0 0 0 0 0 0 0 0 $.1 0 0 0 0 0 0 0 0 0 0 0 $.1 0 $.1 $.1^2 $.1 \n    $.1^2 $.1 $.1^2 $.1 0 0 $.1^2 1 0 $.1 0 1 $.1 0 0 $.1^2 1 1 0 $.1 $.1^2 $.1 \n    1 1 1 0 0 $.1 $.1^2 1 $.1^2 $.1]\n[0 0 0 0 0 0 0 0 0 0 0 0 0 0 0 0 1 0 0 0 0 0 0 0 0 0 1 1 $.1^2 $.1 $.1 0 1 $.1^2\n    1 $.1^2 $.1 $.1 $.1 $.1^2 0 0 $.1 1 $.1 1 $.1^2 0 $.1^2 0 1 0 1 $.1 1 $.1^2 \n    $.1^2 1 $.1^2 $.1^2 $.1 $.1 $.1^2 $.1^2]\n[0 0 0 0 0 0 0 0 0 0 0 0 0 0 0 0 $.1 0 0 0 0 0 0 0 0 $.1 $.1 $.1 1 $.1^2 $.1^2 0\n    $.1 1 $.1 1 $.1^2 $.1^2 $.1^2 0 $.1^2 $.1^2 $.1^2 $.1 $.1^2 0 $.1 1 0 $.1^2 \n    $.1 $.1^2 1 $.1 0 1 $.1^2 1 $.1^2 1 1 0 $.1^2 1]\n[0 0 0 0 0 0 0 0 0 0 0 0 0 0 0 0 0 1 0 0 0 0 0 0 0 $.1 $.1 $.1 0 $.1 0 $.1^2 0 \n    $.1 $.1^2 $.1 1 $.1^2 $.1^2 0 1 1 0 1 $.1 0 1 0 1 1 $.1^2 $.1 1 $.1 $.1^2 0 \n    1 0 $.1^2 0 $.1^2 0 $.1 1]\n[0 0 0 0 0 0 0 0 0 0 0 0 0 0 0 0 0 $.1 0 0 0 0 0 0 0 0 $.1^2 $.1^2 0 $.1^2 0 1 0\n    $.1^2 1 $.1^2 $.1 1 1 $.1 $.1^2 $.1^2 0 $.1 $.1^2 $.1^2 $.1^2 $.1 0 $.1^2 1 \n    $.1 $.1^2 1 $.1 0 1 1 $.1 0 $.1 1 0 $.1]\n[0 0 0 0 0 0 0 0 0 0 0 0 0 0 0 0 0 0 1 0 0 0 0 0 0 0 $.1 $.1^2 0 $.1 1 $.1 $.1^2\n    1 $.1 $.1 1 $.1^2 1 $.1 0 $.1^2 0 1 0 $.1 $.1 $.1^2 $.1 1 1 $.1^2 0 $.1^2 1 \n    $.1 0 $.1 1 1 $.1^2 $.1 $.1 $.1]\n[0 0 0 0 0 0 0 0 0 0 0 0 0 0 0 0 0 0 $.1 0 0 0 0 0 0 $.1 $.1^2 1 0 $.1^2 $.1 \n    $.1^2 1 $.1 $.1^2 $.1^2 $.1 1 $.1 $.1 $.1^2 $.1 0 $.1 0 1 0 0 $.1 1 $.1 $.1 \n    $.1^2 0 0 $.1^2 $.1 0 0 $.1 $.1^2 0 1 $.1^2]\n[0 0 0 0 0 0 0 0 0 0 0 0 0 0 0 0 0 0 0 1 0 0 0 0 0 $.1 $.1^2 0 0 $.1^2 $.1^2 $.1\n    $.1 1 1 0 $.1^2 $.1 0 $.1 $.1^2 1 0 $.1 $.1^2 $.1 1 1 $.1^2 $.1^2 0 $.1 $.1 \n    $.1^2 $.1 0 0 1 $.1^2 1 $.1 1 $.1 1]\n[0 0 0 0 0 0 0 0 0 0 0 0 0 0 0 0 0 0 0 $.1 0 0 0 0 0 $.1 1 0 0 1 1 $.1^2 $.1^2 \n    $.1 $.1 0 1 $.1^2 0 0 $.1^2 0 0 $.1^2 1 $.1 0 1 $.1 $.1^2 0 1 1 $.1 $.1 0 1 \n    0 0 $.1 $.1 0 $.1 $.1]\n[0 0 0 0 0 0 0 0 0 0 0 0 0 0 0 0 0 0 0 0 1 0 0 0 0 0 $.1^2 $.1 $.1 $.1 0 1 $.1 \n    $.1^2 1 0 $.1^2 1 0 1 1 $.1^2 $.1 1 $.1^2 $.1^2 1 1 0 0 1 0 $.1 $.1 $.1^2 \n    $.1 0 $.1 $.1 0 $.1 $.1 1 $.1^2]\n[0 0 0 0 0 0 0 0 0 0 0 0 0 0 0 0 0 0 0 0 $.1 0 0 0 0 $.1 1 $.1^2 $.1^2 $.1^2 0 \n    $.1 $.1^2 1 $.1 0 1 $.1 0 $.1^2 1 $.1 $.1^2 $.1 1 $.1^2 1 $.1^2 1 $.1^2 $.1 \n    $.1^2 0 $.1 $.1^2 $.1^2 $.1 0 1 0 1 0 0 1]\n[0 0 0 0 0 0 0 0 0 0 0 0 0 0 0 0 0 0 0 0 0 1 0 0 0 $.1 $.1 0 $.1^2 $.1^2 0 1 1 1\n    $.1^2 $.1 $.1 $.1 0 $.1 $.1^2 0 $.1^2 1 $.1 1 $.1^2 $.1 0 $.1 $.1^2 $.1 1 1 \n    $.1^2 $.1 0 $.1^2 0 1 0 0 $.1 $.1^2]\n[0 0 0 0 0 0 0 0 0 0 0 0 0 0 0 0 0 0 0 0 0 $.1 0 0 0 0 $.1^2 0 1 1 0 $.1 $.1 $.1\n    1 $.1^2 $.1^2 $.1^2 0 1 0 1 1 $.1 $.1^2 1 0 1 $.1 $.1 1 $.1 $.1^2 0 $.1 \n    $.1^2 $.1^2 0 $.1^2 $.1 $.1^2 1 0 1]\n[0 0 0 0 0 0 0 0 0 0 0 0 0 0 0 0 0 0 0 0 0 0 1 0 0 $.1 0 1 1 $.1 1 1 1 $.1 1 0 0\n    $.1^2 $.1^2 $.1 0 $.1 0 0 $.1 0 1 0 $.1^2 $.1 1 0 $.1^2 $.1 0 $.1 0 $.1^2 1 \n    $.1^2 1 $.1 0 0]\n[0 0 0 0 0 0 0 0 0 0 0 0 0 0 0 0 0 0 0 0 0 0 $.1 0 0 0 0 $.1 $.1 $.1^2 $.1 $.1 \n    $.1 $.1^2 $.1 0 0 1 1 1 1 $.1 0 0 $.1^2 $.1^2 $.1^2 $.1 $.1^2 $.1 $.1 1 0 1 \n    $.1^2 $.1^2 $.1^2 0 1 1 1 $.1 $.1^2 0]\n[0 0 0 0 0 0 0 0 0 0 0 0 0 0 0 0 0 0 0 0 0 0 0 1 0 0 $.1^2 0 1 1 $.1 1 1 1 $.1 1\n    0 0 $.1^2 $.1^2 1 $.1 0 0 0 $.1 1 $.1^2 $.1^2 0 0 1 $.1 1 1 1 $.1 1 1 0 \n    $.1^2 0 0 1]\n[0 0 0 0 0 0 0 0 0 0 0 0 0 0 0 0 0 0 0 0 0 0 0 $.1 0 0 1 0 $.1 $.1 $.1^2 $.1 $.1\n    $.1 $.1^2 $.1 0 0 1 1 $.1 $.1^2 0 0 0 $.1^2 $.1 1 1 0 0 $.1 $.1^2 $.1 $.1 \n    $.1 $.1^2 $.1 $.1 0 1 0 0 $.1]\n[0 0 0 0 0 0 0 0 0 0 0 0 0 0 0 0 0 0 0 0 0 0 0 0 1 0 1 $.1 $.1 $.1^2 $.1 0 1 0 1\n    $.1^2 $.1 $.1 $.1 $.1 0 1 1 1 1 0 1 1 $.1 0 $.1 0 1 $.1 1 1 1 0 $.1 $.1 \n    $.1^2 $.1^2 0 1]\n[0 0 0 0 0 0 0 0 0 0 0 0 0 0 0 0 0 0 0 0 0 0 0 0 $.1 $.1 $.1 $.1^2 $.1^2 1 $.1^2\n    0 $.1 0 $.1 1 $.1^2 $.1^2 $.1^2 $.1 $.1^2 1 $.1 $.1 $.1 $.1 1 $.1^2 $.1 \n    $.1^2 $.1^2 $.1^2 1 $.1 0 $.1 0 $.1^2 1 $.1^2 $.1^2 $.1 $.1 $.1]\n[0 0 0 0 0 0 0 0 0 0 0 0 0 0 0 0 0 0 0 0 0 0 0 0 0 1 0 0 0 0 0 0 0 0 0 0 0 0 0 \n    $.1^2 $.1 $.1 0 0 0 1 $.1 $.1^2 $.1^2 $.1 0 $.1 $.1 $.1^2 1 0 1 $.1 1 0 1 \n    $.1 1 0]\nQuantum GF(2)-Additive code over GF(4) of length 64 with 77 generators.\nLower Bound: 1, Upper Bound: 27\nConstructed 2 distinct generator matrices\nTotal Ranks:     39  39 \nRelative Ranks:  39  25 \n(4 4 4 4 4 4 4 4 4 4 4 4 4 4 4 4 4 4 4 4 4 4 4 4 4 4 4 4 4 4 4 4 4 4 4 4 4 2 4 )\n(4 4 4 4 4 4 4 4 4 4 4 4 4 4 4 4 4 4 4 4 4 4 4 4 4 4 4 4 4 4 4 4 4 4 4 4 4 4 2 )\nTime Taken: 0.00\nStarting search for low weight codewords... (reset timings)\nEnumerating using 1 generator at a time:\n     New codeword identified of weight 20, time 0.00\n     New codeword identified of weight 17, time 0.00\n     New codeword identified of weight 16, time 0.00\n     New codeword identified of weight 15, time 0.00\n     Discarding non-contributing rank 25 matrix\n     New Total Ranks:     39 \n     New Relative Ranks:  39 \n   Completed Matrix  1:  lower =  2, upper = 15. Elapsed: 0.00s\nTermination predicted with 14 generators at matrix 1\nEnumerating using 2 generators at a time:\n     New codeword identified of weight 14, time 0.00\n     New codeword identified of weight 13, time 0.00\n   Completed Matrix  1:  lower =  3, upper = 13. Elapsed: 0.00s\nTermination predicted with 12 generators at matrix 1\nEnumerating using 3 generators at a time:\n     New codeword identified of weight 12, time 0.00\n   Completed Matrix  1:  lower =  4, upper = 12. Elapsed: 0.00s\nTermination predicted with 11 generators at matrix 1\nEnumerating using 4 generators at a time:\n   Completed Matrix  1:  lower =  5, upper = 12. Elapsed: 0.03s\nTermination predicted with 11 generators at matrix 1\nEnumerating using 5 generators at a time:\n   Completed Matrix  1:  lower =  6, upper = 12. Elapsed: 0.75s\nTermination predicted at 1475980 s (17d 1h 59m 40s) with 11 generators at matrix\n1\nEnumerating using 6 generators at a time:\n   Completed Matrix  1:  lower =  7, upper = 12. Elapsed: 13.16s\nTermination predicted at 1539340 s (17d 19h 35m 40s) with 11 generators at \nmatrix 1\nEnumerating using 7 generators at a time:\n   Completed Matrix  1:  lower =  8, upper = 12. Elapsed: 252.79s\nTermination predicted at 2123611 s (24d 13h 53m 31s) with 11 generators at \nmatrix 1\nEnumerating using 8 generators at a time:\n   Completed Matrix  1:  lower =  9, upper = 12. Elapsed: 3504.27s\nTermination predicted at 2487121 s (28d 18h 52m 1s) with 11 generators at matrix\n1\nEnumerating using 9 generators at a time:\n</t>
  </si>
  <si>
    <t xml:space="preserve">Magma V2.28-26    Sun Jan 11 2026 20:47:50 on Marks-MacBook-Air-2 [Seed = \n3907358172]\nType ? for help.  Type &lt;Ctrl&gt;-D to quit.\n[1 0 0 0 0 0 0 0 0 0 0 0 0 0 0 0 0 0 0 0 0 0 0 0 0 0 0 0 0 0 0 0 0 0 0 0 0 0 0 0\n    0 0 0 0 0 0 0 0 0 0 0 0 0 0 0 0 0 0 0 </t>
  </si>
  <si>
    <t>28800.060922333003</t>
  </si>
  <si>
    <t xml:space="preserve">Magma V2.28-26    Sun Jan 11 2026 20:47:58 on Marks-MacBook-Air-2 [Seed = \n2207180479]\nType ? for help.  Type &lt;Ctrl&gt;-D to quit.\n[1 0 0 0 0 0 0 0 0 0 0 0 0 0 0 0 0 0 0 0 0 0 0 0 0 0 0 0 0 0 0 0 0 0 0 0 0 0 0 0\n    0 0 0 0 0 0 0 0 0 0 0 0 0 0 0 0 0 0 0 </t>
  </si>
  <si>
    <t>28800.049751458002</t>
  </si>
  <si>
    <t xml:space="preserve">Magma V2.28-26    Sun Jan 11 2026 20:48:11 on Marks-MacBook-Air-2 [Seed = \n2543514206]\nType ? for help.  Type &lt;Ctrl&gt;-D to quit.\n[1 0 0 0 0 0 0 0 0 0 0 0 0 0 0 0 0 0 0 0 0 0 0 0 0 0 0 0 0 0 0 0 0 0 0 0 0 0 0 0\n    0 0 0 0 0 0 0 0 0 0 0 0 0 0 0 0 1 1 1 </t>
  </si>
  <si>
    <t>Magma V2.28-26    Mon Jan 12 2026 04:47:48 on Marks-MacBook-Air-2 [Seed = \n2390989692]\nType ? for help.  Type &lt;Ctrl&gt;-D to quit.\n[1 0 0 0 0 0 0 0 0 0 0 0 0 0 0 0 0 0 0 0 0 0 0 0 0 0 0 0 0 0 0 0 0 0 0 0 0 0 0 0\n    0 0 0 0 0 0 0 0 0 0 0 0 0 0 0 0 0 0 1 0 1 1 0 0 1 0 0 0 0 1 1 1 1 0 0 1 1 0 \n    1 1 1 1 1 0 1 1 0 1 1 0 1 1 1 1 0 1 0 1 0 1 0 1 1 1 0 0 1 0 0 0 0 0 1 1 0 0 \n    0 0 1 0 0 0 0 1 1 0 0 1 0 0]\n[0 1 0 0 0 0 0 0 0 0 0 0 0 0 0 0 0 0 0 0 0 0 0 0 0 0 0 0 0 0 0 0 0 0 0 0 0 0 0 0\n    0 0 0 0 0 0 0 0 0 0 0 0 0 0 0 0 0 0 0 0 0 1 1 0 0 0 0 0 1 0 0 1 0 1 0 0 1 0 \n    0 0 1 1 0 0 1 0 0 0 0 0 0 1 1 1 0 0 0 1 1 1 0 0 0 1 1 0 0 0 0 0 0 1 0 0 1 0 \n    0 0 0 1 1 0 1 1 0 0 1 0 1 1]\n[0 0 1 0 0 0 0 0 0 0 0 0 0 0 0 0 0 0 0 0 0 0 0 0 0 0 0 0 0 0 0 0 0 0 0 0 0 0 0 0\n    0 0 0 0 0 0 0 0 0 0 0 0 0 0 0 0 0 0 1 0 1 1 1 0 0 1 1 0 1 1 1 0 0 1 0 0 0 1 \n    0 0 0 0 1 1 0 1 0 1 0 0 1 1 1 1 0 1 1 1 0 1 0 0 1 1 0 0 1 1 1 0 1 0 1 0 1 1 \n    0 1 0 1 1 1 0 1 1 0 0 1 0 0]\n[0 0 0 1 0 0 0 0 0 0 0 0 0 0 0 0 0 0 0 0 0 0 0 0 0 0 0 0 0 0 0 0 0 0 0 0 0 0 0 0\n    0 0 0 0 0 0 0 0 0 0 0 0 0 0 0 0 0 0 1 0 0 0 0 0 1 0 1 1 1 1 0 0 0 1 0 0 1 0 \n    0 0 0 0 1 0 1 0 1 1 1 0 0 0 1 1 1 1 0 1 0 1 0 1 1 1 0 0 1 1 0 1 1 0 0 1 1 0 \n    0 1 1 0 0 1 1 0 1 1 1 1 0 1]\n[0 0 0 0 1 0 0 0 0 0 0 0 0 0 0 0 0 0 0 0 0 0 0 0 0 0 0 0 0 0 0 0 0 0 0 0 0 0 0 0\n    0 0 0 0 0 0 0 0 0 0 0 0 0 0 0 0 0 0 1 0 0 1 1 0 1 1 1 0 0 1 0 0 1 1 1 1 0 0 \n    1 1 1 1 0 1 1 0 0 1 0 1 0 1 1 1 0 1 0 0 1 0 0 0 1 1 1 0 0 1 0 1 1 0 1 0 0 1 \n    1 1 1 0 0 0 0 1 0 0 0 0 1 1]\n[0 0 0 0 0 1 0 0 0 0 0 0 0 0 0 0 0 0 0 0 0 0 0 0 0 0 0 0 0 0 0 0 0 0 0 0 0 0 0 0\n    0 0 0 0 0 0 0 0 0 0 0 0 0 0 0 0 0 0 0 0 1 1 1 0 1 1 0 0 0 1 1 1 1 0 1 1 1 0 \n    1 0 0 0 1 1 0 1 0 0 1 1 0 0 1 0 0 0 1 1 0 1 0 0 0 1 1 0 0 0 0 1 0 0 1 0 0 1 \n    0 0 1 1 0 0 1 1 0 1 0 0 1 1]\n[0 0 0 0 0 0 1 0 0 0 0 0 0 0 0 0 0 0 0 0 0 0 0 0 0 0 0 0 0 0 0 0 0 0 0 0 0 0 0 0\n    0 0 0 0 0 0 0 0 0 0 0 0 0 0 0 0 0 0 1 0 0 1 0 0 1 1 0 1 1 1 0 1 0 1 0 1 0 0 \n    0 1 1 1 0 0 0 0 0 1 1 0 0 0 1 1 1 1 0 0 0 0 0 0 0 0 1 1 0 1 1 1 0 1 0 0 1 1 \n    1 1 1 0 0 1 0 0 1 0 0 0 0 1]\n[0 0 0 0 0 0 0 1 0 0 0 0 0 0 0 0 0 0 0 0 0 0 0 0 0 0 0 0 0 0 0 0 0 0 0 0 0 0 0 0\n    0 0 0 0 0 0 0 0 0 0 0 0 0 0 0 0 0 0 0 0 0 1 0 0 1 1 0 1 0 0 1 1 0 0 0 0 0 1 \n    1 1 1 0 0 0 0 0 1 1 0 1 1 0 1 0 0 0 0 1 1 1 1 1 0 1 0 1 0 0 1 1 1 0 0 1 0 1 \n    1 0 0 1 1 1 1 1 1 0 0 0 1 1]\n[0 0 0 0 0 0 0 0 1 0 0 0 0 0 0 0 0 0 0 0 0 0 0 0 0 0 0 0 0 0 0 0 0 0 0 0 0 0 0 0\n    0 0 0 0 0 0 0 0 0 0 0 0 0 0 0 0 0 0 1 0 1 1 0 0 1 0 1 0 0 0 1 0 0 0 1 1 0 1 \n    0 1 0 0 1 1 0 0 1 0 1 0 0 1 0 0 1 1 0 0 1 0 0 1 1 1 1 1 0 1 1 0 0 0 1 0 1 1 \n    0 1 1 1 0 0 1 0 0 1 0 1 0 0]\n[0 0 0 0 0 0 0 0 0 1 0 0 0 0 0 0 0 0 0 0 0 0 0 0 0 0 0 0 0 0 0 0 0 0 0 0 0 0 0 0\n    0 0 0 0 0 0 0 0 0 0 0 0 0 0 0 0 0 0 0 0 1 1 0 0 0 1 0 1 1 1 0 0 1 1 0 1 0 1 \n    1 1 0 0 0 1 1 0 1 0 1 0 0 1 1 0 0 0 1 1 1 0 0 1 1 0 0 1 0 0 0 0 0 1 1 1 1 1 \n    0 1 1 0 0 0 1 1 0 1 1 0 0 0]\n[0 0 0 0 0 0 0 0 0 0 1 0 0 0 0 0 0 0 0 0 0 0 0 0 0 0 0 0 0 0 0 0 0 0 0 0 0 0 0 0\n    0 0 0 0 0 0 0 0 0 0 0 0 0 0 0 0 0 0 0 0 1 1 0 0 0 0 1 1 0 1 1 0 0 1 0 1 1 1 \n    0 1 0 1 1 0 0 1 1 1 0 0 1 0 1 1 1 0 1 1 1 1 1 0 0 0 0 0 1 0 1 0 1 1 1 0 0 1 \n    1 1 1 0 1 1 1 1 0 0 1 1 0 1]\n[0 0 0 0 0 0 0 0 0 0 0 1 0 0 0 0 0 0 0 0 0 0 0 0 0 0 0 0 0 0 0 0 0 0 0 0 0 0 0 0\n    0 0 0 0 0 0 0 0 0 0 0 0 0 0 0 0 0 0 1 0 1 1 0 0 1 1 1 1 1 0 1 0 0 0 1 0 0 1 \n    1 0 1 1 1 0 1 0 1 1 1 0 0 1 1 0 1 1 1 1 0 0 1 0 1 0 0 0 1 1 0 1 0 0 1 1 1 0 \n    1 0 1 0 0 0 1 1 1 0 0 1 1 0]\n[0 0 0 0 0 0 0 0 0 0 0 0 1 0 0 0 0 0 0 0 0 0 0 0 0 0 0 0 0 0 0 0 0 0 0 0 0 0 0 0\n    0 0 0 0 0 0 0 0 0 0 0 0 0 0 0 0 0 0 0 0 1 1 0 0 0 1 1 1 0 0 1 1 0 1 0 1 0 0 \n    1 1 1 1 1 1 0 1 1 0 0 0 1 1 0 1 0 0 1 0 0 0 1 1 1 1 1 1 1 1 1 1 1 0 0 0 0 0 \n    1 0 0 1 0 1 1 0 1 0 1 1 1 0]\n[0 0 0 0 0 0 0 0 0 0 0 0 0 1 0 0 0 0 0 0 0 0 0 0 0 0 0 0 0 0 0 0 0 0 0 0 0 0 0 0\n    0 0 0 0 0 0 0 0 0 0 0 0 0 0 0 0 0 0 1 0 0 0 0 0 1 0 1 0 1 0 0 0 1 0 0 0 0 1 \n    0 1 0 0 0 1 0 0 1 1 1 1 1 1 0 1 1 0 1 1 1 0 0 1 0 0 0 0 1 1 1 0 0 0 1 0 1 0 \n    0 1 1 0 0 0 1 1 1 1 1 0 0 1]\n[0 0 0 0 0 0 0 0 0 0 0 0 0 0 1 0 0 0 0 0 0 0 0 0 0 0 0 0 0 0 0 0 0 0 0 0 0 0 0 0\n    0 0 0 0 0 0 0 0 0 0 0 0 0 0 0 0 0 0 1 0 0 1 0 0 0 1 1 0 1 1 0 0 1 0 0 0 0 1 \n    1 0 0 0 1 0 0 0 1 1 1 0 0 1 1 0 1 1 0 1 0 0 1 0 1 0 0 1 0 1 0 0 1 1 0 0 0 1 \n    0 1 1 1 1 1 0 0 0 0 1 0 1 0]\n[0 0 0 0 0 0 0 0 0 0 0 0 0 0 0 1 0 0 0 0 0 0 0 0 0 0 0 0 0 0 0 0 0 0 0 0 0 0 0 0\n    0 0 0 0 0 0 0 0 0 0 0 0 0 0 0 0 0 0 1 0 1 0 1 0 0 0 0 1 1 1 0 0 0 1 0 0 0 0 \n    1 1 1 0 1 0 1 0 1 0 1 1 0 0 1 1 1 0 1 0 0 1 0 1 1 0 1 1 1 0 1 1 0 1 0 1 1 1 \n    0 0 0 0 0 1 0 1 0 0 0 0 0 0]\n[0 0 0 0 0 0 0 0 0 0 0 0 0 0 0 0 1 0 0 0 0 0 0 0 0 0 0 0 0 0 0 0 0 0 0 0 0 0 0 0\n    0 0 0 0 0 0 0 0 0 0 0 0 0 0 0 0 0 0 1 0 0 1 0 0 1 0 1 1 1 1 1 0 1 0 1 1 0 1 \n    0 1 0 0 1 1 0 0 0 0 1 1 0 0 1 0 1 1 0 0 1 1 1 1 1 0 0 0 1 1 1 0 0 0 1 0 1 1 \n    0 1 0 1 0 1 0 1 0 0 1 0 1 0]\n[0 0 0 0 0 0 0 0 0 0 0 0 0 0 0 0 0 1 0 0 0 0 0 0 0 0 0 0 0 0 0 0 0 0 0 0 0 0 0 0\n    0 0 0 0 0 0 0 0 0 0 0 0 0 0 0 0 0 0 0 0 0 0 1 0 0 0 0 1 0 0 0 1 1 0 0 0 0 0 \n    0 0 1 0 0 1 1 1 0 1 0 1 0 0 0 0 1 0 0 0 0 1 1 0 0 0 0 0 1 0 0 1 1 0 1 1 1 1 \n    1 1 1 1 0 1 0 0 0 1 1 1 0 0]\n[0 0 0 0 0 0 0 0 0 0 0 0 0 0 0 0 0 0 1 0 0 0 0 0 0 0 0 0 0 0 0 0 0 0 0 0 0 0 0 0\n    0 0 0 0 0 0 0 0 0 0 0 0 0 0 0 0 0 0 1 0 1 0 0 0 1 1 0 1 0 1 1 1 1 0 1 0 1 1 \n    0 1 0 0 0 0 1 0 1 0 0 1 1 1 1 1 1 1 1 0 0 0 1 1 1 0 1 0 1 1 1 1 1 1 1 0 1 1 \n    1 1 1 1 0 1 0 1 0 0 0 0 0 1]\n[0 0 0 0 0 0 0 0 0 0 0 0 0 0 0 0 0 0 0 1 0 0 0 0 0 0 0 0 0 0 0 0 0 0 0 0 0 0 0 0\n    0 0 0 0 0 0 0 0 0 0 0 0 0 0 0 0 0 0 0 0 0 0 0 0 0 1 0 0 0 1 1 1 1 0 0 1 1 1 \n    1 0 1 1 0 1 0 1 0 1 0 1 0 0 0 1 1 0 1 0 0 1 1 1 0 0 0 0 1 1 1 0 0 1 0 1 0 0 \n    0 1 1 1 1 0 1 0 1 1 0 1 0 1]\n[0 0 0 0 0 0 0 0 0 0 0 0 0 0 0 0 0 0 0 0 1 0 0 0 0 0 0 0 0 0 0 0 0 0 0 0 0 0 0 0\n    0 0 0 0 0 0 0 0 0 0 0 0 0 0 0 0 0 0 0 0 0 1 1 0 1 1 1 1 0 1 0 0 0 0 1 0 0 1 \n    1 1 1 0 0 0 1 1 1 1 0 0 1 0 0 0 1 0 1 1 0 1 1 1 1 0 1 1 0 1 1 0 0 0 1 1 1 0 \n    1 0 1 0 0 0 1 0 0 0 0 1 0 1]\n[0 0 0 0 0 0 0 0 0 0 0 0 0 0 0 0 0 0 0 0 0 1 0 0 0 0 0 0 0 0 0 0 0 0 0 0 0 0 0 0\n    0 0 0 0 0 0 0 0 0 0 0 0 0 0 0 0 0 0 1 0 1 0 0 0 1 0 0 1 1 0 1 1 0 1 0 0 1 0 \n    0 0 0 1 1 0 0 1 0 1 0 1 1 1 1 1 1 0 1 0 0 0 0 0 0 0 1 1 1 0 1 0 0 1 0 0 1 0 \n    1 0 0 1 0 0 1 1 1 1 0 0 1 1]\n[0 0 0 0 0 0 0 0 0 0 0 0 0 0 0 0 0 0 0 0 0 0 1 0 0 0 0 0 0 0 0 0 0 0 0 0 0 0 0 0\n    0 0 0 0 0 0 0 0 0 0 0 0 0 0 0 0 0 0 1 0 1 1 0 0 0 0 0 0 1 0 0 1 0 1 1 1 0 1 \n    0 0 1 0 1 1 0 1 1 0 0 0 0 1 0 0 1 1 1 0 1 0 0 1 1 0 1 1 1 0 0 1 1 1 0 1 0 1 \n    1 1 1 1 0 1 0 0 1 0 0 0 0 0]\n[0 0 0 0 0 0 0 0 0 0 0 0 0 0 0 0 0 0 0 0 0 0 0 1 0 0 0 0 0 0 0 0 0 0 0 0 0 0 0 0\n    0 0 0 0 0 0 0 0 0 0 0 0 0 0 0 0 0 0 0 0 0 0 0 0 0 1 1 1 0 0 1 1 0 1 0 1 1 1 \n    0 0 1 1 0 1 0 0 1 1 0 0 1 0 0 0 0 0 1 1 1 0 0 1 0 0 1 1 1 1 1 0 0 1 0 1 1 0 \n    0 1 1 1 0 0 1 0 0 0 1 0 0 1]\n[0 0 0 0 0 0 0 0 0 0 0 0 0 0 0 0 0 0 0 0 0 0 0 0 1 0 0 0 0 0 0 0 0 0 0 0 0 0 0 0\n    0 0 0 0 0 0 0 0 0 0 0 0 0 0 0 0 0 0 0 0 0 1 0 0 0 1 0 0 0 1 0 0 1 1 1 1 1 1 \n    1 0 0 0 0 1 1 0 1 0 1 0 1 1 1 1 0 0 0 0 1 1 0 0 0 1 1 0 0 1 0 1 0 0 1 0 0 0 \n    0 1 0 1 1 0 0 0 1 1 1 0 0 1]\n[0 0 0 0 0 0 0 0 0 0 0 0 0 0 0 0 0 0 0 0 0 0 0 0 0 1 0 0 0 0 0 0 0 0 0 0 0 0 0 0\n    0 0 0 0 0 0 0 0 0 0 0 0 0 0 0 0 0 0 1 0 1 1 0 0 0 0 1 1 0 0 1 1 0 1 1 1 1 0 \n    0 1 1 1 0 1 1 1 0 1 0 0 0 0 0 0 0 1 1 1 1 0 0 0 0 0 1 1 0 1 1 0 1 0 0 1 1 0 \n    1 0 0 0 1 1 0 1 1 1 1 0 1 1]\n[0 0 0 0 0 0 0 0 0 0 0 0 0 0 0 0 0 0 0 0 0 0 0 0 0 0 1 0 0 0 0 0 0 0 0 0 0 0 0 0\n    0 0 0 0 0 0 0 0 0 0 0 0 0 0 0 0 0 0 1 0 1 1 0 0 1 1 0 1 1 1 0 1 0 1 1 0 1 1 \n    1 0 0 0 0 0 0 1 1 0 0 0 1 0 1 1 0 1 0 0 0 1 0 1 1 1 0 0 1 1 0 1 1 1 1 1 0 1 \n    1 1 1 1 1 1 0 0 1 1 0 0 0 0]\n[0 0 0 0 0 0 0 0 0 0 0 0 0 0 0 0 0 0 0 0 0 0 0 0 0 0 0 1 0 0 0 0 0 0 0 0 0 0 0 0\n    0 0 0 0 0 0 0 0 0 0 0 0 0 0 0 0 0 0 1 0 0 1 0 0 0 0 1 0 0 0 0 0 0 0 1 1 0 1 \n    0 0 1 0 0 1 0 1 1 1 1 1 1 1 1 0 0 0 1 1 0 1 0 1 0 1 1 0 0 1 1 1 0 0 1 1 1 0 \n    0 1 1 1 0 1 0 1 1 1 1 1 0 1]\n[0 0 0 0 0 0 0 0 0 0 0 0 0 0 0 0 0 0 0 0 0 0 0 0 0 0 0 0 1 0 0 0 0 0 0 0 0 0 0 0\n    0 0 0 0 0 0 0 0 0 0 0 0 0 0 0 0 0 0 0 0 0 1 1 0 1 0 0 1 1 0 1 1 1 1 0 1 1 0 \n    0 0 0 0 1 0 1 1 0 0 0 1 0 1 0 0 1 1 0 1 0 1 0 1 1 1 0 0 1 0 1 0 1 1 0 1 0 1 \n    0 1 1 1 1 0 1 1 0 1 0 1 1 0]\n[0 0 0 0 0 0 0 0 0 0 0 0 0 0 0 0 0 0 0 0 0 0 0 0 0 0 0 0 0 1 0 0 0 0 0 0 0 0 0 0\n    0 0 0 0 0 0 0 0 0 0 0 0 0 0 0 0 0 0 1 0 0 1 0 0 0 1 0 0 1 0 1 1 0 1 1 0 0 0 \n    0 0 0 1 1 1 1 1 1 1 1 0 0 0 0 0 1 1 0 1 0 1 1 0 0 0 0 1 1 0 1 1 0 1 1 1 0 1 \n    0 1 1 0 0 1 0 1 0 0 1 1 1 0]\n[0 0 0 0 0 0 0 0 0 0 0 0 0 0 0 0 0 0 0 0 0 0 0 0 0 0 0 0 0 0 1 0 0 0 0 0 0 0 0 0\n    0 0 0 0 0 0 0 0 0 0 0 0 0 0 0 0 0 0 0 0 0 1 0 0 1 0 0 1 0 1 0 0 0 0 1 0 0 1 \n    1 0 1 0 0 0 1 1 1 0 0 1 0 0 0 1 0 0 0 0 0 0 0 0 0 0 1 1 0 1 0 0 1 1 1 0 1 1 \n    1 1 1 0 1 0 0 1 1 1 1 1 0 0]\n[0 0 0 0 0 0 0 0 0 0 0 0 0 0 0 0 0 0 0 0 0 0 0 0 0 0 0 0 0 0 0 1 0 0 0 0 0 0 0 0\n    0 0 0 0 0 0 0 0 0 0 0 0 0 0 0 0 0 0 0 0 1 0 1 0 0 0 1 1 1 0 0 1 1 1 0 0 1 0 \n    1 0 0 1 1 0 1 0 1 1 1 1 0 0 1 0 1 1 1 0 0 1 0 1 1 1 0 1 1 0 0 0 1 0 1 0 1 1 \n    1 1 1 0 1 0 1 0 1 0 0 1 0 1]\n[0 0 0 0 0 0 0 0 0 0 0 0 0 0 0 0 0 0 0 0 0 0 0 0 0 0 0 0 0 0 0 0 1 0 0 0 0 0 0 0\n    0 0 0 0 0 0 0 0 0 0 0 0 0 0 0 0 0 0 1 0 1 1 1 0 1 0 1 0 0 0 0 1 0 1 0 1 0 0 \n    0 0 1 0 1 0 1 0 1 1 1 0 0 0 0 1 0 1 1 0 1 1 0 1 1 0 0 0 1 0 1 0 1 1 1 1 1 0 \n    0 1 1 1 1 1 0 1 0 1 1 0 1 0]\n[0 0 0 0 0 0 0 0 0 0 0 0 0 0 0 0 0 0 0 0 0 0 0 0 0 0 0 0 0 0 0 0 0 1 0 0 0 0 0 0\n    0 0 0 0 0 0 0 0 0 0 0 0 0 0 0 0 0 0 1 0 1 1 0 0 0 0 1 1 1 1 1 0 1 1 0 1 0 1 \n    1 1 0 1 1 1 1 0 0 0 0 0 1 0 1 0 0 0 0 0 1 1 1 1 1 0 0 0 1 1 0 0 0 0 1 0 1 1 \n    1 1 0 0 1 1 0 1 0 1 1 1 1 0]\n[0 0 0 0 0 0 0 0 0 0 0 0 0 0 0 0 0 0 0 0 0 0 0 0 0 0 0 0 0 0 0 0 0 0 1 0 0 0 0 0\n    0 0 0 0 0 0 0 0 0 0 0 0 0 0 0 0 0 0 1 0 1 1 0 0 1 1 0 1 1 1 0 1 1 0 1 0 0 1 \n    1 0 0 1 0 0 1 1 1 0 0 1 0 1 0 0 0 1 0 0 0 1 0 1 1 0 0 0 0 1 0 1 1 1 0 1 0 1 \n    0 0 1 0 1 0 1 0 1 1 1 1 0 1]\n[0 0 0 0 0 0 0 0 0 0 0 0 0 0 0 0 0 0 0 0 0 0 0 0 0 0 0 0 0 0 0 0 0 0 0 1 0 0 0 0\n    0 0 0 0 0 0 0 0 0 0 0 0 0 0 0 0 0 0 0 0 0 1 1 0 1 0 0 1 1 1 1 0 1 0 0 1 1 0 \n    0 1 1 1 0 0 1 1 1 1 0 1 1 1 0 1 0 1 1 1 0 0 0 1 0 0 1 1 0 1 0 1 0 0 0 1 0 1 \n    0 1 1 1 1 1 0 0 1 0 1 1 0 0]\n[0 0 0 0 0 0 0 0 0 0 0 0 0 0 0 0 0 0 0 0 0 0 0 0 0 0 0 0 0 0 0 0 0 0 0 0 1 0 0 0\n    0 0 0 0 0 0 0 0 0 0 0 0 0 0 0 0 0 0 1 0 1 1 0 0 0 0 1 1 1 0 0 0 1 0 0 0 1 0 \n    0 0 0 1 1 0 0 1 0 0 0 0 0 0 1 1 1 0 0 1 1 1 0 0 0 1 0 1 1 0 1 1 0 0 1 1 1 1 \n    0 1 0 0 0 1 1 1 0 0 0 1 0 1]\n[0 0 0 0 0 0 0 0 0 0 0 0 0 0 0 0 0 0 0 0 0 0 0 0 0 0 0 0 0 0 0 0 0 0 0 0 0 1 0 0\n    0 0 0 0 0 0 0 0 0 0 0 0 0 0 0 0 0 0 0 0 0 0 0 0 1 0 1 0 0 0 0 0 1 0 0 0 0 0 \n    1 1 1 0 1 0 1 1 1 1 1 0 1 0 1 0 0 0 1 1 1 1 1 1 0 0 1 1 1 0 1 0 1 0 1 1 1 1 \n    0 0 0 1 0 0 1 1 1 0 1 1 0 1]\n[0 0 0 0 0 0 0 0 0 0 0 0 0 0 0 0 0 0 0 0 0 0 0 0 0 0 0 0 0 0 0 0 0 0 0 0 0 0 1 0\n    0 0 0 0 0 0 0 0 0 0 0 0 0 0 0 0 0 0 1 0 1 0 0 0 1 1 0 0 0 1 1 0 1 1 0 0 0 1 \n    0 1 1 0 0 1 0 0 0 1 1 1 0 1 1 0 0 0 1 0 1 1 1 0 0 1 1 0 1 0 0 0 1 1 1 0 0 1 \n    0 1 1 0 1 1 1 1 1 0 0 1 1 0]\n[0 0 0 0 0 0 0 0 0 0 0 0 0 0 0 0 0 0 0 0 0 0 0 0 0 0 0 0 0 0 0 0 0 0 0 0 0 0 0 1\n    0 0 0 0 0 0 0 0 0 0 0 0 0 0 0 0 0 0 1 0 0 0 0 0 1 1 1 1 1 1 1 0 0 1 1 0 1 1 \n    0 0 0 1 0 1 1 0 1 1 0 0 1 0 1 1 1 0 1 1 1 1 1 0 1 0 1 1 1 1 1 1 1 1 1 0 1 0 \n    1 1 1 1 0 0 1 0 0 0 0 0 0 0]\n[0 0 0 0 0 0 0 0 0 0 0 0 0 0 0 0 0 0 0 0 0 0 0 0 0 0 0 0 0 0 0 0 0 0 0 0 0 0 0 0\n    1 0 0 0 0 0 0 0 0 0 0 0 0 0 0 0 0 0 0 0 1 1 1 0 1 0 0 1 0 1 0 0 1 0 0 0 0 0 \n    1 1 1 1 1 0 1 0 0 1 1 1 0 0 1 1 0 1 0 1 1 1 0 1 1 0 1 1 1 0 1 0 0 0 1 0 1 1 \n    1 1 1 1 0 0 1 1 1 1 0 0 0 1]\n[0 0 0 0 0 0 0 0 0 0 0 0 0 0 0 0 0 0 0 0 0 0 0 0 0 0 0 0 0 0 0 0 0 0 0 0 0 0 0 0\n    0 1 0 0 0 0 0 0 0 0 0 0 0 0 0 0 0 0 1 0 0 1 0 0 1 0 0 1 0 0 0 0 0 0 1 1 0 1 \n    1 0 1 0 1 1 0 0 1 1 1 0 1 1 0 1 0 0 0 0 1 0 0 1 0 0 0 1 0 1 1 0 1 0 0 0 0 0 \n    0 0 1 0 0 0 1 1 0 1 0 1 0 0]\n[0 0 0 0 0 0 0 0 0 0 0 0 0 0 0 0 0 0 0 0 0 0 0 0 0 0 0 0 0 0 0 0 0 0 0 0 0 0 0 0\n    0 0 1 0 0 0 0 0 0 0 0 0 0 0 0 0 0 0 0 0 0 0 0 0 1 0 0 0 1 0 1 0 1 1 1 0 1 0 \n    1 0 0 1 0 1 0 0 0 1 0 1 1 1 1 0 1 1 1 0 0 0 1 0 0 1 0 1 1 1 0 0 0 0 1 0 0 1 \n    0 0 1 1 0 0 1 0 1 0 1 0 0 1]\n[0 0 0 0 0 0 0 0 0 0 0 0 0 0 0 0 0 0 0 0 0 0 0 0 0 0 0 0 0 0 0 0 0 0 0 0 0 0 0 0\n    0 0 0 1 0 0 0 0 0 0 0 0 0 0 0 0 0 0 1 0 0 1 1 0 0 1 0 0 1 0 1 1 0 1 0 0 1 1 \n    0 0 0 1 1 0 0 1 0 0 0 0 1 1 1 0 1 1 1 1 1 1 1 1 1 0 0 0 1 0 0 1 0 0 1 1 1 0 \n    1 0 0 0 0 1 1 0 0 1 1 1 0 1]\n[0 0 0 0 0 0 0 0 0 0 0 0 0 0 0 0 0 0 0 0 0 0 0 0 0 0 0 0 0 0 0 0 0 0 0 0 0 0 0 0\n    0 0 0 0 1 0 0 0 0 0 0 0 0 0 0 0 0 0 1 0 1 0 0 0 0 0 0 1 1 0 0 0 0 0 0 1 1 1 \n    1 1 0 0 1 1 1 1 1 0 0 0 1 1 0 1 1 0 1 0 1 1 0 1 1 0 0 1 1 0 0 0 0 1 1 0 1 0 \n    1 0 1 0 0 0 1 1 1 0 0 1 0 0]\n[0 0 0 0 0 0 0 0 0 0 0 0 0 0 0 0 0 0 0 0 0 0 0 0 0 0 0 0 0 0 0 0 0 0 0 0 0 0 0 0\n    0 0 0 0 0 1 0 0 0 0 0 0 0 0 0 0 0 0 1 0 1 1 0 0 1 0 1 1 0 1 0 0 1 0 0 1 0 1 \n    0 0 1 1 0 1 0 0 1 1 0 0 1 1 0 0 0 0 1 0 1 1 0 0 1 0 1 0 0 1 0 0 0 0 0 0 1 0 \n    0 0 1 0 0 1 0 1 0 0 1 1 0 1]\n[0 0 0 0 0 0 0 0 0 0 0 0 0 0 0 0 0 0 0 0 0 0 0 0 0 0 0 0 0 0 0 0 0 0 0 0 0 0 0 0\n    0 0 0 0 0 0 1 0 0 0 0 0 0 0 0 0 0 0 0 0 1 1 0 0 1 1 0 0 1 0 0 0 1 0 0 0 1 0 \n    1 0 1 1 1 1 1 0 0 0 1 1 0 1 1 1 0 1 1 1 1 1 0 0 0 0 1 0 1 0 0 0 1 0 0 1 0 1 \n    1 0 0 0 0 1 0 0 0 1 0 1 0 0]\n[0 0 0 0 0 0 0 0 0 0 0 0 0 0 0 0 0 0 0 0 0 0 0 0 0 0 0 0 0 0 0 0 0 0 0 0 0 0 0 0\n    0 0 0 0 0 0 0 1 0 0 0 0 0 0 0 0 0 0 0 0 1 1 0 0 0 0 0 1 1 1 1 0 0 1 1 0 0 1 \n    0 0 1 0 1 1 1 1 1 0 1 0 0 1 0 1 1 1 0 0 1 1 1 1 1 1 0 1 1 1 0 0 0 0 1 1 0 0 \n    1 0 0 1 1 0 1 0 0 1 1 0 0 1]\n[0 0 0 0 0 0 0 0 0 0 0 0 0 0 0 0 0 0 0 0 0 0 0 0 0 0 0 0 0 0 0 0 0 0 0 0 0 0 0 0\n    0 0 0 0 0 0 0 0 1 0 0 0 0 0 0 0 0 0 0 0 0 1 0 0 0 0 1 1 1 1 0 0 1 1 0 1 0 1 \n    0 0 1 1 1 0 1 0 0 1 0 0 0 0 1 0 1 1 0 0 1 1 1 1 1 0 1 0 0 0 0 1 0 0 0 0 0 0 \n    0 0 1 0 1 1 0 0 1 1 1 1 0 1]\n[0 0 0 0 0 0 0 0 0 0 0 0 0 0 0 0 0 0 0 0 0 0 0 0 0 0 0 0 0 0 0 0 0 0 0 0 0 0 0 0\n    0 0 0 0 0 0 0 0 0 1 0 0 0 0 0 0 0 0 0 0 1 0 0 0 0 1 1 0 1 1 1 0 0 1 0 0 0 0 \n    1 1 0 0 0 0 1 1 1 1 1 1 1 0 1 1 1 0 1 1 1 0 0 0 1 1 0 0 0 0 1 0 0 1 1 1 1 0 \n    1 0 1 1 0 1 1 1 1 0 0 0 0 0]\n[0 0 0 0 0 0 0 0 0 0 0 0 0 0 0 0 0 0 0 0 0 0 0 0 0 0 0 0 0 0 0 0 0 0 0 0 0 0 0 0\n    0 0 0 0 0 0 0 0 0 0 1 0 0 0 0 0 0 0 1 0 1 1 0 0 1 1 1 1 0 0 0 1 0 0 1 1 1 0 \n    1 0 1 0 1 1 0 0 1 0 0 1 1 0 0 0 1 1 1 1 1 0 1 0 1 0 1 0 1 0 1 0 1 0 0 1 0 1 \n    0 1 1 1 0 0 1 0 0 1 0 0 1 1]\n[0 0 0 0 0 0 0 0 0 0 0 0 0 0 0 0 0 0 0 0 0 0 0 0 0 0 0 0 0 0 0 0 0 0 0 0 0 0 0 0\n    0 0 0 0 0 0 0 0 0 0 0 1 0 0 0 0 0 0 0 0 0 0 0 0 1 0 0 1 1 1 0 0 0 0 0 0 1 1 \n    1 0 1 0 0 0 1 1 0 1 1 1 0 1 1 1 0 1 1 1 1 1 1 1 1 0 1 1 0 1 1 1 1 1 0 1 1 1 \n    0 1 0 0 1 0 0 0 1 0 0 1 1 0]\n[0 0 0 0 0 0 0 0 0 0 0 0 0 0 0 0 0 0 0 0 0 0 0 0 0 0 0 0 0 0 0 0 0 0 0 0 0 0 0 0\n    0 0 0 0 0 0 0 0 0 0 0 0 1 0 0 0 0 0 1 0 1 0 0 0 0 0 1 0 0 0 0 1 0 1 0 1 0 1 \n    1 0 1 0 0 1 0 1 1 1 1 0 0 1 0 0 1 0 0 0 1 0 0 0 0 1 1 1 0 1 0 1 0 1 0 1 0 1 \n    0 0 0 0 1 0 1 1 0 1 0 0 1 1]\n[0 0 0 0 0 0 0 0 0 0 0 0 0 0 0 0 0 0 0 0 0 0 0 0 0 0 0 0 0 0 0 0 0 0 0 0 0 0 0 0\n    0 0 0 0 0 0 0 0 0 0 0 0 0 1 0 0 0 0 1 0 1 1 0 0 0 0 1 0 1 1 0 0 1 0 0 1 0 1 \n    0 0 1 1 1 1 0 1 1 0 0 1 0 0 0 1 1 0 0 0 0 1 0 0 1 1 1 0 0 1 0 0 1 0 0 0 1 0 \n    1 0 1 0 1 0 1 1 0 1 1 0 0 1]\n[0 0 0 0 0 0 0 0 0 0 0 0 0 0 0 0 0 0 0 0 0 0 0 0 0 0 0 0 0 0 0 0 0 0 0 0 0 0 0 0\n    0 0 0 0 0 0 0 0 0 0 0 0 0 0 1 0 0 0 1 0 1 0 1 0 1 0 1 1 1 0 0 0 1 1 0 1 0 0 \n    1 1 0 1 0 0 0 1 1 0 0 0 0 0 1 1 0 1 0 0 0 1 1 0 1 1 1 0 0 1 0 0 1 1 1 0 1 1 \n    0 1 0 0 1 1 1 1 0 1 1 1 1 1]\n[0 0 0 0 0 0 0 0 0 0 0 0 0 0 0 0 0 0 0 0 0 0 0 0 0 0 0 0 0 0 0 0 0 0 0 0 0 0 0 0\n    0 0 0 0 0 0 0 0 0 0 0 0 0 0 0 1 0 0 1 0 1 0 1 0 0 0 0 1 1 0 1 1 0 0 1 0 0 0 \n    1 0 1 0 0 1 1 1 0 0 0 0 1 0 0 0 1 0 1 1 0 1 0 0 0 1 1 1 0 0 1 0 0 1 1 1 0 1 \n    0 1 1 0 1 1 1 1 0 1 0 0 1 0]\n[0 0 0 0 0 0 0 0 0 0 0 0 0 0 0 0 0 0 0 0 0 0 0 0 0 0 0 0 0 0 0 0 0 0 0 0 0 0 0 0\n    0 0 0 0 0 0 0 0 0 0 0 0 0 0 0 0 1 0 0 0 0 0 0 0 1 1 1 0 0 1 0 0 0 1 1 1 1 0 \n    1 1 0 1 1 1 1 1 0 0 1 1 1 0 0 0 1 0 0 0 0 0 1 1 1 0 0 0 0 1 0 1 1 0 0 0 0 0 \n    0 0 0 1 0 1 0 0 0 1 0 0 0 0]\n[0 0 0 0 0 0 0 0 0 0 0 0 0 0 0 0 0 0 0 0 0 0 0 0 0 0 0 0 0 0 0 0 0 0 0 0 0 0 0 0\n    0 0 0 0 0 0 0 0 0 0 0 0 0 0 0 0 0 1 0 0 0 0 1 0 0 1 0 0 1 0 1 0 1 0 0 1 0 1 \n    0 1 0 0 1 1 0 0 0 1 1 1 1 0 0 0 0 1 0 0 0 0 1 1 1 1 0 1 0 0 1 0 1 1 0 0 1 1 \n    0 1 0 1 1 1 1 0 1 0 1 0 1 1]\n[0 0 0 0 0 0 0 0 0 0 0 0 0 0 0 0 0 0 0 0 0 0 0 0 0 0 0 0 0 0 0 0 0 0 0 0 0 0 0 0\n    0 0 0 0 0 0 0 0 0 0 0 0 0 0 0 0 0 0 0 1 1 0 0 0 0 1 1 0 0 1 0 1 1 1 1 0 1 1 \n    0 0 1 0 0 0 0 1 0 1 0 0 0 0 0 0 0 0 0 0 1 0 0 0 1 1 0 1 1 1 0 1 0 1 1 0 1 1 \n    1 1 1 0 0 1 0 0 1 0 0 1 0 0]\n[0 0 0 0 0 0 0 0 0 0 0 0 0 0 0 0 0 0 0 0 0 0 0 0 0 0 0 0 0 0 0 0 0 0 0 0 0 0 0 0\n    0 0 0 0 0 0 0 0 0 0 0 0 0 0 0 0 0 0 0 0 0 0 0 1 0 0 1 0 0 1 1 0 1 0 0 0 1 1 \n    0 1 0 1 0 0 0 0 1 0 0 0 1 0 0 1 1 0 0 1 1 0 0 0 0 1 0 0 0 0 0 0 0 0 0 0 0 1 \n    1 1 0 1 1 0 1 0 0 0 0 0 0 0]\n[[65, 5]] quantum code over GF(2^2), stabilised by:\n[1 0 0 0 0 0 0 0 0 0 0 0 0 0 0 0 0 0 0 0 0 0 0 0 0 0 0 0 0 0 1 0 $.1^2 0 0 1 $.1\n    $.1 1 $.1 0 $.1 $.1 0 $.1 $.1^2 0 0 0 $.1 $.1 $.1^2 $.1^2 1 1 $.1^2 $.1 \n    $.1^2 $.1 0 0 $.1 $.1^2 $.1^2 $.1]\n[$.1 0 0 0 0 0 0 0 0 0 0 0 0 0 0 0 0 0 0 0 0 0 0 0 0 0 0 0 0 0 $.1 0 1 0 0 $.1 \n    $.1^2 $.1^2 $.1 $.1^2 0 $.1^2 $.1^2 0 $.1^2 1 0 0 0 $.1^2 $.1^2 1 1 $.1 $.1 \n    1 $.1^2 1 $.1^2 0 0 $.1^2 1 1 $.1^2]\n[0 1 0 0 0 0 0 0 0 0 0 0 0 0 0 0 0 0 0 0 0 0 0 0 0 1 0 0 0 0 $.1^2 0 1 0 1 $.1 \n    $.1^2 $.1^2 0 $.1^2 $.1^2 1 0 $.1 0 $.1^2 $.1 $.1^2 $.1^2 1 1 $.1^2 0 1 0 \n    $.1 0 $.1^2 $.1^2 1 1 $.1^2 $.1 1 0]\n[0 $.1 0 0 0 0 0 0 0 0 0 0 0 0 0 0 0 0 0 0 0 0 0 0 0 $.1 0 0 0 0 1 0 $.1 0 $.1 \n    $.1^2 1 1 0 1 1 $.1 0 $.1^2 0 1 $.1^2 1 1 $.1 $.1 1 0 $.1 0 $.1^2 0 1 1 $.1 \n    $.1 1 $.1^2 $.1 0]\n[0 0 1 0 0 0 0 0 0 0 0 0 0 0 0 0 0 0 0 0 0 0 0 0 0 $.1 0 0 0 0 $.1 0 $.1^2 1 1 \n    $.1^2 $.1 0 $.1^2 $.1^2 $.1^2 1 $.1 1 $.1 $.1 0 0 1 $.1^2 1 0 $.1 $.1^2 0 \n    $.1 $.1 1 0 0 $.1^2 1 0 $.1 $.1]\n[0 0 $.1 0 0 0 0 0 0 0 0 0 0 0 0 0 0 0 0 0 0 0 0 0 0 $.1^2 0 0 0 0 $.1^2 0 1 $.1\n    $.1 1 $.1^2 0 1 1 1 $.1 $.1^2 $.1 $.1^2 $.1^2 0 0 $.1 1 $.1 0 $.1^2 1 0 \n    $.1^2 $.1^2 $.1 0 0 1 $.1 0 $.1^2 $.1^2]\n[0 0 0 1 0 0 0 0 0 0 0 0 0 0 0 0 0 0 0 0 0 0 0 0 0 $.1 0 0 0 0 $.1^2 0 $.1^2 0 \n    $.1 $.1^2 0 1 $.1^2 0 1 $.1^2 $.1^2 $.1^2 0 1 0 0 $.1 $.1 $.1^2 1 1 $.1^2 \n    $.1^2 1 $.1 $.1 $.1^2 $.1^2 $.1 1 $.1 $.1^2 1]\n[0 0 0 $.1 0 0 0 0 0 0 0 0 0 0 0 0 0 0 0 0 0 0 0 0 0 $.1^2 0 0 0 0 1 0 1 0 $.1^2\n    1 0 $.1 1 0 $.1 1 1 1 0 $.1 0 0 $.1^2 $.1^2 1 $.1 $.1 1 1 $.1 $.1^2 $.1^2 1 \n    1 $.1^2 $.1 $.1^2 1 $.1]\n[0 0 0 0 1 0 0 0 0 0 0 0 0 0 0 0 0 0 0 0 0 0 0 0 0 $.1 0 0 0 0 $.1^2 0 0 0 1 \n    $.1^2 0 0 $.1^2 0 1 $.1 $.1 $.1 $.1 $.1 $.1 0 $.1^2 1 1 1 1 0 $.1 1 1 $.1 \n    $.1 0 1 1 0 0 1]\n[0 0 0 0 $.1 0 0 0 0 0 0 0 0 0 0 0 0 0 0 0 0 0 0 0 0 $.1^2 0 0 0 0 1 0 0 0 $.1 1\n    0 0 1 0 $.1 $.1^2 $.1^2 $.1^2 $.1^2 $.1^2 $.1^2 0 1 $.1 $.1 $.1 $.1 0 $.1^2 \n    $.1 $.1 $.1^2 $.1^2 0 $.1 $.1 0 0 $.1]\n[0 0 0 0 0 1 0 0 0 0 0 0 0 0 0 0 0 0 0 0 0 0 0 0 0 $.1 0 0 0 0 $.1^2 0 1 0 0 0 \n    $.1^2 $.1 0 $.1 1 0 1 $.1 $.1 $.1^2 $.1^2 $.1 $.1 0 $.1^2 $.1 1 1 $.1^2 $.1 \n    0 1 $.1^2 0 $.1 $.1^2 $.1^2 1 1]\n[0 0 0 0 0 $.1 0 0 0 0 0 0 0 0 0 0 0 0 0 0 0 0 0 0 0 $.1^2 0 0 0 0 1 0 $.1 0 0 0\n    1 $.1^2 0 $.1^2 $.1 0 $.1 $.1^2 $.1^2 1 1 $.1^2 $.1^2 0 1 $.1^2 $.1 $.1 1 \n    $.1^2 0 $.1 1 0 $.1^2 1 1 $.1 $.1]\n[0 0 0 0 0 0 1 0 0 0 0 0 0 0 0 0 0 0 0 0 0 0 0 0 0 1 0 0 0 0 0 0 0 0 1 0 0 1 $.1\n    1 $.1 $.1^2 $.1 0 $.1 1 $.1 0 $.1 0 $.1^2 $.1^2 0 $.1^2 0 0 $.1^2 1 $.1 0 1 \n    1 $.1^2 1 1]\n[0 0 0 0 0 0 $.1 0 0 0 0 0 0 0 0 0 0 0 0 0 0 0 0 0 0 $.1 0 0 0 0 0 0 0 0 $.1 0 0\n    $.1 $.1^2 $.1 $.1^2 1 $.1^2 0 $.1^2 $.1 $.1^2 0 $.1^2 0 1 1 0 1 0 0 1 $.1 \n    $.1^2 0 $.1 $.1 1 $.1 $.1]\n[0 0 0 0 0 0 0 1 0 0 0 0 0 0 0 0 0 0 0 0 0 0 0 0 0 $.1 0 0 0 0 $.1 0 0 $.1^2 0 \n    $.1 $.1^2 1 1 $.1 $.1 1 0 1 1 $.1 $.1 $.1 $.1 $.1^2 1 $.1^2 $.1^2 1 0 $.1^2 \n    0 0 $.1 $.1^2 $.1 1 $.1 $.1 $.1]\n[0 0 0 0 0 0 0 $.1 0 0 0 0 0 0 0 0 0 0 0 0 0 0 0 0 0 $.1^2 0 0 0 0 $.1^2 0 0 1 0\n    $.1^2 1 $.1 $.1 $.1^2 $.1^2 $.1 0 $.1 $.1 $.1^2 $.1^2 $.1^2 $.1^2 1 $.1 1 1 \n    $.1 0 1 0 0 $.1^2 1 $.1^2 $.1 $.1^2 $.1^2 $.1^2]\n[0 0 0 0 0 0 0 0 1 0 0 0 0 0 0 0 0 0 0 0 0 0 0 0 0 $.1^2 0 0 0 0 1 0 1 0 0 $.1 \n    $.1 1 1 $.1 1 $.1^2 0 0 $.1 1 0 0 $.1^2 $.1 0 1 $.1^2 $.1 1 $.1 $.1^2 1 0 \n    $.1^2 1 0 0 $.1 1]\n[0 0 0 0 0 0 0 0 $.1 0 0 0 0 0 0 0 0 0 0 0 0 0 0 0 0 1 0 0 0 0 $.1 0 $.1 0 0 \n    $.1^2 $.1^2 $.1 $.1 $.1^2 $.1 1 0 0 $.1^2 $.1 0 0 1 $.1^2 0 $.1 1 $.1^2 $.1 \n    $.1^2 1 $.1 0 1 $.1 0 0 $.1^2 $.1]\n[0 0 0 0 0 0 0 0 0 1 0 0 0 0 0 0 0 0 0 0 0 0 0 0 0 1 0 0 0 0 $.1^2 0 1 $.1 $.1 \n    $.1 $.1 0 $.1^2 0 $.1^2 $.1^2 $.1 0 $.1 $.1^2 1 1 0 0 $.1 $.1^2 1 0 1 $.1^2 \n    1 0 $.1 $.1 1 $.1^2 $.1 $.1 0]\n[0 0 0 0 0 0 0 0 0 $.1 0 0 0 0 0 0 0 0 0 0 0 0 0 0 0 $.1 0 0 0 0 1 0 $.1 $.1^2 \n    $.1^2 $.1^2 $.1^2 0 1 0 1 1 $.1^2 0 $.1^2 1 $.1 $.1 0 0 $.1^2 1 $.1 0 $.1 1 \n    $.1 0 $.1^2 $.1^2 $.1 1 $.1^2 $.1^2 0]\n[0 0 0 0 0 0 0 0 0 0 1 0 0 0 0 0 0 0 0 0 0 0 0 0 0 1 0 0 0 0 $.1 0 1 1 $.1^2 1 \n    $.1 $.1^2 1 1 0 0 0 1 $.1^2 1 0 $.1^2 $.1^2 0 0 $.1^2 0 1 0 $.1^2 0 $.1^2 1 \n    1 $.1 $.1^2 1 $.1 0]\n[0 0 0 0 0 0 0 0 0 0 $.1 0 0 0 0 0 0 0 0 0 0 0 0 0 0 $.1 0 0 0 0 $.1^2 0 $.1 $.1\n    1 $.1 $.1^2 1 $.1 $.1 0 0 0 $.1 1 $.1 0 1 1 0 0 1 0 $.1 0 1 0 1 $.1 $.1 \n    $.1^2 1 $.1 $.1^2 0]\n[0 0 0 0 0 0 0 0 0 0 0 1 0 0 0 0 0 0 0 0 0 0 0 0 0 0 0 0 0 0 1 0 $.1 1 $.1 $.1 \n    $.1 0 $.1^2 0 $.1^2 $.1 1 0 $.1 $.1 $.1^2 0 1 0 1 $.1 0 0 $.1^2 $.1^2 1 1 \n    $.1 $.1 $.1 1 $.1 $.1 1]\n[0 0 0 0 0 0 0 0 0 0 0 $.1 0 0 0 0 0 0 0 0 0 0 0 0 0 0 0 0 0 0 $.1 0 $.1^2 $.1 \n    $.1^2 $.1^2 $.1^2 0 1 0 1 $.1^2 $.1 0 $.1^2 $.1^2 1 0 $.1 0 $.1 $.1^2 0 0 1 \n    1 $.1 $.1 $.1^2 $.1^2 $.1^2 $.1 $.1^2 $.1^2 $.1]\n[0 0 0 0 0 0 0 0 0 0 0 0 1 0 0 0 0 0 0 0 0 0 0 0 0 0 0 0 0 0 1 0 $.1^2 $.1 $.1^2\n    $.1^2 $.1^2 $.1^2 $.1^2 1 0 0 0 0 1 0 $.1^2 $.1^2 $.1^2 0 $.1^2 $.1^2 0 1 \n    $.1^2 $.1 1 1 1 0 1 $.1^2 0 $.1 $.1]\n[0 0 0 0 0 0 0 0 0 0 0 0 $.1 0 0 0 0 0 0 0 0 0 0 0 0 0 0 0 0 0 $.1 0 1 $.1^2 1 1\n    1 1 1 $.1 0 0 0 0 $.1 0 1 1 1 0 1 1 0 $.1 1 $.1^2 $.1 $.1 $.1 0 $.1 1 0 \n    $.1^2 $.1^2]\n[0 0 0 0 0 0 0 0 0 0 0 0 0 1 0 0 0 0 0 0 0 0 0 0 0 $.1 0 0 0 0 0 0 $.1^2 $.1 \n    $.1^2 $.1 $.1 $.1 $.1 $.1 1 1 0 $.1 0 1 1 $.1 0 $.1 1 0 $.1^2 1 $.1 1 $.1^2 \n    $.1^2 1 $.1^2 $.1 0 $.1 $.1 1]\n[0 0 0 0 0 0 0 0 0 0 0 0 0 $.1 0 0 0 0 0 0 0 0 0 0 0 $.1^2 0 0 0 0 0 0 1 $.1^2 1\n    $.1^2 $.1^2 $.1^2 $.1^2 $.1^2 $.1 $.1 0 $.1^2 0 $.1 $.1 $.1^2 0 $.1^2 $.1 0 \n    1 $.1 $.1^2 $.1 1 1 $.1 1 $.1^2 0 $.1^2 $.1^2 $.1]\n[0 0 0 0 0 0 0 0 0 0 0 0 0 0 1 0 0 0 0 0 0 0 0 0 0 $.1^2 0 0 0 0 1 0 $.1^2 $.1 0\n    $.1 $.1 1 $.1^2 $.1^2 $.1^2 $.1^2 1 0 $.1^2 1 $.1 $.1^2 $.1 $.1^2 $.1^2 0 1 \n    $.1^2 1 $.1 1 $.1 $.1 0 $.1 0 $.1^2 $.1 0]\n[0 0 0 0 0 0 0 0 0 0 0 0 0 0 $.1 0 0 0 0 0 0 0 0 0 0 1 0 0 0 0 $.1 0 1 $.1^2 0 \n    $.1^2 $.1^2 $.1 1 1 1 1 $.1 0 1 $.1 $.1^2 1 $.1^2 1 1 0 $.1 1 $.1 $.1^2 $.1 \n    $.1^2 $.1^2 0 $.1^2 0 1 $.1^2 0]\n[0 0 0 0 0 0 0 0 0 0 0 0 0 0 0 1 0 0 0 0 0 0 0 0 0 $.1^2 0 0 0 0 $.1 0 1 $.1^2 \n    $.1 $.1 $.1^2 0 $.1 0 0 0 $.1 0 0 $.1^2 1 1 $.1^2 0 0 1 $.1 $.1 $.1 $.1 $.1 \n    $.1^2 0 0 0 $.1 1 $.1 0]\n[0 0 0 0 0 0 0 0 0 0 0 0 0 0 0 $.1 0 0 0 0 0 0 0 0 0 1 0 0 0 0 $.1^2 0 $.1 1 \n    $.1^2 $.1^2 1 0 $.1^2 0 0 0 $.1^2 0 0 1 $.1 $.1 1 0 0 $.1 $.1^2 $.1^2 $.1^2 \n    $.1^2 $.1^2 1 0 0 0 $.1^2 $.1 $.1^2 0]\n[0 0 0 0 0 0 0 0 0 0 0 0 0 0 0 0 1 0 0 0 0 0 0 0 0 $.1 0 0 0 0 0 0 0 $.1^2 0 \n    $.1^2 1 $.1^2 $.1^2 1 0 $.1^2 $.1 $.1 $.1 0 0 $.1 1 $.1^2 1 0 $.1^2 1 0 0 \n    $.1 $.1 $.1^2 $.1 1 0 $.1^2 $.1 1]\n[0 0 0 0 0 0 0 0 0 0 0 0 0 0 0 0 $.1 0 0 0 0 0 0 0 0 $.1^2 0 0 0 0 0 0 0 1 0 1 \n    $.1 1 1 $.1 0 1 $.1^2 $.1^2 $.1^2 0 0 $.1^2 $.1 1 $.1 0 1 $.1 0 0 $.1^2 \n    $.1^2 1 $.1^2 $.1 0 1 $.1^2 $.1]\n[0 0 0 0 0 0 0 0 0 0 0 0 0 0 0 0 0 1 0 0 0 0 0 0 0 0 0 0 0 0 $.1^2 0 1 1 $.1 $.1\n    0 1 0 0 $.1 $.1^2 0 0 $.1 $.1 $.1 1 $.1^2 1 1 $.1^2 $.1^2 $.1 1 $.1^2 $.1 1 \n    $.1^2 $.1^2 $.1^2 $.1^2 $.1^2 1 $.1^2]\n[0 0 0 0 0 0 0 0 0 0 0 0 0 0 0 0 0 $.1 0 0 0 0 0 0 0 0 0 0 0 0 1 0 $.1 $.1 $.1^2\n    $.1^2 0 $.1 0 0 $.1^2 1 0 0 $.1^2 $.1^2 $.1^2 $.1 1 $.1 $.1 1 1 $.1^2 $.1 1 \n    $.1^2 $.1 1 1 1 1 1 $.1 1]\n[0 0 0 0 0 0 0 0 0 0 0 0 0 0 0 0 0 0 1 0 0 0 0 0 0 1 0 0 0 0 $.1^2 0 0 $.1 1 1 0\n    1 0 $.1 1 1 $.1^2 0 $.1 1 $.1 1 $.1^2 $.1 1 1 $.1 $.1^2 0 $.1 0 $.1^2 1 0 \n    $.1 $.1^2 1 0 1]\n[0 0 0 0 0 0 0 0 0 0 0 0 0 0 0 0 0 0 $.1 0 0 0 0 0 0 $.1 0 0 0 0 1 0 0 $.1^2 $.1\n    $.1 0 $.1 0 $.1^2 $.1 $.1 1 0 $.1^2 $.1 $.1^2 $.1 1 $.1^2 $.1 $.1 $.1^2 1 0 \n    $.1^2 0 1 $.1 0 $.1^2 1 $.1 0 $.1]\n[0 0 0 0 0 0 0 0 0 0 0 0 0 0 0 0 0 0 0 1 0 0 0 0 0 $.1 0 0 0 0 1 0 $.1 1 0 $.1 0\n    $.1 1 1 $.1 $.1^2 $.1^2 0 1 $.1^2 $.1 1 $.1 1 $.1 1 $.1^2 $.1 $.1 0 1 1 1 0 \n    $.1^2 1 1 $.1 0]\n[0 0 0 0 0 0 0 0 0 0 0 0 0 0 0 0 0 0 0 $.1 0 0 0 0 0 $.1^2 0 0 0 0 $.1 0 $.1^2 \n    $.1 0 $.1^2 0 $.1^2 $.1 $.1 $.1^2 1 1 0 $.1 1 $.1^2 $.1 $.1^2 $.1 $.1^2 $.1 \n    1 $.1^2 $.1^2 0 $.1 $.1 $.1 0 1 $.1 $.1 $.1^2 0]\n[0 0 0 0 0 0 0 0 0 0 0 0 0 0 0 0 0 0 0 0 1 0 0 0 0 1 0 0 0 0 $.1 0 $.1^2 0 $.1 1\n    1 0 1 $.1 1 0 $.1^2 1 $.1 $.1 1 $.1 $.1^2 0 $.1^2 $.1^2 0 0 0 $.1 $.1 1 $.1 \n    0 $.1^2 $.1 0 0 $.1^2]\n[0 0 0 0 0 0 0 0 0 0 0 0 0 0 0 0 0 0 0 0 $.1 0 0 0 0 $.1 0 0 0 0 $.1^2 0 1 0 \n    $.1^2 $.1 $.1 0 $.1 $.1^2 $.1 0 1 $.1 $.1^2 $.1^2 $.1 $.1^2 1 0 1 1 0 0 0 \n    $.1^2 $.1^2 $.1 $.1^2 0 1 $.1^2 0 0 1]\n[0 0 0 0 0 0 0 0 0 0 0 0 0 0 0 0 0 0 0 0 0 1 0 0 0 $.1^2 0 0 0 0 $.1 0 $.1^2 $.1\n    $.1 1 0 $.1^2 0 0 $.1 $.1^2 0 $.1 $.1 0 0 0 $.1^2 $.1 1 1 0 $.1 0 1 1 $.1^2 \n    0 1 0 0 0 $.1^2 0]\n[0 0 0 0 0 0 0 0 0 0 0 0 0 0 0 0 0 0 0 0 0 $.1 0 0 0 1 0 0 0 0 $.1^2 0 1 $.1^2 \n    $.1^2 $.1 0 1 0 0 $.1^2 1 0 $.1^2 $.1^2 0 0 0 1 $.1^2 $.1 $.1 0 $.1^2 0 $.1 \n    $.1 1 0 $.1 0 0 0 1 0]\n[0 0 0 0 0 0 0 0 0 0 0 0 0 0 0 0 0 0 0 0 0 0 1 0 0 0 0 0 0 0 1 0 1 0 $.1 0 1 $.1\n    1 $.1^2 $.1^2 0 1 0 $.1^2 0 0 1 1 $.1 $.1 1 0 $.1 1 $.1^2 $.1^2 0 0 $.1^2 0 \n    1 0 $.1^2 1]\n[0 0 0 0 0 0 0 0 0 0 0 0 0 0 0 0 0 0 0 0 0 0 $.1 0 0 0 0 0 0 0 $.1 0 $.1 0 $.1^2\n    0 $.1 $.1^2 $.1 1 1 0 $.1 0 1 0 0 $.1 $.1 $.1^2 $.1^2 $.1 0 $.1^2 $.1 1 1 0 \n    0 1 0 $.1 0 1 $.1]\n[0 0 0 0 0 0 0 0 0 0 0 0 0 0 0 0 0 0 0 0 0 0 0 1 0 0 0 0 0 0 $.1^2 0 0 $.1 $.1 0\n    $.1 $.1 $.1^2 1 $.1 1 $.1 1 1 $.1 $.1^2 $.1^2 1 $.1^2 0 $.1 $.1 $.1^2 $.1 \n    $.1^2 0 $.1^2 $.1^2 $.1^2 0 $.1^2 1 $.1 1]\n[0 0 0 0 0 0 0 0 0 0 0 0 0 0 0 0 0 0 0 0 0 0 0 $.1 0 0 0 0 0 0 1 0 0 $.1^2 $.1^2\n    0 $.1^2 $.1^2 1 $.1 $.1^2 $.1 $.1^2 $.1 $.1 $.1^2 1 1 $.1 1 0 $.1^2 $.1^2 1 \n    $.1^2 1 0 1 1 1 0 1 $.1 $.1^2 $.1]\n[0 0 0 0 0 0 0 0 0 0 0 0 0 0 0 0 0 0 0 0 0 0 0 0 1 0 0 0 0 0 $.1 0 0 $.1^2 1 $.1\n    $.1^2 0 1 1 $.1 0 1 1 $.1 $.1^2 $.1 1 0 $.1^2 0 $.1 $.1^2 1 0 0 0 $.1^2 \n    $.1^2 $.1^2 $.1 $.1 $.1 0 1]\n[0 0 0 0 0 0 0 0 0 0 0 0 0 0 0 0 0 0 0 0 0 0 0 0 $.1 0 0 0 0 0 $.1^2 0 0 1 $.1 \n    $.1^2 1 0 $.1 $.1 $.1^2 0 $.1 $.1 $.1^2 1 $.1^2 $.1 0 1 0 $.1^2 1 $.1 0 0 0 \n    1 1 1 $.1^2 $.1^2 $.1^2 0 $.1]\n[0 0 0 0 0 0 0 0 0 0 0 0 0 0 0 0 0 0 0 0 0 0 0 0 0 0 1 0 0 0 1 0 0 $.1^2 $.1 0 \n    $.1 1 1 $.1 $.1 1 $.1^2 $.1^2 $.1 0 1 $.1 1 0 $.1^2 $.1 $.1^2 $.1 $.1 0 \n    $.1^2 $.1 1 0 0 0 1 0 1]\n[0 0 0 0 0 0 0 0 0 0 0 0 0 0 0 0 0 0 0 0 0 0 0 0 0 0 $.1 0 0 0 $.1 0 0 1 $.1^2 0\n    $.1^2 $.1 $.1 $.1^2 $.1^2 $.1 1 1 $.1^2 0 $.1 $.1^2 $.1 0 1 $.1^2 1 $.1^2 \n    $.1^2 0 1 $.1^2 $.1 0 0 0 $.1 0 $.1]\n[0 0 0 0 0 0 0 0 0 0 0 0 0 0 0 0 0 0 0 0 0 0 0 0 0 0 0 1 0 0 $.1 0 0 $.1 $.1 0 \n    $.1 $.1^2 $.1 1 1 $.1 0 0 $.1^2 $.1^2 $.1^2 0 1 1 $.1^2 1 1 $.1^2 0 1 1 0 \n    $.1 1 $.1 $.1^2 0 1 0]\n[0 0 0 0 0 0 0 0 0 0 0 0 0 0 0 0 0 0 0 0 0 0 0 0 0 0 0 $.1 0 0 $.1^2 0 0 $.1^2 \n    $.1^2 0 $.1^2 1 $.1^2 $.1 $.1 $.1^2 0 0 1 1 1 0 $.1 $.1 1 $.1 $.1 1 0 $.1 \n    $.1 0 $.1^2 $.1 $.1^2 1 0 $.1 0]\n[0 0 0 0 0 0 0 0 0 0 0 0 0 0 0 0 0 0 0 0 0 0 0 0 0 0 0 0 1 0 1 0 1 0 1 1 0 0 1 \n    $.1^2 $.1 1 0 $.1^2 0 $.1 0 $.1 0 1 1 0 $.1 1 $.1 $.1^2 0 $.1 1 $.1 $.1^2 1 \n    $.1^2 $.1^2 1]\n[0 0 0 0 0 0 0 0 0 0 0 0 0 0 0 0 0 0 0 0 0 0 0 0 0 0 0 0 $.1 0 $.1 0 $.1 0 $.1 \n    $.1 0 0 $.1 1 $.1^2 $.1 0 1 0 $.1^2 0 $.1^2 0 $.1 $.1 0 $.1^2 $.1 $.1^2 1 0 \n    $.1^2 $.1 $.1^2 1 $.1 1 1 $.1]\n[0 0 0 0 0 0 0 0 0 0 0 0 0 0 0 0 0 0 0 0 0 0 0 0 0 0 0 0 0 1 $.1^2 0 1 $.1 $.1 \n    $.1^2 1 $.1 $.1 $.1^2 1 $.1 1 0 1 1 $.1^2 $.1^2 $.1 0 $.1^2 $.1 $.1 1 $.1^2 \n    $.1 $.1^2 0 $.1^2 1 $.1^2 $.1^2 $.1 1 1]\n[0 0 0 0 0 0 0 0 0 0 0 0 0 0 0 0 0 0 0 0 0 0 0 0 0 0 0 0 0 $.1 1 0 $.1 $.1^2 \n    $.1^2 1 $.1 $.1^2 $.1^2 1 $.1 $.1^2 $.1 0 $.1 $.1 1 1 $.1^2 0 1 $.1^2 $.1^2 \n    $.1 1 $.1^2 1 0 1 $.1 1 1 $.1^2 $.1 $.1]\n[0 0 0 0 0 0 0 0 0 0 0 0 0 0 0 0 0 0 0 0 0 0 0 0 0 0 0 0 0 0 0 1 $.1^2 $.1^2 1 \n    $.1^2 $.1 1 $.1 1 1 $.1^2 0 $.1 0 1 $.1^2 0 1 0 $.1^2 $.1^2 0 0 0 1 $.1 1 \n    $.1 $.1^2 $.1 0 $.1 1 1]\n[0 0 0 0 0 0 0 0 0 0 0 0 0 0 0 0 0 0 0 0 0 0 0 0 0 0 0 0 0 0 0 $.1 1 1 $.1 1 \n    $.1^2 $.1 $.1^2 $.1 $.1 1 0 $.1^2 0 $.1 1 0 $.1 0 1 1 0 0 0 $.1 $.1^2 $.1 \n    $.1^2 1 $.1^2 0 $.1^2 $.1 $.1]\nQuantum GF(2)-Additive code over GF(4) of length 65 with 70 generators.\nLower Bound: 1, Upper Bound: 31\nConstructed 2 distinct generator matrices\nTotal Ranks:     35  35 \nRelative Ranks:  35  30 \n(4 4 4 4 4 4 4 4 4 4 4 4 4 4 4 4 4 4 4 4 4 4 4 4 4 4 4 4 4 4 4 4 4 4 4 )\n(4 4 4 4 4 4 4 4 4 4 4 4 4 4 4 4 4 4 4 4 4 4 4 4 4 4 4 4 4 4 4 4 4 4 4 )\nTime Taken: 0.01\nStarting search for low weight codewords... (reset timings)\nEnumerating using 1 generator at a time:\n     New codeword identified of weight 25, time 0.00\n     New codeword identified of weight 16, time 0.00\n   Completed Matrix  1:  lower =  2, upper = 16. Elapsed: 0.00s\n   Completed Matrix  2:  lower =  2, upper = 16. Elapsed: 0.00s\nTermination predicted with 10 generators at matrix 1\nEnumerating using 2 generators at a time:\n     New codeword identified of weight 15, time 0.00\n   Completed Matrix  1:  lower =  3, upper = 15. Elapsed: 0.00s\n   Completed Matrix  2:  lower =  3, upper = 15. Elapsed: 0.00s\nTermination predicted with 9 generators at matrix 2\nEnumerating using 3 generators at a time:\n   Completed Matrix  1:  lower =  4, upper = 15. Elapsed: 0.00s\n   Completed Matrix  2:  lower =  4, upper = 15. Elapsed: 0.00s\nTermination predicted with 9 generators at matrix 2\nEnumerating using 4 generators at a time:\n     New codeword identified of weight 14, time 0.00\n   Completed Matrix  1:  lower =  5, upper = 14. Elapsed: 0.06s\n   Completed Matrix  2:  lower =  5, upper = 14. Elapsed: 0.12s\nTermination predicted with 9 generators at matrix 1\nEnumerating using 5 generators at a time:\n   Completed Matrix  1:  lower =  6, upper = 14. Elapsed: 1.05s\n   Completed Matrix  2:  lower =  7, upper = 14. Elapsed: 2.05s\nTermination predicted at 21292 s (5h 54m 52s) with 9 generators at matrix 1\nEnumerating using 6 generators at a time:\n   Completed Matrix  1:  lower =  8, upper = 14. Elapsed: 16.55s\n   Completed Matrix  2:  lower =  9, upper = 14. Elapsed: 30.96s\nTermination predicted at 21150 s (5h 52m 30s) with 9 generators at matrix 1\nEnumerating using 7 generators at a time:\n   Completed Matrix  1:  lower = 10, upper = 14. Elapsed: 212.37s\n   Completed Matrix  2:  lower = 11, upper = 14. Elapsed: 393.68s\nTermination predicted at 21326 s (5h 55m 26s) with 9 generators at matrix 1\nEnumerating using 8 generators at a time:\n   Completed Matrix  1:  lower = 12, upper = 14. Elapsed: 2295.06s\n   Completed Matrix  2:  lower = 13, upper = 14. Elapsed: 4197.94s\nTermination predicted at 21318 s (5h 55m 18s) with 9 generators at matrix 1\nEnumerating using 9 generators at a time:\n</t>
  </si>
  <si>
    <t>28800.096389958995</t>
  </si>
  <si>
    <t xml:space="preserve">Magma V2.28-26    Mon Jan 12 2026 04:47:50 on Marks-MacBook-Air-2 [Seed = \n2476639842]\nType ? for help.  Type &lt;Ctrl&gt;-D to quit.\n[1 0 0 0 0 0 0 0 0 0 0 0 0 0 0 0 0 0 0 0 0 0 0 0 0 0 0 0 0 0 0 0 0 0 0 0 0 0 0 0\n    0 0 0 0 0 0 0 0 0 0 0 0 0 0 0 0 0 0 0 </t>
  </si>
  <si>
    <t>28800.147482749995</t>
  </si>
  <si>
    <t xml:space="preserve">Magma V2.28-26    Mon Jan 12 2026 04:48:12 on Marks-MacBook-Air-2 [Seed = \n2863120033]\nType ? for help.  Type &lt;Ctrl&gt;-D to quit.\n[1 0 0 0 0 0 0 0 0 0 0 0 0 0 0 0 0 0 0 0 0 0 0 0 0 0 0 0 0 0 0 0 0 0 0 0 0 0 0 0\n    0 0 0 0 0 0 0 0 0 0 0 0 0 0 0 0 0 0 0 </t>
  </si>
  <si>
    <t xml:space="preserve">Magma V2.28-26    Mon Jan 12 2026 20:04:49 on Marks-MacBook-Air-2 [Seed = \n34486400]\nType ? for help.  Type &lt;Ctrl&gt;-D to quit.\n[1 0 0 0 0 0 0 0 0 0 0 0 0 0 0 0 0 0 0 0 0 0 0 0 0 0 0 0 0 0 0 0 0 0 0 0 0 0 0 0\n    0 0 0 0 0 0 0 0 0 0 0 0 0 0 0 0 0 0 0 0 </t>
  </si>
  <si>
    <t>Match</t>
  </si>
  <si>
    <t>Time Adj</t>
  </si>
  <si>
    <t>Gurobi</t>
  </si>
  <si>
    <t>BZDist</t>
  </si>
  <si>
    <t>m4riCC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</si>
</sst>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E+00"/>
  </numFmts>
  <fonts count="5" x14ac:knownFonts="1">
    <font>
      <sz val="12"/>
      <color theme="1"/>
      <name val="Aptos Narrow"/>
      <family val="2"/>
      <scheme val="minor"/>
    </font>
    <font>
      <b/>
      <sz val="12"/>
      <color theme="1"/>
      <name val="Aptos Narrow"/>
      <scheme val="minor"/>
    </font>
    <font>
      <sz val="12"/>
      <color theme="1"/>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xf numFmtId="2" fontId="1" fillId="0" borderId="0" xfId="0" applyNumberFormat="1" applyFont="1"/>
    <xf numFmtId="0" fontId="2" fillId="0" borderId="0" xfId="0" applyFont="1"/>
    <xf numFmtId="2" fontId="2" fillId="0" borderId="0" xfId="0" applyNumberFormat="1" applyFont="1"/>
    <xf numFmtId="1" fontId="0" fillId="0" borderId="0" xfId="0" applyNumberFormat="1"/>
    <xf numFmtId="0" fontId="3" fillId="0" borderId="0" xfId="0" applyFont="1"/>
    <xf numFmtId="0" fontId="4" fillId="0" borderId="0" xfId="0" applyFont="1"/>
    <xf numFmtId="0" fontId="0" fillId="0" borderId="0" xfId="0" quotePrefix="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2"/>
          <c:order val="0"/>
          <c:tx>
            <c:strRef>
              <c:f>charts!$AB$4</c:f>
              <c:strCache>
                <c:ptCount val="1"/>
                <c:pt idx="0">
                  <c:v>Magma 2 Block</c:v>
                </c:pt>
              </c:strCache>
            </c:strRef>
          </c:tx>
          <c:spPr>
            <a:ln w="25400" cap="rnd">
              <a:noFill/>
              <a:round/>
            </a:ln>
            <a:effectLst/>
          </c:spPr>
          <c:marker>
            <c:symbol val="circle"/>
            <c:size val="5"/>
            <c:spPr>
              <a:solidFill>
                <a:schemeClr val="bg1">
                  <a:lumMod val="65000"/>
                </a:schemeClr>
              </a:solidFill>
              <a:ln w="9525">
                <a:no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charts!$AB$5:$AB$55</c:f>
              <c:numCache>
                <c:formatCode>0.0E+00</c:formatCode>
                <c:ptCount val="51"/>
                <c:pt idx="0">
                  <c:v>0.86791575000097498</c:v>
                </c:pt>
                <c:pt idx="1">
                  <c:v>5.70460840099258E-2</c:v>
                </c:pt>
                <c:pt idx="2">
                  <c:v>5.7239332993049098E-2</c:v>
                </c:pt>
                <c:pt idx="3">
                  <c:v>5.7163917008438099E-2</c:v>
                </c:pt>
                <c:pt idx="4">
                  <c:v>5.5149332998553201E-2</c:v>
                </c:pt>
                <c:pt idx="5">
                  <c:v>5.2720499996212297E-2</c:v>
                </c:pt>
                <c:pt idx="6">
                  <c:v>5.2406624992727302E-2</c:v>
                </c:pt>
                <c:pt idx="7">
                  <c:v>5.2589167011319597E-2</c:v>
                </c:pt>
                <c:pt idx="8">
                  <c:v>5.2994915997260202E-2</c:v>
                </c:pt>
                <c:pt idx="9">
                  <c:v>5.2198791992850602E-2</c:v>
                </c:pt>
                <c:pt idx="10">
                  <c:v>5.3350833011791103E-2</c:v>
                </c:pt>
                <c:pt idx="11">
                  <c:v>5.32726249948609E-2</c:v>
                </c:pt>
                <c:pt idx="12">
                  <c:v>5.4226708991336602E-2</c:v>
                </c:pt>
                <c:pt idx="13">
                  <c:v>5.3124625002965303E-2</c:v>
                </c:pt>
                <c:pt idx="14">
                  <c:v>5.4344375006621697E-2</c:v>
                </c:pt>
                <c:pt idx="15">
                  <c:v>5.4014332999940899E-2</c:v>
                </c:pt>
                <c:pt idx="16">
                  <c:v>5.43916250026086E-2</c:v>
                </c:pt>
                <c:pt idx="17">
                  <c:v>5.4379583001718801E-2</c:v>
                </c:pt>
                <c:pt idx="18">
                  <c:v>8.3966416990733705E-2</c:v>
                </c:pt>
                <c:pt idx="19">
                  <c:v>5.8356875000754302E-2</c:v>
                </c:pt>
                <c:pt idx="20">
                  <c:v>5.5515542000648503E-2</c:v>
                </c:pt>
                <c:pt idx="21">
                  <c:v>5.5191624996950801E-2</c:v>
                </c:pt>
                <c:pt idx="22">
                  <c:v>5.5713708003167897E-2</c:v>
                </c:pt>
                <c:pt idx="23">
                  <c:v>6.0908250001375501E-2</c:v>
                </c:pt>
                <c:pt idx="24">
                  <c:v>6.3612166995881098E-2</c:v>
                </c:pt>
                <c:pt idx="25">
                  <c:v>6.3219250005204203E-2</c:v>
                </c:pt>
                <c:pt idx="26">
                  <c:v>0.12554295800509799</c:v>
                </c:pt>
                <c:pt idx="27">
                  <c:v>7.5886291990172994E-2</c:v>
                </c:pt>
                <c:pt idx="28">
                  <c:v>7.9208583003492095E-2</c:v>
                </c:pt>
                <c:pt idx="29">
                  <c:v>0.26050383299298102</c:v>
                </c:pt>
                <c:pt idx="30">
                  <c:v>1.1908722920052199</c:v>
                </c:pt>
                <c:pt idx="31">
                  <c:v>6.7020417001913302E-2</c:v>
                </c:pt>
                <c:pt idx="32">
                  <c:v>0.35134820800158101</c:v>
                </c:pt>
                <c:pt idx="33">
                  <c:v>1.2553371249959999</c:v>
                </c:pt>
                <c:pt idx="34">
                  <c:v>2.4793415419990099</c:v>
                </c:pt>
                <c:pt idx="35">
                  <c:v>7.4901826660061399</c:v>
                </c:pt>
                <c:pt idx="36">
                  <c:v>0.63059874999453303</c:v>
                </c:pt>
                <c:pt idx="37">
                  <c:v>3.2243135419994302</c:v>
                </c:pt>
                <c:pt idx="38">
                  <c:v>0.62676125000871197</c:v>
                </c:pt>
                <c:pt idx="39">
                  <c:v>4.4930964579980301</c:v>
                </c:pt>
                <c:pt idx="40">
                  <c:v>11.075541833997701</c:v>
                </c:pt>
                <c:pt idx="41">
                  <c:v>7.5369881660008096</c:v>
                </c:pt>
                <c:pt idx="42">
                  <c:v>15.035402749999699</c:v>
                </c:pt>
                <c:pt idx="43">
                  <c:v>75.226949999996506</c:v>
                </c:pt>
                <c:pt idx="44">
                  <c:v>104.374176458994</c:v>
                </c:pt>
                <c:pt idx="45">
                  <c:v>19.976325750001699</c:v>
                </c:pt>
                <c:pt idx="46">
                  <c:v>4.7231276660022496</c:v>
                </c:pt>
                <c:pt idx="47">
                  <c:v>38.280680167008498</c:v>
                </c:pt>
                <c:pt idx="48">
                  <c:v>356.73267145799701</c:v>
                </c:pt>
                <c:pt idx="49">
                  <c:v>#N/A</c:v>
                </c:pt>
                <c:pt idx="50">
                  <c:v>846.85662175004802</c:v>
                </c:pt>
              </c:numCache>
            </c:numRef>
          </c:yVal>
          <c:smooth val="0"/>
          <c:extLst>
            <c:ext xmlns:c16="http://schemas.microsoft.com/office/drawing/2014/chart" uri="{C3380CC4-5D6E-409C-BE32-E72D297353CC}">
              <c16:uniqueId val="{00000002-5EF6-CC44-9D1E-DE120C927619}"/>
            </c:ext>
          </c:extLst>
        </c:ser>
        <c:ser>
          <c:idx val="0"/>
          <c:order val="1"/>
          <c:tx>
            <c:strRef>
              <c:f>charts!$V$4</c:f>
              <c:strCache>
                <c:ptCount val="1"/>
                <c:pt idx="0">
                  <c:v>GurobiDist 3 Block</c:v>
                </c:pt>
              </c:strCache>
            </c:strRef>
          </c:tx>
          <c:spPr>
            <a:ln w="38100" cap="rnd">
              <a:noFill/>
              <a:round/>
            </a:ln>
            <a:effectLst/>
          </c:spPr>
          <c:marker>
            <c:symbol val="circle"/>
            <c:size val="5"/>
            <c:spPr>
              <a:solidFill>
                <a:schemeClr val="accent1"/>
              </a:solidFill>
              <a:ln w="9525">
                <a:solidFill>
                  <a:schemeClr val="accent1"/>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charts!$V$5:$V$55</c:f>
              <c:numCache>
                <c:formatCode>0.0E+00</c:formatCode>
                <c:ptCount val="51"/>
                <c:pt idx="0">
                  <c:v>0.21553472150117101</c:v>
                </c:pt>
                <c:pt idx="1">
                  <c:v>2.44122687727212E-2</c:v>
                </c:pt>
                <c:pt idx="2">
                  <c:v>4.4245871715247603E-2</c:v>
                </c:pt>
                <c:pt idx="3">
                  <c:v>3.4327877685427603E-2</c:v>
                </c:pt>
                <c:pt idx="4">
                  <c:v>3.39103387668728E-2</c:v>
                </c:pt>
                <c:pt idx="5">
                  <c:v>3.4905137494206401E-2</c:v>
                </c:pt>
                <c:pt idx="6">
                  <c:v>3.4337542019784402E-2</c:v>
                </c:pt>
                <c:pt idx="7">
                  <c:v>6.4393463544547502E-2</c:v>
                </c:pt>
                <c:pt idx="8">
                  <c:v>0.114734776318073</c:v>
                </c:pt>
                <c:pt idx="9">
                  <c:v>5.4484990425407803E-2</c:v>
                </c:pt>
                <c:pt idx="10">
                  <c:v>7.5968705117702401E-2</c:v>
                </c:pt>
                <c:pt idx="11">
                  <c:v>0.18532493617385601</c:v>
                </c:pt>
                <c:pt idx="12">
                  <c:v>0.16520771477371399</c:v>
                </c:pt>
                <c:pt idx="13">
                  <c:v>0.50750039517879397</c:v>
                </c:pt>
                <c:pt idx="14">
                  <c:v>0.255701282061636</c:v>
                </c:pt>
                <c:pt idx="15">
                  <c:v>0.41683706920593899</c:v>
                </c:pt>
                <c:pt idx="16">
                  <c:v>0.33663134649395898</c:v>
                </c:pt>
                <c:pt idx="17">
                  <c:v>1.6740386718884099</c:v>
                </c:pt>
                <c:pt idx="18">
                  <c:v>1.1712528979405701</c:v>
                </c:pt>
                <c:pt idx="19">
                  <c:v>0.57773447781801202</c:v>
                </c:pt>
                <c:pt idx="20">
                  <c:v>8.7959127873182297</c:v>
                </c:pt>
                <c:pt idx="21">
                  <c:v>0.92048697266727597</c:v>
                </c:pt>
                <c:pt idx="22">
                  <c:v>0.85945142246782702</c:v>
                </c:pt>
                <c:pt idx="23">
                  <c:v>3.4845665944740101</c:v>
                </c:pt>
                <c:pt idx="24">
                  <c:v>3.4948351932689499</c:v>
                </c:pt>
                <c:pt idx="25">
                  <c:v>3.60658238828182</c:v>
                </c:pt>
                <c:pt idx="26">
                  <c:v>34.325612294487598</c:v>
                </c:pt>
                <c:pt idx="27">
                  <c:v>6.0708239441737497</c:v>
                </c:pt>
                <c:pt idx="28">
                  <c:v>7.1865104539319802</c:v>
                </c:pt>
                <c:pt idx="29">
                  <c:v>341.525071608833</c:v>
                </c:pt>
                <c:pt idx="30">
                  <c:v>333.802251926623</c:v>
                </c:pt>
                <c:pt idx="31">
                  <c:v>3.0147598357871099</c:v>
                </c:pt>
                <c:pt idx="32">
                  <c:v>1956.60859795287</c:v>
                </c:pt>
                <c:pt idx="33">
                  <c:v>2182.8305146554399</c:v>
                </c:pt>
                <c:pt idx="34">
                  <c:v>2503.5889614745902</c:v>
                </c:pt>
                <c:pt idx="35">
                  <c:v>2585.3750874949601</c:v>
                </c:pt>
                <c:pt idx="36">
                  <c:v>2218.3414981337201</c:v>
                </c:pt>
                <c:pt idx="37">
                  <c:v>6454.2228162372403</c:v>
                </c:pt>
                <c:pt idx="38">
                  <c:v>#N/A</c:v>
                </c:pt>
                <c:pt idx="39">
                  <c:v>5764.3248862968703</c:v>
                </c:pt>
                <c:pt idx="40">
                  <c:v>14690.8822062565</c:v>
                </c:pt>
                <c:pt idx="41">
                  <c:v>9101.9994694488105</c:v>
                </c:pt>
                <c:pt idx="42">
                  <c:v>13266.8998115221</c:v>
                </c:pt>
                <c:pt idx="43">
                  <c:v>#N/A</c:v>
                </c:pt>
                <c:pt idx="44">
                  <c:v>#N/A</c:v>
                </c:pt>
                <c:pt idx="45">
                  <c:v>#N/A</c:v>
                </c:pt>
                <c:pt idx="46">
                  <c:v>#N/A</c:v>
                </c:pt>
                <c:pt idx="47">
                  <c:v>#N/A</c:v>
                </c:pt>
                <c:pt idx="48">
                  <c:v>#N/A</c:v>
                </c:pt>
                <c:pt idx="49">
                  <c:v>#N/A</c:v>
                </c:pt>
                <c:pt idx="50">
                  <c:v>#N/A</c:v>
                </c:pt>
              </c:numCache>
            </c:numRef>
          </c:yVal>
          <c:smooth val="0"/>
          <c:extLst>
            <c:ext xmlns:c16="http://schemas.microsoft.com/office/drawing/2014/chart" uri="{C3380CC4-5D6E-409C-BE32-E72D297353CC}">
              <c16:uniqueId val="{00000000-5EF6-CC44-9D1E-DE120C927619}"/>
            </c:ext>
          </c:extLst>
        </c:ser>
        <c:ser>
          <c:idx val="1"/>
          <c:order val="2"/>
          <c:tx>
            <c:strRef>
              <c:f>charts!$U$4</c:f>
              <c:strCache>
                <c:ptCount val="1"/>
                <c:pt idx="0">
                  <c:v>GurobiDist 2 Block</c:v>
                </c:pt>
              </c:strCache>
            </c:strRef>
          </c:tx>
          <c:spPr>
            <a:ln w="38100" cap="rnd">
              <a:noFill/>
              <a:round/>
            </a:ln>
            <a:effectLst/>
          </c:spPr>
          <c:marker>
            <c:symbol val="circle"/>
            <c:size val="5"/>
            <c:spPr>
              <a:solidFill>
                <a:schemeClr val="accent2"/>
              </a:solidFill>
              <a:ln w="9525">
                <a:solidFill>
                  <a:schemeClr val="accent2"/>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charts!$U$5:$U$55</c:f>
              <c:numCache>
                <c:formatCode>0.0E+00</c:formatCode>
                <c:ptCount val="51"/>
                <c:pt idx="0">
                  <c:v>0.39045961946249003</c:v>
                </c:pt>
                <c:pt idx="1">
                  <c:v>2.39316057413816E-2</c:v>
                </c:pt>
                <c:pt idx="2">
                  <c:v>4.3407255783677101E-2</c:v>
                </c:pt>
                <c:pt idx="3">
                  <c:v>3.33463922142982E-2</c:v>
                </c:pt>
                <c:pt idx="4">
                  <c:v>3.3478545024991001E-2</c:v>
                </c:pt>
                <c:pt idx="5">
                  <c:v>3.3332958817481897E-2</c:v>
                </c:pt>
                <c:pt idx="6">
                  <c:v>3.3219592645764302E-2</c:v>
                </c:pt>
                <c:pt idx="7">
                  <c:v>6.3495385460555498E-2</c:v>
                </c:pt>
                <c:pt idx="8">
                  <c:v>9.5066388137638499E-2</c:v>
                </c:pt>
                <c:pt idx="9">
                  <c:v>6.3549580052495003E-2</c:v>
                </c:pt>
                <c:pt idx="10">
                  <c:v>5.3781666792929103E-2</c:v>
                </c:pt>
                <c:pt idx="11">
                  <c:v>0.113954750820994</c:v>
                </c:pt>
                <c:pt idx="12">
                  <c:v>0.12610618397593401</c:v>
                </c:pt>
                <c:pt idx="13">
                  <c:v>0.47610480524599502</c:v>
                </c:pt>
                <c:pt idx="14">
                  <c:v>0.27593678608536698</c:v>
                </c:pt>
                <c:pt idx="15">
                  <c:v>0.41555741801857898</c:v>
                </c:pt>
                <c:pt idx="16">
                  <c:v>0.37553599663078702</c:v>
                </c:pt>
                <c:pt idx="17">
                  <c:v>1.1397836413234399</c:v>
                </c:pt>
                <c:pt idx="18">
                  <c:v>1.78382814675569</c:v>
                </c:pt>
                <c:pt idx="19">
                  <c:v>1.1300711380317801</c:v>
                </c:pt>
                <c:pt idx="20">
                  <c:v>4.3183910343795997</c:v>
                </c:pt>
                <c:pt idx="21">
                  <c:v>1.66312474850565</c:v>
                </c:pt>
                <c:pt idx="22">
                  <c:v>1.95494180265814</c:v>
                </c:pt>
                <c:pt idx="23">
                  <c:v>4.8920487351715503</c:v>
                </c:pt>
                <c:pt idx="24">
                  <c:v>4.7106814906001002</c:v>
                </c:pt>
                <c:pt idx="25">
                  <c:v>4.7309760702773902</c:v>
                </c:pt>
                <c:pt idx="26">
                  <c:v>20.8961524311453</c:v>
                </c:pt>
                <c:pt idx="27">
                  <c:v>6.4265370974317104</c:v>
                </c:pt>
                <c:pt idx="28">
                  <c:v>6.0603803731501102</c:v>
                </c:pt>
                <c:pt idx="29">
                  <c:v>104.08217031415499</c:v>
                </c:pt>
                <c:pt idx="30">
                  <c:v>194.237742953002</c:v>
                </c:pt>
                <c:pt idx="31">
                  <c:v>3.2938967337831802</c:v>
                </c:pt>
                <c:pt idx="32">
                  <c:v>464.268310722894</c:v>
                </c:pt>
                <c:pt idx="33">
                  <c:v>533.12627736758395</c:v>
                </c:pt>
                <c:pt idx="34">
                  <c:v>403.08556192275103</c:v>
                </c:pt>
                <c:pt idx="35">
                  <c:v>448.91240877937503</c:v>
                </c:pt>
                <c:pt idx="36">
                  <c:v>789.556889217346</c:v>
                </c:pt>
                <c:pt idx="37">
                  <c:v>953.86314334906604</c:v>
                </c:pt>
                <c:pt idx="38">
                  <c:v>10392.1676664808</c:v>
                </c:pt>
                <c:pt idx="39">
                  <c:v>7933.8909792723098</c:v>
                </c:pt>
                <c:pt idx="40">
                  <c:v>2317.3929523527599</c:v>
                </c:pt>
                <c:pt idx="41">
                  <c:v>2629.1679560160201</c:v>
                </c:pt>
                <c:pt idx="42">
                  <c:v>3039.4316863650402</c:v>
                </c:pt>
                <c:pt idx="43">
                  <c:v>8477.3824303066303</c:v>
                </c:pt>
                <c:pt idx="44">
                  <c:v>8473.8553908988797</c:v>
                </c:pt>
                <c:pt idx="45">
                  <c:v>#N/A</c:v>
                </c:pt>
                <c:pt idx="46">
                  <c:v>511.41341916657899</c:v>
                </c:pt>
                <c:pt idx="47">
                  <c:v>1912.8247975856</c:v>
                </c:pt>
                <c:pt idx="48">
                  <c:v>7432.1109610041603</c:v>
                </c:pt>
                <c:pt idx="49">
                  <c:v>#N/A</c:v>
                </c:pt>
                <c:pt idx="50">
                  <c:v>#N/A</c:v>
                </c:pt>
              </c:numCache>
            </c:numRef>
          </c:yVal>
          <c:smooth val="0"/>
          <c:extLst>
            <c:ext xmlns:c16="http://schemas.microsoft.com/office/drawing/2014/chart" uri="{C3380CC4-5D6E-409C-BE32-E72D297353CC}">
              <c16:uniqueId val="{00000001-5EF6-CC44-9D1E-DE120C927619}"/>
            </c:ext>
          </c:extLst>
        </c:ser>
        <c:dLbls>
          <c:showLegendKey val="0"/>
          <c:showVal val="0"/>
          <c:showCatName val="0"/>
          <c:showSerName val="0"/>
          <c:showPercent val="0"/>
          <c:showBubbleSize val="0"/>
        </c:dLbls>
        <c:axId val="1651728079"/>
        <c:axId val="1651559615"/>
      </c:scatterChart>
      <c:valAx>
        <c:axId val="1651728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59615"/>
        <c:crossesAt val="1E-3"/>
        <c:crossBetween val="midCat"/>
      </c:valAx>
      <c:valAx>
        <c:axId val="1651559615"/>
        <c:scaling>
          <c:logBase val="10"/>
          <c:orientation val="minMax"/>
          <c:min val="1E-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 Time (s, log)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28079"/>
        <c:crosses val="autoZero"/>
        <c:crossBetween val="midCat"/>
      </c:valAx>
      <c:spPr>
        <a:noFill/>
        <a:ln>
          <a:noFill/>
        </a:ln>
        <a:effectLst/>
      </c:spPr>
    </c:plotArea>
    <c:legend>
      <c:legendPos val="r"/>
      <c:layout>
        <c:manualLayout>
          <c:xMode val="edge"/>
          <c:yMode val="edge"/>
          <c:x val="0.25504483814523188"/>
          <c:y val="5.2516951006124205E-2"/>
          <c:w val="0.28662182852143481"/>
          <c:h val="0.175782480314960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2"/>
          <c:order val="0"/>
          <c:tx>
            <c:strRef>
              <c:f>charts!$AB$4</c:f>
              <c:strCache>
                <c:ptCount val="1"/>
                <c:pt idx="0">
                  <c:v>Magma 2 Block</c:v>
                </c:pt>
              </c:strCache>
            </c:strRef>
          </c:tx>
          <c:spPr>
            <a:ln w="25400" cap="rnd">
              <a:noFill/>
              <a:round/>
            </a:ln>
            <a:effectLst/>
          </c:spPr>
          <c:marker>
            <c:symbol val="circle"/>
            <c:size val="5"/>
            <c:spPr>
              <a:solidFill>
                <a:schemeClr val="bg1">
                  <a:lumMod val="65000"/>
                </a:schemeClr>
              </a:solidFill>
              <a:ln w="9525">
                <a:no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charts!$AB$5:$AB$55</c:f>
              <c:numCache>
                <c:formatCode>0.0E+00</c:formatCode>
                <c:ptCount val="51"/>
                <c:pt idx="0">
                  <c:v>0.86791575000097498</c:v>
                </c:pt>
                <c:pt idx="1">
                  <c:v>5.70460840099258E-2</c:v>
                </c:pt>
                <c:pt idx="2">
                  <c:v>5.7239332993049098E-2</c:v>
                </c:pt>
                <c:pt idx="3">
                  <c:v>5.7163917008438099E-2</c:v>
                </c:pt>
                <c:pt idx="4">
                  <c:v>5.5149332998553201E-2</c:v>
                </c:pt>
                <c:pt idx="5">
                  <c:v>5.2720499996212297E-2</c:v>
                </c:pt>
                <c:pt idx="6">
                  <c:v>5.2406624992727302E-2</c:v>
                </c:pt>
                <c:pt idx="7">
                  <c:v>5.2589167011319597E-2</c:v>
                </c:pt>
                <c:pt idx="8">
                  <c:v>5.2994915997260202E-2</c:v>
                </c:pt>
                <c:pt idx="9">
                  <c:v>5.2198791992850602E-2</c:v>
                </c:pt>
                <c:pt idx="10">
                  <c:v>5.3350833011791103E-2</c:v>
                </c:pt>
                <c:pt idx="11">
                  <c:v>5.32726249948609E-2</c:v>
                </c:pt>
                <c:pt idx="12">
                  <c:v>5.4226708991336602E-2</c:v>
                </c:pt>
                <c:pt idx="13">
                  <c:v>5.3124625002965303E-2</c:v>
                </c:pt>
                <c:pt idx="14">
                  <c:v>5.4344375006621697E-2</c:v>
                </c:pt>
                <c:pt idx="15">
                  <c:v>5.4014332999940899E-2</c:v>
                </c:pt>
                <c:pt idx="16">
                  <c:v>5.43916250026086E-2</c:v>
                </c:pt>
                <c:pt idx="17">
                  <c:v>5.4379583001718801E-2</c:v>
                </c:pt>
                <c:pt idx="18">
                  <c:v>8.3966416990733705E-2</c:v>
                </c:pt>
                <c:pt idx="19">
                  <c:v>5.8356875000754302E-2</c:v>
                </c:pt>
                <c:pt idx="20">
                  <c:v>5.5515542000648503E-2</c:v>
                </c:pt>
                <c:pt idx="21">
                  <c:v>5.5191624996950801E-2</c:v>
                </c:pt>
                <c:pt idx="22">
                  <c:v>5.5713708003167897E-2</c:v>
                </c:pt>
                <c:pt idx="23">
                  <c:v>6.0908250001375501E-2</c:v>
                </c:pt>
                <c:pt idx="24">
                  <c:v>6.3612166995881098E-2</c:v>
                </c:pt>
                <c:pt idx="25">
                  <c:v>6.3219250005204203E-2</c:v>
                </c:pt>
                <c:pt idx="26">
                  <c:v>0.12554295800509799</c:v>
                </c:pt>
                <c:pt idx="27">
                  <c:v>7.5886291990172994E-2</c:v>
                </c:pt>
                <c:pt idx="28">
                  <c:v>7.9208583003492095E-2</c:v>
                </c:pt>
                <c:pt idx="29">
                  <c:v>0.26050383299298102</c:v>
                </c:pt>
                <c:pt idx="30">
                  <c:v>1.1908722920052199</c:v>
                </c:pt>
                <c:pt idx="31">
                  <c:v>6.7020417001913302E-2</c:v>
                </c:pt>
                <c:pt idx="32">
                  <c:v>0.35134820800158101</c:v>
                </c:pt>
                <c:pt idx="33">
                  <c:v>1.2553371249959999</c:v>
                </c:pt>
                <c:pt idx="34">
                  <c:v>2.4793415419990099</c:v>
                </c:pt>
                <c:pt idx="35">
                  <c:v>7.4901826660061399</c:v>
                </c:pt>
                <c:pt idx="36">
                  <c:v>0.63059874999453303</c:v>
                </c:pt>
                <c:pt idx="37">
                  <c:v>3.2243135419994302</c:v>
                </c:pt>
                <c:pt idx="38">
                  <c:v>0.62676125000871197</c:v>
                </c:pt>
                <c:pt idx="39">
                  <c:v>4.4930964579980301</c:v>
                </c:pt>
                <c:pt idx="40">
                  <c:v>11.075541833997701</c:v>
                </c:pt>
                <c:pt idx="41">
                  <c:v>7.5369881660008096</c:v>
                </c:pt>
                <c:pt idx="42">
                  <c:v>15.035402749999699</c:v>
                </c:pt>
                <c:pt idx="43">
                  <c:v>75.226949999996506</c:v>
                </c:pt>
                <c:pt idx="44">
                  <c:v>104.374176458994</c:v>
                </c:pt>
                <c:pt idx="45">
                  <c:v>19.976325750001699</c:v>
                </c:pt>
                <c:pt idx="46">
                  <c:v>4.7231276660022496</c:v>
                </c:pt>
                <c:pt idx="47">
                  <c:v>38.280680167008498</c:v>
                </c:pt>
                <c:pt idx="48">
                  <c:v>356.73267145799701</c:v>
                </c:pt>
                <c:pt idx="49">
                  <c:v>#N/A</c:v>
                </c:pt>
                <c:pt idx="50">
                  <c:v>846.85662175004802</c:v>
                </c:pt>
              </c:numCache>
            </c:numRef>
          </c:yVal>
          <c:smooth val="0"/>
          <c:extLst>
            <c:ext xmlns:c16="http://schemas.microsoft.com/office/drawing/2014/chart" uri="{C3380CC4-5D6E-409C-BE32-E72D297353CC}">
              <c16:uniqueId val="{00000002-5EF6-CC44-9D1E-DE120C927619}"/>
            </c:ext>
          </c:extLst>
        </c:ser>
        <c:ser>
          <c:idx val="0"/>
          <c:order val="1"/>
          <c:tx>
            <c:strRef>
              <c:f>charts!$W$4</c:f>
              <c:strCache>
                <c:ptCount val="1"/>
                <c:pt idx="0">
                  <c:v>BZDistMW 2 Block</c:v>
                </c:pt>
              </c:strCache>
            </c:strRef>
          </c:tx>
          <c:spPr>
            <a:ln w="25400" cap="rnd">
              <a:noFill/>
              <a:round/>
            </a:ln>
            <a:effectLst/>
          </c:spPr>
          <c:marker>
            <c:symbol val="circle"/>
            <c:size val="5"/>
            <c:spPr>
              <a:solidFill>
                <a:schemeClr val="accent1"/>
              </a:solidFill>
              <a:ln w="9525">
                <a:solidFill>
                  <a:schemeClr val="accent1"/>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charts!$W$5:$W$55</c:f>
              <c:numCache>
                <c:formatCode>0.0E+00</c:formatCode>
                <c:ptCount val="51"/>
                <c:pt idx="0">
                  <c:v>2.35251151025295E-3</c:v>
                </c:pt>
                <c:pt idx="1">
                  <c:v>2.2834716364741299E-3</c:v>
                </c:pt>
                <c:pt idx="2">
                  <c:v>2.7798004448413801E-3</c:v>
                </c:pt>
                <c:pt idx="3">
                  <c:v>2.96756811439991E-3</c:v>
                </c:pt>
                <c:pt idx="4">
                  <c:v>3.0723251402378E-3</c:v>
                </c:pt>
                <c:pt idx="5">
                  <c:v>3.1412923708558E-3</c:v>
                </c:pt>
                <c:pt idx="6">
                  <c:v>3.3542551100253998E-3</c:v>
                </c:pt>
                <c:pt idx="7">
                  <c:v>4.0917461737990301E-3</c:v>
                </c:pt>
                <c:pt idx="8">
                  <c:v>4.3507665395736599E-3</c:v>
                </c:pt>
                <c:pt idx="9">
                  <c:v>5.4580047726631104E-3</c:v>
                </c:pt>
                <c:pt idx="10">
                  <c:v>5.7930769398808401E-3</c:v>
                </c:pt>
                <c:pt idx="11">
                  <c:v>4.97738644480705E-3</c:v>
                </c:pt>
                <c:pt idx="12">
                  <c:v>9.9171409383416106E-3</c:v>
                </c:pt>
                <c:pt idx="13">
                  <c:v>9.4521865248680097E-3</c:v>
                </c:pt>
                <c:pt idx="14">
                  <c:v>4.5107115060090998E-2</c:v>
                </c:pt>
                <c:pt idx="15">
                  <c:v>0.10043169837445</c:v>
                </c:pt>
                <c:pt idx="16">
                  <c:v>0.114707043394446</c:v>
                </c:pt>
                <c:pt idx="17">
                  <c:v>0.109200841747224</c:v>
                </c:pt>
                <c:pt idx="18">
                  <c:v>0.57108550053089802</c:v>
                </c:pt>
                <c:pt idx="19">
                  <c:v>0.32848217058926799</c:v>
                </c:pt>
                <c:pt idx="20">
                  <c:v>0.167406884022057</c:v>
                </c:pt>
                <c:pt idx="21">
                  <c:v>0.56945125106722105</c:v>
                </c:pt>
                <c:pt idx="22">
                  <c:v>0.64561058301478602</c:v>
                </c:pt>
                <c:pt idx="23">
                  <c:v>3.6392468148842401</c:v>
                </c:pt>
                <c:pt idx="24">
                  <c:v>4.2119374219328103</c:v>
                </c:pt>
                <c:pt idx="25">
                  <c:v>4.75410298258066</c:v>
                </c:pt>
                <c:pt idx="26">
                  <c:v>47.2419886700809</c:v>
                </c:pt>
                <c:pt idx="27">
                  <c:v>14.1127798920497</c:v>
                </c:pt>
                <c:pt idx="28">
                  <c:v>15.571770762093299</c:v>
                </c:pt>
                <c:pt idx="29">
                  <c:v>76.661031563766301</c:v>
                </c:pt>
                <c:pt idx="30">
                  <c:v>957.59382904693405</c:v>
                </c:pt>
                <c:pt idx="31">
                  <c:v>6.8014242984354496</c:v>
                </c:pt>
                <c:pt idx="32">
                  <c:v>115.125218615867</c:v>
                </c:pt>
                <c:pt idx="33">
                  <c:v>128.25970292463899</c:v>
                </c:pt>
                <c:pt idx="34">
                  <c:v>956.91159109678097</c:v>
                </c:pt>
                <c:pt idx="35">
                  <c:v>5893.1940914140996</c:v>
                </c:pt>
                <c:pt idx="36">
                  <c:v>217.28401865344401</c:v>
                </c:pt>
                <c:pt idx="37">
                  <c:v>306.62457797303699</c:v>
                </c:pt>
                <c:pt idx="38">
                  <c:v>216.54129989538299</c:v>
                </c:pt>
                <c:pt idx="39">
                  <c:v>429.20031798258401</c:v>
                </c:pt>
                <c:pt idx="40">
                  <c:v>4901.57413679827</c:v>
                </c:pt>
                <c:pt idx="41">
                  <c:v>696.78772511891998</c:v>
                </c:pt>
                <c:pt idx="42">
                  <c:v>6890.7503289831802</c:v>
                </c:pt>
                <c:pt idx="43">
                  <c:v>#N/A</c:v>
                </c:pt>
                <c:pt idx="44">
                  <c:v>#N/A</c:v>
                </c:pt>
                <c:pt idx="45">
                  <c:v>#N/A</c:v>
                </c:pt>
                <c:pt idx="46">
                  <c:v>#N/A</c:v>
                </c:pt>
                <c:pt idx="47">
                  <c:v>#N/A</c:v>
                </c:pt>
                <c:pt idx="48">
                  <c:v>#N/A</c:v>
                </c:pt>
                <c:pt idx="49">
                  <c:v>#N/A</c:v>
                </c:pt>
                <c:pt idx="50">
                  <c:v>#N/A</c:v>
                </c:pt>
              </c:numCache>
            </c:numRef>
          </c:yVal>
          <c:smooth val="0"/>
          <c:extLst>
            <c:ext xmlns:c16="http://schemas.microsoft.com/office/drawing/2014/chart" uri="{C3380CC4-5D6E-409C-BE32-E72D297353CC}">
              <c16:uniqueId val="{00000000-5EF6-CC44-9D1E-DE120C927619}"/>
            </c:ext>
          </c:extLst>
        </c:ser>
        <c:ser>
          <c:idx val="1"/>
          <c:order val="2"/>
          <c:tx>
            <c:strRef>
              <c:f>charts!$X$4</c:f>
              <c:strCache>
                <c:ptCount val="1"/>
                <c:pt idx="0">
                  <c:v>BZDistMW 3 Block</c:v>
                </c:pt>
              </c:strCache>
            </c:strRef>
          </c:tx>
          <c:spPr>
            <a:ln w="25400" cap="rnd">
              <a:noFill/>
              <a:round/>
            </a:ln>
            <a:effectLst/>
          </c:spPr>
          <c:marker>
            <c:symbol val="circle"/>
            <c:size val="5"/>
            <c:spPr>
              <a:solidFill>
                <a:schemeClr val="accent2"/>
              </a:solidFill>
              <a:ln w="9525">
                <a:solidFill>
                  <a:schemeClr val="accent2"/>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charts!$X$5:$X$55</c:f>
              <c:numCache>
                <c:formatCode>0.0E+00</c:formatCode>
                <c:ptCount val="51"/>
                <c:pt idx="0">
                  <c:v>2.0386641845107E-3</c:v>
                </c:pt>
                <c:pt idx="1">
                  <c:v>2.4125641211867302E-3</c:v>
                </c:pt>
                <c:pt idx="2">
                  <c:v>2.50624772161245E-3</c:v>
                </c:pt>
                <c:pt idx="3">
                  <c:v>2.7871895581483802E-3</c:v>
                </c:pt>
                <c:pt idx="4">
                  <c:v>3.1640138477086999E-3</c:v>
                </c:pt>
                <c:pt idx="5">
                  <c:v>3.1682951375841999E-3</c:v>
                </c:pt>
                <c:pt idx="6">
                  <c:v>3.3251987770199702E-3</c:v>
                </c:pt>
                <c:pt idx="7">
                  <c:v>4.3107951059937399E-3</c:v>
                </c:pt>
                <c:pt idx="8">
                  <c:v>4.8825424164533598E-3</c:v>
                </c:pt>
                <c:pt idx="9">
                  <c:v>6.3266307115554801E-3</c:v>
                </c:pt>
                <c:pt idx="10">
                  <c:v>5.5834501981735203E-3</c:v>
                </c:pt>
                <c:pt idx="11">
                  <c:v>7.9374089837074193E-3</c:v>
                </c:pt>
                <c:pt idx="12">
                  <c:v>9.1155618429183908E-3</c:v>
                </c:pt>
                <c:pt idx="13">
                  <c:v>1.0332902893423999E-2</c:v>
                </c:pt>
                <c:pt idx="14">
                  <c:v>1.31941782310605E-2</c:v>
                </c:pt>
                <c:pt idx="15">
                  <c:v>2.0377604290843E-2</c:v>
                </c:pt>
                <c:pt idx="16">
                  <c:v>2.4124764837324598E-2</c:v>
                </c:pt>
                <c:pt idx="17">
                  <c:v>5.0688656046986497E-2</c:v>
                </c:pt>
                <c:pt idx="18">
                  <c:v>6.3703079707920496E-2</c:v>
                </c:pt>
                <c:pt idx="19">
                  <c:v>5.0369614735245698E-2</c:v>
                </c:pt>
                <c:pt idx="20">
                  <c:v>0.22472984157502601</c:v>
                </c:pt>
                <c:pt idx="21">
                  <c:v>8.4098509512841702E-2</c:v>
                </c:pt>
                <c:pt idx="22">
                  <c:v>0.10301293153315701</c:v>
                </c:pt>
                <c:pt idx="23">
                  <c:v>0.36420888453722</c:v>
                </c:pt>
                <c:pt idx="24">
                  <c:v>0.43110878672450698</c:v>
                </c:pt>
                <c:pt idx="25">
                  <c:v>0.52300243079662301</c:v>
                </c:pt>
                <c:pt idx="26">
                  <c:v>2.7633516350760998</c:v>
                </c:pt>
                <c:pt idx="27">
                  <c:v>1.2614958547055699</c:v>
                </c:pt>
                <c:pt idx="28">
                  <c:v>1.51116824895143</c:v>
                </c:pt>
                <c:pt idx="29">
                  <c:v>16.616575188003399</c:v>
                </c:pt>
                <c:pt idx="30">
                  <c:v>32.554674043320098</c:v>
                </c:pt>
                <c:pt idx="31">
                  <c:v>53.149804209358898</c:v>
                </c:pt>
                <c:pt idx="32">
                  <c:v>99.379991531371999</c:v>
                </c:pt>
                <c:pt idx="33">
                  <c:v>127.71079960651601</c:v>
                </c:pt>
                <c:pt idx="34">
                  <c:v>164.50227001309301</c:v>
                </c:pt>
                <c:pt idx="35">
                  <c:v>204.03927592560601</c:v>
                </c:pt>
                <c:pt idx="36">
                  <c:v>264.004984871484</c:v>
                </c:pt>
                <c:pt idx="37">
                  <c:v>404.24307955335797</c:v>
                </c:pt>
                <c:pt idx="38">
                  <c:v>376.92658756114503</c:v>
                </c:pt>
                <c:pt idx="39">
                  <c:v>615.20297078788201</c:v>
                </c:pt>
                <c:pt idx="40">
                  <c:v>930.91817077714904</c:v>
                </c:pt>
                <c:pt idx="41">
                  <c:v>1142.74233960267</c:v>
                </c:pt>
                <c:pt idx="42">
                  <c:v>1405.6680839164101</c:v>
                </c:pt>
                <c:pt idx="43">
                  <c:v>2015.0021126214399</c:v>
                </c:pt>
                <c:pt idx="44">
                  <c:v>3026.6436775801699</c:v>
                </c:pt>
                <c:pt idx="45">
                  <c:v>9653.4171753451192</c:v>
                </c:pt>
                <c:pt idx="46">
                  <c:v>316.37667980231299</c:v>
                </c:pt>
                <c:pt idx="47">
                  <c:v>1602.1817576242599</c:v>
                </c:pt>
                <c:pt idx="48">
                  <c:v>10171.856206763499</c:v>
                </c:pt>
                <c:pt idx="49">
                  <c:v>#N/A</c:v>
                </c:pt>
                <c:pt idx="50">
                  <c:v>#N/A</c:v>
                </c:pt>
              </c:numCache>
            </c:numRef>
          </c:yVal>
          <c:smooth val="0"/>
          <c:extLst>
            <c:ext xmlns:c16="http://schemas.microsoft.com/office/drawing/2014/chart" uri="{C3380CC4-5D6E-409C-BE32-E72D297353CC}">
              <c16:uniqueId val="{00000001-5EF6-CC44-9D1E-DE120C927619}"/>
            </c:ext>
          </c:extLst>
        </c:ser>
        <c:dLbls>
          <c:showLegendKey val="0"/>
          <c:showVal val="0"/>
          <c:showCatName val="0"/>
          <c:showSerName val="0"/>
          <c:showPercent val="0"/>
          <c:showBubbleSize val="0"/>
        </c:dLbls>
        <c:axId val="1651728079"/>
        <c:axId val="1651559615"/>
      </c:scatterChart>
      <c:valAx>
        <c:axId val="1651728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59615"/>
        <c:crossesAt val="1E-3"/>
        <c:crossBetween val="midCat"/>
      </c:valAx>
      <c:valAx>
        <c:axId val="1651559615"/>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 Time (s, log)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28079"/>
        <c:crosses val="autoZero"/>
        <c:crossBetween val="midCat"/>
      </c:valAx>
      <c:spPr>
        <a:noFill/>
        <a:ln>
          <a:noFill/>
        </a:ln>
        <a:effectLst/>
      </c:spPr>
    </c:plotArea>
    <c:legend>
      <c:legendPos val="r"/>
      <c:layout>
        <c:manualLayout>
          <c:xMode val="edge"/>
          <c:yMode val="edge"/>
          <c:x val="0.25504483814523188"/>
          <c:y val="5.2516951006124205E-2"/>
          <c:w val="0.28193405511811026"/>
          <c:h val="0.175782480314960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2"/>
          <c:order val="0"/>
          <c:tx>
            <c:strRef>
              <c:f>charts!$AB$4</c:f>
              <c:strCache>
                <c:ptCount val="1"/>
                <c:pt idx="0">
                  <c:v>Magma 2 Block</c:v>
                </c:pt>
              </c:strCache>
            </c:strRef>
          </c:tx>
          <c:spPr>
            <a:ln w="25400" cap="rnd">
              <a:noFill/>
              <a:round/>
            </a:ln>
            <a:effectLst/>
          </c:spPr>
          <c:marker>
            <c:symbol val="circle"/>
            <c:size val="5"/>
            <c:spPr>
              <a:solidFill>
                <a:schemeClr val="bg1">
                  <a:lumMod val="65000"/>
                </a:schemeClr>
              </a:solidFill>
              <a:ln w="9525">
                <a:no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charts!$AB$5:$AB$55</c:f>
              <c:numCache>
                <c:formatCode>0.0E+00</c:formatCode>
                <c:ptCount val="51"/>
                <c:pt idx="0">
                  <c:v>0.86791575000097498</c:v>
                </c:pt>
                <c:pt idx="1">
                  <c:v>5.70460840099258E-2</c:v>
                </c:pt>
                <c:pt idx="2">
                  <c:v>5.7239332993049098E-2</c:v>
                </c:pt>
                <c:pt idx="3">
                  <c:v>5.7163917008438099E-2</c:v>
                </c:pt>
                <c:pt idx="4">
                  <c:v>5.5149332998553201E-2</c:v>
                </c:pt>
                <c:pt idx="5">
                  <c:v>5.2720499996212297E-2</c:v>
                </c:pt>
                <c:pt idx="6">
                  <c:v>5.2406624992727302E-2</c:v>
                </c:pt>
                <c:pt idx="7">
                  <c:v>5.2589167011319597E-2</c:v>
                </c:pt>
                <c:pt idx="8">
                  <c:v>5.2994915997260202E-2</c:v>
                </c:pt>
                <c:pt idx="9">
                  <c:v>5.2198791992850602E-2</c:v>
                </c:pt>
                <c:pt idx="10">
                  <c:v>5.3350833011791103E-2</c:v>
                </c:pt>
                <c:pt idx="11">
                  <c:v>5.32726249948609E-2</c:v>
                </c:pt>
                <c:pt idx="12">
                  <c:v>5.4226708991336602E-2</c:v>
                </c:pt>
                <c:pt idx="13">
                  <c:v>5.3124625002965303E-2</c:v>
                </c:pt>
                <c:pt idx="14">
                  <c:v>5.4344375006621697E-2</c:v>
                </c:pt>
                <c:pt idx="15">
                  <c:v>5.4014332999940899E-2</c:v>
                </c:pt>
                <c:pt idx="16">
                  <c:v>5.43916250026086E-2</c:v>
                </c:pt>
                <c:pt idx="17">
                  <c:v>5.4379583001718801E-2</c:v>
                </c:pt>
                <c:pt idx="18">
                  <c:v>8.3966416990733705E-2</c:v>
                </c:pt>
                <c:pt idx="19">
                  <c:v>5.8356875000754302E-2</c:v>
                </c:pt>
                <c:pt idx="20">
                  <c:v>5.5515542000648503E-2</c:v>
                </c:pt>
                <c:pt idx="21">
                  <c:v>5.5191624996950801E-2</c:v>
                </c:pt>
                <c:pt idx="22">
                  <c:v>5.5713708003167897E-2</c:v>
                </c:pt>
                <c:pt idx="23">
                  <c:v>6.0908250001375501E-2</c:v>
                </c:pt>
                <c:pt idx="24">
                  <c:v>6.3612166995881098E-2</c:v>
                </c:pt>
                <c:pt idx="25">
                  <c:v>6.3219250005204203E-2</c:v>
                </c:pt>
                <c:pt idx="26">
                  <c:v>0.12554295800509799</c:v>
                </c:pt>
                <c:pt idx="27">
                  <c:v>7.5886291990172994E-2</c:v>
                </c:pt>
                <c:pt idx="28">
                  <c:v>7.9208583003492095E-2</c:v>
                </c:pt>
                <c:pt idx="29">
                  <c:v>0.26050383299298102</c:v>
                </c:pt>
                <c:pt idx="30">
                  <c:v>1.1908722920052199</c:v>
                </c:pt>
                <c:pt idx="31">
                  <c:v>6.7020417001913302E-2</c:v>
                </c:pt>
                <c:pt idx="32">
                  <c:v>0.35134820800158101</c:v>
                </c:pt>
                <c:pt idx="33">
                  <c:v>1.2553371249959999</c:v>
                </c:pt>
                <c:pt idx="34">
                  <c:v>2.4793415419990099</c:v>
                </c:pt>
                <c:pt idx="35">
                  <c:v>7.4901826660061399</c:v>
                </c:pt>
                <c:pt idx="36">
                  <c:v>0.63059874999453303</c:v>
                </c:pt>
                <c:pt idx="37">
                  <c:v>3.2243135419994302</c:v>
                </c:pt>
                <c:pt idx="38">
                  <c:v>0.62676125000871197</c:v>
                </c:pt>
                <c:pt idx="39">
                  <c:v>4.4930964579980301</c:v>
                </c:pt>
                <c:pt idx="40">
                  <c:v>11.075541833997701</c:v>
                </c:pt>
                <c:pt idx="41">
                  <c:v>7.5369881660008096</c:v>
                </c:pt>
                <c:pt idx="42">
                  <c:v>15.035402749999699</c:v>
                </c:pt>
                <c:pt idx="43">
                  <c:v>75.226949999996506</c:v>
                </c:pt>
                <c:pt idx="44">
                  <c:v>104.374176458994</c:v>
                </c:pt>
                <c:pt idx="45">
                  <c:v>19.976325750001699</c:v>
                </c:pt>
                <c:pt idx="46">
                  <c:v>4.7231276660022496</c:v>
                </c:pt>
                <c:pt idx="47">
                  <c:v>38.280680167008498</c:v>
                </c:pt>
                <c:pt idx="48">
                  <c:v>356.73267145799701</c:v>
                </c:pt>
                <c:pt idx="49">
                  <c:v>#N/A</c:v>
                </c:pt>
                <c:pt idx="50">
                  <c:v>846.85662175004802</c:v>
                </c:pt>
              </c:numCache>
            </c:numRef>
          </c:yVal>
          <c:smooth val="0"/>
          <c:extLst>
            <c:ext xmlns:c16="http://schemas.microsoft.com/office/drawing/2014/chart" uri="{C3380CC4-5D6E-409C-BE32-E72D297353CC}">
              <c16:uniqueId val="{00000002-5EF6-CC44-9D1E-DE120C927619}"/>
            </c:ext>
          </c:extLst>
        </c:ser>
        <c:ser>
          <c:idx val="0"/>
          <c:order val="1"/>
          <c:tx>
            <c:strRef>
              <c:f>charts!$AA$4</c:f>
              <c:strCache>
                <c:ptCount val="1"/>
                <c:pt idx="0">
                  <c:v>dist_m4ri_CC 4 Block</c:v>
                </c:pt>
              </c:strCache>
            </c:strRef>
          </c:tx>
          <c:spPr>
            <a:ln w="25400" cap="rnd">
              <a:noFill/>
              <a:round/>
            </a:ln>
            <a:effectLst/>
          </c:spPr>
          <c:marker>
            <c:symbol val="circle"/>
            <c:size val="5"/>
            <c:spPr>
              <a:solidFill>
                <a:schemeClr val="accent1"/>
              </a:solidFill>
              <a:ln w="9525">
                <a:solidFill>
                  <a:schemeClr val="accent1"/>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charts!$AA$5:$AA$55</c:f>
              <c:numCache>
                <c:formatCode>0.0E+00</c:formatCode>
                <c:ptCount val="51"/>
                <c:pt idx="0">
                  <c:v>0.12274851200001501</c:v>
                </c:pt>
                <c:pt idx="1">
                  <c:v>7.60977889999878E-2</c:v>
                </c:pt>
                <c:pt idx="2">
                  <c:v>7.7310103000002003E-2</c:v>
                </c:pt>
                <c:pt idx="3">
                  <c:v>6.4857103000008395E-2</c:v>
                </c:pt>
                <c:pt idx="4">
                  <c:v>4.23287059999779E-2</c:v>
                </c:pt>
                <c:pt idx="5">
                  <c:v>2.2826961000021101E-2</c:v>
                </c:pt>
                <c:pt idx="6">
                  <c:v>2.5137000999990201E-2</c:v>
                </c:pt>
                <c:pt idx="7">
                  <c:v>1.20074715799998</c:v>
                </c:pt>
                <c:pt idx="8">
                  <c:v>109.564398193</c:v>
                </c:pt>
                <c:pt idx="9">
                  <c:v>0.101056655000007</c:v>
                </c:pt>
                <c:pt idx="10">
                  <c:v>0.102545738999992</c:v>
                </c:pt>
                <c:pt idx="11">
                  <c:v>1785.6138570430001</c:v>
                </c:pt>
                <c:pt idx="12">
                  <c:v>1771.15714666899</c:v>
                </c:pt>
                <c:pt idx="13">
                  <c:v>#N/A</c:v>
                </c:pt>
                <c:pt idx="14">
                  <c:v>3266.3515120469901</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numCache>
            </c:numRef>
          </c:yVal>
          <c:smooth val="0"/>
          <c:extLst>
            <c:ext xmlns:c16="http://schemas.microsoft.com/office/drawing/2014/chart" uri="{C3380CC4-5D6E-409C-BE32-E72D297353CC}">
              <c16:uniqueId val="{00000000-5EF6-CC44-9D1E-DE120C927619}"/>
            </c:ext>
          </c:extLst>
        </c:ser>
        <c:ser>
          <c:idx val="1"/>
          <c:order val="2"/>
          <c:tx>
            <c:strRef>
              <c:f>charts!$Z$4</c:f>
              <c:strCache>
                <c:ptCount val="1"/>
                <c:pt idx="0">
                  <c:v>dist_m4ri_CC 3 Block</c:v>
                </c:pt>
              </c:strCache>
            </c:strRef>
          </c:tx>
          <c:spPr>
            <a:ln w="25400" cap="rnd">
              <a:noFill/>
              <a:round/>
            </a:ln>
            <a:effectLst/>
          </c:spPr>
          <c:marker>
            <c:symbol val="circle"/>
            <c:size val="5"/>
            <c:spPr>
              <a:solidFill>
                <a:schemeClr val="accent2"/>
              </a:solidFill>
              <a:ln w="9525">
                <a:solidFill>
                  <a:schemeClr val="accent2"/>
                </a:solidFill>
              </a:ln>
              <a:effectLst/>
            </c:spPr>
          </c:marker>
          <c:xVal>
            <c:numRef>
              <c:f>charts!$T$5:$T$55</c:f>
              <c:numCache>
                <c:formatCode>General</c:formatCode>
                <c:ptCount val="51"/>
                <c:pt idx="0">
                  <c:v>3</c:v>
                </c:pt>
                <c:pt idx="1">
                  <c:v>4</c:v>
                </c:pt>
                <c:pt idx="2">
                  <c:v>5</c:v>
                </c:pt>
                <c:pt idx="3">
                  <c:v>6</c:v>
                </c:pt>
                <c:pt idx="4">
                  <c:v>7</c:v>
                </c:pt>
                <c:pt idx="5">
                  <c:v>8</c:v>
                </c:pt>
                <c:pt idx="6">
                  <c:v>9</c:v>
                </c:pt>
                <c:pt idx="7">
                  <c:v>10</c:v>
                </c:pt>
                <c:pt idx="8">
                  <c:v>11</c:v>
                </c:pt>
                <c:pt idx="9">
                  <c:v>12</c:v>
                </c:pt>
                <c:pt idx="10">
                  <c:v>13</c:v>
                </c:pt>
                <c:pt idx="11">
                  <c:v>14</c:v>
                </c:pt>
                <c:pt idx="12">
                  <c:v>15</c:v>
                </c:pt>
                <c:pt idx="13">
                  <c:v>16</c:v>
                </c:pt>
                <c:pt idx="14">
                  <c:v>17</c:v>
                </c:pt>
                <c:pt idx="15">
                  <c:v>18</c:v>
                </c:pt>
                <c:pt idx="16">
                  <c:v>19</c:v>
                </c:pt>
                <c:pt idx="17">
                  <c:v>20</c:v>
                </c:pt>
                <c:pt idx="18">
                  <c:v>21</c:v>
                </c:pt>
                <c:pt idx="19">
                  <c:v>22</c:v>
                </c:pt>
                <c:pt idx="20">
                  <c:v>23</c:v>
                </c:pt>
                <c:pt idx="21">
                  <c:v>24</c:v>
                </c:pt>
                <c:pt idx="22">
                  <c:v>25</c:v>
                </c:pt>
                <c:pt idx="23">
                  <c:v>26</c:v>
                </c:pt>
                <c:pt idx="24">
                  <c:v>27</c:v>
                </c:pt>
                <c:pt idx="25">
                  <c:v>28</c:v>
                </c:pt>
                <c:pt idx="26">
                  <c:v>29</c:v>
                </c:pt>
                <c:pt idx="27">
                  <c:v>30</c:v>
                </c:pt>
                <c:pt idx="28">
                  <c:v>31</c:v>
                </c:pt>
                <c:pt idx="29">
                  <c:v>32</c:v>
                </c:pt>
                <c:pt idx="30">
                  <c:v>33</c:v>
                </c:pt>
                <c:pt idx="31">
                  <c:v>34</c:v>
                </c:pt>
                <c:pt idx="32">
                  <c:v>35</c:v>
                </c:pt>
                <c:pt idx="33">
                  <c:v>36</c:v>
                </c:pt>
                <c:pt idx="34">
                  <c:v>37</c:v>
                </c:pt>
                <c:pt idx="35">
                  <c:v>38</c:v>
                </c:pt>
                <c:pt idx="36">
                  <c:v>39</c:v>
                </c:pt>
                <c:pt idx="37">
                  <c:v>40</c:v>
                </c:pt>
                <c:pt idx="38">
                  <c:v>41</c:v>
                </c:pt>
                <c:pt idx="39">
                  <c:v>42</c:v>
                </c:pt>
                <c:pt idx="40">
                  <c:v>43</c:v>
                </c:pt>
                <c:pt idx="41">
                  <c:v>44</c:v>
                </c:pt>
                <c:pt idx="42">
                  <c:v>45</c:v>
                </c:pt>
                <c:pt idx="43">
                  <c:v>46</c:v>
                </c:pt>
                <c:pt idx="44">
                  <c:v>47</c:v>
                </c:pt>
                <c:pt idx="45">
                  <c:v>48</c:v>
                </c:pt>
                <c:pt idx="46">
                  <c:v>49</c:v>
                </c:pt>
                <c:pt idx="47">
                  <c:v>50</c:v>
                </c:pt>
                <c:pt idx="48">
                  <c:v>51</c:v>
                </c:pt>
                <c:pt idx="49">
                  <c:v>52</c:v>
                </c:pt>
                <c:pt idx="50">
                  <c:v>53</c:v>
                </c:pt>
              </c:numCache>
            </c:numRef>
          </c:xVal>
          <c:yVal>
            <c:numRef>
              <c:f>charts!$Z$5:$Z$55</c:f>
              <c:numCache>
                <c:formatCode>0.0E+00</c:formatCode>
                <c:ptCount val="51"/>
                <c:pt idx="0">
                  <c:v>2.01894361525774E-2</c:v>
                </c:pt>
                <c:pt idx="1">
                  <c:v>1.47162117063999E-2</c:v>
                </c:pt>
                <c:pt idx="2">
                  <c:v>1.6103350557386799E-2</c:v>
                </c:pt>
                <c:pt idx="3">
                  <c:v>1.43522340804338E-2</c:v>
                </c:pt>
                <c:pt idx="4">
                  <c:v>1.7970439046621298E-2</c:v>
                </c:pt>
                <c:pt idx="5">
                  <c:v>7.4682909995317404E-2</c:v>
                </c:pt>
                <c:pt idx="6">
                  <c:v>1.37595320120453E-2</c:v>
                </c:pt>
                <c:pt idx="7">
                  <c:v>1.4279019087553E-2</c:v>
                </c:pt>
                <c:pt idx="8">
                  <c:v>1.5943530015647401E-2</c:v>
                </c:pt>
                <c:pt idx="9">
                  <c:v>1.3633457943797099E-2</c:v>
                </c:pt>
                <c:pt idx="10">
                  <c:v>1.3476771302521199E-2</c:v>
                </c:pt>
                <c:pt idx="11">
                  <c:v>2.0579898729920301E-2</c:v>
                </c:pt>
                <c:pt idx="12">
                  <c:v>2.0313364453613699E-2</c:v>
                </c:pt>
                <c:pt idx="13">
                  <c:v>0.26514577679335999</c:v>
                </c:pt>
                <c:pt idx="14">
                  <c:v>2.2161301225423799E-2</c:v>
                </c:pt>
                <c:pt idx="15">
                  <c:v>3.3530186861753401E-2</c:v>
                </c:pt>
                <c:pt idx="16">
                  <c:v>3.2995032146572997E-2</c:v>
                </c:pt>
                <c:pt idx="17">
                  <c:v>0.44185539055615602</c:v>
                </c:pt>
                <c:pt idx="18">
                  <c:v>0.44258954003453199</c:v>
                </c:pt>
                <c:pt idx="19">
                  <c:v>5.3945272229611797E-2</c:v>
                </c:pt>
                <c:pt idx="20">
                  <c:v>25.449986932799199</c:v>
                </c:pt>
                <c:pt idx="21">
                  <c:v>6.5455300733447006E-2</c:v>
                </c:pt>
                <c:pt idx="22">
                  <c:v>6.4647968858480398E-2</c:v>
                </c:pt>
                <c:pt idx="23">
                  <c:v>2.2800810802727902</c:v>
                </c:pt>
                <c:pt idx="24">
                  <c:v>2.2713823057711102</c:v>
                </c:pt>
                <c:pt idx="25">
                  <c:v>2.2809716304764098</c:v>
                </c:pt>
                <c:pt idx="26">
                  <c:v>162.452353297732</c:v>
                </c:pt>
                <c:pt idx="27">
                  <c:v>8.1521185357123596</c:v>
                </c:pt>
                <c:pt idx="28">
                  <c:v>8.1546515775844401</c:v>
                </c:pt>
                <c:pt idx="29">
                  <c:v>7169.6330119250297</c:v>
                </c:pt>
                <c:pt idx="30">
                  <c:v>13337.341799964101</c:v>
                </c:pt>
                <c:pt idx="31">
                  <c:v>0.34773479029536197</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8295.5894078454003</c:v>
                </c:pt>
                <c:pt idx="47">
                  <c:v>#N/A</c:v>
                </c:pt>
                <c:pt idx="48">
                  <c:v>#N/A</c:v>
                </c:pt>
                <c:pt idx="49">
                  <c:v>#N/A</c:v>
                </c:pt>
                <c:pt idx="50">
                  <c:v>#N/A</c:v>
                </c:pt>
              </c:numCache>
            </c:numRef>
          </c:yVal>
          <c:smooth val="0"/>
          <c:extLst>
            <c:ext xmlns:c16="http://schemas.microsoft.com/office/drawing/2014/chart" uri="{C3380CC4-5D6E-409C-BE32-E72D297353CC}">
              <c16:uniqueId val="{00000001-5EF6-CC44-9D1E-DE120C927619}"/>
            </c:ext>
          </c:extLst>
        </c:ser>
        <c:dLbls>
          <c:showLegendKey val="0"/>
          <c:showVal val="0"/>
          <c:showCatName val="0"/>
          <c:showSerName val="0"/>
          <c:showPercent val="0"/>
          <c:showBubbleSize val="0"/>
        </c:dLbls>
        <c:axId val="1651728079"/>
        <c:axId val="1651559615"/>
      </c:scatterChart>
      <c:valAx>
        <c:axId val="165172807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559615"/>
        <c:crossesAt val="1E-3"/>
        <c:crossBetween val="midCat"/>
      </c:valAx>
      <c:valAx>
        <c:axId val="1651559615"/>
        <c:scaling>
          <c:logBase val="10"/>
          <c:orientation val="minMax"/>
          <c:min val="1E-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 Time (s, log)</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728079"/>
        <c:crosses val="autoZero"/>
        <c:crossBetween val="midCat"/>
      </c:valAx>
      <c:spPr>
        <a:noFill/>
        <a:ln>
          <a:noFill/>
        </a:ln>
        <a:effectLst/>
      </c:spPr>
    </c:plotArea>
    <c:legend>
      <c:legendPos val="r"/>
      <c:layout>
        <c:manualLayout>
          <c:xMode val="edge"/>
          <c:yMode val="edge"/>
          <c:x val="0.61615594925634298"/>
          <c:y val="0.66015583989501314"/>
          <c:w val="0.34443405511811026"/>
          <c:h val="0.175782480314960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558800</xdr:colOff>
      <xdr:row>3</xdr:row>
      <xdr:rowOff>190500</xdr:rowOff>
    </xdr:from>
    <xdr:to>
      <xdr:col>33</xdr:col>
      <xdr:colOff>88900</xdr:colOff>
      <xdr:row>21</xdr:row>
      <xdr:rowOff>190500</xdr:rowOff>
    </xdr:to>
    <xdr:graphicFrame macro="">
      <xdr:nvGraphicFramePr>
        <xdr:cNvPr id="2" name="Chart 1">
          <a:extLst>
            <a:ext uri="{FF2B5EF4-FFF2-40B4-BE49-F238E27FC236}">
              <a16:creationId xmlns:a16="http://schemas.microsoft.com/office/drawing/2014/main" id="{3D868D77-395C-00BA-5678-12A3ECB98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609600</xdr:colOff>
      <xdr:row>24</xdr:row>
      <xdr:rowOff>190500</xdr:rowOff>
    </xdr:from>
    <xdr:to>
      <xdr:col>33</xdr:col>
      <xdr:colOff>139700</xdr:colOff>
      <xdr:row>42</xdr:row>
      <xdr:rowOff>190500</xdr:rowOff>
    </xdr:to>
    <xdr:graphicFrame macro="">
      <xdr:nvGraphicFramePr>
        <xdr:cNvPr id="3" name="Chart 2">
          <a:extLst>
            <a:ext uri="{FF2B5EF4-FFF2-40B4-BE49-F238E27FC236}">
              <a16:creationId xmlns:a16="http://schemas.microsoft.com/office/drawing/2014/main" id="{0E38DBA9-A749-72D0-130B-2A9582CCC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596900</xdr:colOff>
      <xdr:row>45</xdr:row>
      <xdr:rowOff>25400</xdr:rowOff>
    </xdr:from>
    <xdr:to>
      <xdr:col>33</xdr:col>
      <xdr:colOff>127000</xdr:colOff>
      <xdr:row>63</xdr:row>
      <xdr:rowOff>25400</xdr:rowOff>
    </xdr:to>
    <xdr:graphicFrame macro="">
      <xdr:nvGraphicFramePr>
        <xdr:cNvPr id="4" name="Chart 3">
          <a:extLst>
            <a:ext uri="{FF2B5EF4-FFF2-40B4-BE49-F238E27FC236}">
              <a16:creationId xmlns:a16="http://schemas.microsoft.com/office/drawing/2014/main" id="{CB450264-4DD0-76B9-A1CB-4FF2DDFC21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A9FB-C56E-774A-8B42-B71CB5E49142}">
  <dimension ref="A2:BQ171"/>
  <sheetViews>
    <sheetView workbookViewId="0">
      <selection activeCell="C2" sqref="C2:I32"/>
    </sheetView>
  </sheetViews>
  <sheetFormatPr baseColWidth="10" defaultRowHeight="16" x14ac:dyDescent="0.2"/>
  <cols>
    <col min="3" max="3" width="7.5" customWidth="1"/>
    <col min="4" max="4" width="7.33203125" customWidth="1"/>
    <col min="5" max="13" width="11.83203125" customWidth="1"/>
    <col min="14" max="14" width="9" customWidth="1"/>
    <col min="15" max="15" width="8.5" customWidth="1"/>
    <col min="16" max="27" width="7.33203125" customWidth="1"/>
    <col min="28" max="28" width="8.6640625" bestFit="1" customWidth="1"/>
    <col min="29" max="29" width="7.6640625" bestFit="1" customWidth="1"/>
    <col min="30" max="30" width="6.6640625" bestFit="1" customWidth="1"/>
    <col min="31" max="32" width="5.6640625" bestFit="1" customWidth="1"/>
    <col min="33" max="33" width="6.6640625" bestFit="1" customWidth="1"/>
    <col min="34" max="36" width="5.6640625" bestFit="1" customWidth="1"/>
    <col min="37" max="37" width="5.6640625" customWidth="1"/>
    <col min="38" max="38" width="6.6640625" bestFit="1" customWidth="1"/>
    <col min="39" max="47" width="5.6640625" customWidth="1"/>
    <col min="48" max="48" width="6" bestFit="1" customWidth="1"/>
    <col min="49" max="49" width="3.1640625" bestFit="1" customWidth="1"/>
    <col min="50" max="50" width="2.33203125" bestFit="1" customWidth="1"/>
    <col min="51" max="69" width="2.1640625" bestFit="1" customWidth="1"/>
  </cols>
  <sheetData>
    <row r="2" spans="1:22" x14ac:dyDescent="0.2">
      <c r="A2" t="s">
        <v>29</v>
      </c>
      <c r="C2">
        <v>1</v>
      </c>
      <c r="D2">
        <v>2</v>
      </c>
      <c r="E2">
        <v>9</v>
      </c>
      <c r="F2">
        <v>11</v>
      </c>
      <c r="G2">
        <v>10</v>
      </c>
      <c r="H2">
        <v>13</v>
      </c>
      <c r="I2">
        <v>12</v>
      </c>
      <c r="J2">
        <v>14</v>
      </c>
      <c r="K2">
        <v>16</v>
      </c>
      <c r="L2">
        <v>17</v>
      </c>
      <c r="M2">
        <v>15</v>
      </c>
      <c r="N2">
        <v>5</v>
      </c>
      <c r="O2">
        <v>4</v>
      </c>
      <c r="P2">
        <v>3</v>
      </c>
      <c r="Q2">
        <v>19</v>
      </c>
      <c r="R2">
        <v>7</v>
      </c>
      <c r="S2">
        <v>18</v>
      </c>
      <c r="T2">
        <v>8</v>
      </c>
      <c r="U2">
        <v>20</v>
      </c>
      <c r="V2">
        <v>6</v>
      </c>
    </row>
    <row r="3" spans="1:22" hidden="1" x14ac:dyDescent="0.2">
      <c r="C3" t="str" cm="1">
        <f t="array" aca="1" ref="C3" ca="1">INDIRECT("Sheet"&amp;C$2&amp;"!a1")</f>
        <v>runMode: serial</v>
      </c>
      <c r="D3" t="str" cm="1">
        <f t="array" aca="1" ref="D3" ca="1">INDIRECT("Sheet"&amp;D$2&amp;"!a1")</f>
        <v>runMode: serial</v>
      </c>
      <c r="E3" t="str" cm="1">
        <f t="array" aca="1" ref="E3" ca="1">INDIRECT("Sheet"&amp;E$2&amp;"!a1")</f>
        <v>runMode: serial</v>
      </c>
      <c r="F3" t="str" cm="1">
        <f t="array" aca="1" ref="F3" ca="1">INDIRECT("Sheet"&amp;F$2&amp;"!a1")</f>
        <v>runMode: serial</v>
      </c>
      <c r="G3" t="str" cm="1">
        <f t="array" aca="1" ref="G3" ca="1">INDIRECT("Sheet"&amp;G$2&amp;"!a1")</f>
        <v>runMode: serial</v>
      </c>
      <c r="H3" t="str" cm="1">
        <f t="array" aca="1" ref="H3" ca="1">INDIRECT("Sheet"&amp;H$2&amp;"!a1")</f>
        <v>runMode: serial</v>
      </c>
      <c r="I3" t="str" cm="1">
        <f t="array" aca="1" ref="I3" ca="1">INDIRECT("Sheet"&amp;I$2&amp;"!a1")</f>
        <v>runMode: serial</v>
      </c>
      <c r="J3" t="str" cm="1">
        <f t="array" aca="1" ref="J3" ca="1">INDIRECT("Sheet"&amp;J$2&amp;"!a1")</f>
        <v>runMode: serial</v>
      </c>
      <c r="K3" t="str" cm="1">
        <f t="array" aca="1" ref="K3" ca="1">INDIRECT("Sheet"&amp;K$2&amp;"!a1")</f>
        <v>runMode: serial</v>
      </c>
      <c r="M3" t="str" cm="1">
        <f t="array" aca="1" ref="M3" ca="1">INDIRECT("Sheet"&amp;M$2&amp;"!a1")</f>
        <v>runMode: serial</v>
      </c>
      <c r="N3" t="str" cm="1">
        <f t="array" aca="1" ref="N3" ca="1">INDIRECT("Sheet"&amp;N$2&amp;"!a1")</f>
        <v>runMode: serial</v>
      </c>
      <c r="O3" t="str" cm="1">
        <f t="array" aca="1" ref="O3" ca="1">INDIRECT("Sheet"&amp;O$2&amp;"!a1")</f>
        <v>runMode: serial</v>
      </c>
      <c r="P3" t="str" cm="1">
        <f t="array" aca="1" ref="P3" ca="1">INDIRECT("Sheet"&amp;P$2&amp;"!a1")</f>
        <v>runMode: serial</v>
      </c>
      <c r="R3" t="str" cm="1">
        <f t="array" aca="1" ref="R3" ca="1">INDIRECT("Sheet"&amp;R$2&amp;"!a1")</f>
        <v>runMode: serial</v>
      </c>
      <c r="T3" t="str" cm="1">
        <f t="array" aca="1" ref="T3" ca="1">INDIRECT("Sheet"&amp;T$2&amp;"!a1")</f>
        <v>runMode: serial</v>
      </c>
      <c r="V3" t="str" cm="1">
        <f t="array" aca="1" ref="V3" ca="1">INDIRECT("Sheet"&amp;V$2&amp;"!a1")</f>
        <v>runMode: serial</v>
      </c>
    </row>
    <row r="4" spans="1:22" hidden="1" x14ac:dyDescent="0.2">
      <c r="C4" t="str" cm="1">
        <f t="array" aca="1" ref="C4" ca="1">INDIRECT("Sheet"&amp;C$2&amp;"!a"&amp;ROW($A4)-2)</f>
        <v>maxCount: 10000</v>
      </c>
      <c r="D4" t="str" cm="1">
        <f t="array" aca="1" ref="D4" ca="1">INDIRECT("Sheet"&amp;D$2&amp;"!a"&amp;ROW($A4)-2)</f>
        <v>maxCount: 10000</v>
      </c>
      <c r="E4" t="str" cm="1">
        <f t="array" aca="1" ref="E4" ca="1">INDIRECT("Sheet"&amp;E$2&amp;"!a"&amp;ROW($A4)-2)</f>
        <v>maxCount: 10000</v>
      </c>
      <c r="F4" t="str" cm="1">
        <f t="array" aca="1" ref="F4" ca="1">INDIRECT("Sheet"&amp;F$2&amp;"!a"&amp;ROW($A4)-2)</f>
        <v>maxCount: 10000</v>
      </c>
      <c r="G4" t="str" cm="1">
        <f t="array" aca="1" ref="G4" ca="1">INDIRECT("Sheet"&amp;G$2&amp;"!a"&amp;ROW($A4)-2)</f>
        <v>maxCount: 10000</v>
      </c>
      <c r="H4" t="str" cm="1">
        <f t="array" aca="1" ref="H4" ca="1">INDIRECT("Sheet"&amp;H$2&amp;"!a"&amp;ROW($A4)-2)</f>
        <v>maxCount: 10000</v>
      </c>
      <c r="I4" t="str" cm="1">
        <f t="array" aca="1" ref="I4" ca="1">INDIRECT("Sheet"&amp;I$2&amp;"!a"&amp;ROW($A4)-2)</f>
        <v>maxCount: 10000</v>
      </c>
      <c r="J4" t="str" cm="1">
        <f t="array" aca="1" ref="J4" ca="1">INDIRECT("Sheet"&amp;J$2&amp;"!a"&amp;ROW($A4)-2)</f>
        <v>maxCount: 10000</v>
      </c>
      <c r="K4" t="str" cm="1">
        <f t="array" aca="1" ref="K4" ca="1">INDIRECT("Sheet"&amp;K$2&amp;"!a"&amp;ROW($A4)-2)</f>
        <v>maxCount: 10000</v>
      </c>
      <c r="M4" t="str" cm="1">
        <f t="array" aca="1" ref="M4" ca="1">INDIRECT("Sheet"&amp;M$2&amp;"!a"&amp;ROW($A4)-2)</f>
        <v>maxCount: 10000</v>
      </c>
      <c r="N4" t="str" cm="1">
        <f t="array" aca="1" ref="N4" ca="1">INDIRECT("Sheet"&amp;N$2&amp;"!a"&amp;ROW($A4)-2)</f>
        <v>maxCount: 10000</v>
      </c>
      <c r="O4" t="str" cm="1">
        <f t="array" aca="1" ref="O4" ca="1">INDIRECT("Sheet"&amp;O$2&amp;"!a"&amp;ROW($A4)-2)</f>
        <v>maxCount: 10000</v>
      </c>
      <c r="P4" t="str" cm="1">
        <f t="array" aca="1" ref="P4" ca="1">INDIRECT("Sheet"&amp;P$2&amp;"!a"&amp;ROW($A4)-2)</f>
        <v>maxCount: 10000</v>
      </c>
      <c r="R4" t="str" cm="1">
        <f t="array" aca="1" ref="R4" ca="1">INDIRECT("Sheet"&amp;R$2&amp;"!a"&amp;ROW($A4)-2)</f>
        <v>maxCount: 10000</v>
      </c>
      <c r="T4" t="str" cm="1">
        <f t="array" aca="1" ref="T4" ca="1">INDIRECT("Sheet"&amp;T$2&amp;"!a"&amp;ROW($A4)-2)</f>
        <v>maxCount: 10000</v>
      </c>
      <c r="V4" t="str" cm="1">
        <f t="array" aca="1" ref="V4" ca="1">INDIRECT("Sheet"&amp;V$2&amp;"!a"&amp;ROW($A4)-2)</f>
        <v>maxCount: 10000</v>
      </c>
    </row>
    <row r="5" spans="1:22" hidden="1" x14ac:dyDescent="0.2">
      <c r="C5" t="str" cm="1">
        <f t="array" aca="1" ref="C5" ca="1">INDIRECT("Sheet"&amp;C$2&amp;"!a"&amp;ROW($A5)-2)</f>
        <v>repeat: 1</v>
      </c>
      <c r="D5" t="str" cm="1">
        <f t="array" aca="1" ref="D5" ca="1">INDIRECT("Sheet"&amp;D$2&amp;"!a"&amp;ROW($A5)-2)</f>
        <v>repeat: 1</v>
      </c>
      <c r="E5" t="str" cm="1">
        <f t="array" aca="1" ref="E5" ca="1">INDIRECT("Sheet"&amp;E$2&amp;"!a"&amp;ROW($A5)-2)</f>
        <v>repeat: 1</v>
      </c>
      <c r="F5" t="str" cm="1">
        <f t="array" aca="1" ref="F5" ca="1">INDIRECT("Sheet"&amp;F$2&amp;"!a"&amp;ROW($A5)-2)</f>
        <v>repeat: 1</v>
      </c>
      <c r="G5" t="str" cm="1">
        <f t="array" aca="1" ref="G5" ca="1">INDIRECT("Sheet"&amp;G$2&amp;"!a"&amp;ROW($A5)-2)</f>
        <v>repeat: 1</v>
      </c>
      <c r="H5" t="str" cm="1">
        <f t="array" aca="1" ref="H5" ca="1">INDIRECT("Sheet"&amp;H$2&amp;"!a"&amp;ROW($A5)-2)</f>
        <v>repeat: 1</v>
      </c>
      <c r="I5" cm="1">
        <f t="array" aca="1" ref="I5" ca="1">INDIRECT("Sheet"&amp;I$2&amp;"!a"&amp;ROW($A5)-2)</f>
        <v>0</v>
      </c>
      <c r="J5" t="str" cm="1">
        <f t="array" aca="1" ref="J5" ca="1">INDIRECT("Sheet"&amp;J$2&amp;"!a"&amp;ROW($A5)-2)</f>
        <v>repeat: 1</v>
      </c>
      <c r="K5" t="str" cm="1">
        <f t="array" aca="1" ref="K5" ca="1">INDIRECT("Sheet"&amp;K$2&amp;"!a"&amp;ROW($A5)-2)</f>
        <v>repeat: 1</v>
      </c>
      <c r="M5" t="str" cm="1">
        <f t="array" aca="1" ref="M5" ca="1">INDIRECT("Sheet"&amp;M$2&amp;"!a"&amp;ROW($A5)-2)</f>
        <v>repeat: 1</v>
      </c>
      <c r="N5" t="str" cm="1">
        <f t="array" aca="1" ref="N5" ca="1">INDIRECT("Sheet"&amp;N$2&amp;"!a"&amp;ROW($A5)-2)</f>
        <v>repeat: 1</v>
      </c>
      <c r="O5" t="str" cm="1">
        <f t="array" aca="1" ref="O5" ca="1">INDIRECT("Sheet"&amp;O$2&amp;"!a"&amp;ROW($A5)-2)</f>
        <v>repeat: 1</v>
      </c>
      <c r="P5" t="str" cm="1">
        <f t="array" aca="1" ref="P5" ca="1">INDIRECT("Sheet"&amp;P$2&amp;"!a"&amp;ROW($A5)-2)</f>
        <v>repeat: 1</v>
      </c>
      <c r="R5" t="str" cm="1">
        <f t="array" aca="1" ref="R5" ca="1">INDIRECT("Sheet"&amp;R$2&amp;"!a"&amp;ROW($A5)-2)</f>
        <v>repeat: 1</v>
      </c>
      <c r="T5" t="str" cm="1">
        <f t="array" aca="1" ref="T5" ca="1">INDIRECT("Sheet"&amp;T$2&amp;"!a"&amp;ROW($A5)-2)</f>
        <v>repeat: 1</v>
      </c>
      <c r="V5" t="str" cm="1">
        <f t="array" aca="1" ref="V5" ca="1">INDIRECT("Sheet"&amp;V$2&amp;"!a"&amp;ROW($A5)-2)</f>
        <v>repeat: 1</v>
      </c>
    </row>
    <row r="6" spans="1:22" hidden="1" x14ac:dyDescent="0.2">
      <c r="C6" t="str" cm="1">
        <f t="array" aca="1" ref="C6" ca="1">INDIRECT("Sheet"&amp;C$2&amp;"!a"&amp;ROW($A6)-2)</f>
        <v>dataset: codeTables</v>
      </c>
      <c r="D6" t="str" cm="1">
        <f t="array" aca="1" ref="D6" ca="1">INDIRECT("Sheet"&amp;D$2&amp;"!a"&amp;ROW($A6)-2)</f>
        <v>dataset: codeTables</v>
      </c>
      <c r="E6" t="str" cm="1">
        <f t="array" aca="1" ref="E6" ca="1">INDIRECT("Sheet"&amp;E$2&amp;"!a"&amp;ROW($A6)-2)</f>
        <v>dataset: codeTables</v>
      </c>
      <c r="F6" t="str" cm="1">
        <f t="array" aca="1" ref="F6" ca="1">INDIRECT("Sheet"&amp;F$2&amp;"!a"&amp;ROW($A6)-2)</f>
        <v>dataset: codeTables</v>
      </c>
      <c r="G6" t="str" cm="1">
        <f t="array" aca="1" ref="G6" ca="1">INDIRECT("Sheet"&amp;G$2&amp;"!a"&amp;ROW($A6)-2)</f>
        <v>dataset: codeTables</v>
      </c>
      <c r="H6" t="str" cm="1">
        <f t="array" aca="1" ref="H6" ca="1">INDIRECT("Sheet"&amp;H$2&amp;"!a"&amp;ROW($A6)-2)</f>
        <v>dataset: codeTables</v>
      </c>
      <c r="I6" t="str" cm="1">
        <f t="array" aca="1" ref="I6" ca="1">INDIRECT("Sheet"&amp;I$2&amp;"!a"&amp;ROW($A6)-2)</f>
        <v>dataset: codeTables</v>
      </c>
      <c r="J6" t="str" cm="1">
        <f t="array" aca="1" ref="J6" ca="1">INDIRECT("Sheet"&amp;J$2&amp;"!a"&amp;ROW($A6)-2)</f>
        <v>dataset: codeTables</v>
      </c>
      <c r="K6" t="str" cm="1">
        <f t="array" aca="1" ref="K6" ca="1">INDIRECT("Sheet"&amp;K$2&amp;"!a"&amp;ROW($A6)-2)</f>
        <v>dataset: codeTables</v>
      </c>
      <c r="M6" t="str" cm="1">
        <f t="array" aca="1" ref="M6" ca="1">INDIRECT("Sheet"&amp;M$2&amp;"!a"&amp;ROW($A6)-2)</f>
        <v>dataset: codeTables</v>
      </c>
      <c r="N6" t="str" cm="1">
        <f t="array" aca="1" ref="N6" ca="1">INDIRECT("Sheet"&amp;N$2&amp;"!a"&amp;ROW($A6)-2)</f>
        <v>dataset: codeTables</v>
      </c>
      <c r="O6" t="str" cm="1">
        <f t="array" aca="1" ref="O6" ca="1">INDIRECT("Sheet"&amp;O$2&amp;"!a"&amp;ROW($A6)-2)</f>
        <v>dataset: codeTables</v>
      </c>
      <c r="P6" t="str" cm="1">
        <f t="array" aca="1" ref="P6" ca="1">INDIRECT("Sheet"&amp;P$2&amp;"!a"&amp;ROW($A6)-2)</f>
        <v>dataset: codeTables</v>
      </c>
      <c r="R6" t="str" cm="1">
        <f t="array" aca="1" ref="R6" ca="1">INDIRECT("Sheet"&amp;R$2&amp;"!a"&amp;ROW($A6)-2)</f>
        <v>dataset: codeTables</v>
      </c>
      <c r="T6" t="str" cm="1">
        <f t="array" aca="1" ref="T6" ca="1">INDIRECT("Sheet"&amp;T$2&amp;"!a"&amp;ROW($A6)-2)</f>
        <v>dataset: codeTables</v>
      </c>
      <c r="V6" t="str" cm="1">
        <f t="array" aca="1" ref="V6" ca="1">INDIRECT("Sheet"&amp;V$2&amp;"!a"&amp;ROW($A6)-2)</f>
        <v>dataset: codeTables</v>
      </c>
    </row>
    <row r="7" spans="1:22" hidden="1" x14ac:dyDescent="0.2">
      <c r="C7" t="str" cm="1">
        <f t="array" aca="1" ref="C7" ca="1">INDIRECT("Sheet"&amp;C$2&amp;"!a"&amp;ROW($A7)-2)</f>
        <v>datafile: QECC_sample.txt</v>
      </c>
      <c r="D7" t="str" cm="1">
        <f t="array" aca="1" ref="D7" ca="1">INDIRECT("Sheet"&amp;D$2&amp;"!a"&amp;ROW($A7)-2)</f>
        <v>datafile: QECC_sample.txt</v>
      </c>
      <c r="E7" t="str" cm="1">
        <f t="array" aca="1" ref="E7" ca="1">INDIRECT("Sheet"&amp;E$2&amp;"!a"&amp;ROW($A7)-2)</f>
        <v>datafile: QECC_sample.txt</v>
      </c>
      <c r="F7" t="str" cm="1">
        <f t="array" aca="1" ref="F7" ca="1">INDIRECT("Sheet"&amp;F$2&amp;"!a"&amp;ROW($A7)-2)</f>
        <v>datafile: QECC_sample.txt</v>
      </c>
      <c r="G7" t="str" cm="1">
        <f t="array" aca="1" ref="G7" ca="1">INDIRECT("Sheet"&amp;G$2&amp;"!a"&amp;ROW($A7)-2)</f>
        <v>datafile: QECC_sample.txt</v>
      </c>
      <c r="H7" t="str" cm="1">
        <f t="array" aca="1" ref="H7" ca="1">INDIRECT("Sheet"&amp;H$2&amp;"!a"&amp;ROW($A7)-2)</f>
        <v>datafile: QECC_sample.txt</v>
      </c>
      <c r="I7" t="str" cm="1">
        <f t="array" aca="1" ref="I7" ca="1">INDIRECT("Sheet"&amp;I$2&amp;"!a"&amp;ROW($A7)-2)</f>
        <v>datafile: QECC_sample.txt</v>
      </c>
      <c r="J7" t="str" cm="1">
        <f t="array" aca="1" ref="J7" ca="1">INDIRECT("Sheet"&amp;J$2&amp;"!a"&amp;ROW($A7)-2)</f>
        <v>datafile: QECC_sample.txt</v>
      </c>
      <c r="K7" t="str" cm="1">
        <f t="array" aca="1" ref="K7" ca="1">INDIRECT("Sheet"&amp;K$2&amp;"!a"&amp;ROW($A7)-2)</f>
        <v>datafile: QECC_sample.txt</v>
      </c>
      <c r="M7" t="str" cm="1">
        <f t="array" aca="1" ref="M7" ca="1">INDIRECT("Sheet"&amp;M$2&amp;"!a"&amp;ROW($A7)-2)</f>
        <v>datafile: QECC_sample.txt</v>
      </c>
      <c r="N7" t="str" cm="1">
        <f t="array" aca="1" ref="N7" ca="1">INDIRECT("Sheet"&amp;N$2&amp;"!a"&amp;ROW($A7)-2)</f>
        <v>datafile: QECC_sample.txt</v>
      </c>
      <c r="O7" t="str" cm="1">
        <f t="array" aca="1" ref="O7" ca="1">INDIRECT("Sheet"&amp;O$2&amp;"!a"&amp;ROW($A7)-2)</f>
        <v>datafile: QECC_sample.txt</v>
      </c>
      <c r="P7" t="str" cm="1">
        <f t="array" aca="1" ref="P7" ca="1">INDIRECT("Sheet"&amp;P$2&amp;"!a"&amp;ROW($A7)-2)</f>
        <v>datafile: QECC_sample.txt</v>
      </c>
      <c r="R7" t="str" cm="1">
        <f t="array" aca="1" ref="R7" ca="1">INDIRECT("Sheet"&amp;R$2&amp;"!a"&amp;ROW($A7)-2)</f>
        <v>datafile: QECC_sample.txt</v>
      </c>
      <c r="T7" t="str" cm="1">
        <f t="array" aca="1" ref="T7" ca="1">INDIRECT("Sheet"&amp;T$2&amp;"!a"&amp;ROW($A7)-2)</f>
        <v>datafile: QECC_sample.txt</v>
      </c>
      <c r="V7" t="str" cm="1">
        <f t="array" aca="1" ref="V7" ca="1">INDIRECT("Sheet"&amp;V$2&amp;"!a"&amp;ROW($A7)-2)</f>
        <v>datafile: QECC_sample.txt</v>
      </c>
    </row>
    <row r="8" spans="1:22" x14ac:dyDescent="0.2">
      <c r="A8" t="s">
        <v>882</v>
      </c>
      <c r="C8" t="str" cm="1">
        <f t="array" aca="1" ref="C8" ca="1">INDIRECT("Sheet"&amp;C$2&amp;"!a"&amp;ROW($A8)-2)</f>
        <v>method: GurobiDist</v>
      </c>
      <c r="D8" t="str" cm="1">
        <f t="array" aca="1" ref="D8" ca="1">INDIRECT("Sheet"&amp;D$2&amp;"!a"&amp;ROW($A8)-2)</f>
        <v>method: GurobiDist</v>
      </c>
      <c r="E8" t="str" cm="1">
        <f t="array" aca="1" ref="E8" ca="1">INDIRECT("Sheet"&amp;E$2&amp;"!a"&amp;ROW($A8)-2)</f>
        <v>method: BZDistMW</v>
      </c>
      <c r="F8" t="str" cm="1">
        <f t="array" aca="1" ref="F8" ca="1">INDIRECT("Sheet"&amp;F$2&amp;"!a"&amp;ROW($A8)-2)</f>
        <v>method: BZDistMW</v>
      </c>
      <c r="G8" t="str" cm="1">
        <f t="array" aca="1" ref="G8" ca="1">INDIRECT("Sheet"&amp;G$2&amp;"!a"&amp;ROW($A8)-2)</f>
        <v>method: BZDistMW</v>
      </c>
      <c r="H8" t="str" cm="1">
        <f t="array" aca="1" ref="H8" ca="1">INDIRECT("Sheet"&amp;H$2&amp;"!a"&amp;ROW($A8)-2)</f>
        <v>method: dist_m4ri_CC</v>
      </c>
      <c r="I8" t="str" cm="1">
        <f t="array" aca="1" ref="I8" ca="1">INDIRECT("Sheet"&amp;I$2&amp;"!a"&amp;ROW($A8)-2)</f>
        <v>method: dist_m4ri_CC</v>
      </c>
      <c r="J8" t="str" cm="1">
        <f t="array" aca="1" ref="J8" ca="1">INDIRECT("Sheet"&amp;J$2&amp;"!a"&amp;ROW($A8)-2)</f>
        <v>method: dist_m4ri_RW</v>
      </c>
      <c r="K8" t="str" cm="1">
        <f t="array" aca="1" ref="K8" ca="1">INDIRECT("Sheet"&amp;K$2&amp;"!a"&amp;ROW($A8)-2)</f>
        <v>method: dist_m4ri_RW</v>
      </c>
      <c r="L8" t="str" cm="1">
        <f t="array" aca="1" ref="L8" ca="1">INDIRECT("Sheet"&amp;L$2&amp;"!a"&amp;ROW($A8)-2)</f>
        <v>method: dist_m4ri_RW</v>
      </c>
      <c r="M8" t="str" cm="1">
        <f t="array" aca="1" ref="M8" ca="1">INDIRECT("Sheet"&amp;M$2&amp;"!a"&amp;ROW($A8)-2)</f>
        <v>method: dist_m4ri_RW</v>
      </c>
      <c r="N8" t="str" cm="1">
        <f t="array" aca="1" ref="N8" ca="1">INDIRECT("Sheet"&amp;N$2&amp;"!a"&amp;ROW($A8)-2)</f>
        <v>method: QDistEvol</v>
      </c>
      <c r="O8" t="str" cm="1">
        <f t="array" aca="1" ref="O8" ca="1">INDIRECT("Sheet"&amp;O$2&amp;"!a"&amp;ROW($A8)-2)</f>
        <v>method: QDistEvol</v>
      </c>
      <c r="P8" t="str" cm="1">
        <f t="array" aca="1" ref="P8" ca="1">INDIRECT("Sheet"&amp;P$2&amp;"!a"&amp;ROW($A8)-2)</f>
        <v>method: QDistEvol</v>
      </c>
      <c r="Q8" t="str" cm="1">
        <f t="array" aca="1" ref="Q8" ca="1">INDIRECT("Sheet"&amp;Q$2&amp;"!a"&amp;ROW($A8)-2)</f>
        <v>method: QDistRndMW</v>
      </c>
      <c r="R8" t="str" cm="1">
        <f t="array" aca="1" ref="R8" ca="1">INDIRECT("Sheet"&amp;R$2&amp;"!a"&amp;ROW($A8)-2)</f>
        <v>method: QDistRndMW</v>
      </c>
      <c r="S8" t="str" cm="1">
        <f t="array" aca="1" ref="S8" ca="1">INDIRECT("Sheet"&amp;S$2&amp;"!a"&amp;ROW($A8)-2)</f>
        <v>method: QDistRndMW</v>
      </c>
      <c r="T8" t="str" cm="1">
        <f t="array" aca="1" ref="T8" ca="1">INDIRECT("Sheet"&amp;T$2&amp;"!a"&amp;ROW($A8)-2)</f>
        <v>method: QDistRndMW</v>
      </c>
      <c r="U8" t="str" cm="1">
        <f t="array" aca="1" ref="U8" ca="1">INDIRECT("Sheet"&amp;U$2&amp;"!a"&amp;ROW($A8)-2)</f>
        <v>method: QDistRndMW</v>
      </c>
      <c r="V8" t="str" cm="1">
        <f t="array" aca="1" ref="V8" ca="1">INDIRECT("Sheet"&amp;V$2&amp;"!a"&amp;ROW($A8)-2)</f>
        <v>method: QDistRndMW</v>
      </c>
    </row>
    <row r="9" spans="1:22" hidden="1" x14ac:dyDescent="0.2">
      <c r="C9" t="str" cm="1">
        <f t="array" aca="1" ref="C9" ca="1">INDIRECT("Sheet"&amp;C$2&amp;"!a"&amp;ROW($A9)-2)</f>
        <v>ignoreTrivialCodes: 1</v>
      </c>
      <c r="D9" t="str" cm="1">
        <f t="array" aca="1" ref="D9" ca="1">INDIRECT("Sheet"&amp;D$2&amp;"!a"&amp;ROW($A9)-2)</f>
        <v>ignoreTrivialCodes: 1</v>
      </c>
      <c r="E9" t="str" cm="1">
        <f t="array" aca="1" ref="E9" ca="1">INDIRECT("Sheet"&amp;E$2&amp;"!a"&amp;ROW($A9)-2)</f>
        <v>ignoreTrivialCodes: 1</v>
      </c>
      <c r="F9" t="str" cm="1">
        <f t="array" aca="1" ref="F9" ca="1">INDIRECT("Sheet"&amp;F$2&amp;"!a"&amp;ROW($A9)-2)</f>
        <v>ignoreTrivialCodes: 1</v>
      </c>
      <c r="G9" t="str" cm="1">
        <f t="array" aca="1" ref="G9" ca="1">INDIRECT("Sheet"&amp;G$2&amp;"!a"&amp;ROW($A9)-2)</f>
        <v>ignoreTrivialCodes: 1</v>
      </c>
      <c r="H9" t="str" cm="1">
        <f t="array" aca="1" ref="H9" ca="1">INDIRECT("Sheet"&amp;H$2&amp;"!a"&amp;ROW($A9)-2)</f>
        <v>ignoreTrivialCodes: 1</v>
      </c>
      <c r="I9" t="str" cm="1">
        <f t="array" aca="1" ref="I9" ca="1">INDIRECT("Sheet"&amp;I$2&amp;"!a"&amp;ROW($A9)-2)</f>
        <v>ignoreTrivialCodes: 1</v>
      </c>
      <c r="J9" t="str" cm="1">
        <f t="array" aca="1" ref="J9" ca="1">INDIRECT("Sheet"&amp;J$2&amp;"!a"&amp;ROW($A9)-2)</f>
        <v>ignoreTrivialCodes: 1</v>
      </c>
      <c r="K9" t="str" cm="1">
        <f t="array" aca="1" ref="K9" ca="1">INDIRECT("Sheet"&amp;K$2&amp;"!a"&amp;ROW($A9)-2)</f>
        <v>ignoreTrivialCodes: 1</v>
      </c>
      <c r="L9" t="str" cm="1">
        <f t="array" aca="1" ref="L9" ca="1">INDIRECT("Sheet"&amp;L$2&amp;"!a"&amp;ROW($A9)-2)</f>
        <v>ignoreTrivialCodes: 1</v>
      </c>
      <c r="M9" t="str" cm="1">
        <f t="array" aca="1" ref="M9" ca="1">INDIRECT("Sheet"&amp;M$2&amp;"!a"&amp;ROW($A9)-2)</f>
        <v>ignoreTrivialCodes: 1</v>
      </c>
      <c r="N9" t="str" cm="1">
        <f t="array" aca="1" ref="N9" ca="1">INDIRECT("Sheet"&amp;N$2&amp;"!a"&amp;ROW($A9)-2)</f>
        <v>ignoreTrivialCodes: 1</v>
      </c>
      <c r="O9" t="str" cm="1">
        <f t="array" aca="1" ref="O9" ca="1">INDIRECT("Sheet"&amp;O$2&amp;"!a"&amp;ROW($A9)-2)</f>
        <v>ignoreTrivialCodes: 1</v>
      </c>
      <c r="P9" t="str" cm="1">
        <f t="array" aca="1" ref="P9" ca="1">INDIRECT("Sheet"&amp;P$2&amp;"!a"&amp;ROW($A9)-2)</f>
        <v>ignoreTrivialCodes: 1</v>
      </c>
      <c r="Q9" t="str" cm="1">
        <f t="array" aca="1" ref="Q9" ca="1">INDIRECT("Sheet"&amp;Q$2&amp;"!a"&amp;ROW($A9)-2)</f>
        <v>ignoreTrivialCodes: 1</v>
      </c>
      <c r="R9" t="str" cm="1">
        <f t="array" aca="1" ref="R9" ca="1">INDIRECT("Sheet"&amp;R$2&amp;"!a"&amp;ROW($A9)-2)</f>
        <v>ignoreTrivialCodes: 1</v>
      </c>
      <c r="S9" t="str" cm="1">
        <f t="array" aca="1" ref="S9" ca="1">INDIRECT("Sheet"&amp;S$2&amp;"!a"&amp;ROW($A9)-2)</f>
        <v>ignoreTrivialCodes: 1</v>
      </c>
      <c r="T9" t="str" cm="1">
        <f t="array" aca="1" ref="T9" ca="1">INDIRECT("Sheet"&amp;T$2&amp;"!a"&amp;ROW($A9)-2)</f>
        <v>ignoreTrivialCodes: 1</v>
      </c>
      <c r="U9" t="str" cm="1">
        <f t="array" aca="1" ref="U9" ca="1">INDIRECT("Sheet"&amp;U$2&amp;"!a"&amp;ROW($A9)-2)</f>
        <v>ignoreTrivialCodes: 1</v>
      </c>
      <c r="V9" t="str" cm="1">
        <f t="array" aca="1" ref="V9" ca="1">INDIRECT("Sheet"&amp;V$2&amp;"!a"&amp;ROW($A9)-2)</f>
        <v>ignoreTrivialCodes: 1</v>
      </c>
    </row>
    <row r="10" spans="1:22" hidden="1" x14ac:dyDescent="0.2">
      <c r="C10" t="str" cm="1">
        <f t="array" aca="1" ref="C10" ca="1">INDIRECT("Sheet"&amp;C$2&amp;"!a"&amp;ROW($A10)-2)</f>
        <v>resume: 0</v>
      </c>
      <c r="D10" t="str" cm="1">
        <f t="array" aca="1" ref="D10" ca="1">INDIRECT("Sheet"&amp;D$2&amp;"!a"&amp;ROW($A10)-2)</f>
        <v>resume: 0</v>
      </c>
      <c r="E10" t="str" cm="1">
        <f t="array" aca="1" ref="E10" ca="1">INDIRECT("Sheet"&amp;E$2&amp;"!a"&amp;ROW($A10)-2)</f>
        <v>resume: 0</v>
      </c>
      <c r="F10" t="str" cm="1">
        <f t="array" aca="1" ref="F10" ca="1">INDIRECT("Sheet"&amp;F$2&amp;"!a"&amp;ROW($A10)-2)</f>
        <v>resume: 0</v>
      </c>
      <c r="G10" t="str" cm="1">
        <f t="array" aca="1" ref="G10" ca="1">INDIRECT("Sheet"&amp;G$2&amp;"!a"&amp;ROW($A10)-2)</f>
        <v>resume: 0</v>
      </c>
      <c r="H10" t="str" cm="1">
        <f t="array" aca="1" ref="H10" ca="1">INDIRECT("Sheet"&amp;H$2&amp;"!a"&amp;ROW($A10)-2)</f>
        <v>resume: 0</v>
      </c>
      <c r="I10" t="str" cm="1">
        <f t="array" aca="1" ref="I10" ca="1">INDIRECT("Sheet"&amp;I$2&amp;"!a"&amp;ROW($A10)-2)</f>
        <v>resume: 0</v>
      </c>
      <c r="J10" t="str" cm="1">
        <f t="array" aca="1" ref="J10" ca="1">INDIRECT("Sheet"&amp;J$2&amp;"!a"&amp;ROW($A10)-2)</f>
        <v>resume: 0</v>
      </c>
      <c r="K10" t="str" cm="1">
        <f t="array" aca="1" ref="K10" ca="1">INDIRECT("Sheet"&amp;K$2&amp;"!a"&amp;ROW($A10)-2)</f>
        <v>resume: 0</v>
      </c>
      <c r="L10" t="str" cm="1">
        <f t="array" aca="1" ref="L10" ca="1">INDIRECT("Sheet"&amp;L$2&amp;"!a"&amp;ROW($A10)-2)</f>
        <v>resume: 0</v>
      </c>
      <c r="M10" t="str" cm="1">
        <f t="array" aca="1" ref="M10" ca="1">INDIRECT("Sheet"&amp;M$2&amp;"!a"&amp;ROW($A10)-2)</f>
        <v>resume: 0</v>
      </c>
      <c r="N10" t="str" cm="1">
        <f t="array" aca="1" ref="N10" ca="1">INDIRECT("Sheet"&amp;N$2&amp;"!a"&amp;ROW($A10)-2)</f>
        <v>resume: 0</v>
      </c>
      <c r="O10" t="str" cm="1">
        <f t="array" aca="1" ref="O10" ca="1">INDIRECT("Sheet"&amp;O$2&amp;"!a"&amp;ROW($A10)-2)</f>
        <v>resume: 0</v>
      </c>
      <c r="P10" t="str" cm="1">
        <f t="array" aca="1" ref="P10" ca="1">INDIRECT("Sheet"&amp;P$2&amp;"!a"&amp;ROW($A10)-2)</f>
        <v>resume: 0</v>
      </c>
      <c r="Q10" t="str" cm="1">
        <f t="array" aca="1" ref="Q10" ca="1">INDIRECT("Sheet"&amp;Q$2&amp;"!a"&amp;ROW($A10)-2)</f>
        <v>resume: 0</v>
      </c>
      <c r="R10" t="str" cm="1">
        <f t="array" aca="1" ref="R10" ca="1">INDIRECT("Sheet"&amp;R$2&amp;"!a"&amp;ROW($A10)-2)</f>
        <v>resume: 0</v>
      </c>
      <c r="S10" t="str" cm="1">
        <f t="array" aca="1" ref="S10" ca="1">INDIRECT("Sheet"&amp;S$2&amp;"!a"&amp;ROW($A10)-2)</f>
        <v>resume: 0</v>
      </c>
      <c r="T10" t="str" cm="1">
        <f t="array" aca="1" ref="T10" ca="1">INDIRECT("Sheet"&amp;T$2&amp;"!a"&amp;ROW($A10)-2)</f>
        <v>resume: 0</v>
      </c>
      <c r="U10" t="str" cm="1">
        <f t="array" aca="1" ref="U10" ca="1">INDIRECT("Sheet"&amp;U$2&amp;"!a"&amp;ROW($A10)-2)</f>
        <v>resume: 0</v>
      </c>
      <c r="V10" t="str" cm="1">
        <f t="array" aca="1" ref="V10" ca="1">INDIRECT("Sheet"&amp;V$2&amp;"!a"&amp;ROW($A10)-2)</f>
        <v>resume: 0</v>
      </c>
    </row>
    <row r="11" spans="1:22" hidden="1" x14ac:dyDescent="0.2">
      <c r="C11" t="str" cm="1">
        <f t="array" aca="1" ref="C11" ca="1">INDIRECT("Sheet"&amp;C$2&amp;"!a"&amp;ROW($A11)-2)</f>
        <v>nMin: 1</v>
      </c>
      <c r="D11" t="str" cm="1">
        <f t="array" aca="1" ref="D11" ca="1">INDIRECT("Sheet"&amp;D$2&amp;"!a"&amp;ROW($A11)-2)</f>
        <v>nMin: 1</v>
      </c>
      <c r="E11" t="str" cm="1">
        <f t="array" aca="1" ref="E11" ca="1">INDIRECT("Sheet"&amp;E$2&amp;"!a"&amp;ROW($A11)-2)</f>
        <v>nMin: 1</v>
      </c>
      <c r="F11" t="str" cm="1">
        <f t="array" aca="1" ref="F11" ca="1">INDIRECT("Sheet"&amp;F$2&amp;"!a"&amp;ROW($A11)-2)</f>
        <v>nMin: 1</v>
      </c>
      <c r="G11" t="str" cm="1">
        <f t="array" aca="1" ref="G11" ca="1">INDIRECT("Sheet"&amp;G$2&amp;"!a"&amp;ROW($A11)-2)</f>
        <v>nMin: 1</v>
      </c>
      <c r="H11" t="str" cm="1">
        <f t="array" aca="1" ref="H11" ca="1">INDIRECT("Sheet"&amp;H$2&amp;"!a"&amp;ROW($A11)-2)</f>
        <v>nMin: 1</v>
      </c>
      <c r="I11" cm="1">
        <f t="array" aca="1" ref="I11" ca="1">INDIRECT("Sheet"&amp;I$2&amp;"!a"&amp;ROW($A11)-2)</f>
        <v>0</v>
      </c>
      <c r="J11" t="str" cm="1">
        <f t="array" aca="1" ref="J11" ca="1">INDIRECT("Sheet"&amp;J$2&amp;"!a"&amp;ROW($A11)-2)</f>
        <v>nMin: 1</v>
      </c>
      <c r="K11" t="str" cm="1">
        <f t="array" aca="1" ref="K11" ca="1">INDIRECT("Sheet"&amp;K$2&amp;"!a"&amp;ROW($A11)-2)</f>
        <v>nMin: 1</v>
      </c>
      <c r="L11" t="str" cm="1">
        <f t="array" aca="1" ref="L11" ca="1">INDIRECT("Sheet"&amp;L$2&amp;"!a"&amp;ROW($A11)-2)</f>
        <v>nMin: 1</v>
      </c>
      <c r="M11" t="str" cm="1">
        <f t="array" aca="1" ref="M11" ca="1">INDIRECT("Sheet"&amp;M$2&amp;"!a"&amp;ROW($A11)-2)</f>
        <v>nMin: 1</v>
      </c>
      <c r="N11" t="str" cm="1">
        <f t="array" aca="1" ref="N11" ca="1">INDIRECT("Sheet"&amp;N$2&amp;"!a"&amp;ROW($A11)-2)</f>
        <v>nMin: 1</v>
      </c>
      <c r="O11" t="str" cm="1">
        <f t="array" aca="1" ref="O11" ca="1">INDIRECT("Sheet"&amp;O$2&amp;"!a"&amp;ROW($A11)-2)</f>
        <v>nMin: 1</v>
      </c>
      <c r="P11" t="str" cm="1">
        <f t="array" aca="1" ref="P11" ca="1">INDIRECT("Sheet"&amp;P$2&amp;"!a"&amp;ROW($A11)-2)</f>
        <v>nMin: 1</v>
      </c>
      <c r="Q11" t="str" cm="1">
        <f t="array" aca="1" ref="Q11" ca="1">INDIRECT("Sheet"&amp;Q$2&amp;"!a"&amp;ROW($A11)-2)</f>
        <v>nMin: 1</v>
      </c>
      <c r="R11" t="str" cm="1">
        <f t="array" aca="1" ref="R11" ca="1">INDIRECT("Sheet"&amp;R$2&amp;"!a"&amp;ROW($A11)-2)</f>
        <v>nMin: 1</v>
      </c>
      <c r="S11" t="str" cm="1">
        <f t="array" aca="1" ref="S11" ca="1">INDIRECT("Sheet"&amp;S$2&amp;"!a"&amp;ROW($A11)-2)</f>
        <v>nMin: 1</v>
      </c>
      <c r="T11" t="str" cm="1">
        <f t="array" aca="1" ref="T11" ca="1">INDIRECT("Sheet"&amp;T$2&amp;"!a"&amp;ROW($A11)-2)</f>
        <v>nMin: 1</v>
      </c>
      <c r="U11" t="str" cm="1">
        <f t="array" aca="1" ref="U11" ca="1">INDIRECT("Sheet"&amp;U$2&amp;"!a"&amp;ROW($A11)-2)</f>
        <v>nMin: 1</v>
      </c>
      <c r="V11" t="str" cm="1">
        <f t="array" aca="1" ref="V11" ca="1">INDIRECT("Sheet"&amp;V$2&amp;"!a"&amp;ROW($A11)-2)</f>
        <v>nMin: 1</v>
      </c>
    </row>
    <row r="12" spans="1:22" hidden="1" x14ac:dyDescent="0.2">
      <c r="C12" t="str" cm="1">
        <f t="array" aca="1" ref="C12" ca="1">INDIRECT("Sheet"&amp;C$2&amp;"!a"&amp;ROW($A12)-2)</f>
        <v>nMax: 100000</v>
      </c>
      <c r="D12" t="str" cm="1">
        <f t="array" aca="1" ref="D12" ca="1">INDIRECT("Sheet"&amp;D$2&amp;"!a"&amp;ROW($A12)-2)</f>
        <v>nMax: 100000</v>
      </c>
      <c r="E12" t="str" cm="1">
        <f t="array" aca="1" ref="E12" ca="1">INDIRECT("Sheet"&amp;E$2&amp;"!a"&amp;ROW($A12)-2)</f>
        <v>nMax: 100000</v>
      </c>
      <c r="F12" t="str" cm="1">
        <f t="array" aca="1" ref="F12" ca="1">INDIRECT("Sheet"&amp;F$2&amp;"!a"&amp;ROW($A12)-2)</f>
        <v>nMax: 100000</v>
      </c>
      <c r="G12" t="str" cm="1">
        <f t="array" aca="1" ref="G12" ca="1">INDIRECT("Sheet"&amp;G$2&amp;"!a"&amp;ROW($A12)-2)</f>
        <v>nMax: 100000</v>
      </c>
      <c r="H12" t="str" cm="1">
        <f t="array" aca="1" ref="H12" ca="1">INDIRECT("Sheet"&amp;H$2&amp;"!a"&amp;ROW($A12)-2)</f>
        <v>nMax: 100000</v>
      </c>
      <c r="I12" cm="1">
        <f t="array" aca="1" ref="I12" ca="1">INDIRECT("Sheet"&amp;I$2&amp;"!a"&amp;ROW($A12)-2)</f>
        <v>0</v>
      </c>
      <c r="J12" t="str" cm="1">
        <f t="array" aca="1" ref="J12" ca="1">INDIRECT("Sheet"&amp;J$2&amp;"!a"&amp;ROW($A12)-2)</f>
        <v>nMax: 100000</v>
      </c>
      <c r="K12" t="str" cm="1">
        <f t="array" aca="1" ref="K12" ca="1">INDIRECT("Sheet"&amp;K$2&amp;"!a"&amp;ROW($A12)-2)</f>
        <v>nMax: 100000</v>
      </c>
      <c r="L12" t="str" cm="1">
        <f t="array" aca="1" ref="L12" ca="1">INDIRECT("Sheet"&amp;L$2&amp;"!a"&amp;ROW($A12)-2)</f>
        <v>nMax: 100000</v>
      </c>
      <c r="M12" t="str" cm="1">
        <f t="array" aca="1" ref="M12" ca="1">INDIRECT("Sheet"&amp;M$2&amp;"!a"&amp;ROW($A12)-2)</f>
        <v>nMax: 100000</v>
      </c>
      <c r="N12" t="str" cm="1">
        <f t="array" aca="1" ref="N12" ca="1">INDIRECT("Sheet"&amp;N$2&amp;"!a"&amp;ROW($A12)-2)</f>
        <v>nMax: 100000</v>
      </c>
      <c r="O12" t="str" cm="1">
        <f t="array" aca="1" ref="O12" ca="1">INDIRECT("Sheet"&amp;O$2&amp;"!a"&amp;ROW($A12)-2)</f>
        <v>nMax: 100000</v>
      </c>
      <c r="P12" t="str" cm="1">
        <f t="array" aca="1" ref="P12" ca="1">INDIRECT("Sheet"&amp;P$2&amp;"!a"&amp;ROW($A12)-2)</f>
        <v>nMax: 100000</v>
      </c>
      <c r="Q12" t="str" cm="1">
        <f t="array" aca="1" ref="Q12" ca="1">INDIRECT("Sheet"&amp;Q$2&amp;"!a"&amp;ROW($A12)-2)</f>
        <v>nMax: 100000</v>
      </c>
      <c r="R12" t="str" cm="1">
        <f t="array" aca="1" ref="R12" ca="1">INDIRECT("Sheet"&amp;R$2&amp;"!a"&amp;ROW($A12)-2)</f>
        <v>nMax: 100000</v>
      </c>
      <c r="S12" t="str" cm="1">
        <f t="array" aca="1" ref="S12" ca="1">INDIRECT("Sheet"&amp;S$2&amp;"!a"&amp;ROW($A12)-2)</f>
        <v>nMax: 100000</v>
      </c>
      <c r="T12" t="str" cm="1">
        <f t="array" aca="1" ref="T12" ca="1">INDIRECT("Sheet"&amp;T$2&amp;"!a"&amp;ROW($A12)-2)</f>
        <v>nMax: 100000</v>
      </c>
      <c r="U12" t="str" cm="1">
        <f t="array" aca="1" ref="U12" ca="1">INDIRECT("Sheet"&amp;U$2&amp;"!a"&amp;ROW($A12)-2)</f>
        <v>nMax: 100000</v>
      </c>
      <c r="V12" t="str" cm="1">
        <f t="array" aca="1" ref="V12" ca="1">INDIRECT("Sheet"&amp;V$2&amp;"!a"&amp;ROW($A12)-2)</f>
        <v>nMax: 100000</v>
      </c>
    </row>
    <row r="13" spans="1:22" hidden="1" x14ac:dyDescent="0.2">
      <c r="C13" t="str" cm="1">
        <f t="array" aca="1" ref="C13" ca="1">INDIRECT("Sheet"&amp;C$2&amp;"!a"&amp;ROW($A13)-2)</f>
        <v>iterCount: 10000</v>
      </c>
      <c r="D13" t="str" cm="1">
        <f t="array" aca="1" ref="D13" ca="1">INDIRECT("Sheet"&amp;D$2&amp;"!a"&amp;ROW($A13)-2)</f>
        <v>iterCount: 10000</v>
      </c>
      <c r="E13" t="str" cm="1">
        <f t="array" aca="1" ref="E13" ca="1">INDIRECT("Sheet"&amp;E$2&amp;"!a"&amp;ROW($A13)-2)</f>
        <v>iterCount: 10000</v>
      </c>
      <c r="F13" t="str" cm="1">
        <f t="array" aca="1" ref="F13" ca="1">INDIRECT("Sheet"&amp;F$2&amp;"!a"&amp;ROW($A13)-2)</f>
        <v>iterCount: 10000</v>
      </c>
      <c r="G13" t="str" cm="1">
        <f t="array" aca="1" ref="G13" ca="1">INDIRECT("Sheet"&amp;G$2&amp;"!a"&amp;ROW($A13)-2)</f>
        <v>iterCount: 10000</v>
      </c>
      <c r="H13" t="str" cm="1">
        <f t="array" aca="1" ref="H13" ca="1">INDIRECT("Sheet"&amp;H$2&amp;"!a"&amp;ROW($A13)-2)</f>
        <v>iterCount: 10000</v>
      </c>
      <c r="I13" t="str" cm="1">
        <f t="array" aca="1" ref="I13" ca="1">INDIRECT("Sheet"&amp;I$2&amp;"!a"&amp;ROW($A13)-2)</f>
        <v>iterCount: 10000</v>
      </c>
      <c r="J13" t="str" cm="1">
        <f t="array" aca="1" ref="J13" ca="1">INDIRECT("Sheet"&amp;J$2&amp;"!a"&amp;ROW($A13)-2)</f>
        <v>iterCount: 10000</v>
      </c>
      <c r="K13" t="str" cm="1">
        <f t="array" aca="1" ref="K13" ca="1">INDIRECT("Sheet"&amp;K$2&amp;"!a"&amp;ROW($A13)-2)</f>
        <v>iterCount: 10000</v>
      </c>
      <c r="L13" t="str" cm="1">
        <f t="array" aca="1" ref="L13" ca="1">INDIRECT("Sheet"&amp;L$2&amp;"!a"&amp;ROW($A13)-2)</f>
        <v>iterCount: 10000</v>
      </c>
      <c r="M13" t="str" cm="1">
        <f t="array" aca="1" ref="M13" ca="1">INDIRECT("Sheet"&amp;M$2&amp;"!a"&amp;ROW($A13)-2)</f>
        <v>iterCount: 10000</v>
      </c>
      <c r="N13" t="str" cm="1">
        <f t="array" aca="1" ref="N13" ca="1">INDIRECT("Sheet"&amp;N$2&amp;"!a"&amp;ROW($A13)-2)</f>
        <v>iterCount: 10000</v>
      </c>
      <c r="O13" t="str" cm="1">
        <f t="array" aca="1" ref="O13" ca="1">INDIRECT("Sheet"&amp;O$2&amp;"!a"&amp;ROW($A13)-2)</f>
        <v>iterCount: 10000</v>
      </c>
      <c r="P13" t="str" cm="1">
        <f t="array" aca="1" ref="P13" ca="1">INDIRECT("Sheet"&amp;P$2&amp;"!a"&amp;ROW($A13)-2)</f>
        <v>iterCount: 10000</v>
      </c>
      <c r="Q13" t="str" cm="1">
        <f t="array" aca="1" ref="Q13" ca="1">INDIRECT("Sheet"&amp;Q$2&amp;"!a"&amp;ROW($A13)-2)</f>
        <v>iterCount: 10000</v>
      </c>
      <c r="R13" t="str" cm="1">
        <f t="array" aca="1" ref="R13" ca="1">INDIRECT("Sheet"&amp;R$2&amp;"!a"&amp;ROW($A13)-2)</f>
        <v>iterCount: 10000</v>
      </c>
      <c r="S13" t="str" cm="1">
        <f t="array" aca="1" ref="S13" ca="1">INDIRECT("Sheet"&amp;S$2&amp;"!a"&amp;ROW($A13)-2)</f>
        <v>iterCount: 10000</v>
      </c>
      <c r="T13" t="str" cm="1">
        <f t="array" aca="1" ref="T13" ca="1">INDIRECT("Sheet"&amp;T$2&amp;"!a"&amp;ROW($A13)-2)</f>
        <v>iterCount: 10000</v>
      </c>
      <c r="U13" t="str" cm="1">
        <f t="array" aca="1" ref="U13" ca="1">INDIRECT("Sheet"&amp;U$2&amp;"!a"&amp;ROW($A13)-2)</f>
        <v>iterCount: 10000</v>
      </c>
      <c r="V13" t="str" cm="1">
        <f t="array" aca="1" ref="V13" ca="1">INDIRECT("Sheet"&amp;V$2&amp;"!a"&amp;ROW($A13)-2)</f>
        <v>iterCount: 10000</v>
      </c>
    </row>
    <row r="14" spans="1:22" hidden="1" x14ac:dyDescent="0.2">
      <c r="C14" t="str" cm="1">
        <f t="array" aca="1" ref="C14" ca="1">INDIRECT("Sheet"&amp;C$2&amp;"!a"&amp;ROW($A14)-2)</f>
        <v>maxTime: 28800</v>
      </c>
      <c r="D14" t="str" cm="1">
        <f t="array" aca="1" ref="D14" ca="1">INDIRECT("Sheet"&amp;D$2&amp;"!a"&amp;ROW($A14)-2)</f>
        <v>maxTime: 28800</v>
      </c>
      <c r="E14" t="str" cm="1">
        <f t="array" aca="1" ref="E14" ca="1">INDIRECT("Sheet"&amp;E$2&amp;"!a"&amp;ROW($A14)-2)</f>
        <v>maxTime: 28800</v>
      </c>
      <c r="F14" t="str" cm="1">
        <f t="array" aca="1" ref="F14" ca="1">INDIRECT("Sheet"&amp;F$2&amp;"!a"&amp;ROW($A14)-2)</f>
        <v>maxTime: 28800</v>
      </c>
      <c r="G14" t="str" cm="1">
        <f t="array" aca="1" ref="G14" ca="1">INDIRECT("Sheet"&amp;G$2&amp;"!a"&amp;ROW($A14)-2)</f>
        <v>maxTime: 28800</v>
      </c>
      <c r="H14" t="str" cm="1">
        <f t="array" aca="1" ref="H14" ca="1">INDIRECT("Sheet"&amp;H$2&amp;"!a"&amp;ROW($A14)-2)</f>
        <v>maxTime: 28800</v>
      </c>
      <c r="I14" t="str" cm="1">
        <f t="array" aca="1" ref="I14" ca="1">INDIRECT("Sheet"&amp;I$2&amp;"!a"&amp;ROW($A14)-2)</f>
        <v>maxTime: 28800</v>
      </c>
      <c r="J14" t="str" cm="1">
        <f t="array" aca="1" ref="J14" ca="1">INDIRECT("Sheet"&amp;J$2&amp;"!a"&amp;ROW($A14)-2)</f>
        <v>maxTime: 28800</v>
      </c>
      <c r="K14" t="str" cm="1">
        <f t="array" aca="1" ref="K14" ca="1">INDIRECT("Sheet"&amp;K$2&amp;"!a"&amp;ROW($A14)-2)</f>
        <v>maxTime: 28800</v>
      </c>
      <c r="L14" t="str" cm="1">
        <f t="array" aca="1" ref="L14" ca="1">INDIRECT("Sheet"&amp;L$2&amp;"!a"&amp;ROW($A14)-2)</f>
        <v>maxTime: 28800</v>
      </c>
      <c r="M14" t="str" cm="1">
        <f t="array" aca="1" ref="M14" ca="1">INDIRECT("Sheet"&amp;M$2&amp;"!a"&amp;ROW($A14)-2)</f>
        <v>maxTime: 28800</v>
      </c>
      <c r="N14" t="str" cm="1">
        <f t="array" aca="1" ref="N14" ca="1">INDIRECT("Sheet"&amp;N$2&amp;"!a"&amp;ROW($A14)-2)</f>
        <v>maxTime: 28800</v>
      </c>
      <c r="O14" t="str" cm="1">
        <f t="array" aca="1" ref="O14" ca="1">INDIRECT("Sheet"&amp;O$2&amp;"!a"&amp;ROW($A14)-2)</f>
        <v>maxTime: 28800</v>
      </c>
      <c r="P14" t="str" cm="1">
        <f t="array" aca="1" ref="P14" ca="1">INDIRECT("Sheet"&amp;P$2&amp;"!a"&amp;ROW($A14)-2)</f>
        <v>maxTime: 28800</v>
      </c>
      <c r="Q14" t="str" cm="1">
        <f t="array" aca="1" ref="Q14" ca="1">INDIRECT("Sheet"&amp;Q$2&amp;"!a"&amp;ROW($A14)-2)</f>
        <v>maxTime: 28800</v>
      </c>
      <c r="R14" t="str" cm="1">
        <f t="array" aca="1" ref="R14" ca="1">INDIRECT("Sheet"&amp;R$2&amp;"!a"&amp;ROW($A14)-2)</f>
        <v>maxTime: 28800</v>
      </c>
      <c r="S14" t="str" cm="1">
        <f t="array" aca="1" ref="S14" ca="1">INDIRECT("Sheet"&amp;S$2&amp;"!a"&amp;ROW($A14)-2)</f>
        <v>maxTime: 28800</v>
      </c>
      <c r="T14" t="str" cm="1">
        <f t="array" aca="1" ref="T14" ca="1">INDIRECT("Sheet"&amp;T$2&amp;"!a"&amp;ROW($A14)-2)</f>
        <v>maxTime: 28800</v>
      </c>
      <c r="U14" t="str" cm="1">
        <f t="array" aca="1" ref="U14" ca="1">INDIRECT("Sheet"&amp;U$2&amp;"!a"&amp;ROW($A14)-2)</f>
        <v>maxTime: 28800</v>
      </c>
      <c r="V14" t="str" cm="1">
        <f t="array" aca="1" ref="V14" ca="1">INDIRECT("Sheet"&amp;V$2&amp;"!a"&amp;ROW($A14)-2)</f>
        <v>maxTime: 28800</v>
      </c>
    </row>
    <row r="15" spans="1:22" hidden="1" x14ac:dyDescent="0.2">
      <c r="C15" t="str" cm="1">
        <f t="array" aca="1" ref="C15" ca="1">INDIRECT("Sheet"&amp;C$2&amp;"!a"&amp;ROW($A15)-2)</f>
        <v>nThreads: 1</v>
      </c>
      <c r="D15" t="str" cm="1">
        <f t="array" aca="1" ref="D15" ca="1">INDIRECT("Sheet"&amp;D$2&amp;"!a"&amp;ROW($A15)-2)</f>
        <v>nThreads: 1</v>
      </c>
      <c r="E15" t="str" cm="1">
        <f t="array" aca="1" ref="E15" ca="1">INDIRECT("Sheet"&amp;E$2&amp;"!a"&amp;ROW($A15)-2)</f>
        <v>nThreads: 1</v>
      </c>
      <c r="F15" t="str" cm="1">
        <f t="array" aca="1" ref="F15" ca="1">INDIRECT("Sheet"&amp;F$2&amp;"!a"&amp;ROW($A15)-2)</f>
        <v>nThreads: 1</v>
      </c>
      <c r="G15" t="str" cm="1">
        <f t="array" aca="1" ref="G15" ca="1">INDIRECT("Sheet"&amp;G$2&amp;"!a"&amp;ROW($A15)-2)</f>
        <v>nThreads: 1</v>
      </c>
      <c r="H15" t="str" cm="1">
        <f t="array" aca="1" ref="H15" ca="1">INDIRECT("Sheet"&amp;H$2&amp;"!a"&amp;ROW($A15)-2)</f>
        <v>nThreads: 1</v>
      </c>
      <c r="I15" t="str" cm="1">
        <f t="array" aca="1" ref="I15" ca="1">INDIRECT("Sheet"&amp;I$2&amp;"!a"&amp;ROW($A15)-2)</f>
        <v>nThreads: 1</v>
      </c>
      <c r="J15" t="str" cm="1">
        <f t="array" aca="1" ref="J15" ca="1">INDIRECT("Sheet"&amp;J$2&amp;"!a"&amp;ROW($A15)-2)</f>
        <v>nThreads: 1</v>
      </c>
      <c r="K15" t="str" cm="1">
        <f t="array" aca="1" ref="K15" ca="1">INDIRECT("Sheet"&amp;K$2&amp;"!a"&amp;ROW($A15)-2)</f>
        <v>nThreads: 1</v>
      </c>
      <c r="L15" t="str" cm="1">
        <f t="array" aca="1" ref="L15" ca="1">INDIRECT("Sheet"&amp;L$2&amp;"!a"&amp;ROW($A15)-2)</f>
        <v>nThreads: 1</v>
      </c>
      <c r="M15" t="str" cm="1">
        <f t="array" aca="1" ref="M15" ca="1">INDIRECT("Sheet"&amp;M$2&amp;"!a"&amp;ROW($A15)-2)</f>
        <v>nThreads: 1</v>
      </c>
      <c r="N15" t="str" cm="1">
        <f t="array" aca="1" ref="N15" ca="1">INDIRECT("Sheet"&amp;N$2&amp;"!a"&amp;ROW($A15)-2)</f>
        <v>nThreads: 1</v>
      </c>
      <c r="O15" t="str" cm="1">
        <f t="array" aca="1" ref="O15" ca="1">INDIRECT("Sheet"&amp;O$2&amp;"!a"&amp;ROW($A15)-2)</f>
        <v>nThreads: 1</v>
      </c>
      <c r="P15" t="str" cm="1">
        <f t="array" aca="1" ref="P15" ca="1">INDIRECT("Sheet"&amp;P$2&amp;"!a"&amp;ROW($A15)-2)</f>
        <v>nThreads: 1</v>
      </c>
      <c r="Q15" t="str" cm="1">
        <f t="array" aca="1" ref="Q15" ca="1">INDIRECT("Sheet"&amp;Q$2&amp;"!a"&amp;ROW($A15)-2)</f>
        <v>nThreads: 1</v>
      </c>
      <c r="R15" t="str" cm="1">
        <f t="array" aca="1" ref="R15" ca="1">INDIRECT("Sheet"&amp;R$2&amp;"!a"&amp;ROW($A15)-2)</f>
        <v>nThreads: 1</v>
      </c>
      <c r="S15" t="str" cm="1">
        <f t="array" aca="1" ref="S15" ca="1">INDIRECT("Sheet"&amp;S$2&amp;"!a"&amp;ROW($A15)-2)</f>
        <v>nThreads: 1</v>
      </c>
      <c r="T15" t="str" cm="1">
        <f t="array" aca="1" ref="T15" ca="1">INDIRECT("Sheet"&amp;T$2&amp;"!a"&amp;ROW($A15)-2)</f>
        <v>nThreads: 1</v>
      </c>
      <c r="U15" t="str" cm="1">
        <f t="array" aca="1" ref="U15" ca="1">INDIRECT("Sheet"&amp;U$2&amp;"!a"&amp;ROW($A15)-2)</f>
        <v>nThreads: 1</v>
      </c>
      <c r="V15" t="str" cm="1">
        <f t="array" aca="1" ref="V15" ca="1">INDIRECT("Sheet"&amp;V$2&amp;"!a"&amp;ROW($A15)-2)</f>
        <v>nThreads: 1</v>
      </c>
    </row>
    <row r="16" spans="1:22" hidden="1" x14ac:dyDescent="0.2">
      <c r="C16" t="str" cm="1">
        <f t="array" aca="1" ref="C16" ca="1">INDIRECT("Sheet"&amp;C$2&amp;"!a"&amp;ROW($A16)-2)</f>
        <v>verbose: False</v>
      </c>
      <c r="D16" t="str" cm="1">
        <f t="array" aca="1" ref="D16" ca="1">INDIRECT("Sheet"&amp;D$2&amp;"!a"&amp;ROW($A16)-2)</f>
        <v>verbose: False</v>
      </c>
      <c r="E16" t="str" cm="1">
        <f t="array" aca="1" ref="E16" ca="1">INDIRECT("Sheet"&amp;E$2&amp;"!a"&amp;ROW($A16)-2)</f>
        <v>verbose: False</v>
      </c>
      <c r="F16" t="str" cm="1">
        <f t="array" aca="1" ref="F16" ca="1">INDIRECT("Sheet"&amp;F$2&amp;"!a"&amp;ROW($A16)-2)</f>
        <v>verbose: False</v>
      </c>
      <c r="G16" t="str" cm="1">
        <f t="array" aca="1" ref="G16" ca="1">INDIRECT("Sheet"&amp;G$2&amp;"!a"&amp;ROW($A16)-2)</f>
        <v>verbose: False</v>
      </c>
      <c r="H16" t="str" cm="1">
        <f t="array" aca="1" ref="H16" ca="1">INDIRECT("Sheet"&amp;H$2&amp;"!a"&amp;ROW($A16)-2)</f>
        <v>verbose: False</v>
      </c>
      <c r="I16" t="str" cm="1">
        <f t="array" aca="1" ref="I16" ca="1">INDIRECT("Sheet"&amp;I$2&amp;"!a"&amp;ROW($A16)-2)</f>
        <v>verbose: False</v>
      </c>
      <c r="J16" t="str" cm="1">
        <f t="array" aca="1" ref="J16" ca="1">INDIRECT("Sheet"&amp;J$2&amp;"!a"&amp;ROW($A16)-2)</f>
        <v>verbose: False</v>
      </c>
      <c r="K16" t="str" cm="1">
        <f t="array" aca="1" ref="K16" ca="1">INDIRECT("Sheet"&amp;K$2&amp;"!a"&amp;ROW($A16)-2)</f>
        <v>verbose: False</v>
      </c>
      <c r="L16" t="str" cm="1">
        <f t="array" aca="1" ref="L16" ca="1">INDIRECT("Sheet"&amp;L$2&amp;"!a"&amp;ROW($A16)-2)</f>
        <v>verbose: False</v>
      </c>
      <c r="M16" t="str" cm="1">
        <f t="array" aca="1" ref="M16" ca="1">INDIRECT("Sheet"&amp;M$2&amp;"!a"&amp;ROW($A16)-2)</f>
        <v>verbose: False</v>
      </c>
      <c r="N16" t="str" cm="1">
        <f t="array" aca="1" ref="N16" ca="1">INDIRECT("Sheet"&amp;N$2&amp;"!a"&amp;ROW($A16)-2)</f>
        <v>verbose: False</v>
      </c>
      <c r="O16" t="str" cm="1">
        <f t="array" aca="1" ref="O16" ca="1">INDIRECT("Sheet"&amp;O$2&amp;"!a"&amp;ROW($A16)-2)</f>
        <v>verbose: False</v>
      </c>
      <c r="P16" t="str" cm="1">
        <f t="array" aca="1" ref="P16" ca="1">INDIRECT("Sheet"&amp;P$2&amp;"!a"&amp;ROW($A16)-2)</f>
        <v>verbose: False</v>
      </c>
      <c r="Q16" t="str" cm="1">
        <f t="array" aca="1" ref="Q16" ca="1">INDIRECT("Sheet"&amp;Q$2&amp;"!a"&amp;ROW($A16)-2)</f>
        <v>verbose: False</v>
      </c>
      <c r="R16" t="str" cm="1">
        <f t="array" aca="1" ref="R16" ca="1">INDIRECT("Sheet"&amp;R$2&amp;"!a"&amp;ROW($A16)-2)</f>
        <v>verbose: False</v>
      </c>
      <c r="S16" t="str" cm="1">
        <f t="array" aca="1" ref="S16" ca="1">INDIRECT("Sheet"&amp;S$2&amp;"!a"&amp;ROW($A16)-2)</f>
        <v>verbose: False</v>
      </c>
      <c r="T16" t="str" cm="1">
        <f t="array" aca="1" ref="T16" ca="1">INDIRECT("Sheet"&amp;T$2&amp;"!a"&amp;ROW($A16)-2)</f>
        <v>verbose: False</v>
      </c>
      <c r="U16" t="str" cm="1">
        <f t="array" aca="1" ref="U16" ca="1">INDIRECT("Sheet"&amp;U$2&amp;"!a"&amp;ROW($A16)-2)</f>
        <v>verbose: False</v>
      </c>
      <c r="V16" t="str" cm="1">
        <f t="array" aca="1" ref="V16" ca="1">INDIRECT("Sheet"&amp;V$2&amp;"!a"&amp;ROW($A16)-2)</f>
        <v>verbose: False</v>
      </c>
    </row>
    <row r="17" spans="1:22" hidden="1" x14ac:dyDescent="0.2">
      <c r="C17" t="str" cm="1">
        <f t="array" aca="1" ref="C17" ca="1">INDIRECT("Sheet"&amp;C$2&amp;"!a"&amp;ROW($A17)-2)</f>
        <v>maxErr: -1</v>
      </c>
      <c r="D17" t="str" cm="1">
        <f t="array" aca="1" ref="D17" ca="1">INDIRECT("Sheet"&amp;D$2&amp;"!a"&amp;ROW($A17)-2)</f>
        <v>maxErr: -1</v>
      </c>
      <c r="E17" t="str" cm="1">
        <f t="array" aca="1" ref="E17" ca="1">INDIRECT("Sheet"&amp;E$2&amp;"!a"&amp;ROW($A17)-2)</f>
        <v>maxErr: -1</v>
      </c>
      <c r="F17" t="str" cm="1">
        <f t="array" aca="1" ref="F17" ca="1">INDIRECT("Sheet"&amp;F$2&amp;"!a"&amp;ROW($A17)-2)</f>
        <v>maxErr: -1</v>
      </c>
      <c r="G17" t="str" cm="1">
        <f t="array" aca="1" ref="G17" ca="1">INDIRECT("Sheet"&amp;G$2&amp;"!a"&amp;ROW($A17)-2)</f>
        <v>maxErr: -1</v>
      </c>
      <c r="H17" t="str" cm="1">
        <f t="array" aca="1" ref="H17" ca="1">INDIRECT("Sheet"&amp;H$2&amp;"!a"&amp;ROW($A17)-2)</f>
        <v>maxErr: -1</v>
      </c>
      <c r="I17" t="str" cm="1">
        <f t="array" aca="1" ref="I17" ca="1">INDIRECT("Sheet"&amp;I$2&amp;"!a"&amp;ROW($A17)-2)</f>
        <v>maxErr: -1</v>
      </c>
      <c r="J17" t="str" cm="1">
        <f t="array" aca="1" ref="J17" ca="1">INDIRECT("Sheet"&amp;J$2&amp;"!a"&amp;ROW($A17)-2)</f>
        <v>maxErr: -1</v>
      </c>
      <c r="K17" t="str" cm="1">
        <f t="array" aca="1" ref="K17" ca="1">INDIRECT("Sheet"&amp;K$2&amp;"!a"&amp;ROW($A17)-2)</f>
        <v>maxErr: -1</v>
      </c>
      <c r="L17" t="str" cm="1">
        <f t="array" aca="1" ref="L17" ca="1">INDIRECT("Sheet"&amp;L$2&amp;"!a"&amp;ROW($A17)-2)</f>
        <v>maxErr: -1</v>
      </c>
      <c r="M17" t="str" cm="1">
        <f t="array" aca="1" ref="M17" ca="1">INDIRECT("Sheet"&amp;M$2&amp;"!a"&amp;ROW($A17)-2)</f>
        <v>maxErr: -1</v>
      </c>
      <c r="N17" t="str" cm="1">
        <f t="array" aca="1" ref="N17" ca="1">INDIRECT("Sheet"&amp;N$2&amp;"!a"&amp;ROW($A17)-2)</f>
        <v>maxErr: -1</v>
      </c>
      <c r="O17" t="str" cm="1">
        <f t="array" aca="1" ref="O17" ca="1">INDIRECT("Sheet"&amp;O$2&amp;"!a"&amp;ROW($A17)-2)</f>
        <v>maxErr: -1</v>
      </c>
      <c r="P17" t="str" cm="1">
        <f t="array" aca="1" ref="P17" ca="1">INDIRECT("Sheet"&amp;P$2&amp;"!a"&amp;ROW($A17)-2)</f>
        <v>maxErr: -1</v>
      </c>
      <c r="Q17" t="str" cm="1">
        <f t="array" aca="1" ref="Q17" ca="1">INDIRECT("Sheet"&amp;Q$2&amp;"!a"&amp;ROW($A17)-2)</f>
        <v>maxErr: -1</v>
      </c>
      <c r="R17" t="str" cm="1">
        <f t="array" aca="1" ref="R17" ca="1">INDIRECT("Sheet"&amp;R$2&amp;"!a"&amp;ROW($A17)-2)</f>
        <v>maxErr: -1</v>
      </c>
      <c r="S17" t="str" cm="1">
        <f t="array" aca="1" ref="S17" ca="1">INDIRECT("Sheet"&amp;S$2&amp;"!a"&amp;ROW($A17)-2)</f>
        <v>maxErr: -1</v>
      </c>
      <c r="T17" t="str" cm="1">
        <f t="array" aca="1" ref="T17" ca="1">INDIRECT("Sheet"&amp;T$2&amp;"!a"&amp;ROW($A17)-2)</f>
        <v>maxErr: -1</v>
      </c>
      <c r="U17" t="str" cm="1">
        <f t="array" aca="1" ref="U17" ca="1">INDIRECT("Sheet"&amp;U$2&amp;"!a"&amp;ROW($A17)-2)</f>
        <v>maxErr: -1</v>
      </c>
      <c r="V17" t="str" cm="1">
        <f t="array" aca="1" ref="V17" ca="1">INDIRECT("Sheet"&amp;V$2&amp;"!a"&amp;ROW($A17)-2)</f>
        <v>maxErr: -1</v>
      </c>
    </row>
    <row r="18" spans="1:22" x14ac:dyDescent="0.2">
      <c r="A18" t="s">
        <v>74</v>
      </c>
      <c r="C18" t="str" cm="1">
        <f t="array" aca="1" ref="C18" ca="1">INDIRECT("Sheet"&amp;C$2&amp;"!a"&amp;ROW($A18)-2)</f>
        <v>GF4blockRep: 2</v>
      </c>
      <c r="D18" t="str" cm="1">
        <f t="array" aca="1" ref="D18" ca="1">INDIRECT("Sheet"&amp;D$2&amp;"!a"&amp;ROW($A18)-2)</f>
        <v>GF4blockRep: 3</v>
      </c>
      <c r="E18" t="str" cm="1">
        <f t="array" aca="1" ref="E18" ca="1">INDIRECT("Sheet"&amp;E$2&amp;"!a"&amp;ROW($A18)-2)</f>
        <v>GF4blockRep: 2</v>
      </c>
      <c r="F18" t="str" cm="1">
        <f t="array" aca="1" ref="F18" ca="1">INDIRECT("Sheet"&amp;F$2&amp;"!a"&amp;ROW($A18)-2)</f>
        <v>GF4blockRep: 3</v>
      </c>
      <c r="G18" t="str" cm="1">
        <f t="array" aca="1" ref="G18" ca="1">INDIRECT("Sheet"&amp;G$2&amp;"!a"&amp;ROW($A18)-2)</f>
        <v>GF4blockRep: 4</v>
      </c>
      <c r="H18" t="str" cm="1">
        <f t="array" aca="1" ref="H18" ca="1">INDIRECT("Sheet"&amp;H$2&amp;"!a"&amp;ROW($A18)-2)</f>
        <v>GF4blockRep: 3</v>
      </c>
      <c r="I18" t="str" cm="1">
        <f t="array" aca="1" ref="I18" ca="1">INDIRECT("Sheet"&amp;I$2&amp;"!a"&amp;ROW($A18)-2)</f>
        <v>GF4blockRep: 4</v>
      </c>
      <c r="J18" t="str" cm="1">
        <f t="array" aca="1" ref="J18" ca="1">INDIRECT("Sheet"&amp;J$2&amp;"!a"&amp;ROW($A18)-2)</f>
        <v>GF4blockRep: 3</v>
      </c>
      <c r="K18" t="str" cm="1">
        <f t="array" aca="1" ref="K18" ca="1">INDIRECT("Sheet"&amp;K$2&amp;"!a"&amp;ROW($A18)-2)</f>
        <v>GF4blockRep: 3</v>
      </c>
      <c r="L18" t="str" cm="1">
        <f t="array" aca="1" ref="L18" ca="1">INDIRECT("Sheet"&amp;L$2&amp;"!a"&amp;ROW($A18)-2)</f>
        <v>GF4blockRep: 3</v>
      </c>
      <c r="M18" t="str" cm="1">
        <f t="array" aca="1" ref="M18" ca="1">INDIRECT("Sheet"&amp;M$2&amp;"!a"&amp;ROW($A18)-2)</f>
        <v>GF4blockRep: 4</v>
      </c>
      <c r="N18" t="str" cm="1">
        <f t="array" aca="1" ref="N18" ca="1">INDIRECT("Sheet"&amp;N$2&amp;"!a"&amp;ROW($A18)-2)</f>
        <v>GF4blockRep: 2</v>
      </c>
      <c r="O18" t="str" cm="1">
        <f t="array" aca="1" ref="O18" ca="1">INDIRECT("Sheet"&amp;O$2&amp;"!a"&amp;ROW($A18)-2)</f>
        <v>GF4blockRep: 3</v>
      </c>
      <c r="P18" t="str" cm="1">
        <f t="array" aca="1" ref="P18" ca="1">INDIRECT("Sheet"&amp;P$2&amp;"!a"&amp;ROW($A18)-2)</f>
        <v>GF4blockRep: 4</v>
      </c>
      <c r="Q18" t="str" cm="1">
        <f t="array" aca="1" ref="Q18" ca="1">INDIRECT("Sheet"&amp;Q$2&amp;"!a"&amp;ROW($A18)-2)</f>
        <v>GF4blockRep: 2</v>
      </c>
      <c r="R18" t="str" cm="1">
        <f t="array" aca="1" ref="R18" ca="1">INDIRECT("Sheet"&amp;R$2&amp;"!a"&amp;ROW($A18)-2)</f>
        <v>GF4blockRep: 2</v>
      </c>
      <c r="S18" t="str" cm="1">
        <f t="array" aca="1" ref="S18" ca="1">INDIRECT("Sheet"&amp;S$2&amp;"!a"&amp;ROW($A18)-2)</f>
        <v>GF4blockRep: 3</v>
      </c>
      <c r="T18" t="str" cm="1">
        <f t="array" aca="1" ref="T18" ca="1">INDIRECT("Sheet"&amp;T$2&amp;"!a"&amp;ROW($A18)-2)</f>
        <v>GF4blockRep: 3</v>
      </c>
      <c r="U18" t="str" cm="1">
        <f t="array" aca="1" ref="U18" ca="1">INDIRECT("Sheet"&amp;U$2&amp;"!a"&amp;ROW($A18)-2)</f>
        <v>GF4blockRep: 4</v>
      </c>
      <c r="V18" t="str" cm="1">
        <f t="array" aca="1" ref="V18" ca="1">INDIRECT("Sheet"&amp;V$2&amp;"!a"&amp;ROW($A18)-2)</f>
        <v>GF4blockRep: 4</v>
      </c>
    </row>
    <row r="19" spans="1:22" x14ac:dyDescent="0.2">
      <c r="A19" t="s">
        <v>11</v>
      </c>
      <c r="C19" t="str" cm="1">
        <f t="array" aca="1" ref="C19" ca="1">INDIRECT("Sheet"&amp;C$2&amp;"!a"&amp;ROW($A19)-2)</f>
        <v>regroupPerm: 1</v>
      </c>
      <c r="D19" t="str" cm="1">
        <f t="array" aca="1" ref="D19" ca="1">INDIRECT("Sheet"&amp;D$2&amp;"!a"&amp;ROW($A19)-2)</f>
        <v>regroupPerm: 1</v>
      </c>
      <c r="E19" t="str" cm="1">
        <f t="array" aca="1" ref="E19" ca="1">INDIRECT("Sheet"&amp;E$2&amp;"!a"&amp;ROW($A19)-2)</f>
        <v>regroupPerm: 1</v>
      </c>
      <c r="F19" t="str" cm="1">
        <f t="array" aca="1" ref="F19" ca="1">INDIRECT("Sheet"&amp;F$2&amp;"!a"&amp;ROW($A19)-2)</f>
        <v>regroupPerm: 1</v>
      </c>
      <c r="G19" t="str" cm="1">
        <f t="array" aca="1" ref="G19" ca="1">INDIRECT("Sheet"&amp;G$2&amp;"!a"&amp;ROW($A19)-2)</f>
        <v>regroupPerm: 1</v>
      </c>
      <c r="H19" t="str" cm="1">
        <f t="array" aca="1" ref="H19" ca="1">INDIRECT("Sheet"&amp;H$2&amp;"!a"&amp;ROW($A19)-2)</f>
        <v>regroupPerm: 1</v>
      </c>
      <c r="I19" cm="1">
        <f t="array" aca="1" ref="I19" ca="1">INDIRECT("Sheet"&amp;I$2&amp;"!a"&amp;ROW($A19)-2)</f>
        <v>0</v>
      </c>
      <c r="J19" t="str" cm="1">
        <f t="array" aca="1" ref="J19" ca="1">INDIRECT("Sheet"&amp;J$2&amp;"!a"&amp;ROW($A19)-2)</f>
        <v>regroupPerm: 1</v>
      </c>
      <c r="K19" t="str" cm="1">
        <f t="array" aca="1" ref="K19" ca="1">INDIRECT("Sheet"&amp;K$2&amp;"!a"&amp;ROW($A19)-2)</f>
        <v>regroupPerm: 1</v>
      </c>
      <c r="L19" t="str" cm="1">
        <f t="array" aca="1" ref="L19" ca="1">INDIRECT("Sheet"&amp;L$2&amp;"!a"&amp;ROW($A19)-2)</f>
        <v>regroupPerm: 1</v>
      </c>
      <c r="M19" t="str" cm="1">
        <f t="array" aca="1" ref="M19" ca="1">INDIRECT("Sheet"&amp;M$2&amp;"!a"&amp;ROW($A19)-2)</f>
        <v>regroupPerm: 1</v>
      </c>
      <c r="N19" t="str" cm="1">
        <f t="array" aca="1" ref="N19" ca="1">INDIRECT("Sheet"&amp;N$2&amp;"!a"&amp;ROW($A19)-2)</f>
        <v>regroupPerm: 1</v>
      </c>
      <c r="O19" t="str" cm="1">
        <f t="array" aca="1" ref="O19" ca="1">INDIRECT("Sheet"&amp;O$2&amp;"!a"&amp;ROW($A19)-2)</f>
        <v>regroupPerm: 1</v>
      </c>
      <c r="P19" t="str" cm="1">
        <f t="array" aca="1" ref="P19" ca="1">INDIRECT("Sheet"&amp;P$2&amp;"!a"&amp;ROW($A19)-2)</f>
        <v>regroupPerm: 1</v>
      </c>
      <c r="Q19" t="str" cm="1">
        <f t="array" aca="1" ref="Q19" ca="1">INDIRECT("Sheet"&amp;Q$2&amp;"!a"&amp;ROW($A19)-2)</f>
        <v>regroupPerm: 0</v>
      </c>
      <c r="R19" t="str" cm="1">
        <f t="array" aca="1" ref="R19" ca="1">INDIRECT("Sheet"&amp;R$2&amp;"!a"&amp;ROW($A19)-2)</f>
        <v>regroupPerm: 1</v>
      </c>
      <c r="S19" t="str" cm="1">
        <f t="array" aca="1" ref="S19" ca="1">INDIRECT("Sheet"&amp;S$2&amp;"!a"&amp;ROW($A19)-2)</f>
        <v>regroupPerm: 0</v>
      </c>
      <c r="T19" t="str" cm="1">
        <f t="array" aca="1" ref="T19" ca="1">INDIRECT("Sheet"&amp;T$2&amp;"!a"&amp;ROW($A19)-2)</f>
        <v>regroupPerm: 1</v>
      </c>
      <c r="U19" t="str" cm="1">
        <f t="array" aca="1" ref="U19" ca="1">INDIRECT("Sheet"&amp;U$2&amp;"!a"&amp;ROW($A19)-2)</f>
        <v>regroupPerm: 0</v>
      </c>
      <c r="V19" t="str" cm="1">
        <f t="array" aca="1" ref="V19" ca="1">INDIRECT("Sheet"&amp;V$2&amp;"!a"&amp;ROW($A19)-2)</f>
        <v>regroupPerm: 1</v>
      </c>
    </row>
    <row r="20" spans="1:22" x14ac:dyDescent="0.2">
      <c r="A20" t="s">
        <v>12</v>
      </c>
      <c r="C20" t="str" cm="1">
        <f t="array" aca="1" ref="C20" ca="1">INDIRECT("Sheet"&amp;C$2&amp;"!a"&amp;ROW($A20)-2)</f>
        <v>filterCircuit: 1</v>
      </c>
      <c r="D20" t="str" cm="1">
        <f t="array" aca="1" ref="D20" ca="1">INDIRECT("Sheet"&amp;D$2&amp;"!a"&amp;ROW($A20)-2)</f>
        <v>filterCircuit: 1</v>
      </c>
      <c r="E20" t="str" cm="1">
        <f t="array" aca="1" ref="E20" ca="1">INDIRECT("Sheet"&amp;E$2&amp;"!a"&amp;ROW($A20)-2)</f>
        <v>filterCircuit: 1</v>
      </c>
      <c r="F20" t="str" cm="1">
        <f t="array" aca="1" ref="F20" ca="1">INDIRECT("Sheet"&amp;F$2&amp;"!a"&amp;ROW($A20)-2)</f>
        <v>filterCircuit: 1</v>
      </c>
      <c r="G20" t="str" cm="1">
        <f t="array" aca="1" ref="G20" ca="1">INDIRECT("Sheet"&amp;G$2&amp;"!a"&amp;ROW($A20)-2)</f>
        <v>filterCircuit: 1</v>
      </c>
      <c r="H20" t="str" cm="1">
        <f t="array" aca="1" ref="H20" ca="1">INDIRECT("Sheet"&amp;H$2&amp;"!a"&amp;ROW($A20)-2)</f>
        <v>filterCircuit: 1</v>
      </c>
      <c r="I20" t="str" cm="1">
        <f t="array" aca="1" ref="I20" ca="1">INDIRECT("Sheet"&amp;I$2&amp;"!a"&amp;ROW($A20)-2)</f>
        <v>filterCircuit: 1</v>
      </c>
      <c r="J20" t="str" cm="1">
        <f t="array" aca="1" ref="J20" ca="1">INDIRECT("Sheet"&amp;J$2&amp;"!a"&amp;ROW($A20)-2)</f>
        <v>filterCircuit: 1</v>
      </c>
      <c r="K20" t="str" cm="1">
        <f t="array" aca="1" ref="K20" ca="1">INDIRECT("Sheet"&amp;K$2&amp;"!a"&amp;ROW($A20)-2)</f>
        <v>filterCircuit: 1</v>
      </c>
      <c r="L20" t="str" cm="1">
        <f t="array" aca="1" ref="L20" ca="1">INDIRECT("Sheet"&amp;L$2&amp;"!a"&amp;ROW($A20)-2)</f>
        <v>filterCircuit: 1</v>
      </c>
      <c r="M20" t="str" cm="1">
        <f t="array" aca="1" ref="M20" ca="1">INDIRECT("Sheet"&amp;M$2&amp;"!a"&amp;ROW($A20)-2)</f>
        <v>filterCircuit: 1</v>
      </c>
      <c r="N20" t="str" cm="1">
        <f t="array" aca="1" ref="N20" ca="1">INDIRECT("Sheet"&amp;N$2&amp;"!a"&amp;ROW($A20)-2)</f>
        <v>filterCircuit: 1</v>
      </c>
      <c r="O20" t="str" cm="1">
        <f t="array" aca="1" ref="O20" ca="1">INDIRECT("Sheet"&amp;O$2&amp;"!a"&amp;ROW($A20)-2)</f>
        <v>filterCircuit: 1</v>
      </c>
      <c r="P20" t="str" cm="1">
        <f t="array" aca="1" ref="P20" ca="1">INDIRECT("Sheet"&amp;P$2&amp;"!a"&amp;ROW($A20)-2)</f>
        <v>filterCircuit: 1</v>
      </c>
      <c r="Q20" t="str" cm="1">
        <f t="array" aca="1" ref="Q20" ca="1">INDIRECT("Sheet"&amp;Q$2&amp;"!a"&amp;ROW($A20)-2)</f>
        <v>filterCircuit: 1</v>
      </c>
      <c r="R20" t="str" cm="1">
        <f t="array" aca="1" ref="R20" ca="1">INDIRECT("Sheet"&amp;R$2&amp;"!a"&amp;ROW($A20)-2)</f>
        <v>filterCircuit: 1</v>
      </c>
      <c r="S20" t="str" cm="1">
        <f t="array" aca="1" ref="S20" ca="1">INDIRECT("Sheet"&amp;S$2&amp;"!a"&amp;ROW($A20)-2)</f>
        <v>filterCircuit: 1</v>
      </c>
      <c r="T20" t="str" cm="1">
        <f t="array" aca="1" ref="T20" ca="1">INDIRECT("Sheet"&amp;T$2&amp;"!a"&amp;ROW($A20)-2)</f>
        <v>filterCircuit: 1</v>
      </c>
      <c r="U20" t="str" cm="1">
        <f t="array" aca="1" ref="U20" ca="1">INDIRECT("Sheet"&amp;U$2&amp;"!a"&amp;ROW($A20)-2)</f>
        <v>filterCircuit: 1</v>
      </c>
      <c r="V20" t="str" cm="1">
        <f t="array" aca="1" ref="V20" ca="1">INDIRECT("Sheet"&amp;V$2&amp;"!a"&amp;ROW($A20)-2)</f>
        <v>filterCircuit: 1</v>
      </c>
    </row>
    <row r="21" spans="1:22" x14ac:dyDescent="0.2">
      <c r="A21" t="s">
        <v>13</v>
      </c>
      <c r="C21" t="str" cm="1">
        <f t="array" aca="1" ref="C21" ca="1">INDIRECT("Sheet"&amp;C$2&amp;"!a"&amp;ROW($A21)-2)</f>
        <v>HL: 0</v>
      </c>
      <c r="D21" t="str" cm="1">
        <f t="array" aca="1" ref="D21" ca="1">INDIRECT("Sheet"&amp;D$2&amp;"!a"&amp;ROW($A21)-2)</f>
        <v>HL: 0</v>
      </c>
      <c r="E21" t="str" cm="1">
        <f t="array" aca="1" ref="E21" ca="1">INDIRECT("Sheet"&amp;E$2&amp;"!a"&amp;ROW($A21)-2)</f>
        <v>HL: 0</v>
      </c>
      <c r="F21" t="str" cm="1">
        <f t="array" aca="1" ref="F21" ca="1">INDIRECT("Sheet"&amp;F$2&amp;"!a"&amp;ROW($A21)-2)</f>
        <v>HL: 0</v>
      </c>
      <c r="G21" t="str" cm="1">
        <f t="array" aca="1" ref="G21" ca="1">INDIRECT("Sheet"&amp;G$2&amp;"!a"&amp;ROW($A21)-2)</f>
        <v>HL: 0</v>
      </c>
      <c r="H21" t="str" cm="1">
        <f t="array" aca="1" ref="H21" ca="1">INDIRECT("Sheet"&amp;H$2&amp;"!a"&amp;ROW($A21)-2)</f>
        <v>HL: 0</v>
      </c>
      <c r="I21" t="str" cm="1">
        <f t="array" aca="1" ref="I21" ca="1">INDIRECT("Sheet"&amp;I$2&amp;"!a"&amp;ROW($A21)-2)</f>
        <v>HL: 0</v>
      </c>
      <c r="J21" t="str" cm="1">
        <f t="array" aca="1" ref="J21" ca="1">INDIRECT("Sheet"&amp;J$2&amp;"!a"&amp;ROW($A21)-2)</f>
        <v>HL: 0</v>
      </c>
      <c r="K21" t="str" cm="1">
        <f t="array" aca="1" ref="K21" ca="1">INDIRECT("Sheet"&amp;K$2&amp;"!a"&amp;ROW($A21)-2)</f>
        <v>HL: 0</v>
      </c>
      <c r="L21" t="str" cm="1">
        <f t="array" aca="1" ref="L21" ca="1">INDIRECT("Sheet"&amp;L$2&amp;"!a"&amp;ROW($A21)-2)</f>
        <v>HL: 0</v>
      </c>
      <c r="M21" t="str" cm="1">
        <f t="array" aca="1" ref="M21" ca="1">INDIRECT("Sheet"&amp;M$2&amp;"!a"&amp;ROW($A21)-2)</f>
        <v>HL: 0</v>
      </c>
      <c r="N21" t="str" cm="1">
        <f t="array" aca="1" ref="N21" ca="1">INDIRECT("Sheet"&amp;N$2&amp;"!a"&amp;ROW($A21)-2)</f>
        <v>HL: 0</v>
      </c>
      <c r="O21" t="str" cm="1">
        <f t="array" aca="1" ref="O21" ca="1">INDIRECT("Sheet"&amp;O$2&amp;"!a"&amp;ROW($A21)-2)</f>
        <v>HL: 0</v>
      </c>
      <c r="P21" t="str" cm="1">
        <f t="array" aca="1" ref="P21" ca="1">INDIRECT("Sheet"&amp;P$2&amp;"!a"&amp;ROW($A21)-2)</f>
        <v>HL: 0</v>
      </c>
      <c r="Q21" t="str" cm="1">
        <f t="array" aca="1" ref="Q21" ca="1">INDIRECT("Sheet"&amp;Q$2&amp;"!a"&amp;ROW($A21)-2)</f>
        <v>HL: 0</v>
      </c>
      <c r="R21" t="str" cm="1">
        <f t="array" aca="1" ref="R21" ca="1">INDIRECT("Sheet"&amp;R$2&amp;"!a"&amp;ROW($A21)-2)</f>
        <v>HL: 0</v>
      </c>
      <c r="S21" t="str" cm="1">
        <f t="array" aca="1" ref="S21" ca="1">INDIRECT("Sheet"&amp;S$2&amp;"!a"&amp;ROW($A21)-2)</f>
        <v>HL: 0</v>
      </c>
      <c r="T21" t="str" cm="1">
        <f t="array" aca="1" ref="T21" ca="1">INDIRECT("Sheet"&amp;T$2&amp;"!a"&amp;ROW($A21)-2)</f>
        <v>HL: 0</v>
      </c>
      <c r="U21" t="str" cm="1">
        <f t="array" aca="1" ref="U21" ca="1">INDIRECT("Sheet"&amp;U$2&amp;"!a"&amp;ROW($A21)-2)</f>
        <v>HL: 0</v>
      </c>
      <c r="V21" t="str" cm="1">
        <f t="array" aca="1" ref="V21" ca="1">INDIRECT("Sheet"&amp;V$2&amp;"!a"&amp;ROW($A21)-2)</f>
        <v>HL: 0</v>
      </c>
    </row>
    <row r="22" spans="1:22" x14ac:dyDescent="0.2">
      <c r="A22" t="s">
        <v>27</v>
      </c>
      <c r="C22" t="str" cm="1">
        <f t="array" aca="1" ref="C22" ca="1">INDIRECT("Sheet"&amp;C$2&amp;"!a"&amp;ROW($A22)-2)</f>
        <v>genCount: 100</v>
      </c>
      <c r="D22" t="str" cm="1">
        <f t="array" aca="1" ref="D22" ca="1">INDIRECT("Sheet"&amp;D$2&amp;"!a"&amp;ROW($A22)-2)</f>
        <v>genCount: 100</v>
      </c>
      <c r="E22" t="str" cm="1">
        <f t="array" aca="1" ref="E22" ca="1">INDIRECT("Sheet"&amp;E$2&amp;"!a"&amp;ROW($A22)-2)</f>
        <v>genCount: 100</v>
      </c>
      <c r="F22" t="str" cm="1">
        <f t="array" aca="1" ref="F22" ca="1">INDIRECT("Sheet"&amp;F$2&amp;"!a"&amp;ROW($A22)-2)</f>
        <v>genCount: 100</v>
      </c>
      <c r="G22" t="str" cm="1">
        <f t="array" aca="1" ref="G22" ca="1">INDIRECT("Sheet"&amp;G$2&amp;"!a"&amp;ROW($A22)-2)</f>
        <v>genCount: 100</v>
      </c>
      <c r="H22" t="str" cm="1">
        <f t="array" aca="1" ref="H22" ca="1">INDIRECT("Sheet"&amp;H$2&amp;"!a"&amp;ROW($A22)-2)</f>
        <v>genCount: 100</v>
      </c>
      <c r="I22" t="str" cm="1">
        <f t="array" aca="1" ref="I22" ca="1">INDIRECT("Sheet"&amp;I$2&amp;"!a"&amp;ROW($A22)-2)</f>
        <v>popSize: 100</v>
      </c>
      <c r="J22" t="str" cm="1">
        <f t="array" aca="1" ref="J22" ca="1">INDIRECT("Sheet"&amp;J$2&amp;"!a"&amp;ROW($A22)-2)</f>
        <v>genCount: 100</v>
      </c>
      <c r="K22" t="str" cm="1">
        <f t="array" aca="1" ref="K22" ca="1">INDIRECT("Sheet"&amp;K$2&amp;"!a"&amp;ROW($A22)-2)</f>
        <v>genCount: 100</v>
      </c>
      <c r="L22" t="str" cm="1">
        <f t="array" aca="1" ref="L22" ca="1">INDIRECT("Sheet"&amp;L$2&amp;"!a"&amp;ROW($A22)-2)</f>
        <v>genCount: 100</v>
      </c>
      <c r="M22" t="str" cm="1">
        <f t="array" aca="1" ref="M22" ca="1">INDIRECT("Sheet"&amp;M$2&amp;"!a"&amp;ROW($A22)-2)</f>
        <v>genCount: 100</v>
      </c>
      <c r="N22" t="str" cm="1">
        <f t="array" aca="1" ref="N22" ca="1">INDIRECT("Sheet"&amp;N$2&amp;"!a"&amp;ROW($A22)-2)</f>
        <v>genCount: 100</v>
      </c>
      <c r="O22" t="str" cm="1">
        <f t="array" aca="1" ref="O22" ca="1">INDIRECT("Sheet"&amp;O$2&amp;"!a"&amp;ROW($A22)-2)</f>
        <v>genCount: 100</v>
      </c>
      <c r="P22" t="str" cm="1">
        <f t="array" aca="1" ref="P22" ca="1">INDIRECT("Sheet"&amp;P$2&amp;"!a"&amp;ROW($A22)-2)</f>
        <v>genCount: 100</v>
      </c>
      <c r="Q22" t="str" cm="1">
        <f t="array" aca="1" ref="Q22" ca="1">INDIRECT("Sheet"&amp;Q$2&amp;"!a"&amp;ROW($A22)-2)</f>
        <v>genCount: 100</v>
      </c>
      <c r="R22" t="str" cm="1">
        <f t="array" aca="1" ref="R22" ca="1">INDIRECT("Sheet"&amp;R$2&amp;"!a"&amp;ROW($A22)-2)</f>
        <v>genCount: 100</v>
      </c>
      <c r="S22" t="str" cm="1">
        <f t="array" aca="1" ref="S22" ca="1">INDIRECT("Sheet"&amp;S$2&amp;"!a"&amp;ROW($A22)-2)</f>
        <v>genCount: 100</v>
      </c>
      <c r="T22" t="str" cm="1">
        <f t="array" aca="1" ref="T22" ca="1">INDIRECT("Sheet"&amp;T$2&amp;"!a"&amp;ROW($A22)-2)</f>
        <v>genCount: 100</v>
      </c>
      <c r="U22" t="str" cm="1">
        <f t="array" aca="1" ref="U22" ca="1">INDIRECT("Sheet"&amp;U$2&amp;"!a"&amp;ROW($A22)-2)</f>
        <v>genCount: 100</v>
      </c>
      <c r="V22" t="str" cm="1">
        <f t="array" aca="1" ref="V22" ca="1">INDIRECT("Sheet"&amp;V$2&amp;"!a"&amp;ROW($A22)-2)</f>
        <v>genCount: 100</v>
      </c>
    </row>
    <row r="23" spans="1:22" x14ac:dyDescent="0.2">
      <c r="A23" t="s">
        <v>14</v>
      </c>
      <c r="C23" t="str" cm="1">
        <f t="array" aca="1" ref="C23" ca="1">INDIRECT("Sheet"&amp;C$2&amp;"!a"&amp;ROW($A23)-2)</f>
        <v>offspring: 10</v>
      </c>
      <c r="D23" t="str" cm="1">
        <f t="array" aca="1" ref="D23" ca="1">INDIRECT("Sheet"&amp;D$2&amp;"!a"&amp;ROW($A23)-2)</f>
        <v>offspring: 10</v>
      </c>
      <c r="E23" t="str" cm="1">
        <f t="array" aca="1" ref="E23" ca="1">INDIRECT("Sheet"&amp;E$2&amp;"!a"&amp;ROW($A23)-2)</f>
        <v>offspring: 10</v>
      </c>
      <c r="F23" t="str" cm="1">
        <f t="array" aca="1" ref="F23" ca="1">INDIRECT("Sheet"&amp;F$2&amp;"!a"&amp;ROW($A23)-2)</f>
        <v>offspring: 10</v>
      </c>
      <c r="G23" t="str" cm="1">
        <f t="array" aca="1" ref="G23" ca="1">INDIRECT("Sheet"&amp;G$2&amp;"!a"&amp;ROW($A23)-2)</f>
        <v>offspring: 10</v>
      </c>
      <c r="H23" t="str" cm="1">
        <f t="array" aca="1" ref="H23" ca="1">INDIRECT("Sheet"&amp;H$2&amp;"!a"&amp;ROW($A23)-2)</f>
        <v>offspring: 10</v>
      </c>
      <c r="I23" t="str" cm="1">
        <f t="array" aca="1" ref="I23" ca="1">INDIRECT("Sheet"&amp;I$2&amp;"!a"&amp;ROW($A23)-2)</f>
        <v>offspring: 10</v>
      </c>
      <c r="J23" t="str" cm="1">
        <f t="array" aca="1" ref="J23" ca="1">INDIRECT("Sheet"&amp;J$2&amp;"!a"&amp;ROW($A23)-2)</f>
        <v>offspring: 10</v>
      </c>
      <c r="K23" t="str" cm="1">
        <f t="array" aca="1" ref="K23" ca="1">INDIRECT("Sheet"&amp;K$2&amp;"!a"&amp;ROW($A23)-2)</f>
        <v>offspring: 10</v>
      </c>
      <c r="L23" t="str" cm="1">
        <f t="array" aca="1" ref="L23" ca="1">INDIRECT("Sheet"&amp;L$2&amp;"!a"&amp;ROW($A23)-2)</f>
        <v>offspring: 10</v>
      </c>
      <c r="M23" t="str" cm="1">
        <f t="array" aca="1" ref="M23" ca="1">INDIRECT("Sheet"&amp;M$2&amp;"!a"&amp;ROW($A23)-2)</f>
        <v>offspring: 10</v>
      </c>
      <c r="N23" t="str" cm="1">
        <f t="array" aca="1" ref="N23" ca="1">INDIRECT("Sheet"&amp;N$2&amp;"!a"&amp;ROW($A23)-2)</f>
        <v>offspring: 10</v>
      </c>
      <c r="O23" t="str" cm="1">
        <f t="array" aca="1" ref="O23" ca="1">INDIRECT("Sheet"&amp;O$2&amp;"!a"&amp;ROW($A23)-2)</f>
        <v>offspring: 10</v>
      </c>
      <c r="P23" t="str" cm="1">
        <f t="array" aca="1" ref="P23" ca="1">INDIRECT("Sheet"&amp;P$2&amp;"!a"&amp;ROW($A23)-2)</f>
        <v>offspring: 10</v>
      </c>
      <c r="Q23" t="str" cm="1">
        <f t="array" aca="1" ref="Q23" ca="1">INDIRECT("Sheet"&amp;Q$2&amp;"!a"&amp;ROW($A23)-2)</f>
        <v>offspring: 10</v>
      </c>
      <c r="R23" t="str" cm="1">
        <f t="array" aca="1" ref="R23" ca="1">INDIRECT("Sheet"&amp;R$2&amp;"!a"&amp;ROW($A23)-2)</f>
        <v>offspring: 10</v>
      </c>
      <c r="S23" t="str" cm="1">
        <f t="array" aca="1" ref="S23" ca="1">INDIRECT("Sheet"&amp;S$2&amp;"!a"&amp;ROW($A23)-2)</f>
        <v>offspring: 10</v>
      </c>
      <c r="T23" t="str" cm="1">
        <f t="array" aca="1" ref="T23" ca="1">INDIRECT("Sheet"&amp;T$2&amp;"!a"&amp;ROW($A23)-2)</f>
        <v>offspring: 10</v>
      </c>
      <c r="U23" t="str" cm="1">
        <f t="array" aca="1" ref="U23" ca="1">INDIRECT("Sheet"&amp;U$2&amp;"!a"&amp;ROW($A23)-2)</f>
        <v>offspring: 10</v>
      </c>
      <c r="V23" t="str" cm="1">
        <f t="array" aca="1" ref="V23" ca="1">INDIRECT("Sheet"&amp;V$2&amp;"!a"&amp;ROW($A23)-2)</f>
        <v>offspring: 10</v>
      </c>
    </row>
    <row r="24" spans="1:22" x14ac:dyDescent="0.2">
      <c r="A24" t="s">
        <v>141</v>
      </c>
      <c r="C24" t="str" cm="1">
        <f t="array" aca="1" ref="C24" ca="1">INDIRECT("Sheet"&amp;C$2&amp;"!a"&amp;ROW($A24)-2)</f>
        <v>pMut: 8.0</v>
      </c>
      <c r="D24" t="str" cm="1">
        <f t="array" aca="1" ref="D24" ca="1">INDIRECT("Sheet"&amp;D$2&amp;"!a"&amp;ROW($A24)-2)</f>
        <v>pMut: 8.0</v>
      </c>
      <c r="E24" t="str" cm="1">
        <f t="array" aca="1" ref="E24" ca="1">INDIRECT("Sheet"&amp;E$2&amp;"!a"&amp;ROW($A24)-2)</f>
        <v>pMut: 6.0</v>
      </c>
      <c r="F24" t="str" cm="1">
        <f t="array" aca="1" ref="F24" ca="1">INDIRECT("Sheet"&amp;F$2&amp;"!a"&amp;ROW($A24)-2)</f>
        <v>pMut: 6.0</v>
      </c>
      <c r="G24" t="str" cm="1">
        <f t="array" aca="1" ref="G24" ca="1">INDIRECT("Sheet"&amp;G$2&amp;"!a"&amp;ROW($A24)-2)</f>
        <v>pMut: 6.0</v>
      </c>
      <c r="H24" t="str" cm="1">
        <f t="array" aca="1" ref="H24" ca="1">INDIRECT("Sheet"&amp;H$2&amp;"!a"&amp;ROW($A24)-2)</f>
        <v>pMut: 2.0</v>
      </c>
      <c r="I24" cm="1">
        <f t="array" aca="1" ref="I24" ca="1">INDIRECT("Sheet"&amp;I$2&amp;"!a"&amp;ROW($A24)-2)</f>
        <v>0</v>
      </c>
      <c r="J24" t="str" cm="1">
        <f t="array" aca="1" ref="J24" ca="1">INDIRECT("Sheet"&amp;J$2&amp;"!a"&amp;ROW($A24)-2)</f>
        <v>pMut: 8.0</v>
      </c>
      <c r="K24" t="str" cm="1">
        <f t="array" aca="1" ref="K24" ca="1">INDIRECT("Sheet"&amp;K$2&amp;"!a"&amp;ROW($A24)-2)</f>
        <v>pMut: 2.0</v>
      </c>
      <c r="L24" t="str" cm="1">
        <f t="array" aca="1" ref="L24" ca="1">INDIRECT("Sheet"&amp;L$2&amp;"!a"&amp;ROW($A24)-2)</f>
        <v>pMut: 2.0</v>
      </c>
      <c r="M24" t="str" cm="1">
        <f t="array" aca="1" ref="M24" ca="1">INDIRECT("Sheet"&amp;M$2&amp;"!a"&amp;ROW($A24)-2)</f>
        <v>pMut: 8.0</v>
      </c>
      <c r="N24" t="str" cm="1">
        <f t="array" aca="1" ref="N24" ca="1">INDIRECT("Sheet"&amp;N$2&amp;"!a"&amp;ROW($A24)-2)</f>
        <v>pMut: 6.0</v>
      </c>
      <c r="O24" t="str" cm="1">
        <f t="array" aca="1" ref="O24" ca="1">INDIRECT("Sheet"&amp;O$2&amp;"!a"&amp;ROW($A24)-2)</f>
        <v>pMut: 6.0</v>
      </c>
      <c r="P24" t="str" cm="1">
        <f t="array" aca="1" ref="P24" ca="1">INDIRECT("Sheet"&amp;P$2&amp;"!a"&amp;ROW($A24)-2)</f>
        <v>pMut: 6.0</v>
      </c>
      <c r="Q24" t="str" cm="1">
        <f t="array" aca="1" ref="Q24" ca="1">INDIRECT("Sheet"&amp;Q$2&amp;"!a"&amp;ROW($A24)-2)</f>
        <v>pMut: 2.0</v>
      </c>
      <c r="R24" t="str" cm="1">
        <f t="array" aca="1" ref="R24" ca="1">INDIRECT("Sheet"&amp;R$2&amp;"!a"&amp;ROW($A24)-2)</f>
        <v>pMut: 6.0</v>
      </c>
      <c r="S24" t="str" cm="1">
        <f t="array" aca="1" ref="S24" ca="1">INDIRECT("Sheet"&amp;S$2&amp;"!a"&amp;ROW($A24)-2)</f>
        <v>pMut: 2.0</v>
      </c>
      <c r="T24" t="str" cm="1">
        <f t="array" aca="1" ref="T24" ca="1">INDIRECT("Sheet"&amp;T$2&amp;"!a"&amp;ROW($A24)-2)</f>
        <v>pMut: 6.0</v>
      </c>
      <c r="U24" t="str" cm="1">
        <f t="array" aca="1" ref="U24" ca="1">INDIRECT("Sheet"&amp;U$2&amp;"!a"&amp;ROW($A24)-2)</f>
        <v>pMut: 2.0</v>
      </c>
      <c r="V24" t="str" cm="1">
        <f t="array" aca="1" ref="V24" ca="1">INDIRECT("Sheet"&amp;V$2&amp;"!a"&amp;ROW($A24)-2)</f>
        <v>pMut: 6.0</v>
      </c>
    </row>
    <row r="25" spans="1:22" x14ac:dyDescent="0.2">
      <c r="A25" t="s">
        <v>88</v>
      </c>
      <c r="C25" t="str" cm="1">
        <f t="array" aca="1" ref="C25" ca="1">INDIRECT("Sheet"&amp;C$2&amp;"!a"&amp;ROW($A25)-2)</f>
        <v>sMut: 0.2</v>
      </c>
      <c r="D25" t="str" cm="1">
        <f t="array" aca="1" ref="D25" ca="1">INDIRECT("Sheet"&amp;D$2&amp;"!a"&amp;ROW($A25)-2)</f>
        <v>sMut: 0.2</v>
      </c>
      <c r="E25" t="str" cm="1">
        <f t="array" aca="1" ref="E25" ca="1">INDIRECT("Sheet"&amp;E$2&amp;"!a"&amp;ROW($A25)-2)</f>
        <v>sMut: 0.2</v>
      </c>
      <c r="F25" t="str" cm="1">
        <f t="array" aca="1" ref="F25" ca="1">INDIRECT("Sheet"&amp;F$2&amp;"!a"&amp;ROW($A25)-2)</f>
        <v>sMut: 0.2</v>
      </c>
      <c r="G25" t="str" cm="1">
        <f t="array" aca="1" ref="G25" ca="1">INDIRECT("Sheet"&amp;G$2&amp;"!a"&amp;ROW($A25)-2)</f>
        <v>sMut: 0.2</v>
      </c>
      <c r="H25" t="str" cm="1">
        <f t="array" aca="1" ref="H25" ca="1">INDIRECT("Sheet"&amp;H$2&amp;"!a"&amp;ROW($A25)-2)</f>
        <v>sMut: 1.0</v>
      </c>
      <c r="I25" cm="1">
        <f t="array" aca="1" ref="I25" ca="1">INDIRECT("Sheet"&amp;I$2&amp;"!a"&amp;ROW($A25)-2)</f>
        <v>0</v>
      </c>
      <c r="J25" t="str" cm="1">
        <f t="array" aca="1" ref="J25" ca="1">INDIRECT("Sheet"&amp;J$2&amp;"!a"&amp;ROW($A25)-2)</f>
        <v>sMut: 0.2</v>
      </c>
      <c r="K25" t="str" cm="1">
        <f t="array" aca="1" ref="K25" ca="1">INDIRECT("Sheet"&amp;K$2&amp;"!a"&amp;ROW($A25)-2)</f>
        <v>sMut: 0.2</v>
      </c>
      <c r="L25" t="str" cm="1">
        <f t="array" aca="1" ref="L25" ca="1">INDIRECT("Sheet"&amp;L$2&amp;"!a"&amp;ROW($A25)-2)</f>
        <v>sMut: 0.2</v>
      </c>
      <c r="M25" t="str" cm="1">
        <f t="array" aca="1" ref="M25" ca="1">INDIRECT("Sheet"&amp;M$2&amp;"!a"&amp;ROW($A25)-2)</f>
        <v>sMut: 0.2</v>
      </c>
      <c r="N25" t="str" cm="1">
        <f t="array" aca="1" ref="N25" ca="1">INDIRECT("Sheet"&amp;N$2&amp;"!a"&amp;ROW($A25)-2)</f>
        <v>sMut: 0.2</v>
      </c>
      <c r="O25" t="str" cm="1">
        <f t="array" aca="1" ref="O25" ca="1">INDIRECT("Sheet"&amp;O$2&amp;"!a"&amp;ROW($A25)-2)</f>
        <v>sMut: 0.2</v>
      </c>
      <c r="P25" t="str" cm="1">
        <f t="array" aca="1" ref="P25" ca="1">INDIRECT("Sheet"&amp;P$2&amp;"!a"&amp;ROW($A25)-2)</f>
        <v>sMut: 0.2</v>
      </c>
      <c r="Q25" t="str" cm="1">
        <f t="array" aca="1" ref="Q25" ca="1">INDIRECT("Sheet"&amp;Q$2&amp;"!a"&amp;ROW($A25)-2)</f>
        <v>sMut: 0.2</v>
      </c>
      <c r="R25" t="str" cm="1">
        <f t="array" aca="1" ref="R25" ca="1">INDIRECT("Sheet"&amp;R$2&amp;"!a"&amp;ROW($A25)-2)</f>
        <v>sMut: 0.2</v>
      </c>
      <c r="S25" t="str" cm="1">
        <f t="array" aca="1" ref="S25" ca="1">INDIRECT("Sheet"&amp;S$2&amp;"!a"&amp;ROW($A25)-2)</f>
        <v>sMut: 0.2</v>
      </c>
      <c r="T25" t="str" cm="1">
        <f t="array" aca="1" ref="T25" ca="1">INDIRECT("Sheet"&amp;T$2&amp;"!a"&amp;ROW($A25)-2)</f>
        <v>sMut: 0.2</v>
      </c>
      <c r="U25" t="str" cm="1">
        <f t="array" aca="1" ref="U25" ca="1">INDIRECT("Sheet"&amp;U$2&amp;"!a"&amp;ROW($A25)-2)</f>
        <v>sMut: 0.2</v>
      </c>
      <c r="V25" t="str" cm="1">
        <f t="array" aca="1" ref="V25" ca="1">INDIRECT("Sheet"&amp;V$2&amp;"!a"&amp;ROW($A25)-2)</f>
        <v>sMut: 0.2</v>
      </c>
    </row>
    <row r="26" spans="1:22" x14ac:dyDescent="0.2">
      <c r="A26" t="s">
        <v>89</v>
      </c>
      <c r="C26" t="str" cm="1">
        <f t="array" aca="1" ref="C26" ca="1">INDIRECT("Sheet"&amp;C$2&amp;"!a"&amp;ROW($A26)-2)</f>
        <v>tabuLength: 0</v>
      </c>
      <c r="D26" t="str" cm="1">
        <f t="array" aca="1" ref="D26" ca="1">INDIRECT("Sheet"&amp;D$2&amp;"!a"&amp;ROW($A26)-2)</f>
        <v>tabuLength: 0</v>
      </c>
      <c r="E26" t="str" cm="1">
        <f t="array" aca="1" ref="E26" ca="1">INDIRECT("Sheet"&amp;E$2&amp;"!a"&amp;ROW($A26)-2)</f>
        <v>tabuLength: 0</v>
      </c>
      <c r="F26" t="str" cm="1">
        <f t="array" aca="1" ref="F26" ca="1">INDIRECT("Sheet"&amp;F$2&amp;"!a"&amp;ROW($A26)-2)</f>
        <v>tabuLength: 0</v>
      </c>
      <c r="G26" t="str" cm="1">
        <f t="array" aca="1" ref="G26" ca="1">INDIRECT("Sheet"&amp;G$2&amp;"!a"&amp;ROW($A26)-2)</f>
        <v>tabuLength: 0</v>
      </c>
      <c r="H26" t="str" cm="1">
        <f t="array" aca="1" ref="H26" ca="1">INDIRECT("Sheet"&amp;H$2&amp;"!a"&amp;ROW($A26)-2)</f>
        <v>CCstart: -1</v>
      </c>
      <c r="I26" cm="1">
        <f t="array" aca="1" ref="I26" ca="1">INDIRECT("Sheet"&amp;I$2&amp;"!a"&amp;ROW($A26)-2)</f>
        <v>0</v>
      </c>
      <c r="J26" t="str" cm="1">
        <f t="array" aca="1" ref="J26" ca="1">INDIRECT("Sheet"&amp;J$2&amp;"!a"&amp;ROW($A26)-2)</f>
        <v>tabuLength: 0</v>
      </c>
      <c r="K26" t="str" cm="1">
        <f t="array" aca="1" ref="K26" ca="1">INDIRECT("Sheet"&amp;K$2&amp;"!a"&amp;ROW($A26)-2)</f>
        <v>tabuLength: 0</v>
      </c>
      <c r="L26" t="str" cm="1">
        <f t="array" aca="1" ref="L26" ca="1">INDIRECT("Sheet"&amp;L$2&amp;"!a"&amp;ROW($A26)-2)</f>
        <v>tabuLength: 0</v>
      </c>
      <c r="M26" t="str" cm="1">
        <f t="array" aca="1" ref="M26" ca="1">INDIRECT("Sheet"&amp;M$2&amp;"!a"&amp;ROW($A26)-2)</f>
        <v>tabuLength: 0</v>
      </c>
      <c r="N26" t="str" cm="1">
        <f t="array" aca="1" ref="N26" ca="1">INDIRECT("Sheet"&amp;N$2&amp;"!a"&amp;ROW($A26)-2)</f>
        <v>tabuLength: 0</v>
      </c>
      <c r="O26" t="str" cm="1">
        <f t="array" aca="1" ref="O26" ca="1">INDIRECT("Sheet"&amp;O$2&amp;"!a"&amp;ROW($A26)-2)</f>
        <v>tabuLength: 0</v>
      </c>
      <c r="P26" t="str" cm="1">
        <f t="array" aca="1" ref="P26" ca="1">INDIRECT("Sheet"&amp;P$2&amp;"!a"&amp;ROW($A26)-2)</f>
        <v>tabuLength: 0</v>
      </c>
      <c r="Q26" t="str" cm="1">
        <f t="array" aca="1" ref="Q26" ca="1">INDIRECT("Sheet"&amp;Q$2&amp;"!a"&amp;ROW($A26)-2)</f>
        <v>tabuLength: 0</v>
      </c>
      <c r="R26" t="str" cm="1">
        <f t="array" aca="1" ref="R26" ca="1">INDIRECT("Sheet"&amp;R$2&amp;"!a"&amp;ROW($A26)-2)</f>
        <v>tabuLength: 0</v>
      </c>
      <c r="S26" t="str" cm="1">
        <f t="array" aca="1" ref="S26" ca="1">INDIRECT("Sheet"&amp;S$2&amp;"!a"&amp;ROW($A26)-2)</f>
        <v>tabuLength: 0</v>
      </c>
      <c r="T26" t="str" cm="1">
        <f t="array" aca="1" ref="T26" ca="1">INDIRECT("Sheet"&amp;T$2&amp;"!a"&amp;ROW($A26)-2)</f>
        <v>tabuLength: 0</v>
      </c>
      <c r="U26" t="str" cm="1">
        <f t="array" aca="1" ref="U26" ca="1">INDIRECT("Sheet"&amp;U$2&amp;"!a"&amp;ROW($A26)-2)</f>
        <v>tabuLength: 0</v>
      </c>
      <c r="V26" t="str" cm="1">
        <f t="array" aca="1" ref="V26" ca="1">INDIRECT("Sheet"&amp;V$2&amp;"!a"&amp;ROW($A26)-2)</f>
        <v>tabuLength: 0</v>
      </c>
    </row>
    <row r="27" spans="1:22" x14ac:dyDescent="0.2">
      <c r="A27" t="s">
        <v>28</v>
      </c>
      <c r="C27" t="str" cm="1">
        <f t="array" aca="1" ref="C27" ca="1">INDIRECT("Sheet"&amp;C$2&amp;"!a"&amp;ROW($A27)-2)</f>
        <v>swapPivot: 1</v>
      </c>
      <c r="D27" t="str" cm="1">
        <f t="array" aca="1" ref="D27" ca="1">INDIRECT("Sheet"&amp;D$2&amp;"!a"&amp;ROW($A27)-2)</f>
        <v>swapPivot: 1</v>
      </c>
      <c r="E27" t="str" cm="1">
        <f t="array" aca="1" ref="E27" ca="1">INDIRECT("Sheet"&amp;E$2&amp;"!a"&amp;ROW($A27)-2)</f>
        <v>swapPivot: 1</v>
      </c>
      <c r="F27" t="str" cm="1">
        <f t="array" aca="1" ref="F27" ca="1">INDIRECT("Sheet"&amp;F$2&amp;"!a"&amp;ROW($A27)-2)</f>
        <v>swapPivot: 1</v>
      </c>
      <c r="G27" t="str" cm="1">
        <f t="array" aca="1" ref="G27" ca="1">INDIRECT("Sheet"&amp;G$2&amp;"!a"&amp;ROW($A27)-2)</f>
        <v>swapPivot: 1</v>
      </c>
      <c r="H27" t="str" cm="1">
        <f t="array" aca="1" ref="H27" ca="1">INDIRECT("Sheet"&amp;H$2&amp;"!a"&amp;ROW($A27)-2)</f>
        <v>addStabs: 0</v>
      </c>
      <c r="I27" cm="1">
        <f t="array" aca="1" ref="I27" ca="1">INDIRECT("Sheet"&amp;I$2&amp;"!a"&amp;ROW($A27)-2)</f>
        <v>0</v>
      </c>
      <c r="J27" t="str" cm="1">
        <f t="array" aca="1" ref="J27" ca="1">INDIRECT("Sheet"&amp;J$2&amp;"!a"&amp;ROW($A27)-2)</f>
        <v>swapPivot: 1</v>
      </c>
      <c r="K27" t="str" cm="1">
        <f t="array" aca="1" ref="K27" ca="1">INDIRECT("Sheet"&amp;K$2&amp;"!a"&amp;ROW($A27)-2)</f>
        <v>swapPivot: 1</v>
      </c>
      <c r="L27" t="str" cm="1">
        <f t="array" aca="1" ref="L27" ca="1">INDIRECT("Sheet"&amp;L$2&amp;"!a"&amp;ROW($A27)-2)</f>
        <v>swapPivot: 1</v>
      </c>
      <c r="M27" t="str" cm="1">
        <f t="array" aca="1" ref="M27" ca="1">INDIRECT("Sheet"&amp;M$2&amp;"!a"&amp;ROW($A27)-2)</f>
        <v>swapPivot: 1</v>
      </c>
      <c r="N27" t="str" cm="1">
        <f t="array" aca="1" ref="N27" ca="1">INDIRECT("Sheet"&amp;N$2&amp;"!a"&amp;ROW($A27)-2)</f>
        <v>swapPivot: 1</v>
      </c>
      <c r="O27" t="str" cm="1">
        <f t="array" aca="1" ref="O27" ca="1">INDIRECT("Sheet"&amp;O$2&amp;"!a"&amp;ROW($A27)-2)</f>
        <v>swapPivot: 1</v>
      </c>
      <c r="P27" t="str" cm="1">
        <f t="array" aca="1" ref="P27" ca="1">INDIRECT("Sheet"&amp;P$2&amp;"!a"&amp;ROW($A27)-2)</f>
        <v>swapPivot: 1</v>
      </c>
      <c r="Q27" t="str" cm="1">
        <f t="array" aca="1" ref="Q27" ca="1">INDIRECT("Sheet"&amp;Q$2&amp;"!a"&amp;ROW($A27)-2)</f>
        <v>swapPivot: 1</v>
      </c>
      <c r="R27" t="str" cm="1">
        <f t="array" aca="1" ref="R27" ca="1">INDIRECT("Sheet"&amp;R$2&amp;"!a"&amp;ROW($A27)-2)</f>
        <v>swapPivot: 1</v>
      </c>
      <c r="S27" t="str" cm="1">
        <f t="array" aca="1" ref="S27" ca="1">INDIRECT("Sheet"&amp;S$2&amp;"!a"&amp;ROW($A27)-2)</f>
        <v>swapPivot: 1</v>
      </c>
      <c r="T27" t="str" cm="1">
        <f t="array" aca="1" ref="T27" ca="1">INDIRECT("Sheet"&amp;T$2&amp;"!a"&amp;ROW($A27)-2)</f>
        <v>swapPivot: 1</v>
      </c>
      <c r="U27" t="str" cm="1">
        <f t="array" aca="1" ref="U27" ca="1">INDIRECT("Sheet"&amp;U$2&amp;"!a"&amp;ROW($A27)-2)</f>
        <v>swapPivot: 1</v>
      </c>
      <c r="V27" t="str" cm="1">
        <f t="array" aca="1" ref="V27" ca="1">INDIRECT("Sheet"&amp;V$2&amp;"!a"&amp;ROW($A27)-2)</f>
        <v>swapPivot: 1</v>
      </c>
    </row>
    <row r="28" spans="1:22" x14ac:dyDescent="0.2">
      <c r="C28" t="str" cm="1">
        <f t="array" aca="1" ref="C28" ca="1">INDIRECT("Sheet"&amp;C$2&amp;"!a"&amp;ROW($A28)-2)</f>
        <v>swapBlockorder: 0</v>
      </c>
      <c r="D28" t="str" cm="1">
        <f t="array" aca="1" ref="D28" ca="1">INDIRECT("Sheet"&amp;D$2&amp;"!a"&amp;ROW($A28)-2)</f>
        <v>swapBlockorder: 0</v>
      </c>
      <c r="E28" t="str" cm="1">
        <f t="array" aca="1" ref="E28" ca="1">INDIRECT("Sheet"&amp;E$2&amp;"!a"&amp;ROW($A28)-2)</f>
        <v>swapBlockorder: 0</v>
      </c>
      <c r="F28" t="str" cm="1">
        <f t="array" aca="1" ref="F28" ca="1">INDIRECT("Sheet"&amp;F$2&amp;"!a"&amp;ROW($A28)-2)</f>
        <v>swapBlockorder: 0</v>
      </c>
      <c r="G28" t="str" cm="1">
        <f t="array" aca="1" ref="G28" ca="1">INDIRECT("Sheet"&amp;G$2&amp;"!a"&amp;ROW($A28)-2)</f>
        <v>swapBlockorder: 0</v>
      </c>
      <c r="H28" t="str" cm="1">
        <f t="array" aca="1" ref="H28" ca="1">INDIRECT("Sheet"&amp;H$2&amp;"!a"&amp;ROW($A28)-2)</f>
        <v>outfile: /home/ucapmwe/dist-benchmark/results/codeTables-QECC_sample.txt-dist_m4ri_CC-20260203_135026.787691_85062422.txt</v>
      </c>
      <c r="I28" t="str" cm="1">
        <f t="array" aca="1" ref="I28" ca="1">INDIRECT("Sheet"&amp;I$2&amp;"!a"&amp;ROW($A28)-2)</f>
        <v>outfile: /home/ucapmwe/dist-benchmark/results/codeTables-QECC_sample.txt-dist_m4ri_CC-20260107_140325.395673_85062422.txt</v>
      </c>
      <c r="J28" t="str" cm="1">
        <f t="array" aca="1" ref="J28" ca="1">INDIRECT("Sheet"&amp;J$2&amp;"!a"&amp;ROW($A28)-2)</f>
        <v>swapBlockorder: 0</v>
      </c>
      <c r="K28" t="str" cm="1">
        <f t="array" aca="1" ref="K28" ca="1">INDIRECT("Sheet"&amp;K$2&amp;"!a"&amp;ROW($A28)-2)</f>
        <v>swapBlockorder: 0</v>
      </c>
      <c r="L28" t="str" cm="1">
        <f t="array" aca="1" ref="L28" ca="1">INDIRECT("Sheet"&amp;L$2&amp;"!a"&amp;ROW($A28)-2)</f>
        <v>swapBlockorder: 0</v>
      </c>
      <c r="M28" t="str" cm="1">
        <f t="array" aca="1" ref="M28" ca="1">INDIRECT("Sheet"&amp;M$2&amp;"!a"&amp;ROW($A28)-2)</f>
        <v>swapBlockorder: 0</v>
      </c>
      <c r="N28" t="str" cm="1">
        <f t="array" aca="1" ref="N28" ca="1">INDIRECT("Sheet"&amp;N$2&amp;"!a"&amp;ROW($A28)-2)</f>
        <v>swapBlockorder: 0</v>
      </c>
      <c r="O28" t="str" cm="1">
        <f t="array" aca="1" ref="O28" ca="1">INDIRECT("Sheet"&amp;O$2&amp;"!a"&amp;ROW($A28)-2)</f>
        <v>swapBlockorder: 0</v>
      </c>
      <c r="P28" t="str" cm="1">
        <f t="array" aca="1" ref="P28" ca="1">INDIRECT("Sheet"&amp;P$2&amp;"!a"&amp;ROW($A28)-2)</f>
        <v>swapBlockorder: 0</v>
      </c>
      <c r="Q28" t="str" cm="1">
        <f t="array" aca="1" ref="Q28" ca="1">INDIRECT("Sheet"&amp;Q$2&amp;"!a"&amp;ROW($A28)-2)</f>
        <v>swapBlockorder: 0</v>
      </c>
      <c r="R28" t="str" cm="1">
        <f t="array" aca="1" ref="R28" ca="1">INDIRECT("Sheet"&amp;R$2&amp;"!a"&amp;ROW($A28)-2)</f>
        <v>swapBlockorder: 0</v>
      </c>
      <c r="S28" t="str" cm="1">
        <f t="array" aca="1" ref="S28" ca="1">INDIRECT("Sheet"&amp;S$2&amp;"!a"&amp;ROW($A28)-2)</f>
        <v>swapBlockorder: 0</v>
      </c>
      <c r="T28" t="str" cm="1">
        <f t="array" aca="1" ref="T28" ca="1">INDIRECT("Sheet"&amp;T$2&amp;"!a"&amp;ROW($A28)-2)</f>
        <v>swapBlockorder: 0</v>
      </c>
      <c r="U28" t="str" cm="1">
        <f t="array" aca="1" ref="U28" ca="1">INDIRECT("Sheet"&amp;U$2&amp;"!a"&amp;ROW($A28)-2)</f>
        <v>swapBlockorder: 0</v>
      </c>
      <c r="V28" t="str" cm="1">
        <f t="array" aca="1" ref="V28" ca="1">INDIRECT("Sheet"&amp;V$2&amp;"!a"&amp;ROW($A28)-2)</f>
        <v>swapBlockorder: 0</v>
      </c>
    </row>
    <row r="29" spans="1:22" x14ac:dyDescent="0.2">
      <c r="C29" t="str" cm="1">
        <f t="array" aca="1" ref="C29" ca="1">INDIRECT("Sheet"&amp;C$2&amp;"!a"&amp;ROW($A29)-2)</f>
        <v>CCstart: -1</v>
      </c>
      <c r="D29" t="str" cm="1">
        <f t="array" aca="1" ref="D29" ca="1">INDIRECT("Sheet"&amp;D$2&amp;"!a"&amp;ROW($A29)-2)</f>
        <v>CCstart: -1</v>
      </c>
      <c r="E29" t="str" cm="1">
        <f t="array" aca="1" ref="E29" ca="1">INDIRECT("Sheet"&amp;E$2&amp;"!a"&amp;ROW($A29)-2)</f>
        <v>CCstart: -1</v>
      </c>
      <c r="F29" t="str" cm="1">
        <f t="array" aca="1" ref="F29" ca="1">INDIRECT("Sheet"&amp;F$2&amp;"!a"&amp;ROW($A29)-2)</f>
        <v>CCstart: -1</v>
      </c>
      <c r="G29" t="str" cm="1">
        <f t="array" aca="1" ref="G29" ca="1">INDIRECT("Sheet"&amp;G$2&amp;"!a"&amp;ROW($A29)-2)</f>
        <v>CCstart: -1</v>
      </c>
      <c r="H29" t="str" cm="1">
        <f t="array" aca="1" ref="H29" ca="1">INDIRECT("Sheet"&amp;H$2&amp;"!a"&amp;ROW($A29)-2)</f>
        <v>#########################################</v>
      </c>
      <c r="I29" t="str" cm="1">
        <f t="array" aca="1" ref="I29" ca="1">INDIRECT("Sheet"&amp;I$2&amp;"!a"&amp;ROW($A29)-2)</f>
        <v>#########################################</v>
      </c>
      <c r="J29" t="str" cm="1">
        <f t="array" aca="1" ref="J29" ca="1">INDIRECT("Sheet"&amp;J$2&amp;"!a"&amp;ROW($A29)-2)</f>
        <v>CCstart: -1</v>
      </c>
      <c r="K29" t="str" cm="1">
        <f t="array" aca="1" ref="K29" ca="1">INDIRECT("Sheet"&amp;K$2&amp;"!a"&amp;ROW($A29)-2)</f>
        <v>pScaled: 0</v>
      </c>
      <c r="L29" t="str" cm="1">
        <f t="array" aca="1" ref="L29" ca="1">INDIRECT("Sheet"&amp;L$2&amp;"!a"&amp;ROW($A29)-2)</f>
        <v>pScaled: 0</v>
      </c>
      <c r="M29" t="str" cm="1">
        <f t="array" aca="1" ref="M29" ca="1">INDIRECT("Sheet"&amp;M$2&amp;"!a"&amp;ROW($A29)-2)</f>
        <v>CCstart: -1</v>
      </c>
      <c r="N29" t="str" cm="1">
        <f t="array" aca="1" ref="N29" ca="1">INDIRECT("Sheet"&amp;N$2&amp;"!a"&amp;ROW($A29)-2)</f>
        <v>CCstart: -1</v>
      </c>
      <c r="O29" t="str" cm="1">
        <f t="array" aca="1" ref="O29" ca="1">INDIRECT("Sheet"&amp;O$2&amp;"!a"&amp;ROW($A29)-2)</f>
        <v>CCstart: -1</v>
      </c>
      <c r="P29" t="str" cm="1">
        <f t="array" aca="1" ref="P29" ca="1">INDIRECT("Sheet"&amp;P$2&amp;"!a"&amp;ROW($A29)-2)</f>
        <v>CCstart: -1</v>
      </c>
      <c r="Q29" t="str" cm="1">
        <f t="array" aca="1" ref="Q29" ca="1">INDIRECT("Sheet"&amp;Q$2&amp;"!a"&amp;ROW($A29)-2)</f>
        <v>pScaled: 0</v>
      </c>
      <c r="R29" t="str" cm="1">
        <f t="array" aca="1" ref="R29" ca="1">INDIRECT("Sheet"&amp;R$2&amp;"!a"&amp;ROW($A29)-2)</f>
        <v>CCstart: -1</v>
      </c>
      <c r="S29" t="str" cm="1">
        <f t="array" aca="1" ref="S29" ca="1">INDIRECT("Sheet"&amp;S$2&amp;"!a"&amp;ROW($A29)-2)</f>
        <v>pScaled: 0</v>
      </c>
      <c r="T29" t="str" cm="1">
        <f t="array" aca="1" ref="T29" ca="1">INDIRECT("Sheet"&amp;T$2&amp;"!a"&amp;ROW($A29)-2)</f>
        <v>CCstart: -1</v>
      </c>
      <c r="U29" t="str" cm="1">
        <f t="array" aca="1" ref="U29" ca="1">INDIRECT("Sheet"&amp;U$2&amp;"!a"&amp;ROW($A29)-2)</f>
        <v>pScaled: 0</v>
      </c>
      <c r="V29" t="str" cm="1">
        <f t="array" aca="1" ref="V29" ca="1">INDIRECT("Sheet"&amp;V$2&amp;"!a"&amp;ROW($A29)-2)</f>
        <v>CCstart: -1</v>
      </c>
    </row>
    <row r="31" spans="1:22" x14ac:dyDescent="0.2">
      <c r="A31" t="str">
        <f>LEFT(A8,FIND(":",A8))</f>
        <v>method:</v>
      </c>
      <c r="B31">
        <f t="shared" ref="B31" si="0">LEN(A31)+1</f>
        <v>8</v>
      </c>
      <c r="C31" t="str">
        <f ca="1">IF(C8=$A8,"",RIGHT(C8,LEN(C8)-$B31))</f>
        <v>GurobiDist</v>
      </c>
      <c r="D31" t="str">
        <f ca="1">IF(D8=$A8,"",RIGHT(D8,LEN(D8)-$B31))</f>
        <v>GurobiDist</v>
      </c>
      <c r="E31" t="str">
        <f t="shared" ref="E31:V31" ca="1" si="1">IF(E8=$A8,"",RIGHT(E8,LEN(E8)-$B31))</f>
        <v>BZDistMW</v>
      </c>
      <c r="F31" t="str">
        <f t="shared" ca="1" si="1"/>
        <v>BZDistMW</v>
      </c>
      <c r="G31" t="str">
        <f t="shared" ca="1" si="1"/>
        <v>BZDistMW</v>
      </c>
      <c r="H31" t="str">
        <f t="shared" ca="1" si="1"/>
        <v>dist_m4ri_CC</v>
      </c>
      <c r="I31" t="str">
        <f t="shared" ca="1" si="1"/>
        <v>dist_m4ri_CC</v>
      </c>
      <c r="J31" t="str">
        <f t="shared" ca="1" si="1"/>
        <v>dist_m4ri_RW</v>
      </c>
      <c r="K31" t="str">
        <f t="shared" ca="1" si="1"/>
        <v>dist_m4ri_RW</v>
      </c>
      <c r="L31" t="str">
        <f t="shared" ca="1" si="1"/>
        <v>dist_m4ri_RW</v>
      </c>
      <c r="M31" t="str">
        <f t="shared" ca="1" si="1"/>
        <v>dist_m4ri_RW</v>
      </c>
      <c r="N31" t="str">
        <f t="shared" ca="1" si="1"/>
        <v>QDistEvol</v>
      </c>
      <c r="O31" t="str">
        <f t="shared" ca="1" si="1"/>
        <v>QDistEvol</v>
      </c>
      <c r="P31" t="str">
        <f t="shared" ca="1" si="1"/>
        <v>QDistEvol</v>
      </c>
      <c r="Q31" t="str">
        <f t="shared" ca="1" si="1"/>
        <v>QDistRndMW</v>
      </c>
      <c r="R31" t="str">
        <f t="shared" ca="1" si="1"/>
        <v>QDistRndMW</v>
      </c>
      <c r="S31" t="str">
        <f t="shared" ca="1" si="1"/>
        <v>QDistRndMW</v>
      </c>
      <c r="T31" t="str">
        <f t="shared" ca="1" si="1"/>
        <v>QDistRndMW</v>
      </c>
      <c r="U31" t="str">
        <f t="shared" ca="1" si="1"/>
        <v>QDistRndMW</v>
      </c>
      <c r="V31" t="str">
        <f t="shared" ca="1" si="1"/>
        <v>QDistRndMW</v>
      </c>
    </row>
    <row r="32" spans="1:22" x14ac:dyDescent="0.2">
      <c r="A32" t="str">
        <f t="shared" ref="A32" si="2">LEFT(A18,FIND(":",A18))</f>
        <v>GF4blockRep:</v>
      </c>
      <c r="B32">
        <f t="shared" ref="B32" si="3">LEN(A32)+1</f>
        <v>13</v>
      </c>
      <c r="C32">
        <f ca="1">IF(C18=$A18,"",RIGHT(C18,LEN(C18)-$B32)*1)</f>
        <v>2</v>
      </c>
      <c r="D32">
        <f ca="1">IF(D18=$A18,"",RIGHT(D18,LEN(D18)-$B32)*1)</f>
        <v>3</v>
      </c>
      <c r="E32">
        <f t="shared" ref="E32:V32" ca="1" si="4">IF(E18=$A18,"",RIGHT(E18,LEN(E18)-$B32)*1)</f>
        <v>2</v>
      </c>
      <c r="F32">
        <f t="shared" ca="1" si="4"/>
        <v>3</v>
      </c>
      <c r="G32">
        <f t="shared" ca="1" si="4"/>
        <v>4</v>
      </c>
      <c r="H32">
        <f t="shared" ca="1" si="4"/>
        <v>3</v>
      </c>
      <c r="I32">
        <f t="shared" ca="1" si="4"/>
        <v>4</v>
      </c>
      <c r="J32">
        <f t="shared" ca="1" si="4"/>
        <v>3</v>
      </c>
      <c r="K32">
        <f t="shared" ca="1" si="4"/>
        <v>3</v>
      </c>
      <c r="L32">
        <f t="shared" ca="1" si="4"/>
        <v>3</v>
      </c>
      <c r="M32">
        <f t="shared" ca="1" si="4"/>
        <v>4</v>
      </c>
      <c r="N32">
        <f t="shared" ca="1" si="4"/>
        <v>2</v>
      </c>
      <c r="O32">
        <f t="shared" ca="1" si="4"/>
        <v>3</v>
      </c>
      <c r="P32">
        <f t="shared" ca="1" si="4"/>
        <v>4</v>
      </c>
      <c r="Q32">
        <f t="shared" ca="1" si="4"/>
        <v>2</v>
      </c>
      <c r="R32">
        <f t="shared" ca="1" si="4"/>
        <v>2</v>
      </c>
      <c r="S32">
        <f t="shared" ca="1" si="4"/>
        <v>3</v>
      </c>
      <c r="T32">
        <f t="shared" ca="1" si="4"/>
        <v>3</v>
      </c>
      <c r="U32">
        <f t="shared" ca="1" si="4"/>
        <v>4</v>
      </c>
      <c r="V32">
        <f t="shared" ca="1" si="4"/>
        <v>4</v>
      </c>
    </row>
    <row r="33" spans="1:50" x14ac:dyDescent="0.2">
      <c r="A33" t="str">
        <f>LEFT(A19,FIND(":",A19))</f>
        <v>regroupPerm:</v>
      </c>
      <c r="B33">
        <f t="shared" ref="B33" si="5">LEN(A33)+1</f>
        <v>13</v>
      </c>
      <c r="C33" t="str">
        <f ca="1">IF(C19=$A19,"",RIGHT(C19,LEN(C19)-$B33)*1)</f>
        <v/>
      </c>
      <c r="D33" t="str">
        <f ca="1">IF(D19=$A19,"",RIGHT(D19,LEN(D19)-$B33)*1)</f>
        <v/>
      </c>
      <c r="E33" t="str">
        <f ca="1">IF(E19=$A19,"",RIGHT(E19,LEN(E19)-$B33)*1)</f>
        <v/>
      </c>
      <c r="F33" t="str">
        <f ca="1">IF(F19=$A19,"",RIGHT(F19,LEN(F19)-$B33)*1)</f>
        <v/>
      </c>
      <c r="G33" t="str">
        <f ca="1">IF(G19=$A19,"",RIGHT(G19,LEN(G19)-$B33)*1)</f>
        <v/>
      </c>
      <c r="J33" t="str">
        <f t="shared" ref="J33:V33" ca="1" si="6">IF(J19=$A19,"",RIGHT(J19,LEN(J19)-$B33)*1)</f>
        <v/>
      </c>
      <c r="K33" t="str">
        <f t="shared" ca="1" si="6"/>
        <v/>
      </c>
      <c r="L33" t="str">
        <f t="shared" ca="1" si="6"/>
        <v/>
      </c>
      <c r="M33" t="str">
        <f t="shared" ca="1" si="6"/>
        <v/>
      </c>
      <c r="N33" t="str">
        <f t="shared" ca="1" si="6"/>
        <v/>
      </c>
      <c r="O33" t="str">
        <f t="shared" ca="1" si="6"/>
        <v/>
      </c>
      <c r="P33" t="str">
        <f t="shared" ca="1" si="6"/>
        <v/>
      </c>
      <c r="Q33">
        <f t="shared" ca="1" si="6"/>
        <v>0</v>
      </c>
      <c r="R33" t="str">
        <f t="shared" ca="1" si="6"/>
        <v/>
      </c>
      <c r="S33">
        <f t="shared" ca="1" si="6"/>
        <v>0</v>
      </c>
      <c r="T33" t="str">
        <f t="shared" ca="1" si="6"/>
        <v/>
      </c>
      <c r="U33">
        <f t="shared" ca="1" si="6"/>
        <v>0</v>
      </c>
      <c r="V33" t="str">
        <f t="shared" ca="1" si="6"/>
        <v/>
      </c>
    </row>
    <row r="34" spans="1:50" x14ac:dyDescent="0.2">
      <c r="A34" t="s">
        <v>31</v>
      </c>
      <c r="C34">
        <f ca="1">COUNTIF(O49:O169,"&gt;0")</f>
        <v>51</v>
      </c>
      <c r="D34">
        <f ca="1">COUNTIF(P49:P169,"&gt;0")</f>
        <v>43</v>
      </c>
      <c r="E34">
        <f ca="1">COUNTIF(H49:H169,"&gt;0")</f>
        <v>44</v>
      </c>
      <c r="F34">
        <f t="shared" ref="F34:V34" ca="1" si="7">COUNTIF(I49:I169,"&gt;0")</f>
        <v>49</v>
      </c>
      <c r="G34">
        <f t="shared" ca="1" si="7"/>
        <v>49</v>
      </c>
      <c r="H34">
        <f t="shared" ca="1" si="7"/>
        <v>33</v>
      </c>
      <c r="I34">
        <f t="shared" ca="1" si="7"/>
        <v>14</v>
      </c>
      <c r="J34">
        <f t="shared" ca="1" si="7"/>
        <v>121</v>
      </c>
      <c r="K34">
        <f ca="1">COUNTIF(C49:C169,"&gt;0")</f>
        <v>121</v>
      </c>
      <c r="L34">
        <f ca="1">COUNTIF(D49:D169,"&gt;0")</f>
        <v>121</v>
      </c>
      <c r="M34">
        <f ca="1">COUNTIF(N49:N169,"&gt;0")</f>
        <v>121</v>
      </c>
      <c r="N34">
        <f t="shared" ca="1" si="7"/>
        <v>121</v>
      </c>
      <c r="O34">
        <f t="shared" ca="1" si="7"/>
        <v>121</v>
      </c>
      <c r="P34">
        <f t="shared" ca="1" si="7"/>
        <v>121</v>
      </c>
      <c r="Q34">
        <f t="shared" ca="1" si="7"/>
        <v>121</v>
      </c>
      <c r="R34">
        <f t="shared" ca="1" si="7"/>
        <v>121</v>
      </c>
      <c r="S34">
        <f t="shared" ca="1" si="7"/>
        <v>121</v>
      </c>
      <c r="T34">
        <f t="shared" ca="1" si="7"/>
        <v>121</v>
      </c>
      <c r="U34">
        <f t="shared" ca="1" si="7"/>
        <v>121</v>
      </c>
      <c r="V34">
        <f t="shared" ca="1" si="7"/>
        <v>121</v>
      </c>
    </row>
    <row r="35" spans="1:50" x14ac:dyDescent="0.2">
      <c r="A35" t="s">
        <v>930</v>
      </c>
      <c r="C35">
        <f ca="1">SUM(O49:O169)</f>
        <v>331</v>
      </c>
      <c r="D35">
        <f ca="1">SUM(P49:P169)</f>
        <v>257</v>
      </c>
      <c r="E35">
        <f ca="1">SUM(H49:H169)</f>
        <v>266</v>
      </c>
      <c r="F35">
        <f t="shared" ref="F35:V35" ca="1" si="8">SUM(I49:I169)</f>
        <v>309</v>
      </c>
      <c r="G35">
        <f t="shared" ca="1" si="8"/>
        <v>310</v>
      </c>
      <c r="H35">
        <f t="shared" ca="1" si="8"/>
        <v>163</v>
      </c>
      <c r="I35">
        <f t="shared" ca="1" si="8"/>
        <v>48</v>
      </c>
      <c r="J35">
        <f t="shared" ca="1" si="8"/>
        <v>1505</v>
      </c>
      <c r="K35">
        <f ca="1">SUM(C49:C169)</f>
        <v>1511</v>
      </c>
      <c r="L35">
        <f ca="1">SUM(D49:D169)</f>
        <v>1513</v>
      </c>
      <c r="M35">
        <f ca="1">SUM(N49:N169)</f>
        <v>1493</v>
      </c>
      <c r="N35">
        <f t="shared" ca="1" si="8"/>
        <v>1481</v>
      </c>
      <c r="O35">
        <f t="shared" ca="1" si="8"/>
        <v>1480</v>
      </c>
      <c r="P35">
        <f t="shared" ca="1" si="8"/>
        <v>1480</v>
      </c>
      <c r="Q35">
        <f t="shared" ca="1" si="8"/>
        <v>1508</v>
      </c>
      <c r="R35">
        <f t="shared" ca="1" si="8"/>
        <v>1474</v>
      </c>
      <c r="S35">
        <f t="shared" ca="1" si="8"/>
        <v>1503</v>
      </c>
      <c r="T35">
        <f t="shared" ca="1" si="8"/>
        <v>1481</v>
      </c>
      <c r="U35">
        <f t="shared" ca="1" si="8"/>
        <v>1499</v>
      </c>
      <c r="V35">
        <f t="shared" ca="1" si="8"/>
        <v>1472</v>
      </c>
    </row>
    <row r="36" spans="1:50" x14ac:dyDescent="0.2">
      <c r="A36" t="s">
        <v>933</v>
      </c>
      <c r="C36">
        <f ca="1">SUMIF(O$49:O$169,"&gt;0",$F$49:$F$169)</f>
        <v>331</v>
      </c>
      <c r="D36">
        <f ca="1">SUMIF(P$49:P$169,"&gt;0",$F$49:$F$169)</f>
        <v>257</v>
      </c>
      <c r="E36">
        <f ca="1">SUMIF(H$49:H$169,"&gt;0",$F$49:$F$169)</f>
        <v>266</v>
      </c>
      <c r="F36">
        <f t="shared" ref="F36:V36" ca="1" si="9">SUMIF(I$49:I$169,"&gt;0",$F$49:$F$169)</f>
        <v>309</v>
      </c>
      <c r="G36">
        <f t="shared" ca="1" si="9"/>
        <v>309</v>
      </c>
      <c r="H36">
        <f t="shared" ca="1" si="9"/>
        <v>163</v>
      </c>
      <c r="I36">
        <f t="shared" ca="1" si="9"/>
        <v>48</v>
      </c>
      <c r="J36">
        <f t="shared" ca="1" si="9"/>
        <v>1466</v>
      </c>
      <c r="K36">
        <f ca="1">SUMIF(C$49:C$169,"&gt;0",$F$49:$F$169)</f>
        <v>1466</v>
      </c>
      <c r="L36">
        <f ca="1">SUMIF(D$49:D$169,"&gt;0",$F$49:$F$169)</f>
        <v>1466</v>
      </c>
      <c r="M36">
        <f ca="1">SUMIF(N$49:N$169,"&gt;0",$F$49:$F$169)</f>
        <v>1466</v>
      </c>
      <c r="N36">
        <f t="shared" ca="1" si="9"/>
        <v>1466</v>
      </c>
      <c r="O36">
        <f t="shared" ca="1" si="9"/>
        <v>1466</v>
      </c>
      <c r="P36">
        <f t="shared" ca="1" si="9"/>
        <v>1466</v>
      </c>
      <c r="Q36">
        <f t="shared" ca="1" si="9"/>
        <v>1466</v>
      </c>
      <c r="R36">
        <f t="shared" ca="1" si="9"/>
        <v>1466</v>
      </c>
      <c r="S36">
        <f t="shared" ca="1" si="9"/>
        <v>1466</v>
      </c>
      <c r="T36">
        <f t="shared" ca="1" si="9"/>
        <v>1466</v>
      </c>
      <c r="U36">
        <f t="shared" ca="1" si="9"/>
        <v>1466</v>
      </c>
      <c r="V36">
        <f t="shared" ca="1" si="9"/>
        <v>1466</v>
      </c>
    </row>
    <row r="37" spans="1:50" x14ac:dyDescent="0.2">
      <c r="A37" t="s">
        <v>22</v>
      </c>
      <c r="C37">
        <f ca="1">(C35-C36)</f>
        <v>0</v>
      </c>
      <c r="D37">
        <f ca="1">(D35-D36)</f>
        <v>0</v>
      </c>
      <c r="E37">
        <f ca="1">(E35-E36)</f>
        <v>0</v>
      </c>
      <c r="F37">
        <f t="shared" ref="F37:V37" ca="1" si="10">(F35-F36)</f>
        <v>0</v>
      </c>
      <c r="G37">
        <f t="shared" ca="1" si="10"/>
        <v>1</v>
      </c>
      <c r="H37">
        <f t="shared" ca="1" si="10"/>
        <v>0</v>
      </c>
      <c r="I37">
        <f t="shared" ca="1" si="10"/>
        <v>0</v>
      </c>
      <c r="J37">
        <f t="shared" ca="1" si="10"/>
        <v>39</v>
      </c>
      <c r="K37">
        <f t="shared" ca="1" si="10"/>
        <v>45</v>
      </c>
      <c r="L37">
        <f t="shared" ca="1" si="10"/>
        <v>47</v>
      </c>
      <c r="M37">
        <f t="shared" ca="1" si="10"/>
        <v>27</v>
      </c>
      <c r="N37">
        <f t="shared" ca="1" si="10"/>
        <v>15</v>
      </c>
      <c r="O37">
        <f t="shared" ca="1" si="10"/>
        <v>14</v>
      </c>
      <c r="P37">
        <f t="shared" ca="1" si="10"/>
        <v>14</v>
      </c>
      <c r="Q37">
        <f t="shared" ca="1" si="10"/>
        <v>42</v>
      </c>
      <c r="R37">
        <f t="shared" ca="1" si="10"/>
        <v>8</v>
      </c>
      <c r="S37">
        <f t="shared" ca="1" si="10"/>
        <v>37</v>
      </c>
      <c r="T37">
        <f t="shared" ca="1" si="10"/>
        <v>15</v>
      </c>
      <c r="U37">
        <f t="shared" ca="1" si="10"/>
        <v>33</v>
      </c>
      <c r="V37">
        <f t="shared" ca="1" si="10"/>
        <v>6</v>
      </c>
    </row>
    <row r="38" spans="1:50" x14ac:dyDescent="0.2">
      <c r="A38" t="s">
        <v>932</v>
      </c>
      <c r="C38">
        <f ca="1">C37/C36</f>
        <v>0</v>
      </c>
      <c r="D38">
        <f ca="1">D37/D36</f>
        <v>0</v>
      </c>
      <c r="E38">
        <f ca="1">E37/E36</f>
        <v>0</v>
      </c>
      <c r="F38">
        <f t="shared" ref="F38:V38" ca="1" si="11">F37/F36</f>
        <v>0</v>
      </c>
      <c r="G38">
        <f t="shared" ca="1" si="11"/>
        <v>3.2362459546925568E-3</v>
      </c>
      <c r="H38">
        <f t="shared" ca="1" si="11"/>
        <v>0</v>
      </c>
      <c r="I38">
        <f t="shared" ca="1" si="11"/>
        <v>0</v>
      </c>
      <c r="J38">
        <f t="shared" ca="1" si="11"/>
        <v>2.660300136425648E-2</v>
      </c>
      <c r="K38">
        <f t="shared" ca="1" si="11"/>
        <v>3.0695770804911322E-2</v>
      </c>
      <c r="L38">
        <f t="shared" ca="1" si="11"/>
        <v>3.2060027285129605E-2</v>
      </c>
      <c r="M38">
        <f t="shared" ca="1" si="11"/>
        <v>1.8417462482946793E-2</v>
      </c>
      <c r="N38">
        <f t="shared" ca="1" si="11"/>
        <v>1.0231923601637109E-2</v>
      </c>
      <c r="O38">
        <f t="shared" ca="1" si="11"/>
        <v>9.5497953615279671E-3</v>
      </c>
      <c r="P38">
        <f t="shared" ca="1" si="11"/>
        <v>9.5497953615279671E-3</v>
      </c>
      <c r="Q38">
        <f t="shared" ca="1" si="11"/>
        <v>2.8649386084583901E-2</v>
      </c>
      <c r="R38">
        <f t="shared" ca="1" si="11"/>
        <v>5.4570259208731242E-3</v>
      </c>
      <c r="S38">
        <f t="shared" ca="1" si="11"/>
        <v>2.5238744884038201E-2</v>
      </c>
      <c r="T38">
        <f t="shared" ca="1" si="11"/>
        <v>1.0231923601637109E-2</v>
      </c>
      <c r="U38">
        <f t="shared" ca="1" si="11"/>
        <v>2.2510231923601638E-2</v>
      </c>
      <c r="V38">
        <f t="shared" ca="1" si="11"/>
        <v>4.0927694406548429E-3</v>
      </c>
    </row>
    <row r="39" spans="1:50" x14ac:dyDescent="0.2">
      <c r="A39" t="s">
        <v>934</v>
      </c>
      <c r="C39" s="6">
        <f ca="1">SUM(AK49:AK169)</f>
        <v>143552.61329681688</v>
      </c>
      <c r="D39" s="6">
        <f ca="1">SUM(AL49:AL169)</f>
        <v>90319.876997997912</v>
      </c>
      <c r="E39" s="6">
        <f ca="1">SUM(AB49:AB169)</f>
        <v>94506.10257246063</v>
      </c>
      <c r="F39" s="6">
        <f ca="1">SUM(AC49:AC169)</f>
        <v>32630.693743810931</v>
      </c>
      <c r="G39" s="6">
        <f ca="1">SUM(AD49:AD169)</f>
        <v>47862.476914740895</v>
      </c>
      <c r="H39" s="6">
        <f ca="1">SUM(AE49:AE169)</f>
        <v>1325021.9955063998</v>
      </c>
      <c r="I39" s="6">
        <f ca="1">SUM(AF49:AF169)</f>
        <v>1850176.2577574018</v>
      </c>
      <c r="J39" s="6">
        <f ca="1">SUM(AG49:AG169)</f>
        <v>146.64159927330886</v>
      </c>
      <c r="K39" s="6">
        <f ca="1">SUM(AH49:AH169)</f>
        <v>129.90130908899974</v>
      </c>
      <c r="L39" s="6">
        <f ca="1">SUM(AI49:AI169)</f>
        <v>129.85664584899973</v>
      </c>
      <c r="M39" s="6">
        <f ca="1">SUM(AJ49:AJ169)</f>
        <v>208.53507602587311</v>
      </c>
      <c r="N39" s="6">
        <f t="shared" ref="N39:V39" ca="1" si="12">SUM(AM49:AM169)</f>
        <v>1438.3752426085973</v>
      </c>
      <c r="O39" s="6">
        <f t="shared" ca="1" si="12"/>
        <v>2584.8157617906081</v>
      </c>
      <c r="P39" s="6">
        <f t="shared" ca="1" si="12"/>
        <v>4151.2177935549898</v>
      </c>
      <c r="Q39" s="6">
        <f t="shared" ca="1" si="12"/>
        <v>1006.4730127425854</v>
      </c>
      <c r="R39" s="6">
        <f t="shared" ca="1" si="12"/>
        <v>1306.9913959922251</v>
      </c>
      <c r="S39" s="6">
        <f t="shared" ca="1" si="12"/>
        <v>2365.5887548895525</v>
      </c>
      <c r="T39" s="6">
        <f t="shared" ca="1" si="12"/>
        <v>2452.3666907064589</v>
      </c>
      <c r="U39" s="6">
        <f t="shared" ca="1" si="12"/>
        <v>3572.9461290016698</v>
      </c>
      <c r="V39" s="6">
        <f t="shared" ca="1" si="12"/>
        <v>3926.8897801125354</v>
      </c>
      <c r="W39" s="6"/>
      <c r="X39" s="6"/>
      <c r="Y39" s="6"/>
      <c r="Z39" s="6"/>
      <c r="AA39" s="6"/>
    </row>
    <row r="45" spans="1:50" x14ac:dyDescent="0.2">
      <c r="C45" s="1"/>
      <c r="D45" s="1"/>
      <c r="E45" s="1"/>
      <c r="F45" s="1"/>
      <c r="G45" s="1"/>
      <c r="H45" s="1"/>
      <c r="I45" s="1"/>
      <c r="J45" s="1"/>
      <c r="K45" s="1"/>
      <c r="L45" s="1"/>
      <c r="M45" s="1"/>
      <c r="N45" s="1"/>
    </row>
    <row r="48" spans="1:50" x14ac:dyDescent="0.2">
      <c r="A48" s="2"/>
      <c r="B48" t="s">
        <v>19</v>
      </c>
      <c r="E48" t="s">
        <v>20</v>
      </c>
      <c r="F48" t="s">
        <v>929</v>
      </c>
      <c r="G48" t="s">
        <v>931</v>
      </c>
      <c r="H48" s="2" t="s">
        <v>30</v>
      </c>
      <c r="O48" s="2"/>
      <c r="P48" s="2"/>
      <c r="Q48" s="2"/>
      <c r="R48" s="2"/>
      <c r="S48" s="2"/>
      <c r="T48" s="2"/>
      <c r="U48" s="2"/>
      <c r="V48" s="2"/>
      <c r="W48" s="2"/>
      <c r="X48" s="2"/>
      <c r="Y48" s="2"/>
      <c r="Z48" s="2"/>
      <c r="AA48" s="2"/>
      <c r="AB48" s="2" t="s">
        <v>928</v>
      </c>
      <c r="AX48" s="2" t="s">
        <v>24</v>
      </c>
    </row>
    <row r="49" spans="1:69" x14ac:dyDescent="0.2">
      <c r="A49" t="str">
        <f>Sheet3!A33</f>
        <v>[[3,1,1]]</v>
      </c>
      <c r="B49">
        <v>3</v>
      </c>
      <c r="C49" cm="1">
        <f t="array" aca="1" ref="C49" ca="1">OFFSET(INDIRECT("Sheet"&amp;K$2&amp;"!d1"),$G49-1,)</f>
        <v>1</v>
      </c>
      <c r="D49" cm="1">
        <f t="array" aca="1" ref="D49" ca="1">OFFSET(INDIRECT("Sheet"&amp;L$2&amp;"!d1"),$G49-1,)</f>
        <v>1</v>
      </c>
      <c r="E49">
        <v>1</v>
      </c>
      <c r="F49">
        <v>1</v>
      </c>
      <c r="G49">
        <v>33</v>
      </c>
      <c r="H49" cm="1">
        <f t="array" aca="1" ref="H49" ca="1">OFFSET(INDIRECT("Sheet"&amp;E$2&amp;"!d1"),$G49-1,)</f>
        <v>1</v>
      </c>
      <c r="I49" cm="1">
        <f t="array" aca="1" ref="I49" ca="1">OFFSET(INDIRECT("Sheet"&amp;F$2&amp;"!d1"),$G49-1,)</f>
        <v>1</v>
      </c>
      <c r="J49" cm="1">
        <f t="array" aca="1" ref="J49" ca="1">OFFSET(INDIRECT("Sheet"&amp;G$2&amp;"!d1"),$G49-1,)</f>
        <v>1</v>
      </c>
      <c r="K49" cm="1">
        <f t="array" aca="1" ref="K49" ca="1">OFFSET(INDIRECT("Sheet"&amp;H$2&amp;"!d1"),$G49-1,)</f>
        <v>1</v>
      </c>
      <c r="L49" cm="1">
        <f t="array" aca="1" ref="L49" ca="1">OFFSET(INDIRECT("Sheet"&amp;I$2&amp;"!d1"),$G49-1,)</f>
        <v>1</v>
      </c>
      <c r="M49" cm="1">
        <f t="array" aca="1" ref="M49" ca="1">OFFSET(INDIRECT("Sheet"&amp;J$2&amp;"!d1"),$G49-1,)</f>
        <v>1</v>
      </c>
      <c r="N49" cm="1">
        <f t="array" aca="1" ref="N49" ca="1">OFFSET(INDIRECT("Sheet"&amp;M$2&amp;"!d1"),$G49-1,)</f>
        <v>1</v>
      </c>
      <c r="O49" cm="1">
        <f t="array" aca="1" ref="O49" ca="1">OFFSET(INDIRECT("Sheet"&amp;C$2&amp;"!d1"),$G49-1,)</f>
        <v>1</v>
      </c>
      <c r="P49" cm="1">
        <f t="array" aca="1" ref="P49" ca="1">OFFSET(INDIRECT("Sheet"&amp;D$2&amp;"!d1"),$G49-1,)</f>
        <v>1</v>
      </c>
      <c r="Q49" cm="1">
        <f t="array" aca="1" ref="Q49" ca="1">OFFSET(INDIRECT("Sheet"&amp;N$2&amp;"!d1"),$G49-1,)</f>
        <v>1</v>
      </c>
      <c r="R49" cm="1">
        <f t="array" aca="1" ref="R49" ca="1">OFFSET(INDIRECT("Sheet"&amp;O$2&amp;"!d1"),$G49-1,)</f>
        <v>1</v>
      </c>
      <c r="S49" cm="1">
        <f t="array" aca="1" ref="S49" ca="1">OFFSET(INDIRECT("Sheet"&amp;P$2&amp;"!d1"),$G49-1,)</f>
        <v>1</v>
      </c>
      <c r="T49" cm="1">
        <f t="array" aca="1" ref="T49" ca="1">OFFSET(INDIRECT("Sheet"&amp;Q$2&amp;"!d1"),$G49-1,)</f>
        <v>1</v>
      </c>
      <c r="U49" cm="1">
        <f t="array" aca="1" ref="U49" ca="1">OFFSET(INDIRECT("Sheet"&amp;R$2&amp;"!d1"),$G49-1,)</f>
        <v>1</v>
      </c>
      <c r="V49" cm="1">
        <f t="array" aca="1" ref="V49" ca="1">OFFSET(INDIRECT("Sheet"&amp;S$2&amp;"!d1"),$G49-1,)</f>
        <v>1</v>
      </c>
      <c r="W49" cm="1">
        <f t="array" aca="1" ref="W49" ca="1">OFFSET(INDIRECT("Sheet"&amp;T$2&amp;"!d1"),$G49-1,)</f>
        <v>1</v>
      </c>
      <c r="X49" cm="1">
        <f t="array" aca="1" ref="X49" ca="1">OFFSET(INDIRECT("Sheet"&amp;U$2&amp;"!d1"),$G49-1,)</f>
        <v>1</v>
      </c>
      <c r="Y49" cm="1">
        <f t="array" aca="1" ref="Y49" ca="1">OFFSET(INDIRECT("Sheet"&amp;V$2&amp;"!d1"),$G49-1,)</f>
        <v>1</v>
      </c>
      <c r="AB49" s="3" cm="1">
        <f t="array" aca="1" ref="AB49" ca="1">OFFSET(INDIRECT("Sheet"&amp;E$2&amp;"!f1"),$G49-1,)</f>
        <v>2.35251151025295E-3</v>
      </c>
      <c r="AC49" s="3" cm="1">
        <f t="array" aca="1" ref="AC49" ca="1">OFFSET(INDIRECT("Sheet"&amp;F$2&amp;"!f1"),$G49-1,)</f>
        <v>2.0386641845107E-3</v>
      </c>
      <c r="AD49" s="3" cm="1">
        <f t="array" aca="1" ref="AD49" ca="1">OFFSET(INDIRECT("Sheet"&amp;G$2&amp;"!f1"),$G49-1,)</f>
        <v>2.1212352439761101E-3</v>
      </c>
      <c r="AE49" s="3" cm="1">
        <f t="array" aca="1" ref="AE49" ca="1">OFFSET(INDIRECT("Sheet"&amp;H$2&amp;"!f1"),$G49-1,)</f>
        <v>2.01894361525774E-2</v>
      </c>
      <c r="AF49" s="3" cm="1">
        <f t="array" aca="1" ref="AF49" ca="1">OFFSET(INDIRECT("Sheet"&amp;I$2&amp;"!f1"),$G49-1,)</f>
        <v>0.12274851200001501</v>
      </c>
      <c r="AG49" s="3" cm="1">
        <f t="array" aca="1" ref="AG49" ca="1">OFFSET(INDIRECT("Sheet"&amp;J$2&amp;"!f1"),$G49-1,)</f>
        <v>0.14657405950128999</v>
      </c>
      <c r="AH49" s="3" cm="1">
        <f t="array" aca="1" ref="AH49" ca="1">OFFSET(INDIRECT("Sheet"&amp;K$2&amp;"!f1"),$G49-1,)</f>
        <v>0.23518173300001799</v>
      </c>
      <c r="AI49" s="3" cm="1">
        <f t="array" aca="1" ref="AI49" ca="1">OFFSET(INDIRECT("Sheet"&amp;L$2&amp;"!f1"),$G49-1,)</f>
        <v>0.23527894599999399</v>
      </c>
      <c r="AJ49" s="3" cm="1">
        <f t="array" aca="1" ref="AJ49" ca="1">OFFSET(INDIRECT("Sheet"&amp;M$2&amp;"!f1"),$G49-1,)</f>
        <v>0.15588868688791899</v>
      </c>
      <c r="AK49" s="3" cm="1">
        <f t="array" aca="1" ref="AK49" ca="1">OFFSET(INDIRECT("Sheet"&amp;C$2&amp;"!f1"),$G49-1,)</f>
        <v>0.39045961946249003</v>
      </c>
      <c r="AL49" s="3" cm="1">
        <f t="array" aca="1" ref="AL49" ca="1">OFFSET(INDIRECT("Sheet"&amp;D$2&amp;"!f1"),$G49-1,)</f>
        <v>0.21553472150117101</v>
      </c>
      <c r="AM49" s="3" cm="1">
        <f t="array" aca="1" ref="AM49" ca="1">OFFSET(INDIRECT("Sheet"&amp;N$2&amp;"!f1"),$G49-1,)</f>
        <v>1.84352957271039</v>
      </c>
      <c r="AN49" s="3" cm="1">
        <f t="array" aca="1" ref="AN49" ca="1">OFFSET(INDIRECT("Sheet"&amp;O$2&amp;"!f1"),$G49-1,)</f>
        <v>1.60139895230531</v>
      </c>
      <c r="AO49" s="3" cm="1">
        <f t="array" aca="1" ref="AO49" ca="1">OFFSET(INDIRECT("Sheet"&amp;P$2&amp;"!f1"),$G49-1,)</f>
        <v>1.77985198982059</v>
      </c>
      <c r="AP49" s="3" cm="1">
        <f t="array" aca="1" ref="AP49" ca="1">OFFSET(INDIRECT("Sheet"&amp;Q$2&amp;"!f1"),$G49-1,)</f>
        <v>0.65199386794119996</v>
      </c>
      <c r="AQ49" s="3" cm="1">
        <f t="array" aca="1" ref="AQ49" ca="1">OFFSET(INDIRECT("Sheet"&amp;R$2&amp;"!f1"),$G49-1,)</f>
        <v>0.96256039757281497</v>
      </c>
      <c r="AR49" s="3" cm="1">
        <f t="array" aca="1" ref="AR49" ca="1">OFFSET(INDIRECT("Sheet"&amp;S$2&amp;"!f1"),$G49-1,)</f>
        <v>0.70681783370673601</v>
      </c>
      <c r="AS49" s="3" cm="1">
        <f t="array" aca="1" ref="AS49" ca="1">OFFSET(INDIRECT("Sheet"&amp;T$2&amp;"!f1"),$G49-1,)</f>
        <v>1.0375477736815799</v>
      </c>
      <c r="AT49" s="3" cm="1">
        <f t="array" aca="1" ref="AT49" ca="1">OFFSET(INDIRECT("Sheet"&amp;U$2&amp;"!f1"),$G49-1,)</f>
        <v>0.75857067294418801</v>
      </c>
      <c r="AU49" s="3" cm="1">
        <f t="array" aca="1" ref="AU49" ca="1">OFFSET(INDIRECT("Sheet"&amp;V$2&amp;"!f1"),$G49-1,)</f>
        <v>1.12516075093299</v>
      </c>
      <c r="AV49" s="3"/>
      <c r="AX49">
        <f ca="1">IF(H49=$F49,1,0)</f>
        <v>1</v>
      </c>
      <c r="AY49">
        <f ca="1">IF(I49=$F49,1,0)</f>
        <v>1</v>
      </c>
      <c r="AZ49">
        <f ca="1">IF(J49=$F49,1,0)</f>
        <v>1</v>
      </c>
      <c r="BA49">
        <f ca="1">IF(K49=$F49,1,0)</f>
        <v>1</v>
      </c>
      <c r="BB49">
        <f ca="1">IF(L49=$F49,1,0)</f>
        <v>1</v>
      </c>
      <c r="BC49">
        <f ca="1">IF(M49=$F49,1,0)</f>
        <v>1</v>
      </c>
      <c r="BD49">
        <f ca="1">IF(C49=$F49,1,0)</f>
        <v>1</v>
      </c>
      <c r="BE49">
        <f ca="1">IF(D49=$F49,1,0)</f>
        <v>1</v>
      </c>
      <c r="BF49">
        <f t="shared" ref="BF49:BF112" ca="1" si="13">IF(N49=$F49,1,0)</f>
        <v>1</v>
      </c>
      <c r="BG49">
        <f t="shared" ref="BG49:BG112" ca="1" si="14">IF(O49=$F49,1,0)</f>
        <v>1</v>
      </c>
      <c r="BH49">
        <f t="shared" ref="BH49:BH80" ca="1" si="15">IF(P49=$F49,1,0)</f>
        <v>1</v>
      </c>
      <c r="BI49">
        <f t="shared" ref="BI49:BI80" ca="1" si="16">IF(Q49=$F49,1,0)</f>
        <v>1</v>
      </c>
      <c r="BJ49">
        <f t="shared" ref="BJ49:BL64" ca="1" si="17">IF(R49=$F49,1,0)</f>
        <v>1</v>
      </c>
      <c r="BK49">
        <f t="shared" ca="1" si="17"/>
        <v>1</v>
      </c>
      <c r="BL49">
        <f t="shared" ca="1" si="17"/>
        <v>1</v>
      </c>
      <c r="BM49">
        <f t="shared" ref="BM49:BM112" ca="1" si="18">IF(U49=$F49,1,0)</f>
        <v>1</v>
      </c>
      <c r="BN49">
        <f t="shared" ref="BN49:BN112" ca="1" si="19">IF(V49=$F49,1,0)</f>
        <v>1</v>
      </c>
      <c r="BO49">
        <f t="shared" ref="BO49:BO112" ca="1" si="20">IF(W49=$F49,1,0)</f>
        <v>1</v>
      </c>
      <c r="BP49">
        <f t="shared" ref="BP49:BP112" ca="1" si="21">IF(X49=$F49,1,0)</f>
        <v>1</v>
      </c>
      <c r="BQ49">
        <f t="shared" ref="BQ49:BQ112" ca="1" si="22">IF(Y49=$F49,1,0)</f>
        <v>1</v>
      </c>
    </row>
    <row r="50" spans="1:69" x14ac:dyDescent="0.2">
      <c r="A50" t="str">
        <f>Sheet3!A34</f>
        <v>[[4,1,2]]</v>
      </c>
      <c r="B50">
        <v>4</v>
      </c>
      <c r="C50" cm="1">
        <f t="array" aca="1" ref="C50" ca="1">OFFSET(INDIRECT("Sheet"&amp;K$2&amp;"!d1"),$G50-1,)</f>
        <v>2</v>
      </c>
      <c r="D50" cm="1">
        <f t="array" aca="1" ref="D50" ca="1">OFFSET(INDIRECT("Sheet"&amp;L$2&amp;"!d1"),$G50-1,)</f>
        <v>2</v>
      </c>
      <c r="E50">
        <v>1</v>
      </c>
      <c r="F50">
        <v>2</v>
      </c>
      <c r="G50">
        <f>G49+1</f>
        <v>34</v>
      </c>
      <c r="H50" cm="1">
        <f t="array" aca="1" ref="H50" ca="1">OFFSET(INDIRECT("Sheet"&amp;E$2&amp;"!d1"),$G50-1,)</f>
        <v>2</v>
      </c>
      <c r="I50" cm="1">
        <f t="array" aca="1" ref="I50" ca="1">OFFSET(INDIRECT("Sheet"&amp;F$2&amp;"!d1"),$G50-1,)</f>
        <v>2</v>
      </c>
      <c r="J50" cm="1">
        <f t="array" aca="1" ref="J50" ca="1">OFFSET(INDIRECT("Sheet"&amp;G$2&amp;"!d1"),$G50-1,)</f>
        <v>2</v>
      </c>
      <c r="K50" cm="1">
        <f t="array" aca="1" ref="K50" ca="1">OFFSET(INDIRECT("Sheet"&amp;H$2&amp;"!d1"),$G50-1,)</f>
        <v>2</v>
      </c>
      <c r="L50" cm="1">
        <f t="array" aca="1" ref="L50" ca="1">OFFSET(INDIRECT("Sheet"&amp;I$2&amp;"!d1"),$G50-1,)</f>
        <v>2</v>
      </c>
      <c r="M50" cm="1">
        <f t="array" aca="1" ref="M50" ca="1">OFFSET(INDIRECT("Sheet"&amp;J$2&amp;"!d1"),$G50-1,)</f>
        <v>2</v>
      </c>
      <c r="N50" cm="1">
        <f t="array" aca="1" ref="N50" ca="1">OFFSET(INDIRECT("Sheet"&amp;M$2&amp;"!d1"),$G50-1,)</f>
        <v>2</v>
      </c>
      <c r="O50" cm="1">
        <f t="array" aca="1" ref="O50" ca="1">OFFSET(INDIRECT("Sheet"&amp;C$2&amp;"!d1"),$G50-1,)</f>
        <v>2</v>
      </c>
      <c r="P50" cm="1">
        <f t="array" aca="1" ref="P50" ca="1">OFFSET(INDIRECT("Sheet"&amp;D$2&amp;"!d1"),$G50-1,)</f>
        <v>2</v>
      </c>
      <c r="Q50" cm="1">
        <f t="array" aca="1" ref="Q50" ca="1">OFFSET(INDIRECT("Sheet"&amp;N$2&amp;"!d1"),$G50-1,)</f>
        <v>2</v>
      </c>
      <c r="R50" cm="1">
        <f t="array" aca="1" ref="R50" ca="1">OFFSET(INDIRECT("Sheet"&amp;O$2&amp;"!d1"),$G50-1,)</f>
        <v>2</v>
      </c>
      <c r="S50" cm="1">
        <f t="array" aca="1" ref="S50" ca="1">OFFSET(INDIRECT("Sheet"&amp;P$2&amp;"!d1"),$G50-1,)</f>
        <v>2</v>
      </c>
      <c r="T50" cm="1">
        <f t="array" aca="1" ref="T50" ca="1">OFFSET(INDIRECT("Sheet"&amp;Q$2&amp;"!d1"),$G50-1,)</f>
        <v>2</v>
      </c>
      <c r="U50" cm="1">
        <f t="array" aca="1" ref="U50" ca="1">OFFSET(INDIRECT("Sheet"&amp;R$2&amp;"!d1"),$G50-1,)</f>
        <v>2</v>
      </c>
      <c r="V50" cm="1">
        <f t="array" aca="1" ref="V50" ca="1">OFFSET(INDIRECT("Sheet"&amp;S$2&amp;"!d1"),$G50-1,)</f>
        <v>2</v>
      </c>
      <c r="W50" cm="1">
        <f t="array" aca="1" ref="W50" ca="1">OFFSET(INDIRECT("Sheet"&amp;T$2&amp;"!d1"),$G50-1,)</f>
        <v>2</v>
      </c>
      <c r="X50" cm="1">
        <f t="array" aca="1" ref="X50" ca="1">OFFSET(INDIRECT("Sheet"&amp;U$2&amp;"!d1"),$G50-1,)</f>
        <v>2</v>
      </c>
      <c r="Y50" cm="1">
        <f t="array" aca="1" ref="Y50" ca="1">OFFSET(INDIRECT("Sheet"&amp;V$2&amp;"!d1"),$G50-1,)</f>
        <v>2</v>
      </c>
      <c r="AB50" s="3" cm="1">
        <f t="array" aca="1" ref="AB50" ca="1">OFFSET(INDIRECT("Sheet"&amp;E$2&amp;"!f1"),$G50-1,)</f>
        <v>2.2834716364741299E-3</v>
      </c>
      <c r="AC50" s="3" cm="1">
        <f t="array" aca="1" ref="AC50" ca="1">OFFSET(INDIRECT("Sheet"&amp;F$2&amp;"!f1"),$G50-1,)</f>
        <v>2.4125641211867302E-3</v>
      </c>
      <c r="AD50" s="3" cm="1">
        <f t="array" aca="1" ref="AD50" ca="1">OFFSET(INDIRECT("Sheet"&amp;G$2&amp;"!f1"),$G50-1,)</f>
        <v>2.4783536791801401E-3</v>
      </c>
      <c r="AE50" s="3" cm="1">
        <f t="array" aca="1" ref="AE50" ca="1">OFFSET(INDIRECT("Sheet"&amp;H$2&amp;"!f1"),$G50-1,)</f>
        <v>1.47162117063999E-2</v>
      </c>
      <c r="AF50" s="3" cm="1">
        <f t="array" aca="1" ref="AF50" ca="1">OFFSET(INDIRECT("Sheet"&amp;I$2&amp;"!f1"),$G50-1,)</f>
        <v>7.60977889999878E-2</v>
      </c>
      <c r="AG50" s="3" cm="1">
        <f t="array" aca="1" ref="AG50" ca="1">OFFSET(INDIRECT("Sheet"&amp;J$2&amp;"!f1"),$G50-1,)</f>
        <v>2.2678963840007699E-2</v>
      </c>
      <c r="AH50" s="3" cm="1">
        <f t="array" aca="1" ref="AH50" ca="1">OFFSET(INDIRECT("Sheet"&amp;K$2&amp;"!f1"),$G50-1,)</f>
        <v>2.1372837999990599E-2</v>
      </c>
      <c r="AI50" s="3" cm="1">
        <f t="array" aca="1" ref="AI50" ca="1">OFFSET(INDIRECT("Sheet"&amp;L$2&amp;"!f1"),$G50-1,)</f>
        <v>2.16311270000062E-2</v>
      </c>
      <c r="AJ50" s="3" cm="1">
        <f t="array" aca="1" ref="AJ50" ca="1">OFFSET(INDIRECT("Sheet"&amp;M$2&amp;"!f1"),$G50-1,)</f>
        <v>2.4490771815180699E-2</v>
      </c>
      <c r="AK50" s="3" cm="1">
        <f t="array" aca="1" ref="AK50" ca="1">OFFSET(INDIRECT("Sheet"&amp;C$2&amp;"!f1"),$G50-1,)</f>
        <v>2.39316057413816E-2</v>
      </c>
      <c r="AL50" s="3" cm="1">
        <f t="array" aca="1" ref="AL50" ca="1">OFFSET(INDIRECT("Sheet"&amp;D$2&amp;"!f1"),$G50-1,)</f>
        <v>2.44122687727212E-2</v>
      </c>
      <c r="AM50" s="3" cm="1">
        <f t="array" aca="1" ref="AM50" ca="1">OFFSET(INDIRECT("Sheet"&amp;N$2&amp;"!f1"),$G50-1,)</f>
        <v>1.93429916724562</v>
      </c>
      <c r="AN50" s="3" cm="1">
        <f t="array" aca="1" ref="AN50" ca="1">OFFSET(INDIRECT("Sheet"&amp;O$2&amp;"!f1"),$G50-1,)</f>
        <v>1.7308920472860301</v>
      </c>
      <c r="AO50" s="3" cm="1">
        <f t="array" aca="1" ref="AO50" ca="1">OFFSET(INDIRECT("Sheet"&amp;P$2&amp;"!f1"),$G50-1,)</f>
        <v>1.95989414677023</v>
      </c>
      <c r="AP50" s="3" cm="1">
        <f t="array" aca="1" ref="AP50" ca="1">OFFSET(INDIRECT("Sheet"&amp;Q$2&amp;"!f1"),$G50-1,)</f>
        <v>0.70980944298207704</v>
      </c>
      <c r="AQ50" s="3" cm="1">
        <f t="array" aca="1" ref="AQ50" ca="1">OFFSET(INDIRECT("Sheet"&amp;R$2&amp;"!f1"),$G50-1,)</f>
        <v>1.06373836193233</v>
      </c>
      <c r="AR50" s="3" cm="1">
        <f t="array" aca="1" ref="AR50" ca="1">OFFSET(INDIRECT("Sheet"&amp;S$2&amp;"!f1"),$G50-1,)</f>
        <v>0.78430193848907903</v>
      </c>
      <c r="AS50" s="3" cm="1">
        <f t="array" aca="1" ref="AS50" ca="1">OFFSET(INDIRECT("Sheet"&amp;T$2&amp;"!f1"),$G50-1,)</f>
        <v>1.1694715060293599</v>
      </c>
      <c r="AT50" s="3" cm="1">
        <f t="array" aca="1" ref="AT50" ca="1">OFFSET(INDIRECT("Sheet"&amp;U$2&amp;"!f1"),$G50-1,)</f>
        <v>0.88872978650033396</v>
      </c>
      <c r="AU50" s="3" cm="1">
        <f t="array" aca="1" ref="AU50" ca="1">OFFSET(INDIRECT("Sheet"&amp;V$2&amp;"!f1"),$G50-1,)</f>
        <v>1.3240070948377201</v>
      </c>
      <c r="AV50" s="3"/>
      <c r="AX50">
        <f ca="1">IF(H50=$F50,1,0)</f>
        <v>1</v>
      </c>
      <c r="AY50">
        <f ca="1">IF(I50=$F50,1,0)</f>
        <v>1</v>
      </c>
      <c r="AZ50">
        <f ca="1">IF(J50=$F50,1,0)</f>
        <v>1</v>
      </c>
      <c r="BA50">
        <f ca="1">IF(K50=$F50,1,0)</f>
        <v>1</v>
      </c>
      <c r="BB50">
        <f ca="1">IF(L50=$F50,1,0)</f>
        <v>1</v>
      </c>
      <c r="BC50">
        <f ca="1">IF(M50=$F50,1,0)</f>
        <v>1</v>
      </c>
      <c r="BD50">
        <f ca="1">IF(C50=$F50,1,0)</f>
        <v>1</v>
      </c>
      <c r="BE50">
        <f ca="1">IF(D50=$F50,1,0)</f>
        <v>1</v>
      </c>
      <c r="BF50">
        <f t="shared" ca="1" si="13"/>
        <v>1</v>
      </c>
      <c r="BG50">
        <f t="shared" ca="1" si="14"/>
        <v>1</v>
      </c>
      <c r="BH50">
        <f t="shared" ca="1" si="15"/>
        <v>1</v>
      </c>
      <c r="BI50">
        <f t="shared" ca="1" si="16"/>
        <v>1</v>
      </c>
      <c r="BJ50">
        <f t="shared" ca="1" si="17"/>
        <v>1</v>
      </c>
      <c r="BK50">
        <f t="shared" ca="1" si="17"/>
        <v>1</v>
      </c>
      <c r="BL50">
        <f t="shared" ca="1" si="17"/>
        <v>1</v>
      </c>
      <c r="BM50">
        <f t="shared" ca="1" si="18"/>
        <v>1</v>
      </c>
      <c r="BN50">
        <f t="shared" ca="1" si="19"/>
        <v>1</v>
      </c>
      <c r="BO50">
        <f t="shared" ca="1" si="20"/>
        <v>1</v>
      </c>
      <c r="BP50">
        <f t="shared" ca="1" si="21"/>
        <v>1</v>
      </c>
      <c r="BQ50">
        <f t="shared" ca="1" si="22"/>
        <v>1</v>
      </c>
    </row>
    <row r="51" spans="1:69" s="2" customFormat="1" x14ac:dyDescent="0.2">
      <c r="A51" t="str">
        <f>Sheet3!A35</f>
        <v>[[5,1,3]]</v>
      </c>
      <c r="B51" s="2">
        <v>5</v>
      </c>
      <c r="C51" cm="1">
        <f t="array" aca="1" ref="C51" ca="1">OFFSET(INDIRECT("Sheet"&amp;K$2&amp;"!d1"),$G51-1,)</f>
        <v>3</v>
      </c>
      <c r="D51" cm="1">
        <f t="array" aca="1" ref="D51" ca="1">OFFSET(INDIRECT("Sheet"&amp;L$2&amp;"!d1"),$G51-1,)</f>
        <v>3</v>
      </c>
      <c r="E51" s="2">
        <v>1</v>
      </c>
      <c r="F51" s="2">
        <v>3</v>
      </c>
      <c r="G51">
        <f t="shared" ref="G51:G114" si="23">G50+1</f>
        <v>35</v>
      </c>
      <c r="H51" cm="1">
        <f t="array" aca="1" ref="H51" ca="1">OFFSET(INDIRECT("Sheet"&amp;E$2&amp;"!d1"),$G51-1,)</f>
        <v>3</v>
      </c>
      <c r="I51" cm="1">
        <f t="array" aca="1" ref="I51" ca="1">OFFSET(INDIRECT("Sheet"&amp;F$2&amp;"!d1"),$G51-1,)</f>
        <v>3</v>
      </c>
      <c r="J51" cm="1">
        <f t="array" aca="1" ref="J51" ca="1">OFFSET(INDIRECT("Sheet"&amp;G$2&amp;"!d1"),$G51-1,)</f>
        <v>3</v>
      </c>
      <c r="K51" cm="1">
        <f t="array" aca="1" ref="K51" ca="1">OFFSET(INDIRECT("Sheet"&amp;H$2&amp;"!d1"),$G51-1,)</f>
        <v>3</v>
      </c>
      <c r="L51" cm="1">
        <f t="array" aca="1" ref="L51" ca="1">OFFSET(INDIRECT("Sheet"&amp;I$2&amp;"!d1"),$G51-1,)</f>
        <v>3</v>
      </c>
      <c r="M51" cm="1">
        <f t="array" aca="1" ref="M51" ca="1">OFFSET(INDIRECT("Sheet"&amp;J$2&amp;"!d1"),$G51-1,)</f>
        <v>3</v>
      </c>
      <c r="N51" cm="1">
        <f t="array" aca="1" ref="N51" ca="1">OFFSET(INDIRECT("Sheet"&amp;M$2&amp;"!d1"),$G51-1,)</f>
        <v>3</v>
      </c>
      <c r="O51" cm="1">
        <f t="array" aca="1" ref="O51" ca="1">OFFSET(INDIRECT("Sheet"&amp;C$2&amp;"!d1"),$G51-1,)</f>
        <v>3</v>
      </c>
      <c r="P51" cm="1">
        <f t="array" aca="1" ref="P51" ca="1">OFFSET(INDIRECT("Sheet"&amp;D$2&amp;"!d1"),$G51-1,)</f>
        <v>3</v>
      </c>
      <c r="Q51" cm="1">
        <f t="array" aca="1" ref="Q51" ca="1">OFFSET(INDIRECT("Sheet"&amp;N$2&amp;"!d1"),$G51-1,)</f>
        <v>3</v>
      </c>
      <c r="R51" cm="1">
        <f t="array" aca="1" ref="R51" ca="1">OFFSET(INDIRECT("Sheet"&amp;O$2&amp;"!d1"),$G51-1,)</f>
        <v>3</v>
      </c>
      <c r="S51" cm="1">
        <f t="array" aca="1" ref="S51" ca="1">OFFSET(INDIRECT("Sheet"&amp;P$2&amp;"!d1"),$G51-1,)</f>
        <v>3</v>
      </c>
      <c r="T51" cm="1">
        <f t="array" aca="1" ref="T51" ca="1">OFFSET(INDIRECT("Sheet"&amp;Q$2&amp;"!d1"),$G51-1,)</f>
        <v>3</v>
      </c>
      <c r="U51" cm="1">
        <f t="array" aca="1" ref="U51" ca="1">OFFSET(INDIRECT("Sheet"&amp;R$2&amp;"!d1"),$G51-1,)</f>
        <v>3</v>
      </c>
      <c r="V51" cm="1">
        <f t="array" aca="1" ref="V51" ca="1">OFFSET(INDIRECT("Sheet"&amp;S$2&amp;"!d1"),$G51-1,)</f>
        <v>3</v>
      </c>
      <c r="W51" cm="1">
        <f t="array" aca="1" ref="W51" ca="1">OFFSET(INDIRECT("Sheet"&amp;T$2&amp;"!d1"),$G51-1,)</f>
        <v>3</v>
      </c>
      <c r="X51" cm="1">
        <f t="array" aca="1" ref="X51" ca="1">OFFSET(INDIRECT("Sheet"&amp;U$2&amp;"!d1"),$G51-1,)</f>
        <v>3</v>
      </c>
      <c r="Y51" cm="1">
        <f t="array" aca="1" ref="Y51" ca="1">OFFSET(INDIRECT("Sheet"&amp;V$2&amp;"!d1"),$G51-1,)</f>
        <v>3</v>
      </c>
      <c r="Z51"/>
      <c r="AB51" s="3" cm="1">
        <f t="array" aca="1" ref="AB51" ca="1">OFFSET(INDIRECT("Sheet"&amp;E$2&amp;"!f1"),$G51-1,)</f>
        <v>2.7798004448413801E-3</v>
      </c>
      <c r="AC51" s="3" cm="1">
        <f t="array" aca="1" ref="AC51" ca="1">OFFSET(INDIRECT("Sheet"&amp;F$2&amp;"!f1"),$G51-1,)</f>
        <v>2.50624772161245E-3</v>
      </c>
      <c r="AD51" s="3" cm="1">
        <f t="array" aca="1" ref="AD51" ca="1">OFFSET(INDIRECT("Sheet"&amp;G$2&amp;"!f1"),$G51-1,)</f>
        <v>2.7241352945566099E-3</v>
      </c>
      <c r="AE51" s="3" cm="1">
        <f t="array" aca="1" ref="AE51" ca="1">OFFSET(INDIRECT("Sheet"&amp;H$2&amp;"!f1"),$G51-1,)</f>
        <v>1.6103350557386799E-2</v>
      </c>
      <c r="AF51" s="3" cm="1">
        <f t="array" aca="1" ref="AF51" ca="1">OFFSET(INDIRECT("Sheet"&amp;I$2&amp;"!f1"),$G51-1,)</f>
        <v>7.7310103000002003E-2</v>
      </c>
      <c r="AG51" s="3" cm="1">
        <f t="array" aca="1" ref="AG51" ca="1">OFFSET(INDIRECT("Sheet"&amp;J$2&amp;"!f1"),$G51-1,)</f>
        <v>2.66415700316429E-2</v>
      </c>
      <c r="AH51" s="3" cm="1">
        <f t="array" aca="1" ref="AH51" ca="1">OFFSET(INDIRECT("Sheet"&amp;K$2&amp;"!f1"),$G51-1,)</f>
        <v>2.4612031000003701E-2</v>
      </c>
      <c r="AI51" s="3" cm="1">
        <f t="array" aca="1" ref="AI51" ca="1">OFFSET(INDIRECT("Sheet"&amp;L$2&amp;"!f1"),$G51-1,)</f>
        <v>2.53535949999843E-2</v>
      </c>
      <c r="AJ51" s="3" cm="1">
        <f t="array" aca="1" ref="AJ51" ca="1">OFFSET(INDIRECT("Sheet"&amp;M$2&amp;"!f1"),$G51-1,)</f>
        <v>3.1393998302519301E-2</v>
      </c>
      <c r="AK51" s="3" cm="1">
        <f t="array" aca="1" ref="AK51" ca="1">OFFSET(INDIRECT("Sheet"&amp;C$2&amp;"!f1"),$G51-1,)</f>
        <v>4.3407255783677101E-2</v>
      </c>
      <c r="AL51" s="3" cm="1">
        <f t="array" aca="1" ref="AL51" ca="1">OFFSET(INDIRECT("Sheet"&amp;D$2&amp;"!f1"),$G51-1,)</f>
        <v>4.4245871715247603E-2</v>
      </c>
      <c r="AM51" s="3" cm="1">
        <f t="array" aca="1" ref="AM51" ca="1">OFFSET(INDIRECT("Sheet"&amp;N$2&amp;"!f1"),$G51-1,)</f>
        <v>2.0525572849437501</v>
      </c>
      <c r="AN51" s="3" cm="1">
        <f t="array" aca="1" ref="AN51" ca="1">OFFSET(INDIRECT("Sheet"&amp;O$2&amp;"!f1"),$G51-1,)</f>
        <v>1.8779128910973599</v>
      </c>
      <c r="AO51" s="3" cm="1">
        <f t="array" aca="1" ref="AO51" ca="1">OFFSET(INDIRECT("Sheet"&amp;P$2&amp;"!f1"),$G51-1,)</f>
        <v>2.1905940044671199</v>
      </c>
      <c r="AP51" s="3" cm="1">
        <f t="array" aca="1" ref="AP51" ca="1">OFFSET(INDIRECT("Sheet"&amp;Q$2&amp;"!f1"),$G51-1,)</f>
        <v>0.77438801620155495</v>
      </c>
      <c r="AQ51" s="3" cm="1">
        <f t="array" aca="1" ref="AQ51" ca="1">OFFSET(INDIRECT("Sheet"&amp;R$2&amp;"!f1"),$G51-1,)</f>
        <v>1.1891566403210101</v>
      </c>
      <c r="AR51" s="3" cm="1">
        <f t="array" aca="1" ref="AR51" ca="1">OFFSET(INDIRECT("Sheet"&amp;S$2&amp;"!f1"),$G51-1,)</f>
        <v>0.87861565314233303</v>
      </c>
      <c r="AS51" s="3" cm="1">
        <f t="array" aca="1" ref="AS51" ca="1">OFFSET(INDIRECT("Sheet"&amp;T$2&amp;"!f1"),$G51-1,)</f>
        <v>1.33060788363218</v>
      </c>
      <c r="AT51" s="3" cm="1">
        <f t="array" aca="1" ref="AT51" ca="1">OFFSET(INDIRECT("Sheet"&amp;U$2&amp;"!f1"),$G51-1,)</f>
        <v>1.0443387497216401</v>
      </c>
      <c r="AU51" s="3" cm="1">
        <f t="array" aca="1" ref="AU51" ca="1">OFFSET(INDIRECT("Sheet"&amp;V$2&amp;"!f1"),$G51-1,)</f>
        <v>1.5491679506376299</v>
      </c>
      <c r="AV51" s="3"/>
      <c r="AX51">
        <f ca="1">IF(H51=$F51,1,0)</f>
        <v>1</v>
      </c>
      <c r="AY51">
        <f ca="1">IF(I51=$F51,1,0)</f>
        <v>1</v>
      </c>
      <c r="AZ51">
        <f ca="1">IF(J51=$F51,1,0)</f>
        <v>1</v>
      </c>
      <c r="BA51">
        <f ca="1">IF(K51=$F51,1,0)</f>
        <v>1</v>
      </c>
      <c r="BB51">
        <f ca="1">IF(L51=$F51,1,0)</f>
        <v>1</v>
      </c>
      <c r="BC51">
        <f ca="1">IF(M51=$F51,1,0)</f>
        <v>1</v>
      </c>
      <c r="BD51">
        <f ca="1">IF(C51=$F51,1,0)</f>
        <v>1</v>
      </c>
      <c r="BE51">
        <f ca="1">IF(D51=$F51,1,0)</f>
        <v>1</v>
      </c>
      <c r="BF51">
        <f t="shared" ca="1" si="13"/>
        <v>1</v>
      </c>
      <c r="BG51">
        <f t="shared" ca="1" si="14"/>
        <v>1</v>
      </c>
      <c r="BH51">
        <f t="shared" ca="1" si="15"/>
        <v>1</v>
      </c>
      <c r="BI51">
        <f t="shared" ca="1" si="16"/>
        <v>1</v>
      </c>
      <c r="BJ51">
        <f t="shared" ca="1" si="17"/>
        <v>1</v>
      </c>
      <c r="BK51">
        <f t="shared" ca="1" si="17"/>
        <v>1</v>
      </c>
      <c r="BL51">
        <f t="shared" ca="1" si="17"/>
        <v>1</v>
      </c>
      <c r="BM51">
        <f t="shared" ca="1" si="18"/>
        <v>1</v>
      </c>
      <c r="BN51">
        <f t="shared" ca="1" si="19"/>
        <v>1</v>
      </c>
      <c r="BO51">
        <f t="shared" ca="1" si="20"/>
        <v>1</v>
      </c>
      <c r="BP51">
        <f t="shared" ca="1" si="21"/>
        <v>1</v>
      </c>
      <c r="BQ51">
        <f t="shared" ca="1" si="22"/>
        <v>1</v>
      </c>
    </row>
    <row r="52" spans="1:69" x14ac:dyDescent="0.2">
      <c r="A52" t="str">
        <f>Sheet3!A36</f>
        <v>[[6,1,3]]</v>
      </c>
      <c r="B52">
        <v>6</v>
      </c>
      <c r="C52" cm="1">
        <f t="array" aca="1" ref="C52" ca="1">OFFSET(INDIRECT("Sheet"&amp;K$2&amp;"!d1"),$G52-1,)</f>
        <v>3</v>
      </c>
      <c r="D52" cm="1">
        <f t="array" aca="1" ref="D52" ca="1">OFFSET(INDIRECT("Sheet"&amp;L$2&amp;"!d1"),$G52-1,)</f>
        <v>3</v>
      </c>
      <c r="E52">
        <v>1</v>
      </c>
      <c r="F52">
        <v>3</v>
      </c>
      <c r="G52">
        <f t="shared" si="23"/>
        <v>36</v>
      </c>
      <c r="H52" cm="1">
        <f t="array" aca="1" ref="H52" ca="1">OFFSET(INDIRECT("Sheet"&amp;E$2&amp;"!d1"),$G52-1,)</f>
        <v>3</v>
      </c>
      <c r="I52" cm="1">
        <f t="array" aca="1" ref="I52" ca="1">OFFSET(INDIRECT("Sheet"&amp;F$2&amp;"!d1"),$G52-1,)</f>
        <v>3</v>
      </c>
      <c r="J52" cm="1">
        <f t="array" aca="1" ref="J52" ca="1">OFFSET(INDIRECT("Sheet"&amp;G$2&amp;"!d1"),$G52-1,)</f>
        <v>3</v>
      </c>
      <c r="K52" cm="1">
        <f t="array" aca="1" ref="K52" ca="1">OFFSET(INDIRECT("Sheet"&amp;H$2&amp;"!d1"),$G52-1,)</f>
        <v>3</v>
      </c>
      <c r="L52" cm="1">
        <f t="array" aca="1" ref="L52" ca="1">OFFSET(INDIRECT("Sheet"&amp;I$2&amp;"!d1"),$G52-1,)</f>
        <v>3</v>
      </c>
      <c r="M52" cm="1">
        <f t="array" aca="1" ref="M52" ca="1">OFFSET(INDIRECT("Sheet"&amp;J$2&amp;"!d1"),$G52-1,)</f>
        <v>3</v>
      </c>
      <c r="N52" cm="1">
        <f t="array" aca="1" ref="N52" ca="1">OFFSET(INDIRECT("Sheet"&amp;M$2&amp;"!d1"),$G52-1,)</f>
        <v>3</v>
      </c>
      <c r="O52" cm="1">
        <f t="array" aca="1" ref="O52" ca="1">OFFSET(INDIRECT("Sheet"&amp;C$2&amp;"!d1"),$G52-1,)</f>
        <v>3</v>
      </c>
      <c r="P52" cm="1">
        <f t="array" aca="1" ref="P52" ca="1">OFFSET(INDIRECT("Sheet"&amp;D$2&amp;"!d1"),$G52-1,)</f>
        <v>3</v>
      </c>
      <c r="Q52" cm="1">
        <f t="array" aca="1" ref="Q52" ca="1">OFFSET(INDIRECT("Sheet"&amp;N$2&amp;"!d1"),$G52-1,)</f>
        <v>3</v>
      </c>
      <c r="R52" cm="1">
        <f t="array" aca="1" ref="R52" ca="1">OFFSET(INDIRECT("Sheet"&amp;O$2&amp;"!d1"),$G52-1,)</f>
        <v>3</v>
      </c>
      <c r="S52" cm="1">
        <f t="array" aca="1" ref="S52" ca="1">OFFSET(INDIRECT("Sheet"&amp;P$2&amp;"!d1"),$G52-1,)</f>
        <v>3</v>
      </c>
      <c r="T52" cm="1">
        <f t="array" aca="1" ref="T52" ca="1">OFFSET(INDIRECT("Sheet"&amp;Q$2&amp;"!d1"),$G52-1,)</f>
        <v>3</v>
      </c>
      <c r="U52" cm="1">
        <f t="array" aca="1" ref="U52" ca="1">OFFSET(INDIRECT("Sheet"&amp;R$2&amp;"!d1"),$G52-1,)</f>
        <v>3</v>
      </c>
      <c r="V52" cm="1">
        <f t="array" aca="1" ref="V52" ca="1">OFFSET(INDIRECT("Sheet"&amp;S$2&amp;"!d1"),$G52-1,)</f>
        <v>3</v>
      </c>
      <c r="W52" cm="1">
        <f t="array" aca="1" ref="W52" ca="1">OFFSET(INDIRECT("Sheet"&amp;T$2&amp;"!d1"),$G52-1,)</f>
        <v>3</v>
      </c>
      <c r="X52" cm="1">
        <f t="array" aca="1" ref="X52" ca="1">OFFSET(INDIRECT("Sheet"&amp;U$2&amp;"!d1"),$G52-1,)</f>
        <v>3</v>
      </c>
      <c r="Y52" cm="1">
        <f t="array" aca="1" ref="Y52" ca="1">OFFSET(INDIRECT("Sheet"&amp;V$2&amp;"!d1"),$G52-1,)</f>
        <v>3</v>
      </c>
      <c r="AB52" s="3" cm="1">
        <f t="array" aca="1" ref="AB52" ca="1">OFFSET(INDIRECT("Sheet"&amp;E$2&amp;"!f1"),$G52-1,)</f>
        <v>2.96756811439991E-3</v>
      </c>
      <c r="AC52" s="3" cm="1">
        <f t="array" aca="1" ref="AC52" ca="1">OFFSET(INDIRECT("Sheet"&amp;F$2&amp;"!f1"),$G52-1,)</f>
        <v>2.7871895581483802E-3</v>
      </c>
      <c r="AD52" s="3" cm="1">
        <f t="array" aca="1" ref="AD52" ca="1">OFFSET(INDIRECT("Sheet"&amp;G$2&amp;"!f1"),$G52-1,)</f>
        <v>2.8956905007362301E-3</v>
      </c>
      <c r="AE52" s="3" cm="1">
        <f t="array" aca="1" ref="AE52" ca="1">OFFSET(INDIRECT("Sheet"&amp;H$2&amp;"!f1"),$G52-1,)</f>
        <v>1.43522340804338E-2</v>
      </c>
      <c r="AF52" s="3" cm="1">
        <f t="array" aca="1" ref="AF52" ca="1">OFFSET(INDIRECT("Sheet"&amp;I$2&amp;"!f1"),$G52-1,)</f>
        <v>6.4857103000008395E-2</v>
      </c>
      <c r="AG52" s="3" cm="1">
        <f t="array" aca="1" ref="AG52" ca="1">OFFSET(INDIRECT("Sheet"&amp;J$2&amp;"!f1"),$G52-1,)</f>
        <v>3.1461617909371797E-2</v>
      </c>
      <c r="AH52" s="3" cm="1">
        <f t="array" aca="1" ref="AH52" ca="1">OFFSET(INDIRECT("Sheet"&amp;K$2&amp;"!f1"),$G52-1,)</f>
        <v>3.0893069000001099E-2</v>
      </c>
      <c r="AI52" s="3" cm="1">
        <f t="array" aca="1" ref="AI52" ca="1">OFFSET(INDIRECT("Sheet"&amp;L$2&amp;"!f1"),$G52-1,)</f>
        <v>3.1450920000025903E-2</v>
      </c>
      <c r="AJ52" s="3" cm="1">
        <f t="array" aca="1" ref="AJ52" ca="1">OFFSET(INDIRECT("Sheet"&amp;M$2&amp;"!f1"),$G52-1,)</f>
        <v>3.6323600448668003E-2</v>
      </c>
      <c r="AK52" s="3" cm="1">
        <f t="array" aca="1" ref="AK52" ca="1">OFFSET(INDIRECT("Sheet"&amp;C$2&amp;"!f1"),$G52-1,)</f>
        <v>3.33463922142982E-2</v>
      </c>
      <c r="AL52" s="3" cm="1">
        <f t="array" aca="1" ref="AL52" ca="1">OFFSET(INDIRECT("Sheet"&amp;D$2&amp;"!f1"),$G52-1,)</f>
        <v>3.4327877685427603E-2</v>
      </c>
      <c r="AM52" s="3" cm="1">
        <f t="array" aca="1" ref="AM52" ca="1">OFFSET(INDIRECT("Sheet"&amp;N$2&amp;"!f1"),$G52-1,)</f>
        <v>2.0908897211775099</v>
      </c>
      <c r="AN52" s="3" cm="1">
        <f t="array" aca="1" ref="AN52" ca="1">OFFSET(INDIRECT("Sheet"&amp;O$2&amp;"!f1"),$G52-1,)</f>
        <v>1.94076800812035</v>
      </c>
      <c r="AO52" s="3" cm="1">
        <f t="array" aca="1" ref="AO52" ca="1">OFFSET(INDIRECT("Sheet"&amp;P$2&amp;"!f1"),$G52-1,)</f>
        <v>2.2893541222438198</v>
      </c>
      <c r="AP52" s="3" cm="1">
        <f t="array" aca="1" ref="AP52" ca="1">OFFSET(INDIRECT("Sheet"&amp;Q$2&amp;"!f1"),$G52-1,)</f>
        <v>0.80920891091227498</v>
      </c>
      <c r="AQ52" s="3" cm="1">
        <f t="array" aca="1" ref="AQ52" ca="1">OFFSET(INDIRECT("Sheet"&amp;R$2&amp;"!f1"),$G52-1,)</f>
        <v>1.2430309364572101</v>
      </c>
      <c r="AR52" s="3" cm="1">
        <f t="array" aca="1" ref="AR52" ca="1">OFFSET(INDIRECT("Sheet"&amp;S$2&amp;"!f1"),$G52-1,)</f>
        <v>0.925990546122193</v>
      </c>
      <c r="AS52" s="3" cm="1">
        <f t="array" aca="1" ref="AS52" ca="1">OFFSET(INDIRECT("Sheet"&amp;T$2&amp;"!f1"),$G52-1,)</f>
        <v>1.4047483950853299</v>
      </c>
      <c r="AT52" s="3" cm="1">
        <f t="array" aca="1" ref="AT52" ca="1">OFFSET(INDIRECT("Sheet"&amp;U$2&amp;"!f1"),$G52-1,)</f>
        <v>1.1292516430839801</v>
      </c>
      <c r="AU52" s="3" cm="1">
        <f t="array" aca="1" ref="AU52" ca="1">OFFSET(INDIRECT("Sheet"&amp;V$2&amp;"!f1"),$G52-1,)</f>
        <v>1.6744138356298199</v>
      </c>
      <c r="AV52" s="3"/>
      <c r="AX52">
        <f ca="1">IF(H52=$F52,1,0)</f>
        <v>1</v>
      </c>
      <c r="AY52">
        <f ca="1">IF(I52=$F52,1,0)</f>
        <v>1</v>
      </c>
      <c r="AZ52">
        <f ca="1">IF(J52=$F52,1,0)</f>
        <v>1</v>
      </c>
      <c r="BA52">
        <f ca="1">IF(K52=$F52,1,0)</f>
        <v>1</v>
      </c>
      <c r="BB52">
        <f ca="1">IF(L52=$F52,1,0)</f>
        <v>1</v>
      </c>
      <c r="BC52">
        <f ca="1">IF(M52=$F52,1,0)</f>
        <v>1</v>
      </c>
      <c r="BD52">
        <f ca="1">IF(C52=$F52,1,0)</f>
        <v>1</v>
      </c>
      <c r="BE52">
        <f ca="1">IF(D52=$F52,1,0)</f>
        <v>1</v>
      </c>
      <c r="BF52">
        <f t="shared" ca="1" si="13"/>
        <v>1</v>
      </c>
      <c r="BG52">
        <f t="shared" ca="1" si="14"/>
        <v>1</v>
      </c>
      <c r="BH52">
        <f t="shared" ca="1" si="15"/>
        <v>1</v>
      </c>
      <c r="BI52">
        <f t="shared" ca="1" si="16"/>
        <v>1</v>
      </c>
      <c r="BJ52">
        <f t="shared" ca="1" si="17"/>
        <v>1</v>
      </c>
      <c r="BK52">
        <f t="shared" ca="1" si="17"/>
        <v>1</v>
      </c>
      <c r="BL52">
        <f t="shared" ca="1" si="17"/>
        <v>1</v>
      </c>
      <c r="BM52">
        <f t="shared" ca="1" si="18"/>
        <v>1</v>
      </c>
      <c r="BN52">
        <f t="shared" ca="1" si="19"/>
        <v>1</v>
      </c>
      <c r="BO52">
        <f t="shared" ca="1" si="20"/>
        <v>1</v>
      </c>
      <c r="BP52">
        <f t="shared" ca="1" si="21"/>
        <v>1</v>
      </c>
      <c r="BQ52">
        <f t="shared" ca="1" si="22"/>
        <v>1</v>
      </c>
    </row>
    <row r="53" spans="1:69" x14ac:dyDescent="0.2">
      <c r="A53" t="str">
        <f>Sheet3!A37</f>
        <v>[[7,1,3]]</v>
      </c>
      <c r="B53">
        <v>7</v>
      </c>
      <c r="C53" cm="1">
        <f t="array" aca="1" ref="C53" ca="1">OFFSET(INDIRECT("Sheet"&amp;K$2&amp;"!d1"),$G53-1,)</f>
        <v>3</v>
      </c>
      <c r="D53" cm="1">
        <f t="array" aca="1" ref="D53" ca="1">OFFSET(INDIRECT("Sheet"&amp;L$2&amp;"!d1"),$G53-1,)</f>
        <v>3</v>
      </c>
      <c r="E53">
        <v>1</v>
      </c>
      <c r="F53">
        <v>3</v>
      </c>
      <c r="G53">
        <f t="shared" si="23"/>
        <v>37</v>
      </c>
      <c r="H53" cm="1">
        <f t="array" aca="1" ref="H53" ca="1">OFFSET(INDIRECT("Sheet"&amp;E$2&amp;"!d1"),$G53-1,)</f>
        <v>3</v>
      </c>
      <c r="I53" cm="1">
        <f t="array" aca="1" ref="I53" ca="1">OFFSET(INDIRECT("Sheet"&amp;F$2&amp;"!d1"),$G53-1,)</f>
        <v>3</v>
      </c>
      <c r="J53" cm="1">
        <f t="array" aca="1" ref="J53" ca="1">OFFSET(INDIRECT("Sheet"&amp;G$2&amp;"!d1"),$G53-1,)</f>
        <v>3</v>
      </c>
      <c r="K53" cm="1">
        <f t="array" aca="1" ref="K53" ca="1">OFFSET(INDIRECT("Sheet"&amp;H$2&amp;"!d1"),$G53-1,)</f>
        <v>3</v>
      </c>
      <c r="L53" cm="1">
        <f t="array" aca="1" ref="L53" ca="1">OFFSET(INDIRECT("Sheet"&amp;I$2&amp;"!d1"),$G53-1,)</f>
        <v>3</v>
      </c>
      <c r="M53" cm="1">
        <f t="array" aca="1" ref="M53" ca="1">OFFSET(INDIRECT("Sheet"&amp;J$2&amp;"!d1"),$G53-1,)</f>
        <v>3</v>
      </c>
      <c r="N53" cm="1">
        <f t="array" aca="1" ref="N53" ca="1">OFFSET(INDIRECT("Sheet"&amp;M$2&amp;"!d1"),$G53-1,)</f>
        <v>3</v>
      </c>
      <c r="O53" cm="1">
        <f t="array" aca="1" ref="O53" ca="1">OFFSET(INDIRECT("Sheet"&amp;C$2&amp;"!d1"),$G53-1,)</f>
        <v>3</v>
      </c>
      <c r="P53" cm="1">
        <f t="array" aca="1" ref="P53" ca="1">OFFSET(INDIRECT("Sheet"&amp;D$2&amp;"!d1"),$G53-1,)</f>
        <v>3</v>
      </c>
      <c r="Q53" cm="1">
        <f t="array" aca="1" ref="Q53" ca="1">OFFSET(INDIRECT("Sheet"&amp;N$2&amp;"!d1"),$G53-1,)</f>
        <v>3</v>
      </c>
      <c r="R53" cm="1">
        <f t="array" aca="1" ref="R53" ca="1">OFFSET(INDIRECT("Sheet"&amp;O$2&amp;"!d1"),$G53-1,)</f>
        <v>3</v>
      </c>
      <c r="S53" cm="1">
        <f t="array" aca="1" ref="S53" ca="1">OFFSET(INDIRECT("Sheet"&amp;P$2&amp;"!d1"),$G53-1,)</f>
        <v>3</v>
      </c>
      <c r="T53" cm="1">
        <f t="array" aca="1" ref="T53" ca="1">OFFSET(INDIRECT("Sheet"&amp;Q$2&amp;"!d1"),$G53-1,)</f>
        <v>3</v>
      </c>
      <c r="U53" cm="1">
        <f t="array" aca="1" ref="U53" ca="1">OFFSET(INDIRECT("Sheet"&amp;R$2&amp;"!d1"),$G53-1,)</f>
        <v>3</v>
      </c>
      <c r="V53" cm="1">
        <f t="array" aca="1" ref="V53" ca="1">OFFSET(INDIRECT("Sheet"&amp;S$2&amp;"!d1"),$G53-1,)</f>
        <v>3</v>
      </c>
      <c r="W53" cm="1">
        <f t="array" aca="1" ref="W53" ca="1">OFFSET(INDIRECT("Sheet"&amp;T$2&amp;"!d1"),$G53-1,)</f>
        <v>3</v>
      </c>
      <c r="X53" cm="1">
        <f t="array" aca="1" ref="X53" ca="1">OFFSET(INDIRECT("Sheet"&amp;U$2&amp;"!d1"),$G53-1,)</f>
        <v>3</v>
      </c>
      <c r="Y53" cm="1">
        <f t="array" aca="1" ref="Y53" ca="1">OFFSET(INDIRECT("Sheet"&amp;V$2&amp;"!d1"),$G53-1,)</f>
        <v>3</v>
      </c>
      <c r="AB53" s="3" cm="1">
        <f t="array" aca="1" ref="AB53" ca="1">OFFSET(INDIRECT("Sheet"&amp;E$2&amp;"!f1"),$G53-1,)</f>
        <v>3.0723251402378E-3</v>
      </c>
      <c r="AC53" s="3" cm="1">
        <f t="array" aca="1" ref="AC53" ca="1">OFFSET(INDIRECT("Sheet"&amp;F$2&amp;"!f1"),$G53-1,)</f>
        <v>3.1640138477086999E-3</v>
      </c>
      <c r="AD53" s="3" cm="1">
        <f t="array" aca="1" ref="AD53" ca="1">OFFSET(INDIRECT("Sheet"&amp;G$2&amp;"!f1"),$G53-1,)</f>
        <v>3.2005840912461198E-3</v>
      </c>
      <c r="AE53" s="3" cm="1">
        <f t="array" aca="1" ref="AE53" ca="1">OFFSET(INDIRECT("Sheet"&amp;H$2&amp;"!f1"),$G53-1,)</f>
        <v>1.7970439046621298E-2</v>
      </c>
      <c r="AF53" s="3" cm="1">
        <f t="array" aca="1" ref="AF53" ca="1">OFFSET(INDIRECT("Sheet"&amp;I$2&amp;"!f1"),$G53-1,)</f>
        <v>4.23287059999779E-2</v>
      </c>
      <c r="AG53" s="3" cm="1">
        <f t="array" aca="1" ref="AG53" ca="1">OFFSET(INDIRECT("Sheet"&amp;J$2&amp;"!f1"),$G53-1,)</f>
        <v>4.1968803852796499E-2</v>
      </c>
      <c r="AH53" s="3" cm="1">
        <f t="array" aca="1" ref="AH53" ca="1">OFFSET(INDIRECT("Sheet"&amp;K$2&amp;"!f1"),$G53-1,)</f>
        <v>3.3567819000012301E-2</v>
      </c>
      <c r="AI53" s="3" cm="1">
        <f t="array" aca="1" ref="AI53" ca="1">OFFSET(INDIRECT("Sheet"&amp;L$2&amp;"!f1"),$G53-1,)</f>
        <v>3.31170009999937E-2</v>
      </c>
      <c r="AJ53" s="3" cm="1">
        <f t="array" aca="1" ref="AJ53" ca="1">OFFSET(INDIRECT("Sheet"&amp;M$2&amp;"!f1"),$G53-1,)</f>
        <v>4.2451309040188699E-2</v>
      </c>
      <c r="AK53" s="3" cm="1">
        <f t="array" aca="1" ref="AK53" ca="1">OFFSET(INDIRECT("Sheet"&amp;C$2&amp;"!f1"),$G53-1,)</f>
        <v>3.3478545024991001E-2</v>
      </c>
      <c r="AL53" s="3" cm="1">
        <f t="array" aca="1" ref="AL53" ca="1">OFFSET(INDIRECT("Sheet"&amp;D$2&amp;"!f1"),$G53-1,)</f>
        <v>3.39103387668728E-2</v>
      </c>
      <c r="AM53" s="3" cm="1">
        <f t="array" aca="1" ref="AM53" ca="1">OFFSET(INDIRECT("Sheet"&amp;N$2&amp;"!f1"),$G53-1,)</f>
        <v>2.1323368977755299</v>
      </c>
      <c r="AN53" s="3" cm="1">
        <f t="array" aca="1" ref="AN53" ca="1">OFFSET(INDIRECT("Sheet"&amp;O$2&amp;"!f1"),$G53-1,)</f>
        <v>2.0118329022079702</v>
      </c>
      <c r="AO53" s="3" cm="1">
        <f t="array" aca="1" ref="AO53" ca="1">OFFSET(INDIRECT("Sheet"&amp;P$2&amp;"!f1"),$G53-1,)</f>
        <v>2.3819386549293902</v>
      </c>
      <c r="AP53" s="3" cm="1">
        <f t="array" aca="1" ref="AP53" ca="1">OFFSET(INDIRECT("Sheet"&amp;Q$2&amp;"!f1"),$G53-1,)</f>
        <v>0.84276724327355601</v>
      </c>
      <c r="AQ53" s="3" cm="1">
        <f t="array" aca="1" ref="AQ53" ca="1">OFFSET(INDIRECT("Sheet"&amp;R$2&amp;"!f1"),$G53-1,)</f>
        <v>1.2747546508908201</v>
      </c>
      <c r="AR53" s="3" cm="1">
        <f t="array" aca="1" ref="AR53" ca="1">OFFSET(INDIRECT("Sheet"&amp;S$2&amp;"!f1"),$G53-1,)</f>
        <v>0.96644267439842202</v>
      </c>
      <c r="AS53" s="3" cm="1">
        <f t="array" aca="1" ref="AS53" ca="1">OFFSET(INDIRECT("Sheet"&amp;T$2&amp;"!f1"),$G53-1,)</f>
        <v>1.4939156305044801</v>
      </c>
      <c r="AT53" s="3" cm="1">
        <f t="array" aca="1" ref="AT53" ca="1">OFFSET(INDIRECT("Sheet"&amp;U$2&amp;"!f1"),$G53-1,)</f>
        <v>1.1759169511497001</v>
      </c>
      <c r="AU53" s="3" cm="1">
        <f t="array" aca="1" ref="AU53" ca="1">OFFSET(INDIRECT("Sheet"&amp;V$2&amp;"!f1"),$G53-1,)</f>
        <v>1.78451935295015</v>
      </c>
      <c r="AV53" s="3"/>
      <c r="AX53">
        <f ca="1">IF(H53=$F53,1,0)</f>
        <v>1</v>
      </c>
      <c r="AY53">
        <f ca="1">IF(I53=$F53,1,0)</f>
        <v>1</v>
      </c>
      <c r="AZ53">
        <f ca="1">IF(J53=$F53,1,0)</f>
        <v>1</v>
      </c>
      <c r="BA53">
        <f ca="1">IF(K53=$F53,1,0)</f>
        <v>1</v>
      </c>
      <c r="BB53">
        <f ca="1">IF(L53=$F53,1,0)</f>
        <v>1</v>
      </c>
      <c r="BC53">
        <f ca="1">IF(M53=$F53,1,0)</f>
        <v>1</v>
      </c>
      <c r="BD53">
        <f ca="1">IF(C53=$F53,1,0)</f>
        <v>1</v>
      </c>
      <c r="BE53">
        <f ca="1">IF(D53=$F53,1,0)</f>
        <v>1</v>
      </c>
      <c r="BF53">
        <f t="shared" ca="1" si="13"/>
        <v>1</v>
      </c>
      <c r="BG53">
        <f t="shared" ca="1" si="14"/>
        <v>1</v>
      </c>
      <c r="BH53">
        <f t="shared" ca="1" si="15"/>
        <v>1</v>
      </c>
      <c r="BI53">
        <f t="shared" ca="1" si="16"/>
        <v>1</v>
      </c>
      <c r="BJ53">
        <f t="shared" ca="1" si="17"/>
        <v>1</v>
      </c>
      <c r="BK53">
        <f t="shared" ca="1" si="17"/>
        <v>1</v>
      </c>
      <c r="BL53">
        <f t="shared" ca="1" si="17"/>
        <v>1</v>
      </c>
      <c r="BM53">
        <f t="shared" ca="1" si="18"/>
        <v>1</v>
      </c>
      <c r="BN53">
        <f t="shared" ca="1" si="19"/>
        <v>1</v>
      </c>
      <c r="BO53">
        <f t="shared" ca="1" si="20"/>
        <v>1</v>
      </c>
      <c r="BP53">
        <f t="shared" ca="1" si="21"/>
        <v>1</v>
      </c>
      <c r="BQ53">
        <f t="shared" ca="1" si="22"/>
        <v>1</v>
      </c>
    </row>
    <row r="54" spans="1:69" x14ac:dyDescent="0.2">
      <c r="A54" t="str">
        <f>Sheet3!A38</f>
        <v>[[8,1,3]]</v>
      </c>
      <c r="B54">
        <v>8</v>
      </c>
      <c r="C54" cm="1">
        <f t="array" aca="1" ref="C54" ca="1">OFFSET(INDIRECT("Sheet"&amp;K$2&amp;"!d1"),$G54-1,)</f>
        <v>3</v>
      </c>
      <c r="D54" cm="1">
        <f t="array" aca="1" ref="D54" ca="1">OFFSET(INDIRECT("Sheet"&amp;L$2&amp;"!d1"),$G54-1,)</f>
        <v>3</v>
      </c>
      <c r="E54">
        <v>1</v>
      </c>
      <c r="F54">
        <v>3</v>
      </c>
      <c r="G54">
        <f t="shared" si="23"/>
        <v>38</v>
      </c>
      <c r="H54" cm="1">
        <f t="array" aca="1" ref="H54" ca="1">OFFSET(INDIRECT("Sheet"&amp;E$2&amp;"!d1"),$G54-1,)</f>
        <v>3</v>
      </c>
      <c r="I54" cm="1">
        <f t="array" aca="1" ref="I54" ca="1">OFFSET(INDIRECT("Sheet"&amp;F$2&amp;"!d1"),$G54-1,)</f>
        <v>3</v>
      </c>
      <c r="J54" cm="1">
        <f t="array" aca="1" ref="J54" ca="1">OFFSET(INDIRECT("Sheet"&amp;G$2&amp;"!d1"),$G54-1,)</f>
        <v>3</v>
      </c>
      <c r="K54" cm="1">
        <f t="array" aca="1" ref="K54" ca="1">OFFSET(INDIRECT("Sheet"&amp;H$2&amp;"!d1"),$G54-1,)</f>
        <v>3</v>
      </c>
      <c r="L54" cm="1">
        <f t="array" aca="1" ref="L54" ca="1">OFFSET(INDIRECT("Sheet"&amp;I$2&amp;"!d1"),$G54-1,)</f>
        <v>3</v>
      </c>
      <c r="M54" cm="1">
        <f t="array" aca="1" ref="M54" ca="1">OFFSET(INDIRECT("Sheet"&amp;J$2&amp;"!d1"),$G54-1,)</f>
        <v>3</v>
      </c>
      <c r="N54" cm="1">
        <f t="array" aca="1" ref="N54" ca="1">OFFSET(INDIRECT("Sheet"&amp;M$2&amp;"!d1"),$G54-1,)</f>
        <v>3</v>
      </c>
      <c r="O54" cm="1">
        <f t="array" aca="1" ref="O54" ca="1">OFFSET(INDIRECT("Sheet"&amp;C$2&amp;"!d1"),$G54-1,)</f>
        <v>3</v>
      </c>
      <c r="P54" cm="1">
        <f t="array" aca="1" ref="P54" ca="1">OFFSET(INDIRECT("Sheet"&amp;D$2&amp;"!d1"),$G54-1,)</f>
        <v>3</v>
      </c>
      <c r="Q54" cm="1">
        <f t="array" aca="1" ref="Q54" ca="1">OFFSET(INDIRECT("Sheet"&amp;N$2&amp;"!d1"),$G54-1,)</f>
        <v>3</v>
      </c>
      <c r="R54" cm="1">
        <f t="array" aca="1" ref="R54" ca="1">OFFSET(INDIRECT("Sheet"&amp;O$2&amp;"!d1"),$G54-1,)</f>
        <v>3</v>
      </c>
      <c r="S54" cm="1">
        <f t="array" aca="1" ref="S54" ca="1">OFFSET(INDIRECT("Sheet"&amp;P$2&amp;"!d1"),$G54-1,)</f>
        <v>3</v>
      </c>
      <c r="T54" cm="1">
        <f t="array" aca="1" ref="T54" ca="1">OFFSET(INDIRECT("Sheet"&amp;Q$2&amp;"!d1"),$G54-1,)</f>
        <v>3</v>
      </c>
      <c r="U54" cm="1">
        <f t="array" aca="1" ref="U54" ca="1">OFFSET(INDIRECT("Sheet"&amp;R$2&amp;"!d1"),$G54-1,)</f>
        <v>3</v>
      </c>
      <c r="V54" cm="1">
        <f t="array" aca="1" ref="V54" ca="1">OFFSET(INDIRECT("Sheet"&amp;S$2&amp;"!d1"),$G54-1,)</f>
        <v>3</v>
      </c>
      <c r="W54" cm="1">
        <f t="array" aca="1" ref="W54" ca="1">OFFSET(INDIRECT("Sheet"&amp;T$2&amp;"!d1"),$G54-1,)</f>
        <v>3</v>
      </c>
      <c r="X54" cm="1">
        <f t="array" aca="1" ref="X54" ca="1">OFFSET(INDIRECT("Sheet"&amp;U$2&amp;"!d1"),$G54-1,)</f>
        <v>3</v>
      </c>
      <c r="Y54" cm="1">
        <f t="array" aca="1" ref="Y54" ca="1">OFFSET(INDIRECT("Sheet"&amp;V$2&amp;"!d1"),$G54-1,)</f>
        <v>3</v>
      </c>
      <c r="AB54" s="3" cm="1">
        <f t="array" aca="1" ref="AB54" ca="1">OFFSET(INDIRECT("Sheet"&amp;E$2&amp;"!f1"),$G54-1,)</f>
        <v>3.1412923708558E-3</v>
      </c>
      <c r="AC54" s="3" cm="1">
        <f t="array" aca="1" ref="AC54" ca="1">OFFSET(INDIRECT("Sheet"&amp;F$2&amp;"!f1"),$G54-1,)</f>
        <v>3.1682951375841999E-3</v>
      </c>
      <c r="AD54" s="3" cm="1">
        <f t="array" aca="1" ref="AD54" ca="1">OFFSET(INDIRECT("Sheet"&amp;G$2&amp;"!f1"),$G54-1,)</f>
        <v>3.59048880636692E-3</v>
      </c>
      <c r="AE54" s="3" cm="1">
        <f t="array" aca="1" ref="AE54" ca="1">OFFSET(INDIRECT("Sheet"&amp;H$2&amp;"!f1"),$G54-1,)</f>
        <v>7.4682909995317404E-2</v>
      </c>
      <c r="AF54" s="3" cm="1">
        <f t="array" aca="1" ref="AF54" ca="1">OFFSET(INDIRECT("Sheet"&amp;I$2&amp;"!f1"),$G54-1,)</f>
        <v>2.2826961000021101E-2</v>
      </c>
      <c r="AG54" s="3" cm="1">
        <f t="array" aca="1" ref="AG54" ca="1">OFFSET(INDIRECT("Sheet"&amp;J$2&amp;"!f1"),$G54-1,)</f>
        <v>3.8902051746845197E-2</v>
      </c>
      <c r="AH54" s="3" cm="1">
        <f t="array" aca="1" ref="AH54" ca="1">OFFSET(INDIRECT("Sheet"&amp;K$2&amp;"!f1"),$G54-1,)</f>
        <v>3.5097514000000198E-2</v>
      </c>
      <c r="AI54" s="3" cm="1">
        <f t="array" aca="1" ref="AI54" ca="1">OFFSET(INDIRECT("Sheet"&amp;L$2&amp;"!f1"),$G54-1,)</f>
        <v>3.4902092999999398E-2</v>
      </c>
      <c r="AJ54" s="3" cm="1">
        <f t="array" aca="1" ref="AJ54" ca="1">OFFSET(INDIRECT("Sheet"&amp;M$2&amp;"!f1"),$G54-1,)</f>
        <v>4.5867452397942501E-2</v>
      </c>
      <c r="AK54" s="3" cm="1">
        <f t="array" aca="1" ref="AK54" ca="1">OFFSET(INDIRECT("Sheet"&amp;C$2&amp;"!f1"),$G54-1,)</f>
        <v>3.3332958817481897E-2</v>
      </c>
      <c r="AL54" s="3" cm="1">
        <f t="array" aca="1" ref="AL54" ca="1">OFFSET(INDIRECT("Sheet"&amp;D$2&amp;"!f1"),$G54-1,)</f>
        <v>3.4905137494206401E-2</v>
      </c>
      <c r="AM54" s="3" cm="1">
        <f t="array" aca="1" ref="AM54" ca="1">OFFSET(INDIRECT("Sheet"&amp;N$2&amp;"!f1"),$G54-1,)</f>
        <v>2.16537505574524</v>
      </c>
      <c r="AN54" s="3" cm="1">
        <f t="array" aca="1" ref="AN54" ca="1">OFFSET(INDIRECT("Sheet"&amp;O$2&amp;"!f1"),$G54-1,)</f>
        <v>2.0705328192561798</v>
      </c>
      <c r="AO54" s="3" cm="1">
        <f t="array" aca="1" ref="AO54" ca="1">OFFSET(INDIRECT("Sheet"&amp;P$2&amp;"!f1"),$G54-1,)</f>
        <v>2.4677076768130002</v>
      </c>
      <c r="AP54" s="3" cm="1">
        <f t="array" aca="1" ref="AP54" ca="1">OFFSET(INDIRECT("Sheet"&amp;Q$2&amp;"!f1"),$G54-1,)</f>
        <v>0.85140953864902202</v>
      </c>
      <c r="AQ54" s="3" cm="1">
        <f t="array" aca="1" ref="AQ54" ca="1">OFFSET(INDIRECT("Sheet"&amp;R$2&amp;"!f1"),$G54-1,)</f>
        <v>1.31569855287671</v>
      </c>
      <c r="AR54" s="3" cm="1">
        <f t="array" aca="1" ref="AR54" ca="1">OFFSET(INDIRECT("Sheet"&amp;S$2&amp;"!f1"),$G54-1,)</f>
        <v>1.01208055391907</v>
      </c>
      <c r="AS54" s="3" cm="1">
        <f t="array" aca="1" ref="AS54" ca="1">OFFSET(INDIRECT("Sheet"&amp;T$2&amp;"!f1"),$G54-1,)</f>
        <v>1.5532897468656299</v>
      </c>
      <c r="AT54" s="3" cm="1">
        <f t="array" aca="1" ref="AT54" ca="1">OFFSET(INDIRECT("Sheet"&amp;U$2&amp;"!f1"),$G54-1,)</f>
        <v>1.2449829718098</v>
      </c>
      <c r="AU54" s="3" cm="1">
        <f t="array" aca="1" ref="AU54" ca="1">OFFSET(INDIRECT("Sheet"&amp;V$2&amp;"!f1"),$G54-1,)</f>
        <v>1.88248931523412</v>
      </c>
      <c r="AV54" s="3"/>
      <c r="AX54">
        <f ca="1">IF(H54=$F54,1,0)</f>
        <v>1</v>
      </c>
      <c r="AY54">
        <f ca="1">IF(I54=$F54,1,0)</f>
        <v>1</v>
      </c>
      <c r="AZ54">
        <f ca="1">IF(J54=$F54,1,0)</f>
        <v>1</v>
      </c>
      <c r="BA54">
        <f ca="1">IF(K54=$F54,1,0)</f>
        <v>1</v>
      </c>
      <c r="BB54">
        <f ca="1">IF(L54=$F54,1,0)</f>
        <v>1</v>
      </c>
      <c r="BC54">
        <f ca="1">IF(M54=$F54,1,0)</f>
        <v>1</v>
      </c>
      <c r="BD54">
        <f ca="1">IF(C54=$F54,1,0)</f>
        <v>1</v>
      </c>
      <c r="BE54">
        <f ca="1">IF(D54=$F54,1,0)</f>
        <v>1</v>
      </c>
      <c r="BF54">
        <f t="shared" ca="1" si="13"/>
        <v>1</v>
      </c>
      <c r="BG54">
        <f t="shared" ca="1" si="14"/>
        <v>1</v>
      </c>
      <c r="BH54">
        <f t="shared" ca="1" si="15"/>
        <v>1</v>
      </c>
      <c r="BI54">
        <f t="shared" ca="1" si="16"/>
        <v>1</v>
      </c>
      <c r="BJ54">
        <f t="shared" ca="1" si="17"/>
        <v>1</v>
      </c>
      <c r="BK54">
        <f t="shared" ca="1" si="17"/>
        <v>1</v>
      </c>
      <c r="BL54">
        <f t="shared" ca="1" si="17"/>
        <v>1</v>
      </c>
      <c r="BM54">
        <f t="shared" ca="1" si="18"/>
        <v>1</v>
      </c>
      <c r="BN54">
        <f t="shared" ca="1" si="19"/>
        <v>1</v>
      </c>
      <c r="BO54">
        <f t="shared" ca="1" si="20"/>
        <v>1</v>
      </c>
      <c r="BP54">
        <f t="shared" ca="1" si="21"/>
        <v>1</v>
      </c>
      <c r="BQ54">
        <f t="shared" ca="1" si="22"/>
        <v>1</v>
      </c>
    </row>
    <row r="55" spans="1:69" x14ac:dyDescent="0.2">
      <c r="A55" t="str">
        <f>Sheet3!A39</f>
        <v>[[9,1,3]]</v>
      </c>
      <c r="B55">
        <v>9</v>
      </c>
      <c r="C55" cm="1">
        <f t="array" aca="1" ref="C55" ca="1">OFFSET(INDIRECT("Sheet"&amp;K$2&amp;"!d1"),$G55-1,)</f>
        <v>3</v>
      </c>
      <c r="D55" cm="1">
        <f t="array" aca="1" ref="D55" ca="1">OFFSET(INDIRECT("Sheet"&amp;L$2&amp;"!d1"),$G55-1,)</f>
        <v>3</v>
      </c>
      <c r="E55">
        <v>1</v>
      </c>
      <c r="F55">
        <v>3</v>
      </c>
      <c r="G55">
        <f t="shared" si="23"/>
        <v>39</v>
      </c>
      <c r="H55" cm="1">
        <f t="array" aca="1" ref="H55" ca="1">OFFSET(INDIRECT("Sheet"&amp;E$2&amp;"!d1"),$G55-1,)</f>
        <v>3</v>
      </c>
      <c r="I55" cm="1">
        <f t="array" aca="1" ref="I55" ca="1">OFFSET(INDIRECT("Sheet"&amp;F$2&amp;"!d1"),$G55-1,)</f>
        <v>3</v>
      </c>
      <c r="J55" cm="1">
        <f t="array" aca="1" ref="J55" ca="1">OFFSET(INDIRECT("Sheet"&amp;G$2&amp;"!d1"),$G55-1,)</f>
        <v>3</v>
      </c>
      <c r="K55" cm="1">
        <f t="array" aca="1" ref="K55" ca="1">OFFSET(INDIRECT("Sheet"&amp;H$2&amp;"!d1"),$G55-1,)</f>
        <v>3</v>
      </c>
      <c r="L55" cm="1">
        <f t="array" aca="1" ref="L55" ca="1">OFFSET(INDIRECT("Sheet"&amp;I$2&amp;"!d1"),$G55-1,)</f>
        <v>3</v>
      </c>
      <c r="M55" cm="1">
        <f t="array" aca="1" ref="M55" ca="1">OFFSET(INDIRECT("Sheet"&amp;J$2&amp;"!d1"),$G55-1,)</f>
        <v>3</v>
      </c>
      <c r="N55" cm="1">
        <f t="array" aca="1" ref="N55" ca="1">OFFSET(INDIRECT("Sheet"&amp;M$2&amp;"!d1"),$G55-1,)</f>
        <v>3</v>
      </c>
      <c r="O55" cm="1">
        <f t="array" aca="1" ref="O55" ca="1">OFFSET(INDIRECT("Sheet"&amp;C$2&amp;"!d1"),$G55-1,)</f>
        <v>3</v>
      </c>
      <c r="P55" cm="1">
        <f t="array" aca="1" ref="P55" ca="1">OFFSET(INDIRECT("Sheet"&amp;D$2&amp;"!d1"),$G55-1,)</f>
        <v>3</v>
      </c>
      <c r="Q55" cm="1">
        <f t="array" aca="1" ref="Q55" ca="1">OFFSET(INDIRECT("Sheet"&amp;N$2&amp;"!d1"),$G55-1,)</f>
        <v>3</v>
      </c>
      <c r="R55" cm="1">
        <f t="array" aca="1" ref="R55" ca="1">OFFSET(INDIRECT("Sheet"&amp;O$2&amp;"!d1"),$G55-1,)</f>
        <v>3</v>
      </c>
      <c r="S55" cm="1">
        <f t="array" aca="1" ref="S55" ca="1">OFFSET(INDIRECT("Sheet"&amp;P$2&amp;"!d1"),$G55-1,)</f>
        <v>3</v>
      </c>
      <c r="T55" cm="1">
        <f t="array" aca="1" ref="T55" ca="1">OFFSET(INDIRECT("Sheet"&amp;Q$2&amp;"!d1"),$G55-1,)</f>
        <v>3</v>
      </c>
      <c r="U55" cm="1">
        <f t="array" aca="1" ref="U55" ca="1">OFFSET(INDIRECT("Sheet"&amp;R$2&amp;"!d1"),$G55-1,)</f>
        <v>3</v>
      </c>
      <c r="V55" cm="1">
        <f t="array" aca="1" ref="V55" ca="1">OFFSET(INDIRECT("Sheet"&amp;S$2&amp;"!d1"),$G55-1,)</f>
        <v>3</v>
      </c>
      <c r="W55" cm="1">
        <f t="array" aca="1" ref="W55" ca="1">OFFSET(INDIRECT("Sheet"&amp;T$2&amp;"!d1"),$G55-1,)</f>
        <v>3</v>
      </c>
      <c r="X55" cm="1">
        <f t="array" aca="1" ref="X55" ca="1">OFFSET(INDIRECT("Sheet"&amp;U$2&amp;"!d1"),$G55-1,)</f>
        <v>3</v>
      </c>
      <c r="Y55" cm="1">
        <f t="array" aca="1" ref="Y55" ca="1">OFFSET(INDIRECT("Sheet"&amp;V$2&amp;"!d1"),$G55-1,)</f>
        <v>3</v>
      </c>
      <c r="AB55" s="3" cm="1">
        <f t="array" aca="1" ref="AB55" ca="1">OFFSET(INDIRECT("Sheet"&amp;E$2&amp;"!f1"),$G55-1,)</f>
        <v>3.3542551100253998E-3</v>
      </c>
      <c r="AC55" s="3" cm="1">
        <f t="array" aca="1" ref="AC55" ca="1">OFFSET(INDIRECT("Sheet"&amp;F$2&amp;"!f1"),$G55-1,)</f>
        <v>3.3251987770199702E-3</v>
      </c>
      <c r="AD55" s="3" cm="1">
        <f t="array" aca="1" ref="AD55" ca="1">OFFSET(INDIRECT("Sheet"&amp;G$2&amp;"!f1"),$G55-1,)</f>
        <v>3.5833623260259598E-3</v>
      </c>
      <c r="AE55" s="3" cm="1">
        <f t="array" aca="1" ref="AE55" ca="1">OFFSET(INDIRECT("Sheet"&amp;H$2&amp;"!f1"),$G55-1,)</f>
        <v>1.37595320120453E-2</v>
      </c>
      <c r="AF55" s="3" cm="1">
        <f t="array" aca="1" ref="AF55" ca="1">OFFSET(INDIRECT("Sheet"&amp;I$2&amp;"!f1"),$G55-1,)</f>
        <v>2.5137000999990201E-2</v>
      </c>
      <c r="AG55" s="3" cm="1">
        <f t="array" aca="1" ref="AG55" ca="1">OFFSET(INDIRECT("Sheet"&amp;J$2&amp;"!f1"),$G55-1,)</f>
        <v>4.2237495072185903E-2</v>
      </c>
      <c r="AH55" s="3" cm="1">
        <f t="array" aca="1" ref="AH55" ca="1">OFFSET(INDIRECT("Sheet"&amp;K$2&amp;"!f1"),$G55-1,)</f>
        <v>3.9095926999976799E-2</v>
      </c>
      <c r="AI55" s="3" cm="1">
        <f t="array" aca="1" ref="AI55" ca="1">OFFSET(INDIRECT("Sheet"&amp;L$2&amp;"!f1"),$G55-1,)</f>
        <v>3.9092812000006902E-2</v>
      </c>
      <c r="AJ55" s="3" cm="1">
        <f t="array" aca="1" ref="AJ55" ca="1">OFFSET(INDIRECT("Sheet"&amp;M$2&amp;"!f1"),$G55-1,)</f>
        <v>5.20390346646308E-2</v>
      </c>
      <c r="AK55" s="3" cm="1">
        <f t="array" aca="1" ref="AK55" ca="1">OFFSET(INDIRECT("Sheet"&amp;C$2&amp;"!f1"),$G55-1,)</f>
        <v>3.3219592645764302E-2</v>
      </c>
      <c r="AL55" s="3" cm="1">
        <f t="array" aca="1" ref="AL55" ca="1">OFFSET(INDIRECT("Sheet"&amp;D$2&amp;"!f1"),$G55-1,)</f>
        <v>3.4337542019784402E-2</v>
      </c>
      <c r="AM55" s="3" cm="1">
        <f t="array" aca="1" ref="AM55" ca="1">OFFSET(INDIRECT("Sheet"&amp;N$2&amp;"!f1"),$G55-1,)</f>
        <v>2.1980821704491902</v>
      </c>
      <c r="AN55" s="3" cm="1">
        <f t="array" aca="1" ref="AN55" ca="1">OFFSET(INDIRECT("Sheet"&amp;O$2&amp;"!f1"),$G55-1,)</f>
        <v>2.1356820007786101</v>
      </c>
      <c r="AO55" s="3" cm="1">
        <f t="array" aca="1" ref="AO55" ca="1">OFFSET(INDIRECT("Sheet"&amp;P$2&amp;"!f1"),$G55-1,)</f>
        <v>2.5834248233586501</v>
      </c>
      <c r="AP55" s="3" cm="1">
        <f t="array" aca="1" ref="AP55" ca="1">OFFSET(INDIRECT("Sheet"&amp;Q$2&amp;"!f1"),$G55-1,)</f>
        <v>0.87966546416282598</v>
      </c>
      <c r="AQ55" s="3" cm="1">
        <f t="array" aca="1" ref="AQ55" ca="1">OFFSET(INDIRECT("Sheet"&amp;R$2&amp;"!f1"),$G55-1,)</f>
        <v>1.3873983426019501</v>
      </c>
      <c r="AR55" s="3" cm="1">
        <f t="array" aca="1" ref="AR55" ca="1">OFFSET(INDIRECT("Sheet"&amp;S$2&amp;"!f1"),$G55-1,)</f>
        <v>1.0604300554841699</v>
      </c>
      <c r="AS55" s="3" cm="1">
        <f t="array" aca="1" ref="AS55" ca="1">OFFSET(INDIRECT("Sheet"&amp;T$2&amp;"!f1"),$G55-1,)</f>
        <v>1.63269532192498</v>
      </c>
      <c r="AT55" s="3" cm="1">
        <f t="array" aca="1" ref="AT55" ca="1">OFFSET(INDIRECT("Sheet"&amp;U$2&amp;"!f1"),$G55-1,)</f>
        <v>1.3492576647549801</v>
      </c>
      <c r="AU55" s="3" cm="1">
        <f t="array" aca="1" ref="AU55" ca="1">OFFSET(INDIRECT("Sheet"&amp;V$2&amp;"!f1"),$G55-1,)</f>
        <v>2.0092638358473698</v>
      </c>
      <c r="AV55" s="3"/>
      <c r="AX55">
        <f ca="1">IF(H55=$F55,1,0)</f>
        <v>1</v>
      </c>
      <c r="AY55">
        <f ca="1">IF(I55=$F55,1,0)</f>
        <v>1</v>
      </c>
      <c r="AZ55">
        <f ca="1">IF(J55=$F55,1,0)</f>
        <v>1</v>
      </c>
      <c r="BA55">
        <f ca="1">IF(K55=$F55,1,0)</f>
        <v>1</v>
      </c>
      <c r="BB55">
        <f ca="1">IF(L55=$F55,1,0)</f>
        <v>1</v>
      </c>
      <c r="BC55">
        <f ca="1">IF(M55=$F55,1,0)</f>
        <v>1</v>
      </c>
      <c r="BD55">
        <f ca="1">IF(C55=$F55,1,0)</f>
        <v>1</v>
      </c>
      <c r="BE55">
        <f ca="1">IF(D55=$F55,1,0)</f>
        <v>1</v>
      </c>
      <c r="BF55">
        <f t="shared" ca="1" si="13"/>
        <v>1</v>
      </c>
      <c r="BG55">
        <f t="shared" ca="1" si="14"/>
        <v>1</v>
      </c>
      <c r="BH55">
        <f t="shared" ca="1" si="15"/>
        <v>1</v>
      </c>
      <c r="BI55">
        <f t="shared" ca="1" si="16"/>
        <v>1</v>
      </c>
      <c r="BJ55">
        <f t="shared" ca="1" si="17"/>
        <v>1</v>
      </c>
      <c r="BK55">
        <f t="shared" ca="1" si="17"/>
        <v>1</v>
      </c>
      <c r="BL55">
        <f t="shared" ca="1" si="17"/>
        <v>1</v>
      </c>
      <c r="BM55">
        <f t="shared" ca="1" si="18"/>
        <v>1</v>
      </c>
      <c r="BN55">
        <f t="shared" ca="1" si="19"/>
        <v>1</v>
      </c>
      <c r="BO55">
        <f t="shared" ca="1" si="20"/>
        <v>1</v>
      </c>
      <c r="BP55">
        <f t="shared" ca="1" si="21"/>
        <v>1</v>
      </c>
      <c r="BQ55">
        <f t="shared" ca="1" si="22"/>
        <v>1</v>
      </c>
    </row>
    <row r="56" spans="1:69" x14ac:dyDescent="0.2">
      <c r="A56" t="str">
        <f>Sheet3!A40</f>
        <v>[[10,1,4]]</v>
      </c>
      <c r="B56">
        <v>10</v>
      </c>
      <c r="C56" cm="1">
        <f t="array" aca="1" ref="C56" ca="1">OFFSET(INDIRECT("Sheet"&amp;K$2&amp;"!d1"),$G56-1,)</f>
        <v>4</v>
      </c>
      <c r="D56" cm="1">
        <f t="array" aca="1" ref="D56" ca="1">OFFSET(INDIRECT("Sheet"&amp;L$2&amp;"!d1"),$G56-1,)</f>
        <v>4</v>
      </c>
      <c r="E56">
        <v>1</v>
      </c>
      <c r="F56">
        <v>4</v>
      </c>
      <c r="G56">
        <f t="shared" si="23"/>
        <v>40</v>
      </c>
      <c r="H56" cm="1">
        <f t="array" aca="1" ref="H56" ca="1">OFFSET(INDIRECT("Sheet"&amp;E$2&amp;"!d1"),$G56-1,)</f>
        <v>4</v>
      </c>
      <c r="I56" cm="1">
        <f t="array" aca="1" ref="I56" ca="1">OFFSET(INDIRECT("Sheet"&amp;F$2&amp;"!d1"),$G56-1,)</f>
        <v>4</v>
      </c>
      <c r="J56" cm="1">
        <f t="array" aca="1" ref="J56" ca="1">OFFSET(INDIRECT("Sheet"&amp;G$2&amp;"!d1"),$G56-1,)</f>
        <v>4</v>
      </c>
      <c r="K56" cm="1">
        <f t="array" aca="1" ref="K56" ca="1">OFFSET(INDIRECT("Sheet"&amp;H$2&amp;"!d1"),$G56-1,)</f>
        <v>4</v>
      </c>
      <c r="L56" cm="1">
        <f t="array" aca="1" ref="L56" ca="1">OFFSET(INDIRECT("Sheet"&amp;I$2&amp;"!d1"),$G56-1,)</f>
        <v>4</v>
      </c>
      <c r="M56" cm="1">
        <f t="array" aca="1" ref="M56" ca="1">OFFSET(INDIRECT("Sheet"&amp;J$2&amp;"!d1"),$G56-1,)</f>
        <v>4</v>
      </c>
      <c r="N56" cm="1">
        <f t="array" aca="1" ref="N56" ca="1">OFFSET(INDIRECT("Sheet"&amp;M$2&amp;"!d1"),$G56-1,)</f>
        <v>4</v>
      </c>
      <c r="O56" cm="1">
        <f t="array" aca="1" ref="O56" ca="1">OFFSET(INDIRECT("Sheet"&amp;C$2&amp;"!d1"),$G56-1,)</f>
        <v>4</v>
      </c>
      <c r="P56" cm="1">
        <f t="array" aca="1" ref="P56" ca="1">OFFSET(INDIRECT("Sheet"&amp;D$2&amp;"!d1"),$G56-1,)</f>
        <v>4</v>
      </c>
      <c r="Q56" cm="1">
        <f t="array" aca="1" ref="Q56" ca="1">OFFSET(INDIRECT("Sheet"&amp;N$2&amp;"!d1"),$G56-1,)</f>
        <v>4</v>
      </c>
      <c r="R56" cm="1">
        <f t="array" aca="1" ref="R56" ca="1">OFFSET(INDIRECT("Sheet"&amp;O$2&amp;"!d1"),$G56-1,)</f>
        <v>4</v>
      </c>
      <c r="S56" cm="1">
        <f t="array" aca="1" ref="S56" ca="1">OFFSET(INDIRECT("Sheet"&amp;P$2&amp;"!d1"),$G56-1,)</f>
        <v>4</v>
      </c>
      <c r="T56" cm="1">
        <f t="array" aca="1" ref="T56" ca="1">OFFSET(INDIRECT("Sheet"&amp;Q$2&amp;"!d1"),$G56-1,)</f>
        <v>4</v>
      </c>
      <c r="U56" cm="1">
        <f t="array" aca="1" ref="U56" ca="1">OFFSET(INDIRECT("Sheet"&amp;R$2&amp;"!d1"),$G56-1,)</f>
        <v>4</v>
      </c>
      <c r="V56" cm="1">
        <f t="array" aca="1" ref="V56" ca="1">OFFSET(INDIRECT("Sheet"&amp;S$2&amp;"!d1"),$G56-1,)</f>
        <v>4</v>
      </c>
      <c r="W56" cm="1">
        <f t="array" aca="1" ref="W56" ca="1">OFFSET(INDIRECT("Sheet"&amp;T$2&amp;"!d1"),$G56-1,)</f>
        <v>4</v>
      </c>
      <c r="X56" cm="1">
        <f t="array" aca="1" ref="X56" ca="1">OFFSET(INDIRECT("Sheet"&amp;U$2&amp;"!d1"),$G56-1,)</f>
        <v>4</v>
      </c>
      <c r="Y56" cm="1">
        <f t="array" aca="1" ref="Y56" ca="1">OFFSET(INDIRECT("Sheet"&amp;V$2&amp;"!d1"),$G56-1,)</f>
        <v>4</v>
      </c>
      <c r="AB56" s="3" cm="1">
        <f t="array" aca="1" ref="AB56" ca="1">OFFSET(INDIRECT("Sheet"&amp;E$2&amp;"!f1"),$G56-1,)</f>
        <v>4.0917461737990301E-3</v>
      </c>
      <c r="AC56" s="3" cm="1">
        <f t="array" aca="1" ref="AC56" ca="1">OFFSET(INDIRECT("Sheet"&amp;F$2&amp;"!f1"),$G56-1,)</f>
        <v>4.3107951059937399E-3</v>
      </c>
      <c r="AD56" s="3" cm="1">
        <f t="array" aca="1" ref="AD56" ca="1">OFFSET(INDIRECT("Sheet"&amp;G$2&amp;"!f1"),$G56-1,)</f>
        <v>4.5743091031908902E-3</v>
      </c>
      <c r="AE56" s="3" cm="1">
        <f t="array" aca="1" ref="AE56" ca="1">OFFSET(INDIRECT("Sheet"&amp;H$2&amp;"!f1"),$G56-1,)</f>
        <v>1.4279019087553E-2</v>
      </c>
      <c r="AF56" s="3" cm="1">
        <f t="array" aca="1" ref="AF56" ca="1">OFFSET(INDIRECT("Sheet"&amp;I$2&amp;"!f1"),$G56-1,)</f>
        <v>1.20074715799998</v>
      </c>
      <c r="AG56" s="3" cm="1">
        <f t="array" aca="1" ref="AG56" ca="1">OFFSET(INDIRECT("Sheet"&amp;J$2&amp;"!f1"),$G56-1,)</f>
        <v>5.2330171689391101E-2</v>
      </c>
      <c r="AH56" s="3" cm="1">
        <f t="array" aca="1" ref="AH56" ca="1">OFFSET(INDIRECT("Sheet"&amp;K$2&amp;"!f1"),$G56-1,)</f>
        <v>4.7048443000022602E-2</v>
      </c>
      <c r="AI56" s="3" cm="1">
        <f t="array" aca="1" ref="AI56" ca="1">OFFSET(INDIRECT("Sheet"&amp;L$2&amp;"!f1"),$G56-1,)</f>
        <v>4.7230273999986097E-2</v>
      </c>
      <c r="AJ56" s="3" cm="1">
        <f t="array" aca="1" ref="AJ56" ca="1">OFFSET(INDIRECT("Sheet"&amp;M$2&amp;"!f1"),$G56-1,)</f>
        <v>7.44207752868533E-2</v>
      </c>
      <c r="AK56" s="3" cm="1">
        <f t="array" aca="1" ref="AK56" ca="1">OFFSET(INDIRECT("Sheet"&amp;C$2&amp;"!f1"),$G56-1,)</f>
        <v>6.3495385460555498E-2</v>
      </c>
      <c r="AL56" s="3" cm="1">
        <f t="array" aca="1" ref="AL56" ca="1">OFFSET(INDIRECT("Sheet"&amp;D$2&amp;"!f1"),$G56-1,)</f>
        <v>6.4393463544547502E-2</v>
      </c>
      <c r="AM56" s="3" cm="1">
        <f t="array" aca="1" ref="AM56" ca="1">OFFSET(INDIRECT("Sheet"&amp;N$2&amp;"!f1"),$G56-1,)</f>
        <v>2.1802528994157901</v>
      </c>
      <c r="AN56" s="3" cm="1">
        <f t="array" aca="1" ref="AN56" ca="1">OFFSET(INDIRECT("Sheet"&amp;O$2&amp;"!f1"),$G56-1,)</f>
        <v>2.17571632750332</v>
      </c>
      <c r="AO56" s="3" cm="1">
        <f t="array" aca="1" ref="AO56" ca="1">OFFSET(INDIRECT("Sheet"&amp;P$2&amp;"!f1"),$G56-1,)</f>
        <v>2.5527049442753098</v>
      </c>
      <c r="AP56" s="3" cm="1">
        <f t="array" aca="1" ref="AP56" ca="1">OFFSET(INDIRECT("Sheet"&amp;Q$2&amp;"!f1"),$G56-1,)</f>
        <v>0.84939963556826104</v>
      </c>
      <c r="AQ56" s="3" cm="1">
        <f t="array" aca="1" ref="AQ56" ca="1">OFFSET(INDIRECT("Sheet"&amp;R$2&amp;"!f1"),$G56-1,)</f>
        <v>1.33772465586662</v>
      </c>
      <c r="AR56" s="3" cm="1">
        <f t="array" aca="1" ref="AR56" ca="1">OFFSET(INDIRECT("Sheet"&amp;S$2&amp;"!f1"),$G56-1,)</f>
        <v>1.10611871257424</v>
      </c>
      <c r="AS56" s="3" cm="1">
        <f t="array" aca="1" ref="AS56" ca="1">OFFSET(INDIRECT("Sheet"&amp;T$2&amp;"!f1"),$G56-1,)</f>
        <v>1.6705009667202799</v>
      </c>
      <c r="AT56" s="3" cm="1">
        <f t="array" aca="1" ref="AT56" ca="1">OFFSET(INDIRECT("Sheet"&amp;U$2&amp;"!f1"),$G56-1,)</f>
        <v>1.30097749922424</v>
      </c>
      <c r="AU56" s="3" cm="1">
        <f t="array" aca="1" ref="AU56" ca="1">OFFSET(INDIRECT("Sheet"&amp;V$2&amp;"!f1"),$G56-1,)</f>
        <v>1.9879078678786699</v>
      </c>
      <c r="AV56" s="3"/>
      <c r="AX56">
        <f ca="1">IF(H56=$F56,1,0)</f>
        <v>1</v>
      </c>
      <c r="AY56">
        <f ca="1">IF(I56=$F56,1,0)</f>
        <v>1</v>
      </c>
      <c r="AZ56">
        <f ca="1">IF(J56=$F56,1,0)</f>
        <v>1</v>
      </c>
      <c r="BA56">
        <f ca="1">IF(K56=$F56,1,0)</f>
        <v>1</v>
      </c>
      <c r="BB56">
        <f ca="1">IF(L56=$F56,1,0)</f>
        <v>1</v>
      </c>
      <c r="BC56">
        <f ca="1">IF(M56=$F56,1,0)</f>
        <v>1</v>
      </c>
      <c r="BD56">
        <f ca="1">IF(C56=$F56,1,0)</f>
        <v>1</v>
      </c>
      <c r="BE56">
        <f ca="1">IF(D56=$F56,1,0)</f>
        <v>1</v>
      </c>
      <c r="BF56">
        <f t="shared" ca="1" si="13"/>
        <v>1</v>
      </c>
      <c r="BG56">
        <f t="shared" ca="1" si="14"/>
        <v>1</v>
      </c>
      <c r="BH56">
        <f t="shared" ca="1" si="15"/>
        <v>1</v>
      </c>
      <c r="BI56">
        <f t="shared" ca="1" si="16"/>
        <v>1</v>
      </c>
      <c r="BJ56">
        <f t="shared" ca="1" si="17"/>
        <v>1</v>
      </c>
      <c r="BK56">
        <f t="shared" ca="1" si="17"/>
        <v>1</v>
      </c>
      <c r="BL56">
        <f t="shared" ca="1" si="17"/>
        <v>1</v>
      </c>
      <c r="BM56">
        <f t="shared" ca="1" si="18"/>
        <v>1</v>
      </c>
      <c r="BN56">
        <f t="shared" ca="1" si="19"/>
        <v>1</v>
      </c>
      <c r="BO56">
        <f t="shared" ca="1" si="20"/>
        <v>1</v>
      </c>
      <c r="BP56">
        <f t="shared" ca="1" si="21"/>
        <v>1</v>
      </c>
      <c r="BQ56">
        <f t="shared" ca="1" si="22"/>
        <v>1</v>
      </c>
    </row>
    <row r="57" spans="1:69" x14ac:dyDescent="0.2">
      <c r="A57" t="str">
        <f>Sheet3!A41</f>
        <v>[[11,1,5]]</v>
      </c>
      <c r="B57">
        <v>11</v>
      </c>
      <c r="C57" cm="1">
        <f t="array" aca="1" ref="C57" ca="1">OFFSET(INDIRECT("Sheet"&amp;K$2&amp;"!d1"),$G57-1,)</f>
        <v>5</v>
      </c>
      <c r="D57" cm="1">
        <f t="array" aca="1" ref="D57" ca="1">OFFSET(INDIRECT("Sheet"&amp;L$2&amp;"!d1"),$G57-1,)</f>
        <v>5</v>
      </c>
      <c r="E57">
        <v>1</v>
      </c>
      <c r="F57">
        <v>5</v>
      </c>
      <c r="G57">
        <f t="shared" si="23"/>
        <v>41</v>
      </c>
      <c r="H57" cm="1">
        <f t="array" aca="1" ref="H57" ca="1">OFFSET(INDIRECT("Sheet"&amp;E$2&amp;"!d1"),$G57-1,)</f>
        <v>5</v>
      </c>
      <c r="I57" cm="1">
        <f t="array" aca="1" ref="I57" ca="1">OFFSET(INDIRECT("Sheet"&amp;F$2&amp;"!d1"),$G57-1,)</f>
        <v>5</v>
      </c>
      <c r="J57" cm="1">
        <f t="array" aca="1" ref="J57" ca="1">OFFSET(INDIRECT("Sheet"&amp;G$2&amp;"!d1"),$G57-1,)</f>
        <v>5</v>
      </c>
      <c r="K57" cm="1">
        <f t="array" aca="1" ref="K57" ca="1">OFFSET(INDIRECT("Sheet"&amp;H$2&amp;"!d1"),$G57-1,)</f>
        <v>5</v>
      </c>
      <c r="L57" cm="1">
        <f t="array" aca="1" ref="L57" ca="1">OFFSET(INDIRECT("Sheet"&amp;I$2&amp;"!d1"),$G57-1,)</f>
        <v>5</v>
      </c>
      <c r="M57" cm="1">
        <f t="array" aca="1" ref="M57" ca="1">OFFSET(INDIRECT("Sheet"&amp;J$2&amp;"!d1"),$G57-1,)</f>
        <v>5</v>
      </c>
      <c r="N57" cm="1">
        <f t="array" aca="1" ref="N57" ca="1">OFFSET(INDIRECT("Sheet"&amp;M$2&amp;"!d1"),$G57-1,)</f>
        <v>5</v>
      </c>
      <c r="O57" cm="1">
        <f t="array" aca="1" ref="O57" ca="1">OFFSET(INDIRECT("Sheet"&amp;C$2&amp;"!d1"),$G57-1,)</f>
        <v>5</v>
      </c>
      <c r="P57" cm="1">
        <f t="array" aca="1" ref="P57" ca="1">OFFSET(INDIRECT("Sheet"&amp;D$2&amp;"!d1"),$G57-1,)</f>
        <v>5</v>
      </c>
      <c r="Q57" cm="1">
        <f t="array" aca="1" ref="Q57" ca="1">OFFSET(INDIRECT("Sheet"&amp;N$2&amp;"!d1"),$G57-1,)</f>
        <v>5</v>
      </c>
      <c r="R57" cm="1">
        <f t="array" aca="1" ref="R57" ca="1">OFFSET(INDIRECT("Sheet"&amp;O$2&amp;"!d1"),$G57-1,)</f>
        <v>5</v>
      </c>
      <c r="S57" cm="1">
        <f t="array" aca="1" ref="S57" ca="1">OFFSET(INDIRECT("Sheet"&amp;P$2&amp;"!d1"),$G57-1,)</f>
        <v>5</v>
      </c>
      <c r="T57" cm="1">
        <f t="array" aca="1" ref="T57" ca="1">OFFSET(INDIRECT("Sheet"&amp;Q$2&amp;"!d1"),$G57-1,)</f>
        <v>5</v>
      </c>
      <c r="U57" cm="1">
        <f t="array" aca="1" ref="U57" ca="1">OFFSET(INDIRECT("Sheet"&amp;R$2&amp;"!d1"),$G57-1,)</f>
        <v>5</v>
      </c>
      <c r="V57" cm="1">
        <f t="array" aca="1" ref="V57" ca="1">OFFSET(INDIRECT("Sheet"&amp;S$2&amp;"!d1"),$G57-1,)</f>
        <v>5</v>
      </c>
      <c r="W57" cm="1">
        <f t="array" aca="1" ref="W57" ca="1">OFFSET(INDIRECT("Sheet"&amp;T$2&amp;"!d1"),$G57-1,)</f>
        <v>5</v>
      </c>
      <c r="X57" cm="1">
        <f t="array" aca="1" ref="X57" ca="1">OFFSET(INDIRECT("Sheet"&amp;U$2&amp;"!d1"),$G57-1,)</f>
        <v>5</v>
      </c>
      <c r="Y57" cm="1">
        <f t="array" aca="1" ref="Y57" ca="1">OFFSET(INDIRECT("Sheet"&amp;V$2&amp;"!d1"),$G57-1,)</f>
        <v>5</v>
      </c>
      <c r="AB57" s="3" cm="1">
        <f t="array" aca="1" ref="AB57" ca="1">OFFSET(INDIRECT("Sheet"&amp;E$2&amp;"!f1"),$G57-1,)</f>
        <v>4.3507665395736599E-3</v>
      </c>
      <c r="AC57" s="3" cm="1">
        <f t="array" aca="1" ref="AC57" ca="1">OFFSET(INDIRECT("Sheet"&amp;F$2&amp;"!f1"),$G57-1,)</f>
        <v>4.8825424164533598E-3</v>
      </c>
      <c r="AD57" s="3" cm="1">
        <f t="array" aca="1" ref="AD57" ca="1">OFFSET(INDIRECT("Sheet"&amp;G$2&amp;"!f1"),$G57-1,)</f>
        <v>5.0013242289423899E-3</v>
      </c>
      <c r="AE57" s="3" cm="1">
        <f t="array" aca="1" ref="AE57" ca="1">OFFSET(INDIRECT("Sheet"&amp;H$2&amp;"!f1"),$G57-1,)</f>
        <v>1.5943530015647401E-2</v>
      </c>
      <c r="AF57" s="3" cm="1">
        <f t="array" aca="1" ref="AF57" ca="1">OFFSET(INDIRECT("Sheet"&amp;I$2&amp;"!f1"),$G57-1,)</f>
        <v>109.564398193</v>
      </c>
      <c r="AG57" s="3" cm="1">
        <f t="array" aca="1" ref="AG57" ca="1">OFFSET(INDIRECT("Sheet"&amp;J$2&amp;"!f1"),$G57-1,)</f>
        <v>6.1735243536531897E-2</v>
      </c>
      <c r="AH57" s="3" cm="1">
        <f t="array" aca="1" ref="AH57" ca="1">OFFSET(INDIRECT("Sheet"&amp;K$2&amp;"!f1"),$G57-1,)</f>
        <v>5.5647210999978797E-2</v>
      </c>
      <c r="AI57" s="3" cm="1">
        <f t="array" aca="1" ref="AI57" ca="1">OFFSET(INDIRECT("Sheet"&amp;L$2&amp;"!f1"),$G57-1,)</f>
        <v>5.9523458000001001E-2</v>
      </c>
      <c r="AJ57" s="3" cm="1">
        <f t="array" aca="1" ref="AJ57" ca="1">OFFSET(INDIRECT("Sheet"&amp;M$2&amp;"!f1"),$G57-1,)</f>
        <v>7.3163796216249397E-2</v>
      </c>
      <c r="AK57" s="3" cm="1">
        <f t="array" aca="1" ref="AK57" ca="1">OFFSET(INDIRECT("Sheet"&amp;C$2&amp;"!f1"),$G57-1,)</f>
        <v>9.5066388137638499E-2</v>
      </c>
      <c r="AL57" s="3" cm="1">
        <f t="array" aca="1" ref="AL57" ca="1">OFFSET(INDIRECT("Sheet"&amp;D$2&amp;"!f1"),$G57-1,)</f>
        <v>0.114734776318073</v>
      </c>
      <c r="AM57" s="3" cm="1">
        <f t="array" aca="1" ref="AM57" ca="1">OFFSET(INDIRECT("Sheet"&amp;N$2&amp;"!f1"),$G57-1,)</f>
        <v>2.4791637696325699</v>
      </c>
      <c r="AN57" s="3" cm="1">
        <f t="array" aca="1" ref="AN57" ca="1">OFFSET(INDIRECT("Sheet"&amp;O$2&amp;"!f1"),$G57-1,)</f>
        <v>2.5735537046566601</v>
      </c>
      <c r="AO57" s="3" cm="1">
        <f t="array" aca="1" ref="AO57" ca="1">OFFSET(INDIRECT("Sheet"&amp;P$2&amp;"!f1"),$G57-1,)</f>
        <v>3.33782823383808</v>
      </c>
      <c r="AP57" s="3" cm="1">
        <f t="array" aca="1" ref="AP57" ca="1">OFFSET(INDIRECT("Sheet"&amp;Q$2&amp;"!f1"),$G57-1,)</f>
        <v>1.0396352941170299</v>
      </c>
      <c r="AQ57" s="3" cm="1">
        <f t="array" aca="1" ref="AQ57" ca="1">OFFSET(INDIRECT("Sheet"&amp;R$2&amp;"!f1"),$G57-1,)</f>
        <v>1.6512811100110401</v>
      </c>
      <c r="AR57" s="3" cm="1">
        <f t="array" aca="1" ref="AR57" ca="1">OFFSET(INDIRECT("Sheet"&amp;S$2&amp;"!f1"),$G57-1,)</f>
        <v>1.35096530802547</v>
      </c>
      <c r="AS57" s="3" cm="1">
        <f t="array" aca="1" ref="AS57" ca="1">OFFSET(INDIRECT("Sheet"&amp;T$2&amp;"!f1"),$G57-1,)</f>
        <v>2.0704075535759299</v>
      </c>
      <c r="AT57" s="3" cm="1">
        <f t="array" aca="1" ref="AT57" ca="1">OFFSET(INDIRECT("Sheet"&amp;U$2&amp;"!f1"),$G57-1,)</f>
        <v>1.78893572650849</v>
      </c>
      <c r="AU57" s="3" cm="1">
        <f t="array" aca="1" ref="AU57" ca="1">OFFSET(INDIRECT("Sheet"&amp;V$2&amp;"!f1"),$G57-1,)</f>
        <v>2.80305710528045</v>
      </c>
      <c r="AV57" s="3"/>
      <c r="AX57">
        <f ca="1">IF(H57=$F57,1,0)</f>
        <v>1</v>
      </c>
      <c r="AY57">
        <f ca="1">IF(I57=$F57,1,0)</f>
        <v>1</v>
      </c>
      <c r="AZ57">
        <f ca="1">IF(J57=$F57,1,0)</f>
        <v>1</v>
      </c>
      <c r="BA57">
        <f ca="1">IF(K57=$F57,1,0)</f>
        <v>1</v>
      </c>
      <c r="BB57">
        <f ca="1">IF(L57=$F57,1,0)</f>
        <v>1</v>
      </c>
      <c r="BC57">
        <f ca="1">IF(M57=$F57,1,0)</f>
        <v>1</v>
      </c>
      <c r="BD57">
        <f ca="1">IF(C57=$F57,1,0)</f>
        <v>1</v>
      </c>
      <c r="BE57">
        <f ca="1">IF(D57=$F57,1,0)</f>
        <v>1</v>
      </c>
      <c r="BF57">
        <f t="shared" ca="1" si="13"/>
        <v>1</v>
      </c>
      <c r="BG57">
        <f t="shared" ca="1" si="14"/>
        <v>1</v>
      </c>
      <c r="BH57">
        <f t="shared" ca="1" si="15"/>
        <v>1</v>
      </c>
      <c r="BI57">
        <f t="shared" ca="1" si="16"/>
        <v>1</v>
      </c>
      <c r="BJ57">
        <f t="shared" ca="1" si="17"/>
        <v>1</v>
      </c>
      <c r="BK57">
        <f t="shared" ca="1" si="17"/>
        <v>1</v>
      </c>
      <c r="BL57">
        <f t="shared" ca="1" si="17"/>
        <v>1</v>
      </c>
      <c r="BM57">
        <f t="shared" ca="1" si="18"/>
        <v>1</v>
      </c>
      <c r="BN57">
        <f t="shared" ca="1" si="19"/>
        <v>1</v>
      </c>
      <c r="BO57">
        <f t="shared" ca="1" si="20"/>
        <v>1</v>
      </c>
      <c r="BP57">
        <f t="shared" ca="1" si="21"/>
        <v>1</v>
      </c>
      <c r="BQ57">
        <f t="shared" ca="1" si="22"/>
        <v>1</v>
      </c>
    </row>
    <row r="58" spans="1:69" x14ac:dyDescent="0.2">
      <c r="A58" t="str">
        <f>Sheet3!A42</f>
        <v>[[12,6,3]]</v>
      </c>
      <c r="B58">
        <v>12</v>
      </c>
      <c r="C58" cm="1">
        <f t="array" aca="1" ref="C58" ca="1">OFFSET(INDIRECT("Sheet"&amp;K$2&amp;"!d1"),$G58-1,)</f>
        <v>3</v>
      </c>
      <c r="D58" cm="1">
        <f t="array" aca="1" ref="D58" ca="1">OFFSET(INDIRECT("Sheet"&amp;L$2&amp;"!d1"),$G58-1,)</f>
        <v>3</v>
      </c>
      <c r="E58">
        <v>6</v>
      </c>
      <c r="F58">
        <v>3</v>
      </c>
      <c r="G58">
        <f t="shared" si="23"/>
        <v>42</v>
      </c>
      <c r="H58" cm="1">
        <f t="array" aca="1" ref="H58" ca="1">OFFSET(INDIRECT("Sheet"&amp;E$2&amp;"!d1"),$G58-1,)</f>
        <v>3</v>
      </c>
      <c r="I58" cm="1">
        <f t="array" aca="1" ref="I58" ca="1">OFFSET(INDIRECT("Sheet"&amp;F$2&amp;"!d1"),$G58-1,)</f>
        <v>3</v>
      </c>
      <c r="J58" cm="1">
        <f t="array" aca="1" ref="J58" ca="1">OFFSET(INDIRECT("Sheet"&amp;G$2&amp;"!d1"),$G58-1,)</f>
        <v>3</v>
      </c>
      <c r="K58" cm="1">
        <f t="array" aca="1" ref="K58" ca="1">OFFSET(INDIRECT("Sheet"&amp;H$2&amp;"!d1"),$G58-1,)</f>
        <v>3</v>
      </c>
      <c r="L58" cm="1">
        <f t="array" aca="1" ref="L58" ca="1">OFFSET(INDIRECT("Sheet"&amp;I$2&amp;"!d1"),$G58-1,)</f>
        <v>3</v>
      </c>
      <c r="M58" cm="1">
        <f t="array" aca="1" ref="M58" ca="1">OFFSET(INDIRECT("Sheet"&amp;J$2&amp;"!d1"),$G58-1,)</f>
        <v>3</v>
      </c>
      <c r="N58" cm="1">
        <f t="array" aca="1" ref="N58" ca="1">OFFSET(INDIRECT("Sheet"&amp;M$2&amp;"!d1"),$G58-1,)</f>
        <v>3</v>
      </c>
      <c r="O58" cm="1">
        <f t="array" aca="1" ref="O58" ca="1">OFFSET(INDIRECT("Sheet"&amp;C$2&amp;"!d1"),$G58-1,)</f>
        <v>3</v>
      </c>
      <c r="P58" cm="1">
        <f t="array" aca="1" ref="P58" ca="1">OFFSET(INDIRECT("Sheet"&amp;D$2&amp;"!d1"),$G58-1,)</f>
        <v>3</v>
      </c>
      <c r="Q58" cm="1">
        <f t="array" aca="1" ref="Q58" ca="1">OFFSET(INDIRECT("Sheet"&amp;N$2&amp;"!d1"),$G58-1,)</f>
        <v>3</v>
      </c>
      <c r="R58" cm="1">
        <f t="array" aca="1" ref="R58" ca="1">OFFSET(INDIRECT("Sheet"&amp;O$2&amp;"!d1"),$G58-1,)</f>
        <v>3</v>
      </c>
      <c r="S58" cm="1">
        <f t="array" aca="1" ref="S58" ca="1">OFFSET(INDIRECT("Sheet"&amp;P$2&amp;"!d1"),$G58-1,)</f>
        <v>3</v>
      </c>
      <c r="T58" cm="1">
        <f t="array" aca="1" ref="T58" ca="1">OFFSET(INDIRECT("Sheet"&amp;Q$2&amp;"!d1"),$G58-1,)</f>
        <v>3</v>
      </c>
      <c r="U58" cm="1">
        <f t="array" aca="1" ref="U58" ca="1">OFFSET(INDIRECT("Sheet"&amp;R$2&amp;"!d1"),$G58-1,)</f>
        <v>3</v>
      </c>
      <c r="V58" cm="1">
        <f t="array" aca="1" ref="V58" ca="1">OFFSET(INDIRECT("Sheet"&amp;S$2&amp;"!d1"),$G58-1,)</f>
        <v>3</v>
      </c>
      <c r="W58" cm="1">
        <f t="array" aca="1" ref="W58" ca="1">OFFSET(INDIRECT("Sheet"&amp;T$2&amp;"!d1"),$G58-1,)</f>
        <v>3</v>
      </c>
      <c r="X58" cm="1">
        <f t="array" aca="1" ref="X58" ca="1">OFFSET(INDIRECT("Sheet"&amp;U$2&amp;"!d1"),$G58-1,)</f>
        <v>3</v>
      </c>
      <c r="Y58" cm="1">
        <f t="array" aca="1" ref="Y58" ca="1">OFFSET(INDIRECT("Sheet"&amp;V$2&amp;"!d1"),$G58-1,)</f>
        <v>3</v>
      </c>
      <c r="AB58" s="3" cm="1">
        <f t="array" aca="1" ref="AB58" ca="1">OFFSET(INDIRECT("Sheet"&amp;E$2&amp;"!f1"),$G58-1,)</f>
        <v>5.4580047726631104E-3</v>
      </c>
      <c r="AC58" s="3" cm="1">
        <f t="array" aca="1" ref="AC58" ca="1">OFFSET(INDIRECT("Sheet"&amp;F$2&amp;"!f1"),$G58-1,)</f>
        <v>6.3266307115554801E-3</v>
      </c>
      <c r="AD58" s="3" cm="1">
        <f t="array" aca="1" ref="AD58" ca="1">OFFSET(INDIRECT("Sheet"&amp;G$2&amp;"!f1"),$G58-1,)</f>
        <v>6.1778882518410596E-3</v>
      </c>
      <c r="AE58" s="3" cm="1">
        <f t="array" aca="1" ref="AE58" ca="1">OFFSET(INDIRECT("Sheet"&amp;H$2&amp;"!f1"),$G58-1,)</f>
        <v>1.3633457943797099E-2</v>
      </c>
      <c r="AF58" s="3" cm="1">
        <f t="array" aca="1" ref="AF58" ca="1">OFFSET(INDIRECT("Sheet"&amp;I$2&amp;"!f1"),$G58-1,)</f>
        <v>0.101056655000007</v>
      </c>
      <c r="AG58" s="3" cm="1">
        <f t="array" aca="1" ref="AG58" ca="1">OFFSET(INDIRECT("Sheet"&amp;J$2&amp;"!f1"),$G58-1,)</f>
        <v>5.3688268177211201E-2</v>
      </c>
      <c r="AH58" s="3" cm="1">
        <f t="array" aca="1" ref="AH58" ca="1">OFFSET(INDIRECT("Sheet"&amp;K$2&amp;"!f1"),$G58-1,)</f>
        <v>5.02184450000129E-2</v>
      </c>
      <c r="AI58" s="3" cm="1">
        <f t="array" aca="1" ref="AI58" ca="1">OFFSET(INDIRECT("Sheet"&amp;L$2&amp;"!f1"),$G58-1,)</f>
        <v>4.9273032000002097E-2</v>
      </c>
      <c r="AJ58" s="3" cm="1">
        <f t="array" aca="1" ref="AJ58" ca="1">OFFSET(INDIRECT("Sheet"&amp;M$2&amp;"!f1"),$G58-1,)</f>
        <v>6.3535203225910594E-2</v>
      </c>
      <c r="AK58" s="3" cm="1">
        <f t="array" aca="1" ref="AK58" ca="1">OFFSET(INDIRECT("Sheet"&amp;C$2&amp;"!f1"),$G58-1,)</f>
        <v>6.3549580052495003E-2</v>
      </c>
      <c r="AL58" s="3" cm="1">
        <f t="array" aca="1" ref="AL58" ca="1">OFFSET(INDIRECT("Sheet"&amp;D$2&amp;"!f1"),$G58-1,)</f>
        <v>5.4484990425407803E-2</v>
      </c>
      <c r="AM58" s="3" cm="1">
        <f t="array" aca="1" ref="AM58" ca="1">OFFSET(INDIRECT("Sheet"&amp;N$2&amp;"!f1"),$G58-1,)</f>
        <v>2.5592376543208899</v>
      </c>
      <c r="AN58" s="3" cm="1">
        <f t="array" aca="1" ref="AN58" ca="1">OFFSET(INDIRECT("Sheet"&amp;O$2&amp;"!f1"),$G58-1,)</f>
        <v>2.69321665354073</v>
      </c>
      <c r="AO58" s="3" cm="1">
        <f t="array" aca="1" ref="AO58" ca="1">OFFSET(INDIRECT("Sheet"&amp;P$2&amp;"!f1"),$G58-1,)</f>
        <v>3.59706591721624</v>
      </c>
      <c r="AP58" s="3" cm="1">
        <f t="array" aca="1" ref="AP58" ca="1">OFFSET(INDIRECT("Sheet"&amp;Q$2&amp;"!f1"),$G58-1,)</f>
        <v>1.0511007085442501</v>
      </c>
      <c r="AQ58" s="3" cm="1">
        <f t="array" aca="1" ref="AQ58" ca="1">OFFSET(INDIRECT("Sheet"&amp;R$2&amp;"!f1"),$G58-1,)</f>
        <v>1.74438585806638</v>
      </c>
      <c r="AR58" s="3" cm="1">
        <f t="array" aca="1" ref="AR58" ca="1">OFFSET(INDIRECT("Sheet"&amp;S$2&amp;"!f1"),$G58-1,)</f>
        <v>1.39098035637289</v>
      </c>
      <c r="AS58" s="3" cm="1">
        <f t="array" aca="1" ref="AS58" ca="1">OFFSET(INDIRECT("Sheet"&amp;T$2&amp;"!f1"),$G58-1,)</f>
        <v>2.2152744792401702</v>
      </c>
      <c r="AT58" s="3" cm="1">
        <f t="array" aca="1" ref="AT58" ca="1">OFFSET(INDIRECT("Sheet"&amp;U$2&amp;"!f1"),$G58-1,)</f>
        <v>1.94013579841703</v>
      </c>
      <c r="AU58" s="3" cm="1">
        <f t="array" aca="1" ref="AU58" ca="1">OFFSET(INDIRECT("Sheet"&amp;V$2&amp;"!f1"),$G58-1,)</f>
        <v>3.0778215397149302</v>
      </c>
      <c r="AV58" s="3"/>
      <c r="AX58">
        <f ca="1">IF(H58=$F58,1,0)</f>
        <v>1</v>
      </c>
      <c r="AY58">
        <f ca="1">IF(I58=$F58,1,0)</f>
        <v>1</v>
      </c>
      <c r="AZ58">
        <f ca="1">IF(J58=$F58,1,0)</f>
        <v>1</v>
      </c>
      <c r="BA58">
        <f ca="1">IF(K58=$F58,1,0)</f>
        <v>1</v>
      </c>
      <c r="BB58">
        <f ca="1">IF(L58=$F58,1,0)</f>
        <v>1</v>
      </c>
      <c r="BC58">
        <f ca="1">IF(M58=$F58,1,0)</f>
        <v>1</v>
      </c>
      <c r="BD58">
        <f ca="1">IF(C58=$F58,1,0)</f>
        <v>1</v>
      </c>
      <c r="BE58">
        <f ca="1">IF(D58=$F58,1,0)</f>
        <v>1</v>
      </c>
      <c r="BF58">
        <f t="shared" ca="1" si="13"/>
        <v>1</v>
      </c>
      <c r="BG58">
        <f t="shared" ca="1" si="14"/>
        <v>1</v>
      </c>
      <c r="BH58">
        <f t="shared" ca="1" si="15"/>
        <v>1</v>
      </c>
      <c r="BI58">
        <f t="shared" ca="1" si="16"/>
        <v>1</v>
      </c>
      <c r="BJ58">
        <f t="shared" ca="1" si="17"/>
        <v>1</v>
      </c>
      <c r="BK58">
        <f t="shared" ca="1" si="17"/>
        <v>1</v>
      </c>
      <c r="BL58">
        <f t="shared" ca="1" si="17"/>
        <v>1</v>
      </c>
      <c r="BM58">
        <f t="shared" ca="1" si="18"/>
        <v>1</v>
      </c>
      <c r="BN58">
        <f t="shared" ca="1" si="19"/>
        <v>1</v>
      </c>
      <c r="BO58">
        <f t="shared" ca="1" si="20"/>
        <v>1</v>
      </c>
      <c r="BP58">
        <f t="shared" ca="1" si="21"/>
        <v>1</v>
      </c>
      <c r="BQ58">
        <f t="shared" ca="1" si="22"/>
        <v>1</v>
      </c>
    </row>
    <row r="59" spans="1:69" x14ac:dyDescent="0.2">
      <c r="A59" t="str">
        <f>Sheet3!A43</f>
        <v>[[13,6,3]]</v>
      </c>
      <c r="B59">
        <v>13</v>
      </c>
      <c r="C59" cm="1">
        <f t="array" aca="1" ref="C59" ca="1">OFFSET(INDIRECT("Sheet"&amp;K$2&amp;"!d1"),$G59-1,)</f>
        <v>3</v>
      </c>
      <c r="D59" cm="1">
        <f t="array" aca="1" ref="D59" ca="1">OFFSET(INDIRECT("Sheet"&amp;L$2&amp;"!d1"),$G59-1,)</f>
        <v>3</v>
      </c>
      <c r="E59">
        <v>6</v>
      </c>
      <c r="F59">
        <v>3</v>
      </c>
      <c r="G59">
        <f t="shared" si="23"/>
        <v>43</v>
      </c>
      <c r="H59" cm="1">
        <f t="array" aca="1" ref="H59" ca="1">OFFSET(INDIRECT("Sheet"&amp;E$2&amp;"!d1"),$G59-1,)</f>
        <v>3</v>
      </c>
      <c r="I59" cm="1">
        <f t="array" aca="1" ref="I59" ca="1">OFFSET(INDIRECT("Sheet"&amp;F$2&amp;"!d1"),$G59-1,)</f>
        <v>3</v>
      </c>
      <c r="J59" cm="1">
        <f t="array" aca="1" ref="J59" ca="1">OFFSET(INDIRECT("Sheet"&amp;G$2&amp;"!d1"),$G59-1,)</f>
        <v>3</v>
      </c>
      <c r="K59" cm="1">
        <f t="array" aca="1" ref="K59" ca="1">OFFSET(INDIRECT("Sheet"&amp;H$2&amp;"!d1"),$G59-1,)</f>
        <v>3</v>
      </c>
      <c r="L59" cm="1">
        <f t="array" aca="1" ref="L59" ca="1">OFFSET(INDIRECT("Sheet"&amp;I$2&amp;"!d1"),$G59-1,)</f>
        <v>3</v>
      </c>
      <c r="M59" cm="1">
        <f t="array" aca="1" ref="M59" ca="1">OFFSET(INDIRECT("Sheet"&amp;J$2&amp;"!d1"),$G59-1,)</f>
        <v>3</v>
      </c>
      <c r="N59" cm="1">
        <f t="array" aca="1" ref="N59" ca="1">OFFSET(INDIRECT("Sheet"&amp;M$2&amp;"!d1"),$G59-1,)</f>
        <v>3</v>
      </c>
      <c r="O59" cm="1">
        <f t="array" aca="1" ref="O59" ca="1">OFFSET(INDIRECT("Sheet"&amp;C$2&amp;"!d1"),$G59-1,)</f>
        <v>3</v>
      </c>
      <c r="P59" cm="1">
        <f t="array" aca="1" ref="P59" ca="1">OFFSET(INDIRECT("Sheet"&amp;D$2&amp;"!d1"),$G59-1,)</f>
        <v>3</v>
      </c>
      <c r="Q59" cm="1">
        <f t="array" aca="1" ref="Q59" ca="1">OFFSET(INDIRECT("Sheet"&amp;N$2&amp;"!d1"),$G59-1,)</f>
        <v>3</v>
      </c>
      <c r="R59" cm="1">
        <f t="array" aca="1" ref="R59" ca="1">OFFSET(INDIRECT("Sheet"&amp;O$2&amp;"!d1"),$G59-1,)</f>
        <v>3</v>
      </c>
      <c r="S59" cm="1">
        <f t="array" aca="1" ref="S59" ca="1">OFFSET(INDIRECT("Sheet"&amp;P$2&amp;"!d1"),$G59-1,)</f>
        <v>3</v>
      </c>
      <c r="T59" cm="1">
        <f t="array" aca="1" ref="T59" ca="1">OFFSET(INDIRECT("Sheet"&amp;Q$2&amp;"!d1"),$G59-1,)</f>
        <v>3</v>
      </c>
      <c r="U59" cm="1">
        <f t="array" aca="1" ref="U59" ca="1">OFFSET(INDIRECT("Sheet"&amp;R$2&amp;"!d1"),$G59-1,)</f>
        <v>3</v>
      </c>
      <c r="V59" cm="1">
        <f t="array" aca="1" ref="V59" ca="1">OFFSET(INDIRECT("Sheet"&amp;S$2&amp;"!d1"),$G59-1,)</f>
        <v>3</v>
      </c>
      <c r="W59" cm="1">
        <f t="array" aca="1" ref="W59" ca="1">OFFSET(INDIRECT("Sheet"&amp;T$2&amp;"!d1"),$G59-1,)</f>
        <v>3</v>
      </c>
      <c r="X59" cm="1">
        <f t="array" aca="1" ref="X59" ca="1">OFFSET(INDIRECT("Sheet"&amp;U$2&amp;"!d1"),$G59-1,)</f>
        <v>3</v>
      </c>
      <c r="Y59" cm="1">
        <f t="array" aca="1" ref="Y59" ca="1">OFFSET(INDIRECT("Sheet"&amp;V$2&amp;"!d1"),$G59-1,)</f>
        <v>3</v>
      </c>
      <c r="AB59" s="3" cm="1">
        <f t="array" aca="1" ref="AB59" ca="1">OFFSET(INDIRECT("Sheet"&amp;E$2&amp;"!f1"),$G59-1,)</f>
        <v>5.7930769398808401E-3</v>
      </c>
      <c r="AC59" s="3" cm="1">
        <f t="array" aca="1" ref="AC59" ca="1">OFFSET(INDIRECT("Sheet"&amp;F$2&amp;"!f1"),$G59-1,)</f>
        <v>5.5834501981735203E-3</v>
      </c>
      <c r="AD59" s="3" cm="1">
        <f t="array" aca="1" ref="AD59" ca="1">OFFSET(INDIRECT("Sheet"&amp;G$2&amp;"!f1"),$G59-1,)</f>
        <v>6.6611217334866498E-3</v>
      </c>
      <c r="AE59" s="3" cm="1">
        <f t="array" aca="1" ref="AE59" ca="1">OFFSET(INDIRECT("Sheet"&amp;H$2&amp;"!f1"),$G59-1,)</f>
        <v>1.3476771302521199E-2</v>
      </c>
      <c r="AF59" s="3" cm="1">
        <f t="array" aca="1" ref="AF59" ca="1">OFFSET(INDIRECT("Sheet"&amp;I$2&amp;"!f1"),$G59-1,)</f>
        <v>0.102545738999992</v>
      </c>
      <c r="AG59" s="3" cm="1">
        <f t="array" aca="1" ref="AG59" ca="1">OFFSET(INDIRECT("Sheet"&amp;J$2&amp;"!f1"),$G59-1,)</f>
        <v>5.8465625159442397E-2</v>
      </c>
      <c r="AH59" s="3" cm="1">
        <f t="array" aca="1" ref="AH59" ca="1">OFFSET(INDIRECT("Sheet"&amp;K$2&amp;"!f1"),$G59-1,)</f>
        <v>5.28397200000085E-2</v>
      </c>
      <c r="AI59" s="3" cm="1">
        <f t="array" aca="1" ref="AI59" ca="1">OFFSET(INDIRECT("Sheet"&amp;L$2&amp;"!f1"),$G59-1,)</f>
        <v>5.56125249999865E-2</v>
      </c>
      <c r="AJ59" s="3" cm="1">
        <f t="array" aca="1" ref="AJ59" ca="1">OFFSET(INDIRECT("Sheet"&amp;M$2&amp;"!f1"),$G59-1,)</f>
        <v>8.1499826163053499E-2</v>
      </c>
      <c r="AK59" s="3" cm="1">
        <f t="array" aca="1" ref="AK59" ca="1">OFFSET(INDIRECT("Sheet"&amp;C$2&amp;"!f1"),$G59-1,)</f>
        <v>5.3781666792929103E-2</v>
      </c>
      <c r="AL59" s="3" cm="1">
        <f t="array" aca="1" ref="AL59" ca="1">OFFSET(INDIRECT("Sheet"&amp;D$2&amp;"!f1"),$G59-1,)</f>
        <v>7.5968705117702401E-2</v>
      </c>
      <c r="AM59" s="3" cm="1">
        <f t="array" aca="1" ref="AM59" ca="1">OFFSET(INDIRECT("Sheet"&amp;N$2&amp;"!f1"),$G59-1,)</f>
        <v>2.63003046158701</v>
      </c>
      <c r="AN59" s="3" cm="1">
        <f t="array" aca="1" ref="AN59" ca="1">OFFSET(INDIRECT("Sheet"&amp;O$2&amp;"!f1"),$G59-1,)</f>
        <v>2.7950439481064602</v>
      </c>
      <c r="AO59" s="3" cm="1">
        <f t="array" aca="1" ref="AO59" ca="1">OFFSET(INDIRECT("Sheet"&amp;P$2&amp;"!f1"),$G59-1,)</f>
        <v>3.80591746885329</v>
      </c>
      <c r="AP59" s="3" cm="1">
        <f t="array" aca="1" ref="AP59" ca="1">OFFSET(INDIRECT("Sheet"&amp;Q$2&amp;"!f1"),$G59-1,)</f>
        <v>1.08222666475921</v>
      </c>
      <c r="AQ59" s="3" cm="1">
        <f t="array" aca="1" ref="AQ59" ca="1">OFFSET(INDIRECT("Sheet"&amp;R$2&amp;"!f1"),$G59-1,)</f>
        <v>1.8258100356906599</v>
      </c>
      <c r="AR59" s="3" cm="1">
        <f t="array" aca="1" ref="AR59" ca="1">OFFSET(INDIRECT("Sheet"&amp;S$2&amp;"!f1"),$G59-1,)</f>
        <v>1.46362229809165</v>
      </c>
      <c r="AS59" s="3" cm="1">
        <f t="array" aca="1" ref="AS59" ca="1">OFFSET(INDIRECT("Sheet"&amp;T$2&amp;"!f1"),$G59-1,)</f>
        <v>2.3305168040096702</v>
      </c>
      <c r="AT59" s="3" cm="1">
        <f t="array" aca="1" ref="AT59" ca="1">OFFSET(INDIRECT("Sheet"&amp;U$2&amp;"!f1"),$G59-1,)</f>
        <v>2.0636549582704902</v>
      </c>
      <c r="AU59" s="3" cm="1">
        <f t="array" aca="1" ref="AU59" ca="1">OFFSET(INDIRECT("Sheet"&amp;V$2&amp;"!f1"),$G59-1,)</f>
        <v>3.28184048552066</v>
      </c>
      <c r="AV59" s="3"/>
      <c r="AX59">
        <f ca="1">IF(H59=$F59,1,0)</f>
        <v>1</v>
      </c>
      <c r="AY59">
        <f ca="1">IF(I59=$F59,1,0)</f>
        <v>1</v>
      </c>
      <c r="AZ59">
        <f ca="1">IF(J59=$F59,1,0)</f>
        <v>1</v>
      </c>
      <c r="BA59">
        <f ca="1">IF(K59=$F59,1,0)</f>
        <v>1</v>
      </c>
      <c r="BB59">
        <f ca="1">IF(L59=$F59,1,0)</f>
        <v>1</v>
      </c>
      <c r="BC59">
        <f ca="1">IF(M59=$F59,1,0)</f>
        <v>1</v>
      </c>
      <c r="BD59">
        <f ca="1">IF(C59=$F59,1,0)</f>
        <v>1</v>
      </c>
      <c r="BE59">
        <f ca="1">IF(D59=$F59,1,0)</f>
        <v>1</v>
      </c>
      <c r="BF59">
        <f t="shared" ca="1" si="13"/>
        <v>1</v>
      </c>
      <c r="BG59">
        <f t="shared" ca="1" si="14"/>
        <v>1</v>
      </c>
      <c r="BH59">
        <f t="shared" ca="1" si="15"/>
        <v>1</v>
      </c>
      <c r="BI59">
        <f t="shared" ca="1" si="16"/>
        <v>1</v>
      </c>
      <c r="BJ59">
        <f t="shared" ca="1" si="17"/>
        <v>1</v>
      </c>
      <c r="BK59">
        <f t="shared" ca="1" si="17"/>
        <v>1</v>
      </c>
      <c r="BL59">
        <f t="shared" ca="1" si="17"/>
        <v>1</v>
      </c>
      <c r="BM59">
        <f t="shared" ca="1" si="18"/>
        <v>1</v>
      </c>
      <c r="BN59">
        <f t="shared" ca="1" si="19"/>
        <v>1</v>
      </c>
      <c r="BO59">
        <f t="shared" ca="1" si="20"/>
        <v>1</v>
      </c>
      <c r="BP59">
        <f t="shared" ca="1" si="21"/>
        <v>1</v>
      </c>
      <c r="BQ59">
        <f t="shared" ca="1" si="22"/>
        <v>1</v>
      </c>
    </row>
    <row r="60" spans="1:69" x14ac:dyDescent="0.2">
      <c r="A60" t="str">
        <f>Sheet3!A44</f>
        <v>[[14,2,5]]</v>
      </c>
      <c r="B60">
        <v>14</v>
      </c>
      <c r="C60" cm="1">
        <f t="array" aca="1" ref="C60" ca="1">OFFSET(INDIRECT("Sheet"&amp;K$2&amp;"!d1"),$G60-1,)</f>
        <v>5</v>
      </c>
      <c r="D60" cm="1">
        <f t="array" aca="1" ref="D60" ca="1">OFFSET(INDIRECT("Sheet"&amp;L$2&amp;"!d1"),$G60-1,)</f>
        <v>5</v>
      </c>
      <c r="E60">
        <v>2</v>
      </c>
      <c r="F60">
        <v>5</v>
      </c>
      <c r="G60">
        <f t="shared" si="23"/>
        <v>44</v>
      </c>
      <c r="H60" cm="1">
        <f t="array" aca="1" ref="H60" ca="1">OFFSET(INDIRECT("Sheet"&amp;E$2&amp;"!d1"),$G60-1,)</f>
        <v>5</v>
      </c>
      <c r="I60" cm="1">
        <f t="array" aca="1" ref="I60" ca="1">OFFSET(INDIRECT("Sheet"&amp;F$2&amp;"!d1"),$G60-1,)</f>
        <v>5</v>
      </c>
      <c r="J60" cm="1">
        <f t="array" aca="1" ref="J60" ca="1">OFFSET(INDIRECT("Sheet"&amp;G$2&amp;"!d1"),$G60-1,)</f>
        <v>5</v>
      </c>
      <c r="K60" cm="1">
        <f t="array" aca="1" ref="K60" ca="1">OFFSET(INDIRECT("Sheet"&amp;H$2&amp;"!d1"),$G60-1,)</f>
        <v>5</v>
      </c>
      <c r="L60" cm="1">
        <f t="array" aca="1" ref="L60" ca="1">OFFSET(INDIRECT("Sheet"&amp;I$2&amp;"!d1"),$G60-1,)</f>
        <v>5</v>
      </c>
      <c r="M60" cm="1">
        <f t="array" aca="1" ref="M60" ca="1">OFFSET(INDIRECT("Sheet"&amp;J$2&amp;"!d1"),$G60-1,)</f>
        <v>5</v>
      </c>
      <c r="N60" cm="1">
        <f t="array" aca="1" ref="N60" ca="1">OFFSET(INDIRECT("Sheet"&amp;M$2&amp;"!d1"),$G60-1,)</f>
        <v>5</v>
      </c>
      <c r="O60" cm="1">
        <f t="array" aca="1" ref="O60" ca="1">OFFSET(INDIRECT("Sheet"&amp;C$2&amp;"!d1"),$G60-1,)</f>
        <v>5</v>
      </c>
      <c r="P60" cm="1">
        <f t="array" aca="1" ref="P60" ca="1">OFFSET(INDIRECT("Sheet"&amp;D$2&amp;"!d1"),$G60-1,)</f>
        <v>5</v>
      </c>
      <c r="Q60" cm="1">
        <f t="array" aca="1" ref="Q60" ca="1">OFFSET(INDIRECT("Sheet"&amp;N$2&amp;"!d1"),$G60-1,)</f>
        <v>5</v>
      </c>
      <c r="R60" cm="1">
        <f t="array" aca="1" ref="R60" ca="1">OFFSET(INDIRECT("Sheet"&amp;O$2&amp;"!d1"),$G60-1,)</f>
        <v>5</v>
      </c>
      <c r="S60" cm="1">
        <f t="array" aca="1" ref="S60" ca="1">OFFSET(INDIRECT("Sheet"&amp;P$2&amp;"!d1"),$G60-1,)</f>
        <v>5</v>
      </c>
      <c r="T60" cm="1">
        <f t="array" aca="1" ref="T60" ca="1">OFFSET(INDIRECT("Sheet"&amp;Q$2&amp;"!d1"),$G60-1,)</f>
        <v>5</v>
      </c>
      <c r="U60" cm="1">
        <f t="array" aca="1" ref="U60" ca="1">OFFSET(INDIRECT("Sheet"&amp;R$2&amp;"!d1"),$G60-1,)</f>
        <v>5</v>
      </c>
      <c r="V60" cm="1">
        <f t="array" aca="1" ref="V60" ca="1">OFFSET(INDIRECT("Sheet"&amp;S$2&amp;"!d1"),$G60-1,)</f>
        <v>5</v>
      </c>
      <c r="W60" cm="1">
        <f t="array" aca="1" ref="W60" ca="1">OFFSET(INDIRECT("Sheet"&amp;T$2&amp;"!d1"),$G60-1,)</f>
        <v>5</v>
      </c>
      <c r="X60" cm="1">
        <f t="array" aca="1" ref="X60" ca="1">OFFSET(INDIRECT("Sheet"&amp;U$2&amp;"!d1"),$G60-1,)</f>
        <v>5</v>
      </c>
      <c r="Y60" cm="1">
        <f t="array" aca="1" ref="Y60" ca="1">OFFSET(INDIRECT("Sheet"&amp;V$2&amp;"!d1"),$G60-1,)</f>
        <v>5</v>
      </c>
      <c r="AB60" s="3" cm="1">
        <f t="array" aca="1" ref="AB60" ca="1">OFFSET(INDIRECT("Sheet"&amp;E$2&amp;"!f1"),$G60-1,)</f>
        <v>4.97738644480705E-3</v>
      </c>
      <c r="AC60" s="3" cm="1">
        <f t="array" aca="1" ref="AC60" ca="1">OFFSET(INDIRECT("Sheet"&amp;F$2&amp;"!f1"),$G60-1,)</f>
        <v>7.9374089837074193E-3</v>
      </c>
      <c r="AD60" s="3" cm="1">
        <f t="array" aca="1" ref="AD60" ca="1">OFFSET(INDIRECT("Sheet"&amp;G$2&amp;"!f1"),$G60-1,)</f>
        <v>8.5715688765048894E-3</v>
      </c>
      <c r="AE60" s="3" cm="1">
        <f t="array" aca="1" ref="AE60" ca="1">OFFSET(INDIRECT("Sheet"&amp;H$2&amp;"!f1"),$G60-1,)</f>
        <v>2.0579898729920301E-2</v>
      </c>
      <c r="AF60" s="3" cm="1">
        <f t="array" aca="1" ref="AF60" ca="1">OFFSET(INDIRECT("Sheet"&amp;I$2&amp;"!f1"),$G60-1,)</f>
        <v>1785.6138570430001</v>
      </c>
      <c r="AG60" s="3" cm="1">
        <f t="array" aca="1" ref="AG60" ca="1">OFFSET(INDIRECT("Sheet"&amp;J$2&amp;"!f1"),$G60-1,)</f>
        <v>7.8545484691858194E-2</v>
      </c>
      <c r="AH60" s="3" cm="1">
        <f t="array" aca="1" ref="AH60" ca="1">OFFSET(INDIRECT("Sheet"&amp;K$2&amp;"!f1"),$G60-1,)</f>
        <v>7.4795710999978796E-2</v>
      </c>
      <c r="AI60" s="3" cm="1">
        <f t="array" aca="1" ref="AI60" ca="1">OFFSET(INDIRECT("Sheet"&amp;L$2&amp;"!f1"),$G60-1,)</f>
        <v>7.4061897000007093E-2</v>
      </c>
      <c r="AJ60" s="3" cm="1">
        <f t="array" aca="1" ref="AJ60" ca="1">OFFSET(INDIRECT("Sheet"&amp;M$2&amp;"!f1"),$G60-1,)</f>
        <v>9.5016393810510594E-2</v>
      </c>
      <c r="AK60" s="3" cm="1">
        <f t="array" aca="1" ref="AK60" ca="1">OFFSET(INDIRECT("Sheet"&amp;C$2&amp;"!f1"),$G60-1,)</f>
        <v>0.113954750820994</v>
      </c>
      <c r="AL60" s="3" cm="1">
        <f t="array" aca="1" ref="AL60" ca="1">OFFSET(INDIRECT("Sheet"&amp;D$2&amp;"!f1"),$G60-1,)</f>
        <v>0.18532493617385601</v>
      </c>
      <c r="AM60" s="3" cm="1">
        <f t="array" aca="1" ref="AM60" ca="1">OFFSET(INDIRECT("Sheet"&amp;N$2&amp;"!f1"),$G60-1,)</f>
        <v>2.4533396884798999</v>
      </c>
      <c r="AN60" s="3" cm="1">
        <f t="array" aca="1" ref="AN60" ca="1">OFFSET(INDIRECT("Sheet"&amp;O$2&amp;"!f1"),$G60-1,)</f>
        <v>2.6661664647981498</v>
      </c>
      <c r="AO60" s="3" cm="1">
        <f t="array" aca="1" ref="AO60" ca="1">OFFSET(INDIRECT("Sheet"&amp;P$2&amp;"!f1"),$G60-1,)</f>
        <v>3.3369292384013498</v>
      </c>
      <c r="AP60" s="3" cm="1">
        <f t="array" aca="1" ref="AP60" ca="1">OFFSET(INDIRECT("Sheet"&amp;Q$2&amp;"!f1"),$G60-1,)</f>
        <v>1.0216681938618399</v>
      </c>
      <c r="AQ60" s="3" cm="1">
        <f t="array" aca="1" ref="AQ60" ca="1">OFFSET(INDIRECT("Sheet"&amp;R$2&amp;"!f1"),$G60-1,)</f>
        <v>1.6459109960123799</v>
      </c>
      <c r="AR60" s="3" cm="1">
        <f t="array" aca="1" ref="AR60" ca="1">OFFSET(INDIRECT("Sheet"&amp;S$2&amp;"!f1"),$G60-1,)</f>
        <v>1.4150656573474401</v>
      </c>
      <c r="AS60" s="3" cm="1">
        <f t="array" aca="1" ref="AS60" ca="1">OFFSET(INDIRECT("Sheet"&amp;T$2&amp;"!f1"),$G60-1,)</f>
        <v>2.1937729120254499</v>
      </c>
      <c r="AT60" s="3" cm="1">
        <f t="array" aca="1" ref="AT60" ca="1">OFFSET(INDIRECT("Sheet"&amp;U$2&amp;"!f1"),$G60-1,)</f>
        <v>1.7457981063053001</v>
      </c>
      <c r="AU60" s="3" cm="1">
        <f t="array" aca="1" ref="AU60" ca="1">OFFSET(INDIRECT("Sheet"&amp;V$2&amp;"!f1"),$G60-1,)</f>
        <v>2.8272356307134001</v>
      </c>
      <c r="AV60" s="3"/>
      <c r="AX60">
        <f ca="1">IF(H60=$F60,1,0)</f>
        <v>1</v>
      </c>
      <c r="AY60">
        <f ca="1">IF(I60=$F60,1,0)</f>
        <v>1</v>
      </c>
      <c r="AZ60">
        <f ca="1">IF(J60=$F60,1,0)</f>
        <v>1</v>
      </c>
      <c r="BA60">
        <f ca="1">IF(K60=$F60,1,0)</f>
        <v>1</v>
      </c>
      <c r="BB60">
        <f ca="1">IF(L60=$F60,1,0)</f>
        <v>1</v>
      </c>
      <c r="BC60">
        <f ca="1">IF(M60=$F60,1,0)</f>
        <v>1</v>
      </c>
      <c r="BD60">
        <f ca="1">IF(C60=$F60,1,0)</f>
        <v>1</v>
      </c>
      <c r="BE60">
        <f ca="1">IF(D60=$F60,1,0)</f>
        <v>1</v>
      </c>
      <c r="BF60">
        <f t="shared" ca="1" si="13"/>
        <v>1</v>
      </c>
      <c r="BG60">
        <f t="shared" ca="1" si="14"/>
        <v>1</v>
      </c>
      <c r="BH60">
        <f t="shared" ca="1" si="15"/>
        <v>1</v>
      </c>
      <c r="BI60">
        <f t="shared" ca="1" si="16"/>
        <v>1</v>
      </c>
      <c r="BJ60">
        <f t="shared" ca="1" si="17"/>
        <v>1</v>
      </c>
      <c r="BK60">
        <f t="shared" ca="1" si="17"/>
        <v>1</v>
      </c>
      <c r="BL60">
        <f t="shared" ca="1" si="17"/>
        <v>1</v>
      </c>
      <c r="BM60">
        <f t="shared" ca="1" si="18"/>
        <v>1</v>
      </c>
      <c r="BN60">
        <f t="shared" ca="1" si="19"/>
        <v>1</v>
      </c>
      <c r="BO60">
        <f t="shared" ca="1" si="20"/>
        <v>1</v>
      </c>
      <c r="BP60">
        <f t="shared" ca="1" si="21"/>
        <v>1</v>
      </c>
      <c r="BQ60">
        <f t="shared" ca="1" si="22"/>
        <v>1</v>
      </c>
    </row>
    <row r="61" spans="1:69" x14ac:dyDescent="0.2">
      <c r="A61" t="str">
        <f>Sheet3!A45</f>
        <v>[[15,2,5]]</v>
      </c>
      <c r="B61">
        <v>15</v>
      </c>
      <c r="C61" cm="1">
        <f t="array" aca="1" ref="C61" ca="1">OFFSET(INDIRECT("Sheet"&amp;K$2&amp;"!d1"),$G61-1,)</f>
        <v>5</v>
      </c>
      <c r="D61" cm="1">
        <f t="array" aca="1" ref="D61" ca="1">OFFSET(INDIRECT("Sheet"&amp;L$2&amp;"!d1"),$G61-1,)</f>
        <v>5</v>
      </c>
      <c r="E61">
        <v>2</v>
      </c>
      <c r="F61">
        <v>5</v>
      </c>
      <c r="G61">
        <f t="shared" si="23"/>
        <v>45</v>
      </c>
      <c r="H61" cm="1">
        <f t="array" aca="1" ref="H61" ca="1">OFFSET(INDIRECT("Sheet"&amp;E$2&amp;"!d1"),$G61-1,)</f>
        <v>5</v>
      </c>
      <c r="I61" cm="1">
        <f t="array" aca="1" ref="I61" ca="1">OFFSET(INDIRECT("Sheet"&amp;F$2&amp;"!d1"),$G61-1,)</f>
        <v>5</v>
      </c>
      <c r="J61" cm="1">
        <f t="array" aca="1" ref="J61" ca="1">OFFSET(INDIRECT("Sheet"&amp;G$2&amp;"!d1"),$G61-1,)</f>
        <v>5</v>
      </c>
      <c r="K61" cm="1">
        <f t="array" aca="1" ref="K61" ca="1">OFFSET(INDIRECT("Sheet"&amp;H$2&amp;"!d1"),$G61-1,)</f>
        <v>5</v>
      </c>
      <c r="L61" cm="1">
        <f t="array" aca="1" ref="L61" ca="1">OFFSET(INDIRECT("Sheet"&amp;I$2&amp;"!d1"),$G61-1,)</f>
        <v>5</v>
      </c>
      <c r="M61" cm="1">
        <f t="array" aca="1" ref="M61" ca="1">OFFSET(INDIRECT("Sheet"&amp;J$2&amp;"!d1"),$G61-1,)</f>
        <v>5</v>
      </c>
      <c r="N61" cm="1">
        <f t="array" aca="1" ref="N61" ca="1">OFFSET(INDIRECT("Sheet"&amp;M$2&amp;"!d1"),$G61-1,)</f>
        <v>5</v>
      </c>
      <c r="O61" cm="1">
        <f t="array" aca="1" ref="O61" ca="1">OFFSET(INDIRECT("Sheet"&amp;C$2&amp;"!d1"),$G61-1,)</f>
        <v>5</v>
      </c>
      <c r="P61" cm="1">
        <f t="array" aca="1" ref="P61" ca="1">OFFSET(INDIRECT("Sheet"&amp;D$2&amp;"!d1"),$G61-1,)</f>
        <v>5</v>
      </c>
      <c r="Q61" cm="1">
        <f t="array" aca="1" ref="Q61" ca="1">OFFSET(INDIRECT("Sheet"&amp;N$2&amp;"!d1"),$G61-1,)</f>
        <v>5</v>
      </c>
      <c r="R61" cm="1">
        <f t="array" aca="1" ref="R61" ca="1">OFFSET(INDIRECT("Sheet"&amp;O$2&amp;"!d1"),$G61-1,)</f>
        <v>5</v>
      </c>
      <c r="S61" cm="1">
        <f t="array" aca="1" ref="S61" ca="1">OFFSET(INDIRECT("Sheet"&amp;P$2&amp;"!d1"),$G61-1,)</f>
        <v>5</v>
      </c>
      <c r="T61" cm="1">
        <f t="array" aca="1" ref="T61" ca="1">OFFSET(INDIRECT("Sheet"&amp;Q$2&amp;"!d1"),$G61-1,)</f>
        <v>5</v>
      </c>
      <c r="U61" cm="1">
        <f t="array" aca="1" ref="U61" ca="1">OFFSET(INDIRECT("Sheet"&amp;R$2&amp;"!d1"),$G61-1,)</f>
        <v>5</v>
      </c>
      <c r="V61" cm="1">
        <f t="array" aca="1" ref="V61" ca="1">OFFSET(INDIRECT("Sheet"&amp;S$2&amp;"!d1"),$G61-1,)</f>
        <v>5</v>
      </c>
      <c r="W61" cm="1">
        <f t="array" aca="1" ref="W61" ca="1">OFFSET(INDIRECT("Sheet"&amp;T$2&amp;"!d1"),$G61-1,)</f>
        <v>5</v>
      </c>
      <c r="X61" cm="1">
        <f t="array" aca="1" ref="X61" ca="1">OFFSET(INDIRECT("Sheet"&amp;U$2&amp;"!d1"),$G61-1,)</f>
        <v>5</v>
      </c>
      <c r="Y61" cm="1">
        <f t="array" aca="1" ref="Y61" ca="1">OFFSET(INDIRECT("Sheet"&amp;V$2&amp;"!d1"),$G61-1,)</f>
        <v>5</v>
      </c>
      <c r="AB61" s="3" cm="1">
        <f t="array" aca="1" ref="AB61" ca="1">OFFSET(INDIRECT("Sheet"&amp;E$2&amp;"!f1"),$G61-1,)</f>
        <v>9.9171409383416106E-3</v>
      </c>
      <c r="AC61" s="3" cm="1">
        <f t="array" aca="1" ref="AC61" ca="1">OFFSET(INDIRECT("Sheet"&amp;F$2&amp;"!f1"),$G61-1,)</f>
        <v>9.1155618429183908E-3</v>
      </c>
      <c r="AD61" s="3" cm="1">
        <f t="array" aca="1" ref="AD61" ca="1">OFFSET(INDIRECT("Sheet"&amp;G$2&amp;"!f1"),$G61-1,)</f>
        <v>9.5178755000233598E-3</v>
      </c>
      <c r="AE61" s="3" cm="1">
        <f t="array" aca="1" ref="AE61" ca="1">OFFSET(INDIRECT("Sheet"&amp;H$2&amp;"!f1"),$G61-1,)</f>
        <v>2.0313364453613699E-2</v>
      </c>
      <c r="AF61" s="3" cm="1">
        <f t="array" aca="1" ref="AF61" ca="1">OFFSET(INDIRECT("Sheet"&amp;I$2&amp;"!f1"),$G61-1,)</f>
        <v>1771.15714666899</v>
      </c>
      <c r="AG61" s="3" cm="1">
        <f t="array" aca="1" ref="AG61" ca="1">OFFSET(INDIRECT("Sheet"&amp;J$2&amp;"!f1"),$G61-1,)</f>
        <v>8.3003557287156499E-2</v>
      </c>
      <c r="AH61" s="3" cm="1">
        <f t="array" aca="1" ref="AH61" ca="1">OFFSET(INDIRECT("Sheet"&amp;K$2&amp;"!f1"),$G61-1,)</f>
        <v>7.7596024000001707E-2</v>
      </c>
      <c r="AI61" s="3" cm="1">
        <f t="array" aca="1" ref="AI61" ca="1">OFFSET(INDIRECT("Sheet"&amp;L$2&amp;"!f1"),$G61-1,)</f>
        <v>7.6948401999999305E-2</v>
      </c>
      <c r="AJ61" s="3" cm="1">
        <f t="array" aca="1" ref="AJ61" ca="1">OFFSET(INDIRECT("Sheet"&amp;M$2&amp;"!f1"),$G61-1,)</f>
        <v>0.101343440823256</v>
      </c>
      <c r="AK61" s="3" cm="1">
        <f t="array" aca="1" ref="AK61" ca="1">OFFSET(INDIRECT("Sheet"&amp;C$2&amp;"!f1"),$G61-1,)</f>
        <v>0.12610618397593401</v>
      </c>
      <c r="AL61" s="3" cm="1">
        <f t="array" aca="1" ref="AL61" ca="1">OFFSET(INDIRECT("Sheet"&amp;D$2&amp;"!f1"),$G61-1,)</f>
        <v>0.16520771477371399</v>
      </c>
      <c r="AM61" s="3" cm="1">
        <f t="array" aca="1" ref="AM61" ca="1">OFFSET(INDIRECT("Sheet"&amp;N$2&amp;"!f1"),$G61-1,)</f>
        <v>2.49013100657612</v>
      </c>
      <c r="AN61" s="3" cm="1">
        <f t="array" aca="1" ref="AN61" ca="1">OFFSET(INDIRECT("Sheet"&amp;O$2&amp;"!f1"),$G61-1,)</f>
        <v>2.75606178492307</v>
      </c>
      <c r="AO61" s="3" cm="1">
        <f t="array" aca="1" ref="AO61" ca="1">OFFSET(INDIRECT("Sheet"&amp;P$2&amp;"!f1"),$G61-1,)</f>
        <v>3.4914828520268202</v>
      </c>
      <c r="AP61" s="3" cm="1">
        <f t="array" aca="1" ref="AP61" ca="1">OFFSET(INDIRECT("Sheet"&amp;Q$2&amp;"!f1"),$G61-1,)</f>
        <v>1.05032065510749</v>
      </c>
      <c r="AQ61" s="3" cm="1">
        <f t="array" aca="1" ref="AQ61" ca="1">OFFSET(INDIRECT("Sheet"&amp;R$2&amp;"!f1"),$G61-1,)</f>
        <v>1.7019760804250801</v>
      </c>
      <c r="AR61" s="3" cm="1">
        <f t="array" aca="1" ref="AR61" ca="1">OFFSET(INDIRECT("Sheet"&amp;S$2&amp;"!f1"),$G61-1,)</f>
        <v>1.4701292216777799</v>
      </c>
      <c r="AS61" s="3" cm="1">
        <f t="array" aca="1" ref="AS61" ca="1">OFFSET(INDIRECT("Sheet"&amp;T$2&amp;"!f1"),$G61-1,)</f>
        <v>2.28402811288833</v>
      </c>
      <c r="AT61" s="3" cm="1">
        <f t="array" aca="1" ref="AT61" ca="1">OFFSET(INDIRECT("Sheet"&amp;U$2&amp;"!f1"),$G61-1,)</f>
        <v>1.84417336340993</v>
      </c>
      <c r="AU61" s="3" cm="1">
        <f t="array" aca="1" ref="AU61" ca="1">OFFSET(INDIRECT("Sheet"&amp;V$2&amp;"!f1"),$G61-1,)</f>
        <v>2.9518381580710402</v>
      </c>
      <c r="AV61" s="3"/>
      <c r="AX61">
        <f ca="1">IF(H61=$F61,1,0)</f>
        <v>1</v>
      </c>
      <c r="AY61">
        <f ca="1">IF(I61=$F61,1,0)</f>
        <v>1</v>
      </c>
      <c r="AZ61">
        <f ca="1">IF(J61=$F61,1,0)</f>
        <v>1</v>
      </c>
      <c r="BA61">
        <f ca="1">IF(K61=$F61,1,0)</f>
        <v>1</v>
      </c>
      <c r="BB61">
        <f ca="1">IF(L61=$F61,1,0)</f>
        <v>1</v>
      </c>
      <c r="BC61">
        <f ca="1">IF(M61=$F61,1,0)</f>
        <v>1</v>
      </c>
      <c r="BD61">
        <f ca="1">IF(C61=$F61,1,0)</f>
        <v>1</v>
      </c>
      <c r="BE61">
        <f ca="1">IF(D61=$F61,1,0)</f>
        <v>1</v>
      </c>
      <c r="BF61">
        <f t="shared" ca="1" si="13"/>
        <v>1</v>
      </c>
      <c r="BG61">
        <f t="shared" ca="1" si="14"/>
        <v>1</v>
      </c>
      <c r="BH61">
        <f t="shared" ca="1" si="15"/>
        <v>1</v>
      </c>
      <c r="BI61">
        <f t="shared" ca="1" si="16"/>
        <v>1</v>
      </c>
      <c r="BJ61">
        <f t="shared" ca="1" si="17"/>
        <v>1</v>
      </c>
      <c r="BK61">
        <f t="shared" ca="1" si="17"/>
        <v>1</v>
      </c>
      <c r="BL61">
        <f t="shared" ca="1" si="17"/>
        <v>1</v>
      </c>
      <c r="BM61">
        <f t="shared" ca="1" si="18"/>
        <v>1</v>
      </c>
      <c r="BN61">
        <f t="shared" ca="1" si="19"/>
        <v>1</v>
      </c>
      <c r="BO61">
        <f t="shared" ca="1" si="20"/>
        <v>1</v>
      </c>
      <c r="BP61">
        <f t="shared" ca="1" si="21"/>
        <v>1</v>
      </c>
      <c r="BQ61">
        <f t="shared" ca="1" si="22"/>
        <v>1</v>
      </c>
    </row>
    <row r="62" spans="1:69" x14ac:dyDescent="0.2">
      <c r="A62" t="str">
        <f>Sheet3!A46</f>
        <v>[[16,1,6]]</v>
      </c>
      <c r="B62">
        <v>16</v>
      </c>
      <c r="C62" cm="1">
        <f t="array" aca="1" ref="C62" ca="1">OFFSET(INDIRECT("Sheet"&amp;K$2&amp;"!d1"),$G62-1,)</f>
        <v>6</v>
      </c>
      <c r="D62" cm="1">
        <f t="array" aca="1" ref="D62" ca="1">OFFSET(INDIRECT("Sheet"&amp;L$2&amp;"!d1"),$G62-1,)</f>
        <v>6</v>
      </c>
      <c r="E62">
        <v>1</v>
      </c>
      <c r="F62">
        <v>6</v>
      </c>
      <c r="G62">
        <f t="shared" si="23"/>
        <v>46</v>
      </c>
      <c r="H62" cm="1">
        <f t="array" aca="1" ref="H62" ca="1">OFFSET(INDIRECT("Sheet"&amp;E$2&amp;"!d1"),$G62-1,)</f>
        <v>6</v>
      </c>
      <c r="I62" cm="1">
        <f t="array" aca="1" ref="I62" ca="1">OFFSET(INDIRECT("Sheet"&amp;F$2&amp;"!d1"),$G62-1,)</f>
        <v>6</v>
      </c>
      <c r="J62" cm="1">
        <f t="array" aca="1" ref="J62" ca="1">OFFSET(INDIRECT("Sheet"&amp;G$2&amp;"!d1"),$G62-1,)</f>
        <v>6</v>
      </c>
      <c r="K62" cm="1">
        <f t="array" aca="1" ref="K62" ca="1">OFFSET(INDIRECT("Sheet"&amp;H$2&amp;"!d1"),$G62-1,)</f>
        <v>6</v>
      </c>
      <c r="L62" cm="1">
        <f t="array" aca="1" ref="L62" ca="1">OFFSET(INDIRECT("Sheet"&amp;I$2&amp;"!d1"),$G62-1,)</f>
        <v>0</v>
      </c>
      <c r="M62" cm="1">
        <f t="array" aca="1" ref="M62" ca="1">OFFSET(INDIRECT("Sheet"&amp;J$2&amp;"!d1"),$G62-1,)</f>
        <v>6</v>
      </c>
      <c r="N62" cm="1">
        <f t="array" aca="1" ref="N62" ca="1">OFFSET(INDIRECT("Sheet"&amp;M$2&amp;"!d1"),$G62-1,)</f>
        <v>6</v>
      </c>
      <c r="O62" cm="1">
        <f t="array" aca="1" ref="O62" ca="1">OFFSET(INDIRECT("Sheet"&amp;C$2&amp;"!d1"),$G62-1,)</f>
        <v>6</v>
      </c>
      <c r="P62" cm="1">
        <f t="array" aca="1" ref="P62" ca="1">OFFSET(INDIRECT("Sheet"&amp;D$2&amp;"!d1"),$G62-1,)</f>
        <v>6</v>
      </c>
      <c r="Q62" cm="1">
        <f t="array" aca="1" ref="Q62" ca="1">OFFSET(INDIRECT("Sheet"&amp;N$2&amp;"!d1"),$G62-1,)</f>
        <v>6</v>
      </c>
      <c r="R62" cm="1">
        <f t="array" aca="1" ref="R62" ca="1">OFFSET(INDIRECT("Sheet"&amp;O$2&amp;"!d1"),$G62-1,)</f>
        <v>6</v>
      </c>
      <c r="S62" cm="1">
        <f t="array" aca="1" ref="S62" ca="1">OFFSET(INDIRECT("Sheet"&amp;P$2&amp;"!d1"),$G62-1,)</f>
        <v>6</v>
      </c>
      <c r="T62" cm="1">
        <f t="array" aca="1" ref="T62" ca="1">OFFSET(INDIRECT("Sheet"&amp;Q$2&amp;"!d1"),$G62-1,)</f>
        <v>6</v>
      </c>
      <c r="U62" cm="1">
        <f t="array" aca="1" ref="U62" ca="1">OFFSET(INDIRECT("Sheet"&amp;R$2&amp;"!d1"),$G62-1,)</f>
        <v>6</v>
      </c>
      <c r="V62" cm="1">
        <f t="array" aca="1" ref="V62" ca="1">OFFSET(INDIRECT("Sheet"&amp;S$2&amp;"!d1"),$G62-1,)</f>
        <v>6</v>
      </c>
      <c r="W62" cm="1">
        <f t="array" aca="1" ref="W62" ca="1">OFFSET(INDIRECT("Sheet"&amp;T$2&amp;"!d1"),$G62-1,)</f>
        <v>6</v>
      </c>
      <c r="X62" cm="1">
        <f t="array" aca="1" ref="X62" ca="1">OFFSET(INDIRECT("Sheet"&amp;U$2&amp;"!d1"),$G62-1,)</f>
        <v>6</v>
      </c>
      <c r="Y62" cm="1">
        <f t="array" aca="1" ref="Y62" ca="1">OFFSET(INDIRECT("Sheet"&amp;V$2&amp;"!d1"),$G62-1,)</f>
        <v>6</v>
      </c>
      <c r="AB62" s="3" cm="1">
        <f t="array" aca="1" ref="AB62" ca="1">OFFSET(INDIRECT("Sheet"&amp;E$2&amp;"!f1"),$G62-1,)</f>
        <v>9.4521865248680097E-3</v>
      </c>
      <c r="AC62" s="3" cm="1">
        <f t="array" aca="1" ref="AC62" ca="1">OFFSET(INDIRECT("Sheet"&amp;F$2&amp;"!f1"),$G62-1,)</f>
        <v>1.0332902893423999E-2</v>
      </c>
      <c r="AD62" s="3" cm="1">
        <f t="array" aca="1" ref="AD62" ca="1">OFFSET(INDIRECT("Sheet"&amp;G$2&amp;"!f1"),$G62-1,)</f>
        <v>8.8683404028415593E-3</v>
      </c>
      <c r="AE62" s="3" cm="1">
        <f t="array" aca="1" ref="AE62" ca="1">OFFSET(INDIRECT("Sheet"&amp;H$2&amp;"!f1"),$G62-1,)</f>
        <v>0.26514577679335999</v>
      </c>
      <c r="AF62" s="3" cm="1">
        <f t="array" aca="1" ref="AF62" ca="1">OFFSET(INDIRECT("Sheet"&amp;I$2&amp;"!f1"),$G62-1,)</f>
        <v>28800.117492669</v>
      </c>
      <c r="AG62" s="3" cm="1">
        <f t="array" aca="1" ref="AG62" ca="1">OFFSET(INDIRECT("Sheet"&amp;J$2&amp;"!f1"),$G62-1,)</f>
        <v>9.6995405852794606E-2</v>
      </c>
      <c r="AH62" s="3" cm="1">
        <f t="array" aca="1" ref="AH62" ca="1">OFFSET(INDIRECT("Sheet"&amp;K$2&amp;"!f1"),$G62-1,)</f>
        <v>9.3972198000017201E-2</v>
      </c>
      <c r="AI62" s="3" cm="1">
        <f t="array" aca="1" ref="AI62" ca="1">OFFSET(INDIRECT("Sheet"&amp;L$2&amp;"!f1"),$G62-1,)</f>
        <v>9.4246572000002901E-2</v>
      </c>
      <c r="AJ62" s="3" cm="1">
        <f t="array" aca="1" ref="AJ62" ca="1">OFFSET(INDIRECT("Sheet"&amp;M$2&amp;"!f1"),$G62-1,)</f>
        <v>0.117176168598234</v>
      </c>
      <c r="AK62" s="3" cm="1">
        <f t="array" aca="1" ref="AK62" ca="1">OFFSET(INDIRECT("Sheet"&amp;C$2&amp;"!f1"),$G62-1,)</f>
        <v>0.47610480524599502</v>
      </c>
      <c r="AL62" s="3" cm="1">
        <f t="array" aca="1" ref="AL62" ca="1">OFFSET(INDIRECT("Sheet"&amp;D$2&amp;"!f1"),$G62-1,)</f>
        <v>0.50750039517879397</v>
      </c>
      <c r="AM62" s="3" cm="1">
        <f t="array" aca="1" ref="AM62" ca="1">OFFSET(INDIRECT("Sheet"&amp;N$2&amp;"!f1"),$G62-1,)</f>
        <v>2.5617452310398199</v>
      </c>
      <c r="AN62" s="3" cm="1">
        <f t="array" aca="1" ref="AN62" ca="1">OFFSET(INDIRECT("Sheet"&amp;O$2&amp;"!f1"),$G62-1,)</f>
        <v>2.8759850598871699</v>
      </c>
      <c r="AO62" s="3" cm="1">
        <f t="array" aca="1" ref="AO62" ca="1">OFFSET(INDIRECT("Sheet"&amp;P$2&amp;"!f1"),$G62-1,)</f>
        <v>3.5911750113591498</v>
      </c>
      <c r="AP62" s="3" cm="1">
        <f t="array" aca="1" ref="AP62" ca="1">OFFSET(INDIRECT("Sheet"&amp;Q$2&amp;"!f1"),$G62-1,)</f>
        <v>1.07341031450778</v>
      </c>
      <c r="AQ62" s="3" cm="1">
        <f t="array" aca="1" ref="AQ62" ca="1">OFFSET(INDIRECT("Sheet"&amp;R$2&amp;"!f1"),$G62-1,)</f>
        <v>1.76615670975297</v>
      </c>
      <c r="AR62" s="3" cm="1">
        <f t="array" aca="1" ref="AR62" ca="1">OFFSET(INDIRECT("Sheet"&amp;S$2&amp;"!f1"),$G62-1,)</f>
        <v>1.55995280761271</v>
      </c>
      <c r="AS62" s="3" cm="1">
        <f t="array" aca="1" ref="AS62" ca="1">OFFSET(INDIRECT("Sheet"&amp;T$2&amp;"!f1"),$G62-1,)</f>
        <v>2.4103229260072099</v>
      </c>
      <c r="AT62" s="3" cm="1">
        <f t="array" aca="1" ref="AT62" ca="1">OFFSET(INDIRECT("Sheet"&amp;U$2&amp;"!f1"),$G62-1,)</f>
        <v>1.9615591391920999</v>
      </c>
      <c r="AU62" s="3" cm="1">
        <f t="array" aca="1" ref="AU62" ca="1">OFFSET(INDIRECT("Sheet"&amp;V$2&amp;"!f1"),$G62-1,)</f>
        <v>3.0915028424933499</v>
      </c>
      <c r="AV62" s="3"/>
      <c r="AX62">
        <f ca="1">IF(H62=$F62,1,0)</f>
        <v>1</v>
      </c>
      <c r="AY62">
        <f ca="1">IF(I62=$F62,1,0)</f>
        <v>1</v>
      </c>
      <c r="AZ62">
        <f ca="1">IF(J62=$F62,1,0)</f>
        <v>1</v>
      </c>
      <c r="BA62">
        <f ca="1">IF(K62=$F62,1,0)</f>
        <v>1</v>
      </c>
      <c r="BB62">
        <f ca="1">IF(L62=$F62,1,0)</f>
        <v>0</v>
      </c>
      <c r="BC62">
        <f ca="1">IF(M62=$F62,1,0)</f>
        <v>1</v>
      </c>
      <c r="BD62">
        <f ca="1">IF(C62=$F62,1,0)</f>
        <v>1</v>
      </c>
      <c r="BE62">
        <f ca="1">IF(D62=$F62,1,0)</f>
        <v>1</v>
      </c>
      <c r="BF62">
        <f t="shared" ca="1" si="13"/>
        <v>1</v>
      </c>
      <c r="BG62">
        <f t="shared" ca="1" si="14"/>
        <v>1</v>
      </c>
      <c r="BH62">
        <f t="shared" ca="1" si="15"/>
        <v>1</v>
      </c>
      <c r="BI62">
        <f t="shared" ca="1" si="16"/>
        <v>1</v>
      </c>
      <c r="BJ62">
        <f t="shared" ca="1" si="17"/>
        <v>1</v>
      </c>
      <c r="BK62">
        <f t="shared" ca="1" si="17"/>
        <v>1</v>
      </c>
      <c r="BL62">
        <f t="shared" ca="1" si="17"/>
        <v>1</v>
      </c>
      <c r="BM62">
        <f t="shared" ca="1" si="18"/>
        <v>1</v>
      </c>
      <c r="BN62">
        <f t="shared" ca="1" si="19"/>
        <v>1</v>
      </c>
      <c r="BO62">
        <f t="shared" ca="1" si="20"/>
        <v>1</v>
      </c>
      <c r="BP62">
        <f t="shared" ca="1" si="21"/>
        <v>1</v>
      </c>
      <c r="BQ62">
        <f t="shared" ca="1" si="22"/>
        <v>1</v>
      </c>
    </row>
    <row r="63" spans="1:69" x14ac:dyDescent="0.2">
      <c r="A63" t="str">
        <f>Sheet3!A47</f>
        <v>[[17,3,5]]</v>
      </c>
      <c r="B63">
        <v>17</v>
      </c>
      <c r="C63" cm="1">
        <f t="array" aca="1" ref="C63" ca="1">OFFSET(INDIRECT("Sheet"&amp;K$2&amp;"!d1"),$G63-1,)</f>
        <v>5</v>
      </c>
      <c r="D63" cm="1">
        <f t="array" aca="1" ref="D63" ca="1">OFFSET(INDIRECT("Sheet"&amp;L$2&amp;"!d1"),$G63-1,)</f>
        <v>5</v>
      </c>
      <c r="E63">
        <v>3</v>
      </c>
      <c r="F63">
        <v>5</v>
      </c>
      <c r="G63">
        <f t="shared" si="23"/>
        <v>47</v>
      </c>
      <c r="H63" cm="1">
        <f t="array" aca="1" ref="H63" ca="1">OFFSET(INDIRECT("Sheet"&amp;E$2&amp;"!d1"),$G63-1,)</f>
        <v>5</v>
      </c>
      <c r="I63" cm="1">
        <f t="array" aca="1" ref="I63" ca="1">OFFSET(INDIRECT("Sheet"&amp;F$2&amp;"!d1"),$G63-1,)</f>
        <v>5</v>
      </c>
      <c r="J63" cm="1">
        <f t="array" aca="1" ref="J63" ca="1">OFFSET(INDIRECT("Sheet"&amp;G$2&amp;"!d1"),$G63-1,)</f>
        <v>5</v>
      </c>
      <c r="K63" cm="1">
        <f t="array" aca="1" ref="K63" ca="1">OFFSET(INDIRECT("Sheet"&amp;H$2&amp;"!d1"),$G63-1,)</f>
        <v>5</v>
      </c>
      <c r="L63" cm="1">
        <f t="array" aca="1" ref="L63" ca="1">OFFSET(INDIRECT("Sheet"&amp;I$2&amp;"!d1"),$G63-1,)</f>
        <v>5</v>
      </c>
      <c r="M63" cm="1">
        <f t="array" aca="1" ref="M63" ca="1">OFFSET(INDIRECT("Sheet"&amp;J$2&amp;"!d1"),$G63-1,)</f>
        <v>5</v>
      </c>
      <c r="N63" cm="1">
        <f t="array" aca="1" ref="N63" ca="1">OFFSET(INDIRECT("Sheet"&amp;M$2&amp;"!d1"),$G63-1,)</f>
        <v>5</v>
      </c>
      <c r="O63" cm="1">
        <f t="array" aca="1" ref="O63" ca="1">OFFSET(INDIRECT("Sheet"&amp;C$2&amp;"!d1"),$G63-1,)</f>
        <v>5</v>
      </c>
      <c r="P63" cm="1">
        <f t="array" aca="1" ref="P63" ca="1">OFFSET(INDIRECT("Sheet"&amp;D$2&amp;"!d1"),$G63-1,)</f>
        <v>5</v>
      </c>
      <c r="Q63" cm="1">
        <f t="array" aca="1" ref="Q63" ca="1">OFFSET(INDIRECT("Sheet"&amp;N$2&amp;"!d1"),$G63-1,)</f>
        <v>5</v>
      </c>
      <c r="R63" cm="1">
        <f t="array" aca="1" ref="R63" ca="1">OFFSET(INDIRECT("Sheet"&amp;O$2&amp;"!d1"),$G63-1,)</f>
        <v>5</v>
      </c>
      <c r="S63" cm="1">
        <f t="array" aca="1" ref="S63" ca="1">OFFSET(INDIRECT("Sheet"&amp;P$2&amp;"!d1"),$G63-1,)</f>
        <v>5</v>
      </c>
      <c r="T63" cm="1">
        <f t="array" aca="1" ref="T63" ca="1">OFFSET(INDIRECT("Sheet"&amp;Q$2&amp;"!d1"),$G63-1,)</f>
        <v>5</v>
      </c>
      <c r="U63" cm="1">
        <f t="array" aca="1" ref="U63" ca="1">OFFSET(INDIRECT("Sheet"&amp;R$2&amp;"!d1"),$G63-1,)</f>
        <v>5</v>
      </c>
      <c r="V63" cm="1">
        <f t="array" aca="1" ref="V63" ca="1">OFFSET(INDIRECT("Sheet"&amp;S$2&amp;"!d1"),$G63-1,)</f>
        <v>5</v>
      </c>
      <c r="W63" cm="1">
        <f t="array" aca="1" ref="W63" ca="1">OFFSET(INDIRECT("Sheet"&amp;T$2&amp;"!d1"),$G63-1,)</f>
        <v>5</v>
      </c>
      <c r="X63" cm="1">
        <f t="array" aca="1" ref="X63" ca="1">OFFSET(INDIRECT("Sheet"&amp;U$2&amp;"!d1"),$G63-1,)</f>
        <v>5</v>
      </c>
      <c r="Y63" cm="1">
        <f t="array" aca="1" ref="Y63" ca="1">OFFSET(INDIRECT("Sheet"&amp;V$2&amp;"!d1"),$G63-1,)</f>
        <v>5</v>
      </c>
      <c r="AB63" s="3" cm="1">
        <f t="array" aca="1" ref="AB63" ca="1">OFFSET(INDIRECT("Sheet"&amp;E$2&amp;"!f1"),$G63-1,)</f>
        <v>4.5107115060090998E-2</v>
      </c>
      <c r="AC63" s="3" cm="1">
        <f t="array" aca="1" ref="AC63" ca="1">OFFSET(INDIRECT("Sheet"&amp;F$2&amp;"!f1"),$G63-1,)</f>
        <v>1.31941782310605E-2</v>
      </c>
      <c r="AD63" s="3" cm="1">
        <f t="array" aca="1" ref="AD63" ca="1">OFFSET(INDIRECT("Sheet"&amp;G$2&amp;"!f1"),$G63-1,)</f>
        <v>1.45440474152565E-2</v>
      </c>
      <c r="AE63" s="3" cm="1">
        <f t="array" aca="1" ref="AE63" ca="1">OFFSET(INDIRECT("Sheet"&amp;H$2&amp;"!f1"),$G63-1,)</f>
        <v>2.2161301225423799E-2</v>
      </c>
      <c r="AF63" s="3" cm="1">
        <f t="array" aca="1" ref="AF63" ca="1">OFFSET(INDIRECT("Sheet"&amp;I$2&amp;"!f1"),$G63-1,)</f>
        <v>3266.3515120469901</v>
      </c>
      <c r="AG63" s="3" cm="1">
        <f t="array" aca="1" ref="AG63" ca="1">OFFSET(INDIRECT("Sheet"&amp;J$2&amp;"!f1"),$G63-1,)</f>
        <v>9.5055114477872807E-2</v>
      </c>
      <c r="AH63" s="3" cm="1">
        <f t="array" aca="1" ref="AH63" ca="1">OFFSET(INDIRECT("Sheet"&amp;K$2&amp;"!f1"),$G63-1,)</f>
        <v>8.7990540999982103E-2</v>
      </c>
      <c r="AI63" s="3" cm="1">
        <f t="array" aca="1" ref="AI63" ca="1">OFFSET(INDIRECT("Sheet"&amp;L$2&amp;"!f1"),$G63-1,)</f>
        <v>8.8255527000001097E-2</v>
      </c>
      <c r="AJ63" s="3" cm="1">
        <f t="array" aca="1" ref="AJ63" ca="1">OFFSET(INDIRECT("Sheet"&amp;M$2&amp;"!f1"),$G63-1,)</f>
        <v>0.120109114795923</v>
      </c>
      <c r="AK63" s="3" cm="1">
        <f t="array" aca="1" ref="AK63" ca="1">OFFSET(INDIRECT("Sheet"&amp;C$2&amp;"!f1"),$G63-1,)</f>
        <v>0.27593678608536698</v>
      </c>
      <c r="AL63" s="3" cm="1">
        <f t="array" aca="1" ref="AL63" ca="1">OFFSET(INDIRECT("Sheet"&amp;D$2&amp;"!f1"),$G63-1,)</f>
        <v>0.255701282061636</v>
      </c>
      <c r="AM63" s="3" cm="1">
        <f t="array" aca="1" ref="AM63" ca="1">OFFSET(INDIRECT("Sheet"&amp;N$2&amp;"!f1"),$G63-1,)</f>
        <v>2.6463275486603299</v>
      </c>
      <c r="AN63" s="3" cm="1">
        <f t="array" aca="1" ref="AN63" ca="1">OFFSET(INDIRECT("Sheet"&amp;O$2&amp;"!f1"),$G63-1,)</f>
        <v>2.99710612185299</v>
      </c>
      <c r="AO63" s="3" cm="1">
        <f t="array" aca="1" ref="AO63" ca="1">OFFSET(INDIRECT("Sheet"&amp;P$2&amp;"!f1"),$G63-1,)</f>
        <v>3.8488930361345401</v>
      </c>
      <c r="AP63" s="3" cm="1">
        <f t="array" aca="1" ref="AP63" ca="1">OFFSET(INDIRECT("Sheet"&amp;Q$2&amp;"!f1"),$G63-1,)</f>
        <v>1.1281520565971701</v>
      </c>
      <c r="AQ63" s="3" cm="1">
        <f t="array" aca="1" ref="AQ63" ca="1">OFFSET(INDIRECT("Sheet"&amp;R$2&amp;"!f1"),$G63-1,)</f>
        <v>1.85536152310669</v>
      </c>
      <c r="AR63" s="3" cm="1">
        <f t="array" aca="1" ref="AR63" ca="1">OFFSET(INDIRECT("Sheet"&amp;S$2&amp;"!f1"),$G63-1,)</f>
        <v>1.6377809923142099</v>
      </c>
      <c r="AS63" s="3" cm="1">
        <f t="array" aca="1" ref="AS63" ca="1">OFFSET(INDIRECT("Sheet"&amp;T$2&amp;"!f1"),$G63-1,)</f>
        <v>2.5603844039142101</v>
      </c>
      <c r="AT63" s="3" cm="1">
        <f t="array" aca="1" ref="AT63" ca="1">OFFSET(INDIRECT("Sheet"&amp;U$2&amp;"!f1"),$G63-1,)</f>
        <v>2.1469536665827</v>
      </c>
      <c r="AU63" s="3" cm="1">
        <f t="array" aca="1" ref="AU63" ca="1">OFFSET(INDIRECT("Sheet"&amp;V$2&amp;"!f1"),$G63-1,)</f>
        <v>3.3846670780330799</v>
      </c>
      <c r="AV63" s="3"/>
      <c r="AX63">
        <f ca="1">IF(H63=$F63,1,0)</f>
        <v>1</v>
      </c>
      <c r="AY63">
        <f ca="1">IF(I63=$F63,1,0)</f>
        <v>1</v>
      </c>
      <c r="AZ63">
        <f ca="1">IF(J63=$F63,1,0)</f>
        <v>1</v>
      </c>
      <c r="BA63">
        <f ca="1">IF(K63=$F63,1,0)</f>
        <v>1</v>
      </c>
      <c r="BB63">
        <f ca="1">IF(L63=$F63,1,0)</f>
        <v>1</v>
      </c>
      <c r="BC63">
        <f ca="1">IF(M63=$F63,1,0)</f>
        <v>1</v>
      </c>
      <c r="BD63">
        <f ca="1">IF(C63=$F63,1,0)</f>
        <v>1</v>
      </c>
      <c r="BE63">
        <f ca="1">IF(D63=$F63,1,0)</f>
        <v>1</v>
      </c>
      <c r="BF63">
        <f t="shared" ca="1" si="13"/>
        <v>1</v>
      </c>
      <c r="BG63">
        <f t="shared" ca="1" si="14"/>
        <v>1</v>
      </c>
      <c r="BH63">
        <f t="shared" ca="1" si="15"/>
        <v>1</v>
      </c>
      <c r="BI63">
        <f t="shared" ca="1" si="16"/>
        <v>1</v>
      </c>
      <c r="BJ63">
        <f t="shared" ca="1" si="17"/>
        <v>1</v>
      </c>
      <c r="BK63">
        <f t="shared" ca="1" si="17"/>
        <v>1</v>
      </c>
      <c r="BL63">
        <f t="shared" ca="1" si="17"/>
        <v>1</v>
      </c>
      <c r="BM63">
        <f t="shared" ca="1" si="18"/>
        <v>1</v>
      </c>
      <c r="BN63">
        <f t="shared" ca="1" si="19"/>
        <v>1</v>
      </c>
      <c r="BO63">
        <f t="shared" ca="1" si="20"/>
        <v>1</v>
      </c>
      <c r="BP63">
        <f t="shared" ca="1" si="21"/>
        <v>1</v>
      </c>
      <c r="BQ63">
        <f t="shared" ca="1" si="22"/>
        <v>1</v>
      </c>
    </row>
    <row r="64" spans="1:69" x14ac:dyDescent="0.2">
      <c r="A64" t="str">
        <f>Sheet3!A48</f>
        <v>[[18,5,5]]</v>
      </c>
      <c r="B64">
        <v>18</v>
      </c>
      <c r="C64" cm="1">
        <f t="array" aca="1" ref="C64" ca="1">OFFSET(INDIRECT("Sheet"&amp;K$2&amp;"!d1"),$G64-1,)</f>
        <v>5</v>
      </c>
      <c r="D64" cm="1">
        <f t="array" aca="1" ref="D64" ca="1">OFFSET(INDIRECT("Sheet"&amp;L$2&amp;"!d1"),$G64-1,)</f>
        <v>5</v>
      </c>
      <c r="E64">
        <v>5</v>
      </c>
      <c r="F64">
        <v>5</v>
      </c>
      <c r="G64">
        <f t="shared" si="23"/>
        <v>48</v>
      </c>
      <c r="H64" cm="1">
        <f t="array" aca="1" ref="H64" ca="1">OFFSET(INDIRECT("Sheet"&amp;E$2&amp;"!d1"),$G64-1,)</f>
        <v>5</v>
      </c>
      <c r="I64" cm="1">
        <f t="array" aca="1" ref="I64" ca="1">OFFSET(INDIRECT("Sheet"&amp;F$2&amp;"!d1"),$G64-1,)</f>
        <v>5</v>
      </c>
      <c r="J64" cm="1">
        <f t="array" aca="1" ref="J64" ca="1">OFFSET(INDIRECT("Sheet"&amp;G$2&amp;"!d1"),$G64-1,)</f>
        <v>5</v>
      </c>
      <c r="K64" cm="1">
        <f t="array" aca="1" ref="K64" ca="1">OFFSET(INDIRECT("Sheet"&amp;H$2&amp;"!d1"),$G64-1,)</f>
        <v>5</v>
      </c>
      <c r="L64" cm="1">
        <f t="array" aca="1" ref="L64" ca="1">OFFSET(INDIRECT("Sheet"&amp;I$2&amp;"!d1"),$G64-1,)</f>
        <v>0</v>
      </c>
      <c r="M64" cm="1">
        <f t="array" aca="1" ref="M64" ca="1">OFFSET(INDIRECT("Sheet"&amp;J$2&amp;"!d1"),$G64-1,)</f>
        <v>5</v>
      </c>
      <c r="N64" cm="1">
        <f t="array" aca="1" ref="N64" ca="1">OFFSET(INDIRECT("Sheet"&amp;M$2&amp;"!d1"),$G64-1,)</f>
        <v>5</v>
      </c>
      <c r="O64" cm="1">
        <f t="array" aca="1" ref="O64" ca="1">OFFSET(INDIRECT("Sheet"&amp;C$2&amp;"!d1"),$G64-1,)</f>
        <v>5</v>
      </c>
      <c r="P64" cm="1">
        <f t="array" aca="1" ref="P64" ca="1">OFFSET(INDIRECT("Sheet"&amp;D$2&amp;"!d1"),$G64-1,)</f>
        <v>5</v>
      </c>
      <c r="Q64" cm="1">
        <f t="array" aca="1" ref="Q64" ca="1">OFFSET(INDIRECT("Sheet"&amp;N$2&amp;"!d1"),$G64-1,)</f>
        <v>5</v>
      </c>
      <c r="R64" cm="1">
        <f t="array" aca="1" ref="R64" ca="1">OFFSET(INDIRECT("Sheet"&amp;O$2&amp;"!d1"),$G64-1,)</f>
        <v>5</v>
      </c>
      <c r="S64" cm="1">
        <f t="array" aca="1" ref="S64" ca="1">OFFSET(INDIRECT("Sheet"&amp;P$2&amp;"!d1"),$G64-1,)</f>
        <v>5</v>
      </c>
      <c r="T64" cm="1">
        <f t="array" aca="1" ref="T64" ca="1">OFFSET(INDIRECT("Sheet"&amp;Q$2&amp;"!d1"),$G64-1,)</f>
        <v>5</v>
      </c>
      <c r="U64" cm="1">
        <f t="array" aca="1" ref="U64" ca="1">OFFSET(INDIRECT("Sheet"&amp;R$2&amp;"!d1"),$G64-1,)</f>
        <v>5</v>
      </c>
      <c r="V64" cm="1">
        <f t="array" aca="1" ref="V64" ca="1">OFFSET(INDIRECT("Sheet"&amp;S$2&amp;"!d1"),$G64-1,)</f>
        <v>5</v>
      </c>
      <c r="W64" cm="1">
        <f t="array" aca="1" ref="W64" ca="1">OFFSET(INDIRECT("Sheet"&amp;T$2&amp;"!d1"),$G64-1,)</f>
        <v>5</v>
      </c>
      <c r="X64" cm="1">
        <f t="array" aca="1" ref="X64" ca="1">OFFSET(INDIRECT("Sheet"&amp;U$2&amp;"!d1"),$G64-1,)</f>
        <v>5</v>
      </c>
      <c r="Y64" cm="1">
        <f t="array" aca="1" ref="Y64" ca="1">OFFSET(INDIRECT("Sheet"&amp;V$2&amp;"!d1"),$G64-1,)</f>
        <v>5</v>
      </c>
      <c r="AB64" s="3" cm="1">
        <f t="array" aca="1" ref="AB64" ca="1">OFFSET(INDIRECT("Sheet"&amp;E$2&amp;"!f1"),$G64-1,)</f>
        <v>0.10043169837445</v>
      </c>
      <c r="AC64" s="3" cm="1">
        <f t="array" aca="1" ref="AC64" ca="1">OFFSET(INDIRECT("Sheet"&amp;F$2&amp;"!f1"),$G64-1,)</f>
        <v>2.0377604290843E-2</v>
      </c>
      <c r="AD64" s="3" cm="1">
        <f t="array" aca="1" ref="AD64" ca="1">OFFSET(INDIRECT("Sheet"&amp;G$2&amp;"!f1"),$G64-1,)</f>
        <v>2.3151479661464601E-2</v>
      </c>
      <c r="AE64" s="3" cm="1">
        <f t="array" aca="1" ref="AE64" ca="1">OFFSET(INDIRECT("Sheet"&amp;H$2&amp;"!f1"),$G64-1,)</f>
        <v>3.3530186861753401E-2</v>
      </c>
      <c r="AF64" s="3" cm="1">
        <f t="array" aca="1" ref="AF64" ca="1">OFFSET(INDIRECT("Sheet"&amp;I$2&amp;"!f1"),$G64-1,)</f>
        <v>28800.997361939</v>
      </c>
      <c r="AG64" s="3" cm="1">
        <f t="array" aca="1" ref="AG64" ca="1">OFFSET(INDIRECT("Sheet"&amp;J$2&amp;"!f1"),$G64-1,)</f>
        <v>9.9640884436666896E-2</v>
      </c>
      <c r="AH64" s="3" cm="1">
        <f t="array" aca="1" ref="AH64" ca="1">OFFSET(INDIRECT("Sheet"&amp;K$2&amp;"!f1"),$G64-1,)</f>
        <v>9.1779362000011105E-2</v>
      </c>
      <c r="AI64" s="3" cm="1">
        <f t="array" aca="1" ref="AI64" ca="1">OFFSET(INDIRECT("Sheet"&amp;L$2&amp;"!f1"),$G64-1,)</f>
        <v>9.7202731000010006E-2</v>
      </c>
      <c r="AJ64" s="3" cm="1">
        <f t="array" aca="1" ref="AJ64" ca="1">OFFSET(INDIRECT("Sheet"&amp;M$2&amp;"!f1"),$G64-1,)</f>
        <v>0.13076229486614399</v>
      </c>
      <c r="AK64" s="3" cm="1">
        <f t="array" aca="1" ref="AK64" ca="1">OFFSET(INDIRECT("Sheet"&amp;C$2&amp;"!f1"),$G64-1,)</f>
        <v>0.41555741801857898</v>
      </c>
      <c r="AL64" s="3" cm="1">
        <f t="array" aca="1" ref="AL64" ca="1">OFFSET(INDIRECT("Sheet"&amp;D$2&amp;"!f1"),$G64-1,)</f>
        <v>0.41683706920593899</v>
      </c>
      <c r="AM64" s="3" cm="1">
        <f t="array" aca="1" ref="AM64" ca="1">OFFSET(INDIRECT("Sheet"&amp;N$2&amp;"!f1"),$G64-1,)</f>
        <v>2.81405927520245</v>
      </c>
      <c r="AN64" s="3" cm="1">
        <f t="array" aca="1" ref="AN64" ca="1">OFFSET(INDIRECT("Sheet"&amp;O$2&amp;"!f1"),$G64-1,)</f>
        <v>3.2945504169911102</v>
      </c>
      <c r="AO64" s="3" cm="1">
        <f t="array" aca="1" ref="AO64" ca="1">OFFSET(INDIRECT("Sheet"&amp;P$2&amp;"!f1"),$G64-1,)</f>
        <v>4.4098652778193301</v>
      </c>
      <c r="AP64" s="3" cm="1">
        <f t="array" aca="1" ref="AP64" ca="1">OFFSET(INDIRECT("Sheet"&amp;Q$2&amp;"!f1"),$G64-1,)</f>
        <v>1.2289504315704101</v>
      </c>
      <c r="AQ64" s="3" cm="1">
        <f t="array" aca="1" ref="AQ64" ca="1">OFFSET(INDIRECT("Sheet"&amp;R$2&amp;"!f1"),$G64-1,)</f>
        <v>2.0292159570381001</v>
      </c>
      <c r="AR64" s="3" cm="1">
        <f t="array" aca="1" ref="AR64" ca="1">OFFSET(INDIRECT("Sheet"&amp;S$2&amp;"!f1"),$G64-1,)</f>
        <v>1.8421019008383099</v>
      </c>
      <c r="AS64" s="3" cm="1">
        <f t="array" aca="1" ref="AS64" ca="1">OFFSET(INDIRECT("Sheet"&amp;T$2&amp;"!f1"),$G64-1,)</f>
        <v>2.8629457633942299</v>
      </c>
      <c r="AT64" s="3" cm="1">
        <f t="array" aca="1" ref="AT64" ca="1">OFFSET(INDIRECT("Sheet"&amp;U$2&amp;"!f1"),$G64-1,)</f>
        <v>2.49897673074156</v>
      </c>
      <c r="AU64" s="3" cm="1">
        <f t="array" aca="1" ref="AU64" ca="1">OFFSET(INDIRECT("Sheet"&amp;V$2&amp;"!f1"),$G64-1,)</f>
        <v>3.9619363760575599</v>
      </c>
      <c r="AV64" s="3"/>
      <c r="AX64">
        <f ca="1">IF(H64=$F64,1,0)</f>
        <v>1</v>
      </c>
      <c r="AY64">
        <f ca="1">IF(I64=$F64,1,0)</f>
        <v>1</v>
      </c>
      <c r="AZ64">
        <f ca="1">IF(J64=$F64,1,0)</f>
        <v>1</v>
      </c>
      <c r="BA64">
        <f ca="1">IF(K64=$F64,1,0)</f>
        <v>1</v>
      </c>
      <c r="BB64">
        <f ca="1">IF(L64=$F64,1,0)</f>
        <v>0</v>
      </c>
      <c r="BC64">
        <f ca="1">IF(M64=$F64,1,0)</f>
        <v>1</v>
      </c>
      <c r="BD64">
        <f ca="1">IF(C64=$F64,1,0)</f>
        <v>1</v>
      </c>
      <c r="BE64">
        <f ca="1">IF(D64=$F64,1,0)</f>
        <v>1</v>
      </c>
      <c r="BF64">
        <f t="shared" ca="1" si="13"/>
        <v>1</v>
      </c>
      <c r="BG64">
        <f t="shared" ca="1" si="14"/>
        <v>1</v>
      </c>
      <c r="BH64">
        <f t="shared" ca="1" si="15"/>
        <v>1</v>
      </c>
      <c r="BI64">
        <f t="shared" ca="1" si="16"/>
        <v>1</v>
      </c>
      <c r="BJ64">
        <f t="shared" ca="1" si="17"/>
        <v>1</v>
      </c>
      <c r="BK64">
        <f t="shared" ca="1" si="17"/>
        <v>1</v>
      </c>
      <c r="BL64">
        <f t="shared" ca="1" si="17"/>
        <v>1</v>
      </c>
      <c r="BM64">
        <f t="shared" ca="1" si="18"/>
        <v>1</v>
      </c>
      <c r="BN64">
        <f t="shared" ca="1" si="19"/>
        <v>1</v>
      </c>
      <c r="BO64">
        <f t="shared" ca="1" si="20"/>
        <v>1</v>
      </c>
      <c r="BP64">
        <f t="shared" ca="1" si="21"/>
        <v>1</v>
      </c>
      <c r="BQ64">
        <f t="shared" ca="1" si="22"/>
        <v>1</v>
      </c>
    </row>
    <row r="65" spans="1:69" x14ac:dyDescent="0.2">
      <c r="A65" t="str">
        <f>Sheet3!A49</f>
        <v>[[19,5,5]]</v>
      </c>
      <c r="B65">
        <v>19</v>
      </c>
      <c r="C65" cm="1">
        <f t="array" aca="1" ref="C65" ca="1">OFFSET(INDIRECT("Sheet"&amp;K$2&amp;"!d1"),$G65-1,)</f>
        <v>5</v>
      </c>
      <c r="D65" cm="1">
        <f t="array" aca="1" ref="D65" ca="1">OFFSET(INDIRECT("Sheet"&amp;L$2&amp;"!d1"),$G65-1,)</f>
        <v>5</v>
      </c>
      <c r="E65">
        <v>5</v>
      </c>
      <c r="F65">
        <v>5</v>
      </c>
      <c r="G65">
        <f t="shared" si="23"/>
        <v>49</v>
      </c>
      <c r="H65" cm="1">
        <f t="array" aca="1" ref="H65" ca="1">OFFSET(INDIRECT("Sheet"&amp;E$2&amp;"!d1"),$G65-1,)</f>
        <v>5</v>
      </c>
      <c r="I65" cm="1">
        <f t="array" aca="1" ref="I65" ca="1">OFFSET(INDIRECT("Sheet"&amp;F$2&amp;"!d1"),$G65-1,)</f>
        <v>5</v>
      </c>
      <c r="J65" cm="1">
        <f t="array" aca="1" ref="J65" ca="1">OFFSET(INDIRECT("Sheet"&amp;G$2&amp;"!d1"),$G65-1,)</f>
        <v>5</v>
      </c>
      <c r="K65" cm="1">
        <f t="array" aca="1" ref="K65" ca="1">OFFSET(INDIRECT("Sheet"&amp;H$2&amp;"!d1"),$G65-1,)</f>
        <v>5</v>
      </c>
      <c r="L65" cm="1">
        <f t="array" aca="1" ref="L65" ca="1">OFFSET(INDIRECT("Sheet"&amp;I$2&amp;"!d1"),$G65-1,)</f>
        <v>0</v>
      </c>
      <c r="M65" cm="1">
        <f t="array" aca="1" ref="M65" ca="1">OFFSET(INDIRECT("Sheet"&amp;J$2&amp;"!d1"),$G65-1,)</f>
        <v>5</v>
      </c>
      <c r="N65" cm="1">
        <f t="array" aca="1" ref="N65" ca="1">OFFSET(INDIRECT("Sheet"&amp;M$2&amp;"!d1"),$G65-1,)</f>
        <v>5</v>
      </c>
      <c r="O65" cm="1">
        <f t="array" aca="1" ref="O65" ca="1">OFFSET(INDIRECT("Sheet"&amp;C$2&amp;"!d1"),$G65-1,)</f>
        <v>5</v>
      </c>
      <c r="P65" cm="1">
        <f t="array" aca="1" ref="P65" ca="1">OFFSET(INDIRECT("Sheet"&amp;D$2&amp;"!d1"),$G65-1,)</f>
        <v>5</v>
      </c>
      <c r="Q65" cm="1">
        <f t="array" aca="1" ref="Q65" ca="1">OFFSET(INDIRECT("Sheet"&amp;N$2&amp;"!d1"),$G65-1,)</f>
        <v>5</v>
      </c>
      <c r="R65" cm="1">
        <f t="array" aca="1" ref="R65" ca="1">OFFSET(INDIRECT("Sheet"&amp;O$2&amp;"!d1"),$G65-1,)</f>
        <v>5</v>
      </c>
      <c r="S65" cm="1">
        <f t="array" aca="1" ref="S65" ca="1">OFFSET(INDIRECT("Sheet"&amp;P$2&amp;"!d1"),$G65-1,)</f>
        <v>5</v>
      </c>
      <c r="T65" cm="1">
        <f t="array" aca="1" ref="T65" ca="1">OFFSET(INDIRECT("Sheet"&amp;Q$2&amp;"!d1"),$G65-1,)</f>
        <v>5</v>
      </c>
      <c r="U65" cm="1">
        <f t="array" aca="1" ref="U65" ca="1">OFFSET(INDIRECT("Sheet"&amp;R$2&amp;"!d1"),$G65-1,)</f>
        <v>5</v>
      </c>
      <c r="V65" cm="1">
        <f t="array" aca="1" ref="V65" ca="1">OFFSET(INDIRECT("Sheet"&amp;S$2&amp;"!d1"),$G65-1,)</f>
        <v>5</v>
      </c>
      <c r="W65" cm="1">
        <f t="array" aca="1" ref="W65" ca="1">OFFSET(INDIRECT("Sheet"&amp;T$2&amp;"!d1"),$G65-1,)</f>
        <v>5</v>
      </c>
      <c r="X65" cm="1">
        <f t="array" aca="1" ref="X65" ca="1">OFFSET(INDIRECT("Sheet"&amp;U$2&amp;"!d1"),$G65-1,)</f>
        <v>5</v>
      </c>
      <c r="Y65" cm="1">
        <f t="array" aca="1" ref="Y65" ca="1">OFFSET(INDIRECT("Sheet"&amp;V$2&amp;"!d1"),$G65-1,)</f>
        <v>5</v>
      </c>
      <c r="AB65" s="3" cm="1">
        <f t="array" aca="1" ref="AB65" ca="1">OFFSET(INDIRECT("Sheet"&amp;E$2&amp;"!f1"),$G65-1,)</f>
        <v>0.114707043394446</v>
      </c>
      <c r="AC65" s="3" cm="1">
        <f t="array" aca="1" ref="AC65" ca="1">OFFSET(INDIRECT("Sheet"&amp;F$2&amp;"!f1"),$G65-1,)</f>
        <v>2.4124764837324598E-2</v>
      </c>
      <c r="AD65" s="3" cm="1">
        <f t="array" aca="1" ref="AD65" ca="1">OFFSET(INDIRECT("Sheet"&amp;G$2&amp;"!f1"),$G65-1,)</f>
        <v>2.67174672335386E-2</v>
      </c>
      <c r="AE65" s="3" cm="1">
        <f t="array" aca="1" ref="AE65" ca="1">OFFSET(INDIRECT("Sheet"&amp;H$2&amp;"!f1"),$G65-1,)</f>
        <v>3.2995032146572997E-2</v>
      </c>
      <c r="AF65" s="3" cm="1">
        <f t="array" aca="1" ref="AF65" ca="1">OFFSET(INDIRECT("Sheet"&amp;I$2&amp;"!f1"),$G65-1,)</f>
        <v>28801.314472671002</v>
      </c>
      <c r="AG65" s="3" cm="1">
        <f t="array" aca="1" ref="AG65" ca="1">OFFSET(INDIRECT("Sheet"&amp;J$2&amp;"!f1"),$G65-1,)</f>
        <v>0.106223221868276</v>
      </c>
      <c r="AH65" s="3" cm="1">
        <f t="array" aca="1" ref="AH65" ca="1">OFFSET(INDIRECT("Sheet"&amp;K$2&amp;"!f1"),$G65-1,)</f>
        <v>0.13489590699998599</v>
      </c>
      <c r="AI65" s="3" cm="1">
        <f t="array" aca="1" ref="AI65" ca="1">OFFSET(INDIRECT("Sheet"&amp;L$2&amp;"!f1"),$G65-1,)</f>
        <v>0.132873905999986</v>
      </c>
      <c r="AJ65" s="3" cm="1">
        <f t="array" aca="1" ref="AJ65" ca="1">OFFSET(INDIRECT("Sheet"&amp;M$2&amp;"!f1"),$G65-1,)</f>
        <v>0.14501057472079901</v>
      </c>
      <c r="AK65" s="3" cm="1">
        <f t="array" aca="1" ref="AK65" ca="1">OFFSET(INDIRECT("Sheet"&amp;C$2&amp;"!f1"),$G65-1,)</f>
        <v>0.37553599663078702</v>
      </c>
      <c r="AL65" s="3" cm="1">
        <f t="array" aca="1" ref="AL65" ca="1">OFFSET(INDIRECT("Sheet"&amp;D$2&amp;"!f1"),$G65-1,)</f>
        <v>0.33663134649395898</v>
      </c>
      <c r="AM65" s="3" cm="1">
        <f t="array" aca="1" ref="AM65" ca="1">OFFSET(INDIRECT("Sheet"&amp;N$2&amp;"!f1"),$G65-1,)</f>
        <v>2.8784887995570898</v>
      </c>
      <c r="AN65" s="3" cm="1">
        <f t="array" aca="1" ref="AN65" ca="1">OFFSET(INDIRECT("Sheet"&amp;O$2&amp;"!f1"),$G65-1,)</f>
        <v>3.3985214000567701</v>
      </c>
      <c r="AO65" s="3" cm="1">
        <f t="array" aca="1" ref="AO65" ca="1">OFFSET(INDIRECT("Sheet"&amp;P$2&amp;"!f1"),$G65-1,)</f>
        <v>4.6162422597408197</v>
      </c>
      <c r="AP65" s="3" cm="1">
        <f t="array" aca="1" ref="AP65" ca="1">OFFSET(INDIRECT("Sheet"&amp;Q$2&amp;"!f1"),$G65-1,)</f>
        <v>1.25417271442711</v>
      </c>
      <c r="AQ65" s="3" cm="1">
        <f t="array" aca="1" ref="AQ65" ca="1">OFFSET(INDIRECT("Sheet"&amp;R$2&amp;"!f1"),$G65-1,)</f>
        <v>2.0889894142746899</v>
      </c>
      <c r="AR65" s="3" cm="1">
        <f t="array" aca="1" ref="AR65" ca="1">OFFSET(INDIRECT("Sheet"&amp;S$2&amp;"!f1"),$G65-1,)</f>
        <v>1.96360091026872</v>
      </c>
      <c r="AS65" s="3" cm="1">
        <f t="array" aca="1" ref="AS65" ca="1">OFFSET(INDIRECT("Sheet"&amp;T$2&amp;"!f1"),$G65-1,)</f>
        <v>2.97063961625099</v>
      </c>
      <c r="AT65" s="3" cm="1">
        <f t="array" aca="1" ref="AT65" ca="1">OFFSET(INDIRECT("Sheet"&amp;U$2&amp;"!f1"),$G65-1,)</f>
        <v>2.6573010515421598</v>
      </c>
      <c r="AU65" s="3" cm="1">
        <f t="array" aca="1" ref="AU65" ca="1">OFFSET(INDIRECT("Sheet"&amp;V$2&amp;"!f1"),$G65-1,)</f>
        <v>4.1698260912671596</v>
      </c>
      <c r="AV65" s="3"/>
      <c r="AX65">
        <f ca="1">IF(H65=$F65,1,0)</f>
        <v>1</v>
      </c>
      <c r="AY65">
        <f ca="1">IF(I65=$F65,1,0)</f>
        <v>1</v>
      </c>
      <c r="AZ65">
        <f ca="1">IF(J65=$F65,1,0)</f>
        <v>1</v>
      </c>
      <c r="BA65">
        <f ca="1">IF(K65=$F65,1,0)</f>
        <v>1</v>
      </c>
      <c r="BB65">
        <f ca="1">IF(L65=$F65,1,0)</f>
        <v>0</v>
      </c>
      <c r="BC65">
        <f ca="1">IF(M65=$F65,1,0)</f>
        <v>1</v>
      </c>
      <c r="BD65">
        <f ca="1">IF(C65=$F65,1,0)</f>
        <v>1</v>
      </c>
      <c r="BE65">
        <f ca="1">IF(D65=$F65,1,0)</f>
        <v>1</v>
      </c>
      <c r="BF65">
        <f t="shared" ca="1" si="13"/>
        <v>1</v>
      </c>
      <c r="BG65">
        <f t="shared" ca="1" si="14"/>
        <v>1</v>
      </c>
      <c r="BH65">
        <f t="shared" ca="1" si="15"/>
        <v>1</v>
      </c>
      <c r="BI65">
        <f t="shared" ca="1" si="16"/>
        <v>1</v>
      </c>
      <c r="BJ65">
        <f t="shared" ref="BJ65:BL80" ca="1" si="24">IF(R65=$F65,1,0)</f>
        <v>1</v>
      </c>
      <c r="BK65">
        <f t="shared" ca="1" si="24"/>
        <v>1</v>
      </c>
      <c r="BL65">
        <f t="shared" ca="1" si="24"/>
        <v>1</v>
      </c>
      <c r="BM65">
        <f t="shared" ca="1" si="18"/>
        <v>1</v>
      </c>
      <c r="BN65">
        <f t="shared" ca="1" si="19"/>
        <v>1</v>
      </c>
      <c r="BO65">
        <f t="shared" ca="1" si="20"/>
        <v>1</v>
      </c>
      <c r="BP65">
        <f t="shared" ca="1" si="21"/>
        <v>1</v>
      </c>
      <c r="BQ65">
        <f t="shared" ca="1" si="22"/>
        <v>1</v>
      </c>
    </row>
    <row r="66" spans="1:69" x14ac:dyDescent="0.2">
      <c r="A66" t="str">
        <f>Sheet3!A50</f>
        <v>[[20,3,6]]</v>
      </c>
      <c r="B66">
        <v>20</v>
      </c>
      <c r="C66" cm="1">
        <f t="array" aca="1" ref="C66" ca="1">OFFSET(INDIRECT("Sheet"&amp;K$2&amp;"!d1"),$G66-1,)</f>
        <v>6</v>
      </c>
      <c r="D66" cm="1">
        <f t="array" aca="1" ref="D66" ca="1">OFFSET(INDIRECT("Sheet"&amp;L$2&amp;"!d1"),$G66-1,)</f>
        <v>6</v>
      </c>
      <c r="E66">
        <v>3</v>
      </c>
      <c r="F66">
        <v>6</v>
      </c>
      <c r="G66">
        <f t="shared" si="23"/>
        <v>50</v>
      </c>
      <c r="H66" cm="1">
        <f t="array" aca="1" ref="H66" ca="1">OFFSET(INDIRECT("Sheet"&amp;E$2&amp;"!d1"),$G66-1,)</f>
        <v>6</v>
      </c>
      <c r="I66" cm="1">
        <f t="array" aca="1" ref="I66" ca="1">OFFSET(INDIRECT("Sheet"&amp;F$2&amp;"!d1"),$G66-1,)</f>
        <v>6</v>
      </c>
      <c r="J66" cm="1">
        <f t="array" aca="1" ref="J66" ca="1">OFFSET(INDIRECT("Sheet"&amp;G$2&amp;"!d1"),$G66-1,)</f>
        <v>6</v>
      </c>
      <c r="K66" cm="1">
        <f t="array" aca="1" ref="K66" ca="1">OFFSET(INDIRECT("Sheet"&amp;H$2&amp;"!d1"),$G66-1,)</f>
        <v>6</v>
      </c>
      <c r="L66" cm="1">
        <f t="array" aca="1" ref="L66" ca="1">OFFSET(INDIRECT("Sheet"&amp;I$2&amp;"!d1"),$G66-1,)</f>
        <v>0</v>
      </c>
      <c r="M66" cm="1">
        <f t="array" aca="1" ref="M66" ca="1">OFFSET(INDIRECT("Sheet"&amp;J$2&amp;"!d1"),$G66-1,)</f>
        <v>6</v>
      </c>
      <c r="N66" cm="1">
        <f t="array" aca="1" ref="N66" ca="1">OFFSET(INDIRECT("Sheet"&amp;M$2&amp;"!d1"),$G66-1,)</f>
        <v>6</v>
      </c>
      <c r="O66" cm="1">
        <f t="array" aca="1" ref="O66" ca="1">OFFSET(INDIRECT("Sheet"&amp;C$2&amp;"!d1"),$G66-1,)</f>
        <v>6</v>
      </c>
      <c r="P66" cm="1">
        <f t="array" aca="1" ref="P66" ca="1">OFFSET(INDIRECT("Sheet"&amp;D$2&amp;"!d1"),$G66-1,)</f>
        <v>6</v>
      </c>
      <c r="Q66" cm="1">
        <f t="array" aca="1" ref="Q66" ca="1">OFFSET(INDIRECT("Sheet"&amp;N$2&amp;"!d1"),$G66-1,)</f>
        <v>6</v>
      </c>
      <c r="R66" cm="1">
        <f t="array" aca="1" ref="R66" ca="1">OFFSET(INDIRECT("Sheet"&amp;O$2&amp;"!d1"),$G66-1,)</f>
        <v>6</v>
      </c>
      <c r="S66" cm="1">
        <f t="array" aca="1" ref="S66" ca="1">OFFSET(INDIRECT("Sheet"&amp;P$2&amp;"!d1"),$G66-1,)</f>
        <v>6</v>
      </c>
      <c r="T66" cm="1">
        <f t="array" aca="1" ref="T66" ca="1">OFFSET(INDIRECT("Sheet"&amp;Q$2&amp;"!d1"),$G66-1,)</f>
        <v>6</v>
      </c>
      <c r="U66" cm="1">
        <f t="array" aca="1" ref="U66" ca="1">OFFSET(INDIRECT("Sheet"&amp;R$2&amp;"!d1"),$G66-1,)</f>
        <v>6</v>
      </c>
      <c r="V66" cm="1">
        <f t="array" aca="1" ref="V66" ca="1">OFFSET(INDIRECT("Sheet"&amp;S$2&amp;"!d1"),$G66-1,)</f>
        <v>6</v>
      </c>
      <c r="W66" cm="1">
        <f t="array" aca="1" ref="W66" ca="1">OFFSET(INDIRECT("Sheet"&amp;T$2&amp;"!d1"),$G66-1,)</f>
        <v>6</v>
      </c>
      <c r="X66" cm="1">
        <f t="array" aca="1" ref="X66" ca="1">OFFSET(INDIRECT("Sheet"&amp;U$2&amp;"!d1"),$G66-1,)</f>
        <v>6</v>
      </c>
      <c r="Y66" cm="1">
        <f t="array" aca="1" ref="Y66" ca="1">OFFSET(INDIRECT("Sheet"&amp;V$2&amp;"!d1"),$G66-1,)</f>
        <v>6</v>
      </c>
      <c r="AB66" s="3" cm="1">
        <f t="array" aca="1" ref="AB66" ca="1">OFFSET(INDIRECT("Sheet"&amp;E$2&amp;"!f1"),$G66-1,)</f>
        <v>0.109200841747224</v>
      </c>
      <c r="AC66" s="3" cm="1">
        <f t="array" aca="1" ref="AC66" ca="1">OFFSET(INDIRECT("Sheet"&amp;F$2&amp;"!f1"),$G66-1,)</f>
        <v>5.0688656046986497E-2</v>
      </c>
      <c r="AD66" s="3" cm="1">
        <f t="array" aca="1" ref="AD66" ca="1">OFFSET(INDIRECT("Sheet"&amp;G$2&amp;"!f1"),$G66-1,)</f>
        <v>5.4766591638326603E-2</v>
      </c>
      <c r="AE66" s="3" cm="1">
        <f t="array" aca="1" ref="AE66" ca="1">OFFSET(INDIRECT("Sheet"&amp;H$2&amp;"!f1"),$G66-1,)</f>
        <v>0.44185539055615602</v>
      </c>
      <c r="AF66" s="3" cm="1">
        <f t="array" aca="1" ref="AF66" ca="1">OFFSET(INDIRECT("Sheet"&amp;I$2&amp;"!f1"),$G66-1,)</f>
        <v>28800.795223622001</v>
      </c>
      <c r="AG66" s="3" cm="1">
        <f t="array" aca="1" ref="AG66" ca="1">OFFSET(INDIRECT("Sheet"&amp;J$2&amp;"!f1"),$G66-1,)</f>
        <v>0.124023319222033</v>
      </c>
      <c r="AH66" s="3" cm="1">
        <f t="array" aca="1" ref="AH66" ca="1">OFFSET(INDIRECT("Sheet"&amp;K$2&amp;"!f1"),$G66-1,)</f>
        <v>0.122914903000008</v>
      </c>
      <c r="AI66" s="3" cm="1">
        <f t="array" aca="1" ref="AI66" ca="1">OFFSET(INDIRECT("Sheet"&amp;L$2&amp;"!f1"),$G66-1,)</f>
        <v>0.121586999000015</v>
      </c>
      <c r="AJ66" s="3" cm="1">
        <f t="array" aca="1" ref="AJ66" ca="1">OFFSET(INDIRECT("Sheet"&amp;M$2&amp;"!f1"),$G66-1,)</f>
        <v>0.16614509746432299</v>
      </c>
      <c r="AK66" s="3" cm="1">
        <f t="array" aca="1" ref="AK66" ca="1">OFFSET(INDIRECT("Sheet"&amp;C$2&amp;"!f1"),$G66-1,)</f>
        <v>1.1397836413234399</v>
      </c>
      <c r="AL66" s="3" cm="1">
        <f t="array" aca="1" ref="AL66" ca="1">OFFSET(INDIRECT("Sheet"&amp;D$2&amp;"!f1"),$G66-1,)</f>
        <v>1.6740386718884099</v>
      </c>
      <c r="AM66" s="3" cm="1">
        <f t="array" aca="1" ref="AM66" ca="1">OFFSET(INDIRECT("Sheet"&amp;N$2&amp;"!f1"),$G66-1,)</f>
        <v>2.7693319898098698</v>
      </c>
      <c r="AN66" s="3" cm="1">
        <f t="array" aca="1" ref="AN66" ca="1">OFFSET(INDIRECT("Sheet"&amp;O$2&amp;"!f1"),$G66-1,)</f>
        <v>3.3059043288230798</v>
      </c>
      <c r="AO66" s="3" cm="1">
        <f t="array" aca="1" ref="AO66" ca="1">OFFSET(INDIRECT("Sheet"&amp;P$2&amp;"!f1"),$G66-1,)</f>
        <v>4.2837742445990399</v>
      </c>
      <c r="AP66" s="3" cm="1">
        <f t="array" aca="1" ref="AP66" ca="1">OFFSET(INDIRECT("Sheet"&amp;Q$2&amp;"!f1"),$G66-1,)</f>
        <v>1.2320675048977101</v>
      </c>
      <c r="AQ66" s="3" cm="1">
        <f t="array" aca="1" ref="AQ66" ca="1">OFFSET(INDIRECT("Sheet"&amp;R$2&amp;"!f1"),$G66-1,)</f>
        <v>1.99731131922453</v>
      </c>
      <c r="AR66" s="3" cm="1">
        <f t="array" aca="1" ref="AR66" ca="1">OFFSET(INDIRECT("Sheet"&amp;S$2&amp;"!f1"),$G66-1,)</f>
        <v>1.91276640817523</v>
      </c>
      <c r="AS66" s="3" cm="1">
        <f t="array" aca="1" ref="AS66" ca="1">OFFSET(INDIRECT("Sheet"&amp;T$2&amp;"!f1"),$G66-1,)</f>
        <v>2.8885676153004098</v>
      </c>
      <c r="AT66" s="3" cm="1">
        <f t="array" aca="1" ref="AT66" ca="1">OFFSET(INDIRECT("Sheet"&amp;U$2&amp;"!f1"),$G66-1,)</f>
        <v>2.4260447276756101</v>
      </c>
      <c r="AU66" s="3" cm="1">
        <f t="array" aca="1" ref="AU66" ca="1">OFFSET(INDIRECT("Sheet"&amp;V$2&amp;"!f1"),$G66-1,)</f>
        <v>3.7772950194776</v>
      </c>
      <c r="AV66" s="3"/>
      <c r="AX66">
        <f ca="1">IF(H66=$F66,1,0)</f>
        <v>1</v>
      </c>
      <c r="AY66">
        <f ca="1">IF(I66=$F66,1,0)</f>
        <v>1</v>
      </c>
      <c r="AZ66">
        <f ca="1">IF(J66=$F66,1,0)</f>
        <v>1</v>
      </c>
      <c r="BA66">
        <f ca="1">IF(K66=$F66,1,0)</f>
        <v>1</v>
      </c>
      <c r="BB66">
        <f ca="1">IF(L66=$F66,1,0)</f>
        <v>0</v>
      </c>
      <c r="BC66">
        <f ca="1">IF(M66=$F66,1,0)</f>
        <v>1</v>
      </c>
      <c r="BD66">
        <f ca="1">IF(C66=$F66,1,0)</f>
        <v>1</v>
      </c>
      <c r="BE66">
        <f ca="1">IF(D66=$F66,1,0)</f>
        <v>1</v>
      </c>
      <c r="BF66">
        <f t="shared" ca="1" si="13"/>
        <v>1</v>
      </c>
      <c r="BG66">
        <f t="shared" ca="1" si="14"/>
        <v>1</v>
      </c>
      <c r="BH66">
        <f t="shared" ca="1" si="15"/>
        <v>1</v>
      </c>
      <c r="BI66">
        <f t="shared" ca="1" si="16"/>
        <v>1</v>
      </c>
      <c r="BJ66">
        <f t="shared" ca="1" si="24"/>
        <v>1</v>
      </c>
      <c r="BK66">
        <f t="shared" ca="1" si="24"/>
        <v>1</v>
      </c>
      <c r="BL66">
        <f t="shared" ca="1" si="24"/>
        <v>1</v>
      </c>
      <c r="BM66">
        <f t="shared" ca="1" si="18"/>
        <v>1</v>
      </c>
      <c r="BN66">
        <f t="shared" ca="1" si="19"/>
        <v>1</v>
      </c>
      <c r="BO66">
        <f t="shared" ca="1" si="20"/>
        <v>1</v>
      </c>
      <c r="BP66">
        <f t="shared" ca="1" si="21"/>
        <v>1</v>
      </c>
      <c r="BQ66">
        <f t="shared" ca="1" si="22"/>
        <v>1</v>
      </c>
    </row>
    <row r="67" spans="1:69" x14ac:dyDescent="0.2">
      <c r="A67" t="str">
        <f>Sheet3!A51</f>
        <v>[[21,3,6]]</v>
      </c>
      <c r="B67">
        <v>21</v>
      </c>
      <c r="C67" cm="1">
        <f t="array" aca="1" ref="C67" ca="1">OFFSET(INDIRECT("Sheet"&amp;K$2&amp;"!d1"),$G67-1,)</f>
        <v>6</v>
      </c>
      <c r="D67" cm="1">
        <f t="array" aca="1" ref="D67" ca="1">OFFSET(INDIRECT("Sheet"&amp;L$2&amp;"!d1"),$G67-1,)</f>
        <v>6</v>
      </c>
      <c r="E67">
        <v>3</v>
      </c>
      <c r="F67">
        <v>6</v>
      </c>
      <c r="G67">
        <f t="shared" si="23"/>
        <v>51</v>
      </c>
      <c r="H67" cm="1">
        <f t="array" aca="1" ref="H67" ca="1">OFFSET(INDIRECT("Sheet"&amp;E$2&amp;"!d1"),$G67-1,)</f>
        <v>6</v>
      </c>
      <c r="I67" cm="1">
        <f t="array" aca="1" ref="I67" ca="1">OFFSET(INDIRECT("Sheet"&amp;F$2&amp;"!d1"),$G67-1,)</f>
        <v>6</v>
      </c>
      <c r="J67" cm="1">
        <f t="array" aca="1" ref="J67" ca="1">OFFSET(INDIRECT("Sheet"&amp;G$2&amp;"!d1"),$G67-1,)</f>
        <v>6</v>
      </c>
      <c r="K67" cm="1">
        <f t="array" aca="1" ref="K67" ca="1">OFFSET(INDIRECT("Sheet"&amp;H$2&amp;"!d1"),$G67-1,)</f>
        <v>6</v>
      </c>
      <c r="L67" cm="1">
        <f t="array" aca="1" ref="L67" ca="1">OFFSET(INDIRECT("Sheet"&amp;I$2&amp;"!d1"),$G67-1,)</f>
        <v>0</v>
      </c>
      <c r="M67" cm="1">
        <f t="array" aca="1" ref="M67" ca="1">OFFSET(INDIRECT("Sheet"&amp;J$2&amp;"!d1"),$G67-1,)</f>
        <v>6</v>
      </c>
      <c r="N67" cm="1">
        <f t="array" aca="1" ref="N67" ca="1">OFFSET(INDIRECT("Sheet"&amp;M$2&amp;"!d1"),$G67-1,)</f>
        <v>6</v>
      </c>
      <c r="O67" cm="1">
        <f t="array" aca="1" ref="O67" ca="1">OFFSET(INDIRECT("Sheet"&amp;C$2&amp;"!d1"),$G67-1,)</f>
        <v>6</v>
      </c>
      <c r="P67" cm="1">
        <f t="array" aca="1" ref="P67" ca="1">OFFSET(INDIRECT("Sheet"&amp;D$2&amp;"!d1"),$G67-1,)</f>
        <v>6</v>
      </c>
      <c r="Q67" cm="1">
        <f t="array" aca="1" ref="Q67" ca="1">OFFSET(INDIRECT("Sheet"&amp;N$2&amp;"!d1"),$G67-1,)</f>
        <v>6</v>
      </c>
      <c r="R67" cm="1">
        <f t="array" aca="1" ref="R67" ca="1">OFFSET(INDIRECT("Sheet"&amp;O$2&amp;"!d1"),$G67-1,)</f>
        <v>6</v>
      </c>
      <c r="S67" cm="1">
        <f t="array" aca="1" ref="S67" ca="1">OFFSET(INDIRECT("Sheet"&amp;P$2&amp;"!d1"),$G67-1,)</f>
        <v>6</v>
      </c>
      <c r="T67" cm="1">
        <f t="array" aca="1" ref="T67" ca="1">OFFSET(INDIRECT("Sheet"&amp;Q$2&amp;"!d1"),$G67-1,)</f>
        <v>6</v>
      </c>
      <c r="U67" cm="1">
        <f t="array" aca="1" ref="U67" ca="1">OFFSET(INDIRECT("Sheet"&amp;R$2&amp;"!d1"),$G67-1,)</f>
        <v>6</v>
      </c>
      <c r="V67" cm="1">
        <f t="array" aca="1" ref="V67" ca="1">OFFSET(INDIRECT("Sheet"&amp;S$2&amp;"!d1"),$G67-1,)</f>
        <v>6</v>
      </c>
      <c r="W67" cm="1">
        <f t="array" aca="1" ref="W67" ca="1">OFFSET(INDIRECT("Sheet"&amp;T$2&amp;"!d1"),$G67-1,)</f>
        <v>6</v>
      </c>
      <c r="X67" cm="1">
        <f t="array" aca="1" ref="X67" ca="1">OFFSET(INDIRECT("Sheet"&amp;U$2&amp;"!d1"),$G67-1,)</f>
        <v>6</v>
      </c>
      <c r="Y67" cm="1">
        <f t="array" aca="1" ref="Y67" ca="1">OFFSET(INDIRECT("Sheet"&amp;V$2&amp;"!d1"),$G67-1,)</f>
        <v>6</v>
      </c>
      <c r="AB67" s="3" cm="1">
        <f t="array" aca="1" ref="AB67" ca="1">OFFSET(INDIRECT("Sheet"&amp;E$2&amp;"!f1"),$G67-1,)</f>
        <v>0.57108550053089802</v>
      </c>
      <c r="AC67" s="3" cm="1">
        <f t="array" aca="1" ref="AC67" ca="1">OFFSET(INDIRECT("Sheet"&amp;F$2&amp;"!f1"),$G67-1,)</f>
        <v>6.3703079707920496E-2</v>
      </c>
      <c r="AD67" s="3" cm="1">
        <f t="array" aca="1" ref="AD67" ca="1">OFFSET(INDIRECT("Sheet"&amp;G$2&amp;"!f1"),$G67-1,)</f>
        <v>6.9716023281216594E-2</v>
      </c>
      <c r="AE67" s="3" cm="1">
        <f t="array" aca="1" ref="AE67" ca="1">OFFSET(INDIRECT("Sheet"&amp;H$2&amp;"!f1"),$G67-1,)</f>
        <v>0.44258954003453199</v>
      </c>
      <c r="AF67" s="3" cm="1">
        <f t="array" aca="1" ref="AF67" ca="1">OFFSET(INDIRECT("Sheet"&amp;I$2&amp;"!f1"),$G67-1,)</f>
        <v>28800.162008339899</v>
      </c>
      <c r="AG67" s="3" cm="1">
        <f t="array" aca="1" ref="AG67" ca="1">OFFSET(INDIRECT("Sheet"&amp;J$2&amp;"!f1"),$G67-1,)</f>
        <v>0.13026001676917001</v>
      </c>
      <c r="AH67" s="3" cm="1">
        <f t="array" aca="1" ref="AH67" ca="1">OFFSET(INDIRECT("Sheet"&amp;K$2&amp;"!f1"),$G67-1,)</f>
        <v>0.117951769000001</v>
      </c>
      <c r="AI67" s="3" cm="1">
        <f t="array" aca="1" ref="AI67" ca="1">OFFSET(INDIRECT("Sheet"&amp;L$2&amp;"!f1"),$G67-1,)</f>
        <v>0.11861846499999699</v>
      </c>
      <c r="AJ67" s="3" cm="1">
        <f t="array" aca="1" ref="AJ67" ca="1">OFFSET(INDIRECT("Sheet"&amp;M$2&amp;"!f1"),$G67-1,)</f>
        <v>0.17464506160467799</v>
      </c>
      <c r="AK67" s="3" cm="1">
        <f t="array" aca="1" ref="AK67" ca="1">OFFSET(INDIRECT("Sheet"&amp;C$2&amp;"!f1"),$G67-1,)</f>
        <v>1.78382814675569</v>
      </c>
      <c r="AL67" s="3" cm="1">
        <f t="array" aca="1" ref="AL67" ca="1">OFFSET(INDIRECT("Sheet"&amp;D$2&amp;"!f1"),$G67-1,)</f>
        <v>1.1712528979405701</v>
      </c>
      <c r="AM67" s="3" cm="1">
        <f t="array" aca="1" ref="AM67" ca="1">OFFSET(INDIRECT("Sheet"&amp;N$2&amp;"!f1"),$G67-1,)</f>
        <v>2.8219171948730901</v>
      </c>
      <c r="AN67" s="3" cm="1">
        <f t="array" aca="1" ref="AN67" ca="1">OFFSET(INDIRECT("Sheet"&amp;O$2&amp;"!f1"),$G67-1,)</f>
        <v>3.4250756781548199</v>
      </c>
      <c r="AO67" s="3" cm="1">
        <f t="array" aca="1" ref="AO67" ca="1">OFFSET(INDIRECT("Sheet"&amp;P$2&amp;"!f1"),$G67-1,)</f>
        <v>4.4111380279064099</v>
      </c>
      <c r="AP67" s="3" cm="1">
        <f t="array" aca="1" ref="AP67" ca="1">OFFSET(INDIRECT("Sheet"&amp;Q$2&amp;"!f1"),$G67-1,)</f>
        <v>1.25408958736807</v>
      </c>
      <c r="AQ67" s="3" cm="1">
        <f t="array" aca="1" ref="AQ67" ca="1">OFFSET(INDIRECT("Sheet"&amp;R$2&amp;"!f1"),$G67-1,)</f>
        <v>2.04571927525103</v>
      </c>
      <c r="AR67" s="3" cm="1">
        <f t="array" aca="1" ref="AR67" ca="1">OFFSET(INDIRECT("Sheet"&amp;S$2&amp;"!f1"),$G67-1,)</f>
        <v>1.9910063771530899</v>
      </c>
      <c r="AS67" s="3" cm="1">
        <f t="array" aca="1" ref="AS67" ca="1">OFFSET(INDIRECT("Sheet"&amp;T$2&amp;"!f1"),$G67-1,)</f>
        <v>3.00235137436538</v>
      </c>
      <c r="AT67" s="3" cm="1">
        <f t="array" aca="1" ref="AT67" ca="1">OFFSET(INDIRECT("Sheet"&amp;U$2&amp;"!f1"),$G67-1,)</f>
        <v>2.53092702385038</v>
      </c>
      <c r="AU67" s="3" cm="1">
        <f t="array" aca="1" ref="AU67" ca="1">OFFSET(INDIRECT("Sheet"&amp;V$2&amp;"!f1"),$G67-1,)</f>
        <v>3.9246871815994302</v>
      </c>
      <c r="AV67" s="3"/>
      <c r="AX67">
        <f ca="1">IF(H67=$F67,1,0)</f>
        <v>1</v>
      </c>
      <c r="AY67">
        <f ca="1">IF(I67=$F67,1,0)</f>
        <v>1</v>
      </c>
      <c r="AZ67">
        <f ca="1">IF(J67=$F67,1,0)</f>
        <v>1</v>
      </c>
      <c r="BA67">
        <f ca="1">IF(K67=$F67,1,0)</f>
        <v>1</v>
      </c>
      <c r="BB67">
        <f ca="1">IF(L67=$F67,1,0)</f>
        <v>0</v>
      </c>
      <c r="BC67">
        <f ca="1">IF(M67=$F67,1,0)</f>
        <v>1</v>
      </c>
      <c r="BD67">
        <f ca="1">IF(C67=$F67,1,0)</f>
        <v>1</v>
      </c>
      <c r="BE67">
        <f ca="1">IF(D67=$F67,1,0)</f>
        <v>1</v>
      </c>
      <c r="BF67">
        <f t="shared" ca="1" si="13"/>
        <v>1</v>
      </c>
      <c r="BG67">
        <f t="shared" ca="1" si="14"/>
        <v>1</v>
      </c>
      <c r="BH67">
        <f t="shared" ca="1" si="15"/>
        <v>1</v>
      </c>
      <c r="BI67">
        <f t="shared" ca="1" si="16"/>
        <v>1</v>
      </c>
      <c r="BJ67">
        <f t="shared" ca="1" si="24"/>
        <v>1</v>
      </c>
      <c r="BK67">
        <f t="shared" ca="1" si="24"/>
        <v>1</v>
      </c>
      <c r="BL67">
        <f t="shared" ca="1" si="24"/>
        <v>1</v>
      </c>
      <c r="BM67">
        <f t="shared" ca="1" si="18"/>
        <v>1</v>
      </c>
      <c r="BN67">
        <f t="shared" ca="1" si="19"/>
        <v>1</v>
      </c>
      <c r="BO67">
        <f t="shared" ca="1" si="20"/>
        <v>1</v>
      </c>
      <c r="BP67">
        <f t="shared" ca="1" si="21"/>
        <v>1</v>
      </c>
      <c r="BQ67">
        <f t="shared" ca="1" si="22"/>
        <v>1</v>
      </c>
    </row>
    <row r="68" spans="1:69" x14ac:dyDescent="0.2">
      <c r="A68" t="str">
        <f>Sheet3!A52</f>
        <v>[[22,7,5]]</v>
      </c>
      <c r="B68">
        <v>22</v>
      </c>
      <c r="C68" cm="1">
        <f t="array" aca="1" ref="C68" ca="1">OFFSET(INDIRECT("Sheet"&amp;K$2&amp;"!d1"),$G68-1,)</f>
        <v>5</v>
      </c>
      <c r="D68" cm="1">
        <f t="array" aca="1" ref="D68" ca="1">OFFSET(INDIRECT("Sheet"&amp;L$2&amp;"!d1"),$G68-1,)</f>
        <v>5</v>
      </c>
      <c r="E68">
        <v>7</v>
      </c>
      <c r="F68">
        <v>5</v>
      </c>
      <c r="G68">
        <f t="shared" si="23"/>
        <v>52</v>
      </c>
      <c r="H68" cm="1">
        <f t="array" aca="1" ref="H68" ca="1">OFFSET(INDIRECT("Sheet"&amp;E$2&amp;"!d1"),$G68-1,)</f>
        <v>5</v>
      </c>
      <c r="I68" cm="1">
        <f t="array" aca="1" ref="I68" ca="1">OFFSET(INDIRECT("Sheet"&amp;F$2&amp;"!d1"),$G68-1,)</f>
        <v>5</v>
      </c>
      <c r="J68" cm="1">
        <f t="array" aca="1" ref="J68" ca="1">OFFSET(INDIRECT("Sheet"&amp;G$2&amp;"!d1"),$G68-1,)</f>
        <v>5</v>
      </c>
      <c r="K68" cm="1">
        <f t="array" aca="1" ref="K68" ca="1">OFFSET(INDIRECT("Sheet"&amp;H$2&amp;"!d1"),$G68-1,)</f>
        <v>5</v>
      </c>
      <c r="L68" cm="1">
        <f t="array" aca="1" ref="L68" ca="1">OFFSET(INDIRECT("Sheet"&amp;I$2&amp;"!d1"),$G68-1,)</f>
        <v>0</v>
      </c>
      <c r="M68" cm="1">
        <f t="array" aca="1" ref="M68" ca="1">OFFSET(INDIRECT("Sheet"&amp;J$2&amp;"!d1"),$G68-1,)</f>
        <v>5</v>
      </c>
      <c r="N68" cm="1">
        <f t="array" aca="1" ref="N68" ca="1">OFFSET(INDIRECT("Sheet"&amp;M$2&amp;"!d1"),$G68-1,)</f>
        <v>5</v>
      </c>
      <c r="O68" cm="1">
        <f t="array" aca="1" ref="O68" ca="1">OFFSET(INDIRECT("Sheet"&amp;C$2&amp;"!d1"),$G68-1,)</f>
        <v>5</v>
      </c>
      <c r="P68" cm="1">
        <f t="array" aca="1" ref="P68" ca="1">OFFSET(INDIRECT("Sheet"&amp;D$2&amp;"!d1"),$G68-1,)</f>
        <v>5</v>
      </c>
      <c r="Q68" cm="1">
        <f t="array" aca="1" ref="Q68" ca="1">OFFSET(INDIRECT("Sheet"&amp;N$2&amp;"!d1"),$G68-1,)</f>
        <v>5</v>
      </c>
      <c r="R68" cm="1">
        <f t="array" aca="1" ref="R68" ca="1">OFFSET(INDIRECT("Sheet"&amp;O$2&amp;"!d1"),$G68-1,)</f>
        <v>5</v>
      </c>
      <c r="S68" cm="1">
        <f t="array" aca="1" ref="S68" ca="1">OFFSET(INDIRECT("Sheet"&amp;P$2&amp;"!d1"),$G68-1,)</f>
        <v>5</v>
      </c>
      <c r="T68" cm="1">
        <f t="array" aca="1" ref="T68" ca="1">OFFSET(INDIRECT("Sheet"&amp;Q$2&amp;"!d1"),$G68-1,)</f>
        <v>5</v>
      </c>
      <c r="U68" cm="1">
        <f t="array" aca="1" ref="U68" ca="1">OFFSET(INDIRECT("Sheet"&amp;R$2&amp;"!d1"),$G68-1,)</f>
        <v>5</v>
      </c>
      <c r="V68" cm="1">
        <f t="array" aca="1" ref="V68" ca="1">OFFSET(INDIRECT("Sheet"&amp;S$2&amp;"!d1"),$G68-1,)</f>
        <v>5</v>
      </c>
      <c r="W68" cm="1">
        <f t="array" aca="1" ref="W68" ca="1">OFFSET(INDIRECT("Sheet"&amp;T$2&amp;"!d1"),$G68-1,)</f>
        <v>5</v>
      </c>
      <c r="X68" cm="1">
        <f t="array" aca="1" ref="X68" ca="1">OFFSET(INDIRECT("Sheet"&amp;U$2&amp;"!d1"),$G68-1,)</f>
        <v>5</v>
      </c>
      <c r="Y68" cm="1">
        <f t="array" aca="1" ref="Y68" ca="1">OFFSET(INDIRECT("Sheet"&amp;V$2&amp;"!d1"),$G68-1,)</f>
        <v>5</v>
      </c>
      <c r="AB68" s="3" cm="1">
        <f t="array" aca="1" ref="AB68" ca="1">OFFSET(INDIRECT("Sheet"&amp;E$2&amp;"!f1"),$G68-1,)</f>
        <v>0.32848217058926799</v>
      </c>
      <c r="AC68" s="3" cm="1">
        <f t="array" aca="1" ref="AC68" ca="1">OFFSET(INDIRECT("Sheet"&amp;F$2&amp;"!f1"),$G68-1,)</f>
        <v>5.0369614735245698E-2</v>
      </c>
      <c r="AD68" s="3" cm="1">
        <f t="array" aca="1" ref="AD68" ca="1">OFFSET(INDIRECT("Sheet"&amp;G$2&amp;"!f1"),$G68-1,)</f>
        <v>5.83320287987589E-2</v>
      </c>
      <c r="AE68" s="3" cm="1">
        <f t="array" aca="1" ref="AE68" ca="1">OFFSET(INDIRECT("Sheet"&amp;H$2&amp;"!f1"),$G68-1,)</f>
        <v>5.3945272229611797E-2</v>
      </c>
      <c r="AF68" s="3" cm="1">
        <f t="array" aca="1" ref="AF68" ca="1">OFFSET(INDIRECT("Sheet"&amp;I$2&amp;"!f1"),$G68-1,)</f>
        <v>28803.428641855699</v>
      </c>
      <c r="AG68" s="3" cm="1">
        <f t="array" aca="1" ref="AG68" ca="1">OFFSET(INDIRECT("Sheet"&amp;J$2&amp;"!f1"),$G68-1,)</f>
        <v>0.13280897401273201</v>
      </c>
      <c r="AH68" s="3" cm="1">
        <f t="array" aca="1" ref="AH68" ca="1">OFFSET(INDIRECT("Sheet"&amp;K$2&amp;"!f1"),$G68-1,)</f>
        <v>0.12220315700000101</v>
      </c>
      <c r="AI68" s="3" cm="1">
        <f t="array" aca="1" ref="AI68" ca="1">OFFSET(INDIRECT("Sheet"&amp;L$2&amp;"!f1"),$G68-1,)</f>
        <v>0.118438306999991</v>
      </c>
      <c r="AJ68" s="3" cm="1">
        <f t="array" aca="1" ref="AJ68" ca="1">OFFSET(INDIRECT("Sheet"&amp;M$2&amp;"!f1"),$G68-1,)</f>
        <v>0.172774327918887</v>
      </c>
      <c r="AK68" s="3" cm="1">
        <f t="array" aca="1" ref="AK68" ca="1">OFFSET(INDIRECT("Sheet"&amp;C$2&amp;"!f1"),$G68-1,)</f>
        <v>1.1300711380317801</v>
      </c>
      <c r="AL68" s="3" cm="1">
        <f t="array" aca="1" ref="AL68" ca="1">OFFSET(INDIRECT("Sheet"&amp;D$2&amp;"!f1"),$G68-1,)</f>
        <v>0.57773447781801202</v>
      </c>
      <c r="AM68" s="3" cm="1">
        <f t="array" aca="1" ref="AM68" ca="1">OFFSET(INDIRECT("Sheet"&amp;N$2&amp;"!f1"),$G68-1,)</f>
        <v>2.9677751166745998</v>
      </c>
      <c r="AN68" s="3" cm="1">
        <f t="array" aca="1" ref="AN68" ca="1">OFFSET(INDIRECT("Sheet"&amp;O$2&amp;"!f1"),$G68-1,)</f>
        <v>3.5720875253900801</v>
      </c>
      <c r="AO68" s="3" cm="1">
        <f t="array" aca="1" ref="AO68" ca="1">OFFSET(INDIRECT("Sheet"&amp;P$2&amp;"!f1"),$G68-1,)</f>
        <v>4.9838595539331401</v>
      </c>
      <c r="AP68" s="3" cm="1">
        <f t="array" aca="1" ref="AP68" ca="1">OFFSET(INDIRECT("Sheet"&amp;Q$2&amp;"!f1"),$G68-1,)</f>
        <v>1.4012319231405801</v>
      </c>
      <c r="AQ68" s="3" cm="1">
        <f t="array" aca="1" ref="AQ68" ca="1">OFFSET(INDIRECT("Sheet"&amp;R$2&amp;"!f1"),$G68-1,)</f>
        <v>2.2251676386222199</v>
      </c>
      <c r="AR68" s="3" cm="1">
        <f t="array" aca="1" ref="AR68" ca="1">OFFSET(INDIRECT("Sheet"&amp;S$2&amp;"!f1"),$G68-1,)</f>
        <v>2.2101005632430302</v>
      </c>
      <c r="AS68" s="3" cm="1">
        <f t="array" aca="1" ref="AS68" ca="1">OFFSET(INDIRECT("Sheet"&amp;T$2&amp;"!f1"),$G68-1,)</f>
        <v>3.2196114920079699</v>
      </c>
      <c r="AT68" s="3" cm="1">
        <f t="array" aca="1" ref="AT68" ca="1">OFFSET(INDIRECT("Sheet"&amp;U$2&amp;"!f1"),$G68-1,)</f>
        <v>3.0036910241469701</v>
      </c>
      <c r="AU68" s="3" cm="1">
        <f t="array" aca="1" ref="AU68" ca="1">OFFSET(INDIRECT("Sheet"&amp;V$2&amp;"!f1"),$G68-1,)</f>
        <v>4.5680401157587696</v>
      </c>
      <c r="AV68" s="3"/>
      <c r="AX68">
        <f ca="1">IF(H68=$F68,1,0)</f>
        <v>1</v>
      </c>
      <c r="AY68">
        <f ca="1">IF(I68=$F68,1,0)</f>
        <v>1</v>
      </c>
      <c r="AZ68">
        <f ca="1">IF(J68=$F68,1,0)</f>
        <v>1</v>
      </c>
      <c r="BA68">
        <f ca="1">IF(K68=$F68,1,0)</f>
        <v>1</v>
      </c>
      <c r="BB68">
        <f ca="1">IF(L68=$F68,1,0)</f>
        <v>0</v>
      </c>
      <c r="BC68">
        <f ca="1">IF(M68=$F68,1,0)</f>
        <v>1</v>
      </c>
      <c r="BD68">
        <f ca="1">IF(C68=$F68,1,0)</f>
        <v>1</v>
      </c>
      <c r="BE68">
        <f ca="1">IF(D68=$F68,1,0)</f>
        <v>1</v>
      </c>
      <c r="BF68">
        <f t="shared" ca="1" si="13"/>
        <v>1</v>
      </c>
      <c r="BG68">
        <f t="shared" ca="1" si="14"/>
        <v>1</v>
      </c>
      <c r="BH68">
        <f t="shared" ca="1" si="15"/>
        <v>1</v>
      </c>
      <c r="BI68">
        <f t="shared" ca="1" si="16"/>
        <v>1</v>
      </c>
      <c r="BJ68">
        <f t="shared" ca="1" si="24"/>
        <v>1</v>
      </c>
      <c r="BK68">
        <f t="shared" ca="1" si="24"/>
        <v>1</v>
      </c>
      <c r="BL68">
        <f t="shared" ca="1" si="24"/>
        <v>1</v>
      </c>
      <c r="BM68">
        <f t="shared" ca="1" si="18"/>
        <v>1</v>
      </c>
      <c r="BN68">
        <f t="shared" ca="1" si="19"/>
        <v>1</v>
      </c>
      <c r="BO68">
        <f t="shared" ca="1" si="20"/>
        <v>1</v>
      </c>
      <c r="BP68">
        <f t="shared" ca="1" si="21"/>
        <v>1</v>
      </c>
      <c r="BQ68">
        <f t="shared" ca="1" si="22"/>
        <v>1</v>
      </c>
    </row>
    <row r="69" spans="1:69" x14ac:dyDescent="0.2">
      <c r="A69" t="str">
        <f>Sheet3!A53</f>
        <v>[[23,2,7]]</v>
      </c>
      <c r="B69">
        <v>23</v>
      </c>
      <c r="C69" cm="1">
        <f t="array" aca="1" ref="C69" ca="1">OFFSET(INDIRECT("Sheet"&amp;K$2&amp;"!d1"),$G69-1,)</f>
        <v>7</v>
      </c>
      <c r="D69" cm="1">
        <f t="array" aca="1" ref="D69" ca="1">OFFSET(INDIRECT("Sheet"&amp;L$2&amp;"!d1"),$G69-1,)</f>
        <v>7</v>
      </c>
      <c r="E69">
        <v>2</v>
      </c>
      <c r="F69">
        <v>7</v>
      </c>
      <c r="G69">
        <f t="shared" si="23"/>
        <v>53</v>
      </c>
      <c r="H69" cm="1">
        <f t="array" aca="1" ref="H69" ca="1">OFFSET(INDIRECT("Sheet"&amp;E$2&amp;"!d1"),$G69-1,)</f>
        <v>7</v>
      </c>
      <c r="I69" cm="1">
        <f t="array" aca="1" ref="I69" ca="1">OFFSET(INDIRECT("Sheet"&amp;F$2&amp;"!d1"),$G69-1,)</f>
        <v>7</v>
      </c>
      <c r="J69" cm="1">
        <f t="array" aca="1" ref="J69" ca="1">OFFSET(INDIRECT("Sheet"&amp;G$2&amp;"!d1"),$G69-1,)</f>
        <v>7</v>
      </c>
      <c r="K69" cm="1">
        <f t="array" aca="1" ref="K69" ca="1">OFFSET(INDIRECT("Sheet"&amp;H$2&amp;"!d1"),$G69-1,)</f>
        <v>7</v>
      </c>
      <c r="L69" cm="1">
        <f t="array" aca="1" ref="L69" ca="1">OFFSET(INDIRECT("Sheet"&amp;I$2&amp;"!d1"),$G69-1,)</f>
        <v>0</v>
      </c>
      <c r="M69" cm="1">
        <f t="array" aca="1" ref="M69" ca="1">OFFSET(INDIRECT("Sheet"&amp;J$2&amp;"!d1"),$G69-1,)</f>
        <v>7</v>
      </c>
      <c r="N69" cm="1">
        <f t="array" aca="1" ref="N69" ca="1">OFFSET(INDIRECT("Sheet"&amp;M$2&amp;"!d1"),$G69-1,)</f>
        <v>7</v>
      </c>
      <c r="O69" cm="1">
        <f t="array" aca="1" ref="O69" ca="1">OFFSET(INDIRECT("Sheet"&amp;C$2&amp;"!d1"),$G69-1,)</f>
        <v>7</v>
      </c>
      <c r="P69" cm="1">
        <f t="array" aca="1" ref="P69" ca="1">OFFSET(INDIRECT("Sheet"&amp;D$2&amp;"!d1"),$G69-1,)</f>
        <v>7</v>
      </c>
      <c r="Q69" cm="1">
        <f t="array" aca="1" ref="Q69" ca="1">OFFSET(INDIRECT("Sheet"&amp;N$2&amp;"!d1"),$G69-1,)</f>
        <v>7</v>
      </c>
      <c r="R69" cm="1">
        <f t="array" aca="1" ref="R69" ca="1">OFFSET(INDIRECT("Sheet"&amp;O$2&amp;"!d1"),$G69-1,)</f>
        <v>7</v>
      </c>
      <c r="S69" cm="1">
        <f t="array" aca="1" ref="S69" ca="1">OFFSET(INDIRECT("Sheet"&amp;P$2&amp;"!d1"),$G69-1,)</f>
        <v>7</v>
      </c>
      <c r="T69" cm="1">
        <f t="array" aca="1" ref="T69" ca="1">OFFSET(INDIRECT("Sheet"&amp;Q$2&amp;"!d1"),$G69-1,)</f>
        <v>7</v>
      </c>
      <c r="U69" cm="1">
        <f t="array" aca="1" ref="U69" ca="1">OFFSET(INDIRECT("Sheet"&amp;R$2&amp;"!d1"),$G69-1,)</f>
        <v>7</v>
      </c>
      <c r="V69" cm="1">
        <f t="array" aca="1" ref="V69" ca="1">OFFSET(INDIRECT("Sheet"&amp;S$2&amp;"!d1"),$G69-1,)</f>
        <v>7</v>
      </c>
      <c r="W69" cm="1">
        <f t="array" aca="1" ref="W69" ca="1">OFFSET(INDIRECT("Sheet"&amp;T$2&amp;"!d1"),$G69-1,)</f>
        <v>7</v>
      </c>
      <c r="X69" cm="1">
        <f t="array" aca="1" ref="X69" ca="1">OFFSET(INDIRECT("Sheet"&amp;U$2&amp;"!d1"),$G69-1,)</f>
        <v>7</v>
      </c>
      <c r="Y69" cm="1">
        <f t="array" aca="1" ref="Y69" ca="1">OFFSET(INDIRECT("Sheet"&amp;V$2&amp;"!d1"),$G69-1,)</f>
        <v>7</v>
      </c>
      <c r="AB69" s="3" cm="1">
        <f t="array" aca="1" ref="AB69" ca="1">OFFSET(INDIRECT("Sheet"&amp;E$2&amp;"!f1"),$G69-1,)</f>
        <v>0.167406884022057</v>
      </c>
      <c r="AC69" s="3" cm="1">
        <f t="array" aca="1" ref="AC69" ca="1">OFFSET(INDIRECT("Sheet"&amp;F$2&amp;"!f1"),$G69-1,)</f>
        <v>0.22472984157502601</v>
      </c>
      <c r="AD69" s="3" cm="1">
        <f t="array" aca="1" ref="AD69" ca="1">OFFSET(INDIRECT("Sheet"&amp;G$2&amp;"!f1"),$G69-1,)</f>
        <v>3.7588599137961802E-2</v>
      </c>
      <c r="AE69" s="3" cm="1">
        <f t="array" aca="1" ref="AE69" ca="1">OFFSET(INDIRECT("Sheet"&amp;H$2&amp;"!f1"),$G69-1,)</f>
        <v>25.449986932799199</v>
      </c>
      <c r="AF69" s="3" cm="1">
        <f t="array" aca="1" ref="AF69" ca="1">OFFSET(INDIRECT("Sheet"&amp;I$2&amp;"!f1"),$G69-1,)</f>
        <v>28800.110930763101</v>
      </c>
      <c r="AG69" s="3" cm="1">
        <f t="array" aca="1" ref="AG69" ca="1">OFFSET(INDIRECT("Sheet"&amp;J$2&amp;"!f1"),$G69-1,)</f>
        <v>0.166930807754397</v>
      </c>
      <c r="AH69" s="3" cm="1">
        <f t="array" aca="1" ref="AH69" ca="1">OFFSET(INDIRECT("Sheet"&amp;K$2&amp;"!f1"),$G69-1,)</f>
        <v>0.15126133199999001</v>
      </c>
      <c r="AI69" s="3" cm="1">
        <f t="array" aca="1" ref="AI69" ca="1">OFFSET(INDIRECT("Sheet"&amp;L$2&amp;"!f1"),$G69-1,)</f>
        <v>0.15511763200001299</v>
      </c>
      <c r="AJ69" s="3" cm="1">
        <f t="array" aca="1" ref="AJ69" ca="1">OFFSET(INDIRECT("Sheet"&amp;M$2&amp;"!f1"),$G69-1,)</f>
        <v>0.20794854220002801</v>
      </c>
      <c r="AK69" s="3" cm="1">
        <f t="array" aca="1" ref="AK69" ca="1">OFFSET(INDIRECT("Sheet"&amp;C$2&amp;"!f1"),$G69-1,)</f>
        <v>4.3183910343795997</v>
      </c>
      <c r="AL69" s="3" cm="1">
        <f t="array" aca="1" ref="AL69" ca="1">OFFSET(INDIRECT("Sheet"&amp;D$2&amp;"!f1"),$G69-1,)</f>
        <v>8.7959127873182297</v>
      </c>
      <c r="AM69" s="3" cm="1">
        <f t="array" aca="1" ref="AM69" ca="1">OFFSET(INDIRECT("Sheet"&amp;N$2&amp;"!f1"),$G69-1,)</f>
        <v>2.8458884619176299</v>
      </c>
      <c r="AN69" s="3" cm="1">
        <f t="array" aca="1" ref="AN69" ca="1">OFFSET(INDIRECT("Sheet"&amp;O$2&amp;"!f1"),$G69-1,)</f>
        <v>3.47376021370291</v>
      </c>
      <c r="AO69" s="3" cm="1">
        <f t="array" aca="1" ref="AO69" ca="1">OFFSET(INDIRECT("Sheet"&amp;P$2&amp;"!f1"),$G69-1,)</f>
        <v>4.2750115478411299</v>
      </c>
      <c r="AP69" s="3" cm="1">
        <f t="array" aca="1" ref="AP69" ca="1">OFFSET(INDIRECT("Sheet"&amp;Q$2&amp;"!f1"),$G69-1,)</f>
        <v>1.31739287637174</v>
      </c>
      <c r="AQ69" s="3" cm="1">
        <f t="array" aca="1" ref="AQ69" ca="1">OFFSET(INDIRECT("Sheet"&amp;R$2&amp;"!f1"),$G69-1,)</f>
        <v>2.0985540067777002</v>
      </c>
      <c r="AR69" s="3" cm="1">
        <f t="array" aca="1" ref="AR69" ca="1">OFFSET(INDIRECT("Sheet"&amp;S$2&amp;"!f1"),$G69-1,)</f>
        <v>2.2161685256287398</v>
      </c>
      <c r="AS69" s="3" cm="1">
        <f t="array" aca="1" ref="AS69" ca="1">OFFSET(INDIRECT("Sheet"&amp;T$2&amp;"!f1"),$G69-1,)</f>
        <v>3.1148686753585899</v>
      </c>
      <c r="AT69" s="3" cm="1">
        <f t="array" aca="1" ref="AT69" ca="1">OFFSET(INDIRECT("Sheet"&amp;U$2&amp;"!f1"),$G69-1,)</f>
        <v>2.5804534880444399</v>
      </c>
      <c r="AU69" s="3" cm="1">
        <f t="array" aca="1" ref="AU69" ca="1">OFFSET(INDIRECT("Sheet"&amp;V$2&amp;"!f1"),$G69-1,)</f>
        <v>3.8543197549879502</v>
      </c>
      <c r="AV69" s="3"/>
      <c r="AX69">
        <f ca="1">IF(H69=$F69,1,0)</f>
        <v>1</v>
      </c>
      <c r="AY69">
        <f ca="1">IF(I69=$F69,1,0)</f>
        <v>1</v>
      </c>
      <c r="AZ69">
        <f ca="1">IF(J69=$F69,1,0)</f>
        <v>1</v>
      </c>
      <c r="BA69">
        <f ca="1">IF(K69=$F69,1,0)</f>
        <v>1</v>
      </c>
      <c r="BB69">
        <f ca="1">IF(L69=$F69,1,0)</f>
        <v>0</v>
      </c>
      <c r="BC69">
        <f ca="1">IF(M69=$F69,1,0)</f>
        <v>1</v>
      </c>
      <c r="BD69">
        <f ca="1">IF(C69=$F69,1,0)</f>
        <v>1</v>
      </c>
      <c r="BE69">
        <f ca="1">IF(D69=$F69,1,0)</f>
        <v>1</v>
      </c>
      <c r="BF69">
        <f t="shared" ca="1" si="13"/>
        <v>1</v>
      </c>
      <c r="BG69">
        <f t="shared" ca="1" si="14"/>
        <v>1</v>
      </c>
      <c r="BH69">
        <f t="shared" ca="1" si="15"/>
        <v>1</v>
      </c>
      <c r="BI69">
        <f t="shared" ca="1" si="16"/>
        <v>1</v>
      </c>
      <c r="BJ69">
        <f t="shared" ca="1" si="24"/>
        <v>1</v>
      </c>
      <c r="BK69">
        <f t="shared" ca="1" si="24"/>
        <v>1</v>
      </c>
      <c r="BL69">
        <f t="shared" ca="1" si="24"/>
        <v>1</v>
      </c>
      <c r="BM69">
        <f t="shared" ca="1" si="18"/>
        <v>1</v>
      </c>
      <c r="BN69">
        <f t="shared" ca="1" si="19"/>
        <v>1</v>
      </c>
      <c r="BO69">
        <f t="shared" ca="1" si="20"/>
        <v>1</v>
      </c>
      <c r="BP69">
        <f t="shared" ca="1" si="21"/>
        <v>1</v>
      </c>
      <c r="BQ69">
        <f t="shared" ca="1" si="22"/>
        <v>1</v>
      </c>
    </row>
    <row r="70" spans="1:69" x14ac:dyDescent="0.2">
      <c r="A70" t="str">
        <f>Sheet3!A54</f>
        <v>[[24,8,5]]</v>
      </c>
      <c r="B70">
        <v>24</v>
      </c>
      <c r="C70" cm="1">
        <f t="array" aca="1" ref="C70" ca="1">OFFSET(INDIRECT("Sheet"&amp;K$2&amp;"!d1"),$G70-1,)</f>
        <v>5</v>
      </c>
      <c r="D70" cm="1">
        <f t="array" aca="1" ref="D70" ca="1">OFFSET(INDIRECT("Sheet"&amp;L$2&amp;"!d1"),$G70-1,)</f>
        <v>5</v>
      </c>
      <c r="E70">
        <v>8</v>
      </c>
      <c r="F70">
        <v>5</v>
      </c>
      <c r="G70">
        <f t="shared" si="23"/>
        <v>54</v>
      </c>
      <c r="H70" cm="1">
        <f t="array" aca="1" ref="H70" ca="1">OFFSET(INDIRECT("Sheet"&amp;E$2&amp;"!d1"),$G70-1,)</f>
        <v>5</v>
      </c>
      <c r="I70" cm="1">
        <f t="array" aca="1" ref="I70" ca="1">OFFSET(INDIRECT("Sheet"&amp;F$2&amp;"!d1"),$G70-1,)</f>
        <v>5</v>
      </c>
      <c r="J70" cm="1">
        <f t="array" aca="1" ref="J70" ca="1">OFFSET(INDIRECT("Sheet"&amp;G$2&amp;"!d1"),$G70-1,)</f>
        <v>5</v>
      </c>
      <c r="K70" cm="1">
        <f t="array" aca="1" ref="K70" ca="1">OFFSET(INDIRECT("Sheet"&amp;H$2&amp;"!d1"),$G70-1,)</f>
        <v>5</v>
      </c>
      <c r="L70" cm="1">
        <f t="array" aca="1" ref="L70" ca="1">OFFSET(INDIRECT("Sheet"&amp;I$2&amp;"!d1"),$G70-1,)</f>
        <v>0</v>
      </c>
      <c r="M70" cm="1">
        <f t="array" aca="1" ref="M70" ca="1">OFFSET(INDIRECT("Sheet"&amp;J$2&amp;"!d1"),$G70-1,)</f>
        <v>5</v>
      </c>
      <c r="N70" cm="1">
        <f t="array" aca="1" ref="N70" ca="1">OFFSET(INDIRECT("Sheet"&amp;M$2&amp;"!d1"),$G70-1,)</f>
        <v>5</v>
      </c>
      <c r="O70" cm="1">
        <f t="array" aca="1" ref="O70" ca="1">OFFSET(INDIRECT("Sheet"&amp;C$2&amp;"!d1"),$G70-1,)</f>
        <v>5</v>
      </c>
      <c r="P70" cm="1">
        <f t="array" aca="1" ref="P70" ca="1">OFFSET(INDIRECT("Sheet"&amp;D$2&amp;"!d1"),$G70-1,)</f>
        <v>5</v>
      </c>
      <c r="Q70" cm="1">
        <f t="array" aca="1" ref="Q70" ca="1">OFFSET(INDIRECT("Sheet"&amp;N$2&amp;"!d1"),$G70-1,)</f>
        <v>5</v>
      </c>
      <c r="R70" cm="1">
        <f t="array" aca="1" ref="R70" ca="1">OFFSET(INDIRECT("Sheet"&amp;O$2&amp;"!d1"),$G70-1,)</f>
        <v>5</v>
      </c>
      <c r="S70" cm="1">
        <f t="array" aca="1" ref="S70" ca="1">OFFSET(INDIRECT("Sheet"&amp;P$2&amp;"!d1"),$G70-1,)</f>
        <v>5</v>
      </c>
      <c r="T70" cm="1">
        <f t="array" aca="1" ref="T70" ca="1">OFFSET(INDIRECT("Sheet"&amp;Q$2&amp;"!d1"),$G70-1,)</f>
        <v>5</v>
      </c>
      <c r="U70" cm="1">
        <f t="array" aca="1" ref="U70" ca="1">OFFSET(INDIRECT("Sheet"&amp;R$2&amp;"!d1"),$G70-1,)</f>
        <v>5</v>
      </c>
      <c r="V70" cm="1">
        <f t="array" aca="1" ref="V70" ca="1">OFFSET(INDIRECT("Sheet"&amp;S$2&amp;"!d1"),$G70-1,)</f>
        <v>5</v>
      </c>
      <c r="W70" cm="1">
        <f t="array" aca="1" ref="W70" ca="1">OFFSET(INDIRECT("Sheet"&amp;T$2&amp;"!d1"),$G70-1,)</f>
        <v>5</v>
      </c>
      <c r="X70" cm="1">
        <f t="array" aca="1" ref="X70" ca="1">OFFSET(INDIRECT("Sheet"&amp;U$2&amp;"!d1"),$G70-1,)</f>
        <v>5</v>
      </c>
      <c r="Y70" cm="1">
        <f t="array" aca="1" ref="Y70" ca="1">OFFSET(INDIRECT("Sheet"&amp;V$2&amp;"!d1"),$G70-1,)</f>
        <v>5</v>
      </c>
      <c r="AB70" s="3" cm="1">
        <f t="array" aca="1" ref="AB70" ca="1">OFFSET(INDIRECT("Sheet"&amp;E$2&amp;"!f1"),$G70-1,)</f>
        <v>0.56945125106722105</v>
      </c>
      <c r="AC70" s="3" cm="1">
        <f t="array" aca="1" ref="AC70" ca="1">OFFSET(INDIRECT("Sheet"&amp;F$2&amp;"!f1"),$G70-1,)</f>
        <v>8.4098509512841702E-2</v>
      </c>
      <c r="AD70" s="3" cm="1">
        <f t="array" aca="1" ref="AD70" ca="1">OFFSET(INDIRECT("Sheet"&amp;G$2&amp;"!f1"),$G70-1,)</f>
        <v>8.9682542718946906E-2</v>
      </c>
      <c r="AE70" s="3" cm="1">
        <f t="array" aca="1" ref="AE70" ca="1">OFFSET(INDIRECT("Sheet"&amp;H$2&amp;"!f1"),$G70-1,)</f>
        <v>6.5455300733447006E-2</v>
      </c>
      <c r="AF70" s="3" cm="1">
        <f t="array" aca="1" ref="AF70" ca="1">OFFSET(INDIRECT("Sheet"&amp;I$2&amp;"!f1"),$G70-1,)</f>
        <v>28800.112229362101</v>
      </c>
      <c r="AG70" s="3" cm="1">
        <f t="array" aca="1" ref="AG70" ca="1">OFFSET(INDIRECT("Sheet"&amp;J$2&amp;"!f1"),$G70-1,)</f>
        <v>0.14748085383325801</v>
      </c>
      <c r="AH70" s="3" cm="1">
        <f t="array" aca="1" ref="AH70" ca="1">OFFSET(INDIRECT("Sheet"&amp;K$2&amp;"!f1"),$G70-1,)</f>
        <v>0.13438106000000899</v>
      </c>
      <c r="AI70" s="3" cm="1">
        <f t="array" aca="1" ref="AI70" ca="1">OFFSET(INDIRECT("Sheet"&amp;L$2&amp;"!f1"),$G70-1,)</f>
        <v>0.13388816299999401</v>
      </c>
      <c r="AJ70" s="3" cm="1">
        <f t="array" aca="1" ref="AJ70" ca="1">OFFSET(INDIRECT("Sheet"&amp;M$2&amp;"!f1"),$G70-1,)</f>
        <v>0.191198577173054</v>
      </c>
      <c r="AK70" s="3" cm="1">
        <f t="array" aca="1" ref="AK70" ca="1">OFFSET(INDIRECT("Sheet"&amp;C$2&amp;"!f1"),$G70-1,)</f>
        <v>1.66312474850565</v>
      </c>
      <c r="AL70" s="3" cm="1">
        <f t="array" aca="1" ref="AL70" ca="1">OFFSET(INDIRECT("Sheet"&amp;D$2&amp;"!f1"),$G70-1,)</f>
        <v>0.92048697266727597</v>
      </c>
      <c r="AM70" s="3" cm="1">
        <f t="array" aca="1" ref="AM70" ca="1">OFFSET(INDIRECT("Sheet"&amp;N$2&amp;"!f1"),$G70-1,)</f>
        <v>3.30280963052064</v>
      </c>
      <c r="AN70" s="3" cm="1">
        <f t="array" aca="1" ref="AN70" ca="1">OFFSET(INDIRECT("Sheet"&amp;O$2&amp;"!f1"),$G70-1,)</f>
        <v>4.1310460455715603</v>
      </c>
      <c r="AO70" s="3" cm="1">
        <f t="array" aca="1" ref="AO70" ca="1">OFFSET(INDIRECT("Sheet"&amp;P$2&amp;"!f1"),$G70-1,)</f>
        <v>5.6741417488083199</v>
      </c>
      <c r="AP70" s="3" cm="1">
        <f t="array" aca="1" ref="AP70" ca="1">OFFSET(INDIRECT("Sheet"&amp;Q$2&amp;"!f1"),$G70-1,)</f>
        <v>1.5356000876054099</v>
      </c>
      <c r="AQ70" s="3" cm="1">
        <f t="array" aca="1" ref="AQ70" ca="1">OFFSET(INDIRECT("Sheet"&amp;R$2&amp;"!f1"),$G70-1,)</f>
        <v>2.5903482660651198</v>
      </c>
      <c r="AR70" s="3" cm="1">
        <f t="array" aca="1" ref="AR70" ca="1">OFFSET(INDIRECT("Sheet"&amp;S$2&amp;"!f1"),$G70-1,)</f>
        <v>2.45920024998486</v>
      </c>
      <c r="AS70" s="3" cm="1">
        <f t="array" aca="1" ref="AS70" ca="1">OFFSET(INDIRECT("Sheet"&amp;T$2&amp;"!f1"),$G70-1,)</f>
        <v>3.8131338590756001</v>
      </c>
      <c r="AT70" s="3" cm="1">
        <f t="array" aca="1" ref="AT70" ca="1">OFFSET(INDIRECT("Sheet"&amp;U$2&amp;"!f1"),$G70-1,)</f>
        <v>3.36042748205363</v>
      </c>
      <c r="AU70" s="3" cm="1">
        <f t="array" aca="1" ref="AU70" ca="1">OFFSET(INDIRECT("Sheet"&amp;V$2&amp;"!f1"),$G70-1,)</f>
        <v>5.3457356970757202</v>
      </c>
      <c r="AV70" s="3"/>
      <c r="AX70">
        <f ca="1">IF(H70=$F70,1,0)</f>
        <v>1</v>
      </c>
      <c r="AY70">
        <f ca="1">IF(I70=$F70,1,0)</f>
        <v>1</v>
      </c>
      <c r="AZ70">
        <f ca="1">IF(J70=$F70,1,0)</f>
        <v>1</v>
      </c>
      <c r="BA70">
        <f ca="1">IF(K70=$F70,1,0)</f>
        <v>1</v>
      </c>
      <c r="BB70">
        <f ca="1">IF(L70=$F70,1,0)</f>
        <v>0</v>
      </c>
      <c r="BC70">
        <f ca="1">IF(M70=$F70,1,0)</f>
        <v>1</v>
      </c>
      <c r="BD70">
        <f ca="1">IF(C70=$F70,1,0)</f>
        <v>1</v>
      </c>
      <c r="BE70">
        <f ca="1">IF(D70=$F70,1,0)</f>
        <v>1</v>
      </c>
      <c r="BF70">
        <f t="shared" ca="1" si="13"/>
        <v>1</v>
      </c>
      <c r="BG70">
        <f t="shared" ca="1" si="14"/>
        <v>1</v>
      </c>
      <c r="BH70">
        <f t="shared" ca="1" si="15"/>
        <v>1</v>
      </c>
      <c r="BI70">
        <f t="shared" ca="1" si="16"/>
        <v>1</v>
      </c>
      <c r="BJ70">
        <f t="shared" ca="1" si="24"/>
        <v>1</v>
      </c>
      <c r="BK70">
        <f t="shared" ca="1" si="24"/>
        <v>1</v>
      </c>
      <c r="BL70">
        <f t="shared" ca="1" si="24"/>
        <v>1</v>
      </c>
      <c r="BM70">
        <f t="shared" ca="1" si="18"/>
        <v>1</v>
      </c>
      <c r="BN70">
        <f t="shared" ca="1" si="19"/>
        <v>1</v>
      </c>
      <c r="BO70">
        <f t="shared" ca="1" si="20"/>
        <v>1</v>
      </c>
      <c r="BP70">
        <f t="shared" ca="1" si="21"/>
        <v>1</v>
      </c>
      <c r="BQ70">
        <f t="shared" ca="1" si="22"/>
        <v>1</v>
      </c>
    </row>
    <row r="71" spans="1:69" x14ac:dyDescent="0.2">
      <c r="A71" t="str">
        <f>Sheet3!A55</f>
        <v>[[25,8,5]]</v>
      </c>
      <c r="B71">
        <v>25</v>
      </c>
      <c r="C71" cm="1">
        <f t="array" aca="1" ref="C71" ca="1">OFFSET(INDIRECT("Sheet"&amp;K$2&amp;"!d1"),$G71-1,)</f>
        <v>5</v>
      </c>
      <c r="D71" cm="1">
        <f t="array" aca="1" ref="D71" ca="1">OFFSET(INDIRECT("Sheet"&amp;L$2&amp;"!d1"),$G71-1,)</f>
        <v>5</v>
      </c>
      <c r="E71">
        <v>8</v>
      </c>
      <c r="F71">
        <v>5</v>
      </c>
      <c r="G71">
        <f t="shared" si="23"/>
        <v>55</v>
      </c>
      <c r="H71" cm="1">
        <f t="array" aca="1" ref="H71" ca="1">OFFSET(INDIRECT("Sheet"&amp;E$2&amp;"!d1"),$G71-1,)</f>
        <v>5</v>
      </c>
      <c r="I71" cm="1">
        <f t="array" aca="1" ref="I71" ca="1">OFFSET(INDIRECT("Sheet"&amp;F$2&amp;"!d1"),$G71-1,)</f>
        <v>5</v>
      </c>
      <c r="J71" cm="1">
        <f t="array" aca="1" ref="J71" ca="1">OFFSET(INDIRECT("Sheet"&amp;G$2&amp;"!d1"),$G71-1,)</f>
        <v>5</v>
      </c>
      <c r="K71" cm="1">
        <f t="array" aca="1" ref="K71" ca="1">OFFSET(INDIRECT("Sheet"&amp;H$2&amp;"!d1"),$G71-1,)</f>
        <v>5</v>
      </c>
      <c r="L71" cm="1">
        <f t="array" aca="1" ref="L71" ca="1">OFFSET(INDIRECT("Sheet"&amp;I$2&amp;"!d1"),$G71-1,)</f>
        <v>0</v>
      </c>
      <c r="M71" cm="1">
        <f t="array" aca="1" ref="M71" ca="1">OFFSET(INDIRECT("Sheet"&amp;J$2&amp;"!d1"),$G71-1,)</f>
        <v>5</v>
      </c>
      <c r="N71" cm="1">
        <f t="array" aca="1" ref="N71" ca="1">OFFSET(INDIRECT("Sheet"&amp;M$2&amp;"!d1"),$G71-1,)</f>
        <v>5</v>
      </c>
      <c r="O71" cm="1">
        <f t="array" aca="1" ref="O71" ca="1">OFFSET(INDIRECT("Sheet"&amp;C$2&amp;"!d1"),$G71-1,)</f>
        <v>5</v>
      </c>
      <c r="P71" cm="1">
        <f t="array" aca="1" ref="P71" ca="1">OFFSET(INDIRECT("Sheet"&amp;D$2&amp;"!d1"),$G71-1,)</f>
        <v>5</v>
      </c>
      <c r="Q71" cm="1">
        <f t="array" aca="1" ref="Q71" ca="1">OFFSET(INDIRECT("Sheet"&amp;N$2&amp;"!d1"),$G71-1,)</f>
        <v>5</v>
      </c>
      <c r="R71" cm="1">
        <f t="array" aca="1" ref="R71" ca="1">OFFSET(INDIRECT("Sheet"&amp;O$2&amp;"!d1"),$G71-1,)</f>
        <v>5</v>
      </c>
      <c r="S71" cm="1">
        <f t="array" aca="1" ref="S71" ca="1">OFFSET(INDIRECT("Sheet"&amp;P$2&amp;"!d1"),$G71-1,)</f>
        <v>5</v>
      </c>
      <c r="T71" cm="1">
        <f t="array" aca="1" ref="T71" ca="1">OFFSET(INDIRECT("Sheet"&amp;Q$2&amp;"!d1"),$G71-1,)</f>
        <v>5</v>
      </c>
      <c r="U71" cm="1">
        <f t="array" aca="1" ref="U71" ca="1">OFFSET(INDIRECT("Sheet"&amp;R$2&amp;"!d1"),$G71-1,)</f>
        <v>5</v>
      </c>
      <c r="V71" cm="1">
        <f t="array" aca="1" ref="V71" ca="1">OFFSET(INDIRECT("Sheet"&amp;S$2&amp;"!d1"),$G71-1,)</f>
        <v>5</v>
      </c>
      <c r="W71" cm="1">
        <f t="array" aca="1" ref="W71" ca="1">OFFSET(INDIRECT("Sheet"&amp;T$2&amp;"!d1"),$G71-1,)</f>
        <v>5</v>
      </c>
      <c r="X71" cm="1">
        <f t="array" aca="1" ref="X71" ca="1">OFFSET(INDIRECT("Sheet"&amp;U$2&amp;"!d1"),$G71-1,)</f>
        <v>5</v>
      </c>
      <c r="Y71" cm="1">
        <f t="array" aca="1" ref="Y71" ca="1">OFFSET(INDIRECT("Sheet"&amp;V$2&amp;"!d1"),$G71-1,)</f>
        <v>5</v>
      </c>
      <c r="AB71" s="3" cm="1">
        <f t="array" aca="1" ref="AB71" ca="1">OFFSET(INDIRECT("Sheet"&amp;E$2&amp;"!f1"),$G71-1,)</f>
        <v>0.64561058301478602</v>
      </c>
      <c r="AC71" s="3" cm="1">
        <f t="array" aca="1" ref="AC71" ca="1">OFFSET(INDIRECT("Sheet"&amp;F$2&amp;"!f1"),$G71-1,)</f>
        <v>0.10301293153315701</v>
      </c>
      <c r="AD71" s="3" cm="1">
        <f t="array" aca="1" ref="AD71" ca="1">OFFSET(INDIRECT("Sheet"&amp;G$2&amp;"!f1"),$G71-1,)</f>
        <v>0.107175817713141</v>
      </c>
      <c r="AE71" s="3" cm="1">
        <f t="array" aca="1" ref="AE71" ca="1">OFFSET(INDIRECT("Sheet"&amp;H$2&amp;"!f1"),$G71-1,)</f>
        <v>6.4647968858480398E-2</v>
      </c>
      <c r="AF71" s="3" cm="1">
        <f t="array" aca="1" ref="AF71" ca="1">OFFSET(INDIRECT("Sheet"&amp;I$2&amp;"!f1"),$G71-1,)</f>
        <v>28800.113644048499</v>
      </c>
      <c r="AG71" s="3" cm="1">
        <f t="array" aca="1" ref="AG71" ca="1">OFFSET(INDIRECT("Sheet"&amp;J$2&amp;"!f1"),$G71-1,)</f>
        <v>0.157631914131343</v>
      </c>
      <c r="AH71" s="3" cm="1">
        <f t="array" aca="1" ref="AH71" ca="1">OFFSET(INDIRECT("Sheet"&amp;K$2&amp;"!f1"),$G71-1,)</f>
        <v>0.14781709199999599</v>
      </c>
      <c r="AI71" s="3" cm="1">
        <f t="array" aca="1" ref="AI71" ca="1">OFFSET(INDIRECT("Sheet"&amp;L$2&amp;"!f1"),$G71-1,)</f>
        <v>0.14756615499999201</v>
      </c>
      <c r="AJ71" s="3" cm="1">
        <f t="array" aca="1" ref="AJ71" ca="1">OFFSET(INDIRECT("Sheet"&amp;M$2&amp;"!f1"),$G71-1,)</f>
        <v>0.21511321049183599</v>
      </c>
      <c r="AK71" s="3" cm="1">
        <f t="array" aca="1" ref="AK71" ca="1">OFFSET(INDIRECT("Sheet"&amp;C$2&amp;"!f1"),$G71-1,)</f>
        <v>1.95494180265814</v>
      </c>
      <c r="AL71" s="3" cm="1">
        <f t="array" aca="1" ref="AL71" ca="1">OFFSET(INDIRECT("Sheet"&amp;D$2&amp;"!f1"),$G71-1,)</f>
        <v>0.85945142246782702</v>
      </c>
      <c r="AM71" s="3" cm="1">
        <f t="array" aca="1" ref="AM71" ca="1">OFFSET(INDIRECT("Sheet"&amp;N$2&amp;"!f1"),$G71-1,)</f>
        <v>3.37064032629132</v>
      </c>
      <c r="AN71" s="3" cm="1">
        <f t="array" aca="1" ref="AN71" ca="1">OFFSET(INDIRECT("Sheet"&amp;O$2&amp;"!f1"),$G71-1,)</f>
        <v>4.2926199529320002</v>
      </c>
      <c r="AO71" s="3" cm="1">
        <f t="array" aca="1" ref="AO71" ca="1">OFFSET(INDIRECT("Sheet"&amp;P$2&amp;"!f1"),$G71-1,)</f>
        <v>5.8678578408434898</v>
      </c>
      <c r="AP71" s="3" cm="1">
        <f t="array" aca="1" ref="AP71" ca="1">OFFSET(INDIRECT("Sheet"&amp;Q$2&amp;"!f1"),$G71-1,)</f>
        <v>1.58848895039409</v>
      </c>
      <c r="AQ71" s="3" cm="1">
        <f t="array" aca="1" ref="AQ71" ca="1">OFFSET(INDIRECT("Sheet"&amp;R$2&amp;"!f1"),$G71-1,)</f>
        <v>2.6773603148758398</v>
      </c>
      <c r="AR71" s="3" cm="1">
        <f t="array" aca="1" ref="AR71" ca="1">OFFSET(INDIRECT("Sheet"&amp;S$2&amp;"!f1"),$G71-1,)</f>
        <v>2.59062330145388</v>
      </c>
      <c r="AS71" s="3" cm="1">
        <f t="array" aca="1" ref="AS71" ca="1">OFFSET(INDIRECT("Sheet"&amp;T$2&amp;"!f1"),$G71-1,)</f>
        <v>3.9977229302749002</v>
      </c>
      <c r="AT71" s="3" cm="1">
        <f t="array" aca="1" ref="AT71" ca="1">OFFSET(INDIRECT("Sheet"&amp;U$2&amp;"!f1"),$G71-1,)</f>
        <v>3.5285632070153898</v>
      </c>
      <c r="AU71" s="3" cm="1">
        <f t="array" aca="1" ref="AU71" ca="1">OFFSET(INDIRECT("Sheet"&amp;V$2&amp;"!f1"),$G71-1,)</f>
        <v>5.5767219634726599</v>
      </c>
      <c r="AV71" s="3"/>
      <c r="AX71">
        <f ca="1">IF(H71=$F71,1,0)</f>
        <v>1</v>
      </c>
      <c r="AY71">
        <f ca="1">IF(I71=$F71,1,0)</f>
        <v>1</v>
      </c>
      <c r="AZ71">
        <f ca="1">IF(J71=$F71,1,0)</f>
        <v>1</v>
      </c>
      <c r="BA71">
        <f ca="1">IF(K71=$F71,1,0)</f>
        <v>1</v>
      </c>
      <c r="BB71">
        <f ca="1">IF(L71=$F71,1,0)</f>
        <v>0</v>
      </c>
      <c r="BC71">
        <f ca="1">IF(M71=$F71,1,0)</f>
        <v>1</v>
      </c>
      <c r="BD71">
        <f ca="1">IF(C71=$F71,1,0)</f>
        <v>1</v>
      </c>
      <c r="BE71">
        <f ca="1">IF(D71=$F71,1,0)</f>
        <v>1</v>
      </c>
      <c r="BF71">
        <f t="shared" ca="1" si="13"/>
        <v>1</v>
      </c>
      <c r="BG71">
        <f t="shared" ca="1" si="14"/>
        <v>1</v>
      </c>
      <c r="BH71">
        <f t="shared" ca="1" si="15"/>
        <v>1</v>
      </c>
      <c r="BI71">
        <f t="shared" ca="1" si="16"/>
        <v>1</v>
      </c>
      <c r="BJ71">
        <f t="shared" ca="1" si="24"/>
        <v>1</v>
      </c>
      <c r="BK71">
        <f t="shared" ca="1" si="24"/>
        <v>1</v>
      </c>
      <c r="BL71">
        <f t="shared" ca="1" si="24"/>
        <v>1</v>
      </c>
      <c r="BM71">
        <f t="shared" ca="1" si="18"/>
        <v>1</v>
      </c>
      <c r="BN71">
        <f t="shared" ca="1" si="19"/>
        <v>1</v>
      </c>
      <c r="BO71">
        <f t="shared" ca="1" si="20"/>
        <v>1</v>
      </c>
      <c r="BP71">
        <f t="shared" ca="1" si="21"/>
        <v>1</v>
      </c>
      <c r="BQ71">
        <f t="shared" ca="1" si="22"/>
        <v>1</v>
      </c>
    </row>
    <row r="72" spans="1:69" x14ac:dyDescent="0.2">
      <c r="A72" t="str">
        <f>Sheet3!A56</f>
        <v>[[26,6,6]]</v>
      </c>
      <c r="B72">
        <v>26</v>
      </c>
      <c r="C72" cm="1">
        <f t="array" aca="1" ref="C72" ca="1">OFFSET(INDIRECT("Sheet"&amp;K$2&amp;"!d1"),$G72-1,)</f>
        <v>6</v>
      </c>
      <c r="D72" cm="1">
        <f t="array" aca="1" ref="D72" ca="1">OFFSET(INDIRECT("Sheet"&amp;L$2&amp;"!d1"),$G72-1,)</f>
        <v>6</v>
      </c>
      <c r="E72">
        <v>6</v>
      </c>
      <c r="F72">
        <v>6</v>
      </c>
      <c r="G72">
        <f t="shared" si="23"/>
        <v>56</v>
      </c>
      <c r="H72" cm="1">
        <f t="array" aca="1" ref="H72" ca="1">OFFSET(INDIRECT("Sheet"&amp;E$2&amp;"!d1"),$G72-1,)</f>
        <v>6</v>
      </c>
      <c r="I72" cm="1">
        <f t="array" aca="1" ref="I72" ca="1">OFFSET(INDIRECT("Sheet"&amp;F$2&amp;"!d1"),$G72-1,)</f>
        <v>6</v>
      </c>
      <c r="J72" cm="1">
        <f t="array" aca="1" ref="J72" ca="1">OFFSET(INDIRECT("Sheet"&amp;G$2&amp;"!d1"),$G72-1,)</f>
        <v>6</v>
      </c>
      <c r="K72" cm="1">
        <f t="array" aca="1" ref="K72" ca="1">OFFSET(INDIRECT("Sheet"&amp;H$2&amp;"!d1"),$G72-1,)</f>
        <v>6</v>
      </c>
      <c r="L72" cm="1">
        <f t="array" aca="1" ref="L72" ca="1">OFFSET(INDIRECT("Sheet"&amp;I$2&amp;"!d1"),$G72-1,)</f>
        <v>0</v>
      </c>
      <c r="M72" cm="1">
        <f t="array" aca="1" ref="M72" ca="1">OFFSET(INDIRECT("Sheet"&amp;J$2&amp;"!d1"),$G72-1,)</f>
        <v>6</v>
      </c>
      <c r="N72" cm="1">
        <f t="array" aca="1" ref="N72" ca="1">OFFSET(INDIRECT("Sheet"&amp;M$2&amp;"!d1"),$G72-1,)</f>
        <v>6</v>
      </c>
      <c r="O72" cm="1">
        <f t="array" aca="1" ref="O72" ca="1">OFFSET(INDIRECT("Sheet"&amp;C$2&amp;"!d1"),$G72-1,)</f>
        <v>6</v>
      </c>
      <c r="P72" cm="1">
        <f t="array" aca="1" ref="P72" ca="1">OFFSET(INDIRECT("Sheet"&amp;D$2&amp;"!d1"),$G72-1,)</f>
        <v>6</v>
      </c>
      <c r="Q72" cm="1">
        <f t="array" aca="1" ref="Q72" ca="1">OFFSET(INDIRECT("Sheet"&amp;N$2&amp;"!d1"),$G72-1,)</f>
        <v>6</v>
      </c>
      <c r="R72" cm="1">
        <f t="array" aca="1" ref="R72" ca="1">OFFSET(INDIRECT("Sheet"&amp;O$2&amp;"!d1"),$G72-1,)</f>
        <v>6</v>
      </c>
      <c r="S72" cm="1">
        <f t="array" aca="1" ref="S72" ca="1">OFFSET(INDIRECT("Sheet"&amp;P$2&amp;"!d1"),$G72-1,)</f>
        <v>6</v>
      </c>
      <c r="T72" cm="1">
        <f t="array" aca="1" ref="T72" ca="1">OFFSET(INDIRECT("Sheet"&amp;Q$2&amp;"!d1"),$G72-1,)</f>
        <v>6</v>
      </c>
      <c r="U72" cm="1">
        <f t="array" aca="1" ref="U72" ca="1">OFFSET(INDIRECT("Sheet"&amp;R$2&amp;"!d1"),$G72-1,)</f>
        <v>6</v>
      </c>
      <c r="V72" cm="1">
        <f t="array" aca="1" ref="V72" ca="1">OFFSET(INDIRECT("Sheet"&amp;S$2&amp;"!d1"),$G72-1,)</f>
        <v>6</v>
      </c>
      <c r="W72" cm="1">
        <f t="array" aca="1" ref="W72" ca="1">OFFSET(INDIRECT("Sheet"&amp;T$2&amp;"!d1"),$G72-1,)</f>
        <v>6</v>
      </c>
      <c r="X72" cm="1">
        <f t="array" aca="1" ref="X72" ca="1">OFFSET(INDIRECT("Sheet"&amp;U$2&amp;"!d1"),$G72-1,)</f>
        <v>6</v>
      </c>
      <c r="Y72" cm="1">
        <f t="array" aca="1" ref="Y72" ca="1">OFFSET(INDIRECT("Sheet"&amp;V$2&amp;"!d1"),$G72-1,)</f>
        <v>6</v>
      </c>
      <c r="AB72" s="3" cm="1">
        <f t="array" aca="1" ref="AB72" ca="1">OFFSET(INDIRECT("Sheet"&amp;E$2&amp;"!f1"),$G72-1,)</f>
        <v>3.6392468148842401</v>
      </c>
      <c r="AC72" s="3" cm="1">
        <f t="array" aca="1" ref="AC72" ca="1">OFFSET(INDIRECT("Sheet"&amp;F$2&amp;"!f1"),$G72-1,)</f>
        <v>0.36420888453722</v>
      </c>
      <c r="AD72" s="3" cm="1">
        <f t="array" aca="1" ref="AD72" ca="1">OFFSET(INDIRECT("Sheet"&amp;G$2&amp;"!f1"),$G72-1,)</f>
        <v>0.40039758663624497</v>
      </c>
      <c r="AE72" s="3" cm="1">
        <f t="array" aca="1" ref="AE72" ca="1">OFFSET(INDIRECT("Sheet"&amp;H$2&amp;"!f1"),$G72-1,)</f>
        <v>2.2800810802727902</v>
      </c>
      <c r="AF72" s="3" cm="1">
        <f t="array" aca="1" ref="AF72" ca="1">OFFSET(INDIRECT("Sheet"&amp;I$2&amp;"!f1"),$G72-1,)</f>
        <v>28802.739547371799</v>
      </c>
      <c r="AG72" s="3" cm="1">
        <f t="array" aca="1" ref="AG72" ca="1">OFFSET(INDIRECT("Sheet"&amp;J$2&amp;"!f1"),$G72-1,)</f>
        <v>0.177405616268515</v>
      </c>
      <c r="AH72" s="3" cm="1">
        <f t="array" aca="1" ref="AH72" ca="1">OFFSET(INDIRECT("Sheet"&amp;K$2&amp;"!f1"),$G72-1,)</f>
        <v>0.159989461999998</v>
      </c>
      <c r="AI72" s="3" cm="1">
        <f t="array" aca="1" ref="AI72" ca="1">OFFSET(INDIRECT("Sheet"&amp;L$2&amp;"!f1"),$G72-1,)</f>
        <v>0.15997577799998899</v>
      </c>
      <c r="AJ72" s="3" cm="1">
        <f t="array" aca="1" ref="AJ72" ca="1">OFFSET(INDIRECT("Sheet"&amp;M$2&amp;"!f1"),$G72-1,)</f>
        <v>0.23455656692385601</v>
      </c>
      <c r="AK72" s="3" cm="1">
        <f t="array" aca="1" ref="AK72" ca="1">OFFSET(INDIRECT("Sheet"&amp;C$2&amp;"!f1"),$G72-1,)</f>
        <v>4.8920487351715503</v>
      </c>
      <c r="AL72" s="3" cm="1">
        <f t="array" aca="1" ref="AL72" ca="1">OFFSET(INDIRECT("Sheet"&amp;D$2&amp;"!f1"),$G72-1,)</f>
        <v>3.4845665944740101</v>
      </c>
      <c r="AM72" s="3" cm="1">
        <f t="array" aca="1" ref="AM72" ca="1">OFFSET(INDIRECT("Sheet"&amp;N$2&amp;"!f1"),$G72-1,)</f>
        <v>3.2488272124901401</v>
      </c>
      <c r="AN72" s="3" cm="1">
        <f t="array" aca="1" ref="AN72" ca="1">OFFSET(INDIRECT("Sheet"&amp;O$2&amp;"!f1"),$G72-1,)</f>
        <v>4.1840110495686504</v>
      </c>
      <c r="AO72" s="3" cm="1">
        <f t="array" aca="1" ref="AO72" ca="1">OFFSET(INDIRECT("Sheet"&amp;P$2&amp;"!f1"),$G72-1,)</f>
        <v>5.5501268142834297</v>
      </c>
      <c r="AP72" s="3" cm="1">
        <f t="array" aca="1" ref="AP72" ca="1">OFFSET(INDIRECT("Sheet"&amp;Q$2&amp;"!f1"),$G72-1,)</f>
        <v>1.52103350125253</v>
      </c>
      <c r="AQ72" s="3" cm="1">
        <f t="array" aca="1" ref="AQ72" ca="1">OFFSET(INDIRECT("Sheet"&amp;R$2&amp;"!f1"),$G72-1,)</f>
        <v>2.5399924656376198</v>
      </c>
      <c r="AR72" s="3" cm="1">
        <f t="array" aca="1" ref="AR72" ca="1">OFFSET(INDIRECT("Sheet"&amp;S$2&amp;"!f1"),$G72-1,)</f>
        <v>2.5473179770633498</v>
      </c>
      <c r="AS72" s="3" cm="1">
        <f t="array" aca="1" ref="AS72" ca="1">OFFSET(INDIRECT("Sheet"&amp;T$2&amp;"!f1"),$G72-1,)</f>
        <v>3.8833318492397599</v>
      </c>
      <c r="AT72" s="3" cm="1">
        <f t="array" aca="1" ref="AT72" ca="1">OFFSET(INDIRECT("Sheet"&amp;U$2&amp;"!f1"),$G72-1,)</f>
        <v>3.3294108081609002</v>
      </c>
      <c r="AU72" s="3" cm="1">
        <f t="array" aca="1" ref="AU72" ca="1">OFFSET(INDIRECT("Sheet"&amp;V$2&amp;"!f1"),$G72-1,)</f>
        <v>5.2999347029253796</v>
      </c>
      <c r="AV72" s="3"/>
      <c r="AX72">
        <f ca="1">IF(H72=$F72,1,0)</f>
        <v>1</v>
      </c>
      <c r="AY72">
        <f ca="1">IF(I72=$F72,1,0)</f>
        <v>1</v>
      </c>
      <c r="AZ72">
        <f ca="1">IF(J72=$F72,1,0)</f>
        <v>1</v>
      </c>
      <c r="BA72">
        <f ca="1">IF(K72=$F72,1,0)</f>
        <v>1</v>
      </c>
      <c r="BB72">
        <f ca="1">IF(L72=$F72,1,0)</f>
        <v>0</v>
      </c>
      <c r="BC72">
        <f ca="1">IF(M72=$F72,1,0)</f>
        <v>1</v>
      </c>
      <c r="BD72">
        <f ca="1">IF(C72=$F72,1,0)</f>
        <v>1</v>
      </c>
      <c r="BE72">
        <f ca="1">IF(D72=$F72,1,0)</f>
        <v>1</v>
      </c>
      <c r="BF72">
        <f t="shared" ca="1" si="13"/>
        <v>1</v>
      </c>
      <c r="BG72">
        <f t="shared" ca="1" si="14"/>
        <v>1</v>
      </c>
      <c r="BH72">
        <f t="shared" ca="1" si="15"/>
        <v>1</v>
      </c>
      <c r="BI72">
        <f t="shared" ca="1" si="16"/>
        <v>1</v>
      </c>
      <c r="BJ72">
        <f t="shared" ca="1" si="24"/>
        <v>1</v>
      </c>
      <c r="BK72">
        <f t="shared" ca="1" si="24"/>
        <v>1</v>
      </c>
      <c r="BL72">
        <f t="shared" ca="1" si="24"/>
        <v>1</v>
      </c>
      <c r="BM72">
        <f t="shared" ca="1" si="18"/>
        <v>1</v>
      </c>
      <c r="BN72">
        <f t="shared" ca="1" si="19"/>
        <v>1</v>
      </c>
      <c r="BO72">
        <f t="shared" ca="1" si="20"/>
        <v>1</v>
      </c>
      <c r="BP72">
        <f t="shared" ca="1" si="21"/>
        <v>1</v>
      </c>
      <c r="BQ72">
        <f t="shared" ca="1" si="22"/>
        <v>1</v>
      </c>
    </row>
    <row r="73" spans="1:69" x14ac:dyDescent="0.2">
      <c r="A73" t="str">
        <f>Sheet3!A57</f>
        <v>[[27,6,6]]</v>
      </c>
      <c r="B73">
        <v>27</v>
      </c>
      <c r="C73" cm="1">
        <f t="array" aca="1" ref="C73" ca="1">OFFSET(INDIRECT("Sheet"&amp;K$2&amp;"!d1"),$G73-1,)</f>
        <v>6</v>
      </c>
      <c r="D73" cm="1">
        <f t="array" aca="1" ref="D73" ca="1">OFFSET(INDIRECT("Sheet"&amp;L$2&amp;"!d1"),$G73-1,)</f>
        <v>6</v>
      </c>
      <c r="E73">
        <v>6</v>
      </c>
      <c r="F73">
        <v>6</v>
      </c>
      <c r="G73">
        <f t="shared" si="23"/>
        <v>57</v>
      </c>
      <c r="H73" cm="1">
        <f t="array" aca="1" ref="H73" ca="1">OFFSET(INDIRECT("Sheet"&amp;E$2&amp;"!d1"),$G73-1,)</f>
        <v>6</v>
      </c>
      <c r="I73" cm="1">
        <f t="array" aca="1" ref="I73" ca="1">OFFSET(INDIRECT("Sheet"&amp;F$2&amp;"!d1"),$G73-1,)</f>
        <v>6</v>
      </c>
      <c r="J73" cm="1">
        <f t="array" aca="1" ref="J73" ca="1">OFFSET(INDIRECT("Sheet"&amp;G$2&amp;"!d1"),$G73-1,)</f>
        <v>6</v>
      </c>
      <c r="K73" cm="1">
        <f t="array" aca="1" ref="K73" ca="1">OFFSET(INDIRECT("Sheet"&amp;H$2&amp;"!d1"),$G73-1,)</f>
        <v>6</v>
      </c>
      <c r="L73" cm="1">
        <f t="array" aca="1" ref="L73" ca="1">OFFSET(INDIRECT("Sheet"&amp;I$2&amp;"!d1"),$G73-1,)</f>
        <v>0</v>
      </c>
      <c r="M73" cm="1">
        <f t="array" aca="1" ref="M73" ca="1">OFFSET(INDIRECT("Sheet"&amp;J$2&amp;"!d1"),$G73-1,)</f>
        <v>6</v>
      </c>
      <c r="N73" cm="1">
        <f t="array" aca="1" ref="N73" ca="1">OFFSET(INDIRECT("Sheet"&amp;M$2&amp;"!d1"),$G73-1,)</f>
        <v>6</v>
      </c>
      <c r="O73" cm="1">
        <f t="array" aca="1" ref="O73" ca="1">OFFSET(INDIRECT("Sheet"&amp;C$2&amp;"!d1"),$G73-1,)</f>
        <v>6</v>
      </c>
      <c r="P73" cm="1">
        <f t="array" aca="1" ref="P73" ca="1">OFFSET(INDIRECT("Sheet"&amp;D$2&amp;"!d1"),$G73-1,)</f>
        <v>6</v>
      </c>
      <c r="Q73" cm="1">
        <f t="array" aca="1" ref="Q73" ca="1">OFFSET(INDIRECT("Sheet"&amp;N$2&amp;"!d1"),$G73-1,)</f>
        <v>6</v>
      </c>
      <c r="R73" cm="1">
        <f t="array" aca="1" ref="R73" ca="1">OFFSET(INDIRECT("Sheet"&amp;O$2&amp;"!d1"),$G73-1,)</f>
        <v>6</v>
      </c>
      <c r="S73" cm="1">
        <f t="array" aca="1" ref="S73" ca="1">OFFSET(INDIRECT("Sheet"&amp;P$2&amp;"!d1"),$G73-1,)</f>
        <v>6</v>
      </c>
      <c r="T73" cm="1">
        <f t="array" aca="1" ref="T73" ca="1">OFFSET(INDIRECT("Sheet"&amp;Q$2&amp;"!d1"),$G73-1,)</f>
        <v>6</v>
      </c>
      <c r="U73" cm="1">
        <f t="array" aca="1" ref="U73" ca="1">OFFSET(INDIRECT("Sheet"&amp;R$2&amp;"!d1"),$G73-1,)</f>
        <v>6</v>
      </c>
      <c r="V73" cm="1">
        <f t="array" aca="1" ref="V73" ca="1">OFFSET(INDIRECT("Sheet"&amp;S$2&amp;"!d1"),$G73-1,)</f>
        <v>6</v>
      </c>
      <c r="W73" cm="1">
        <f t="array" aca="1" ref="W73" ca="1">OFFSET(INDIRECT("Sheet"&amp;T$2&amp;"!d1"),$G73-1,)</f>
        <v>6</v>
      </c>
      <c r="X73" cm="1">
        <f t="array" aca="1" ref="X73" ca="1">OFFSET(INDIRECT("Sheet"&amp;U$2&amp;"!d1"),$G73-1,)</f>
        <v>6</v>
      </c>
      <c r="Y73" cm="1">
        <f t="array" aca="1" ref="Y73" ca="1">OFFSET(INDIRECT("Sheet"&amp;V$2&amp;"!d1"),$G73-1,)</f>
        <v>6</v>
      </c>
      <c r="AB73" s="3" cm="1">
        <f t="array" aca="1" ref="AB73" ca="1">OFFSET(INDIRECT("Sheet"&amp;E$2&amp;"!f1"),$G73-1,)</f>
        <v>4.2119374219328103</v>
      </c>
      <c r="AC73" s="3" cm="1">
        <f t="array" aca="1" ref="AC73" ca="1">OFFSET(INDIRECT("Sheet"&amp;F$2&amp;"!f1"),$G73-1,)</f>
        <v>0.43110878672450698</v>
      </c>
      <c r="AD73" s="3" cm="1">
        <f t="array" aca="1" ref="AD73" ca="1">OFFSET(INDIRECT("Sheet"&amp;G$2&amp;"!f1"),$G73-1,)</f>
        <v>0.48181312717497299</v>
      </c>
      <c r="AE73" s="3" cm="1">
        <f t="array" aca="1" ref="AE73" ca="1">OFFSET(INDIRECT("Sheet"&amp;H$2&amp;"!f1"),$G73-1,)</f>
        <v>2.2713823057711102</v>
      </c>
      <c r="AF73" s="3" cm="1">
        <f t="array" aca="1" ref="AF73" ca="1">OFFSET(INDIRECT("Sheet"&amp;I$2&amp;"!f1"),$G73-1,)</f>
        <v>28800.108935512599</v>
      </c>
      <c r="AG73" s="3" cm="1">
        <f t="array" aca="1" ref="AG73" ca="1">OFFSET(INDIRECT("Sheet"&amp;J$2&amp;"!f1"),$G73-1,)</f>
        <v>0.186206625774502</v>
      </c>
      <c r="AH73" s="3" cm="1">
        <f t="array" aca="1" ref="AH73" ca="1">OFFSET(INDIRECT("Sheet"&amp;K$2&amp;"!f1"),$G73-1,)</f>
        <v>0.16650642100000801</v>
      </c>
      <c r="AI73" s="3" cm="1">
        <f t="array" aca="1" ref="AI73" ca="1">OFFSET(INDIRECT("Sheet"&amp;L$2&amp;"!f1"),$G73-1,)</f>
        <v>0.16661587200002201</v>
      </c>
      <c r="AJ73" s="3" cm="1">
        <f t="array" aca="1" ref="AJ73" ca="1">OFFSET(INDIRECT("Sheet"&amp;M$2&amp;"!f1"),$G73-1,)</f>
        <v>0.244939550757408</v>
      </c>
      <c r="AK73" s="3" cm="1">
        <f t="array" aca="1" ref="AK73" ca="1">OFFSET(INDIRECT("Sheet"&amp;C$2&amp;"!f1"),$G73-1,)</f>
        <v>4.7106814906001002</v>
      </c>
      <c r="AL73" s="3" cm="1">
        <f t="array" aca="1" ref="AL73" ca="1">OFFSET(INDIRECT("Sheet"&amp;D$2&amp;"!f1"),$G73-1,)</f>
        <v>3.4948351932689499</v>
      </c>
      <c r="AM73" s="3" cm="1">
        <f t="array" aca="1" ref="AM73" ca="1">OFFSET(INDIRECT("Sheet"&amp;N$2&amp;"!f1"),$G73-1,)</f>
        <v>3.3208893528208101</v>
      </c>
      <c r="AN73" s="3" cm="1">
        <f t="array" aca="1" ref="AN73" ca="1">OFFSET(INDIRECT("Sheet"&amp;O$2&amp;"!f1"),$G73-1,)</f>
        <v>4.2856497513130298</v>
      </c>
      <c r="AO73" s="3" cm="1">
        <f t="array" aca="1" ref="AO73" ca="1">OFFSET(INDIRECT("Sheet"&amp;P$2&amp;"!f1"),$G73-1,)</f>
        <v>5.74434429593384</v>
      </c>
      <c r="AP73" s="3" cm="1">
        <f t="array" aca="1" ref="AP73" ca="1">OFFSET(INDIRECT("Sheet"&amp;Q$2&amp;"!f1"),$G73-1,)</f>
        <v>1.5750501528382299</v>
      </c>
      <c r="AQ73" s="3" cm="1">
        <f t="array" aca="1" ref="AQ73" ca="1">OFFSET(INDIRECT("Sheet"&amp;R$2&amp;"!f1"),$G73-1,)</f>
        <v>2.6207130011171098</v>
      </c>
      <c r="AR73" s="3" cm="1">
        <f t="array" aca="1" ref="AR73" ca="1">OFFSET(INDIRECT("Sheet"&amp;S$2&amp;"!f1"),$G73-1,)</f>
        <v>2.6249565659090801</v>
      </c>
      <c r="AS73" s="3" cm="1">
        <f t="array" aca="1" ref="AS73" ca="1">OFFSET(INDIRECT("Sheet"&amp;T$2&amp;"!f1"),$G73-1,)</f>
        <v>4.0144191328436101</v>
      </c>
      <c r="AT73" s="3" cm="1">
        <f t="array" aca="1" ref="AT73" ca="1">OFFSET(INDIRECT("Sheet"&amp;U$2&amp;"!f1"),$G73-1,)</f>
        <v>3.4969303403049699</v>
      </c>
      <c r="AU73" s="3" cm="1">
        <f t="array" aca="1" ref="AU73" ca="1">OFFSET(INDIRECT("Sheet"&amp;V$2&amp;"!f1"),$G73-1,)</f>
        <v>5.4831194551661602</v>
      </c>
      <c r="AV73" s="3"/>
      <c r="AX73">
        <f ca="1">IF(H73=$F73,1,0)</f>
        <v>1</v>
      </c>
      <c r="AY73">
        <f ca="1">IF(I73=$F73,1,0)</f>
        <v>1</v>
      </c>
      <c r="AZ73">
        <f ca="1">IF(J73=$F73,1,0)</f>
        <v>1</v>
      </c>
      <c r="BA73">
        <f ca="1">IF(K73=$F73,1,0)</f>
        <v>1</v>
      </c>
      <c r="BB73">
        <f ca="1">IF(L73=$F73,1,0)</f>
        <v>0</v>
      </c>
      <c r="BC73">
        <f ca="1">IF(M73=$F73,1,0)</f>
        <v>1</v>
      </c>
      <c r="BD73">
        <f ca="1">IF(C73=$F73,1,0)</f>
        <v>1</v>
      </c>
      <c r="BE73">
        <f ca="1">IF(D73=$F73,1,0)</f>
        <v>1</v>
      </c>
      <c r="BF73">
        <f t="shared" ca="1" si="13"/>
        <v>1</v>
      </c>
      <c r="BG73">
        <f t="shared" ca="1" si="14"/>
        <v>1</v>
      </c>
      <c r="BH73">
        <f t="shared" ca="1" si="15"/>
        <v>1</v>
      </c>
      <c r="BI73">
        <f t="shared" ca="1" si="16"/>
        <v>1</v>
      </c>
      <c r="BJ73">
        <f t="shared" ca="1" si="24"/>
        <v>1</v>
      </c>
      <c r="BK73">
        <f t="shared" ca="1" si="24"/>
        <v>1</v>
      </c>
      <c r="BL73">
        <f t="shared" ca="1" si="24"/>
        <v>1</v>
      </c>
      <c r="BM73">
        <f t="shared" ca="1" si="18"/>
        <v>1</v>
      </c>
      <c r="BN73">
        <f t="shared" ca="1" si="19"/>
        <v>1</v>
      </c>
      <c r="BO73">
        <f t="shared" ca="1" si="20"/>
        <v>1</v>
      </c>
      <c r="BP73">
        <f t="shared" ca="1" si="21"/>
        <v>1</v>
      </c>
      <c r="BQ73">
        <f t="shared" ca="1" si="22"/>
        <v>1</v>
      </c>
    </row>
    <row r="74" spans="1:69" x14ac:dyDescent="0.2">
      <c r="A74" t="str">
        <f>Sheet3!A58</f>
        <v>[[28,6,6]]</v>
      </c>
      <c r="B74">
        <v>28</v>
      </c>
      <c r="C74" cm="1">
        <f t="array" aca="1" ref="C74" ca="1">OFFSET(INDIRECT("Sheet"&amp;K$2&amp;"!d1"),$G74-1,)</f>
        <v>6</v>
      </c>
      <c r="D74" cm="1">
        <f t="array" aca="1" ref="D74" ca="1">OFFSET(INDIRECT("Sheet"&amp;L$2&amp;"!d1"),$G74-1,)</f>
        <v>6</v>
      </c>
      <c r="E74">
        <v>6</v>
      </c>
      <c r="F74">
        <v>6</v>
      </c>
      <c r="G74">
        <f t="shared" si="23"/>
        <v>58</v>
      </c>
      <c r="H74" cm="1">
        <f t="array" aca="1" ref="H74" ca="1">OFFSET(INDIRECT("Sheet"&amp;E$2&amp;"!d1"),$G74-1,)</f>
        <v>6</v>
      </c>
      <c r="I74" cm="1">
        <f t="array" aca="1" ref="I74" ca="1">OFFSET(INDIRECT("Sheet"&amp;F$2&amp;"!d1"),$G74-1,)</f>
        <v>6</v>
      </c>
      <c r="J74" cm="1">
        <f t="array" aca="1" ref="J74" ca="1">OFFSET(INDIRECT("Sheet"&amp;G$2&amp;"!d1"),$G74-1,)</f>
        <v>6</v>
      </c>
      <c r="K74" cm="1">
        <f t="array" aca="1" ref="K74" ca="1">OFFSET(INDIRECT("Sheet"&amp;H$2&amp;"!d1"),$G74-1,)</f>
        <v>6</v>
      </c>
      <c r="L74" cm="1">
        <f t="array" aca="1" ref="L74" ca="1">OFFSET(INDIRECT("Sheet"&amp;I$2&amp;"!d1"),$G74-1,)</f>
        <v>0</v>
      </c>
      <c r="M74" cm="1">
        <f t="array" aca="1" ref="M74" ca="1">OFFSET(INDIRECT("Sheet"&amp;J$2&amp;"!d1"),$G74-1,)</f>
        <v>6</v>
      </c>
      <c r="N74" cm="1">
        <f t="array" aca="1" ref="N74" ca="1">OFFSET(INDIRECT("Sheet"&amp;M$2&amp;"!d1"),$G74-1,)</f>
        <v>6</v>
      </c>
      <c r="O74" cm="1">
        <f t="array" aca="1" ref="O74" ca="1">OFFSET(INDIRECT("Sheet"&amp;C$2&amp;"!d1"),$G74-1,)</f>
        <v>6</v>
      </c>
      <c r="P74" cm="1">
        <f t="array" aca="1" ref="P74" ca="1">OFFSET(INDIRECT("Sheet"&amp;D$2&amp;"!d1"),$G74-1,)</f>
        <v>6</v>
      </c>
      <c r="Q74" cm="1">
        <f t="array" aca="1" ref="Q74" ca="1">OFFSET(INDIRECT("Sheet"&amp;N$2&amp;"!d1"),$G74-1,)</f>
        <v>6</v>
      </c>
      <c r="R74" cm="1">
        <f t="array" aca="1" ref="R74" ca="1">OFFSET(INDIRECT("Sheet"&amp;O$2&amp;"!d1"),$G74-1,)</f>
        <v>6</v>
      </c>
      <c r="S74" cm="1">
        <f t="array" aca="1" ref="S74" ca="1">OFFSET(INDIRECT("Sheet"&amp;P$2&amp;"!d1"),$G74-1,)</f>
        <v>6</v>
      </c>
      <c r="T74" cm="1">
        <f t="array" aca="1" ref="T74" ca="1">OFFSET(INDIRECT("Sheet"&amp;Q$2&amp;"!d1"),$G74-1,)</f>
        <v>6</v>
      </c>
      <c r="U74" cm="1">
        <f t="array" aca="1" ref="U74" ca="1">OFFSET(INDIRECT("Sheet"&amp;R$2&amp;"!d1"),$G74-1,)</f>
        <v>6</v>
      </c>
      <c r="V74" cm="1">
        <f t="array" aca="1" ref="V74" ca="1">OFFSET(INDIRECT("Sheet"&amp;S$2&amp;"!d1"),$G74-1,)</f>
        <v>6</v>
      </c>
      <c r="W74" cm="1">
        <f t="array" aca="1" ref="W74" ca="1">OFFSET(INDIRECT("Sheet"&amp;T$2&amp;"!d1"),$G74-1,)</f>
        <v>6</v>
      </c>
      <c r="X74" cm="1">
        <f t="array" aca="1" ref="X74" ca="1">OFFSET(INDIRECT("Sheet"&amp;U$2&amp;"!d1"),$G74-1,)</f>
        <v>6</v>
      </c>
      <c r="Y74" cm="1">
        <f t="array" aca="1" ref="Y74" ca="1">OFFSET(INDIRECT("Sheet"&amp;V$2&amp;"!d1"),$G74-1,)</f>
        <v>6</v>
      </c>
      <c r="AB74" s="3" cm="1">
        <f t="array" aca="1" ref="AB74" ca="1">OFFSET(INDIRECT("Sheet"&amp;E$2&amp;"!f1"),$G74-1,)</f>
        <v>4.75410298258066</v>
      </c>
      <c r="AC74" s="3" cm="1">
        <f t="array" aca="1" ref="AC74" ca="1">OFFSET(INDIRECT("Sheet"&amp;F$2&amp;"!f1"),$G74-1,)</f>
        <v>0.52300243079662301</v>
      </c>
      <c r="AD74" s="3" cm="1">
        <f t="array" aca="1" ref="AD74" ca="1">OFFSET(INDIRECT("Sheet"&amp;G$2&amp;"!f1"),$G74-1,)</f>
        <v>0.576257270760834</v>
      </c>
      <c r="AE74" s="3" cm="1">
        <f t="array" aca="1" ref="AE74" ca="1">OFFSET(INDIRECT("Sheet"&amp;H$2&amp;"!f1"),$G74-1,)</f>
        <v>2.2809716304764098</v>
      </c>
      <c r="AF74" s="3" cm="1">
        <f t="array" aca="1" ref="AF74" ca="1">OFFSET(INDIRECT("Sheet"&amp;I$2&amp;"!f1"),$G74-1,)</f>
        <v>28800.1098586767</v>
      </c>
      <c r="AG74" s="3" cm="1">
        <f t="array" aca="1" ref="AG74" ca="1">OFFSET(INDIRECT("Sheet"&amp;J$2&amp;"!f1"),$G74-1,)</f>
        <v>0.194590039551258</v>
      </c>
      <c r="AH74" s="3" cm="1">
        <f t="array" aca="1" ref="AH74" ca="1">OFFSET(INDIRECT("Sheet"&amp;K$2&amp;"!f1"),$G74-1,)</f>
        <v>0.17529170199998101</v>
      </c>
      <c r="AI74" s="3" cm="1">
        <f t="array" aca="1" ref="AI74" ca="1">OFFSET(INDIRECT("Sheet"&amp;L$2&amp;"!f1"),$G74-1,)</f>
        <v>0.18013096399999901</v>
      </c>
      <c r="AJ74" s="3" cm="1">
        <f t="array" aca="1" ref="AJ74" ca="1">OFFSET(INDIRECT("Sheet"&amp;M$2&amp;"!f1"),$G74-1,)</f>
        <v>0.25610197708010601</v>
      </c>
      <c r="AK74" s="3" cm="1">
        <f t="array" aca="1" ref="AK74" ca="1">OFFSET(INDIRECT("Sheet"&amp;C$2&amp;"!f1"),$G74-1,)</f>
        <v>4.7309760702773902</v>
      </c>
      <c r="AL74" s="3" cm="1">
        <f t="array" aca="1" ref="AL74" ca="1">OFFSET(INDIRECT("Sheet"&amp;D$2&amp;"!f1"),$G74-1,)</f>
        <v>3.60658238828182</v>
      </c>
      <c r="AM74" s="3" cm="1">
        <f t="array" aca="1" ref="AM74" ca="1">OFFSET(INDIRECT("Sheet"&amp;N$2&amp;"!f1"),$G74-1,)</f>
        <v>3.3760253619402598</v>
      </c>
      <c r="AN74" s="3" cm="1">
        <f t="array" aca="1" ref="AN74" ca="1">OFFSET(INDIRECT("Sheet"&amp;O$2&amp;"!f1"),$G74-1,)</f>
        <v>4.3891281662508801</v>
      </c>
      <c r="AO74" s="3" cm="1">
        <f t="array" aca="1" ref="AO74" ca="1">OFFSET(INDIRECT("Sheet"&amp;P$2&amp;"!f1"),$G74-1,)</f>
        <v>6.0136339049786303</v>
      </c>
      <c r="AP74" s="3" cm="1">
        <f t="array" aca="1" ref="AP74" ca="1">OFFSET(INDIRECT("Sheet"&amp;Q$2&amp;"!f1"),$G74-1,)</f>
        <v>1.59753877297043</v>
      </c>
      <c r="AQ74" s="3" cm="1">
        <f t="array" aca="1" ref="AQ74" ca="1">OFFSET(INDIRECT("Sheet"&amp;R$2&amp;"!f1"),$G74-1,)</f>
        <v>2.69621885009109</v>
      </c>
      <c r="AR74" s="3" cm="1">
        <f t="array" aca="1" ref="AR74" ca="1">OFFSET(INDIRECT("Sheet"&amp;S$2&amp;"!f1"),$G74-1,)</f>
        <v>2.7016914654523099</v>
      </c>
      <c r="AS74" s="3" cm="1">
        <f t="array" aca="1" ref="AS74" ca="1">OFFSET(INDIRECT("Sheet"&amp;T$2&amp;"!f1"),$G74-1,)</f>
        <v>4.1157139521092097</v>
      </c>
      <c r="AT74" s="3" cm="1">
        <f t="array" aca="1" ref="AT74" ca="1">OFFSET(INDIRECT("Sheet"&amp;U$2&amp;"!f1"),$G74-1,)</f>
        <v>3.62874768674373</v>
      </c>
      <c r="AU74" s="3" cm="1">
        <f t="array" aca="1" ref="AU74" ca="1">OFFSET(INDIRECT("Sheet"&amp;V$2&amp;"!f1"),$G74-1,)</f>
        <v>5.6970468498766396</v>
      </c>
      <c r="AV74" s="3"/>
      <c r="AX74">
        <f ca="1">IF(H74=$F74,1,0)</f>
        <v>1</v>
      </c>
      <c r="AY74">
        <f ca="1">IF(I74=$F74,1,0)</f>
        <v>1</v>
      </c>
      <c r="AZ74">
        <f ca="1">IF(J74=$F74,1,0)</f>
        <v>1</v>
      </c>
      <c r="BA74">
        <f ca="1">IF(K74=$F74,1,0)</f>
        <v>1</v>
      </c>
      <c r="BB74">
        <f ca="1">IF(L74=$F74,1,0)</f>
        <v>0</v>
      </c>
      <c r="BC74">
        <f ca="1">IF(M74=$F74,1,0)</f>
        <v>1</v>
      </c>
      <c r="BD74">
        <f ca="1">IF(C74=$F74,1,0)</f>
        <v>1</v>
      </c>
      <c r="BE74">
        <f ca="1">IF(D74=$F74,1,0)</f>
        <v>1</v>
      </c>
      <c r="BF74">
        <f t="shared" ca="1" si="13"/>
        <v>1</v>
      </c>
      <c r="BG74">
        <f t="shared" ca="1" si="14"/>
        <v>1</v>
      </c>
      <c r="BH74">
        <f t="shared" ca="1" si="15"/>
        <v>1</v>
      </c>
      <c r="BI74">
        <f t="shared" ca="1" si="16"/>
        <v>1</v>
      </c>
      <c r="BJ74">
        <f t="shared" ca="1" si="24"/>
        <v>1</v>
      </c>
      <c r="BK74">
        <f t="shared" ca="1" si="24"/>
        <v>1</v>
      </c>
      <c r="BL74">
        <f t="shared" ca="1" si="24"/>
        <v>1</v>
      </c>
      <c r="BM74">
        <f t="shared" ca="1" si="18"/>
        <v>1</v>
      </c>
      <c r="BN74">
        <f t="shared" ca="1" si="19"/>
        <v>1</v>
      </c>
      <c r="BO74">
        <f t="shared" ca="1" si="20"/>
        <v>1</v>
      </c>
      <c r="BP74">
        <f t="shared" ca="1" si="21"/>
        <v>1</v>
      </c>
      <c r="BQ74">
        <f t="shared" ca="1" si="22"/>
        <v>1</v>
      </c>
    </row>
    <row r="75" spans="1:69" x14ac:dyDescent="0.2">
      <c r="A75" t="str">
        <f>Sheet3!A59</f>
        <v>[[29,6,7]]</v>
      </c>
      <c r="B75">
        <v>29</v>
      </c>
      <c r="C75" cm="1">
        <f t="array" aca="1" ref="C75" ca="1">OFFSET(INDIRECT("Sheet"&amp;K$2&amp;"!d1"),$G75-1,)</f>
        <v>7</v>
      </c>
      <c r="D75" cm="1">
        <f t="array" aca="1" ref="D75" ca="1">OFFSET(INDIRECT("Sheet"&amp;L$2&amp;"!d1"),$G75-1,)</f>
        <v>7</v>
      </c>
      <c r="E75">
        <v>6</v>
      </c>
      <c r="F75">
        <v>7</v>
      </c>
      <c r="G75">
        <f t="shared" si="23"/>
        <v>59</v>
      </c>
      <c r="H75" cm="1">
        <f t="array" aca="1" ref="H75" ca="1">OFFSET(INDIRECT("Sheet"&amp;E$2&amp;"!d1"),$G75-1,)</f>
        <v>7</v>
      </c>
      <c r="I75" cm="1">
        <f t="array" aca="1" ref="I75" ca="1">OFFSET(INDIRECT("Sheet"&amp;F$2&amp;"!d1"),$G75-1,)</f>
        <v>7</v>
      </c>
      <c r="J75" cm="1">
        <f t="array" aca="1" ref="J75" ca="1">OFFSET(INDIRECT("Sheet"&amp;G$2&amp;"!d1"),$G75-1,)</f>
        <v>7</v>
      </c>
      <c r="K75" cm="1">
        <f t="array" aca="1" ref="K75" ca="1">OFFSET(INDIRECT("Sheet"&amp;H$2&amp;"!d1"),$G75-1,)</f>
        <v>7</v>
      </c>
      <c r="L75" cm="1">
        <f t="array" aca="1" ref="L75" ca="1">OFFSET(INDIRECT("Sheet"&amp;I$2&amp;"!d1"),$G75-1,)</f>
        <v>0</v>
      </c>
      <c r="M75" cm="1">
        <f t="array" aca="1" ref="M75" ca="1">OFFSET(INDIRECT("Sheet"&amp;J$2&amp;"!d1"),$G75-1,)</f>
        <v>7</v>
      </c>
      <c r="N75" cm="1">
        <f t="array" aca="1" ref="N75" ca="1">OFFSET(INDIRECT("Sheet"&amp;M$2&amp;"!d1"),$G75-1,)</f>
        <v>7</v>
      </c>
      <c r="O75" cm="1">
        <f t="array" aca="1" ref="O75" ca="1">OFFSET(INDIRECT("Sheet"&amp;C$2&amp;"!d1"),$G75-1,)</f>
        <v>7</v>
      </c>
      <c r="P75" cm="1">
        <f t="array" aca="1" ref="P75" ca="1">OFFSET(INDIRECT("Sheet"&amp;D$2&amp;"!d1"),$G75-1,)</f>
        <v>7</v>
      </c>
      <c r="Q75" cm="1">
        <f t="array" aca="1" ref="Q75" ca="1">OFFSET(INDIRECT("Sheet"&amp;N$2&amp;"!d1"),$G75-1,)</f>
        <v>7</v>
      </c>
      <c r="R75" cm="1">
        <f t="array" aca="1" ref="R75" ca="1">OFFSET(INDIRECT("Sheet"&amp;O$2&amp;"!d1"),$G75-1,)</f>
        <v>7</v>
      </c>
      <c r="S75" cm="1">
        <f t="array" aca="1" ref="S75" ca="1">OFFSET(INDIRECT("Sheet"&amp;P$2&amp;"!d1"),$G75-1,)</f>
        <v>7</v>
      </c>
      <c r="T75" cm="1">
        <f t="array" aca="1" ref="T75" ca="1">OFFSET(INDIRECT("Sheet"&amp;Q$2&amp;"!d1"),$G75-1,)</f>
        <v>7</v>
      </c>
      <c r="U75" cm="1">
        <f t="array" aca="1" ref="U75" ca="1">OFFSET(INDIRECT("Sheet"&amp;R$2&amp;"!d1"),$G75-1,)</f>
        <v>7</v>
      </c>
      <c r="V75" cm="1">
        <f t="array" aca="1" ref="V75" ca="1">OFFSET(INDIRECT("Sheet"&amp;S$2&amp;"!d1"),$G75-1,)</f>
        <v>7</v>
      </c>
      <c r="W75" cm="1">
        <f t="array" aca="1" ref="W75" ca="1">OFFSET(INDIRECT("Sheet"&amp;T$2&amp;"!d1"),$G75-1,)</f>
        <v>7</v>
      </c>
      <c r="X75" cm="1">
        <f t="array" aca="1" ref="X75" ca="1">OFFSET(INDIRECT("Sheet"&amp;U$2&amp;"!d1"),$G75-1,)</f>
        <v>7</v>
      </c>
      <c r="Y75" cm="1">
        <f t="array" aca="1" ref="Y75" ca="1">OFFSET(INDIRECT("Sheet"&amp;V$2&amp;"!d1"),$G75-1,)</f>
        <v>7</v>
      </c>
      <c r="AB75" s="3" cm="1">
        <f t="array" aca="1" ref="AB75" ca="1">OFFSET(INDIRECT("Sheet"&amp;E$2&amp;"!f1"),$G75-1,)</f>
        <v>47.2419886700809</v>
      </c>
      <c r="AC75" s="3" cm="1">
        <f t="array" aca="1" ref="AC75" ca="1">OFFSET(INDIRECT("Sheet"&amp;F$2&amp;"!f1"),$G75-1,)</f>
        <v>2.7633516350760998</v>
      </c>
      <c r="AD75" s="3" cm="1">
        <f t="array" aca="1" ref="AD75" ca="1">OFFSET(INDIRECT("Sheet"&amp;G$2&amp;"!f1"),$G75-1,)</f>
        <v>3.0220317021012302</v>
      </c>
      <c r="AE75" s="3" cm="1">
        <f t="array" aca="1" ref="AE75" ca="1">OFFSET(INDIRECT("Sheet"&amp;H$2&amp;"!f1"),$G75-1,)</f>
        <v>162.452353297732</v>
      </c>
      <c r="AF75" s="3" cm="1">
        <f t="array" aca="1" ref="AF75" ca="1">OFFSET(INDIRECT("Sheet"&amp;I$2&amp;"!f1"),$G75-1,)</f>
        <v>28800.111978478701</v>
      </c>
      <c r="AG75" s="3" cm="1">
        <f t="array" aca="1" ref="AG75" ca="1">OFFSET(INDIRECT("Sheet"&amp;J$2&amp;"!f1"),$G75-1,)</f>
        <v>0.21760187111794899</v>
      </c>
      <c r="AH75" s="3" cm="1">
        <f t="array" aca="1" ref="AH75" ca="1">OFFSET(INDIRECT("Sheet"&amp;K$2&amp;"!f1"),$G75-1,)</f>
        <v>0.20247901100000801</v>
      </c>
      <c r="AI75" s="3" cm="1">
        <f t="array" aca="1" ref="AI75" ca="1">OFFSET(INDIRECT("Sheet"&amp;L$2&amp;"!f1"),$G75-1,)</f>
        <v>0.19607227899999199</v>
      </c>
      <c r="AJ75" s="3" cm="1">
        <f t="array" aca="1" ref="AJ75" ca="1">OFFSET(INDIRECT("Sheet"&amp;M$2&amp;"!f1"),$G75-1,)</f>
        <v>0.29130439553409798</v>
      </c>
      <c r="AK75" s="3" cm="1">
        <f t="array" aca="1" ref="AK75" ca="1">OFFSET(INDIRECT("Sheet"&amp;C$2&amp;"!f1"),$G75-1,)</f>
        <v>20.8961524311453</v>
      </c>
      <c r="AL75" s="3" cm="1">
        <f t="array" aca="1" ref="AL75" ca="1">OFFSET(INDIRECT("Sheet"&amp;D$2&amp;"!f1"),$G75-1,)</f>
        <v>34.325612294487598</v>
      </c>
      <c r="AM75" s="3" cm="1">
        <f t="array" aca="1" ref="AM75" ca="1">OFFSET(INDIRECT("Sheet"&amp;N$2&amp;"!f1"),$G75-1,)</f>
        <v>3.3434745837002899</v>
      </c>
      <c r="AN75" s="3" cm="1">
        <f t="array" aca="1" ref="AN75" ca="1">OFFSET(INDIRECT("Sheet"&amp;O$2&amp;"!f1"),$G75-1,)</f>
        <v>4.5235286485403696</v>
      </c>
      <c r="AO75" s="3" cm="1">
        <f t="array" aca="1" ref="AO75" ca="1">OFFSET(INDIRECT("Sheet"&amp;P$2&amp;"!f1"),$G75-1,)</f>
        <v>5.9078152989968604</v>
      </c>
      <c r="AP75" s="3" cm="1">
        <f t="array" aca="1" ref="AP75" ca="1">OFFSET(INDIRECT("Sheet"&amp;Q$2&amp;"!f1"),$G75-1,)</f>
        <v>1.69737523514777</v>
      </c>
      <c r="AQ75" s="3" cm="1">
        <f t="array" aca="1" ref="AQ75" ca="1">OFFSET(INDIRECT("Sheet"&amp;R$2&amp;"!f1"),$G75-1,)</f>
        <v>2.6515608523041001</v>
      </c>
      <c r="AR75" s="3" cm="1">
        <f t="array" aca="1" ref="AR75" ca="1">OFFSET(INDIRECT("Sheet"&amp;S$2&amp;"!f1"),$G75-1,)</f>
        <v>3.04800565075129</v>
      </c>
      <c r="AS75" s="3" cm="1">
        <f t="array" aca="1" ref="AS75" ca="1">OFFSET(INDIRECT("Sheet"&amp;T$2&amp;"!f1"),$G75-1,)</f>
        <v>4.24157128669321</v>
      </c>
      <c r="AT75" s="3" cm="1">
        <f t="array" aca="1" ref="AT75" ca="1">OFFSET(INDIRECT("Sheet"&amp;U$2&amp;"!f1"),$G75-1,)</f>
        <v>3.9601145479828102</v>
      </c>
      <c r="AU75" s="3" cm="1">
        <f t="array" aca="1" ref="AU75" ca="1">OFFSET(INDIRECT("Sheet"&amp;V$2&amp;"!f1"),$G75-1,)</f>
        <v>5.61796487960964</v>
      </c>
      <c r="AV75" s="3"/>
      <c r="AX75">
        <f ca="1">IF(H75=$F75,1,0)</f>
        <v>1</v>
      </c>
      <c r="AY75">
        <f ca="1">IF(I75=$F75,1,0)</f>
        <v>1</v>
      </c>
      <c r="AZ75">
        <f ca="1">IF(J75=$F75,1,0)</f>
        <v>1</v>
      </c>
      <c r="BA75">
        <f ca="1">IF(K75=$F75,1,0)</f>
        <v>1</v>
      </c>
      <c r="BB75">
        <f ca="1">IF(L75=$F75,1,0)</f>
        <v>0</v>
      </c>
      <c r="BC75">
        <f ca="1">IF(M75=$F75,1,0)</f>
        <v>1</v>
      </c>
      <c r="BD75">
        <f ca="1">IF(C75=$F75,1,0)</f>
        <v>1</v>
      </c>
      <c r="BE75">
        <f ca="1">IF(D75=$F75,1,0)</f>
        <v>1</v>
      </c>
      <c r="BF75">
        <f t="shared" ca="1" si="13"/>
        <v>1</v>
      </c>
      <c r="BG75">
        <f t="shared" ca="1" si="14"/>
        <v>1</v>
      </c>
      <c r="BH75">
        <f t="shared" ca="1" si="15"/>
        <v>1</v>
      </c>
      <c r="BI75">
        <f t="shared" ca="1" si="16"/>
        <v>1</v>
      </c>
      <c r="BJ75">
        <f t="shared" ca="1" si="24"/>
        <v>1</v>
      </c>
      <c r="BK75">
        <f t="shared" ca="1" si="24"/>
        <v>1</v>
      </c>
      <c r="BL75">
        <f t="shared" ca="1" si="24"/>
        <v>1</v>
      </c>
      <c r="BM75">
        <f t="shared" ca="1" si="18"/>
        <v>1</v>
      </c>
      <c r="BN75">
        <f t="shared" ca="1" si="19"/>
        <v>1</v>
      </c>
      <c r="BO75">
        <f t="shared" ca="1" si="20"/>
        <v>1</v>
      </c>
      <c r="BP75">
        <f t="shared" ca="1" si="21"/>
        <v>1</v>
      </c>
      <c r="BQ75">
        <f t="shared" ca="1" si="22"/>
        <v>1</v>
      </c>
    </row>
    <row r="76" spans="1:69" s="2" customFormat="1" x14ac:dyDescent="0.2">
      <c r="A76" t="str">
        <f>Sheet3!A60</f>
        <v>[[30,9,6]]</v>
      </c>
      <c r="B76" s="2">
        <v>30</v>
      </c>
      <c r="C76" cm="1">
        <f t="array" aca="1" ref="C76" ca="1">OFFSET(INDIRECT("Sheet"&amp;K$2&amp;"!d1"),$G76-1,)</f>
        <v>6</v>
      </c>
      <c r="D76" cm="1">
        <f t="array" aca="1" ref="D76" ca="1">OFFSET(INDIRECT("Sheet"&amp;L$2&amp;"!d1"),$G76-1,)</f>
        <v>6</v>
      </c>
      <c r="E76" s="2">
        <v>9</v>
      </c>
      <c r="F76" s="2">
        <v>6</v>
      </c>
      <c r="G76">
        <f t="shared" si="23"/>
        <v>60</v>
      </c>
      <c r="H76" cm="1">
        <f t="array" aca="1" ref="H76" ca="1">OFFSET(INDIRECT("Sheet"&amp;E$2&amp;"!d1"),$G76-1,)</f>
        <v>6</v>
      </c>
      <c r="I76" cm="1">
        <f t="array" aca="1" ref="I76" ca="1">OFFSET(INDIRECT("Sheet"&amp;F$2&amp;"!d1"),$G76-1,)</f>
        <v>6</v>
      </c>
      <c r="J76" cm="1">
        <f t="array" aca="1" ref="J76" ca="1">OFFSET(INDIRECT("Sheet"&amp;G$2&amp;"!d1"),$G76-1,)</f>
        <v>6</v>
      </c>
      <c r="K76" cm="1">
        <f t="array" aca="1" ref="K76" ca="1">OFFSET(INDIRECT("Sheet"&amp;H$2&amp;"!d1"),$G76-1,)</f>
        <v>6</v>
      </c>
      <c r="L76" cm="1">
        <f t="array" aca="1" ref="L76" ca="1">OFFSET(INDIRECT("Sheet"&amp;I$2&amp;"!d1"),$G76-1,)</f>
        <v>0</v>
      </c>
      <c r="M76" cm="1">
        <f t="array" aca="1" ref="M76" ca="1">OFFSET(INDIRECT("Sheet"&amp;J$2&amp;"!d1"),$G76-1,)</f>
        <v>6</v>
      </c>
      <c r="N76" cm="1">
        <f t="array" aca="1" ref="N76" ca="1">OFFSET(INDIRECT("Sheet"&amp;M$2&amp;"!d1"),$G76-1,)</f>
        <v>6</v>
      </c>
      <c r="O76" cm="1">
        <f t="array" aca="1" ref="O76" ca="1">OFFSET(INDIRECT("Sheet"&amp;C$2&amp;"!d1"),$G76-1,)</f>
        <v>6</v>
      </c>
      <c r="P76" cm="1">
        <f t="array" aca="1" ref="P76" ca="1">OFFSET(INDIRECT("Sheet"&amp;D$2&amp;"!d1"),$G76-1,)</f>
        <v>6</v>
      </c>
      <c r="Q76" cm="1">
        <f t="array" aca="1" ref="Q76" ca="1">OFFSET(INDIRECT("Sheet"&amp;N$2&amp;"!d1"),$G76-1,)</f>
        <v>6</v>
      </c>
      <c r="R76" cm="1">
        <f t="array" aca="1" ref="R76" ca="1">OFFSET(INDIRECT("Sheet"&amp;O$2&amp;"!d1"),$G76-1,)</f>
        <v>6</v>
      </c>
      <c r="S76" cm="1">
        <f t="array" aca="1" ref="S76" ca="1">OFFSET(INDIRECT("Sheet"&amp;P$2&amp;"!d1"),$G76-1,)</f>
        <v>6</v>
      </c>
      <c r="T76" cm="1">
        <f t="array" aca="1" ref="T76" ca="1">OFFSET(INDIRECT("Sheet"&amp;Q$2&amp;"!d1"),$G76-1,)</f>
        <v>6</v>
      </c>
      <c r="U76" cm="1">
        <f t="array" aca="1" ref="U76" ca="1">OFFSET(INDIRECT("Sheet"&amp;R$2&amp;"!d1"),$G76-1,)</f>
        <v>6</v>
      </c>
      <c r="V76" cm="1">
        <f t="array" aca="1" ref="V76" ca="1">OFFSET(INDIRECT("Sheet"&amp;S$2&amp;"!d1"),$G76-1,)</f>
        <v>6</v>
      </c>
      <c r="W76" cm="1">
        <f t="array" aca="1" ref="W76" ca="1">OFFSET(INDIRECT("Sheet"&amp;T$2&amp;"!d1"),$G76-1,)</f>
        <v>6</v>
      </c>
      <c r="X76" cm="1">
        <f t="array" aca="1" ref="X76" ca="1">OFFSET(INDIRECT("Sheet"&amp;U$2&amp;"!d1"),$G76-1,)</f>
        <v>6</v>
      </c>
      <c r="Y76" cm="1">
        <f t="array" aca="1" ref="Y76" ca="1">OFFSET(INDIRECT("Sheet"&amp;V$2&amp;"!d1"),$G76-1,)</f>
        <v>6</v>
      </c>
      <c r="Z76"/>
      <c r="AB76" s="3" cm="1">
        <f t="array" aca="1" ref="AB76" ca="1">OFFSET(INDIRECT("Sheet"&amp;E$2&amp;"!f1"),$G76-1,)</f>
        <v>14.1127798920497</v>
      </c>
      <c r="AC76" s="3" cm="1">
        <f t="array" aca="1" ref="AC76" ca="1">OFFSET(INDIRECT("Sheet"&amp;F$2&amp;"!f1"),$G76-1,)</f>
        <v>1.2614958547055699</v>
      </c>
      <c r="AD76" s="3" cm="1">
        <f t="array" aca="1" ref="AD76" ca="1">OFFSET(INDIRECT("Sheet"&amp;G$2&amp;"!f1"),$G76-1,)</f>
        <v>1.3967292495071799</v>
      </c>
      <c r="AE76" s="3" cm="1">
        <f t="array" aca="1" ref="AE76" ca="1">OFFSET(INDIRECT("Sheet"&amp;H$2&amp;"!f1"),$G76-1,)</f>
        <v>8.1521185357123596</v>
      </c>
      <c r="AF76" s="3" cm="1">
        <f t="array" aca="1" ref="AF76" ca="1">OFFSET(INDIRECT("Sheet"&amp;I$2&amp;"!f1"),$G76-1,)</f>
        <v>28800.111287683201</v>
      </c>
      <c r="AG76" s="3" cm="1">
        <f t="array" aca="1" ref="AG76" ca="1">OFFSET(INDIRECT("Sheet"&amp;J$2&amp;"!f1"),$G76-1,)</f>
        <v>0.209892723709344</v>
      </c>
      <c r="AH76" s="3" cm="1">
        <f t="array" aca="1" ref="AH76" ca="1">OFFSET(INDIRECT("Sheet"&amp;K$2&amp;"!f1"),$G76-1,)</f>
        <v>0.19140931600000499</v>
      </c>
      <c r="AI76" s="3" cm="1">
        <f t="array" aca="1" ref="AI76" ca="1">OFFSET(INDIRECT("Sheet"&amp;L$2&amp;"!f1"),$G76-1,)</f>
        <v>0.19326665399998399</v>
      </c>
      <c r="AJ76" s="3" cm="1">
        <f t="array" aca="1" ref="AJ76" ca="1">OFFSET(INDIRECT("Sheet"&amp;M$2&amp;"!f1"),$G76-1,)</f>
        <v>0.28124441765248698</v>
      </c>
      <c r="AK76" s="3" cm="1">
        <f t="array" aca="1" ref="AK76" ca="1">OFFSET(INDIRECT("Sheet"&amp;C$2&amp;"!f1"),$G76-1,)</f>
        <v>6.4265370974317104</v>
      </c>
      <c r="AL76" s="3" cm="1">
        <f t="array" aca="1" ref="AL76" ca="1">OFFSET(INDIRECT("Sheet"&amp;D$2&amp;"!f1"),$G76-1,)</f>
        <v>6.0708239441737497</v>
      </c>
      <c r="AM76" s="3" cm="1">
        <f t="array" aca="1" ref="AM76" ca="1">OFFSET(INDIRECT("Sheet"&amp;N$2&amp;"!f1"),$G76-1,)</f>
        <v>3.5808690581470701</v>
      </c>
      <c r="AN76" s="3" cm="1">
        <f t="array" aca="1" ref="AN76" ca="1">OFFSET(INDIRECT("Sheet"&amp;O$2&amp;"!f1"),$G76-1,)</f>
        <v>4.9402723964303696</v>
      </c>
      <c r="AO76" s="3" cm="1">
        <f t="array" aca="1" ref="AO76" ca="1">OFFSET(INDIRECT("Sheet"&amp;P$2&amp;"!f1"),$G76-1,)</f>
        <v>6.8290113275870601</v>
      </c>
      <c r="AP76" s="3" cm="1">
        <f t="array" aca="1" ref="AP76" ca="1">OFFSET(INDIRECT("Sheet"&amp;Q$2&amp;"!f1"),$G76-1,)</f>
        <v>1.87973065767437</v>
      </c>
      <c r="AQ76" s="3" cm="1">
        <f t="array" aca="1" ref="AQ76" ca="1">OFFSET(INDIRECT("Sheet"&amp;R$2&amp;"!f1"),$G76-1,)</f>
        <v>2.9085986297577602</v>
      </c>
      <c r="AR76" s="3" cm="1">
        <f t="array" aca="1" ref="AR76" ca="1">OFFSET(INDIRECT("Sheet"&amp;S$2&amp;"!f1"),$G76-1,)</f>
        <v>3.3440236235037402</v>
      </c>
      <c r="AS76" s="3" cm="1">
        <f t="array" aca="1" ref="AS76" ca="1">OFFSET(INDIRECT("Sheet"&amp;T$2&amp;"!f1"),$G76-1,)</f>
        <v>4.6710591157898298</v>
      </c>
      <c r="AT76" s="3" cm="1">
        <f t="array" aca="1" ref="AT76" ca="1">OFFSET(INDIRECT("Sheet"&amp;U$2&amp;"!f1"),$G76-1,)</f>
        <v>4.7052352027967501</v>
      </c>
      <c r="AU76" s="3" cm="1">
        <f t="array" aca="1" ref="AU76" ca="1">OFFSET(INDIRECT("Sheet"&amp;V$2&amp;"!f1"),$G76-1,)</f>
        <v>6.5688655832782299</v>
      </c>
      <c r="AV76" s="3"/>
      <c r="AX76">
        <f ca="1">IF(H76=$F76,1,0)</f>
        <v>1</v>
      </c>
      <c r="AY76">
        <f ca="1">IF(I76=$F76,1,0)</f>
        <v>1</v>
      </c>
      <c r="AZ76">
        <f ca="1">IF(J76=$F76,1,0)</f>
        <v>1</v>
      </c>
      <c r="BA76">
        <f ca="1">IF(K76=$F76,1,0)</f>
        <v>1</v>
      </c>
      <c r="BB76">
        <f ca="1">IF(L76=$F76,1,0)</f>
        <v>0</v>
      </c>
      <c r="BC76">
        <f ca="1">IF(M76=$F76,1,0)</f>
        <v>1</v>
      </c>
      <c r="BD76">
        <f ca="1">IF(C76=$F76,1,0)</f>
        <v>1</v>
      </c>
      <c r="BE76">
        <f ca="1">IF(D76=$F76,1,0)</f>
        <v>1</v>
      </c>
      <c r="BF76">
        <f t="shared" ca="1" si="13"/>
        <v>1</v>
      </c>
      <c r="BG76">
        <f t="shared" ca="1" si="14"/>
        <v>1</v>
      </c>
      <c r="BH76">
        <f t="shared" ca="1" si="15"/>
        <v>1</v>
      </c>
      <c r="BI76">
        <f t="shared" ca="1" si="16"/>
        <v>1</v>
      </c>
      <c r="BJ76">
        <f t="shared" ca="1" si="24"/>
        <v>1</v>
      </c>
      <c r="BK76">
        <f t="shared" ca="1" si="24"/>
        <v>1</v>
      </c>
      <c r="BL76">
        <f t="shared" ca="1" si="24"/>
        <v>1</v>
      </c>
      <c r="BM76">
        <f t="shared" ca="1" si="18"/>
        <v>1</v>
      </c>
      <c r="BN76">
        <f t="shared" ca="1" si="19"/>
        <v>1</v>
      </c>
      <c r="BO76">
        <f t="shared" ca="1" si="20"/>
        <v>1</v>
      </c>
      <c r="BP76">
        <f t="shared" ca="1" si="21"/>
        <v>1</v>
      </c>
      <c r="BQ76">
        <f t="shared" ca="1" si="22"/>
        <v>1</v>
      </c>
    </row>
    <row r="77" spans="1:69" s="4" customFormat="1" x14ac:dyDescent="0.2">
      <c r="A77" t="str">
        <f>Sheet3!A61</f>
        <v>[[31,9,6]]</v>
      </c>
      <c r="B77" s="4">
        <v>31</v>
      </c>
      <c r="C77" cm="1">
        <f t="array" aca="1" ref="C77" ca="1">OFFSET(INDIRECT("Sheet"&amp;K$2&amp;"!d1"),$G77-1,)</f>
        <v>6</v>
      </c>
      <c r="D77" cm="1">
        <f t="array" aca="1" ref="D77" ca="1">OFFSET(INDIRECT("Sheet"&amp;L$2&amp;"!d1"),$G77-1,)</f>
        <v>6</v>
      </c>
      <c r="E77" s="4">
        <v>9</v>
      </c>
      <c r="F77" s="4">
        <v>6</v>
      </c>
      <c r="G77">
        <f t="shared" si="23"/>
        <v>61</v>
      </c>
      <c r="H77" cm="1">
        <f t="array" aca="1" ref="H77" ca="1">OFFSET(INDIRECT("Sheet"&amp;E$2&amp;"!d1"),$G77-1,)</f>
        <v>6</v>
      </c>
      <c r="I77" cm="1">
        <f t="array" aca="1" ref="I77" ca="1">OFFSET(INDIRECT("Sheet"&amp;F$2&amp;"!d1"),$G77-1,)</f>
        <v>6</v>
      </c>
      <c r="J77" cm="1">
        <f t="array" aca="1" ref="J77" ca="1">OFFSET(INDIRECT("Sheet"&amp;G$2&amp;"!d1"),$G77-1,)</f>
        <v>6</v>
      </c>
      <c r="K77" cm="1">
        <f t="array" aca="1" ref="K77" ca="1">OFFSET(INDIRECT("Sheet"&amp;H$2&amp;"!d1"),$G77-1,)</f>
        <v>6</v>
      </c>
      <c r="L77" cm="1">
        <f t="array" aca="1" ref="L77" ca="1">OFFSET(INDIRECT("Sheet"&amp;I$2&amp;"!d1"),$G77-1,)</f>
        <v>0</v>
      </c>
      <c r="M77" cm="1">
        <f t="array" aca="1" ref="M77" ca="1">OFFSET(INDIRECT("Sheet"&amp;J$2&amp;"!d1"),$G77-1,)</f>
        <v>6</v>
      </c>
      <c r="N77" cm="1">
        <f t="array" aca="1" ref="N77" ca="1">OFFSET(INDIRECT("Sheet"&amp;M$2&amp;"!d1"),$G77-1,)</f>
        <v>6</v>
      </c>
      <c r="O77" cm="1">
        <f t="array" aca="1" ref="O77" ca="1">OFFSET(INDIRECT("Sheet"&amp;C$2&amp;"!d1"),$G77-1,)</f>
        <v>6</v>
      </c>
      <c r="P77" cm="1">
        <f t="array" aca="1" ref="P77" ca="1">OFFSET(INDIRECT("Sheet"&amp;D$2&amp;"!d1"),$G77-1,)</f>
        <v>6</v>
      </c>
      <c r="Q77" cm="1">
        <f t="array" aca="1" ref="Q77" ca="1">OFFSET(INDIRECT("Sheet"&amp;N$2&amp;"!d1"),$G77-1,)</f>
        <v>6</v>
      </c>
      <c r="R77" cm="1">
        <f t="array" aca="1" ref="R77" ca="1">OFFSET(INDIRECT("Sheet"&amp;O$2&amp;"!d1"),$G77-1,)</f>
        <v>6</v>
      </c>
      <c r="S77" cm="1">
        <f t="array" aca="1" ref="S77" ca="1">OFFSET(INDIRECT("Sheet"&amp;P$2&amp;"!d1"),$G77-1,)</f>
        <v>6</v>
      </c>
      <c r="T77" cm="1">
        <f t="array" aca="1" ref="T77" ca="1">OFFSET(INDIRECT("Sheet"&amp;Q$2&amp;"!d1"),$G77-1,)</f>
        <v>6</v>
      </c>
      <c r="U77" cm="1">
        <f t="array" aca="1" ref="U77" ca="1">OFFSET(INDIRECT("Sheet"&amp;R$2&amp;"!d1"),$G77-1,)</f>
        <v>6</v>
      </c>
      <c r="V77" cm="1">
        <f t="array" aca="1" ref="V77" ca="1">OFFSET(INDIRECT("Sheet"&amp;S$2&amp;"!d1"),$G77-1,)</f>
        <v>6</v>
      </c>
      <c r="W77" cm="1">
        <f t="array" aca="1" ref="W77" ca="1">OFFSET(INDIRECT("Sheet"&amp;T$2&amp;"!d1"),$G77-1,)</f>
        <v>6</v>
      </c>
      <c r="X77" cm="1">
        <f t="array" aca="1" ref="X77" ca="1">OFFSET(INDIRECT("Sheet"&amp;U$2&amp;"!d1"),$G77-1,)</f>
        <v>6</v>
      </c>
      <c r="Y77" cm="1">
        <f t="array" aca="1" ref="Y77" ca="1">OFFSET(INDIRECT("Sheet"&amp;V$2&amp;"!d1"),$G77-1,)</f>
        <v>6</v>
      </c>
      <c r="Z77"/>
      <c r="AB77" s="3" cm="1">
        <f t="array" aca="1" ref="AB77" ca="1">OFFSET(INDIRECT("Sheet"&amp;E$2&amp;"!f1"),$G77-1,)</f>
        <v>15.571770762093299</v>
      </c>
      <c r="AC77" s="3" cm="1">
        <f t="array" aca="1" ref="AC77" ca="1">OFFSET(INDIRECT("Sheet"&amp;F$2&amp;"!f1"),$G77-1,)</f>
        <v>1.51116824895143</v>
      </c>
      <c r="AD77" s="3" cm="1">
        <f t="array" aca="1" ref="AD77" ca="1">OFFSET(INDIRECT("Sheet"&amp;G$2&amp;"!f1"),$G77-1,)</f>
        <v>1.66291127447038</v>
      </c>
      <c r="AE77" s="3" cm="1">
        <f t="array" aca="1" ref="AE77" ca="1">OFFSET(INDIRECT("Sheet"&amp;H$2&amp;"!f1"),$G77-1,)</f>
        <v>8.1546515775844401</v>
      </c>
      <c r="AF77" s="3" cm="1">
        <f t="array" aca="1" ref="AF77" ca="1">OFFSET(INDIRECT("Sheet"&amp;I$2&amp;"!f1"),$G77-1,)</f>
        <v>28801.8664424419</v>
      </c>
      <c r="AG77" s="3" cm="1">
        <f t="array" aca="1" ref="AG77" ca="1">OFFSET(INDIRECT("Sheet"&amp;J$2&amp;"!f1"),$G77-1,)</f>
        <v>0.221101452596485</v>
      </c>
      <c r="AH77" s="3" cm="1">
        <f t="array" aca="1" ref="AH77" ca="1">OFFSET(INDIRECT("Sheet"&amp;K$2&amp;"!f1"),$G77-1,)</f>
        <v>0.20676414199999699</v>
      </c>
      <c r="AI77" s="3" cm="1">
        <f t="array" aca="1" ref="AI77" ca="1">OFFSET(INDIRECT("Sheet"&amp;L$2&amp;"!f1"),$G77-1,)</f>
        <v>0.20086537000000201</v>
      </c>
      <c r="AJ77" s="3" cm="1">
        <f t="array" aca="1" ref="AJ77" ca="1">OFFSET(INDIRECT("Sheet"&amp;M$2&amp;"!f1"),$G77-1,)</f>
        <v>0.29746988043188999</v>
      </c>
      <c r="AK77" s="3" cm="1">
        <f t="array" aca="1" ref="AK77" ca="1">OFFSET(INDIRECT("Sheet"&amp;C$2&amp;"!f1"),$G77-1,)</f>
        <v>6.0603803731501102</v>
      </c>
      <c r="AL77" s="3" cm="1">
        <f t="array" aca="1" ref="AL77" ca="1">OFFSET(INDIRECT("Sheet"&amp;D$2&amp;"!f1"),$G77-1,)</f>
        <v>7.1865104539319802</v>
      </c>
      <c r="AM77" s="3" cm="1">
        <f t="array" aca="1" ref="AM77" ca="1">OFFSET(INDIRECT("Sheet"&amp;N$2&amp;"!f1"),$G77-1,)</f>
        <v>3.65579661540687</v>
      </c>
      <c r="AN77" s="3" cm="1">
        <f t="array" aca="1" ref="AN77" ca="1">OFFSET(INDIRECT("Sheet"&amp;O$2&amp;"!f1"),$G77-1,)</f>
        <v>5.0697901677340198</v>
      </c>
      <c r="AO77" s="3" cm="1">
        <f t="array" aca="1" ref="AO77" ca="1">OFFSET(INDIRECT("Sheet"&amp;P$2&amp;"!f1"),$G77-1,)</f>
        <v>7.1378344930708399</v>
      </c>
      <c r="AP77" s="3" cm="1">
        <f t="array" aca="1" ref="AP77" ca="1">OFFSET(INDIRECT("Sheet"&amp;Q$2&amp;"!f1"),$G77-1,)</f>
        <v>1.91757397167384</v>
      </c>
      <c r="AQ77" s="3" cm="1">
        <f t="array" aca="1" ref="AQ77" ca="1">OFFSET(INDIRECT("Sheet"&amp;R$2&amp;"!f1"),$G77-1,)</f>
        <v>2.99036946520209</v>
      </c>
      <c r="AR77" s="3" cm="1">
        <f t="array" aca="1" ref="AR77" ca="1">OFFSET(INDIRECT("Sheet"&amp;S$2&amp;"!f1"),$G77-1,)</f>
        <v>3.46137440297752</v>
      </c>
      <c r="AS77" s="3" cm="1">
        <f t="array" aca="1" ref="AS77" ca="1">OFFSET(INDIRECT("Sheet"&amp;T$2&amp;"!f1"),$G77-1,)</f>
        <v>4.8459228072315401</v>
      </c>
      <c r="AT77" s="3" cm="1">
        <f t="array" aca="1" ref="AT77" ca="1">OFFSET(INDIRECT("Sheet"&amp;U$2&amp;"!f1"),$G77-1,)</f>
        <v>4.9558440828695796</v>
      </c>
      <c r="AU77" s="3" cm="1">
        <f t="array" aca="1" ref="AU77" ca="1">OFFSET(INDIRECT("Sheet"&amp;V$2&amp;"!f1"),$G77-1,)</f>
        <v>6.9256945457309396</v>
      </c>
      <c r="AV77" s="3"/>
      <c r="AX77">
        <f ca="1">IF(H77=$F77,1,0)</f>
        <v>1</v>
      </c>
      <c r="AY77">
        <f ca="1">IF(I77=$F77,1,0)</f>
        <v>1</v>
      </c>
      <c r="AZ77">
        <f ca="1">IF(J77=$F77,1,0)</f>
        <v>1</v>
      </c>
      <c r="BA77">
        <f ca="1">IF(K77=$F77,1,0)</f>
        <v>1</v>
      </c>
      <c r="BB77">
        <f ca="1">IF(L77=$F77,1,0)</f>
        <v>0</v>
      </c>
      <c r="BC77">
        <f ca="1">IF(M77=$F77,1,0)</f>
        <v>1</v>
      </c>
      <c r="BD77">
        <f ca="1">IF(C77=$F77,1,0)</f>
        <v>1</v>
      </c>
      <c r="BE77">
        <f ca="1">IF(D77=$F77,1,0)</f>
        <v>1</v>
      </c>
      <c r="BF77">
        <f t="shared" ca="1" si="13"/>
        <v>1</v>
      </c>
      <c r="BG77">
        <f t="shared" ca="1" si="14"/>
        <v>1</v>
      </c>
      <c r="BH77">
        <f t="shared" ca="1" si="15"/>
        <v>1</v>
      </c>
      <c r="BI77">
        <f t="shared" ca="1" si="16"/>
        <v>1</v>
      </c>
      <c r="BJ77">
        <f t="shared" ca="1" si="24"/>
        <v>1</v>
      </c>
      <c r="BK77">
        <f t="shared" ca="1" si="24"/>
        <v>1</v>
      </c>
      <c r="BL77">
        <f t="shared" ca="1" si="24"/>
        <v>1</v>
      </c>
      <c r="BM77">
        <f t="shared" ca="1" si="18"/>
        <v>1</v>
      </c>
      <c r="BN77">
        <f t="shared" ca="1" si="19"/>
        <v>1</v>
      </c>
      <c r="BO77">
        <f t="shared" ca="1" si="20"/>
        <v>1</v>
      </c>
      <c r="BP77">
        <f t="shared" ca="1" si="21"/>
        <v>1</v>
      </c>
      <c r="BQ77">
        <f t="shared" ca="1" si="22"/>
        <v>1</v>
      </c>
    </row>
    <row r="78" spans="1:69" s="4" customFormat="1" x14ac:dyDescent="0.2">
      <c r="A78" t="str">
        <f>Sheet3!A62</f>
        <v>[[32,5,8]]</v>
      </c>
      <c r="B78" s="4">
        <v>32</v>
      </c>
      <c r="C78" cm="1">
        <f t="array" aca="1" ref="C78" ca="1">OFFSET(INDIRECT("Sheet"&amp;K$2&amp;"!d1"),$G78-1,)</f>
        <v>8</v>
      </c>
      <c r="D78" cm="1">
        <f t="array" aca="1" ref="D78" ca="1">OFFSET(INDIRECT("Sheet"&amp;L$2&amp;"!d1"),$G78-1,)</f>
        <v>8</v>
      </c>
      <c r="E78" s="4">
        <v>5</v>
      </c>
      <c r="F78" s="4">
        <v>8</v>
      </c>
      <c r="G78">
        <f t="shared" si="23"/>
        <v>62</v>
      </c>
      <c r="H78" cm="1">
        <f t="array" aca="1" ref="H78" ca="1">OFFSET(INDIRECT("Sheet"&amp;E$2&amp;"!d1"),$G78-1,)</f>
        <v>8</v>
      </c>
      <c r="I78" cm="1">
        <f t="array" aca="1" ref="I78" ca="1">OFFSET(INDIRECT("Sheet"&amp;F$2&amp;"!d1"),$G78-1,)</f>
        <v>8</v>
      </c>
      <c r="J78" cm="1">
        <f t="array" aca="1" ref="J78" ca="1">OFFSET(INDIRECT("Sheet"&amp;G$2&amp;"!d1"),$G78-1,)</f>
        <v>8</v>
      </c>
      <c r="K78" cm="1">
        <f t="array" aca="1" ref="K78" ca="1">OFFSET(INDIRECT("Sheet"&amp;H$2&amp;"!d1"),$G78-1,)</f>
        <v>8</v>
      </c>
      <c r="L78" cm="1">
        <f t="array" aca="1" ref="L78" ca="1">OFFSET(INDIRECT("Sheet"&amp;I$2&amp;"!d1"),$G78-1,)</f>
        <v>0</v>
      </c>
      <c r="M78" cm="1">
        <f t="array" aca="1" ref="M78" ca="1">OFFSET(INDIRECT("Sheet"&amp;J$2&amp;"!d1"),$G78-1,)</f>
        <v>8</v>
      </c>
      <c r="N78" cm="1">
        <f t="array" aca="1" ref="N78" ca="1">OFFSET(INDIRECT("Sheet"&amp;M$2&amp;"!d1"),$G78-1,)</f>
        <v>8</v>
      </c>
      <c r="O78" cm="1">
        <f t="array" aca="1" ref="O78" ca="1">OFFSET(INDIRECT("Sheet"&amp;C$2&amp;"!d1"),$G78-1,)</f>
        <v>8</v>
      </c>
      <c r="P78" cm="1">
        <f t="array" aca="1" ref="P78" ca="1">OFFSET(INDIRECT("Sheet"&amp;D$2&amp;"!d1"),$G78-1,)</f>
        <v>8</v>
      </c>
      <c r="Q78" cm="1">
        <f t="array" aca="1" ref="Q78" ca="1">OFFSET(INDIRECT("Sheet"&amp;N$2&amp;"!d1"),$G78-1,)</f>
        <v>8</v>
      </c>
      <c r="R78" cm="1">
        <f t="array" aca="1" ref="R78" ca="1">OFFSET(INDIRECT("Sheet"&amp;O$2&amp;"!d1"),$G78-1,)</f>
        <v>8</v>
      </c>
      <c r="S78" cm="1">
        <f t="array" aca="1" ref="S78" ca="1">OFFSET(INDIRECT("Sheet"&amp;P$2&amp;"!d1"),$G78-1,)</f>
        <v>8</v>
      </c>
      <c r="T78" cm="1">
        <f t="array" aca="1" ref="T78" ca="1">OFFSET(INDIRECT("Sheet"&amp;Q$2&amp;"!d1"),$G78-1,)</f>
        <v>8</v>
      </c>
      <c r="U78" cm="1">
        <f t="array" aca="1" ref="U78" ca="1">OFFSET(INDIRECT("Sheet"&amp;R$2&amp;"!d1"),$G78-1,)</f>
        <v>8</v>
      </c>
      <c r="V78" cm="1">
        <f t="array" aca="1" ref="V78" ca="1">OFFSET(INDIRECT("Sheet"&amp;S$2&amp;"!d1"),$G78-1,)</f>
        <v>8</v>
      </c>
      <c r="W78" cm="1">
        <f t="array" aca="1" ref="W78" ca="1">OFFSET(INDIRECT("Sheet"&amp;T$2&amp;"!d1"),$G78-1,)</f>
        <v>8</v>
      </c>
      <c r="X78" cm="1">
        <f t="array" aca="1" ref="X78" ca="1">OFFSET(INDIRECT("Sheet"&amp;U$2&amp;"!d1"),$G78-1,)</f>
        <v>8</v>
      </c>
      <c r="Y78" cm="1">
        <f t="array" aca="1" ref="Y78" ca="1">OFFSET(INDIRECT("Sheet"&amp;V$2&amp;"!d1"),$G78-1,)</f>
        <v>8</v>
      </c>
      <c r="Z78"/>
      <c r="AB78" s="3" cm="1">
        <f t="array" aca="1" ref="AB78" ca="1">OFFSET(INDIRECT("Sheet"&amp;E$2&amp;"!f1"),$G78-1,)</f>
        <v>76.661031563766301</v>
      </c>
      <c r="AC78" s="3" cm="1">
        <f t="array" aca="1" ref="AC78" ca="1">OFFSET(INDIRECT("Sheet"&amp;F$2&amp;"!f1"),$G78-1,)</f>
        <v>16.616575188003399</v>
      </c>
      <c r="AD78" s="3" cm="1">
        <f t="array" aca="1" ref="AD78" ca="1">OFFSET(INDIRECT("Sheet"&amp;G$2&amp;"!f1"),$G78-1,)</f>
        <v>5.6824114164337498</v>
      </c>
      <c r="AE78" s="3" cm="1">
        <f t="array" aca="1" ref="AE78" ca="1">OFFSET(INDIRECT("Sheet"&amp;H$2&amp;"!f1"),$G78-1,)</f>
        <v>7169.6330119250297</v>
      </c>
      <c r="AF78" s="3" cm="1">
        <f t="array" aca="1" ref="AF78" ca="1">OFFSET(INDIRECT("Sheet"&amp;I$2&amp;"!f1"),$G78-1,)</f>
        <v>28800.109964065199</v>
      </c>
      <c r="AG78" s="3" cm="1">
        <f t="array" aca="1" ref="AG78" ca="1">OFFSET(INDIRECT("Sheet"&amp;J$2&amp;"!f1"),$G78-1,)</f>
        <v>0.26032263040542603</v>
      </c>
      <c r="AH78" s="3" cm="1">
        <f t="array" aca="1" ref="AH78" ca="1">OFFSET(INDIRECT("Sheet"&amp;K$2&amp;"!f1"),$G78-1,)</f>
        <v>0.23984728999999999</v>
      </c>
      <c r="AI78" s="3" cm="1">
        <f t="array" aca="1" ref="AI78" ca="1">OFFSET(INDIRECT("Sheet"&amp;L$2&amp;"!f1"),$G78-1,)</f>
        <v>0.233709322999999</v>
      </c>
      <c r="AJ78" s="3" cm="1">
        <f t="array" aca="1" ref="AJ78" ca="1">OFFSET(INDIRECT("Sheet"&amp;M$2&amp;"!f1"),$G78-1,)</f>
        <v>0.34492480661719999</v>
      </c>
      <c r="AK78" s="3" cm="1">
        <f t="array" aca="1" ref="AK78" ca="1">OFFSET(INDIRECT("Sheet"&amp;C$2&amp;"!f1"),$G78-1,)</f>
        <v>104.08217031415499</v>
      </c>
      <c r="AL78" s="3" cm="1">
        <f t="array" aca="1" ref="AL78" ca="1">OFFSET(INDIRECT("Sheet"&amp;D$2&amp;"!f1"),$G78-1,)</f>
        <v>341.525071608833</v>
      </c>
      <c r="AM78" s="3" cm="1">
        <f t="array" aca="1" ref="AM78" ca="1">OFFSET(INDIRECT("Sheet"&amp;N$2&amp;"!f1"),$G78-1,)</f>
        <v>3.5065103080123601</v>
      </c>
      <c r="AN78" s="3" cm="1">
        <f t="array" aca="1" ref="AN78" ca="1">OFFSET(INDIRECT("Sheet"&amp;O$2&amp;"!f1"),$G78-1,)</f>
        <v>4.8334180805832103</v>
      </c>
      <c r="AO78" s="3" cm="1">
        <f t="array" aca="1" ref="AO78" ca="1">OFFSET(INDIRECT("Sheet"&amp;P$2&amp;"!f1"),$G78-1,)</f>
        <v>6.4672976033762097</v>
      </c>
      <c r="AP78" s="3" cm="1">
        <f t="array" aca="1" ref="AP78" ca="1">OFFSET(INDIRECT("Sheet"&amp;Q$2&amp;"!f1"),$G78-1,)</f>
        <v>1.7506071375682899</v>
      </c>
      <c r="AQ78" s="3" cm="1">
        <f t="array" aca="1" ref="AQ78" ca="1">OFFSET(INDIRECT("Sheet"&amp;R$2&amp;"!f1"),$G78-1,)</f>
        <v>2.8326981794088999</v>
      </c>
      <c r="AR78" s="3" cm="1">
        <f t="array" aca="1" ref="AR78" ca="1">OFFSET(INDIRECT("Sheet"&amp;S$2&amp;"!f1"),$G78-1,)</f>
        <v>3.25455523654818</v>
      </c>
      <c r="AS78" s="3" cm="1">
        <f t="array" aca="1" ref="AS78" ca="1">OFFSET(INDIRECT("Sheet"&amp;T$2&amp;"!f1"),$G78-1,)</f>
        <v>4.5802612090483299</v>
      </c>
      <c r="AT78" s="3" cm="1">
        <f t="array" aca="1" ref="AT78" ca="1">OFFSET(INDIRECT("Sheet"&amp;U$2&amp;"!f1"),$G78-1,)</f>
        <v>4.3309238171204898</v>
      </c>
      <c r="AU78" s="3" cm="1">
        <f t="array" aca="1" ref="AU78" ca="1">OFFSET(INDIRECT("Sheet"&amp;V$2&amp;"!f1"),$G78-1,)</f>
        <v>6.2094108965247798</v>
      </c>
      <c r="AV78" s="3"/>
      <c r="AX78">
        <f ca="1">IF(H78=$F78,1,0)</f>
        <v>1</v>
      </c>
      <c r="AY78">
        <f ca="1">IF(I78=$F78,1,0)</f>
        <v>1</v>
      </c>
      <c r="AZ78">
        <f ca="1">IF(J78=$F78,1,0)</f>
        <v>1</v>
      </c>
      <c r="BA78">
        <f ca="1">IF(K78=$F78,1,0)</f>
        <v>1</v>
      </c>
      <c r="BB78">
        <f ca="1">IF(L78=$F78,1,0)</f>
        <v>0</v>
      </c>
      <c r="BC78">
        <f ca="1">IF(M78=$F78,1,0)</f>
        <v>1</v>
      </c>
      <c r="BD78">
        <f ca="1">IF(C78=$F78,1,0)</f>
        <v>1</v>
      </c>
      <c r="BE78">
        <f ca="1">IF(D78=$F78,1,0)</f>
        <v>1</v>
      </c>
      <c r="BF78">
        <f t="shared" ca="1" si="13"/>
        <v>1</v>
      </c>
      <c r="BG78">
        <f t="shared" ca="1" si="14"/>
        <v>1</v>
      </c>
      <c r="BH78">
        <f t="shared" ca="1" si="15"/>
        <v>1</v>
      </c>
      <c r="BI78">
        <f t="shared" ca="1" si="16"/>
        <v>1</v>
      </c>
      <c r="BJ78">
        <f t="shared" ca="1" si="24"/>
        <v>1</v>
      </c>
      <c r="BK78">
        <f t="shared" ca="1" si="24"/>
        <v>1</v>
      </c>
      <c r="BL78">
        <f t="shared" ca="1" si="24"/>
        <v>1</v>
      </c>
      <c r="BM78">
        <f t="shared" ca="1" si="18"/>
        <v>1</v>
      </c>
      <c r="BN78">
        <f t="shared" ca="1" si="19"/>
        <v>1</v>
      </c>
      <c r="BO78">
        <f t="shared" ca="1" si="20"/>
        <v>1</v>
      </c>
      <c r="BP78">
        <f t="shared" ca="1" si="21"/>
        <v>1</v>
      </c>
      <c r="BQ78">
        <f t="shared" ca="1" si="22"/>
        <v>1</v>
      </c>
    </row>
    <row r="79" spans="1:69" s="4" customFormat="1" x14ac:dyDescent="0.2">
      <c r="A79" t="str">
        <f>Sheet3!A63</f>
        <v>[[33,7,8]]</v>
      </c>
      <c r="B79" s="4">
        <v>33</v>
      </c>
      <c r="C79" cm="1">
        <f t="array" aca="1" ref="C79" ca="1">OFFSET(INDIRECT("Sheet"&amp;K$2&amp;"!d1"),$G79-1,)</f>
        <v>8</v>
      </c>
      <c r="D79" cm="1">
        <f t="array" aca="1" ref="D79" ca="1">OFFSET(INDIRECT("Sheet"&amp;L$2&amp;"!d1"),$G79-1,)</f>
        <v>8</v>
      </c>
      <c r="E79" s="4">
        <v>7</v>
      </c>
      <c r="F79" s="4">
        <v>8</v>
      </c>
      <c r="G79">
        <f t="shared" si="23"/>
        <v>63</v>
      </c>
      <c r="H79" cm="1">
        <f t="array" aca="1" ref="H79" ca="1">OFFSET(INDIRECT("Sheet"&amp;E$2&amp;"!d1"),$G79-1,)</f>
        <v>8</v>
      </c>
      <c r="I79" cm="1">
        <f t="array" aca="1" ref="I79" ca="1">OFFSET(INDIRECT("Sheet"&amp;F$2&amp;"!d1"),$G79-1,)</f>
        <v>8</v>
      </c>
      <c r="J79" cm="1">
        <f t="array" aca="1" ref="J79" ca="1">OFFSET(INDIRECT("Sheet"&amp;G$2&amp;"!d1"),$G79-1,)</f>
        <v>8</v>
      </c>
      <c r="K79" cm="1">
        <f t="array" aca="1" ref="K79" ca="1">OFFSET(INDIRECT("Sheet"&amp;H$2&amp;"!d1"),$G79-1,)</f>
        <v>8</v>
      </c>
      <c r="L79" cm="1">
        <f t="array" aca="1" ref="L79" ca="1">OFFSET(INDIRECT("Sheet"&amp;I$2&amp;"!d1"),$G79-1,)</f>
        <v>0</v>
      </c>
      <c r="M79" cm="1">
        <f t="array" aca="1" ref="M79" ca="1">OFFSET(INDIRECT("Sheet"&amp;J$2&amp;"!d1"),$G79-1,)</f>
        <v>8</v>
      </c>
      <c r="N79" cm="1">
        <f t="array" aca="1" ref="N79" ca="1">OFFSET(INDIRECT("Sheet"&amp;M$2&amp;"!d1"),$G79-1,)</f>
        <v>8</v>
      </c>
      <c r="O79" cm="1">
        <f t="array" aca="1" ref="O79" ca="1">OFFSET(INDIRECT("Sheet"&amp;C$2&amp;"!d1"),$G79-1,)</f>
        <v>8</v>
      </c>
      <c r="P79" cm="1">
        <f t="array" aca="1" ref="P79" ca="1">OFFSET(INDIRECT("Sheet"&amp;D$2&amp;"!d1"),$G79-1,)</f>
        <v>8</v>
      </c>
      <c r="Q79" cm="1">
        <f t="array" aca="1" ref="Q79" ca="1">OFFSET(INDIRECT("Sheet"&amp;N$2&amp;"!d1"),$G79-1,)</f>
        <v>8</v>
      </c>
      <c r="R79" cm="1">
        <f t="array" aca="1" ref="R79" ca="1">OFFSET(INDIRECT("Sheet"&amp;O$2&amp;"!d1"),$G79-1,)</f>
        <v>8</v>
      </c>
      <c r="S79" cm="1">
        <f t="array" aca="1" ref="S79" ca="1">OFFSET(INDIRECT("Sheet"&amp;P$2&amp;"!d1"),$G79-1,)</f>
        <v>8</v>
      </c>
      <c r="T79" cm="1">
        <f t="array" aca="1" ref="T79" ca="1">OFFSET(INDIRECT("Sheet"&amp;Q$2&amp;"!d1"),$G79-1,)</f>
        <v>8</v>
      </c>
      <c r="U79" cm="1">
        <f t="array" aca="1" ref="U79" ca="1">OFFSET(INDIRECT("Sheet"&amp;R$2&amp;"!d1"),$G79-1,)</f>
        <v>8</v>
      </c>
      <c r="V79" cm="1">
        <f t="array" aca="1" ref="V79" ca="1">OFFSET(INDIRECT("Sheet"&amp;S$2&amp;"!d1"),$G79-1,)</f>
        <v>8</v>
      </c>
      <c r="W79" cm="1">
        <f t="array" aca="1" ref="W79" ca="1">OFFSET(INDIRECT("Sheet"&amp;T$2&amp;"!d1"),$G79-1,)</f>
        <v>8</v>
      </c>
      <c r="X79" cm="1">
        <f t="array" aca="1" ref="X79" ca="1">OFFSET(INDIRECT("Sheet"&amp;U$2&amp;"!d1"),$G79-1,)</f>
        <v>8</v>
      </c>
      <c r="Y79" cm="1">
        <f t="array" aca="1" ref="Y79" ca="1">OFFSET(INDIRECT("Sheet"&amp;V$2&amp;"!d1"),$G79-1,)</f>
        <v>8</v>
      </c>
      <c r="Z79"/>
      <c r="AB79" s="3" cm="1">
        <f t="array" aca="1" ref="AB79" ca="1">OFFSET(INDIRECT("Sheet"&amp;E$2&amp;"!f1"),$G79-1,)</f>
        <v>957.59382904693405</v>
      </c>
      <c r="AC79" s="3" cm="1">
        <f t="array" aca="1" ref="AC79" ca="1">OFFSET(INDIRECT("Sheet"&amp;F$2&amp;"!f1"),$G79-1,)</f>
        <v>32.554674043320098</v>
      </c>
      <c r="AD79" s="3" cm="1">
        <f t="array" aca="1" ref="AD79" ca="1">OFFSET(INDIRECT("Sheet"&amp;G$2&amp;"!f1"),$G79-1,)</f>
        <v>36.928359448909703</v>
      </c>
      <c r="AE79" s="3" cm="1">
        <f t="array" aca="1" ref="AE79" ca="1">OFFSET(INDIRECT("Sheet"&amp;H$2&amp;"!f1"),$G79-1,)</f>
        <v>13337.341799964101</v>
      </c>
      <c r="AF79" s="3" cm="1">
        <f t="array" aca="1" ref="AF79" ca="1">OFFSET(INDIRECT("Sheet"&amp;I$2&amp;"!f1"),$G79-1,)</f>
        <v>28800.1098792105</v>
      </c>
      <c r="AG79" s="3" cm="1">
        <f t="array" aca="1" ref="AG79" ca="1">OFFSET(INDIRECT("Sheet"&amp;J$2&amp;"!f1"),$G79-1,)</f>
        <v>0.26603432744741401</v>
      </c>
      <c r="AH79" s="3" cm="1">
        <f t="array" aca="1" ref="AH79" ca="1">OFFSET(INDIRECT("Sheet"&amp;K$2&amp;"!f1"),$G79-1,)</f>
        <v>0.23647815999999</v>
      </c>
      <c r="AI79" s="3" cm="1">
        <f t="array" aca="1" ref="AI79" ca="1">OFFSET(INDIRECT("Sheet"&amp;L$2&amp;"!f1"),$G79-1,)</f>
        <v>0.236772480000013</v>
      </c>
      <c r="AJ79" s="3" cm="1">
        <f t="array" aca="1" ref="AJ79" ca="1">OFFSET(INDIRECT("Sheet"&amp;M$2&amp;"!f1"),$G79-1,)</f>
        <v>0.36814383510500098</v>
      </c>
      <c r="AK79" s="3" cm="1">
        <f t="array" aca="1" ref="AK79" ca="1">OFFSET(INDIRECT("Sheet"&amp;C$2&amp;"!f1"),$G79-1,)</f>
        <v>194.237742953002</v>
      </c>
      <c r="AL79" s="3" cm="1">
        <f t="array" aca="1" ref="AL79" ca="1">OFFSET(INDIRECT("Sheet"&amp;D$2&amp;"!f1"),$G79-1,)</f>
        <v>333.802251926623</v>
      </c>
      <c r="AM79" s="3" cm="1">
        <f t="array" aca="1" ref="AM79" ca="1">OFFSET(INDIRECT("Sheet"&amp;N$2&amp;"!f1"),$G79-1,)</f>
        <v>3.9183797007426602</v>
      </c>
      <c r="AN79" s="3" cm="1">
        <f t="array" aca="1" ref="AN79" ca="1">OFFSET(INDIRECT("Sheet"&amp;O$2&amp;"!f1"),$G79-1,)</f>
        <v>5.5726291509345103</v>
      </c>
      <c r="AO79" s="3" cm="1">
        <f t="array" aca="1" ref="AO79" ca="1">OFFSET(INDIRECT("Sheet"&amp;P$2&amp;"!f1"),$G79-1,)</f>
        <v>7.8650288442149696</v>
      </c>
      <c r="AP79" s="3" cm="1">
        <f t="array" aca="1" ref="AP79" ca="1">OFFSET(INDIRECT("Sheet"&amp;Q$2&amp;"!f1"),$G79-1,)</f>
        <v>1.9519811663776601</v>
      </c>
      <c r="AQ79" s="3" cm="1">
        <f t="array" aca="1" ref="AQ79" ca="1">OFFSET(INDIRECT("Sheet"&amp;R$2&amp;"!f1"),$G79-1,)</f>
        <v>3.25899837911129</v>
      </c>
      <c r="AR79" s="3" cm="1">
        <f t="array" aca="1" ref="AR79" ca="1">OFFSET(INDIRECT("Sheet"&amp;S$2&amp;"!f1"),$G79-1,)</f>
        <v>3.7177186645567399</v>
      </c>
      <c r="AS79" s="3" cm="1">
        <f t="array" aca="1" ref="AS79" ca="1">OFFSET(INDIRECT("Sheet"&amp;T$2&amp;"!f1"),$G79-1,)</f>
        <v>5.3098085327073896</v>
      </c>
      <c r="AT79" s="3" cm="1">
        <f t="array" aca="1" ref="AT79" ca="1">OFFSET(INDIRECT("Sheet"&amp;U$2&amp;"!f1"),$G79-1,)</f>
        <v>5.0782613502815304</v>
      </c>
      <c r="AU79" s="3" cm="1">
        <f t="array" aca="1" ref="AU79" ca="1">OFFSET(INDIRECT("Sheet"&amp;V$2&amp;"!f1"),$G79-1,)</f>
        <v>7.5689581045880896</v>
      </c>
      <c r="AV79" s="3"/>
      <c r="AX79">
        <f ca="1">IF(H79=$F79,1,0)</f>
        <v>1</v>
      </c>
      <c r="AY79">
        <f ca="1">IF(I79=$F79,1,0)</f>
        <v>1</v>
      </c>
      <c r="AZ79">
        <f ca="1">IF(J79=$F79,1,0)</f>
        <v>1</v>
      </c>
      <c r="BA79">
        <f ca="1">IF(K79=$F79,1,0)</f>
        <v>1</v>
      </c>
      <c r="BB79">
        <f ca="1">IF(L79=$F79,1,0)</f>
        <v>0</v>
      </c>
      <c r="BC79">
        <f ca="1">IF(M79=$F79,1,0)</f>
        <v>1</v>
      </c>
      <c r="BD79">
        <f ca="1">IF(C79=$F79,1,0)</f>
        <v>1</v>
      </c>
      <c r="BE79">
        <f ca="1">IF(D79=$F79,1,0)</f>
        <v>1</v>
      </c>
      <c r="BF79">
        <f t="shared" ca="1" si="13"/>
        <v>1</v>
      </c>
      <c r="BG79">
        <f t="shared" ca="1" si="14"/>
        <v>1</v>
      </c>
      <c r="BH79">
        <f t="shared" ca="1" si="15"/>
        <v>1</v>
      </c>
      <c r="BI79">
        <f t="shared" ca="1" si="16"/>
        <v>1</v>
      </c>
      <c r="BJ79">
        <f t="shared" ca="1" si="24"/>
        <v>1</v>
      </c>
      <c r="BK79">
        <f t="shared" ca="1" si="24"/>
        <v>1</v>
      </c>
      <c r="BL79">
        <f t="shared" ca="1" si="24"/>
        <v>1</v>
      </c>
      <c r="BM79">
        <f t="shared" ca="1" si="18"/>
        <v>1</v>
      </c>
      <c r="BN79">
        <f t="shared" ca="1" si="19"/>
        <v>1</v>
      </c>
      <c r="BO79">
        <f t="shared" ca="1" si="20"/>
        <v>1</v>
      </c>
      <c r="BP79">
        <f t="shared" ca="1" si="21"/>
        <v>1</v>
      </c>
      <c r="BQ79">
        <f t="shared" ca="1" si="22"/>
        <v>1</v>
      </c>
    </row>
    <row r="80" spans="1:69" s="4" customFormat="1" x14ac:dyDescent="0.2">
      <c r="A80" t="str">
        <f>Sheet3!A64</f>
        <v>[[34,17,5]]</v>
      </c>
      <c r="B80" s="4">
        <v>34</v>
      </c>
      <c r="C80" cm="1">
        <f t="array" aca="1" ref="C80" ca="1">OFFSET(INDIRECT("Sheet"&amp;K$2&amp;"!d1"),$G80-1,)</f>
        <v>5</v>
      </c>
      <c r="D80" cm="1">
        <f t="array" aca="1" ref="D80" ca="1">OFFSET(INDIRECT("Sheet"&amp;L$2&amp;"!d1"),$G80-1,)</f>
        <v>5</v>
      </c>
      <c r="E80" s="4">
        <v>17</v>
      </c>
      <c r="F80" s="4">
        <v>5</v>
      </c>
      <c r="G80">
        <f t="shared" si="23"/>
        <v>64</v>
      </c>
      <c r="H80" cm="1">
        <f t="array" aca="1" ref="H80" ca="1">OFFSET(INDIRECT("Sheet"&amp;E$2&amp;"!d1"),$G80-1,)</f>
        <v>5</v>
      </c>
      <c r="I80" cm="1">
        <f t="array" aca="1" ref="I80" ca="1">OFFSET(INDIRECT("Sheet"&amp;F$2&amp;"!d1"),$G80-1,)</f>
        <v>5</v>
      </c>
      <c r="J80" cm="1">
        <f t="array" aca="1" ref="J80" ca="1">OFFSET(INDIRECT("Sheet"&amp;G$2&amp;"!d1"),$G80-1,)</f>
        <v>5</v>
      </c>
      <c r="K80" cm="1">
        <f t="array" aca="1" ref="K80" ca="1">OFFSET(INDIRECT("Sheet"&amp;H$2&amp;"!d1"),$G80-1,)</f>
        <v>5</v>
      </c>
      <c r="L80" cm="1">
        <f t="array" aca="1" ref="L80" ca="1">OFFSET(INDIRECT("Sheet"&amp;I$2&amp;"!d1"),$G80-1,)</f>
        <v>0</v>
      </c>
      <c r="M80" cm="1">
        <f t="array" aca="1" ref="M80" ca="1">OFFSET(INDIRECT("Sheet"&amp;J$2&amp;"!d1"),$G80-1,)</f>
        <v>5</v>
      </c>
      <c r="N80" cm="1">
        <f t="array" aca="1" ref="N80" ca="1">OFFSET(INDIRECT("Sheet"&amp;M$2&amp;"!d1"),$G80-1,)</f>
        <v>5</v>
      </c>
      <c r="O80" cm="1">
        <f t="array" aca="1" ref="O80" ca="1">OFFSET(INDIRECT("Sheet"&amp;C$2&amp;"!d1"),$G80-1,)</f>
        <v>5</v>
      </c>
      <c r="P80" cm="1">
        <f t="array" aca="1" ref="P80" ca="1">OFFSET(INDIRECT("Sheet"&amp;D$2&amp;"!d1"),$G80-1,)</f>
        <v>5</v>
      </c>
      <c r="Q80" cm="1">
        <f t="array" aca="1" ref="Q80" ca="1">OFFSET(INDIRECT("Sheet"&amp;N$2&amp;"!d1"),$G80-1,)</f>
        <v>5</v>
      </c>
      <c r="R80" cm="1">
        <f t="array" aca="1" ref="R80" ca="1">OFFSET(INDIRECT("Sheet"&amp;O$2&amp;"!d1"),$G80-1,)</f>
        <v>5</v>
      </c>
      <c r="S80" cm="1">
        <f t="array" aca="1" ref="S80" ca="1">OFFSET(INDIRECT("Sheet"&amp;P$2&amp;"!d1"),$G80-1,)</f>
        <v>5</v>
      </c>
      <c r="T80" cm="1">
        <f t="array" aca="1" ref="T80" ca="1">OFFSET(INDIRECT("Sheet"&amp;Q$2&amp;"!d1"),$G80-1,)</f>
        <v>5</v>
      </c>
      <c r="U80" cm="1">
        <f t="array" aca="1" ref="U80" ca="1">OFFSET(INDIRECT("Sheet"&amp;R$2&amp;"!d1"),$G80-1,)</f>
        <v>5</v>
      </c>
      <c r="V80" cm="1">
        <f t="array" aca="1" ref="V80" ca="1">OFFSET(INDIRECT("Sheet"&amp;S$2&amp;"!d1"),$G80-1,)</f>
        <v>5</v>
      </c>
      <c r="W80" cm="1">
        <f t="array" aca="1" ref="W80" ca="1">OFFSET(INDIRECT("Sheet"&amp;T$2&amp;"!d1"),$G80-1,)</f>
        <v>5</v>
      </c>
      <c r="X80" cm="1">
        <f t="array" aca="1" ref="X80" ca="1">OFFSET(INDIRECT("Sheet"&amp;U$2&amp;"!d1"),$G80-1,)</f>
        <v>5</v>
      </c>
      <c r="Y80" cm="1">
        <f t="array" aca="1" ref="Y80" ca="1">OFFSET(INDIRECT("Sheet"&amp;V$2&amp;"!d1"),$G80-1,)</f>
        <v>5</v>
      </c>
      <c r="Z80"/>
      <c r="AB80" s="3" cm="1">
        <f t="array" aca="1" ref="AB80" ca="1">OFFSET(INDIRECT("Sheet"&amp;E$2&amp;"!f1"),$G80-1,)</f>
        <v>6.8014242984354496</v>
      </c>
      <c r="AC80" s="3" cm="1">
        <f t="array" aca="1" ref="AC80" ca="1">OFFSET(INDIRECT("Sheet"&amp;F$2&amp;"!f1"),$G80-1,)</f>
        <v>53.149804209358898</v>
      </c>
      <c r="AD80" s="3" cm="1">
        <f t="array" aca="1" ref="AD80" ca="1">OFFSET(INDIRECT("Sheet"&amp;G$2&amp;"!f1"),$G80-1,)</f>
        <v>1.0409763976931501</v>
      </c>
      <c r="AE80" s="3" cm="1">
        <f t="array" aca="1" ref="AE80" ca="1">OFFSET(INDIRECT("Sheet"&amp;H$2&amp;"!f1"),$G80-1,)</f>
        <v>0.34773479029536197</v>
      </c>
      <c r="AF80" s="3" cm="1">
        <f t="array" aca="1" ref="AF80" ca="1">OFFSET(INDIRECT("Sheet"&amp;I$2&amp;"!f1"),$G80-1,)</f>
        <v>28800.112078413302</v>
      </c>
      <c r="AG80" s="3" cm="1">
        <f t="array" aca="1" ref="AG80" ca="1">OFFSET(INDIRECT("Sheet"&amp;J$2&amp;"!f1"),$G80-1,)</f>
        <v>0.206314321607351</v>
      </c>
      <c r="AH80" s="3" cm="1">
        <f t="array" aca="1" ref="AH80" ca="1">OFFSET(INDIRECT("Sheet"&amp;K$2&amp;"!f1"),$G80-1,)</f>
        <v>0.18540856900000299</v>
      </c>
      <c r="AI80" s="3" cm="1">
        <f t="array" aca="1" ref="AI80" ca="1">OFFSET(INDIRECT("Sheet"&amp;L$2&amp;"!f1"),$G80-1,)</f>
        <v>0.18469339099999599</v>
      </c>
      <c r="AJ80" s="3" cm="1">
        <f t="array" aca="1" ref="AJ80" ca="1">OFFSET(INDIRECT("Sheet"&amp;M$2&amp;"!f1"),$G80-1,)</f>
        <v>0.28286806773394302</v>
      </c>
      <c r="AK80" s="3" cm="1">
        <f t="array" aca="1" ref="AK80" ca="1">OFFSET(INDIRECT("Sheet"&amp;C$2&amp;"!f1"),$G80-1,)</f>
        <v>3.2938967337831802</v>
      </c>
      <c r="AL80" s="3" cm="1">
        <f t="array" aca="1" ref="AL80" ca="1">OFFSET(INDIRECT("Sheet"&amp;D$2&amp;"!f1"),$G80-1,)</f>
        <v>3.0147598357871099</v>
      </c>
      <c r="AM80" s="3" cm="1">
        <f t="array" aca="1" ref="AM80" ca="1">OFFSET(INDIRECT("Sheet"&amp;N$2&amp;"!f1"),$G80-1,)</f>
        <v>4.7828903691843099</v>
      </c>
      <c r="AN80" s="3" cm="1">
        <f t="array" aca="1" ref="AN80" ca="1">OFFSET(INDIRECT("Sheet"&amp;O$2&amp;"!f1"),$G80-1,)</f>
        <v>6.7769064586609602</v>
      </c>
      <c r="AO80" s="3" cm="1">
        <f t="array" aca="1" ref="AO80" ca="1">OFFSET(INDIRECT("Sheet"&amp;P$2&amp;"!f1"),$G80-1,)</f>
        <v>11.0120093636214</v>
      </c>
      <c r="AP80" s="3" cm="1">
        <f t="array" aca="1" ref="AP80" ca="1">OFFSET(INDIRECT("Sheet"&amp;Q$2&amp;"!f1"),$G80-1,)</f>
        <v>2.8514463724568402</v>
      </c>
      <c r="AQ80" s="3" cm="1">
        <f t="array" aca="1" ref="AQ80" ca="1">OFFSET(INDIRECT("Sheet"&amp;R$2&amp;"!f1"),$G80-1,)</f>
        <v>4.1325480202212903</v>
      </c>
      <c r="AR80" s="3" cm="1">
        <f t="array" aca="1" ref="AR80" ca="1">OFFSET(INDIRECT("Sheet"&amp;S$2&amp;"!f1"),$G80-1,)</f>
        <v>4.79418160021305</v>
      </c>
      <c r="AS80" s="3" cm="1">
        <f t="array" aca="1" ref="AS80" ca="1">OFFSET(INDIRECT("Sheet"&amp;T$2&amp;"!f1"),$G80-1,)</f>
        <v>6.5855906419455996</v>
      </c>
      <c r="AT80" s="3" cm="1">
        <f t="array" aca="1" ref="AT80" ca="1">OFFSET(INDIRECT("Sheet"&amp;U$2&amp;"!f1"),$G80-1,)</f>
        <v>8.0383780971169401</v>
      </c>
      <c r="AU80" s="3" cm="1">
        <f t="array" aca="1" ref="AU80" ca="1">OFFSET(INDIRECT("Sheet"&amp;V$2&amp;"!f1"),$G80-1,)</f>
        <v>10.840503985062201</v>
      </c>
      <c r="AV80" s="3"/>
      <c r="AX80">
        <f ca="1">IF(H80=$F80,1,0)</f>
        <v>1</v>
      </c>
      <c r="AY80">
        <f ca="1">IF(I80=$F80,1,0)</f>
        <v>1</v>
      </c>
      <c r="AZ80">
        <f ca="1">IF(J80=$F80,1,0)</f>
        <v>1</v>
      </c>
      <c r="BA80">
        <f ca="1">IF(K80=$F80,1,0)</f>
        <v>1</v>
      </c>
      <c r="BB80">
        <f ca="1">IF(L80=$F80,1,0)</f>
        <v>0</v>
      </c>
      <c r="BC80">
        <f ca="1">IF(M80=$F80,1,0)</f>
        <v>1</v>
      </c>
      <c r="BD80">
        <f ca="1">IF(C80=$F80,1,0)</f>
        <v>1</v>
      </c>
      <c r="BE80">
        <f ca="1">IF(D80=$F80,1,0)</f>
        <v>1</v>
      </c>
      <c r="BF80">
        <f t="shared" ca="1" si="13"/>
        <v>1</v>
      </c>
      <c r="BG80">
        <f t="shared" ca="1" si="14"/>
        <v>1</v>
      </c>
      <c r="BH80">
        <f t="shared" ca="1" si="15"/>
        <v>1</v>
      </c>
      <c r="BI80">
        <f t="shared" ca="1" si="16"/>
        <v>1</v>
      </c>
      <c r="BJ80">
        <f t="shared" ca="1" si="24"/>
        <v>1</v>
      </c>
      <c r="BK80">
        <f t="shared" ca="1" si="24"/>
        <v>1</v>
      </c>
      <c r="BL80">
        <f t="shared" ca="1" si="24"/>
        <v>1</v>
      </c>
      <c r="BM80">
        <f t="shared" ca="1" si="18"/>
        <v>1</v>
      </c>
      <c r="BN80">
        <f t="shared" ca="1" si="19"/>
        <v>1</v>
      </c>
      <c r="BO80">
        <f t="shared" ca="1" si="20"/>
        <v>1</v>
      </c>
      <c r="BP80">
        <f t="shared" ca="1" si="21"/>
        <v>1</v>
      </c>
      <c r="BQ80">
        <f t="shared" ca="1" si="22"/>
        <v>1</v>
      </c>
    </row>
    <row r="81" spans="1:69" s="4" customFormat="1" x14ac:dyDescent="0.2">
      <c r="A81" t="str">
        <f>Sheet3!A65</f>
        <v>[[35,4,9]]</v>
      </c>
      <c r="B81" s="4">
        <v>35</v>
      </c>
      <c r="C81" cm="1">
        <f t="array" aca="1" ref="C81" ca="1">OFFSET(INDIRECT("Sheet"&amp;K$2&amp;"!d1"),$G81-1,)</f>
        <v>9</v>
      </c>
      <c r="D81" cm="1">
        <f t="array" aca="1" ref="D81" ca="1">OFFSET(INDIRECT("Sheet"&amp;L$2&amp;"!d1"),$G81-1,)</f>
        <v>9</v>
      </c>
      <c r="E81" s="4">
        <v>4</v>
      </c>
      <c r="F81" s="4">
        <v>9</v>
      </c>
      <c r="G81">
        <f t="shared" si="23"/>
        <v>65</v>
      </c>
      <c r="H81" cm="1">
        <f t="array" aca="1" ref="H81" ca="1">OFFSET(INDIRECT("Sheet"&amp;E$2&amp;"!d1"),$G81-1,)</f>
        <v>9</v>
      </c>
      <c r="I81" cm="1">
        <f t="array" aca="1" ref="I81" ca="1">OFFSET(INDIRECT("Sheet"&amp;F$2&amp;"!d1"),$G81-1,)</f>
        <v>9</v>
      </c>
      <c r="J81" cm="1">
        <f t="array" aca="1" ref="J81" ca="1">OFFSET(INDIRECT("Sheet"&amp;G$2&amp;"!d1"),$G81-1,)</f>
        <v>9</v>
      </c>
      <c r="K81" cm="1">
        <f t="array" aca="1" ref="K81" ca="1">OFFSET(INDIRECT("Sheet"&amp;H$2&amp;"!d1"),$G81-1,)</f>
        <v>0</v>
      </c>
      <c r="L81" cm="1">
        <f t="array" aca="1" ref="L81" ca="1">OFFSET(INDIRECT("Sheet"&amp;I$2&amp;"!d1"),$G81-1,)</f>
        <v>0</v>
      </c>
      <c r="M81" cm="1">
        <f t="array" aca="1" ref="M81" ca="1">OFFSET(INDIRECT("Sheet"&amp;J$2&amp;"!d1"),$G81-1,)</f>
        <v>9</v>
      </c>
      <c r="N81" cm="1">
        <f t="array" aca="1" ref="N81" ca="1">OFFSET(INDIRECT("Sheet"&amp;M$2&amp;"!d1"),$G81-1,)</f>
        <v>9</v>
      </c>
      <c r="O81" cm="1">
        <f t="array" aca="1" ref="O81" ca="1">OFFSET(INDIRECT("Sheet"&amp;C$2&amp;"!d1"),$G81-1,)</f>
        <v>9</v>
      </c>
      <c r="P81" cm="1">
        <f t="array" aca="1" ref="P81" ca="1">OFFSET(INDIRECT("Sheet"&amp;D$2&amp;"!d1"),$G81-1,)</f>
        <v>9</v>
      </c>
      <c r="Q81" cm="1">
        <f t="array" aca="1" ref="Q81" ca="1">OFFSET(INDIRECT("Sheet"&amp;N$2&amp;"!d1"),$G81-1,)</f>
        <v>9</v>
      </c>
      <c r="R81" cm="1">
        <f t="array" aca="1" ref="R81" ca="1">OFFSET(INDIRECT("Sheet"&amp;O$2&amp;"!d1"),$G81-1,)</f>
        <v>9</v>
      </c>
      <c r="S81" cm="1">
        <f t="array" aca="1" ref="S81" ca="1">OFFSET(INDIRECT("Sheet"&amp;P$2&amp;"!d1"),$G81-1,)</f>
        <v>9</v>
      </c>
      <c r="T81" cm="1">
        <f t="array" aca="1" ref="T81" ca="1">OFFSET(INDIRECT("Sheet"&amp;Q$2&amp;"!d1"),$G81-1,)</f>
        <v>9</v>
      </c>
      <c r="U81" cm="1">
        <f t="array" aca="1" ref="U81" ca="1">OFFSET(INDIRECT("Sheet"&amp;R$2&amp;"!d1"),$G81-1,)</f>
        <v>9</v>
      </c>
      <c r="V81" cm="1">
        <f t="array" aca="1" ref="V81" ca="1">OFFSET(INDIRECT("Sheet"&amp;S$2&amp;"!d1"),$G81-1,)</f>
        <v>9</v>
      </c>
      <c r="W81" cm="1">
        <f t="array" aca="1" ref="W81" ca="1">OFFSET(INDIRECT("Sheet"&amp;T$2&amp;"!d1"),$G81-1,)</f>
        <v>9</v>
      </c>
      <c r="X81" cm="1">
        <f t="array" aca="1" ref="X81" ca="1">OFFSET(INDIRECT("Sheet"&amp;U$2&amp;"!d1"),$G81-1,)</f>
        <v>9</v>
      </c>
      <c r="Y81" cm="1">
        <f t="array" aca="1" ref="Y81" ca="1">OFFSET(INDIRECT("Sheet"&amp;V$2&amp;"!d1"),$G81-1,)</f>
        <v>9</v>
      </c>
      <c r="Z81"/>
      <c r="AB81" s="3" cm="1">
        <f t="array" aca="1" ref="AB81" ca="1">OFFSET(INDIRECT("Sheet"&amp;E$2&amp;"!f1"),$G81-1,)</f>
        <v>115.125218615867</v>
      </c>
      <c r="AC81" s="3" cm="1">
        <f t="array" aca="1" ref="AC81" ca="1">OFFSET(INDIRECT("Sheet"&amp;F$2&amp;"!f1"),$G81-1,)</f>
        <v>99.379991531371999</v>
      </c>
      <c r="AD81" s="3" cm="1">
        <f t="array" aca="1" ref="AD81" ca="1">OFFSET(INDIRECT("Sheet"&amp;G$2&amp;"!f1"),$G81-1,)</f>
        <v>111.647802408784</v>
      </c>
      <c r="AE81" s="3" cm="1">
        <f t="array" aca="1" ref="AE81" ca="1">OFFSET(INDIRECT("Sheet"&amp;H$2&amp;"!f1"),$G81-1,)</f>
        <v>28800.344587112701</v>
      </c>
      <c r="AF81" s="3" cm="1">
        <f t="array" aca="1" ref="AF81" ca="1">OFFSET(INDIRECT("Sheet"&amp;I$2&amp;"!f1"),$G81-1,)</f>
        <v>28800.112140692701</v>
      </c>
      <c r="AG81" s="3" cm="1">
        <f t="array" aca="1" ref="AG81" ca="1">OFFSET(INDIRECT("Sheet"&amp;J$2&amp;"!f1"),$G81-1,)</f>
        <v>0.32041450962424201</v>
      </c>
      <c r="AH81" s="3" cm="1">
        <f t="array" aca="1" ref="AH81" ca="1">OFFSET(INDIRECT("Sheet"&amp;K$2&amp;"!f1"),$G81-1,)</f>
        <v>0.29134233800002102</v>
      </c>
      <c r="AI81" s="3" cm="1">
        <f t="array" aca="1" ref="AI81" ca="1">OFFSET(INDIRECT("Sheet"&amp;L$2&amp;"!f1"),$G81-1,)</f>
        <v>0.29123420299998698</v>
      </c>
      <c r="AJ81" s="3" cm="1">
        <f t="array" aca="1" ref="AJ81" ca="1">OFFSET(INDIRECT("Sheet"&amp;M$2&amp;"!f1"),$G81-1,)</f>
        <v>0.418196361511945</v>
      </c>
      <c r="AK81" s="3" cm="1">
        <f t="array" aca="1" ref="AK81" ca="1">OFFSET(INDIRECT("Sheet"&amp;C$2&amp;"!f1"),$G81-1,)</f>
        <v>464.268310722894</v>
      </c>
      <c r="AL81" s="3" cm="1">
        <f t="array" aca="1" ref="AL81" ca="1">OFFSET(INDIRECT("Sheet"&amp;D$2&amp;"!f1"),$G81-1,)</f>
        <v>1956.60859795287</v>
      </c>
      <c r="AM81" s="3" cm="1">
        <f t="array" aca="1" ref="AM81" ca="1">OFFSET(INDIRECT("Sheet"&amp;N$2&amp;"!f1"),$G81-1,)</f>
        <v>3.6108271814882702</v>
      </c>
      <c r="AN81" s="3" cm="1">
        <f t="array" aca="1" ref="AN81" ca="1">OFFSET(INDIRECT("Sheet"&amp;O$2&amp;"!f1"),$G81-1,)</f>
        <v>5.2947467854246497</v>
      </c>
      <c r="AO81" s="3" cm="1">
        <f t="array" aca="1" ref="AO81" ca="1">OFFSET(INDIRECT("Sheet"&amp;P$2&amp;"!f1"),$G81-1,)</f>
        <v>6.86747264955192</v>
      </c>
      <c r="AP81" s="3" cm="1">
        <f t="array" aca="1" ref="AP81" ca="1">OFFSET(INDIRECT("Sheet"&amp;Q$2&amp;"!f1"),$G81-1,)</f>
        <v>1.9065315518528201</v>
      </c>
      <c r="AQ81" s="3" cm="1">
        <f t="array" aca="1" ref="AQ81" ca="1">OFFSET(INDIRECT("Sheet"&amp;R$2&amp;"!f1"),$G81-1,)</f>
        <v>2.9899480454623699</v>
      </c>
      <c r="AR81" s="3" cm="1">
        <f t="array" aca="1" ref="AR81" ca="1">OFFSET(INDIRECT("Sheet"&amp;S$2&amp;"!f1"),$G81-1,)</f>
        <v>3.7949199043214299</v>
      </c>
      <c r="AS81" s="3" cm="1">
        <f t="array" aca="1" ref="AS81" ca="1">OFFSET(INDIRECT("Sheet"&amp;T$2&amp;"!f1"),$G81-1,)</f>
        <v>5.0830172207206399</v>
      </c>
      <c r="AT81" s="3" cm="1">
        <f t="array" aca="1" ref="AT81" ca="1">OFFSET(INDIRECT("Sheet"&amp;U$2&amp;"!f1"),$G81-1,)</f>
        <v>4.7945721587166101</v>
      </c>
      <c r="AU81" s="3" cm="1">
        <f t="array" aca="1" ref="AU81" ca="1">OFFSET(INDIRECT("Sheet"&amp;V$2&amp;"!f1"),$G81-1,)</f>
        <v>6.67838939651846</v>
      </c>
      <c r="AV81" s="3"/>
      <c r="AX81">
        <f ca="1">IF(H81=$F81,1,0)</f>
        <v>1</v>
      </c>
      <c r="AY81">
        <f ca="1">IF(I81=$F81,1,0)</f>
        <v>1</v>
      </c>
      <c r="AZ81">
        <f ca="1">IF(J81=$F81,1,0)</f>
        <v>1</v>
      </c>
      <c r="BA81">
        <f ca="1">IF(K81=$F81,1,0)</f>
        <v>0</v>
      </c>
      <c r="BB81">
        <f ca="1">IF(L81=$F81,1,0)</f>
        <v>0</v>
      </c>
      <c r="BC81">
        <f ca="1">IF(M81=$F81,1,0)</f>
        <v>1</v>
      </c>
      <c r="BD81">
        <f ca="1">IF(C81=$F81,1,0)</f>
        <v>1</v>
      </c>
      <c r="BE81">
        <f ca="1">IF(D81=$F81,1,0)</f>
        <v>1</v>
      </c>
      <c r="BF81">
        <f t="shared" ca="1" si="13"/>
        <v>1</v>
      </c>
      <c r="BG81">
        <f t="shared" ca="1" si="14"/>
        <v>1</v>
      </c>
      <c r="BH81">
        <f t="shared" ref="BH81:BH112" ca="1" si="25">IF(P81=$F81,1,0)</f>
        <v>1</v>
      </c>
      <c r="BI81">
        <f t="shared" ref="BI81:BI112" ca="1" si="26">IF(Q81=$F81,1,0)</f>
        <v>1</v>
      </c>
      <c r="BJ81">
        <f t="shared" ref="BJ81:BL96" ca="1" si="27">IF(R81=$F81,1,0)</f>
        <v>1</v>
      </c>
      <c r="BK81">
        <f t="shared" ca="1" si="27"/>
        <v>1</v>
      </c>
      <c r="BL81">
        <f t="shared" ca="1" si="27"/>
        <v>1</v>
      </c>
      <c r="BM81">
        <f t="shared" ca="1" si="18"/>
        <v>1</v>
      </c>
      <c r="BN81">
        <f t="shared" ca="1" si="19"/>
        <v>1</v>
      </c>
      <c r="BO81">
        <f t="shared" ca="1" si="20"/>
        <v>1</v>
      </c>
      <c r="BP81">
        <f t="shared" ca="1" si="21"/>
        <v>1</v>
      </c>
      <c r="BQ81">
        <f t="shared" ca="1" si="22"/>
        <v>1</v>
      </c>
    </row>
    <row r="82" spans="1:69" s="4" customFormat="1" x14ac:dyDescent="0.2">
      <c r="A82" t="str">
        <f>Sheet3!A66</f>
        <v>[[36,4,9]]</v>
      </c>
      <c r="B82" s="4">
        <v>36</v>
      </c>
      <c r="C82" cm="1">
        <f t="array" aca="1" ref="C82" ca="1">OFFSET(INDIRECT("Sheet"&amp;K$2&amp;"!d1"),$G82-1,)</f>
        <v>9</v>
      </c>
      <c r="D82" cm="1">
        <f t="array" aca="1" ref="D82" ca="1">OFFSET(INDIRECT("Sheet"&amp;L$2&amp;"!d1"),$G82-1,)</f>
        <v>9</v>
      </c>
      <c r="E82" s="4">
        <v>4</v>
      </c>
      <c r="F82" s="4">
        <v>9</v>
      </c>
      <c r="G82">
        <f t="shared" si="23"/>
        <v>66</v>
      </c>
      <c r="H82" cm="1">
        <f t="array" aca="1" ref="H82" ca="1">OFFSET(INDIRECT("Sheet"&amp;E$2&amp;"!d1"),$G82-1,)</f>
        <v>9</v>
      </c>
      <c r="I82" cm="1">
        <f t="array" aca="1" ref="I82" ca="1">OFFSET(INDIRECT("Sheet"&amp;F$2&amp;"!d1"),$G82-1,)</f>
        <v>9</v>
      </c>
      <c r="J82" cm="1">
        <f t="array" aca="1" ref="J82" ca="1">OFFSET(INDIRECT("Sheet"&amp;G$2&amp;"!d1"),$G82-1,)</f>
        <v>9</v>
      </c>
      <c r="K82" cm="1">
        <f t="array" aca="1" ref="K82" ca="1">OFFSET(INDIRECT("Sheet"&amp;H$2&amp;"!d1"),$G82-1,)</f>
        <v>0</v>
      </c>
      <c r="L82" cm="1">
        <f t="array" aca="1" ref="L82" ca="1">OFFSET(INDIRECT("Sheet"&amp;I$2&amp;"!d1"),$G82-1,)</f>
        <v>0</v>
      </c>
      <c r="M82" cm="1">
        <f t="array" aca="1" ref="M82" ca="1">OFFSET(INDIRECT("Sheet"&amp;J$2&amp;"!d1"),$G82-1,)</f>
        <v>9</v>
      </c>
      <c r="N82" cm="1">
        <f t="array" aca="1" ref="N82" ca="1">OFFSET(INDIRECT("Sheet"&amp;M$2&amp;"!d1"),$G82-1,)</f>
        <v>9</v>
      </c>
      <c r="O82" cm="1">
        <f t="array" aca="1" ref="O82" ca="1">OFFSET(INDIRECT("Sheet"&amp;C$2&amp;"!d1"),$G82-1,)</f>
        <v>9</v>
      </c>
      <c r="P82" cm="1">
        <f t="array" aca="1" ref="P82" ca="1">OFFSET(INDIRECT("Sheet"&amp;D$2&amp;"!d1"),$G82-1,)</f>
        <v>9</v>
      </c>
      <c r="Q82" cm="1">
        <f t="array" aca="1" ref="Q82" ca="1">OFFSET(INDIRECT("Sheet"&amp;N$2&amp;"!d1"),$G82-1,)</f>
        <v>9</v>
      </c>
      <c r="R82" cm="1">
        <f t="array" aca="1" ref="R82" ca="1">OFFSET(INDIRECT("Sheet"&amp;O$2&amp;"!d1"),$G82-1,)</f>
        <v>9</v>
      </c>
      <c r="S82" cm="1">
        <f t="array" aca="1" ref="S82" ca="1">OFFSET(INDIRECT("Sheet"&amp;P$2&amp;"!d1"),$G82-1,)</f>
        <v>9</v>
      </c>
      <c r="T82" cm="1">
        <f t="array" aca="1" ref="T82" ca="1">OFFSET(INDIRECT("Sheet"&amp;Q$2&amp;"!d1"),$G82-1,)</f>
        <v>9</v>
      </c>
      <c r="U82" cm="1">
        <f t="array" aca="1" ref="U82" ca="1">OFFSET(INDIRECT("Sheet"&amp;R$2&amp;"!d1"),$G82-1,)</f>
        <v>9</v>
      </c>
      <c r="V82" cm="1">
        <f t="array" aca="1" ref="V82" ca="1">OFFSET(INDIRECT("Sheet"&amp;S$2&amp;"!d1"),$G82-1,)</f>
        <v>9</v>
      </c>
      <c r="W82" cm="1">
        <f t="array" aca="1" ref="W82" ca="1">OFFSET(INDIRECT("Sheet"&amp;T$2&amp;"!d1"),$G82-1,)</f>
        <v>9</v>
      </c>
      <c r="X82" cm="1">
        <f t="array" aca="1" ref="X82" ca="1">OFFSET(INDIRECT("Sheet"&amp;U$2&amp;"!d1"),$G82-1,)</f>
        <v>9</v>
      </c>
      <c r="Y82" cm="1">
        <f t="array" aca="1" ref="Y82" ca="1">OFFSET(INDIRECT("Sheet"&amp;V$2&amp;"!d1"),$G82-1,)</f>
        <v>9</v>
      </c>
      <c r="Z82"/>
      <c r="AB82" s="3" cm="1">
        <f t="array" aca="1" ref="AB82" ca="1">OFFSET(INDIRECT("Sheet"&amp;E$2&amp;"!f1"),$G82-1,)</f>
        <v>128.25970292463899</v>
      </c>
      <c r="AC82" s="3" cm="1">
        <f t="array" aca="1" ref="AC82" ca="1">OFFSET(INDIRECT("Sheet"&amp;F$2&amp;"!f1"),$G82-1,)</f>
        <v>127.71079960651601</v>
      </c>
      <c r="AD82" s="3" cm="1">
        <f t="array" aca="1" ref="AD82" ca="1">OFFSET(INDIRECT("Sheet"&amp;G$2&amp;"!f1"),$G82-1,)</f>
        <v>139.226033924147</v>
      </c>
      <c r="AE82" s="3" cm="1">
        <f t="array" aca="1" ref="AE82" ca="1">OFFSET(INDIRECT("Sheet"&amp;H$2&amp;"!f1"),$G82-1,)</f>
        <v>28800.109907826401</v>
      </c>
      <c r="AF82" s="3" cm="1">
        <f t="array" aca="1" ref="AF82" ca="1">OFFSET(INDIRECT("Sheet"&amp;I$2&amp;"!f1"),$G82-1,)</f>
        <v>28801.577284097599</v>
      </c>
      <c r="AG82" s="3" cm="1">
        <f t="array" aca="1" ref="AG82" ca="1">OFFSET(INDIRECT("Sheet"&amp;J$2&amp;"!f1"),$G82-1,)</f>
        <v>0.33328623138368102</v>
      </c>
      <c r="AH82" s="3" cm="1">
        <f t="array" aca="1" ref="AH82" ca="1">OFFSET(INDIRECT("Sheet"&amp;K$2&amp;"!f1"),$G82-1,)</f>
        <v>0.301401599999991</v>
      </c>
      <c r="AI82" s="3" cm="1">
        <f t="array" aca="1" ref="AI82" ca="1">OFFSET(INDIRECT("Sheet"&amp;L$2&amp;"!f1"),$G82-1,)</f>
        <v>0.31088336800001998</v>
      </c>
      <c r="AJ82" s="3" cm="1">
        <f t="array" aca="1" ref="AJ82" ca="1">OFFSET(INDIRECT("Sheet"&amp;M$2&amp;"!f1"),$G82-1,)</f>
        <v>0.51519015431404103</v>
      </c>
      <c r="AK82" s="3" cm="1">
        <f t="array" aca="1" ref="AK82" ca="1">OFFSET(INDIRECT("Sheet"&amp;C$2&amp;"!f1"),$G82-1,)</f>
        <v>533.12627736758395</v>
      </c>
      <c r="AL82" s="3" cm="1">
        <f t="array" aca="1" ref="AL82" ca="1">OFFSET(INDIRECT("Sheet"&amp;D$2&amp;"!f1"),$G82-1,)</f>
        <v>2182.8305146554399</v>
      </c>
      <c r="AM82" s="3" cm="1">
        <f t="array" aca="1" ref="AM82" ca="1">OFFSET(INDIRECT("Sheet"&amp;N$2&amp;"!f1"),$G82-1,)</f>
        <v>3.6366991577669898</v>
      </c>
      <c r="AN82" s="3" cm="1">
        <f t="array" aca="1" ref="AN82" ca="1">OFFSET(INDIRECT("Sheet"&amp;O$2&amp;"!f1"),$G82-1,)</f>
        <v>5.4251553639769501</v>
      </c>
      <c r="AO82" s="3" cm="1">
        <f t="array" aca="1" ref="AO82" ca="1">OFFSET(INDIRECT("Sheet"&amp;P$2&amp;"!f1"),$G82-1,)</f>
        <v>7.0070951133966402</v>
      </c>
      <c r="AP82" s="3" cm="1">
        <f t="array" aca="1" ref="AP82" ca="1">OFFSET(INDIRECT("Sheet"&amp;Q$2&amp;"!f1"),$G82-1,)</f>
        <v>1.93568467907607</v>
      </c>
      <c r="AQ82" s="3" cm="1">
        <f t="array" aca="1" ref="AQ82" ca="1">OFFSET(INDIRECT("Sheet"&amp;R$2&amp;"!f1"),$G82-1,)</f>
        <v>3.0424362653866401</v>
      </c>
      <c r="AR82" s="3" cm="1">
        <f t="array" aca="1" ref="AR82" ca="1">OFFSET(INDIRECT("Sheet"&amp;S$2&amp;"!f1"),$G82-1,)</f>
        <v>3.9119157930836002</v>
      </c>
      <c r="AS82" s="3" cm="1">
        <f t="array" aca="1" ref="AS82" ca="1">OFFSET(INDIRECT("Sheet"&amp;T$2&amp;"!f1"),$G82-1,)</f>
        <v>5.2239598529413298</v>
      </c>
      <c r="AT82" s="3" cm="1">
        <f t="array" aca="1" ref="AT82" ca="1">OFFSET(INDIRECT("Sheet"&amp;U$2&amp;"!f1"),$G82-1,)</f>
        <v>4.9169659828767101</v>
      </c>
      <c r="AU82" s="3" cm="1">
        <f t="array" aca="1" ref="AU82" ca="1">OFFSET(INDIRECT("Sheet"&amp;V$2&amp;"!f1"),$G82-1,)</f>
        <v>6.8328526485711301</v>
      </c>
      <c r="AV82" s="3"/>
      <c r="AX82">
        <f ca="1">IF(H82=$F82,1,0)</f>
        <v>1</v>
      </c>
      <c r="AY82">
        <f ca="1">IF(I82=$F82,1,0)</f>
        <v>1</v>
      </c>
      <c r="AZ82">
        <f ca="1">IF(J82=$F82,1,0)</f>
        <v>1</v>
      </c>
      <c r="BA82">
        <f ca="1">IF(K82=$F82,1,0)</f>
        <v>0</v>
      </c>
      <c r="BB82">
        <f ca="1">IF(L82=$F82,1,0)</f>
        <v>0</v>
      </c>
      <c r="BC82">
        <f ca="1">IF(M82=$F82,1,0)</f>
        <v>1</v>
      </c>
      <c r="BD82">
        <f ca="1">IF(C82=$F82,1,0)</f>
        <v>1</v>
      </c>
      <c r="BE82">
        <f ca="1">IF(D82=$F82,1,0)</f>
        <v>1</v>
      </c>
      <c r="BF82">
        <f t="shared" ca="1" si="13"/>
        <v>1</v>
      </c>
      <c r="BG82">
        <f t="shared" ca="1" si="14"/>
        <v>1</v>
      </c>
      <c r="BH82">
        <f t="shared" ca="1" si="25"/>
        <v>1</v>
      </c>
      <c r="BI82">
        <f t="shared" ca="1" si="26"/>
        <v>1</v>
      </c>
      <c r="BJ82">
        <f t="shared" ca="1" si="27"/>
        <v>1</v>
      </c>
      <c r="BK82">
        <f t="shared" ca="1" si="27"/>
        <v>1</v>
      </c>
      <c r="BL82">
        <f t="shared" ca="1" si="27"/>
        <v>1</v>
      </c>
      <c r="BM82">
        <f t="shared" ca="1" si="18"/>
        <v>1</v>
      </c>
      <c r="BN82">
        <f t="shared" ca="1" si="19"/>
        <v>1</v>
      </c>
      <c r="BO82">
        <f t="shared" ca="1" si="20"/>
        <v>1</v>
      </c>
      <c r="BP82">
        <f t="shared" ca="1" si="21"/>
        <v>1</v>
      </c>
      <c r="BQ82">
        <f t="shared" ca="1" si="22"/>
        <v>1</v>
      </c>
    </row>
    <row r="83" spans="1:69" s="4" customFormat="1" x14ac:dyDescent="0.2">
      <c r="A83" t="str">
        <f>Sheet3!A67</f>
        <v>[[37,4,9]]</v>
      </c>
      <c r="B83" s="4">
        <v>37</v>
      </c>
      <c r="C83" cm="1">
        <f t="array" aca="1" ref="C83" ca="1">OFFSET(INDIRECT("Sheet"&amp;K$2&amp;"!d1"),$G83-1,)</f>
        <v>9</v>
      </c>
      <c r="D83" cm="1">
        <f t="array" aca="1" ref="D83" ca="1">OFFSET(INDIRECT("Sheet"&amp;L$2&amp;"!d1"),$G83-1,)</f>
        <v>9</v>
      </c>
      <c r="E83" s="4">
        <v>4</v>
      </c>
      <c r="F83" s="4">
        <v>9</v>
      </c>
      <c r="G83">
        <f t="shared" si="23"/>
        <v>67</v>
      </c>
      <c r="H83" cm="1">
        <f t="array" aca="1" ref="H83" ca="1">OFFSET(INDIRECT("Sheet"&amp;E$2&amp;"!d1"),$G83-1,)</f>
        <v>9</v>
      </c>
      <c r="I83" cm="1">
        <f t="array" aca="1" ref="I83" ca="1">OFFSET(INDIRECT("Sheet"&amp;F$2&amp;"!d1"),$G83-1,)</f>
        <v>9</v>
      </c>
      <c r="J83" cm="1">
        <f t="array" aca="1" ref="J83" ca="1">OFFSET(INDIRECT("Sheet"&amp;G$2&amp;"!d1"),$G83-1,)</f>
        <v>9</v>
      </c>
      <c r="K83" cm="1">
        <f t="array" aca="1" ref="K83" ca="1">OFFSET(INDIRECT("Sheet"&amp;H$2&amp;"!d1"),$G83-1,)</f>
        <v>0</v>
      </c>
      <c r="L83" cm="1">
        <f t="array" aca="1" ref="L83" ca="1">OFFSET(INDIRECT("Sheet"&amp;I$2&amp;"!d1"),$G83-1,)</f>
        <v>0</v>
      </c>
      <c r="M83" cm="1">
        <f t="array" aca="1" ref="M83" ca="1">OFFSET(INDIRECT("Sheet"&amp;J$2&amp;"!d1"),$G83-1,)</f>
        <v>9</v>
      </c>
      <c r="N83" cm="1">
        <f t="array" aca="1" ref="N83" ca="1">OFFSET(INDIRECT("Sheet"&amp;M$2&amp;"!d1"),$G83-1,)</f>
        <v>9</v>
      </c>
      <c r="O83" cm="1">
        <f t="array" aca="1" ref="O83" ca="1">OFFSET(INDIRECT("Sheet"&amp;C$2&amp;"!d1"),$G83-1,)</f>
        <v>9</v>
      </c>
      <c r="P83" cm="1">
        <f t="array" aca="1" ref="P83" ca="1">OFFSET(INDIRECT("Sheet"&amp;D$2&amp;"!d1"),$G83-1,)</f>
        <v>9</v>
      </c>
      <c r="Q83" cm="1">
        <f t="array" aca="1" ref="Q83" ca="1">OFFSET(INDIRECT("Sheet"&amp;N$2&amp;"!d1"),$G83-1,)</f>
        <v>9</v>
      </c>
      <c r="R83" cm="1">
        <f t="array" aca="1" ref="R83" ca="1">OFFSET(INDIRECT("Sheet"&amp;O$2&amp;"!d1"),$G83-1,)</f>
        <v>9</v>
      </c>
      <c r="S83" cm="1">
        <f t="array" aca="1" ref="S83" ca="1">OFFSET(INDIRECT("Sheet"&amp;P$2&amp;"!d1"),$G83-1,)</f>
        <v>9</v>
      </c>
      <c r="T83" cm="1">
        <f t="array" aca="1" ref="T83" ca="1">OFFSET(INDIRECT("Sheet"&amp;Q$2&amp;"!d1"),$G83-1,)</f>
        <v>9</v>
      </c>
      <c r="U83" cm="1">
        <f t="array" aca="1" ref="U83" ca="1">OFFSET(INDIRECT("Sheet"&amp;R$2&amp;"!d1"),$G83-1,)</f>
        <v>9</v>
      </c>
      <c r="V83" cm="1">
        <f t="array" aca="1" ref="V83" ca="1">OFFSET(INDIRECT("Sheet"&amp;S$2&amp;"!d1"),$G83-1,)</f>
        <v>9</v>
      </c>
      <c r="W83" cm="1">
        <f t="array" aca="1" ref="W83" ca="1">OFFSET(INDIRECT("Sheet"&amp;T$2&amp;"!d1"),$G83-1,)</f>
        <v>9</v>
      </c>
      <c r="X83" cm="1">
        <f t="array" aca="1" ref="X83" ca="1">OFFSET(INDIRECT("Sheet"&amp;U$2&amp;"!d1"),$G83-1,)</f>
        <v>9</v>
      </c>
      <c r="Y83" cm="1">
        <f t="array" aca="1" ref="Y83" ca="1">OFFSET(INDIRECT("Sheet"&amp;V$2&amp;"!d1"),$G83-1,)</f>
        <v>9</v>
      </c>
      <c r="Z83"/>
      <c r="AB83" s="3" cm="1">
        <f t="array" aca="1" ref="AB83" ca="1">OFFSET(INDIRECT("Sheet"&amp;E$2&amp;"!f1"),$G83-1,)</f>
        <v>956.91159109678097</v>
      </c>
      <c r="AC83" s="3" cm="1">
        <f t="array" aca="1" ref="AC83" ca="1">OFFSET(INDIRECT("Sheet"&amp;F$2&amp;"!f1"),$G83-1,)</f>
        <v>164.50227001309301</v>
      </c>
      <c r="AD83" s="3" cm="1">
        <f t="array" aca="1" ref="AD83" ca="1">OFFSET(INDIRECT("Sheet"&amp;G$2&amp;"!f1"),$G83-1,)</f>
        <v>187.70525731705101</v>
      </c>
      <c r="AE83" s="3" cm="1">
        <f t="array" aca="1" ref="AE83" ca="1">OFFSET(INDIRECT("Sheet"&amp;H$2&amp;"!f1"),$G83-1,)</f>
        <v>28800.110171844201</v>
      </c>
      <c r="AF83" s="3" cm="1">
        <f t="array" aca="1" ref="AF83" ca="1">OFFSET(INDIRECT("Sheet"&amp;I$2&amp;"!f1"),$G83-1,)</f>
        <v>28800.1479524448</v>
      </c>
      <c r="AG83" s="3" cm="1">
        <f t="array" aca="1" ref="AG83" ca="1">OFFSET(INDIRECT("Sheet"&amp;J$2&amp;"!f1"),$G83-1,)</f>
        <v>0.34159657359123202</v>
      </c>
      <c r="AH83" s="3" cm="1">
        <f t="array" aca="1" ref="AH83" ca="1">OFFSET(INDIRECT("Sheet"&amp;K$2&amp;"!f1"),$G83-1,)</f>
        <v>0.31243669299999499</v>
      </c>
      <c r="AI83" s="3" cm="1">
        <f t="array" aca="1" ref="AI83" ca="1">OFFSET(INDIRECT("Sheet"&amp;L$2&amp;"!f1"),$G83-1,)</f>
        <v>0.30336463000000402</v>
      </c>
      <c r="AJ83" s="3" cm="1">
        <f t="array" aca="1" ref="AJ83" ca="1">OFFSET(INDIRECT("Sheet"&amp;M$2&amp;"!f1"),$G83-1,)</f>
        <v>0.53346748184412696</v>
      </c>
      <c r="AK83" s="3" cm="1">
        <f t="array" aca="1" ref="AK83" ca="1">OFFSET(INDIRECT("Sheet"&amp;C$2&amp;"!f1"),$G83-1,)</f>
        <v>403.08556192275103</v>
      </c>
      <c r="AL83" s="3" cm="1">
        <f t="array" aca="1" ref="AL83" ca="1">OFFSET(INDIRECT("Sheet"&amp;D$2&amp;"!f1"),$G83-1,)</f>
        <v>2503.5889614745902</v>
      </c>
      <c r="AM83" s="3" cm="1">
        <f t="array" aca="1" ref="AM83" ca="1">OFFSET(INDIRECT("Sheet"&amp;N$2&amp;"!f1"),$G83-1,)</f>
        <v>3.7266440270468499</v>
      </c>
      <c r="AN83" s="3" cm="1">
        <f t="array" aca="1" ref="AN83" ca="1">OFFSET(INDIRECT("Sheet"&amp;O$2&amp;"!f1"),$G83-1,)</f>
        <v>5.6313750836998198</v>
      </c>
      <c r="AO83" s="3" cm="1">
        <f t="array" aca="1" ref="AO83" ca="1">OFFSET(INDIRECT("Sheet"&amp;P$2&amp;"!f1"),$G83-1,)</f>
        <v>7.2183020729571501</v>
      </c>
      <c r="AP83" s="3" cm="1">
        <f t="array" aca="1" ref="AP83" ca="1">OFFSET(INDIRECT("Sheet"&amp;Q$2&amp;"!f1"),$G83-1,)</f>
        <v>2.0048807347193298</v>
      </c>
      <c r="AQ83" s="3" cm="1">
        <f t="array" aca="1" ref="AQ83" ca="1">OFFSET(INDIRECT("Sheet"&amp;R$2&amp;"!f1"),$G83-1,)</f>
        <v>3.13850486278533</v>
      </c>
      <c r="AR83" s="3" cm="1">
        <f t="array" aca="1" ref="AR83" ca="1">OFFSET(INDIRECT("Sheet"&amp;S$2&amp;"!f1"),$G83-1,)</f>
        <v>4.0659678522497398</v>
      </c>
      <c r="AS83" s="3" cm="1">
        <f t="array" aca="1" ref="AS83" ca="1">OFFSET(INDIRECT("Sheet"&amp;T$2&amp;"!f1"),$G83-1,)</f>
        <v>5.4323094673454699</v>
      </c>
      <c r="AT83" s="3" cm="1">
        <f t="array" aca="1" ref="AT83" ca="1">OFFSET(INDIRECT("Sheet"&amp;U$2&amp;"!f1"),$G83-1,)</f>
        <v>5.1026829332113204</v>
      </c>
      <c r="AU83" s="3" cm="1">
        <f t="array" aca="1" ref="AU83" ca="1">OFFSET(INDIRECT("Sheet"&amp;V$2&amp;"!f1"),$G83-1,)</f>
        <v>7.0712391864508302</v>
      </c>
      <c r="AV83" s="3"/>
      <c r="AX83">
        <f ca="1">IF(H83=$F83,1,0)</f>
        <v>1</v>
      </c>
      <c r="AY83">
        <f ca="1">IF(I83=$F83,1,0)</f>
        <v>1</v>
      </c>
      <c r="AZ83">
        <f ca="1">IF(J83=$F83,1,0)</f>
        <v>1</v>
      </c>
      <c r="BA83">
        <f ca="1">IF(K83=$F83,1,0)</f>
        <v>0</v>
      </c>
      <c r="BB83">
        <f ca="1">IF(L83=$F83,1,0)</f>
        <v>0</v>
      </c>
      <c r="BC83">
        <f ca="1">IF(M83=$F83,1,0)</f>
        <v>1</v>
      </c>
      <c r="BD83">
        <f ca="1">IF(C83=$F83,1,0)</f>
        <v>1</v>
      </c>
      <c r="BE83">
        <f ca="1">IF(D83=$F83,1,0)</f>
        <v>1</v>
      </c>
      <c r="BF83">
        <f t="shared" ca="1" si="13"/>
        <v>1</v>
      </c>
      <c r="BG83">
        <f t="shared" ca="1" si="14"/>
        <v>1</v>
      </c>
      <c r="BH83">
        <f t="shared" ca="1" si="25"/>
        <v>1</v>
      </c>
      <c r="BI83">
        <f t="shared" ca="1" si="26"/>
        <v>1</v>
      </c>
      <c r="BJ83">
        <f t="shared" ca="1" si="27"/>
        <v>1</v>
      </c>
      <c r="BK83">
        <f t="shared" ca="1" si="27"/>
        <v>1</v>
      </c>
      <c r="BL83">
        <f t="shared" ca="1" si="27"/>
        <v>1</v>
      </c>
      <c r="BM83">
        <f t="shared" ca="1" si="18"/>
        <v>1</v>
      </c>
      <c r="BN83">
        <f t="shared" ca="1" si="19"/>
        <v>1</v>
      </c>
      <c r="BO83">
        <f t="shared" ca="1" si="20"/>
        <v>1</v>
      </c>
      <c r="BP83">
        <f t="shared" ca="1" si="21"/>
        <v>1</v>
      </c>
      <c r="BQ83">
        <f t="shared" ca="1" si="22"/>
        <v>1</v>
      </c>
    </row>
    <row r="84" spans="1:69" s="4" customFormat="1" x14ac:dyDescent="0.2">
      <c r="A84" t="str">
        <f>Sheet3!A68</f>
        <v>[[38,4,9]]</v>
      </c>
      <c r="B84" s="4">
        <v>38</v>
      </c>
      <c r="C84" cm="1">
        <f t="array" aca="1" ref="C84" ca="1">OFFSET(INDIRECT("Sheet"&amp;K$2&amp;"!d1"),$G84-1,)</f>
        <v>9</v>
      </c>
      <c r="D84" cm="1">
        <f t="array" aca="1" ref="D84" ca="1">OFFSET(INDIRECT("Sheet"&amp;L$2&amp;"!d1"),$G84-1,)</f>
        <v>9</v>
      </c>
      <c r="E84" s="4">
        <v>4</v>
      </c>
      <c r="F84" s="4">
        <v>9</v>
      </c>
      <c r="G84">
        <f t="shared" si="23"/>
        <v>68</v>
      </c>
      <c r="H84" cm="1">
        <f t="array" aca="1" ref="H84" ca="1">OFFSET(INDIRECT("Sheet"&amp;E$2&amp;"!d1"),$G84-1,)</f>
        <v>9</v>
      </c>
      <c r="I84" cm="1">
        <f t="array" aca="1" ref="I84" ca="1">OFFSET(INDIRECT("Sheet"&amp;F$2&amp;"!d1"),$G84-1,)</f>
        <v>9</v>
      </c>
      <c r="J84" cm="1">
        <f t="array" aca="1" ref="J84" ca="1">OFFSET(INDIRECT("Sheet"&amp;G$2&amp;"!d1"),$G84-1,)</f>
        <v>9</v>
      </c>
      <c r="K84" cm="1">
        <f t="array" aca="1" ref="K84" ca="1">OFFSET(INDIRECT("Sheet"&amp;H$2&amp;"!d1"),$G84-1,)</f>
        <v>0</v>
      </c>
      <c r="L84" cm="1">
        <f t="array" aca="1" ref="L84" ca="1">OFFSET(INDIRECT("Sheet"&amp;I$2&amp;"!d1"),$G84-1,)</f>
        <v>0</v>
      </c>
      <c r="M84" cm="1">
        <f t="array" aca="1" ref="M84" ca="1">OFFSET(INDIRECT("Sheet"&amp;J$2&amp;"!d1"),$G84-1,)</f>
        <v>9</v>
      </c>
      <c r="N84" cm="1">
        <f t="array" aca="1" ref="N84" ca="1">OFFSET(INDIRECT("Sheet"&amp;M$2&amp;"!d1"),$G84-1,)</f>
        <v>9</v>
      </c>
      <c r="O84" cm="1">
        <f t="array" aca="1" ref="O84" ca="1">OFFSET(INDIRECT("Sheet"&amp;C$2&amp;"!d1"),$G84-1,)</f>
        <v>9</v>
      </c>
      <c r="P84" cm="1">
        <f t="array" aca="1" ref="P84" ca="1">OFFSET(INDIRECT("Sheet"&amp;D$2&amp;"!d1"),$G84-1,)</f>
        <v>9</v>
      </c>
      <c r="Q84" cm="1">
        <f t="array" aca="1" ref="Q84" ca="1">OFFSET(INDIRECT("Sheet"&amp;N$2&amp;"!d1"),$G84-1,)</f>
        <v>9</v>
      </c>
      <c r="R84" cm="1">
        <f t="array" aca="1" ref="R84" ca="1">OFFSET(INDIRECT("Sheet"&amp;O$2&amp;"!d1"),$G84-1,)</f>
        <v>9</v>
      </c>
      <c r="S84" cm="1">
        <f t="array" aca="1" ref="S84" ca="1">OFFSET(INDIRECT("Sheet"&amp;P$2&amp;"!d1"),$G84-1,)</f>
        <v>9</v>
      </c>
      <c r="T84" cm="1">
        <f t="array" aca="1" ref="T84" ca="1">OFFSET(INDIRECT("Sheet"&amp;Q$2&amp;"!d1"),$G84-1,)</f>
        <v>9</v>
      </c>
      <c r="U84" cm="1">
        <f t="array" aca="1" ref="U84" ca="1">OFFSET(INDIRECT("Sheet"&amp;R$2&amp;"!d1"),$G84-1,)</f>
        <v>9</v>
      </c>
      <c r="V84" cm="1">
        <f t="array" aca="1" ref="V84" ca="1">OFFSET(INDIRECT("Sheet"&amp;S$2&amp;"!d1"),$G84-1,)</f>
        <v>9</v>
      </c>
      <c r="W84" cm="1">
        <f t="array" aca="1" ref="W84" ca="1">OFFSET(INDIRECT("Sheet"&amp;T$2&amp;"!d1"),$G84-1,)</f>
        <v>9</v>
      </c>
      <c r="X84" cm="1">
        <f t="array" aca="1" ref="X84" ca="1">OFFSET(INDIRECT("Sheet"&amp;U$2&amp;"!d1"),$G84-1,)</f>
        <v>9</v>
      </c>
      <c r="Y84" cm="1">
        <f t="array" aca="1" ref="Y84" ca="1">OFFSET(INDIRECT("Sheet"&amp;V$2&amp;"!d1"),$G84-1,)</f>
        <v>9</v>
      </c>
      <c r="Z84"/>
      <c r="AB84" s="3" cm="1">
        <f t="array" aca="1" ref="AB84" ca="1">OFFSET(INDIRECT("Sheet"&amp;E$2&amp;"!f1"),$G84-1,)</f>
        <v>5893.1940914140996</v>
      </c>
      <c r="AC84" s="3" cm="1">
        <f t="array" aca="1" ref="AC84" ca="1">OFFSET(INDIRECT("Sheet"&amp;F$2&amp;"!f1"),$G84-1,)</f>
        <v>204.03927592560601</v>
      </c>
      <c r="AD84" s="3" cm="1">
        <f t="array" aca="1" ref="AD84" ca="1">OFFSET(INDIRECT("Sheet"&amp;G$2&amp;"!f1"),$G84-1,)</f>
        <v>235.79278613813199</v>
      </c>
      <c r="AE84" s="3" cm="1">
        <f t="array" aca="1" ref="AE84" ca="1">OFFSET(INDIRECT("Sheet"&amp;H$2&amp;"!f1"),$G84-1,)</f>
        <v>28800.109918839298</v>
      </c>
      <c r="AF84" s="3" cm="1">
        <f t="array" aca="1" ref="AF84" ca="1">OFFSET(INDIRECT("Sheet"&amp;I$2&amp;"!f1"),$G84-1,)</f>
        <v>28800.110839672299</v>
      </c>
      <c r="AG84" s="3" cm="1">
        <f t="array" aca="1" ref="AG84" ca="1">OFFSET(INDIRECT("Sheet"&amp;J$2&amp;"!f1"),$G84-1,)</f>
        <v>0.351719458587467</v>
      </c>
      <c r="AH84" s="3" cm="1">
        <f t="array" aca="1" ref="AH84" ca="1">OFFSET(INDIRECT("Sheet"&amp;K$2&amp;"!f1"),$G84-1,)</f>
        <v>0.32086469099999698</v>
      </c>
      <c r="AI84" s="3" cm="1">
        <f t="array" aca="1" ref="AI84" ca="1">OFFSET(INDIRECT("Sheet"&amp;L$2&amp;"!f1"),$G84-1,)</f>
        <v>0.311931053999984</v>
      </c>
      <c r="AJ84" s="3" cm="1">
        <f t="array" aca="1" ref="AJ84" ca="1">OFFSET(INDIRECT("Sheet"&amp;M$2&amp;"!f1"),$G84-1,)</f>
        <v>0.46249569486826603</v>
      </c>
      <c r="AK84" s="3" cm="1">
        <f t="array" aca="1" ref="AK84" ca="1">OFFSET(INDIRECT("Sheet"&amp;C$2&amp;"!f1"),$G84-1,)</f>
        <v>448.91240877937503</v>
      </c>
      <c r="AL84" s="3" cm="1">
        <f t="array" aca="1" ref="AL84" ca="1">OFFSET(INDIRECT("Sheet"&amp;D$2&amp;"!f1"),$G84-1,)</f>
        <v>2585.3750874949601</v>
      </c>
      <c r="AM84" s="3" cm="1">
        <f t="array" aca="1" ref="AM84" ca="1">OFFSET(INDIRECT("Sheet"&amp;N$2&amp;"!f1"),$G84-1,)</f>
        <v>3.7788724405691001</v>
      </c>
      <c r="AN84" s="3" cm="1">
        <f t="array" aca="1" ref="AN84" ca="1">OFFSET(INDIRECT("Sheet"&amp;O$2&amp;"!f1"),$G84-1,)</f>
        <v>5.7139613702893204</v>
      </c>
      <c r="AO84" s="3" cm="1">
        <f t="array" aca="1" ref="AO84" ca="1">OFFSET(INDIRECT("Sheet"&amp;P$2&amp;"!f1"),$G84-1,)</f>
        <v>7.4537208024412296</v>
      </c>
      <c r="AP84" s="3" cm="1">
        <f t="array" aca="1" ref="AP84" ca="1">OFFSET(INDIRECT("Sheet"&amp;Q$2&amp;"!f1"),$G84-1,)</f>
        <v>2.0241497894749001</v>
      </c>
      <c r="AQ84" s="3" cm="1">
        <f t="array" aca="1" ref="AQ84" ca="1">OFFSET(INDIRECT("Sheet"&amp;R$2&amp;"!f1"),$G84-1,)</f>
        <v>3.1755695044994301</v>
      </c>
      <c r="AR84" s="3" cm="1">
        <f t="array" aca="1" ref="AR84" ca="1">OFFSET(INDIRECT("Sheet"&amp;S$2&amp;"!f1"),$G84-1,)</f>
        <v>4.1237437818199396</v>
      </c>
      <c r="AS84" s="3" cm="1">
        <f t="array" aca="1" ref="AS84" ca="1">OFFSET(INDIRECT("Sheet"&amp;T$2&amp;"!f1"),$G84-1,)</f>
        <v>5.5296714575961197</v>
      </c>
      <c r="AT84" s="3" cm="1">
        <f t="array" aca="1" ref="AT84" ca="1">OFFSET(INDIRECT("Sheet"&amp;U$2&amp;"!f1"),$G84-1,)</f>
        <v>5.22366262972354</v>
      </c>
      <c r="AU84" s="3" cm="1">
        <f t="array" aca="1" ref="AU84" ca="1">OFFSET(INDIRECT("Sheet"&amp;V$2&amp;"!f1"),$G84-1,)</f>
        <v>7.2402684520929999</v>
      </c>
      <c r="AV84" s="3"/>
      <c r="AX84">
        <f ca="1">IF(H84=$F84,1,0)</f>
        <v>1</v>
      </c>
      <c r="AY84">
        <f ca="1">IF(I84=$F84,1,0)</f>
        <v>1</v>
      </c>
      <c r="AZ84">
        <f ca="1">IF(J84=$F84,1,0)</f>
        <v>1</v>
      </c>
      <c r="BA84">
        <f ca="1">IF(K84=$F84,1,0)</f>
        <v>0</v>
      </c>
      <c r="BB84">
        <f ca="1">IF(L84=$F84,1,0)</f>
        <v>0</v>
      </c>
      <c r="BC84">
        <f ca="1">IF(M84=$F84,1,0)</f>
        <v>1</v>
      </c>
      <c r="BD84">
        <f ca="1">IF(C84=$F84,1,0)</f>
        <v>1</v>
      </c>
      <c r="BE84">
        <f ca="1">IF(D84=$F84,1,0)</f>
        <v>1</v>
      </c>
      <c r="BF84">
        <f t="shared" ca="1" si="13"/>
        <v>1</v>
      </c>
      <c r="BG84">
        <f t="shared" ca="1" si="14"/>
        <v>1</v>
      </c>
      <c r="BH84">
        <f t="shared" ca="1" si="25"/>
        <v>1</v>
      </c>
      <c r="BI84">
        <f t="shared" ca="1" si="26"/>
        <v>1</v>
      </c>
      <c r="BJ84">
        <f t="shared" ca="1" si="27"/>
        <v>1</v>
      </c>
      <c r="BK84">
        <f t="shared" ca="1" si="27"/>
        <v>1</v>
      </c>
      <c r="BL84">
        <f t="shared" ca="1" si="27"/>
        <v>1</v>
      </c>
      <c r="BM84">
        <f t="shared" ca="1" si="18"/>
        <v>1</v>
      </c>
      <c r="BN84">
        <f t="shared" ca="1" si="19"/>
        <v>1</v>
      </c>
      <c r="BO84">
        <f t="shared" ca="1" si="20"/>
        <v>1</v>
      </c>
      <c r="BP84">
        <f t="shared" ca="1" si="21"/>
        <v>1</v>
      </c>
      <c r="BQ84">
        <f t="shared" ca="1" si="22"/>
        <v>1</v>
      </c>
    </row>
    <row r="85" spans="1:69" s="4" customFormat="1" x14ac:dyDescent="0.2">
      <c r="A85" t="str">
        <f>Sheet3!A69</f>
        <v>[[39,4,9]]</v>
      </c>
      <c r="B85" s="4">
        <v>39</v>
      </c>
      <c r="C85" cm="1">
        <f t="array" aca="1" ref="C85" ca="1">OFFSET(INDIRECT("Sheet"&amp;K$2&amp;"!d1"),$G85-1,)</f>
        <v>9</v>
      </c>
      <c r="D85" cm="1">
        <f t="array" aca="1" ref="D85" ca="1">OFFSET(INDIRECT("Sheet"&amp;L$2&amp;"!d1"),$G85-1,)</f>
        <v>9</v>
      </c>
      <c r="E85" s="4">
        <v>4</v>
      </c>
      <c r="F85" s="4">
        <v>9</v>
      </c>
      <c r="G85">
        <f t="shared" si="23"/>
        <v>69</v>
      </c>
      <c r="H85" cm="1">
        <f t="array" aca="1" ref="H85" ca="1">OFFSET(INDIRECT("Sheet"&amp;E$2&amp;"!d1"),$G85-1,)</f>
        <v>9</v>
      </c>
      <c r="I85" cm="1">
        <f t="array" aca="1" ref="I85" ca="1">OFFSET(INDIRECT("Sheet"&amp;F$2&amp;"!d1"),$G85-1,)</f>
        <v>9</v>
      </c>
      <c r="J85" cm="1">
        <f t="array" aca="1" ref="J85" ca="1">OFFSET(INDIRECT("Sheet"&amp;G$2&amp;"!d1"),$G85-1,)</f>
        <v>9</v>
      </c>
      <c r="K85" cm="1">
        <f t="array" aca="1" ref="K85" ca="1">OFFSET(INDIRECT("Sheet"&amp;H$2&amp;"!d1"),$G85-1,)</f>
        <v>0</v>
      </c>
      <c r="L85" cm="1">
        <f t="array" aca="1" ref="L85" ca="1">OFFSET(INDIRECT("Sheet"&amp;I$2&amp;"!d1"),$G85-1,)</f>
        <v>0</v>
      </c>
      <c r="M85" cm="1">
        <f t="array" aca="1" ref="M85" ca="1">OFFSET(INDIRECT("Sheet"&amp;J$2&amp;"!d1"),$G85-1,)</f>
        <v>9</v>
      </c>
      <c r="N85" cm="1">
        <f t="array" aca="1" ref="N85" ca="1">OFFSET(INDIRECT("Sheet"&amp;M$2&amp;"!d1"),$G85-1,)</f>
        <v>9</v>
      </c>
      <c r="O85" cm="1">
        <f t="array" aca="1" ref="O85" ca="1">OFFSET(INDIRECT("Sheet"&amp;C$2&amp;"!d1"),$G85-1,)</f>
        <v>9</v>
      </c>
      <c r="P85" cm="1">
        <f t="array" aca="1" ref="P85" ca="1">OFFSET(INDIRECT("Sheet"&amp;D$2&amp;"!d1"),$G85-1,)</f>
        <v>9</v>
      </c>
      <c r="Q85" cm="1">
        <f t="array" aca="1" ref="Q85" ca="1">OFFSET(INDIRECT("Sheet"&amp;N$2&amp;"!d1"),$G85-1,)</f>
        <v>9</v>
      </c>
      <c r="R85" cm="1">
        <f t="array" aca="1" ref="R85" ca="1">OFFSET(INDIRECT("Sheet"&amp;O$2&amp;"!d1"),$G85-1,)</f>
        <v>9</v>
      </c>
      <c r="S85" cm="1">
        <f t="array" aca="1" ref="S85" ca="1">OFFSET(INDIRECT("Sheet"&amp;P$2&amp;"!d1"),$G85-1,)</f>
        <v>9</v>
      </c>
      <c r="T85" cm="1">
        <f t="array" aca="1" ref="T85" ca="1">OFFSET(INDIRECT("Sheet"&amp;Q$2&amp;"!d1"),$G85-1,)</f>
        <v>9</v>
      </c>
      <c r="U85" cm="1">
        <f t="array" aca="1" ref="U85" ca="1">OFFSET(INDIRECT("Sheet"&amp;R$2&amp;"!d1"),$G85-1,)</f>
        <v>9</v>
      </c>
      <c r="V85" cm="1">
        <f t="array" aca="1" ref="V85" ca="1">OFFSET(INDIRECT("Sheet"&amp;S$2&amp;"!d1"),$G85-1,)</f>
        <v>9</v>
      </c>
      <c r="W85" cm="1">
        <f t="array" aca="1" ref="W85" ca="1">OFFSET(INDIRECT("Sheet"&amp;T$2&amp;"!d1"),$G85-1,)</f>
        <v>9</v>
      </c>
      <c r="X85" cm="1">
        <f t="array" aca="1" ref="X85" ca="1">OFFSET(INDIRECT("Sheet"&amp;U$2&amp;"!d1"),$G85-1,)</f>
        <v>9</v>
      </c>
      <c r="Y85" cm="1">
        <f t="array" aca="1" ref="Y85" ca="1">OFFSET(INDIRECT("Sheet"&amp;V$2&amp;"!d1"),$G85-1,)</f>
        <v>9</v>
      </c>
      <c r="Z85"/>
      <c r="AB85" s="3" cm="1">
        <f t="array" aca="1" ref="AB85" ca="1">OFFSET(INDIRECT("Sheet"&amp;E$2&amp;"!f1"),$G85-1,)</f>
        <v>217.28401865344401</v>
      </c>
      <c r="AC85" s="3" cm="1">
        <f t="array" aca="1" ref="AC85" ca="1">OFFSET(INDIRECT("Sheet"&amp;F$2&amp;"!f1"),$G85-1,)</f>
        <v>264.004984871484</v>
      </c>
      <c r="AD85" s="3" cm="1">
        <f t="array" aca="1" ref="AD85" ca="1">OFFSET(INDIRECT("Sheet"&amp;G$2&amp;"!f1"),$G85-1,)</f>
        <v>300.79440461657902</v>
      </c>
      <c r="AE85" s="3" cm="1">
        <f t="array" aca="1" ref="AE85" ca="1">OFFSET(INDIRECT("Sheet"&amp;H$2&amp;"!f1"),$G85-1,)</f>
        <v>28800.126395986401</v>
      </c>
      <c r="AF85" s="3" cm="1">
        <f t="array" aca="1" ref="AF85" ca="1">OFFSET(INDIRECT("Sheet"&amp;I$2&amp;"!f1"),$G85-1,)</f>
        <v>28800.113276421998</v>
      </c>
      <c r="AG85" s="3" cm="1">
        <f t="array" aca="1" ref="AG85" ca="1">OFFSET(INDIRECT("Sheet"&amp;J$2&amp;"!f1"),$G85-1,)</f>
        <v>0.38131677266210301</v>
      </c>
      <c r="AH85" s="3" cm="1">
        <f t="array" aca="1" ref="AH85" ca="1">OFFSET(INDIRECT("Sheet"&amp;K$2&amp;"!f1"),$G85-1,)</f>
        <v>0.33741266999999198</v>
      </c>
      <c r="AI85" s="3" cm="1">
        <f t="array" aca="1" ref="AI85" ca="1">OFFSET(INDIRECT("Sheet"&amp;L$2&amp;"!f1"),$G85-1,)</f>
        <v>0.338758498999993</v>
      </c>
      <c r="AJ85" s="3" cm="1">
        <f t="array" aca="1" ref="AJ85" ca="1">OFFSET(INDIRECT("Sheet"&amp;M$2&amp;"!f1"),$G85-1,)</f>
        <v>0.49475203081965402</v>
      </c>
      <c r="AK85" s="3" cm="1">
        <f t="array" aca="1" ref="AK85" ca="1">OFFSET(INDIRECT("Sheet"&amp;C$2&amp;"!f1"),$G85-1,)</f>
        <v>789.556889217346</v>
      </c>
      <c r="AL85" s="3" cm="1">
        <f t="array" aca="1" ref="AL85" ca="1">OFFSET(INDIRECT("Sheet"&amp;D$2&amp;"!f1"),$G85-1,)</f>
        <v>2218.3414981337201</v>
      </c>
      <c r="AM85" s="3" cm="1">
        <f t="array" aca="1" ref="AM85" ca="1">OFFSET(INDIRECT("Sheet"&amp;N$2&amp;"!f1"),$G85-1,)</f>
        <v>3.9369479576125701</v>
      </c>
      <c r="AN85" s="3" cm="1">
        <f t="array" aca="1" ref="AN85" ca="1">OFFSET(INDIRECT("Sheet"&amp;O$2&amp;"!f1"),$G85-1,)</f>
        <v>6.0542305549606601</v>
      </c>
      <c r="AO85" s="3" cm="1">
        <f t="array" aca="1" ref="AO85" ca="1">OFFSET(INDIRECT("Sheet"&amp;P$2&amp;"!f1"),$G85-1,)</f>
        <v>7.8287252029404</v>
      </c>
      <c r="AP85" s="3" cm="1">
        <f t="array" aca="1" ref="AP85" ca="1">OFFSET(INDIRECT("Sheet"&amp;Q$2&amp;"!f1"),$G85-1,)</f>
        <v>2.16384073905646</v>
      </c>
      <c r="AQ85" s="3" cm="1">
        <f t="array" aca="1" ref="AQ85" ca="1">OFFSET(INDIRECT("Sheet"&amp;R$2&amp;"!f1"),$G85-1,)</f>
        <v>3.3526537083089298</v>
      </c>
      <c r="AR85" s="3" cm="1">
        <f t="array" aca="1" ref="AR85" ca="1">OFFSET(INDIRECT("Sheet"&amp;S$2&amp;"!f1"),$G85-1,)</f>
        <v>4.5644672447815502</v>
      </c>
      <c r="AS85" s="3" cm="1">
        <f t="array" aca="1" ref="AS85" ca="1">OFFSET(INDIRECT("Sheet"&amp;T$2&amp;"!f1"),$G85-1,)</f>
        <v>5.9060352183878404</v>
      </c>
      <c r="AT85" s="3" cm="1">
        <f t="array" aca="1" ref="AT85" ca="1">OFFSET(INDIRECT("Sheet"&amp;U$2&amp;"!f1"),$G85-1,)</f>
        <v>5.6973851220682201</v>
      </c>
      <c r="AU85" s="3" cm="1">
        <f t="array" aca="1" ref="AU85" ca="1">OFFSET(INDIRECT("Sheet"&amp;V$2&amp;"!f1"),$G85-1,)</f>
        <v>7.7246585274115196</v>
      </c>
      <c r="AV85" s="3"/>
      <c r="AX85">
        <f ca="1">IF(H85=$F85,1,0)</f>
        <v>1</v>
      </c>
      <c r="AY85">
        <f ca="1">IF(I85=$F85,1,0)</f>
        <v>1</v>
      </c>
      <c r="AZ85">
        <f ca="1">IF(J85=$F85,1,0)</f>
        <v>1</v>
      </c>
      <c r="BA85">
        <f ca="1">IF(K85=$F85,1,0)</f>
        <v>0</v>
      </c>
      <c r="BB85">
        <f ca="1">IF(L85=$F85,1,0)</f>
        <v>0</v>
      </c>
      <c r="BC85">
        <f ca="1">IF(M85=$F85,1,0)</f>
        <v>1</v>
      </c>
      <c r="BD85">
        <f ca="1">IF(C85=$F85,1,0)</f>
        <v>1</v>
      </c>
      <c r="BE85">
        <f ca="1">IF(D85=$F85,1,0)</f>
        <v>1</v>
      </c>
      <c r="BF85">
        <f t="shared" ca="1" si="13"/>
        <v>1</v>
      </c>
      <c r="BG85">
        <f t="shared" ca="1" si="14"/>
        <v>1</v>
      </c>
      <c r="BH85">
        <f t="shared" ca="1" si="25"/>
        <v>1</v>
      </c>
      <c r="BI85">
        <f t="shared" ca="1" si="26"/>
        <v>1</v>
      </c>
      <c r="BJ85">
        <f t="shared" ca="1" si="27"/>
        <v>1</v>
      </c>
      <c r="BK85">
        <f t="shared" ca="1" si="27"/>
        <v>1</v>
      </c>
      <c r="BL85">
        <f t="shared" ca="1" si="27"/>
        <v>1</v>
      </c>
      <c r="BM85">
        <f t="shared" ca="1" si="18"/>
        <v>1</v>
      </c>
      <c r="BN85">
        <f t="shared" ca="1" si="19"/>
        <v>1</v>
      </c>
      <c r="BO85">
        <f t="shared" ca="1" si="20"/>
        <v>1</v>
      </c>
      <c r="BP85">
        <f t="shared" ca="1" si="21"/>
        <v>1</v>
      </c>
      <c r="BQ85">
        <f t="shared" ca="1" si="22"/>
        <v>1</v>
      </c>
    </row>
    <row r="86" spans="1:69" s="4" customFormat="1" x14ac:dyDescent="0.2">
      <c r="A86" t="str">
        <f>Sheet3!A70</f>
        <v>[[40,5,9]]</v>
      </c>
      <c r="B86" s="4">
        <v>40</v>
      </c>
      <c r="C86" cm="1">
        <f t="array" aca="1" ref="C86" ca="1">OFFSET(INDIRECT("Sheet"&amp;K$2&amp;"!d1"),$G86-1,)</f>
        <v>9</v>
      </c>
      <c r="D86" cm="1">
        <f t="array" aca="1" ref="D86" ca="1">OFFSET(INDIRECT("Sheet"&amp;L$2&amp;"!d1"),$G86-1,)</f>
        <v>9</v>
      </c>
      <c r="E86" s="4">
        <v>5</v>
      </c>
      <c r="F86" s="4">
        <v>9</v>
      </c>
      <c r="G86">
        <f t="shared" si="23"/>
        <v>70</v>
      </c>
      <c r="H86" cm="1">
        <f t="array" aca="1" ref="H86" ca="1">OFFSET(INDIRECT("Sheet"&amp;E$2&amp;"!d1"),$G86-1,)</f>
        <v>9</v>
      </c>
      <c r="I86" cm="1">
        <f t="array" aca="1" ref="I86" ca="1">OFFSET(INDIRECT("Sheet"&amp;F$2&amp;"!d1"),$G86-1,)</f>
        <v>9</v>
      </c>
      <c r="J86" cm="1">
        <f t="array" aca="1" ref="J86" ca="1">OFFSET(INDIRECT("Sheet"&amp;G$2&amp;"!d1"),$G86-1,)</f>
        <v>9</v>
      </c>
      <c r="K86" cm="1">
        <f t="array" aca="1" ref="K86" ca="1">OFFSET(INDIRECT("Sheet"&amp;H$2&amp;"!d1"),$G86-1,)</f>
        <v>0</v>
      </c>
      <c r="L86" cm="1">
        <f t="array" aca="1" ref="L86" ca="1">OFFSET(INDIRECT("Sheet"&amp;I$2&amp;"!d1"),$G86-1,)</f>
        <v>0</v>
      </c>
      <c r="M86" cm="1">
        <f t="array" aca="1" ref="M86" ca="1">OFFSET(INDIRECT("Sheet"&amp;J$2&amp;"!d1"),$G86-1,)</f>
        <v>9</v>
      </c>
      <c r="N86" cm="1">
        <f t="array" aca="1" ref="N86" ca="1">OFFSET(INDIRECT("Sheet"&amp;M$2&amp;"!d1"),$G86-1,)</f>
        <v>9</v>
      </c>
      <c r="O86" cm="1">
        <f t="array" aca="1" ref="O86" ca="1">OFFSET(INDIRECT("Sheet"&amp;C$2&amp;"!d1"),$G86-1,)</f>
        <v>9</v>
      </c>
      <c r="P86" cm="1">
        <f t="array" aca="1" ref="P86" ca="1">OFFSET(INDIRECT("Sheet"&amp;D$2&amp;"!d1"),$G86-1,)</f>
        <v>9</v>
      </c>
      <c r="Q86" cm="1">
        <f t="array" aca="1" ref="Q86" ca="1">OFFSET(INDIRECT("Sheet"&amp;N$2&amp;"!d1"),$G86-1,)</f>
        <v>9</v>
      </c>
      <c r="R86" cm="1">
        <f t="array" aca="1" ref="R86" ca="1">OFFSET(INDIRECT("Sheet"&amp;O$2&amp;"!d1"),$G86-1,)</f>
        <v>9</v>
      </c>
      <c r="S86" cm="1">
        <f t="array" aca="1" ref="S86" ca="1">OFFSET(INDIRECT("Sheet"&amp;P$2&amp;"!d1"),$G86-1,)</f>
        <v>9</v>
      </c>
      <c r="T86" cm="1">
        <f t="array" aca="1" ref="T86" ca="1">OFFSET(INDIRECT("Sheet"&amp;Q$2&amp;"!d1"),$G86-1,)</f>
        <v>9</v>
      </c>
      <c r="U86" cm="1">
        <f t="array" aca="1" ref="U86" ca="1">OFFSET(INDIRECT("Sheet"&amp;R$2&amp;"!d1"),$G86-1,)</f>
        <v>9</v>
      </c>
      <c r="V86" cm="1">
        <f t="array" aca="1" ref="V86" ca="1">OFFSET(INDIRECT("Sheet"&amp;S$2&amp;"!d1"),$G86-1,)</f>
        <v>9</v>
      </c>
      <c r="W86" cm="1">
        <f t="array" aca="1" ref="W86" ca="1">OFFSET(INDIRECT("Sheet"&amp;T$2&amp;"!d1"),$G86-1,)</f>
        <v>9</v>
      </c>
      <c r="X86" cm="1">
        <f t="array" aca="1" ref="X86" ca="1">OFFSET(INDIRECT("Sheet"&amp;U$2&amp;"!d1"),$G86-1,)</f>
        <v>9</v>
      </c>
      <c r="Y86" cm="1">
        <f t="array" aca="1" ref="Y86" ca="1">OFFSET(INDIRECT("Sheet"&amp;V$2&amp;"!d1"),$G86-1,)</f>
        <v>9</v>
      </c>
      <c r="Z86"/>
      <c r="AB86" s="3" cm="1">
        <f t="array" aca="1" ref="AB86" ca="1">OFFSET(INDIRECT("Sheet"&amp;E$2&amp;"!f1"),$G86-1,)</f>
        <v>306.62457797303699</v>
      </c>
      <c r="AC86" s="3" cm="1">
        <f t="array" aca="1" ref="AC86" ca="1">OFFSET(INDIRECT("Sheet"&amp;F$2&amp;"!f1"),$G86-1,)</f>
        <v>404.24307955335797</v>
      </c>
      <c r="AD86" s="3" cm="1">
        <f t="array" aca="1" ref="AD86" ca="1">OFFSET(INDIRECT("Sheet"&amp;G$2&amp;"!f1"),$G86-1,)</f>
        <v>465.87269571330398</v>
      </c>
      <c r="AE86" s="3" cm="1">
        <f t="array" aca="1" ref="AE86" ca="1">OFFSET(INDIRECT("Sheet"&amp;H$2&amp;"!f1"),$G86-1,)</f>
        <v>28800.1375510199</v>
      </c>
      <c r="AF86" s="3" cm="1">
        <f t="array" aca="1" ref="AF86" ca="1">OFFSET(INDIRECT("Sheet"&amp;I$2&amp;"!f1"),$G86-1,)</f>
        <v>28800.122812792601</v>
      </c>
      <c r="AG86" s="3" cm="1">
        <f t="array" aca="1" ref="AG86" ca="1">OFFSET(INDIRECT("Sheet"&amp;J$2&amp;"!f1"),$G86-1,)</f>
        <v>0.38846310507506099</v>
      </c>
      <c r="AH86" s="3" cm="1">
        <f t="array" aca="1" ref="AH86" ca="1">OFFSET(INDIRECT("Sheet"&amp;K$2&amp;"!f1"),$G86-1,)</f>
        <v>0.34290139000000802</v>
      </c>
      <c r="AI86" s="3" cm="1">
        <f t="array" aca="1" ref="AI86" ca="1">OFFSET(INDIRECT("Sheet"&amp;L$2&amp;"!f1"),$G86-1,)</f>
        <v>0.34329214999999602</v>
      </c>
      <c r="AJ86" s="3" cm="1">
        <f t="array" aca="1" ref="AJ86" ca="1">OFFSET(INDIRECT("Sheet"&amp;M$2&amp;"!f1"),$G86-1,)</f>
        <v>0.51987022534012794</v>
      </c>
      <c r="AK86" s="3" cm="1">
        <f t="array" aca="1" ref="AK86" ca="1">OFFSET(INDIRECT("Sheet"&amp;C$2&amp;"!f1"),$G86-1,)</f>
        <v>953.86314334906604</v>
      </c>
      <c r="AL86" s="3" cm="1">
        <f t="array" aca="1" ref="AL86" ca="1">OFFSET(INDIRECT("Sheet"&amp;D$2&amp;"!f1"),$G86-1,)</f>
        <v>6454.2228162372403</v>
      </c>
      <c r="AM86" s="3" cm="1">
        <f t="array" aca="1" ref="AM86" ca="1">OFFSET(INDIRECT("Sheet"&amp;N$2&amp;"!f1"),$G86-1,)</f>
        <v>4.0638027684763003</v>
      </c>
      <c r="AN86" s="3" cm="1">
        <f t="array" aca="1" ref="AN86" ca="1">OFFSET(INDIRECT("Sheet"&amp;O$2&amp;"!f1"),$G86-1,)</f>
        <v>6.2468115044757697</v>
      </c>
      <c r="AO86" s="3" cm="1">
        <f t="array" aca="1" ref="AO86" ca="1">OFFSET(INDIRECT("Sheet"&amp;P$2&amp;"!f1"),$G86-1,)</f>
        <v>8.3117103828117198</v>
      </c>
      <c r="AP86" s="3" cm="1">
        <f t="array" aca="1" ref="AP86" ca="1">OFFSET(INDIRECT("Sheet"&amp;Q$2&amp;"!f1"),$G86-1,)</f>
        <v>2.2582030771300099</v>
      </c>
      <c r="AQ86" s="3" cm="1">
        <f t="array" aca="1" ref="AQ86" ca="1">OFFSET(INDIRECT("Sheet"&amp;R$2&amp;"!f1"),$G86-1,)</f>
        <v>3.4912114413455102</v>
      </c>
      <c r="AR86" s="3" cm="1">
        <f t="array" aca="1" ref="AR86" ca="1">OFFSET(INDIRECT("Sheet"&amp;S$2&amp;"!f1"),$G86-1,)</f>
        <v>4.6559082465246302</v>
      </c>
      <c r="AS86" s="3" cm="1">
        <f t="array" aca="1" ref="AS86" ca="1">OFFSET(INDIRECT("Sheet"&amp;T$2&amp;"!f1"),$G86-1,)</f>
        <v>6.1053627505898396</v>
      </c>
      <c r="AT86" s="3" cm="1">
        <f t="array" aca="1" ref="AT86" ca="1">OFFSET(INDIRECT("Sheet"&amp;U$2&amp;"!f1"),$G86-1,)</f>
        <v>6.0171093139797396</v>
      </c>
      <c r="AU86" s="3" cm="1">
        <f t="array" aca="1" ref="AU86" ca="1">OFFSET(INDIRECT("Sheet"&amp;V$2&amp;"!f1"),$G86-1,)</f>
        <v>8.2013302966952306</v>
      </c>
      <c r="AV86" s="3"/>
      <c r="AX86">
        <f ca="1">IF(H86=$F86,1,0)</f>
        <v>1</v>
      </c>
      <c r="AY86">
        <f ca="1">IF(I86=$F86,1,0)</f>
        <v>1</v>
      </c>
      <c r="AZ86">
        <f ca="1">IF(J86=$F86,1,0)</f>
        <v>1</v>
      </c>
      <c r="BA86">
        <f ca="1">IF(K86=$F86,1,0)</f>
        <v>0</v>
      </c>
      <c r="BB86">
        <f ca="1">IF(L86=$F86,1,0)</f>
        <v>0</v>
      </c>
      <c r="BC86">
        <f ca="1">IF(M86=$F86,1,0)</f>
        <v>1</v>
      </c>
      <c r="BD86">
        <f ca="1">IF(C86=$F86,1,0)</f>
        <v>1</v>
      </c>
      <c r="BE86">
        <f ca="1">IF(D86=$F86,1,0)</f>
        <v>1</v>
      </c>
      <c r="BF86">
        <f t="shared" ca="1" si="13"/>
        <v>1</v>
      </c>
      <c r="BG86">
        <f t="shared" ca="1" si="14"/>
        <v>1</v>
      </c>
      <c r="BH86">
        <f t="shared" ca="1" si="25"/>
        <v>1</v>
      </c>
      <c r="BI86">
        <f t="shared" ca="1" si="26"/>
        <v>1</v>
      </c>
      <c r="BJ86">
        <f t="shared" ca="1" si="27"/>
        <v>1</v>
      </c>
      <c r="BK86">
        <f t="shared" ca="1" si="27"/>
        <v>1</v>
      </c>
      <c r="BL86">
        <f t="shared" ca="1" si="27"/>
        <v>1</v>
      </c>
      <c r="BM86">
        <f t="shared" ca="1" si="18"/>
        <v>1</v>
      </c>
      <c r="BN86">
        <f t="shared" ca="1" si="19"/>
        <v>1</v>
      </c>
      <c r="BO86">
        <f t="shared" ca="1" si="20"/>
        <v>1</v>
      </c>
      <c r="BP86">
        <f t="shared" ca="1" si="21"/>
        <v>1</v>
      </c>
      <c r="BQ86">
        <f t="shared" ca="1" si="22"/>
        <v>1</v>
      </c>
    </row>
    <row r="87" spans="1:69" s="4" customFormat="1" x14ac:dyDescent="0.2">
      <c r="A87" t="str">
        <f>Sheet3!A71</f>
        <v>[[41,2,11]]</v>
      </c>
      <c r="B87" s="4">
        <v>41</v>
      </c>
      <c r="C87" cm="1">
        <f t="array" aca="1" ref="C87" ca="1">OFFSET(INDIRECT("Sheet"&amp;K$2&amp;"!d1"),$G87-1,)</f>
        <v>11</v>
      </c>
      <c r="D87" cm="1">
        <f t="array" aca="1" ref="D87" ca="1">OFFSET(INDIRECT("Sheet"&amp;L$2&amp;"!d1"),$G87-1,)</f>
        <v>11</v>
      </c>
      <c r="E87" s="4">
        <v>2</v>
      </c>
      <c r="F87" s="4">
        <v>11</v>
      </c>
      <c r="G87">
        <f t="shared" si="23"/>
        <v>71</v>
      </c>
      <c r="H87" cm="1">
        <f t="array" aca="1" ref="H87" ca="1">OFFSET(INDIRECT("Sheet"&amp;E$2&amp;"!d1"),$G87-1,)</f>
        <v>11</v>
      </c>
      <c r="I87" cm="1">
        <f t="array" aca="1" ref="I87" ca="1">OFFSET(INDIRECT("Sheet"&amp;F$2&amp;"!d1"),$G87-1,)</f>
        <v>11</v>
      </c>
      <c r="J87" cm="1">
        <f t="array" aca="1" ref="J87" ca="1">OFFSET(INDIRECT("Sheet"&amp;G$2&amp;"!d1"),$G87-1,)</f>
        <v>11</v>
      </c>
      <c r="K87" cm="1">
        <f t="array" aca="1" ref="K87" ca="1">OFFSET(INDIRECT("Sheet"&amp;H$2&amp;"!d1"),$G87-1,)</f>
        <v>0</v>
      </c>
      <c r="L87" cm="1">
        <f t="array" aca="1" ref="L87" ca="1">OFFSET(INDIRECT("Sheet"&amp;I$2&amp;"!d1"),$G87-1,)</f>
        <v>0</v>
      </c>
      <c r="M87" cm="1">
        <f t="array" aca="1" ref="M87" ca="1">OFFSET(INDIRECT("Sheet"&amp;J$2&amp;"!d1"),$G87-1,)</f>
        <v>11</v>
      </c>
      <c r="N87" cm="1">
        <f t="array" aca="1" ref="N87" ca="1">OFFSET(INDIRECT("Sheet"&amp;M$2&amp;"!d1"),$G87-1,)</f>
        <v>11</v>
      </c>
      <c r="O87" cm="1">
        <f t="array" aca="1" ref="O87" ca="1">OFFSET(INDIRECT("Sheet"&amp;C$2&amp;"!d1"),$G87-1,)</f>
        <v>11</v>
      </c>
      <c r="P87" cm="1">
        <f t="array" aca="1" ref="P87" ca="1">OFFSET(INDIRECT("Sheet"&amp;D$2&amp;"!d1"),$G87-1,)</f>
        <v>11</v>
      </c>
      <c r="Q87" cm="1">
        <f t="array" aca="1" ref="Q87" ca="1">OFFSET(INDIRECT("Sheet"&amp;N$2&amp;"!d1"),$G87-1,)</f>
        <v>11</v>
      </c>
      <c r="R87" cm="1">
        <f t="array" aca="1" ref="R87" ca="1">OFFSET(INDIRECT("Sheet"&amp;O$2&amp;"!d1"),$G87-1,)</f>
        <v>11</v>
      </c>
      <c r="S87" cm="1">
        <f t="array" aca="1" ref="S87" ca="1">OFFSET(INDIRECT("Sheet"&amp;P$2&amp;"!d1"),$G87-1,)</f>
        <v>11</v>
      </c>
      <c r="T87" cm="1">
        <f t="array" aca="1" ref="T87" ca="1">OFFSET(INDIRECT("Sheet"&amp;Q$2&amp;"!d1"),$G87-1,)</f>
        <v>11</v>
      </c>
      <c r="U87" cm="1">
        <f t="array" aca="1" ref="U87" ca="1">OFFSET(INDIRECT("Sheet"&amp;R$2&amp;"!d1"),$G87-1,)</f>
        <v>11</v>
      </c>
      <c r="V87" cm="1">
        <f t="array" aca="1" ref="V87" ca="1">OFFSET(INDIRECT("Sheet"&amp;S$2&amp;"!d1"),$G87-1,)</f>
        <v>11</v>
      </c>
      <c r="W87" cm="1">
        <f t="array" aca="1" ref="W87" ca="1">OFFSET(INDIRECT("Sheet"&amp;T$2&amp;"!d1"),$G87-1,)</f>
        <v>11</v>
      </c>
      <c r="X87" cm="1">
        <f t="array" aca="1" ref="X87" ca="1">OFFSET(INDIRECT("Sheet"&amp;U$2&amp;"!d1"),$G87-1,)</f>
        <v>11</v>
      </c>
      <c r="Y87" cm="1">
        <f t="array" aca="1" ref="Y87" ca="1">OFFSET(INDIRECT("Sheet"&amp;V$2&amp;"!d1"),$G87-1,)</f>
        <v>11</v>
      </c>
      <c r="Z87"/>
      <c r="AB87" s="3" cm="1">
        <f t="array" aca="1" ref="AB87" ca="1">OFFSET(INDIRECT("Sheet"&amp;E$2&amp;"!f1"),$G87-1,)</f>
        <v>216.54129989538299</v>
      </c>
      <c r="AC87" s="3" cm="1">
        <f t="array" aca="1" ref="AC87" ca="1">OFFSET(INDIRECT("Sheet"&amp;F$2&amp;"!f1"),$G87-1,)</f>
        <v>376.92658756114503</v>
      </c>
      <c r="AD87" s="3" cm="1">
        <f t="array" aca="1" ref="AD87" ca="1">OFFSET(INDIRECT("Sheet"&amp;G$2&amp;"!f1"),$G87-1,)</f>
        <v>87.245409810915504</v>
      </c>
      <c r="AE87" s="3" cm="1">
        <f t="array" aca="1" ref="AE87" ca="1">OFFSET(INDIRECT("Sheet"&amp;H$2&amp;"!f1"),$G87-1,)</f>
        <v>28800.112573664599</v>
      </c>
      <c r="AF87" s="3" cm="1">
        <f t="array" aca="1" ref="AF87" ca="1">OFFSET(INDIRECT("Sheet"&amp;I$2&amp;"!f1"),$G87-1,)</f>
        <v>28803.584711626099</v>
      </c>
      <c r="AG87" s="3" cm="1">
        <f t="array" aca="1" ref="AG87" ca="1">OFFSET(INDIRECT("Sheet"&amp;J$2&amp;"!f1"),$G87-1,)</f>
        <v>0.43285664729773998</v>
      </c>
      <c r="AH87" s="3" cm="1">
        <f t="array" aca="1" ref="AH87" ca="1">OFFSET(INDIRECT("Sheet"&amp;K$2&amp;"!f1"),$G87-1,)</f>
        <v>0.38908565100001602</v>
      </c>
      <c r="AI87" s="3" cm="1">
        <f t="array" aca="1" ref="AI87" ca="1">OFFSET(INDIRECT("Sheet"&amp;L$2&amp;"!f1"),$G87-1,)</f>
        <v>0.38941156200001997</v>
      </c>
      <c r="AJ87" s="3" cm="1">
        <f t="array" aca="1" ref="AJ87" ca="1">OFFSET(INDIRECT("Sheet"&amp;M$2&amp;"!f1"),$G87-1,)</f>
        <v>0.55389240011572805</v>
      </c>
      <c r="AK87" s="3" cm="1">
        <f t="array" aca="1" ref="AK87" ca="1">OFFSET(INDIRECT("Sheet"&amp;C$2&amp;"!f1"),$G87-1,)</f>
        <v>10392.1676664808</v>
      </c>
      <c r="AL87" s="3" cm="1">
        <f t="array" aca="1" ref="AL87" ca="1">OFFSET(INDIRECT("Sheet"&amp;D$2&amp;"!f1"),$G87-1,)</f>
        <v>28841.694798617598</v>
      </c>
      <c r="AM87" s="3" cm="1">
        <f t="array" aca="1" ref="AM87" ca="1">OFFSET(INDIRECT("Sheet"&amp;N$2&amp;"!f1"),$G87-1,)</f>
        <v>3.9361022533848802</v>
      </c>
      <c r="AN87" s="3" cm="1">
        <f t="array" aca="1" ref="AN87" ca="1">OFFSET(INDIRECT("Sheet"&amp;O$2&amp;"!f1"),$G87-1,)</f>
        <v>6.4205719344317904</v>
      </c>
      <c r="AO87" s="3" cm="1">
        <f t="array" aca="1" ref="AO87" ca="1">OFFSET(INDIRECT("Sheet"&amp;P$2&amp;"!f1"),$G87-1,)</f>
        <v>7.6261414354666996</v>
      </c>
      <c r="AP87" s="3" cm="1">
        <f t="array" aca="1" ref="AP87" ca="1">OFFSET(INDIRECT("Sheet"&amp;Q$2&amp;"!f1"),$G87-1,)</f>
        <v>2.1658771317452099</v>
      </c>
      <c r="AQ87" s="3" cm="1">
        <f t="array" aca="1" ref="AQ87" ca="1">OFFSET(INDIRECT("Sheet"&amp;R$2&amp;"!f1"),$G87-1,)</f>
        <v>3.3630427336320201</v>
      </c>
      <c r="AR87" s="3" cm="1">
        <f t="array" aca="1" ref="AR87" ca="1">OFFSET(INDIRECT("Sheet"&amp;S$2&amp;"!f1"),$G87-1,)</f>
        <v>5.0129369879141397</v>
      </c>
      <c r="AS87" s="3" cm="1">
        <f t="array" aca="1" ref="AS87" ca="1">OFFSET(INDIRECT("Sheet"&amp;T$2&amp;"!f1"),$G87-1,)</f>
        <v>6.3097572149708796</v>
      </c>
      <c r="AT87" s="3" cm="1">
        <f t="array" aca="1" ref="AT87" ca="1">OFFSET(INDIRECT("Sheet"&amp;U$2&amp;"!f1"),$G87-1,)</f>
        <v>5.5837474865838796</v>
      </c>
      <c r="AU87" s="3" cm="1">
        <f t="array" aca="1" ref="AU87" ca="1">OFFSET(INDIRECT("Sheet"&amp;V$2&amp;"!f1"),$G87-1,)</f>
        <v>7.5353663759306002</v>
      </c>
      <c r="AV87" s="3"/>
      <c r="AX87">
        <f ca="1">IF(H87=$F87,1,0)</f>
        <v>1</v>
      </c>
      <c r="AY87">
        <f ca="1">IF(I87=$F87,1,0)</f>
        <v>1</v>
      </c>
      <c r="AZ87">
        <f ca="1">IF(J87=$F87,1,0)</f>
        <v>1</v>
      </c>
      <c r="BA87">
        <f ca="1">IF(K87=$F87,1,0)</f>
        <v>0</v>
      </c>
      <c r="BB87">
        <f ca="1">IF(L87=$F87,1,0)</f>
        <v>0</v>
      </c>
      <c r="BC87">
        <f ca="1">IF(M87=$F87,1,0)</f>
        <v>1</v>
      </c>
      <c r="BD87">
        <f ca="1">IF(C87=$F87,1,0)</f>
        <v>1</v>
      </c>
      <c r="BE87">
        <f ca="1">IF(D87=$F87,1,0)</f>
        <v>1</v>
      </c>
      <c r="BF87">
        <f t="shared" ca="1" si="13"/>
        <v>1</v>
      </c>
      <c r="BG87">
        <f t="shared" ca="1" si="14"/>
        <v>1</v>
      </c>
      <c r="BH87">
        <f t="shared" ca="1" si="25"/>
        <v>1</v>
      </c>
      <c r="BI87">
        <f t="shared" ca="1" si="26"/>
        <v>1</v>
      </c>
      <c r="BJ87">
        <f t="shared" ca="1" si="27"/>
        <v>1</v>
      </c>
      <c r="BK87">
        <f t="shared" ca="1" si="27"/>
        <v>1</v>
      </c>
      <c r="BL87">
        <f t="shared" ca="1" si="27"/>
        <v>1</v>
      </c>
      <c r="BM87">
        <f t="shared" ca="1" si="18"/>
        <v>1</v>
      </c>
      <c r="BN87">
        <f t="shared" ca="1" si="19"/>
        <v>1</v>
      </c>
      <c r="BO87">
        <f t="shared" ca="1" si="20"/>
        <v>1</v>
      </c>
      <c r="BP87">
        <f t="shared" ca="1" si="21"/>
        <v>1</v>
      </c>
      <c r="BQ87">
        <f t="shared" ca="1" si="22"/>
        <v>1</v>
      </c>
    </row>
    <row r="88" spans="1:69" s="4" customFormat="1" x14ac:dyDescent="0.2">
      <c r="A88" t="str">
        <f>Sheet3!A72</f>
        <v>[[42,5,9]]</v>
      </c>
      <c r="B88" s="4">
        <v>42</v>
      </c>
      <c r="C88" cm="1">
        <f t="array" aca="1" ref="C88" ca="1">OFFSET(INDIRECT("Sheet"&amp;K$2&amp;"!d1"),$G88-1,)</f>
        <v>9</v>
      </c>
      <c r="D88" cm="1">
        <f t="array" aca="1" ref="D88" ca="1">OFFSET(INDIRECT("Sheet"&amp;L$2&amp;"!d1"),$G88-1,)</f>
        <v>9</v>
      </c>
      <c r="E88" s="4">
        <v>5</v>
      </c>
      <c r="F88" s="4">
        <v>9</v>
      </c>
      <c r="G88">
        <f t="shared" si="23"/>
        <v>72</v>
      </c>
      <c r="H88" cm="1">
        <f t="array" aca="1" ref="H88" ca="1">OFFSET(INDIRECT("Sheet"&amp;E$2&amp;"!d1"),$G88-1,)</f>
        <v>9</v>
      </c>
      <c r="I88" cm="1">
        <f t="array" aca="1" ref="I88" ca="1">OFFSET(INDIRECT("Sheet"&amp;F$2&amp;"!d1"),$G88-1,)</f>
        <v>9</v>
      </c>
      <c r="J88" cm="1">
        <f t="array" aca="1" ref="J88" ca="1">OFFSET(INDIRECT("Sheet"&amp;G$2&amp;"!d1"),$G88-1,)</f>
        <v>9</v>
      </c>
      <c r="K88" cm="1">
        <f t="array" aca="1" ref="K88" ca="1">OFFSET(INDIRECT("Sheet"&amp;H$2&amp;"!d1"),$G88-1,)</f>
        <v>0</v>
      </c>
      <c r="L88" cm="1">
        <f t="array" aca="1" ref="L88" ca="1">OFFSET(INDIRECT("Sheet"&amp;I$2&amp;"!d1"),$G88-1,)</f>
        <v>0</v>
      </c>
      <c r="M88" cm="1">
        <f t="array" aca="1" ref="M88" ca="1">OFFSET(INDIRECT("Sheet"&amp;J$2&amp;"!d1"),$G88-1,)</f>
        <v>9</v>
      </c>
      <c r="N88" cm="1">
        <f t="array" aca="1" ref="N88" ca="1">OFFSET(INDIRECT("Sheet"&amp;M$2&amp;"!d1"),$G88-1,)</f>
        <v>9</v>
      </c>
      <c r="O88" cm="1">
        <f t="array" aca="1" ref="O88" ca="1">OFFSET(INDIRECT("Sheet"&amp;C$2&amp;"!d1"),$G88-1,)</f>
        <v>9</v>
      </c>
      <c r="P88" cm="1">
        <f t="array" aca="1" ref="P88" ca="1">OFFSET(INDIRECT("Sheet"&amp;D$2&amp;"!d1"),$G88-1,)</f>
        <v>9</v>
      </c>
      <c r="Q88" cm="1">
        <f t="array" aca="1" ref="Q88" ca="1">OFFSET(INDIRECT("Sheet"&amp;N$2&amp;"!d1"),$G88-1,)</f>
        <v>9</v>
      </c>
      <c r="R88" cm="1">
        <f t="array" aca="1" ref="R88" ca="1">OFFSET(INDIRECT("Sheet"&amp;O$2&amp;"!d1"),$G88-1,)</f>
        <v>9</v>
      </c>
      <c r="S88" cm="1">
        <f t="array" aca="1" ref="S88" ca="1">OFFSET(INDIRECT("Sheet"&amp;P$2&amp;"!d1"),$G88-1,)</f>
        <v>9</v>
      </c>
      <c r="T88" cm="1">
        <f t="array" aca="1" ref="T88" ca="1">OFFSET(INDIRECT("Sheet"&amp;Q$2&amp;"!d1"),$G88-1,)</f>
        <v>9</v>
      </c>
      <c r="U88" cm="1">
        <f t="array" aca="1" ref="U88" ca="1">OFFSET(INDIRECT("Sheet"&amp;R$2&amp;"!d1"),$G88-1,)</f>
        <v>9</v>
      </c>
      <c r="V88" cm="1">
        <f t="array" aca="1" ref="V88" ca="1">OFFSET(INDIRECT("Sheet"&amp;S$2&amp;"!d1"),$G88-1,)</f>
        <v>9</v>
      </c>
      <c r="W88" cm="1">
        <f t="array" aca="1" ref="W88" ca="1">OFFSET(INDIRECT("Sheet"&amp;T$2&amp;"!d1"),$G88-1,)</f>
        <v>9</v>
      </c>
      <c r="X88" cm="1">
        <f t="array" aca="1" ref="X88" ca="1">OFFSET(INDIRECT("Sheet"&amp;U$2&amp;"!d1"),$G88-1,)</f>
        <v>9</v>
      </c>
      <c r="Y88" cm="1">
        <f t="array" aca="1" ref="Y88" ca="1">OFFSET(INDIRECT("Sheet"&amp;V$2&amp;"!d1"),$G88-1,)</f>
        <v>9</v>
      </c>
      <c r="Z88"/>
      <c r="AB88" s="3" cm="1">
        <f t="array" aca="1" ref="AB88" ca="1">OFFSET(INDIRECT("Sheet"&amp;E$2&amp;"!f1"),$G88-1,)</f>
        <v>429.20031798258401</v>
      </c>
      <c r="AC88" s="3" cm="1">
        <f t="array" aca="1" ref="AC88" ca="1">OFFSET(INDIRECT("Sheet"&amp;F$2&amp;"!f1"),$G88-1,)</f>
        <v>615.20297078788201</v>
      </c>
      <c r="AD88" s="3" cm="1">
        <f t="array" aca="1" ref="AD88" ca="1">OFFSET(INDIRECT("Sheet"&amp;G$2&amp;"!f1"),$G88-1,)</f>
        <v>714.61376341897903</v>
      </c>
      <c r="AE88" s="3" cm="1">
        <f t="array" aca="1" ref="AE88" ca="1">OFFSET(INDIRECT("Sheet"&amp;H$2&amp;"!f1"),$G88-1,)</f>
        <v>28800.1121812565</v>
      </c>
      <c r="AF88" s="3" cm="1">
        <f t="array" aca="1" ref="AF88" ca="1">OFFSET(INDIRECT("Sheet"&amp;I$2&amp;"!f1"),$G88-1,)</f>
        <v>28800.132895611201</v>
      </c>
      <c r="AG88" s="3" cm="1">
        <f t="array" aca="1" ref="AG88" ca="1">OFFSET(INDIRECT("Sheet"&amp;J$2&amp;"!f1"),$G88-1,)</f>
        <v>0.42395984381437302</v>
      </c>
      <c r="AH88" s="3" cm="1">
        <f t="array" aca="1" ref="AH88" ca="1">OFFSET(INDIRECT("Sheet"&amp;K$2&amp;"!f1"),$G88-1,)</f>
        <v>0.37611616299997702</v>
      </c>
      <c r="AI88" s="3" cm="1">
        <f t="array" aca="1" ref="AI88" ca="1">OFFSET(INDIRECT("Sheet"&amp;L$2&amp;"!f1"),$G88-1,)</f>
        <v>0.38690453199998798</v>
      </c>
      <c r="AJ88" s="3" cm="1">
        <f t="array" aca="1" ref="AJ88" ca="1">OFFSET(INDIRECT("Sheet"&amp;M$2&amp;"!f1"),$G88-1,)</f>
        <v>0.58124091010540702</v>
      </c>
      <c r="AK88" s="3" cm="1">
        <f t="array" aca="1" ref="AK88" ca="1">OFFSET(INDIRECT("Sheet"&amp;C$2&amp;"!f1"),$G88-1,)</f>
        <v>7933.8909792723098</v>
      </c>
      <c r="AL88" s="3" cm="1">
        <f t="array" aca="1" ref="AL88" ca="1">OFFSET(INDIRECT("Sheet"&amp;D$2&amp;"!f1"),$G88-1,)</f>
        <v>5764.3248862968703</v>
      </c>
      <c r="AM88" s="3" cm="1">
        <f t="array" aca="1" ref="AM88" ca="1">OFFSET(INDIRECT("Sheet"&amp;N$2&amp;"!f1"),$G88-1,)</f>
        <v>4.3207208244129998</v>
      </c>
      <c r="AN88" s="3" cm="1">
        <f t="array" aca="1" ref="AN88" ca="1">OFFSET(INDIRECT("Sheet"&amp;O$2&amp;"!f1"),$G88-1,)</f>
        <v>7.1163104651495797</v>
      </c>
      <c r="AO88" s="3" cm="1">
        <f t="array" aca="1" ref="AO88" ca="1">OFFSET(INDIRECT("Sheet"&amp;P$2&amp;"!f1"),$G88-1,)</f>
        <v>9.2527695046737701</v>
      </c>
      <c r="AP88" s="3" cm="1">
        <f t="array" aca="1" ref="AP88" ca="1">OFFSET(INDIRECT("Sheet"&amp;Q$2&amp;"!f1"),$G88-1,)</f>
        <v>2.4523560171946799</v>
      </c>
      <c r="AQ88" s="3" cm="1">
        <f t="array" aca="1" ref="AQ88" ca="1">OFFSET(INDIRECT("Sheet"&amp;R$2&amp;"!f1"),$G88-1,)</f>
        <v>3.7732645375654101</v>
      </c>
      <c r="AR88" s="3" cm="1">
        <f t="array" aca="1" ref="AR88" ca="1">OFFSET(INDIRECT("Sheet"&amp;S$2&amp;"!f1"),$G88-1,)</f>
        <v>5.5233022272586796</v>
      </c>
      <c r="AS88" s="3" cm="1">
        <f t="array" aca="1" ref="AS88" ca="1">OFFSET(INDIRECT("Sheet"&amp;T$2&amp;"!f1"),$G88-1,)</f>
        <v>7.03241738863289</v>
      </c>
      <c r="AT88" s="3" cm="1">
        <f t="array" aca="1" ref="AT88" ca="1">OFFSET(INDIRECT("Sheet"&amp;U$2&amp;"!f1"),$G88-1,)</f>
        <v>6.7251853710040397</v>
      </c>
      <c r="AU88" s="3" cm="1">
        <f t="array" aca="1" ref="AU88" ca="1">OFFSET(INDIRECT("Sheet"&amp;V$2&amp;"!f1"),$G88-1,)</f>
        <v>9.1495054345577902</v>
      </c>
      <c r="AV88" s="3"/>
      <c r="AX88">
        <f ca="1">IF(H88=$F88,1,0)</f>
        <v>1</v>
      </c>
      <c r="AY88">
        <f ca="1">IF(I88=$F88,1,0)</f>
        <v>1</v>
      </c>
      <c r="AZ88">
        <f ca="1">IF(J88=$F88,1,0)</f>
        <v>1</v>
      </c>
      <c r="BA88">
        <f ca="1">IF(K88=$F88,1,0)</f>
        <v>0</v>
      </c>
      <c r="BB88">
        <f ca="1">IF(L88=$F88,1,0)</f>
        <v>0</v>
      </c>
      <c r="BC88">
        <f ca="1">IF(M88=$F88,1,0)</f>
        <v>1</v>
      </c>
      <c r="BD88">
        <f ca="1">IF(C88=$F88,1,0)</f>
        <v>1</v>
      </c>
      <c r="BE88">
        <f ca="1">IF(D88=$F88,1,0)</f>
        <v>1</v>
      </c>
      <c r="BF88">
        <f t="shared" ca="1" si="13"/>
        <v>1</v>
      </c>
      <c r="BG88">
        <f t="shared" ca="1" si="14"/>
        <v>1</v>
      </c>
      <c r="BH88">
        <f t="shared" ca="1" si="25"/>
        <v>1</v>
      </c>
      <c r="BI88">
        <f t="shared" ca="1" si="26"/>
        <v>1</v>
      </c>
      <c r="BJ88">
        <f t="shared" ca="1" si="27"/>
        <v>1</v>
      </c>
      <c r="BK88">
        <f t="shared" ca="1" si="27"/>
        <v>1</v>
      </c>
      <c r="BL88">
        <f t="shared" ca="1" si="27"/>
        <v>1</v>
      </c>
      <c r="BM88">
        <f t="shared" ca="1" si="18"/>
        <v>1</v>
      </c>
      <c r="BN88">
        <f t="shared" ca="1" si="19"/>
        <v>1</v>
      </c>
      <c r="BO88">
        <f t="shared" ca="1" si="20"/>
        <v>1</v>
      </c>
      <c r="BP88">
        <f t="shared" ca="1" si="21"/>
        <v>1</v>
      </c>
      <c r="BQ88">
        <f t="shared" ca="1" si="22"/>
        <v>1</v>
      </c>
    </row>
    <row r="89" spans="1:69" s="4" customFormat="1" x14ac:dyDescent="0.2">
      <c r="A89" t="str">
        <f>Sheet3!A73</f>
        <v>[[43,6,9]]</v>
      </c>
      <c r="B89" s="4">
        <v>43</v>
      </c>
      <c r="C89" cm="1">
        <f t="array" aca="1" ref="C89" ca="1">OFFSET(INDIRECT("Sheet"&amp;K$2&amp;"!d1"),$G89-1,)</f>
        <v>9</v>
      </c>
      <c r="D89" cm="1">
        <f t="array" aca="1" ref="D89" ca="1">OFFSET(INDIRECT("Sheet"&amp;L$2&amp;"!d1"),$G89-1,)</f>
        <v>9</v>
      </c>
      <c r="E89" s="4">
        <v>6</v>
      </c>
      <c r="F89" s="4">
        <v>9</v>
      </c>
      <c r="G89">
        <f t="shared" si="23"/>
        <v>73</v>
      </c>
      <c r="H89" cm="1">
        <f t="array" aca="1" ref="H89" ca="1">OFFSET(INDIRECT("Sheet"&amp;E$2&amp;"!d1"),$G89-1,)</f>
        <v>9</v>
      </c>
      <c r="I89" cm="1">
        <f t="array" aca="1" ref="I89" ca="1">OFFSET(INDIRECT("Sheet"&amp;F$2&amp;"!d1"),$G89-1,)</f>
        <v>9</v>
      </c>
      <c r="J89" cm="1">
        <f t="array" aca="1" ref="J89" ca="1">OFFSET(INDIRECT("Sheet"&amp;G$2&amp;"!d1"),$G89-1,)</f>
        <v>9</v>
      </c>
      <c r="K89" cm="1">
        <f t="array" aca="1" ref="K89" ca="1">OFFSET(INDIRECT("Sheet"&amp;H$2&amp;"!d1"),$G89-1,)</f>
        <v>0</v>
      </c>
      <c r="L89" cm="1">
        <f t="array" aca="1" ref="L89" ca="1">OFFSET(INDIRECT("Sheet"&amp;I$2&amp;"!d1"),$G89-1,)</f>
        <v>0</v>
      </c>
      <c r="M89" cm="1">
        <f t="array" aca="1" ref="M89" ca="1">OFFSET(INDIRECT("Sheet"&amp;J$2&amp;"!d1"),$G89-1,)</f>
        <v>9</v>
      </c>
      <c r="N89" cm="1">
        <f t="array" aca="1" ref="N89" ca="1">OFFSET(INDIRECT("Sheet"&amp;M$2&amp;"!d1"),$G89-1,)</f>
        <v>9</v>
      </c>
      <c r="O89" cm="1">
        <f t="array" aca="1" ref="O89" ca="1">OFFSET(INDIRECT("Sheet"&amp;C$2&amp;"!d1"),$G89-1,)</f>
        <v>9</v>
      </c>
      <c r="P89" cm="1">
        <f t="array" aca="1" ref="P89" ca="1">OFFSET(INDIRECT("Sheet"&amp;D$2&amp;"!d1"),$G89-1,)</f>
        <v>9</v>
      </c>
      <c r="Q89" cm="1">
        <f t="array" aca="1" ref="Q89" ca="1">OFFSET(INDIRECT("Sheet"&amp;N$2&amp;"!d1"),$G89-1,)</f>
        <v>9</v>
      </c>
      <c r="R89" cm="1">
        <f t="array" aca="1" ref="R89" ca="1">OFFSET(INDIRECT("Sheet"&amp;O$2&amp;"!d1"),$G89-1,)</f>
        <v>9</v>
      </c>
      <c r="S89" cm="1">
        <f t="array" aca="1" ref="S89" ca="1">OFFSET(INDIRECT("Sheet"&amp;P$2&amp;"!d1"),$G89-1,)</f>
        <v>9</v>
      </c>
      <c r="T89" cm="1">
        <f t="array" aca="1" ref="T89" ca="1">OFFSET(INDIRECT("Sheet"&amp;Q$2&amp;"!d1"),$G89-1,)</f>
        <v>9</v>
      </c>
      <c r="U89" cm="1">
        <f t="array" aca="1" ref="U89" ca="1">OFFSET(INDIRECT("Sheet"&amp;R$2&amp;"!d1"),$G89-1,)</f>
        <v>9</v>
      </c>
      <c r="V89" cm="1">
        <f t="array" aca="1" ref="V89" ca="1">OFFSET(INDIRECT("Sheet"&amp;S$2&amp;"!d1"),$G89-1,)</f>
        <v>9</v>
      </c>
      <c r="W89" cm="1">
        <f t="array" aca="1" ref="W89" ca="1">OFFSET(INDIRECT("Sheet"&amp;T$2&amp;"!d1"),$G89-1,)</f>
        <v>9</v>
      </c>
      <c r="X89" cm="1">
        <f t="array" aca="1" ref="X89" ca="1">OFFSET(INDIRECT("Sheet"&amp;U$2&amp;"!d1"),$G89-1,)</f>
        <v>9</v>
      </c>
      <c r="Y89" cm="1">
        <f t="array" aca="1" ref="Y89" ca="1">OFFSET(INDIRECT("Sheet"&amp;V$2&amp;"!d1"),$G89-1,)</f>
        <v>9</v>
      </c>
      <c r="Z89"/>
      <c r="AB89" s="3" cm="1">
        <f t="array" aca="1" ref="AB89" ca="1">OFFSET(INDIRECT("Sheet"&amp;E$2&amp;"!f1"),$G89-1,)</f>
        <v>4901.57413679827</v>
      </c>
      <c r="AC89" s="3" cm="1">
        <f t="array" aca="1" ref="AC89" ca="1">OFFSET(INDIRECT("Sheet"&amp;F$2&amp;"!f1"),$G89-1,)</f>
        <v>930.91817077714904</v>
      </c>
      <c r="AD89" s="3" cm="1">
        <f t="array" aca="1" ref="AD89" ca="1">OFFSET(INDIRECT("Sheet"&amp;G$2&amp;"!f1"),$G89-1,)</f>
        <v>1112.9614635119201</v>
      </c>
      <c r="AE89" s="3" cm="1">
        <f t="array" aca="1" ref="AE89" ca="1">OFFSET(INDIRECT("Sheet"&amp;H$2&amp;"!f1"),$G89-1,)</f>
        <v>28800.226552955799</v>
      </c>
      <c r="AF89" s="3" cm="1">
        <f t="array" aca="1" ref="AF89" ca="1">OFFSET(INDIRECT("Sheet"&amp;I$2&amp;"!f1"),$G89-1,)</f>
        <v>28800.110992357098</v>
      </c>
      <c r="AG89" s="3" cm="1">
        <f t="array" aca="1" ref="AG89" ca="1">OFFSET(INDIRECT("Sheet"&amp;J$2&amp;"!f1"),$G89-1,)</f>
        <v>0.43234391789883297</v>
      </c>
      <c r="AH89" s="3" cm="1">
        <f t="array" aca="1" ref="AH89" ca="1">OFFSET(INDIRECT("Sheet"&amp;K$2&amp;"!f1"),$G89-1,)</f>
        <v>0.38330603900001797</v>
      </c>
      <c r="AI89" s="3" cm="1">
        <f t="array" aca="1" ref="AI89" ca="1">OFFSET(INDIRECT("Sheet"&amp;L$2&amp;"!f1"),$G89-1,)</f>
        <v>0.38353488199999197</v>
      </c>
      <c r="AJ89" s="3" cm="1">
        <f t="array" aca="1" ref="AJ89" ca="1">OFFSET(INDIRECT("Sheet"&amp;M$2&amp;"!f1"),$G89-1,)</f>
        <v>0.60335565544664804</v>
      </c>
      <c r="AK89" s="3" cm="1">
        <f t="array" aca="1" ref="AK89" ca="1">OFFSET(INDIRECT("Sheet"&amp;C$2&amp;"!f1"),$G89-1,)</f>
        <v>2317.3929523527599</v>
      </c>
      <c r="AL89" s="3" cm="1">
        <f t="array" aca="1" ref="AL89" ca="1">OFFSET(INDIRECT("Sheet"&amp;D$2&amp;"!f1"),$G89-1,)</f>
        <v>14690.8822062565</v>
      </c>
      <c r="AM89" s="3" cm="1">
        <f t="array" aca="1" ref="AM89" ca="1">OFFSET(INDIRECT("Sheet"&amp;N$2&amp;"!f1"),$G89-1,)</f>
        <v>4.6817379500716898</v>
      </c>
      <c r="AN89" s="3" cm="1">
        <f t="array" aca="1" ref="AN89" ca="1">OFFSET(INDIRECT("Sheet"&amp;O$2&amp;"!f1"),$G89-1,)</f>
        <v>7.3565596146508998</v>
      </c>
      <c r="AO89" s="3" cm="1">
        <f t="array" aca="1" ref="AO89" ca="1">OFFSET(INDIRECT("Sheet"&amp;P$2&amp;"!f1"),$G89-1,)</f>
        <v>10.4810595558956</v>
      </c>
      <c r="AP89" s="3" cm="1">
        <f t="array" aca="1" ref="AP89" ca="1">OFFSET(INDIRECT("Sheet"&amp;Q$2&amp;"!f1"),$G89-1,)</f>
        <v>2.6039365725591699</v>
      </c>
      <c r="AQ89" s="3" cm="1">
        <f t="array" aca="1" ref="AQ89" ca="1">OFFSET(INDIRECT("Sheet"&amp;R$2&amp;"!f1"),$G89-1,)</f>
        <v>4.1359242396429101</v>
      </c>
      <c r="AR89" s="3" cm="1">
        <f t="array" aca="1" ref="AR89" ca="1">OFFSET(INDIRECT("Sheet"&amp;S$2&amp;"!f1"),$G89-1,)</f>
        <v>5.4924086844548503</v>
      </c>
      <c r="AS89" s="3" cm="1">
        <f t="array" aca="1" ref="AS89" ca="1">OFFSET(INDIRECT("Sheet"&amp;T$2&amp;"!f1"),$G89-1,)</f>
        <v>7.3234934285283</v>
      </c>
      <c r="AT89" s="3" cm="1">
        <f t="array" aca="1" ref="AT89" ca="1">OFFSET(INDIRECT("Sheet"&amp;U$2&amp;"!f1"),$G89-1,)</f>
        <v>7.2987508140504298</v>
      </c>
      <c r="AU89" s="3" cm="1">
        <f t="array" aca="1" ref="AU89" ca="1">OFFSET(INDIRECT("Sheet"&amp;V$2&amp;"!f1"),$G89-1,)</f>
        <v>10.4654935915023</v>
      </c>
      <c r="AV89" s="3"/>
      <c r="AX89">
        <f ca="1">IF(H89=$F89,1,0)</f>
        <v>1</v>
      </c>
      <c r="AY89">
        <f ca="1">IF(I89=$F89,1,0)</f>
        <v>1</v>
      </c>
      <c r="AZ89">
        <f ca="1">IF(J89=$F89,1,0)</f>
        <v>1</v>
      </c>
      <c r="BA89">
        <f ca="1">IF(K89=$F89,1,0)</f>
        <v>0</v>
      </c>
      <c r="BB89">
        <f ca="1">IF(L89=$F89,1,0)</f>
        <v>0</v>
      </c>
      <c r="BC89">
        <f ca="1">IF(M89=$F89,1,0)</f>
        <v>1</v>
      </c>
      <c r="BD89">
        <f ca="1">IF(C89=$F89,1,0)</f>
        <v>1</v>
      </c>
      <c r="BE89">
        <f ca="1">IF(D89=$F89,1,0)</f>
        <v>1</v>
      </c>
      <c r="BF89">
        <f t="shared" ca="1" si="13"/>
        <v>1</v>
      </c>
      <c r="BG89">
        <f t="shared" ca="1" si="14"/>
        <v>1</v>
      </c>
      <c r="BH89">
        <f t="shared" ca="1" si="25"/>
        <v>1</v>
      </c>
      <c r="BI89">
        <f t="shared" ca="1" si="26"/>
        <v>1</v>
      </c>
      <c r="BJ89">
        <f t="shared" ca="1" si="27"/>
        <v>1</v>
      </c>
      <c r="BK89">
        <f t="shared" ca="1" si="27"/>
        <v>1</v>
      </c>
      <c r="BL89">
        <f t="shared" ca="1" si="27"/>
        <v>1</v>
      </c>
      <c r="BM89">
        <f t="shared" ca="1" si="18"/>
        <v>1</v>
      </c>
      <c r="BN89">
        <f t="shared" ca="1" si="19"/>
        <v>1</v>
      </c>
      <c r="BO89">
        <f t="shared" ca="1" si="20"/>
        <v>1</v>
      </c>
      <c r="BP89">
        <f t="shared" ca="1" si="21"/>
        <v>1</v>
      </c>
      <c r="BQ89">
        <f t="shared" ca="1" si="22"/>
        <v>1</v>
      </c>
    </row>
    <row r="90" spans="1:69" s="4" customFormat="1" x14ac:dyDescent="0.2">
      <c r="A90" t="str">
        <f>Sheet3!A74</f>
        <v>[[44,6,9]]</v>
      </c>
      <c r="B90" s="4">
        <v>44</v>
      </c>
      <c r="C90" cm="1">
        <f t="array" aca="1" ref="C90" ca="1">OFFSET(INDIRECT("Sheet"&amp;K$2&amp;"!d1"),$G90-1,)</f>
        <v>9</v>
      </c>
      <c r="D90" cm="1">
        <f t="array" aca="1" ref="D90" ca="1">OFFSET(INDIRECT("Sheet"&amp;L$2&amp;"!d1"),$G90-1,)</f>
        <v>9</v>
      </c>
      <c r="E90" s="4">
        <v>6</v>
      </c>
      <c r="F90" s="4">
        <v>9</v>
      </c>
      <c r="G90">
        <f t="shared" si="23"/>
        <v>74</v>
      </c>
      <c r="H90" cm="1">
        <f t="array" aca="1" ref="H90" ca="1">OFFSET(INDIRECT("Sheet"&amp;E$2&amp;"!d1"),$G90-1,)</f>
        <v>9</v>
      </c>
      <c r="I90" cm="1">
        <f t="array" aca="1" ref="I90" ca="1">OFFSET(INDIRECT("Sheet"&amp;F$2&amp;"!d1"),$G90-1,)</f>
        <v>9</v>
      </c>
      <c r="J90" cm="1">
        <f t="array" aca="1" ref="J90" ca="1">OFFSET(INDIRECT("Sheet"&amp;G$2&amp;"!d1"),$G90-1,)</f>
        <v>9</v>
      </c>
      <c r="K90" cm="1">
        <f t="array" aca="1" ref="K90" ca="1">OFFSET(INDIRECT("Sheet"&amp;H$2&amp;"!d1"),$G90-1,)</f>
        <v>0</v>
      </c>
      <c r="L90" cm="1">
        <f t="array" aca="1" ref="L90" ca="1">OFFSET(INDIRECT("Sheet"&amp;I$2&amp;"!d1"),$G90-1,)</f>
        <v>0</v>
      </c>
      <c r="M90" cm="1">
        <f t="array" aca="1" ref="M90" ca="1">OFFSET(INDIRECT("Sheet"&amp;J$2&amp;"!d1"),$G90-1,)</f>
        <v>9</v>
      </c>
      <c r="N90" cm="1">
        <f t="array" aca="1" ref="N90" ca="1">OFFSET(INDIRECT("Sheet"&amp;M$2&amp;"!d1"),$G90-1,)</f>
        <v>9</v>
      </c>
      <c r="O90" cm="1">
        <f t="array" aca="1" ref="O90" ca="1">OFFSET(INDIRECT("Sheet"&amp;C$2&amp;"!d1"),$G90-1,)</f>
        <v>9</v>
      </c>
      <c r="P90" cm="1">
        <f t="array" aca="1" ref="P90" ca="1">OFFSET(INDIRECT("Sheet"&amp;D$2&amp;"!d1"),$G90-1,)</f>
        <v>9</v>
      </c>
      <c r="Q90" cm="1">
        <f t="array" aca="1" ref="Q90" ca="1">OFFSET(INDIRECT("Sheet"&amp;N$2&amp;"!d1"),$G90-1,)</f>
        <v>9</v>
      </c>
      <c r="R90" cm="1">
        <f t="array" aca="1" ref="R90" ca="1">OFFSET(INDIRECT("Sheet"&amp;O$2&amp;"!d1"),$G90-1,)</f>
        <v>9</v>
      </c>
      <c r="S90" cm="1">
        <f t="array" aca="1" ref="S90" ca="1">OFFSET(INDIRECT("Sheet"&amp;P$2&amp;"!d1"),$G90-1,)</f>
        <v>9</v>
      </c>
      <c r="T90" cm="1">
        <f t="array" aca="1" ref="T90" ca="1">OFFSET(INDIRECT("Sheet"&amp;Q$2&amp;"!d1"),$G90-1,)</f>
        <v>9</v>
      </c>
      <c r="U90" cm="1">
        <f t="array" aca="1" ref="U90" ca="1">OFFSET(INDIRECT("Sheet"&amp;R$2&amp;"!d1"),$G90-1,)</f>
        <v>9</v>
      </c>
      <c r="V90" cm="1">
        <f t="array" aca="1" ref="V90" ca="1">OFFSET(INDIRECT("Sheet"&amp;S$2&amp;"!d1"),$G90-1,)</f>
        <v>9</v>
      </c>
      <c r="W90" cm="1">
        <f t="array" aca="1" ref="W90" ca="1">OFFSET(INDIRECT("Sheet"&amp;T$2&amp;"!d1"),$G90-1,)</f>
        <v>9</v>
      </c>
      <c r="X90" cm="1">
        <f t="array" aca="1" ref="X90" ca="1">OFFSET(INDIRECT("Sheet"&amp;U$2&amp;"!d1"),$G90-1,)</f>
        <v>9</v>
      </c>
      <c r="Y90" cm="1">
        <f t="array" aca="1" ref="Y90" ca="1">OFFSET(INDIRECT("Sheet"&amp;V$2&amp;"!d1"),$G90-1,)</f>
        <v>9</v>
      </c>
      <c r="Z90"/>
      <c r="AB90" s="3" cm="1">
        <f t="array" aca="1" ref="AB90" ca="1">OFFSET(INDIRECT("Sheet"&amp;E$2&amp;"!f1"),$G90-1,)</f>
        <v>696.78772511891998</v>
      </c>
      <c r="AC90" s="3" cm="1">
        <f t="array" aca="1" ref="AC90" ca="1">OFFSET(INDIRECT("Sheet"&amp;F$2&amp;"!f1"),$G90-1,)</f>
        <v>1142.74233960267</v>
      </c>
      <c r="AD90" s="3" cm="1">
        <f t="array" aca="1" ref="AD90" ca="1">OFFSET(INDIRECT("Sheet"&amp;G$2&amp;"!f1"),$G90-1,)</f>
        <v>1328.0673340558999</v>
      </c>
      <c r="AE90" s="3" cm="1">
        <f t="array" aca="1" ref="AE90" ca="1">OFFSET(INDIRECT("Sheet"&amp;H$2&amp;"!f1"),$G90-1,)</f>
        <v>28800.118742591701</v>
      </c>
      <c r="AF90" s="3" cm="1">
        <f t="array" aca="1" ref="AF90" ca="1">OFFSET(INDIRECT("Sheet"&amp;I$2&amp;"!f1"),$G90-1,)</f>
        <v>28800.113851286402</v>
      </c>
      <c r="AG90" s="3" cm="1">
        <f t="array" aca="1" ref="AG90" ca="1">OFFSET(INDIRECT("Sheet"&amp;J$2&amp;"!f1"),$G90-1,)</f>
        <v>0.45703243557363699</v>
      </c>
      <c r="AH90" s="3" cm="1">
        <f t="array" aca="1" ref="AH90" ca="1">OFFSET(INDIRECT("Sheet"&amp;K$2&amp;"!f1"),$G90-1,)</f>
        <v>0.41475866899997899</v>
      </c>
      <c r="AI90" s="3" cm="1">
        <f t="array" aca="1" ref="AI90" ca="1">OFFSET(INDIRECT("Sheet"&amp;L$2&amp;"!f1"),$G90-1,)</f>
        <v>0.427071226999999</v>
      </c>
      <c r="AJ90" s="3" cm="1">
        <f t="array" aca="1" ref="AJ90" ca="1">OFFSET(INDIRECT("Sheet"&amp;M$2&amp;"!f1"),$G90-1,)</f>
        <v>0.62698991224169698</v>
      </c>
      <c r="AK90" s="3" cm="1">
        <f t="array" aca="1" ref="AK90" ca="1">OFFSET(INDIRECT("Sheet"&amp;C$2&amp;"!f1"),$G90-1,)</f>
        <v>2629.1679560160201</v>
      </c>
      <c r="AL90" s="3" cm="1">
        <f t="array" aca="1" ref="AL90" ca="1">OFFSET(INDIRECT("Sheet"&amp;D$2&amp;"!f1"),$G90-1,)</f>
        <v>9101.9994694488105</v>
      </c>
      <c r="AM90" s="3" cm="1">
        <f t="array" aca="1" ref="AM90" ca="1">OFFSET(INDIRECT("Sheet"&amp;N$2&amp;"!f1"),$G90-1,)</f>
        <v>4.5619454355910403</v>
      </c>
      <c r="AN90" s="3" cm="1">
        <f t="array" aca="1" ref="AN90" ca="1">OFFSET(INDIRECT("Sheet"&amp;O$2&amp;"!f1"),$G90-1,)</f>
        <v>7.4648421006277204</v>
      </c>
      <c r="AO90" s="3" cm="1">
        <f t="array" aca="1" ref="AO90" ca="1">OFFSET(INDIRECT("Sheet"&amp;P$2&amp;"!f1"),$G90-1,)</f>
        <v>10.1362989265471</v>
      </c>
      <c r="AP90" s="3" cm="1">
        <f t="array" aca="1" ref="AP90" ca="1">OFFSET(INDIRECT("Sheet"&amp;Q$2&amp;"!f1"),$G90-1,)</f>
        <v>2.6688680183142401</v>
      </c>
      <c r="AQ90" s="3" cm="1">
        <f t="array" aca="1" ref="AQ90" ca="1">OFFSET(INDIRECT("Sheet"&amp;R$2&amp;"!f1"),$G90-1,)</f>
        <v>4.0317790107801503</v>
      </c>
      <c r="AR90" s="3" cm="1">
        <f t="array" aca="1" ref="AR90" ca="1">OFFSET(INDIRECT("Sheet"&amp;S$2&amp;"!f1"),$G90-1,)</f>
        <v>5.8337752567604104</v>
      </c>
      <c r="AS90" s="3" cm="1">
        <f t="array" aca="1" ref="AS90" ca="1">OFFSET(INDIRECT("Sheet"&amp;T$2&amp;"!f1"),$G90-1,)</f>
        <v>7.41348690073937</v>
      </c>
      <c r="AT90" s="3" cm="1">
        <f t="array" aca="1" ref="AT90" ca="1">OFFSET(INDIRECT("Sheet"&amp;U$2&amp;"!f1"),$G90-1,)</f>
        <v>7.5929094227030802</v>
      </c>
      <c r="AU90" s="3" cm="1">
        <f t="array" aca="1" ref="AU90" ca="1">OFFSET(INDIRECT("Sheet"&amp;V$2&amp;"!f1"),$G90-1,)</f>
        <v>10.166616711765499</v>
      </c>
      <c r="AV90" s="3"/>
      <c r="AX90">
        <f ca="1">IF(H90=$F90,1,0)</f>
        <v>1</v>
      </c>
      <c r="AY90">
        <f ca="1">IF(I90=$F90,1,0)</f>
        <v>1</v>
      </c>
      <c r="AZ90">
        <f ca="1">IF(J90=$F90,1,0)</f>
        <v>1</v>
      </c>
      <c r="BA90">
        <f ca="1">IF(K90=$F90,1,0)</f>
        <v>0</v>
      </c>
      <c r="BB90">
        <f ca="1">IF(L90=$F90,1,0)</f>
        <v>0</v>
      </c>
      <c r="BC90">
        <f ca="1">IF(M90=$F90,1,0)</f>
        <v>1</v>
      </c>
      <c r="BD90">
        <f ca="1">IF(C90=$F90,1,0)</f>
        <v>1</v>
      </c>
      <c r="BE90">
        <f ca="1">IF(D90=$F90,1,0)</f>
        <v>1</v>
      </c>
      <c r="BF90">
        <f t="shared" ca="1" si="13"/>
        <v>1</v>
      </c>
      <c r="BG90">
        <f t="shared" ca="1" si="14"/>
        <v>1</v>
      </c>
      <c r="BH90">
        <f t="shared" ca="1" si="25"/>
        <v>1</v>
      </c>
      <c r="BI90">
        <f t="shared" ca="1" si="26"/>
        <v>1</v>
      </c>
      <c r="BJ90">
        <f t="shared" ca="1" si="27"/>
        <v>1</v>
      </c>
      <c r="BK90">
        <f t="shared" ca="1" si="27"/>
        <v>1</v>
      </c>
      <c r="BL90">
        <f t="shared" ca="1" si="27"/>
        <v>1</v>
      </c>
      <c r="BM90">
        <f t="shared" ca="1" si="18"/>
        <v>1</v>
      </c>
      <c r="BN90">
        <f t="shared" ca="1" si="19"/>
        <v>1</v>
      </c>
      <c r="BO90">
        <f t="shared" ca="1" si="20"/>
        <v>1</v>
      </c>
      <c r="BP90">
        <f t="shared" ca="1" si="21"/>
        <v>1</v>
      </c>
      <c r="BQ90">
        <f t="shared" ca="1" si="22"/>
        <v>1</v>
      </c>
    </row>
    <row r="91" spans="1:69" s="4" customFormat="1" x14ac:dyDescent="0.2">
      <c r="A91" t="str">
        <f>Sheet3!A75</f>
        <v>[[45,6,9]]</v>
      </c>
      <c r="B91" s="4">
        <v>45</v>
      </c>
      <c r="C91" cm="1">
        <f t="array" aca="1" ref="C91" ca="1">OFFSET(INDIRECT("Sheet"&amp;K$2&amp;"!d1"),$G91-1,)</f>
        <v>9</v>
      </c>
      <c r="D91" cm="1">
        <f t="array" aca="1" ref="D91" ca="1">OFFSET(INDIRECT("Sheet"&amp;L$2&amp;"!d1"),$G91-1,)</f>
        <v>9</v>
      </c>
      <c r="E91" s="4">
        <v>6</v>
      </c>
      <c r="F91" s="4">
        <v>9</v>
      </c>
      <c r="G91">
        <f t="shared" si="23"/>
        <v>75</v>
      </c>
      <c r="H91" cm="1">
        <f t="array" aca="1" ref="H91" ca="1">OFFSET(INDIRECT("Sheet"&amp;E$2&amp;"!d1"),$G91-1,)</f>
        <v>9</v>
      </c>
      <c r="I91" cm="1">
        <f t="array" aca="1" ref="I91" ca="1">OFFSET(INDIRECT("Sheet"&amp;F$2&amp;"!d1"),$G91-1,)</f>
        <v>9</v>
      </c>
      <c r="J91" cm="1">
        <f t="array" aca="1" ref="J91" ca="1">OFFSET(INDIRECT("Sheet"&amp;G$2&amp;"!d1"),$G91-1,)</f>
        <v>9</v>
      </c>
      <c r="K91" cm="1">
        <f t="array" aca="1" ref="K91" ca="1">OFFSET(INDIRECT("Sheet"&amp;H$2&amp;"!d1"),$G91-1,)</f>
        <v>0</v>
      </c>
      <c r="L91" cm="1">
        <f t="array" aca="1" ref="L91" ca="1">OFFSET(INDIRECT("Sheet"&amp;I$2&amp;"!d1"),$G91-1,)</f>
        <v>0</v>
      </c>
      <c r="M91" cm="1">
        <f t="array" aca="1" ref="M91" ca="1">OFFSET(INDIRECT("Sheet"&amp;J$2&amp;"!d1"),$G91-1,)</f>
        <v>9</v>
      </c>
      <c r="N91" cm="1">
        <f t="array" aca="1" ref="N91" ca="1">OFFSET(INDIRECT("Sheet"&amp;M$2&amp;"!d1"),$G91-1,)</f>
        <v>9</v>
      </c>
      <c r="O91" cm="1">
        <f t="array" aca="1" ref="O91" ca="1">OFFSET(INDIRECT("Sheet"&amp;C$2&amp;"!d1"),$G91-1,)</f>
        <v>9</v>
      </c>
      <c r="P91" cm="1">
        <f t="array" aca="1" ref="P91" ca="1">OFFSET(INDIRECT("Sheet"&amp;D$2&amp;"!d1"),$G91-1,)</f>
        <v>9</v>
      </c>
      <c r="Q91" cm="1">
        <f t="array" aca="1" ref="Q91" ca="1">OFFSET(INDIRECT("Sheet"&amp;N$2&amp;"!d1"),$G91-1,)</f>
        <v>9</v>
      </c>
      <c r="R91" cm="1">
        <f t="array" aca="1" ref="R91" ca="1">OFFSET(INDIRECT("Sheet"&amp;O$2&amp;"!d1"),$G91-1,)</f>
        <v>9</v>
      </c>
      <c r="S91" cm="1">
        <f t="array" aca="1" ref="S91" ca="1">OFFSET(INDIRECT("Sheet"&amp;P$2&amp;"!d1"),$G91-1,)</f>
        <v>9</v>
      </c>
      <c r="T91" cm="1">
        <f t="array" aca="1" ref="T91" ca="1">OFFSET(INDIRECT("Sheet"&amp;Q$2&amp;"!d1"),$G91-1,)</f>
        <v>9</v>
      </c>
      <c r="U91" cm="1">
        <f t="array" aca="1" ref="U91" ca="1">OFFSET(INDIRECT("Sheet"&amp;R$2&amp;"!d1"),$G91-1,)</f>
        <v>9</v>
      </c>
      <c r="V91" cm="1">
        <f t="array" aca="1" ref="V91" ca="1">OFFSET(INDIRECT("Sheet"&amp;S$2&amp;"!d1"),$G91-1,)</f>
        <v>9</v>
      </c>
      <c r="W91" cm="1">
        <f t="array" aca="1" ref="W91" ca="1">OFFSET(INDIRECT("Sheet"&amp;T$2&amp;"!d1"),$G91-1,)</f>
        <v>9</v>
      </c>
      <c r="X91" cm="1">
        <f t="array" aca="1" ref="X91" ca="1">OFFSET(INDIRECT("Sheet"&amp;U$2&amp;"!d1"),$G91-1,)</f>
        <v>9</v>
      </c>
      <c r="Y91" cm="1">
        <f t="array" aca="1" ref="Y91" ca="1">OFFSET(INDIRECT("Sheet"&amp;V$2&amp;"!d1"),$G91-1,)</f>
        <v>9</v>
      </c>
      <c r="Z91"/>
      <c r="AB91" s="3" cm="1">
        <f t="array" aca="1" ref="AB91" ca="1">OFFSET(INDIRECT("Sheet"&amp;E$2&amp;"!f1"),$G91-1,)</f>
        <v>6890.7503289831802</v>
      </c>
      <c r="AC91" s="3" cm="1">
        <f t="array" aca="1" ref="AC91" ca="1">OFFSET(INDIRECT("Sheet"&amp;F$2&amp;"!f1"),$G91-1,)</f>
        <v>1405.6680839164101</v>
      </c>
      <c r="AD91" s="3" cm="1">
        <f t="array" aca="1" ref="AD91" ca="1">OFFSET(INDIRECT("Sheet"&amp;G$2&amp;"!f1"),$G91-1,)</f>
        <v>1638.3674236219299</v>
      </c>
      <c r="AE91" s="3" cm="1">
        <f t="array" aca="1" ref="AE91" ca="1">OFFSET(INDIRECT("Sheet"&amp;H$2&amp;"!f1"),$G91-1,)</f>
        <v>28800.138307602101</v>
      </c>
      <c r="AF91" s="3" cm="1">
        <f t="array" aca="1" ref="AF91" ca="1">OFFSET(INDIRECT("Sheet"&amp;I$2&amp;"!f1"),$G91-1,)</f>
        <v>28800.112244509099</v>
      </c>
      <c r="AG91" s="3" cm="1">
        <f t="array" aca="1" ref="AG91" ca="1">OFFSET(INDIRECT("Sheet"&amp;J$2&amp;"!f1"),$G91-1,)</f>
        <v>0.47302889358252198</v>
      </c>
      <c r="AH91" s="3" cm="1">
        <f t="array" aca="1" ref="AH91" ca="1">OFFSET(INDIRECT("Sheet"&amp;K$2&amp;"!f1"),$G91-1,)</f>
        <v>0.41888646899999998</v>
      </c>
      <c r="AI91" s="3" cm="1">
        <f t="array" aca="1" ref="AI91" ca="1">OFFSET(INDIRECT("Sheet"&amp;L$2&amp;"!f1"),$G91-1,)</f>
        <v>0.419649543000019</v>
      </c>
      <c r="AJ91" s="3" cm="1">
        <f t="array" aca="1" ref="AJ91" ca="1">OFFSET(INDIRECT("Sheet"&amp;M$2&amp;"!f1"),$G91-1,)</f>
        <v>0.64888219907879796</v>
      </c>
      <c r="AK91" s="3" cm="1">
        <f t="array" aca="1" ref="AK91" ca="1">OFFSET(INDIRECT("Sheet"&amp;C$2&amp;"!f1"),$G91-1,)</f>
        <v>3039.4316863650402</v>
      </c>
      <c r="AL91" s="3" cm="1">
        <f t="array" aca="1" ref="AL91" ca="1">OFFSET(INDIRECT("Sheet"&amp;D$2&amp;"!f1"),$G91-1,)</f>
        <v>13266.8998115221</v>
      </c>
      <c r="AM91" s="3" cm="1">
        <f t="array" aca="1" ref="AM91" ca="1">OFFSET(INDIRECT("Sheet"&amp;N$2&amp;"!f1"),$G91-1,)</f>
        <v>4.6869888547807896</v>
      </c>
      <c r="AN91" s="3" cm="1">
        <f t="array" aca="1" ref="AN91" ca="1">OFFSET(INDIRECT("Sheet"&amp;O$2&amp;"!f1"),$G91-1,)</f>
        <v>7.7407105062156898</v>
      </c>
      <c r="AO91" s="3" cm="1">
        <f t="array" aca="1" ref="AO91" ca="1">OFFSET(INDIRECT("Sheet"&amp;P$2&amp;"!f1"),$G91-1,)</f>
        <v>10.5134219964966</v>
      </c>
      <c r="AP91" s="3" cm="1">
        <f t="array" aca="1" ref="AP91" ca="1">OFFSET(INDIRECT("Sheet"&amp;Q$2&amp;"!f1"),$G91-1,)</f>
        <v>2.75458288472145</v>
      </c>
      <c r="AQ91" s="3" cm="1">
        <f t="array" aca="1" ref="AQ91" ca="1">OFFSET(INDIRECT("Sheet"&amp;R$2&amp;"!f1"),$G91-1,)</f>
        <v>4.1527475938200897</v>
      </c>
      <c r="AR91" s="3" cm="1">
        <f t="array" aca="1" ref="AR91" ca="1">OFFSET(INDIRECT("Sheet"&amp;S$2&amp;"!f1"),$G91-1,)</f>
        <v>6.1029913695529103</v>
      </c>
      <c r="AS91" s="3" cm="1">
        <f t="array" aca="1" ref="AS91" ca="1">OFFSET(INDIRECT("Sheet"&amp;T$2&amp;"!f1"),$G91-1,)</f>
        <v>7.6900865845382196</v>
      </c>
      <c r="AT91" s="3" cm="1">
        <f t="array" aca="1" ref="AT91" ca="1">OFFSET(INDIRECT("Sheet"&amp;U$2&amp;"!f1"),$G91-1,)</f>
        <v>7.8768608709797201</v>
      </c>
      <c r="AU91" s="3" cm="1">
        <f t="array" aca="1" ref="AU91" ca="1">OFFSET(INDIRECT("Sheet"&amp;V$2&amp;"!f1"),$G91-1,)</f>
        <v>10.5198318017646</v>
      </c>
      <c r="AV91" s="3"/>
      <c r="AX91">
        <f ca="1">IF(H91=$F91,1,0)</f>
        <v>1</v>
      </c>
      <c r="AY91">
        <f ca="1">IF(I91=$F91,1,0)</f>
        <v>1</v>
      </c>
      <c r="AZ91">
        <f ca="1">IF(J91=$F91,1,0)</f>
        <v>1</v>
      </c>
      <c r="BA91">
        <f ca="1">IF(K91=$F91,1,0)</f>
        <v>0</v>
      </c>
      <c r="BB91">
        <f ca="1">IF(L91=$F91,1,0)</f>
        <v>0</v>
      </c>
      <c r="BC91">
        <f ca="1">IF(M91=$F91,1,0)</f>
        <v>1</v>
      </c>
      <c r="BD91">
        <f ca="1">IF(C91=$F91,1,0)</f>
        <v>1</v>
      </c>
      <c r="BE91">
        <f ca="1">IF(D91=$F91,1,0)</f>
        <v>1</v>
      </c>
      <c r="BF91">
        <f t="shared" ca="1" si="13"/>
        <v>1</v>
      </c>
      <c r="BG91">
        <f t="shared" ca="1" si="14"/>
        <v>1</v>
      </c>
      <c r="BH91">
        <f t="shared" ca="1" si="25"/>
        <v>1</v>
      </c>
      <c r="BI91">
        <f t="shared" ca="1" si="26"/>
        <v>1</v>
      </c>
      <c r="BJ91">
        <f t="shared" ca="1" si="27"/>
        <v>1</v>
      </c>
      <c r="BK91">
        <f t="shared" ca="1" si="27"/>
        <v>1</v>
      </c>
      <c r="BL91">
        <f t="shared" ca="1" si="27"/>
        <v>1</v>
      </c>
      <c r="BM91">
        <f t="shared" ca="1" si="18"/>
        <v>1</v>
      </c>
      <c r="BN91">
        <f t="shared" ca="1" si="19"/>
        <v>1</v>
      </c>
      <c r="BO91">
        <f t="shared" ca="1" si="20"/>
        <v>1</v>
      </c>
      <c r="BP91">
        <f t="shared" ca="1" si="21"/>
        <v>1</v>
      </c>
      <c r="BQ91">
        <f t="shared" ca="1" si="22"/>
        <v>1</v>
      </c>
    </row>
    <row r="92" spans="1:69" s="4" customFormat="1" x14ac:dyDescent="0.2">
      <c r="A92" t="str">
        <f>Sheet3!A76</f>
        <v>[[46,7,9]]</v>
      </c>
      <c r="B92" s="4">
        <v>46</v>
      </c>
      <c r="C92" cm="1">
        <f t="array" aca="1" ref="C92" ca="1">OFFSET(INDIRECT("Sheet"&amp;K$2&amp;"!d1"),$G92-1,)</f>
        <v>9</v>
      </c>
      <c r="D92" cm="1">
        <f t="array" aca="1" ref="D92" ca="1">OFFSET(INDIRECT("Sheet"&amp;L$2&amp;"!d1"),$G92-1,)</f>
        <v>9</v>
      </c>
      <c r="E92" s="4">
        <v>7</v>
      </c>
      <c r="F92" s="4">
        <v>9</v>
      </c>
      <c r="G92">
        <f t="shared" si="23"/>
        <v>76</v>
      </c>
      <c r="H92" cm="1">
        <f t="array" aca="1" ref="H92" ca="1">OFFSET(INDIRECT("Sheet"&amp;E$2&amp;"!d1"),$G92-1,)</f>
        <v>9</v>
      </c>
      <c r="I92" cm="1">
        <f t="array" aca="1" ref="I92" ca="1">OFFSET(INDIRECT("Sheet"&amp;F$2&amp;"!d1"),$G92-1,)</f>
        <v>9</v>
      </c>
      <c r="J92" cm="1">
        <f t="array" aca="1" ref="J92" ca="1">OFFSET(INDIRECT("Sheet"&amp;G$2&amp;"!d1"),$G92-1,)</f>
        <v>9</v>
      </c>
      <c r="K92" cm="1">
        <f t="array" aca="1" ref="K92" ca="1">OFFSET(INDIRECT("Sheet"&amp;H$2&amp;"!d1"),$G92-1,)</f>
        <v>0</v>
      </c>
      <c r="L92" cm="1">
        <f t="array" aca="1" ref="L92" ca="1">OFFSET(INDIRECT("Sheet"&amp;I$2&amp;"!d1"),$G92-1,)</f>
        <v>0</v>
      </c>
      <c r="M92" cm="1">
        <f t="array" aca="1" ref="M92" ca="1">OFFSET(INDIRECT("Sheet"&amp;J$2&amp;"!d1"),$G92-1,)</f>
        <v>9</v>
      </c>
      <c r="N92" cm="1">
        <f t="array" aca="1" ref="N92" ca="1">OFFSET(INDIRECT("Sheet"&amp;M$2&amp;"!d1"),$G92-1,)</f>
        <v>9</v>
      </c>
      <c r="O92" cm="1">
        <f t="array" aca="1" ref="O92" ca="1">OFFSET(INDIRECT("Sheet"&amp;C$2&amp;"!d1"),$G92-1,)</f>
        <v>9</v>
      </c>
      <c r="P92" cm="1">
        <f t="array" aca="1" ref="P92" ca="1">OFFSET(INDIRECT("Sheet"&amp;D$2&amp;"!d1"),$G92-1,)</f>
        <v>0</v>
      </c>
      <c r="Q92" cm="1">
        <f t="array" aca="1" ref="Q92" ca="1">OFFSET(INDIRECT("Sheet"&amp;N$2&amp;"!d1"),$G92-1,)</f>
        <v>9</v>
      </c>
      <c r="R92" cm="1">
        <f t="array" aca="1" ref="R92" ca="1">OFFSET(INDIRECT("Sheet"&amp;O$2&amp;"!d1"),$G92-1,)</f>
        <v>9</v>
      </c>
      <c r="S92" cm="1">
        <f t="array" aca="1" ref="S92" ca="1">OFFSET(INDIRECT("Sheet"&amp;P$2&amp;"!d1"),$G92-1,)</f>
        <v>9</v>
      </c>
      <c r="T92" cm="1">
        <f t="array" aca="1" ref="T92" ca="1">OFFSET(INDIRECT("Sheet"&amp;Q$2&amp;"!d1"),$G92-1,)</f>
        <v>9</v>
      </c>
      <c r="U92" cm="1">
        <f t="array" aca="1" ref="U92" ca="1">OFFSET(INDIRECT("Sheet"&amp;R$2&amp;"!d1"),$G92-1,)</f>
        <v>9</v>
      </c>
      <c r="V92" cm="1">
        <f t="array" aca="1" ref="V92" ca="1">OFFSET(INDIRECT("Sheet"&amp;S$2&amp;"!d1"),$G92-1,)</f>
        <v>9</v>
      </c>
      <c r="W92" cm="1">
        <f t="array" aca="1" ref="W92" ca="1">OFFSET(INDIRECT("Sheet"&amp;T$2&amp;"!d1"),$G92-1,)</f>
        <v>9</v>
      </c>
      <c r="X92" cm="1">
        <f t="array" aca="1" ref="X92" ca="1">OFFSET(INDIRECT("Sheet"&amp;U$2&amp;"!d1"),$G92-1,)</f>
        <v>9</v>
      </c>
      <c r="Y92" cm="1">
        <f t="array" aca="1" ref="Y92" ca="1">OFFSET(INDIRECT("Sheet"&amp;V$2&amp;"!d1"),$G92-1,)</f>
        <v>9</v>
      </c>
      <c r="Z92"/>
      <c r="AB92" s="3" cm="1">
        <f t="array" aca="1" ref="AB92" ca="1">OFFSET(INDIRECT("Sheet"&amp;E$2&amp;"!f1"),$G92-1,)</f>
        <v>72620.5459769312</v>
      </c>
      <c r="AC92" s="3" cm="1">
        <f t="array" aca="1" ref="AC92" ca="1">OFFSET(INDIRECT("Sheet"&amp;F$2&amp;"!f1"),$G92-1,)</f>
        <v>2015.0021126214399</v>
      </c>
      <c r="AD92" s="3" cm="1">
        <f t="array" aca="1" ref="AD92" ca="1">OFFSET(INDIRECT("Sheet"&amp;G$2&amp;"!f1"),$G92-1,)</f>
        <v>2428.3175406046198</v>
      </c>
      <c r="AE92" s="3" cm="1">
        <f t="array" aca="1" ref="AE92" ca="1">OFFSET(INDIRECT("Sheet"&amp;H$2&amp;"!f1"),$G92-1,)</f>
        <v>28800.114048516301</v>
      </c>
      <c r="AF92" s="3" cm="1">
        <f t="array" aca="1" ref="AF92" ca="1">OFFSET(INDIRECT("Sheet"&amp;I$2&amp;"!f1"),$G92-1,)</f>
        <v>28802.630149602799</v>
      </c>
      <c r="AG92" s="3" cm="1">
        <f t="array" aca="1" ref="AG92" ca="1">OFFSET(INDIRECT("Sheet"&amp;J$2&amp;"!f1"),$G92-1,)</f>
        <v>0.486661643721163</v>
      </c>
      <c r="AH92" s="3" cm="1">
        <f t="array" aca="1" ref="AH92" ca="1">OFFSET(INDIRECT("Sheet"&amp;K$2&amp;"!f1"),$G92-1,)</f>
        <v>0.43912496900000503</v>
      </c>
      <c r="AI92" s="3" cm="1">
        <f t="array" aca="1" ref="AI92" ca="1">OFFSET(INDIRECT("Sheet"&amp;L$2&amp;"!f1"),$G92-1,)</f>
        <v>0.438540240999998</v>
      </c>
      <c r="AJ92" s="3" cm="1">
        <f t="array" aca="1" ref="AJ92" ca="1">OFFSET(INDIRECT("Sheet"&amp;M$2&amp;"!f1"),$G92-1,)</f>
        <v>0.68082804512232498</v>
      </c>
      <c r="AK92" s="3" cm="1">
        <f t="array" aca="1" ref="AK92" ca="1">OFFSET(INDIRECT("Sheet"&amp;C$2&amp;"!f1"),$G92-1,)</f>
        <v>8477.3824303066303</v>
      </c>
      <c r="AL92" s="3" cm="1">
        <f t="array" aca="1" ref="AL92" ca="1">OFFSET(INDIRECT("Sheet"&amp;D$2&amp;"!f1"),$G92-1,)</f>
        <v>0</v>
      </c>
      <c r="AM92" s="3" cm="1">
        <f t="array" aca="1" ref="AM92" ca="1">OFFSET(INDIRECT("Sheet"&amp;N$2&amp;"!f1"),$G92-1,)</f>
        <v>4.99396175798028</v>
      </c>
      <c r="AN92" s="3" cm="1">
        <f t="array" aca="1" ref="AN92" ca="1">OFFSET(INDIRECT("Sheet"&amp;O$2&amp;"!f1"),$G92-1,)</f>
        <v>8.3359521180391294</v>
      </c>
      <c r="AO92" s="3" cm="1">
        <f t="array" aca="1" ref="AO92" ca="1">OFFSET(INDIRECT("Sheet"&amp;P$2&amp;"!f1"),$G92-1,)</f>
        <v>11.6612660214304</v>
      </c>
      <c r="AP92" s="3" cm="1">
        <f t="array" aca="1" ref="AP92" ca="1">OFFSET(INDIRECT("Sheet"&amp;Q$2&amp;"!f1"),$G92-1,)</f>
        <v>2.9543514801189299</v>
      </c>
      <c r="AQ92" s="3" cm="1">
        <f t="array" aca="1" ref="AQ92" ca="1">OFFSET(INDIRECT("Sheet"&amp;R$2&amp;"!f1"),$G92-1,)</f>
        <v>4.4812408108264199</v>
      </c>
      <c r="AR92" s="3" cm="1">
        <f t="array" aca="1" ref="AR92" ca="1">OFFSET(INDIRECT("Sheet"&amp;S$2&amp;"!f1"),$G92-1,)</f>
        <v>6.5362419513985497</v>
      </c>
      <c r="AS92" s="3" cm="1">
        <f t="array" aca="1" ref="AS92" ca="1">OFFSET(INDIRECT("Sheet"&amp;T$2&amp;"!f1"),$G92-1,)</f>
        <v>8.2949231611564702</v>
      </c>
      <c r="AT92" s="3" cm="1">
        <f t="array" aca="1" ref="AT92" ca="1">OFFSET(INDIRECT("Sheet"&amp;U$2&amp;"!f1"),$G92-1,)</f>
        <v>8.6927094040438497</v>
      </c>
      <c r="AU92" s="3" cm="1">
        <f t="array" aca="1" ref="AU92" ca="1">OFFSET(INDIRECT("Sheet"&amp;V$2&amp;"!f1"),$G92-1,)</f>
        <v>11.629316691309199</v>
      </c>
      <c r="AV92" s="3"/>
      <c r="AX92">
        <f ca="1">IF(H92=$F92,1,0)</f>
        <v>1</v>
      </c>
      <c r="AY92">
        <f ca="1">IF(I92=$F92,1,0)</f>
        <v>1</v>
      </c>
      <c r="AZ92">
        <f ca="1">IF(J92=$F92,1,0)</f>
        <v>1</v>
      </c>
      <c r="BA92">
        <f ca="1">IF(K92=$F92,1,0)</f>
        <v>0</v>
      </c>
      <c r="BB92">
        <f ca="1">IF(L92=$F92,1,0)</f>
        <v>0</v>
      </c>
      <c r="BC92">
        <f ca="1">IF(M92=$F92,1,0)</f>
        <v>1</v>
      </c>
      <c r="BD92">
        <f ca="1">IF(C92=$F92,1,0)</f>
        <v>1</v>
      </c>
      <c r="BE92">
        <f ca="1">IF(D92=$F92,1,0)</f>
        <v>1</v>
      </c>
      <c r="BF92">
        <f t="shared" ca="1" si="13"/>
        <v>1</v>
      </c>
      <c r="BG92">
        <f t="shared" ca="1" si="14"/>
        <v>1</v>
      </c>
      <c r="BH92">
        <f t="shared" ca="1" si="25"/>
        <v>0</v>
      </c>
      <c r="BI92">
        <f t="shared" ca="1" si="26"/>
        <v>1</v>
      </c>
      <c r="BJ92">
        <f t="shared" ca="1" si="27"/>
        <v>1</v>
      </c>
      <c r="BK92">
        <f t="shared" ca="1" si="27"/>
        <v>1</v>
      </c>
      <c r="BL92">
        <f t="shared" ca="1" si="27"/>
        <v>1</v>
      </c>
      <c r="BM92">
        <f t="shared" ca="1" si="18"/>
        <v>1</v>
      </c>
      <c r="BN92">
        <f t="shared" ca="1" si="19"/>
        <v>1</v>
      </c>
      <c r="BO92">
        <f t="shared" ca="1" si="20"/>
        <v>1</v>
      </c>
      <c r="BP92">
        <f t="shared" ca="1" si="21"/>
        <v>1</v>
      </c>
      <c r="BQ92">
        <f t="shared" ca="1" si="22"/>
        <v>1</v>
      </c>
    </row>
    <row r="93" spans="1:69" s="4" customFormat="1" x14ac:dyDescent="0.2">
      <c r="A93" t="str">
        <f>Sheet3!A77</f>
        <v>[[47,8,9]]</v>
      </c>
      <c r="B93" s="4">
        <v>47</v>
      </c>
      <c r="C93" cm="1">
        <f t="array" aca="1" ref="C93" ca="1">OFFSET(INDIRECT("Sheet"&amp;K$2&amp;"!d1"),$G93-1,)</f>
        <v>9</v>
      </c>
      <c r="D93" cm="1">
        <f t="array" aca="1" ref="D93" ca="1">OFFSET(INDIRECT("Sheet"&amp;L$2&amp;"!d1"),$G93-1,)</f>
        <v>9</v>
      </c>
      <c r="E93" s="4">
        <v>8</v>
      </c>
      <c r="F93" s="4">
        <v>9</v>
      </c>
      <c r="G93">
        <f t="shared" si="23"/>
        <v>77</v>
      </c>
      <c r="H93" cm="1">
        <f t="array" aca="1" ref="H93" ca="1">OFFSET(INDIRECT("Sheet"&amp;E$2&amp;"!d1"),$G93-1,)</f>
        <v>0</v>
      </c>
      <c r="I93" cm="1">
        <f t="array" aca="1" ref="I93" ca="1">OFFSET(INDIRECT("Sheet"&amp;F$2&amp;"!d1"),$G93-1,)</f>
        <v>9</v>
      </c>
      <c r="J93" cm="1">
        <f t="array" aca="1" ref="J93" ca="1">OFFSET(INDIRECT("Sheet"&amp;G$2&amp;"!d1"),$G93-1,)</f>
        <v>9</v>
      </c>
      <c r="K93" cm="1">
        <f t="array" aca="1" ref="K93" ca="1">OFFSET(INDIRECT("Sheet"&amp;H$2&amp;"!d1"),$G93-1,)</f>
        <v>0</v>
      </c>
      <c r="L93" cm="1">
        <f t="array" aca="1" ref="L93" ca="1">OFFSET(INDIRECT("Sheet"&amp;I$2&amp;"!d1"),$G93-1,)</f>
        <v>0</v>
      </c>
      <c r="M93" cm="1">
        <f t="array" aca="1" ref="M93" ca="1">OFFSET(INDIRECT("Sheet"&amp;J$2&amp;"!d1"),$G93-1,)</f>
        <v>9</v>
      </c>
      <c r="N93" cm="1">
        <f t="array" aca="1" ref="N93" ca="1">OFFSET(INDIRECT("Sheet"&amp;M$2&amp;"!d1"),$G93-1,)</f>
        <v>9</v>
      </c>
      <c r="O93" cm="1">
        <f t="array" aca="1" ref="O93" ca="1">OFFSET(INDIRECT("Sheet"&amp;C$2&amp;"!d1"),$G93-1,)</f>
        <v>9</v>
      </c>
      <c r="P93" cm="1">
        <f t="array" aca="1" ref="P93" ca="1">OFFSET(INDIRECT("Sheet"&amp;D$2&amp;"!d1"),$G93-1,)</f>
        <v>0</v>
      </c>
      <c r="Q93" cm="1">
        <f t="array" aca="1" ref="Q93" ca="1">OFFSET(INDIRECT("Sheet"&amp;N$2&amp;"!d1"),$G93-1,)</f>
        <v>9</v>
      </c>
      <c r="R93" cm="1">
        <f t="array" aca="1" ref="R93" ca="1">OFFSET(INDIRECT("Sheet"&amp;O$2&amp;"!d1"),$G93-1,)</f>
        <v>9</v>
      </c>
      <c r="S93" cm="1">
        <f t="array" aca="1" ref="S93" ca="1">OFFSET(INDIRECT("Sheet"&amp;P$2&amp;"!d1"),$G93-1,)</f>
        <v>9</v>
      </c>
      <c r="T93" cm="1">
        <f t="array" aca="1" ref="T93" ca="1">OFFSET(INDIRECT("Sheet"&amp;Q$2&amp;"!d1"),$G93-1,)</f>
        <v>9</v>
      </c>
      <c r="U93" cm="1">
        <f t="array" aca="1" ref="U93" ca="1">OFFSET(INDIRECT("Sheet"&amp;R$2&amp;"!d1"),$G93-1,)</f>
        <v>9</v>
      </c>
      <c r="V93" cm="1">
        <f t="array" aca="1" ref="V93" ca="1">OFFSET(INDIRECT("Sheet"&amp;S$2&amp;"!d1"),$G93-1,)</f>
        <v>9</v>
      </c>
      <c r="W93" cm="1">
        <f t="array" aca="1" ref="W93" ca="1">OFFSET(INDIRECT("Sheet"&amp;T$2&amp;"!d1"),$G93-1,)</f>
        <v>9</v>
      </c>
      <c r="X93" cm="1">
        <f t="array" aca="1" ref="X93" ca="1">OFFSET(INDIRECT("Sheet"&amp;U$2&amp;"!d1"),$G93-1,)</f>
        <v>9</v>
      </c>
      <c r="Y93" cm="1">
        <f t="array" aca="1" ref="Y93" ca="1">OFFSET(INDIRECT("Sheet"&amp;V$2&amp;"!d1"),$G93-1,)</f>
        <v>9</v>
      </c>
      <c r="Z93"/>
      <c r="AB93" s="3" cm="1">
        <f t="array" aca="1" ref="AB93" ca="1">OFFSET(INDIRECT("Sheet"&amp;E$2&amp;"!f1"),$G93-1,)</f>
        <v>0</v>
      </c>
      <c r="AC93" s="3" cm="1">
        <f t="array" aca="1" ref="AC93" ca="1">OFFSET(INDIRECT("Sheet"&amp;F$2&amp;"!f1"),$G93-1,)</f>
        <v>3026.6436775801699</v>
      </c>
      <c r="AD93" s="3" cm="1">
        <f t="array" aca="1" ref="AD93" ca="1">OFFSET(INDIRECT("Sheet"&amp;G$2&amp;"!f1"),$G93-1,)</f>
        <v>3529.13093432597</v>
      </c>
      <c r="AE93" s="3" cm="1">
        <f t="array" aca="1" ref="AE93" ca="1">OFFSET(INDIRECT("Sheet"&amp;H$2&amp;"!f1"),$G93-1,)</f>
        <v>28800.113923507699</v>
      </c>
      <c r="AF93" s="3" cm="1">
        <f t="array" aca="1" ref="AF93" ca="1">OFFSET(INDIRECT("Sheet"&amp;I$2&amp;"!f1"),$G93-1,)</f>
        <v>28800.110951118098</v>
      </c>
      <c r="AG93" s="3" cm="1">
        <f t="array" aca="1" ref="AG93" ca="1">OFFSET(INDIRECT("Sheet"&amp;J$2&amp;"!f1"),$G93-1,)</f>
        <v>0.496243525296449</v>
      </c>
      <c r="AH93" s="3" cm="1">
        <f t="array" aca="1" ref="AH93" ca="1">OFFSET(INDIRECT("Sheet"&amp;K$2&amp;"!f1"),$G93-1,)</f>
        <v>0.44459352399999802</v>
      </c>
      <c r="AI93" s="3" cm="1">
        <f t="array" aca="1" ref="AI93" ca="1">OFFSET(INDIRECT("Sheet"&amp;L$2&amp;"!f1"),$G93-1,)</f>
        <v>0.44410070699998899</v>
      </c>
      <c r="AJ93" s="3" cm="1">
        <f t="array" aca="1" ref="AJ93" ca="1">OFFSET(INDIRECT("Sheet"&amp;M$2&amp;"!f1"),$G93-1,)</f>
        <v>0.70833167061209601</v>
      </c>
      <c r="AK93" s="3" cm="1">
        <f t="array" aca="1" ref="AK93" ca="1">OFFSET(INDIRECT("Sheet"&amp;C$2&amp;"!f1"),$G93-1,)</f>
        <v>8473.8553908988797</v>
      </c>
      <c r="AL93" s="3" cm="1">
        <f t="array" aca="1" ref="AL93" ca="1">OFFSET(INDIRECT("Sheet"&amp;D$2&amp;"!f1"),$G93-1,)</f>
        <v>0</v>
      </c>
      <c r="AM93" s="3" cm="1">
        <f t="array" aca="1" ref="AM93" ca="1">OFFSET(INDIRECT("Sheet"&amp;N$2&amp;"!f1"),$G93-1,)</f>
        <v>5.3775108829140601</v>
      </c>
      <c r="AN93" s="3" cm="1">
        <f t="array" aca="1" ref="AN93" ca="1">OFFSET(INDIRECT("Sheet"&amp;O$2&amp;"!f1"),$G93-1,)</f>
        <v>8.8895047325640899</v>
      </c>
      <c r="AO93" s="3" cm="1">
        <f t="array" aca="1" ref="AO93" ca="1">OFFSET(INDIRECT("Sheet"&amp;P$2&amp;"!f1"),$G93-1,)</f>
        <v>13.0051707820966</v>
      </c>
      <c r="AP93" s="3" cm="1">
        <f t="array" aca="1" ref="AP93" ca="1">OFFSET(INDIRECT("Sheet"&amp;Q$2&amp;"!f1"),$G93-1,)</f>
        <v>3.15708174556493</v>
      </c>
      <c r="AQ93" s="3" cm="1">
        <f t="array" aca="1" ref="AQ93" ca="1">OFFSET(INDIRECT("Sheet"&amp;R$2&amp;"!f1"),$G93-1,)</f>
        <v>4.8577266298234401</v>
      </c>
      <c r="AR93" s="3" cm="1">
        <f t="array" aca="1" ref="AR93" ca="1">OFFSET(INDIRECT("Sheet"&amp;S$2&amp;"!f1"),$G93-1,)</f>
        <v>6.7831496391445398</v>
      </c>
      <c r="AS93" s="3" cm="1">
        <f t="array" aca="1" ref="AS93" ca="1">OFFSET(INDIRECT("Sheet"&amp;T$2&amp;"!f1"),$G93-1,)</f>
        <v>8.8753155339509195</v>
      </c>
      <c r="AT93" s="3" cm="1">
        <f t="array" aca="1" ref="AT93" ca="1">OFFSET(INDIRECT("Sheet"&amp;U$2&amp;"!f1"),$G93-1,)</f>
        <v>9.4760266728699207</v>
      </c>
      <c r="AU93" s="3" cm="1">
        <f t="array" aca="1" ref="AU93" ca="1">OFFSET(INDIRECT("Sheet"&amp;V$2&amp;"!f1"),$G93-1,)</f>
        <v>13.1748792007565</v>
      </c>
      <c r="AV93" s="3"/>
      <c r="AX93">
        <f ca="1">IF(H93=$F93,1,0)</f>
        <v>0</v>
      </c>
      <c r="AY93">
        <f ca="1">IF(I93=$F93,1,0)</f>
        <v>1</v>
      </c>
      <c r="AZ93">
        <f ca="1">IF(J93=$F93,1,0)</f>
        <v>1</v>
      </c>
      <c r="BA93">
        <f ca="1">IF(K93=$F93,1,0)</f>
        <v>0</v>
      </c>
      <c r="BB93">
        <f ca="1">IF(L93=$F93,1,0)</f>
        <v>0</v>
      </c>
      <c r="BC93">
        <f ca="1">IF(M93=$F93,1,0)</f>
        <v>1</v>
      </c>
      <c r="BD93">
        <f ca="1">IF(C93=$F93,1,0)</f>
        <v>1</v>
      </c>
      <c r="BE93">
        <f ca="1">IF(D93=$F93,1,0)</f>
        <v>1</v>
      </c>
      <c r="BF93">
        <f t="shared" ca="1" si="13"/>
        <v>1</v>
      </c>
      <c r="BG93">
        <f t="shared" ca="1" si="14"/>
        <v>1</v>
      </c>
      <c r="BH93">
        <f t="shared" ca="1" si="25"/>
        <v>0</v>
      </c>
      <c r="BI93">
        <f t="shared" ca="1" si="26"/>
        <v>1</v>
      </c>
      <c r="BJ93">
        <f t="shared" ca="1" si="27"/>
        <v>1</v>
      </c>
      <c r="BK93">
        <f t="shared" ca="1" si="27"/>
        <v>1</v>
      </c>
      <c r="BL93">
        <f t="shared" ca="1" si="27"/>
        <v>1</v>
      </c>
      <c r="BM93">
        <f t="shared" ca="1" si="18"/>
        <v>1</v>
      </c>
      <c r="BN93">
        <f t="shared" ca="1" si="19"/>
        <v>1</v>
      </c>
      <c r="BO93">
        <f t="shared" ca="1" si="20"/>
        <v>1</v>
      </c>
      <c r="BP93">
        <f t="shared" ca="1" si="21"/>
        <v>1</v>
      </c>
      <c r="BQ93">
        <f t="shared" ca="1" si="22"/>
        <v>1</v>
      </c>
    </row>
    <row r="94" spans="1:69" s="4" customFormat="1" x14ac:dyDescent="0.2">
      <c r="A94" t="str">
        <f>Sheet3!A78</f>
        <v>[[48,5,10]]</v>
      </c>
      <c r="B94" s="4">
        <v>48</v>
      </c>
      <c r="C94" cm="1">
        <f t="array" aca="1" ref="C94" ca="1">OFFSET(INDIRECT("Sheet"&amp;K$2&amp;"!d1"),$G94-1,)</f>
        <v>10</v>
      </c>
      <c r="D94" cm="1">
        <f t="array" aca="1" ref="D94" ca="1">OFFSET(INDIRECT("Sheet"&amp;L$2&amp;"!d1"),$G94-1,)</f>
        <v>10</v>
      </c>
      <c r="E94" s="4">
        <v>5</v>
      </c>
      <c r="F94" s="4">
        <v>10</v>
      </c>
      <c r="G94">
        <f t="shared" si="23"/>
        <v>78</v>
      </c>
      <c r="H94" cm="1">
        <f t="array" aca="1" ref="H94" ca="1">OFFSET(INDIRECT("Sheet"&amp;E$2&amp;"!d1"),$G94-1,)</f>
        <v>0</v>
      </c>
      <c r="I94" cm="1">
        <f t="array" aca="1" ref="I94" ca="1">OFFSET(INDIRECT("Sheet"&amp;F$2&amp;"!d1"),$G94-1,)</f>
        <v>10</v>
      </c>
      <c r="J94" cm="1">
        <f t="array" aca="1" ref="J94" ca="1">OFFSET(INDIRECT("Sheet"&amp;G$2&amp;"!d1"),$G94-1,)</f>
        <v>10</v>
      </c>
      <c r="K94" cm="1">
        <f t="array" aca="1" ref="K94" ca="1">OFFSET(INDIRECT("Sheet"&amp;H$2&amp;"!d1"),$G94-1,)</f>
        <v>0</v>
      </c>
      <c r="L94" cm="1">
        <f t="array" aca="1" ref="L94" ca="1">OFFSET(INDIRECT("Sheet"&amp;I$2&amp;"!d1"),$G94-1,)</f>
        <v>0</v>
      </c>
      <c r="M94" cm="1">
        <f t="array" aca="1" ref="M94" ca="1">OFFSET(INDIRECT("Sheet"&amp;J$2&amp;"!d1"),$G94-1,)</f>
        <v>10</v>
      </c>
      <c r="N94" cm="1">
        <f t="array" aca="1" ref="N94" ca="1">OFFSET(INDIRECT("Sheet"&amp;M$2&amp;"!d1"),$G94-1,)</f>
        <v>10</v>
      </c>
      <c r="O94" cm="1">
        <f t="array" aca="1" ref="O94" ca="1">OFFSET(INDIRECT("Sheet"&amp;C$2&amp;"!d1"),$G94-1,)</f>
        <v>10</v>
      </c>
      <c r="P94" cm="1">
        <f t="array" aca="1" ref="P94" ca="1">OFFSET(INDIRECT("Sheet"&amp;D$2&amp;"!d1"),$G94-1,)</f>
        <v>0</v>
      </c>
      <c r="Q94" cm="1">
        <f t="array" aca="1" ref="Q94" ca="1">OFFSET(INDIRECT("Sheet"&amp;N$2&amp;"!d1"),$G94-1,)</f>
        <v>10</v>
      </c>
      <c r="R94" cm="1">
        <f t="array" aca="1" ref="R94" ca="1">OFFSET(INDIRECT("Sheet"&amp;O$2&amp;"!d1"),$G94-1,)</f>
        <v>10</v>
      </c>
      <c r="S94" cm="1">
        <f t="array" aca="1" ref="S94" ca="1">OFFSET(INDIRECT("Sheet"&amp;P$2&amp;"!d1"),$G94-1,)</f>
        <v>10</v>
      </c>
      <c r="T94" cm="1">
        <f t="array" aca="1" ref="T94" ca="1">OFFSET(INDIRECT("Sheet"&amp;Q$2&amp;"!d1"),$G94-1,)</f>
        <v>10</v>
      </c>
      <c r="U94" cm="1">
        <f t="array" aca="1" ref="U94" ca="1">OFFSET(INDIRECT("Sheet"&amp;R$2&amp;"!d1"),$G94-1,)</f>
        <v>10</v>
      </c>
      <c r="V94" cm="1">
        <f t="array" aca="1" ref="V94" ca="1">OFFSET(INDIRECT("Sheet"&amp;S$2&amp;"!d1"),$G94-1,)</f>
        <v>10</v>
      </c>
      <c r="W94" cm="1">
        <f t="array" aca="1" ref="W94" ca="1">OFFSET(INDIRECT("Sheet"&amp;T$2&amp;"!d1"),$G94-1,)</f>
        <v>10</v>
      </c>
      <c r="X94" cm="1">
        <f t="array" aca="1" ref="X94" ca="1">OFFSET(INDIRECT("Sheet"&amp;U$2&amp;"!d1"),$G94-1,)</f>
        <v>10</v>
      </c>
      <c r="Y94" cm="1">
        <f t="array" aca="1" ref="Y94" ca="1">OFFSET(INDIRECT("Sheet"&amp;V$2&amp;"!d1"),$G94-1,)</f>
        <v>10</v>
      </c>
      <c r="Z94"/>
      <c r="AB94" s="3" cm="1">
        <f t="array" aca="1" ref="AB94" ca="1">OFFSET(INDIRECT("Sheet"&amp;E$2&amp;"!f1"),$G94-1,)</f>
        <v>0</v>
      </c>
      <c r="AC94" s="3" cm="1">
        <f t="array" aca="1" ref="AC94" ca="1">OFFSET(INDIRECT("Sheet"&amp;F$2&amp;"!f1"),$G94-1,)</f>
        <v>9653.4171753451192</v>
      </c>
      <c r="AD94" s="3" cm="1">
        <f t="array" aca="1" ref="AD94" ca="1">OFFSET(INDIRECT("Sheet"&amp;G$2&amp;"!f1"),$G94-1,)</f>
        <v>10942.6104296296</v>
      </c>
      <c r="AE94" s="3" cm="1">
        <f t="array" aca="1" ref="AE94" ca="1">OFFSET(INDIRECT("Sheet"&amp;H$2&amp;"!f1"),$G94-1,)</f>
        <v>28800.230038165999</v>
      </c>
      <c r="AF94" s="3" cm="1">
        <f t="array" aca="1" ref="AF94" ca="1">OFFSET(INDIRECT("Sheet"&amp;I$2&amp;"!f1"),$G94-1,)</f>
        <v>28800.110875166902</v>
      </c>
      <c r="AG94" s="3" cm="1">
        <f t="array" aca="1" ref="AG94" ca="1">OFFSET(INDIRECT("Sheet"&amp;J$2&amp;"!f1"),$G94-1,)</f>
        <v>0.54488225653767497</v>
      </c>
      <c r="AH94" s="3" cm="1">
        <f t="array" aca="1" ref="AH94" ca="1">OFFSET(INDIRECT("Sheet"&amp;K$2&amp;"!f1"),$G94-1,)</f>
        <v>0.48186819599999298</v>
      </c>
      <c r="AI94" s="3" cm="1">
        <f t="array" aca="1" ref="AI94" ca="1">OFFSET(INDIRECT("Sheet"&amp;L$2&amp;"!f1"),$G94-1,)</f>
        <v>0.49661073800001498</v>
      </c>
      <c r="AJ94" s="3" cm="1">
        <f t="array" aca="1" ref="AJ94" ca="1">OFFSET(INDIRECT("Sheet"&amp;M$2&amp;"!f1"),$G94-1,)</f>
        <v>0.73458861373364903</v>
      </c>
      <c r="AK94" s="3" cm="1">
        <f t="array" aca="1" ref="AK94" ca="1">OFFSET(INDIRECT("Sheet"&amp;C$2&amp;"!f1"),$G94-1,)</f>
        <v>28814.408389100801</v>
      </c>
      <c r="AL94" s="3" cm="1">
        <f t="array" aca="1" ref="AL94" ca="1">OFFSET(INDIRECT("Sheet"&amp;D$2&amp;"!f1"),$G94-1,)</f>
        <v>0</v>
      </c>
      <c r="AM94" s="3" cm="1">
        <f t="array" aca="1" ref="AM94" ca="1">OFFSET(INDIRECT("Sheet"&amp;N$2&amp;"!f1"),$G94-1,)</f>
        <v>4.82472905609756</v>
      </c>
      <c r="AN94" s="3" cm="1">
        <f t="array" aca="1" ref="AN94" ca="1">OFFSET(INDIRECT("Sheet"&amp;O$2&amp;"!f1"),$G94-1,)</f>
        <v>8.4108435921370894</v>
      </c>
      <c r="AO94" s="3" cm="1">
        <f t="array" aca="1" ref="AO94" ca="1">OFFSET(INDIRECT("Sheet"&amp;P$2&amp;"!f1"),$G94-1,)</f>
        <v>11.2781906090676</v>
      </c>
      <c r="AP94" s="3" cm="1">
        <f t="array" aca="1" ref="AP94" ca="1">OFFSET(INDIRECT("Sheet"&amp;Q$2&amp;"!f1"),$G94-1,)</f>
        <v>2.8410761225968599</v>
      </c>
      <c r="AQ94" s="3" cm="1">
        <f t="array" aca="1" ref="AQ94" ca="1">OFFSET(INDIRECT("Sheet"&amp;R$2&amp;"!f1"),$G94-1,)</f>
        <v>4.3147716997191301</v>
      </c>
      <c r="AR94" s="3" cm="1">
        <f t="array" aca="1" ref="AR94" ca="1">OFFSET(INDIRECT("Sheet"&amp;S$2&amp;"!f1"),$G94-1,)</f>
        <v>6.6788145499303901</v>
      </c>
      <c r="AS94" s="3" cm="1">
        <f t="array" aca="1" ref="AS94" ca="1">OFFSET(INDIRECT("Sheet"&amp;T$2&amp;"!f1"),$G94-1,)</f>
        <v>8.34351312555372</v>
      </c>
      <c r="AT94" s="3" cm="1">
        <f t="array" aca="1" ref="AT94" ca="1">OFFSET(INDIRECT("Sheet"&amp;U$2&amp;"!f1"),$G94-1,)</f>
        <v>8.4116435321047902</v>
      </c>
      <c r="AU94" s="3" cm="1">
        <f t="array" aca="1" ref="AU94" ca="1">OFFSET(INDIRECT("Sheet"&amp;V$2&amp;"!f1"),$G94-1,)</f>
        <v>11.287394081242301</v>
      </c>
      <c r="AV94" s="3"/>
      <c r="AX94">
        <f ca="1">IF(H94=$F94,1,0)</f>
        <v>0</v>
      </c>
      <c r="AY94">
        <f ca="1">IF(I94=$F94,1,0)</f>
        <v>1</v>
      </c>
      <c r="AZ94">
        <f ca="1">IF(J94=$F94,1,0)</f>
        <v>1</v>
      </c>
      <c r="BA94">
        <f ca="1">IF(K94=$F94,1,0)</f>
        <v>0</v>
      </c>
      <c r="BB94">
        <f ca="1">IF(L94=$F94,1,0)</f>
        <v>0</v>
      </c>
      <c r="BC94">
        <f ca="1">IF(M94=$F94,1,0)</f>
        <v>1</v>
      </c>
      <c r="BD94">
        <f ca="1">IF(C94=$F94,1,0)</f>
        <v>1</v>
      </c>
      <c r="BE94">
        <f ca="1">IF(D94=$F94,1,0)</f>
        <v>1</v>
      </c>
      <c r="BF94">
        <f t="shared" ca="1" si="13"/>
        <v>1</v>
      </c>
      <c r="BG94">
        <f t="shared" ca="1" si="14"/>
        <v>1</v>
      </c>
      <c r="BH94">
        <f t="shared" ca="1" si="25"/>
        <v>0</v>
      </c>
      <c r="BI94">
        <f t="shared" ca="1" si="26"/>
        <v>1</v>
      </c>
      <c r="BJ94">
        <f t="shared" ca="1" si="27"/>
        <v>1</v>
      </c>
      <c r="BK94">
        <f t="shared" ca="1" si="27"/>
        <v>1</v>
      </c>
      <c r="BL94">
        <f t="shared" ca="1" si="27"/>
        <v>1</v>
      </c>
      <c r="BM94">
        <f t="shared" ca="1" si="18"/>
        <v>1</v>
      </c>
      <c r="BN94">
        <f t="shared" ca="1" si="19"/>
        <v>1</v>
      </c>
      <c r="BO94">
        <f t="shared" ca="1" si="20"/>
        <v>1</v>
      </c>
      <c r="BP94">
        <f t="shared" ca="1" si="21"/>
        <v>1</v>
      </c>
      <c r="BQ94">
        <f t="shared" ca="1" si="22"/>
        <v>1</v>
      </c>
    </row>
    <row r="95" spans="1:69" s="4" customFormat="1" x14ac:dyDescent="0.2">
      <c r="A95" t="str">
        <f>Sheet3!A79</f>
        <v>[[49,17,7]]</v>
      </c>
      <c r="B95" s="4">
        <v>49</v>
      </c>
      <c r="C95" cm="1">
        <f t="array" aca="1" ref="C95" ca="1">OFFSET(INDIRECT("Sheet"&amp;K$2&amp;"!d1"),$G95-1,)</f>
        <v>7</v>
      </c>
      <c r="D95" cm="1">
        <f t="array" aca="1" ref="D95" ca="1">OFFSET(INDIRECT("Sheet"&amp;L$2&amp;"!d1"),$G95-1,)</f>
        <v>7</v>
      </c>
      <c r="E95" s="4">
        <v>17</v>
      </c>
      <c r="F95" s="4">
        <v>7</v>
      </c>
      <c r="G95">
        <f t="shared" si="23"/>
        <v>79</v>
      </c>
      <c r="H95" cm="1">
        <f t="array" aca="1" ref="H95" ca="1">OFFSET(INDIRECT("Sheet"&amp;E$2&amp;"!d1"),$G95-1,)</f>
        <v>0</v>
      </c>
      <c r="I95" cm="1">
        <f t="array" aca="1" ref="I95" ca="1">OFFSET(INDIRECT("Sheet"&amp;F$2&amp;"!d1"),$G95-1,)</f>
        <v>7</v>
      </c>
      <c r="J95" cm="1">
        <f t="array" aca="1" ref="J95" ca="1">OFFSET(INDIRECT("Sheet"&amp;G$2&amp;"!d1"),$G95-1,)</f>
        <v>7</v>
      </c>
      <c r="K95" cm="1">
        <f t="array" aca="1" ref="K95" ca="1">OFFSET(INDIRECT("Sheet"&amp;H$2&amp;"!d1"),$G95-1,)</f>
        <v>7</v>
      </c>
      <c r="L95" cm="1">
        <f t="array" aca="1" ref="L95" ca="1">OFFSET(INDIRECT("Sheet"&amp;I$2&amp;"!d1"),$G95-1,)</f>
        <v>0</v>
      </c>
      <c r="M95" cm="1">
        <f t="array" aca="1" ref="M95" ca="1">OFFSET(INDIRECT("Sheet"&amp;J$2&amp;"!d1"),$G95-1,)</f>
        <v>7</v>
      </c>
      <c r="N95" cm="1">
        <f t="array" aca="1" ref="N95" ca="1">OFFSET(INDIRECT("Sheet"&amp;M$2&amp;"!d1"),$G95-1,)</f>
        <v>7</v>
      </c>
      <c r="O95" cm="1">
        <f t="array" aca="1" ref="O95" ca="1">OFFSET(INDIRECT("Sheet"&amp;C$2&amp;"!d1"),$G95-1,)</f>
        <v>7</v>
      </c>
      <c r="P95" cm="1">
        <f t="array" aca="1" ref="P95" ca="1">OFFSET(INDIRECT("Sheet"&amp;D$2&amp;"!d1"),$G95-1,)</f>
        <v>0</v>
      </c>
      <c r="Q95" cm="1">
        <f t="array" aca="1" ref="Q95" ca="1">OFFSET(INDIRECT("Sheet"&amp;N$2&amp;"!d1"),$G95-1,)</f>
        <v>7</v>
      </c>
      <c r="R95" cm="1">
        <f t="array" aca="1" ref="R95" ca="1">OFFSET(INDIRECT("Sheet"&amp;O$2&amp;"!d1"),$G95-1,)</f>
        <v>7</v>
      </c>
      <c r="S95" cm="1">
        <f t="array" aca="1" ref="S95" ca="1">OFFSET(INDIRECT("Sheet"&amp;P$2&amp;"!d1"),$G95-1,)</f>
        <v>7</v>
      </c>
      <c r="T95" cm="1">
        <f t="array" aca="1" ref="T95" ca="1">OFFSET(INDIRECT("Sheet"&amp;Q$2&amp;"!d1"),$G95-1,)</f>
        <v>7</v>
      </c>
      <c r="U95" cm="1">
        <f t="array" aca="1" ref="U95" ca="1">OFFSET(INDIRECT("Sheet"&amp;R$2&amp;"!d1"),$G95-1,)</f>
        <v>7</v>
      </c>
      <c r="V95" cm="1">
        <f t="array" aca="1" ref="V95" ca="1">OFFSET(INDIRECT("Sheet"&amp;S$2&amp;"!d1"),$G95-1,)</f>
        <v>7</v>
      </c>
      <c r="W95" cm="1">
        <f t="array" aca="1" ref="W95" ca="1">OFFSET(INDIRECT("Sheet"&amp;T$2&amp;"!d1"),$G95-1,)</f>
        <v>7</v>
      </c>
      <c r="X95" cm="1">
        <f t="array" aca="1" ref="X95" ca="1">OFFSET(INDIRECT("Sheet"&amp;U$2&amp;"!d1"),$G95-1,)</f>
        <v>7</v>
      </c>
      <c r="Y95" cm="1">
        <f t="array" aca="1" ref="Y95" ca="1">OFFSET(INDIRECT("Sheet"&amp;V$2&amp;"!d1"),$G95-1,)</f>
        <v>7</v>
      </c>
      <c r="Z95"/>
      <c r="AB95" s="3" cm="1">
        <f t="array" aca="1" ref="AB95" ca="1">OFFSET(INDIRECT("Sheet"&amp;E$2&amp;"!f1"),$G95-1,)</f>
        <v>0</v>
      </c>
      <c r="AC95" s="3" cm="1">
        <f t="array" aca="1" ref="AC95" ca="1">OFFSET(INDIRECT("Sheet"&amp;F$2&amp;"!f1"),$G95-1,)</f>
        <v>316.37667980231299</v>
      </c>
      <c r="AD95" s="3" cm="1">
        <f t="array" aca="1" ref="AD95" ca="1">OFFSET(INDIRECT("Sheet"&amp;G$2&amp;"!f1"),$G95-1,)</f>
        <v>381.64202316664102</v>
      </c>
      <c r="AE95" s="3" cm="1">
        <f t="array" aca="1" ref="AE95" ca="1">OFFSET(INDIRECT("Sheet"&amp;H$2&amp;"!f1"),$G95-1,)</f>
        <v>8295.5894078454003</v>
      </c>
      <c r="AF95" s="3" cm="1">
        <f t="array" aca="1" ref="AF95" ca="1">OFFSET(INDIRECT("Sheet"&amp;I$2&amp;"!f1"),$G95-1,)</f>
        <v>28800.112955570199</v>
      </c>
      <c r="AG95" s="3" cm="1">
        <f t="array" aca="1" ref="AG95" ca="1">OFFSET(INDIRECT("Sheet"&amp;J$2&amp;"!f1"),$G95-1,)</f>
        <v>0.44816066045314001</v>
      </c>
      <c r="AH95" s="3" cm="1">
        <f t="array" aca="1" ref="AH95" ca="1">OFFSET(INDIRECT("Sheet"&amp;K$2&amp;"!f1"),$G95-1,)</f>
        <v>0.41072712800001898</v>
      </c>
      <c r="AI95" s="3" cm="1">
        <f t="array" aca="1" ref="AI95" ca="1">OFFSET(INDIRECT("Sheet"&amp;L$2&amp;"!f1"),$G95-1,)</f>
        <v>0.39948335500000098</v>
      </c>
      <c r="AJ95" s="3" cm="1">
        <f t="array" aca="1" ref="AJ95" ca="1">OFFSET(INDIRECT("Sheet"&amp;M$2&amp;"!f1"),$G95-1,)</f>
        <v>0.73409105930477303</v>
      </c>
      <c r="AK95" s="3" cm="1">
        <f t="array" aca="1" ref="AK95" ca="1">OFFSET(INDIRECT("Sheet"&amp;C$2&amp;"!f1"),$G95-1,)</f>
        <v>511.41341916657899</v>
      </c>
      <c r="AL95" s="3" cm="1">
        <f t="array" aca="1" ref="AL95" ca="1">OFFSET(INDIRECT("Sheet"&amp;D$2&amp;"!f1"),$G95-1,)</f>
        <v>0</v>
      </c>
      <c r="AM95" s="3" cm="1">
        <f t="array" aca="1" ref="AM95" ca="1">OFFSET(INDIRECT("Sheet"&amp;N$2&amp;"!f1"),$G95-1,)</f>
        <v>7.1046810345724198</v>
      </c>
      <c r="AN95" s="3" cm="1">
        <f t="array" aca="1" ref="AN95" ca="1">OFFSET(INDIRECT("Sheet"&amp;O$2&amp;"!f1"),$G95-1,)</f>
        <v>11.8985801469534</v>
      </c>
      <c r="AO95" s="3" cm="1">
        <f t="array" aca="1" ref="AO95" ca="1">OFFSET(INDIRECT("Sheet"&amp;P$2&amp;"!f1"),$G95-1,)</f>
        <v>19.433749852702</v>
      </c>
      <c r="AP95" s="3" cm="1">
        <f t="array" aca="1" ref="AP95" ca="1">OFFSET(INDIRECT("Sheet"&amp;Q$2&amp;"!f1"),$G95-1,)</f>
        <v>4.6125200260430503</v>
      </c>
      <c r="AQ95" s="3" cm="1">
        <f t="array" aca="1" ref="AQ95" ca="1">OFFSET(INDIRECT("Sheet"&amp;R$2&amp;"!f1"),$G95-1,)</f>
        <v>6.6005733441561398</v>
      </c>
      <c r="AR95" s="3" cm="1">
        <f t="array" aca="1" ref="AR95" ca="1">OFFSET(INDIRECT("Sheet"&amp;S$2&amp;"!f1"),$G95-1,)</f>
        <v>9.1417974922806007</v>
      </c>
      <c r="AS95" s="3" cm="1">
        <f t="array" aca="1" ref="AS95" ca="1">OFFSET(INDIRECT("Sheet"&amp;T$2&amp;"!f1"),$G95-1,)</f>
        <v>11.8824637113139</v>
      </c>
      <c r="AT95" s="3" cm="1">
        <f t="array" aca="1" ref="AT95" ca="1">OFFSET(INDIRECT("Sheet"&amp;U$2&amp;"!f1"),$G95-1,)</f>
        <v>14.725223368965001</v>
      </c>
      <c r="AU95" s="3" cm="1">
        <f t="array" aca="1" ref="AU95" ca="1">OFFSET(INDIRECT("Sheet"&amp;V$2&amp;"!f1"),$G95-1,)</f>
        <v>19.519957246258802</v>
      </c>
      <c r="AV95" s="3"/>
      <c r="AX95">
        <f ca="1">IF(H95=$F95,1,0)</f>
        <v>0</v>
      </c>
      <c r="AY95">
        <f ca="1">IF(I95=$F95,1,0)</f>
        <v>1</v>
      </c>
      <c r="AZ95">
        <f ca="1">IF(J95=$F95,1,0)</f>
        <v>1</v>
      </c>
      <c r="BA95">
        <f ca="1">IF(K95=$F95,1,0)</f>
        <v>1</v>
      </c>
      <c r="BB95">
        <f ca="1">IF(L95=$F95,1,0)</f>
        <v>0</v>
      </c>
      <c r="BC95">
        <f ca="1">IF(M95=$F95,1,0)</f>
        <v>1</v>
      </c>
      <c r="BD95">
        <f ca="1">IF(C95=$F95,1,0)</f>
        <v>1</v>
      </c>
      <c r="BE95">
        <f ca="1">IF(D95=$F95,1,0)</f>
        <v>1</v>
      </c>
      <c r="BF95">
        <f t="shared" ca="1" si="13"/>
        <v>1</v>
      </c>
      <c r="BG95">
        <f t="shared" ca="1" si="14"/>
        <v>1</v>
      </c>
      <c r="BH95">
        <f t="shared" ca="1" si="25"/>
        <v>0</v>
      </c>
      <c r="BI95">
        <f t="shared" ca="1" si="26"/>
        <v>1</v>
      </c>
      <c r="BJ95">
        <f t="shared" ca="1" si="27"/>
        <v>1</v>
      </c>
      <c r="BK95">
        <f t="shared" ca="1" si="27"/>
        <v>1</v>
      </c>
      <c r="BL95">
        <f t="shared" ca="1" si="27"/>
        <v>1</v>
      </c>
      <c r="BM95">
        <f t="shared" ca="1" si="18"/>
        <v>1</v>
      </c>
      <c r="BN95">
        <f t="shared" ca="1" si="19"/>
        <v>1</v>
      </c>
      <c r="BO95">
        <f t="shared" ca="1" si="20"/>
        <v>1</v>
      </c>
      <c r="BP95">
        <f t="shared" ca="1" si="21"/>
        <v>1</v>
      </c>
      <c r="BQ95">
        <f t="shared" ca="1" si="22"/>
        <v>1</v>
      </c>
    </row>
    <row r="96" spans="1:69" s="4" customFormat="1" x14ac:dyDescent="0.2">
      <c r="A96" t="str">
        <f>Sheet3!A80</f>
        <v>[[50,13,8]]</v>
      </c>
      <c r="B96" s="4">
        <v>50</v>
      </c>
      <c r="C96" cm="1">
        <f t="array" aca="1" ref="C96" ca="1">OFFSET(INDIRECT("Sheet"&amp;K$2&amp;"!d1"),$G96-1,)</f>
        <v>8</v>
      </c>
      <c r="D96" cm="1">
        <f t="array" aca="1" ref="D96" ca="1">OFFSET(INDIRECT("Sheet"&amp;L$2&amp;"!d1"),$G96-1,)</f>
        <v>8</v>
      </c>
      <c r="E96" s="4">
        <v>13</v>
      </c>
      <c r="F96" s="4">
        <v>8</v>
      </c>
      <c r="G96">
        <f t="shared" si="23"/>
        <v>80</v>
      </c>
      <c r="H96" cm="1">
        <f t="array" aca="1" ref="H96" ca="1">OFFSET(INDIRECT("Sheet"&amp;E$2&amp;"!d1"),$G96-1,)</f>
        <v>0</v>
      </c>
      <c r="I96" cm="1">
        <f t="array" aca="1" ref="I96" ca="1">OFFSET(INDIRECT("Sheet"&amp;F$2&amp;"!d1"),$G96-1,)</f>
        <v>8</v>
      </c>
      <c r="J96" cm="1">
        <f t="array" aca="1" ref="J96" ca="1">OFFSET(INDIRECT("Sheet"&amp;G$2&amp;"!d1"),$G96-1,)</f>
        <v>9</v>
      </c>
      <c r="K96" cm="1">
        <f t="array" aca="1" ref="K96" ca="1">OFFSET(INDIRECT("Sheet"&amp;H$2&amp;"!d1"),$G96-1,)</f>
        <v>0</v>
      </c>
      <c r="L96" cm="1">
        <f t="array" aca="1" ref="L96" ca="1">OFFSET(INDIRECT("Sheet"&amp;I$2&amp;"!d1"),$G96-1,)</f>
        <v>0</v>
      </c>
      <c r="M96" cm="1">
        <f t="array" aca="1" ref="M96" ca="1">OFFSET(INDIRECT("Sheet"&amp;J$2&amp;"!d1"),$G96-1,)</f>
        <v>8</v>
      </c>
      <c r="N96" cm="1">
        <f t="array" aca="1" ref="N96" ca="1">OFFSET(INDIRECT("Sheet"&amp;M$2&amp;"!d1"),$G96-1,)</f>
        <v>8</v>
      </c>
      <c r="O96" cm="1">
        <f t="array" aca="1" ref="O96" ca="1">OFFSET(INDIRECT("Sheet"&amp;C$2&amp;"!d1"),$G96-1,)</f>
        <v>8</v>
      </c>
      <c r="P96" cm="1">
        <f t="array" aca="1" ref="P96" ca="1">OFFSET(INDIRECT("Sheet"&amp;D$2&amp;"!d1"),$G96-1,)</f>
        <v>0</v>
      </c>
      <c r="Q96" cm="1">
        <f t="array" aca="1" ref="Q96" ca="1">OFFSET(INDIRECT("Sheet"&amp;N$2&amp;"!d1"),$G96-1,)</f>
        <v>8</v>
      </c>
      <c r="R96" cm="1">
        <f t="array" aca="1" ref="R96" ca="1">OFFSET(INDIRECT("Sheet"&amp;O$2&amp;"!d1"),$G96-1,)</f>
        <v>8</v>
      </c>
      <c r="S96" cm="1">
        <f t="array" aca="1" ref="S96" ca="1">OFFSET(INDIRECT("Sheet"&amp;P$2&amp;"!d1"),$G96-1,)</f>
        <v>8</v>
      </c>
      <c r="T96" cm="1">
        <f t="array" aca="1" ref="T96" ca="1">OFFSET(INDIRECT("Sheet"&amp;Q$2&amp;"!d1"),$G96-1,)</f>
        <v>8</v>
      </c>
      <c r="U96" cm="1">
        <f t="array" aca="1" ref="U96" ca="1">OFFSET(INDIRECT("Sheet"&amp;R$2&amp;"!d1"),$G96-1,)</f>
        <v>8</v>
      </c>
      <c r="V96" cm="1">
        <f t="array" aca="1" ref="V96" ca="1">OFFSET(INDIRECT("Sheet"&amp;S$2&amp;"!d1"),$G96-1,)</f>
        <v>8</v>
      </c>
      <c r="W96" cm="1">
        <f t="array" aca="1" ref="W96" ca="1">OFFSET(INDIRECT("Sheet"&amp;T$2&amp;"!d1"),$G96-1,)</f>
        <v>8</v>
      </c>
      <c r="X96" cm="1">
        <f t="array" aca="1" ref="X96" ca="1">OFFSET(INDIRECT("Sheet"&amp;U$2&amp;"!d1"),$G96-1,)</f>
        <v>8</v>
      </c>
      <c r="Y96" cm="1">
        <f t="array" aca="1" ref="Y96" ca="1">OFFSET(INDIRECT("Sheet"&amp;V$2&amp;"!d1"),$G96-1,)</f>
        <v>8</v>
      </c>
      <c r="Z96"/>
      <c r="AB96" s="3" cm="1">
        <f t="array" aca="1" ref="AB96" ca="1">OFFSET(INDIRECT("Sheet"&amp;E$2&amp;"!f1"),$G96-1,)</f>
        <v>0</v>
      </c>
      <c r="AC96" s="3" cm="1">
        <f t="array" aca="1" ref="AC96" ca="1">OFFSET(INDIRECT("Sheet"&amp;F$2&amp;"!f1"),$G96-1,)</f>
        <v>1602.1817576242599</v>
      </c>
      <c r="AD96" s="3" cm="1">
        <f t="array" aca="1" ref="AD96" ca="1">OFFSET(INDIRECT("Sheet"&amp;G$2&amp;"!f1"),$G96-1,)</f>
        <v>12156.4691090537</v>
      </c>
      <c r="AE96" s="3" cm="1">
        <f t="array" aca="1" ref="AE96" ca="1">OFFSET(INDIRECT("Sheet"&amp;H$2&amp;"!f1"),$G96-1,)</f>
        <v>28800.206706974601</v>
      </c>
      <c r="AF96" s="3" cm="1">
        <f t="array" aca="1" ref="AF96" ca="1">OFFSET(INDIRECT("Sheet"&amp;I$2&amp;"!f1"),$G96-1,)</f>
        <v>28800.153296262</v>
      </c>
      <c r="AG96" s="3" cm="1">
        <f t="array" aca="1" ref="AG96" ca="1">OFFSET(INDIRECT("Sheet"&amp;J$2&amp;"!f1"),$G96-1,)</f>
        <v>0.50879911892116003</v>
      </c>
      <c r="AH96" s="3" cm="1">
        <f t="array" aca="1" ref="AH96" ca="1">OFFSET(INDIRECT("Sheet"&amp;K$2&amp;"!f1"),$G96-1,)</f>
        <v>0.44993324399999302</v>
      </c>
      <c r="AI96" s="3" cm="1">
        <f t="array" aca="1" ref="AI96" ca="1">OFFSET(INDIRECT("Sheet"&amp;L$2&amp;"!f1"),$G96-1,)</f>
        <v>0.45077800400000001</v>
      </c>
      <c r="AJ96" s="3" cm="1">
        <f t="array" aca="1" ref="AJ96" ca="1">OFFSET(INDIRECT("Sheet"&amp;M$2&amp;"!f1"),$G96-1,)</f>
        <v>0.83616261929273605</v>
      </c>
      <c r="AK96" s="3" cm="1">
        <f t="array" aca="1" ref="AK96" ca="1">OFFSET(INDIRECT("Sheet"&amp;C$2&amp;"!f1"),$G96-1,)</f>
        <v>1912.8247975856</v>
      </c>
      <c r="AL96" s="3" cm="1">
        <f t="array" aca="1" ref="AL96" ca="1">OFFSET(INDIRECT("Sheet"&amp;D$2&amp;"!f1"),$G96-1,)</f>
        <v>0</v>
      </c>
      <c r="AM96" s="3" cm="1">
        <f t="array" aca="1" ref="AM96" ca="1">OFFSET(INDIRECT("Sheet"&amp;N$2&amp;"!f1"),$G96-1,)</f>
        <v>6.3857780722901198</v>
      </c>
      <c r="AN96" s="3" cm="1">
        <f t="array" aca="1" ref="AN96" ca="1">OFFSET(INDIRECT("Sheet"&amp;O$2&amp;"!f1"),$G96-1,)</f>
        <v>10.982709265314</v>
      </c>
      <c r="AO96" s="3" cm="1">
        <f t="array" aca="1" ref="AO96" ca="1">OFFSET(INDIRECT("Sheet"&amp;P$2&amp;"!f1"),$G96-1,)</f>
        <v>17.357147828675799</v>
      </c>
      <c r="AP96" s="3" cm="1">
        <f t="array" aca="1" ref="AP96" ca="1">OFFSET(INDIRECT("Sheet"&amp;Q$2&amp;"!f1"),$G96-1,)</f>
        <v>4.0561342258006299</v>
      </c>
      <c r="AQ96" s="3" cm="1">
        <f t="array" aca="1" ref="AQ96" ca="1">OFFSET(INDIRECT("Sheet"&amp;R$2&amp;"!f1"),$G96-1,)</f>
        <v>5.8843277897685704</v>
      </c>
      <c r="AR96" s="3" cm="1">
        <f t="array" aca="1" ref="AR96" ca="1">OFFSET(INDIRECT("Sheet"&amp;S$2&amp;"!f1"),$G96-1,)</f>
        <v>8.6160411788150597</v>
      </c>
      <c r="AS96" s="3" cm="1">
        <f t="array" aca="1" ref="AS96" ca="1">OFFSET(INDIRECT("Sheet"&amp;T$2&amp;"!f1"),$G96-1,)</f>
        <v>10.9871010752394</v>
      </c>
      <c r="AT96" s="3" cm="1">
        <f t="array" aca="1" ref="AT96" ca="1">OFFSET(INDIRECT("Sheet"&amp;U$2&amp;"!f1"),$G96-1,)</f>
        <v>13.333029128611001</v>
      </c>
      <c r="AU96" s="3" cm="1">
        <f t="array" aca="1" ref="AU96" ca="1">OFFSET(INDIRECT("Sheet"&amp;V$2&amp;"!f1"),$G96-1,)</f>
        <v>17.586686814203802</v>
      </c>
      <c r="AV96" s="3"/>
      <c r="AX96">
        <f ca="1">IF(H96=$F96,1,0)</f>
        <v>0</v>
      </c>
      <c r="AY96">
        <f ca="1">IF(I96=$F96,1,0)</f>
        <v>1</v>
      </c>
      <c r="AZ96">
        <f ca="1">IF(J96=$F96,1,0)</f>
        <v>0</v>
      </c>
      <c r="BA96">
        <f ca="1">IF(K96=$F96,1,0)</f>
        <v>0</v>
      </c>
      <c r="BB96">
        <f ca="1">IF(L96=$F96,1,0)</f>
        <v>0</v>
      </c>
      <c r="BC96">
        <f ca="1">IF(M96=$F96,1,0)</f>
        <v>1</v>
      </c>
      <c r="BD96">
        <f ca="1">IF(C96=$F96,1,0)</f>
        <v>1</v>
      </c>
      <c r="BE96">
        <f ca="1">IF(D96=$F96,1,0)</f>
        <v>1</v>
      </c>
      <c r="BF96">
        <f t="shared" ca="1" si="13"/>
        <v>1</v>
      </c>
      <c r="BG96">
        <f t="shared" ca="1" si="14"/>
        <v>1</v>
      </c>
      <c r="BH96">
        <f t="shared" ca="1" si="25"/>
        <v>0</v>
      </c>
      <c r="BI96">
        <f t="shared" ca="1" si="26"/>
        <v>1</v>
      </c>
      <c r="BJ96">
        <f t="shared" ca="1" si="27"/>
        <v>1</v>
      </c>
      <c r="BK96">
        <f t="shared" ca="1" si="27"/>
        <v>1</v>
      </c>
      <c r="BL96">
        <f t="shared" ca="1" si="27"/>
        <v>1</v>
      </c>
      <c r="BM96">
        <f t="shared" ca="1" si="18"/>
        <v>1</v>
      </c>
      <c r="BN96">
        <f t="shared" ca="1" si="19"/>
        <v>1</v>
      </c>
      <c r="BO96">
        <f t="shared" ca="1" si="20"/>
        <v>1</v>
      </c>
      <c r="BP96">
        <f t="shared" ca="1" si="21"/>
        <v>1</v>
      </c>
      <c r="BQ96">
        <f t="shared" ca="1" si="22"/>
        <v>1</v>
      </c>
    </row>
    <row r="97" spans="1:69" s="4" customFormat="1" x14ac:dyDescent="0.2">
      <c r="A97" t="str">
        <f>Sheet3!A81</f>
        <v>[[51,12,9]]</v>
      </c>
      <c r="B97" s="4">
        <v>51</v>
      </c>
      <c r="C97" cm="1">
        <f t="array" aca="1" ref="C97" ca="1">OFFSET(INDIRECT("Sheet"&amp;K$2&amp;"!d1"),$G97-1,)</f>
        <v>9</v>
      </c>
      <c r="D97" cm="1">
        <f t="array" aca="1" ref="D97" ca="1">OFFSET(INDIRECT("Sheet"&amp;L$2&amp;"!d1"),$G97-1,)</f>
        <v>9</v>
      </c>
      <c r="E97" s="4">
        <v>12</v>
      </c>
      <c r="F97" s="4">
        <v>9</v>
      </c>
      <c r="G97">
        <f t="shared" si="23"/>
        <v>81</v>
      </c>
      <c r="H97" cm="1">
        <f t="array" aca="1" ref="H97" ca="1">OFFSET(INDIRECT("Sheet"&amp;E$2&amp;"!d1"),$G97-1,)</f>
        <v>0</v>
      </c>
      <c r="I97" cm="1">
        <f t="array" aca="1" ref="I97" ca="1">OFFSET(INDIRECT("Sheet"&amp;F$2&amp;"!d1"),$G97-1,)</f>
        <v>9</v>
      </c>
      <c r="J97" cm="1">
        <f t="array" aca="1" ref="J97" ca="1">OFFSET(INDIRECT("Sheet"&amp;G$2&amp;"!d1"),$G97-1,)</f>
        <v>9</v>
      </c>
      <c r="K97" cm="1">
        <f t="array" aca="1" ref="K97" ca="1">OFFSET(INDIRECT("Sheet"&amp;H$2&amp;"!d1"),$G97-1,)</f>
        <v>0</v>
      </c>
      <c r="L97" cm="1">
        <f t="array" aca="1" ref="L97" ca="1">OFFSET(INDIRECT("Sheet"&amp;I$2&amp;"!d1"),$G97-1,)</f>
        <v>0</v>
      </c>
      <c r="M97" cm="1">
        <f t="array" aca="1" ref="M97" ca="1">OFFSET(INDIRECT("Sheet"&amp;J$2&amp;"!d1"),$G97-1,)</f>
        <v>9</v>
      </c>
      <c r="N97" cm="1">
        <f t="array" aca="1" ref="N97" ca="1">OFFSET(INDIRECT("Sheet"&amp;M$2&amp;"!d1"),$G97-1,)</f>
        <v>9</v>
      </c>
      <c r="O97" cm="1">
        <f t="array" aca="1" ref="O97" ca="1">OFFSET(INDIRECT("Sheet"&amp;C$2&amp;"!d1"),$G97-1,)</f>
        <v>9</v>
      </c>
      <c r="P97" cm="1">
        <f t="array" aca="1" ref="P97" ca="1">OFFSET(INDIRECT("Sheet"&amp;D$2&amp;"!d1"),$G97-1,)</f>
        <v>0</v>
      </c>
      <c r="Q97" cm="1">
        <f t="array" aca="1" ref="Q97" ca="1">OFFSET(INDIRECT("Sheet"&amp;N$2&amp;"!d1"),$G97-1,)</f>
        <v>9</v>
      </c>
      <c r="R97" cm="1">
        <f t="array" aca="1" ref="R97" ca="1">OFFSET(INDIRECT("Sheet"&amp;O$2&amp;"!d1"),$G97-1,)</f>
        <v>9</v>
      </c>
      <c r="S97" cm="1">
        <f t="array" aca="1" ref="S97" ca="1">OFFSET(INDIRECT("Sheet"&amp;P$2&amp;"!d1"),$G97-1,)</f>
        <v>9</v>
      </c>
      <c r="T97" cm="1">
        <f t="array" aca="1" ref="T97" ca="1">OFFSET(INDIRECT("Sheet"&amp;Q$2&amp;"!d1"),$G97-1,)</f>
        <v>9</v>
      </c>
      <c r="U97" cm="1">
        <f t="array" aca="1" ref="U97" ca="1">OFFSET(INDIRECT("Sheet"&amp;R$2&amp;"!d1"),$G97-1,)</f>
        <v>9</v>
      </c>
      <c r="V97" cm="1">
        <f t="array" aca="1" ref="V97" ca="1">OFFSET(INDIRECT("Sheet"&amp;S$2&amp;"!d1"),$G97-1,)</f>
        <v>9</v>
      </c>
      <c r="W97" cm="1">
        <f t="array" aca="1" ref="W97" ca="1">OFFSET(INDIRECT("Sheet"&amp;T$2&amp;"!d1"),$G97-1,)</f>
        <v>9</v>
      </c>
      <c r="X97" cm="1">
        <f t="array" aca="1" ref="X97" ca="1">OFFSET(INDIRECT("Sheet"&amp;U$2&amp;"!d1"),$G97-1,)</f>
        <v>9</v>
      </c>
      <c r="Y97" cm="1">
        <f t="array" aca="1" ref="Y97" ca="1">OFFSET(INDIRECT("Sheet"&amp;V$2&amp;"!d1"),$G97-1,)</f>
        <v>9</v>
      </c>
      <c r="Z97"/>
      <c r="AB97" s="3" cm="1">
        <f t="array" aca="1" ref="AB97" ca="1">OFFSET(INDIRECT("Sheet"&amp;E$2&amp;"!f1"),$G97-1,)</f>
        <v>0</v>
      </c>
      <c r="AC97" s="3" cm="1">
        <f t="array" aca="1" ref="AC97" ca="1">OFFSET(INDIRECT("Sheet"&amp;F$2&amp;"!f1"),$G97-1,)</f>
        <v>10171.856206763499</v>
      </c>
      <c r="AD97" s="3" cm="1">
        <f t="array" aca="1" ref="AD97" ca="1">OFFSET(INDIRECT("Sheet"&amp;G$2&amp;"!f1"),$G97-1,)</f>
        <v>12050.268975073401</v>
      </c>
      <c r="AE97" s="3" cm="1">
        <f t="array" aca="1" ref="AE97" ca="1">OFFSET(INDIRECT("Sheet"&amp;H$2&amp;"!f1"),$G97-1,)</f>
        <v>28800.1418899251</v>
      </c>
      <c r="AF97" s="3" cm="1">
        <f t="array" aca="1" ref="AF97" ca="1">OFFSET(INDIRECT("Sheet"&amp;I$2&amp;"!f1"),$G97-1,)</f>
        <v>28803.2985442727</v>
      </c>
      <c r="AG97" s="3" cm="1">
        <f t="array" aca="1" ref="AG97" ca="1">OFFSET(INDIRECT("Sheet"&amp;J$2&amp;"!f1"),$G97-1,)</f>
        <v>0.54279550258070197</v>
      </c>
      <c r="AH97" s="3" cm="1">
        <f t="array" aca="1" ref="AH97" ca="1">OFFSET(INDIRECT("Sheet"&amp;K$2&amp;"!f1"),$G97-1,)</f>
        <v>0.49138057499999299</v>
      </c>
      <c r="AI97" s="3" cm="1">
        <f t="array" aca="1" ref="AI97" ca="1">OFFSET(INDIRECT("Sheet"&amp;L$2&amp;"!f1"),$G97-1,)</f>
        <v>0.50526798299998099</v>
      </c>
      <c r="AJ97" s="3" cm="1">
        <f t="array" aca="1" ref="AJ97" ca="1">OFFSET(INDIRECT("Sheet"&amp;M$2&amp;"!f1"),$G97-1,)</f>
        <v>0.88822130672633604</v>
      </c>
      <c r="AK97" s="3" cm="1">
        <f t="array" aca="1" ref="AK97" ca="1">OFFSET(INDIRECT("Sheet"&amp;C$2&amp;"!f1"),$G97-1,)</f>
        <v>7432.1109610041603</v>
      </c>
      <c r="AL97" s="3" cm="1">
        <f t="array" aca="1" ref="AL97" ca="1">OFFSET(INDIRECT("Sheet"&amp;D$2&amp;"!f1"),$G97-1,)</f>
        <v>0</v>
      </c>
      <c r="AM97" s="3" cm="1">
        <f t="array" aca="1" ref="AM97" ca="1">OFFSET(INDIRECT("Sheet"&amp;N$2&amp;"!f1"),$G97-1,)</f>
        <v>6.35294858925044</v>
      </c>
      <c r="AN97" s="3" cm="1">
        <f t="array" aca="1" ref="AN97" ca="1">OFFSET(INDIRECT("Sheet"&amp;O$2&amp;"!f1"),$G97-1,)</f>
        <v>11.029422181658401</v>
      </c>
      <c r="AO97" s="3" cm="1">
        <f t="array" aca="1" ref="AO97" ca="1">OFFSET(INDIRECT("Sheet"&amp;P$2&amp;"!f1"),$G97-1,)</f>
        <v>17.282390513457301</v>
      </c>
      <c r="AP97" s="3" cm="1">
        <f t="array" aca="1" ref="AP97" ca="1">OFFSET(INDIRECT("Sheet"&amp;Q$2&amp;"!f1"),$G97-1,)</f>
        <v>4.0646354891359797</v>
      </c>
      <c r="AQ97" s="3" cm="1">
        <f t="array" aca="1" ref="AQ97" ca="1">OFFSET(INDIRECT("Sheet"&amp;R$2&amp;"!f1"),$G97-1,)</f>
        <v>5.8639962309971398</v>
      </c>
      <c r="AR97" s="3" cm="1">
        <f t="array" aca="1" ref="AR97" ca="1">OFFSET(INDIRECT("Sheet"&amp;S$2&amp;"!f1"),$G97-1,)</f>
        <v>8.7929639676585793</v>
      </c>
      <c r="AS97" s="3" cm="1">
        <f t="array" aca="1" ref="AS97" ca="1">OFFSET(INDIRECT("Sheet"&amp;T$2&amp;"!f1"),$G97-1,)</f>
        <v>11.0758090075105</v>
      </c>
      <c r="AT97" s="3" cm="1">
        <f t="array" aca="1" ref="AT97" ca="1">OFFSET(INDIRECT("Sheet"&amp;U$2&amp;"!f1"),$G97-1,)</f>
        <v>13.277468125335799</v>
      </c>
      <c r="AU97" s="3" cm="1">
        <f t="array" aca="1" ref="AU97" ca="1">OFFSET(INDIRECT("Sheet"&amp;V$2&amp;"!f1"),$G97-1,)</f>
        <v>17.466702415607799</v>
      </c>
      <c r="AV97" s="3"/>
      <c r="AX97">
        <f ca="1">IF(H97=$F97,1,0)</f>
        <v>0</v>
      </c>
      <c r="AY97">
        <f ca="1">IF(I97=$F97,1,0)</f>
        <v>1</v>
      </c>
      <c r="AZ97">
        <f ca="1">IF(J97=$F97,1,0)</f>
        <v>1</v>
      </c>
      <c r="BA97">
        <f ca="1">IF(K97=$F97,1,0)</f>
        <v>0</v>
      </c>
      <c r="BB97">
        <f ca="1">IF(L97=$F97,1,0)</f>
        <v>0</v>
      </c>
      <c r="BC97">
        <f ca="1">IF(M97=$F97,1,0)</f>
        <v>1</v>
      </c>
      <c r="BD97">
        <f ca="1">IF(C97=$F97,1,0)</f>
        <v>1</v>
      </c>
      <c r="BE97">
        <f ca="1">IF(D97=$F97,1,0)</f>
        <v>1</v>
      </c>
      <c r="BF97">
        <f t="shared" ca="1" si="13"/>
        <v>1</v>
      </c>
      <c r="BG97">
        <f t="shared" ca="1" si="14"/>
        <v>1</v>
      </c>
      <c r="BH97">
        <f t="shared" ca="1" si="25"/>
        <v>0</v>
      </c>
      <c r="BI97">
        <f t="shared" ca="1" si="26"/>
        <v>1</v>
      </c>
      <c r="BJ97">
        <f t="shared" ref="BJ97:BL112" ca="1" si="28">IF(R97=$F97,1,0)</f>
        <v>1</v>
      </c>
      <c r="BK97">
        <f t="shared" ca="1" si="28"/>
        <v>1</v>
      </c>
      <c r="BL97">
        <f t="shared" ca="1" si="28"/>
        <v>1</v>
      </c>
      <c r="BM97">
        <f t="shared" ca="1" si="18"/>
        <v>1</v>
      </c>
      <c r="BN97">
        <f t="shared" ca="1" si="19"/>
        <v>1</v>
      </c>
      <c r="BO97">
        <f t="shared" ca="1" si="20"/>
        <v>1</v>
      </c>
      <c r="BP97">
        <f t="shared" ca="1" si="21"/>
        <v>1</v>
      </c>
      <c r="BQ97">
        <f t="shared" ca="1" si="22"/>
        <v>1</v>
      </c>
    </row>
    <row r="98" spans="1:69" s="4" customFormat="1" x14ac:dyDescent="0.2">
      <c r="A98" t="str">
        <f>Sheet3!A82</f>
        <v>[[52,10,10]]</v>
      </c>
      <c r="B98" s="4">
        <v>52</v>
      </c>
      <c r="C98" cm="1">
        <f t="array" aca="1" ref="C98" ca="1">OFFSET(INDIRECT("Sheet"&amp;K$2&amp;"!d1"),$G98-1,)</f>
        <v>11</v>
      </c>
      <c r="D98" cm="1">
        <f t="array" aca="1" ref="D98" ca="1">OFFSET(INDIRECT("Sheet"&amp;L$2&amp;"!d1"),$G98-1,)</f>
        <v>11</v>
      </c>
      <c r="E98" s="4">
        <v>10</v>
      </c>
      <c r="F98" s="4">
        <v>11</v>
      </c>
      <c r="G98">
        <f t="shared" si="23"/>
        <v>82</v>
      </c>
      <c r="H98" cm="1">
        <f t="array" aca="1" ref="H98" ca="1">OFFSET(INDIRECT("Sheet"&amp;E$2&amp;"!d1"),$G98-1,)</f>
        <v>0</v>
      </c>
      <c r="I98" cm="1">
        <f t="array" aca="1" ref="I98" ca="1">OFFSET(INDIRECT("Sheet"&amp;F$2&amp;"!d1"),$G98-1,)</f>
        <v>0</v>
      </c>
      <c r="J98" cm="1">
        <f t="array" aca="1" ref="J98" ca="1">OFFSET(INDIRECT("Sheet"&amp;G$2&amp;"!d1"),$G98-1,)</f>
        <v>0</v>
      </c>
      <c r="K98" cm="1">
        <f t="array" aca="1" ref="K98" ca="1">OFFSET(INDIRECT("Sheet"&amp;H$2&amp;"!d1"),$G98-1,)</f>
        <v>0</v>
      </c>
      <c r="L98" cm="1">
        <f t="array" aca="1" ref="L98" ca="1">OFFSET(INDIRECT("Sheet"&amp;I$2&amp;"!d1"),$G98-1,)</f>
        <v>0</v>
      </c>
      <c r="M98" cm="1">
        <f t="array" aca="1" ref="M98" ca="1">OFFSET(INDIRECT("Sheet"&amp;J$2&amp;"!d1"),$G98-1,)</f>
        <v>11</v>
      </c>
      <c r="N98" cm="1">
        <f t="array" aca="1" ref="N98" ca="1">OFFSET(INDIRECT("Sheet"&amp;M$2&amp;"!d1"),$G98-1,)</f>
        <v>11</v>
      </c>
      <c r="O98" cm="1">
        <f t="array" aca="1" ref="O98" ca="1">OFFSET(INDIRECT("Sheet"&amp;C$2&amp;"!d1"),$G98-1,)</f>
        <v>11</v>
      </c>
      <c r="P98" cm="1">
        <f t="array" aca="1" ref="P98" ca="1">OFFSET(INDIRECT("Sheet"&amp;D$2&amp;"!d1"),$G98-1,)</f>
        <v>0</v>
      </c>
      <c r="Q98" cm="1">
        <f t="array" aca="1" ref="Q98" ca="1">OFFSET(INDIRECT("Sheet"&amp;N$2&amp;"!d1"),$G98-1,)</f>
        <v>11</v>
      </c>
      <c r="R98" cm="1">
        <f t="array" aca="1" ref="R98" ca="1">OFFSET(INDIRECT("Sheet"&amp;O$2&amp;"!d1"),$G98-1,)</f>
        <v>11</v>
      </c>
      <c r="S98" cm="1">
        <f t="array" aca="1" ref="S98" ca="1">OFFSET(INDIRECT("Sheet"&amp;P$2&amp;"!d1"),$G98-1,)</f>
        <v>11</v>
      </c>
      <c r="T98" cm="1">
        <f t="array" aca="1" ref="T98" ca="1">OFFSET(INDIRECT("Sheet"&amp;Q$2&amp;"!d1"),$G98-1,)</f>
        <v>11</v>
      </c>
      <c r="U98" cm="1">
        <f t="array" aca="1" ref="U98" ca="1">OFFSET(INDIRECT("Sheet"&amp;R$2&amp;"!d1"),$G98-1,)</f>
        <v>11</v>
      </c>
      <c r="V98" cm="1">
        <f t="array" aca="1" ref="V98" ca="1">OFFSET(INDIRECT("Sheet"&amp;S$2&amp;"!d1"),$G98-1,)</f>
        <v>11</v>
      </c>
      <c r="W98" cm="1">
        <f t="array" aca="1" ref="W98" ca="1">OFFSET(INDIRECT("Sheet"&amp;T$2&amp;"!d1"),$G98-1,)</f>
        <v>11</v>
      </c>
      <c r="X98" cm="1">
        <f t="array" aca="1" ref="X98" ca="1">OFFSET(INDIRECT("Sheet"&amp;U$2&amp;"!d1"),$G98-1,)</f>
        <v>11</v>
      </c>
      <c r="Y98" cm="1">
        <f t="array" aca="1" ref="Y98" ca="1">OFFSET(INDIRECT("Sheet"&amp;V$2&amp;"!d1"),$G98-1,)</f>
        <v>11</v>
      </c>
      <c r="Z98"/>
      <c r="AB98" s="3" cm="1">
        <f t="array" aca="1" ref="AB98" ca="1">OFFSET(INDIRECT("Sheet"&amp;E$2&amp;"!f1"),$G98-1,)</f>
        <v>0</v>
      </c>
      <c r="AC98" s="3" cm="1">
        <f t="array" aca="1" ref="AC98" ca="1">OFFSET(INDIRECT("Sheet"&amp;F$2&amp;"!f1"),$G98-1,)</f>
        <v>0</v>
      </c>
      <c r="AD98" s="3" cm="1">
        <f t="array" aca="1" ref="AD98" ca="1">OFFSET(INDIRECT("Sheet"&amp;G$2&amp;"!f1"),$G98-1,)</f>
        <v>0</v>
      </c>
      <c r="AE98" s="3" cm="1">
        <f t="array" aca="1" ref="AE98" ca="1">OFFSET(INDIRECT("Sheet"&amp;H$2&amp;"!f1"),$G98-1,)</f>
        <v>28800.1540491329</v>
      </c>
      <c r="AF98" s="3" cm="1">
        <f t="array" aca="1" ref="AF98" ca="1">OFFSET(INDIRECT("Sheet"&amp;I$2&amp;"!f1"),$G98-1,)</f>
        <v>28800.111936539401</v>
      </c>
      <c r="AG98" s="3" cm="1">
        <f t="array" aca="1" ref="AG98" ca="1">OFFSET(INDIRECT("Sheet"&amp;J$2&amp;"!f1"),$G98-1,)</f>
        <v>0.59186213091015805</v>
      </c>
      <c r="AH98" s="3" cm="1">
        <f t="array" aca="1" ref="AH98" ca="1">OFFSET(INDIRECT("Sheet"&amp;K$2&amp;"!f1"),$G98-1,)</f>
        <v>0.58031898000001503</v>
      </c>
      <c r="AI98" s="3" cm="1">
        <f t="array" aca="1" ref="AI98" ca="1">OFFSET(INDIRECT("Sheet"&amp;L$2&amp;"!f1"),$G98-1,)</f>
        <v>0.52163923899999498</v>
      </c>
      <c r="AJ98" s="3" cm="1">
        <f t="array" aca="1" ref="AJ98" ca="1">OFFSET(INDIRECT("Sheet"&amp;M$2&amp;"!f1"),$G98-1,)</f>
        <v>0.93987900950014502</v>
      </c>
      <c r="AK98" s="3" cm="1">
        <f t="array" aca="1" ref="AK98" ca="1">OFFSET(INDIRECT("Sheet"&amp;C$2&amp;"!f1"),$G98-1,)</f>
        <v>28822.678173533601</v>
      </c>
      <c r="AL98" s="3" cm="1">
        <f t="array" aca="1" ref="AL98" ca="1">OFFSET(INDIRECT("Sheet"&amp;D$2&amp;"!f1"),$G98-1,)</f>
        <v>0</v>
      </c>
      <c r="AM98" s="3" cm="1">
        <f t="array" aca="1" ref="AM98" ca="1">OFFSET(INDIRECT("Sheet"&amp;N$2&amp;"!f1"),$G98-1,)</f>
        <v>6.3888484686613003</v>
      </c>
      <c r="AN98" s="3" cm="1">
        <f t="array" aca="1" ref="AN98" ca="1">OFFSET(INDIRECT("Sheet"&amp;O$2&amp;"!f1"),$G98-1,)</f>
        <v>11.0358860744163</v>
      </c>
      <c r="AO98" s="3" cm="1">
        <f t="array" aca="1" ref="AO98" ca="1">OFFSET(INDIRECT("Sheet"&amp;P$2&amp;"!f1"),$G98-1,)</f>
        <v>17.319223970174701</v>
      </c>
      <c r="AP98" s="3" cm="1">
        <f t="array" aca="1" ref="AP98" ca="1">OFFSET(INDIRECT("Sheet"&amp;Q$2&amp;"!f1"),$G98-1,)</f>
        <v>3.9285795232281</v>
      </c>
      <c r="AQ98" s="3" cm="1">
        <f t="array" aca="1" ref="AQ98" ca="1">OFFSET(INDIRECT("Sheet"&amp;R$2&amp;"!f1"),$G98-1,)</f>
        <v>5.9193099578842503</v>
      </c>
      <c r="AR98" s="3" cm="1">
        <f t="array" aca="1" ref="AR98" ca="1">OFFSET(INDIRECT("Sheet"&amp;S$2&amp;"!f1"),$G98-1,)</f>
        <v>8.7532663866877503</v>
      </c>
      <c r="AS98" s="3" cm="1">
        <f t="array" aca="1" ref="AS98" ca="1">OFFSET(INDIRECT("Sheet"&amp;T$2&amp;"!f1"),$G98-1,)</f>
        <v>11.116754104383199</v>
      </c>
      <c r="AT98" s="3" cm="1">
        <f t="array" aca="1" ref="AT98" ca="1">OFFSET(INDIRECT("Sheet"&amp;U$2&amp;"!f1"),$G98-1,)</f>
        <v>12.839655088260701</v>
      </c>
      <c r="AU98" s="3" cm="1">
        <f t="array" aca="1" ref="AU98" ca="1">OFFSET(INDIRECT("Sheet"&amp;V$2&amp;"!f1"),$G98-1,)</f>
        <v>17.564714022912</v>
      </c>
      <c r="AV98" s="3"/>
      <c r="AX98">
        <f ca="1">IF(H98=$F98,1,0)</f>
        <v>0</v>
      </c>
      <c r="AY98">
        <f ca="1">IF(I98=$F98,1,0)</f>
        <v>0</v>
      </c>
      <c r="AZ98">
        <f ca="1">IF(J98=$F98,1,0)</f>
        <v>0</v>
      </c>
      <c r="BA98">
        <f ca="1">IF(K98=$F98,1,0)</f>
        <v>0</v>
      </c>
      <c r="BB98">
        <f ca="1">IF(L98=$F98,1,0)</f>
        <v>0</v>
      </c>
      <c r="BC98">
        <f ca="1">IF(M98=$F98,1,0)</f>
        <v>1</v>
      </c>
      <c r="BD98">
        <f ca="1">IF(C98=$F98,1,0)</f>
        <v>1</v>
      </c>
      <c r="BE98">
        <f ca="1">IF(D98=$F98,1,0)</f>
        <v>1</v>
      </c>
      <c r="BF98">
        <f t="shared" ca="1" si="13"/>
        <v>1</v>
      </c>
      <c r="BG98">
        <f t="shared" ca="1" si="14"/>
        <v>1</v>
      </c>
      <c r="BH98">
        <f t="shared" ca="1" si="25"/>
        <v>0</v>
      </c>
      <c r="BI98">
        <f t="shared" ca="1" si="26"/>
        <v>1</v>
      </c>
      <c r="BJ98">
        <f t="shared" ca="1" si="28"/>
        <v>1</v>
      </c>
      <c r="BK98">
        <f t="shared" ca="1" si="28"/>
        <v>1</v>
      </c>
      <c r="BL98">
        <f t="shared" ca="1" si="28"/>
        <v>1</v>
      </c>
      <c r="BM98">
        <f t="shared" ca="1" si="18"/>
        <v>1</v>
      </c>
      <c r="BN98">
        <f t="shared" ca="1" si="19"/>
        <v>1</v>
      </c>
      <c r="BO98">
        <f t="shared" ca="1" si="20"/>
        <v>1</v>
      </c>
      <c r="BP98">
        <f t="shared" ca="1" si="21"/>
        <v>1</v>
      </c>
      <c r="BQ98">
        <f t="shared" ca="1" si="22"/>
        <v>1</v>
      </c>
    </row>
    <row r="99" spans="1:69" s="4" customFormat="1" x14ac:dyDescent="0.2">
      <c r="A99" t="str">
        <f>Sheet3!A83</f>
        <v>[[53,6,11]]</v>
      </c>
      <c r="B99" s="4">
        <v>53</v>
      </c>
      <c r="C99" cm="1">
        <f t="array" aca="1" ref="C99" ca="1">OFFSET(INDIRECT("Sheet"&amp;K$2&amp;"!d1"),$G99-1,)</f>
        <v>11</v>
      </c>
      <c r="D99" cm="1">
        <f t="array" aca="1" ref="D99" ca="1">OFFSET(INDIRECT("Sheet"&amp;L$2&amp;"!d1"),$G99-1,)</f>
        <v>11</v>
      </c>
      <c r="E99" s="4">
        <v>6</v>
      </c>
      <c r="F99" s="4">
        <v>11</v>
      </c>
      <c r="G99">
        <f t="shared" si="23"/>
        <v>83</v>
      </c>
      <c r="H99" cm="1">
        <f t="array" aca="1" ref="H99" ca="1">OFFSET(INDIRECT("Sheet"&amp;E$2&amp;"!d1"),$G99-1,)</f>
        <v>0</v>
      </c>
      <c r="I99" cm="1">
        <f t="array" aca="1" ref="I99" ca="1">OFFSET(INDIRECT("Sheet"&amp;F$2&amp;"!d1"),$G99-1,)</f>
        <v>0</v>
      </c>
      <c r="J99" cm="1">
        <f t="array" aca="1" ref="J99" ca="1">OFFSET(INDIRECT("Sheet"&amp;G$2&amp;"!d1"),$G99-1,)</f>
        <v>0</v>
      </c>
      <c r="K99" cm="1">
        <f t="array" aca="1" ref="K99" ca="1">OFFSET(INDIRECT("Sheet"&amp;H$2&amp;"!d1"),$G99-1,)</f>
        <v>0</v>
      </c>
      <c r="L99" cm="1">
        <f t="array" aca="1" ref="L99" ca="1">OFFSET(INDIRECT("Sheet"&amp;I$2&amp;"!d1"),$G99-1,)</f>
        <v>0</v>
      </c>
      <c r="M99" cm="1">
        <f t="array" aca="1" ref="M99" ca="1">OFFSET(INDIRECT("Sheet"&amp;J$2&amp;"!d1"),$G99-1,)</f>
        <v>11</v>
      </c>
      <c r="N99" cm="1">
        <f t="array" aca="1" ref="N99" ca="1">OFFSET(INDIRECT("Sheet"&amp;M$2&amp;"!d1"),$G99-1,)</f>
        <v>11</v>
      </c>
      <c r="O99" cm="1">
        <f t="array" aca="1" ref="O99" ca="1">OFFSET(INDIRECT("Sheet"&amp;C$2&amp;"!d1"),$G99-1,)</f>
        <v>11</v>
      </c>
      <c r="P99" cm="1">
        <f t="array" aca="1" ref="P99" ca="1">OFFSET(INDIRECT("Sheet"&amp;D$2&amp;"!d1"),$G99-1,)</f>
        <v>0</v>
      </c>
      <c r="Q99" cm="1">
        <f t="array" aca="1" ref="Q99" ca="1">OFFSET(INDIRECT("Sheet"&amp;N$2&amp;"!d1"),$G99-1,)</f>
        <v>11</v>
      </c>
      <c r="R99" cm="1">
        <f t="array" aca="1" ref="R99" ca="1">OFFSET(INDIRECT("Sheet"&amp;O$2&amp;"!d1"),$G99-1,)</f>
        <v>11</v>
      </c>
      <c r="S99" cm="1">
        <f t="array" aca="1" ref="S99" ca="1">OFFSET(INDIRECT("Sheet"&amp;P$2&amp;"!d1"),$G99-1,)</f>
        <v>11</v>
      </c>
      <c r="T99" cm="1">
        <f t="array" aca="1" ref="T99" ca="1">OFFSET(INDIRECT("Sheet"&amp;Q$2&amp;"!d1"),$G99-1,)</f>
        <v>11</v>
      </c>
      <c r="U99" cm="1">
        <f t="array" aca="1" ref="U99" ca="1">OFFSET(INDIRECT("Sheet"&amp;R$2&amp;"!d1"),$G99-1,)</f>
        <v>11</v>
      </c>
      <c r="V99" cm="1">
        <f t="array" aca="1" ref="V99" ca="1">OFFSET(INDIRECT("Sheet"&amp;S$2&amp;"!d1"),$G99-1,)</f>
        <v>11</v>
      </c>
      <c r="W99" cm="1">
        <f t="array" aca="1" ref="W99" ca="1">OFFSET(INDIRECT("Sheet"&amp;T$2&amp;"!d1"),$G99-1,)</f>
        <v>11</v>
      </c>
      <c r="X99" cm="1">
        <f t="array" aca="1" ref="X99" ca="1">OFFSET(INDIRECT("Sheet"&amp;U$2&amp;"!d1"),$G99-1,)</f>
        <v>11</v>
      </c>
      <c r="Y99" cm="1">
        <f t="array" aca="1" ref="Y99" ca="1">OFFSET(INDIRECT("Sheet"&amp;V$2&amp;"!d1"),$G99-1,)</f>
        <v>11</v>
      </c>
      <c r="Z99"/>
      <c r="AB99" s="3" cm="1">
        <f t="array" aca="1" ref="AB99" ca="1">OFFSET(INDIRECT("Sheet"&amp;E$2&amp;"!f1"),$G99-1,)</f>
        <v>0</v>
      </c>
      <c r="AC99" s="3" cm="1">
        <f t="array" aca="1" ref="AC99" ca="1">OFFSET(INDIRECT("Sheet"&amp;F$2&amp;"!f1"),$G99-1,)</f>
        <v>0</v>
      </c>
      <c r="AD99" s="3" cm="1">
        <f t="array" aca="1" ref="AD99" ca="1">OFFSET(INDIRECT("Sheet"&amp;G$2&amp;"!f1"),$G99-1,)</f>
        <v>0</v>
      </c>
      <c r="AE99" s="3" cm="1">
        <f t="array" aca="1" ref="AE99" ca="1">OFFSET(INDIRECT("Sheet"&amp;H$2&amp;"!f1"),$G99-1,)</f>
        <v>28800.141889139999</v>
      </c>
      <c r="AF99" s="3" cm="1">
        <f t="array" aca="1" ref="AF99" ca="1">OFFSET(INDIRECT("Sheet"&amp;I$2&amp;"!f1"),$G99-1,)</f>
        <v>28800.127797640798</v>
      </c>
      <c r="AG99" s="3" cm="1">
        <f t="array" aca="1" ref="AG99" ca="1">OFFSET(INDIRECT("Sheet"&amp;J$2&amp;"!f1"),$G99-1,)</f>
        <v>0.65209583844989505</v>
      </c>
      <c r="AH99" s="3" cm="1">
        <f t="array" aca="1" ref="AH99" ca="1">OFFSET(INDIRECT("Sheet"&amp;K$2&amp;"!f1"),$G99-1,)</f>
        <v>0.58620479499998601</v>
      </c>
      <c r="AI99" s="3" cm="1">
        <f t="array" aca="1" ref="AI99" ca="1">OFFSET(INDIRECT("Sheet"&amp;L$2&amp;"!f1"),$G99-1,)</f>
        <v>0.58544172300000197</v>
      </c>
      <c r="AJ99" s="3" cm="1">
        <f t="array" aca="1" ref="AJ99" ca="1">OFFSET(INDIRECT("Sheet"&amp;M$2&amp;"!f1"),$G99-1,)</f>
        <v>0.99439700227230698</v>
      </c>
      <c r="AK99" s="3" cm="1">
        <f t="array" aca="1" ref="AK99" ca="1">OFFSET(INDIRECT("Sheet"&amp;C$2&amp;"!f1"),$G99-1,)</f>
        <v>28839.104911733401</v>
      </c>
      <c r="AL99" s="3" cm="1">
        <f t="array" aca="1" ref="AL99" ca="1">OFFSET(INDIRECT("Sheet"&amp;D$2&amp;"!f1"),$G99-1,)</f>
        <v>0</v>
      </c>
      <c r="AM99" s="3" cm="1">
        <f t="array" aca="1" ref="AM99" ca="1">OFFSET(INDIRECT("Sheet"&amp;N$2&amp;"!f1"),$G99-1,)</f>
        <v>5.6820017015561399</v>
      </c>
      <c r="AN99" s="3" cm="1">
        <f t="array" aca="1" ref="AN99" ca="1">OFFSET(INDIRECT("Sheet"&amp;O$2&amp;"!f1"),$G99-1,)</f>
        <v>10.378429128788399</v>
      </c>
      <c r="AO99" s="3" cm="1">
        <f t="array" aca="1" ref="AO99" ca="1">OFFSET(INDIRECT("Sheet"&amp;P$2&amp;"!f1"),$G99-1,)</f>
        <v>14.600183941423801</v>
      </c>
      <c r="AP99" s="3" cm="1">
        <f t="array" aca="1" ref="AP99" ca="1">OFFSET(INDIRECT("Sheet"&amp;Q$2&amp;"!f1"),$G99-1,)</f>
        <v>3.4884645380079702</v>
      </c>
      <c r="AQ99" s="3" cm="1">
        <f t="array" aca="1" ref="AQ99" ca="1">OFFSET(INDIRECT("Sheet"&amp;R$2&amp;"!f1"),$G99-1,)</f>
        <v>5.1827145367860696</v>
      </c>
      <c r="AR99" s="3" cm="1">
        <f t="array" aca="1" ref="AR99" ca="1">OFFSET(INDIRECT("Sheet"&amp;S$2&amp;"!f1"),$G99-1,)</f>
        <v>8.5183719564229197</v>
      </c>
      <c r="AS99" s="3" cm="1">
        <f t="array" aca="1" ref="AS99" ca="1">OFFSET(INDIRECT("Sheet"&amp;T$2&amp;"!f1"),$G99-1,)</f>
        <v>10.408268093131399</v>
      </c>
      <c r="AT99" s="3" cm="1">
        <f t="array" aca="1" ref="AT99" ca="1">OFFSET(INDIRECT("Sheet"&amp;U$2&amp;"!f1"),$G99-1,)</f>
        <v>10.851976695470499</v>
      </c>
      <c r="AU99" s="3" cm="1">
        <f t="array" aca="1" ref="AU99" ca="1">OFFSET(INDIRECT("Sheet"&amp;V$2&amp;"!f1"),$G99-1,)</f>
        <v>14.2517563384026</v>
      </c>
      <c r="AV99" s="3"/>
      <c r="AX99">
        <f ca="1">IF(H99=$F99,1,0)</f>
        <v>0</v>
      </c>
      <c r="AY99">
        <f ca="1">IF(I99=$F99,1,0)</f>
        <v>0</v>
      </c>
      <c r="AZ99">
        <f ca="1">IF(J99=$F99,1,0)</f>
        <v>0</v>
      </c>
      <c r="BA99">
        <f ca="1">IF(K99=$F99,1,0)</f>
        <v>0</v>
      </c>
      <c r="BB99">
        <f ca="1">IF(L99=$F99,1,0)</f>
        <v>0</v>
      </c>
      <c r="BC99">
        <f ca="1">IF(M99=$F99,1,0)</f>
        <v>1</v>
      </c>
      <c r="BD99">
        <f ca="1">IF(C99=$F99,1,0)</f>
        <v>1</v>
      </c>
      <c r="BE99">
        <f ca="1">IF(D99=$F99,1,0)</f>
        <v>1</v>
      </c>
      <c r="BF99">
        <f t="shared" ca="1" si="13"/>
        <v>1</v>
      </c>
      <c r="BG99">
        <f t="shared" ca="1" si="14"/>
        <v>1</v>
      </c>
      <c r="BH99">
        <f t="shared" ca="1" si="25"/>
        <v>0</v>
      </c>
      <c r="BI99">
        <f t="shared" ca="1" si="26"/>
        <v>1</v>
      </c>
      <c r="BJ99">
        <f t="shared" ca="1" si="28"/>
        <v>1</v>
      </c>
      <c r="BK99">
        <f t="shared" ca="1" si="28"/>
        <v>1</v>
      </c>
      <c r="BL99">
        <f t="shared" ca="1" si="28"/>
        <v>1</v>
      </c>
      <c r="BM99">
        <f t="shared" ca="1" si="18"/>
        <v>1</v>
      </c>
      <c r="BN99">
        <f t="shared" ca="1" si="19"/>
        <v>1</v>
      </c>
      <c r="BO99">
        <f t="shared" ca="1" si="20"/>
        <v>1</v>
      </c>
      <c r="BP99">
        <f t="shared" ca="1" si="21"/>
        <v>1</v>
      </c>
      <c r="BQ99">
        <f t="shared" ca="1" si="22"/>
        <v>1</v>
      </c>
    </row>
    <row r="100" spans="1:69" s="4" customFormat="1" x14ac:dyDescent="0.2">
      <c r="A100" t="str">
        <f>Sheet3!A84</f>
        <v>[[54,12,10]]</v>
      </c>
      <c r="B100" s="4">
        <v>54</v>
      </c>
      <c r="C100" cm="1">
        <f t="array" aca="1" ref="C100" ca="1">OFFSET(INDIRECT("Sheet"&amp;K$2&amp;"!d1"),$G100-1,)</f>
        <v>10</v>
      </c>
      <c r="D100" cm="1">
        <f t="array" aca="1" ref="D100" ca="1">OFFSET(INDIRECT("Sheet"&amp;L$2&amp;"!d1"),$G100-1,)</f>
        <v>10</v>
      </c>
      <c r="E100" s="4">
        <v>12</v>
      </c>
      <c r="F100" s="4">
        <v>10</v>
      </c>
      <c r="G100">
        <f t="shared" si="23"/>
        <v>84</v>
      </c>
      <c r="H100" cm="1">
        <f t="array" aca="1" ref="H100" ca="1">OFFSET(INDIRECT("Sheet"&amp;E$2&amp;"!d1"),$G100-1,)</f>
        <v>0</v>
      </c>
      <c r="I100" cm="1">
        <f t="array" aca="1" ref="I100" ca="1">OFFSET(INDIRECT("Sheet"&amp;F$2&amp;"!d1"),$G100-1,)</f>
        <v>0</v>
      </c>
      <c r="J100" cm="1">
        <f t="array" aca="1" ref="J100" ca="1">OFFSET(INDIRECT("Sheet"&amp;G$2&amp;"!d1"),$G100-1,)</f>
        <v>0</v>
      </c>
      <c r="K100" cm="1">
        <f t="array" aca="1" ref="K100" ca="1">OFFSET(INDIRECT("Sheet"&amp;H$2&amp;"!d1"),$G100-1,)</f>
        <v>0</v>
      </c>
      <c r="L100" cm="1">
        <f t="array" aca="1" ref="L100" ca="1">OFFSET(INDIRECT("Sheet"&amp;I$2&amp;"!d1"),$G100-1,)</f>
        <v>0</v>
      </c>
      <c r="M100" cm="1">
        <f t="array" aca="1" ref="M100" ca="1">OFFSET(INDIRECT("Sheet"&amp;J$2&amp;"!d1"),$G100-1,)</f>
        <v>10</v>
      </c>
      <c r="N100" cm="1">
        <f t="array" aca="1" ref="N100" ca="1">OFFSET(INDIRECT("Sheet"&amp;M$2&amp;"!d1"),$G100-1,)</f>
        <v>10</v>
      </c>
      <c r="O100" cm="1">
        <f t="array" aca="1" ref="O100" ca="1">OFFSET(INDIRECT("Sheet"&amp;C$2&amp;"!d1"),$G100-1,)</f>
        <v>0</v>
      </c>
      <c r="P100" cm="1">
        <f t="array" aca="1" ref="P100" ca="1">OFFSET(INDIRECT("Sheet"&amp;D$2&amp;"!d1"),$G100-1,)</f>
        <v>0</v>
      </c>
      <c r="Q100" cm="1">
        <f t="array" aca="1" ref="Q100" ca="1">OFFSET(INDIRECT("Sheet"&amp;N$2&amp;"!d1"),$G100-1,)</f>
        <v>10</v>
      </c>
      <c r="R100" cm="1">
        <f t="array" aca="1" ref="R100" ca="1">OFFSET(INDIRECT("Sheet"&amp;O$2&amp;"!d1"),$G100-1,)</f>
        <v>10</v>
      </c>
      <c r="S100" cm="1">
        <f t="array" aca="1" ref="S100" ca="1">OFFSET(INDIRECT("Sheet"&amp;P$2&amp;"!d1"),$G100-1,)</f>
        <v>10</v>
      </c>
      <c r="T100" cm="1">
        <f t="array" aca="1" ref="T100" ca="1">OFFSET(INDIRECT("Sheet"&amp;Q$2&amp;"!d1"),$G100-1,)</f>
        <v>10</v>
      </c>
      <c r="U100" cm="1">
        <f t="array" aca="1" ref="U100" ca="1">OFFSET(INDIRECT("Sheet"&amp;R$2&amp;"!d1"),$G100-1,)</f>
        <v>10</v>
      </c>
      <c r="V100" cm="1">
        <f t="array" aca="1" ref="V100" ca="1">OFFSET(INDIRECT("Sheet"&amp;S$2&amp;"!d1"),$G100-1,)</f>
        <v>10</v>
      </c>
      <c r="W100" cm="1">
        <f t="array" aca="1" ref="W100" ca="1">OFFSET(INDIRECT("Sheet"&amp;T$2&amp;"!d1"),$G100-1,)</f>
        <v>10</v>
      </c>
      <c r="X100" cm="1">
        <f t="array" aca="1" ref="X100" ca="1">OFFSET(INDIRECT("Sheet"&amp;U$2&amp;"!d1"),$G100-1,)</f>
        <v>10</v>
      </c>
      <c r="Y100" cm="1">
        <f t="array" aca="1" ref="Y100" ca="1">OFFSET(INDIRECT("Sheet"&amp;V$2&amp;"!d1"),$G100-1,)</f>
        <v>10</v>
      </c>
      <c r="Z100"/>
      <c r="AB100" s="3" cm="1">
        <f t="array" aca="1" ref="AB100" ca="1">OFFSET(INDIRECT("Sheet"&amp;E$2&amp;"!f1"),$G100-1,)</f>
        <v>0</v>
      </c>
      <c r="AC100" s="3" cm="1">
        <f t="array" aca="1" ref="AC100" ca="1">OFFSET(INDIRECT("Sheet"&amp;F$2&amp;"!f1"),$G100-1,)</f>
        <v>0</v>
      </c>
      <c r="AD100" s="3" cm="1">
        <f t="array" aca="1" ref="AD100" ca="1">OFFSET(INDIRECT("Sheet"&amp;G$2&amp;"!f1"),$G100-1,)</f>
        <v>0</v>
      </c>
      <c r="AE100" s="3" cm="1">
        <f t="array" aca="1" ref="AE100" ca="1">OFFSET(INDIRECT("Sheet"&amp;H$2&amp;"!f1"),$G100-1,)</f>
        <v>28800.1443041237</v>
      </c>
      <c r="AF100" s="3" cm="1">
        <f t="array" aca="1" ref="AF100" ca="1">OFFSET(INDIRECT("Sheet"&amp;I$2&amp;"!f1"),$G100-1,)</f>
        <v>28800.116159222998</v>
      </c>
      <c r="AG100" s="3" cm="1">
        <f t="array" aca="1" ref="AG100" ca="1">OFFSET(INDIRECT("Sheet"&amp;J$2&amp;"!f1"),$G100-1,)</f>
        <v>0.61150959506630898</v>
      </c>
      <c r="AH100" s="3" cm="1">
        <f t="array" aca="1" ref="AH100" ca="1">OFFSET(INDIRECT("Sheet"&amp;K$2&amp;"!f1"),$G100-1,)</f>
        <v>0.54844508400000702</v>
      </c>
      <c r="AI100" s="3" cm="1">
        <f t="array" aca="1" ref="AI100" ca="1">OFFSET(INDIRECT("Sheet"&amp;L$2&amp;"!f1"),$G100-1,)</f>
        <v>0.54785282500000598</v>
      </c>
      <c r="AJ100" s="3" cm="1">
        <f t="array" aca="1" ref="AJ100" ca="1">OFFSET(INDIRECT("Sheet"&amp;M$2&amp;"!f1"),$G100-1,)</f>
        <v>0.99327641353011098</v>
      </c>
      <c r="AK100" s="3" cm="1">
        <f t="array" aca="1" ref="AK100" ca="1">OFFSET(INDIRECT("Sheet"&amp;C$2&amp;"!f1"),$G100-1,)</f>
        <v>0</v>
      </c>
      <c r="AL100" s="3" cm="1">
        <f t="array" aca="1" ref="AL100" ca="1">OFFSET(INDIRECT("Sheet"&amp;D$2&amp;"!f1"),$G100-1,)</f>
        <v>0</v>
      </c>
      <c r="AM100" s="3" cm="1">
        <f t="array" aca="1" ref="AM100" ca="1">OFFSET(INDIRECT("Sheet"&amp;N$2&amp;"!f1"),$G100-1,)</f>
        <v>7.1605969984084297</v>
      </c>
      <c r="AN100" s="3" cm="1">
        <f t="array" aca="1" ref="AN100" ca="1">OFFSET(INDIRECT("Sheet"&amp;O$2&amp;"!f1"),$G100-1,)</f>
        <v>12.251845100894499</v>
      </c>
      <c r="AO100" s="3" cm="1">
        <f t="array" aca="1" ref="AO100" ca="1">OFFSET(INDIRECT("Sheet"&amp;P$2&amp;"!f1"),$G100-1,)</f>
        <v>19.780166652053499</v>
      </c>
      <c r="AP100" s="3" cm="1">
        <f t="array" aca="1" ref="AP100" ca="1">OFFSET(INDIRECT("Sheet"&amp;Q$2&amp;"!f1"),$G100-1,)</f>
        <v>4.5248769093304801</v>
      </c>
      <c r="AQ100" s="3" cm="1">
        <f t="array" aca="1" ref="AQ100" ca="1">OFFSET(INDIRECT("Sheet"&amp;R$2&amp;"!f1"),$G100-1,)</f>
        <v>6.6794187342748002</v>
      </c>
      <c r="AR100" s="3" cm="1">
        <f t="array" aca="1" ref="AR100" ca="1">OFFSET(INDIRECT("Sheet"&amp;S$2&amp;"!f1"),$G100-1,)</f>
        <v>9.6827484117820806</v>
      </c>
      <c r="AS100" s="3" cm="1">
        <f t="array" aca="1" ref="AS100" ca="1">OFFSET(INDIRECT("Sheet"&amp;T$2&amp;"!f1"),$G100-1,)</f>
        <v>12.412080229260001</v>
      </c>
      <c r="AT100" s="3" cm="1">
        <f t="array" aca="1" ref="AT100" ca="1">OFFSET(INDIRECT("Sheet"&amp;U$2&amp;"!f1"),$G100-1,)</f>
        <v>14.777330866083499</v>
      </c>
      <c r="AU100" s="3" cm="1">
        <f t="array" aca="1" ref="AU100" ca="1">OFFSET(INDIRECT("Sheet"&amp;V$2&amp;"!f1"),$G100-1,)</f>
        <v>19.9427770012989</v>
      </c>
      <c r="AV100" s="3"/>
      <c r="AX100">
        <f ca="1">IF(H100=$F100,1,0)</f>
        <v>0</v>
      </c>
      <c r="AY100">
        <f ca="1">IF(I100=$F100,1,0)</f>
        <v>0</v>
      </c>
      <c r="AZ100">
        <f ca="1">IF(J100=$F100,1,0)</f>
        <v>0</v>
      </c>
      <c r="BA100">
        <f ca="1">IF(K100=$F100,1,0)</f>
        <v>0</v>
      </c>
      <c r="BB100">
        <f ca="1">IF(L100=$F100,1,0)</f>
        <v>0</v>
      </c>
      <c r="BC100">
        <f ca="1">IF(M100=$F100,1,0)</f>
        <v>1</v>
      </c>
      <c r="BD100">
        <f ca="1">IF(C100=$F100,1,0)</f>
        <v>1</v>
      </c>
      <c r="BE100">
        <f ca="1">IF(D100=$F100,1,0)</f>
        <v>1</v>
      </c>
      <c r="BF100">
        <f t="shared" ca="1" si="13"/>
        <v>1</v>
      </c>
      <c r="BG100">
        <f t="shared" ca="1" si="14"/>
        <v>0</v>
      </c>
      <c r="BH100">
        <f t="shared" ca="1" si="25"/>
        <v>0</v>
      </c>
      <c r="BI100">
        <f t="shared" ca="1" si="26"/>
        <v>1</v>
      </c>
      <c r="BJ100">
        <f t="shared" ca="1" si="28"/>
        <v>1</v>
      </c>
      <c r="BK100">
        <f t="shared" ca="1" si="28"/>
        <v>1</v>
      </c>
      <c r="BL100">
        <f t="shared" ca="1" si="28"/>
        <v>1</v>
      </c>
      <c r="BM100">
        <f t="shared" ca="1" si="18"/>
        <v>1</v>
      </c>
      <c r="BN100">
        <f t="shared" ca="1" si="19"/>
        <v>1</v>
      </c>
      <c r="BO100">
        <f t="shared" ca="1" si="20"/>
        <v>1</v>
      </c>
      <c r="BP100">
        <f t="shared" ca="1" si="21"/>
        <v>1</v>
      </c>
      <c r="BQ100">
        <f t="shared" ca="1" si="22"/>
        <v>1</v>
      </c>
    </row>
    <row r="101" spans="1:69" s="4" customFormat="1" x14ac:dyDescent="0.2">
      <c r="A101" t="str">
        <f>Sheet3!A85</f>
        <v>[[55,5,12]]</v>
      </c>
      <c r="B101" s="4">
        <v>55</v>
      </c>
      <c r="C101" cm="1">
        <f t="array" aca="1" ref="C101" ca="1">OFFSET(INDIRECT("Sheet"&amp;K$2&amp;"!d1"),$G101-1,)</f>
        <v>12</v>
      </c>
      <c r="D101" cm="1">
        <f t="array" aca="1" ref="D101" ca="1">OFFSET(INDIRECT("Sheet"&amp;L$2&amp;"!d1"),$G101-1,)</f>
        <v>12</v>
      </c>
      <c r="E101" s="4">
        <v>5</v>
      </c>
      <c r="F101" s="4">
        <v>12</v>
      </c>
      <c r="G101">
        <f t="shared" si="23"/>
        <v>85</v>
      </c>
      <c r="H101" cm="1">
        <f t="array" aca="1" ref="H101" ca="1">OFFSET(INDIRECT("Sheet"&amp;E$2&amp;"!d1"),$G101-1,)</f>
        <v>0</v>
      </c>
      <c r="I101" cm="1">
        <f t="array" aca="1" ref="I101" ca="1">OFFSET(INDIRECT("Sheet"&amp;F$2&amp;"!d1"),$G101-1,)</f>
        <v>0</v>
      </c>
      <c r="J101" cm="1">
        <f t="array" aca="1" ref="J101" ca="1">OFFSET(INDIRECT("Sheet"&amp;G$2&amp;"!d1"),$G101-1,)</f>
        <v>0</v>
      </c>
      <c r="K101" cm="1">
        <f t="array" aca="1" ref="K101" ca="1">OFFSET(INDIRECT("Sheet"&amp;H$2&amp;"!d1"),$G101-1,)</f>
        <v>0</v>
      </c>
      <c r="L101" cm="1">
        <f t="array" aca="1" ref="L101" ca="1">OFFSET(INDIRECT("Sheet"&amp;I$2&amp;"!d1"),$G101-1,)</f>
        <v>0</v>
      </c>
      <c r="M101" cm="1">
        <f t="array" aca="1" ref="M101" ca="1">OFFSET(INDIRECT("Sheet"&amp;J$2&amp;"!d1"),$G101-1,)</f>
        <v>12</v>
      </c>
      <c r="N101" cm="1">
        <f t="array" aca="1" ref="N101" ca="1">OFFSET(INDIRECT("Sheet"&amp;M$2&amp;"!d1"),$G101-1,)</f>
        <v>12</v>
      </c>
      <c r="O101" cm="1">
        <f t="array" aca="1" ref="O101" ca="1">OFFSET(INDIRECT("Sheet"&amp;C$2&amp;"!d1"),$G101-1,)</f>
        <v>0</v>
      </c>
      <c r="P101" cm="1">
        <f t="array" aca="1" ref="P101" ca="1">OFFSET(INDIRECT("Sheet"&amp;D$2&amp;"!d1"),$G101-1,)</f>
        <v>0</v>
      </c>
      <c r="Q101" cm="1">
        <f t="array" aca="1" ref="Q101" ca="1">OFFSET(INDIRECT("Sheet"&amp;N$2&amp;"!d1"),$G101-1,)</f>
        <v>12</v>
      </c>
      <c r="R101" cm="1">
        <f t="array" aca="1" ref="R101" ca="1">OFFSET(INDIRECT("Sheet"&amp;O$2&amp;"!d1"),$G101-1,)</f>
        <v>12</v>
      </c>
      <c r="S101" cm="1">
        <f t="array" aca="1" ref="S101" ca="1">OFFSET(INDIRECT("Sheet"&amp;P$2&amp;"!d1"),$G101-1,)</f>
        <v>12</v>
      </c>
      <c r="T101" cm="1">
        <f t="array" aca="1" ref="T101" ca="1">OFFSET(INDIRECT("Sheet"&amp;Q$2&amp;"!d1"),$G101-1,)</f>
        <v>12</v>
      </c>
      <c r="U101" cm="1">
        <f t="array" aca="1" ref="U101" ca="1">OFFSET(INDIRECT("Sheet"&amp;R$2&amp;"!d1"),$G101-1,)</f>
        <v>12</v>
      </c>
      <c r="V101" cm="1">
        <f t="array" aca="1" ref="V101" ca="1">OFFSET(INDIRECT("Sheet"&amp;S$2&amp;"!d1"),$G101-1,)</f>
        <v>12</v>
      </c>
      <c r="W101" cm="1">
        <f t="array" aca="1" ref="W101" ca="1">OFFSET(INDIRECT("Sheet"&amp;T$2&amp;"!d1"),$G101-1,)</f>
        <v>12</v>
      </c>
      <c r="X101" cm="1">
        <f t="array" aca="1" ref="X101" ca="1">OFFSET(INDIRECT("Sheet"&amp;U$2&amp;"!d1"),$G101-1,)</f>
        <v>12</v>
      </c>
      <c r="Y101" cm="1">
        <f t="array" aca="1" ref="Y101" ca="1">OFFSET(INDIRECT("Sheet"&amp;V$2&amp;"!d1"),$G101-1,)</f>
        <v>12</v>
      </c>
      <c r="Z101"/>
      <c r="AB101" s="3" cm="1">
        <f t="array" aca="1" ref="AB101" ca="1">OFFSET(INDIRECT("Sheet"&amp;E$2&amp;"!f1"),$G101-1,)</f>
        <v>0</v>
      </c>
      <c r="AC101" s="3" cm="1">
        <f t="array" aca="1" ref="AC101" ca="1">OFFSET(INDIRECT("Sheet"&amp;F$2&amp;"!f1"),$G101-1,)</f>
        <v>0</v>
      </c>
      <c r="AD101" s="3" cm="1">
        <f t="array" aca="1" ref="AD101" ca="1">OFFSET(INDIRECT("Sheet"&amp;G$2&amp;"!f1"),$G101-1,)</f>
        <v>0</v>
      </c>
      <c r="AE101" s="3" cm="1">
        <f t="array" aca="1" ref="AE101" ca="1">OFFSET(INDIRECT("Sheet"&amp;H$2&amp;"!f1"),$G101-1,)</f>
        <v>28800.137753351501</v>
      </c>
      <c r="AF101" s="3" cm="1">
        <f t="array" aca="1" ref="AF101" ca="1">OFFSET(INDIRECT("Sheet"&amp;I$2&amp;"!f1"),$G101-1,)</f>
        <v>28800.113202601598</v>
      </c>
      <c r="AG101" s="3" cm="1">
        <f t="array" aca="1" ref="AG101" ca="1">OFFSET(INDIRECT("Sheet"&amp;J$2&amp;"!f1"),$G101-1,)</f>
        <v>0.711590372957289</v>
      </c>
      <c r="AH101" s="3" cm="1">
        <f t="array" aca="1" ref="AH101" ca="1">OFFSET(INDIRECT("Sheet"&amp;K$2&amp;"!f1"),$G101-1,)</f>
        <v>0.63510523599998603</v>
      </c>
      <c r="AI101" s="3" cm="1">
        <f t="array" aca="1" ref="AI101" ca="1">OFFSET(INDIRECT("Sheet"&amp;L$2&amp;"!f1"),$G101-1,)</f>
        <v>0.63576155999999096</v>
      </c>
      <c r="AJ101" s="3" cm="1">
        <f t="array" aca="1" ref="AJ101" ca="1">OFFSET(INDIRECT("Sheet"&amp;M$2&amp;"!f1"),$G101-1,)</f>
        <v>1.0638200417160899</v>
      </c>
      <c r="AK101" s="3" cm="1">
        <f t="array" aca="1" ref="AK101" ca="1">OFFSET(INDIRECT("Sheet"&amp;C$2&amp;"!f1"),$G101-1,)</f>
        <v>0</v>
      </c>
      <c r="AL101" s="3" cm="1">
        <f t="array" aca="1" ref="AL101" ca="1">OFFSET(INDIRECT("Sheet"&amp;D$2&amp;"!f1"),$G101-1,)</f>
        <v>0</v>
      </c>
      <c r="AM101" s="3" cm="1">
        <f t="array" aca="1" ref="AM101" ca="1">OFFSET(INDIRECT("Sheet"&amp;N$2&amp;"!f1"),$G101-1,)</f>
        <v>5.89092935528606</v>
      </c>
      <c r="AN101" s="3" cm="1">
        <f t="array" aca="1" ref="AN101" ca="1">OFFSET(INDIRECT("Sheet"&amp;O$2&amp;"!f1"),$G101-1,)</f>
        <v>10.771885363385</v>
      </c>
      <c r="AO101" s="3" cm="1">
        <f t="array" aca="1" ref="AO101" ca="1">OFFSET(INDIRECT("Sheet"&amp;P$2&amp;"!f1"),$G101-1,)</f>
        <v>14.941614666953599</v>
      </c>
      <c r="AP101" s="3" cm="1">
        <f t="array" aca="1" ref="AP101" ca="1">OFFSET(INDIRECT("Sheet"&amp;Q$2&amp;"!f1"),$G101-1,)</f>
        <v>3.5312823085114302</v>
      </c>
      <c r="AQ101" s="3" cm="1">
        <f t="array" aca="1" ref="AQ101" ca="1">OFFSET(INDIRECT("Sheet"&amp;R$2&amp;"!f1"),$G101-1,)</f>
        <v>5.4160697525367096</v>
      </c>
      <c r="AR101" s="3" cm="1">
        <f t="array" aca="1" ref="AR101" ca="1">OFFSET(INDIRECT("Sheet"&amp;S$2&amp;"!f1"),$G101-1,)</f>
        <v>8.8034352287650108</v>
      </c>
      <c r="AS101" s="3" cm="1">
        <f t="array" aca="1" ref="AS101" ca="1">OFFSET(INDIRECT("Sheet"&amp;T$2&amp;"!f1"),$G101-1,)</f>
        <v>10.8731632540002</v>
      </c>
      <c r="AT101" s="3" cm="1">
        <f t="array" aca="1" ref="AT101" ca="1">OFFSET(INDIRECT("Sheet"&amp;U$2&amp;"!f1"),$G101-1,)</f>
        <v>11.1348768509924</v>
      </c>
      <c r="AU101" s="3" cm="1">
        <f t="array" aca="1" ref="AU101" ca="1">OFFSET(INDIRECT("Sheet"&amp;V$2&amp;"!f1"),$G101-1,)</f>
        <v>15.269910573028</v>
      </c>
      <c r="AV101" s="3"/>
      <c r="AX101">
        <f ca="1">IF(H101=$F101,1,0)</f>
        <v>0</v>
      </c>
      <c r="AY101">
        <f ca="1">IF(I101=$F101,1,0)</f>
        <v>0</v>
      </c>
      <c r="AZ101">
        <f ca="1">IF(J101=$F101,1,0)</f>
        <v>0</v>
      </c>
      <c r="BA101">
        <f ca="1">IF(K101=$F101,1,0)</f>
        <v>0</v>
      </c>
      <c r="BB101">
        <f ca="1">IF(L101=$F101,1,0)</f>
        <v>0</v>
      </c>
      <c r="BC101">
        <f ca="1">IF(M101=$F101,1,0)</f>
        <v>1</v>
      </c>
      <c r="BD101">
        <f ca="1">IF(C101=$F101,1,0)</f>
        <v>1</v>
      </c>
      <c r="BE101">
        <f ca="1">IF(D101=$F101,1,0)</f>
        <v>1</v>
      </c>
      <c r="BF101">
        <f t="shared" ca="1" si="13"/>
        <v>1</v>
      </c>
      <c r="BG101">
        <f t="shared" ca="1" si="14"/>
        <v>0</v>
      </c>
      <c r="BH101">
        <f t="shared" ca="1" si="25"/>
        <v>0</v>
      </c>
      <c r="BI101">
        <f t="shared" ca="1" si="26"/>
        <v>1</v>
      </c>
      <c r="BJ101">
        <f t="shared" ca="1" si="28"/>
        <v>1</v>
      </c>
      <c r="BK101">
        <f t="shared" ca="1" si="28"/>
        <v>1</v>
      </c>
      <c r="BL101">
        <f t="shared" ca="1" si="28"/>
        <v>1</v>
      </c>
      <c r="BM101">
        <f t="shared" ca="1" si="18"/>
        <v>1</v>
      </c>
      <c r="BN101">
        <f t="shared" ca="1" si="19"/>
        <v>1</v>
      </c>
      <c r="BO101">
        <f t="shared" ca="1" si="20"/>
        <v>1</v>
      </c>
      <c r="BP101">
        <f t="shared" ca="1" si="21"/>
        <v>1</v>
      </c>
      <c r="BQ101">
        <f t="shared" ca="1" si="22"/>
        <v>1</v>
      </c>
    </row>
    <row r="102" spans="1:69" s="4" customFormat="1" x14ac:dyDescent="0.2">
      <c r="A102" t="str">
        <f>Sheet3!A86</f>
        <v>[[56,5,12]]</v>
      </c>
      <c r="B102" s="4">
        <v>56</v>
      </c>
      <c r="C102" cm="1">
        <f t="array" aca="1" ref="C102" ca="1">OFFSET(INDIRECT("Sheet"&amp;K$2&amp;"!d1"),$G102-1,)</f>
        <v>12</v>
      </c>
      <c r="D102" cm="1">
        <f t="array" aca="1" ref="D102" ca="1">OFFSET(INDIRECT("Sheet"&amp;L$2&amp;"!d1"),$G102-1,)</f>
        <v>12</v>
      </c>
      <c r="E102" s="4">
        <v>5</v>
      </c>
      <c r="F102" s="4">
        <v>12</v>
      </c>
      <c r="G102">
        <f t="shared" si="23"/>
        <v>86</v>
      </c>
      <c r="H102" cm="1">
        <f t="array" aca="1" ref="H102" ca="1">OFFSET(INDIRECT("Sheet"&amp;E$2&amp;"!d1"),$G102-1,)</f>
        <v>0</v>
      </c>
      <c r="I102" cm="1">
        <f t="array" aca="1" ref="I102" ca="1">OFFSET(INDIRECT("Sheet"&amp;F$2&amp;"!d1"),$G102-1,)</f>
        <v>0</v>
      </c>
      <c r="J102" cm="1">
        <f t="array" aca="1" ref="J102" ca="1">OFFSET(INDIRECT("Sheet"&amp;G$2&amp;"!d1"),$G102-1,)</f>
        <v>0</v>
      </c>
      <c r="K102" cm="1">
        <f t="array" aca="1" ref="K102" ca="1">OFFSET(INDIRECT("Sheet"&amp;H$2&amp;"!d1"),$G102-1,)</f>
        <v>0</v>
      </c>
      <c r="L102" cm="1">
        <f t="array" aca="1" ref="L102" ca="1">OFFSET(INDIRECT("Sheet"&amp;I$2&amp;"!d1"),$G102-1,)</f>
        <v>0</v>
      </c>
      <c r="M102" cm="1">
        <f t="array" aca="1" ref="M102" ca="1">OFFSET(INDIRECT("Sheet"&amp;J$2&amp;"!d1"),$G102-1,)</f>
        <v>12</v>
      </c>
      <c r="N102" cm="1">
        <f t="array" aca="1" ref="N102" ca="1">OFFSET(INDIRECT("Sheet"&amp;M$2&amp;"!d1"),$G102-1,)</f>
        <v>12</v>
      </c>
      <c r="O102" cm="1">
        <f t="array" aca="1" ref="O102" ca="1">OFFSET(INDIRECT("Sheet"&amp;C$2&amp;"!d1"),$G102-1,)</f>
        <v>0</v>
      </c>
      <c r="P102" cm="1">
        <f t="array" aca="1" ref="P102" ca="1">OFFSET(INDIRECT("Sheet"&amp;D$2&amp;"!d1"),$G102-1,)</f>
        <v>0</v>
      </c>
      <c r="Q102" cm="1">
        <f t="array" aca="1" ref="Q102" ca="1">OFFSET(INDIRECT("Sheet"&amp;N$2&amp;"!d1"),$G102-1,)</f>
        <v>12</v>
      </c>
      <c r="R102" cm="1">
        <f t="array" aca="1" ref="R102" ca="1">OFFSET(INDIRECT("Sheet"&amp;O$2&amp;"!d1"),$G102-1,)</f>
        <v>12</v>
      </c>
      <c r="S102" cm="1">
        <f t="array" aca="1" ref="S102" ca="1">OFFSET(INDIRECT("Sheet"&amp;P$2&amp;"!d1"),$G102-1,)</f>
        <v>12</v>
      </c>
      <c r="T102" cm="1">
        <f t="array" aca="1" ref="T102" ca="1">OFFSET(INDIRECT("Sheet"&amp;Q$2&amp;"!d1"),$G102-1,)</f>
        <v>12</v>
      </c>
      <c r="U102" cm="1">
        <f t="array" aca="1" ref="U102" ca="1">OFFSET(INDIRECT("Sheet"&amp;R$2&amp;"!d1"),$G102-1,)</f>
        <v>12</v>
      </c>
      <c r="V102" cm="1">
        <f t="array" aca="1" ref="V102" ca="1">OFFSET(INDIRECT("Sheet"&amp;S$2&amp;"!d1"),$G102-1,)</f>
        <v>12</v>
      </c>
      <c r="W102" cm="1">
        <f t="array" aca="1" ref="W102" ca="1">OFFSET(INDIRECT("Sheet"&amp;T$2&amp;"!d1"),$G102-1,)</f>
        <v>12</v>
      </c>
      <c r="X102" cm="1">
        <f t="array" aca="1" ref="X102" ca="1">OFFSET(INDIRECT("Sheet"&amp;U$2&amp;"!d1"),$G102-1,)</f>
        <v>12</v>
      </c>
      <c r="Y102" cm="1">
        <f t="array" aca="1" ref="Y102" ca="1">OFFSET(INDIRECT("Sheet"&amp;V$2&amp;"!d1"),$G102-1,)</f>
        <v>12</v>
      </c>
      <c r="Z102"/>
      <c r="AB102" s="3" cm="1">
        <f t="array" aca="1" ref="AB102" ca="1">OFFSET(INDIRECT("Sheet"&amp;E$2&amp;"!f1"),$G102-1,)</f>
        <v>0</v>
      </c>
      <c r="AC102" s="3" cm="1">
        <f t="array" aca="1" ref="AC102" ca="1">OFFSET(INDIRECT("Sheet"&amp;F$2&amp;"!f1"),$G102-1,)</f>
        <v>0</v>
      </c>
      <c r="AD102" s="3" cm="1">
        <f t="array" aca="1" ref="AD102" ca="1">OFFSET(INDIRECT("Sheet"&amp;G$2&amp;"!f1"),$G102-1,)</f>
        <v>0</v>
      </c>
      <c r="AE102" s="3" cm="1">
        <f t="array" aca="1" ref="AE102" ca="1">OFFSET(INDIRECT("Sheet"&amp;H$2&amp;"!f1"),$G102-1,)</f>
        <v>28800.1149517456</v>
      </c>
      <c r="AF102" s="3" cm="1">
        <f t="array" aca="1" ref="AF102" ca="1">OFFSET(INDIRECT("Sheet"&amp;I$2&amp;"!f1"),$G102-1,)</f>
        <v>28802.8303047269</v>
      </c>
      <c r="AG102" s="3" cm="1">
        <f t="array" aca="1" ref="AG102" ca="1">OFFSET(INDIRECT("Sheet"&amp;J$2&amp;"!f1"),$G102-1,)</f>
        <v>0.73301730956882205</v>
      </c>
      <c r="AH102" s="3" cm="1">
        <f t="array" aca="1" ref="AH102" ca="1">OFFSET(INDIRECT("Sheet"&amp;K$2&amp;"!f1"),$G102-1,)</f>
        <v>0.681740459000025</v>
      </c>
      <c r="AI102" s="3" cm="1">
        <f t="array" aca="1" ref="AI102" ca="1">OFFSET(INDIRECT("Sheet"&amp;L$2&amp;"!f1"),$G102-1,)</f>
        <v>0.66420541100001096</v>
      </c>
      <c r="AJ102" s="3" cm="1">
        <f t="array" aca="1" ref="AJ102" ca="1">OFFSET(INDIRECT("Sheet"&amp;M$2&amp;"!f1"),$G102-1,)</f>
        <v>1.09858090337365</v>
      </c>
      <c r="AK102" s="3" cm="1">
        <f t="array" aca="1" ref="AK102" ca="1">OFFSET(INDIRECT("Sheet"&amp;C$2&amp;"!f1"),$G102-1,)</f>
        <v>0</v>
      </c>
      <c r="AL102" s="3" cm="1">
        <f t="array" aca="1" ref="AL102" ca="1">OFFSET(INDIRECT("Sheet"&amp;D$2&amp;"!f1"),$G102-1,)</f>
        <v>0</v>
      </c>
      <c r="AM102" s="3" cm="1">
        <f t="array" aca="1" ref="AM102" ca="1">OFFSET(INDIRECT("Sheet"&amp;N$2&amp;"!f1"),$G102-1,)</f>
        <v>5.8089930983260203</v>
      </c>
      <c r="AN102" s="3" cm="1">
        <f t="array" aca="1" ref="AN102" ca="1">OFFSET(INDIRECT("Sheet"&amp;O$2&amp;"!f1"),$G102-1,)</f>
        <v>10.7620215360075</v>
      </c>
      <c r="AO102" s="3" cm="1">
        <f t="array" aca="1" ref="AO102" ca="1">OFFSET(INDIRECT("Sheet"&amp;P$2&amp;"!f1"),$G102-1,)</f>
        <v>14.7015788061544</v>
      </c>
      <c r="AP102" s="3" cm="1">
        <f t="array" aca="1" ref="AP102" ca="1">OFFSET(INDIRECT("Sheet"&amp;Q$2&amp;"!f1"),$G102-1,)</f>
        <v>3.5931192887946901</v>
      </c>
      <c r="AQ102" s="3" cm="1">
        <f t="array" aca="1" ref="AQ102" ca="1">OFFSET(INDIRECT("Sheet"&amp;R$2&amp;"!f1"),$G102-1,)</f>
        <v>5.3629288366064403</v>
      </c>
      <c r="AR102" s="3" cm="1">
        <f t="array" aca="1" ref="AR102" ca="1">OFFSET(INDIRECT("Sheet"&amp;S$2&amp;"!f1"),$G102-1,)</f>
        <v>8.9443791359662992</v>
      </c>
      <c r="AS102" s="3" cm="1">
        <f t="array" aca="1" ref="AS102" ca="1">OFFSET(INDIRECT("Sheet"&amp;T$2&amp;"!f1"),$G102-1,)</f>
        <v>10.8389267539605</v>
      </c>
      <c r="AT102" s="3" cm="1">
        <f t="array" aca="1" ref="AT102" ca="1">OFFSET(INDIRECT("Sheet"&amp;U$2&amp;"!f1"),$G102-1,)</f>
        <v>11.1538392473012</v>
      </c>
      <c r="AU102" s="3" cm="1">
        <f t="array" aca="1" ref="AU102" ca="1">OFFSET(INDIRECT("Sheet"&amp;V$2&amp;"!f1"),$G102-1,)</f>
        <v>14.290853776037601</v>
      </c>
      <c r="AV102" s="3"/>
      <c r="AX102">
        <f ca="1">IF(H102=$F102,1,0)</f>
        <v>0</v>
      </c>
      <c r="AY102">
        <f ca="1">IF(I102=$F102,1,0)</f>
        <v>0</v>
      </c>
      <c r="AZ102">
        <f ca="1">IF(J102=$F102,1,0)</f>
        <v>0</v>
      </c>
      <c r="BA102">
        <f ca="1">IF(K102=$F102,1,0)</f>
        <v>0</v>
      </c>
      <c r="BB102">
        <f ca="1">IF(L102=$F102,1,0)</f>
        <v>0</v>
      </c>
      <c r="BC102">
        <f ca="1">IF(M102=$F102,1,0)</f>
        <v>1</v>
      </c>
      <c r="BD102">
        <f ca="1">IF(C102=$F102,1,0)</f>
        <v>1</v>
      </c>
      <c r="BE102">
        <f ca="1">IF(D102=$F102,1,0)</f>
        <v>1</v>
      </c>
      <c r="BF102">
        <f t="shared" ca="1" si="13"/>
        <v>1</v>
      </c>
      <c r="BG102">
        <f t="shared" ca="1" si="14"/>
        <v>0</v>
      </c>
      <c r="BH102">
        <f t="shared" ca="1" si="25"/>
        <v>0</v>
      </c>
      <c r="BI102">
        <f t="shared" ca="1" si="26"/>
        <v>1</v>
      </c>
      <c r="BJ102">
        <f t="shared" ca="1" si="28"/>
        <v>1</v>
      </c>
      <c r="BK102">
        <f t="shared" ca="1" si="28"/>
        <v>1</v>
      </c>
      <c r="BL102">
        <f t="shared" ca="1" si="28"/>
        <v>1</v>
      </c>
      <c r="BM102">
        <f t="shared" ca="1" si="18"/>
        <v>1</v>
      </c>
      <c r="BN102">
        <f t="shared" ca="1" si="19"/>
        <v>1</v>
      </c>
      <c r="BO102">
        <f t="shared" ca="1" si="20"/>
        <v>1</v>
      </c>
      <c r="BP102">
        <f t="shared" ca="1" si="21"/>
        <v>1</v>
      </c>
      <c r="BQ102">
        <f t="shared" ca="1" si="22"/>
        <v>1</v>
      </c>
    </row>
    <row r="103" spans="1:69" s="4" customFormat="1" x14ac:dyDescent="0.2">
      <c r="A103" t="str">
        <f>Sheet3!A87</f>
        <v>[[57,4,13]]</v>
      </c>
      <c r="B103" s="4">
        <v>57</v>
      </c>
      <c r="C103" cm="1">
        <f t="array" aca="1" ref="C103" ca="1">OFFSET(INDIRECT("Sheet"&amp;K$2&amp;"!d1"),$G103-1,)</f>
        <v>13</v>
      </c>
      <c r="D103" cm="1">
        <f t="array" aca="1" ref="D103" ca="1">OFFSET(INDIRECT("Sheet"&amp;L$2&amp;"!d1"),$G103-1,)</f>
        <v>13</v>
      </c>
      <c r="E103" s="4">
        <v>4</v>
      </c>
      <c r="F103" s="4">
        <v>13</v>
      </c>
      <c r="G103">
        <f t="shared" si="23"/>
        <v>87</v>
      </c>
      <c r="H103" cm="1">
        <f t="array" aca="1" ref="H103" ca="1">OFFSET(INDIRECT("Sheet"&amp;E$2&amp;"!d1"),$G103-1,)</f>
        <v>0</v>
      </c>
      <c r="I103" cm="1">
        <f t="array" aca="1" ref="I103" ca="1">OFFSET(INDIRECT("Sheet"&amp;F$2&amp;"!d1"),$G103-1,)</f>
        <v>0</v>
      </c>
      <c r="J103" cm="1">
        <f t="array" aca="1" ref="J103" ca="1">OFFSET(INDIRECT("Sheet"&amp;G$2&amp;"!d1"),$G103-1,)</f>
        <v>0</v>
      </c>
      <c r="K103" cm="1">
        <f t="array" aca="1" ref="K103" ca="1">OFFSET(INDIRECT("Sheet"&amp;H$2&amp;"!d1"),$G103-1,)</f>
        <v>0</v>
      </c>
      <c r="L103" cm="1">
        <f t="array" aca="1" ref="L103" ca="1">OFFSET(INDIRECT("Sheet"&amp;I$2&amp;"!d1"),$G103-1,)</f>
        <v>0</v>
      </c>
      <c r="M103" cm="1">
        <f t="array" aca="1" ref="M103" ca="1">OFFSET(INDIRECT("Sheet"&amp;J$2&amp;"!d1"),$G103-1,)</f>
        <v>13</v>
      </c>
      <c r="N103" cm="1">
        <f t="array" aca="1" ref="N103" ca="1">OFFSET(INDIRECT("Sheet"&amp;M$2&amp;"!d1"),$G103-1,)</f>
        <v>13</v>
      </c>
      <c r="O103" cm="1">
        <f t="array" aca="1" ref="O103" ca="1">OFFSET(INDIRECT("Sheet"&amp;C$2&amp;"!d1"),$G103-1,)</f>
        <v>0</v>
      </c>
      <c r="P103" cm="1">
        <f t="array" aca="1" ref="P103" ca="1">OFFSET(INDIRECT("Sheet"&amp;D$2&amp;"!d1"),$G103-1,)</f>
        <v>0</v>
      </c>
      <c r="Q103" cm="1">
        <f t="array" aca="1" ref="Q103" ca="1">OFFSET(INDIRECT("Sheet"&amp;N$2&amp;"!d1"),$G103-1,)</f>
        <v>13</v>
      </c>
      <c r="R103" cm="1">
        <f t="array" aca="1" ref="R103" ca="1">OFFSET(INDIRECT("Sheet"&amp;O$2&amp;"!d1"),$G103-1,)</f>
        <v>13</v>
      </c>
      <c r="S103" cm="1">
        <f t="array" aca="1" ref="S103" ca="1">OFFSET(INDIRECT("Sheet"&amp;P$2&amp;"!d1"),$G103-1,)</f>
        <v>13</v>
      </c>
      <c r="T103" cm="1">
        <f t="array" aca="1" ref="T103" ca="1">OFFSET(INDIRECT("Sheet"&amp;Q$2&amp;"!d1"),$G103-1,)</f>
        <v>13</v>
      </c>
      <c r="U103" cm="1">
        <f t="array" aca="1" ref="U103" ca="1">OFFSET(INDIRECT("Sheet"&amp;R$2&amp;"!d1"),$G103-1,)</f>
        <v>13</v>
      </c>
      <c r="V103" cm="1">
        <f t="array" aca="1" ref="V103" ca="1">OFFSET(INDIRECT("Sheet"&amp;S$2&amp;"!d1"),$G103-1,)</f>
        <v>13</v>
      </c>
      <c r="W103" cm="1">
        <f t="array" aca="1" ref="W103" ca="1">OFFSET(INDIRECT("Sheet"&amp;T$2&amp;"!d1"),$G103-1,)</f>
        <v>13</v>
      </c>
      <c r="X103" cm="1">
        <f t="array" aca="1" ref="X103" ca="1">OFFSET(INDIRECT("Sheet"&amp;U$2&amp;"!d1"),$G103-1,)</f>
        <v>13</v>
      </c>
      <c r="Y103" cm="1">
        <f t="array" aca="1" ref="Y103" ca="1">OFFSET(INDIRECT("Sheet"&amp;V$2&amp;"!d1"),$G103-1,)</f>
        <v>13</v>
      </c>
      <c r="Z103"/>
      <c r="AB103" s="3" cm="1">
        <f t="array" aca="1" ref="AB103" ca="1">OFFSET(INDIRECT("Sheet"&amp;E$2&amp;"!f1"),$G103-1,)</f>
        <v>0</v>
      </c>
      <c r="AC103" s="3" cm="1">
        <f t="array" aca="1" ref="AC103" ca="1">OFFSET(INDIRECT("Sheet"&amp;F$2&amp;"!f1"),$G103-1,)</f>
        <v>0</v>
      </c>
      <c r="AD103" s="3" cm="1">
        <f t="array" aca="1" ref="AD103" ca="1">OFFSET(INDIRECT("Sheet"&amp;G$2&amp;"!f1"),$G103-1,)</f>
        <v>0</v>
      </c>
      <c r="AE103" s="3" cm="1">
        <f t="array" aca="1" ref="AE103" ca="1">OFFSET(INDIRECT("Sheet"&amp;H$2&amp;"!f1"),$G103-1,)</f>
        <v>28800.1140086427</v>
      </c>
      <c r="AF103" s="3" cm="1">
        <f t="array" aca="1" ref="AF103" ca="1">OFFSET(INDIRECT("Sheet"&amp;I$2&amp;"!f1"),$G103-1,)</f>
        <v>28800.111983582301</v>
      </c>
      <c r="AG103" s="3" cm="1">
        <f t="array" aca="1" ref="AG103" ca="1">OFFSET(INDIRECT("Sheet"&amp;J$2&amp;"!f1"),$G103-1,)</f>
        <v>0.82568578608333998</v>
      </c>
      <c r="AH103" s="3" cm="1">
        <f t="array" aca="1" ref="AH103" ca="1">OFFSET(INDIRECT("Sheet"&amp;K$2&amp;"!f1"),$G103-1,)</f>
        <v>0.70199211599998501</v>
      </c>
      <c r="AI103" s="3" cm="1">
        <f t="array" aca="1" ref="AI103" ca="1">OFFSET(INDIRECT("Sheet"&amp;L$2&amp;"!f1"),$G103-1,)</f>
        <v>0.68197142899998597</v>
      </c>
      <c r="AJ103" s="3" cm="1">
        <f t="array" aca="1" ref="AJ103" ca="1">OFFSET(INDIRECT("Sheet"&amp;M$2&amp;"!f1"),$G103-1,)</f>
        <v>1.1319715259596701</v>
      </c>
      <c r="AK103" s="3" cm="1">
        <f t="array" aca="1" ref="AK103" ca="1">OFFSET(INDIRECT("Sheet"&amp;C$2&amp;"!f1"),$G103-1,)</f>
        <v>0</v>
      </c>
      <c r="AL103" s="3" cm="1">
        <f t="array" aca="1" ref="AL103" ca="1">OFFSET(INDIRECT("Sheet"&amp;D$2&amp;"!f1"),$G103-1,)</f>
        <v>0</v>
      </c>
      <c r="AM103" s="3" cm="1">
        <f t="array" aca="1" ref="AM103" ca="1">OFFSET(INDIRECT("Sheet"&amp;N$2&amp;"!f1"),$G103-1,)</f>
        <v>5.8363873502239496</v>
      </c>
      <c r="AN103" s="3" cm="1">
        <f t="array" aca="1" ref="AN103" ca="1">OFFSET(INDIRECT("Sheet"&amp;O$2&amp;"!f1"),$G103-1,)</f>
        <v>11.0892522605136</v>
      </c>
      <c r="AO103" s="3" cm="1">
        <f t="array" aca="1" ref="AO103" ca="1">OFFSET(INDIRECT("Sheet"&amp;P$2&amp;"!f1"),$G103-1,)</f>
        <v>14.4018216943368</v>
      </c>
      <c r="AP103" s="3" cm="1">
        <f t="array" aca="1" ref="AP103" ca="1">OFFSET(INDIRECT("Sheet"&amp;Q$2&amp;"!f1"),$G103-1,)</f>
        <v>3.5937514640390802</v>
      </c>
      <c r="AQ103" s="3" cm="1">
        <f t="array" aca="1" ref="AQ103" ca="1">OFFSET(INDIRECT("Sheet"&amp;R$2&amp;"!f1"),$G103-1,)</f>
        <v>5.3964968193322402</v>
      </c>
      <c r="AR103" s="3" cm="1">
        <f t="array" aca="1" ref="AR103" ca="1">OFFSET(INDIRECT("Sheet"&amp;S$2&amp;"!f1"),$G103-1,)</f>
        <v>9.3277538195252401</v>
      </c>
      <c r="AS103" s="3" cm="1">
        <f t="array" aca="1" ref="AS103" ca="1">OFFSET(INDIRECT("Sheet"&amp;T$2&amp;"!f1"),$G103-1,)</f>
        <v>11.1889666141942</v>
      </c>
      <c r="AT103" s="3" cm="1">
        <f t="array" aca="1" ref="AT103" ca="1">OFFSET(INDIRECT("Sheet"&amp;U$2&amp;"!f1"),$G103-1,)</f>
        <v>11.268855107016799</v>
      </c>
      <c r="AU103" s="3" cm="1">
        <f t="array" aca="1" ref="AU103" ca="1">OFFSET(INDIRECT("Sheet"&amp;V$2&amp;"!f1"),$G103-1,)</f>
        <v>13.668645250611</v>
      </c>
      <c r="AV103" s="3"/>
      <c r="AX103">
        <f ca="1">IF(H103=$F103,1,0)</f>
        <v>0</v>
      </c>
      <c r="AY103">
        <f ca="1">IF(I103=$F103,1,0)</f>
        <v>0</v>
      </c>
      <c r="AZ103">
        <f ca="1">IF(J103=$F103,1,0)</f>
        <v>0</v>
      </c>
      <c r="BA103">
        <f ca="1">IF(K103=$F103,1,0)</f>
        <v>0</v>
      </c>
      <c r="BB103">
        <f ca="1">IF(L103=$F103,1,0)</f>
        <v>0</v>
      </c>
      <c r="BC103">
        <f ca="1">IF(M103=$F103,1,0)</f>
        <v>1</v>
      </c>
      <c r="BD103">
        <f ca="1">IF(C103=$F103,1,0)</f>
        <v>1</v>
      </c>
      <c r="BE103">
        <f ca="1">IF(D103=$F103,1,0)</f>
        <v>1</v>
      </c>
      <c r="BF103">
        <f t="shared" ca="1" si="13"/>
        <v>1</v>
      </c>
      <c r="BG103">
        <f t="shared" ca="1" si="14"/>
        <v>0</v>
      </c>
      <c r="BH103">
        <f t="shared" ca="1" si="25"/>
        <v>0</v>
      </c>
      <c r="BI103">
        <f t="shared" ca="1" si="26"/>
        <v>1</v>
      </c>
      <c r="BJ103">
        <f t="shared" ca="1" si="28"/>
        <v>1</v>
      </c>
      <c r="BK103">
        <f t="shared" ca="1" si="28"/>
        <v>1</v>
      </c>
      <c r="BL103">
        <f t="shared" ca="1" si="28"/>
        <v>1</v>
      </c>
      <c r="BM103">
        <f t="shared" ca="1" si="18"/>
        <v>1</v>
      </c>
      <c r="BN103">
        <f t="shared" ca="1" si="19"/>
        <v>1</v>
      </c>
      <c r="BO103">
        <f t="shared" ca="1" si="20"/>
        <v>1</v>
      </c>
      <c r="BP103">
        <f t="shared" ca="1" si="21"/>
        <v>1</v>
      </c>
      <c r="BQ103">
        <f t="shared" ca="1" si="22"/>
        <v>1</v>
      </c>
    </row>
    <row r="104" spans="1:69" s="4" customFormat="1" x14ac:dyDescent="0.2">
      <c r="A104" t="str">
        <f>Sheet3!A88</f>
        <v>[[58,12,10]]</v>
      </c>
      <c r="B104" s="4">
        <v>58</v>
      </c>
      <c r="C104" cm="1">
        <f t="array" aca="1" ref="C104" ca="1">OFFSET(INDIRECT("Sheet"&amp;K$2&amp;"!d1"),$G104-1,)</f>
        <v>10</v>
      </c>
      <c r="D104" cm="1">
        <f t="array" aca="1" ref="D104" ca="1">OFFSET(INDIRECT("Sheet"&amp;L$2&amp;"!d1"),$G104-1,)</f>
        <v>10</v>
      </c>
      <c r="E104" s="4">
        <v>12</v>
      </c>
      <c r="F104" s="4">
        <v>10</v>
      </c>
      <c r="G104">
        <f t="shared" si="23"/>
        <v>88</v>
      </c>
      <c r="H104" cm="1">
        <f t="array" aca="1" ref="H104" ca="1">OFFSET(INDIRECT("Sheet"&amp;E$2&amp;"!d1"),$G104-1,)</f>
        <v>0</v>
      </c>
      <c r="I104" cm="1">
        <f t="array" aca="1" ref="I104" ca="1">OFFSET(INDIRECT("Sheet"&amp;F$2&amp;"!d1"),$G104-1,)</f>
        <v>0</v>
      </c>
      <c r="J104" cm="1">
        <f t="array" aca="1" ref="J104" ca="1">OFFSET(INDIRECT("Sheet"&amp;G$2&amp;"!d1"),$G104-1,)</f>
        <v>0</v>
      </c>
      <c r="K104" cm="1">
        <f t="array" aca="1" ref="K104" ca="1">OFFSET(INDIRECT("Sheet"&amp;H$2&amp;"!d1"),$G104-1,)</f>
        <v>0</v>
      </c>
      <c r="L104" cm="1">
        <f t="array" aca="1" ref="L104" ca="1">OFFSET(INDIRECT("Sheet"&amp;I$2&amp;"!d1"),$G104-1,)</f>
        <v>0</v>
      </c>
      <c r="M104" cm="1">
        <f t="array" aca="1" ref="M104" ca="1">OFFSET(INDIRECT("Sheet"&amp;J$2&amp;"!d1"),$G104-1,)</f>
        <v>10</v>
      </c>
      <c r="N104" cm="1">
        <f t="array" aca="1" ref="N104" ca="1">OFFSET(INDIRECT("Sheet"&amp;M$2&amp;"!d1"),$G104-1,)</f>
        <v>10</v>
      </c>
      <c r="O104" cm="1">
        <f t="array" aca="1" ref="O104" ca="1">OFFSET(INDIRECT("Sheet"&amp;C$2&amp;"!d1"),$G104-1,)</f>
        <v>0</v>
      </c>
      <c r="P104" cm="1">
        <f t="array" aca="1" ref="P104" ca="1">OFFSET(INDIRECT("Sheet"&amp;D$2&amp;"!d1"),$G104-1,)</f>
        <v>0</v>
      </c>
      <c r="Q104" cm="1">
        <f t="array" aca="1" ref="Q104" ca="1">OFFSET(INDIRECT("Sheet"&amp;N$2&amp;"!d1"),$G104-1,)</f>
        <v>10</v>
      </c>
      <c r="R104" cm="1">
        <f t="array" aca="1" ref="R104" ca="1">OFFSET(INDIRECT("Sheet"&amp;O$2&amp;"!d1"),$G104-1,)</f>
        <v>10</v>
      </c>
      <c r="S104" cm="1">
        <f t="array" aca="1" ref="S104" ca="1">OFFSET(INDIRECT("Sheet"&amp;P$2&amp;"!d1"),$G104-1,)</f>
        <v>10</v>
      </c>
      <c r="T104" cm="1">
        <f t="array" aca="1" ref="T104" ca="1">OFFSET(INDIRECT("Sheet"&amp;Q$2&amp;"!d1"),$G104-1,)</f>
        <v>10</v>
      </c>
      <c r="U104" cm="1">
        <f t="array" aca="1" ref="U104" ca="1">OFFSET(INDIRECT("Sheet"&amp;R$2&amp;"!d1"),$G104-1,)</f>
        <v>10</v>
      </c>
      <c r="V104" cm="1">
        <f t="array" aca="1" ref="V104" ca="1">OFFSET(INDIRECT("Sheet"&amp;S$2&amp;"!d1"),$G104-1,)</f>
        <v>10</v>
      </c>
      <c r="W104" cm="1">
        <f t="array" aca="1" ref="W104" ca="1">OFFSET(INDIRECT("Sheet"&amp;T$2&amp;"!d1"),$G104-1,)</f>
        <v>10</v>
      </c>
      <c r="X104" cm="1">
        <f t="array" aca="1" ref="X104" ca="1">OFFSET(INDIRECT("Sheet"&amp;U$2&amp;"!d1"),$G104-1,)</f>
        <v>10</v>
      </c>
      <c r="Y104" cm="1">
        <f t="array" aca="1" ref="Y104" ca="1">OFFSET(INDIRECT("Sheet"&amp;V$2&amp;"!d1"),$G104-1,)</f>
        <v>10</v>
      </c>
      <c r="Z104"/>
      <c r="AB104" s="3" cm="1">
        <f t="array" aca="1" ref="AB104" ca="1">OFFSET(INDIRECT("Sheet"&amp;E$2&amp;"!f1"),$G104-1,)</f>
        <v>0</v>
      </c>
      <c r="AC104" s="3" cm="1">
        <f t="array" aca="1" ref="AC104" ca="1">OFFSET(INDIRECT("Sheet"&amp;F$2&amp;"!f1"),$G104-1,)</f>
        <v>0</v>
      </c>
      <c r="AD104" s="3" cm="1">
        <f t="array" aca="1" ref="AD104" ca="1">OFFSET(INDIRECT("Sheet"&amp;G$2&amp;"!f1"),$G104-1,)</f>
        <v>0</v>
      </c>
      <c r="AE104" s="3" cm="1">
        <f t="array" aca="1" ref="AE104" ca="1">OFFSET(INDIRECT("Sheet"&amp;H$2&amp;"!f1"),$G104-1,)</f>
        <v>28800.113914703899</v>
      </c>
      <c r="AF104" s="3" cm="1">
        <f t="array" aca="1" ref="AF104" ca="1">OFFSET(INDIRECT("Sheet"&amp;I$2&amp;"!f1"),$G104-1,)</f>
        <v>28800.1131799742</v>
      </c>
      <c r="AG104" s="3" cm="1">
        <f t="array" aca="1" ref="AG104" ca="1">OFFSET(INDIRECT("Sheet"&amp;J$2&amp;"!f1"),$G104-1,)</f>
        <v>0.70058861374854997</v>
      </c>
      <c r="AH104" s="3" cm="1">
        <f t="array" aca="1" ref="AH104" ca="1">OFFSET(INDIRECT("Sheet"&amp;K$2&amp;"!f1"),$G104-1,)</f>
        <v>0.62127624699999695</v>
      </c>
      <c r="AI104" s="3" cm="1">
        <f t="array" aca="1" ref="AI104" ca="1">OFFSET(INDIRECT("Sheet"&amp;L$2&amp;"!f1"),$G104-1,)</f>
        <v>0.62243101700002501</v>
      </c>
      <c r="AJ104" s="3" cm="1">
        <f t="array" aca="1" ref="AJ104" ca="1">OFFSET(INDIRECT("Sheet"&amp;M$2&amp;"!f1"),$G104-1,)</f>
        <v>1.1525873998180001</v>
      </c>
      <c r="AK104" s="3" cm="1">
        <f t="array" aca="1" ref="AK104" ca="1">OFFSET(INDIRECT("Sheet"&amp;C$2&amp;"!f1"),$G104-1,)</f>
        <v>0</v>
      </c>
      <c r="AL104" s="3" cm="1">
        <f t="array" aca="1" ref="AL104" ca="1">OFFSET(INDIRECT("Sheet"&amp;D$2&amp;"!f1"),$G104-1,)</f>
        <v>0</v>
      </c>
      <c r="AM104" s="3" cm="1">
        <f t="array" aca="1" ref="AM104" ca="1">OFFSET(INDIRECT("Sheet"&amp;N$2&amp;"!f1"),$G104-1,)</f>
        <v>7.6812478294595996</v>
      </c>
      <c r="AN104" s="3" cm="1">
        <f t="array" aca="1" ref="AN104" ca="1">OFFSET(INDIRECT("Sheet"&amp;O$2&amp;"!f1"),$G104-1,)</f>
        <v>13.761587399989301</v>
      </c>
      <c r="AO104" s="3" cm="1">
        <f t="array" aca="1" ref="AO104" ca="1">OFFSET(INDIRECT("Sheet"&amp;P$2&amp;"!f1"),$G104-1,)</f>
        <v>21.468696843832699</v>
      </c>
      <c r="AP104" s="3" cm="1">
        <f t="array" aca="1" ref="AP104" ca="1">OFFSET(INDIRECT("Sheet"&amp;Q$2&amp;"!f1"),$G104-1,)</f>
        <v>5.0692704981192902</v>
      </c>
      <c r="AQ104" s="3" cm="1">
        <f t="array" aca="1" ref="AQ104" ca="1">OFFSET(INDIRECT("Sheet"&amp;R$2&amp;"!f1"),$G104-1,)</f>
        <v>7.2246219823136899</v>
      </c>
      <c r="AR104" s="3" cm="1">
        <f t="array" aca="1" ref="AR104" ca="1">OFFSET(INDIRECT("Sheet"&amp;S$2&amp;"!f1"),$G104-1,)</f>
        <v>11.217516915872601</v>
      </c>
      <c r="AS104" s="3" cm="1">
        <f t="array" aca="1" ref="AS104" ca="1">OFFSET(INDIRECT("Sheet"&amp;T$2&amp;"!f1"),$G104-1,)</f>
        <v>13.8025121130049</v>
      </c>
      <c r="AT104" s="3" cm="1">
        <f t="array" aca="1" ref="AT104" ca="1">OFFSET(INDIRECT("Sheet"&amp;U$2&amp;"!f1"),$G104-1,)</f>
        <v>16.885269585065501</v>
      </c>
      <c r="AU104" s="3" cm="1">
        <f t="array" aca="1" ref="AU104" ca="1">OFFSET(INDIRECT("Sheet"&amp;V$2&amp;"!f1"),$G104-1,)</f>
        <v>20.3391454704105</v>
      </c>
      <c r="AV104" s="3"/>
      <c r="AX104">
        <f ca="1">IF(H104=$F104,1,0)</f>
        <v>0</v>
      </c>
      <c r="AY104">
        <f ca="1">IF(I104=$F104,1,0)</f>
        <v>0</v>
      </c>
      <c r="AZ104">
        <f ca="1">IF(J104=$F104,1,0)</f>
        <v>0</v>
      </c>
      <c r="BA104">
        <f ca="1">IF(K104=$F104,1,0)</f>
        <v>0</v>
      </c>
      <c r="BB104">
        <f ca="1">IF(L104=$F104,1,0)</f>
        <v>0</v>
      </c>
      <c r="BC104">
        <f ca="1">IF(M104=$F104,1,0)</f>
        <v>1</v>
      </c>
      <c r="BD104">
        <f ca="1">IF(C104=$F104,1,0)</f>
        <v>1</v>
      </c>
      <c r="BE104">
        <f ca="1">IF(D104=$F104,1,0)</f>
        <v>1</v>
      </c>
      <c r="BF104">
        <f t="shared" ca="1" si="13"/>
        <v>1</v>
      </c>
      <c r="BG104">
        <f t="shared" ca="1" si="14"/>
        <v>0</v>
      </c>
      <c r="BH104">
        <f t="shared" ca="1" si="25"/>
        <v>0</v>
      </c>
      <c r="BI104">
        <f t="shared" ca="1" si="26"/>
        <v>1</v>
      </c>
      <c r="BJ104">
        <f t="shared" ca="1" si="28"/>
        <v>1</v>
      </c>
      <c r="BK104">
        <f t="shared" ca="1" si="28"/>
        <v>1</v>
      </c>
      <c r="BL104">
        <f t="shared" ca="1" si="28"/>
        <v>1</v>
      </c>
      <c r="BM104">
        <f t="shared" ca="1" si="18"/>
        <v>1</v>
      </c>
      <c r="BN104">
        <f t="shared" ca="1" si="19"/>
        <v>1</v>
      </c>
      <c r="BO104">
        <f t="shared" ca="1" si="20"/>
        <v>1</v>
      </c>
      <c r="BP104">
        <f t="shared" ca="1" si="21"/>
        <v>1</v>
      </c>
      <c r="BQ104">
        <f t="shared" ca="1" si="22"/>
        <v>1</v>
      </c>
    </row>
    <row r="105" spans="1:69" s="4" customFormat="1" x14ac:dyDescent="0.2">
      <c r="A105" t="str">
        <f>Sheet3!A89</f>
        <v>[[59,12,10]]</v>
      </c>
      <c r="B105" s="4">
        <v>59</v>
      </c>
      <c r="C105" cm="1">
        <f t="array" aca="1" ref="C105" ca="1">OFFSET(INDIRECT("Sheet"&amp;K$2&amp;"!d1"),$G105-1,)</f>
        <v>10</v>
      </c>
      <c r="D105" cm="1">
        <f t="array" aca="1" ref="D105" ca="1">OFFSET(INDIRECT("Sheet"&amp;L$2&amp;"!d1"),$G105-1,)</f>
        <v>10</v>
      </c>
      <c r="E105" s="4">
        <v>12</v>
      </c>
      <c r="F105" s="4">
        <v>10</v>
      </c>
      <c r="G105">
        <f t="shared" si="23"/>
        <v>89</v>
      </c>
      <c r="H105" cm="1">
        <f t="array" aca="1" ref="H105" ca="1">OFFSET(INDIRECT("Sheet"&amp;E$2&amp;"!d1"),$G105-1,)</f>
        <v>0</v>
      </c>
      <c r="I105" cm="1">
        <f t="array" aca="1" ref="I105" ca="1">OFFSET(INDIRECT("Sheet"&amp;F$2&amp;"!d1"),$G105-1,)</f>
        <v>0</v>
      </c>
      <c r="J105" cm="1">
        <f t="array" aca="1" ref="J105" ca="1">OFFSET(INDIRECT("Sheet"&amp;G$2&amp;"!d1"),$G105-1,)</f>
        <v>0</v>
      </c>
      <c r="K105" cm="1">
        <f t="array" aca="1" ref="K105" ca="1">OFFSET(INDIRECT("Sheet"&amp;H$2&amp;"!d1"),$G105-1,)</f>
        <v>0</v>
      </c>
      <c r="L105" cm="1">
        <f t="array" aca="1" ref="L105" ca="1">OFFSET(INDIRECT("Sheet"&amp;I$2&amp;"!d1"),$G105-1,)</f>
        <v>0</v>
      </c>
      <c r="M105" cm="1">
        <f t="array" aca="1" ref="M105" ca="1">OFFSET(INDIRECT("Sheet"&amp;J$2&amp;"!d1"),$G105-1,)</f>
        <v>10</v>
      </c>
      <c r="N105" cm="1">
        <f t="array" aca="1" ref="N105" ca="1">OFFSET(INDIRECT("Sheet"&amp;M$2&amp;"!d1"),$G105-1,)</f>
        <v>10</v>
      </c>
      <c r="O105" cm="1">
        <f t="array" aca="1" ref="O105" ca="1">OFFSET(INDIRECT("Sheet"&amp;C$2&amp;"!d1"),$G105-1,)</f>
        <v>0</v>
      </c>
      <c r="P105" cm="1">
        <f t="array" aca="1" ref="P105" ca="1">OFFSET(INDIRECT("Sheet"&amp;D$2&amp;"!d1"),$G105-1,)</f>
        <v>0</v>
      </c>
      <c r="Q105" cm="1">
        <f t="array" aca="1" ref="Q105" ca="1">OFFSET(INDIRECT("Sheet"&amp;N$2&amp;"!d1"),$G105-1,)</f>
        <v>10</v>
      </c>
      <c r="R105" cm="1">
        <f t="array" aca="1" ref="R105" ca="1">OFFSET(INDIRECT("Sheet"&amp;O$2&amp;"!d1"),$G105-1,)</f>
        <v>10</v>
      </c>
      <c r="S105" cm="1">
        <f t="array" aca="1" ref="S105" ca="1">OFFSET(INDIRECT("Sheet"&amp;P$2&amp;"!d1"),$G105-1,)</f>
        <v>10</v>
      </c>
      <c r="T105" cm="1">
        <f t="array" aca="1" ref="T105" ca="1">OFFSET(INDIRECT("Sheet"&amp;Q$2&amp;"!d1"),$G105-1,)</f>
        <v>10</v>
      </c>
      <c r="U105" cm="1">
        <f t="array" aca="1" ref="U105" ca="1">OFFSET(INDIRECT("Sheet"&amp;R$2&amp;"!d1"),$G105-1,)</f>
        <v>10</v>
      </c>
      <c r="V105" cm="1">
        <f t="array" aca="1" ref="V105" ca="1">OFFSET(INDIRECT("Sheet"&amp;S$2&amp;"!d1"),$G105-1,)</f>
        <v>10</v>
      </c>
      <c r="W105" cm="1">
        <f t="array" aca="1" ref="W105" ca="1">OFFSET(INDIRECT("Sheet"&amp;T$2&amp;"!d1"),$G105-1,)</f>
        <v>10</v>
      </c>
      <c r="X105" cm="1">
        <f t="array" aca="1" ref="X105" ca="1">OFFSET(INDIRECT("Sheet"&amp;U$2&amp;"!d1"),$G105-1,)</f>
        <v>10</v>
      </c>
      <c r="Y105" cm="1">
        <f t="array" aca="1" ref="Y105" ca="1">OFFSET(INDIRECT("Sheet"&amp;V$2&amp;"!d1"),$G105-1,)</f>
        <v>10</v>
      </c>
      <c r="Z105"/>
      <c r="AB105" s="3" cm="1">
        <f t="array" aca="1" ref="AB105" ca="1">OFFSET(INDIRECT("Sheet"&amp;E$2&amp;"!f1"),$G105-1,)</f>
        <v>0</v>
      </c>
      <c r="AC105" s="3" cm="1">
        <f t="array" aca="1" ref="AC105" ca="1">OFFSET(INDIRECT("Sheet"&amp;F$2&amp;"!f1"),$G105-1,)</f>
        <v>0</v>
      </c>
      <c r="AD105" s="3" cm="1">
        <f t="array" aca="1" ref="AD105" ca="1">OFFSET(INDIRECT("Sheet"&amp;G$2&amp;"!f1"),$G105-1,)</f>
        <v>0</v>
      </c>
      <c r="AE105" s="3" cm="1">
        <f t="array" aca="1" ref="AE105" ca="1">OFFSET(INDIRECT("Sheet"&amp;H$2&amp;"!f1"),$G105-1,)</f>
        <v>28800.113145462201</v>
      </c>
      <c r="AF105" s="3" cm="1">
        <f t="array" aca="1" ref="AF105" ca="1">OFFSET(INDIRECT("Sheet"&amp;I$2&amp;"!f1"),$G105-1,)</f>
        <v>28800.1157726645</v>
      </c>
      <c r="AG105" s="3" cm="1">
        <f t="array" aca="1" ref="AG105" ca="1">OFFSET(INDIRECT("Sheet"&amp;J$2&amp;"!f1"),$G105-1,)</f>
        <v>0.72511680237948895</v>
      </c>
      <c r="AH105" s="3" cm="1">
        <f t="array" aca="1" ref="AH105" ca="1">OFFSET(INDIRECT("Sheet"&amp;K$2&amp;"!f1"),$G105-1,)</f>
        <v>0.64253539000000603</v>
      </c>
      <c r="AI105" s="3" cm="1">
        <f t="array" aca="1" ref="AI105" ca="1">OFFSET(INDIRECT("Sheet"&amp;L$2&amp;"!f1"),$G105-1,)</f>
        <v>0.64099309299999097</v>
      </c>
      <c r="AJ105" s="3" cm="1">
        <f t="array" aca="1" ref="AJ105" ca="1">OFFSET(INDIRECT("Sheet"&amp;M$2&amp;"!f1"),$G105-1,)</f>
        <v>1.1937603978440099</v>
      </c>
      <c r="AK105" s="3" cm="1">
        <f t="array" aca="1" ref="AK105" ca="1">OFFSET(INDIRECT("Sheet"&amp;C$2&amp;"!f1"),$G105-1,)</f>
        <v>0</v>
      </c>
      <c r="AL105" s="3" cm="1">
        <f t="array" aca="1" ref="AL105" ca="1">OFFSET(INDIRECT("Sheet"&amp;D$2&amp;"!f1"),$G105-1,)</f>
        <v>0</v>
      </c>
      <c r="AM105" s="3" cm="1">
        <f t="array" aca="1" ref="AM105" ca="1">OFFSET(INDIRECT("Sheet"&amp;N$2&amp;"!f1"),$G105-1,)</f>
        <v>7.8558863475918699</v>
      </c>
      <c r="AN105" s="3" cm="1">
        <f t="array" aca="1" ref="AN105" ca="1">OFFSET(INDIRECT("Sheet"&amp;O$2&amp;"!f1"),$G105-1,)</f>
        <v>14.134850833564901</v>
      </c>
      <c r="AO105" s="3" cm="1">
        <f t="array" aca="1" ref="AO105" ca="1">OFFSET(INDIRECT("Sheet"&amp;P$2&amp;"!f1"),$G105-1,)</f>
        <v>22.429125016555101</v>
      </c>
      <c r="AP105" s="3" cm="1">
        <f t="array" aca="1" ref="AP105" ca="1">OFFSET(INDIRECT("Sheet"&amp;Q$2&amp;"!f1"),$G105-1,)</f>
        <v>5.2144185025244898</v>
      </c>
      <c r="AQ105" s="3" cm="1">
        <f t="array" aca="1" ref="AQ105" ca="1">OFFSET(INDIRECT("Sheet"&amp;R$2&amp;"!f1"),$G105-1,)</f>
        <v>7.4054412413388402</v>
      </c>
      <c r="AR105" s="3" cm="1">
        <f t="array" aca="1" ref="AR105" ca="1">OFFSET(INDIRECT("Sheet"&amp;S$2&amp;"!f1"),$G105-1,)</f>
        <v>11.602198132313699</v>
      </c>
      <c r="AS105" s="3" cm="1">
        <f t="array" aca="1" ref="AS105" ca="1">OFFSET(INDIRECT("Sheet"&amp;T$2&amp;"!f1"),$G105-1,)</f>
        <v>14.2816241392865</v>
      </c>
      <c r="AT105" s="3" cm="1">
        <f t="array" aca="1" ref="AT105" ca="1">OFFSET(INDIRECT("Sheet"&amp;U$2&amp;"!f1"),$G105-1,)</f>
        <v>17.481670628301799</v>
      </c>
      <c r="AU105" s="3" cm="1">
        <f t="array" aca="1" ref="AU105" ca="1">OFFSET(INDIRECT("Sheet"&amp;V$2&amp;"!f1"),$G105-1,)</f>
        <v>21.3475862732157</v>
      </c>
      <c r="AV105" s="3"/>
      <c r="AX105">
        <f ca="1">IF(H105=$F105,1,0)</f>
        <v>0</v>
      </c>
      <c r="AY105">
        <f ca="1">IF(I105=$F105,1,0)</f>
        <v>0</v>
      </c>
      <c r="AZ105">
        <f ca="1">IF(J105=$F105,1,0)</f>
        <v>0</v>
      </c>
      <c r="BA105">
        <f ca="1">IF(K105=$F105,1,0)</f>
        <v>0</v>
      </c>
      <c r="BB105">
        <f ca="1">IF(L105=$F105,1,0)</f>
        <v>0</v>
      </c>
      <c r="BC105">
        <f ca="1">IF(M105=$F105,1,0)</f>
        <v>1</v>
      </c>
      <c r="BD105">
        <f ca="1">IF(C105=$F105,1,0)</f>
        <v>1</v>
      </c>
      <c r="BE105">
        <f ca="1">IF(D105=$F105,1,0)</f>
        <v>1</v>
      </c>
      <c r="BF105">
        <f t="shared" ca="1" si="13"/>
        <v>1</v>
      </c>
      <c r="BG105">
        <f t="shared" ca="1" si="14"/>
        <v>0</v>
      </c>
      <c r="BH105">
        <f t="shared" ca="1" si="25"/>
        <v>0</v>
      </c>
      <c r="BI105">
        <f t="shared" ca="1" si="26"/>
        <v>1</v>
      </c>
      <c r="BJ105">
        <f t="shared" ca="1" si="28"/>
        <v>1</v>
      </c>
      <c r="BK105">
        <f t="shared" ca="1" si="28"/>
        <v>1</v>
      </c>
      <c r="BL105">
        <f t="shared" ca="1" si="28"/>
        <v>1</v>
      </c>
      <c r="BM105">
        <f t="shared" ca="1" si="18"/>
        <v>1</v>
      </c>
      <c r="BN105">
        <f t="shared" ca="1" si="19"/>
        <v>1</v>
      </c>
      <c r="BO105">
        <f t="shared" ca="1" si="20"/>
        <v>1</v>
      </c>
      <c r="BP105">
        <f t="shared" ca="1" si="21"/>
        <v>1</v>
      </c>
      <c r="BQ105">
        <f t="shared" ca="1" si="22"/>
        <v>1</v>
      </c>
    </row>
    <row r="106" spans="1:69" s="4" customFormat="1" x14ac:dyDescent="0.2">
      <c r="A106" t="str">
        <f>Sheet3!A90</f>
        <v>[[60,10,11]]</v>
      </c>
      <c r="B106" s="4">
        <v>60</v>
      </c>
      <c r="C106" cm="1">
        <f t="array" aca="1" ref="C106" ca="1">OFFSET(INDIRECT("Sheet"&amp;K$2&amp;"!d1"),$G106-1,)</f>
        <v>11</v>
      </c>
      <c r="D106" cm="1">
        <f t="array" aca="1" ref="D106" ca="1">OFFSET(INDIRECT("Sheet"&amp;L$2&amp;"!d1"),$G106-1,)</f>
        <v>11</v>
      </c>
      <c r="E106" s="4">
        <v>10</v>
      </c>
      <c r="F106" s="4">
        <v>11</v>
      </c>
      <c r="G106">
        <f t="shared" si="23"/>
        <v>90</v>
      </c>
      <c r="H106" cm="1">
        <f t="array" aca="1" ref="H106" ca="1">OFFSET(INDIRECT("Sheet"&amp;E$2&amp;"!d1"),$G106-1,)</f>
        <v>0</v>
      </c>
      <c r="I106" cm="1">
        <f t="array" aca="1" ref="I106" ca="1">OFFSET(INDIRECT("Sheet"&amp;F$2&amp;"!d1"),$G106-1,)</f>
        <v>0</v>
      </c>
      <c r="J106" cm="1">
        <f t="array" aca="1" ref="J106" ca="1">OFFSET(INDIRECT("Sheet"&amp;G$2&amp;"!d1"),$G106-1,)</f>
        <v>0</v>
      </c>
      <c r="K106" cm="1">
        <f t="array" aca="1" ref="K106" ca="1">OFFSET(INDIRECT("Sheet"&amp;H$2&amp;"!d1"),$G106-1,)</f>
        <v>0</v>
      </c>
      <c r="L106" cm="1">
        <f t="array" aca="1" ref="L106" ca="1">OFFSET(INDIRECT("Sheet"&amp;I$2&amp;"!d1"),$G106-1,)</f>
        <v>0</v>
      </c>
      <c r="M106" cm="1">
        <f t="array" aca="1" ref="M106" ca="1">OFFSET(INDIRECT("Sheet"&amp;J$2&amp;"!d1"),$G106-1,)</f>
        <v>11</v>
      </c>
      <c r="N106" cm="1">
        <f t="array" aca="1" ref="N106" ca="1">OFFSET(INDIRECT("Sheet"&amp;M$2&amp;"!d1"),$G106-1,)</f>
        <v>11</v>
      </c>
      <c r="O106" cm="1">
        <f t="array" aca="1" ref="O106" ca="1">OFFSET(INDIRECT("Sheet"&amp;C$2&amp;"!d1"),$G106-1,)</f>
        <v>0</v>
      </c>
      <c r="P106" cm="1">
        <f t="array" aca="1" ref="P106" ca="1">OFFSET(INDIRECT("Sheet"&amp;D$2&amp;"!d1"),$G106-1,)</f>
        <v>0</v>
      </c>
      <c r="Q106" cm="1">
        <f t="array" aca="1" ref="Q106" ca="1">OFFSET(INDIRECT("Sheet"&amp;N$2&amp;"!d1"),$G106-1,)</f>
        <v>11</v>
      </c>
      <c r="R106" cm="1">
        <f t="array" aca="1" ref="R106" ca="1">OFFSET(INDIRECT("Sheet"&amp;O$2&amp;"!d1"),$G106-1,)</f>
        <v>11</v>
      </c>
      <c r="S106" cm="1">
        <f t="array" aca="1" ref="S106" ca="1">OFFSET(INDIRECT("Sheet"&amp;P$2&amp;"!d1"),$G106-1,)</f>
        <v>11</v>
      </c>
      <c r="T106" cm="1">
        <f t="array" aca="1" ref="T106" ca="1">OFFSET(INDIRECT("Sheet"&amp;Q$2&amp;"!d1"),$G106-1,)</f>
        <v>11</v>
      </c>
      <c r="U106" cm="1">
        <f t="array" aca="1" ref="U106" ca="1">OFFSET(INDIRECT("Sheet"&amp;R$2&amp;"!d1"),$G106-1,)</f>
        <v>11</v>
      </c>
      <c r="V106" cm="1">
        <f t="array" aca="1" ref="V106" ca="1">OFFSET(INDIRECT("Sheet"&amp;S$2&amp;"!d1"),$G106-1,)</f>
        <v>11</v>
      </c>
      <c r="W106" cm="1">
        <f t="array" aca="1" ref="W106" ca="1">OFFSET(INDIRECT("Sheet"&amp;T$2&amp;"!d1"),$G106-1,)</f>
        <v>11</v>
      </c>
      <c r="X106" cm="1">
        <f t="array" aca="1" ref="X106" ca="1">OFFSET(INDIRECT("Sheet"&amp;U$2&amp;"!d1"),$G106-1,)</f>
        <v>11</v>
      </c>
      <c r="Y106" cm="1">
        <f t="array" aca="1" ref="Y106" ca="1">OFFSET(INDIRECT("Sheet"&amp;V$2&amp;"!d1"),$G106-1,)</f>
        <v>11</v>
      </c>
      <c r="Z106"/>
      <c r="AB106" s="3" cm="1">
        <f t="array" aca="1" ref="AB106" ca="1">OFFSET(INDIRECT("Sheet"&amp;E$2&amp;"!f1"),$G106-1,)</f>
        <v>0</v>
      </c>
      <c r="AC106" s="3" cm="1">
        <f t="array" aca="1" ref="AC106" ca="1">OFFSET(INDIRECT("Sheet"&amp;F$2&amp;"!f1"),$G106-1,)</f>
        <v>0</v>
      </c>
      <c r="AD106" s="3" cm="1">
        <f t="array" aca="1" ref="AD106" ca="1">OFFSET(INDIRECT("Sheet"&amp;G$2&amp;"!f1"),$G106-1,)</f>
        <v>0</v>
      </c>
      <c r="AE106" s="3" cm="1">
        <f t="array" aca="1" ref="AE106" ca="1">OFFSET(INDIRECT("Sheet"&amp;H$2&amp;"!f1"),$G106-1,)</f>
        <v>28800.1189204398</v>
      </c>
      <c r="AF106" s="3" cm="1">
        <f t="array" aca="1" ref="AF106" ca="1">OFFSET(INDIRECT("Sheet"&amp;I$2&amp;"!f1"),$G106-1,)</f>
        <v>28800.1140911355</v>
      </c>
      <c r="AG106" s="3" cm="1">
        <f t="array" aca="1" ref="AG106" ca="1">OFFSET(INDIRECT("Sheet"&amp;J$2&amp;"!f1"),$G106-1,)</f>
        <v>0.77383481711149205</v>
      </c>
      <c r="AH106" s="3" cm="1">
        <f t="array" aca="1" ref="AH106" ca="1">OFFSET(INDIRECT("Sheet"&amp;K$2&amp;"!f1"),$G106-1,)</f>
        <v>0.68552851100000101</v>
      </c>
      <c r="AI106" s="3" cm="1">
        <f t="array" aca="1" ref="AI106" ca="1">OFFSET(INDIRECT("Sheet"&amp;L$2&amp;"!f1"),$G106-1,)</f>
        <v>0.70645486699999005</v>
      </c>
      <c r="AJ106" s="3" cm="1">
        <f t="array" aca="1" ref="AJ106" ca="1">OFFSET(INDIRECT("Sheet"&amp;M$2&amp;"!f1"),$G106-1,)</f>
        <v>1.24732156191021</v>
      </c>
      <c r="AK106" s="3" cm="1">
        <f t="array" aca="1" ref="AK106" ca="1">OFFSET(INDIRECT("Sheet"&amp;C$2&amp;"!f1"),$G106-1,)</f>
        <v>0</v>
      </c>
      <c r="AL106" s="3" cm="1">
        <f t="array" aca="1" ref="AL106" ca="1">OFFSET(INDIRECT("Sheet"&amp;D$2&amp;"!f1"),$G106-1,)</f>
        <v>0</v>
      </c>
      <c r="AM106" s="3" cm="1">
        <f t="array" aca="1" ref="AM106" ca="1">OFFSET(INDIRECT("Sheet"&amp;N$2&amp;"!f1"),$G106-1,)</f>
        <v>7.7058130903169504</v>
      </c>
      <c r="AN106" s="3" cm="1">
        <f t="array" aca="1" ref="AN106" ca="1">OFFSET(INDIRECT("Sheet"&amp;O$2&amp;"!f1"),$G106-1,)</f>
        <v>14.165303135290699</v>
      </c>
      <c r="AO106" s="3" cm="1">
        <f t="array" aca="1" ref="AO106" ca="1">OFFSET(INDIRECT("Sheet"&amp;P$2&amp;"!f1"),$G106-1,)</f>
        <v>21.885557253845001</v>
      </c>
      <c r="AP106" s="3" cm="1">
        <f t="array" aca="1" ref="AP106" ca="1">OFFSET(INDIRECT("Sheet"&amp;Q$2&amp;"!f1"),$G106-1,)</f>
        <v>4.9048233292996803</v>
      </c>
      <c r="AQ106" s="3" cm="1">
        <f t="array" aca="1" ref="AQ106" ca="1">OFFSET(INDIRECT("Sheet"&amp;R$2&amp;"!f1"),$G106-1,)</f>
        <v>7.26150977797806</v>
      </c>
      <c r="AR106" s="3" cm="1">
        <f t="array" aca="1" ref="AR106" ca="1">OFFSET(INDIRECT("Sheet"&amp;S$2&amp;"!f1"),$G106-1,)</f>
        <v>11.5290086539462</v>
      </c>
      <c r="AS106" s="3" cm="1">
        <f t="array" aca="1" ref="AS106" ca="1">OFFSET(INDIRECT("Sheet"&amp;T$2&amp;"!f1"),$G106-1,)</f>
        <v>14.2566133607178</v>
      </c>
      <c r="AT106" s="3" cm="1">
        <f t="array" aca="1" ref="AT106" ca="1">OFFSET(INDIRECT("Sheet"&amp;U$2&amp;"!f1"),$G106-1,)</f>
        <v>16.6664726771414</v>
      </c>
      <c r="AU106" s="3" cm="1">
        <f t="array" aca="1" ref="AU106" ca="1">OFFSET(INDIRECT("Sheet"&amp;V$2&amp;"!f1"),$G106-1,)</f>
        <v>20.633857977576501</v>
      </c>
      <c r="AV106" s="3"/>
      <c r="AX106">
        <f ca="1">IF(H106=$F106,1,0)</f>
        <v>0</v>
      </c>
      <c r="AY106">
        <f ca="1">IF(I106=$F106,1,0)</f>
        <v>0</v>
      </c>
      <c r="AZ106">
        <f ca="1">IF(J106=$F106,1,0)</f>
        <v>0</v>
      </c>
      <c r="BA106">
        <f ca="1">IF(K106=$F106,1,0)</f>
        <v>0</v>
      </c>
      <c r="BB106">
        <f ca="1">IF(L106=$F106,1,0)</f>
        <v>0</v>
      </c>
      <c r="BC106">
        <f ca="1">IF(M106=$F106,1,0)</f>
        <v>1</v>
      </c>
      <c r="BD106">
        <f ca="1">IF(C106=$F106,1,0)</f>
        <v>1</v>
      </c>
      <c r="BE106">
        <f ca="1">IF(D106=$F106,1,0)</f>
        <v>1</v>
      </c>
      <c r="BF106">
        <f t="shared" ca="1" si="13"/>
        <v>1</v>
      </c>
      <c r="BG106">
        <f t="shared" ca="1" si="14"/>
        <v>0</v>
      </c>
      <c r="BH106">
        <f t="shared" ca="1" si="25"/>
        <v>0</v>
      </c>
      <c r="BI106">
        <f t="shared" ca="1" si="26"/>
        <v>1</v>
      </c>
      <c r="BJ106">
        <f t="shared" ca="1" si="28"/>
        <v>1</v>
      </c>
      <c r="BK106">
        <f t="shared" ca="1" si="28"/>
        <v>1</v>
      </c>
      <c r="BL106">
        <f t="shared" ca="1" si="28"/>
        <v>1</v>
      </c>
      <c r="BM106">
        <f t="shared" ca="1" si="18"/>
        <v>1</v>
      </c>
      <c r="BN106">
        <f t="shared" ca="1" si="19"/>
        <v>1</v>
      </c>
      <c r="BO106">
        <f t="shared" ca="1" si="20"/>
        <v>1</v>
      </c>
      <c r="BP106">
        <f t="shared" ca="1" si="21"/>
        <v>1</v>
      </c>
      <c r="BQ106">
        <f t="shared" ca="1" si="22"/>
        <v>1</v>
      </c>
    </row>
    <row r="107" spans="1:69" s="4" customFormat="1" x14ac:dyDescent="0.2">
      <c r="A107" t="str">
        <f>Sheet3!A91</f>
        <v>[[61,10,11]]</v>
      </c>
      <c r="B107" s="4">
        <v>61</v>
      </c>
      <c r="C107" cm="1">
        <f t="array" aca="1" ref="C107" ca="1">OFFSET(INDIRECT("Sheet"&amp;K$2&amp;"!d1"),$G107-1,)</f>
        <v>11</v>
      </c>
      <c r="D107" cm="1">
        <f t="array" aca="1" ref="D107" ca="1">OFFSET(INDIRECT("Sheet"&amp;L$2&amp;"!d1"),$G107-1,)</f>
        <v>11</v>
      </c>
      <c r="E107" s="4">
        <v>10</v>
      </c>
      <c r="F107" s="4">
        <v>11</v>
      </c>
      <c r="G107">
        <f t="shared" si="23"/>
        <v>91</v>
      </c>
      <c r="H107" cm="1">
        <f t="array" aca="1" ref="H107" ca="1">OFFSET(INDIRECT("Sheet"&amp;E$2&amp;"!d1"),$G107-1,)</f>
        <v>0</v>
      </c>
      <c r="I107" cm="1">
        <f t="array" aca="1" ref="I107" ca="1">OFFSET(INDIRECT("Sheet"&amp;F$2&amp;"!d1"),$G107-1,)</f>
        <v>0</v>
      </c>
      <c r="J107" cm="1">
        <f t="array" aca="1" ref="J107" ca="1">OFFSET(INDIRECT("Sheet"&amp;G$2&amp;"!d1"),$G107-1,)</f>
        <v>0</v>
      </c>
      <c r="K107" cm="1">
        <f t="array" aca="1" ref="K107" ca="1">OFFSET(INDIRECT("Sheet"&amp;H$2&amp;"!d1"),$G107-1,)</f>
        <v>0</v>
      </c>
      <c r="L107" cm="1">
        <f t="array" aca="1" ref="L107" ca="1">OFFSET(INDIRECT("Sheet"&amp;I$2&amp;"!d1"),$G107-1,)</f>
        <v>0</v>
      </c>
      <c r="M107" cm="1">
        <f t="array" aca="1" ref="M107" ca="1">OFFSET(INDIRECT("Sheet"&amp;J$2&amp;"!d1"),$G107-1,)</f>
        <v>11</v>
      </c>
      <c r="N107" cm="1">
        <f t="array" aca="1" ref="N107" ca="1">OFFSET(INDIRECT("Sheet"&amp;M$2&amp;"!d1"),$G107-1,)</f>
        <v>11</v>
      </c>
      <c r="O107" cm="1">
        <f t="array" aca="1" ref="O107" ca="1">OFFSET(INDIRECT("Sheet"&amp;C$2&amp;"!d1"),$G107-1,)</f>
        <v>0</v>
      </c>
      <c r="P107" cm="1">
        <f t="array" aca="1" ref="P107" ca="1">OFFSET(INDIRECT("Sheet"&amp;D$2&amp;"!d1"),$G107-1,)</f>
        <v>0</v>
      </c>
      <c r="Q107" cm="1">
        <f t="array" aca="1" ref="Q107" ca="1">OFFSET(INDIRECT("Sheet"&amp;N$2&amp;"!d1"),$G107-1,)</f>
        <v>11</v>
      </c>
      <c r="R107" cm="1">
        <f t="array" aca="1" ref="R107" ca="1">OFFSET(INDIRECT("Sheet"&amp;O$2&amp;"!d1"),$G107-1,)</f>
        <v>11</v>
      </c>
      <c r="S107" cm="1">
        <f t="array" aca="1" ref="S107" ca="1">OFFSET(INDIRECT("Sheet"&amp;P$2&amp;"!d1"),$G107-1,)</f>
        <v>11</v>
      </c>
      <c r="T107" cm="1">
        <f t="array" aca="1" ref="T107" ca="1">OFFSET(INDIRECT("Sheet"&amp;Q$2&amp;"!d1"),$G107-1,)</f>
        <v>11</v>
      </c>
      <c r="U107" cm="1">
        <f t="array" aca="1" ref="U107" ca="1">OFFSET(INDIRECT("Sheet"&amp;R$2&amp;"!d1"),$G107-1,)</f>
        <v>11</v>
      </c>
      <c r="V107" cm="1">
        <f t="array" aca="1" ref="V107" ca="1">OFFSET(INDIRECT("Sheet"&amp;S$2&amp;"!d1"),$G107-1,)</f>
        <v>11</v>
      </c>
      <c r="W107" cm="1">
        <f t="array" aca="1" ref="W107" ca="1">OFFSET(INDIRECT("Sheet"&amp;T$2&amp;"!d1"),$G107-1,)</f>
        <v>11</v>
      </c>
      <c r="X107" cm="1">
        <f t="array" aca="1" ref="X107" ca="1">OFFSET(INDIRECT("Sheet"&amp;U$2&amp;"!d1"),$G107-1,)</f>
        <v>11</v>
      </c>
      <c r="Y107" cm="1">
        <f t="array" aca="1" ref="Y107" ca="1">OFFSET(INDIRECT("Sheet"&amp;V$2&amp;"!d1"),$G107-1,)</f>
        <v>11</v>
      </c>
      <c r="Z107"/>
      <c r="AB107" s="3" cm="1">
        <f t="array" aca="1" ref="AB107" ca="1">OFFSET(INDIRECT("Sheet"&amp;E$2&amp;"!f1"),$G107-1,)</f>
        <v>0</v>
      </c>
      <c r="AC107" s="3" cm="1">
        <f t="array" aca="1" ref="AC107" ca="1">OFFSET(INDIRECT("Sheet"&amp;F$2&amp;"!f1"),$G107-1,)</f>
        <v>0</v>
      </c>
      <c r="AD107" s="3" cm="1">
        <f t="array" aca="1" ref="AD107" ca="1">OFFSET(INDIRECT("Sheet"&amp;G$2&amp;"!f1"),$G107-1,)</f>
        <v>0</v>
      </c>
      <c r="AE107" s="3" cm="1">
        <f t="array" aca="1" ref="AE107" ca="1">OFFSET(INDIRECT("Sheet"&amp;H$2&amp;"!f1"),$G107-1,)</f>
        <v>28800.114969386701</v>
      </c>
      <c r="AF107" s="3" cm="1">
        <f t="array" aca="1" ref="AF107" ca="1">OFFSET(INDIRECT("Sheet"&amp;I$2&amp;"!f1"),$G107-1,)</f>
        <v>28803.350313797499</v>
      </c>
      <c r="AG107" s="3" cm="1">
        <f t="array" aca="1" ref="AG107" ca="1">OFFSET(INDIRECT("Sheet"&amp;J$2&amp;"!f1"),$G107-1,)</f>
        <v>0.79706818517297495</v>
      </c>
      <c r="AH107" s="3" cm="1">
        <f t="array" aca="1" ref="AH107" ca="1">OFFSET(INDIRECT("Sheet"&amp;K$2&amp;"!f1"),$G107-1,)</f>
        <v>0.71249165000000403</v>
      </c>
      <c r="AI107" s="3" cm="1">
        <f t="array" aca="1" ref="AI107" ca="1">OFFSET(INDIRECT("Sheet"&amp;L$2&amp;"!f1"),$G107-1,)</f>
        <v>0.71248226299999795</v>
      </c>
      <c r="AJ107" s="3" cm="1">
        <f t="array" aca="1" ref="AJ107" ca="1">OFFSET(INDIRECT("Sheet"&amp;M$2&amp;"!f1"),$G107-1,)</f>
        <v>1.28009026218205</v>
      </c>
      <c r="AK107" s="3" cm="1">
        <f t="array" aca="1" ref="AK107" ca="1">OFFSET(INDIRECT("Sheet"&amp;C$2&amp;"!f1"),$G107-1,)</f>
        <v>0</v>
      </c>
      <c r="AL107" s="3" cm="1">
        <f t="array" aca="1" ref="AL107" ca="1">OFFSET(INDIRECT("Sheet"&amp;D$2&amp;"!f1"),$G107-1,)</f>
        <v>0</v>
      </c>
      <c r="AM107" s="3" cm="1">
        <f t="array" aca="1" ref="AM107" ca="1">OFFSET(INDIRECT("Sheet"&amp;N$2&amp;"!f1"),$G107-1,)</f>
        <v>7.97907013259828</v>
      </c>
      <c r="AN107" s="3" cm="1">
        <f t="array" aca="1" ref="AN107" ca="1">OFFSET(INDIRECT("Sheet"&amp;O$2&amp;"!f1"),$G107-1,)</f>
        <v>14.578342012129699</v>
      </c>
      <c r="AO107" s="3" cm="1">
        <f t="array" aca="1" ref="AO107" ca="1">OFFSET(INDIRECT("Sheet"&amp;P$2&amp;"!f1"),$G107-1,)</f>
        <v>22.4505859054625</v>
      </c>
      <c r="AP107" s="3" cm="1">
        <f t="array" aca="1" ref="AP107" ca="1">OFFSET(INDIRECT("Sheet"&amp;Q$2&amp;"!f1"),$G107-1,)</f>
        <v>5.1710791299119503</v>
      </c>
      <c r="AQ107" s="3" cm="1">
        <f t="array" aca="1" ref="AQ107" ca="1">OFFSET(INDIRECT("Sheet"&amp;R$2&amp;"!f1"),$G107-1,)</f>
        <v>7.6428091516718197</v>
      </c>
      <c r="AR107" s="3" cm="1">
        <f t="array" aca="1" ref="AR107" ca="1">OFFSET(INDIRECT("Sheet"&amp;S$2&amp;"!f1"),$G107-1,)</f>
        <v>12.0007369304075</v>
      </c>
      <c r="AS107" s="3" cm="1">
        <f t="array" aca="1" ref="AS107" ca="1">OFFSET(INDIRECT("Sheet"&amp;T$2&amp;"!f1"),$G107-1,)</f>
        <v>14.832558573223601</v>
      </c>
      <c r="AT107" s="3" cm="1">
        <f t="array" aca="1" ref="AT107" ca="1">OFFSET(INDIRECT("Sheet"&amp;U$2&amp;"!f1"),$G107-1,)</f>
        <v>17.198673237115099</v>
      </c>
      <c r="AU107" s="3" cm="1">
        <f t="array" aca="1" ref="AU107" ca="1">OFFSET(INDIRECT("Sheet"&amp;V$2&amp;"!f1"),$G107-1,)</f>
        <v>21.461052679456699</v>
      </c>
      <c r="AV107" s="3"/>
      <c r="AX107">
        <f ca="1">IF(H107=$F107,1,0)</f>
        <v>0</v>
      </c>
      <c r="AY107">
        <f ca="1">IF(I107=$F107,1,0)</f>
        <v>0</v>
      </c>
      <c r="AZ107">
        <f ca="1">IF(J107=$F107,1,0)</f>
        <v>0</v>
      </c>
      <c r="BA107">
        <f ca="1">IF(K107=$F107,1,0)</f>
        <v>0</v>
      </c>
      <c r="BB107">
        <f ca="1">IF(L107=$F107,1,0)</f>
        <v>0</v>
      </c>
      <c r="BC107">
        <f ca="1">IF(M107=$F107,1,0)</f>
        <v>1</v>
      </c>
      <c r="BD107">
        <f ca="1">IF(C107=$F107,1,0)</f>
        <v>1</v>
      </c>
      <c r="BE107">
        <f ca="1">IF(D107=$F107,1,0)</f>
        <v>1</v>
      </c>
      <c r="BF107">
        <f t="shared" ca="1" si="13"/>
        <v>1</v>
      </c>
      <c r="BG107">
        <f t="shared" ca="1" si="14"/>
        <v>0</v>
      </c>
      <c r="BH107">
        <f t="shared" ca="1" si="25"/>
        <v>0</v>
      </c>
      <c r="BI107">
        <f t="shared" ca="1" si="26"/>
        <v>1</v>
      </c>
      <c r="BJ107">
        <f t="shared" ca="1" si="28"/>
        <v>1</v>
      </c>
      <c r="BK107">
        <f t="shared" ca="1" si="28"/>
        <v>1</v>
      </c>
      <c r="BL107">
        <f t="shared" ca="1" si="28"/>
        <v>1</v>
      </c>
      <c r="BM107">
        <f t="shared" ca="1" si="18"/>
        <v>1</v>
      </c>
      <c r="BN107">
        <f t="shared" ca="1" si="19"/>
        <v>1</v>
      </c>
      <c r="BO107">
        <f t="shared" ca="1" si="20"/>
        <v>1</v>
      </c>
      <c r="BP107">
        <f t="shared" ca="1" si="21"/>
        <v>1</v>
      </c>
      <c r="BQ107">
        <f t="shared" ca="1" si="22"/>
        <v>1</v>
      </c>
    </row>
    <row r="108" spans="1:69" s="4" customFormat="1" x14ac:dyDescent="0.2">
      <c r="A108" t="str">
        <f>Sheet3!A92</f>
        <v>[[62,16,10]]</v>
      </c>
      <c r="B108" s="4">
        <v>62</v>
      </c>
      <c r="C108" cm="1">
        <f t="array" aca="1" ref="C108" ca="1">OFFSET(INDIRECT("Sheet"&amp;K$2&amp;"!d1"),$G108-1,)</f>
        <v>10</v>
      </c>
      <c r="D108" cm="1">
        <f t="array" aca="1" ref="D108" ca="1">OFFSET(INDIRECT("Sheet"&amp;L$2&amp;"!d1"),$G108-1,)</f>
        <v>10</v>
      </c>
      <c r="E108" s="4">
        <v>16</v>
      </c>
      <c r="F108" s="4">
        <v>10</v>
      </c>
      <c r="G108">
        <f t="shared" si="23"/>
        <v>92</v>
      </c>
      <c r="H108" cm="1">
        <f t="array" aca="1" ref="H108" ca="1">OFFSET(INDIRECT("Sheet"&amp;E$2&amp;"!d1"),$G108-1,)</f>
        <v>0</v>
      </c>
      <c r="I108" cm="1">
        <f t="array" aca="1" ref="I108" ca="1">OFFSET(INDIRECT("Sheet"&amp;F$2&amp;"!d1"),$G108-1,)</f>
        <v>0</v>
      </c>
      <c r="J108" cm="1">
        <f t="array" aca="1" ref="J108" ca="1">OFFSET(INDIRECT("Sheet"&amp;G$2&amp;"!d1"),$G108-1,)</f>
        <v>0</v>
      </c>
      <c r="K108" cm="1">
        <f t="array" aca="1" ref="K108" ca="1">OFFSET(INDIRECT("Sheet"&amp;H$2&amp;"!d1"),$G108-1,)</f>
        <v>0</v>
      </c>
      <c r="L108" cm="1">
        <f t="array" aca="1" ref="L108" ca="1">OFFSET(INDIRECT("Sheet"&amp;I$2&amp;"!d1"),$G108-1,)</f>
        <v>0</v>
      </c>
      <c r="M108" cm="1">
        <f t="array" aca="1" ref="M108" ca="1">OFFSET(INDIRECT("Sheet"&amp;J$2&amp;"!d1"),$G108-1,)</f>
        <v>10</v>
      </c>
      <c r="N108" cm="1">
        <f t="array" aca="1" ref="N108" ca="1">OFFSET(INDIRECT("Sheet"&amp;M$2&amp;"!d1"),$G108-1,)</f>
        <v>10</v>
      </c>
      <c r="O108" cm="1">
        <f t="array" aca="1" ref="O108" ca="1">OFFSET(INDIRECT("Sheet"&amp;C$2&amp;"!d1"),$G108-1,)</f>
        <v>0</v>
      </c>
      <c r="P108" cm="1">
        <f t="array" aca="1" ref="P108" ca="1">OFFSET(INDIRECT("Sheet"&amp;D$2&amp;"!d1"),$G108-1,)</f>
        <v>0</v>
      </c>
      <c r="Q108" cm="1">
        <f t="array" aca="1" ref="Q108" ca="1">OFFSET(INDIRECT("Sheet"&amp;N$2&amp;"!d1"),$G108-1,)</f>
        <v>10</v>
      </c>
      <c r="R108" cm="1">
        <f t="array" aca="1" ref="R108" ca="1">OFFSET(INDIRECT("Sheet"&amp;O$2&amp;"!d1"),$G108-1,)</f>
        <v>10</v>
      </c>
      <c r="S108" cm="1">
        <f t="array" aca="1" ref="S108" ca="1">OFFSET(INDIRECT("Sheet"&amp;P$2&amp;"!d1"),$G108-1,)</f>
        <v>10</v>
      </c>
      <c r="T108" cm="1">
        <f t="array" aca="1" ref="T108" ca="1">OFFSET(INDIRECT("Sheet"&amp;Q$2&amp;"!d1"),$G108-1,)</f>
        <v>10</v>
      </c>
      <c r="U108" cm="1">
        <f t="array" aca="1" ref="U108" ca="1">OFFSET(INDIRECT("Sheet"&amp;R$2&amp;"!d1"),$G108-1,)</f>
        <v>10</v>
      </c>
      <c r="V108" cm="1">
        <f t="array" aca="1" ref="V108" ca="1">OFFSET(INDIRECT("Sheet"&amp;S$2&amp;"!d1"),$G108-1,)</f>
        <v>10</v>
      </c>
      <c r="W108" cm="1">
        <f t="array" aca="1" ref="W108" ca="1">OFFSET(INDIRECT("Sheet"&amp;T$2&amp;"!d1"),$G108-1,)</f>
        <v>10</v>
      </c>
      <c r="X108" cm="1">
        <f t="array" aca="1" ref="X108" ca="1">OFFSET(INDIRECT("Sheet"&amp;U$2&amp;"!d1"),$G108-1,)</f>
        <v>10</v>
      </c>
      <c r="Y108" cm="1">
        <f t="array" aca="1" ref="Y108" ca="1">OFFSET(INDIRECT("Sheet"&amp;V$2&amp;"!d1"),$G108-1,)</f>
        <v>10</v>
      </c>
      <c r="Z108"/>
      <c r="AB108" s="3" cm="1">
        <f t="array" aca="1" ref="AB108" ca="1">OFFSET(INDIRECT("Sheet"&amp;E$2&amp;"!f1"),$G108-1,)</f>
        <v>0</v>
      </c>
      <c r="AC108" s="3" cm="1">
        <f t="array" aca="1" ref="AC108" ca="1">OFFSET(INDIRECT("Sheet"&amp;F$2&amp;"!f1"),$G108-1,)</f>
        <v>0</v>
      </c>
      <c r="AD108" s="3" cm="1">
        <f t="array" aca="1" ref="AD108" ca="1">OFFSET(INDIRECT("Sheet"&amp;G$2&amp;"!f1"),$G108-1,)</f>
        <v>0</v>
      </c>
      <c r="AE108" s="3" cm="1">
        <f t="array" aca="1" ref="AE108" ca="1">OFFSET(INDIRECT("Sheet"&amp;H$2&amp;"!f1"),$G108-1,)</f>
        <v>28800.114999138699</v>
      </c>
      <c r="AF108" s="3" cm="1">
        <f t="array" aca="1" ref="AF108" ca="1">OFFSET(INDIRECT("Sheet"&amp;I$2&amp;"!f1"),$G108-1,)</f>
        <v>28800.116017296899</v>
      </c>
      <c r="AG108" s="3" cm="1">
        <f t="array" aca="1" ref="AG108" ca="1">OFFSET(INDIRECT("Sheet"&amp;J$2&amp;"!f1"),$G108-1,)</f>
        <v>0.75153655651956797</v>
      </c>
      <c r="AH108" s="3" cm="1">
        <f t="array" aca="1" ref="AH108" ca="1">OFFSET(INDIRECT("Sheet"&amp;K$2&amp;"!f1"),$G108-1,)</f>
        <v>0.684413731999995</v>
      </c>
      <c r="AI108" s="3" cm="1">
        <f t="array" aca="1" ref="AI108" ca="1">OFFSET(INDIRECT("Sheet"&amp;L$2&amp;"!f1"),$G108-1,)</f>
        <v>0.66542996900000095</v>
      </c>
      <c r="AJ108" s="3" cm="1">
        <f t="array" aca="1" ref="AJ108" ca="1">OFFSET(INDIRECT("Sheet"&amp;M$2&amp;"!f1"),$G108-1,)</f>
        <v>1.2789711691439101</v>
      </c>
      <c r="AK108" s="3" cm="1">
        <f t="array" aca="1" ref="AK108" ca="1">OFFSET(INDIRECT("Sheet"&amp;C$2&amp;"!f1"),$G108-1,)</f>
        <v>0</v>
      </c>
      <c r="AL108" s="3" cm="1">
        <f t="array" aca="1" ref="AL108" ca="1">OFFSET(INDIRECT("Sheet"&amp;D$2&amp;"!f1"),$G108-1,)</f>
        <v>0</v>
      </c>
      <c r="AM108" s="3" cm="1">
        <f t="array" aca="1" ref="AM108" ca="1">OFFSET(INDIRECT("Sheet"&amp;N$2&amp;"!f1"),$G108-1,)</f>
        <v>10.009875060990399</v>
      </c>
      <c r="AN108" s="3" cm="1">
        <f t="array" aca="1" ref="AN108" ca="1">OFFSET(INDIRECT("Sheet"&amp;O$2&amp;"!f1"),$G108-1,)</f>
        <v>17.574640678241799</v>
      </c>
      <c r="AO108" s="3" cm="1">
        <f t="array" aca="1" ref="AO108" ca="1">OFFSET(INDIRECT("Sheet"&amp;P$2&amp;"!f1"),$G108-1,)</f>
        <v>29.508421784266801</v>
      </c>
      <c r="AP108" s="3" cm="1">
        <f t="array" aca="1" ref="AP108" ca="1">OFFSET(INDIRECT("Sheet"&amp;Q$2&amp;"!f1"),$G108-1,)</f>
        <v>6.6603798195719701</v>
      </c>
      <c r="AQ108" s="3" cm="1">
        <f t="array" aca="1" ref="AQ108" ca="1">OFFSET(INDIRECT("Sheet"&amp;R$2&amp;"!f1"),$G108-1,)</f>
        <v>9.5924680726602602</v>
      </c>
      <c r="AR108" s="3" cm="1">
        <f t="array" aca="1" ref="AR108" ca="1">OFFSET(INDIRECT("Sheet"&amp;S$2&amp;"!f1"),$G108-1,)</f>
        <v>14.2005666354671</v>
      </c>
      <c r="AS108" s="3" cm="1">
        <f t="array" aca="1" ref="AS108" ca="1">OFFSET(INDIRECT("Sheet"&amp;T$2&amp;"!f1"),$G108-1,)</f>
        <v>17.7190255718305</v>
      </c>
      <c r="AT108" s="3" cm="1">
        <f t="array" aca="1" ref="AT108" ca="1">OFFSET(INDIRECT("Sheet"&amp;U$2&amp;"!f1"),$G108-1,)</f>
        <v>22.611831001937301</v>
      </c>
      <c r="AU108" s="3" cm="1">
        <f t="array" aca="1" ref="AU108" ca="1">OFFSET(INDIRECT("Sheet"&amp;V$2&amp;"!f1"),$G108-1,)</f>
        <v>27.965845911763601</v>
      </c>
      <c r="AV108" s="3"/>
      <c r="AX108">
        <f ca="1">IF(H108=$F108,1,0)</f>
        <v>0</v>
      </c>
      <c r="AY108">
        <f ca="1">IF(I108=$F108,1,0)</f>
        <v>0</v>
      </c>
      <c r="AZ108">
        <f ca="1">IF(J108=$F108,1,0)</f>
        <v>0</v>
      </c>
      <c r="BA108">
        <f ca="1">IF(K108=$F108,1,0)</f>
        <v>0</v>
      </c>
      <c r="BB108">
        <f ca="1">IF(L108=$F108,1,0)</f>
        <v>0</v>
      </c>
      <c r="BC108">
        <f ca="1">IF(M108=$F108,1,0)</f>
        <v>1</v>
      </c>
      <c r="BD108">
        <f ca="1">IF(C108=$F108,1,0)</f>
        <v>1</v>
      </c>
      <c r="BE108">
        <f ca="1">IF(D108=$F108,1,0)</f>
        <v>1</v>
      </c>
      <c r="BF108">
        <f t="shared" ca="1" si="13"/>
        <v>1</v>
      </c>
      <c r="BG108">
        <f t="shared" ca="1" si="14"/>
        <v>0</v>
      </c>
      <c r="BH108">
        <f t="shared" ca="1" si="25"/>
        <v>0</v>
      </c>
      <c r="BI108">
        <f t="shared" ca="1" si="26"/>
        <v>1</v>
      </c>
      <c r="BJ108">
        <f t="shared" ca="1" si="28"/>
        <v>1</v>
      </c>
      <c r="BK108">
        <f t="shared" ca="1" si="28"/>
        <v>1</v>
      </c>
      <c r="BL108">
        <f t="shared" ca="1" si="28"/>
        <v>1</v>
      </c>
      <c r="BM108">
        <f t="shared" ca="1" si="18"/>
        <v>1</v>
      </c>
      <c r="BN108">
        <f t="shared" ca="1" si="19"/>
        <v>1</v>
      </c>
      <c r="BO108">
        <f t="shared" ca="1" si="20"/>
        <v>1</v>
      </c>
      <c r="BP108">
        <f t="shared" ca="1" si="21"/>
        <v>1</v>
      </c>
      <c r="BQ108">
        <f t="shared" ca="1" si="22"/>
        <v>1</v>
      </c>
    </row>
    <row r="109" spans="1:69" s="4" customFormat="1" x14ac:dyDescent="0.2">
      <c r="A109" t="str">
        <f>Sheet3!A93</f>
        <v>[[63,8,13]]</v>
      </c>
      <c r="B109" s="4">
        <v>63</v>
      </c>
      <c r="C109" cm="1">
        <f t="array" aca="1" ref="C109" ca="1">OFFSET(INDIRECT("Sheet"&amp;K$2&amp;"!d1"),$G109-1,)</f>
        <v>13</v>
      </c>
      <c r="D109" cm="1">
        <f t="array" aca="1" ref="D109" ca="1">OFFSET(INDIRECT("Sheet"&amp;L$2&amp;"!d1"),$G109-1,)</f>
        <v>13</v>
      </c>
      <c r="E109" s="4">
        <v>8</v>
      </c>
      <c r="F109" s="4">
        <v>13</v>
      </c>
      <c r="G109">
        <f t="shared" si="23"/>
        <v>93</v>
      </c>
      <c r="H109" cm="1">
        <f t="array" aca="1" ref="H109" ca="1">OFFSET(INDIRECT("Sheet"&amp;E$2&amp;"!d1"),$G109-1,)</f>
        <v>0</v>
      </c>
      <c r="I109" cm="1">
        <f t="array" aca="1" ref="I109" ca="1">OFFSET(INDIRECT("Sheet"&amp;F$2&amp;"!d1"),$G109-1,)</f>
        <v>0</v>
      </c>
      <c r="J109" cm="1">
        <f t="array" aca="1" ref="J109" ca="1">OFFSET(INDIRECT("Sheet"&amp;G$2&amp;"!d1"),$G109-1,)</f>
        <v>0</v>
      </c>
      <c r="K109" cm="1">
        <f t="array" aca="1" ref="K109" ca="1">OFFSET(INDIRECT("Sheet"&amp;H$2&amp;"!d1"),$G109-1,)</f>
        <v>0</v>
      </c>
      <c r="L109" cm="1">
        <f t="array" aca="1" ref="L109" ca="1">OFFSET(INDIRECT("Sheet"&amp;I$2&amp;"!d1"),$G109-1,)</f>
        <v>0</v>
      </c>
      <c r="M109" cm="1">
        <f t="array" aca="1" ref="M109" ca="1">OFFSET(INDIRECT("Sheet"&amp;J$2&amp;"!d1"),$G109-1,)</f>
        <v>13</v>
      </c>
      <c r="N109" cm="1">
        <f t="array" aca="1" ref="N109" ca="1">OFFSET(INDIRECT("Sheet"&amp;M$2&amp;"!d1"),$G109-1,)</f>
        <v>13</v>
      </c>
      <c r="O109" cm="1">
        <f t="array" aca="1" ref="O109" ca="1">OFFSET(INDIRECT("Sheet"&amp;C$2&amp;"!d1"),$G109-1,)</f>
        <v>0</v>
      </c>
      <c r="P109" cm="1">
        <f t="array" aca="1" ref="P109" ca="1">OFFSET(INDIRECT("Sheet"&amp;D$2&amp;"!d1"),$G109-1,)</f>
        <v>0</v>
      </c>
      <c r="Q109" cm="1">
        <f t="array" aca="1" ref="Q109" ca="1">OFFSET(INDIRECT("Sheet"&amp;N$2&amp;"!d1"),$G109-1,)</f>
        <v>13</v>
      </c>
      <c r="R109" cm="1">
        <f t="array" aca="1" ref="R109" ca="1">OFFSET(INDIRECT("Sheet"&amp;O$2&amp;"!d1"),$G109-1,)</f>
        <v>13</v>
      </c>
      <c r="S109" cm="1">
        <f t="array" aca="1" ref="S109" ca="1">OFFSET(INDIRECT("Sheet"&amp;P$2&amp;"!d1"),$G109-1,)</f>
        <v>13</v>
      </c>
      <c r="T109" cm="1">
        <f t="array" aca="1" ref="T109" ca="1">OFFSET(INDIRECT("Sheet"&amp;Q$2&amp;"!d1"),$G109-1,)</f>
        <v>13</v>
      </c>
      <c r="U109" cm="1">
        <f t="array" aca="1" ref="U109" ca="1">OFFSET(INDIRECT("Sheet"&amp;R$2&amp;"!d1"),$G109-1,)</f>
        <v>13</v>
      </c>
      <c r="V109" cm="1">
        <f t="array" aca="1" ref="V109" ca="1">OFFSET(INDIRECT("Sheet"&amp;S$2&amp;"!d1"),$G109-1,)</f>
        <v>13</v>
      </c>
      <c r="W109" cm="1">
        <f t="array" aca="1" ref="W109" ca="1">OFFSET(INDIRECT("Sheet"&amp;T$2&amp;"!d1"),$G109-1,)</f>
        <v>13</v>
      </c>
      <c r="X109" cm="1">
        <f t="array" aca="1" ref="X109" ca="1">OFFSET(INDIRECT("Sheet"&amp;U$2&amp;"!d1"),$G109-1,)</f>
        <v>13</v>
      </c>
      <c r="Y109" cm="1">
        <f t="array" aca="1" ref="Y109" ca="1">OFFSET(INDIRECT("Sheet"&amp;V$2&amp;"!d1"),$G109-1,)</f>
        <v>13</v>
      </c>
      <c r="Z109"/>
      <c r="AB109" s="3" cm="1">
        <f t="array" aca="1" ref="AB109" ca="1">OFFSET(INDIRECT("Sheet"&amp;E$2&amp;"!f1"),$G109-1,)</f>
        <v>0</v>
      </c>
      <c r="AC109" s="3" cm="1">
        <f t="array" aca="1" ref="AC109" ca="1">OFFSET(INDIRECT("Sheet"&amp;F$2&amp;"!f1"),$G109-1,)</f>
        <v>0</v>
      </c>
      <c r="AD109" s="3" cm="1">
        <f t="array" aca="1" ref="AD109" ca="1">OFFSET(INDIRECT("Sheet"&amp;G$2&amp;"!f1"),$G109-1,)</f>
        <v>0</v>
      </c>
      <c r="AE109" s="3" cm="1">
        <f t="array" aca="1" ref="AE109" ca="1">OFFSET(INDIRECT("Sheet"&amp;H$2&amp;"!f1"),$G109-1,)</f>
        <v>28800.114097176101</v>
      </c>
      <c r="AF109" s="3" cm="1">
        <f t="array" aca="1" ref="AF109" ca="1">OFFSET(INDIRECT("Sheet"&amp;I$2&amp;"!f1"),$G109-1,)</f>
        <v>28800.1148208007</v>
      </c>
      <c r="AG109" s="3" cm="1">
        <f t="array" aca="1" ref="AG109" ca="1">OFFSET(INDIRECT("Sheet"&amp;J$2&amp;"!f1"),$G109-1,)</f>
        <v>0.87857654225081205</v>
      </c>
      <c r="AH109" s="3" cm="1">
        <f t="array" aca="1" ref="AH109" ca="1">OFFSET(INDIRECT("Sheet"&amp;K$2&amp;"!f1"),$G109-1,)</f>
        <v>0.79891314299999205</v>
      </c>
      <c r="AI109" s="3" cm="1">
        <f t="array" aca="1" ref="AI109" ca="1">OFFSET(INDIRECT("Sheet"&amp;L$2&amp;"!f1"),$G109-1,)</f>
        <v>0.77831809799999896</v>
      </c>
      <c r="AJ109" s="3" cm="1">
        <f t="array" aca="1" ref="AJ109" ca="1">OFFSET(INDIRECT("Sheet"&amp;M$2&amp;"!f1"),$G109-1,)</f>
        <v>1.3359361067414199</v>
      </c>
      <c r="AK109" s="3" cm="1">
        <f t="array" aca="1" ref="AK109" ca="1">OFFSET(INDIRECT("Sheet"&amp;C$2&amp;"!f1"),$G109-1,)</f>
        <v>0</v>
      </c>
      <c r="AL109" s="3" cm="1">
        <f t="array" aca="1" ref="AL109" ca="1">OFFSET(INDIRECT("Sheet"&amp;D$2&amp;"!f1"),$G109-1,)</f>
        <v>0</v>
      </c>
      <c r="AM109" s="3" cm="1">
        <f t="array" aca="1" ref="AM109" ca="1">OFFSET(INDIRECT("Sheet"&amp;N$2&amp;"!f1"),$G109-1,)</f>
        <v>7.6212336467578998</v>
      </c>
      <c r="AN109" s="3" cm="1">
        <f t="array" aca="1" ref="AN109" ca="1">OFFSET(INDIRECT("Sheet"&amp;O$2&amp;"!f1"),$G109-1,)</f>
        <v>14.553415986709201</v>
      </c>
      <c r="AO109" s="3" cm="1">
        <f t="array" aca="1" ref="AO109" ca="1">OFFSET(INDIRECT("Sheet"&amp;P$2&amp;"!f1"),$G109-1,)</f>
        <v>20.9245258122682</v>
      </c>
      <c r="AP109" s="3" cm="1">
        <f t="array" aca="1" ref="AP109" ca="1">OFFSET(INDIRECT("Sheet"&amp;Q$2&amp;"!f1"),$G109-1,)</f>
        <v>5.0184999881312198</v>
      </c>
      <c r="AQ109" s="3" cm="1">
        <f t="array" aca="1" ref="AQ109" ca="1">OFFSET(INDIRECT("Sheet"&amp;R$2&amp;"!f1"),$G109-1,)</f>
        <v>7.2221105946227899</v>
      </c>
      <c r="AR109" s="3" cm="1">
        <f t="array" aca="1" ref="AR109" ca="1">OFFSET(INDIRECT("Sheet"&amp;S$2&amp;"!f1"),$G109-1,)</f>
        <v>12.6150349350646</v>
      </c>
      <c r="AS109" s="3" cm="1">
        <f t="array" aca="1" ref="AS109" ca="1">OFFSET(INDIRECT("Sheet"&amp;T$2&amp;"!f1"),$G109-1,)</f>
        <v>14.802545633167</v>
      </c>
      <c r="AT109" s="3" cm="1">
        <f t="array" aca="1" ref="AT109" ca="1">OFFSET(INDIRECT("Sheet"&amp;U$2&amp;"!f1"),$G109-1,)</f>
        <v>17.117663204669899</v>
      </c>
      <c r="AU109" s="3" cm="1">
        <f t="array" aca="1" ref="AU109" ca="1">OFFSET(INDIRECT("Sheet"&amp;V$2&amp;"!f1"),$G109-1,)</f>
        <v>20.2599422354251</v>
      </c>
      <c r="AV109" s="3"/>
      <c r="AX109">
        <f ca="1">IF(H109=$F109,1,0)</f>
        <v>0</v>
      </c>
      <c r="AY109">
        <f ca="1">IF(I109=$F109,1,0)</f>
        <v>0</v>
      </c>
      <c r="AZ109">
        <f ca="1">IF(J109=$F109,1,0)</f>
        <v>0</v>
      </c>
      <c r="BA109">
        <f ca="1">IF(K109=$F109,1,0)</f>
        <v>0</v>
      </c>
      <c r="BB109">
        <f ca="1">IF(L109=$F109,1,0)</f>
        <v>0</v>
      </c>
      <c r="BC109">
        <f ca="1">IF(M109=$F109,1,0)</f>
        <v>1</v>
      </c>
      <c r="BD109">
        <f ca="1">IF(C109=$F109,1,0)</f>
        <v>1</v>
      </c>
      <c r="BE109">
        <f ca="1">IF(D109=$F109,1,0)</f>
        <v>1</v>
      </c>
      <c r="BF109">
        <f t="shared" ca="1" si="13"/>
        <v>1</v>
      </c>
      <c r="BG109">
        <f t="shared" ca="1" si="14"/>
        <v>0</v>
      </c>
      <c r="BH109">
        <f t="shared" ca="1" si="25"/>
        <v>0</v>
      </c>
      <c r="BI109">
        <f t="shared" ca="1" si="26"/>
        <v>1</v>
      </c>
      <c r="BJ109">
        <f t="shared" ca="1" si="28"/>
        <v>1</v>
      </c>
      <c r="BK109">
        <f t="shared" ca="1" si="28"/>
        <v>1</v>
      </c>
      <c r="BL109">
        <f t="shared" ca="1" si="28"/>
        <v>1</v>
      </c>
      <c r="BM109">
        <f t="shared" ca="1" si="18"/>
        <v>1</v>
      </c>
      <c r="BN109">
        <f t="shared" ca="1" si="19"/>
        <v>1</v>
      </c>
      <c r="BO109">
        <f t="shared" ca="1" si="20"/>
        <v>1</v>
      </c>
      <c r="BP109">
        <f t="shared" ca="1" si="21"/>
        <v>1</v>
      </c>
      <c r="BQ109">
        <f t="shared" ca="1" si="22"/>
        <v>1</v>
      </c>
    </row>
    <row r="110" spans="1:69" s="4" customFormat="1" x14ac:dyDescent="0.2">
      <c r="A110" t="str">
        <f>Sheet3!A94</f>
        <v>[[64,13,12]]</v>
      </c>
      <c r="B110" s="4">
        <v>64</v>
      </c>
      <c r="C110" cm="1">
        <f t="array" aca="1" ref="C110" ca="1">OFFSET(INDIRECT("Sheet"&amp;K$2&amp;"!d1"),$G110-1,)</f>
        <v>12</v>
      </c>
      <c r="D110" cm="1">
        <f t="array" aca="1" ref="D110" ca="1">OFFSET(INDIRECT("Sheet"&amp;L$2&amp;"!d1"),$G110-1,)</f>
        <v>12</v>
      </c>
      <c r="E110" s="4">
        <v>13</v>
      </c>
      <c r="F110" s="4">
        <v>12</v>
      </c>
      <c r="G110">
        <f t="shared" si="23"/>
        <v>94</v>
      </c>
      <c r="H110" cm="1">
        <f t="array" aca="1" ref="H110" ca="1">OFFSET(INDIRECT("Sheet"&amp;E$2&amp;"!d1"),$G110-1,)</f>
        <v>0</v>
      </c>
      <c r="I110" cm="1">
        <f t="array" aca="1" ref="I110" ca="1">OFFSET(INDIRECT("Sheet"&amp;F$2&amp;"!d1"),$G110-1,)</f>
        <v>0</v>
      </c>
      <c r="J110" cm="1">
        <f t="array" aca="1" ref="J110" ca="1">OFFSET(INDIRECT("Sheet"&amp;G$2&amp;"!d1"),$G110-1,)</f>
        <v>0</v>
      </c>
      <c r="K110" cm="1">
        <f t="array" aca="1" ref="K110" ca="1">OFFSET(INDIRECT("Sheet"&amp;H$2&amp;"!d1"),$G110-1,)</f>
        <v>0</v>
      </c>
      <c r="L110" cm="1">
        <f t="array" aca="1" ref="L110" ca="1">OFFSET(INDIRECT("Sheet"&amp;I$2&amp;"!d1"),$G110-1,)</f>
        <v>0</v>
      </c>
      <c r="M110" cm="1">
        <f t="array" aca="1" ref="M110" ca="1">OFFSET(INDIRECT("Sheet"&amp;J$2&amp;"!d1"),$G110-1,)</f>
        <v>12</v>
      </c>
      <c r="N110" cm="1">
        <f t="array" aca="1" ref="N110" ca="1">OFFSET(INDIRECT("Sheet"&amp;M$2&amp;"!d1"),$G110-1,)</f>
        <v>12</v>
      </c>
      <c r="O110" cm="1">
        <f t="array" aca="1" ref="O110" ca="1">OFFSET(INDIRECT("Sheet"&amp;C$2&amp;"!d1"),$G110-1,)</f>
        <v>0</v>
      </c>
      <c r="P110" cm="1">
        <f t="array" aca="1" ref="P110" ca="1">OFFSET(INDIRECT("Sheet"&amp;D$2&amp;"!d1"),$G110-1,)</f>
        <v>0</v>
      </c>
      <c r="Q110" cm="1">
        <f t="array" aca="1" ref="Q110" ca="1">OFFSET(INDIRECT("Sheet"&amp;N$2&amp;"!d1"),$G110-1,)</f>
        <v>12</v>
      </c>
      <c r="R110" cm="1">
        <f t="array" aca="1" ref="R110" ca="1">OFFSET(INDIRECT("Sheet"&amp;O$2&amp;"!d1"),$G110-1,)</f>
        <v>12</v>
      </c>
      <c r="S110" cm="1">
        <f t="array" aca="1" ref="S110" ca="1">OFFSET(INDIRECT("Sheet"&amp;P$2&amp;"!d1"),$G110-1,)</f>
        <v>12</v>
      </c>
      <c r="T110" cm="1">
        <f t="array" aca="1" ref="T110" ca="1">OFFSET(INDIRECT("Sheet"&amp;Q$2&amp;"!d1"),$G110-1,)</f>
        <v>12</v>
      </c>
      <c r="U110" cm="1">
        <f t="array" aca="1" ref="U110" ca="1">OFFSET(INDIRECT("Sheet"&amp;R$2&amp;"!d1"),$G110-1,)</f>
        <v>12</v>
      </c>
      <c r="V110" cm="1">
        <f t="array" aca="1" ref="V110" ca="1">OFFSET(INDIRECT("Sheet"&amp;S$2&amp;"!d1"),$G110-1,)</f>
        <v>12</v>
      </c>
      <c r="W110" cm="1">
        <f t="array" aca="1" ref="W110" ca="1">OFFSET(INDIRECT("Sheet"&amp;T$2&amp;"!d1"),$G110-1,)</f>
        <v>12</v>
      </c>
      <c r="X110" cm="1">
        <f t="array" aca="1" ref="X110" ca="1">OFFSET(INDIRECT("Sheet"&amp;U$2&amp;"!d1"),$G110-1,)</f>
        <v>12</v>
      </c>
      <c r="Y110" cm="1">
        <f t="array" aca="1" ref="Y110" ca="1">OFFSET(INDIRECT("Sheet"&amp;V$2&amp;"!d1"),$G110-1,)</f>
        <v>12</v>
      </c>
      <c r="Z110"/>
      <c r="AB110" s="3" cm="1">
        <f t="array" aca="1" ref="AB110" ca="1">OFFSET(INDIRECT("Sheet"&amp;E$2&amp;"!f1"),$G110-1,)</f>
        <v>0</v>
      </c>
      <c r="AC110" s="3" cm="1">
        <f t="array" aca="1" ref="AC110" ca="1">OFFSET(INDIRECT("Sheet"&amp;F$2&amp;"!f1"),$G110-1,)</f>
        <v>0</v>
      </c>
      <c r="AD110" s="3" cm="1">
        <f t="array" aca="1" ref="AD110" ca="1">OFFSET(INDIRECT("Sheet"&amp;G$2&amp;"!f1"),$G110-1,)</f>
        <v>0</v>
      </c>
      <c r="AE110" s="3" cm="1">
        <f t="array" aca="1" ref="AE110" ca="1">OFFSET(INDIRECT("Sheet"&amp;H$2&amp;"!f1"),$G110-1,)</f>
        <v>28800.1150663308</v>
      </c>
      <c r="AF110" s="3" cm="1">
        <f t="array" aca="1" ref="AF110" ca="1">OFFSET(INDIRECT("Sheet"&amp;I$2&amp;"!f1"),$G110-1,)</f>
        <v>28800.118154242598</v>
      </c>
      <c r="AG110" s="3" cm="1">
        <f t="array" aca="1" ref="AG110" ca="1">OFFSET(INDIRECT("Sheet"&amp;J$2&amp;"!f1"),$G110-1,)</f>
        <v>0.84600598737597399</v>
      </c>
      <c r="AH110" s="3" cm="1">
        <f t="array" aca="1" ref="AH110" ca="1">OFFSET(INDIRECT("Sheet"&amp;K$2&amp;"!f1"),$G110-1,)</f>
        <v>0.76895300199998895</v>
      </c>
      <c r="AI110" s="3" cm="1">
        <f t="array" aca="1" ref="AI110" ca="1">OFFSET(INDIRECT("Sheet"&amp;L$2&amp;"!f1"),$G110-1,)</f>
        <v>0.74869237900000396</v>
      </c>
      <c r="AJ110" s="3" cm="1">
        <f t="array" aca="1" ref="AJ110" ca="1">OFFSET(INDIRECT("Sheet"&amp;M$2&amp;"!f1"),$G110-1,)</f>
        <v>1.40425920207053</v>
      </c>
      <c r="AK110" s="3" cm="1">
        <f t="array" aca="1" ref="AK110" ca="1">OFFSET(INDIRECT("Sheet"&amp;C$2&amp;"!f1"),$G110-1,)</f>
        <v>0</v>
      </c>
      <c r="AL110" s="3" cm="1">
        <f t="array" aca="1" ref="AL110" ca="1">OFFSET(INDIRECT("Sheet"&amp;D$2&amp;"!f1"),$G110-1,)</f>
        <v>0</v>
      </c>
      <c r="AM110" s="3" cm="1">
        <f t="array" aca="1" ref="AM110" ca="1">OFFSET(INDIRECT("Sheet"&amp;N$2&amp;"!f1"),$G110-1,)</f>
        <v>9.0156983863562292</v>
      </c>
      <c r="AN110" s="3" cm="1">
        <f t="array" aca="1" ref="AN110" ca="1">OFFSET(INDIRECT("Sheet"&amp;O$2&amp;"!f1"),$G110-1,)</f>
        <v>16.554341278970199</v>
      </c>
      <c r="AO110" s="3" cm="1">
        <f t="array" aca="1" ref="AO110" ca="1">OFFSET(INDIRECT("Sheet"&amp;P$2&amp;"!f1"),$G110-1,)</f>
        <v>26.661164000630301</v>
      </c>
      <c r="AP110" s="3" cm="1">
        <f t="array" aca="1" ref="AP110" ca="1">OFFSET(INDIRECT("Sheet"&amp;Q$2&amp;"!f1"),$G110-1,)</f>
        <v>6.0772825675085098</v>
      </c>
      <c r="AQ110" s="3" cm="1">
        <f t="array" aca="1" ref="AQ110" ca="1">OFFSET(INDIRECT("Sheet"&amp;R$2&amp;"!f1"),$G110-1,)</f>
        <v>8.6471600849181396</v>
      </c>
      <c r="AR110" s="3" cm="1">
        <f t="array" aca="1" ref="AR110" ca="1">OFFSET(INDIRECT("Sheet"&amp;S$2&amp;"!f1"),$G110-1,)</f>
        <v>13.807979959994499</v>
      </c>
      <c r="AS110" s="3" cm="1">
        <f t="array" aca="1" ref="AS110" ca="1">OFFSET(INDIRECT("Sheet"&amp;T$2&amp;"!f1"),$G110-1,)</f>
        <v>15.8018566798418</v>
      </c>
      <c r="AT110" s="3" cm="1">
        <f t="array" aca="1" ref="AT110" ca="1">OFFSET(INDIRECT("Sheet"&amp;U$2&amp;"!f1"),$G110-1,)</f>
        <v>21.436048562638401</v>
      </c>
      <c r="AU110" s="3" cm="1">
        <f t="array" aca="1" ref="AU110" ca="1">OFFSET(INDIRECT("Sheet"&amp;V$2&amp;"!f1"),$G110-1,)</f>
        <v>25.538601706735701</v>
      </c>
      <c r="AV110" s="3"/>
      <c r="AX110">
        <f ca="1">IF(H110=$F110,1,0)</f>
        <v>0</v>
      </c>
      <c r="AY110">
        <f ca="1">IF(I110=$F110,1,0)</f>
        <v>0</v>
      </c>
      <c r="AZ110">
        <f ca="1">IF(J110=$F110,1,0)</f>
        <v>0</v>
      </c>
      <c r="BA110">
        <f ca="1">IF(K110=$F110,1,0)</f>
        <v>0</v>
      </c>
      <c r="BB110">
        <f ca="1">IF(L110=$F110,1,0)</f>
        <v>0</v>
      </c>
      <c r="BC110">
        <f ca="1">IF(M110=$F110,1,0)</f>
        <v>1</v>
      </c>
      <c r="BD110">
        <f ca="1">IF(C110=$F110,1,0)</f>
        <v>1</v>
      </c>
      <c r="BE110">
        <f ca="1">IF(D110=$F110,1,0)</f>
        <v>1</v>
      </c>
      <c r="BF110">
        <f t="shared" ca="1" si="13"/>
        <v>1</v>
      </c>
      <c r="BG110">
        <f t="shared" ca="1" si="14"/>
        <v>0</v>
      </c>
      <c r="BH110">
        <f t="shared" ca="1" si="25"/>
        <v>0</v>
      </c>
      <c r="BI110">
        <f t="shared" ca="1" si="26"/>
        <v>1</v>
      </c>
      <c r="BJ110">
        <f t="shared" ca="1" si="28"/>
        <v>1</v>
      </c>
      <c r="BK110">
        <f t="shared" ca="1" si="28"/>
        <v>1</v>
      </c>
      <c r="BL110">
        <f t="shared" ca="1" si="28"/>
        <v>1</v>
      </c>
      <c r="BM110">
        <f t="shared" ca="1" si="18"/>
        <v>1</v>
      </c>
      <c r="BN110">
        <f t="shared" ca="1" si="19"/>
        <v>1</v>
      </c>
      <c r="BO110">
        <f t="shared" ca="1" si="20"/>
        <v>1</v>
      </c>
      <c r="BP110">
        <f t="shared" ca="1" si="21"/>
        <v>1</v>
      </c>
      <c r="BQ110">
        <f t="shared" ca="1" si="22"/>
        <v>1</v>
      </c>
    </row>
    <row r="111" spans="1:69" s="4" customFormat="1" x14ac:dyDescent="0.2">
      <c r="A111" t="str">
        <f>Sheet3!A95</f>
        <v>[[65,5,14]]</v>
      </c>
      <c r="B111" s="4">
        <v>65</v>
      </c>
      <c r="C111" cm="1">
        <f t="array" aca="1" ref="C111" ca="1">OFFSET(INDIRECT("Sheet"&amp;K$2&amp;"!d1"),$G111-1,)</f>
        <v>14</v>
      </c>
      <c r="D111" cm="1">
        <f t="array" aca="1" ref="D111" ca="1">OFFSET(INDIRECT("Sheet"&amp;L$2&amp;"!d1"),$G111-1,)</f>
        <v>14</v>
      </c>
      <c r="E111" s="4">
        <v>5</v>
      </c>
      <c r="F111" s="4">
        <v>14</v>
      </c>
      <c r="G111">
        <f t="shared" si="23"/>
        <v>95</v>
      </c>
      <c r="H111" cm="1">
        <f t="array" aca="1" ref="H111" ca="1">OFFSET(INDIRECT("Sheet"&amp;E$2&amp;"!d1"),$G111-1,)</f>
        <v>0</v>
      </c>
      <c r="I111" cm="1">
        <f t="array" aca="1" ref="I111" ca="1">OFFSET(INDIRECT("Sheet"&amp;F$2&amp;"!d1"),$G111-1,)</f>
        <v>0</v>
      </c>
      <c r="J111" cm="1">
        <f t="array" aca="1" ref="J111" ca="1">OFFSET(INDIRECT("Sheet"&amp;G$2&amp;"!d1"),$G111-1,)</f>
        <v>0</v>
      </c>
      <c r="K111" cm="1">
        <f t="array" aca="1" ref="K111" ca="1">OFFSET(INDIRECT("Sheet"&amp;H$2&amp;"!d1"),$G111-1,)</f>
        <v>0</v>
      </c>
      <c r="L111" cm="1">
        <f t="array" aca="1" ref="L111" ca="1">OFFSET(INDIRECT("Sheet"&amp;I$2&amp;"!d1"),$G111-1,)</f>
        <v>0</v>
      </c>
      <c r="M111" cm="1">
        <f t="array" aca="1" ref="M111" ca="1">OFFSET(INDIRECT("Sheet"&amp;J$2&amp;"!d1"),$G111-1,)</f>
        <v>14</v>
      </c>
      <c r="N111" cm="1">
        <f t="array" aca="1" ref="N111" ca="1">OFFSET(INDIRECT("Sheet"&amp;M$2&amp;"!d1"),$G111-1,)</f>
        <v>14</v>
      </c>
      <c r="O111" cm="1">
        <f t="array" aca="1" ref="O111" ca="1">OFFSET(INDIRECT("Sheet"&amp;C$2&amp;"!d1"),$G111-1,)</f>
        <v>0</v>
      </c>
      <c r="P111" cm="1">
        <f t="array" aca="1" ref="P111" ca="1">OFFSET(INDIRECT("Sheet"&amp;D$2&amp;"!d1"),$G111-1,)</f>
        <v>0</v>
      </c>
      <c r="Q111" cm="1">
        <f t="array" aca="1" ref="Q111" ca="1">OFFSET(INDIRECT("Sheet"&amp;N$2&amp;"!d1"),$G111-1,)</f>
        <v>14</v>
      </c>
      <c r="R111" cm="1">
        <f t="array" aca="1" ref="R111" ca="1">OFFSET(INDIRECT("Sheet"&amp;O$2&amp;"!d1"),$G111-1,)</f>
        <v>14</v>
      </c>
      <c r="S111" cm="1">
        <f t="array" aca="1" ref="S111" ca="1">OFFSET(INDIRECT("Sheet"&amp;P$2&amp;"!d1"),$G111-1,)</f>
        <v>14</v>
      </c>
      <c r="T111" cm="1">
        <f t="array" aca="1" ref="T111" ca="1">OFFSET(INDIRECT("Sheet"&amp;Q$2&amp;"!d1"),$G111-1,)</f>
        <v>14</v>
      </c>
      <c r="U111" cm="1">
        <f t="array" aca="1" ref="U111" ca="1">OFFSET(INDIRECT("Sheet"&amp;R$2&amp;"!d1"),$G111-1,)</f>
        <v>14</v>
      </c>
      <c r="V111" cm="1">
        <f t="array" aca="1" ref="V111" ca="1">OFFSET(INDIRECT("Sheet"&amp;S$2&amp;"!d1"),$G111-1,)</f>
        <v>14</v>
      </c>
      <c r="W111" cm="1">
        <f t="array" aca="1" ref="W111" ca="1">OFFSET(INDIRECT("Sheet"&amp;T$2&amp;"!d1"),$G111-1,)</f>
        <v>14</v>
      </c>
      <c r="X111" cm="1">
        <f t="array" aca="1" ref="X111" ca="1">OFFSET(INDIRECT("Sheet"&amp;U$2&amp;"!d1"),$G111-1,)</f>
        <v>14</v>
      </c>
      <c r="Y111" cm="1">
        <f t="array" aca="1" ref="Y111" ca="1">OFFSET(INDIRECT("Sheet"&amp;V$2&amp;"!d1"),$G111-1,)</f>
        <v>14</v>
      </c>
      <c r="Z111"/>
      <c r="AB111" s="3" cm="1">
        <f t="array" aca="1" ref="AB111" ca="1">OFFSET(INDIRECT("Sheet"&amp;E$2&amp;"!f1"),$G111-1,)</f>
        <v>0</v>
      </c>
      <c r="AC111" s="3" cm="1">
        <f t="array" aca="1" ref="AC111" ca="1">OFFSET(INDIRECT("Sheet"&amp;F$2&amp;"!f1"),$G111-1,)</f>
        <v>0</v>
      </c>
      <c r="AD111" s="3" cm="1">
        <f t="array" aca="1" ref="AD111" ca="1">OFFSET(INDIRECT("Sheet"&amp;G$2&amp;"!f1"),$G111-1,)</f>
        <v>0</v>
      </c>
      <c r="AE111" s="3" cm="1">
        <f t="array" aca="1" ref="AE111" ca="1">OFFSET(INDIRECT("Sheet"&amp;H$2&amp;"!f1"),$G111-1,)</f>
        <v>28800.1197771513</v>
      </c>
      <c r="AF111" s="3" cm="1">
        <f t="array" aca="1" ref="AF111" ca="1">OFFSET(INDIRECT("Sheet"&amp;I$2&amp;"!f1"),$G111-1,)</f>
        <v>28800.1170864626</v>
      </c>
      <c r="AG111" s="3" cm="1">
        <f t="array" aca="1" ref="AG111" ca="1">OFFSET(INDIRECT("Sheet"&amp;J$2&amp;"!f1"),$G111-1,)</f>
        <v>1.1162594147026501</v>
      </c>
      <c r="AH111" s="3" cm="1">
        <f t="array" aca="1" ref="AH111" ca="1">OFFSET(INDIRECT("Sheet"&amp;K$2&amp;"!f1"),$G111-1,)</f>
        <v>0.98156809600001704</v>
      </c>
      <c r="AI111" s="3" cm="1">
        <f t="array" aca="1" ref="AI111" ca="1">OFFSET(INDIRECT("Sheet"&amp;L$2&amp;"!f1"),$G111-1,)</f>
        <v>0.98113774999998704</v>
      </c>
      <c r="AJ111" s="3" cm="1">
        <f t="array" aca="1" ref="AJ111" ca="1">OFFSET(INDIRECT("Sheet"&amp;M$2&amp;"!f1"),$G111-1,)</f>
        <v>1.46024376526474</v>
      </c>
      <c r="AK111" s="3" cm="1">
        <f t="array" aca="1" ref="AK111" ca="1">OFFSET(INDIRECT("Sheet"&amp;C$2&amp;"!f1"),$G111-1,)</f>
        <v>0</v>
      </c>
      <c r="AL111" s="3" cm="1">
        <f t="array" aca="1" ref="AL111" ca="1">OFFSET(INDIRECT("Sheet"&amp;D$2&amp;"!f1"),$G111-1,)</f>
        <v>0</v>
      </c>
      <c r="AM111" s="3" cm="1">
        <f t="array" aca="1" ref="AM111" ca="1">OFFSET(INDIRECT("Sheet"&amp;N$2&amp;"!f1"),$G111-1,)</f>
        <v>7.2745002871379203</v>
      </c>
      <c r="AN111" s="3" cm="1">
        <f t="array" aca="1" ref="AN111" ca="1">OFFSET(INDIRECT("Sheet"&amp;O$2&amp;"!f1"),$G111-1,)</f>
        <v>14.3971027992665</v>
      </c>
      <c r="AO111" s="3" cm="1">
        <f t="array" aca="1" ref="AO111" ca="1">OFFSET(INDIRECT("Sheet"&amp;P$2&amp;"!f1"),$G111-1,)</f>
        <v>19.4781447155401</v>
      </c>
      <c r="AP111" s="3" cm="1">
        <f t="array" aca="1" ref="AP111" ca="1">OFFSET(INDIRECT("Sheet"&amp;Q$2&amp;"!f1"),$G111-1,)</f>
        <v>4.6300216130912304</v>
      </c>
      <c r="AQ111" s="3" cm="1">
        <f t="array" aca="1" ref="AQ111" ca="1">OFFSET(INDIRECT("Sheet"&amp;R$2&amp;"!f1"),$G111-1,)</f>
        <v>6.9588855393230897</v>
      </c>
      <c r="AR111" s="3" cm="1">
        <f t="array" aca="1" ref="AR111" ca="1">OFFSET(INDIRECT("Sheet"&amp;S$2&amp;"!f1"),$G111-1,)</f>
        <v>12.5847829431295</v>
      </c>
      <c r="AS111" s="3" cm="1">
        <f t="array" aca="1" ref="AS111" ca="1">OFFSET(INDIRECT("Sheet"&amp;T$2&amp;"!f1"),$G111-1,)</f>
        <v>13.773933253251</v>
      </c>
      <c r="AT111" s="3" cm="1">
        <f t="array" aca="1" ref="AT111" ca="1">OFFSET(INDIRECT("Sheet"&amp;U$2&amp;"!f1"),$G111-1,)</f>
        <v>15.6740673268213</v>
      </c>
      <c r="AU111" s="3" cm="1">
        <f t="array" aca="1" ref="AU111" ca="1">OFFSET(INDIRECT("Sheet"&amp;V$2&amp;"!f1"),$G111-1,)</f>
        <v>18.676788694225198</v>
      </c>
      <c r="AV111" s="3"/>
      <c r="AX111">
        <f ca="1">IF(H111=$F111,1,0)</f>
        <v>0</v>
      </c>
      <c r="AY111">
        <f ca="1">IF(I111=$F111,1,0)</f>
        <v>0</v>
      </c>
      <c r="AZ111">
        <f ca="1">IF(J111=$F111,1,0)</f>
        <v>0</v>
      </c>
      <c r="BA111">
        <f ca="1">IF(K111=$F111,1,0)</f>
        <v>0</v>
      </c>
      <c r="BB111">
        <f ca="1">IF(L111=$F111,1,0)</f>
        <v>0</v>
      </c>
      <c r="BC111">
        <f ca="1">IF(M111=$F111,1,0)</f>
        <v>1</v>
      </c>
      <c r="BD111">
        <f ca="1">IF(C111=$F111,1,0)</f>
        <v>1</v>
      </c>
      <c r="BE111">
        <f ca="1">IF(D111=$F111,1,0)</f>
        <v>1</v>
      </c>
      <c r="BF111">
        <f t="shared" ca="1" si="13"/>
        <v>1</v>
      </c>
      <c r="BG111">
        <f t="shared" ca="1" si="14"/>
        <v>0</v>
      </c>
      <c r="BH111">
        <f t="shared" ca="1" si="25"/>
        <v>0</v>
      </c>
      <c r="BI111">
        <f t="shared" ca="1" si="26"/>
        <v>1</v>
      </c>
      <c r="BJ111">
        <f t="shared" ca="1" si="28"/>
        <v>1</v>
      </c>
      <c r="BK111">
        <f t="shared" ca="1" si="28"/>
        <v>1</v>
      </c>
      <c r="BL111">
        <f t="shared" ca="1" si="28"/>
        <v>1</v>
      </c>
      <c r="BM111">
        <f t="shared" ca="1" si="18"/>
        <v>1</v>
      </c>
      <c r="BN111">
        <f t="shared" ca="1" si="19"/>
        <v>1</v>
      </c>
      <c r="BO111">
        <f t="shared" ca="1" si="20"/>
        <v>1</v>
      </c>
      <c r="BP111">
        <f t="shared" ca="1" si="21"/>
        <v>1</v>
      </c>
      <c r="BQ111">
        <f t="shared" ca="1" si="22"/>
        <v>1</v>
      </c>
    </row>
    <row r="112" spans="1:69" s="4" customFormat="1" x14ac:dyDescent="0.2">
      <c r="A112" t="str">
        <f>Sheet3!A96</f>
        <v>[[66,5,14]]</v>
      </c>
      <c r="B112" s="4">
        <v>66</v>
      </c>
      <c r="C112" cm="1">
        <f t="array" aca="1" ref="C112" ca="1">OFFSET(INDIRECT("Sheet"&amp;K$2&amp;"!d1"),$G112-1,)</f>
        <v>14</v>
      </c>
      <c r="D112" cm="1">
        <f t="array" aca="1" ref="D112" ca="1">OFFSET(INDIRECT("Sheet"&amp;L$2&amp;"!d1"),$G112-1,)</f>
        <v>14</v>
      </c>
      <c r="E112" s="4">
        <v>5</v>
      </c>
      <c r="F112" s="4">
        <v>14</v>
      </c>
      <c r="G112">
        <f t="shared" si="23"/>
        <v>96</v>
      </c>
      <c r="H112" cm="1">
        <f t="array" aca="1" ref="H112" ca="1">OFFSET(INDIRECT("Sheet"&amp;E$2&amp;"!d1"),$G112-1,)</f>
        <v>0</v>
      </c>
      <c r="I112" cm="1">
        <f t="array" aca="1" ref="I112" ca="1">OFFSET(INDIRECT("Sheet"&amp;F$2&amp;"!d1"),$G112-1,)</f>
        <v>0</v>
      </c>
      <c r="J112" cm="1">
        <f t="array" aca="1" ref="J112" ca="1">OFFSET(INDIRECT("Sheet"&amp;G$2&amp;"!d1"),$G112-1,)</f>
        <v>0</v>
      </c>
      <c r="K112" cm="1">
        <f t="array" aca="1" ref="K112" ca="1">OFFSET(INDIRECT("Sheet"&amp;H$2&amp;"!d1"),$G112-1,)</f>
        <v>0</v>
      </c>
      <c r="L112" cm="1">
        <f t="array" aca="1" ref="L112" ca="1">OFFSET(INDIRECT("Sheet"&amp;I$2&amp;"!d1"),$G112-1,)</f>
        <v>0</v>
      </c>
      <c r="M112" cm="1">
        <f t="array" aca="1" ref="M112" ca="1">OFFSET(INDIRECT("Sheet"&amp;J$2&amp;"!d1"),$G112-1,)</f>
        <v>14</v>
      </c>
      <c r="N112" cm="1">
        <f t="array" aca="1" ref="N112" ca="1">OFFSET(INDIRECT("Sheet"&amp;M$2&amp;"!d1"),$G112-1,)</f>
        <v>14</v>
      </c>
      <c r="O112" cm="1">
        <f t="array" aca="1" ref="O112" ca="1">OFFSET(INDIRECT("Sheet"&amp;C$2&amp;"!d1"),$G112-1,)</f>
        <v>0</v>
      </c>
      <c r="P112" cm="1">
        <f t="array" aca="1" ref="P112" ca="1">OFFSET(INDIRECT("Sheet"&amp;D$2&amp;"!d1"),$G112-1,)</f>
        <v>0</v>
      </c>
      <c r="Q112" cm="1">
        <f t="array" aca="1" ref="Q112" ca="1">OFFSET(INDIRECT("Sheet"&amp;N$2&amp;"!d1"),$G112-1,)</f>
        <v>14</v>
      </c>
      <c r="R112" cm="1">
        <f t="array" aca="1" ref="R112" ca="1">OFFSET(INDIRECT("Sheet"&amp;O$2&amp;"!d1"),$G112-1,)</f>
        <v>14</v>
      </c>
      <c r="S112" cm="1">
        <f t="array" aca="1" ref="S112" ca="1">OFFSET(INDIRECT("Sheet"&amp;P$2&amp;"!d1"),$G112-1,)</f>
        <v>14</v>
      </c>
      <c r="T112" cm="1">
        <f t="array" aca="1" ref="T112" ca="1">OFFSET(INDIRECT("Sheet"&amp;Q$2&amp;"!d1"),$G112-1,)</f>
        <v>14</v>
      </c>
      <c r="U112" cm="1">
        <f t="array" aca="1" ref="U112" ca="1">OFFSET(INDIRECT("Sheet"&amp;R$2&amp;"!d1"),$G112-1,)</f>
        <v>14</v>
      </c>
      <c r="V112" cm="1">
        <f t="array" aca="1" ref="V112" ca="1">OFFSET(INDIRECT("Sheet"&amp;S$2&amp;"!d1"),$G112-1,)</f>
        <v>14</v>
      </c>
      <c r="W112" cm="1">
        <f t="array" aca="1" ref="W112" ca="1">OFFSET(INDIRECT("Sheet"&amp;T$2&amp;"!d1"),$G112-1,)</f>
        <v>14</v>
      </c>
      <c r="X112" cm="1">
        <f t="array" aca="1" ref="X112" ca="1">OFFSET(INDIRECT("Sheet"&amp;U$2&amp;"!d1"),$G112-1,)</f>
        <v>14</v>
      </c>
      <c r="Y112" cm="1">
        <f t="array" aca="1" ref="Y112" ca="1">OFFSET(INDIRECT("Sheet"&amp;V$2&amp;"!d1"),$G112-1,)</f>
        <v>14</v>
      </c>
      <c r="Z112"/>
      <c r="AB112" s="3" cm="1">
        <f t="array" aca="1" ref="AB112" ca="1">OFFSET(INDIRECT("Sheet"&amp;E$2&amp;"!f1"),$G112-1,)</f>
        <v>0</v>
      </c>
      <c r="AC112" s="3" cm="1">
        <f t="array" aca="1" ref="AC112" ca="1">OFFSET(INDIRECT("Sheet"&amp;F$2&amp;"!f1"),$G112-1,)</f>
        <v>0</v>
      </c>
      <c r="AD112" s="3" cm="1">
        <f t="array" aca="1" ref="AD112" ca="1">OFFSET(INDIRECT("Sheet"&amp;G$2&amp;"!f1"),$G112-1,)</f>
        <v>0</v>
      </c>
      <c r="AE112" s="3" cm="1">
        <f t="array" aca="1" ref="AE112" ca="1">OFFSET(INDIRECT("Sheet"&amp;H$2&amp;"!f1"),$G112-1,)</f>
        <v>28800.1155279669</v>
      </c>
      <c r="AF112" s="3" cm="1">
        <f t="array" aca="1" ref="AF112" ca="1">OFFSET(INDIRECT("Sheet"&amp;I$2&amp;"!f1"),$G112-1,)</f>
        <v>28802.076413147101</v>
      </c>
      <c r="AG112" s="3" cm="1">
        <f t="array" aca="1" ref="AG112" ca="1">OFFSET(INDIRECT("Sheet"&amp;J$2&amp;"!f1"),$G112-1,)</f>
        <v>1.1287232292816001</v>
      </c>
      <c r="AH112" s="3" cm="1">
        <f t="array" aca="1" ref="AH112" ca="1">OFFSET(INDIRECT("Sheet"&amp;K$2&amp;"!f1"),$G112-1,)</f>
        <v>0.99846779899999605</v>
      </c>
      <c r="AI112" s="3" cm="1">
        <f t="array" aca="1" ref="AI112" ca="1">OFFSET(INDIRECT("Sheet"&amp;L$2&amp;"!f1"),$G112-1,)</f>
        <v>1.024960128</v>
      </c>
      <c r="AJ112" s="3" cm="1">
        <f t="array" aca="1" ref="AJ112" ca="1">OFFSET(INDIRECT("Sheet"&amp;M$2&amp;"!f1"),$G112-1,)</f>
        <v>1.48648449592292</v>
      </c>
      <c r="AK112" s="3" cm="1">
        <f t="array" aca="1" ref="AK112" ca="1">OFFSET(INDIRECT("Sheet"&amp;C$2&amp;"!f1"),$G112-1,)</f>
        <v>0</v>
      </c>
      <c r="AL112" s="3" cm="1">
        <f t="array" aca="1" ref="AL112" ca="1">OFFSET(INDIRECT("Sheet"&amp;D$2&amp;"!f1"),$G112-1,)</f>
        <v>0</v>
      </c>
      <c r="AM112" s="3" cm="1">
        <f t="array" aca="1" ref="AM112" ca="1">OFFSET(INDIRECT("Sheet"&amp;N$2&amp;"!f1"),$G112-1,)</f>
        <v>7.3822682881727797</v>
      </c>
      <c r="AN112" s="3" cm="1">
        <f t="array" aca="1" ref="AN112" ca="1">OFFSET(INDIRECT("Sheet"&amp;O$2&amp;"!f1"),$G112-1,)</f>
        <v>14.747634920291601</v>
      </c>
      <c r="AO112" s="3" cm="1">
        <f t="array" aca="1" ref="AO112" ca="1">OFFSET(INDIRECT("Sheet"&amp;P$2&amp;"!f1"),$G112-1,)</f>
        <v>19.7783579370006</v>
      </c>
      <c r="AP112" s="3" cm="1">
        <f t="array" aca="1" ref="AP112" ca="1">OFFSET(INDIRECT("Sheet"&amp;Q$2&amp;"!f1"),$G112-1,)</f>
        <v>4.6997792711481399</v>
      </c>
      <c r="AQ112" s="3" cm="1">
        <f t="array" aca="1" ref="AQ112" ca="1">OFFSET(INDIRECT("Sheet"&amp;R$2&amp;"!f1"),$G112-1,)</f>
        <v>7.0320596760138798</v>
      </c>
      <c r="AR112" s="3" cm="1">
        <f t="array" aca="1" ref="AR112" ca="1">OFFSET(INDIRECT("Sheet"&amp;S$2&amp;"!f1"),$G112-1,)</f>
        <v>12.959105256944801</v>
      </c>
      <c r="AS112" s="3" cm="1">
        <f t="array" aca="1" ref="AS112" ca="1">OFFSET(INDIRECT("Sheet"&amp;T$2&amp;"!f1"),$G112-1,)</f>
        <v>14.0946836387738</v>
      </c>
      <c r="AT112" s="3" cm="1">
        <f t="array" aca="1" ref="AT112" ca="1">OFFSET(INDIRECT("Sheet"&amp;U$2&amp;"!f1"),$G112-1,)</f>
        <v>15.9504158860072</v>
      </c>
      <c r="AU112" s="3" cm="1">
        <f t="array" aca="1" ref="AU112" ca="1">OFFSET(INDIRECT("Sheet"&amp;V$2&amp;"!f1"),$G112-1,)</f>
        <v>19.449908399954399</v>
      </c>
      <c r="AV112" s="3"/>
      <c r="AX112">
        <f ca="1">IF(H112=$F112,1,0)</f>
        <v>0</v>
      </c>
      <c r="AY112">
        <f ca="1">IF(I112=$F112,1,0)</f>
        <v>0</v>
      </c>
      <c r="AZ112">
        <f ca="1">IF(J112=$F112,1,0)</f>
        <v>0</v>
      </c>
      <c r="BA112">
        <f ca="1">IF(K112=$F112,1,0)</f>
        <v>0</v>
      </c>
      <c r="BB112">
        <f ca="1">IF(L112=$F112,1,0)</f>
        <v>0</v>
      </c>
      <c r="BC112">
        <f ca="1">IF(M112=$F112,1,0)</f>
        <v>1</v>
      </c>
      <c r="BD112">
        <f ca="1">IF(C112=$F112,1,0)</f>
        <v>1</v>
      </c>
      <c r="BE112">
        <f ca="1">IF(D112=$F112,1,0)</f>
        <v>1</v>
      </c>
      <c r="BF112">
        <f t="shared" ca="1" si="13"/>
        <v>1</v>
      </c>
      <c r="BG112">
        <f t="shared" ca="1" si="14"/>
        <v>0</v>
      </c>
      <c r="BH112">
        <f t="shared" ca="1" si="25"/>
        <v>0</v>
      </c>
      <c r="BI112">
        <f t="shared" ca="1" si="26"/>
        <v>1</v>
      </c>
      <c r="BJ112">
        <f t="shared" ca="1" si="28"/>
        <v>1</v>
      </c>
      <c r="BK112">
        <f t="shared" ca="1" si="28"/>
        <v>1</v>
      </c>
      <c r="BL112">
        <f t="shared" ca="1" si="28"/>
        <v>1</v>
      </c>
      <c r="BM112">
        <f t="shared" ca="1" si="18"/>
        <v>1</v>
      </c>
      <c r="BN112">
        <f t="shared" ca="1" si="19"/>
        <v>1</v>
      </c>
      <c r="BO112">
        <f t="shared" ca="1" si="20"/>
        <v>1</v>
      </c>
      <c r="BP112">
        <f t="shared" ca="1" si="21"/>
        <v>1</v>
      </c>
      <c r="BQ112">
        <f t="shared" ca="1" si="22"/>
        <v>1</v>
      </c>
    </row>
    <row r="113" spans="1:69" s="4" customFormat="1" x14ac:dyDescent="0.2">
      <c r="A113" t="str">
        <f>Sheet3!A97</f>
        <v>[[67,5,14]]</v>
      </c>
      <c r="B113" s="4">
        <v>67</v>
      </c>
      <c r="C113" cm="1">
        <f t="array" aca="1" ref="C113" ca="1">OFFSET(INDIRECT("Sheet"&amp;K$2&amp;"!d1"),$G113-1,)</f>
        <v>14</v>
      </c>
      <c r="D113" cm="1">
        <f t="array" aca="1" ref="D113" ca="1">OFFSET(INDIRECT("Sheet"&amp;L$2&amp;"!d1"),$G113-1,)</f>
        <v>14</v>
      </c>
      <c r="E113" s="4">
        <v>5</v>
      </c>
      <c r="F113" s="4">
        <v>14</v>
      </c>
      <c r="G113">
        <f t="shared" si="23"/>
        <v>97</v>
      </c>
      <c r="H113" cm="1">
        <f t="array" aca="1" ref="H113" ca="1">OFFSET(INDIRECT("Sheet"&amp;E$2&amp;"!d1"),$G113-1,)</f>
        <v>0</v>
      </c>
      <c r="I113" cm="1">
        <f t="array" aca="1" ref="I113" ca="1">OFFSET(INDIRECT("Sheet"&amp;F$2&amp;"!d1"),$G113-1,)</f>
        <v>0</v>
      </c>
      <c r="J113" cm="1">
        <f t="array" aca="1" ref="J113" ca="1">OFFSET(INDIRECT("Sheet"&amp;G$2&amp;"!d1"),$G113-1,)</f>
        <v>0</v>
      </c>
      <c r="K113" cm="1">
        <f t="array" aca="1" ref="K113" ca="1">OFFSET(INDIRECT("Sheet"&amp;H$2&amp;"!d1"),$G113-1,)</f>
        <v>0</v>
      </c>
      <c r="L113" cm="1">
        <f t="array" aca="1" ref="L113" ca="1">OFFSET(INDIRECT("Sheet"&amp;I$2&amp;"!d1"),$G113-1,)</f>
        <v>0</v>
      </c>
      <c r="M113" cm="1">
        <f t="array" aca="1" ref="M113" ca="1">OFFSET(INDIRECT("Sheet"&amp;J$2&amp;"!d1"),$G113-1,)</f>
        <v>14</v>
      </c>
      <c r="N113" cm="1">
        <f t="array" aca="1" ref="N113" ca="1">OFFSET(INDIRECT("Sheet"&amp;M$2&amp;"!d1"),$G113-1,)</f>
        <v>14</v>
      </c>
      <c r="O113" cm="1">
        <f t="array" aca="1" ref="O113" ca="1">OFFSET(INDIRECT("Sheet"&amp;C$2&amp;"!d1"),$G113-1,)</f>
        <v>0</v>
      </c>
      <c r="P113" cm="1">
        <f t="array" aca="1" ref="P113" ca="1">OFFSET(INDIRECT("Sheet"&amp;D$2&amp;"!d1"),$G113-1,)</f>
        <v>0</v>
      </c>
      <c r="Q113" cm="1">
        <f t="array" aca="1" ref="Q113" ca="1">OFFSET(INDIRECT("Sheet"&amp;N$2&amp;"!d1"),$G113-1,)</f>
        <v>14</v>
      </c>
      <c r="R113" cm="1">
        <f t="array" aca="1" ref="R113" ca="1">OFFSET(INDIRECT("Sheet"&amp;O$2&amp;"!d1"),$G113-1,)</f>
        <v>14</v>
      </c>
      <c r="S113" cm="1">
        <f t="array" aca="1" ref="S113" ca="1">OFFSET(INDIRECT("Sheet"&amp;P$2&amp;"!d1"),$G113-1,)</f>
        <v>14</v>
      </c>
      <c r="T113" cm="1">
        <f t="array" aca="1" ref="T113" ca="1">OFFSET(INDIRECT("Sheet"&amp;Q$2&amp;"!d1"),$G113-1,)</f>
        <v>14</v>
      </c>
      <c r="U113" cm="1">
        <f t="array" aca="1" ref="U113" ca="1">OFFSET(INDIRECT("Sheet"&amp;R$2&amp;"!d1"),$G113-1,)</f>
        <v>14</v>
      </c>
      <c r="V113" cm="1">
        <f t="array" aca="1" ref="V113" ca="1">OFFSET(INDIRECT("Sheet"&amp;S$2&amp;"!d1"),$G113-1,)</f>
        <v>14</v>
      </c>
      <c r="W113" cm="1">
        <f t="array" aca="1" ref="W113" ca="1">OFFSET(INDIRECT("Sheet"&amp;T$2&amp;"!d1"),$G113-1,)</f>
        <v>14</v>
      </c>
      <c r="X113" cm="1">
        <f t="array" aca="1" ref="X113" ca="1">OFFSET(INDIRECT("Sheet"&amp;U$2&amp;"!d1"),$G113-1,)</f>
        <v>14</v>
      </c>
      <c r="Y113" cm="1">
        <f t="array" aca="1" ref="Y113" ca="1">OFFSET(INDIRECT("Sheet"&amp;V$2&amp;"!d1"),$G113-1,)</f>
        <v>14</v>
      </c>
      <c r="Z113"/>
      <c r="AB113" s="3" cm="1">
        <f t="array" aca="1" ref="AB113" ca="1">OFFSET(INDIRECT("Sheet"&amp;E$2&amp;"!f1"),$G113-1,)</f>
        <v>0</v>
      </c>
      <c r="AC113" s="3" cm="1">
        <f t="array" aca="1" ref="AC113" ca="1">OFFSET(INDIRECT("Sheet"&amp;F$2&amp;"!f1"),$G113-1,)</f>
        <v>0</v>
      </c>
      <c r="AD113" s="3" cm="1">
        <f t="array" aca="1" ref="AD113" ca="1">OFFSET(INDIRECT("Sheet"&amp;G$2&amp;"!f1"),$G113-1,)</f>
        <v>0</v>
      </c>
      <c r="AE113" s="3" cm="1">
        <f t="array" aca="1" ref="AE113" ca="1">OFFSET(INDIRECT("Sheet"&amp;H$2&amp;"!f1"),$G113-1,)</f>
        <v>28800.123999224899</v>
      </c>
      <c r="AF113" s="3" cm="1">
        <f t="array" aca="1" ref="AF113" ca="1">OFFSET(INDIRECT("Sheet"&amp;I$2&amp;"!f1"),$G113-1,)</f>
        <v>28800.1129318028</v>
      </c>
      <c r="AG113" s="3" cm="1">
        <f t="array" aca="1" ref="AG113" ca="1">OFFSET(INDIRECT("Sheet"&amp;J$2&amp;"!f1"),$G113-1,)</f>
        <v>1.1644487362354901</v>
      </c>
      <c r="AH113" s="3" cm="1">
        <f t="array" aca="1" ref="AH113" ca="1">OFFSET(INDIRECT("Sheet"&amp;K$2&amp;"!f1"),$G113-1,)</f>
        <v>1.03166932600001</v>
      </c>
      <c r="AI113" s="3" cm="1">
        <f t="array" aca="1" ref="AI113" ca="1">OFFSET(INDIRECT("Sheet"&amp;L$2&amp;"!f1"),$G113-1,)</f>
        <v>1.0323841790000099</v>
      </c>
      <c r="AJ113" s="3" cm="1">
        <f t="array" aca="1" ref="AJ113" ca="1">OFFSET(INDIRECT("Sheet"&amp;M$2&amp;"!f1"),$G113-1,)</f>
        <v>1.5254215747117901</v>
      </c>
      <c r="AK113" s="3" cm="1">
        <f t="array" aca="1" ref="AK113" ca="1">OFFSET(INDIRECT("Sheet"&amp;C$2&amp;"!f1"),$G113-1,)</f>
        <v>0</v>
      </c>
      <c r="AL113" s="3" cm="1">
        <f t="array" aca="1" ref="AL113" ca="1">OFFSET(INDIRECT("Sheet"&amp;D$2&amp;"!f1"),$G113-1,)</f>
        <v>0</v>
      </c>
      <c r="AM113" s="3" cm="1">
        <f t="array" aca="1" ref="AM113" ca="1">OFFSET(INDIRECT("Sheet"&amp;N$2&amp;"!f1"),$G113-1,)</f>
        <v>7.64887301530689</v>
      </c>
      <c r="AN113" s="3" cm="1">
        <f t="array" aca="1" ref="AN113" ca="1">OFFSET(INDIRECT("Sheet"&amp;O$2&amp;"!f1"),$G113-1,)</f>
        <v>14.979576271958599</v>
      </c>
      <c r="AO113" s="3" cm="1">
        <f t="array" aca="1" ref="AO113" ca="1">OFFSET(INDIRECT("Sheet"&amp;P$2&amp;"!f1"),$G113-1,)</f>
        <v>20.3041388597339</v>
      </c>
      <c r="AP113" s="3" cm="1">
        <f t="array" aca="1" ref="AP113" ca="1">OFFSET(INDIRECT("Sheet"&amp;Q$2&amp;"!f1"),$G113-1,)</f>
        <v>4.9488296303898096</v>
      </c>
      <c r="AQ113" s="3" cm="1">
        <f t="array" aca="1" ref="AQ113" ca="1">OFFSET(INDIRECT("Sheet"&amp;R$2&amp;"!f1"),$G113-1,)</f>
        <v>7.3404713785275799</v>
      </c>
      <c r="AR113" s="3" cm="1">
        <f t="array" aca="1" ref="AR113" ca="1">OFFSET(INDIRECT("Sheet"&amp;S$2&amp;"!f1"),$G113-1,)</f>
        <v>13.1420064577832</v>
      </c>
      <c r="AS113" s="3" cm="1">
        <f t="array" aca="1" ref="AS113" ca="1">OFFSET(INDIRECT("Sheet"&amp;T$2&amp;"!f1"),$G113-1,)</f>
        <v>14.393259346485101</v>
      </c>
      <c r="AT113" s="3" cm="1">
        <f t="array" aca="1" ref="AT113" ca="1">OFFSET(INDIRECT("Sheet"&amp;U$2&amp;"!f1"),$G113-1,)</f>
        <v>16.293243154883299</v>
      </c>
      <c r="AU113" s="3" cm="1">
        <f t="array" aca="1" ref="AU113" ca="1">OFFSET(INDIRECT("Sheet"&amp;V$2&amp;"!f1"),$G113-1,)</f>
        <v>20.296231442131099</v>
      </c>
      <c r="AV113" s="3"/>
      <c r="AX113">
        <f ca="1">IF(H113=$F113,1,0)</f>
        <v>0</v>
      </c>
      <c r="AY113">
        <f ca="1">IF(I113=$F113,1,0)</f>
        <v>0</v>
      </c>
      <c r="AZ113">
        <f ca="1">IF(J113=$F113,1,0)</f>
        <v>0</v>
      </c>
      <c r="BA113">
        <f ca="1">IF(K113=$F113,1,0)</f>
        <v>0</v>
      </c>
      <c r="BB113">
        <f ca="1">IF(L113=$F113,1,0)</f>
        <v>0</v>
      </c>
      <c r="BC113">
        <f ca="1">IF(M113=$F113,1,0)</f>
        <v>1</v>
      </c>
      <c r="BD113">
        <f ca="1">IF(C113=$F113,1,0)</f>
        <v>1</v>
      </c>
      <c r="BE113">
        <f ca="1">IF(D113=$F113,1,0)</f>
        <v>1</v>
      </c>
      <c r="BF113">
        <f t="shared" ref="BF113:BF169" ca="1" si="29">IF(N113=$F113,1,0)</f>
        <v>1</v>
      </c>
      <c r="BG113">
        <f t="shared" ref="BG113:BG169" ca="1" si="30">IF(O113=$F113,1,0)</f>
        <v>0</v>
      </c>
      <c r="BH113">
        <f t="shared" ref="BH113:BH144" ca="1" si="31">IF(P113=$F113,1,0)</f>
        <v>0</v>
      </c>
      <c r="BI113">
        <f t="shared" ref="BI113:BI144" ca="1" si="32">IF(Q113=$F113,1,0)</f>
        <v>1</v>
      </c>
      <c r="BJ113">
        <f t="shared" ref="BJ113:BL128" ca="1" si="33">IF(R113=$F113,1,0)</f>
        <v>1</v>
      </c>
      <c r="BK113">
        <f t="shared" ca="1" si="33"/>
        <v>1</v>
      </c>
      <c r="BL113">
        <f t="shared" ca="1" si="33"/>
        <v>1</v>
      </c>
      <c r="BM113">
        <f t="shared" ref="BM113:BM169" ca="1" si="34">IF(U113=$F113,1,0)</f>
        <v>1</v>
      </c>
      <c r="BN113">
        <f t="shared" ref="BN113:BN169" ca="1" si="35">IF(V113=$F113,1,0)</f>
        <v>1</v>
      </c>
      <c r="BO113">
        <f t="shared" ref="BO113:BO169" ca="1" si="36">IF(W113=$F113,1,0)</f>
        <v>1</v>
      </c>
      <c r="BP113">
        <f t="shared" ref="BP113:BP169" ca="1" si="37">IF(X113=$F113,1,0)</f>
        <v>1</v>
      </c>
      <c r="BQ113">
        <f t="shared" ref="BQ113:BQ169" ca="1" si="38">IF(Y113=$F113,1,0)</f>
        <v>1</v>
      </c>
    </row>
    <row r="114" spans="1:69" s="4" customFormat="1" x14ac:dyDescent="0.2">
      <c r="A114" t="str">
        <f>Sheet3!A98</f>
        <v>[[68,5,14]]</v>
      </c>
      <c r="B114" s="4">
        <v>68</v>
      </c>
      <c r="C114" cm="1">
        <f t="array" aca="1" ref="C114" ca="1">OFFSET(INDIRECT("Sheet"&amp;K$2&amp;"!d1"),$G114-1,)</f>
        <v>14</v>
      </c>
      <c r="D114" cm="1">
        <f t="array" aca="1" ref="D114" ca="1">OFFSET(INDIRECT("Sheet"&amp;L$2&amp;"!d1"),$G114-1,)</f>
        <v>14</v>
      </c>
      <c r="E114" s="4">
        <v>5</v>
      </c>
      <c r="F114" s="4">
        <v>14</v>
      </c>
      <c r="G114">
        <f t="shared" si="23"/>
        <v>98</v>
      </c>
      <c r="H114" cm="1">
        <f t="array" aca="1" ref="H114" ca="1">OFFSET(INDIRECT("Sheet"&amp;E$2&amp;"!d1"),$G114-1,)</f>
        <v>0</v>
      </c>
      <c r="I114" cm="1">
        <f t="array" aca="1" ref="I114" ca="1">OFFSET(INDIRECT("Sheet"&amp;F$2&amp;"!d1"),$G114-1,)</f>
        <v>0</v>
      </c>
      <c r="J114" cm="1">
        <f t="array" aca="1" ref="J114" ca="1">OFFSET(INDIRECT("Sheet"&amp;G$2&amp;"!d1"),$G114-1,)</f>
        <v>0</v>
      </c>
      <c r="K114" cm="1">
        <f t="array" aca="1" ref="K114" ca="1">OFFSET(INDIRECT("Sheet"&amp;H$2&amp;"!d1"),$G114-1,)</f>
        <v>0</v>
      </c>
      <c r="L114" cm="1">
        <f t="array" aca="1" ref="L114" ca="1">OFFSET(INDIRECT("Sheet"&amp;I$2&amp;"!d1"),$G114-1,)</f>
        <v>0</v>
      </c>
      <c r="M114" cm="1">
        <f t="array" aca="1" ref="M114" ca="1">OFFSET(INDIRECT("Sheet"&amp;J$2&amp;"!d1"),$G114-1,)</f>
        <v>14</v>
      </c>
      <c r="N114" cm="1">
        <f t="array" aca="1" ref="N114" ca="1">OFFSET(INDIRECT("Sheet"&amp;M$2&amp;"!d1"),$G114-1,)</f>
        <v>14</v>
      </c>
      <c r="O114" cm="1">
        <f t="array" aca="1" ref="O114" ca="1">OFFSET(INDIRECT("Sheet"&amp;C$2&amp;"!d1"),$G114-1,)</f>
        <v>0</v>
      </c>
      <c r="P114" cm="1">
        <f t="array" aca="1" ref="P114" ca="1">OFFSET(INDIRECT("Sheet"&amp;D$2&amp;"!d1"),$G114-1,)</f>
        <v>0</v>
      </c>
      <c r="Q114" cm="1">
        <f t="array" aca="1" ref="Q114" ca="1">OFFSET(INDIRECT("Sheet"&amp;N$2&amp;"!d1"),$G114-1,)</f>
        <v>14</v>
      </c>
      <c r="R114" cm="1">
        <f t="array" aca="1" ref="R114" ca="1">OFFSET(INDIRECT("Sheet"&amp;O$2&amp;"!d1"),$G114-1,)</f>
        <v>14</v>
      </c>
      <c r="S114" cm="1">
        <f t="array" aca="1" ref="S114" ca="1">OFFSET(INDIRECT("Sheet"&amp;P$2&amp;"!d1"),$G114-1,)</f>
        <v>14</v>
      </c>
      <c r="T114" cm="1">
        <f t="array" aca="1" ref="T114" ca="1">OFFSET(INDIRECT("Sheet"&amp;Q$2&amp;"!d1"),$G114-1,)</f>
        <v>14</v>
      </c>
      <c r="U114" cm="1">
        <f t="array" aca="1" ref="U114" ca="1">OFFSET(INDIRECT("Sheet"&amp;R$2&amp;"!d1"),$G114-1,)</f>
        <v>14</v>
      </c>
      <c r="V114" cm="1">
        <f t="array" aca="1" ref="V114" ca="1">OFFSET(INDIRECT("Sheet"&amp;S$2&amp;"!d1"),$G114-1,)</f>
        <v>14</v>
      </c>
      <c r="W114" cm="1">
        <f t="array" aca="1" ref="W114" ca="1">OFFSET(INDIRECT("Sheet"&amp;T$2&amp;"!d1"),$G114-1,)</f>
        <v>14</v>
      </c>
      <c r="X114" cm="1">
        <f t="array" aca="1" ref="X114" ca="1">OFFSET(INDIRECT("Sheet"&amp;U$2&amp;"!d1"),$G114-1,)</f>
        <v>14</v>
      </c>
      <c r="Y114" cm="1">
        <f t="array" aca="1" ref="Y114" ca="1">OFFSET(INDIRECT("Sheet"&amp;V$2&amp;"!d1"),$G114-1,)</f>
        <v>14</v>
      </c>
      <c r="Z114"/>
      <c r="AB114" s="3" cm="1">
        <f t="array" aca="1" ref="AB114" ca="1">OFFSET(INDIRECT("Sheet"&amp;E$2&amp;"!f1"),$G114-1,)</f>
        <v>0</v>
      </c>
      <c r="AC114" s="3" cm="1">
        <f t="array" aca="1" ref="AC114" ca="1">OFFSET(INDIRECT("Sheet"&amp;F$2&amp;"!f1"),$G114-1,)</f>
        <v>0</v>
      </c>
      <c r="AD114" s="3" cm="1">
        <f t="array" aca="1" ref="AD114" ca="1">OFFSET(INDIRECT("Sheet"&amp;G$2&amp;"!f1"),$G114-1,)</f>
        <v>0</v>
      </c>
      <c r="AE114" s="3" cm="1">
        <f t="array" aca="1" ref="AE114" ca="1">OFFSET(INDIRECT("Sheet"&amp;H$2&amp;"!f1"),$G114-1,)</f>
        <v>28800.2027643853</v>
      </c>
      <c r="AF114" s="3" cm="1">
        <f t="array" aca="1" ref="AF114" ca="1">OFFSET(INDIRECT("Sheet"&amp;I$2&amp;"!f1"),$G114-1,)</f>
        <v>28800.113758698099</v>
      </c>
      <c r="AG114" s="3" cm="1">
        <f t="array" aca="1" ref="AG114" ca="1">OFFSET(INDIRECT("Sheet"&amp;J$2&amp;"!f1"),$G114-1,)</f>
        <v>1.1891909074038201</v>
      </c>
      <c r="AH114" s="3" cm="1">
        <f t="array" aca="1" ref="AH114" ca="1">OFFSET(INDIRECT("Sheet"&amp;K$2&amp;"!f1"),$G114-1,)</f>
        <v>1.05174450899997</v>
      </c>
      <c r="AI114" s="3" cm="1">
        <f t="array" aca="1" ref="AI114" ca="1">OFFSET(INDIRECT("Sheet"&amp;L$2&amp;"!f1"),$G114-1,)</f>
        <v>1.0504075739999901</v>
      </c>
      <c r="AJ114" s="3" cm="1">
        <f t="array" aca="1" ref="AJ114" ca="1">OFFSET(INDIRECT("Sheet"&amp;M$2&amp;"!f1"),$G114-1,)</f>
        <v>1.55781934037804</v>
      </c>
      <c r="AK114" s="3" cm="1">
        <f t="array" aca="1" ref="AK114" ca="1">OFFSET(INDIRECT("Sheet"&amp;C$2&amp;"!f1"),$G114-1,)</f>
        <v>0</v>
      </c>
      <c r="AL114" s="3" cm="1">
        <f t="array" aca="1" ref="AL114" ca="1">OFFSET(INDIRECT("Sheet"&amp;D$2&amp;"!f1"),$G114-1,)</f>
        <v>0</v>
      </c>
      <c r="AM114" s="3" cm="1">
        <f t="array" aca="1" ref="AM114" ca="1">OFFSET(INDIRECT("Sheet"&amp;N$2&amp;"!f1"),$G114-1,)</f>
        <v>7.6787667898461196</v>
      </c>
      <c r="AN114" s="3" cm="1">
        <f t="array" aca="1" ref="AN114" ca="1">OFFSET(INDIRECT("Sheet"&amp;O$2&amp;"!f1"),$G114-1,)</f>
        <v>15.263153725303701</v>
      </c>
      <c r="AO114" s="3" cm="1">
        <f t="array" aca="1" ref="AO114" ca="1">OFFSET(INDIRECT("Sheet"&amp;P$2&amp;"!f1"),$G114-1,)</f>
        <v>20.8274318519979</v>
      </c>
      <c r="AP114" s="3" cm="1">
        <f t="array" aca="1" ref="AP114" ca="1">OFFSET(INDIRECT("Sheet"&amp;Q$2&amp;"!f1"),$G114-1,)</f>
        <v>4.9380410332232696</v>
      </c>
      <c r="AQ114" s="3" cm="1">
        <f t="array" aca="1" ref="AQ114" ca="1">OFFSET(INDIRECT("Sheet"&amp;R$2&amp;"!f1"),$G114-1,)</f>
        <v>7.3544704839587203</v>
      </c>
      <c r="AR114" s="3" cm="1">
        <f t="array" aca="1" ref="AR114" ca="1">OFFSET(INDIRECT("Sheet"&amp;S$2&amp;"!f1"),$G114-1,)</f>
        <v>13.8245235057547</v>
      </c>
      <c r="AS114" s="3" cm="1">
        <f t="array" aca="1" ref="AS114" ca="1">OFFSET(INDIRECT("Sheet"&amp;T$2&amp;"!f1"),$G114-1,)</f>
        <v>14.547873458825</v>
      </c>
      <c r="AT114" s="3" cm="1">
        <f t="array" aca="1" ref="AT114" ca="1">OFFSET(INDIRECT("Sheet"&amp;U$2&amp;"!f1"),$G114-1,)</f>
        <v>17.074078002013199</v>
      </c>
      <c r="AU114" s="3" cm="1">
        <f t="array" aca="1" ref="AU114" ca="1">OFFSET(INDIRECT("Sheet"&amp;V$2&amp;"!f1"),$G114-1,)</f>
        <v>20.4977276176214</v>
      </c>
      <c r="AV114" s="3"/>
      <c r="AX114">
        <f ca="1">IF(H114=$F114,1,0)</f>
        <v>0</v>
      </c>
      <c r="AY114">
        <f ca="1">IF(I114=$F114,1,0)</f>
        <v>0</v>
      </c>
      <c r="AZ114">
        <f ca="1">IF(J114=$F114,1,0)</f>
        <v>0</v>
      </c>
      <c r="BA114">
        <f ca="1">IF(K114=$F114,1,0)</f>
        <v>0</v>
      </c>
      <c r="BB114">
        <f ca="1">IF(L114=$F114,1,0)</f>
        <v>0</v>
      </c>
      <c r="BC114">
        <f ca="1">IF(M114=$F114,1,0)</f>
        <v>1</v>
      </c>
      <c r="BD114">
        <f ca="1">IF(C114=$F114,1,0)</f>
        <v>1</v>
      </c>
      <c r="BE114">
        <f ca="1">IF(D114=$F114,1,0)</f>
        <v>1</v>
      </c>
      <c r="BF114">
        <f t="shared" ca="1" si="29"/>
        <v>1</v>
      </c>
      <c r="BG114">
        <f t="shared" ca="1" si="30"/>
        <v>0</v>
      </c>
      <c r="BH114">
        <f t="shared" ca="1" si="31"/>
        <v>0</v>
      </c>
      <c r="BI114">
        <f t="shared" ca="1" si="32"/>
        <v>1</v>
      </c>
      <c r="BJ114">
        <f t="shared" ca="1" si="33"/>
        <v>1</v>
      </c>
      <c r="BK114">
        <f t="shared" ca="1" si="33"/>
        <v>1</v>
      </c>
      <c r="BL114">
        <f t="shared" ca="1" si="33"/>
        <v>1</v>
      </c>
      <c r="BM114">
        <f t="shared" ca="1" si="34"/>
        <v>1</v>
      </c>
      <c r="BN114">
        <f t="shared" ca="1" si="35"/>
        <v>1</v>
      </c>
      <c r="BO114">
        <f t="shared" ca="1" si="36"/>
        <v>1</v>
      </c>
      <c r="BP114">
        <f t="shared" ca="1" si="37"/>
        <v>1</v>
      </c>
      <c r="BQ114">
        <f t="shared" ca="1" si="38"/>
        <v>1</v>
      </c>
    </row>
    <row r="115" spans="1:69" s="4" customFormat="1" x14ac:dyDescent="0.2">
      <c r="A115" t="str">
        <f>Sheet3!A99</f>
        <v>[[69,5,14]]</v>
      </c>
      <c r="B115" s="4">
        <v>69</v>
      </c>
      <c r="C115" cm="1">
        <f t="array" aca="1" ref="C115" ca="1">OFFSET(INDIRECT("Sheet"&amp;K$2&amp;"!d1"),$G115-1,)</f>
        <v>14</v>
      </c>
      <c r="D115" cm="1">
        <f t="array" aca="1" ref="D115" ca="1">OFFSET(INDIRECT("Sheet"&amp;L$2&amp;"!d1"),$G115-1,)</f>
        <v>14</v>
      </c>
      <c r="E115" s="4">
        <v>5</v>
      </c>
      <c r="F115" s="4">
        <v>14</v>
      </c>
      <c r="G115">
        <f t="shared" ref="G115:G169" si="39">G114+1</f>
        <v>99</v>
      </c>
      <c r="H115" cm="1">
        <f t="array" aca="1" ref="H115" ca="1">OFFSET(INDIRECT("Sheet"&amp;E$2&amp;"!d1"),$G115-1,)</f>
        <v>0</v>
      </c>
      <c r="I115" cm="1">
        <f t="array" aca="1" ref="I115" ca="1">OFFSET(INDIRECT("Sheet"&amp;F$2&amp;"!d1"),$G115-1,)</f>
        <v>0</v>
      </c>
      <c r="J115" cm="1">
        <f t="array" aca="1" ref="J115" ca="1">OFFSET(INDIRECT("Sheet"&amp;G$2&amp;"!d1"),$G115-1,)</f>
        <v>0</v>
      </c>
      <c r="K115" cm="1">
        <f t="array" aca="1" ref="K115" ca="1">OFFSET(INDIRECT("Sheet"&amp;H$2&amp;"!d1"),$G115-1,)</f>
        <v>0</v>
      </c>
      <c r="L115" cm="1">
        <f t="array" aca="1" ref="L115" ca="1">OFFSET(INDIRECT("Sheet"&amp;I$2&amp;"!d1"),$G115-1,)</f>
        <v>0</v>
      </c>
      <c r="M115" cm="1">
        <f t="array" aca="1" ref="M115" ca="1">OFFSET(INDIRECT("Sheet"&amp;J$2&amp;"!d1"),$G115-1,)</f>
        <v>14</v>
      </c>
      <c r="N115" cm="1">
        <f t="array" aca="1" ref="N115" ca="1">OFFSET(INDIRECT("Sheet"&amp;M$2&amp;"!d1"),$G115-1,)</f>
        <v>14</v>
      </c>
      <c r="O115" cm="1">
        <f t="array" aca="1" ref="O115" ca="1">OFFSET(INDIRECT("Sheet"&amp;C$2&amp;"!d1"),$G115-1,)</f>
        <v>0</v>
      </c>
      <c r="P115" cm="1">
        <f t="array" aca="1" ref="P115" ca="1">OFFSET(INDIRECT("Sheet"&amp;D$2&amp;"!d1"),$G115-1,)</f>
        <v>0</v>
      </c>
      <c r="Q115" cm="1">
        <f t="array" aca="1" ref="Q115" ca="1">OFFSET(INDIRECT("Sheet"&amp;N$2&amp;"!d1"),$G115-1,)</f>
        <v>14</v>
      </c>
      <c r="R115" cm="1">
        <f t="array" aca="1" ref="R115" ca="1">OFFSET(INDIRECT("Sheet"&amp;O$2&amp;"!d1"),$G115-1,)</f>
        <v>14</v>
      </c>
      <c r="S115" cm="1">
        <f t="array" aca="1" ref="S115" ca="1">OFFSET(INDIRECT("Sheet"&amp;P$2&amp;"!d1"),$G115-1,)</f>
        <v>14</v>
      </c>
      <c r="T115" cm="1">
        <f t="array" aca="1" ref="T115" ca="1">OFFSET(INDIRECT("Sheet"&amp;Q$2&amp;"!d1"),$G115-1,)</f>
        <v>14</v>
      </c>
      <c r="U115" cm="1">
        <f t="array" aca="1" ref="U115" ca="1">OFFSET(INDIRECT("Sheet"&amp;R$2&amp;"!d1"),$G115-1,)</f>
        <v>14</v>
      </c>
      <c r="V115" cm="1">
        <f t="array" aca="1" ref="V115" ca="1">OFFSET(INDIRECT("Sheet"&amp;S$2&amp;"!d1"),$G115-1,)</f>
        <v>14</v>
      </c>
      <c r="W115" cm="1">
        <f t="array" aca="1" ref="W115" ca="1">OFFSET(INDIRECT("Sheet"&amp;T$2&amp;"!d1"),$G115-1,)</f>
        <v>14</v>
      </c>
      <c r="X115" cm="1">
        <f t="array" aca="1" ref="X115" ca="1">OFFSET(INDIRECT("Sheet"&amp;U$2&amp;"!d1"),$G115-1,)</f>
        <v>14</v>
      </c>
      <c r="Y115" cm="1">
        <f t="array" aca="1" ref="Y115" ca="1">OFFSET(INDIRECT("Sheet"&amp;V$2&amp;"!d1"),$G115-1,)</f>
        <v>14</v>
      </c>
      <c r="Z115"/>
      <c r="AB115" s="3" cm="1">
        <f t="array" aca="1" ref="AB115" ca="1">OFFSET(INDIRECT("Sheet"&amp;E$2&amp;"!f1"),$G115-1,)</f>
        <v>0</v>
      </c>
      <c r="AC115" s="3" cm="1">
        <f t="array" aca="1" ref="AC115" ca="1">OFFSET(INDIRECT("Sheet"&amp;F$2&amp;"!f1"),$G115-1,)</f>
        <v>0</v>
      </c>
      <c r="AD115" s="3" cm="1">
        <f t="array" aca="1" ref="AD115" ca="1">OFFSET(INDIRECT("Sheet"&amp;G$2&amp;"!f1"),$G115-1,)</f>
        <v>0</v>
      </c>
      <c r="AE115" s="3" cm="1">
        <f t="array" aca="1" ref="AE115" ca="1">OFFSET(INDIRECT("Sheet"&amp;H$2&amp;"!f1"),$G115-1,)</f>
        <v>28800.118373662201</v>
      </c>
      <c r="AF115" s="3" cm="1">
        <f t="array" aca="1" ref="AF115" ca="1">OFFSET(INDIRECT("Sheet"&amp;I$2&amp;"!f1"),$G115-1,)</f>
        <v>28800.116017729</v>
      </c>
      <c r="AG115" s="3" cm="1">
        <f t="array" aca="1" ref="AG115" ca="1">OFFSET(INDIRECT("Sheet"&amp;J$2&amp;"!f1"),$G115-1,)</f>
        <v>1.20772994030267</v>
      </c>
      <c r="AH115" s="3" cm="1">
        <f t="array" aca="1" ref="AH115" ca="1">OFFSET(INDIRECT("Sheet"&amp;K$2&amp;"!f1"),$G115-1,)</f>
        <v>1.06698101400002</v>
      </c>
      <c r="AI115" s="3" cm="1">
        <f t="array" aca="1" ref="AI115" ca="1">OFFSET(INDIRECT("Sheet"&amp;L$2&amp;"!f1"),$G115-1,)</f>
        <v>1.0676523149999999</v>
      </c>
      <c r="AJ115" s="3" cm="1">
        <f t="array" aca="1" ref="AJ115" ca="1">OFFSET(INDIRECT("Sheet"&amp;M$2&amp;"!f1"),$G115-1,)</f>
        <v>1.59264357946813</v>
      </c>
      <c r="AK115" s="3" cm="1">
        <f t="array" aca="1" ref="AK115" ca="1">OFFSET(INDIRECT("Sheet"&amp;C$2&amp;"!f1"),$G115-1,)</f>
        <v>0</v>
      </c>
      <c r="AL115" s="3" cm="1">
        <f t="array" aca="1" ref="AL115" ca="1">OFFSET(INDIRECT("Sheet"&amp;D$2&amp;"!f1"),$G115-1,)</f>
        <v>0</v>
      </c>
      <c r="AM115" s="3" cm="1">
        <f t="array" aca="1" ref="AM115" ca="1">OFFSET(INDIRECT("Sheet"&amp;N$2&amp;"!f1"),$G115-1,)</f>
        <v>7.8680984899401603</v>
      </c>
      <c r="AN115" s="3" cm="1">
        <f t="array" aca="1" ref="AN115" ca="1">OFFSET(INDIRECT("Sheet"&amp;O$2&amp;"!f1"),$G115-1,)</f>
        <v>15.766185096465</v>
      </c>
      <c r="AO115" s="3" cm="1">
        <f t="array" aca="1" ref="AO115" ca="1">OFFSET(INDIRECT("Sheet"&amp;P$2&amp;"!f1"),$G115-1,)</f>
        <v>21.255308899097098</v>
      </c>
      <c r="AP115" s="3" cm="1">
        <f t="array" aca="1" ref="AP115" ca="1">OFFSET(INDIRECT("Sheet"&amp;Q$2&amp;"!f1"),$G115-1,)</f>
        <v>5.0730043426156</v>
      </c>
      <c r="AQ115" s="3" cm="1">
        <f t="array" aca="1" ref="AQ115" ca="1">OFFSET(INDIRECT("Sheet"&amp;R$2&amp;"!f1"),$G115-1,)</f>
        <v>7.6000742111355004</v>
      </c>
      <c r="AR115" s="3" cm="1">
        <f t="array" aca="1" ref="AR115" ca="1">OFFSET(INDIRECT("Sheet"&amp;S$2&amp;"!f1"),$G115-1,)</f>
        <v>14.491436288692</v>
      </c>
      <c r="AS115" s="3" cm="1">
        <f t="array" aca="1" ref="AS115" ca="1">OFFSET(INDIRECT("Sheet"&amp;T$2&amp;"!f1"),$G115-1,)</f>
        <v>15.0290497448295</v>
      </c>
      <c r="AT115" s="3" cm="1">
        <f t="array" aca="1" ref="AT115" ca="1">OFFSET(INDIRECT("Sheet"&amp;U$2&amp;"!f1"),$G115-1,)</f>
        <v>17.4746728306636</v>
      </c>
      <c r="AU115" s="3" cm="1">
        <f t="array" aca="1" ref="AU115" ca="1">OFFSET(INDIRECT("Sheet"&amp;V$2&amp;"!f1"),$G115-1,)</f>
        <v>20.9204454133287</v>
      </c>
      <c r="AV115" s="3"/>
      <c r="AX115">
        <f ca="1">IF(H115=$F115,1,0)</f>
        <v>0</v>
      </c>
      <c r="AY115">
        <f ca="1">IF(I115=$F115,1,0)</f>
        <v>0</v>
      </c>
      <c r="AZ115">
        <f ca="1">IF(J115=$F115,1,0)</f>
        <v>0</v>
      </c>
      <c r="BA115">
        <f ca="1">IF(K115=$F115,1,0)</f>
        <v>0</v>
      </c>
      <c r="BB115">
        <f ca="1">IF(L115=$F115,1,0)</f>
        <v>0</v>
      </c>
      <c r="BC115">
        <f ca="1">IF(M115=$F115,1,0)</f>
        <v>1</v>
      </c>
      <c r="BD115">
        <f ca="1">IF(C115=$F115,1,0)</f>
        <v>1</v>
      </c>
      <c r="BE115">
        <f ca="1">IF(D115=$F115,1,0)</f>
        <v>1</v>
      </c>
      <c r="BF115">
        <f t="shared" ca="1" si="29"/>
        <v>1</v>
      </c>
      <c r="BG115">
        <f t="shared" ca="1" si="30"/>
        <v>0</v>
      </c>
      <c r="BH115">
        <f t="shared" ca="1" si="31"/>
        <v>0</v>
      </c>
      <c r="BI115">
        <f t="shared" ca="1" si="32"/>
        <v>1</v>
      </c>
      <c r="BJ115">
        <f t="shared" ca="1" si="33"/>
        <v>1</v>
      </c>
      <c r="BK115">
        <f t="shared" ca="1" si="33"/>
        <v>1</v>
      </c>
      <c r="BL115">
        <f t="shared" ca="1" si="33"/>
        <v>1</v>
      </c>
      <c r="BM115">
        <f t="shared" ca="1" si="34"/>
        <v>1</v>
      </c>
      <c r="BN115">
        <f t="shared" ca="1" si="35"/>
        <v>1</v>
      </c>
      <c r="BO115">
        <f t="shared" ca="1" si="36"/>
        <v>1</v>
      </c>
      <c r="BP115">
        <f t="shared" ca="1" si="37"/>
        <v>1</v>
      </c>
      <c r="BQ115">
        <f t="shared" ca="1" si="38"/>
        <v>1</v>
      </c>
    </row>
    <row r="116" spans="1:69" s="4" customFormat="1" x14ac:dyDescent="0.2">
      <c r="A116" t="str">
        <f>Sheet3!A100</f>
        <v>[[70,5,14]]</v>
      </c>
      <c r="B116" s="4">
        <v>70</v>
      </c>
      <c r="C116" cm="1">
        <f t="array" aca="1" ref="C116" ca="1">OFFSET(INDIRECT("Sheet"&amp;K$2&amp;"!d1"),$G116-1,)</f>
        <v>14</v>
      </c>
      <c r="D116" cm="1">
        <f t="array" aca="1" ref="D116" ca="1">OFFSET(INDIRECT("Sheet"&amp;L$2&amp;"!d1"),$G116-1,)</f>
        <v>14</v>
      </c>
      <c r="E116" s="4">
        <v>5</v>
      </c>
      <c r="F116" s="4">
        <v>14</v>
      </c>
      <c r="G116">
        <f t="shared" si="39"/>
        <v>100</v>
      </c>
      <c r="H116" cm="1">
        <f t="array" aca="1" ref="H116" ca="1">OFFSET(INDIRECT("Sheet"&amp;E$2&amp;"!d1"),$G116-1,)</f>
        <v>0</v>
      </c>
      <c r="I116" cm="1">
        <f t="array" aca="1" ref="I116" ca="1">OFFSET(INDIRECT("Sheet"&amp;F$2&amp;"!d1"),$G116-1,)</f>
        <v>0</v>
      </c>
      <c r="J116" cm="1">
        <f t="array" aca="1" ref="J116" ca="1">OFFSET(INDIRECT("Sheet"&amp;G$2&amp;"!d1"),$G116-1,)</f>
        <v>0</v>
      </c>
      <c r="K116" cm="1">
        <f t="array" aca="1" ref="K116" ca="1">OFFSET(INDIRECT("Sheet"&amp;H$2&amp;"!d1"),$G116-1,)</f>
        <v>0</v>
      </c>
      <c r="L116" cm="1">
        <f t="array" aca="1" ref="L116" ca="1">OFFSET(INDIRECT("Sheet"&amp;I$2&amp;"!d1"),$G116-1,)</f>
        <v>0</v>
      </c>
      <c r="M116" cm="1">
        <f t="array" aca="1" ref="M116" ca="1">OFFSET(INDIRECT("Sheet"&amp;J$2&amp;"!d1"),$G116-1,)</f>
        <v>14</v>
      </c>
      <c r="N116" cm="1">
        <f t="array" aca="1" ref="N116" ca="1">OFFSET(INDIRECT("Sheet"&amp;M$2&amp;"!d1"),$G116-1,)</f>
        <v>14</v>
      </c>
      <c r="O116" cm="1">
        <f t="array" aca="1" ref="O116" ca="1">OFFSET(INDIRECT("Sheet"&amp;C$2&amp;"!d1"),$G116-1,)</f>
        <v>0</v>
      </c>
      <c r="P116" cm="1">
        <f t="array" aca="1" ref="P116" ca="1">OFFSET(INDIRECT("Sheet"&amp;D$2&amp;"!d1"),$G116-1,)</f>
        <v>0</v>
      </c>
      <c r="Q116" cm="1">
        <f t="array" aca="1" ref="Q116" ca="1">OFFSET(INDIRECT("Sheet"&amp;N$2&amp;"!d1"),$G116-1,)</f>
        <v>14</v>
      </c>
      <c r="R116" cm="1">
        <f t="array" aca="1" ref="R116" ca="1">OFFSET(INDIRECT("Sheet"&amp;O$2&amp;"!d1"),$G116-1,)</f>
        <v>14</v>
      </c>
      <c r="S116" cm="1">
        <f t="array" aca="1" ref="S116" ca="1">OFFSET(INDIRECT("Sheet"&amp;P$2&amp;"!d1"),$G116-1,)</f>
        <v>14</v>
      </c>
      <c r="T116" cm="1">
        <f t="array" aca="1" ref="T116" ca="1">OFFSET(INDIRECT("Sheet"&amp;Q$2&amp;"!d1"),$G116-1,)</f>
        <v>14</v>
      </c>
      <c r="U116" cm="1">
        <f t="array" aca="1" ref="U116" ca="1">OFFSET(INDIRECT("Sheet"&amp;R$2&amp;"!d1"),$G116-1,)</f>
        <v>14</v>
      </c>
      <c r="V116" cm="1">
        <f t="array" aca="1" ref="V116" ca="1">OFFSET(INDIRECT("Sheet"&amp;S$2&amp;"!d1"),$G116-1,)</f>
        <v>14</v>
      </c>
      <c r="W116" cm="1">
        <f t="array" aca="1" ref="W116" ca="1">OFFSET(INDIRECT("Sheet"&amp;T$2&amp;"!d1"),$G116-1,)</f>
        <v>14</v>
      </c>
      <c r="X116" cm="1">
        <f t="array" aca="1" ref="X116" ca="1">OFFSET(INDIRECT("Sheet"&amp;U$2&amp;"!d1"),$G116-1,)</f>
        <v>14</v>
      </c>
      <c r="Y116" cm="1">
        <f t="array" aca="1" ref="Y116" ca="1">OFFSET(INDIRECT("Sheet"&amp;V$2&amp;"!d1"),$G116-1,)</f>
        <v>14</v>
      </c>
      <c r="Z116"/>
      <c r="AB116" s="3" cm="1">
        <f t="array" aca="1" ref="AB116" ca="1">OFFSET(INDIRECT("Sheet"&amp;E$2&amp;"!f1"),$G116-1,)</f>
        <v>0</v>
      </c>
      <c r="AC116" s="3" cm="1">
        <f t="array" aca="1" ref="AC116" ca="1">OFFSET(INDIRECT("Sheet"&amp;F$2&amp;"!f1"),$G116-1,)</f>
        <v>0</v>
      </c>
      <c r="AD116" s="3" cm="1">
        <f t="array" aca="1" ref="AD116" ca="1">OFFSET(INDIRECT("Sheet"&amp;G$2&amp;"!f1"),$G116-1,)</f>
        <v>0</v>
      </c>
      <c r="AE116" s="3" cm="1">
        <f t="array" aca="1" ref="AE116" ca="1">OFFSET(INDIRECT("Sheet"&amp;H$2&amp;"!f1"),$G116-1,)</f>
        <v>28800.1386170396</v>
      </c>
      <c r="AF116" s="3" cm="1">
        <f t="array" aca="1" ref="AF116" ca="1">OFFSET(INDIRECT("Sheet"&amp;I$2&amp;"!f1"),$G116-1,)</f>
        <v>28800.115975804601</v>
      </c>
      <c r="AG116" s="3" cm="1">
        <f t="array" aca="1" ref="AG116" ca="1">OFFSET(INDIRECT("Sheet"&amp;J$2&amp;"!f1"),$G116-1,)</f>
        <v>1.2288674637675201</v>
      </c>
      <c r="AH116" s="3" cm="1">
        <f t="array" aca="1" ref="AH116" ca="1">OFFSET(INDIRECT("Sheet"&amp;K$2&amp;"!f1"),$G116-1,)</f>
        <v>1.0962894129999901</v>
      </c>
      <c r="AI116" s="3" cm="1">
        <f t="array" aca="1" ref="AI116" ca="1">OFFSET(INDIRECT("Sheet"&amp;L$2&amp;"!f1"),$G116-1,)</f>
        <v>1.0906394589999799</v>
      </c>
      <c r="AJ116" s="3" cm="1">
        <f t="array" aca="1" ref="AJ116" ca="1">OFFSET(INDIRECT("Sheet"&amp;M$2&amp;"!f1"),$G116-1,)</f>
        <v>1.6139665665104901</v>
      </c>
      <c r="AK116" s="3" cm="1">
        <f t="array" aca="1" ref="AK116" ca="1">OFFSET(INDIRECT("Sheet"&amp;C$2&amp;"!f1"),$G116-1,)</f>
        <v>0</v>
      </c>
      <c r="AL116" s="3" cm="1">
        <f t="array" aca="1" ref="AL116" ca="1">OFFSET(INDIRECT("Sheet"&amp;D$2&amp;"!f1"),$G116-1,)</f>
        <v>0</v>
      </c>
      <c r="AM116" s="3" cm="1">
        <f t="array" aca="1" ref="AM116" ca="1">OFFSET(INDIRECT("Sheet"&amp;N$2&amp;"!f1"),$G116-1,)</f>
        <v>7.9737046249210799</v>
      </c>
      <c r="AN116" s="3" cm="1">
        <f t="array" aca="1" ref="AN116" ca="1">OFFSET(INDIRECT("Sheet"&amp;O$2&amp;"!f1"),$G116-1,)</f>
        <v>15.878181780688401</v>
      </c>
      <c r="AO116" s="3" cm="1">
        <f t="array" aca="1" ref="AO116" ca="1">OFFSET(INDIRECT("Sheet"&amp;P$2&amp;"!f1"),$G116-1,)</f>
        <v>21.923311394639299</v>
      </c>
      <c r="AP116" s="3" cm="1">
        <f t="array" aca="1" ref="AP116" ca="1">OFFSET(INDIRECT("Sheet"&amp;Q$2&amp;"!f1"),$G116-1,)</f>
        <v>5.1223042774945498</v>
      </c>
      <c r="AQ116" s="3" cm="1">
        <f t="array" aca="1" ref="AQ116" ca="1">OFFSET(INDIRECT("Sheet"&amp;R$2&amp;"!f1"),$G116-1,)</f>
        <v>7.6520687332376802</v>
      </c>
      <c r="AR116" s="3" cm="1">
        <f t="array" aca="1" ref="AR116" ca="1">OFFSET(INDIRECT("Sheet"&amp;S$2&amp;"!f1"),$G116-1,)</f>
        <v>14.5140461623668</v>
      </c>
      <c r="AS116" s="3" cm="1">
        <f t="array" aca="1" ref="AS116" ca="1">OFFSET(INDIRECT("Sheet"&amp;T$2&amp;"!f1"),$G116-1,)</f>
        <v>15.169061487540599</v>
      </c>
      <c r="AT116" s="3" cm="1">
        <f t="array" aca="1" ref="AT116" ca="1">OFFSET(INDIRECT("Sheet"&amp;U$2&amp;"!f1"),$G116-1,)</f>
        <v>17.215376917272799</v>
      </c>
      <c r="AU116" s="3" cm="1">
        <f t="array" aca="1" ref="AU116" ca="1">OFFSET(INDIRECT("Sheet"&amp;V$2&amp;"!f1"),$G116-1,)</f>
        <v>20.9973124703392</v>
      </c>
      <c r="AV116" s="3"/>
      <c r="AX116">
        <f ca="1">IF(H116=$F116,1,0)</f>
        <v>0</v>
      </c>
      <c r="AY116">
        <f ca="1">IF(I116=$F116,1,0)</f>
        <v>0</v>
      </c>
      <c r="AZ116">
        <f ca="1">IF(J116=$F116,1,0)</f>
        <v>0</v>
      </c>
      <c r="BA116">
        <f ca="1">IF(K116=$F116,1,0)</f>
        <v>0</v>
      </c>
      <c r="BB116">
        <f ca="1">IF(L116=$F116,1,0)</f>
        <v>0</v>
      </c>
      <c r="BC116">
        <f ca="1">IF(M116=$F116,1,0)</f>
        <v>1</v>
      </c>
      <c r="BD116">
        <f ca="1">IF(C116=$F116,1,0)</f>
        <v>1</v>
      </c>
      <c r="BE116">
        <f ca="1">IF(D116=$F116,1,0)</f>
        <v>1</v>
      </c>
      <c r="BF116">
        <f t="shared" ca="1" si="29"/>
        <v>1</v>
      </c>
      <c r="BG116">
        <f t="shared" ca="1" si="30"/>
        <v>0</v>
      </c>
      <c r="BH116">
        <f t="shared" ca="1" si="31"/>
        <v>0</v>
      </c>
      <c r="BI116">
        <f t="shared" ca="1" si="32"/>
        <v>1</v>
      </c>
      <c r="BJ116">
        <f t="shared" ca="1" si="33"/>
        <v>1</v>
      </c>
      <c r="BK116">
        <f t="shared" ca="1" si="33"/>
        <v>1</v>
      </c>
      <c r="BL116">
        <f t="shared" ca="1" si="33"/>
        <v>1</v>
      </c>
      <c r="BM116">
        <f t="shared" ca="1" si="34"/>
        <v>1</v>
      </c>
      <c r="BN116">
        <f t="shared" ca="1" si="35"/>
        <v>1</v>
      </c>
      <c r="BO116">
        <f t="shared" ca="1" si="36"/>
        <v>1</v>
      </c>
      <c r="BP116">
        <f t="shared" ca="1" si="37"/>
        <v>1</v>
      </c>
      <c r="BQ116">
        <f t="shared" ca="1" si="38"/>
        <v>1</v>
      </c>
    </row>
    <row r="117" spans="1:69" s="4" customFormat="1" x14ac:dyDescent="0.2">
      <c r="A117" t="str">
        <f>Sheet3!A101</f>
        <v>[[71,5,15]]</v>
      </c>
      <c r="B117" s="4">
        <v>71</v>
      </c>
      <c r="C117" cm="1">
        <f t="array" aca="1" ref="C117" ca="1">OFFSET(INDIRECT("Sheet"&amp;K$2&amp;"!d1"),$G117-1,)</f>
        <v>15</v>
      </c>
      <c r="D117" cm="1">
        <f t="array" aca="1" ref="D117" ca="1">OFFSET(INDIRECT("Sheet"&amp;L$2&amp;"!d1"),$G117-1,)</f>
        <v>15</v>
      </c>
      <c r="E117" s="4">
        <v>5</v>
      </c>
      <c r="F117" s="4">
        <v>15</v>
      </c>
      <c r="G117">
        <f t="shared" si="39"/>
        <v>101</v>
      </c>
      <c r="H117" cm="1">
        <f t="array" aca="1" ref="H117" ca="1">OFFSET(INDIRECT("Sheet"&amp;E$2&amp;"!d1"),$G117-1,)</f>
        <v>0</v>
      </c>
      <c r="I117" cm="1">
        <f t="array" aca="1" ref="I117" ca="1">OFFSET(INDIRECT("Sheet"&amp;F$2&amp;"!d1"),$G117-1,)</f>
        <v>0</v>
      </c>
      <c r="J117" cm="1">
        <f t="array" aca="1" ref="J117" ca="1">OFFSET(INDIRECT("Sheet"&amp;G$2&amp;"!d1"),$G117-1,)</f>
        <v>0</v>
      </c>
      <c r="K117" cm="1">
        <f t="array" aca="1" ref="K117" ca="1">OFFSET(INDIRECT("Sheet"&amp;H$2&amp;"!d1"),$G117-1,)</f>
        <v>0</v>
      </c>
      <c r="L117" cm="1">
        <f t="array" aca="1" ref="L117" ca="1">OFFSET(INDIRECT("Sheet"&amp;I$2&amp;"!d1"),$G117-1,)</f>
        <v>0</v>
      </c>
      <c r="M117" cm="1">
        <f t="array" aca="1" ref="M117" ca="1">OFFSET(INDIRECT("Sheet"&amp;J$2&amp;"!d1"),$G117-1,)</f>
        <v>15</v>
      </c>
      <c r="N117" cm="1">
        <f t="array" aca="1" ref="N117" ca="1">OFFSET(INDIRECT("Sheet"&amp;M$2&amp;"!d1"),$G117-1,)</f>
        <v>15</v>
      </c>
      <c r="O117" cm="1">
        <f t="array" aca="1" ref="O117" ca="1">OFFSET(INDIRECT("Sheet"&amp;C$2&amp;"!d1"),$G117-1,)</f>
        <v>0</v>
      </c>
      <c r="P117" cm="1">
        <f t="array" aca="1" ref="P117" ca="1">OFFSET(INDIRECT("Sheet"&amp;D$2&amp;"!d1"),$G117-1,)</f>
        <v>0</v>
      </c>
      <c r="Q117" cm="1">
        <f t="array" aca="1" ref="Q117" ca="1">OFFSET(INDIRECT("Sheet"&amp;N$2&amp;"!d1"),$G117-1,)</f>
        <v>15</v>
      </c>
      <c r="R117" cm="1">
        <f t="array" aca="1" ref="R117" ca="1">OFFSET(INDIRECT("Sheet"&amp;O$2&amp;"!d1"),$G117-1,)</f>
        <v>15</v>
      </c>
      <c r="S117" cm="1">
        <f t="array" aca="1" ref="S117" ca="1">OFFSET(INDIRECT("Sheet"&amp;P$2&amp;"!d1"),$G117-1,)</f>
        <v>15</v>
      </c>
      <c r="T117" cm="1">
        <f t="array" aca="1" ref="T117" ca="1">OFFSET(INDIRECT("Sheet"&amp;Q$2&amp;"!d1"),$G117-1,)</f>
        <v>15</v>
      </c>
      <c r="U117" cm="1">
        <f t="array" aca="1" ref="U117" ca="1">OFFSET(INDIRECT("Sheet"&amp;R$2&amp;"!d1"),$G117-1,)</f>
        <v>15</v>
      </c>
      <c r="V117" cm="1">
        <f t="array" aca="1" ref="V117" ca="1">OFFSET(INDIRECT("Sheet"&amp;S$2&amp;"!d1"),$G117-1,)</f>
        <v>15</v>
      </c>
      <c r="W117" cm="1">
        <f t="array" aca="1" ref="W117" ca="1">OFFSET(INDIRECT("Sheet"&amp;T$2&amp;"!d1"),$G117-1,)</f>
        <v>15</v>
      </c>
      <c r="X117" cm="1">
        <f t="array" aca="1" ref="X117" ca="1">OFFSET(INDIRECT("Sheet"&amp;U$2&amp;"!d1"),$G117-1,)</f>
        <v>15</v>
      </c>
      <c r="Y117" cm="1">
        <f t="array" aca="1" ref="Y117" ca="1">OFFSET(INDIRECT("Sheet"&amp;V$2&amp;"!d1"),$G117-1,)</f>
        <v>15</v>
      </c>
      <c r="Z117"/>
      <c r="AB117" s="3" cm="1">
        <f t="array" aca="1" ref="AB117" ca="1">OFFSET(INDIRECT("Sheet"&amp;E$2&amp;"!f1"),$G117-1,)</f>
        <v>0</v>
      </c>
      <c r="AC117" s="3" cm="1">
        <f t="array" aca="1" ref="AC117" ca="1">OFFSET(INDIRECT("Sheet"&amp;F$2&amp;"!f1"),$G117-1,)</f>
        <v>0</v>
      </c>
      <c r="AD117" s="3" cm="1">
        <f t="array" aca="1" ref="AD117" ca="1">OFFSET(INDIRECT("Sheet"&amp;G$2&amp;"!f1"),$G117-1,)</f>
        <v>0</v>
      </c>
      <c r="AE117" s="3" cm="1">
        <f t="array" aca="1" ref="AE117" ca="1">OFFSET(INDIRECT("Sheet"&amp;H$2&amp;"!f1"),$G117-1,)</f>
        <v>28800.117391704502</v>
      </c>
      <c r="AF117" s="3" cm="1">
        <f t="array" aca="1" ref="AF117" ca="1">OFFSET(INDIRECT("Sheet"&amp;I$2&amp;"!f1"),$G117-1,)</f>
        <v>28802.882862500799</v>
      </c>
      <c r="AG117" s="3" cm="1">
        <f t="array" aca="1" ref="AG117" ca="1">OFFSET(INDIRECT("Sheet"&amp;J$2&amp;"!f1"),$G117-1,)</f>
        <v>1.3111004913225699</v>
      </c>
      <c r="AH117" s="3" cm="1">
        <f t="array" aca="1" ref="AH117" ca="1">OFFSET(INDIRECT("Sheet"&amp;K$2&amp;"!f1"),$G117-1,)</f>
        <v>1.1589352199999801</v>
      </c>
      <c r="AI117" s="3" cm="1">
        <f t="array" aca="1" ref="AI117" ca="1">OFFSET(INDIRECT("Sheet"&amp;L$2&amp;"!f1"),$G117-1,)</f>
        <v>1.15913311900001</v>
      </c>
      <c r="AJ117" s="3" cm="1">
        <f t="array" aca="1" ref="AJ117" ca="1">OFFSET(INDIRECT("Sheet"&amp;M$2&amp;"!f1"),$G117-1,)</f>
        <v>1.72041630279272</v>
      </c>
      <c r="AK117" s="3" cm="1">
        <f t="array" aca="1" ref="AK117" ca="1">OFFSET(INDIRECT("Sheet"&amp;C$2&amp;"!f1"),$G117-1,)</f>
        <v>0</v>
      </c>
      <c r="AL117" s="3" cm="1">
        <f t="array" aca="1" ref="AL117" ca="1">OFFSET(INDIRECT("Sheet"&amp;D$2&amp;"!f1"),$G117-1,)</f>
        <v>0</v>
      </c>
      <c r="AM117" s="3" cm="1">
        <f t="array" aca="1" ref="AM117" ca="1">OFFSET(INDIRECT("Sheet"&amp;N$2&amp;"!f1"),$G117-1,)</f>
        <v>8.3508578715845907</v>
      </c>
      <c r="AN117" s="3" cm="1">
        <f t="array" aca="1" ref="AN117" ca="1">OFFSET(INDIRECT("Sheet"&amp;O$2&amp;"!f1"),$G117-1,)</f>
        <v>17.2135715428739</v>
      </c>
      <c r="AO117" s="3" cm="1">
        <f t="array" aca="1" ref="AO117" ca="1">OFFSET(INDIRECT("Sheet"&amp;P$2&amp;"!f1"),$G117-1,)</f>
        <v>22.752698007970999</v>
      </c>
      <c r="AP117" s="3" cm="1">
        <f t="array" aca="1" ref="AP117" ca="1">OFFSET(INDIRECT("Sheet"&amp;Q$2&amp;"!f1"),$G117-1,)</f>
        <v>5.4258274240419198</v>
      </c>
      <c r="AQ117" s="3" cm="1">
        <f t="array" aca="1" ref="AQ117" ca="1">OFFSET(INDIRECT("Sheet"&amp;R$2&amp;"!f1"),$G117-1,)</f>
        <v>8.0607738010585308</v>
      </c>
      <c r="AR117" s="3" cm="1">
        <f t="array" aca="1" ref="AR117" ca="1">OFFSET(INDIRECT("Sheet"&amp;S$2&amp;"!f1"),$G117-1,)</f>
        <v>15.152152506634501</v>
      </c>
      <c r="AS117" s="3" cm="1">
        <f t="array" aca="1" ref="AS117" ca="1">OFFSET(INDIRECT("Sheet"&amp;T$2&amp;"!f1"),$G117-1,)</f>
        <v>16.2004366172477</v>
      </c>
      <c r="AT117" s="3" cm="1">
        <f t="array" aca="1" ref="AT117" ca="1">OFFSET(INDIRECT("Sheet"&amp;U$2&amp;"!f1"),$G117-1,)</f>
        <v>18.457959305494999</v>
      </c>
      <c r="AU117" s="3" cm="1">
        <f t="array" aca="1" ref="AU117" ca="1">OFFSET(INDIRECT("Sheet"&amp;V$2&amp;"!f1"),$G117-1,)</f>
        <v>22.110911517403999</v>
      </c>
      <c r="AV117" s="3"/>
      <c r="AX117">
        <f ca="1">IF(H117=$F117,1,0)</f>
        <v>0</v>
      </c>
      <c r="AY117">
        <f ca="1">IF(I117=$F117,1,0)</f>
        <v>0</v>
      </c>
      <c r="AZ117">
        <f ca="1">IF(J117=$F117,1,0)</f>
        <v>0</v>
      </c>
      <c r="BA117">
        <f ca="1">IF(K117=$F117,1,0)</f>
        <v>0</v>
      </c>
      <c r="BB117">
        <f ca="1">IF(L117=$F117,1,0)</f>
        <v>0</v>
      </c>
      <c r="BC117">
        <f ca="1">IF(M117=$F117,1,0)</f>
        <v>1</v>
      </c>
      <c r="BD117">
        <f ca="1">IF(C117=$F117,1,0)</f>
        <v>1</v>
      </c>
      <c r="BE117">
        <f ca="1">IF(D117=$F117,1,0)</f>
        <v>1</v>
      </c>
      <c r="BF117">
        <f t="shared" ca="1" si="29"/>
        <v>1</v>
      </c>
      <c r="BG117">
        <f t="shared" ca="1" si="30"/>
        <v>0</v>
      </c>
      <c r="BH117">
        <f t="shared" ca="1" si="31"/>
        <v>0</v>
      </c>
      <c r="BI117">
        <f t="shared" ca="1" si="32"/>
        <v>1</v>
      </c>
      <c r="BJ117">
        <f t="shared" ca="1" si="33"/>
        <v>1</v>
      </c>
      <c r="BK117">
        <f t="shared" ca="1" si="33"/>
        <v>1</v>
      </c>
      <c r="BL117">
        <f t="shared" ca="1" si="33"/>
        <v>1</v>
      </c>
      <c r="BM117">
        <f t="shared" ca="1" si="34"/>
        <v>1</v>
      </c>
      <c r="BN117">
        <f t="shared" ca="1" si="35"/>
        <v>1</v>
      </c>
      <c r="BO117">
        <f t="shared" ca="1" si="36"/>
        <v>1</v>
      </c>
      <c r="BP117">
        <f t="shared" ca="1" si="37"/>
        <v>1</v>
      </c>
      <c r="BQ117">
        <f t="shared" ca="1" si="38"/>
        <v>1</v>
      </c>
    </row>
    <row r="118" spans="1:69" s="4" customFormat="1" x14ac:dyDescent="0.2">
      <c r="A118" t="str">
        <f>Sheet3!A102</f>
        <v>[[72,5,15]]</v>
      </c>
      <c r="B118" s="4">
        <v>72</v>
      </c>
      <c r="C118" cm="1">
        <f t="array" aca="1" ref="C118" ca="1">OFFSET(INDIRECT("Sheet"&amp;K$2&amp;"!d1"),$G118-1,)</f>
        <v>15</v>
      </c>
      <c r="D118" cm="1">
        <f t="array" aca="1" ref="D118" ca="1">OFFSET(INDIRECT("Sheet"&amp;L$2&amp;"!d1"),$G118-1,)</f>
        <v>15</v>
      </c>
      <c r="E118" s="4">
        <v>5</v>
      </c>
      <c r="F118" s="4">
        <v>15</v>
      </c>
      <c r="G118">
        <f t="shared" si="39"/>
        <v>102</v>
      </c>
      <c r="H118" cm="1">
        <f t="array" aca="1" ref="H118" ca="1">OFFSET(INDIRECT("Sheet"&amp;E$2&amp;"!d1"),$G118-1,)</f>
        <v>0</v>
      </c>
      <c r="I118" cm="1">
        <f t="array" aca="1" ref="I118" ca="1">OFFSET(INDIRECT("Sheet"&amp;F$2&amp;"!d1"),$G118-1,)</f>
        <v>0</v>
      </c>
      <c r="J118" cm="1">
        <f t="array" aca="1" ref="J118" ca="1">OFFSET(INDIRECT("Sheet"&amp;G$2&amp;"!d1"),$G118-1,)</f>
        <v>0</v>
      </c>
      <c r="K118" cm="1">
        <f t="array" aca="1" ref="K118" ca="1">OFFSET(INDIRECT("Sheet"&amp;H$2&amp;"!d1"),$G118-1,)</f>
        <v>0</v>
      </c>
      <c r="L118" cm="1">
        <f t="array" aca="1" ref="L118" ca="1">OFFSET(INDIRECT("Sheet"&amp;I$2&amp;"!d1"),$G118-1,)</f>
        <v>0</v>
      </c>
      <c r="M118" cm="1">
        <f t="array" aca="1" ref="M118" ca="1">OFFSET(INDIRECT("Sheet"&amp;J$2&amp;"!d1"),$G118-1,)</f>
        <v>15</v>
      </c>
      <c r="N118" cm="1">
        <f t="array" aca="1" ref="N118" ca="1">OFFSET(INDIRECT("Sheet"&amp;M$2&amp;"!d1"),$G118-1,)</f>
        <v>15</v>
      </c>
      <c r="O118" cm="1">
        <f t="array" aca="1" ref="O118" ca="1">OFFSET(INDIRECT("Sheet"&amp;C$2&amp;"!d1"),$G118-1,)</f>
        <v>0</v>
      </c>
      <c r="P118" cm="1">
        <f t="array" aca="1" ref="P118" ca="1">OFFSET(INDIRECT("Sheet"&amp;D$2&amp;"!d1"),$G118-1,)</f>
        <v>0</v>
      </c>
      <c r="Q118" cm="1">
        <f t="array" aca="1" ref="Q118" ca="1">OFFSET(INDIRECT("Sheet"&amp;N$2&amp;"!d1"),$G118-1,)</f>
        <v>15</v>
      </c>
      <c r="R118" cm="1">
        <f t="array" aca="1" ref="R118" ca="1">OFFSET(INDIRECT("Sheet"&amp;O$2&amp;"!d1"),$G118-1,)</f>
        <v>15</v>
      </c>
      <c r="S118" cm="1">
        <f t="array" aca="1" ref="S118" ca="1">OFFSET(INDIRECT("Sheet"&amp;P$2&amp;"!d1"),$G118-1,)</f>
        <v>15</v>
      </c>
      <c r="T118" cm="1">
        <f t="array" aca="1" ref="T118" ca="1">OFFSET(INDIRECT("Sheet"&amp;Q$2&amp;"!d1"),$G118-1,)</f>
        <v>15</v>
      </c>
      <c r="U118" cm="1">
        <f t="array" aca="1" ref="U118" ca="1">OFFSET(INDIRECT("Sheet"&amp;R$2&amp;"!d1"),$G118-1,)</f>
        <v>15</v>
      </c>
      <c r="V118" cm="1">
        <f t="array" aca="1" ref="V118" ca="1">OFFSET(INDIRECT("Sheet"&amp;S$2&amp;"!d1"),$G118-1,)</f>
        <v>15</v>
      </c>
      <c r="W118" cm="1">
        <f t="array" aca="1" ref="W118" ca="1">OFFSET(INDIRECT("Sheet"&amp;T$2&amp;"!d1"),$G118-1,)</f>
        <v>15</v>
      </c>
      <c r="X118" cm="1">
        <f t="array" aca="1" ref="X118" ca="1">OFFSET(INDIRECT("Sheet"&amp;U$2&amp;"!d1"),$G118-1,)</f>
        <v>15</v>
      </c>
      <c r="Y118" cm="1">
        <f t="array" aca="1" ref="Y118" ca="1">OFFSET(INDIRECT("Sheet"&amp;V$2&amp;"!d1"),$G118-1,)</f>
        <v>15</v>
      </c>
      <c r="Z118"/>
      <c r="AB118" s="3" cm="1">
        <f t="array" aca="1" ref="AB118" ca="1">OFFSET(INDIRECT("Sheet"&amp;E$2&amp;"!f1"),$G118-1,)</f>
        <v>0</v>
      </c>
      <c r="AC118" s="3" cm="1">
        <f t="array" aca="1" ref="AC118" ca="1">OFFSET(INDIRECT("Sheet"&amp;F$2&amp;"!f1"),$G118-1,)</f>
        <v>0</v>
      </c>
      <c r="AD118" s="3" cm="1">
        <f t="array" aca="1" ref="AD118" ca="1">OFFSET(INDIRECT("Sheet"&amp;G$2&amp;"!f1"),$G118-1,)</f>
        <v>0</v>
      </c>
      <c r="AE118" s="3" cm="1">
        <f t="array" aca="1" ref="AE118" ca="1">OFFSET(INDIRECT("Sheet"&amp;H$2&amp;"!f1"),$G118-1,)</f>
        <v>28800.135792208799</v>
      </c>
      <c r="AF118" s="3" cm="1">
        <f t="array" aca="1" ref="AF118" ca="1">OFFSET(INDIRECT("Sheet"&amp;I$2&amp;"!f1"),$G118-1,)</f>
        <v>28800.113890998</v>
      </c>
      <c r="AG118" s="3" cm="1">
        <f t="array" aca="1" ref="AG118" ca="1">OFFSET(INDIRECT("Sheet"&amp;J$2&amp;"!f1"),$G118-1,)</f>
        <v>1.34816254675388</v>
      </c>
      <c r="AH118" s="3" cm="1">
        <f t="array" aca="1" ref="AH118" ca="1">OFFSET(INDIRECT("Sheet"&amp;K$2&amp;"!f1"),$G118-1,)</f>
        <v>1.1770184189999999</v>
      </c>
      <c r="AI118" s="3" cm="1">
        <f t="array" aca="1" ref="AI118" ca="1">OFFSET(INDIRECT("Sheet"&amp;L$2&amp;"!f1"),$G118-1,)</f>
        <v>1.1774161589999801</v>
      </c>
      <c r="AJ118" s="3" cm="1">
        <f t="array" aca="1" ref="AJ118" ca="1">OFFSET(INDIRECT("Sheet"&amp;M$2&amp;"!f1"),$G118-1,)</f>
        <v>1.7490123994648401</v>
      </c>
      <c r="AK118" s="3" cm="1">
        <f t="array" aca="1" ref="AK118" ca="1">OFFSET(INDIRECT("Sheet"&amp;C$2&amp;"!f1"),$G118-1,)</f>
        <v>0</v>
      </c>
      <c r="AL118" s="3" cm="1">
        <f t="array" aca="1" ref="AL118" ca="1">OFFSET(INDIRECT("Sheet"&amp;D$2&amp;"!f1"),$G118-1,)</f>
        <v>0</v>
      </c>
      <c r="AM118" s="3" cm="1">
        <f t="array" aca="1" ref="AM118" ca="1">OFFSET(INDIRECT("Sheet"&amp;N$2&amp;"!f1"),$G118-1,)</f>
        <v>8.3583951201289892</v>
      </c>
      <c r="AN118" s="3" cm="1">
        <f t="array" aca="1" ref="AN118" ca="1">OFFSET(INDIRECT("Sheet"&amp;O$2&amp;"!f1"),$G118-1,)</f>
        <v>16.675558422692099</v>
      </c>
      <c r="AO118" s="3" cm="1">
        <f t="array" aca="1" ref="AO118" ca="1">OFFSET(INDIRECT("Sheet"&amp;P$2&amp;"!f1"),$G118-1,)</f>
        <v>22.845021741464699</v>
      </c>
      <c r="AP118" s="3" cm="1">
        <f t="array" aca="1" ref="AP118" ca="1">OFFSET(INDIRECT("Sheet"&amp;Q$2&amp;"!f1"),$G118-1,)</f>
        <v>5.4250850845128298</v>
      </c>
      <c r="AQ118" s="3" cm="1">
        <f t="array" aca="1" ref="AQ118" ca="1">OFFSET(INDIRECT("Sheet"&amp;R$2&amp;"!f1"),$G118-1,)</f>
        <v>8.0473483270034194</v>
      </c>
      <c r="AR118" s="3" cm="1">
        <f t="array" aca="1" ref="AR118" ca="1">OFFSET(INDIRECT("Sheet"&amp;S$2&amp;"!f1"),$G118-1,)</f>
        <v>15.434922587126399</v>
      </c>
      <c r="AS118" s="3" cm="1">
        <f t="array" aca="1" ref="AS118" ca="1">OFFSET(INDIRECT("Sheet"&amp;T$2&amp;"!f1"),$G118-1,)</f>
        <v>16.008901647291999</v>
      </c>
      <c r="AT118" s="3" cm="1">
        <f t="array" aca="1" ref="AT118" ca="1">OFFSET(INDIRECT("Sheet"&amp;U$2&amp;"!f1"),$G118-1,)</f>
        <v>18.934798921458398</v>
      </c>
      <c r="AU118" s="3" cm="1">
        <f t="array" aca="1" ref="AU118" ca="1">OFFSET(INDIRECT("Sheet"&amp;V$2&amp;"!f1"),$G118-1,)</f>
        <v>22.146976215764798</v>
      </c>
      <c r="AV118" s="3"/>
      <c r="AX118">
        <f ca="1">IF(H118=$F118,1,0)</f>
        <v>0</v>
      </c>
      <c r="AY118">
        <f ca="1">IF(I118=$F118,1,0)</f>
        <v>0</v>
      </c>
      <c r="AZ118">
        <f ca="1">IF(J118=$F118,1,0)</f>
        <v>0</v>
      </c>
      <c r="BA118">
        <f ca="1">IF(K118=$F118,1,0)</f>
        <v>0</v>
      </c>
      <c r="BB118">
        <f ca="1">IF(L118=$F118,1,0)</f>
        <v>0</v>
      </c>
      <c r="BC118">
        <f ca="1">IF(M118=$F118,1,0)</f>
        <v>1</v>
      </c>
      <c r="BD118">
        <f ca="1">IF(C118=$F118,1,0)</f>
        <v>1</v>
      </c>
      <c r="BE118">
        <f ca="1">IF(D118=$F118,1,0)</f>
        <v>1</v>
      </c>
      <c r="BF118">
        <f t="shared" ca="1" si="29"/>
        <v>1</v>
      </c>
      <c r="BG118">
        <f t="shared" ca="1" si="30"/>
        <v>0</v>
      </c>
      <c r="BH118">
        <f t="shared" ca="1" si="31"/>
        <v>0</v>
      </c>
      <c r="BI118">
        <f t="shared" ca="1" si="32"/>
        <v>1</v>
      </c>
      <c r="BJ118">
        <f t="shared" ca="1" si="33"/>
        <v>1</v>
      </c>
      <c r="BK118">
        <f t="shared" ca="1" si="33"/>
        <v>1</v>
      </c>
      <c r="BL118">
        <f t="shared" ca="1" si="33"/>
        <v>1</v>
      </c>
      <c r="BM118">
        <f t="shared" ca="1" si="34"/>
        <v>1</v>
      </c>
      <c r="BN118">
        <f t="shared" ca="1" si="35"/>
        <v>1</v>
      </c>
      <c r="BO118">
        <f t="shared" ca="1" si="36"/>
        <v>1</v>
      </c>
      <c r="BP118">
        <f t="shared" ca="1" si="37"/>
        <v>1</v>
      </c>
      <c r="BQ118">
        <f t="shared" ca="1" si="38"/>
        <v>1</v>
      </c>
    </row>
    <row r="119" spans="1:69" s="4" customFormat="1" x14ac:dyDescent="0.2">
      <c r="A119" t="str">
        <f>Sheet3!A103</f>
        <v>[[73,5,15]]</v>
      </c>
      <c r="B119" s="4">
        <v>73</v>
      </c>
      <c r="C119" cm="1">
        <f t="array" aca="1" ref="C119" ca="1">OFFSET(INDIRECT("Sheet"&amp;K$2&amp;"!d1"),$G119-1,)</f>
        <v>15</v>
      </c>
      <c r="D119" cm="1">
        <f t="array" aca="1" ref="D119" ca="1">OFFSET(INDIRECT("Sheet"&amp;L$2&amp;"!d1"),$G119-1,)</f>
        <v>15</v>
      </c>
      <c r="E119" s="4">
        <v>5</v>
      </c>
      <c r="F119" s="4">
        <v>15</v>
      </c>
      <c r="G119">
        <f t="shared" si="39"/>
        <v>103</v>
      </c>
      <c r="H119" cm="1">
        <f t="array" aca="1" ref="H119" ca="1">OFFSET(INDIRECT("Sheet"&amp;E$2&amp;"!d1"),$G119-1,)</f>
        <v>0</v>
      </c>
      <c r="I119" cm="1">
        <f t="array" aca="1" ref="I119" ca="1">OFFSET(INDIRECT("Sheet"&amp;F$2&amp;"!d1"),$G119-1,)</f>
        <v>0</v>
      </c>
      <c r="J119" cm="1">
        <f t="array" aca="1" ref="J119" ca="1">OFFSET(INDIRECT("Sheet"&amp;G$2&amp;"!d1"),$G119-1,)</f>
        <v>0</v>
      </c>
      <c r="K119" cm="1">
        <f t="array" aca="1" ref="K119" ca="1">OFFSET(INDIRECT("Sheet"&amp;H$2&amp;"!d1"),$G119-1,)</f>
        <v>0</v>
      </c>
      <c r="L119" cm="1">
        <f t="array" aca="1" ref="L119" ca="1">OFFSET(INDIRECT("Sheet"&amp;I$2&amp;"!d1"),$G119-1,)</f>
        <v>0</v>
      </c>
      <c r="M119" cm="1">
        <f t="array" aca="1" ref="M119" ca="1">OFFSET(INDIRECT("Sheet"&amp;J$2&amp;"!d1"),$G119-1,)</f>
        <v>15</v>
      </c>
      <c r="N119" cm="1">
        <f t="array" aca="1" ref="N119" ca="1">OFFSET(INDIRECT("Sheet"&amp;M$2&amp;"!d1"),$G119-1,)</f>
        <v>15</v>
      </c>
      <c r="O119" cm="1">
        <f t="array" aca="1" ref="O119" ca="1">OFFSET(INDIRECT("Sheet"&amp;C$2&amp;"!d1"),$G119-1,)</f>
        <v>0</v>
      </c>
      <c r="P119" cm="1">
        <f t="array" aca="1" ref="P119" ca="1">OFFSET(INDIRECT("Sheet"&amp;D$2&amp;"!d1"),$G119-1,)</f>
        <v>0</v>
      </c>
      <c r="Q119" cm="1">
        <f t="array" aca="1" ref="Q119" ca="1">OFFSET(INDIRECT("Sheet"&amp;N$2&amp;"!d1"),$G119-1,)</f>
        <v>15</v>
      </c>
      <c r="R119" cm="1">
        <f t="array" aca="1" ref="R119" ca="1">OFFSET(INDIRECT("Sheet"&amp;O$2&amp;"!d1"),$G119-1,)</f>
        <v>15</v>
      </c>
      <c r="S119" cm="1">
        <f t="array" aca="1" ref="S119" ca="1">OFFSET(INDIRECT("Sheet"&amp;P$2&amp;"!d1"),$G119-1,)</f>
        <v>15</v>
      </c>
      <c r="T119" cm="1">
        <f t="array" aca="1" ref="T119" ca="1">OFFSET(INDIRECT("Sheet"&amp;Q$2&amp;"!d1"),$G119-1,)</f>
        <v>15</v>
      </c>
      <c r="U119" cm="1">
        <f t="array" aca="1" ref="U119" ca="1">OFFSET(INDIRECT("Sheet"&amp;R$2&amp;"!d1"),$G119-1,)</f>
        <v>15</v>
      </c>
      <c r="V119" cm="1">
        <f t="array" aca="1" ref="V119" ca="1">OFFSET(INDIRECT("Sheet"&amp;S$2&amp;"!d1"),$G119-1,)</f>
        <v>15</v>
      </c>
      <c r="W119" cm="1">
        <f t="array" aca="1" ref="W119" ca="1">OFFSET(INDIRECT("Sheet"&amp;T$2&amp;"!d1"),$G119-1,)</f>
        <v>15</v>
      </c>
      <c r="X119" cm="1">
        <f t="array" aca="1" ref="X119" ca="1">OFFSET(INDIRECT("Sheet"&amp;U$2&amp;"!d1"),$G119-1,)</f>
        <v>15</v>
      </c>
      <c r="Y119" cm="1">
        <f t="array" aca="1" ref="Y119" ca="1">OFFSET(INDIRECT("Sheet"&amp;V$2&amp;"!d1"),$G119-1,)</f>
        <v>15</v>
      </c>
      <c r="Z119"/>
      <c r="AB119" s="3" cm="1">
        <f t="array" aca="1" ref="AB119" ca="1">OFFSET(INDIRECT("Sheet"&amp;E$2&amp;"!f1"),$G119-1,)</f>
        <v>0</v>
      </c>
      <c r="AC119" s="3" cm="1">
        <f t="array" aca="1" ref="AC119" ca="1">OFFSET(INDIRECT("Sheet"&amp;F$2&amp;"!f1"),$G119-1,)</f>
        <v>0</v>
      </c>
      <c r="AD119" s="3" cm="1">
        <f t="array" aca="1" ref="AD119" ca="1">OFFSET(INDIRECT("Sheet"&amp;G$2&amp;"!f1"),$G119-1,)</f>
        <v>0</v>
      </c>
      <c r="AE119" s="3" cm="1">
        <f t="array" aca="1" ref="AE119" ca="1">OFFSET(INDIRECT("Sheet"&amp;H$2&amp;"!f1"),$G119-1,)</f>
        <v>28800.201730640601</v>
      </c>
      <c r="AF119" s="3" cm="1">
        <f t="array" aca="1" ref="AF119" ca="1">OFFSET(INDIRECT("Sheet"&amp;I$2&amp;"!f1"),$G119-1,)</f>
        <v>28800.113945610799</v>
      </c>
      <c r="AG119" s="3" cm="1">
        <f t="array" aca="1" ref="AG119" ca="1">OFFSET(INDIRECT("Sheet"&amp;J$2&amp;"!f1"),$G119-1,)</f>
        <v>1.37644453067332</v>
      </c>
      <c r="AH119" s="3" cm="1">
        <f t="array" aca="1" ref="AH119" ca="1">OFFSET(INDIRECT("Sheet"&amp;K$2&amp;"!f1"),$G119-1,)</f>
        <v>1.2214486899999799</v>
      </c>
      <c r="AI119" s="3" cm="1">
        <f t="array" aca="1" ref="AI119" ca="1">OFFSET(INDIRECT("Sheet"&amp;L$2&amp;"!f1"),$G119-1,)</f>
        <v>1.21635918800001</v>
      </c>
      <c r="AJ119" s="3" cm="1">
        <f t="array" aca="1" ref="AJ119" ca="1">OFFSET(INDIRECT("Sheet"&amp;M$2&amp;"!f1"),$G119-1,)</f>
        <v>1.8191587524488499</v>
      </c>
      <c r="AK119" s="3" cm="1">
        <f t="array" aca="1" ref="AK119" ca="1">OFFSET(INDIRECT("Sheet"&amp;C$2&amp;"!f1"),$G119-1,)</f>
        <v>0</v>
      </c>
      <c r="AL119" s="3" cm="1">
        <f t="array" aca="1" ref="AL119" ca="1">OFFSET(INDIRECT("Sheet"&amp;D$2&amp;"!f1"),$G119-1,)</f>
        <v>0</v>
      </c>
      <c r="AM119" s="3" cm="1">
        <f t="array" aca="1" ref="AM119" ca="1">OFFSET(INDIRECT("Sheet"&amp;N$2&amp;"!f1"),$G119-1,)</f>
        <v>8.7521717865020001</v>
      </c>
      <c r="AN119" s="3" cm="1">
        <f t="array" aca="1" ref="AN119" ca="1">OFFSET(INDIRECT("Sheet"&amp;O$2&amp;"!f1"),$G119-1,)</f>
        <v>17.988263875245998</v>
      </c>
      <c r="AO119" s="3" cm="1">
        <f t="array" aca="1" ref="AO119" ca="1">OFFSET(INDIRECT("Sheet"&amp;P$2&amp;"!f1"),$G119-1,)</f>
        <v>23.7722502397373</v>
      </c>
      <c r="AP119" s="3" cm="1">
        <f t="array" aca="1" ref="AP119" ca="1">OFFSET(INDIRECT("Sheet"&amp;Q$2&amp;"!f1"),$G119-1,)</f>
        <v>5.6674264622852197</v>
      </c>
      <c r="AQ119" s="3" cm="1">
        <f t="array" aca="1" ref="AQ119" ca="1">OFFSET(INDIRECT("Sheet"&amp;R$2&amp;"!f1"),$G119-1,)</f>
        <v>8.50395467877388</v>
      </c>
      <c r="AR119" s="3" cm="1">
        <f t="array" aca="1" ref="AR119" ca="1">OFFSET(INDIRECT("Sheet"&amp;S$2&amp;"!f1"),$G119-1,)</f>
        <v>16.079069863073499</v>
      </c>
      <c r="AS119" s="3" cm="1">
        <f t="array" aca="1" ref="AS119" ca="1">OFFSET(INDIRECT("Sheet"&amp;T$2&amp;"!f1"),$G119-1,)</f>
        <v>17.015792903490301</v>
      </c>
      <c r="AT119" s="3" cm="1">
        <f t="array" aca="1" ref="AT119" ca="1">OFFSET(INDIRECT("Sheet"&amp;U$2&amp;"!f1"),$G119-1,)</f>
        <v>19.871976072899901</v>
      </c>
      <c r="AU119" s="3" cm="1">
        <f t="array" aca="1" ref="AU119" ca="1">OFFSET(INDIRECT("Sheet"&amp;V$2&amp;"!f1"),$G119-1,)</f>
        <v>23.218111015856199</v>
      </c>
      <c r="AV119" s="3"/>
      <c r="AX119">
        <f ca="1">IF(H119=$F119,1,0)</f>
        <v>0</v>
      </c>
      <c r="AY119">
        <f ca="1">IF(I119=$F119,1,0)</f>
        <v>0</v>
      </c>
      <c r="AZ119">
        <f ca="1">IF(J119=$F119,1,0)</f>
        <v>0</v>
      </c>
      <c r="BA119">
        <f ca="1">IF(K119=$F119,1,0)</f>
        <v>0</v>
      </c>
      <c r="BB119">
        <f ca="1">IF(L119=$F119,1,0)</f>
        <v>0</v>
      </c>
      <c r="BC119">
        <f ca="1">IF(M119=$F119,1,0)</f>
        <v>1</v>
      </c>
      <c r="BD119">
        <f ca="1">IF(C119=$F119,1,0)</f>
        <v>1</v>
      </c>
      <c r="BE119">
        <f ca="1">IF(D119=$F119,1,0)</f>
        <v>1</v>
      </c>
      <c r="BF119">
        <f t="shared" ca="1" si="29"/>
        <v>1</v>
      </c>
      <c r="BG119">
        <f t="shared" ca="1" si="30"/>
        <v>0</v>
      </c>
      <c r="BH119">
        <f t="shared" ca="1" si="31"/>
        <v>0</v>
      </c>
      <c r="BI119">
        <f t="shared" ca="1" si="32"/>
        <v>1</v>
      </c>
      <c r="BJ119">
        <f t="shared" ca="1" si="33"/>
        <v>1</v>
      </c>
      <c r="BK119">
        <f t="shared" ca="1" si="33"/>
        <v>1</v>
      </c>
      <c r="BL119">
        <f t="shared" ca="1" si="33"/>
        <v>1</v>
      </c>
      <c r="BM119">
        <f t="shared" ca="1" si="34"/>
        <v>1</v>
      </c>
      <c r="BN119">
        <f t="shared" ca="1" si="35"/>
        <v>1</v>
      </c>
      <c r="BO119">
        <f t="shared" ca="1" si="36"/>
        <v>1</v>
      </c>
      <c r="BP119">
        <f t="shared" ca="1" si="37"/>
        <v>1</v>
      </c>
      <c r="BQ119">
        <f t="shared" ca="1" si="38"/>
        <v>1</v>
      </c>
    </row>
    <row r="120" spans="1:69" s="4" customFormat="1" x14ac:dyDescent="0.2">
      <c r="A120" t="str">
        <f>Sheet3!A104</f>
        <v>[[74,5,15]]</v>
      </c>
      <c r="B120" s="4">
        <v>74</v>
      </c>
      <c r="C120" cm="1">
        <f t="array" aca="1" ref="C120" ca="1">OFFSET(INDIRECT("Sheet"&amp;K$2&amp;"!d1"),$G120-1,)</f>
        <v>15</v>
      </c>
      <c r="D120" cm="1">
        <f t="array" aca="1" ref="D120" ca="1">OFFSET(INDIRECT("Sheet"&amp;L$2&amp;"!d1"),$G120-1,)</f>
        <v>15</v>
      </c>
      <c r="E120" s="4">
        <v>5</v>
      </c>
      <c r="F120" s="4">
        <v>15</v>
      </c>
      <c r="G120">
        <f t="shared" si="39"/>
        <v>104</v>
      </c>
      <c r="H120" cm="1">
        <f t="array" aca="1" ref="H120" ca="1">OFFSET(INDIRECT("Sheet"&amp;E$2&amp;"!d1"),$G120-1,)</f>
        <v>0</v>
      </c>
      <c r="I120" cm="1">
        <f t="array" aca="1" ref="I120" ca="1">OFFSET(INDIRECT("Sheet"&amp;F$2&amp;"!d1"),$G120-1,)</f>
        <v>0</v>
      </c>
      <c r="J120" cm="1">
        <f t="array" aca="1" ref="J120" ca="1">OFFSET(INDIRECT("Sheet"&amp;G$2&amp;"!d1"),$G120-1,)</f>
        <v>0</v>
      </c>
      <c r="K120" cm="1">
        <f t="array" aca="1" ref="K120" ca="1">OFFSET(INDIRECT("Sheet"&amp;H$2&amp;"!d1"),$G120-1,)</f>
        <v>0</v>
      </c>
      <c r="L120" cm="1">
        <f t="array" aca="1" ref="L120" ca="1">OFFSET(INDIRECT("Sheet"&amp;I$2&amp;"!d1"),$G120-1,)</f>
        <v>0</v>
      </c>
      <c r="M120" cm="1">
        <f t="array" aca="1" ref="M120" ca="1">OFFSET(INDIRECT("Sheet"&amp;J$2&amp;"!d1"),$G120-1,)</f>
        <v>15</v>
      </c>
      <c r="N120" cm="1">
        <f t="array" aca="1" ref="N120" ca="1">OFFSET(INDIRECT("Sheet"&amp;M$2&amp;"!d1"),$G120-1,)</f>
        <v>15</v>
      </c>
      <c r="O120" cm="1">
        <f t="array" aca="1" ref="O120" ca="1">OFFSET(INDIRECT("Sheet"&amp;C$2&amp;"!d1"),$G120-1,)</f>
        <v>0</v>
      </c>
      <c r="P120" cm="1">
        <f t="array" aca="1" ref="P120" ca="1">OFFSET(INDIRECT("Sheet"&amp;D$2&amp;"!d1"),$G120-1,)</f>
        <v>0</v>
      </c>
      <c r="Q120" cm="1">
        <f t="array" aca="1" ref="Q120" ca="1">OFFSET(INDIRECT("Sheet"&amp;N$2&amp;"!d1"),$G120-1,)</f>
        <v>15</v>
      </c>
      <c r="R120" cm="1">
        <f t="array" aca="1" ref="R120" ca="1">OFFSET(INDIRECT("Sheet"&amp;O$2&amp;"!d1"),$G120-1,)</f>
        <v>15</v>
      </c>
      <c r="S120" cm="1">
        <f t="array" aca="1" ref="S120" ca="1">OFFSET(INDIRECT("Sheet"&amp;P$2&amp;"!d1"),$G120-1,)</f>
        <v>15</v>
      </c>
      <c r="T120" cm="1">
        <f t="array" aca="1" ref="T120" ca="1">OFFSET(INDIRECT("Sheet"&amp;Q$2&amp;"!d1"),$G120-1,)</f>
        <v>15</v>
      </c>
      <c r="U120" cm="1">
        <f t="array" aca="1" ref="U120" ca="1">OFFSET(INDIRECT("Sheet"&amp;R$2&amp;"!d1"),$G120-1,)</f>
        <v>15</v>
      </c>
      <c r="V120" cm="1">
        <f t="array" aca="1" ref="V120" ca="1">OFFSET(INDIRECT("Sheet"&amp;S$2&amp;"!d1"),$G120-1,)</f>
        <v>15</v>
      </c>
      <c r="W120" cm="1">
        <f t="array" aca="1" ref="W120" ca="1">OFFSET(INDIRECT("Sheet"&amp;T$2&amp;"!d1"),$G120-1,)</f>
        <v>15</v>
      </c>
      <c r="X120" cm="1">
        <f t="array" aca="1" ref="X120" ca="1">OFFSET(INDIRECT("Sheet"&amp;U$2&amp;"!d1"),$G120-1,)</f>
        <v>15</v>
      </c>
      <c r="Y120" cm="1">
        <f t="array" aca="1" ref="Y120" ca="1">OFFSET(INDIRECT("Sheet"&amp;V$2&amp;"!d1"),$G120-1,)</f>
        <v>15</v>
      </c>
      <c r="Z120"/>
      <c r="AB120" s="3" cm="1">
        <f t="array" aca="1" ref="AB120" ca="1">OFFSET(INDIRECT("Sheet"&amp;E$2&amp;"!f1"),$G120-1,)</f>
        <v>0</v>
      </c>
      <c r="AC120" s="3" cm="1">
        <f t="array" aca="1" ref="AC120" ca="1">OFFSET(INDIRECT("Sheet"&amp;F$2&amp;"!f1"),$G120-1,)</f>
        <v>0</v>
      </c>
      <c r="AD120" s="3" cm="1">
        <f t="array" aca="1" ref="AD120" ca="1">OFFSET(INDIRECT("Sheet"&amp;G$2&amp;"!f1"),$G120-1,)</f>
        <v>0</v>
      </c>
      <c r="AE120" s="3" cm="1">
        <f t="array" aca="1" ref="AE120" ca="1">OFFSET(INDIRECT("Sheet"&amp;H$2&amp;"!f1"),$G120-1,)</f>
        <v>28800.120093609199</v>
      </c>
      <c r="AF120" s="3" cm="1">
        <f t="array" aca="1" ref="AF120" ca="1">OFFSET(INDIRECT("Sheet"&amp;I$2&amp;"!f1"),$G120-1,)</f>
        <v>28800.1170412227</v>
      </c>
      <c r="AG120" s="3" cm="1">
        <f t="array" aca="1" ref="AG120" ca="1">OFFSET(INDIRECT("Sheet"&amp;J$2&amp;"!f1"),$G120-1,)</f>
        <v>1.4015023168176399</v>
      </c>
      <c r="AH120" s="3" cm="1">
        <f t="array" aca="1" ref="AH120" ca="1">OFFSET(INDIRECT("Sheet"&amp;K$2&amp;"!f1"),$G120-1,)</f>
        <v>1.23725873</v>
      </c>
      <c r="AI120" s="3" cm="1">
        <f t="array" aca="1" ref="AI120" ca="1">OFFSET(INDIRECT("Sheet"&amp;L$2&amp;"!f1"),$G120-1,)</f>
        <v>1.2360399199999901</v>
      </c>
      <c r="AJ120" s="3" cm="1">
        <f t="array" aca="1" ref="AJ120" ca="1">OFFSET(INDIRECT("Sheet"&amp;M$2&amp;"!f1"),$G120-1,)</f>
        <v>1.8477418646216299</v>
      </c>
      <c r="AK120" s="3" cm="1">
        <f t="array" aca="1" ref="AK120" ca="1">OFFSET(INDIRECT("Sheet"&amp;C$2&amp;"!f1"),$G120-1,)</f>
        <v>0</v>
      </c>
      <c r="AL120" s="3" cm="1">
        <f t="array" aca="1" ref="AL120" ca="1">OFFSET(INDIRECT("Sheet"&amp;D$2&amp;"!f1"),$G120-1,)</f>
        <v>0</v>
      </c>
      <c r="AM120" s="3" cm="1">
        <f t="array" aca="1" ref="AM120" ca="1">OFFSET(INDIRECT("Sheet"&amp;N$2&amp;"!f1"),$G120-1,)</f>
        <v>8.7605313817039097</v>
      </c>
      <c r="AN120" s="3" cm="1">
        <f t="array" aca="1" ref="AN120" ca="1">OFFSET(INDIRECT("Sheet"&amp;O$2&amp;"!f1"),$G120-1,)</f>
        <v>17.926679347641699</v>
      </c>
      <c r="AO120" s="3" cm="1">
        <f t="array" aca="1" ref="AO120" ca="1">OFFSET(INDIRECT("Sheet"&amp;P$2&amp;"!f1"),$G120-1,)</f>
        <v>24.201507396996</v>
      </c>
      <c r="AP120" s="3" cm="1">
        <f t="array" aca="1" ref="AP120" ca="1">OFFSET(INDIRECT("Sheet"&amp;Q$2&amp;"!f1"),$G120-1,)</f>
        <v>5.72506760712713</v>
      </c>
      <c r="AQ120" s="3" cm="1">
        <f t="array" aca="1" ref="AQ120" ca="1">OFFSET(INDIRECT("Sheet"&amp;R$2&amp;"!f1"),$G120-1,)</f>
        <v>8.5032669724896497</v>
      </c>
      <c r="AR120" s="3" cm="1">
        <f t="array" aca="1" ref="AR120" ca="1">OFFSET(INDIRECT("Sheet"&amp;S$2&amp;"!f1"),$G120-1,)</f>
        <v>17.0949971051886</v>
      </c>
      <c r="AS120" s="3" cm="1">
        <f t="array" aca="1" ref="AS120" ca="1">OFFSET(INDIRECT("Sheet"&amp;T$2&amp;"!f1"),$G120-1,)</f>
        <v>17.2645901590585</v>
      </c>
      <c r="AT120" s="3" cm="1">
        <f t="array" aca="1" ref="AT120" ca="1">OFFSET(INDIRECT("Sheet"&amp;U$2&amp;"!f1"),$G120-1,)</f>
        <v>20.1412070365622</v>
      </c>
      <c r="AU120" s="3" cm="1">
        <f t="array" aca="1" ref="AU120" ca="1">OFFSET(INDIRECT("Sheet"&amp;V$2&amp;"!f1"),$G120-1,)</f>
        <v>23.9518863167613</v>
      </c>
      <c r="AV120" s="3"/>
      <c r="AX120">
        <f ca="1">IF(H120=$F120,1,0)</f>
        <v>0</v>
      </c>
      <c r="AY120">
        <f ca="1">IF(I120=$F120,1,0)</f>
        <v>0</v>
      </c>
      <c r="AZ120">
        <f ca="1">IF(J120=$F120,1,0)</f>
        <v>0</v>
      </c>
      <c r="BA120">
        <f ca="1">IF(K120=$F120,1,0)</f>
        <v>0</v>
      </c>
      <c r="BB120">
        <f ca="1">IF(L120=$F120,1,0)</f>
        <v>0</v>
      </c>
      <c r="BC120">
        <f ca="1">IF(M120=$F120,1,0)</f>
        <v>1</v>
      </c>
      <c r="BD120">
        <f ca="1">IF(C120=$F120,1,0)</f>
        <v>1</v>
      </c>
      <c r="BE120">
        <f ca="1">IF(D120=$F120,1,0)</f>
        <v>1</v>
      </c>
      <c r="BF120">
        <f t="shared" ca="1" si="29"/>
        <v>1</v>
      </c>
      <c r="BG120">
        <f t="shared" ca="1" si="30"/>
        <v>0</v>
      </c>
      <c r="BH120">
        <f t="shared" ca="1" si="31"/>
        <v>0</v>
      </c>
      <c r="BI120">
        <f t="shared" ca="1" si="32"/>
        <v>1</v>
      </c>
      <c r="BJ120">
        <f t="shared" ca="1" si="33"/>
        <v>1</v>
      </c>
      <c r="BK120">
        <f t="shared" ca="1" si="33"/>
        <v>1</v>
      </c>
      <c r="BL120">
        <f t="shared" ca="1" si="33"/>
        <v>1</v>
      </c>
      <c r="BM120">
        <f t="shared" ca="1" si="34"/>
        <v>1</v>
      </c>
      <c r="BN120">
        <f t="shared" ca="1" si="35"/>
        <v>1</v>
      </c>
      <c r="BO120">
        <f t="shared" ca="1" si="36"/>
        <v>1</v>
      </c>
      <c r="BP120">
        <f t="shared" ca="1" si="37"/>
        <v>1</v>
      </c>
      <c r="BQ120">
        <f t="shared" ca="1" si="38"/>
        <v>1</v>
      </c>
    </row>
    <row r="121" spans="1:69" s="4" customFormat="1" x14ac:dyDescent="0.2">
      <c r="A121" t="str">
        <f>Sheet3!A105</f>
        <v>[[75,5,15]]</v>
      </c>
      <c r="B121" s="4">
        <v>75</v>
      </c>
      <c r="C121" cm="1">
        <f t="array" aca="1" ref="C121" ca="1">OFFSET(INDIRECT("Sheet"&amp;K$2&amp;"!d1"),$G121-1,)</f>
        <v>16</v>
      </c>
      <c r="D121" cm="1">
        <f t="array" aca="1" ref="D121" ca="1">OFFSET(INDIRECT("Sheet"&amp;L$2&amp;"!d1"),$G121-1,)</f>
        <v>15</v>
      </c>
      <c r="E121" s="4">
        <v>5</v>
      </c>
      <c r="F121" s="4">
        <v>15</v>
      </c>
      <c r="G121">
        <f t="shared" si="39"/>
        <v>105</v>
      </c>
      <c r="H121" cm="1">
        <f t="array" aca="1" ref="H121" ca="1">OFFSET(INDIRECT("Sheet"&amp;E$2&amp;"!d1"),$G121-1,)</f>
        <v>0</v>
      </c>
      <c r="I121" cm="1">
        <f t="array" aca="1" ref="I121" ca="1">OFFSET(INDIRECT("Sheet"&amp;F$2&amp;"!d1"),$G121-1,)</f>
        <v>0</v>
      </c>
      <c r="J121" cm="1">
        <f t="array" aca="1" ref="J121" ca="1">OFFSET(INDIRECT("Sheet"&amp;G$2&amp;"!d1"),$G121-1,)</f>
        <v>0</v>
      </c>
      <c r="K121" cm="1">
        <f t="array" aca="1" ref="K121" ca="1">OFFSET(INDIRECT("Sheet"&amp;H$2&amp;"!d1"),$G121-1,)</f>
        <v>0</v>
      </c>
      <c r="L121" cm="1">
        <f t="array" aca="1" ref="L121" ca="1">OFFSET(INDIRECT("Sheet"&amp;I$2&amp;"!d1"),$G121-1,)</f>
        <v>0</v>
      </c>
      <c r="M121" cm="1">
        <f t="array" aca="1" ref="M121" ca="1">OFFSET(INDIRECT("Sheet"&amp;J$2&amp;"!d1"),$G121-1,)</f>
        <v>15</v>
      </c>
      <c r="N121" cm="1">
        <f t="array" aca="1" ref="N121" ca="1">OFFSET(INDIRECT("Sheet"&amp;M$2&amp;"!d1"),$G121-1,)</f>
        <v>15</v>
      </c>
      <c r="O121" cm="1">
        <f t="array" aca="1" ref="O121" ca="1">OFFSET(INDIRECT("Sheet"&amp;C$2&amp;"!d1"),$G121-1,)</f>
        <v>0</v>
      </c>
      <c r="P121" cm="1">
        <f t="array" aca="1" ref="P121" ca="1">OFFSET(INDIRECT("Sheet"&amp;D$2&amp;"!d1"),$G121-1,)</f>
        <v>0</v>
      </c>
      <c r="Q121" cm="1">
        <f t="array" aca="1" ref="Q121" ca="1">OFFSET(INDIRECT("Sheet"&amp;N$2&amp;"!d1"),$G121-1,)</f>
        <v>16</v>
      </c>
      <c r="R121" cm="1">
        <f t="array" aca="1" ref="R121" ca="1">OFFSET(INDIRECT("Sheet"&amp;O$2&amp;"!d1"),$G121-1,)</f>
        <v>15</v>
      </c>
      <c r="S121" cm="1">
        <f t="array" aca="1" ref="S121" ca="1">OFFSET(INDIRECT("Sheet"&amp;P$2&amp;"!d1"),$G121-1,)</f>
        <v>15</v>
      </c>
      <c r="T121" cm="1">
        <f t="array" aca="1" ref="T121" ca="1">OFFSET(INDIRECT("Sheet"&amp;Q$2&amp;"!d1"),$G121-1,)</f>
        <v>15</v>
      </c>
      <c r="U121" cm="1">
        <f t="array" aca="1" ref="U121" ca="1">OFFSET(INDIRECT("Sheet"&amp;R$2&amp;"!d1"),$G121-1,)</f>
        <v>15</v>
      </c>
      <c r="V121" cm="1">
        <f t="array" aca="1" ref="V121" ca="1">OFFSET(INDIRECT("Sheet"&amp;S$2&amp;"!d1"),$G121-1,)</f>
        <v>15</v>
      </c>
      <c r="W121" cm="1">
        <f t="array" aca="1" ref="W121" ca="1">OFFSET(INDIRECT("Sheet"&amp;T$2&amp;"!d1"),$G121-1,)</f>
        <v>15</v>
      </c>
      <c r="X121" cm="1">
        <f t="array" aca="1" ref="X121" ca="1">OFFSET(INDIRECT("Sheet"&amp;U$2&amp;"!d1"),$G121-1,)</f>
        <v>15</v>
      </c>
      <c r="Y121" cm="1">
        <f t="array" aca="1" ref="Y121" ca="1">OFFSET(INDIRECT("Sheet"&amp;V$2&amp;"!d1"),$G121-1,)</f>
        <v>15</v>
      </c>
      <c r="Z121"/>
      <c r="AB121" s="3" cm="1">
        <f t="array" aca="1" ref="AB121" ca="1">OFFSET(INDIRECT("Sheet"&amp;E$2&amp;"!f1"),$G121-1,)</f>
        <v>0</v>
      </c>
      <c r="AC121" s="3" cm="1">
        <f t="array" aca="1" ref="AC121" ca="1">OFFSET(INDIRECT("Sheet"&amp;F$2&amp;"!f1"),$G121-1,)</f>
        <v>0</v>
      </c>
      <c r="AD121" s="3" cm="1">
        <f t="array" aca="1" ref="AD121" ca="1">OFFSET(INDIRECT("Sheet"&amp;G$2&amp;"!f1"),$G121-1,)</f>
        <v>0</v>
      </c>
      <c r="AE121" s="3" cm="1">
        <f t="array" aca="1" ref="AE121" ca="1">OFFSET(INDIRECT("Sheet"&amp;H$2&amp;"!f1"),$G121-1,)</f>
        <v>28800.1425523338</v>
      </c>
      <c r="AF121" s="3" cm="1">
        <f t="array" aca="1" ref="AF121" ca="1">OFFSET(INDIRECT("Sheet"&amp;I$2&amp;"!f1"),$G121-1,)</f>
        <v>28800.1162018328</v>
      </c>
      <c r="AG121" s="3" cm="1">
        <f t="array" aca="1" ref="AG121" ca="1">OFFSET(INDIRECT("Sheet"&amp;J$2&amp;"!f1"),$G121-1,)</f>
        <v>1.4595038145780499</v>
      </c>
      <c r="AH121" s="3" cm="1">
        <f t="array" aca="1" ref="AH121" ca="1">OFFSET(INDIRECT("Sheet"&amp;K$2&amp;"!f1"),$G121-1,)</f>
        <v>1.29559958000001</v>
      </c>
      <c r="AI121" s="3" cm="1">
        <f t="array" aca="1" ref="AI121" ca="1">OFFSET(INDIRECT("Sheet"&amp;L$2&amp;"!f1"),$G121-1,)</f>
        <v>1.28616919399999</v>
      </c>
      <c r="AJ121" s="3" cm="1">
        <f t="array" aca="1" ref="AJ121" ca="1">OFFSET(INDIRECT("Sheet"&amp;M$2&amp;"!f1"),$G121-1,)</f>
        <v>1.92347026616334</v>
      </c>
      <c r="AK121" s="3" cm="1">
        <f t="array" aca="1" ref="AK121" ca="1">OFFSET(INDIRECT("Sheet"&amp;C$2&amp;"!f1"),$G121-1,)</f>
        <v>0</v>
      </c>
      <c r="AL121" s="3" cm="1">
        <f t="array" aca="1" ref="AL121" ca="1">OFFSET(INDIRECT("Sheet"&amp;D$2&amp;"!f1"),$G121-1,)</f>
        <v>0</v>
      </c>
      <c r="AM121" s="3" cm="1">
        <f t="array" aca="1" ref="AM121" ca="1">OFFSET(INDIRECT("Sheet"&amp;N$2&amp;"!f1"),$G121-1,)</f>
        <v>9.0909330556169099</v>
      </c>
      <c r="AN121" s="3" cm="1">
        <f t="array" aca="1" ref="AN121" ca="1">OFFSET(INDIRECT("Sheet"&amp;O$2&amp;"!f1"),$G121-1,)</f>
        <v>18.422670886851801</v>
      </c>
      <c r="AO121" s="3" cm="1">
        <f t="array" aca="1" ref="AO121" ca="1">OFFSET(INDIRECT("Sheet"&amp;P$2&amp;"!f1"),$G121-1,)</f>
        <v>25.118577119894301</v>
      </c>
      <c r="AP121" s="3" cm="1">
        <f t="array" aca="1" ref="AP121" ca="1">OFFSET(INDIRECT("Sheet"&amp;Q$2&amp;"!f1"),$G121-1,)</f>
        <v>5.9920970275998098</v>
      </c>
      <c r="AQ121" s="3" cm="1">
        <f t="array" aca="1" ref="AQ121" ca="1">OFFSET(INDIRECT("Sheet"&amp;R$2&amp;"!f1"),$G121-1,)</f>
        <v>8.8647745195776206</v>
      </c>
      <c r="AR121" s="3" cm="1">
        <f t="array" aca="1" ref="AR121" ca="1">OFFSET(INDIRECT("Sheet"&amp;S$2&amp;"!f1"),$G121-1,)</f>
        <v>16.635657905600901</v>
      </c>
      <c r="AS121" s="3" cm="1">
        <f t="array" aca="1" ref="AS121" ca="1">OFFSET(INDIRECT("Sheet"&amp;T$2&amp;"!f1"),$G121-1,)</f>
        <v>18.034943724982401</v>
      </c>
      <c r="AT121" s="3" cm="1">
        <f t="array" aca="1" ref="AT121" ca="1">OFFSET(INDIRECT("Sheet"&amp;U$2&amp;"!f1"),$G121-1,)</f>
        <v>20.523743374273099</v>
      </c>
      <c r="AU121" s="3" cm="1">
        <f t="array" aca="1" ref="AU121" ca="1">OFFSET(INDIRECT("Sheet"&amp;V$2&amp;"!f1"),$G121-1,)</f>
        <v>24.4462896836921</v>
      </c>
      <c r="AV121" s="3"/>
      <c r="AX121">
        <f ca="1">IF(H121=$F121,1,0)</f>
        <v>0</v>
      </c>
      <c r="AY121">
        <f ca="1">IF(I121=$F121,1,0)</f>
        <v>0</v>
      </c>
      <c r="AZ121">
        <f ca="1">IF(J121=$F121,1,0)</f>
        <v>0</v>
      </c>
      <c r="BA121">
        <f ca="1">IF(K121=$F121,1,0)</f>
        <v>0</v>
      </c>
      <c r="BB121">
        <f ca="1">IF(L121=$F121,1,0)</f>
        <v>0</v>
      </c>
      <c r="BC121">
        <f ca="1">IF(M121=$F121,1,0)</f>
        <v>1</v>
      </c>
      <c r="BD121">
        <f ca="1">IF(C121=$F121,1,0)</f>
        <v>0</v>
      </c>
      <c r="BE121">
        <f ca="1">IF(D121=$F121,1,0)</f>
        <v>1</v>
      </c>
      <c r="BF121">
        <f t="shared" ca="1" si="29"/>
        <v>1</v>
      </c>
      <c r="BG121">
        <f t="shared" ca="1" si="30"/>
        <v>0</v>
      </c>
      <c r="BH121">
        <f t="shared" ca="1" si="31"/>
        <v>0</v>
      </c>
      <c r="BI121">
        <f t="shared" ca="1" si="32"/>
        <v>0</v>
      </c>
      <c r="BJ121">
        <f t="shared" ca="1" si="33"/>
        <v>1</v>
      </c>
      <c r="BK121">
        <f t="shared" ca="1" si="33"/>
        <v>1</v>
      </c>
      <c r="BL121">
        <f t="shared" ca="1" si="33"/>
        <v>1</v>
      </c>
      <c r="BM121">
        <f t="shared" ca="1" si="34"/>
        <v>1</v>
      </c>
      <c r="BN121">
        <f t="shared" ca="1" si="35"/>
        <v>1</v>
      </c>
      <c r="BO121">
        <f t="shared" ca="1" si="36"/>
        <v>1</v>
      </c>
      <c r="BP121">
        <f t="shared" ca="1" si="37"/>
        <v>1</v>
      </c>
      <c r="BQ121">
        <f t="shared" ca="1" si="38"/>
        <v>1</v>
      </c>
    </row>
    <row r="122" spans="1:69" s="4" customFormat="1" x14ac:dyDescent="0.2">
      <c r="A122" t="str">
        <f>Sheet3!A106</f>
        <v>[[76,5,15]]</v>
      </c>
      <c r="B122" s="4">
        <v>76</v>
      </c>
      <c r="C122" cm="1">
        <f t="array" aca="1" ref="C122" ca="1">OFFSET(INDIRECT("Sheet"&amp;K$2&amp;"!d1"),$G122-1,)</f>
        <v>15</v>
      </c>
      <c r="D122" cm="1">
        <f t="array" aca="1" ref="D122" ca="1">OFFSET(INDIRECT("Sheet"&amp;L$2&amp;"!d1"),$G122-1,)</f>
        <v>15</v>
      </c>
      <c r="E122" s="4">
        <v>5</v>
      </c>
      <c r="F122" s="4">
        <v>15</v>
      </c>
      <c r="G122">
        <f t="shared" si="39"/>
        <v>106</v>
      </c>
      <c r="H122" cm="1">
        <f t="array" aca="1" ref="H122" ca="1">OFFSET(INDIRECT("Sheet"&amp;E$2&amp;"!d1"),$G122-1,)</f>
        <v>0</v>
      </c>
      <c r="I122" cm="1">
        <f t="array" aca="1" ref="I122" ca="1">OFFSET(INDIRECT("Sheet"&amp;F$2&amp;"!d1"),$G122-1,)</f>
        <v>0</v>
      </c>
      <c r="J122" cm="1">
        <f t="array" aca="1" ref="J122" ca="1">OFFSET(INDIRECT("Sheet"&amp;G$2&amp;"!d1"),$G122-1,)</f>
        <v>0</v>
      </c>
      <c r="K122" cm="1">
        <f t="array" aca="1" ref="K122" ca="1">OFFSET(INDIRECT("Sheet"&amp;H$2&amp;"!d1"),$G122-1,)</f>
        <v>0</v>
      </c>
      <c r="L122" cm="1">
        <f t="array" aca="1" ref="L122" ca="1">OFFSET(INDIRECT("Sheet"&amp;I$2&amp;"!d1"),$G122-1,)</f>
        <v>0</v>
      </c>
      <c r="M122" cm="1">
        <f t="array" aca="1" ref="M122" ca="1">OFFSET(INDIRECT("Sheet"&amp;J$2&amp;"!d1"),$G122-1,)</f>
        <v>15</v>
      </c>
      <c r="N122" cm="1">
        <f t="array" aca="1" ref="N122" ca="1">OFFSET(INDIRECT("Sheet"&amp;M$2&amp;"!d1"),$G122-1,)</f>
        <v>15</v>
      </c>
      <c r="O122" cm="1">
        <f t="array" aca="1" ref="O122" ca="1">OFFSET(INDIRECT("Sheet"&amp;C$2&amp;"!d1"),$G122-1,)</f>
        <v>0</v>
      </c>
      <c r="P122" cm="1">
        <f t="array" aca="1" ref="P122" ca="1">OFFSET(INDIRECT("Sheet"&amp;D$2&amp;"!d1"),$G122-1,)</f>
        <v>0</v>
      </c>
      <c r="Q122" cm="1">
        <f t="array" aca="1" ref="Q122" ca="1">OFFSET(INDIRECT("Sheet"&amp;N$2&amp;"!d1"),$G122-1,)</f>
        <v>15</v>
      </c>
      <c r="R122" cm="1">
        <f t="array" aca="1" ref="R122" ca="1">OFFSET(INDIRECT("Sheet"&amp;O$2&amp;"!d1"),$G122-1,)</f>
        <v>15</v>
      </c>
      <c r="S122" cm="1">
        <f t="array" aca="1" ref="S122" ca="1">OFFSET(INDIRECT("Sheet"&amp;P$2&amp;"!d1"),$G122-1,)</f>
        <v>15</v>
      </c>
      <c r="T122" cm="1">
        <f t="array" aca="1" ref="T122" ca="1">OFFSET(INDIRECT("Sheet"&amp;Q$2&amp;"!d1"),$G122-1,)</f>
        <v>15</v>
      </c>
      <c r="U122" cm="1">
        <f t="array" aca="1" ref="U122" ca="1">OFFSET(INDIRECT("Sheet"&amp;R$2&amp;"!d1"),$G122-1,)</f>
        <v>15</v>
      </c>
      <c r="V122" cm="1">
        <f t="array" aca="1" ref="V122" ca="1">OFFSET(INDIRECT("Sheet"&amp;S$2&amp;"!d1"),$G122-1,)</f>
        <v>15</v>
      </c>
      <c r="W122" cm="1">
        <f t="array" aca="1" ref="W122" ca="1">OFFSET(INDIRECT("Sheet"&amp;T$2&amp;"!d1"),$G122-1,)</f>
        <v>15</v>
      </c>
      <c r="X122" cm="1">
        <f t="array" aca="1" ref="X122" ca="1">OFFSET(INDIRECT("Sheet"&amp;U$2&amp;"!d1"),$G122-1,)</f>
        <v>15</v>
      </c>
      <c r="Y122" cm="1">
        <f t="array" aca="1" ref="Y122" ca="1">OFFSET(INDIRECT("Sheet"&amp;V$2&amp;"!d1"),$G122-1,)</f>
        <v>15</v>
      </c>
      <c r="Z122"/>
      <c r="AB122" s="3" cm="1">
        <f t="array" aca="1" ref="AB122" ca="1">OFFSET(INDIRECT("Sheet"&amp;E$2&amp;"!f1"),$G122-1,)</f>
        <v>0</v>
      </c>
      <c r="AC122" s="3" cm="1">
        <f t="array" aca="1" ref="AC122" ca="1">OFFSET(INDIRECT("Sheet"&amp;F$2&amp;"!f1"),$G122-1,)</f>
        <v>0</v>
      </c>
      <c r="AD122" s="3" cm="1">
        <f t="array" aca="1" ref="AD122" ca="1">OFFSET(INDIRECT("Sheet"&amp;G$2&amp;"!f1"),$G122-1,)</f>
        <v>0</v>
      </c>
      <c r="AE122" s="3" cm="1">
        <f t="array" aca="1" ref="AE122" ca="1">OFFSET(INDIRECT("Sheet"&amp;H$2&amp;"!f1"),$G122-1,)</f>
        <v>28800.118407809099</v>
      </c>
      <c r="AF122" s="3" cm="1">
        <f t="array" aca="1" ref="AF122" ca="1">OFFSET(INDIRECT("Sheet"&amp;I$2&amp;"!f1"),$G122-1,)</f>
        <v>28802.610276475501</v>
      </c>
      <c r="AG122" s="3" cm="1">
        <f t="array" aca="1" ref="AG122" ca="1">OFFSET(INDIRECT("Sheet"&amp;J$2&amp;"!f1"),$G122-1,)</f>
        <v>1.4913540575653299</v>
      </c>
      <c r="AH122" s="3" cm="1">
        <f t="array" aca="1" ref="AH122" ca="1">OFFSET(INDIRECT("Sheet"&amp;K$2&amp;"!f1"),$G122-1,)</f>
        <v>1.31794531799999</v>
      </c>
      <c r="AI122" s="3" cm="1">
        <f t="array" aca="1" ref="AI122" ca="1">OFFSET(INDIRECT("Sheet"&amp;L$2&amp;"!f1"),$G122-1,)</f>
        <v>1.32557772699999</v>
      </c>
      <c r="AJ122" s="3" cm="1">
        <f t="array" aca="1" ref="AJ122" ca="1">OFFSET(INDIRECT("Sheet"&amp;M$2&amp;"!f1"),$G122-1,)</f>
        <v>1.9589783912524501</v>
      </c>
      <c r="AK122" s="3" cm="1">
        <f t="array" aca="1" ref="AK122" ca="1">OFFSET(INDIRECT("Sheet"&amp;C$2&amp;"!f1"),$G122-1,)</f>
        <v>0</v>
      </c>
      <c r="AL122" s="3" cm="1">
        <f t="array" aca="1" ref="AL122" ca="1">OFFSET(INDIRECT("Sheet"&amp;D$2&amp;"!f1"),$G122-1,)</f>
        <v>0</v>
      </c>
      <c r="AM122" s="3" cm="1">
        <f t="array" aca="1" ref="AM122" ca="1">OFFSET(INDIRECT("Sheet"&amp;N$2&amp;"!f1"),$G122-1,)</f>
        <v>8.9273696746677107</v>
      </c>
      <c r="AN122" s="3" cm="1">
        <f t="array" aca="1" ref="AN122" ca="1">OFFSET(INDIRECT("Sheet"&amp;O$2&amp;"!f1"),$G122-1,)</f>
        <v>18.513954075053299</v>
      </c>
      <c r="AO122" s="3" cm="1">
        <f t="array" aca="1" ref="AO122" ca="1">OFFSET(INDIRECT("Sheet"&amp;P$2&amp;"!f1"),$G122-1,)</f>
        <v>24.7152986954897</v>
      </c>
      <c r="AP122" s="3" cm="1">
        <f t="array" aca="1" ref="AP122" ca="1">OFFSET(INDIRECT("Sheet"&amp;Q$2&amp;"!f1"),$G122-1,)</f>
        <v>6.1548779672011698</v>
      </c>
      <c r="AQ122" s="3" cm="1">
        <f t="array" aca="1" ref="AQ122" ca="1">OFFSET(INDIRECT("Sheet"&amp;R$2&amp;"!f1"),$G122-1,)</f>
        <v>8.7182479677721805</v>
      </c>
      <c r="AR122" s="3" cm="1">
        <f t="array" aca="1" ref="AR122" ca="1">OFFSET(INDIRECT("Sheet"&amp;S$2&amp;"!f1"),$G122-1,)</f>
        <v>17.6788370190188</v>
      </c>
      <c r="AS122" s="3" cm="1">
        <f t="array" aca="1" ref="AS122" ca="1">OFFSET(INDIRECT("Sheet"&amp;T$2&amp;"!f1"),$G122-1,)</f>
        <v>18.146578744053802</v>
      </c>
      <c r="AT122" s="3" cm="1">
        <f t="array" aca="1" ref="AT122" ca="1">OFFSET(INDIRECT("Sheet"&amp;U$2&amp;"!f1"),$G122-1,)</f>
        <v>20.997655670158501</v>
      </c>
      <c r="AU122" s="3" cm="1">
        <f t="array" aca="1" ref="AU122" ca="1">OFFSET(INDIRECT("Sheet"&amp;V$2&amp;"!f1"),$G122-1,)</f>
        <v>24.657427999190901</v>
      </c>
      <c r="AV122" s="3"/>
      <c r="AX122">
        <f ca="1">IF(H122=$F122,1,0)</f>
        <v>0</v>
      </c>
      <c r="AY122">
        <f ca="1">IF(I122=$F122,1,0)</f>
        <v>0</v>
      </c>
      <c r="AZ122">
        <f ca="1">IF(J122=$F122,1,0)</f>
        <v>0</v>
      </c>
      <c r="BA122">
        <f ca="1">IF(K122=$F122,1,0)</f>
        <v>0</v>
      </c>
      <c r="BB122">
        <f ca="1">IF(L122=$F122,1,0)</f>
        <v>0</v>
      </c>
      <c r="BC122">
        <f ca="1">IF(M122=$F122,1,0)</f>
        <v>1</v>
      </c>
      <c r="BD122">
        <f ca="1">IF(C122=$F122,1,0)</f>
        <v>1</v>
      </c>
      <c r="BE122">
        <f ca="1">IF(D122=$F122,1,0)</f>
        <v>1</v>
      </c>
      <c r="BF122">
        <f t="shared" ca="1" si="29"/>
        <v>1</v>
      </c>
      <c r="BG122">
        <f t="shared" ca="1" si="30"/>
        <v>0</v>
      </c>
      <c r="BH122">
        <f t="shared" ca="1" si="31"/>
        <v>0</v>
      </c>
      <c r="BI122">
        <f t="shared" ca="1" si="32"/>
        <v>1</v>
      </c>
      <c r="BJ122">
        <f t="shared" ca="1" si="33"/>
        <v>1</v>
      </c>
      <c r="BK122">
        <f t="shared" ca="1" si="33"/>
        <v>1</v>
      </c>
      <c r="BL122">
        <f t="shared" ca="1" si="33"/>
        <v>1</v>
      </c>
      <c r="BM122">
        <f t="shared" ca="1" si="34"/>
        <v>1</v>
      </c>
      <c r="BN122">
        <f t="shared" ca="1" si="35"/>
        <v>1</v>
      </c>
      <c r="BO122">
        <f t="shared" ca="1" si="36"/>
        <v>1</v>
      </c>
      <c r="BP122">
        <f t="shared" ca="1" si="37"/>
        <v>1</v>
      </c>
      <c r="BQ122">
        <f t="shared" ca="1" si="38"/>
        <v>1</v>
      </c>
    </row>
    <row r="123" spans="1:69" s="4" customFormat="1" x14ac:dyDescent="0.2">
      <c r="A123" t="str">
        <f>Sheet3!A107</f>
        <v>[[77,5,15]]</v>
      </c>
      <c r="B123" s="4">
        <v>77</v>
      </c>
      <c r="C123" cm="1">
        <f t="array" aca="1" ref="C123" ca="1">OFFSET(INDIRECT("Sheet"&amp;K$2&amp;"!d1"),$G123-1,)</f>
        <v>15</v>
      </c>
      <c r="D123" cm="1">
        <f t="array" aca="1" ref="D123" ca="1">OFFSET(INDIRECT("Sheet"&amp;L$2&amp;"!d1"),$G123-1,)</f>
        <v>16</v>
      </c>
      <c r="E123" s="4">
        <v>5</v>
      </c>
      <c r="F123" s="4">
        <v>15</v>
      </c>
      <c r="G123">
        <f t="shared" si="39"/>
        <v>107</v>
      </c>
      <c r="H123" cm="1">
        <f t="array" aca="1" ref="H123" ca="1">OFFSET(INDIRECT("Sheet"&amp;E$2&amp;"!d1"),$G123-1,)</f>
        <v>0</v>
      </c>
      <c r="I123" cm="1">
        <f t="array" aca="1" ref="I123" ca="1">OFFSET(INDIRECT("Sheet"&amp;F$2&amp;"!d1"),$G123-1,)</f>
        <v>0</v>
      </c>
      <c r="J123" cm="1">
        <f t="array" aca="1" ref="J123" ca="1">OFFSET(INDIRECT("Sheet"&amp;G$2&amp;"!d1"),$G123-1,)</f>
        <v>0</v>
      </c>
      <c r="K123" cm="1">
        <f t="array" aca="1" ref="K123" ca="1">OFFSET(INDIRECT("Sheet"&amp;H$2&amp;"!d1"),$G123-1,)</f>
        <v>0</v>
      </c>
      <c r="L123" cm="1">
        <f t="array" aca="1" ref="L123" ca="1">OFFSET(INDIRECT("Sheet"&amp;I$2&amp;"!d1"),$G123-1,)</f>
        <v>0</v>
      </c>
      <c r="M123" cm="1">
        <f t="array" aca="1" ref="M123" ca="1">OFFSET(INDIRECT("Sheet"&amp;J$2&amp;"!d1"),$G123-1,)</f>
        <v>16</v>
      </c>
      <c r="N123" cm="1">
        <f t="array" aca="1" ref="N123" ca="1">OFFSET(INDIRECT("Sheet"&amp;M$2&amp;"!d1"),$G123-1,)</f>
        <v>15</v>
      </c>
      <c r="O123" cm="1">
        <f t="array" aca="1" ref="O123" ca="1">OFFSET(INDIRECT("Sheet"&amp;C$2&amp;"!d1"),$G123-1,)</f>
        <v>0</v>
      </c>
      <c r="P123" cm="1">
        <f t="array" aca="1" ref="P123" ca="1">OFFSET(INDIRECT("Sheet"&amp;D$2&amp;"!d1"),$G123-1,)</f>
        <v>0</v>
      </c>
      <c r="Q123" cm="1">
        <f t="array" aca="1" ref="Q123" ca="1">OFFSET(INDIRECT("Sheet"&amp;N$2&amp;"!d1"),$G123-1,)</f>
        <v>15</v>
      </c>
      <c r="R123" cm="1">
        <f t="array" aca="1" ref="R123" ca="1">OFFSET(INDIRECT("Sheet"&amp;O$2&amp;"!d1"),$G123-1,)</f>
        <v>17</v>
      </c>
      <c r="S123" cm="1">
        <f t="array" aca="1" ref="S123" ca="1">OFFSET(INDIRECT("Sheet"&amp;P$2&amp;"!d1"),$G123-1,)</f>
        <v>16</v>
      </c>
      <c r="T123" cm="1">
        <f t="array" aca="1" ref="T123" ca="1">OFFSET(INDIRECT("Sheet"&amp;Q$2&amp;"!d1"),$G123-1,)</f>
        <v>16</v>
      </c>
      <c r="U123" cm="1">
        <f t="array" aca="1" ref="U123" ca="1">OFFSET(INDIRECT("Sheet"&amp;R$2&amp;"!d1"),$G123-1,)</f>
        <v>15</v>
      </c>
      <c r="V123" cm="1">
        <f t="array" aca="1" ref="V123" ca="1">OFFSET(INDIRECT("Sheet"&amp;S$2&amp;"!d1"),$G123-1,)</f>
        <v>15</v>
      </c>
      <c r="W123" cm="1">
        <f t="array" aca="1" ref="W123" ca="1">OFFSET(INDIRECT("Sheet"&amp;T$2&amp;"!d1"),$G123-1,)</f>
        <v>16</v>
      </c>
      <c r="X123" cm="1">
        <f t="array" aca="1" ref="X123" ca="1">OFFSET(INDIRECT("Sheet"&amp;U$2&amp;"!d1"),$G123-1,)</f>
        <v>15</v>
      </c>
      <c r="Y123" cm="1">
        <f t="array" aca="1" ref="Y123" ca="1">OFFSET(INDIRECT("Sheet"&amp;V$2&amp;"!d1"),$G123-1,)</f>
        <v>15</v>
      </c>
      <c r="Z123"/>
      <c r="AB123" s="3" cm="1">
        <f t="array" aca="1" ref="AB123" ca="1">OFFSET(INDIRECT("Sheet"&amp;E$2&amp;"!f1"),$G123-1,)</f>
        <v>0</v>
      </c>
      <c r="AC123" s="3" cm="1">
        <f t="array" aca="1" ref="AC123" ca="1">OFFSET(INDIRECT("Sheet"&amp;F$2&amp;"!f1"),$G123-1,)</f>
        <v>0</v>
      </c>
      <c r="AD123" s="3" cm="1">
        <f t="array" aca="1" ref="AD123" ca="1">OFFSET(INDIRECT("Sheet"&amp;G$2&amp;"!f1"),$G123-1,)</f>
        <v>0</v>
      </c>
      <c r="AE123" s="3" cm="1">
        <f t="array" aca="1" ref="AE123" ca="1">OFFSET(INDIRECT("Sheet"&amp;H$2&amp;"!f1"),$G123-1,)</f>
        <v>28800.126798768499</v>
      </c>
      <c r="AF123" s="3" cm="1">
        <f t="array" aca="1" ref="AF123" ca="1">OFFSET(INDIRECT("Sheet"&amp;I$2&amp;"!f1"),$G123-1,)</f>
        <v>28800.117202214798</v>
      </c>
      <c r="AG123" s="3" cm="1">
        <f t="array" aca="1" ref="AG123" ca="1">OFFSET(INDIRECT("Sheet"&amp;J$2&amp;"!f1"),$G123-1,)</f>
        <v>1.5363754685968101</v>
      </c>
      <c r="AH123" s="3" cm="1">
        <f t="array" aca="1" ref="AH123" ca="1">OFFSET(INDIRECT("Sheet"&amp;K$2&amp;"!f1"),$G123-1,)</f>
        <v>1.35219800999999</v>
      </c>
      <c r="AI123" s="3" cm="1">
        <f t="array" aca="1" ref="AI123" ca="1">OFFSET(INDIRECT("Sheet"&amp;L$2&amp;"!f1"),$G123-1,)</f>
        <v>1.3611741799999999</v>
      </c>
      <c r="AJ123" s="3" cm="1">
        <f t="array" aca="1" ref="AJ123" ca="1">OFFSET(INDIRECT("Sheet"&amp;M$2&amp;"!f1"),$G123-1,)</f>
        <v>2.0180333536118198</v>
      </c>
      <c r="AK123" s="3" cm="1">
        <f t="array" aca="1" ref="AK123" ca="1">OFFSET(INDIRECT("Sheet"&amp;C$2&amp;"!f1"),$G123-1,)</f>
        <v>0</v>
      </c>
      <c r="AL123" s="3" cm="1">
        <f t="array" aca="1" ref="AL123" ca="1">OFFSET(INDIRECT("Sheet"&amp;D$2&amp;"!f1"),$G123-1,)</f>
        <v>0</v>
      </c>
      <c r="AM123" s="3" cm="1">
        <f t="array" aca="1" ref="AM123" ca="1">OFFSET(INDIRECT("Sheet"&amp;N$2&amp;"!f1"),$G123-1,)</f>
        <v>9.4270199453458101</v>
      </c>
      <c r="AN123" s="3" cm="1">
        <f t="array" aca="1" ref="AN123" ca="1">OFFSET(INDIRECT("Sheet"&amp;O$2&amp;"!f1"),$G123-1,)</f>
        <v>19.495131014846201</v>
      </c>
      <c r="AO123" s="3" cm="1">
        <f t="array" aca="1" ref="AO123" ca="1">OFFSET(INDIRECT("Sheet"&amp;P$2&amp;"!f1"),$G123-1,)</f>
        <v>26.596491491422</v>
      </c>
      <c r="AP123" s="3" cm="1">
        <f t="array" aca="1" ref="AP123" ca="1">OFFSET(INDIRECT("Sheet"&amp;Q$2&amp;"!f1"),$G123-1,)</f>
        <v>6.2624734034761698</v>
      </c>
      <c r="AQ123" s="3" cm="1">
        <f t="array" aca="1" ref="AQ123" ca="1">OFFSET(INDIRECT("Sheet"&amp;R$2&amp;"!f1"),$G123-1,)</f>
        <v>9.1978165898472</v>
      </c>
      <c r="AR123" s="3" cm="1">
        <f t="array" aca="1" ref="AR123" ca="1">OFFSET(INDIRECT("Sheet"&amp;S$2&amp;"!f1"),$G123-1,)</f>
        <v>17.980916859581999</v>
      </c>
      <c r="AS123" s="3" cm="1">
        <f t="array" aca="1" ref="AS123" ca="1">OFFSET(INDIRECT("Sheet"&amp;T$2&amp;"!f1"),$G123-1,)</f>
        <v>19.326948122121301</v>
      </c>
      <c r="AT123" s="3" cm="1">
        <f t="array" aca="1" ref="AT123" ca="1">OFFSET(INDIRECT("Sheet"&amp;U$2&amp;"!f1"),$G123-1,)</f>
        <v>21.8328742310404</v>
      </c>
      <c r="AU123" s="3" cm="1">
        <f t="array" aca="1" ref="AU123" ca="1">OFFSET(INDIRECT("Sheet"&amp;V$2&amp;"!f1"),$G123-1,)</f>
        <v>26.012229790911</v>
      </c>
      <c r="AV123" s="3"/>
      <c r="AX123">
        <f ca="1">IF(H123=$F123,1,0)</f>
        <v>0</v>
      </c>
      <c r="AY123">
        <f ca="1">IF(I123=$F123,1,0)</f>
        <v>0</v>
      </c>
      <c r="AZ123">
        <f ca="1">IF(J123=$F123,1,0)</f>
        <v>0</v>
      </c>
      <c r="BA123">
        <f ca="1">IF(K123=$F123,1,0)</f>
        <v>0</v>
      </c>
      <c r="BB123">
        <f ca="1">IF(L123=$F123,1,0)</f>
        <v>0</v>
      </c>
      <c r="BC123">
        <f ca="1">IF(M123=$F123,1,0)</f>
        <v>0</v>
      </c>
      <c r="BD123">
        <f ca="1">IF(C123=$F123,1,0)</f>
        <v>1</v>
      </c>
      <c r="BE123">
        <f ca="1">IF(D123=$F123,1,0)</f>
        <v>0</v>
      </c>
      <c r="BF123">
        <f t="shared" ca="1" si="29"/>
        <v>1</v>
      </c>
      <c r="BG123">
        <f t="shared" ca="1" si="30"/>
        <v>0</v>
      </c>
      <c r="BH123">
        <f t="shared" ca="1" si="31"/>
        <v>0</v>
      </c>
      <c r="BI123">
        <f t="shared" ca="1" si="32"/>
        <v>1</v>
      </c>
      <c r="BJ123">
        <f t="shared" ca="1" si="33"/>
        <v>0</v>
      </c>
      <c r="BK123">
        <f t="shared" ca="1" si="33"/>
        <v>0</v>
      </c>
      <c r="BL123">
        <f t="shared" ca="1" si="33"/>
        <v>0</v>
      </c>
      <c r="BM123">
        <f t="shared" ca="1" si="34"/>
        <v>1</v>
      </c>
      <c r="BN123">
        <f t="shared" ca="1" si="35"/>
        <v>1</v>
      </c>
      <c r="BO123">
        <f t="shared" ca="1" si="36"/>
        <v>0</v>
      </c>
      <c r="BP123">
        <f t="shared" ca="1" si="37"/>
        <v>1</v>
      </c>
      <c r="BQ123">
        <f t="shared" ca="1" si="38"/>
        <v>1</v>
      </c>
    </row>
    <row r="124" spans="1:69" s="4" customFormat="1" x14ac:dyDescent="0.2">
      <c r="A124" t="str">
        <f>Sheet3!A108</f>
        <v>[[78,15,12]]</v>
      </c>
      <c r="B124" s="4">
        <v>78</v>
      </c>
      <c r="C124" cm="1">
        <f t="array" aca="1" ref="C124" ca="1">OFFSET(INDIRECT("Sheet"&amp;K$2&amp;"!d1"),$G124-1,)</f>
        <v>13</v>
      </c>
      <c r="D124" cm="1">
        <f t="array" aca="1" ref="D124" ca="1">OFFSET(INDIRECT("Sheet"&amp;L$2&amp;"!d1"),$G124-1,)</f>
        <v>13</v>
      </c>
      <c r="E124" s="4">
        <v>15</v>
      </c>
      <c r="F124" s="4">
        <v>13</v>
      </c>
      <c r="G124">
        <f t="shared" si="39"/>
        <v>108</v>
      </c>
      <c r="H124" cm="1">
        <f t="array" aca="1" ref="H124" ca="1">OFFSET(INDIRECT("Sheet"&amp;E$2&amp;"!d1"),$G124-1,)</f>
        <v>0</v>
      </c>
      <c r="I124" cm="1">
        <f t="array" aca="1" ref="I124" ca="1">OFFSET(INDIRECT("Sheet"&amp;F$2&amp;"!d1"),$G124-1,)</f>
        <v>0</v>
      </c>
      <c r="J124" cm="1">
        <f t="array" aca="1" ref="J124" ca="1">OFFSET(INDIRECT("Sheet"&amp;G$2&amp;"!d1"),$G124-1,)</f>
        <v>0</v>
      </c>
      <c r="K124" cm="1">
        <f t="array" aca="1" ref="K124" ca="1">OFFSET(INDIRECT("Sheet"&amp;H$2&amp;"!d1"),$G124-1,)</f>
        <v>0</v>
      </c>
      <c r="L124" cm="1">
        <f t="array" aca="1" ref="L124" ca="1">OFFSET(INDIRECT("Sheet"&amp;I$2&amp;"!d1"),$G124-1,)</f>
        <v>0</v>
      </c>
      <c r="M124" cm="1">
        <f t="array" aca="1" ref="M124" ca="1">OFFSET(INDIRECT("Sheet"&amp;J$2&amp;"!d1"),$G124-1,)</f>
        <v>13</v>
      </c>
      <c r="N124" cm="1">
        <f t="array" aca="1" ref="N124" ca="1">OFFSET(INDIRECT("Sheet"&amp;M$2&amp;"!d1"),$G124-1,)</f>
        <v>13</v>
      </c>
      <c r="O124" cm="1">
        <f t="array" aca="1" ref="O124" ca="1">OFFSET(INDIRECT("Sheet"&amp;C$2&amp;"!d1"),$G124-1,)</f>
        <v>0</v>
      </c>
      <c r="P124" cm="1">
        <f t="array" aca="1" ref="P124" ca="1">OFFSET(INDIRECT("Sheet"&amp;D$2&amp;"!d1"),$G124-1,)</f>
        <v>0</v>
      </c>
      <c r="Q124" cm="1">
        <f t="array" aca="1" ref="Q124" ca="1">OFFSET(INDIRECT("Sheet"&amp;N$2&amp;"!d1"),$G124-1,)</f>
        <v>13</v>
      </c>
      <c r="R124" cm="1">
        <f t="array" aca="1" ref="R124" ca="1">OFFSET(INDIRECT("Sheet"&amp;O$2&amp;"!d1"),$G124-1,)</f>
        <v>13</v>
      </c>
      <c r="S124" cm="1">
        <f t="array" aca="1" ref="S124" ca="1">OFFSET(INDIRECT("Sheet"&amp;P$2&amp;"!d1"),$G124-1,)</f>
        <v>13</v>
      </c>
      <c r="T124" cm="1">
        <f t="array" aca="1" ref="T124" ca="1">OFFSET(INDIRECT("Sheet"&amp;Q$2&amp;"!d1"),$G124-1,)</f>
        <v>13</v>
      </c>
      <c r="U124" cm="1">
        <f t="array" aca="1" ref="U124" ca="1">OFFSET(INDIRECT("Sheet"&amp;R$2&amp;"!d1"),$G124-1,)</f>
        <v>13</v>
      </c>
      <c r="V124" cm="1">
        <f t="array" aca="1" ref="V124" ca="1">OFFSET(INDIRECT("Sheet"&amp;S$2&amp;"!d1"),$G124-1,)</f>
        <v>13</v>
      </c>
      <c r="W124" cm="1">
        <f t="array" aca="1" ref="W124" ca="1">OFFSET(INDIRECT("Sheet"&amp;T$2&amp;"!d1"),$G124-1,)</f>
        <v>13</v>
      </c>
      <c r="X124" cm="1">
        <f t="array" aca="1" ref="X124" ca="1">OFFSET(INDIRECT("Sheet"&amp;U$2&amp;"!d1"),$G124-1,)</f>
        <v>13</v>
      </c>
      <c r="Y124" cm="1">
        <f t="array" aca="1" ref="Y124" ca="1">OFFSET(INDIRECT("Sheet"&amp;V$2&amp;"!d1"),$G124-1,)</f>
        <v>13</v>
      </c>
      <c r="Z124"/>
      <c r="AB124" s="3" cm="1">
        <f t="array" aca="1" ref="AB124" ca="1">OFFSET(INDIRECT("Sheet"&amp;E$2&amp;"!f1"),$G124-1,)</f>
        <v>0</v>
      </c>
      <c r="AC124" s="3" cm="1">
        <f t="array" aca="1" ref="AC124" ca="1">OFFSET(INDIRECT("Sheet"&amp;F$2&amp;"!f1"),$G124-1,)</f>
        <v>0</v>
      </c>
      <c r="AD124" s="3" cm="1">
        <f t="array" aca="1" ref="AD124" ca="1">OFFSET(INDIRECT("Sheet"&amp;G$2&amp;"!f1"),$G124-1,)</f>
        <v>0</v>
      </c>
      <c r="AE124" s="3" cm="1">
        <f t="array" aca="1" ref="AE124" ca="1">OFFSET(INDIRECT("Sheet"&amp;H$2&amp;"!f1"),$G124-1,)</f>
        <v>28800.202232940999</v>
      </c>
      <c r="AF124" s="3" cm="1">
        <f t="array" aca="1" ref="AF124" ca="1">OFFSET(INDIRECT("Sheet"&amp;I$2&amp;"!f1"),$G124-1,)</f>
        <v>28800.115794129601</v>
      </c>
      <c r="AG124" s="3" cm="1">
        <f t="array" aca="1" ref="AG124" ca="1">OFFSET(INDIRECT("Sheet"&amp;J$2&amp;"!f1"),$G124-1,)</f>
        <v>1.4008418098091999</v>
      </c>
      <c r="AH124" s="3" cm="1">
        <f t="array" aca="1" ref="AH124" ca="1">OFFSET(INDIRECT("Sheet"&amp;K$2&amp;"!f1"),$G124-1,)</f>
        <v>1.2410993210000001</v>
      </c>
      <c r="AI124" s="3" cm="1">
        <f t="array" aca="1" ref="AI124" ca="1">OFFSET(INDIRECT("Sheet"&amp;L$2&amp;"!f1"),$G124-1,)</f>
        <v>1.2357605789999799</v>
      </c>
      <c r="AJ124" s="3" cm="1">
        <f t="array" aca="1" ref="AJ124" ca="1">OFFSET(INDIRECT("Sheet"&amp;M$2&amp;"!f1"),$G124-1,)</f>
        <v>2.1054917341098101</v>
      </c>
      <c r="AK124" s="3" cm="1">
        <f t="array" aca="1" ref="AK124" ca="1">OFFSET(INDIRECT("Sheet"&amp;C$2&amp;"!f1"),$G124-1,)</f>
        <v>0</v>
      </c>
      <c r="AL124" s="3" cm="1">
        <f t="array" aca="1" ref="AL124" ca="1">OFFSET(INDIRECT("Sheet"&amp;D$2&amp;"!f1"),$G124-1,)</f>
        <v>0</v>
      </c>
      <c r="AM124" s="3" cm="1">
        <f t="array" aca="1" ref="AM124" ca="1">OFFSET(INDIRECT("Sheet"&amp;N$2&amp;"!f1"),$G124-1,)</f>
        <v>13.4458870766684</v>
      </c>
      <c r="AN124" s="3" cm="1">
        <f t="array" aca="1" ref="AN124" ca="1">OFFSET(INDIRECT("Sheet"&amp;O$2&amp;"!f1"),$G124-1,)</f>
        <v>25.454804955981601</v>
      </c>
      <c r="AO124" s="3" cm="1">
        <f t="array" aca="1" ref="AO124" ca="1">OFFSET(INDIRECT("Sheet"&amp;P$2&amp;"!f1"),$G124-1,)</f>
        <v>42.857684666290801</v>
      </c>
      <c r="AP124" s="3" cm="1">
        <f t="array" aca="1" ref="AP124" ca="1">OFFSET(INDIRECT("Sheet"&amp;Q$2&amp;"!f1"),$G124-1,)</f>
        <v>9.4647333184257096</v>
      </c>
      <c r="AQ124" s="3" cm="1">
        <f t="array" aca="1" ref="AQ124" ca="1">OFFSET(INDIRECT("Sheet"&amp;R$2&amp;"!f1"),$G124-1,)</f>
        <v>13.238942460156901</v>
      </c>
      <c r="AR124" s="3" cm="1">
        <f t="array" aca="1" ref="AR124" ca="1">OFFSET(INDIRECT("Sheet"&amp;S$2&amp;"!f1"),$G124-1,)</f>
        <v>22.1253963569179</v>
      </c>
      <c r="AS124" s="3" cm="1">
        <f t="array" aca="1" ref="AS124" ca="1">OFFSET(INDIRECT("Sheet"&amp;T$2&amp;"!f1"),$G124-1,)</f>
        <v>24.642048579640601</v>
      </c>
      <c r="AT124" s="3" cm="1">
        <f t="array" aca="1" ref="AT124" ca="1">OFFSET(INDIRECT("Sheet"&amp;U$2&amp;"!f1"),$G124-1,)</f>
        <v>34.703345055691898</v>
      </c>
      <c r="AU124" s="3" cm="1">
        <f t="array" aca="1" ref="AU124" ca="1">OFFSET(INDIRECT("Sheet"&amp;V$2&amp;"!f1"),$G124-1,)</f>
        <v>41.246828782372098</v>
      </c>
      <c r="AV124" s="3"/>
      <c r="AX124">
        <f ca="1">IF(H124=$F124,1,0)</f>
        <v>0</v>
      </c>
      <c r="AY124">
        <f ca="1">IF(I124=$F124,1,0)</f>
        <v>0</v>
      </c>
      <c r="AZ124">
        <f ca="1">IF(J124=$F124,1,0)</f>
        <v>0</v>
      </c>
      <c r="BA124">
        <f ca="1">IF(K124=$F124,1,0)</f>
        <v>0</v>
      </c>
      <c r="BB124">
        <f ca="1">IF(L124=$F124,1,0)</f>
        <v>0</v>
      </c>
      <c r="BC124">
        <f ca="1">IF(M124=$F124,1,0)</f>
        <v>1</v>
      </c>
      <c r="BD124">
        <f ca="1">IF(C124=$F124,1,0)</f>
        <v>1</v>
      </c>
      <c r="BE124">
        <f ca="1">IF(D124=$F124,1,0)</f>
        <v>1</v>
      </c>
      <c r="BF124">
        <f t="shared" ca="1" si="29"/>
        <v>1</v>
      </c>
      <c r="BG124">
        <f t="shared" ca="1" si="30"/>
        <v>0</v>
      </c>
      <c r="BH124">
        <f t="shared" ca="1" si="31"/>
        <v>0</v>
      </c>
      <c r="BI124">
        <f t="shared" ca="1" si="32"/>
        <v>1</v>
      </c>
      <c r="BJ124">
        <f t="shared" ca="1" si="33"/>
        <v>1</v>
      </c>
      <c r="BK124">
        <f t="shared" ca="1" si="33"/>
        <v>1</v>
      </c>
      <c r="BL124">
        <f t="shared" ca="1" si="33"/>
        <v>1</v>
      </c>
      <c r="BM124">
        <f t="shared" ca="1" si="34"/>
        <v>1</v>
      </c>
      <c r="BN124">
        <f t="shared" ca="1" si="35"/>
        <v>1</v>
      </c>
      <c r="BO124">
        <f t="shared" ca="1" si="36"/>
        <v>1</v>
      </c>
      <c r="BP124">
        <f t="shared" ca="1" si="37"/>
        <v>1</v>
      </c>
      <c r="BQ124">
        <f t="shared" ca="1" si="38"/>
        <v>1</v>
      </c>
    </row>
    <row r="125" spans="1:69" s="4" customFormat="1" x14ac:dyDescent="0.2">
      <c r="A125" t="str">
        <f>Sheet3!A109</f>
        <v>[[79,14,13]]</v>
      </c>
      <c r="B125" s="4">
        <v>79</v>
      </c>
      <c r="C125" cm="1">
        <f t="array" aca="1" ref="C125" ca="1">OFFSET(INDIRECT("Sheet"&amp;K$2&amp;"!d1"),$G125-1,)</f>
        <v>14</v>
      </c>
      <c r="D125" cm="1">
        <f t="array" aca="1" ref="D125" ca="1">OFFSET(INDIRECT("Sheet"&amp;L$2&amp;"!d1"),$G125-1,)</f>
        <v>14</v>
      </c>
      <c r="E125" s="4">
        <v>14</v>
      </c>
      <c r="F125" s="4">
        <v>13</v>
      </c>
      <c r="G125">
        <f t="shared" si="39"/>
        <v>109</v>
      </c>
      <c r="H125" cm="1">
        <f t="array" aca="1" ref="H125" ca="1">OFFSET(INDIRECT("Sheet"&amp;E$2&amp;"!d1"),$G125-1,)</f>
        <v>0</v>
      </c>
      <c r="I125" cm="1">
        <f t="array" aca="1" ref="I125" ca="1">OFFSET(INDIRECT("Sheet"&amp;F$2&amp;"!d1"),$G125-1,)</f>
        <v>0</v>
      </c>
      <c r="J125" cm="1">
        <f t="array" aca="1" ref="J125" ca="1">OFFSET(INDIRECT("Sheet"&amp;G$2&amp;"!d1"),$G125-1,)</f>
        <v>0</v>
      </c>
      <c r="K125" cm="1">
        <f t="array" aca="1" ref="K125" ca="1">OFFSET(INDIRECT("Sheet"&amp;H$2&amp;"!d1"),$G125-1,)</f>
        <v>0</v>
      </c>
      <c r="L125" cm="1">
        <f t="array" aca="1" ref="L125" ca="1">OFFSET(INDIRECT("Sheet"&amp;I$2&amp;"!d1"),$G125-1,)</f>
        <v>0</v>
      </c>
      <c r="M125" cm="1">
        <f t="array" aca="1" ref="M125" ca="1">OFFSET(INDIRECT("Sheet"&amp;J$2&amp;"!d1"),$G125-1,)</f>
        <v>14</v>
      </c>
      <c r="N125" cm="1">
        <f t="array" aca="1" ref="N125" ca="1">OFFSET(INDIRECT("Sheet"&amp;M$2&amp;"!d1"),$G125-1,)</f>
        <v>14</v>
      </c>
      <c r="O125" cm="1">
        <f t="array" aca="1" ref="O125" ca="1">OFFSET(INDIRECT("Sheet"&amp;C$2&amp;"!d1"),$G125-1,)</f>
        <v>0</v>
      </c>
      <c r="P125" cm="1">
        <f t="array" aca="1" ref="P125" ca="1">OFFSET(INDIRECT("Sheet"&amp;D$2&amp;"!d1"),$G125-1,)</f>
        <v>0</v>
      </c>
      <c r="Q125" cm="1">
        <f t="array" aca="1" ref="Q125" ca="1">OFFSET(INDIRECT("Sheet"&amp;N$2&amp;"!d1"),$G125-1,)</f>
        <v>14</v>
      </c>
      <c r="R125" cm="1">
        <f t="array" aca="1" ref="R125" ca="1">OFFSET(INDIRECT("Sheet"&amp;O$2&amp;"!d1"),$G125-1,)</f>
        <v>14</v>
      </c>
      <c r="S125" cm="1">
        <f t="array" aca="1" ref="S125" ca="1">OFFSET(INDIRECT("Sheet"&amp;P$2&amp;"!d1"),$G125-1,)</f>
        <v>14</v>
      </c>
      <c r="T125" cm="1">
        <f t="array" aca="1" ref="T125" ca="1">OFFSET(INDIRECT("Sheet"&amp;Q$2&amp;"!d1"),$G125-1,)</f>
        <v>14</v>
      </c>
      <c r="U125" cm="1">
        <f t="array" aca="1" ref="U125" ca="1">OFFSET(INDIRECT("Sheet"&amp;R$2&amp;"!d1"),$G125-1,)</f>
        <v>14</v>
      </c>
      <c r="V125" cm="1">
        <f t="array" aca="1" ref="V125" ca="1">OFFSET(INDIRECT("Sheet"&amp;S$2&amp;"!d1"),$G125-1,)</f>
        <v>14</v>
      </c>
      <c r="W125" cm="1">
        <f t="array" aca="1" ref="W125" ca="1">OFFSET(INDIRECT("Sheet"&amp;T$2&amp;"!d1"),$G125-1,)</f>
        <v>13</v>
      </c>
      <c r="X125" cm="1">
        <f t="array" aca="1" ref="X125" ca="1">OFFSET(INDIRECT("Sheet"&amp;U$2&amp;"!d1"),$G125-1,)</f>
        <v>14</v>
      </c>
      <c r="Y125" cm="1">
        <f t="array" aca="1" ref="Y125" ca="1">OFFSET(INDIRECT("Sheet"&amp;V$2&amp;"!d1"),$G125-1,)</f>
        <v>13</v>
      </c>
      <c r="Z125"/>
      <c r="AB125" s="3" cm="1">
        <f t="array" aca="1" ref="AB125" ca="1">OFFSET(INDIRECT("Sheet"&amp;E$2&amp;"!f1"),$G125-1,)</f>
        <v>0</v>
      </c>
      <c r="AC125" s="3" cm="1">
        <f t="array" aca="1" ref="AC125" ca="1">OFFSET(INDIRECT("Sheet"&amp;F$2&amp;"!f1"),$G125-1,)</f>
        <v>0</v>
      </c>
      <c r="AD125" s="3" cm="1">
        <f t="array" aca="1" ref="AD125" ca="1">OFFSET(INDIRECT("Sheet"&amp;G$2&amp;"!f1"),$G125-1,)</f>
        <v>0</v>
      </c>
      <c r="AE125" s="3" cm="1">
        <f t="array" aca="1" ref="AE125" ca="1">OFFSET(INDIRECT("Sheet"&amp;H$2&amp;"!f1"),$G125-1,)</f>
        <v>28800.118655142302</v>
      </c>
      <c r="AF125" s="3" cm="1">
        <f t="array" aca="1" ref="AF125" ca="1">OFFSET(INDIRECT("Sheet"&amp;I$2&amp;"!f1"),$G125-1,)</f>
        <v>28800.1192585676</v>
      </c>
      <c r="AG125" s="3" cm="1">
        <f t="array" aca="1" ref="AG125" ca="1">OFFSET(INDIRECT("Sheet"&amp;J$2&amp;"!f1"),$G125-1,)</f>
        <v>1.4598740348592401</v>
      </c>
      <c r="AH125" s="3" cm="1">
        <f t="array" aca="1" ref="AH125" ca="1">OFFSET(INDIRECT("Sheet"&amp;K$2&amp;"!f1"),$G125-1,)</f>
        <v>1.28774683399998</v>
      </c>
      <c r="AI125" s="3" cm="1">
        <f t="array" aca="1" ref="AI125" ca="1">OFFSET(INDIRECT("Sheet"&amp;L$2&amp;"!f1"),$G125-1,)</f>
        <v>1.2930167480000101</v>
      </c>
      <c r="AJ125" s="3" cm="1">
        <f t="array" aca="1" ref="AJ125" ca="1">OFFSET(INDIRECT("Sheet"&amp;M$2&amp;"!f1"),$G125-1,)</f>
        <v>2.1676240088418099</v>
      </c>
      <c r="AK125" s="3" cm="1">
        <f t="array" aca="1" ref="AK125" ca="1">OFFSET(INDIRECT("Sheet"&amp;C$2&amp;"!f1"),$G125-1,)</f>
        <v>0</v>
      </c>
      <c r="AL125" s="3" cm="1">
        <f t="array" aca="1" ref="AL125" ca="1">OFFSET(INDIRECT("Sheet"&amp;D$2&amp;"!f1"),$G125-1,)</f>
        <v>0</v>
      </c>
      <c r="AM125" s="3" cm="1">
        <f t="array" aca="1" ref="AM125" ca="1">OFFSET(INDIRECT("Sheet"&amp;N$2&amp;"!f1"),$G125-1,)</f>
        <v>13.339175256900401</v>
      </c>
      <c r="AN125" s="3" cm="1">
        <f t="array" aca="1" ref="AN125" ca="1">OFFSET(INDIRECT("Sheet"&amp;O$2&amp;"!f1"),$G125-1,)</f>
        <v>25.244411230087199</v>
      </c>
      <c r="AO125" s="3" cm="1">
        <f t="array" aca="1" ref="AO125" ca="1">OFFSET(INDIRECT("Sheet"&amp;P$2&amp;"!f1"),$G125-1,)</f>
        <v>42.108270839787998</v>
      </c>
      <c r="AP125" s="3" cm="1">
        <f t="array" aca="1" ref="AP125" ca="1">OFFSET(INDIRECT("Sheet"&amp;Q$2&amp;"!f1"),$G125-1,)</f>
        <v>9.3706066571175999</v>
      </c>
      <c r="AQ125" s="3" cm="1">
        <f t="array" aca="1" ref="AQ125" ca="1">OFFSET(INDIRECT("Sheet"&amp;R$2&amp;"!f1"),$G125-1,)</f>
        <v>13.051982580684101</v>
      </c>
      <c r="AR125" s="3" cm="1">
        <f t="array" aca="1" ref="AR125" ca="1">OFFSET(INDIRECT("Sheet"&amp;S$2&amp;"!f1"),$G125-1,)</f>
        <v>22.2454480482265</v>
      </c>
      <c r="AS125" s="3" cm="1">
        <f t="array" aca="1" ref="AS125" ca="1">OFFSET(INDIRECT("Sheet"&amp;T$2&amp;"!f1"),$G125-1,)</f>
        <v>24.139244901016301</v>
      </c>
      <c r="AT125" s="3" cm="1">
        <f t="array" aca="1" ref="AT125" ca="1">OFFSET(INDIRECT("Sheet"&amp;U$2&amp;"!f1"),$G125-1,)</f>
        <v>35.313773978501501</v>
      </c>
      <c r="AU125" s="3" cm="1">
        <f t="array" aca="1" ref="AU125" ca="1">OFFSET(INDIRECT("Sheet"&amp;V$2&amp;"!f1"),$G125-1,)</f>
        <v>40.659893549047403</v>
      </c>
      <c r="AV125" s="3"/>
      <c r="AX125">
        <f ca="1">IF(H125=$F125,1,0)</f>
        <v>0</v>
      </c>
      <c r="AY125">
        <f ca="1">IF(I125=$F125,1,0)</f>
        <v>0</v>
      </c>
      <c r="AZ125">
        <f ca="1">IF(J125=$F125,1,0)</f>
        <v>0</v>
      </c>
      <c r="BA125">
        <f ca="1">IF(K125=$F125,1,0)</f>
        <v>0</v>
      </c>
      <c r="BB125">
        <f ca="1">IF(L125=$F125,1,0)</f>
        <v>0</v>
      </c>
      <c r="BC125">
        <f ca="1">IF(M125=$F125,1,0)</f>
        <v>0</v>
      </c>
      <c r="BD125">
        <f ca="1">IF(C125=$F125,1,0)</f>
        <v>0</v>
      </c>
      <c r="BE125">
        <f ca="1">IF(D125=$F125,1,0)</f>
        <v>0</v>
      </c>
      <c r="BF125">
        <f t="shared" ca="1" si="29"/>
        <v>0</v>
      </c>
      <c r="BG125">
        <f t="shared" ca="1" si="30"/>
        <v>0</v>
      </c>
      <c r="BH125">
        <f t="shared" ca="1" si="31"/>
        <v>0</v>
      </c>
      <c r="BI125">
        <f t="shared" ca="1" si="32"/>
        <v>0</v>
      </c>
      <c r="BJ125">
        <f t="shared" ca="1" si="33"/>
        <v>0</v>
      </c>
      <c r="BK125">
        <f t="shared" ca="1" si="33"/>
        <v>0</v>
      </c>
      <c r="BL125">
        <f t="shared" ca="1" si="33"/>
        <v>0</v>
      </c>
      <c r="BM125">
        <f t="shared" ca="1" si="34"/>
        <v>0</v>
      </c>
      <c r="BN125">
        <f t="shared" ca="1" si="35"/>
        <v>0</v>
      </c>
      <c r="BO125">
        <f t="shared" ca="1" si="36"/>
        <v>1</v>
      </c>
      <c r="BP125">
        <f t="shared" ca="1" si="37"/>
        <v>0</v>
      </c>
      <c r="BQ125">
        <f t="shared" ca="1" si="38"/>
        <v>1</v>
      </c>
    </row>
    <row r="126" spans="1:69" s="4" customFormat="1" x14ac:dyDescent="0.2">
      <c r="A126" t="str">
        <f>Sheet3!A110</f>
        <v>[[80,7,15]]</v>
      </c>
      <c r="B126" s="4">
        <v>80</v>
      </c>
      <c r="C126" cm="1">
        <f t="array" aca="1" ref="C126" ca="1">OFFSET(INDIRECT("Sheet"&amp;K$2&amp;"!d1"),$G126-1,)</f>
        <v>16</v>
      </c>
      <c r="D126" cm="1">
        <f t="array" aca="1" ref="D126" ca="1">OFFSET(INDIRECT("Sheet"&amp;L$2&amp;"!d1"),$G126-1,)</f>
        <v>17</v>
      </c>
      <c r="E126" s="4">
        <v>7</v>
      </c>
      <c r="F126" s="4">
        <v>15</v>
      </c>
      <c r="G126">
        <f t="shared" si="39"/>
        <v>110</v>
      </c>
      <c r="H126" cm="1">
        <f t="array" aca="1" ref="H126" ca="1">OFFSET(INDIRECT("Sheet"&amp;E$2&amp;"!d1"),$G126-1,)</f>
        <v>0</v>
      </c>
      <c r="I126" cm="1">
        <f t="array" aca="1" ref="I126" ca="1">OFFSET(INDIRECT("Sheet"&amp;F$2&amp;"!d1"),$G126-1,)</f>
        <v>0</v>
      </c>
      <c r="J126" cm="1">
        <f t="array" aca="1" ref="J126" ca="1">OFFSET(INDIRECT("Sheet"&amp;G$2&amp;"!d1"),$G126-1,)</f>
        <v>0</v>
      </c>
      <c r="K126" cm="1">
        <f t="array" aca="1" ref="K126" ca="1">OFFSET(INDIRECT("Sheet"&amp;H$2&amp;"!d1"),$G126-1,)</f>
        <v>0</v>
      </c>
      <c r="L126" cm="1">
        <f t="array" aca="1" ref="L126" ca="1">OFFSET(INDIRECT("Sheet"&amp;I$2&amp;"!d1"),$G126-1,)</f>
        <v>0</v>
      </c>
      <c r="M126" cm="1">
        <f t="array" aca="1" ref="M126" ca="1">OFFSET(INDIRECT("Sheet"&amp;J$2&amp;"!d1"),$G126-1,)</f>
        <v>17</v>
      </c>
      <c r="N126" cm="1">
        <f t="array" aca="1" ref="N126" ca="1">OFFSET(INDIRECT("Sheet"&amp;M$2&amp;"!d1"),$G126-1,)</f>
        <v>15</v>
      </c>
      <c r="O126" cm="1">
        <f t="array" aca="1" ref="O126" ca="1">OFFSET(INDIRECT("Sheet"&amp;C$2&amp;"!d1"),$G126-1,)</f>
        <v>0</v>
      </c>
      <c r="P126" cm="1">
        <f t="array" aca="1" ref="P126" ca="1">OFFSET(INDIRECT("Sheet"&amp;D$2&amp;"!d1"),$G126-1,)</f>
        <v>0</v>
      </c>
      <c r="Q126" cm="1">
        <f t="array" aca="1" ref="Q126" ca="1">OFFSET(INDIRECT("Sheet"&amp;N$2&amp;"!d1"),$G126-1,)</f>
        <v>16</v>
      </c>
      <c r="R126" cm="1">
        <f t="array" aca="1" ref="R126" ca="1">OFFSET(INDIRECT("Sheet"&amp;O$2&amp;"!d1"),$G126-1,)</f>
        <v>16</v>
      </c>
      <c r="S126" cm="1">
        <f t="array" aca="1" ref="S126" ca="1">OFFSET(INDIRECT("Sheet"&amp;P$2&amp;"!d1"),$G126-1,)</f>
        <v>16</v>
      </c>
      <c r="T126" cm="1">
        <f t="array" aca="1" ref="T126" ca="1">OFFSET(INDIRECT("Sheet"&amp;Q$2&amp;"!d1"),$G126-1,)</f>
        <v>16</v>
      </c>
      <c r="U126" cm="1">
        <f t="array" aca="1" ref="U126" ca="1">OFFSET(INDIRECT("Sheet"&amp;R$2&amp;"!d1"),$G126-1,)</f>
        <v>15</v>
      </c>
      <c r="V126" cm="1">
        <f t="array" aca="1" ref="V126" ca="1">OFFSET(INDIRECT("Sheet"&amp;S$2&amp;"!d1"),$G126-1,)</f>
        <v>15</v>
      </c>
      <c r="W126" cm="1">
        <f t="array" aca="1" ref="W126" ca="1">OFFSET(INDIRECT("Sheet"&amp;T$2&amp;"!d1"),$G126-1,)</f>
        <v>16</v>
      </c>
      <c r="X126" cm="1">
        <f t="array" aca="1" ref="X126" ca="1">OFFSET(INDIRECT("Sheet"&amp;U$2&amp;"!d1"),$G126-1,)</f>
        <v>16</v>
      </c>
      <c r="Y126" cm="1">
        <f t="array" aca="1" ref="Y126" ca="1">OFFSET(INDIRECT("Sheet"&amp;V$2&amp;"!d1"),$G126-1,)</f>
        <v>15</v>
      </c>
      <c r="Z126"/>
      <c r="AB126" s="3" cm="1">
        <f t="array" aca="1" ref="AB126" ca="1">OFFSET(INDIRECT("Sheet"&amp;E$2&amp;"!f1"),$G126-1,)</f>
        <v>0</v>
      </c>
      <c r="AC126" s="3" cm="1">
        <f t="array" aca="1" ref="AC126" ca="1">OFFSET(INDIRECT("Sheet"&amp;F$2&amp;"!f1"),$G126-1,)</f>
        <v>0</v>
      </c>
      <c r="AD126" s="3" cm="1">
        <f t="array" aca="1" ref="AD126" ca="1">OFFSET(INDIRECT("Sheet"&amp;G$2&amp;"!f1"),$G126-1,)</f>
        <v>0</v>
      </c>
      <c r="AE126" s="3" cm="1">
        <f t="array" aca="1" ref="AE126" ca="1">OFFSET(INDIRECT("Sheet"&amp;H$2&amp;"!f1"),$G126-1,)</f>
        <v>28800.181399437599</v>
      </c>
      <c r="AF126" s="3" cm="1">
        <f t="array" aca="1" ref="AF126" ca="1">OFFSET(INDIRECT("Sheet"&amp;I$2&amp;"!f1"),$G126-1,)</f>
        <v>28800.1350456699</v>
      </c>
      <c r="AG126" s="3" cm="1">
        <f t="array" aca="1" ref="AG126" ca="1">OFFSET(INDIRECT("Sheet"&amp;J$2&amp;"!f1"),$G126-1,)</f>
        <v>1.6207057852297999</v>
      </c>
      <c r="AH126" s="3" cm="1">
        <f t="array" aca="1" ref="AH126" ca="1">OFFSET(INDIRECT("Sheet"&amp;K$2&amp;"!f1"),$G126-1,)</f>
        <v>1.42332020999998</v>
      </c>
      <c r="AI126" s="3" cm="1">
        <f t="array" aca="1" ref="AI126" ca="1">OFFSET(INDIRECT("Sheet"&amp;L$2&amp;"!f1"),$G126-1,)</f>
        <v>1.42782391399998</v>
      </c>
      <c r="AJ126" s="3" cm="1">
        <f t="array" aca="1" ref="AJ126" ca="1">OFFSET(INDIRECT("Sheet"&amp;M$2&amp;"!f1"),$G126-1,)</f>
        <v>2.18055375106632</v>
      </c>
      <c r="AK126" s="3" cm="1">
        <f t="array" aca="1" ref="AK126" ca="1">OFFSET(INDIRECT("Sheet"&amp;C$2&amp;"!f1"),$G126-1,)</f>
        <v>0</v>
      </c>
      <c r="AL126" s="3" cm="1">
        <f t="array" aca="1" ref="AL126" ca="1">OFFSET(INDIRECT("Sheet"&amp;D$2&amp;"!f1"),$G126-1,)</f>
        <v>0</v>
      </c>
      <c r="AM126" s="3" cm="1">
        <f t="array" aca="1" ref="AM126" ca="1">OFFSET(INDIRECT("Sheet"&amp;N$2&amp;"!f1"),$G126-1,)</f>
        <v>10.440658563748</v>
      </c>
      <c r="AN126" s="3" cm="1">
        <f t="array" aca="1" ref="AN126" ca="1">OFFSET(INDIRECT("Sheet"&amp;O$2&amp;"!f1"),$G126-1,)</f>
        <v>21.152259719558</v>
      </c>
      <c r="AO126" s="3" cm="1">
        <f t="array" aca="1" ref="AO126" ca="1">OFFSET(INDIRECT("Sheet"&amp;P$2&amp;"!f1"),$G126-1,)</f>
        <v>31.806758120655999</v>
      </c>
      <c r="AP126" s="3" cm="1">
        <f t="array" aca="1" ref="AP126" ca="1">OFFSET(INDIRECT("Sheet"&amp;Q$2&amp;"!f1"),$G126-1,)</f>
        <v>7.0104338806122497</v>
      </c>
      <c r="AQ126" s="3" cm="1">
        <f t="array" aca="1" ref="AQ126" ca="1">OFFSET(INDIRECT("Sheet"&amp;R$2&amp;"!f1"),$G126-1,)</f>
        <v>10.2261428115889</v>
      </c>
      <c r="AR126" s="3" cm="1">
        <f t="array" aca="1" ref="AR126" ca="1">OFFSET(INDIRECT("Sheet"&amp;S$2&amp;"!f1"),$G126-1,)</f>
        <v>19.787804175168201</v>
      </c>
      <c r="AS126" s="3" cm="1">
        <f t="array" aca="1" ref="AS126" ca="1">OFFSET(INDIRECT("Sheet"&amp;T$2&amp;"!f1"),$G126-1,)</f>
        <v>20.354486480355199</v>
      </c>
      <c r="AT126" s="3" cm="1">
        <f t="array" aca="1" ref="AT126" ca="1">OFFSET(INDIRECT("Sheet"&amp;U$2&amp;"!f1"),$G126-1,)</f>
        <v>26.657799357548299</v>
      </c>
      <c r="AU126" s="3" cm="1">
        <f t="array" aca="1" ref="AU126" ca="1">OFFSET(INDIRECT("Sheet"&amp;V$2&amp;"!f1"),$G126-1,)</f>
        <v>29.596858440898298</v>
      </c>
      <c r="AV126" s="3"/>
      <c r="AX126">
        <f ca="1">IF(H126=$F126,1,0)</f>
        <v>0</v>
      </c>
      <c r="AY126">
        <f ca="1">IF(I126=$F126,1,0)</f>
        <v>0</v>
      </c>
      <c r="AZ126">
        <f ca="1">IF(J126=$F126,1,0)</f>
        <v>0</v>
      </c>
      <c r="BA126">
        <f ca="1">IF(K126=$F126,1,0)</f>
        <v>0</v>
      </c>
      <c r="BB126">
        <f ca="1">IF(L126=$F126,1,0)</f>
        <v>0</v>
      </c>
      <c r="BC126">
        <f ca="1">IF(M126=$F126,1,0)</f>
        <v>0</v>
      </c>
      <c r="BD126">
        <f ca="1">IF(C126=$F126,1,0)</f>
        <v>0</v>
      </c>
      <c r="BE126">
        <f ca="1">IF(D126=$F126,1,0)</f>
        <v>0</v>
      </c>
      <c r="BF126">
        <f t="shared" ca="1" si="29"/>
        <v>1</v>
      </c>
      <c r="BG126">
        <f t="shared" ca="1" si="30"/>
        <v>0</v>
      </c>
      <c r="BH126">
        <f t="shared" ca="1" si="31"/>
        <v>0</v>
      </c>
      <c r="BI126">
        <f t="shared" ca="1" si="32"/>
        <v>0</v>
      </c>
      <c r="BJ126">
        <f t="shared" ca="1" si="33"/>
        <v>0</v>
      </c>
      <c r="BK126">
        <f t="shared" ca="1" si="33"/>
        <v>0</v>
      </c>
      <c r="BL126">
        <f t="shared" ca="1" si="33"/>
        <v>0</v>
      </c>
      <c r="BM126">
        <f t="shared" ca="1" si="34"/>
        <v>1</v>
      </c>
      <c r="BN126">
        <f t="shared" ca="1" si="35"/>
        <v>1</v>
      </c>
      <c r="BO126">
        <f t="shared" ca="1" si="36"/>
        <v>0</v>
      </c>
      <c r="BP126">
        <f t="shared" ca="1" si="37"/>
        <v>0</v>
      </c>
      <c r="BQ126">
        <f t="shared" ca="1" si="38"/>
        <v>1</v>
      </c>
    </row>
    <row r="127" spans="1:69" s="4" customFormat="1" x14ac:dyDescent="0.2">
      <c r="A127" t="str">
        <f>Sheet3!A111</f>
        <v>[[81,11,15]]</v>
      </c>
      <c r="B127" s="4">
        <v>81</v>
      </c>
      <c r="C127" cm="1">
        <f t="array" aca="1" ref="C127" ca="1">OFFSET(INDIRECT("Sheet"&amp;K$2&amp;"!d1"),$G127-1,)</f>
        <v>16</v>
      </c>
      <c r="D127" cm="1">
        <f t="array" aca="1" ref="D127" ca="1">OFFSET(INDIRECT("Sheet"&amp;L$2&amp;"!d1"),$G127-1,)</f>
        <v>15</v>
      </c>
      <c r="E127" s="4">
        <v>11</v>
      </c>
      <c r="F127" s="4">
        <v>15</v>
      </c>
      <c r="G127">
        <f t="shared" si="39"/>
        <v>111</v>
      </c>
      <c r="H127" cm="1">
        <f t="array" aca="1" ref="H127" ca="1">OFFSET(INDIRECT("Sheet"&amp;E$2&amp;"!d1"),$G127-1,)</f>
        <v>0</v>
      </c>
      <c r="I127" cm="1">
        <f t="array" aca="1" ref="I127" ca="1">OFFSET(INDIRECT("Sheet"&amp;F$2&amp;"!d1"),$G127-1,)</f>
        <v>0</v>
      </c>
      <c r="J127" cm="1">
        <f t="array" aca="1" ref="J127" ca="1">OFFSET(INDIRECT("Sheet"&amp;G$2&amp;"!d1"),$G127-1,)</f>
        <v>0</v>
      </c>
      <c r="K127" cm="1">
        <f t="array" aca="1" ref="K127" ca="1">OFFSET(INDIRECT("Sheet"&amp;H$2&amp;"!d1"),$G127-1,)</f>
        <v>0</v>
      </c>
      <c r="L127" cm="1">
        <f t="array" aca="1" ref="L127" ca="1">OFFSET(INDIRECT("Sheet"&amp;I$2&amp;"!d1"),$G127-1,)</f>
        <v>0</v>
      </c>
      <c r="M127" cm="1">
        <f t="array" aca="1" ref="M127" ca="1">OFFSET(INDIRECT("Sheet"&amp;J$2&amp;"!d1"),$G127-1,)</f>
        <v>15</v>
      </c>
      <c r="N127" cm="1">
        <f t="array" aca="1" ref="N127" ca="1">OFFSET(INDIRECT("Sheet"&amp;M$2&amp;"!d1"),$G127-1,)</f>
        <v>15</v>
      </c>
      <c r="O127" cm="1">
        <f t="array" aca="1" ref="O127" ca="1">OFFSET(INDIRECT("Sheet"&amp;C$2&amp;"!d1"),$G127-1,)</f>
        <v>0</v>
      </c>
      <c r="P127" cm="1">
        <f t="array" aca="1" ref="P127" ca="1">OFFSET(INDIRECT("Sheet"&amp;D$2&amp;"!d1"),$G127-1,)</f>
        <v>0</v>
      </c>
      <c r="Q127" cm="1">
        <f t="array" aca="1" ref="Q127" ca="1">OFFSET(INDIRECT("Sheet"&amp;N$2&amp;"!d1"),$G127-1,)</f>
        <v>15</v>
      </c>
      <c r="R127" cm="1">
        <f t="array" aca="1" ref="R127" ca="1">OFFSET(INDIRECT("Sheet"&amp;O$2&amp;"!d1"),$G127-1,)</f>
        <v>15</v>
      </c>
      <c r="S127" cm="1">
        <f t="array" aca="1" ref="S127" ca="1">OFFSET(INDIRECT("Sheet"&amp;P$2&amp;"!d1"),$G127-1,)</f>
        <v>15</v>
      </c>
      <c r="T127" cm="1">
        <f t="array" aca="1" ref="T127" ca="1">OFFSET(INDIRECT("Sheet"&amp;Q$2&amp;"!d1"),$G127-1,)</f>
        <v>16</v>
      </c>
      <c r="U127" cm="1">
        <f t="array" aca="1" ref="U127" ca="1">OFFSET(INDIRECT("Sheet"&amp;R$2&amp;"!d1"),$G127-1,)</f>
        <v>15</v>
      </c>
      <c r="V127" cm="1">
        <f t="array" aca="1" ref="V127" ca="1">OFFSET(INDIRECT("Sheet"&amp;S$2&amp;"!d1"),$G127-1,)</f>
        <v>15</v>
      </c>
      <c r="W127" cm="1">
        <f t="array" aca="1" ref="W127" ca="1">OFFSET(INDIRECT("Sheet"&amp;T$2&amp;"!d1"),$G127-1,)</f>
        <v>15</v>
      </c>
      <c r="X127" cm="1">
        <f t="array" aca="1" ref="X127" ca="1">OFFSET(INDIRECT("Sheet"&amp;U$2&amp;"!d1"),$G127-1,)</f>
        <v>15</v>
      </c>
      <c r="Y127" cm="1">
        <f t="array" aca="1" ref="Y127" ca="1">OFFSET(INDIRECT("Sheet"&amp;V$2&amp;"!d1"),$G127-1,)</f>
        <v>15</v>
      </c>
      <c r="Z127"/>
      <c r="AB127" s="3" cm="1">
        <f t="array" aca="1" ref="AB127" ca="1">OFFSET(INDIRECT("Sheet"&amp;E$2&amp;"!f1"),$G127-1,)</f>
        <v>0</v>
      </c>
      <c r="AC127" s="3" cm="1">
        <f t="array" aca="1" ref="AC127" ca="1">OFFSET(INDIRECT("Sheet"&amp;F$2&amp;"!f1"),$G127-1,)</f>
        <v>0</v>
      </c>
      <c r="AD127" s="3" cm="1">
        <f t="array" aca="1" ref="AD127" ca="1">OFFSET(INDIRECT("Sheet"&amp;G$2&amp;"!f1"),$G127-1,)</f>
        <v>0</v>
      </c>
      <c r="AE127" s="3" cm="1">
        <f t="array" aca="1" ref="AE127" ca="1">OFFSET(INDIRECT("Sheet"&amp;H$2&amp;"!f1"),$G127-1,)</f>
        <v>0</v>
      </c>
      <c r="AF127" s="3" cm="1">
        <f t="array" aca="1" ref="AF127" ca="1">OFFSET(INDIRECT("Sheet"&amp;I$2&amp;"!f1"),$G127-1,)</f>
        <v>0</v>
      </c>
      <c r="AG127" s="3" cm="1">
        <f t="array" aca="1" ref="AG127" ca="1">OFFSET(INDIRECT("Sheet"&amp;J$2&amp;"!f1"),$G127-1,)</f>
        <v>1.59572577197104</v>
      </c>
      <c r="AH127" s="3" cm="1">
        <f t="array" aca="1" ref="AH127" ca="1">OFFSET(INDIRECT("Sheet"&amp;K$2&amp;"!f1"),$G127-1,)</f>
        <v>1.4114286280000099</v>
      </c>
      <c r="AI127" s="3" cm="1">
        <f t="array" aca="1" ref="AI127" ca="1">OFFSET(INDIRECT("Sheet"&amp;L$2&amp;"!f1"),$G127-1,)</f>
        <v>1.401735277</v>
      </c>
      <c r="AJ127" s="3" cm="1">
        <f t="array" aca="1" ref="AJ127" ca="1">OFFSET(INDIRECT("Sheet"&amp;M$2&amp;"!f1"),$G127-1,)</f>
        <v>2.26406788546592</v>
      </c>
      <c r="AK127" s="3" cm="1">
        <f t="array" aca="1" ref="AK127" ca="1">OFFSET(INDIRECT("Sheet"&amp;C$2&amp;"!f1"),$G127-1,)</f>
        <v>0</v>
      </c>
      <c r="AL127" s="3" cm="1">
        <f t="array" aca="1" ref="AL127" ca="1">OFFSET(INDIRECT("Sheet"&amp;D$2&amp;"!f1"),$G127-1,)</f>
        <v>0</v>
      </c>
      <c r="AM127" s="3" cm="1">
        <f t="array" aca="1" ref="AM127" ca="1">OFFSET(INDIRECT("Sheet"&amp;N$2&amp;"!f1"),$G127-1,)</f>
        <v>12.236565141007301</v>
      </c>
      <c r="AN127" s="3" cm="1">
        <f t="array" aca="1" ref="AN127" ca="1">OFFSET(INDIRECT("Sheet"&amp;O$2&amp;"!f1"),$G127-1,)</f>
        <v>24.540027606300999</v>
      </c>
      <c r="AO127" s="3" cm="1">
        <f t="array" aca="1" ref="AO127" ca="1">OFFSET(INDIRECT("Sheet"&amp;P$2&amp;"!f1"),$G127-1,)</f>
        <v>37.850591651163903</v>
      </c>
      <c r="AP127" s="3" cm="1">
        <f t="array" aca="1" ref="AP127" ca="1">OFFSET(INDIRECT("Sheet"&amp;Q$2&amp;"!f1"),$G127-1,)</f>
        <v>8.6187794441357202</v>
      </c>
      <c r="AQ127" s="3" cm="1">
        <f t="array" aca="1" ref="AQ127" ca="1">OFFSET(INDIRECT("Sheet"&amp;R$2&amp;"!f1"),$G127-1,)</f>
        <v>12.1111822584643</v>
      </c>
      <c r="AR127" s="3" cm="1">
        <f t="array" aca="1" ref="AR127" ca="1">OFFSET(INDIRECT("Sheet"&amp;S$2&amp;"!f1"),$G127-1,)</f>
        <v>22.828905287198701</v>
      </c>
      <c r="AS127" s="3" cm="1">
        <f t="array" aca="1" ref="AS127" ca="1">OFFSET(INDIRECT("Sheet"&amp;T$2&amp;"!f1"),$G127-1,)</f>
        <v>24.069725525565399</v>
      </c>
      <c r="AT127" s="3" cm="1">
        <f t="array" aca="1" ref="AT127" ca="1">OFFSET(INDIRECT("Sheet"&amp;U$2&amp;"!f1"),$G127-1,)</f>
        <v>32.355218168348003</v>
      </c>
      <c r="AU127" s="3" cm="1">
        <f t="array" aca="1" ref="AU127" ca="1">OFFSET(INDIRECT("Sheet"&amp;V$2&amp;"!f1"),$G127-1,)</f>
        <v>35.298054132610503</v>
      </c>
      <c r="AV127" s="3"/>
      <c r="AX127">
        <f ca="1">IF(H127=$F127,1,0)</f>
        <v>0</v>
      </c>
      <c r="AY127">
        <f ca="1">IF(I127=$F127,1,0)</f>
        <v>0</v>
      </c>
      <c r="AZ127">
        <f ca="1">IF(J127=$F127,1,0)</f>
        <v>0</v>
      </c>
      <c r="BA127">
        <f ca="1">IF(K127=$F127,1,0)</f>
        <v>0</v>
      </c>
      <c r="BB127">
        <f ca="1">IF(L127=$F127,1,0)</f>
        <v>0</v>
      </c>
      <c r="BC127">
        <f ca="1">IF(M127=$F127,1,0)</f>
        <v>1</v>
      </c>
      <c r="BD127">
        <f ca="1">IF(C127=$F127,1,0)</f>
        <v>0</v>
      </c>
      <c r="BE127">
        <f ca="1">IF(D127=$F127,1,0)</f>
        <v>1</v>
      </c>
      <c r="BF127">
        <f t="shared" ca="1" si="29"/>
        <v>1</v>
      </c>
      <c r="BG127">
        <f t="shared" ca="1" si="30"/>
        <v>0</v>
      </c>
      <c r="BH127">
        <f t="shared" ca="1" si="31"/>
        <v>0</v>
      </c>
      <c r="BI127">
        <f t="shared" ca="1" si="32"/>
        <v>1</v>
      </c>
      <c r="BJ127">
        <f t="shared" ca="1" si="33"/>
        <v>1</v>
      </c>
      <c r="BK127">
        <f t="shared" ca="1" si="33"/>
        <v>1</v>
      </c>
      <c r="BL127">
        <f t="shared" ca="1" si="33"/>
        <v>0</v>
      </c>
      <c r="BM127">
        <f t="shared" ca="1" si="34"/>
        <v>1</v>
      </c>
      <c r="BN127">
        <f t="shared" ca="1" si="35"/>
        <v>1</v>
      </c>
      <c r="BO127">
        <f t="shared" ca="1" si="36"/>
        <v>1</v>
      </c>
      <c r="BP127">
        <f t="shared" ca="1" si="37"/>
        <v>1</v>
      </c>
      <c r="BQ127">
        <f t="shared" ca="1" si="38"/>
        <v>1</v>
      </c>
    </row>
    <row r="128" spans="1:69" s="4" customFormat="1" x14ac:dyDescent="0.2">
      <c r="A128" t="str">
        <f>Sheet3!A112</f>
        <v>[[82,7,16]]</v>
      </c>
      <c r="B128" s="4">
        <v>82</v>
      </c>
      <c r="C128" cm="1">
        <f t="array" aca="1" ref="C128" ca="1">OFFSET(INDIRECT("Sheet"&amp;K$2&amp;"!d1"),$G128-1,)</f>
        <v>16</v>
      </c>
      <c r="D128" cm="1">
        <f t="array" aca="1" ref="D128" ca="1">OFFSET(INDIRECT("Sheet"&amp;L$2&amp;"!d1"),$G128-1,)</f>
        <v>18</v>
      </c>
      <c r="E128" s="4">
        <v>7</v>
      </c>
      <c r="F128" s="4">
        <v>16</v>
      </c>
      <c r="G128">
        <f t="shared" si="39"/>
        <v>112</v>
      </c>
      <c r="H128" cm="1">
        <f t="array" aca="1" ref="H128" ca="1">OFFSET(INDIRECT("Sheet"&amp;E$2&amp;"!d1"),$G128-1,)</f>
        <v>0</v>
      </c>
      <c r="I128" cm="1">
        <f t="array" aca="1" ref="I128" ca="1">OFFSET(INDIRECT("Sheet"&amp;F$2&amp;"!d1"),$G128-1,)</f>
        <v>0</v>
      </c>
      <c r="J128" cm="1">
        <f t="array" aca="1" ref="J128" ca="1">OFFSET(INDIRECT("Sheet"&amp;G$2&amp;"!d1"),$G128-1,)</f>
        <v>0</v>
      </c>
      <c r="K128" cm="1">
        <f t="array" aca="1" ref="K128" ca="1">OFFSET(INDIRECT("Sheet"&amp;H$2&amp;"!d1"),$G128-1,)</f>
        <v>0</v>
      </c>
      <c r="L128" cm="1">
        <f t="array" aca="1" ref="L128" ca="1">OFFSET(INDIRECT("Sheet"&amp;I$2&amp;"!d1"),$G128-1,)</f>
        <v>0</v>
      </c>
      <c r="M128" cm="1">
        <f t="array" aca="1" ref="M128" ca="1">OFFSET(INDIRECT("Sheet"&amp;J$2&amp;"!d1"),$G128-1,)</f>
        <v>17</v>
      </c>
      <c r="N128" cm="1">
        <f t="array" aca="1" ref="N128" ca="1">OFFSET(INDIRECT("Sheet"&amp;M$2&amp;"!d1"),$G128-1,)</f>
        <v>17</v>
      </c>
      <c r="O128" cm="1">
        <f t="array" aca="1" ref="O128" ca="1">OFFSET(INDIRECT("Sheet"&amp;C$2&amp;"!d1"),$G128-1,)</f>
        <v>0</v>
      </c>
      <c r="P128" cm="1">
        <f t="array" aca="1" ref="P128" ca="1">OFFSET(INDIRECT("Sheet"&amp;D$2&amp;"!d1"),$G128-1,)</f>
        <v>0</v>
      </c>
      <c r="Q128" cm="1">
        <f t="array" aca="1" ref="Q128" ca="1">OFFSET(INDIRECT("Sheet"&amp;N$2&amp;"!d1"),$G128-1,)</f>
        <v>17</v>
      </c>
      <c r="R128" cm="1">
        <f t="array" aca="1" ref="R128" ca="1">OFFSET(INDIRECT("Sheet"&amp;O$2&amp;"!d1"),$G128-1,)</f>
        <v>17</v>
      </c>
      <c r="S128" cm="1">
        <f t="array" aca="1" ref="S128" ca="1">OFFSET(INDIRECT("Sheet"&amp;P$2&amp;"!d1"),$G128-1,)</f>
        <v>16</v>
      </c>
      <c r="T128" cm="1">
        <f t="array" aca="1" ref="T128" ca="1">OFFSET(INDIRECT("Sheet"&amp;Q$2&amp;"!d1"),$G128-1,)</f>
        <v>17</v>
      </c>
      <c r="U128" cm="1">
        <f t="array" aca="1" ref="U128" ca="1">OFFSET(INDIRECT("Sheet"&amp;R$2&amp;"!d1"),$G128-1,)</f>
        <v>16</v>
      </c>
      <c r="V128" cm="1">
        <f t="array" aca="1" ref="V128" ca="1">OFFSET(INDIRECT("Sheet"&amp;S$2&amp;"!d1"),$G128-1,)</f>
        <v>17</v>
      </c>
      <c r="W128" cm="1">
        <f t="array" aca="1" ref="W128" ca="1">OFFSET(INDIRECT("Sheet"&amp;T$2&amp;"!d1"),$G128-1,)</f>
        <v>17</v>
      </c>
      <c r="X128" cm="1">
        <f t="array" aca="1" ref="X128" ca="1">OFFSET(INDIRECT("Sheet"&amp;U$2&amp;"!d1"),$G128-1,)</f>
        <v>18</v>
      </c>
      <c r="Y128" cm="1">
        <f t="array" aca="1" ref="Y128" ca="1">OFFSET(INDIRECT("Sheet"&amp;V$2&amp;"!d1"),$G128-1,)</f>
        <v>17</v>
      </c>
      <c r="Z128"/>
      <c r="AB128" s="3" cm="1">
        <f t="array" aca="1" ref="AB128" ca="1">OFFSET(INDIRECT("Sheet"&amp;E$2&amp;"!f1"),$G128-1,)</f>
        <v>0</v>
      </c>
      <c r="AC128" s="3" cm="1">
        <f t="array" aca="1" ref="AC128" ca="1">OFFSET(INDIRECT("Sheet"&amp;F$2&amp;"!f1"),$G128-1,)</f>
        <v>0</v>
      </c>
      <c r="AD128" s="3" cm="1">
        <f t="array" aca="1" ref="AD128" ca="1">OFFSET(INDIRECT("Sheet"&amp;G$2&amp;"!f1"),$G128-1,)</f>
        <v>0</v>
      </c>
      <c r="AE128" s="3" cm="1">
        <f t="array" aca="1" ref="AE128" ca="1">OFFSET(INDIRECT("Sheet"&amp;H$2&amp;"!f1"),$G128-1,)</f>
        <v>0</v>
      </c>
      <c r="AF128" s="3" cm="1">
        <f t="array" aca="1" ref="AF128" ca="1">OFFSET(INDIRECT("Sheet"&amp;I$2&amp;"!f1"),$G128-1,)</f>
        <v>0</v>
      </c>
      <c r="AG128" s="3" cm="1">
        <f t="array" aca="1" ref="AG128" ca="1">OFFSET(INDIRECT("Sheet"&amp;J$2&amp;"!f1"),$G128-1,)</f>
        <v>1.70681578479707</v>
      </c>
      <c r="AH128" s="3" cm="1">
        <f t="array" aca="1" ref="AH128" ca="1">OFFSET(INDIRECT("Sheet"&amp;K$2&amp;"!f1"),$G128-1,)</f>
        <v>1.49422337199999</v>
      </c>
      <c r="AI128" s="3" cm="1">
        <f t="array" aca="1" ref="AI128" ca="1">OFFSET(INDIRECT("Sheet"&amp;L$2&amp;"!f1"),$G128-1,)</f>
        <v>1.510934512</v>
      </c>
      <c r="AJ128" s="3" cm="1">
        <f t="array" aca="1" ref="AJ128" ca="1">OFFSET(INDIRECT("Sheet"&amp;M$2&amp;"!f1"),$G128-1,)</f>
        <v>2.3003353662788801</v>
      </c>
      <c r="AK128" s="3" cm="1">
        <f t="array" aca="1" ref="AK128" ca="1">OFFSET(INDIRECT("Sheet"&amp;C$2&amp;"!f1"),$G128-1,)</f>
        <v>0</v>
      </c>
      <c r="AL128" s="3" cm="1">
        <f t="array" aca="1" ref="AL128" ca="1">OFFSET(INDIRECT("Sheet"&amp;D$2&amp;"!f1"),$G128-1,)</f>
        <v>0</v>
      </c>
      <c r="AM128" s="3" cm="1">
        <f t="array" aca="1" ref="AM128" ca="1">OFFSET(INDIRECT("Sheet"&amp;N$2&amp;"!f1"),$G128-1,)</f>
        <v>10.7672527022659</v>
      </c>
      <c r="AN128" s="3" cm="1">
        <f t="array" aca="1" ref="AN128" ca="1">OFFSET(INDIRECT("Sheet"&amp;O$2&amp;"!f1"),$G128-1,)</f>
        <v>22.5792798902839</v>
      </c>
      <c r="AO128" s="3" cm="1">
        <f t="array" aca="1" ref="AO128" ca="1">OFFSET(INDIRECT("Sheet"&amp;P$2&amp;"!f1"),$G128-1,)</f>
        <v>32.141234136186497</v>
      </c>
      <c r="AP128" s="3" cm="1">
        <f t="array" aca="1" ref="AP128" ca="1">OFFSET(INDIRECT("Sheet"&amp;Q$2&amp;"!f1"),$G128-1,)</f>
        <v>7.5070033855736202</v>
      </c>
      <c r="AQ128" s="3" cm="1">
        <f t="array" aca="1" ref="AQ128" ca="1">OFFSET(INDIRECT("Sheet"&amp;R$2&amp;"!f1"),$G128-1,)</f>
        <v>10.241529603488701</v>
      </c>
      <c r="AR128" s="3" cm="1">
        <f t="array" aca="1" ref="AR128" ca="1">OFFSET(INDIRECT("Sheet"&amp;S$2&amp;"!f1"),$G128-1,)</f>
        <v>22.2591338604688</v>
      </c>
      <c r="AS128" s="3" cm="1">
        <f t="array" aca="1" ref="AS128" ca="1">OFFSET(INDIRECT("Sheet"&amp;T$2&amp;"!f1"),$G128-1,)</f>
        <v>22.190023413859301</v>
      </c>
      <c r="AT128" s="3" cm="1">
        <f t="array" aca="1" ref="AT128" ca="1">OFFSET(INDIRECT("Sheet"&amp;U$2&amp;"!f1"),$G128-1,)</f>
        <v>28.095771204680201</v>
      </c>
      <c r="AU128" s="3" cm="1">
        <f t="array" aca="1" ref="AU128" ca="1">OFFSET(INDIRECT("Sheet"&amp;V$2&amp;"!f1"),$G128-1,)</f>
        <v>29.213044129311999</v>
      </c>
      <c r="AV128" s="3"/>
      <c r="AX128">
        <f ca="1">IF(H128=$F128,1,0)</f>
        <v>0</v>
      </c>
      <c r="AY128">
        <f ca="1">IF(I128=$F128,1,0)</f>
        <v>0</v>
      </c>
      <c r="AZ128">
        <f ca="1">IF(J128=$F128,1,0)</f>
        <v>0</v>
      </c>
      <c r="BA128">
        <f ca="1">IF(K128=$F128,1,0)</f>
        <v>0</v>
      </c>
      <c r="BB128">
        <f ca="1">IF(L128=$F128,1,0)</f>
        <v>0</v>
      </c>
      <c r="BC128">
        <f ca="1">IF(M128=$F128,1,0)</f>
        <v>0</v>
      </c>
      <c r="BD128">
        <f ca="1">IF(C128=$F128,1,0)</f>
        <v>1</v>
      </c>
      <c r="BE128">
        <f ca="1">IF(D128=$F128,1,0)</f>
        <v>0</v>
      </c>
      <c r="BF128">
        <f t="shared" ca="1" si="29"/>
        <v>0</v>
      </c>
      <c r="BG128">
        <f t="shared" ca="1" si="30"/>
        <v>0</v>
      </c>
      <c r="BH128">
        <f t="shared" ca="1" si="31"/>
        <v>0</v>
      </c>
      <c r="BI128">
        <f t="shared" ca="1" si="32"/>
        <v>0</v>
      </c>
      <c r="BJ128">
        <f t="shared" ca="1" si="33"/>
        <v>0</v>
      </c>
      <c r="BK128">
        <f t="shared" ca="1" si="33"/>
        <v>1</v>
      </c>
      <c r="BL128">
        <f t="shared" ca="1" si="33"/>
        <v>0</v>
      </c>
      <c r="BM128">
        <f t="shared" ca="1" si="34"/>
        <v>1</v>
      </c>
      <c r="BN128">
        <f t="shared" ca="1" si="35"/>
        <v>0</v>
      </c>
      <c r="BO128">
        <f t="shared" ca="1" si="36"/>
        <v>0</v>
      </c>
      <c r="BP128">
        <f t="shared" ca="1" si="37"/>
        <v>0</v>
      </c>
      <c r="BQ128">
        <f t="shared" ca="1" si="38"/>
        <v>0</v>
      </c>
    </row>
    <row r="129" spans="1:69" s="4" customFormat="1" x14ac:dyDescent="0.2">
      <c r="A129" t="str">
        <f>Sheet3!A113</f>
        <v>[[83,13,15]]</v>
      </c>
      <c r="B129" s="4">
        <v>83</v>
      </c>
      <c r="C129" cm="1">
        <f t="array" aca="1" ref="C129" ca="1">OFFSET(INDIRECT("Sheet"&amp;K$2&amp;"!d1"),$G129-1,)</f>
        <v>16</v>
      </c>
      <c r="D129" cm="1">
        <f t="array" aca="1" ref="D129" ca="1">OFFSET(INDIRECT("Sheet"&amp;L$2&amp;"!d1"),$G129-1,)</f>
        <v>15</v>
      </c>
      <c r="E129" s="4">
        <v>13</v>
      </c>
      <c r="F129" s="4">
        <v>15</v>
      </c>
      <c r="G129">
        <f t="shared" si="39"/>
        <v>113</v>
      </c>
      <c r="H129" cm="1">
        <f t="array" aca="1" ref="H129" ca="1">OFFSET(INDIRECT("Sheet"&amp;E$2&amp;"!d1"),$G129-1,)</f>
        <v>0</v>
      </c>
      <c r="I129" cm="1">
        <f t="array" aca="1" ref="I129" ca="1">OFFSET(INDIRECT("Sheet"&amp;F$2&amp;"!d1"),$G129-1,)</f>
        <v>0</v>
      </c>
      <c r="J129" cm="1">
        <f t="array" aca="1" ref="J129" ca="1">OFFSET(INDIRECT("Sheet"&amp;G$2&amp;"!d1"),$G129-1,)</f>
        <v>0</v>
      </c>
      <c r="K129" cm="1">
        <f t="array" aca="1" ref="K129" ca="1">OFFSET(INDIRECT("Sheet"&amp;H$2&amp;"!d1"),$G129-1,)</f>
        <v>0</v>
      </c>
      <c r="L129" cm="1">
        <f t="array" aca="1" ref="L129" ca="1">OFFSET(INDIRECT("Sheet"&amp;I$2&amp;"!d1"),$G129-1,)</f>
        <v>0</v>
      </c>
      <c r="M129" cm="1">
        <f t="array" aca="1" ref="M129" ca="1">OFFSET(INDIRECT("Sheet"&amp;J$2&amp;"!d1"),$G129-1,)</f>
        <v>15</v>
      </c>
      <c r="N129" cm="1">
        <f t="array" aca="1" ref="N129" ca="1">OFFSET(INDIRECT("Sheet"&amp;M$2&amp;"!d1"),$G129-1,)</f>
        <v>15</v>
      </c>
      <c r="O129" cm="1">
        <f t="array" aca="1" ref="O129" ca="1">OFFSET(INDIRECT("Sheet"&amp;C$2&amp;"!d1"),$G129-1,)</f>
        <v>0</v>
      </c>
      <c r="P129" cm="1">
        <f t="array" aca="1" ref="P129" ca="1">OFFSET(INDIRECT("Sheet"&amp;D$2&amp;"!d1"),$G129-1,)</f>
        <v>0</v>
      </c>
      <c r="Q129" cm="1">
        <f t="array" aca="1" ref="Q129" ca="1">OFFSET(INDIRECT("Sheet"&amp;N$2&amp;"!d1"),$G129-1,)</f>
        <v>15</v>
      </c>
      <c r="R129" cm="1">
        <f t="array" aca="1" ref="R129" ca="1">OFFSET(INDIRECT("Sheet"&amp;O$2&amp;"!d1"),$G129-1,)</f>
        <v>15</v>
      </c>
      <c r="S129" cm="1">
        <f t="array" aca="1" ref="S129" ca="1">OFFSET(INDIRECT("Sheet"&amp;P$2&amp;"!d1"),$G129-1,)</f>
        <v>15</v>
      </c>
      <c r="T129" cm="1">
        <f t="array" aca="1" ref="T129" ca="1">OFFSET(INDIRECT("Sheet"&amp;Q$2&amp;"!d1"),$G129-1,)</f>
        <v>15</v>
      </c>
      <c r="U129" cm="1">
        <f t="array" aca="1" ref="U129" ca="1">OFFSET(INDIRECT("Sheet"&amp;R$2&amp;"!d1"),$G129-1,)</f>
        <v>15</v>
      </c>
      <c r="V129" cm="1">
        <f t="array" aca="1" ref="V129" ca="1">OFFSET(INDIRECT("Sheet"&amp;S$2&amp;"!d1"),$G129-1,)</f>
        <v>15</v>
      </c>
      <c r="W129" cm="1">
        <f t="array" aca="1" ref="W129" ca="1">OFFSET(INDIRECT("Sheet"&amp;T$2&amp;"!d1"),$G129-1,)</f>
        <v>15</v>
      </c>
      <c r="X129" cm="1">
        <f t="array" aca="1" ref="X129" ca="1">OFFSET(INDIRECT("Sheet"&amp;U$2&amp;"!d1"),$G129-1,)</f>
        <v>16</v>
      </c>
      <c r="Y129" cm="1">
        <f t="array" aca="1" ref="Y129" ca="1">OFFSET(INDIRECT("Sheet"&amp;V$2&amp;"!d1"),$G129-1,)</f>
        <v>15</v>
      </c>
      <c r="Z129"/>
      <c r="AB129" s="3" cm="1">
        <f t="array" aca="1" ref="AB129" ca="1">OFFSET(INDIRECT("Sheet"&amp;E$2&amp;"!f1"),$G129-1,)</f>
        <v>0</v>
      </c>
      <c r="AC129" s="3" cm="1">
        <f t="array" aca="1" ref="AC129" ca="1">OFFSET(INDIRECT("Sheet"&amp;F$2&amp;"!f1"),$G129-1,)</f>
        <v>0</v>
      </c>
      <c r="AD129" s="3" cm="1">
        <f t="array" aca="1" ref="AD129" ca="1">OFFSET(INDIRECT("Sheet"&amp;G$2&amp;"!f1"),$G129-1,)</f>
        <v>0</v>
      </c>
      <c r="AE129" s="3" cm="1">
        <f t="array" aca="1" ref="AE129" ca="1">OFFSET(INDIRECT("Sheet"&amp;H$2&amp;"!f1"),$G129-1,)</f>
        <v>0</v>
      </c>
      <c r="AF129" s="3" cm="1">
        <f t="array" aca="1" ref="AF129" ca="1">OFFSET(INDIRECT("Sheet"&amp;I$2&amp;"!f1"),$G129-1,)</f>
        <v>0</v>
      </c>
      <c r="AG129" s="3" cm="1">
        <f t="array" aca="1" ref="AG129" ca="1">OFFSET(INDIRECT("Sheet"&amp;J$2&amp;"!f1"),$G129-1,)</f>
        <v>1.6342339906841501</v>
      </c>
      <c r="AH129" s="3" cm="1">
        <f t="array" aca="1" ref="AH129" ca="1">OFFSET(INDIRECT("Sheet"&amp;K$2&amp;"!f1"),$G129-1,)</f>
        <v>1.450661703</v>
      </c>
      <c r="AI129" s="3" cm="1">
        <f t="array" aca="1" ref="AI129" ca="1">OFFSET(INDIRECT("Sheet"&amp;L$2&amp;"!f1"),$G129-1,)</f>
        <v>1.4570716859999999</v>
      </c>
      <c r="AJ129" s="3" cm="1">
        <f t="array" aca="1" ref="AJ129" ca="1">OFFSET(INDIRECT("Sheet"&amp;M$2&amp;"!f1"),$G129-1,)</f>
        <v>2.3748373538255598</v>
      </c>
      <c r="AK129" s="3" cm="1">
        <f t="array" aca="1" ref="AK129" ca="1">OFFSET(INDIRECT("Sheet"&amp;C$2&amp;"!f1"),$G129-1,)</f>
        <v>0</v>
      </c>
      <c r="AL129" s="3" cm="1">
        <f t="array" aca="1" ref="AL129" ca="1">OFFSET(INDIRECT("Sheet"&amp;D$2&amp;"!f1"),$G129-1,)</f>
        <v>0</v>
      </c>
      <c r="AM129" s="3" cm="1">
        <f t="array" aca="1" ref="AM129" ca="1">OFFSET(INDIRECT("Sheet"&amp;N$2&amp;"!f1"),$G129-1,)</f>
        <v>13.6756324926391</v>
      </c>
      <c r="AN129" s="3" cm="1">
        <f t="array" aca="1" ref="AN129" ca="1">OFFSET(INDIRECT("Sheet"&amp;O$2&amp;"!f1"),$G129-1,)</f>
        <v>27.0234212614595</v>
      </c>
      <c r="AO129" s="3" cm="1">
        <f t="array" aca="1" ref="AO129" ca="1">OFFSET(INDIRECT("Sheet"&amp;P$2&amp;"!f1"),$G129-1,)</f>
        <v>44.5126857403665</v>
      </c>
      <c r="AP129" s="3" cm="1">
        <f t="array" aca="1" ref="AP129" ca="1">OFFSET(INDIRECT("Sheet"&amp;Q$2&amp;"!f1"),$G129-1,)</f>
        <v>9.7175440071150607</v>
      </c>
      <c r="AQ129" s="3" cm="1">
        <f t="array" aca="1" ref="AQ129" ca="1">OFFSET(INDIRECT("Sheet"&amp;R$2&amp;"!f1"),$G129-1,)</f>
        <v>12.612147768028001</v>
      </c>
      <c r="AR129" s="3" cm="1">
        <f t="array" aca="1" ref="AR129" ca="1">OFFSET(INDIRECT("Sheet"&amp;S$2&amp;"!f1"),$G129-1,)</f>
        <v>24.959817050956101</v>
      </c>
      <c r="AS129" s="3" cm="1">
        <f t="array" aca="1" ref="AS129" ca="1">OFFSET(INDIRECT("Sheet"&amp;T$2&amp;"!f1"),$G129-1,)</f>
        <v>26.345805533230301</v>
      </c>
      <c r="AT129" s="3" cm="1">
        <f t="array" aca="1" ref="AT129" ca="1">OFFSET(INDIRECT("Sheet"&amp;U$2&amp;"!f1"),$G129-1,)</f>
        <v>37.8148689819499</v>
      </c>
      <c r="AU129" s="3" cm="1">
        <f t="array" aca="1" ref="AU129" ca="1">OFFSET(INDIRECT("Sheet"&amp;V$2&amp;"!f1"),$G129-1,)</f>
        <v>40.8917958121746</v>
      </c>
      <c r="AV129" s="3"/>
      <c r="AX129">
        <f ca="1">IF(H129=$F129,1,0)</f>
        <v>0</v>
      </c>
      <c r="AY129">
        <f ca="1">IF(I129=$F129,1,0)</f>
        <v>0</v>
      </c>
      <c r="AZ129">
        <f ca="1">IF(J129=$F129,1,0)</f>
        <v>0</v>
      </c>
      <c r="BA129">
        <f ca="1">IF(K129=$F129,1,0)</f>
        <v>0</v>
      </c>
      <c r="BB129">
        <f ca="1">IF(L129=$F129,1,0)</f>
        <v>0</v>
      </c>
      <c r="BC129">
        <f ca="1">IF(M129=$F129,1,0)</f>
        <v>1</v>
      </c>
      <c r="BD129">
        <f ca="1">IF(C129=$F129,1,0)</f>
        <v>0</v>
      </c>
      <c r="BE129">
        <f ca="1">IF(D129=$F129,1,0)</f>
        <v>1</v>
      </c>
      <c r="BF129">
        <f t="shared" ca="1" si="29"/>
        <v>1</v>
      </c>
      <c r="BG129">
        <f t="shared" ca="1" si="30"/>
        <v>0</v>
      </c>
      <c r="BH129">
        <f t="shared" ca="1" si="31"/>
        <v>0</v>
      </c>
      <c r="BI129">
        <f t="shared" ca="1" si="32"/>
        <v>1</v>
      </c>
      <c r="BJ129">
        <f t="shared" ref="BJ129:BL144" ca="1" si="40">IF(R129=$F129,1,0)</f>
        <v>1</v>
      </c>
      <c r="BK129">
        <f t="shared" ca="1" si="40"/>
        <v>1</v>
      </c>
      <c r="BL129">
        <f t="shared" ca="1" si="40"/>
        <v>1</v>
      </c>
      <c r="BM129">
        <f t="shared" ca="1" si="34"/>
        <v>1</v>
      </c>
      <c r="BN129">
        <f t="shared" ca="1" si="35"/>
        <v>1</v>
      </c>
      <c r="BO129">
        <f t="shared" ca="1" si="36"/>
        <v>1</v>
      </c>
      <c r="BP129">
        <f t="shared" ca="1" si="37"/>
        <v>0</v>
      </c>
      <c r="BQ129">
        <f t="shared" ca="1" si="38"/>
        <v>1</v>
      </c>
    </row>
    <row r="130" spans="1:69" s="4" customFormat="1" x14ac:dyDescent="0.2">
      <c r="A130" t="str">
        <f>Sheet3!A114</f>
        <v>[[84,4,18]]</v>
      </c>
      <c r="B130" s="4">
        <v>84</v>
      </c>
      <c r="C130" cm="1">
        <f t="array" aca="1" ref="C130" ca="1">OFFSET(INDIRECT("Sheet"&amp;K$2&amp;"!d1"),$G130-1,)</f>
        <v>18</v>
      </c>
      <c r="D130" cm="1">
        <f t="array" aca="1" ref="D130" ca="1">OFFSET(INDIRECT("Sheet"&amp;L$2&amp;"!d1"),$G130-1,)</f>
        <v>18</v>
      </c>
      <c r="E130" s="4">
        <v>4</v>
      </c>
      <c r="F130" s="4">
        <v>18</v>
      </c>
      <c r="G130">
        <f t="shared" si="39"/>
        <v>114</v>
      </c>
      <c r="H130" cm="1">
        <f t="array" aca="1" ref="H130" ca="1">OFFSET(INDIRECT("Sheet"&amp;E$2&amp;"!d1"),$G130-1,)</f>
        <v>0</v>
      </c>
      <c r="I130" cm="1">
        <f t="array" aca="1" ref="I130" ca="1">OFFSET(INDIRECT("Sheet"&amp;F$2&amp;"!d1"),$G130-1,)</f>
        <v>0</v>
      </c>
      <c r="J130" cm="1">
        <f t="array" aca="1" ref="J130" ca="1">OFFSET(INDIRECT("Sheet"&amp;G$2&amp;"!d1"),$G130-1,)</f>
        <v>0</v>
      </c>
      <c r="K130" cm="1">
        <f t="array" aca="1" ref="K130" ca="1">OFFSET(INDIRECT("Sheet"&amp;H$2&amp;"!d1"),$G130-1,)</f>
        <v>0</v>
      </c>
      <c r="L130" cm="1">
        <f t="array" aca="1" ref="L130" ca="1">OFFSET(INDIRECT("Sheet"&amp;I$2&amp;"!d1"),$G130-1,)</f>
        <v>0</v>
      </c>
      <c r="M130" cm="1">
        <f t="array" aca="1" ref="M130" ca="1">OFFSET(INDIRECT("Sheet"&amp;J$2&amp;"!d1"),$G130-1,)</f>
        <v>18</v>
      </c>
      <c r="N130" cm="1">
        <f t="array" aca="1" ref="N130" ca="1">OFFSET(INDIRECT("Sheet"&amp;M$2&amp;"!d1"),$G130-1,)</f>
        <v>18</v>
      </c>
      <c r="O130" cm="1">
        <f t="array" aca="1" ref="O130" ca="1">OFFSET(INDIRECT("Sheet"&amp;C$2&amp;"!d1"),$G130-1,)</f>
        <v>0</v>
      </c>
      <c r="P130" cm="1">
        <f t="array" aca="1" ref="P130" ca="1">OFFSET(INDIRECT("Sheet"&amp;D$2&amp;"!d1"),$G130-1,)</f>
        <v>0</v>
      </c>
      <c r="Q130" cm="1">
        <f t="array" aca="1" ref="Q130" ca="1">OFFSET(INDIRECT("Sheet"&amp;N$2&amp;"!d1"),$G130-1,)</f>
        <v>18</v>
      </c>
      <c r="R130" cm="1">
        <f t="array" aca="1" ref="R130" ca="1">OFFSET(INDIRECT("Sheet"&amp;O$2&amp;"!d1"),$G130-1,)</f>
        <v>18</v>
      </c>
      <c r="S130" cm="1">
        <f t="array" aca="1" ref="S130" ca="1">OFFSET(INDIRECT("Sheet"&amp;P$2&amp;"!d1"),$G130-1,)</f>
        <v>18</v>
      </c>
      <c r="T130" cm="1">
        <f t="array" aca="1" ref="T130" ca="1">OFFSET(INDIRECT("Sheet"&amp;Q$2&amp;"!d1"),$G130-1,)</f>
        <v>18</v>
      </c>
      <c r="U130" cm="1">
        <f t="array" aca="1" ref="U130" ca="1">OFFSET(INDIRECT("Sheet"&amp;R$2&amp;"!d1"),$G130-1,)</f>
        <v>18</v>
      </c>
      <c r="V130" cm="1">
        <f t="array" aca="1" ref="V130" ca="1">OFFSET(INDIRECT("Sheet"&amp;S$2&amp;"!d1"),$G130-1,)</f>
        <v>19</v>
      </c>
      <c r="W130" cm="1">
        <f t="array" aca="1" ref="W130" ca="1">OFFSET(INDIRECT("Sheet"&amp;T$2&amp;"!d1"),$G130-1,)</f>
        <v>18</v>
      </c>
      <c r="X130" cm="1">
        <f t="array" aca="1" ref="X130" ca="1">OFFSET(INDIRECT("Sheet"&amp;U$2&amp;"!d1"),$G130-1,)</f>
        <v>18</v>
      </c>
      <c r="Y130" cm="1">
        <f t="array" aca="1" ref="Y130" ca="1">OFFSET(INDIRECT("Sheet"&amp;V$2&amp;"!d1"),$G130-1,)</f>
        <v>18</v>
      </c>
      <c r="Z130"/>
      <c r="AB130" s="3" cm="1">
        <f t="array" aca="1" ref="AB130" ca="1">OFFSET(INDIRECT("Sheet"&amp;E$2&amp;"!f1"),$G130-1,)</f>
        <v>0</v>
      </c>
      <c r="AC130" s="3" cm="1">
        <f t="array" aca="1" ref="AC130" ca="1">OFFSET(INDIRECT("Sheet"&amp;F$2&amp;"!f1"),$G130-1,)</f>
        <v>0</v>
      </c>
      <c r="AD130" s="3" cm="1">
        <f t="array" aca="1" ref="AD130" ca="1">OFFSET(INDIRECT("Sheet"&amp;G$2&amp;"!f1"),$G130-1,)</f>
        <v>0</v>
      </c>
      <c r="AE130" s="3" cm="1">
        <f t="array" aca="1" ref="AE130" ca="1">OFFSET(INDIRECT("Sheet"&amp;H$2&amp;"!f1"),$G130-1,)</f>
        <v>0</v>
      </c>
      <c r="AF130" s="3" cm="1">
        <f t="array" aca="1" ref="AF130" ca="1">OFFSET(INDIRECT("Sheet"&amp;I$2&amp;"!f1"),$G130-1,)</f>
        <v>0</v>
      </c>
      <c r="AG130" s="3" cm="1">
        <f t="array" aca="1" ref="AG130" ca="1">OFFSET(INDIRECT("Sheet"&amp;J$2&amp;"!f1"),$G130-1,)</f>
        <v>1.79923059884458</v>
      </c>
      <c r="AH130" s="3" cm="1">
        <f t="array" aca="1" ref="AH130" ca="1">OFFSET(INDIRECT("Sheet"&amp;K$2&amp;"!f1"),$G130-1,)</f>
        <v>1.588625121</v>
      </c>
      <c r="AI130" s="3" cm="1">
        <f t="array" aca="1" ref="AI130" ca="1">OFFSET(INDIRECT("Sheet"&amp;L$2&amp;"!f1"),$G130-1,)</f>
        <v>1.5884293439999899</v>
      </c>
      <c r="AJ130" s="3" cm="1">
        <f t="array" aca="1" ref="AJ130" ca="1">OFFSET(INDIRECT("Sheet"&amp;M$2&amp;"!f1"),$G130-1,)</f>
        <v>2.28793570213019</v>
      </c>
      <c r="AK130" s="3" cm="1">
        <f t="array" aca="1" ref="AK130" ca="1">OFFSET(INDIRECT("Sheet"&amp;C$2&amp;"!f1"),$G130-1,)</f>
        <v>0</v>
      </c>
      <c r="AL130" s="3" cm="1">
        <f t="array" aca="1" ref="AL130" ca="1">OFFSET(INDIRECT("Sheet"&amp;D$2&amp;"!f1"),$G130-1,)</f>
        <v>0</v>
      </c>
      <c r="AM130" s="3" cm="1">
        <f t="array" aca="1" ref="AM130" ca="1">OFFSET(INDIRECT("Sheet"&amp;N$2&amp;"!f1"),$G130-1,)</f>
        <v>10.1413590265437</v>
      </c>
      <c r="AN130" s="3" cm="1">
        <f t="array" aca="1" ref="AN130" ca="1">OFFSET(INDIRECT("Sheet"&amp;O$2&amp;"!f1"),$G130-1,)</f>
        <v>21.403771166689602</v>
      </c>
      <c r="AO130" s="3" cm="1">
        <f t="array" aca="1" ref="AO130" ca="1">OFFSET(INDIRECT("Sheet"&amp;P$2&amp;"!f1"),$G130-1,)</f>
        <v>30.146269589662499</v>
      </c>
      <c r="AP130" s="3" cm="1">
        <f t="array" aca="1" ref="AP130" ca="1">OFFSET(INDIRECT("Sheet"&amp;Q$2&amp;"!f1"),$G130-1,)</f>
        <v>6.7500439938157797</v>
      </c>
      <c r="AQ130" s="3" cm="1">
        <f t="array" aca="1" ref="AQ130" ca="1">OFFSET(INDIRECT("Sheet"&amp;R$2&amp;"!f1"),$G130-1,)</f>
        <v>9.2631403058767301</v>
      </c>
      <c r="AR130" s="3" cm="1">
        <f t="array" aca="1" ref="AR130" ca="1">OFFSET(INDIRECT("Sheet"&amp;S$2&amp;"!f1"),$G130-1,)</f>
        <v>21.0982412844896</v>
      </c>
      <c r="AS130" s="3" cm="1">
        <f t="array" aca="1" ref="AS130" ca="1">OFFSET(INDIRECT("Sheet"&amp;T$2&amp;"!f1"),$G130-1,)</f>
        <v>21.608619729056901</v>
      </c>
      <c r="AT130" s="3" cm="1">
        <f t="array" aca="1" ref="AT130" ca="1">OFFSET(INDIRECT("Sheet"&amp;U$2&amp;"!f1"),$G130-1,)</f>
        <v>25.951539632864201</v>
      </c>
      <c r="AU130" s="3" cm="1">
        <f t="array" aca="1" ref="AU130" ca="1">OFFSET(INDIRECT("Sheet"&amp;V$2&amp;"!f1"),$G130-1,)</f>
        <v>27.539630199782501</v>
      </c>
      <c r="AV130" s="3"/>
      <c r="AX130">
        <f ca="1">IF(H130=$F130,1,0)</f>
        <v>0</v>
      </c>
      <c r="AY130">
        <f ca="1">IF(I130=$F130,1,0)</f>
        <v>0</v>
      </c>
      <c r="AZ130">
        <f ca="1">IF(J130=$F130,1,0)</f>
        <v>0</v>
      </c>
      <c r="BA130">
        <f ca="1">IF(K130=$F130,1,0)</f>
        <v>0</v>
      </c>
      <c r="BB130">
        <f ca="1">IF(L130=$F130,1,0)</f>
        <v>0</v>
      </c>
      <c r="BC130">
        <f ca="1">IF(M130=$F130,1,0)</f>
        <v>1</v>
      </c>
      <c r="BD130">
        <f ca="1">IF(C130=$F130,1,0)</f>
        <v>1</v>
      </c>
      <c r="BE130">
        <f ca="1">IF(D130=$F130,1,0)</f>
        <v>1</v>
      </c>
      <c r="BF130">
        <f t="shared" ca="1" si="29"/>
        <v>1</v>
      </c>
      <c r="BG130">
        <f t="shared" ca="1" si="30"/>
        <v>0</v>
      </c>
      <c r="BH130">
        <f t="shared" ca="1" si="31"/>
        <v>0</v>
      </c>
      <c r="BI130">
        <f t="shared" ca="1" si="32"/>
        <v>1</v>
      </c>
      <c r="BJ130">
        <f t="shared" ca="1" si="40"/>
        <v>1</v>
      </c>
      <c r="BK130">
        <f t="shared" ca="1" si="40"/>
        <v>1</v>
      </c>
      <c r="BL130">
        <f t="shared" ca="1" si="40"/>
        <v>1</v>
      </c>
      <c r="BM130">
        <f t="shared" ca="1" si="34"/>
        <v>1</v>
      </c>
      <c r="BN130">
        <f t="shared" ca="1" si="35"/>
        <v>0</v>
      </c>
      <c r="BO130">
        <f t="shared" ca="1" si="36"/>
        <v>1</v>
      </c>
      <c r="BP130">
        <f t="shared" ca="1" si="37"/>
        <v>1</v>
      </c>
      <c r="BQ130">
        <f t="shared" ca="1" si="38"/>
        <v>1</v>
      </c>
    </row>
    <row r="131" spans="1:69" s="4" customFormat="1" x14ac:dyDescent="0.2">
      <c r="A131" t="str">
        <f>Sheet3!A115</f>
        <v>[[85,11,17]]</v>
      </c>
      <c r="B131" s="4">
        <v>85</v>
      </c>
      <c r="C131" cm="1">
        <f t="array" aca="1" ref="C131" ca="1">OFFSET(INDIRECT("Sheet"&amp;K$2&amp;"!d1"),$G131-1,)</f>
        <v>17</v>
      </c>
      <c r="D131" cm="1">
        <f t="array" aca="1" ref="D131" ca="1">OFFSET(INDIRECT("Sheet"&amp;L$2&amp;"!d1"),$G131-1,)</f>
        <v>17</v>
      </c>
      <c r="E131" s="4">
        <v>11</v>
      </c>
      <c r="F131" s="4">
        <v>17</v>
      </c>
      <c r="G131">
        <f t="shared" si="39"/>
        <v>115</v>
      </c>
      <c r="H131" cm="1">
        <f t="array" aca="1" ref="H131" ca="1">OFFSET(INDIRECT("Sheet"&amp;E$2&amp;"!d1"),$G131-1,)</f>
        <v>0</v>
      </c>
      <c r="I131" cm="1">
        <f t="array" aca="1" ref="I131" ca="1">OFFSET(INDIRECT("Sheet"&amp;F$2&amp;"!d1"),$G131-1,)</f>
        <v>0</v>
      </c>
      <c r="J131" cm="1">
        <f t="array" aca="1" ref="J131" ca="1">OFFSET(INDIRECT("Sheet"&amp;G$2&amp;"!d1"),$G131-1,)</f>
        <v>0</v>
      </c>
      <c r="K131" cm="1">
        <f t="array" aca="1" ref="K131" ca="1">OFFSET(INDIRECT("Sheet"&amp;H$2&amp;"!d1"),$G131-1,)</f>
        <v>0</v>
      </c>
      <c r="L131" cm="1">
        <f t="array" aca="1" ref="L131" ca="1">OFFSET(INDIRECT("Sheet"&amp;I$2&amp;"!d1"),$G131-1,)</f>
        <v>0</v>
      </c>
      <c r="M131" cm="1">
        <f t="array" aca="1" ref="M131" ca="1">OFFSET(INDIRECT("Sheet"&amp;J$2&amp;"!d1"),$G131-1,)</f>
        <v>17</v>
      </c>
      <c r="N131" cm="1">
        <f t="array" aca="1" ref="N131" ca="1">OFFSET(INDIRECT("Sheet"&amp;M$2&amp;"!d1"),$G131-1,)</f>
        <v>17</v>
      </c>
      <c r="O131" cm="1">
        <f t="array" aca="1" ref="O131" ca="1">OFFSET(INDIRECT("Sheet"&amp;C$2&amp;"!d1"),$G131-1,)</f>
        <v>0</v>
      </c>
      <c r="P131" cm="1">
        <f t="array" aca="1" ref="P131" ca="1">OFFSET(INDIRECT("Sheet"&amp;D$2&amp;"!d1"),$G131-1,)</f>
        <v>0</v>
      </c>
      <c r="Q131" cm="1">
        <f t="array" aca="1" ref="Q131" ca="1">OFFSET(INDIRECT("Sheet"&amp;N$2&amp;"!d1"),$G131-1,)</f>
        <v>17</v>
      </c>
      <c r="R131" cm="1">
        <f t="array" aca="1" ref="R131" ca="1">OFFSET(INDIRECT("Sheet"&amp;O$2&amp;"!d1"),$G131-1,)</f>
        <v>17</v>
      </c>
      <c r="S131" cm="1">
        <f t="array" aca="1" ref="S131" ca="1">OFFSET(INDIRECT("Sheet"&amp;P$2&amp;"!d1"),$G131-1,)</f>
        <v>17</v>
      </c>
      <c r="T131" cm="1">
        <f t="array" aca="1" ref="T131" ca="1">OFFSET(INDIRECT("Sheet"&amp;Q$2&amp;"!d1"),$G131-1,)</f>
        <v>17</v>
      </c>
      <c r="U131" cm="1">
        <f t="array" aca="1" ref="U131" ca="1">OFFSET(INDIRECT("Sheet"&amp;R$2&amp;"!d1"),$G131-1,)</f>
        <v>17</v>
      </c>
      <c r="V131" cm="1">
        <f t="array" aca="1" ref="V131" ca="1">OFFSET(INDIRECT("Sheet"&amp;S$2&amp;"!d1"),$G131-1,)</f>
        <v>17</v>
      </c>
      <c r="W131" cm="1">
        <f t="array" aca="1" ref="W131" ca="1">OFFSET(INDIRECT("Sheet"&amp;T$2&amp;"!d1"),$G131-1,)</f>
        <v>17</v>
      </c>
      <c r="X131" cm="1">
        <f t="array" aca="1" ref="X131" ca="1">OFFSET(INDIRECT("Sheet"&amp;U$2&amp;"!d1"),$G131-1,)</f>
        <v>17</v>
      </c>
      <c r="Y131" cm="1">
        <f t="array" aca="1" ref="Y131" ca="1">OFFSET(INDIRECT("Sheet"&amp;V$2&amp;"!d1"),$G131-1,)</f>
        <v>17</v>
      </c>
      <c r="Z131"/>
      <c r="AB131" s="3" cm="1">
        <f t="array" aca="1" ref="AB131" ca="1">OFFSET(INDIRECT("Sheet"&amp;E$2&amp;"!f1"),$G131-1,)</f>
        <v>0</v>
      </c>
      <c r="AC131" s="3" cm="1">
        <f t="array" aca="1" ref="AC131" ca="1">OFFSET(INDIRECT("Sheet"&amp;F$2&amp;"!f1"),$G131-1,)</f>
        <v>0</v>
      </c>
      <c r="AD131" s="3" cm="1">
        <f t="array" aca="1" ref="AD131" ca="1">OFFSET(INDIRECT("Sheet"&amp;G$2&amp;"!f1"),$G131-1,)</f>
        <v>0</v>
      </c>
      <c r="AE131" s="3" cm="1">
        <f t="array" aca="1" ref="AE131" ca="1">OFFSET(INDIRECT("Sheet"&amp;H$2&amp;"!f1"),$G131-1,)</f>
        <v>0</v>
      </c>
      <c r="AF131" s="3" cm="1">
        <f t="array" aca="1" ref="AF131" ca="1">OFFSET(INDIRECT("Sheet"&amp;I$2&amp;"!f1"),$G131-1,)</f>
        <v>0</v>
      </c>
      <c r="AG131" s="3" cm="1">
        <f t="array" aca="1" ref="AG131" ca="1">OFFSET(INDIRECT("Sheet"&amp;J$2&amp;"!f1"),$G131-1,)</f>
        <v>1.7711686827242299</v>
      </c>
      <c r="AH131" s="3" cm="1">
        <f t="array" aca="1" ref="AH131" ca="1">OFFSET(INDIRECT("Sheet"&amp;K$2&amp;"!f1"),$G131-1,)</f>
        <v>1.563593075</v>
      </c>
      <c r="AI131" s="3" cm="1">
        <f t="array" aca="1" ref="AI131" ca="1">OFFSET(INDIRECT("Sheet"&amp;L$2&amp;"!f1"),$G131-1,)</f>
        <v>1.5682008329999899</v>
      </c>
      <c r="AJ131" s="3" cm="1">
        <f t="array" aca="1" ref="AJ131" ca="1">OFFSET(INDIRECT("Sheet"&amp;M$2&amp;"!f1"),$G131-1,)</f>
        <v>2.5001926776021701</v>
      </c>
      <c r="AK131" s="3" cm="1">
        <f t="array" aca="1" ref="AK131" ca="1">OFFSET(INDIRECT("Sheet"&amp;C$2&amp;"!f1"),$G131-1,)</f>
        <v>0</v>
      </c>
      <c r="AL131" s="3" cm="1">
        <f t="array" aca="1" ref="AL131" ca="1">OFFSET(INDIRECT("Sheet"&amp;D$2&amp;"!f1"),$G131-1,)</f>
        <v>0</v>
      </c>
      <c r="AM131" s="3" cm="1">
        <f t="array" aca="1" ref="AM131" ca="1">OFFSET(INDIRECT("Sheet"&amp;N$2&amp;"!f1"),$G131-1,)</f>
        <v>13.4448129925876</v>
      </c>
      <c r="AN131" s="3" cm="1">
        <f t="array" aca="1" ref="AN131" ca="1">OFFSET(INDIRECT("Sheet"&amp;O$2&amp;"!f1"),$G131-1,)</f>
        <v>27.245163065381298</v>
      </c>
      <c r="AO131" s="3" cm="1">
        <f t="array" aca="1" ref="AO131" ca="1">OFFSET(INDIRECT("Sheet"&amp;P$2&amp;"!f1"),$G131-1,)</f>
        <v>42.537031131796503</v>
      </c>
      <c r="AP131" s="3" cm="1">
        <f t="array" aca="1" ref="AP131" ca="1">OFFSET(INDIRECT("Sheet"&amp;Q$2&amp;"!f1"),$G131-1,)</f>
        <v>9.6846710052341205</v>
      </c>
      <c r="AQ131" s="3" cm="1">
        <f t="array" aca="1" ref="AQ131" ca="1">OFFSET(INDIRECT("Sheet"&amp;R$2&amp;"!f1"),$G131-1,)</f>
        <v>12.5928249908611</v>
      </c>
      <c r="AR131" s="3" cm="1">
        <f t="array" aca="1" ref="AR131" ca="1">OFFSET(INDIRECT("Sheet"&amp;S$2&amp;"!f1"),$G131-1,)</f>
        <v>25.900360810570401</v>
      </c>
      <c r="AS131" s="3" cm="1">
        <f t="array" aca="1" ref="AS131" ca="1">OFFSET(INDIRECT("Sheet"&amp;T$2&amp;"!f1"),$G131-1,)</f>
        <v>26.582804140634799</v>
      </c>
      <c r="AT131" s="3" cm="1">
        <f t="array" aca="1" ref="AT131" ca="1">OFFSET(INDIRECT("Sheet"&amp;U$2&amp;"!f1"),$G131-1,)</f>
        <v>42.147834393195801</v>
      </c>
      <c r="AU131" s="3" cm="1">
        <f t="array" aca="1" ref="AU131" ca="1">OFFSET(INDIRECT("Sheet"&amp;V$2&amp;"!f1"),$G131-1,)</f>
        <v>39.453668927773798</v>
      </c>
      <c r="AV131" s="3"/>
      <c r="AX131">
        <f ca="1">IF(H131=$F131,1,0)</f>
        <v>0</v>
      </c>
      <c r="AY131">
        <f ca="1">IF(I131=$F131,1,0)</f>
        <v>0</v>
      </c>
      <c r="AZ131">
        <f ca="1">IF(J131=$F131,1,0)</f>
        <v>0</v>
      </c>
      <c r="BA131">
        <f ca="1">IF(K131=$F131,1,0)</f>
        <v>0</v>
      </c>
      <c r="BB131">
        <f ca="1">IF(L131=$F131,1,0)</f>
        <v>0</v>
      </c>
      <c r="BC131">
        <f ca="1">IF(M131=$F131,1,0)</f>
        <v>1</v>
      </c>
      <c r="BD131">
        <f ca="1">IF(C131=$F131,1,0)</f>
        <v>1</v>
      </c>
      <c r="BE131">
        <f ca="1">IF(D131=$F131,1,0)</f>
        <v>1</v>
      </c>
      <c r="BF131">
        <f t="shared" ca="1" si="29"/>
        <v>1</v>
      </c>
      <c r="BG131">
        <f t="shared" ca="1" si="30"/>
        <v>0</v>
      </c>
      <c r="BH131">
        <f t="shared" ca="1" si="31"/>
        <v>0</v>
      </c>
      <c r="BI131">
        <f t="shared" ca="1" si="32"/>
        <v>1</v>
      </c>
      <c r="BJ131">
        <f t="shared" ca="1" si="40"/>
        <v>1</v>
      </c>
      <c r="BK131">
        <f t="shared" ca="1" si="40"/>
        <v>1</v>
      </c>
      <c r="BL131">
        <f t="shared" ca="1" si="40"/>
        <v>1</v>
      </c>
      <c r="BM131">
        <f t="shared" ca="1" si="34"/>
        <v>1</v>
      </c>
      <c r="BN131">
        <f t="shared" ca="1" si="35"/>
        <v>1</v>
      </c>
      <c r="BO131">
        <f t="shared" ca="1" si="36"/>
        <v>1</v>
      </c>
      <c r="BP131">
        <f t="shared" ca="1" si="37"/>
        <v>1</v>
      </c>
      <c r="BQ131">
        <f t="shared" ca="1" si="38"/>
        <v>1</v>
      </c>
    </row>
    <row r="132" spans="1:69" s="4" customFormat="1" x14ac:dyDescent="0.2">
      <c r="A132" t="str">
        <f>Sheet3!A116</f>
        <v>[[86,4,19]]</v>
      </c>
      <c r="B132" s="4">
        <v>86</v>
      </c>
      <c r="C132" cm="1">
        <f t="array" aca="1" ref="C132" ca="1">OFFSET(INDIRECT("Sheet"&amp;K$2&amp;"!d1"),$G132-1,)</f>
        <v>19</v>
      </c>
      <c r="D132" cm="1">
        <f t="array" aca="1" ref="D132" ca="1">OFFSET(INDIRECT("Sheet"&amp;L$2&amp;"!d1"),$G132-1,)</f>
        <v>19</v>
      </c>
      <c r="E132" s="4">
        <v>4</v>
      </c>
      <c r="F132" s="4">
        <v>19</v>
      </c>
      <c r="G132">
        <f t="shared" si="39"/>
        <v>116</v>
      </c>
      <c r="H132" cm="1">
        <f t="array" aca="1" ref="H132" ca="1">OFFSET(INDIRECT("Sheet"&amp;E$2&amp;"!d1"),$G132-1,)</f>
        <v>0</v>
      </c>
      <c r="I132" cm="1">
        <f t="array" aca="1" ref="I132" ca="1">OFFSET(INDIRECT("Sheet"&amp;F$2&amp;"!d1"),$G132-1,)</f>
        <v>0</v>
      </c>
      <c r="J132" cm="1">
        <f t="array" aca="1" ref="J132" ca="1">OFFSET(INDIRECT("Sheet"&amp;G$2&amp;"!d1"),$G132-1,)</f>
        <v>0</v>
      </c>
      <c r="K132" cm="1">
        <f t="array" aca="1" ref="K132" ca="1">OFFSET(INDIRECT("Sheet"&amp;H$2&amp;"!d1"),$G132-1,)</f>
        <v>0</v>
      </c>
      <c r="L132" cm="1">
        <f t="array" aca="1" ref="L132" ca="1">OFFSET(INDIRECT("Sheet"&amp;I$2&amp;"!d1"),$G132-1,)</f>
        <v>0</v>
      </c>
      <c r="M132" cm="1">
        <f t="array" aca="1" ref="M132" ca="1">OFFSET(INDIRECT("Sheet"&amp;J$2&amp;"!d1"),$G132-1,)</f>
        <v>19</v>
      </c>
      <c r="N132" cm="1">
        <f t="array" aca="1" ref="N132" ca="1">OFFSET(INDIRECT("Sheet"&amp;M$2&amp;"!d1"),$G132-1,)</f>
        <v>19</v>
      </c>
      <c r="O132" cm="1">
        <f t="array" aca="1" ref="O132" ca="1">OFFSET(INDIRECT("Sheet"&amp;C$2&amp;"!d1"),$G132-1,)</f>
        <v>0</v>
      </c>
      <c r="P132" cm="1">
        <f t="array" aca="1" ref="P132" ca="1">OFFSET(INDIRECT("Sheet"&amp;D$2&amp;"!d1"),$G132-1,)</f>
        <v>0</v>
      </c>
      <c r="Q132" cm="1">
        <f t="array" aca="1" ref="Q132" ca="1">OFFSET(INDIRECT("Sheet"&amp;N$2&amp;"!d1"),$G132-1,)</f>
        <v>19</v>
      </c>
      <c r="R132" cm="1">
        <f t="array" aca="1" ref="R132" ca="1">OFFSET(INDIRECT("Sheet"&amp;O$2&amp;"!d1"),$G132-1,)</f>
        <v>19</v>
      </c>
      <c r="S132" cm="1">
        <f t="array" aca="1" ref="S132" ca="1">OFFSET(INDIRECT("Sheet"&amp;P$2&amp;"!d1"),$G132-1,)</f>
        <v>19</v>
      </c>
      <c r="T132" cm="1">
        <f t="array" aca="1" ref="T132" ca="1">OFFSET(INDIRECT("Sheet"&amp;Q$2&amp;"!d1"),$G132-1,)</f>
        <v>20</v>
      </c>
      <c r="U132" cm="1">
        <f t="array" aca="1" ref="U132" ca="1">OFFSET(INDIRECT("Sheet"&amp;R$2&amp;"!d1"),$G132-1,)</f>
        <v>19</v>
      </c>
      <c r="V132" cm="1">
        <f t="array" aca="1" ref="V132" ca="1">OFFSET(INDIRECT("Sheet"&amp;S$2&amp;"!d1"),$G132-1,)</f>
        <v>19</v>
      </c>
      <c r="W132" cm="1">
        <f t="array" aca="1" ref="W132" ca="1">OFFSET(INDIRECT("Sheet"&amp;T$2&amp;"!d1"),$G132-1,)</f>
        <v>19</v>
      </c>
      <c r="X132" cm="1">
        <f t="array" aca="1" ref="X132" ca="1">OFFSET(INDIRECT("Sheet"&amp;U$2&amp;"!d1"),$G132-1,)</f>
        <v>20</v>
      </c>
      <c r="Y132" cm="1">
        <f t="array" aca="1" ref="Y132" ca="1">OFFSET(INDIRECT("Sheet"&amp;V$2&amp;"!d1"),$G132-1,)</f>
        <v>19</v>
      </c>
      <c r="Z132"/>
      <c r="AB132" s="3" cm="1">
        <f t="array" aca="1" ref="AB132" ca="1">OFFSET(INDIRECT("Sheet"&amp;E$2&amp;"!f1"),$G132-1,)</f>
        <v>0</v>
      </c>
      <c r="AC132" s="3" cm="1">
        <f t="array" aca="1" ref="AC132" ca="1">OFFSET(INDIRECT("Sheet"&amp;F$2&amp;"!f1"),$G132-1,)</f>
        <v>0</v>
      </c>
      <c r="AD132" s="3" cm="1">
        <f t="array" aca="1" ref="AD132" ca="1">OFFSET(INDIRECT("Sheet"&amp;G$2&amp;"!f1"),$G132-1,)</f>
        <v>0</v>
      </c>
      <c r="AE132" s="3" cm="1">
        <f t="array" aca="1" ref="AE132" ca="1">OFFSET(INDIRECT("Sheet"&amp;H$2&amp;"!f1"),$G132-1,)</f>
        <v>0</v>
      </c>
      <c r="AF132" s="3" cm="1">
        <f t="array" aca="1" ref="AF132" ca="1">OFFSET(INDIRECT("Sheet"&amp;I$2&amp;"!f1"),$G132-1,)</f>
        <v>0</v>
      </c>
      <c r="AG132" s="3" cm="1">
        <f t="array" aca="1" ref="AG132" ca="1">OFFSET(INDIRECT("Sheet"&amp;J$2&amp;"!f1"),$G132-1,)</f>
        <v>1.96135306172072</v>
      </c>
      <c r="AH132" s="3" cm="1">
        <f t="array" aca="1" ref="AH132" ca="1">OFFSET(INDIRECT("Sheet"&amp;K$2&amp;"!f1"),$G132-1,)</f>
        <v>1.7184265129999901</v>
      </c>
      <c r="AI132" s="3" cm="1">
        <f t="array" aca="1" ref="AI132" ca="1">OFFSET(INDIRECT("Sheet"&amp;L$2&amp;"!f1"),$G132-1,)</f>
        <v>1.7155417210000199</v>
      </c>
      <c r="AJ132" s="3" cm="1">
        <f t="array" aca="1" ref="AJ132" ca="1">OFFSET(INDIRECT("Sheet"&amp;M$2&amp;"!f1"),$G132-1,)</f>
        <v>2.4485882380977202</v>
      </c>
      <c r="AK132" s="3" cm="1">
        <f t="array" aca="1" ref="AK132" ca="1">OFFSET(INDIRECT("Sheet"&amp;C$2&amp;"!f1"),$G132-1,)</f>
        <v>0</v>
      </c>
      <c r="AL132" s="3" cm="1">
        <f t="array" aca="1" ref="AL132" ca="1">OFFSET(INDIRECT("Sheet"&amp;D$2&amp;"!f1"),$G132-1,)</f>
        <v>0</v>
      </c>
      <c r="AM132" s="3" cm="1">
        <f t="array" aca="1" ref="AM132" ca="1">OFFSET(INDIRECT("Sheet"&amp;N$2&amp;"!f1"),$G132-1,)</f>
        <v>10.440953557379499</v>
      </c>
      <c r="AN132" s="3" cm="1">
        <f t="array" aca="1" ref="AN132" ca="1">OFFSET(INDIRECT("Sheet"&amp;O$2&amp;"!f1"),$G132-1,)</f>
        <v>22.002889077179098</v>
      </c>
      <c r="AO132" s="3" cm="1">
        <f t="array" aca="1" ref="AO132" ca="1">OFFSET(INDIRECT("Sheet"&amp;P$2&amp;"!f1"),$G132-1,)</f>
        <v>31.027923965826599</v>
      </c>
      <c r="AP132" s="3" cm="1">
        <f t="array" aca="1" ref="AP132" ca="1">OFFSET(INDIRECT("Sheet"&amp;Q$2&amp;"!f1"),$G132-1,)</f>
        <v>7.41056121792644</v>
      </c>
      <c r="AQ132" s="3" cm="1">
        <f t="array" aca="1" ref="AQ132" ca="1">OFFSET(INDIRECT("Sheet"&amp;R$2&amp;"!f1"),$G132-1,)</f>
        <v>9.81656651757657</v>
      </c>
      <c r="AR132" s="3" cm="1">
        <f t="array" aca="1" ref="AR132" ca="1">OFFSET(INDIRECT("Sheet"&amp;S$2&amp;"!f1"),$G132-1,)</f>
        <v>21.434186817146799</v>
      </c>
      <c r="AS132" s="3" cm="1">
        <f t="array" aca="1" ref="AS132" ca="1">OFFSET(INDIRECT("Sheet"&amp;T$2&amp;"!f1"),$G132-1,)</f>
        <v>22.352614091709199</v>
      </c>
      <c r="AT132" s="3" cm="1">
        <f t="array" aca="1" ref="AT132" ca="1">OFFSET(INDIRECT("Sheet"&amp;U$2&amp;"!f1"),$G132-1,)</f>
        <v>28.212951974943199</v>
      </c>
      <c r="AU132" s="3" cm="1">
        <f t="array" aca="1" ref="AU132" ca="1">OFFSET(INDIRECT("Sheet"&amp;V$2&amp;"!f1"),$G132-1,)</f>
        <v>28.662488516420101</v>
      </c>
      <c r="AV132" s="3"/>
      <c r="AX132">
        <f ca="1">IF(H132=$F132,1,0)</f>
        <v>0</v>
      </c>
      <c r="AY132">
        <f ca="1">IF(I132=$F132,1,0)</f>
        <v>0</v>
      </c>
      <c r="AZ132">
        <f ca="1">IF(J132=$F132,1,0)</f>
        <v>0</v>
      </c>
      <c r="BA132">
        <f ca="1">IF(K132=$F132,1,0)</f>
        <v>0</v>
      </c>
      <c r="BB132">
        <f ca="1">IF(L132=$F132,1,0)</f>
        <v>0</v>
      </c>
      <c r="BC132">
        <f ca="1">IF(M132=$F132,1,0)</f>
        <v>1</v>
      </c>
      <c r="BD132">
        <f ca="1">IF(C132=$F132,1,0)</f>
        <v>1</v>
      </c>
      <c r="BE132">
        <f ca="1">IF(D132=$F132,1,0)</f>
        <v>1</v>
      </c>
      <c r="BF132">
        <f t="shared" ca="1" si="29"/>
        <v>1</v>
      </c>
      <c r="BG132">
        <f t="shared" ca="1" si="30"/>
        <v>0</v>
      </c>
      <c r="BH132">
        <f t="shared" ca="1" si="31"/>
        <v>0</v>
      </c>
      <c r="BI132">
        <f t="shared" ca="1" si="32"/>
        <v>1</v>
      </c>
      <c r="BJ132">
        <f t="shared" ca="1" si="40"/>
        <v>1</v>
      </c>
      <c r="BK132">
        <f t="shared" ca="1" si="40"/>
        <v>1</v>
      </c>
      <c r="BL132">
        <f t="shared" ca="1" si="40"/>
        <v>0</v>
      </c>
      <c r="BM132">
        <f t="shared" ca="1" si="34"/>
        <v>1</v>
      </c>
      <c r="BN132">
        <f t="shared" ca="1" si="35"/>
        <v>1</v>
      </c>
      <c r="BO132">
        <f t="shared" ca="1" si="36"/>
        <v>1</v>
      </c>
      <c r="BP132">
        <f t="shared" ca="1" si="37"/>
        <v>0</v>
      </c>
      <c r="BQ132">
        <f t="shared" ca="1" si="38"/>
        <v>1</v>
      </c>
    </row>
    <row r="133" spans="1:69" s="4" customFormat="1" x14ac:dyDescent="0.2">
      <c r="A133" t="str">
        <f>Sheet3!A117</f>
        <v>[[87,5,19]]</v>
      </c>
      <c r="B133" s="4">
        <v>87</v>
      </c>
      <c r="C133" cm="1">
        <f t="array" aca="1" ref="C133" ca="1">OFFSET(INDIRECT("Sheet"&amp;K$2&amp;"!d1"),$G133-1,)</f>
        <v>19</v>
      </c>
      <c r="D133" cm="1">
        <f t="array" aca="1" ref="D133" ca="1">OFFSET(INDIRECT("Sheet"&amp;L$2&amp;"!d1"),$G133-1,)</f>
        <v>19</v>
      </c>
      <c r="E133" s="4">
        <v>5</v>
      </c>
      <c r="F133" s="4">
        <v>19</v>
      </c>
      <c r="G133">
        <f t="shared" si="39"/>
        <v>117</v>
      </c>
      <c r="H133" cm="1">
        <f t="array" aca="1" ref="H133" ca="1">OFFSET(INDIRECT("Sheet"&amp;E$2&amp;"!d1"),$G133-1,)</f>
        <v>0</v>
      </c>
      <c r="I133" cm="1">
        <f t="array" aca="1" ref="I133" ca="1">OFFSET(INDIRECT("Sheet"&amp;F$2&amp;"!d1"),$G133-1,)</f>
        <v>0</v>
      </c>
      <c r="J133" cm="1">
        <f t="array" aca="1" ref="J133" ca="1">OFFSET(INDIRECT("Sheet"&amp;G$2&amp;"!d1"),$G133-1,)</f>
        <v>0</v>
      </c>
      <c r="K133" cm="1">
        <f t="array" aca="1" ref="K133" ca="1">OFFSET(INDIRECT("Sheet"&amp;H$2&amp;"!d1"),$G133-1,)</f>
        <v>0</v>
      </c>
      <c r="L133" cm="1">
        <f t="array" aca="1" ref="L133" ca="1">OFFSET(INDIRECT("Sheet"&amp;I$2&amp;"!d1"),$G133-1,)</f>
        <v>0</v>
      </c>
      <c r="M133" cm="1">
        <f t="array" aca="1" ref="M133" ca="1">OFFSET(INDIRECT("Sheet"&amp;J$2&amp;"!d1"),$G133-1,)</f>
        <v>19</v>
      </c>
      <c r="N133" cm="1">
        <f t="array" aca="1" ref="N133" ca="1">OFFSET(INDIRECT("Sheet"&amp;M$2&amp;"!d1"),$G133-1,)</f>
        <v>19</v>
      </c>
      <c r="O133" cm="1">
        <f t="array" aca="1" ref="O133" ca="1">OFFSET(INDIRECT("Sheet"&amp;C$2&amp;"!d1"),$G133-1,)</f>
        <v>0</v>
      </c>
      <c r="P133" cm="1">
        <f t="array" aca="1" ref="P133" ca="1">OFFSET(INDIRECT("Sheet"&amp;D$2&amp;"!d1"),$G133-1,)</f>
        <v>0</v>
      </c>
      <c r="Q133" cm="1">
        <f t="array" aca="1" ref="Q133" ca="1">OFFSET(INDIRECT("Sheet"&amp;N$2&amp;"!d1"),$G133-1,)</f>
        <v>19</v>
      </c>
      <c r="R133" cm="1">
        <f t="array" aca="1" ref="R133" ca="1">OFFSET(INDIRECT("Sheet"&amp;O$2&amp;"!d1"),$G133-1,)</f>
        <v>19</v>
      </c>
      <c r="S133" cm="1">
        <f t="array" aca="1" ref="S133" ca="1">OFFSET(INDIRECT("Sheet"&amp;P$2&amp;"!d1"),$G133-1,)</f>
        <v>19</v>
      </c>
      <c r="T133" cm="1">
        <f t="array" aca="1" ref="T133" ca="1">OFFSET(INDIRECT("Sheet"&amp;Q$2&amp;"!d1"),$G133-1,)</f>
        <v>19</v>
      </c>
      <c r="U133" cm="1">
        <f t="array" aca="1" ref="U133" ca="1">OFFSET(INDIRECT("Sheet"&amp;R$2&amp;"!d1"),$G133-1,)</f>
        <v>19</v>
      </c>
      <c r="V133" cm="1">
        <f t="array" aca="1" ref="V133" ca="1">OFFSET(INDIRECT("Sheet"&amp;S$2&amp;"!d1"),$G133-1,)</f>
        <v>19</v>
      </c>
      <c r="W133" cm="1">
        <f t="array" aca="1" ref="W133" ca="1">OFFSET(INDIRECT("Sheet"&amp;T$2&amp;"!d1"),$G133-1,)</f>
        <v>19</v>
      </c>
      <c r="X133" cm="1">
        <f t="array" aca="1" ref="X133" ca="1">OFFSET(INDIRECT("Sheet"&amp;U$2&amp;"!d1"),$G133-1,)</f>
        <v>19</v>
      </c>
      <c r="Y133" cm="1">
        <f t="array" aca="1" ref="Y133" ca="1">OFFSET(INDIRECT("Sheet"&amp;V$2&amp;"!d1"),$G133-1,)</f>
        <v>19</v>
      </c>
      <c r="Z133"/>
      <c r="AB133" s="3" cm="1">
        <f t="array" aca="1" ref="AB133" ca="1">OFFSET(INDIRECT("Sheet"&amp;E$2&amp;"!f1"),$G133-1,)</f>
        <v>0</v>
      </c>
      <c r="AC133" s="3" cm="1">
        <f t="array" aca="1" ref="AC133" ca="1">OFFSET(INDIRECT("Sheet"&amp;F$2&amp;"!f1"),$G133-1,)</f>
        <v>0</v>
      </c>
      <c r="AD133" s="3" cm="1">
        <f t="array" aca="1" ref="AD133" ca="1">OFFSET(INDIRECT("Sheet"&amp;G$2&amp;"!f1"),$G133-1,)</f>
        <v>0</v>
      </c>
      <c r="AE133" s="3" cm="1">
        <f t="array" aca="1" ref="AE133" ca="1">OFFSET(INDIRECT("Sheet"&amp;H$2&amp;"!f1"),$G133-1,)</f>
        <v>0</v>
      </c>
      <c r="AF133" s="3" cm="1">
        <f t="array" aca="1" ref="AF133" ca="1">OFFSET(INDIRECT("Sheet"&amp;I$2&amp;"!f1"),$G133-1,)</f>
        <v>0</v>
      </c>
      <c r="AG133" s="3" cm="1">
        <f t="array" aca="1" ref="AG133" ca="1">OFFSET(INDIRECT("Sheet"&amp;J$2&amp;"!f1"),$G133-1,)</f>
        <v>1.95623925700783</v>
      </c>
      <c r="AH133" s="3" cm="1">
        <f t="array" aca="1" ref="AH133" ca="1">OFFSET(INDIRECT("Sheet"&amp;K$2&amp;"!f1"),$G133-1,)</f>
        <v>1.7285607709999899</v>
      </c>
      <c r="AI133" s="3" cm="1">
        <f t="array" aca="1" ref="AI133" ca="1">OFFSET(INDIRECT("Sheet"&amp;L$2&amp;"!f1"),$G133-1,)</f>
        <v>1.72328194599998</v>
      </c>
      <c r="AJ133" s="3" cm="1">
        <f t="array" aca="1" ref="AJ133" ca="1">OFFSET(INDIRECT("Sheet"&amp;M$2&amp;"!f1"),$G133-1,)</f>
        <v>2.9823195254430099</v>
      </c>
      <c r="AK133" s="3" cm="1">
        <f t="array" aca="1" ref="AK133" ca="1">OFFSET(INDIRECT("Sheet"&amp;C$2&amp;"!f1"),$G133-1,)</f>
        <v>0</v>
      </c>
      <c r="AL133" s="3" cm="1">
        <f t="array" aca="1" ref="AL133" ca="1">OFFSET(INDIRECT("Sheet"&amp;D$2&amp;"!f1"),$G133-1,)</f>
        <v>0</v>
      </c>
      <c r="AM133" s="3" cm="1">
        <f t="array" aca="1" ref="AM133" ca="1">OFFSET(INDIRECT("Sheet"&amp;N$2&amp;"!f1"),$G133-1,)</f>
        <v>11.15904741548</v>
      </c>
      <c r="AN133" s="3" cm="1">
        <f t="array" aca="1" ref="AN133" ca="1">OFFSET(INDIRECT("Sheet"&amp;O$2&amp;"!f1"),$G133-1,)</f>
        <v>23.238520595244999</v>
      </c>
      <c r="AO133" s="3" cm="1">
        <f t="array" aca="1" ref="AO133" ca="1">OFFSET(INDIRECT("Sheet"&amp;P$2&amp;"!f1"),$G133-1,)</f>
        <v>33.4682702105492</v>
      </c>
      <c r="AP133" s="3" cm="1">
        <f t="array" aca="1" ref="AP133" ca="1">OFFSET(INDIRECT("Sheet"&amp;Q$2&amp;"!f1"),$G133-1,)</f>
        <v>7.9495646916329799</v>
      </c>
      <c r="AQ133" s="3" cm="1">
        <f t="array" aca="1" ref="AQ133" ca="1">OFFSET(INDIRECT("Sheet"&amp;R$2&amp;"!f1"),$G133-1,)</f>
        <v>10.577609143219799</v>
      </c>
      <c r="AR133" s="3" cm="1">
        <f t="array" aca="1" ref="AR133" ca="1">OFFSET(INDIRECT("Sheet"&amp;S$2&amp;"!f1"),$G133-1,)</f>
        <v>22.9876644350588</v>
      </c>
      <c r="AS133" s="3" cm="1">
        <f t="array" aca="1" ref="AS133" ca="1">OFFSET(INDIRECT("Sheet"&amp;T$2&amp;"!f1"),$G133-1,)</f>
        <v>23.201491952873699</v>
      </c>
      <c r="AT133" s="3" cm="1">
        <f t="array" aca="1" ref="AT133" ca="1">OFFSET(INDIRECT("Sheet"&amp;U$2&amp;"!f1"),$G133-1,)</f>
        <v>29.885869579389599</v>
      </c>
      <c r="AU133" s="3" cm="1">
        <f t="array" aca="1" ref="AU133" ca="1">OFFSET(INDIRECT("Sheet"&amp;V$2&amp;"!f1"),$G133-1,)</f>
        <v>31.608128235675299</v>
      </c>
      <c r="AV133" s="3"/>
      <c r="AX133">
        <f ca="1">IF(H133=$F133,1,0)</f>
        <v>0</v>
      </c>
      <c r="AY133">
        <f ca="1">IF(I133=$F133,1,0)</f>
        <v>0</v>
      </c>
      <c r="AZ133">
        <f ca="1">IF(J133=$F133,1,0)</f>
        <v>0</v>
      </c>
      <c r="BA133">
        <f ca="1">IF(K133=$F133,1,0)</f>
        <v>0</v>
      </c>
      <c r="BB133">
        <f ca="1">IF(L133=$F133,1,0)</f>
        <v>0</v>
      </c>
      <c r="BC133">
        <f ca="1">IF(M133=$F133,1,0)</f>
        <v>1</v>
      </c>
      <c r="BD133">
        <f ca="1">IF(C133=$F133,1,0)</f>
        <v>1</v>
      </c>
      <c r="BE133">
        <f ca="1">IF(D133=$F133,1,0)</f>
        <v>1</v>
      </c>
      <c r="BF133">
        <f t="shared" ca="1" si="29"/>
        <v>1</v>
      </c>
      <c r="BG133">
        <f t="shared" ca="1" si="30"/>
        <v>0</v>
      </c>
      <c r="BH133">
        <f t="shared" ca="1" si="31"/>
        <v>0</v>
      </c>
      <c r="BI133">
        <f t="shared" ca="1" si="32"/>
        <v>1</v>
      </c>
      <c r="BJ133">
        <f t="shared" ca="1" si="40"/>
        <v>1</v>
      </c>
      <c r="BK133">
        <f t="shared" ca="1" si="40"/>
        <v>1</v>
      </c>
      <c r="BL133">
        <f t="shared" ca="1" si="40"/>
        <v>1</v>
      </c>
      <c r="BM133">
        <f t="shared" ca="1" si="34"/>
        <v>1</v>
      </c>
      <c r="BN133">
        <f t="shared" ca="1" si="35"/>
        <v>1</v>
      </c>
      <c r="BO133">
        <f t="shared" ca="1" si="36"/>
        <v>1</v>
      </c>
      <c r="BP133">
        <f t="shared" ca="1" si="37"/>
        <v>1</v>
      </c>
      <c r="BQ133">
        <f t="shared" ca="1" si="38"/>
        <v>1</v>
      </c>
    </row>
    <row r="134" spans="1:69" s="4" customFormat="1" x14ac:dyDescent="0.2">
      <c r="A134" t="str">
        <f>Sheet3!A118</f>
        <v>[[88,5,19]]</v>
      </c>
      <c r="B134" s="4">
        <v>88</v>
      </c>
      <c r="C134" cm="1">
        <f t="array" aca="1" ref="C134" ca="1">OFFSET(INDIRECT("Sheet"&amp;K$2&amp;"!d1"),$G134-1,)</f>
        <v>19</v>
      </c>
      <c r="D134" cm="1">
        <f t="array" aca="1" ref="D134" ca="1">OFFSET(INDIRECT("Sheet"&amp;L$2&amp;"!d1"),$G134-1,)</f>
        <v>19</v>
      </c>
      <c r="E134" s="4">
        <v>5</v>
      </c>
      <c r="F134" s="4">
        <v>19</v>
      </c>
      <c r="G134">
        <f t="shared" si="39"/>
        <v>118</v>
      </c>
      <c r="H134" cm="1">
        <f t="array" aca="1" ref="H134" ca="1">OFFSET(INDIRECT("Sheet"&amp;E$2&amp;"!d1"),$G134-1,)</f>
        <v>0</v>
      </c>
      <c r="I134" cm="1">
        <f t="array" aca="1" ref="I134" ca="1">OFFSET(INDIRECT("Sheet"&amp;F$2&amp;"!d1"),$G134-1,)</f>
        <v>0</v>
      </c>
      <c r="J134" cm="1">
        <f t="array" aca="1" ref="J134" ca="1">OFFSET(INDIRECT("Sheet"&amp;G$2&amp;"!d1"),$G134-1,)</f>
        <v>0</v>
      </c>
      <c r="K134" cm="1">
        <f t="array" aca="1" ref="K134" ca="1">OFFSET(INDIRECT("Sheet"&amp;H$2&amp;"!d1"),$G134-1,)</f>
        <v>0</v>
      </c>
      <c r="L134" cm="1">
        <f t="array" aca="1" ref="L134" ca="1">OFFSET(INDIRECT("Sheet"&amp;I$2&amp;"!d1"),$G134-1,)</f>
        <v>0</v>
      </c>
      <c r="M134" cm="1">
        <f t="array" aca="1" ref="M134" ca="1">OFFSET(INDIRECT("Sheet"&amp;J$2&amp;"!d1"),$G134-1,)</f>
        <v>19</v>
      </c>
      <c r="N134" cm="1">
        <f t="array" aca="1" ref="N134" ca="1">OFFSET(INDIRECT("Sheet"&amp;M$2&amp;"!d1"),$G134-1,)</f>
        <v>19</v>
      </c>
      <c r="O134" cm="1">
        <f t="array" aca="1" ref="O134" ca="1">OFFSET(INDIRECT("Sheet"&amp;C$2&amp;"!d1"),$G134-1,)</f>
        <v>0</v>
      </c>
      <c r="P134" cm="1">
        <f t="array" aca="1" ref="P134" ca="1">OFFSET(INDIRECT("Sheet"&amp;D$2&amp;"!d1"),$G134-1,)</f>
        <v>0</v>
      </c>
      <c r="Q134" cm="1">
        <f t="array" aca="1" ref="Q134" ca="1">OFFSET(INDIRECT("Sheet"&amp;N$2&amp;"!d1"),$G134-1,)</f>
        <v>19</v>
      </c>
      <c r="R134" cm="1">
        <f t="array" aca="1" ref="R134" ca="1">OFFSET(INDIRECT("Sheet"&amp;O$2&amp;"!d1"),$G134-1,)</f>
        <v>19</v>
      </c>
      <c r="S134" cm="1">
        <f t="array" aca="1" ref="S134" ca="1">OFFSET(INDIRECT("Sheet"&amp;P$2&amp;"!d1"),$G134-1,)</f>
        <v>19</v>
      </c>
      <c r="T134" cm="1">
        <f t="array" aca="1" ref="T134" ca="1">OFFSET(INDIRECT("Sheet"&amp;Q$2&amp;"!d1"),$G134-1,)</f>
        <v>20</v>
      </c>
      <c r="U134" cm="1">
        <f t="array" aca="1" ref="U134" ca="1">OFFSET(INDIRECT("Sheet"&amp;R$2&amp;"!d1"),$G134-1,)</f>
        <v>19</v>
      </c>
      <c r="V134" cm="1">
        <f t="array" aca="1" ref="V134" ca="1">OFFSET(INDIRECT("Sheet"&amp;S$2&amp;"!d1"),$G134-1,)</f>
        <v>19</v>
      </c>
      <c r="W134" cm="1">
        <f t="array" aca="1" ref="W134" ca="1">OFFSET(INDIRECT("Sheet"&amp;T$2&amp;"!d1"),$G134-1,)</f>
        <v>19</v>
      </c>
      <c r="X134" cm="1">
        <f t="array" aca="1" ref="X134" ca="1">OFFSET(INDIRECT("Sheet"&amp;U$2&amp;"!d1"),$G134-1,)</f>
        <v>19</v>
      </c>
      <c r="Y134" cm="1">
        <f t="array" aca="1" ref="Y134" ca="1">OFFSET(INDIRECT("Sheet"&amp;V$2&amp;"!d1"),$G134-1,)</f>
        <v>19</v>
      </c>
      <c r="Z134"/>
      <c r="AB134" s="3" cm="1">
        <f t="array" aca="1" ref="AB134" ca="1">OFFSET(INDIRECT("Sheet"&amp;E$2&amp;"!f1"),$G134-1,)</f>
        <v>0</v>
      </c>
      <c r="AC134" s="3" cm="1">
        <f t="array" aca="1" ref="AC134" ca="1">OFFSET(INDIRECT("Sheet"&amp;F$2&amp;"!f1"),$G134-1,)</f>
        <v>0</v>
      </c>
      <c r="AD134" s="3" cm="1">
        <f t="array" aca="1" ref="AD134" ca="1">OFFSET(INDIRECT("Sheet"&amp;G$2&amp;"!f1"),$G134-1,)</f>
        <v>0</v>
      </c>
      <c r="AE134" s="3" cm="1">
        <f t="array" aca="1" ref="AE134" ca="1">OFFSET(INDIRECT("Sheet"&amp;H$2&amp;"!f1"),$G134-1,)</f>
        <v>0</v>
      </c>
      <c r="AF134" s="3" cm="1">
        <f t="array" aca="1" ref="AF134" ca="1">OFFSET(INDIRECT("Sheet"&amp;I$2&amp;"!f1"),$G134-1,)</f>
        <v>0</v>
      </c>
      <c r="AG134" s="3" cm="1">
        <f t="array" aca="1" ref="AG134" ca="1">OFFSET(INDIRECT("Sheet"&amp;J$2&amp;"!f1"),$G134-1,)</f>
        <v>1.97799673303961</v>
      </c>
      <c r="AH134" s="3" cm="1">
        <f t="array" aca="1" ref="AH134" ca="1">OFFSET(INDIRECT("Sheet"&amp;K$2&amp;"!f1"),$G134-1,)</f>
        <v>1.75753998800001</v>
      </c>
      <c r="AI134" s="3" cm="1">
        <f t="array" aca="1" ref="AI134" ca="1">OFFSET(INDIRECT("Sheet"&amp;L$2&amp;"!f1"),$G134-1,)</f>
        <v>1.760433363</v>
      </c>
      <c r="AJ134" s="3" cm="1">
        <f t="array" aca="1" ref="AJ134" ca="1">OFFSET(INDIRECT("Sheet"&amp;M$2&amp;"!f1"),$G134-1,)</f>
        <v>2.5430550277233102</v>
      </c>
      <c r="AK134" s="3" cm="1">
        <f t="array" aca="1" ref="AK134" ca="1">OFFSET(INDIRECT("Sheet"&amp;C$2&amp;"!f1"),$G134-1,)</f>
        <v>0</v>
      </c>
      <c r="AL134" s="3" cm="1">
        <f t="array" aca="1" ref="AL134" ca="1">OFFSET(INDIRECT("Sheet"&amp;D$2&amp;"!f1"),$G134-1,)</f>
        <v>0</v>
      </c>
      <c r="AM134" s="3" cm="1">
        <f t="array" aca="1" ref="AM134" ca="1">OFFSET(INDIRECT("Sheet"&amp;N$2&amp;"!f1"),$G134-1,)</f>
        <v>11.1486077979207</v>
      </c>
      <c r="AN134" s="3" cm="1">
        <f t="array" aca="1" ref="AN134" ca="1">OFFSET(INDIRECT("Sheet"&amp;O$2&amp;"!f1"),$G134-1,)</f>
        <v>23.410070755518898</v>
      </c>
      <c r="AO134" s="3" cm="1">
        <f t="array" aca="1" ref="AO134" ca="1">OFFSET(INDIRECT("Sheet"&amp;P$2&amp;"!f1"),$G134-1,)</f>
        <v>33.414863633923197</v>
      </c>
      <c r="AP134" s="3" cm="1">
        <f t="array" aca="1" ref="AP134" ca="1">OFFSET(INDIRECT("Sheet"&amp;Q$2&amp;"!f1"),$G134-1,)</f>
        <v>7.7086627893149799</v>
      </c>
      <c r="AQ134" s="3" cm="1">
        <f t="array" aca="1" ref="AQ134" ca="1">OFFSET(INDIRECT("Sheet"&amp;R$2&amp;"!f1"),$G134-1,)</f>
        <v>10.284865289926501</v>
      </c>
      <c r="AR134" s="3" cm="1">
        <f t="array" aca="1" ref="AR134" ca="1">OFFSET(INDIRECT("Sheet"&amp;S$2&amp;"!f1"),$G134-1,)</f>
        <v>22.502783395349901</v>
      </c>
      <c r="AS134" s="3" cm="1">
        <f t="array" aca="1" ref="AS134" ca="1">OFFSET(INDIRECT("Sheet"&amp;T$2&amp;"!f1"),$G134-1,)</f>
        <v>23.1959160398691</v>
      </c>
      <c r="AT134" s="3" cm="1">
        <f t="array" aca="1" ref="AT134" ca="1">OFFSET(INDIRECT("Sheet"&amp;U$2&amp;"!f1"),$G134-1,)</f>
        <v>29.009199098683801</v>
      </c>
      <c r="AU134" s="3" cm="1">
        <f t="array" aca="1" ref="AU134" ca="1">OFFSET(INDIRECT("Sheet"&amp;V$2&amp;"!f1"),$G134-1,)</f>
        <v>31.380103575997001</v>
      </c>
      <c r="AV134" s="3"/>
      <c r="AX134">
        <f ca="1">IF(H134=$F134,1,0)</f>
        <v>0</v>
      </c>
      <c r="AY134">
        <f ca="1">IF(I134=$F134,1,0)</f>
        <v>0</v>
      </c>
      <c r="AZ134">
        <f ca="1">IF(J134=$F134,1,0)</f>
        <v>0</v>
      </c>
      <c r="BA134">
        <f ca="1">IF(K134=$F134,1,0)</f>
        <v>0</v>
      </c>
      <c r="BB134">
        <f ca="1">IF(L134=$F134,1,0)</f>
        <v>0</v>
      </c>
      <c r="BC134">
        <f ca="1">IF(M134=$F134,1,0)</f>
        <v>1</v>
      </c>
      <c r="BD134">
        <f ca="1">IF(C134=$F134,1,0)</f>
        <v>1</v>
      </c>
      <c r="BE134">
        <f ca="1">IF(D134=$F134,1,0)</f>
        <v>1</v>
      </c>
      <c r="BF134">
        <f t="shared" ca="1" si="29"/>
        <v>1</v>
      </c>
      <c r="BG134">
        <f t="shared" ca="1" si="30"/>
        <v>0</v>
      </c>
      <c r="BH134">
        <f t="shared" ca="1" si="31"/>
        <v>0</v>
      </c>
      <c r="BI134">
        <f t="shared" ca="1" si="32"/>
        <v>1</v>
      </c>
      <c r="BJ134">
        <f t="shared" ca="1" si="40"/>
        <v>1</v>
      </c>
      <c r="BK134">
        <f t="shared" ca="1" si="40"/>
        <v>1</v>
      </c>
      <c r="BL134">
        <f t="shared" ca="1" si="40"/>
        <v>0</v>
      </c>
      <c r="BM134">
        <f t="shared" ca="1" si="34"/>
        <v>1</v>
      </c>
      <c r="BN134">
        <f t="shared" ca="1" si="35"/>
        <v>1</v>
      </c>
      <c r="BO134">
        <f t="shared" ca="1" si="36"/>
        <v>1</v>
      </c>
      <c r="BP134">
        <f t="shared" ca="1" si="37"/>
        <v>1</v>
      </c>
      <c r="BQ134">
        <f t="shared" ca="1" si="38"/>
        <v>1</v>
      </c>
    </row>
    <row r="135" spans="1:69" s="4" customFormat="1" x14ac:dyDescent="0.2">
      <c r="A135" t="str">
        <f>Sheet3!A119</f>
        <v>[[89,3,19]]</v>
      </c>
      <c r="B135" s="4">
        <v>89</v>
      </c>
      <c r="C135" cm="1">
        <f t="array" aca="1" ref="C135" ca="1">OFFSET(INDIRECT("Sheet"&amp;K$2&amp;"!d1"),$G135-1,)</f>
        <v>20</v>
      </c>
      <c r="D135" cm="1">
        <f t="array" aca="1" ref="D135" ca="1">OFFSET(INDIRECT("Sheet"&amp;L$2&amp;"!d1"),$G135-1,)</f>
        <v>19</v>
      </c>
      <c r="E135" s="4">
        <v>3</v>
      </c>
      <c r="F135" s="4">
        <v>19</v>
      </c>
      <c r="G135">
        <f t="shared" si="39"/>
        <v>119</v>
      </c>
      <c r="H135" cm="1">
        <f t="array" aca="1" ref="H135" ca="1">OFFSET(INDIRECT("Sheet"&amp;E$2&amp;"!d1"),$G135-1,)</f>
        <v>0</v>
      </c>
      <c r="I135" cm="1">
        <f t="array" aca="1" ref="I135" ca="1">OFFSET(INDIRECT("Sheet"&amp;F$2&amp;"!d1"),$G135-1,)</f>
        <v>0</v>
      </c>
      <c r="J135" cm="1">
        <f t="array" aca="1" ref="J135" ca="1">OFFSET(INDIRECT("Sheet"&amp;G$2&amp;"!d1"),$G135-1,)</f>
        <v>0</v>
      </c>
      <c r="K135" cm="1">
        <f t="array" aca="1" ref="K135" ca="1">OFFSET(INDIRECT("Sheet"&amp;H$2&amp;"!d1"),$G135-1,)</f>
        <v>0</v>
      </c>
      <c r="L135" cm="1">
        <f t="array" aca="1" ref="L135" ca="1">OFFSET(INDIRECT("Sheet"&amp;I$2&amp;"!d1"),$G135-1,)</f>
        <v>0</v>
      </c>
      <c r="M135" cm="1">
        <f t="array" aca="1" ref="M135" ca="1">OFFSET(INDIRECT("Sheet"&amp;J$2&amp;"!d1"),$G135-1,)</f>
        <v>19</v>
      </c>
      <c r="N135" cm="1">
        <f t="array" aca="1" ref="N135" ca="1">OFFSET(INDIRECT("Sheet"&amp;M$2&amp;"!d1"),$G135-1,)</f>
        <v>19</v>
      </c>
      <c r="O135" cm="1">
        <f t="array" aca="1" ref="O135" ca="1">OFFSET(INDIRECT("Sheet"&amp;C$2&amp;"!d1"),$G135-1,)</f>
        <v>0</v>
      </c>
      <c r="P135" cm="1">
        <f t="array" aca="1" ref="P135" ca="1">OFFSET(INDIRECT("Sheet"&amp;D$2&amp;"!d1"),$G135-1,)</f>
        <v>0</v>
      </c>
      <c r="Q135" cm="1">
        <f t="array" aca="1" ref="Q135" ca="1">OFFSET(INDIRECT("Sheet"&amp;N$2&amp;"!d1"),$G135-1,)</f>
        <v>19</v>
      </c>
      <c r="R135" cm="1">
        <f t="array" aca="1" ref="R135" ca="1">OFFSET(INDIRECT("Sheet"&amp;O$2&amp;"!d1"),$G135-1,)</f>
        <v>19</v>
      </c>
      <c r="S135" cm="1">
        <f t="array" aca="1" ref="S135" ca="1">OFFSET(INDIRECT("Sheet"&amp;P$2&amp;"!d1"),$G135-1,)</f>
        <v>19</v>
      </c>
      <c r="T135" cm="1">
        <f t="array" aca="1" ref="T135" ca="1">OFFSET(INDIRECT("Sheet"&amp;Q$2&amp;"!d1"),$G135-1,)</f>
        <v>19</v>
      </c>
      <c r="U135" cm="1">
        <f t="array" aca="1" ref="U135" ca="1">OFFSET(INDIRECT("Sheet"&amp;R$2&amp;"!d1"),$G135-1,)</f>
        <v>19</v>
      </c>
      <c r="V135" cm="1">
        <f t="array" aca="1" ref="V135" ca="1">OFFSET(INDIRECT("Sheet"&amp;S$2&amp;"!d1"),$G135-1,)</f>
        <v>19</v>
      </c>
      <c r="W135" cm="1">
        <f t="array" aca="1" ref="W135" ca="1">OFFSET(INDIRECT("Sheet"&amp;T$2&amp;"!d1"),$G135-1,)</f>
        <v>19</v>
      </c>
      <c r="X135" cm="1">
        <f t="array" aca="1" ref="X135" ca="1">OFFSET(INDIRECT("Sheet"&amp;U$2&amp;"!d1"),$G135-1,)</f>
        <v>19</v>
      </c>
      <c r="Y135" cm="1">
        <f t="array" aca="1" ref="Y135" ca="1">OFFSET(INDIRECT("Sheet"&amp;V$2&amp;"!d1"),$G135-1,)</f>
        <v>19</v>
      </c>
      <c r="Z135"/>
      <c r="AB135" s="3" cm="1">
        <f t="array" aca="1" ref="AB135" ca="1">OFFSET(INDIRECT("Sheet"&amp;E$2&amp;"!f1"),$G135-1,)</f>
        <v>0</v>
      </c>
      <c r="AC135" s="3" cm="1">
        <f t="array" aca="1" ref="AC135" ca="1">OFFSET(INDIRECT("Sheet"&amp;F$2&amp;"!f1"),$G135-1,)</f>
        <v>0</v>
      </c>
      <c r="AD135" s="3" cm="1">
        <f t="array" aca="1" ref="AD135" ca="1">OFFSET(INDIRECT("Sheet"&amp;G$2&amp;"!f1"),$G135-1,)</f>
        <v>0</v>
      </c>
      <c r="AE135" s="3" cm="1">
        <f t="array" aca="1" ref="AE135" ca="1">OFFSET(INDIRECT("Sheet"&amp;H$2&amp;"!f1"),$G135-1,)</f>
        <v>0</v>
      </c>
      <c r="AF135" s="3" cm="1">
        <f t="array" aca="1" ref="AF135" ca="1">OFFSET(INDIRECT("Sheet"&amp;I$2&amp;"!f1"),$G135-1,)</f>
        <v>0</v>
      </c>
      <c r="AG135" s="3" cm="1">
        <f t="array" aca="1" ref="AG135" ca="1">OFFSET(INDIRECT("Sheet"&amp;J$2&amp;"!f1"),$G135-1,)</f>
        <v>2.0848066722974101</v>
      </c>
      <c r="AH135" s="3" cm="1">
        <f t="array" aca="1" ref="AH135" ca="1">OFFSET(INDIRECT("Sheet"&amp;K$2&amp;"!f1"),$G135-1,)</f>
        <v>1.8642716399999899</v>
      </c>
      <c r="AI135" s="3" cm="1">
        <f t="array" aca="1" ref="AI135" ca="1">OFFSET(INDIRECT("Sheet"&amp;L$2&amp;"!f1"),$G135-1,)</f>
        <v>1.8643926709999901</v>
      </c>
      <c r="AJ135" s="3" cm="1">
        <f t="array" aca="1" ref="AJ135" ca="1">OFFSET(INDIRECT("Sheet"&amp;M$2&amp;"!f1"),$G135-1,)</f>
        <v>2.5779232699424002</v>
      </c>
      <c r="AK135" s="3" cm="1">
        <f t="array" aca="1" ref="AK135" ca="1">OFFSET(INDIRECT("Sheet"&amp;C$2&amp;"!f1"),$G135-1,)</f>
        <v>0</v>
      </c>
      <c r="AL135" s="3" cm="1">
        <f t="array" aca="1" ref="AL135" ca="1">OFFSET(INDIRECT("Sheet"&amp;D$2&amp;"!f1"),$G135-1,)</f>
        <v>0</v>
      </c>
      <c r="AM135" s="3" cm="1">
        <f t="array" aca="1" ref="AM135" ca="1">OFFSET(INDIRECT("Sheet"&amp;N$2&amp;"!f1"),$G135-1,)</f>
        <v>10.9835018245503</v>
      </c>
      <c r="AN135" s="3" cm="1">
        <f t="array" aca="1" ref="AN135" ca="1">OFFSET(INDIRECT("Sheet"&amp;O$2&amp;"!f1"),$G135-1,)</f>
        <v>23.8900115517899</v>
      </c>
      <c r="AO135" s="3" cm="1">
        <f t="array" aca="1" ref="AO135" ca="1">OFFSET(INDIRECT("Sheet"&amp;P$2&amp;"!f1"),$G135-1,)</f>
        <v>32.636014419607797</v>
      </c>
      <c r="AP135" s="3" cm="1">
        <f t="array" aca="1" ref="AP135" ca="1">OFFSET(INDIRECT("Sheet"&amp;Q$2&amp;"!f1"),$G135-1,)</f>
        <v>7.4708780562505099</v>
      </c>
      <c r="AQ135" s="3" cm="1">
        <f t="array" aca="1" ref="AQ135" ca="1">OFFSET(INDIRECT("Sheet"&amp;R$2&amp;"!f1"),$G135-1,)</f>
        <v>10.079297141171899</v>
      </c>
      <c r="AR135" s="3" cm="1">
        <f t="array" aca="1" ref="AR135" ca="1">OFFSET(INDIRECT("Sheet"&amp;S$2&amp;"!f1"),$G135-1,)</f>
        <v>23.078592834994101</v>
      </c>
      <c r="AS135" s="3" cm="1">
        <f t="array" aca="1" ref="AS135" ca="1">OFFSET(INDIRECT("Sheet"&amp;T$2&amp;"!f1"),$G135-1,)</f>
        <v>23.684011192992301</v>
      </c>
      <c r="AT135" s="3" cm="1">
        <f t="array" aca="1" ref="AT135" ca="1">OFFSET(INDIRECT("Sheet"&amp;U$2&amp;"!f1"),$G135-1,)</f>
        <v>28.4944555088877</v>
      </c>
      <c r="AU135" s="3" cm="1">
        <f t="array" aca="1" ref="AU135" ca="1">OFFSET(INDIRECT("Sheet"&amp;V$2&amp;"!f1"),$G135-1,)</f>
        <v>30.326316215097901</v>
      </c>
      <c r="AV135" s="3"/>
      <c r="AX135">
        <f ca="1">IF(H135=$F135,1,0)</f>
        <v>0</v>
      </c>
      <c r="AY135">
        <f ca="1">IF(I135=$F135,1,0)</f>
        <v>0</v>
      </c>
      <c r="AZ135">
        <f ca="1">IF(J135=$F135,1,0)</f>
        <v>0</v>
      </c>
      <c r="BA135">
        <f ca="1">IF(K135=$F135,1,0)</f>
        <v>0</v>
      </c>
      <c r="BB135">
        <f ca="1">IF(L135=$F135,1,0)</f>
        <v>0</v>
      </c>
      <c r="BC135">
        <f ca="1">IF(M135=$F135,1,0)</f>
        <v>1</v>
      </c>
      <c r="BD135">
        <f ca="1">IF(C135=$F135,1,0)</f>
        <v>0</v>
      </c>
      <c r="BE135">
        <f ca="1">IF(D135=$F135,1,0)</f>
        <v>1</v>
      </c>
      <c r="BF135">
        <f t="shared" ca="1" si="29"/>
        <v>1</v>
      </c>
      <c r="BG135">
        <f t="shared" ca="1" si="30"/>
        <v>0</v>
      </c>
      <c r="BH135">
        <f t="shared" ca="1" si="31"/>
        <v>0</v>
      </c>
      <c r="BI135">
        <f t="shared" ca="1" si="32"/>
        <v>1</v>
      </c>
      <c r="BJ135">
        <f t="shared" ca="1" si="40"/>
        <v>1</v>
      </c>
      <c r="BK135">
        <f t="shared" ca="1" si="40"/>
        <v>1</v>
      </c>
      <c r="BL135">
        <f t="shared" ca="1" si="40"/>
        <v>1</v>
      </c>
      <c r="BM135">
        <f t="shared" ca="1" si="34"/>
        <v>1</v>
      </c>
      <c r="BN135">
        <f t="shared" ca="1" si="35"/>
        <v>1</v>
      </c>
      <c r="BO135">
        <f t="shared" ca="1" si="36"/>
        <v>1</v>
      </c>
      <c r="BP135">
        <f t="shared" ca="1" si="37"/>
        <v>1</v>
      </c>
      <c r="BQ135">
        <f t="shared" ca="1" si="38"/>
        <v>1</v>
      </c>
    </row>
    <row r="136" spans="1:69" s="4" customFormat="1" x14ac:dyDescent="0.2">
      <c r="A136" t="str">
        <f>Sheet3!A120</f>
        <v>[[90,3,19]]</v>
      </c>
      <c r="B136" s="4">
        <v>90</v>
      </c>
      <c r="C136" cm="1">
        <f t="array" aca="1" ref="C136" ca="1">OFFSET(INDIRECT("Sheet"&amp;K$2&amp;"!d1"),$G136-1,)</f>
        <v>19</v>
      </c>
      <c r="D136" cm="1">
        <f t="array" aca="1" ref="D136" ca="1">OFFSET(INDIRECT("Sheet"&amp;L$2&amp;"!d1"),$G136-1,)</f>
        <v>19</v>
      </c>
      <c r="E136" s="4">
        <v>3</v>
      </c>
      <c r="F136" s="4">
        <v>19</v>
      </c>
      <c r="G136">
        <f t="shared" si="39"/>
        <v>120</v>
      </c>
      <c r="H136" cm="1">
        <f t="array" aca="1" ref="H136" ca="1">OFFSET(INDIRECT("Sheet"&amp;E$2&amp;"!d1"),$G136-1,)</f>
        <v>0</v>
      </c>
      <c r="I136" cm="1">
        <f t="array" aca="1" ref="I136" ca="1">OFFSET(INDIRECT("Sheet"&amp;F$2&amp;"!d1"),$G136-1,)</f>
        <v>0</v>
      </c>
      <c r="J136" cm="1">
        <f t="array" aca="1" ref="J136" ca="1">OFFSET(INDIRECT("Sheet"&amp;G$2&amp;"!d1"),$G136-1,)</f>
        <v>0</v>
      </c>
      <c r="K136" cm="1">
        <f t="array" aca="1" ref="K136" ca="1">OFFSET(INDIRECT("Sheet"&amp;H$2&amp;"!d1"),$G136-1,)</f>
        <v>0</v>
      </c>
      <c r="L136" cm="1">
        <f t="array" aca="1" ref="L136" ca="1">OFFSET(INDIRECT("Sheet"&amp;I$2&amp;"!d1"),$G136-1,)</f>
        <v>0</v>
      </c>
      <c r="M136" cm="1">
        <f t="array" aca="1" ref="M136" ca="1">OFFSET(INDIRECT("Sheet"&amp;J$2&amp;"!d1"),$G136-1,)</f>
        <v>19</v>
      </c>
      <c r="N136" cm="1">
        <f t="array" aca="1" ref="N136" ca="1">OFFSET(INDIRECT("Sheet"&amp;M$2&amp;"!d1"),$G136-1,)</f>
        <v>19</v>
      </c>
      <c r="O136" cm="1">
        <f t="array" aca="1" ref="O136" ca="1">OFFSET(INDIRECT("Sheet"&amp;C$2&amp;"!d1"),$G136-1,)</f>
        <v>0</v>
      </c>
      <c r="P136" cm="1">
        <f t="array" aca="1" ref="P136" ca="1">OFFSET(INDIRECT("Sheet"&amp;D$2&amp;"!d1"),$G136-1,)</f>
        <v>0</v>
      </c>
      <c r="Q136" cm="1">
        <f t="array" aca="1" ref="Q136" ca="1">OFFSET(INDIRECT("Sheet"&amp;N$2&amp;"!d1"),$G136-1,)</f>
        <v>19</v>
      </c>
      <c r="R136" cm="1">
        <f t="array" aca="1" ref="R136" ca="1">OFFSET(INDIRECT("Sheet"&amp;O$2&amp;"!d1"),$G136-1,)</f>
        <v>19</v>
      </c>
      <c r="S136" cm="1">
        <f t="array" aca="1" ref="S136" ca="1">OFFSET(INDIRECT("Sheet"&amp;P$2&amp;"!d1"),$G136-1,)</f>
        <v>20</v>
      </c>
      <c r="T136" cm="1">
        <f t="array" aca="1" ref="T136" ca="1">OFFSET(INDIRECT("Sheet"&amp;Q$2&amp;"!d1"),$G136-1,)</f>
        <v>19</v>
      </c>
      <c r="U136" cm="1">
        <f t="array" aca="1" ref="U136" ca="1">OFFSET(INDIRECT("Sheet"&amp;R$2&amp;"!d1"),$G136-1,)</f>
        <v>19</v>
      </c>
      <c r="V136" cm="1">
        <f t="array" aca="1" ref="V136" ca="1">OFFSET(INDIRECT("Sheet"&amp;S$2&amp;"!d1"),$G136-1,)</f>
        <v>20</v>
      </c>
      <c r="W136" cm="1">
        <f t="array" aca="1" ref="W136" ca="1">OFFSET(INDIRECT("Sheet"&amp;T$2&amp;"!d1"),$G136-1,)</f>
        <v>19</v>
      </c>
      <c r="X136" cm="1">
        <f t="array" aca="1" ref="X136" ca="1">OFFSET(INDIRECT("Sheet"&amp;U$2&amp;"!d1"),$G136-1,)</f>
        <v>19</v>
      </c>
      <c r="Y136" cm="1">
        <f t="array" aca="1" ref="Y136" ca="1">OFFSET(INDIRECT("Sheet"&amp;V$2&amp;"!d1"),$G136-1,)</f>
        <v>19</v>
      </c>
      <c r="Z136"/>
      <c r="AB136" s="3" cm="1">
        <f t="array" aca="1" ref="AB136" ca="1">OFFSET(INDIRECT("Sheet"&amp;E$2&amp;"!f1"),$G136-1,)</f>
        <v>0</v>
      </c>
      <c r="AC136" s="3" cm="1">
        <f t="array" aca="1" ref="AC136" ca="1">OFFSET(INDIRECT("Sheet"&amp;F$2&amp;"!f1"),$G136-1,)</f>
        <v>0</v>
      </c>
      <c r="AD136" s="3" cm="1">
        <f t="array" aca="1" ref="AD136" ca="1">OFFSET(INDIRECT("Sheet"&amp;G$2&amp;"!f1"),$G136-1,)</f>
        <v>0</v>
      </c>
      <c r="AE136" s="3" cm="1">
        <f t="array" aca="1" ref="AE136" ca="1">OFFSET(INDIRECT("Sheet"&amp;H$2&amp;"!f1"),$G136-1,)</f>
        <v>0</v>
      </c>
      <c r="AF136" s="3" cm="1">
        <f t="array" aca="1" ref="AF136" ca="1">OFFSET(INDIRECT("Sheet"&amp;I$2&amp;"!f1"),$G136-1,)</f>
        <v>0</v>
      </c>
      <c r="AG136" s="3" cm="1">
        <f t="array" aca="1" ref="AG136" ca="1">OFFSET(INDIRECT("Sheet"&amp;J$2&amp;"!f1"),$G136-1,)</f>
        <v>2.12832884304225</v>
      </c>
      <c r="AH136" s="3" cm="1">
        <f t="array" aca="1" ref="AH136" ca="1">OFFSET(INDIRECT("Sheet"&amp;K$2&amp;"!f1"),$G136-1,)</f>
        <v>1.8682427579999701</v>
      </c>
      <c r="AI136" s="3" cm="1">
        <f t="array" aca="1" ref="AI136" ca="1">OFFSET(INDIRECT("Sheet"&amp;L$2&amp;"!f1"),$G136-1,)</f>
        <v>1.8647219720000101</v>
      </c>
      <c r="AJ136" s="3" cm="1">
        <f t="array" aca="1" ref="AJ136" ca="1">OFFSET(INDIRECT("Sheet"&amp;M$2&amp;"!f1"),$G136-1,)</f>
        <v>2.6121645076200299</v>
      </c>
      <c r="AK136" s="3" cm="1">
        <f t="array" aca="1" ref="AK136" ca="1">OFFSET(INDIRECT("Sheet"&amp;C$2&amp;"!f1"),$G136-1,)</f>
        <v>0</v>
      </c>
      <c r="AL136" s="3" cm="1">
        <f t="array" aca="1" ref="AL136" ca="1">OFFSET(INDIRECT("Sheet"&amp;D$2&amp;"!f1"),$G136-1,)</f>
        <v>0</v>
      </c>
      <c r="AM136" s="3" cm="1">
        <f t="array" aca="1" ref="AM136" ca="1">OFFSET(INDIRECT("Sheet"&amp;N$2&amp;"!f1"),$G136-1,)</f>
        <v>11.079643813893099</v>
      </c>
      <c r="AN136" s="3" cm="1">
        <f t="array" aca="1" ref="AN136" ca="1">OFFSET(INDIRECT("Sheet"&amp;O$2&amp;"!f1"),$G136-1,)</f>
        <v>23.9359661163762</v>
      </c>
      <c r="AO136" s="3" cm="1">
        <f t="array" aca="1" ref="AO136" ca="1">OFFSET(INDIRECT("Sheet"&amp;P$2&amp;"!f1"),$G136-1,)</f>
        <v>32.789726042188697</v>
      </c>
      <c r="AP136" s="3" cm="1">
        <f t="array" aca="1" ref="AP136" ca="1">OFFSET(INDIRECT("Sheet"&amp;Q$2&amp;"!f1"),$G136-1,)</f>
        <v>7.6186451641842696</v>
      </c>
      <c r="AQ136" s="3" cm="1">
        <f t="array" aca="1" ref="AQ136" ca="1">OFFSET(INDIRECT("Sheet"&amp;R$2&amp;"!f1"),$G136-1,)</f>
        <v>10.188449288718401</v>
      </c>
      <c r="AR136" s="3" cm="1">
        <f t="array" aca="1" ref="AR136" ca="1">OFFSET(INDIRECT("Sheet"&amp;S$2&amp;"!f1"),$G136-1,)</f>
        <v>24.583282134495601</v>
      </c>
      <c r="AS136" s="3" cm="1">
        <f t="array" aca="1" ref="AS136" ca="1">OFFSET(INDIRECT("Sheet"&amp;T$2&amp;"!f1"),$G136-1,)</f>
        <v>23.9046906605362</v>
      </c>
      <c r="AT136" s="3" cm="1">
        <f t="array" aca="1" ref="AT136" ca="1">OFFSET(INDIRECT("Sheet"&amp;U$2&amp;"!f1"),$G136-1,)</f>
        <v>28.271976009942499</v>
      </c>
      <c r="AU136" s="3" cm="1">
        <f t="array" aca="1" ref="AU136" ca="1">OFFSET(INDIRECT("Sheet"&amp;V$2&amp;"!f1"),$G136-1,)</f>
        <v>30.558555664494602</v>
      </c>
      <c r="AV136" s="3"/>
      <c r="AX136">
        <f ca="1">IF(H136=$F136,1,0)</f>
        <v>0</v>
      </c>
      <c r="AY136">
        <f ca="1">IF(I136=$F136,1,0)</f>
        <v>0</v>
      </c>
      <c r="AZ136">
        <f ca="1">IF(J136=$F136,1,0)</f>
        <v>0</v>
      </c>
      <c r="BA136">
        <f ca="1">IF(K136=$F136,1,0)</f>
        <v>0</v>
      </c>
      <c r="BB136">
        <f ca="1">IF(L136=$F136,1,0)</f>
        <v>0</v>
      </c>
      <c r="BC136">
        <f ca="1">IF(M136=$F136,1,0)</f>
        <v>1</v>
      </c>
      <c r="BD136">
        <f ca="1">IF(C136=$F136,1,0)</f>
        <v>1</v>
      </c>
      <c r="BE136">
        <f ca="1">IF(D136=$F136,1,0)</f>
        <v>1</v>
      </c>
      <c r="BF136">
        <f t="shared" ca="1" si="29"/>
        <v>1</v>
      </c>
      <c r="BG136">
        <f t="shared" ca="1" si="30"/>
        <v>0</v>
      </c>
      <c r="BH136">
        <f t="shared" ca="1" si="31"/>
        <v>0</v>
      </c>
      <c r="BI136">
        <f t="shared" ca="1" si="32"/>
        <v>1</v>
      </c>
      <c r="BJ136">
        <f t="shared" ca="1" si="40"/>
        <v>1</v>
      </c>
      <c r="BK136">
        <f t="shared" ca="1" si="40"/>
        <v>0</v>
      </c>
      <c r="BL136">
        <f t="shared" ca="1" si="40"/>
        <v>1</v>
      </c>
      <c r="BM136">
        <f t="shared" ca="1" si="34"/>
        <v>1</v>
      </c>
      <c r="BN136">
        <f t="shared" ca="1" si="35"/>
        <v>0</v>
      </c>
      <c r="BO136">
        <f t="shared" ca="1" si="36"/>
        <v>1</v>
      </c>
      <c r="BP136">
        <f t="shared" ca="1" si="37"/>
        <v>1</v>
      </c>
      <c r="BQ136">
        <f t="shared" ca="1" si="38"/>
        <v>1</v>
      </c>
    </row>
    <row r="137" spans="1:69" s="4" customFormat="1" x14ac:dyDescent="0.2">
      <c r="A137" t="str">
        <f>Sheet3!A121</f>
        <v>[[91,4,19]]</v>
      </c>
      <c r="B137" s="4">
        <v>91</v>
      </c>
      <c r="C137" cm="1">
        <f t="array" aca="1" ref="C137" ca="1">OFFSET(INDIRECT("Sheet"&amp;K$2&amp;"!d1"),$G137-1,)</f>
        <v>19</v>
      </c>
      <c r="D137" cm="1">
        <f t="array" aca="1" ref="D137" ca="1">OFFSET(INDIRECT("Sheet"&amp;L$2&amp;"!d1"),$G137-1,)</f>
        <v>19</v>
      </c>
      <c r="E137" s="4">
        <v>4</v>
      </c>
      <c r="F137" s="4">
        <v>19</v>
      </c>
      <c r="G137">
        <f t="shared" si="39"/>
        <v>121</v>
      </c>
      <c r="H137" cm="1">
        <f t="array" aca="1" ref="H137" ca="1">OFFSET(INDIRECT("Sheet"&amp;E$2&amp;"!d1"),$G137-1,)</f>
        <v>0</v>
      </c>
      <c r="I137" cm="1">
        <f t="array" aca="1" ref="I137" ca="1">OFFSET(INDIRECT("Sheet"&amp;F$2&amp;"!d1"),$G137-1,)</f>
        <v>0</v>
      </c>
      <c r="J137" cm="1">
        <f t="array" aca="1" ref="J137" ca="1">OFFSET(INDIRECT("Sheet"&amp;G$2&amp;"!d1"),$G137-1,)</f>
        <v>0</v>
      </c>
      <c r="K137" cm="1">
        <f t="array" aca="1" ref="K137" ca="1">OFFSET(INDIRECT("Sheet"&amp;H$2&amp;"!d1"),$G137-1,)</f>
        <v>0</v>
      </c>
      <c r="L137" cm="1">
        <f t="array" aca="1" ref="L137" ca="1">OFFSET(INDIRECT("Sheet"&amp;I$2&amp;"!d1"),$G137-1,)</f>
        <v>0</v>
      </c>
      <c r="M137" cm="1">
        <f t="array" aca="1" ref="M137" ca="1">OFFSET(INDIRECT("Sheet"&amp;J$2&amp;"!d1"),$G137-1,)</f>
        <v>19</v>
      </c>
      <c r="N137" cm="1">
        <f t="array" aca="1" ref="N137" ca="1">OFFSET(INDIRECT("Sheet"&amp;M$2&amp;"!d1"),$G137-1,)</f>
        <v>20</v>
      </c>
      <c r="O137" cm="1">
        <f t="array" aca="1" ref="O137" ca="1">OFFSET(INDIRECT("Sheet"&amp;C$2&amp;"!d1"),$G137-1,)</f>
        <v>0</v>
      </c>
      <c r="P137" cm="1">
        <f t="array" aca="1" ref="P137" ca="1">OFFSET(INDIRECT("Sheet"&amp;D$2&amp;"!d1"),$G137-1,)</f>
        <v>0</v>
      </c>
      <c r="Q137" cm="1">
        <f t="array" aca="1" ref="Q137" ca="1">OFFSET(INDIRECT("Sheet"&amp;N$2&amp;"!d1"),$G137-1,)</f>
        <v>19</v>
      </c>
      <c r="R137" cm="1">
        <f t="array" aca="1" ref="R137" ca="1">OFFSET(INDIRECT("Sheet"&amp;O$2&amp;"!d1"),$G137-1,)</f>
        <v>19</v>
      </c>
      <c r="S137" cm="1">
        <f t="array" aca="1" ref="S137" ca="1">OFFSET(INDIRECT("Sheet"&amp;P$2&amp;"!d1"),$G137-1,)</f>
        <v>19</v>
      </c>
      <c r="T137" cm="1">
        <f t="array" aca="1" ref="T137" ca="1">OFFSET(INDIRECT("Sheet"&amp;Q$2&amp;"!d1"),$G137-1,)</f>
        <v>20</v>
      </c>
      <c r="U137" cm="1">
        <f t="array" aca="1" ref="U137" ca="1">OFFSET(INDIRECT("Sheet"&amp;R$2&amp;"!d1"),$G137-1,)</f>
        <v>19</v>
      </c>
      <c r="V137" cm="1">
        <f t="array" aca="1" ref="V137" ca="1">OFFSET(INDIRECT("Sheet"&amp;S$2&amp;"!d1"),$G137-1,)</f>
        <v>19</v>
      </c>
      <c r="W137" cm="1">
        <f t="array" aca="1" ref="W137" ca="1">OFFSET(INDIRECT("Sheet"&amp;T$2&amp;"!d1"),$G137-1,)</f>
        <v>19</v>
      </c>
      <c r="X137" cm="1">
        <f t="array" aca="1" ref="X137" ca="1">OFFSET(INDIRECT("Sheet"&amp;U$2&amp;"!d1"),$G137-1,)</f>
        <v>19</v>
      </c>
      <c r="Y137" cm="1">
        <f t="array" aca="1" ref="Y137" ca="1">OFFSET(INDIRECT("Sheet"&amp;V$2&amp;"!d1"),$G137-1,)</f>
        <v>19</v>
      </c>
      <c r="Z137"/>
      <c r="AB137" s="3" cm="1">
        <f t="array" aca="1" ref="AB137" ca="1">OFFSET(INDIRECT("Sheet"&amp;E$2&amp;"!f1"),$G137-1,)</f>
        <v>0</v>
      </c>
      <c r="AC137" s="3" cm="1">
        <f t="array" aca="1" ref="AC137" ca="1">OFFSET(INDIRECT("Sheet"&amp;F$2&amp;"!f1"),$G137-1,)</f>
        <v>0</v>
      </c>
      <c r="AD137" s="3" cm="1">
        <f t="array" aca="1" ref="AD137" ca="1">OFFSET(INDIRECT("Sheet"&amp;G$2&amp;"!f1"),$G137-1,)</f>
        <v>0</v>
      </c>
      <c r="AE137" s="3" cm="1">
        <f t="array" aca="1" ref="AE137" ca="1">OFFSET(INDIRECT("Sheet"&amp;H$2&amp;"!f1"),$G137-1,)</f>
        <v>0</v>
      </c>
      <c r="AF137" s="3" cm="1">
        <f t="array" aca="1" ref="AF137" ca="1">OFFSET(INDIRECT("Sheet"&amp;I$2&amp;"!f1"),$G137-1,)</f>
        <v>0</v>
      </c>
      <c r="AG137" s="3" cm="1">
        <f t="array" aca="1" ref="AG137" ca="1">OFFSET(INDIRECT("Sheet"&amp;J$2&amp;"!f1"),$G137-1,)</f>
        <v>2.0686862282454901</v>
      </c>
      <c r="AH137" s="3" cm="1">
        <f t="array" aca="1" ref="AH137" ca="1">OFFSET(INDIRECT("Sheet"&amp;K$2&amp;"!f1"),$G137-1,)</f>
        <v>1.8210257839999899</v>
      </c>
      <c r="AI137" s="3" cm="1">
        <f t="array" aca="1" ref="AI137" ca="1">OFFSET(INDIRECT("Sheet"&amp;L$2&amp;"!f1"),$G137-1,)</f>
        <v>1.82447133599998</v>
      </c>
      <c r="AJ137" s="3" cm="1">
        <f t="array" aca="1" ref="AJ137" ca="1">OFFSET(INDIRECT("Sheet"&amp;M$2&amp;"!f1"),$G137-1,)</f>
        <v>2.6059031803160901</v>
      </c>
      <c r="AK137" s="3" cm="1">
        <f t="array" aca="1" ref="AK137" ca="1">OFFSET(INDIRECT("Sheet"&amp;C$2&amp;"!f1"),$G137-1,)</f>
        <v>0</v>
      </c>
      <c r="AL137" s="3" cm="1">
        <f t="array" aca="1" ref="AL137" ca="1">OFFSET(INDIRECT("Sheet"&amp;D$2&amp;"!f1"),$G137-1,)</f>
        <v>0</v>
      </c>
      <c r="AM137" s="3" cm="1">
        <f t="array" aca="1" ref="AM137" ca="1">OFFSET(INDIRECT("Sheet"&amp;N$2&amp;"!f1"),$G137-1,)</f>
        <v>11.2923518987372</v>
      </c>
      <c r="AN137" s="3" cm="1">
        <f t="array" aca="1" ref="AN137" ca="1">OFFSET(INDIRECT("Sheet"&amp;O$2&amp;"!f1"),$G137-1,)</f>
        <v>23.973626370541702</v>
      </c>
      <c r="AO137" s="3" cm="1">
        <f t="array" aca="1" ref="AO137" ca="1">OFFSET(INDIRECT("Sheet"&amp;P$2&amp;"!f1"),$G137-1,)</f>
        <v>33.200708406045997</v>
      </c>
      <c r="AP137" s="3" cm="1">
        <f t="array" aca="1" ref="AP137" ca="1">OFFSET(INDIRECT("Sheet"&amp;Q$2&amp;"!f1"),$G137-1,)</f>
        <v>7.9187845569103903</v>
      </c>
      <c r="AQ137" s="3" cm="1">
        <f t="array" aca="1" ref="AQ137" ca="1">OFFSET(INDIRECT("Sheet"&amp;R$2&amp;"!f1"),$G137-1,)</f>
        <v>10.631273558363301</v>
      </c>
      <c r="AR137" s="3" cm="1">
        <f t="array" aca="1" ref="AR137" ca="1">OFFSET(INDIRECT("Sheet"&amp;S$2&amp;"!f1"),$G137-1,)</f>
        <v>23.052794057875801</v>
      </c>
      <c r="AS137" s="3" cm="1">
        <f t="array" aca="1" ref="AS137" ca="1">OFFSET(INDIRECT("Sheet"&amp;T$2&amp;"!f1"),$G137-1,)</f>
        <v>23.209071949124301</v>
      </c>
      <c r="AT137" s="3" cm="1">
        <f t="array" aca="1" ref="AT137" ca="1">OFFSET(INDIRECT("Sheet"&amp;U$2&amp;"!f1"),$G137-1,)</f>
        <v>29.898347339592799</v>
      </c>
      <c r="AU137" s="3" cm="1">
        <f t="array" aca="1" ref="AU137" ca="1">OFFSET(INDIRECT("Sheet"&amp;V$2&amp;"!f1"),$G137-1,)</f>
        <v>30.0833905842155</v>
      </c>
      <c r="AV137" s="3"/>
      <c r="AX137">
        <f ca="1">IF(H137=$F137,1,0)</f>
        <v>0</v>
      </c>
      <c r="AY137">
        <f ca="1">IF(I137=$F137,1,0)</f>
        <v>0</v>
      </c>
      <c r="AZ137">
        <f ca="1">IF(J137=$F137,1,0)</f>
        <v>0</v>
      </c>
      <c r="BA137">
        <f ca="1">IF(K137=$F137,1,0)</f>
        <v>0</v>
      </c>
      <c r="BB137">
        <f ca="1">IF(L137=$F137,1,0)</f>
        <v>0</v>
      </c>
      <c r="BC137">
        <f ca="1">IF(M137=$F137,1,0)</f>
        <v>1</v>
      </c>
      <c r="BD137">
        <f ca="1">IF(C137=$F137,1,0)</f>
        <v>1</v>
      </c>
      <c r="BE137">
        <f ca="1">IF(D137=$F137,1,0)</f>
        <v>1</v>
      </c>
      <c r="BF137">
        <f t="shared" ca="1" si="29"/>
        <v>0</v>
      </c>
      <c r="BG137">
        <f t="shared" ca="1" si="30"/>
        <v>0</v>
      </c>
      <c r="BH137">
        <f t="shared" ca="1" si="31"/>
        <v>0</v>
      </c>
      <c r="BI137">
        <f t="shared" ca="1" si="32"/>
        <v>1</v>
      </c>
      <c r="BJ137">
        <f t="shared" ca="1" si="40"/>
        <v>1</v>
      </c>
      <c r="BK137">
        <f t="shared" ca="1" si="40"/>
        <v>1</v>
      </c>
      <c r="BL137">
        <f t="shared" ca="1" si="40"/>
        <v>0</v>
      </c>
      <c r="BM137">
        <f t="shared" ca="1" si="34"/>
        <v>1</v>
      </c>
      <c r="BN137">
        <f t="shared" ca="1" si="35"/>
        <v>1</v>
      </c>
      <c r="BO137">
        <f t="shared" ca="1" si="36"/>
        <v>1</v>
      </c>
      <c r="BP137">
        <f t="shared" ca="1" si="37"/>
        <v>1</v>
      </c>
      <c r="BQ137">
        <f t="shared" ca="1" si="38"/>
        <v>1</v>
      </c>
    </row>
    <row r="138" spans="1:69" s="4" customFormat="1" x14ac:dyDescent="0.2">
      <c r="A138" t="str">
        <f>Sheet3!A122</f>
        <v>[[92,3,20]]</v>
      </c>
      <c r="B138" s="4">
        <v>92</v>
      </c>
      <c r="C138" cm="1">
        <f t="array" aca="1" ref="C138" ca="1">OFFSET(INDIRECT("Sheet"&amp;K$2&amp;"!d1"),$G138-1,)</f>
        <v>21</v>
      </c>
      <c r="D138" cm="1">
        <f t="array" aca="1" ref="D138" ca="1">OFFSET(INDIRECT("Sheet"&amp;L$2&amp;"!d1"),$G138-1,)</f>
        <v>21</v>
      </c>
      <c r="E138" s="4">
        <v>3</v>
      </c>
      <c r="F138" s="4">
        <v>20</v>
      </c>
      <c r="G138">
        <f t="shared" si="39"/>
        <v>122</v>
      </c>
      <c r="H138" cm="1">
        <f t="array" aca="1" ref="H138" ca="1">OFFSET(INDIRECT("Sheet"&amp;E$2&amp;"!d1"),$G138-1,)</f>
        <v>0</v>
      </c>
      <c r="I138" cm="1">
        <f t="array" aca="1" ref="I138" ca="1">OFFSET(INDIRECT("Sheet"&amp;F$2&amp;"!d1"),$G138-1,)</f>
        <v>0</v>
      </c>
      <c r="J138" cm="1">
        <f t="array" aca="1" ref="J138" ca="1">OFFSET(INDIRECT("Sheet"&amp;G$2&amp;"!d1"),$G138-1,)</f>
        <v>0</v>
      </c>
      <c r="K138" cm="1">
        <f t="array" aca="1" ref="K138" ca="1">OFFSET(INDIRECT("Sheet"&amp;H$2&amp;"!d1"),$G138-1,)</f>
        <v>0</v>
      </c>
      <c r="L138" cm="1">
        <f t="array" aca="1" ref="L138" ca="1">OFFSET(INDIRECT("Sheet"&amp;I$2&amp;"!d1"),$G138-1,)</f>
        <v>0</v>
      </c>
      <c r="M138" cm="1">
        <f t="array" aca="1" ref="M138" ca="1">OFFSET(INDIRECT("Sheet"&amp;J$2&amp;"!d1"),$G138-1,)</f>
        <v>20</v>
      </c>
      <c r="N138" cm="1">
        <f t="array" aca="1" ref="N138" ca="1">OFFSET(INDIRECT("Sheet"&amp;M$2&amp;"!d1"),$G138-1,)</f>
        <v>20</v>
      </c>
      <c r="O138" cm="1">
        <f t="array" aca="1" ref="O138" ca="1">OFFSET(INDIRECT("Sheet"&amp;C$2&amp;"!d1"),$G138-1,)</f>
        <v>0</v>
      </c>
      <c r="P138" cm="1">
        <f t="array" aca="1" ref="P138" ca="1">OFFSET(INDIRECT("Sheet"&amp;D$2&amp;"!d1"),$G138-1,)</f>
        <v>0</v>
      </c>
      <c r="Q138" cm="1">
        <f t="array" aca="1" ref="Q138" ca="1">OFFSET(INDIRECT("Sheet"&amp;N$2&amp;"!d1"),$G138-1,)</f>
        <v>20</v>
      </c>
      <c r="R138" cm="1">
        <f t="array" aca="1" ref="R138" ca="1">OFFSET(INDIRECT("Sheet"&amp;O$2&amp;"!d1"),$G138-1,)</f>
        <v>20</v>
      </c>
      <c r="S138" cm="1">
        <f t="array" aca="1" ref="S138" ca="1">OFFSET(INDIRECT("Sheet"&amp;P$2&amp;"!d1"),$G138-1,)</f>
        <v>20</v>
      </c>
      <c r="T138" cm="1">
        <f t="array" aca="1" ref="T138" ca="1">OFFSET(INDIRECT("Sheet"&amp;Q$2&amp;"!d1"),$G138-1,)</f>
        <v>20</v>
      </c>
      <c r="U138" cm="1">
        <f t="array" aca="1" ref="U138" ca="1">OFFSET(INDIRECT("Sheet"&amp;R$2&amp;"!d1"),$G138-1,)</f>
        <v>20</v>
      </c>
      <c r="V138" cm="1">
        <f t="array" aca="1" ref="V138" ca="1">OFFSET(INDIRECT("Sheet"&amp;S$2&amp;"!d1"),$G138-1,)</f>
        <v>20</v>
      </c>
      <c r="W138" cm="1">
        <f t="array" aca="1" ref="W138" ca="1">OFFSET(INDIRECT("Sheet"&amp;T$2&amp;"!d1"),$G138-1,)</f>
        <v>20</v>
      </c>
      <c r="X138" cm="1">
        <f t="array" aca="1" ref="X138" ca="1">OFFSET(INDIRECT("Sheet"&amp;U$2&amp;"!d1"),$G138-1,)</f>
        <v>20</v>
      </c>
      <c r="Y138" cm="1">
        <f t="array" aca="1" ref="Y138" ca="1">OFFSET(INDIRECT("Sheet"&amp;V$2&amp;"!d1"),$G138-1,)</f>
        <v>20</v>
      </c>
      <c r="Z138"/>
      <c r="AB138" s="3" cm="1">
        <f t="array" aca="1" ref="AB138" ca="1">OFFSET(INDIRECT("Sheet"&amp;E$2&amp;"!f1"),$G138-1,)</f>
        <v>0</v>
      </c>
      <c r="AC138" s="3" cm="1">
        <f t="array" aca="1" ref="AC138" ca="1">OFFSET(INDIRECT("Sheet"&amp;F$2&amp;"!f1"),$G138-1,)</f>
        <v>0</v>
      </c>
      <c r="AD138" s="3" cm="1">
        <f t="array" aca="1" ref="AD138" ca="1">OFFSET(INDIRECT("Sheet"&amp;G$2&amp;"!f1"),$G138-1,)</f>
        <v>0</v>
      </c>
      <c r="AE138" s="3" cm="1">
        <f t="array" aca="1" ref="AE138" ca="1">OFFSET(INDIRECT("Sheet"&amp;H$2&amp;"!f1"),$G138-1,)</f>
        <v>0</v>
      </c>
      <c r="AF138" s="3" cm="1">
        <f t="array" aca="1" ref="AF138" ca="1">OFFSET(INDIRECT("Sheet"&amp;I$2&amp;"!f1"),$G138-1,)</f>
        <v>0</v>
      </c>
      <c r="AG138" s="3" cm="1">
        <f t="array" aca="1" ref="AG138" ca="1">OFFSET(INDIRECT("Sheet"&amp;J$2&amp;"!f1"),$G138-1,)</f>
        <v>2.2298730639740798</v>
      </c>
      <c r="AH138" s="3" cm="1">
        <f t="array" aca="1" ref="AH138" ca="1">OFFSET(INDIRECT("Sheet"&amp;K$2&amp;"!f1"),$G138-1,)</f>
        <v>1.97356229500002</v>
      </c>
      <c r="AI138" s="3" cm="1">
        <f t="array" aca="1" ref="AI138" ca="1">OFFSET(INDIRECT("Sheet"&amp;L$2&amp;"!f1"),$G138-1,)</f>
        <v>1.9718593100000099</v>
      </c>
      <c r="AJ138" s="3" cm="1">
        <f t="array" aca="1" ref="AJ138" ca="1">OFFSET(INDIRECT("Sheet"&amp;M$2&amp;"!f1"),$G138-1,)</f>
        <v>2.7272001365199601</v>
      </c>
      <c r="AK138" s="3" cm="1">
        <f t="array" aca="1" ref="AK138" ca="1">OFFSET(INDIRECT("Sheet"&amp;C$2&amp;"!f1"),$G138-1,)</f>
        <v>0</v>
      </c>
      <c r="AL138" s="3" cm="1">
        <f t="array" aca="1" ref="AL138" ca="1">OFFSET(INDIRECT("Sheet"&amp;D$2&amp;"!f1"),$G138-1,)</f>
        <v>0</v>
      </c>
      <c r="AM138" s="3" cm="1">
        <f t="array" aca="1" ref="AM138" ca="1">OFFSET(INDIRECT("Sheet"&amp;N$2&amp;"!f1"),$G138-1,)</f>
        <v>11.1917373966425</v>
      </c>
      <c r="AN138" s="3" cm="1">
        <f t="array" aca="1" ref="AN138" ca="1">OFFSET(INDIRECT("Sheet"&amp;O$2&amp;"!f1"),$G138-1,)</f>
        <v>25.2562255216762</v>
      </c>
      <c r="AO138" s="3" cm="1">
        <f t="array" aca="1" ref="AO138" ca="1">OFFSET(INDIRECT("Sheet"&amp;P$2&amp;"!f1"),$G138-1,)</f>
        <v>34.430247014388399</v>
      </c>
      <c r="AP138" s="3" cm="1">
        <f t="array" aca="1" ref="AP138" ca="1">OFFSET(INDIRECT("Sheet"&amp;Q$2&amp;"!f1"),$G138-1,)</f>
        <v>7.9310507420450396</v>
      </c>
      <c r="AQ138" s="3" cm="1">
        <f t="array" aca="1" ref="AQ138" ca="1">OFFSET(INDIRECT("Sheet"&amp;R$2&amp;"!f1"),$G138-1,)</f>
        <v>10.3465246837586</v>
      </c>
      <c r="AR138" s="3" cm="1">
        <f t="array" aca="1" ref="AR138" ca="1">OFFSET(INDIRECT("Sheet"&amp;S$2&amp;"!f1"),$G138-1,)</f>
        <v>25.721898571588099</v>
      </c>
      <c r="AS138" s="3" cm="1">
        <f t="array" aca="1" ref="AS138" ca="1">OFFSET(INDIRECT("Sheet"&amp;T$2&amp;"!f1"),$G138-1,)</f>
        <v>23.660069989040402</v>
      </c>
      <c r="AT138" s="3" cm="1">
        <f t="array" aca="1" ref="AT138" ca="1">OFFSET(INDIRECT("Sheet"&amp;U$2&amp;"!f1"),$G138-1,)</f>
        <v>31.0181251568719</v>
      </c>
      <c r="AU138" s="3" cm="1">
        <f t="array" aca="1" ref="AU138" ca="1">OFFSET(INDIRECT("Sheet"&amp;V$2&amp;"!f1"),$G138-1,)</f>
        <v>31.416640182957</v>
      </c>
      <c r="AV138" s="3"/>
      <c r="AX138">
        <f ca="1">IF(H138=$F138,1,0)</f>
        <v>0</v>
      </c>
      <c r="AY138">
        <f ca="1">IF(I138=$F138,1,0)</f>
        <v>0</v>
      </c>
      <c r="AZ138">
        <f ca="1">IF(J138=$F138,1,0)</f>
        <v>0</v>
      </c>
      <c r="BA138">
        <f ca="1">IF(K138=$F138,1,0)</f>
        <v>0</v>
      </c>
      <c r="BB138">
        <f ca="1">IF(L138=$F138,1,0)</f>
        <v>0</v>
      </c>
      <c r="BC138">
        <f ca="1">IF(M138=$F138,1,0)</f>
        <v>1</v>
      </c>
      <c r="BD138">
        <f ca="1">IF(C138=$F138,1,0)</f>
        <v>0</v>
      </c>
      <c r="BE138">
        <f ca="1">IF(D138=$F138,1,0)</f>
        <v>0</v>
      </c>
      <c r="BF138">
        <f t="shared" ca="1" si="29"/>
        <v>1</v>
      </c>
      <c r="BG138">
        <f t="shared" ca="1" si="30"/>
        <v>0</v>
      </c>
      <c r="BH138">
        <f t="shared" ca="1" si="31"/>
        <v>0</v>
      </c>
      <c r="BI138">
        <f t="shared" ca="1" si="32"/>
        <v>1</v>
      </c>
      <c r="BJ138">
        <f t="shared" ca="1" si="40"/>
        <v>1</v>
      </c>
      <c r="BK138">
        <f t="shared" ca="1" si="40"/>
        <v>1</v>
      </c>
      <c r="BL138">
        <f t="shared" ca="1" si="40"/>
        <v>1</v>
      </c>
      <c r="BM138">
        <f t="shared" ca="1" si="34"/>
        <v>1</v>
      </c>
      <c r="BN138">
        <f t="shared" ca="1" si="35"/>
        <v>1</v>
      </c>
      <c r="BO138">
        <f t="shared" ca="1" si="36"/>
        <v>1</v>
      </c>
      <c r="BP138">
        <f t="shared" ca="1" si="37"/>
        <v>1</v>
      </c>
      <c r="BQ138">
        <f t="shared" ca="1" si="38"/>
        <v>1</v>
      </c>
    </row>
    <row r="139" spans="1:69" s="4" customFormat="1" x14ac:dyDescent="0.2">
      <c r="A139" t="str">
        <f>Sheet3!A123</f>
        <v>[[93,4,20]]</v>
      </c>
      <c r="B139" s="4">
        <v>93</v>
      </c>
      <c r="C139" cm="1">
        <f t="array" aca="1" ref="C139" ca="1">OFFSET(INDIRECT("Sheet"&amp;K$2&amp;"!d1"),$G139-1,)</f>
        <v>20</v>
      </c>
      <c r="D139" cm="1">
        <f t="array" aca="1" ref="D139" ca="1">OFFSET(INDIRECT("Sheet"&amp;L$2&amp;"!d1"),$G139-1,)</f>
        <v>20</v>
      </c>
      <c r="E139" s="4">
        <v>4</v>
      </c>
      <c r="F139" s="4">
        <v>20</v>
      </c>
      <c r="G139">
        <f t="shared" si="39"/>
        <v>123</v>
      </c>
      <c r="H139" cm="1">
        <f t="array" aca="1" ref="H139" ca="1">OFFSET(INDIRECT("Sheet"&amp;E$2&amp;"!d1"),$G139-1,)</f>
        <v>0</v>
      </c>
      <c r="I139" cm="1">
        <f t="array" aca="1" ref="I139" ca="1">OFFSET(INDIRECT("Sheet"&amp;F$2&amp;"!d1"),$G139-1,)</f>
        <v>0</v>
      </c>
      <c r="J139" cm="1">
        <f t="array" aca="1" ref="J139" ca="1">OFFSET(INDIRECT("Sheet"&amp;G$2&amp;"!d1"),$G139-1,)</f>
        <v>0</v>
      </c>
      <c r="K139" cm="1">
        <f t="array" aca="1" ref="K139" ca="1">OFFSET(INDIRECT("Sheet"&amp;H$2&amp;"!d1"),$G139-1,)</f>
        <v>0</v>
      </c>
      <c r="L139" cm="1">
        <f t="array" aca="1" ref="L139" ca="1">OFFSET(INDIRECT("Sheet"&amp;I$2&amp;"!d1"),$G139-1,)</f>
        <v>0</v>
      </c>
      <c r="M139" cm="1">
        <f t="array" aca="1" ref="M139" ca="1">OFFSET(INDIRECT("Sheet"&amp;J$2&amp;"!d1"),$G139-1,)</f>
        <v>20</v>
      </c>
      <c r="N139" cm="1">
        <f t="array" aca="1" ref="N139" ca="1">OFFSET(INDIRECT("Sheet"&amp;M$2&amp;"!d1"),$G139-1,)</f>
        <v>20</v>
      </c>
      <c r="O139" cm="1">
        <f t="array" aca="1" ref="O139" ca="1">OFFSET(INDIRECT("Sheet"&amp;C$2&amp;"!d1"),$G139-1,)</f>
        <v>0</v>
      </c>
      <c r="P139" cm="1">
        <f t="array" aca="1" ref="P139" ca="1">OFFSET(INDIRECT("Sheet"&amp;D$2&amp;"!d1"),$G139-1,)</f>
        <v>0</v>
      </c>
      <c r="Q139" cm="1">
        <f t="array" aca="1" ref="Q139" ca="1">OFFSET(INDIRECT("Sheet"&amp;N$2&amp;"!d1"),$G139-1,)</f>
        <v>20</v>
      </c>
      <c r="R139" cm="1">
        <f t="array" aca="1" ref="R139" ca="1">OFFSET(INDIRECT("Sheet"&amp;O$2&amp;"!d1"),$G139-1,)</f>
        <v>20</v>
      </c>
      <c r="S139" cm="1">
        <f t="array" aca="1" ref="S139" ca="1">OFFSET(INDIRECT("Sheet"&amp;P$2&amp;"!d1"),$G139-1,)</f>
        <v>20</v>
      </c>
      <c r="T139" cm="1">
        <f t="array" aca="1" ref="T139" ca="1">OFFSET(INDIRECT("Sheet"&amp;Q$2&amp;"!d1"),$G139-1,)</f>
        <v>20</v>
      </c>
      <c r="U139" cm="1">
        <f t="array" aca="1" ref="U139" ca="1">OFFSET(INDIRECT("Sheet"&amp;R$2&amp;"!d1"),$G139-1,)</f>
        <v>20</v>
      </c>
      <c r="V139" cm="1">
        <f t="array" aca="1" ref="V139" ca="1">OFFSET(INDIRECT("Sheet"&amp;S$2&amp;"!d1"),$G139-1,)</f>
        <v>20</v>
      </c>
      <c r="W139" cm="1">
        <f t="array" aca="1" ref="W139" ca="1">OFFSET(INDIRECT("Sheet"&amp;T$2&amp;"!d1"),$G139-1,)</f>
        <v>20</v>
      </c>
      <c r="X139" cm="1">
        <f t="array" aca="1" ref="X139" ca="1">OFFSET(INDIRECT("Sheet"&amp;U$2&amp;"!d1"),$G139-1,)</f>
        <v>20</v>
      </c>
      <c r="Y139" cm="1">
        <f t="array" aca="1" ref="Y139" ca="1">OFFSET(INDIRECT("Sheet"&amp;V$2&amp;"!d1"),$G139-1,)</f>
        <v>20</v>
      </c>
      <c r="Z139"/>
      <c r="AB139" s="3" cm="1">
        <f t="array" aca="1" ref="AB139" ca="1">OFFSET(INDIRECT("Sheet"&amp;E$2&amp;"!f1"),$G139-1,)</f>
        <v>0</v>
      </c>
      <c r="AC139" s="3" cm="1">
        <f t="array" aca="1" ref="AC139" ca="1">OFFSET(INDIRECT("Sheet"&amp;F$2&amp;"!f1"),$G139-1,)</f>
        <v>0</v>
      </c>
      <c r="AD139" s="3" cm="1">
        <f t="array" aca="1" ref="AD139" ca="1">OFFSET(INDIRECT("Sheet"&amp;G$2&amp;"!f1"),$G139-1,)</f>
        <v>0</v>
      </c>
      <c r="AE139" s="3" cm="1">
        <f t="array" aca="1" ref="AE139" ca="1">OFFSET(INDIRECT("Sheet"&amp;H$2&amp;"!f1"),$G139-1,)</f>
        <v>0</v>
      </c>
      <c r="AF139" s="3" cm="1">
        <f t="array" aca="1" ref="AF139" ca="1">OFFSET(INDIRECT("Sheet"&amp;I$2&amp;"!f1"),$G139-1,)</f>
        <v>0</v>
      </c>
      <c r="AG139" s="3" cm="1">
        <f t="array" aca="1" ref="AG139" ca="1">OFFSET(INDIRECT("Sheet"&amp;J$2&amp;"!f1"),$G139-1,)</f>
        <v>2.23261114489287</v>
      </c>
      <c r="AH139" s="3" cm="1">
        <f t="array" aca="1" ref="AH139" ca="1">OFFSET(INDIRECT("Sheet"&amp;K$2&amp;"!f1"),$G139-1,)</f>
        <v>1.97627634999997</v>
      </c>
      <c r="AI139" s="3" cm="1">
        <f t="array" aca="1" ref="AI139" ca="1">OFFSET(INDIRECT("Sheet"&amp;L$2&amp;"!f1"),$G139-1,)</f>
        <v>1.9695815329999899</v>
      </c>
      <c r="AJ139" s="3" cm="1">
        <f t="array" aca="1" ref="AJ139" ca="1">OFFSET(INDIRECT("Sheet"&amp;M$2&amp;"!f1"),$G139-1,)</f>
        <v>2.7927537029609</v>
      </c>
      <c r="AK139" s="3" cm="1">
        <f t="array" aca="1" ref="AK139" ca="1">OFFSET(INDIRECT("Sheet"&amp;C$2&amp;"!f1"),$G139-1,)</f>
        <v>0</v>
      </c>
      <c r="AL139" s="3" cm="1">
        <f t="array" aca="1" ref="AL139" ca="1">OFFSET(INDIRECT("Sheet"&amp;D$2&amp;"!f1"),$G139-1,)</f>
        <v>0</v>
      </c>
      <c r="AM139" s="3" cm="1">
        <f t="array" aca="1" ref="AM139" ca="1">OFFSET(INDIRECT("Sheet"&amp;N$2&amp;"!f1"),$G139-1,)</f>
        <v>12.2289896532893</v>
      </c>
      <c r="AN139" s="3" cm="1">
        <f t="array" aca="1" ref="AN139" ca="1">OFFSET(INDIRECT("Sheet"&amp;O$2&amp;"!f1"),$G139-1,)</f>
        <v>26.361786354333098</v>
      </c>
      <c r="AO139" s="3" cm="1">
        <f t="array" aca="1" ref="AO139" ca="1">OFFSET(INDIRECT("Sheet"&amp;P$2&amp;"!f1"),$G139-1,)</f>
        <v>36.685853095725101</v>
      </c>
      <c r="AP139" s="3" cm="1">
        <f t="array" aca="1" ref="AP139" ca="1">OFFSET(INDIRECT("Sheet"&amp;Q$2&amp;"!f1"),$G139-1,)</f>
        <v>8.3946053246036101</v>
      </c>
      <c r="AQ139" s="3" cm="1">
        <f t="array" aca="1" ref="AQ139" ca="1">OFFSET(INDIRECT("Sheet"&amp;R$2&amp;"!f1"),$G139-1,)</f>
        <v>11.359042232856099</v>
      </c>
      <c r="AR139" s="3" cm="1">
        <f t="array" aca="1" ref="AR139" ca="1">OFFSET(INDIRECT("Sheet"&amp;S$2&amp;"!f1"),$G139-1,)</f>
        <v>26.259169292636201</v>
      </c>
      <c r="AS139" s="3" cm="1">
        <f t="array" aca="1" ref="AS139" ca="1">OFFSET(INDIRECT("Sheet"&amp;T$2&amp;"!f1"),$G139-1,)</f>
        <v>24.752445159479901</v>
      </c>
      <c r="AT139" s="3" cm="1">
        <f t="array" aca="1" ref="AT139" ca="1">OFFSET(INDIRECT("Sheet"&amp;U$2&amp;"!f1"),$G139-1,)</f>
        <v>33.6095565091818</v>
      </c>
      <c r="AU139" s="3" cm="1">
        <f t="array" aca="1" ref="AU139" ca="1">OFFSET(INDIRECT("Sheet"&amp;V$2&amp;"!f1"),$G139-1,)</f>
        <v>34.973877032287398</v>
      </c>
      <c r="AV139" s="3"/>
      <c r="AX139">
        <f ca="1">IF(H139=$F139,1,0)</f>
        <v>0</v>
      </c>
      <c r="AY139">
        <f ca="1">IF(I139=$F139,1,0)</f>
        <v>0</v>
      </c>
      <c r="AZ139">
        <f ca="1">IF(J139=$F139,1,0)</f>
        <v>0</v>
      </c>
      <c r="BA139">
        <f ca="1">IF(K139=$F139,1,0)</f>
        <v>0</v>
      </c>
      <c r="BB139">
        <f ca="1">IF(L139=$F139,1,0)</f>
        <v>0</v>
      </c>
      <c r="BC139">
        <f ca="1">IF(M139=$F139,1,0)</f>
        <v>1</v>
      </c>
      <c r="BD139">
        <f ca="1">IF(C139=$F139,1,0)</f>
        <v>1</v>
      </c>
      <c r="BE139">
        <f ca="1">IF(D139=$F139,1,0)</f>
        <v>1</v>
      </c>
      <c r="BF139">
        <f t="shared" ca="1" si="29"/>
        <v>1</v>
      </c>
      <c r="BG139">
        <f t="shared" ca="1" si="30"/>
        <v>0</v>
      </c>
      <c r="BH139">
        <f t="shared" ca="1" si="31"/>
        <v>0</v>
      </c>
      <c r="BI139">
        <f t="shared" ca="1" si="32"/>
        <v>1</v>
      </c>
      <c r="BJ139">
        <f t="shared" ca="1" si="40"/>
        <v>1</v>
      </c>
      <c r="BK139">
        <f t="shared" ca="1" si="40"/>
        <v>1</v>
      </c>
      <c r="BL139">
        <f t="shared" ca="1" si="40"/>
        <v>1</v>
      </c>
      <c r="BM139">
        <f t="shared" ca="1" si="34"/>
        <v>1</v>
      </c>
      <c r="BN139">
        <f t="shared" ca="1" si="35"/>
        <v>1</v>
      </c>
      <c r="BO139">
        <f t="shared" ca="1" si="36"/>
        <v>1</v>
      </c>
      <c r="BP139">
        <f t="shared" ca="1" si="37"/>
        <v>1</v>
      </c>
      <c r="BQ139">
        <f t="shared" ca="1" si="38"/>
        <v>1</v>
      </c>
    </row>
    <row r="140" spans="1:69" s="4" customFormat="1" x14ac:dyDescent="0.2">
      <c r="A140" t="str">
        <f>Sheet3!A124</f>
        <v>[[94,4,20]]</v>
      </c>
      <c r="B140" s="4">
        <v>94</v>
      </c>
      <c r="C140" cm="1">
        <f t="array" aca="1" ref="C140" ca="1">OFFSET(INDIRECT("Sheet"&amp;K$2&amp;"!d1"),$G140-1,)</f>
        <v>21</v>
      </c>
      <c r="D140" cm="1">
        <f t="array" aca="1" ref="D140" ca="1">OFFSET(INDIRECT("Sheet"&amp;L$2&amp;"!d1"),$G140-1,)</f>
        <v>20</v>
      </c>
      <c r="E140" s="4">
        <v>4</v>
      </c>
      <c r="F140" s="4">
        <v>20</v>
      </c>
      <c r="G140">
        <f t="shared" si="39"/>
        <v>124</v>
      </c>
      <c r="H140" cm="1">
        <f t="array" aca="1" ref="H140" ca="1">OFFSET(INDIRECT("Sheet"&amp;E$2&amp;"!d1"),$G140-1,)</f>
        <v>0</v>
      </c>
      <c r="I140" cm="1">
        <f t="array" aca="1" ref="I140" ca="1">OFFSET(INDIRECT("Sheet"&amp;F$2&amp;"!d1"),$G140-1,)</f>
        <v>0</v>
      </c>
      <c r="J140" cm="1">
        <f t="array" aca="1" ref="J140" ca="1">OFFSET(INDIRECT("Sheet"&amp;G$2&amp;"!d1"),$G140-1,)</f>
        <v>0</v>
      </c>
      <c r="K140" cm="1">
        <f t="array" aca="1" ref="K140" ca="1">OFFSET(INDIRECT("Sheet"&amp;H$2&amp;"!d1"),$G140-1,)</f>
        <v>0</v>
      </c>
      <c r="L140" cm="1">
        <f t="array" aca="1" ref="L140" ca="1">OFFSET(INDIRECT("Sheet"&amp;I$2&amp;"!d1"),$G140-1,)</f>
        <v>0</v>
      </c>
      <c r="M140" cm="1">
        <f t="array" aca="1" ref="M140" ca="1">OFFSET(INDIRECT("Sheet"&amp;J$2&amp;"!d1"),$G140-1,)</f>
        <v>20</v>
      </c>
      <c r="N140" cm="1">
        <f t="array" aca="1" ref="N140" ca="1">OFFSET(INDIRECT("Sheet"&amp;M$2&amp;"!d1"),$G140-1,)</f>
        <v>20</v>
      </c>
      <c r="O140" cm="1">
        <f t="array" aca="1" ref="O140" ca="1">OFFSET(INDIRECT("Sheet"&amp;C$2&amp;"!d1"),$G140-1,)</f>
        <v>0</v>
      </c>
      <c r="P140" cm="1">
        <f t="array" aca="1" ref="P140" ca="1">OFFSET(INDIRECT("Sheet"&amp;D$2&amp;"!d1"),$G140-1,)</f>
        <v>0</v>
      </c>
      <c r="Q140" cm="1">
        <f t="array" aca="1" ref="Q140" ca="1">OFFSET(INDIRECT("Sheet"&amp;N$2&amp;"!d1"),$G140-1,)</f>
        <v>20</v>
      </c>
      <c r="R140" cm="1">
        <f t="array" aca="1" ref="R140" ca="1">OFFSET(INDIRECT("Sheet"&amp;O$2&amp;"!d1"),$G140-1,)</f>
        <v>20</v>
      </c>
      <c r="S140" cm="1">
        <f t="array" aca="1" ref="S140" ca="1">OFFSET(INDIRECT("Sheet"&amp;P$2&amp;"!d1"),$G140-1,)</f>
        <v>20</v>
      </c>
      <c r="T140" cm="1">
        <f t="array" aca="1" ref="T140" ca="1">OFFSET(INDIRECT("Sheet"&amp;Q$2&amp;"!d1"),$G140-1,)</f>
        <v>20</v>
      </c>
      <c r="U140" cm="1">
        <f t="array" aca="1" ref="U140" ca="1">OFFSET(INDIRECT("Sheet"&amp;R$2&amp;"!d1"),$G140-1,)</f>
        <v>20</v>
      </c>
      <c r="V140" cm="1">
        <f t="array" aca="1" ref="V140" ca="1">OFFSET(INDIRECT("Sheet"&amp;S$2&amp;"!d1"),$G140-1,)</f>
        <v>20</v>
      </c>
      <c r="W140" cm="1">
        <f t="array" aca="1" ref="W140" ca="1">OFFSET(INDIRECT("Sheet"&amp;T$2&amp;"!d1"),$G140-1,)</f>
        <v>20</v>
      </c>
      <c r="X140" cm="1">
        <f t="array" aca="1" ref="X140" ca="1">OFFSET(INDIRECT("Sheet"&amp;U$2&amp;"!d1"),$G140-1,)</f>
        <v>21</v>
      </c>
      <c r="Y140" cm="1">
        <f t="array" aca="1" ref="Y140" ca="1">OFFSET(INDIRECT("Sheet"&amp;V$2&amp;"!d1"),$G140-1,)</f>
        <v>20</v>
      </c>
      <c r="Z140"/>
      <c r="AB140" s="3" cm="1">
        <f t="array" aca="1" ref="AB140" ca="1">OFFSET(INDIRECT("Sheet"&amp;E$2&amp;"!f1"),$G140-1,)</f>
        <v>0</v>
      </c>
      <c r="AC140" s="3" cm="1">
        <f t="array" aca="1" ref="AC140" ca="1">OFFSET(INDIRECT("Sheet"&amp;F$2&amp;"!f1"),$G140-1,)</f>
        <v>0</v>
      </c>
      <c r="AD140" s="3" cm="1">
        <f t="array" aca="1" ref="AD140" ca="1">OFFSET(INDIRECT("Sheet"&amp;G$2&amp;"!f1"),$G140-1,)</f>
        <v>0</v>
      </c>
      <c r="AE140" s="3" cm="1">
        <f t="array" aca="1" ref="AE140" ca="1">OFFSET(INDIRECT("Sheet"&amp;H$2&amp;"!f1"),$G140-1,)</f>
        <v>0</v>
      </c>
      <c r="AF140" s="3" cm="1">
        <f t="array" aca="1" ref="AF140" ca="1">OFFSET(INDIRECT("Sheet"&amp;I$2&amp;"!f1"),$G140-1,)</f>
        <v>0</v>
      </c>
      <c r="AG140" s="3" cm="1">
        <f t="array" aca="1" ref="AG140" ca="1">OFFSET(INDIRECT("Sheet"&amp;J$2&amp;"!f1"),$G140-1,)</f>
        <v>2.26271469984203</v>
      </c>
      <c r="AH140" s="3" cm="1">
        <f t="array" aca="1" ref="AH140" ca="1">OFFSET(INDIRECT("Sheet"&amp;K$2&amp;"!f1"),$G140-1,)</f>
        <v>2.0063652969999999</v>
      </c>
      <c r="AI140" s="3" cm="1">
        <f t="array" aca="1" ref="AI140" ca="1">OFFSET(INDIRECT("Sheet"&amp;L$2&amp;"!f1"),$G140-1,)</f>
        <v>1.996663568</v>
      </c>
      <c r="AJ140" s="3" cm="1">
        <f t="array" aca="1" ref="AJ140" ca="1">OFFSET(INDIRECT("Sheet"&amp;M$2&amp;"!f1"),$G140-1,)</f>
        <v>2.81636347342282</v>
      </c>
      <c r="AK140" s="3" cm="1">
        <f t="array" aca="1" ref="AK140" ca="1">OFFSET(INDIRECT("Sheet"&amp;C$2&amp;"!f1"),$G140-1,)</f>
        <v>0</v>
      </c>
      <c r="AL140" s="3" cm="1">
        <f t="array" aca="1" ref="AL140" ca="1">OFFSET(INDIRECT("Sheet"&amp;D$2&amp;"!f1"),$G140-1,)</f>
        <v>0</v>
      </c>
      <c r="AM140" s="3" cm="1">
        <f t="array" aca="1" ref="AM140" ca="1">OFFSET(INDIRECT("Sheet"&amp;N$2&amp;"!f1"),$G140-1,)</f>
        <v>12.246852165088001</v>
      </c>
      <c r="AN140" s="3" cm="1">
        <f t="array" aca="1" ref="AN140" ca="1">OFFSET(INDIRECT("Sheet"&amp;O$2&amp;"!f1"),$G140-1,)</f>
        <v>26.564996362663798</v>
      </c>
      <c r="AO140" s="3" cm="1">
        <f t="array" aca="1" ref="AO140" ca="1">OFFSET(INDIRECT("Sheet"&amp;P$2&amp;"!f1"),$G140-1,)</f>
        <v>36.052396412007496</v>
      </c>
      <c r="AP140" s="3" cm="1">
        <f t="array" aca="1" ref="AP140" ca="1">OFFSET(INDIRECT("Sheet"&amp;Q$2&amp;"!f1"),$G140-1,)</f>
        <v>8.4535241462290198</v>
      </c>
      <c r="AQ140" s="3" cm="1">
        <f t="array" aca="1" ref="AQ140" ca="1">OFFSET(INDIRECT("Sheet"&amp;R$2&amp;"!f1"),$G140-1,)</f>
        <v>11.3952150102704</v>
      </c>
      <c r="AR140" s="3" cm="1">
        <f t="array" aca="1" ref="AR140" ca="1">OFFSET(INDIRECT("Sheet"&amp;S$2&amp;"!f1"),$G140-1,)</f>
        <v>31.957017469219799</v>
      </c>
      <c r="AS140" s="3" cm="1">
        <f t="array" aca="1" ref="AS140" ca="1">OFFSET(INDIRECT("Sheet"&amp;T$2&amp;"!f1"),$G140-1,)</f>
        <v>24.621995561756101</v>
      </c>
      <c r="AT140" s="3" cm="1">
        <f t="array" aca="1" ref="AT140" ca="1">OFFSET(INDIRECT("Sheet"&amp;U$2&amp;"!f1"),$G140-1,)</f>
        <v>33.323461254127302</v>
      </c>
      <c r="AU140" s="3" cm="1">
        <f t="array" aca="1" ref="AU140" ca="1">OFFSET(INDIRECT("Sheet"&amp;V$2&amp;"!f1"),$G140-1,)</f>
        <v>34.811747514642697</v>
      </c>
      <c r="AV140" s="3"/>
      <c r="AX140">
        <f ca="1">IF(H140=$F140,1,0)</f>
        <v>0</v>
      </c>
      <c r="AY140">
        <f ca="1">IF(I140=$F140,1,0)</f>
        <v>0</v>
      </c>
      <c r="AZ140">
        <f ca="1">IF(J140=$F140,1,0)</f>
        <v>0</v>
      </c>
      <c r="BA140">
        <f ca="1">IF(K140=$F140,1,0)</f>
        <v>0</v>
      </c>
      <c r="BB140">
        <f ca="1">IF(L140=$F140,1,0)</f>
        <v>0</v>
      </c>
      <c r="BC140">
        <f ca="1">IF(M140=$F140,1,0)</f>
        <v>1</v>
      </c>
      <c r="BD140">
        <f ca="1">IF(C140=$F140,1,0)</f>
        <v>0</v>
      </c>
      <c r="BE140">
        <f ca="1">IF(D140=$F140,1,0)</f>
        <v>1</v>
      </c>
      <c r="BF140">
        <f t="shared" ca="1" si="29"/>
        <v>1</v>
      </c>
      <c r="BG140">
        <f t="shared" ca="1" si="30"/>
        <v>0</v>
      </c>
      <c r="BH140">
        <f t="shared" ca="1" si="31"/>
        <v>0</v>
      </c>
      <c r="BI140">
        <f t="shared" ca="1" si="32"/>
        <v>1</v>
      </c>
      <c r="BJ140">
        <f t="shared" ca="1" si="40"/>
        <v>1</v>
      </c>
      <c r="BK140">
        <f t="shared" ca="1" si="40"/>
        <v>1</v>
      </c>
      <c r="BL140">
        <f t="shared" ca="1" si="40"/>
        <v>1</v>
      </c>
      <c r="BM140">
        <f t="shared" ca="1" si="34"/>
        <v>1</v>
      </c>
      <c r="BN140">
        <f t="shared" ca="1" si="35"/>
        <v>1</v>
      </c>
      <c r="BO140">
        <f t="shared" ca="1" si="36"/>
        <v>1</v>
      </c>
      <c r="BP140">
        <f t="shared" ca="1" si="37"/>
        <v>0</v>
      </c>
      <c r="BQ140">
        <f t="shared" ca="1" si="38"/>
        <v>1</v>
      </c>
    </row>
    <row r="141" spans="1:69" s="4" customFormat="1" x14ac:dyDescent="0.2">
      <c r="A141" t="str">
        <f>Sheet3!A125</f>
        <v>[[95,5,19]]</v>
      </c>
      <c r="B141" s="4">
        <v>95</v>
      </c>
      <c r="C141" cm="1">
        <f t="array" aca="1" ref="C141" ca="1">OFFSET(INDIRECT("Sheet"&amp;K$2&amp;"!d1"),$G141-1,)</f>
        <v>19</v>
      </c>
      <c r="D141" cm="1">
        <f t="array" aca="1" ref="D141" ca="1">OFFSET(INDIRECT("Sheet"&amp;L$2&amp;"!d1"),$G141-1,)</f>
        <v>19</v>
      </c>
      <c r="E141" s="4">
        <v>5</v>
      </c>
      <c r="F141" s="4">
        <v>19</v>
      </c>
      <c r="G141">
        <f t="shared" si="39"/>
        <v>125</v>
      </c>
      <c r="H141" cm="1">
        <f t="array" aca="1" ref="H141" ca="1">OFFSET(INDIRECT("Sheet"&amp;E$2&amp;"!d1"),$G141-1,)</f>
        <v>0</v>
      </c>
      <c r="I141" cm="1">
        <f t="array" aca="1" ref="I141" ca="1">OFFSET(INDIRECT("Sheet"&amp;F$2&amp;"!d1"),$G141-1,)</f>
        <v>0</v>
      </c>
      <c r="J141" cm="1">
        <f t="array" aca="1" ref="J141" ca="1">OFFSET(INDIRECT("Sheet"&amp;G$2&amp;"!d1"),$G141-1,)</f>
        <v>0</v>
      </c>
      <c r="K141" cm="1">
        <f t="array" aca="1" ref="K141" ca="1">OFFSET(INDIRECT("Sheet"&amp;H$2&amp;"!d1"),$G141-1,)</f>
        <v>0</v>
      </c>
      <c r="L141" cm="1">
        <f t="array" aca="1" ref="L141" ca="1">OFFSET(INDIRECT("Sheet"&amp;I$2&amp;"!d1"),$G141-1,)</f>
        <v>0</v>
      </c>
      <c r="M141" cm="1">
        <f t="array" aca="1" ref="M141" ca="1">OFFSET(INDIRECT("Sheet"&amp;J$2&amp;"!d1"),$G141-1,)</f>
        <v>19</v>
      </c>
      <c r="N141" cm="1">
        <f t="array" aca="1" ref="N141" ca="1">OFFSET(INDIRECT("Sheet"&amp;M$2&amp;"!d1"),$G141-1,)</f>
        <v>19</v>
      </c>
      <c r="O141" cm="1">
        <f t="array" aca="1" ref="O141" ca="1">OFFSET(INDIRECT("Sheet"&amp;C$2&amp;"!d1"),$G141-1,)</f>
        <v>0</v>
      </c>
      <c r="P141" cm="1">
        <f t="array" aca="1" ref="P141" ca="1">OFFSET(INDIRECT("Sheet"&amp;D$2&amp;"!d1"),$G141-1,)</f>
        <v>0</v>
      </c>
      <c r="Q141" cm="1">
        <f t="array" aca="1" ref="Q141" ca="1">OFFSET(INDIRECT("Sheet"&amp;N$2&amp;"!d1"),$G141-1,)</f>
        <v>19</v>
      </c>
      <c r="R141" cm="1">
        <f t="array" aca="1" ref="R141" ca="1">OFFSET(INDIRECT("Sheet"&amp;O$2&amp;"!d1"),$G141-1,)</f>
        <v>19</v>
      </c>
      <c r="S141" cm="1">
        <f t="array" aca="1" ref="S141" ca="1">OFFSET(INDIRECT("Sheet"&amp;P$2&amp;"!d1"),$G141-1,)</f>
        <v>19</v>
      </c>
      <c r="T141" cm="1">
        <f t="array" aca="1" ref="T141" ca="1">OFFSET(INDIRECT("Sheet"&amp;Q$2&amp;"!d1"),$G141-1,)</f>
        <v>20</v>
      </c>
      <c r="U141" cm="1">
        <f t="array" aca="1" ref="U141" ca="1">OFFSET(INDIRECT("Sheet"&amp;R$2&amp;"!d1"),$G141-1,)</f>
        <v>19</v>
      </c>
      <c r="V141" cm="1">
        <f t="array" aca="1" ref="V141" ca="1">OFFSET(INDIRECT("Sheet"&amp;S$2&amp;"!d1"),$G141-1,)</f>
        <v>19</v>
      </c>
      <c r="W141" cm="1">
        <f t="array" aca="1" ref="W141" ca="1">OFFSET(INDIRECT("Sheet"&amp;T$2&amp;"!d1"),$G141-1,)</f>
        <v>19</v>
      </c>
      <c r="X141" cm="1">
        <f t="array" aca="1" ref="X141" ca="1">OFFSET(INDIRECT("Sheet"&amp;U$2&amp;"!d1"),$G141-1,)</f>
        <v>19</v>
      </c>
      <c r="Y141" cm="1">
        <f t="array" aca="1" ref="Y141" ca="1">OFFSET(INDIRECT("Sheet"&amp;V$2&amp;"!d1"),$G141-1,)</f>
        <v>19</v>
      </c>
      <c r="Z141"/>
      <c r="AB141" s="3" cm="1">
        <f t="array" aca="1" ref="AB141" ca="1">OFFSET(INDIRECT("Sheet"&amp;E$2&amp;"!f1"),$G141-1,)</f>
        <v>0</v>
      </c>
      <c r="AC141" s="3" cm="1">
        <f t="array" aca="1" ref="AC141" ca="1">OFFSET(INDIRECT("Sheet"&amp;F$2&amp;"!f1"),$G141-1,)</f>
        <v>0</v>
      </c>
      <c r="AD141" s="3" cm="1">
        <f t="array" aca="1" ref="AD141" ca="1">OFFSET(INDIRECT("Sheet"&amp;G$2&amp;"!f1"),$G141-1,)</f>
        <v>0</v>
      </c>
      <c r="AE141" s="3" cm="1">
        <f t="array" aca="1" ref="AE141" ca="1">OFFSET(INDIRECT("Sheet"&amp;H$2&amp;"!f1"),$G141-1,)</f>
        <v>0</v>
      </c>
      <c r="AF141" s="3" cm="1">
        <f t="array" aca="1" ref="AF141" ca="1">OFFSET(INDIRECT("Sheet"&amp;I$2&amp;"!f1"),$G141-1,)</f>
        <v>0</v>
      </c>
      <c r="AG141" s="3" cm="1">
        <f t="array" aca="1" ref="AG141" ca="1">OFFSET(INDIRECT("Sheet"&amp;J$2&amp;"!f1"),$G141-1,)</f>
        <v>2.1475245263427398</v>
      </c>
      <c r="AH141" s="3" cm="1">
        <f t="array" aca="1" ref="AH141" ca="1">OFFSET(INDIRECT("Sheet"&amp;K$2&amp;"!f1"),$G141-1,)</f>
        <v>1.8919485389999899</v>
      </c>
      <c r="AI141" s="3" cm="1">
        <f t="array" aca="1" ref="AI141" ca="1">OFFSET(INDIRECT("Sheet"&amp;L$2&amp;"!f1"),$G141-1,)</f>
        <v>1.8931161380000101</v>
      </c>
      <c r="AJ141" s="3" cm="1">
        <f t="array" aca="1" ref="AJ141" ca="1">OFFSET(INDIRECT("Sheet"&amp;M$2&amp;"!f1"),$G141-1,)</f>
        <v>2.7424096604809098</v>
      </c>
      <c r="AK141" s="3" cm="1">
        <f t="array" aca="1" ref="AK141" ca="1">OFFSET(INDIRECT("Sheet"&amp;C$2&amp;"!f1"),$G141-1,)</f>
        <v>0</v>
      </c>
      <c r="AL141" s="3" cm="1">
        <f t="array" aca="1" ref="AL141" ca="1">OFFSET(INDIRECT("Sheet"&amp;D$2&amp;"!f1"),$G141-1,)</f>
        <v>0</v>
      </c>
      <c r="AM141" s="3" cm="1">
        <f t="array" aca="1" ref="AM141" ca="1">OFFSET(INDIRECT("Sheet"&amp;N$2&amp;"!f1"),$G141-1,)</f>
        <v>12.4190290840342</v>
      </c>
      <c r="AN141" s="3" cm="1">
        <f t="array" aca="1" ref="AN141" ca="1">OFFSET(INDIRECT("Sheet"&amp;O$2&amp;"!f1"),$G141-1,)</f>
        <v>26.236992618068999</v>
      </c>
      <c r="AO141" s="3" cm="1">
        <f t="array" aca="1" ref="AO141" ca="1">OFFSET(INDIRECT("Sheet"&amp;P$2&amp;"!f1"),$G141-1,)</f>
        <v>35.894671796821001</v>
      </c>
      <c r="AP141" s="3" cm="1">
        <f t="array" aca="1" ref="AP141" ca="1">OFFSET(INDIRECT("Sheet"&amp;Q$2&amp;"!f1"),$G141-1,)</f>
        <v>8.6764428196474892</v>
      </c>
      <c r="AQ141" s="3" cm="1">
        <f t="array" aca="1" ref="AQ141" ca="1">OFFSET(INDIRECT("Sheet"&amp;R$2&amp;"!f1"),$G141-1,)</f>
        <v>11.517994856461801</v>
      </c>
      <c r="AR141" s="3" cm="1">
        <f t="array" aca="1" ref="AR141" ca="1">OFFSET(INDIRECT("Sheet"&amp;S$2&amp;"!f1"),$G141-1,)</f>
        <v>24.6688368190079</v>
      </c>
      <c r="AS141" s="3" cm="1">
        <f t="array" aca="1" ref="AS141" ca="1">OFFSET(INDIRECT("Sheet"&amp;T$2&amp;"!f1"),$G141-1,)</f>
        <v>24.387543633580201</v>
      </c>
      <c r="AT141" s="3" cm="1">
        <f t="array" aca="1" ref="AT141" ca="1">OFFSET(INDIRECT("Sheet"&amp;U$2&amp;"!f1"),$G141-1,)</f>
        <v>33.206304507330003</v>
      </c>
      <c r="AU141" s="3" cm="1">
        <f t="array" aca="1" ref="AU141" ca="1">OFFSET(INDIRECT("Sheet"&amp;V$2&amp;"!f1"),$G141-1,)</f>
        <v>34.4084599772468</v>
      </c>
      <c r="AV141" s="3"/>
      <c r="AX141">
        <f ca="1">IF(H141=$F141,1,0)</f>
        <v>0</v>
      </c>
      <c r="AY141">
        <f ca="1">IF(I141=$F141,1,0)</f>
        <v>0</v>
      </c>
      <c r="AZ141">
        <f ca="1">IF(J141=$F141,1,0)</f>
        <v>0</v>
      </c>
      <c r="BA141">
        <f ca="1">IF(K141=$F141,1,0)</f>
        <v>0</v>
      </c>
      <c r="BB141">
        <f ca="1">IF(L141=$F141,1,0)</f>
        <v>0</v>
      </c>
      <c r="BC141">
        <f ca="1">IF(M141=$F141,1,0)</f>
        <v>1</v>
      </c>
      <c r="BD141">
        <f ca="1">IF(C141=$F141,1,0)</f>
        <v>1</v>
      </c>
      <c r="BE141">
        <f ca="1">IF(D141=$F141,1,0)</f>
        <v>1</v>
      </c>
      <c r="BF141">
        <f t="shared" ca="1" si="29"/>
        <v>1</v>
      </c>
      <c r="BG141">
        <f t="shared" ca="1" si="30"/>
        <v>0</v>
      </c>
      <c r="BH141">
        <f t="shared" ca="1" si="31"/>
        <v>0</v>
      </c>
      <c r="BI141">
        <f t="shared" ca="1" si="32"/>
        <v>1</v>
      </c>
      <c r="BJ141">
        <f t="shared" ca="1" si="40"/>
        <v>1</v>
      </c>
      <c r="BK141">
        <f t="shared" ca="1" si="40"/>
        <v>1</v>
      </c>
      <c r="BL141">
        <f t="shared" ca="1" si="40"/>
        <v>0</v>
      </c>
      <c r="BM141">
        <f t="shared" ca="1" si="34"/>
        <v>1</v>
      </c>
      <c r="BN141">
        <f t="shared" ca="1" si="35"/>
        <v>1</v>
      </c>
      <c r="BO141">
        <f t="shared" ca="1" si="36"/>
        <v>1</v>
      </c>
      <c r="BP141">
        <f t="shared" ca="1" si="37"/>
        <v>1</v>
      </c>
      <c r="BQ141">
        <f t="shared" ca="1" si="38"/>
        <v>1</v>
      </c>
    </row>
    <row r="142" spans="1:69" s="4" customFormat="1" x14ac:dyDescent="0.2">
      <c r="A142" t="str">
        <f>Sheet3!A126</f>
        <v>[[96,27,14]]</v>
      </c>
      <c r="B142" s="4">
        <v>96</v>
      </c>
      <c r="C142" cm="1">
        <f t="array" aca="1" ref="C142" ca="1">OFFSET(INDIRECT("Sheet"&amp;K$2&amp;"!d1"),$G142-1,)</f>
        <v>14</v>
      </c>
      <c r="D142" cm="1">
        <f t="array" aca="1" ref="D142" ca="1">OFFSET(INDIRECT("Sheet"&amp;L$2&amp;"!d1"),$G142-1,)</f>
        <v>14</v>
      </c>
      <c r="E142" s="4">
        <v>27</v>
      </c>
      <c r="F142" s="4">
        <v>14</v>
      </c>
      <c r="G142">
        <f t="shared" si="39"/>
        <v>126</v>
      </c>
      <c r="H142" cm="1">
        <f t="array" aca="1" ref="H142" ca="1">OFFSET(INDIRECT("Sheet"&amp;E$2&amp;"!d1"),$G142-1,)</f>
        <v>0</v>
      </c>
      <c r="I142" cm="1">
        <f t="array" aca="1" ref="I142" ca="1">OFFSET(INDIRECT("Sheet"&amp;F$2&amp;"!d1"),$G142-1,)</f>
        <v>0</v>
      </c>
      <c r="J142" cm="1">
        <f t="array" aca="1" ref="J142" ca="1">OFFSET(INDIRECT("Sheet"&amp;G$2&amp;"!d1"),$G142-1,)</f>
        <v>0</v>
      </c>
      <c r="K142" cm="1">
        <f t="array" aca="1" ref="K142" ca="1">OFFSET(INDIRECT("Sheet"&amp;H$2&amp;"!d1"),$G142-1,)</f>
        <v>0</v>
      </c>
      <c r="L142" cm="1">
        <f t="array" aca="1" ref="L142" ca="1">OFFSET(INDIRECT("Sheet"&amp;I$2&amp;"!d1"),$G142-1,)</f>
        <v>0</v>
      </c>
      <c r="M142" cm="1">
        <f t="array" aca="1" ref="M142" ca="1">OFFSET(INDIRECT("Sheet"&amp;J$2&amp;"!d1"),$G142-1,)</f>
        <v>15</v>
      </c>
      <c r="N142" cm="1">
        <f t="array" aca="1" ref="N142" ca="1">OFFSET(INDIRECT("Sheet"&amp;M$2&amp;"!d1"),$G142-1,)</f>
        <v>14</v>
      </c>
      <c r="O142" cm="1">
        <f t="array" aca="1" ref="O142" ca="1">OFFSET(INDIRECT("Sheet"&amp;C$2&amp;"!d1"),$G142-1,)</f>
        <v>0</v>
      </c>
      <c r="P142" cm="1">
        <f t="array" aca="1" ref="P142" ca="1">OFFSET(INDIRECT("Sheet"&amp;D$2&amp;"!d1"),$G142-1,)</f>
        <v>0</v>
      </c>
      <c r="Q142" cm="1">
        <f t="array" aca="1" ref="Q142" ca="1">OFFSET(INDIRECT("Sheet"&amp;N$2&amp;"!d1"),$G142-1,)</f>
        <v>14</v>
      </c>
      <c r="R142" cm="1">
        <f t="array" aca="1" ref="R142" ca="1">OFFSET(INDIRECT("Sheet"&amp;O$2&amp;"!d1"),$G142-1,)</f>
        <v>14</v>
      </c>
      <c r="S142" cm="1">
        <f t="array" aca="1" ref="S142" ca="1">OFFSET(INDIRECT("Sheet"&amp;P$2&amp;"!d1"),$G142-1,)</f>
        <v>14</v>
      </c>
      <c r="T142" cm="1">
        <f t="array" aca="1" ref="T142" ca="1">OFFSET(INDIRECT("Sheet"&amp;Q$2&amp;"!d1"),$G142-1,)</f>
        <v>14</v>
      </c>
      <c r="U142" cm="1">
        <f t="array" aca="1" ref="U142" ca="1">OFFSET(INDIRECT("Sheet"&amp;R$2&amp;"!d1"),$G142-1,)</f>
        <v>14</v>
      </c>
      <c r="V142" cm="1">
        <f t="array" aca="1" ref="V142" ca="1">OFFSET(INDIRECT("Sheet"&amp;S$2&amp;"!d1"),$G142-1,)</f>
        <v>14</v>
      </c>
      <c r="W142" cm="1">
        <f t="array" aca="1" ref="W142" ca="1">OFFSET(INDIRECT("Sheet"&amp;T$2&amp;"!d1"),$G142-1,)</f>
        <v>14</v>
      </c>
      <c r="X142" cm="1">
        <f t="array" aca="1" ref="X142" ca="1">OFFSET(INDIRECT("Sheet"&amp;U$2&amp;"!d1"),$G142-1,)</f>
        <v>14</v>
      </c>
      <c r="Y142" cm="1">
        <f t="array" aca="1" ref="Y142" ca="1">OFFSET(INDIRECT("Sheet"&amp;V$2&amp;"!d1"),$G142-1,)</f>
        <v>14</v>
      </c>
      <c r="Z142"/>
      <c r="AB142" s="3" cm="1">
        <f t="array" aca="1" ref="AB142" ca="1">OFFSET(INDIRECT("Sheet"&amp;E$2&amp;"!f1"),$G142-1,)</f>
        <v>0</v>
      </c>
      <c r="AC142" s="3" cm="1">
        <f t="array" aca="1" ref="AC142" ca="1">OFFSET(INDIRECT("Sheet"&amp;F$2&amp;"!f1"),$G142-1,)</f>
        <v>0</v>
      </c>
      <c r="AD142" s="3" cm="1">
        <f t="array" aca="1" ref="AD142" ca="1">OFFSET(INDIRECT("Sheet"&amp;G$2&amp;"!f1"),$G142-1,)</f>
        <v>0</v>
      </c>
      <c r="AE142" s="3" cm="1">
        <f t="array" aca="1" ref="AE142" ca="1">OFFSET(INDIRECT("Sheet"&amp;H$2&amp;"!f1"),$G142-1,)</f>
        <v>0</v>
      </c>
      <c r="AF142" s="3" cm="1">
        <f t="array" aca="1" ref="AF142" ca="1">OFFSET(INDIRECT("Sheet"&amp;I$2&amp;"!f1"),$G142-1,)</f>
        <v>0</v>
      </c>
      <c r="AG142" s="3" cm="1">
        <f t="array" aca="1" ref="AG142" ca="1">OFFSET(INDIRECT("Sheet"&amp;J$2&amp;"!f1"),$G142-1,)</f>
        <v>2.0033556679263702</v>
      </c>
      <c r="AH142" s="3" cm="1">
        <f t="array" aca="1" ref="AH142" ca="1">OFFSET(INDIRECT("Sheet"&amp;K$2&amp;"!f1"),$G142-1,)</f>
        <v>1.758782351</v>
      </c>
      <c r="AI142" s="3" cm="1">
        <f t="array" aca="1" ref="AI142" ca="1">OFFSET(INDIRECT("Sheet"&amp;L$2&amp;"!f1"),$G142-1,)</f>
        <v>1.7621587559999901</v>
      </c>
      <c r="AJ142" s="3" cm="1">
        <f t="array" aca="1" ref="AJ142" ca="1">OFFSET(INDIRECT("Sheet"&amp;M$2&amp;"!f1"),$G142-1,)</f>
        <v>3.1382205840200101</v>
      </c>
      <c r="AK142" s="3" cm="1">
        <f t="array" aca="1" ref="AK142" ca="1">OFFSET(INDIRECT("Sheet"&amp;C$2&amp;"!f1"),$G142-1,)</f>
        <v>0</v>
      </c>
      <c r="AL142" s="3" cm="1">
        <f t="array" aca="1" ref="AL142" ca="1">OFFSET(INDIRECT("Sheet"&amp;D$2&amp;"!f1"),$G142-1,)</f>
        <v>0</v>
      </c>
      <c r="AM142" s="3" cm="1">
        <f t="array" aca="1" ref="AM142" ca="1">OFFSET(INDIRECT("Sheet"&amp;N$2&amp;"!f1"),$G142-1,)</f>
        <v>27.090642912313299</v>
      </c>
      <c r="AN142" s="3" cm="1">
        <f t="array" aca="1" ref="AN142" ca="1">OFFSET(INDIRECT("Sheet"&amp;O$2&amp;"!f1"),$G142-1,)</f>
        <v>48.203070767223799</v>
      </c>
      <c r="AO142" s="3" cm="1">
        <f t="array" aca="1" ref="AO142" ca="1">OFFSET(INDIRECT("Sheet"&amp;P$2&amp;"!f1"),$G142-1,)</f>
        <v>86.655456347390995</v>
      </c>
      <c r="AP142" s="3" cm="1">
        <f t="array" aca="1" ref="AP142" ca="1">OFFSET(INDIRECT("Sheet"&amp;Q$2&amp;"!f1"),$G142-1,)</f>
        <v>20.018785525113302</v>
      </c>
      <c r="AQ142" s="3" cm="1">
        <f t="array" aca="1" ref="AQ142" ca="1">OFFSET(INDIRECT("Sheet"&amp;R$2&amp;"!f1"),$G142-1,)</f>
        <v>25.153417877852899</v>
      </c>
      <c r="AR142" s="3" cm="1">
        <f t="array" aca="1" ref="AR142" ca="1">OFFSET(INDIRECT("Sheet"&amp;S$2&amp;"!f1"),$G142-1,)</f>
        <v>40.733940077945498</v>
      </c>
      <c r="AS142" s="3" cm="1">
        <f t="array" aca="1" ref="AS142" ca="1">OFFSET(INDIRECT("Sheet"&amp;T$2&amp;"!f1"),$G142-1,)</f>
        <v>43.899668761529</v>
      </c>
      <c r="AT142" s="3" cm="1">
        <f t="array" aca="1" ref="AT142" ca="1">OFFSET(INDIRECT("Sheet"&amp;U$2&amp;"!f1"),$G142-1,)</f>
        <v>72.868492560461107</v>
      </c>
      <c r="AU142" s="3" cm="1">
        <f t="array" aca="1" ref="AU142" ca="1">OFFSET(INDIRECT("Sheet"&amp;V$2&amp;"!f1"),$G142-1,)</f>
        <v>79.826961993239806</v>
      </c>
      <c r="AV142" s="3"/>
      <c r="AX142">
        <f ca="1">IF(H142=$F142,1,0)</f>
        <v>0</v>
      </c>
      <c r="AY142">
        <f ca="1">IF(I142=$F142,1,0)</f>
        <v>0</v>
      </c>
      <c r="AZ142">
        <f ca="1">IF(J142=$F142,1,0)</f>
        <v>0</v>
      </c>
      <c r="BA142">
        <f ca="1">IF(K142=$F142,1,0)</f>
        <v>0</v>
      </c>
      <c r="BB142">
        <f ca="1">IF(L142=$F142,1,0)</f>
        <v>0</v>
      </c>
      <c r="BC142">
        <f ca="1">IF(M142=$F142,1,0)</f>
        <v>0</v>
      </c>
      <c r="BD142">
        <f ca="1">IF(C142=$F142,1,0)</f>
        <v>1</v>
      </c>
      <c r="BE142">
        <f ca="1">IF(D142=$F142,1,0)</f>
        <v>1</v>
      </c>
      <c r="BF142">
        <f t="shared" ca="1" si="29"/>
        <v>1</v>
      </c>
      <c r="BG142">
        <f t="shared" ca="1" si="30"/>
        <v>0</v>
      </c>
      <c r="BH142">
        <f t="shared" ca="1" si="31"/>
        <v>0</v>
      </c>
      <c r="BI142">
        <f t="shared" ca="1" si="32"/>
        <v>1</v>
      </c>
      <c r="BJ142">
        <f t="shared" ca="1" si="40"/>
        <v>1</v>
      </c>
      <c r="BK142">
        <f t="shared" ca="1" si="40"/>
        <v>1</v>
      </c>
      <c r="BL142">
        <f t="shared" ca="1" si="40"/>
        <v>1</v>
      </c>
      <c r="BM142">
        <f t="shared" ca="1" si="34"/>
        <v>1</v>
      </c>
      <c r="BN142">
        <f t="shared" ca="1" si="35"/>
        <v>1</v>
      </c>
      <c r="BO142">
        <f t="shared" ca="1" si="36"/>
        <v>1</v>
      </c>
      <c r="BP142">
        <f t="shared" ca="1" si="37"/>
        <v>1</v>
      </c>
      <c r="BQ142">
        <f t="shared" ca="1" si="38"/>
        <v>1</v>
      </c>
    </row>
    <row r="143" spans="1:69" s="4" customFormat="1" x14ac:dyDescent="0.2">
      <c r="A143" t="str">
        <f>Sheet3!A127</f>
        <v>[[97,5,19]]</v>
      </c>
      <c r="B143" s="4">
        <v>97</v>
      </c>
      <c r="C143" cm="1">
        <f t="array" aca="1" ref="C143" ca="1">OFFSET(INDIRECT("Sheet"&amp;K$2&amp;"!d1"),$G143-1,)</f>
        <v>20</v>
      </c>
      <c r="D143" cm="1">
        <f t="array" aca="1" ref="D143" ca="1">OFFSET(INDIRECT("Sheet"&amp;L$2&amp;"!d1"),$G143-1,)</f>
        <v>19</v>
      </c>
      <c r="E143" s="4">
        <v>5</v>
      </c>
      <c r="F143" s="4">
        <v>19</v>
      </c>
      <c r="G143">
        <f t="shared" si="39"/>
        <v>127</v>
      </c>
      <c r="H143" cm="1">
        <f t="array" aca="1" ref="H143" ca="1">OFFSET(INDIRECT("Sheet"&amp;E$2&amp;"!d1"),$G143-1,)</f>
        <v>0</v>
      </c>
      <c r="I143" cm="1">
        <f t="array" aca="1" ref="I143" ca="1">OFFSET(INDIRECT("Sheet"&amp;F$2&amp;"!d1"),$G143-1,)</f>
        <v>0</v>
      </c>
      <c r="J143" cm="1">
        <f t="array" aca="1" ref="J143" ca="1">OFFSET(INDIRECT("Sheet"&amp;G$2&amp;"!d1"),$G143-1,)</f>
        <v>0</v>
      </c>
      <c r="K143" cm="1">
        <f t="array" aca="1" ref="K143" ca="1">OFFSET(INDIRECT("Sheet"&amp;H$2&amp;"!d1"),$G143-1,)</f>
        <v>0</v>
      </c>
      <c r="L143" cm="1">
        <f t="array" aca="1" ref="L143" ca="1">OFFSET(INDIRECT("Sheet"&amp;I$2&amp;"!d1"),$G143-1,)</f>
        <v>0</v>
      </c>
      <c r="M143" cm="1">
        <f t="array" aca="1" ref="M143" ca="1">OFFSET(INDIRECT("Sheet"&amp;J$2&amp;"!d1"),$G143-1,)</f>
        <v>19</v>
      </c>
      <c r="N143" cm="1">
        <f t="array" aca="1" ref="N143" ca="1">OFFSET(INDIRECT("Sheet"&amp;M$2&amp;"!d1"),$G143-1,)</f>
        <v>19</v>
      </c>
      <c r="O143" cm="1">
        <f t="array" aca="1" ref="O143" ca="1">OFFSET(INDIRECT("Sheet"&amp;C$2&amp;"!d1"),$G143-1,)</f>
        <v>0</v>
      </c>
      <c r="P143" cm="1">
        <f t="array" aca="1" ref="P143" ca="1">OFFSET(INDIRECT("Sheet"&amp;D$2&amp;"!d1"),$G143-1,)</f>
        <v>0</v>
      </c>
      <c r="Q143" cm="1">
        <f t="array" aca="1" ref="Q143" ca="1">OFFSET(INDIRECT("Sheet"&amp;N$2&amp;"!d1"),$G143-1,)</f>
        <v>19</v>
      </c>
      <c r="R143" cm="1">
        <f t="array" aca="1" ref="R143" ca="1">OFFSET(INDIRECT("Sheet"&amp;O$2&amp;"!d1"),$G143-1,)</f>
        <v>19</v>
      </c>
      <c r="S143" cm="1">
        <f t="array" aca="1" ref="S143" ca="1">OFFSET(INDIRECT("Sheet"&amp;P$2&amp;"!d1"),$G143-1,)</f>
        <v>19</v>
      </c>
      <c r="T143" cm="1">
        <f t="array" aca="1" ref="T143" ca="1">OFFSET(INDIRECT("Sheet"&amp;Q$2&amp;"!d1"),$G143-1,)</f>
        <v>19</v>
      </c>
      <c r="U143" cm="1">
        <f t="array" aca="1" ref="U143" ca="1">OFFSET(INDIRECT("Sheet"&amp;R$2&amp;"!d1"),$G143-1,)</f>
        <v>19</v>
      </c>
      <c r="V143" cm="1">
        <f t="array" aca="1" ref="V143" ca="1">OFFSET(INDIRECT("Sheet"&amp;S$2&amp;"!d1"),$G143-1,)</f>
        <v>19</v>
      </c>
      <c r="W143" cm="1">
        <f t="array" aca="1" ref="W143" ca="1">OFFSET(INDIRECT("Sheet"&amp;T$2&amp;"!d1"),$G143-1,)</f>
        <v>19</v>
      </c>
      <c r="X143" cm="1">
        <f t="array" aca="1" ref="X143" ca="1">OFFSET(INDIRECT("Sheet"&amp;U$2&amp;"!d1"),$G143-1,)</f>
        <v>19</v>
      </c>
      <c r="Y143" cm="1">
        <f t="array" aca="1" ref="Y143" ca="1">OFFSET(INDIRECT("Sheet"&amp;V$2&amp;"!d1"),$G143-1,)</f>
        <v>19</v>
      </c>
      <c r="Z143"/>
      <c r="AB143" s="3" cm="1">
        <f t="array" aca="1" ref="AB143" ca="1">OFFSET(INDIRECT("Sheet"&amp;E$2&amp;"!f1"),$G143-1,)</f>
        <v>0</v>
      </c>
      <c r="AC143" s="3" cm="1">
        <f t="array" aca="1" ref="AC143" ca="1">OFFSET(INDIRECT("Sheet"&amp;F$2&amp;"!f1"),$G143-1,)</f>
        <v>0</v>
      </c>
      <c r="AD143" s="3" cm="1">
        <f t="array" aca="1" ref="AD143" ca="1">OFFSET(INDIRECT("Sheet"&amp;G$2&amp;"!f1"),$G143-1,)</f>
        <v>0</v>
      </c>
      <c r="AE143" s="3" cm="1">
        <f t="array" aca="1" ref="AE143" ca="1">OFFSET(INDIRECT("Sheet"&amp;H$2&amp;"!f1"),$G143-1,)</f>
        <v>0</v>
      </c>
      <c r="AF143" s="3" cm="1">
        <f t="array" aca="1" ref="AF143" ca="1">OFFSET(INDIRECT("Sheet"&amp;I$2&amp;"!f1"),$G143-1,)</f>
        <v>0</v>
      </c>
      <c r="AG143" s="3" cm="1">
        <f t="array" aca="1" ref="AG143" ca="1">OFFSET(INDIRECT("Sheet"&amp;J$2&amp;"!f1"),$G143-1,)</f>
        <v>2.1945993173867402</v>
      </c>
      <c r="AH143" s="3" cm="1">
        <f t="array" aca="1" ref="AH143" ca="1">OFFSET(INDIRECT("Sheet"&amp;K$2&amp;"!f1"),$G143-1,)</f>
        <v>1.9535550450000001</v>
      </c>
      <c r="AI143" s="3" cm="1">
        <f t="array" aca="1" ref="AI143" ca="1">OFFSET(INDIRECT("Sheet"&amp;L$2&amp;"!f1"),$G143-1,)</f>
        <v>1.9514011789999799</v>
      </c>
      <c r="AJ143" s="3" cm="1">
        <f t="array" aca="1" ref="AJ143" ca="1">OFFSET(INDIRECT("Sheet"&amp;M$2&amp;"!f1"),$G143-1,)</f>
        <v>2.8185819294303598</v>
      </c>
      <c r="AK143" s="3" cm="1">
        <f t="array" aca="1" ref="AK143" ca="1">OFFSET(INDIRECT("Sheet"&amp;C$2&amp;"!f1"),$G143-1,)</f>
        <v>0</v>
      </c>
      <c r="AL143" s="3" cm="1">
        <f t="array" aca="1" ref="AL143" ca="1">OFFSET(INDIRECT("Sheet"&amp;D$2&amp;"!f1"),$G143-1,)</f>
        <v>0</v>
      </c>
      <c r="AM143" s="3" cm="1">
        <f t="array" aca="1" ref="AM143" ca="1">OFFSET(INDIRECT("Sheet"&amp;N$2&amp;"!f1"),$G143-1,)</f>
        <v>12.385046478360801</v>
      </c>
      <c r="AN143" s="3" cm="1">
        <f t="array" aca="1" ref="AN143" ca="1">OFFSET(INDIRECT("Sheet"&amp;O$2&amp;"!f1"),$G143-1,)</f>
        <v>26.353448219597301</v>
      </c>
      <c r="AO143" s="3" cm="1">
        <f t="array" aca="1" ref="AO143" ca="1">OFFSET(INDIRECT("Sheet"&amp;P$2&amp;"!f1"),$G143-1,)</f>
        <v>36.428022005595203</v>
      </c>
      <c r="AP143" s="3" cm="1">
        <f t="array" aca="1" ref="AP143" ca="1">OFFSET(INDIRECT("Sheet"&amp;Q$2&amp;"!f1"),$G143-1,)</f>
        <v>8.6852466547861695</v>
      </c>
      <c r="AQ143" s="3" cm="1">
        <f t="array" aca="1" ref="AQ143" ca="1">OFFSET(INDIRECT("Sheet"&amp;R$2&amp;"!f1"),$G143-1,)</f>
        <v>11.5101414117962</v>
      </c>
      <c r="AR143" s="3" cm="1">
        <f t="array" aca="1" ref="AR143" ca="1">OFFSET(INDIRECT("Sheet"&amp;S$2&amp;"!f1"),$G143-1,)</f>
        <v>25.677056271582799</v>
      </c>
      <c r="AS143" s="3" cm="1">
        <f t="array" aca="1" ref="AS143" ca="1">OFFSET(INDIRECT("Sheet"&amp;T$2&amp;"!f1"),$G143-1,)</f>
        <v>24.3359991563484</v>
      </c>
      <c r="AT143" s="3" cm="1">
        <f t="array" aca="1" ref="AT143" ca="1">OFFSET(INDIRECT("Sheet"&amp;U$2&amp;"!f1"),$G143-1,)</f>
        <v>33.233304226770997</v>
      </c>
      <c r="AU143" s="3" cm="1">
        <f t="array" aca="1" ref="AU143" ca="1">OFFSET(INDIRECT("Sheet"&amp;V$2&amp;"!f1"),$G143-1,)</f>
        <v>34.577643124386597</v>
      </c>
      <c r="AV143" s="3"/>
      <c r="AX143">
        <f ca="1">IF(H143=$F143,1,0)</f>
        <v>0</v>
      </c>
      <c r="AY143">
        <f ca="1">IF(I143=$F143,1,0)</f>
        <v>0</v>
      </c>
      <c r="AZ143">
        <f ca="1">IF(J143=$F143,1,0)</f>
        <v>0</v>
      </c>
      <c r="BA143">
        <f ca="1">IF(K143=$F143,1,0)</f>
        <v>0</v>
      </c>
      <c r="BB143">
        <f ca="1">IF(L143=$F143,1,0)</f>
        <v>0</v>
      </c>
      <c r="BC143">
        <f ca="1">IF(M143=$F143,1,0)</f>
        <v>1</v>
      </c>
      <c r="BD143">
        <f ca="1">IF(C143=$F143,1,0)</f>
        <v>0</v>
      </c>
      <c r="BE143">
        <f ca="1">IF(D143=$F143,1,0)</f>
        <v>1</v>
      </c>
      <c r="BF143">
        <f t="shared" ca="1" si="29"/>
        <v>1</v>
      </c>
      <c r="BG143">
        <f t="shared" ca="1" si="30"/>
        <v>0</v>
      </c>
      <c r="BH143">
        <f t="shared" ca="1" si="31"/>
        <v>0</v>
      </c>
      <c r="BI143">
        <f t="shared" ca="1" si="32"/>
        <v>1</v>
      </c>
      <c r="BJ143">
        <f t="shared" ca="1" si="40"/>
        <v>1</v>
      </c>
      <c r="BK143">
        <f t="shared" ca="1" si="40"/>
        <v>1</v>
      </c>
      <c r="BL143">
        <f t="shared" ca="1" si="40"/>
        <v>1</v>
      </c>
      <c r="BM143">
        <f t="shared" ca="1" si="34"/>
        <v>1</v>
      </c>
      <c r="BN143">
        <f t="shared" ca="1" si="35"/>
        <v>1</v>
      </c>
      <c r="BO143">
        <f t="shared" ca="1" si="36"/>
        <v>1</v>
      </c>
      <c r="BP143">
        <f t="shared" ca="1" si="37"/>
        <v>1</v>
      </c>
      <c r="BQ143">
        <f t="shared" ca="1" si="38"/>
        <v>1</v>
      </c>
    </row>
    <row r="144" spans="1:69" s="4" customFormat="1" x14ac:dyDescent="0.2">
      <c r="A144" t="str">
        <f>Sheet3!A128</f>
        <v>[[98,2,21]]</v>
      </c>
      <c r="B144" s="4">
        <v>98</v>
      </c>
      <c r="C144" cm="1">
        <f t="array" aca="1" ref="C144" ca="1">OFFSET(INDIRECT("Sheet"&amp;K$2&amp;"!d1"),$G144-1,)</f>
        <v>21</v>
      </c>
      <c r="D144" cm="1">
        <f t="array" aca="1" ref="D144" ca="1">OFFSET(INDIRECT("Sheet"&amp;L$2&amp;"!d1"),$G144-1,)</f>
        <v>21</v>
      </c>
      <c r="E144" s="4">
        <v>2</v>
      </c>
      <c r="F144" s="4">
        <v>21</v>
      </c>
      <c r="G144">
        <f t="shared" si="39"/>
        <v>128</v>
      </c>
      <c r="H144" cm="1">
        <f t="array" aca="1" ref="H144" ca="1">OFFSET(INDIRECT("Sheet"&amp;E$2&amp;"!d1"),$G144-1,)</f>
        <v>0</v>
      </c>
      <c r="I144" cm="1">
        <f t="array" aca="1" ref="I144" ca="1">OFFSET(INDIRECT("Sheet"&amp;F$2&amp;"!d1"),$G144-1,)</f>
        <v>0</v>
      </c>
      <c r="J144" cm="1">
        <f t="array" aca="1" ref="J144" ca="1">OFFSET(INDIRECT("Sheet"&amp;G$2&amp;"!d1"),$G144-1,)</f>
        <v>0</v>
      </c>
      <c r="K144" cm="1">
        <f t="array" aca="1" ref="K144" ca="1">OFFSET(INDIRECT("Sheet"&amp;H$2&amp;"!d1"),$G144-1,)</f>
        <v>0</v>
      </c>
      <c r="L144" cm="1">
        <f t="array" aca="1" ref="L144" ca="1">OFFSET(INDIRECT("Sheet"&amp;I$2&amp;"!d1"),$G144-1,)</f>
        <v>0</v>
      </c>
      <c r="M144" cm="1">
        <f t="array" aca="1" ref="M144" ca="1">OFFSET(INDIRECT("Sheet"&amp;J$2&amp;"!d1"),$G144-1,)</f>
        <v>21</v>
      </c>
      <c r="N144" cm="1">
        <f t="array" aca="1" ref="N144" ca="1">OFFSET(INDIRECT("Sheet"&amp;M$2&amp;"!d1"),$G144-1,)</f>
        <v>21</v>
      </c>
      <c r="O144" cm="1">
        <f t="array" aca="1" ref="O144" ca="1">OFFSET(INDIRECT("Sheet"&amp;C$2&amp;"!d1"),$G144-1,)</f>
        <v>0</v>
      </c>
      <c r="P144" cm="1">
        <f t="array" aca="1" ref="P144" ca="1">OFFSET(INDIRECT("Sheet"&amp;D$2&amp;"!d1"),$G144-1,)</f>
        <v>0</v>
      </c>
      <c r="Q144" cm="1">
        <f t="array" aca="1" ref="Q144" ca="1">OFFSET(INDIRECT("Sheet"&amp;N$2&amp;"!d1"),$G144-1,)</f>
        <v>21</v>
      </c>
      <c r="R144" cm="1">
        <f t="array" aca="1" ref="R144" ca="1">OFFSET(INDIRECT("Sheet"&amp;O$2&amp;"!d1"),$G144-1,)</f>
        <v>21</v>
      </c>
      <c r="S144" cm="1">
        <f t="array" aca="1" ref="S144" ca="1">OFFSET(INDIRECT("Sheet"&amp;P$2&amp;"!d1"),$G144-1,)</f>
        <v>21</v>
      </c>
      <c r="T144" cm="1">
        <f t="array" aca="1" ref="T144" ca="1">OFFSET(INDIRECT("Sheet"&amp;Q$2&amp;"!d1"),$G144-1,)</f>
        <v>21</v>
      </c>
      <c r="U144" cm="1">
        <f t="array" aca="1" ref="U144" ca="1">OFFSET(INDIRECT("Sheet"&amp;R$2&amp;"!d1"),$G144-1,)</f>
        <v>21</v>
      </c>
      <c r="V144" cm="1">
        <f t="array" aca="1" ref="V144" ca="1">OFFSET(INDIRECT("Sheet"&amp;S$2&amp;"!d1"),$G144-1,)</f>
        <v>21</v>
      </c>
      <c r="W144" cm="1">
        <f t="array" aca="1" ref="W144" ca="1">OFFSET(INDIRECT("Sheet"&amp;T$2&amp;"!d1"),$G144-1,)</f>
        <v>21</v>
      </c>
      <c r="X144" cm="1">
        <f t="array" aca="1" ref="X144" ca="1">OFFSET(INDIRECT("Sheet"&amp;U$2&amp;"!d1"),$G144-1,)</f>
        <v>21</v>
      </c>
      <c r="Y144" cm="1">
        <f t="array" aca="1" ref="Y144" ca="1">OFFSET(INDIRECT("Sheet"&amp;V$2&amp;"!d1"),$G144-1,)</f>
        <v>21</v>
      </c>
      <c r="Z144"/>
      <c r="AB144" s="3" cm="1">
        <f t="array" aca="1" ref="AB144" ca="1">OFFSET(INDIRECT("Sheet"&amp;E$2&amp;"!f1"),$G144-1,)</f>
        <v>0</v>
      </c>
      <c r="AC144" s="3" cm="1">
        <f t="array" aca="1" ref="AC144" ca="1">OFFSET(INDIRECT("Sheet"&amp;F$2&amp;"!f1"),$G144-1,)</f>
        <v>0</v>
      </c>
      <c r="AD144" s="3" cm="1">
        <f t="array" aca="1" ref="AD144" ca="1">OFFSET(INDIRECT("Sheet"&amp;G$2&amp;"!f1"),$G144-1,)</f>
        <v>0</v>
      </c>
      <c r="AE144" s="3" cm="1">
        <f t="array" aca="1" ref="AE144" ca="1">OFFSET(INDIRECT("Sheet"&amp;H$2&amp;"!f1"),$G144-1,)</f>
        <v>0</v>
      </c>
      <c r="AF144" s="3" cm="1">
        <f t="array" aca="1" ref="AF144" ca="1">OFFSET(INDIRECT("Sheet"&amp;I$2&amp;"!f1"),$G144-1,)</f>
        <v>0</v>
      </c>
      <c r="AG144" s="3" cm="1">
        <f t="array" aca="1" ref="AG144" ca="1">OFFSET(INDIRECT("Sheet"&amp;J$2&amp;"!f1"),$G144-1,)</f>
        <v>2.3966222004964899</v>
      </c>
      <c r="AH144" s="3" cm="1">
        <f t="array" aca="1" ref="AH144" ca="1">OFFSET(INDIRECT("Sheet"&amp;K$2&amp;"!f1"),$G144-1,)</f>
        <v>2.1185223409999798</v>
      </c>
      <c r="AI144" s="3" cm="1">
        <f t="array" aca="1" ref="AI144" ca="1">OFFSET(INDIRECT("Sheet"&amp;L$2&amp;"!f1"),$G144-1,)</f>
        <v>2.10921907900001</v>
      </c>
      <c r="AJ144" s="3" cm="1">
        <f t="array" aca="1" ref="AJ144" ca="1">OFFSET(INDIRECT("Sheet"&amp;M$2&amp;"!f1"),$G144-1,)</f>
        <v>2.8878996474668299</v>
      </c>
      <c r="AK144" s="3" cm="1">
        <f t="array" aca="1" ref="AK144" ca="1">OFFSET(INDIRECT("Sheet"&amp;C$2&amp;"!f1"),$G144-1,)</f>
        <v>0</v>
      </c>
      <c r="AL144" s="3" cm="1">
        <f t="array" aca="1" ref="AL144" ca="1">OFFSET(INDIRECT("Sheet"&amp;D$2&amp;"!f1"),$G144-1,)</f>
        <v>0</v>
      </c>
      <c r="AM144" s="3" cm="1">
        <f t="array" aca="1" ref="AM144" ca="1">OFFSET(INDIRECT("Sheet"&amp;N$2&amp;"!f1"),$G144-1,)</f>
        <v>11.6637303587049</v>
      </c>
      <c r="AN144" s="3" cm="1">
        <f t="array" aca="1" ref="AN144" ca="1">OFFSET(INDIRECT("Sheet"&amp;O$2&amp;"!f1"),$G144-1,)</f>
        <v>26.4849547408521</v>
      </c>
      <c r="AO144" s="3" cm="1">
        <f t="array" aca="1" ref="AO144" ca="1">OFFSET(INDIRECT("Sheet"&amp;P$2&amp;"!f1"),$G144-1,)</f>
        <v>32.6713127624243</v>
      </c>
      <c r="AP144" s="3" cm="1">
        <f t="array" aca="1" ref="AP144" ca="1">OFFSET(INDIRECT("Sheet"&amp;Q$2&amp;"!f1"),$G144-1,)</f>
        <v>8.0580519214272499</v>
      </c>
      <c r="AQ144" s="3" cm="1">
        <f t="array" aca="1" ref="AQ144" ca="1">OFFSET(INDIRECT("Sheet"&amp;R$2&amp;"!f1"),$G144-1,)</f>
        <v>10.7655122578144</v>
      </c>
      <c r="AR144" s="3" cm="1">
        <f t="array" aca="1" ref="AR144" ca="1">OFFSET(INDIRECT("Sheet"&amp;S$2&amp;"!f1"),$G144-1,)</f>
        <v>27.381464218720701</v>
      </c>
      <c r="AS144" s="3" cm="1">
        <f t="array" aca="1" ref="AS144" ca="1">OFFSET(INDIRECT("Sheet"&amp;T$2&amp;"!f1"),$G144-1,)</f>
        <v>24.413631080649701</v>
      </c>
      <c r="AT144" s="3" cm="1">
        <f t="array" aca="1" ref="AT144" ca="1">OFFSET(INDIRECT("Sheet"&amp;U$2&amp;"!f1"),$G144-1,)</f>
        <v>31.2541510639712</v>
      </c>
      <c r="AU144" s="3" cm="1">
        <f t="array" aca="1" ref="AU144" ca="1">OFFSET(INDIRECT("Sheet"&amp;V$2&amp;"!f1"),$G144-1,)</f>
        <v>31.643314908258599</v>
      </c>
      <c r="AV144" s="3"/>
      <c r="AX144">
        <f ca="1">IF(H144=$F144,1,0)</f>
        <v>0</v>
      </c>
      <c r="AY144">
        <f ca="1">IF(I144=$F144,1,0)</f>
        <v>0</v>
      </c>
      <c r="AZ144">
        <f ca="1">IF(J144=$F144,1,0)</f>
        <v>0</v>
      </c>
      <c r="BA144">
        <f ca="1">IF(K144=$F144,1,0)</f>
        <v>0</v>
      </c>
      <c r="BB144">
        <f ca="1">IF(L144=$F144,1,0)</f>
        <v>0</v>
      </c>
      <c r="BC144">
        <f ca="1">IF(M144=$F144,1,0)</f>
        <v>1</v>
      </c>
      <c r="BD144">
        <f ca="1">IF(C144=$F144,1,0)</f>
        <v>1</v>
      </c>
      <c r="BE144">
        <f ca="1">IF(D144=$F144,1,0)</f>
        <v>1</v>
      </c>
      <c r="BF144">
        <f t="shared" ca="1" si="29"/>
        <v>1</v>
      </c>
      <c r="BG144">
        <f t="shared" ca="1" si="30"/>
        <v>0</v>
      </c>
      <c r="BH144">
        <f t="shared" ca="1" si="31"/>
        <v>0</v>
      </c>
      <c r="BI144">
        <f t="shared" ca="1" si="32"/>
        <v>1</v>
      </c>
      <c r="BJ144">
        <f t="shared" ca="1" si="40"/>
        <v>1</v>
      </c>
      <c r="BK144">
        <f t="shared" ca="1" si="40"/>
        <v>1</v>
      </c>
      <c r="BL144">
        <f t="shared" ca="1" si="40"/>
        <v>1</v>
      </c>
      <c r="BM144">
        <f t="shared" ca="1" si="34"/>
        <v>1</v>
      </c>
      <c r="BN144">
        <f t="shared" ca="1" si="35"/>
        <v>1</v>
      </c>
      <c r="BO144">
        <f t="shared" ca="1" si="36"/>
        <v>1</v>
      </c>
      <c r="BP144">
        <f t="shared" ca="1" si="37"/>
        <v>1</v>
      </c>
      <c r="BQ144">
        <f t="shared" ca="1" si="38"/>
        <v>1</v>
      </c>
    </row>
    <row r="145" spans="1:69" s="4" customFormat="1" x14ac:dyDescent="0.2">
      <c r="A145" t="str">
        <f>Sheet3!A129</f>
        <v>[[99,3,21]]</v>
      </c>
      <c r="B145" s="4">
        <v>99</v>
      </c>
      <c r="C145" cm="1">
        <f t="array" aca="1" ref="C145" ca="1">OFFSET(INDIRECT("Sheet"&amp;K$2&amp;"!d1"),$G145-1,)</f>
        <v>21</v>
      </c>
      <c r="D145" cm="1">
        <f t="array" aca="1" ref="D145" ca="1">OFFSET(INDIRECT("Sheet"&amp;L$2&amp;"!d1"),$G145-1,)</f>
        <v>21</v>
      </c>
      <c r="E145" s="4">
        <v>3</v>
      </c>
      <c r="F145" s="4">
        <v>21</v>
      </c>
      <c r="G145">
        <f t="shared" si="39"/>
        <v>129</v>
      </c>
      <c r="H145" cm="1">
        <f t="array" aca="1" ref="H145" ca="1">OFFSET(INDIRECT("Sheet"&amp;E$2&amp;"!d1"),$G145-1,)</f>
        <v>0</v>
      </c>
      <c r="I145" cm="1">
        <f t="array" aca="1" ref="I145" ca="1">OFFSET(INDIRECT("Sheet"&amp;F$2&amp;"!d1"),$G145-1,)</f>
        <v>0</v>
      </c>
      <c r="J145" cm="1">
        <f t="array" aca="1" ref="J145" ca="1">OFFSET(INDIRECT("Sheet"&amp;G$2&amp;"!d1"),$G145-1,)</f>
        <v>0</v>
      </c>
      <c r="K145" cm="1">
        <f t="array" aca="1" ref="K145" ca="1">OFFSET(INDIRECT("Sheet"&amp;H$2&amp;"!d1"),$G145-1,)</f>
        <v>0</v>
      </c>
      <c r="L145" cm="1">
        <f t="array" aca="1" ref="L145" ca="1">OFFSET(INDIRECT("Sheet"&amp;I$2&amp;"!d1"),$G145-1,)</f>
        <v>0</v>
      </c>
      <c r="M145" cm="1">
        <f t="array" aca="1" ref="M145" ca="1">OFFSET(INDIRECT("Sheet"&amp;J$2&amp;"!d1"),$G145-1,)</f>
        <v>21</v>
      </c>
      <c r="N145" cm="1">
        <f t="array" aca="1" ref="N145" ca="1">OFFSET(INDIRECT("Sheet"&amp;M$2&amp;"!d1"),$G145-1,)</f>
        <v>21</v>
      </c>
      <c r="O145" cm="1">
        <f t="array" aca="1" ref="O145" ca="1">OFFSET(INDIRECT("Sheet"&amp;C$2&amp;"!d1"),$G145-1,)</f>
        <v>0</v>
      </c>
      <c r="P145" cm="1">
        <f t="array" aca="1" ref="P145" ca="1">OFFSET(INDIRECT("Sheet"&amp;D$2&amp;"!d1"),$G145-1,)</f>
        <v>0</v>
      </c>
      <c r="Q145" cm="1">
        <f t="array" aca="1" ref="Q145" ca="1">OFFSET(INDIRECT("Sheet"&amp;N$2&amp;"!d1"),$G145-1,)</f>
        <v>21</v>
      </c>
      <c r="R145" cm="1">
        <f t="array" aca="1" ref="R145" ca="1">OFFSET(INDIRECT("Sheet"&amp;O$2&amp;"!d1"),$G145-1,)</f>
        <v>21</v>
      </c>
      <c r="S145" cm="1">
        <f t="array" aca="1" ref="S145" ca="1">OFFSET(INDIRECT("Sheet"&amp;P$2&amp;"!d1"),$G145-1,)</f>
        <v>21</v>
      </c>
      <c r="T145" cm="1">
        <f t="array" aca="1" ref="T145" ca="1">OFFSET(INDIRECT("Sheet"&amp;Q$2&amp;"!d1"),$G145-1,)</f>
        <v>21</v>
      </c>
      <c r="U145" cm="1">
        <f t="array" aca="1" ref="U145" ca="1">OFFSET(INDIRECT("Sheet"&amp;R$2&amp;"!d1"),$G145-1,)</f>
        <v>21</v>
      </c>
      <c r="V145" cm="1">
        <f t="array" aca="1" ref="V145" ca="1">OFFSET(INDIRECT("Sheet"&amp;S$2&amp;"!d1"),$G145-1,)</f>
        <v>21</v>
      </c>
      <c r="W145" cm="1">
        <f t="array" aca="1" ref="W145" ca="1">OFFSET(INDIRECT("Sheet"&amp;T$2&amp;"!d1"),$G145-1,)</f>
        <v>21</v>
      </c>
      <c r="X145" cm="1">
        <f t="array" aca="1" ref="X145" ca="1">OFFSET(INDIRECT("Sheet"&amp;U$2&amp;"!d1"),$G145-1,)</f>
        <v>21</v>
      </c>
      <c r="Y145" cm="1">
        <f t="array" aca="1" ref="Y145" ca="1">OFFSET(INDIRECT("Sheet"&amp;V$2&amp;"!d1"),$G145-1,)</f>
        <v>21</v>
      </c>
      <c r="Z145"/>
      <c r="AB145" s="3" cm="1">
        <f t="array" aca="1" ref="AB145" ca="1">OFFSET(INDIRECT("Sheet"&amp;E$2&amp;"!f1"),$G145-1,)</f>
        <v>0</v>
      </c>
      <c r="AC145" s="3" cm="1">
        <f t="array" aca="1" ref="AC145" ca="1">OFFSET(INDIRECT("Sheet"&amp;F$2&amp;"!f1"),$G145-1,)</f>
        <v>0</v>
      </c>
      <c r="AD145" s="3" cm="1">
        <f t="array" aca="1" ref="AD145" ca="1">OFFSET(INDIRECT("Sheet"&amp;G$2&amp;"!f1"),$G145-1,)</f>
        <v>0</v>
      </c>
      <c r="AE145" s="3" cm="1">
        <f t="array" aca="1" ref="AE145" ca="1">OFFSET(INDIRECT("Sheet"&amp;H$2&amp;"!f1"),$G145-1,)</f>
        <v>0</v>
      </c>
      <c r="AF145" s="3" cm="1">
        <f t="array" aca="1" ref="AF145" ca="1">OFFSET(INDIRECT("Sheet"&amp;I$2&amp;"!f1"),$G145-1,)</f>
        <v>0</v>
      </c>
      <c r="AG145" s="3" cm="1">
        <f t="array" aca="1" ref="AG145" ca="1">OFFSET(INDIRECT("Sheet"&amp;J$2&amp;"!f1"),$G145-1,)</f>
        <v>2.4092067228630101</v>
      </c>
      <c r="AH145" s="3" cm="1">
        <f t="array" aca="1" ref="AH145" ca="1">OFFSET(INDIRECT("Sheet"&amp;K$2&amp;"!f1"),$G145-1,)</f>
        <v>2.1250782350000099</v>
      </c>
      <c r="AI145" s="3" cm="1">
        <f t="array" aca="1" ref="AI145" ca="1">OFFSET(INDIRECT("Sheet"&amp;L$2&amp;"!f1"),$G145-1,)</f>
        <v>2.1266173889999802</v>
      </c>
      <c r="AJ145" s="3" cm="1">
        <f t="array" aca="1" ref="AJ145" ca="1">OFFSET(INDIRECT("Sheet"&amp;M$2&amp;"!f1"),$G145-1,)</f>
        <v>3.0105356760322999</v>
      </c>
      <c r="AK145" s="3" cm="1">
        <f t="array" aca="1" ref="AK145" ca="1">OFFSET(INDIRECT("Sheet"&amp;C$2&amp;"!f1"),$G145-1,)</f>
        <v>0</v>
      </c>
      <c r="AL145" s="3" cm="1">
        <f t="array" aca="1" ref="AL145" ca="1">OFFSET(INDIRECT("Sheet"&amp;D$2&amp;"!f1"),$G145-1,)</f>
        <v>0</v>
      </c>
      <c r="AM145" s="3" cm="1">
        <f t="array" aca="1" ref="AM145" ca="1">OFFSET(INDIRECT("Sheet"&amp;N$2&amp;"!f1"),$G145-1,)</f>
        <v>12.734484676271601</v>
      </c>
      <c r="AN145" s="3" cm="1">
        <f t="array" aca="1" ref="AN145" ca="1">OFFSET(INDIRECT("Sheet"&amp;O$2&amp;"!f1"),$G145-1,)</f>
        <v>27.401882600970499</v>
      </c>
      <c r="AO145" s="3" cm="1">
        <f t="array" aca="1" ref="AO145" ca="1">OFFSET(INDIRECT("Sheet"&amp;P$2&amp;"!f1"),$G145-1,)</f>
        <v>35.6756160110235</v>
      </c>
      <c r="AP145" s="3" cm="1">
        <f t="array" aca="1" ref="AP145" ca="1">OFFSET(INDIRECT("Sheet"&amp;Q$2&amp;"!f1"),$G145-1,)</f>
        <v>8.6895020119845796</v>
      </c>
      <c r="AQ145" s="3" cm="1">
        <f t="array" aca="1" ref="AQ145" ca="1">OFFSET(INDIRECT("Sheet"&amp;R$2&amp;"!f1"),$G145-1,)</f>
        <v>11.8205994796007</v>
      </c>
      <c r="AR145" s="3" cm="1">
        <f t="array" aca="1" ref="AR145" ca="1">OFFSET(INDIRECT("Sheet"&amp;S$2&amp;"!f1"),$G145-1,)</f>
        <v>27.632257958874099</v>
      </c>
      <c r="AS145" s="3" cm="1">
        <f t="array" aca="1" ref="AS145" ca="1">OFFSET(INDIRECT("Sheet"&amp;T$2&amp;"!f1"),$G145-1,)</f>
        <v>26.437600355595301</v>
      </c>
      <c r="AT145" s="3" cm="1">
        <f t="array" aca="1" ref="AT145" ca="1">OFFSET(INDIRECT("Sheet"&amp;U$2&amp;"!f1"),$G145-1,)</f>
        <v>34.294847950339303</v>
      </c>
      <c r="AU145" s="3" cm="1">
        <f t="array" aca="1" ref="AU145" ca="1">OFFSET(INDIRECT("Sheet"&amp;V$2&amp;"!f1"),$G145-1,)</f>
        <v>35.343232342973302</v>
      </c>
      <c r="AV145" s="3"/>
      <c r="AX145">
        <f ca="1">IF(H145=$F145,1,0)</f>
        <v>0</v>
      </c>
      <c r="AY145">
        <f ca="1">IF(I145=$F145,1,0)</f>
        <v>0</v>
      </c>
      <c r="AZ145">
        <f ca="1">IF(J145=$F145,1,0)</f>
        <v>0</v>
      </c>
      <c r="BA145">
        <f ca="1">IF(K145=$F145,1,0)</f>
        <v>0</v>
      </c>
      <c r="BB145">
        <f ca="1">IF(L145=$F145,1,0)</f>
        <v>0</v>
      </c>
      <c r="BC145">
        <f ca="1">IF(M145=$F145,1,0)</f>
        <v>1</v>
      </c>
      <c r="BD145">
        <f ca="1">IF(C145=$F145,1,0)</f>
        <v>1</v>
      </c>
      <c r="BE145">
        <f ca="1">IF(D145=$F145,1,0)</f>
        <v>1</v>
      </c>
      <c r="BF145">
        <f t="shared" ca="1" si="29"/>
        <v>1</v>
      </c>
      <c r="BG145">
        <f t="shared" ca="1" si="30"/>
        <v>0</v>
      </c>
      <c r="BH145">
        <f t="shared" ref="BH145:BH169" ca="1" si="41">IF(P145=$F145,1,0)</f>
        <v>0</v>
      </c>
      <c r="BI145">
        <f t="shared" ref="BI145:BI169" ca="1" si="42">IF(Q145=$F145,1,0)</f>
        <v>1</v>
      </c>
      <c r="BJ145">
        <f t="shared" ref="BJ145:BL160" ca="1" si="43">IF(R145=$F145,1,0)</f>
        <v>1</v>
      </c>
      <c r="BK145">
        <f t="shared" ca="1" si="43"/>
        <v>1</v>
      </c>
      <c r="BL145">
        <f t="shared" ca="1" si="43"/>
        <v>1</v>
      </c>
      <c r="BM145">
        <f t="shared" ca="1" si="34"/>
        <v>1</v>
      </c>
      <c r="BN145">
        <f t="shared" ca="1" si="35"/>
        <v>1</v>
      </c>
      <c r="BO145">
        <f t="shared" ca="1" si="36"/>
        <v>1</v>
      </c>
      <c r="BP145">
        <f t="shared" ca="1" si="37"/>
        <v>1</v>
      </c>
      <c r="BQ145">
        <f t="shared" ca="1" si="38"/>
        <v>1</v>
      </c>
    </row>
    <row r="146" spans="1:69" s="4" customFormat="1" x14ac:dyDescent="0.2">
      <c r="A146" t="str">
        <f>Sheet3!A130</f>
        <v>[[100,4,20]]</v>
      </c>
      <c r="B146" s="4">
        <v>100</v>
      </c>
      <c r="C146" cm="1">
        <f t="array" aca="1" ref="C146" ca="1">OFFSET(INDIRECT("Sheet"&amp;K$2&amp;"!d1"),$G146-1,)</f>
        <v>20</v>
      </c>
      <c r="D146" cm="1">
        <f t="array" aca="1" ref="D146" ca="1">OFFSET(INDIRECT("Sheet"&amp;L$2&amp;"!d1"),$G146-1,)</f>
        <v>20</v>
      </c>
      <c r="E146" s="4">
        <v>4</v>
      </c>
      <c r="F146" s="4">
        <v>20</v>
      </c>
      <c r="G146">
        <f t="shared" si="39"/>
        <v>130</v>
      </c>
      <c r="H146" cm="1">
        <f t="array" aca="1" ref="H146" ca="1">OFFSET(INDIRECT("Sheet"&amp;E$2&amp;"!d1"),$G146-1,)</f>
        <v>0</v>
      </c>
      <c r="I146" cm="1">
        <f t="array" aca="1" ref="I146" ca="1">OFFSET(INDIRECT("Sheet"&amp;F$2&amp;"!d1"),$G146-1,)</f>
        <v>0</v>
      </c>
      <c r="J146" cm="1">
        <f t="array" aca="1" ref="J146" ca="1">OFFSET(INDIRECT("Sheet"&amp;G$2&amp;"!d1"),$G146-1,)</f>
        <v>0</v>
      </c>
      <c r="K146" cm="1">
        <f t="array" aca="1" ref="K146" ca="1">OFFSET(INDIRECT("Sheet"&amp;H$2&amp;"!d1"),$G146-1,)</f>
        <v>0</v>
      </c>
      <c r="L146" cm="1">
        <f t="array" aca="1" ref="L146" ca="1">OFFSET(INDIRECT("Sheet"&amp;I$2&amp;"!d1"),$G146-1,)</f>
        <v>0</v>
      </c>
      <c r="M146" cm="1">
        <f t="array" aca="1" ref="M146" ca="1">OFFSET(INDIRECT("Sheet"&amp;J$2&amp;"!d1"),$G146-1,)</f>
        <v>20</v>
      </c>
      <c r="N146" cm="1">
        <f t="array" aca="1" ref="N146" ca="1">OFFSET(INDIRECT("Sheet"&amp;M$2&amp;"!d1"),$G146-1,)</f>
        <v>20</v>
      </c>
      <c r="O146" cm="1">
        <f t="array" aca="1" ref="O146" ca="1">OFFSET(INDIRECT("Sheet"&amp;C$2&amp;"!d1"),$G146-1,)</f>
        <v>0</v>
      </c>
      <c r="P146" cm="1">
        <f t="array" aca="1" ref="P146" ca="1">OFFSET(INDIRECT("Sheet"&amp;D$2&amp;"!d1"),$G146-1,)</f>
        <v>0</v>
      </c>
      <c r="Q146" cm="1">
        <f t="array" aca="1" ref="Q146" ca="1">OFFSET(INDIRECT("Sheet"&amp;N$2&amp;"!d1"),$G146-1,)</f>
        <v>20</v>
      </c>
      <c r="R146" cm="1">
        <f t="array" aca="1" ref="R146" ca="1">OFFSET(INDIRECT("Sheet"&amp;O$2&amp;"!d1"),$G146-1,)</f>
        <v>20</v>
      </c>
      <c r="S146" cm="1">
        <f t="array" aca="1" ref="S146" ca="1">OFFSET(INDIRECT("Sheet"&amp;P$2&amp;"!d1"),$G146-1,)</f>
        <v>20</v>
      </c>
      <c r="T146" cm="1">
        <f t="array" aca="1" ref="T146" ca="1">OFFSET(INDIRECT("Sheet"&amp;Q$2&amp;"!d1"),$G146-1,)</f>
        <v>20</v>
      </c>
      <c r="U146" cm="1">
        <f t="array" aca="1" ref="U146" ca="1">OFFSET(INDIRECT("Sheet"&amp;R$2&amp;"!d1"),$G146-1,)</f>
        <v>20</v>
      </c>
      <c r="V146" cm="1">
        <f t="array" aca="1" ref="V146" ca="1">OFFSET(INDIRECT("Sheet"&amp;S$2&amp;"!d1"),$G146-1,)</f>
        <v>20</v>
      </c>
      <c r="W146" cm="1">
        <f t="array" aca="1" ref="W146" ca="1">OFFSET(INDIRECT("Sheet"&amp;T$2&amp;"!d1"),$G146-1,)</f>
        <v>20</v>
      </c>
      <c r="X146" cm="1">
        <f t="array" aca="1" ref="X146" ca="1">OFFSET(INDIRECT("Sheet"&amp;U$2&amp;"!d1"),$G146-1,)</f>
        <v>20</v>
      </c>
      <c r="Y146" cm="1">
        <f t="array" aca="1" ref="Y146" ca="1">OFFSET(INDIRECT("Sheet"&amp;V$2&amp;"!d1"),$G146-1,)</f>
        <v>20</v>
      </c>
      <c r="Z146"/>
      <c r="AB146" s="3" cm="1">
        <f t="array" aca="1" ref="AB146" ca="1">OFFSET(INDIRECT("Sheet"&amp;E$2&amp;"!f1"),$G146-1,)</f>
        <v>0</v>
      </c>
      <c r="AC146" s="3" cm="1">
        <f t="array" aca="1" ref="AC146" ca="1">OFFSET(INDIRECT("Sheet"&amp;F$2&amp;"!f1"),$G146-1,)</f>
        <v>0</v>
      </c>
      <c r="AD146" s="3" cm="1">
        <f t="array" aca="1" ref="AD146" ca="1">OFFSET(INDIRECT("Sheet"&amp;G$2&amp;"!f1"),$G146-1,)</f>
        <v>0</v>
      </c>
      <c r="AE146" s="3" cm="1">
        <f t="array" aca="1" ref="AE146" ca="1">OFFSET(INDIRECT("Sheet"&amp;H$2&amp;"!f1"),$G146-1,)</f>
        <v>0</v>
      </c>
      <c r="AF146" s="3" cm="1">
        <f t="array" aca="1" ref="AF146" ca="1">OFFSET(INDIRECT("Sheet"&amp;I$2&amp;"!f1"),$G146-1,)</f>
        <v>0</v>
      </c>
      <c r="AG146" s="3" cm="1">
        <f t="array" aca="1" ref="AG146" ca="1">OFFSET(INDIRECT("Sheet"&amp;J$2&amp;"!f1"),$G146-1,)</f>
        <v>2.4109885375946698</v>
      </c>
      <c r="AH146" s="3" cm="1">
        <f t="array" aca="1" ref="AH146" ca="1">OFFSET(INDIRECT("Sheet"&amp;K$2&amp;"!f1"),$G146-1,)</f>
        <v>2.11997213199998</v>
      </c>
      <c r="AI146" s="3" cm="1">
        <f t="array" aca="1" ref="AI146" ca="1">OFFSET(INDIRECT("Sheet"&amp;L$2&amp;"!f1"),$G146-1,)</f>
        <v>2.1201764440000002</v>
      </c>
      <c r="AJ146" s="3" cm="1">
        <f t="array" aca="1" ref="AJ146" ca="1">OFFSET(INDIRECT("Sheet"&amp;M$2&amp;"!f1"),$G146-1,)</f>
        <v>3.01588190253824</v>
      </c>
      <c r="AK146" s="3" cm="1">
        <f t="array" aca="1" ref="AK146" ca="1">OFFSET(INDIRECT("Sheet"&amp;C$2&amp;"!f1"),$G146-1,)</f>
        <v>0</v>
      </c>
      <c r="AL146" s="3" cm="1">
        <f t="array" aca="1" ref="AL146" ca="1">OFFSET(INDIRECT("Sheet"&amp;D$2&amp;"!f1"),$G146-1,)</f>
        <v>0</v>
      </c>
      <c r="AM146" s="3" cm="1">
        <f t="array" aca="1" ref="AM146" ca="1">OFFSET(INDIRECT("Sheet"&amp;N$2&amp;"!f1"),$G146-1,)</f>
        <v>13.0673901466652</v>
      </c>
      <c r="AN146" s="3" cm="1">
        <f t="array" aca="1" ref="AN146" ca="1">OFFSET(INDIRECT("Sheet"&amp;O$2&amp;"!f1"),$G146-1,)</f>
        <v>28.2645847694948</v>
      </c>
      <c r="AO146" s="3" cm="1">
        <f t="array" aca="1" ref="AO146" ca="1">OFFSET(INDIRECT("Sheet"&amp;P$2&amp;"!f1"),$G146-1,)</f>
        <v>37.530755059793499</v>
      </c>
      <c r="AP146" s="3" cm="1">
        <f t="array" aca="1" ref="AP146" ca="1">OFFSET(INDIRECT("Sheet"&amp;Q$2&amp;"!f1"),$G146-1,)</f>
        <v>8.9638211047276801</v>
      </c>
      <c r="AQ146" s="3" cm="1">
        <f t="array" aca="1" ref="AQ146" ca="1">OFFSET(INDIRECT("Sheet"&amp;R$2&amp;"!f1"),$G146-1,)</f>
        <v>12.158542171120599</v>
      </c>
      <c r="AR146" s="3" cm="1">
        <f t="array" aca="1" ref="AR146" ca="1">OFFSET(INDIRECT("Sheet"&amp;S$2&amp;"!f1"),$G146-1,)</f>
        <v>27.493669372051901</v>
      </c>
      <c r="AS146" s="3" cm="1">
        <f t="array" aca="1" ref="AS146" ca="1">OFFSET(INDIRECT("Sheet"&amp;T$2&amp;"!f1"),$G146-1,)</f>
        <v>26.3669473296031</v>
      </c>
      <c r="AT146" s="3" cm="1">
        <f t="array" aca="1" ref="AT146" ca="1">OFFSET(INDIRECT("Sheet"&amp;U$2&amp;"!f1"),$G146-1,)</f>
        <v>35.073844480328198</v>
      </c>
      <c r="AU146" s="3" cm="1">
        <f t="array" aca="1" ref="AU146" ca="1">OFFSET(INDIRECT("Sheet"&amp;V$2&amp;"!f1"),$G146-1,)</f>
        <v>36.433148951269601</v>
      </c>
      <c r="AV146" s="3"/>
      <c r="AX146">
        <f ca="1">IF(H146=$F146,1,0)</f>
        <v>0</v>
      </c>
      <c r="AY146">
        <f ca="1">IF(I146=$F146,1,0)</f>
        <v>0</v>
      </c>
      <c r="AZ146">
        <f ca="1">IF(J146=$F146,1,0)</f>
        <v>0</v>
      </c>
      <c r="BA146">
        <f ca="1">IF(K146=$F146,1,0)</f>
        <v>0</v>
      </c>
      <c r="BB146">
        <f ca="1">IF(L146=$F146,1,0)</f>
        <v>0</v>
      </c>
      <c r="BC146">
        <f ca="1">IF(M146=$F146,1,0)</f>
        <v>1</v>
      </c>
      <c r="BD146">
        <f ca="1">IF(C146=$F146,1,0)</f>
        <v>1</v>
      </c>
      <c r="BE146">
        <f ca="1">IF(D146=$F146,1,0)</f>
        <v>1</v>
      </c>
      <c r="BF146">
        <f t="shared" ca="1" si="29"/>
        <v>1</v>
      </c>
      <c r="BG146">
        <f t="shared" ca="1" si="30"/>
        <v>0</v>
      </c>
      <c r="BH146">
        <f t="shared" ca="1" si="41"/>
        <v>0</v>
      </c>
      <c r="BI146">
        <f t="shared" ca="1" si="42"/>
        <v>1</v>
      </c>
      <c r="BJ146">
        <f t="shared" ca="1" si="43"/>
        <v>1</v>
      </c>
      <c r="BK146">
        <f t="shared" ca="1" si="43"/>
        <v>1</v>
      </c>
      <c r="BL146">
        <f t="shared" ca="1" si="43"/>
        <v>1</v>
      </c>
      <c r="BM146">
        <f t="shared" ca="1" si="34"/>
        <v>1</v>
      </c>
      <c r="BN146">
        <f t="shared" ca="1" si="35"/>
        <v>1</v>
      </c>
      <c r="BO146">
        <f t="shared" ca="1" si="36"/>
        <v>1</v>
      </c>
      <c r="BP146">
        <f t="shared" ca="1" si="37"/>
        <v>1</v>
      </c>
      <c r="BQ146">
        <f t="shared" ca="1" si="38"/>
        <v>1</v>
      </c>
    </row>
    <row r="147" spans="1:69" s="4" customFormat="1" x14ac:dyDescent="0.2">
      <c r="A147" t="str">
        <f>Sheet3!A131</f>
        <v>[[101,4,20]]</v>
      </c>
      <c r="B147" s="4">
        <v>101</v>
      </c>
      <c r="C147" cm="1">
        <f t="array" aca="1" ref="C147" ca="1">OFFSET(INDIRECT("Sheet"&amp;K$2&amp;"!d1"),$G147-1,)</f>
        <v>20</v>
      </c>
      <c r="D147" cm="1">
        <f t="array" aca="1" ref="D147" ca="1">OFFSET(INDIRECT("Sheet"&amp;L$2&amp;"!d1"),$G147-1,)</f>
        <v>20</v>
      </c>
      <c r="E147" s="4">
        <v>4</v>
      </c>
      <c r="F147" s="4">
        <v>20</v>
      </c>
      <c r="G147">
        <f t="shared" si="39"/>
        <v>131</v>
      </c>
      <c r="H147" cm="1">
        <f t="array" aca="1" ref="H147" ca="1">OFFSET(INDIRECT("Sheet"&amp;E$2&amp;"!d1"),$G147-1,)</f>
        <v>0</v>
      </c>
      <c r="I147" cm="1">
        <f t="array" aca="1" ref="I147" ca="1">OFFSET(INDIRECT("Sheet"&amp;F$2&amp;"!d1"),$G147-1,)</f>
        <v>0</v>
      </c>
      <c r="J147" cm="1">
        <f t="array" aca="1" ref="J147" ca="1">OFFSET(INDIRECT("Sheet"&amp;G$2&amp;"!d1"),$G147-1,)</f>
        <v>0</v>
      </c>
      <c r="K147" cm="1">
        <f t="array" aca="1" ref="K147" ca="1">OFFSET(INDIRECT("Sheet"&amp;H$2&amp;"!d1"),$G147-1,)</f>
        <v>0</v>
      </c>
      <c r="L147" cm="1">
        <f t="array" aca="1" ref="L147" ca="1">OFFSET(INDIRECT("Sheet"&amp;I$2&amp;"!d1"),$G147-1,)</f>
        <v>0</v>
      </c>
      <c r="M147" cm="1">
        <f t="array" aca="1" ref="M147" ca="1">OFFSET(INDIRECT("Sheet"&amp;J$2&amp;"!d1"),$G147-1,)</f>
        <v>20</v>
      </c>
      <c r="N147" cm="1">
        <f t="array" aca="1" ref="N147" ca="1">OFFSET(INDIRECT("Sheet"&amp;M$2&amp;"!d1"),$G147-1,)</f>
        <v>20</v>
      </c>
      <c r="O147" cm="1">
        <f t="array" aca="1" ref="O147" ca="1">OFFSET(INDIRECT("Sheet"&amp;C$2&amp;"!d1"),$G147-1,)</f>
        <v>0</v>
      </c>
      <c r="P147" cm="1">
        <f t="array" aca="1" ref="P147" ca="1">OFFSET(INDIRECT("Sheet"&amp;D$2&amp;"!d1"),$G147-1,)</f>
        <v>0</v>
      </c>
      <c r="Q147" cm="1">
        <f t="array" aca="1" ref="Q147" ca="1">OFFSET(INDIRECT("Sheet"&amp;N$2&amp;"!d1"),$G147-1,)</f>
        <v>20</v>
      </c>
      <c r="R147" cm="1">
        <f t="array" aca="1" ref="R147" ca="1">OFFSET(INDIRECT("Sheet"&amp;O$2&amp;"!d1"),$G147-1,)</f>
        <v>20</v>
      </c>
      <c r="S147" cm="1">
        <f t="array" aca="1" ref="S147" ca="1">OFFSET(INDIRECT("Sheet"&amp;P$2&amp;"!d1"),$G147-1,)</f>
        <v>20</v>
      </c>
      <c r="T147" cm="1">
        <f t="array" aca="1" ref="T147" ca="1">OFFSET(INDIRECT("Sheet"&amp;Q$2&amp;"!d1"),$G147-1,)</f>
        <v>20</v>
      </c>
      <c r="U147" cm="1">
        <f t="array" aca="1" ref="U147" ca="1">OFFSET(INDIRECT("Sheet"&amp;R$2&amp;"!d1"),$G147-1,)</f>
        <v>20</v>
      </c>
      <c r="V147" cm="1">
        <f t="array" aca="1" ref="V147" ca="1">OFFSET(INDIRECT("Sheet"&amp;S$2&amp;"!d1"),$G147-1,)</f>
        <v>20</v>
      </c>
      <c r="W147" cm="1">
        <f t="array" aca="1" ref="W147" ca="1">OFFSET(INDIRECT("Sheet"&amp;T$2&amp;"!d1"),$G147-1,)</f>
        <v>20</v>
      </c>
      <c r="X147" cm="1">
        <f t="array" aca="1" ref="X147" ca="1">OFFSET(INDIRECT("Sheet"&amp;U$2&amp;"!d1"),$G147-1,)</f>
        <v>20</v>
      </c>
      <c r="Y147" cm="1">
        <f t="array" aca="1" ref="Y147" ca="1">OFFSET(INDIRECT("Sheet"&amp;V$2&amp;"!d1"),$G147-1,)</f>
        <v>20</v>
      </c>
      <c r="Z147"/>
      <c r="AB147" s="3" cm="1">
        <f t="array" aca="1" ref="AB147" ca="1">OFFSET(INDIRECT("Sheet"&amp;E$2&amp;"!f1"),$G147-1,)</f>
        <v>0</v>
      </c>
      <c r="AC147" s="3" cm="1">
        <f t="array" aca="1" ref="AC147" ca="1">OFFSET(INDIRECT("Sheet"&amp;F$2&amp;"!f1"),$G147-1,)</f>
        <v>0</v>
      </c>
      <c r="AD147" s="3" cm="1">
        <f t="array" aca="1" ref="AD147" ca="1">OFFSET(INDIRECT("Sheet"&amp;G$2&amp;"!f1"),$G147-1,)</f>
        <v>0</v>
      </c>
      <c r="AE147" s="3" cm="1">
        <f t="array" aca="1" ref="AE147" ca="1">OFFSET(INDIRECT("Sheet"&amp;H$2&amp;"!f1"),$G147-1,)</f>
        <v>0</v>
      </c>
      <c r="AF147" s="3" cm="1">
        <f t="array" aca="1" ref="AF147" ca="1">OFFSET(INDIRECT("Sheet"&amp;I$2&amp;"!f1"),$G147-1,)</f>
        <v>0</v>
      </c>
      <c r="AG147" s="3" cm="1">
        <f t="array" aca="1" ref="AG147" ca="1">OFFSET(INDIRECT("Sheet"&amp;J$2&amp;"!f1"),$G147-1,)</f>
        <v>2.4269222524016998</v>
      </c>
      <c r="AH147" s="3" cm="1">
        <f t="array" aca="1" ref="AH147" ca="1">OFFSET(INDIRECT("Sheet"&amp;K$2&amp;"!f1"),$G147-1,)</f>
        <v>2.1340857160000102</v>
      </c>
      <c r="AI147" s="3" cm="1">
        <f t="array" aca="1" ref="AI147" ca="1">OFFSET(INDIRECT("Sheet"&amp;L$2&amp;"!f1"),$G147-1,)</f>
        <v>2.1329861350000101</v>
      </c>
      <c r="AJ147" s="3" cm="1">
        <f t="array" aca="1" ref="AJ147" ca="1">OFFSET(INDIRECT("Sheet"&amp;M$2&amp;"!f1"),$G147-1,)</f>
        <v>3.0394169399514701</v>
      </c>
      <c r="AK147" s="3" cm="1">
        <f t="array" aca="1" ref="AK147" ca="1">OFFSET(INDIRECT("Sheet"&amp;C$2&amp;"!f1"),$G147-1,)</f>
        <v>0</v>
      </c>
      <c r="AL147" s="3" cm="1">
        <f t="array" aca="1" ref="AL147" ca="1">OFFSET(INDIRECT("Sheet"&amp;D$2&amp;"!f1"),$G147-1,)</f>
        <v>0</v>
      </c>
      <c r="AM147" s="3" cm="1">
        <f t="array" aca="1" ref="AM147" ca="1">OFFSET(INDIRECT("Sheet"&amp;N$2&amp;"!f1"),$G147-1,)</f>
        <v>13.346928919665499</v>
      </c>
      <c r="AN147" s="3" cm="1">
        <f t="array" aca="1" ref="AN147" ca="1">OFFSET(INDIRECT("Sheet"&amp;O$2&amp;"!f1"),$G147-1,)</f>
        <v>29.458861937746398</v>
      </c>
      <c r="AO147" s="3" cm="1">
        <f t="array" aca="1" ref="AO147" ca="1">OFFSET(INDIRECT("Sheet"&amp;P$2&amp;"!f1"),$G147-1,)</f>
        <v>39.126212281174901</v>
      </c>
      <c r="AP147" s="3" cm="1">
        <f t="array" aca="1" ref="AP147" ca="1">OFFSET(INDIRECT("Sheet"&amp;Q$2&amp;"!f1"),$G147-1,)</f>
        <v>9.2263325257226807</v>
      </c>
      <c r="AQ147" s="3" cm="1">
        <f t="array" aca="1" ref="AQ147" ca="1">OFFSET(INDIRECT("Sheet"&amp;R$2&amp;"!f1"),$G147-1,)</f>
        <v>12.407013461925001</v>
      </c>
      <c r="AR147" s="3" cm="1">
        <f t="array" aca="1" ref="AR147" ca="1">OFFSET(INDIRECT("Sheet"&amp;S$2&amp;"!f1"),$G147-1,)</f>
        <v>28.688521561212799</v>
      </c>
      <c r="AS147" s="3" cm="1">
        <f t="array" aca="1" ref="AS147" ca="1">OFFSET(INDIRECT("Sheet"&amp;T$2&amp;"!f1"),$G147-1,)</f>
        <v>27.710338851436902</v>
      </c>
      <c r="AT147" s="3" cm="1">
        <f t="array" aca="1" ref="AT147" ca="1">OFFSET(INDIRECT("Sheet"&amp;U$2&amp;"!f1"),$G147-1,)</f>
        <v>36.169483493082197</v>
      </c>
      <c r="AU147" s="3" cm="1">
        <f t="array" aca="1" ref="AU147" ca="1">OFFSET(INDIRECT("Sheet"&amp;V$2&amp;"!f1"),$G147-1,)</f>
        <v>37.950430006720097</v>
      </c>
      <c r="AV147" s="3"/>
      <c r="AX147">
        <f ca="1">IF(H147=$F147,1,0)</f>
        <v>0</v>
      </c>
      <c r="AY147">
        <f ca="1">IF(I147=$F147,1,0)</f>
        <v>0</v>
      </c>
      <c r="AZ147">
        <f ca="1">IF(J147=$F147,1,0)</f>
        <v>0</v>
      </c>
      <c r="BA147">
        <f ca="1">IF(K147=$F147,1,0)</f>
        <v>0</v>
      </c>
      <c r="BB147">
        <f ca="1">IF(L147=$F147,1,0)</f>
        <v>0</v>
      </c>
      <c r="BC147">
        <f ca="1">IF(M147=$F147,1,0)</f>
        <v>1</v>
      </c>
      <c r="BD147">
        <f ca="1">IF(C147=$F147,1,0)</f>
        <v>1</v>
      </c>
      <c r="BE147">
        <f ca="1">IF(D147=$F147,1,0)</f>
        <v>1</v>
      </c>
      <c r="BF147">
        <f t="shared" ca="1" si="29"/>
        <v>1</v>
      </c>
      <c r="BG147">
        <f t="shared" ca="1" si="30"/>
        <v>0</v>
      </c>
      <c r="BH147">
        <f t="shared" ca="1" si="41"/>
        <v>0</v>
      </c>
      <c r="BI147">
        <f t="shared" ca="1" si="42"/>
        <v>1</v>
      </c>
      <c r="BJ147">
        <f t="shared" ca="1" si="43"/>
        <v>1</v>
      </c>
      <c r="BK147">
        <f t="shared" ca="1" si="43"/>
        <v>1</v>
      </c>
      <c r="BL147">
        <f t="shared" ca="1" si="43"/>
        <v>1</v>
      </c>
      <c r="BM147">
        <f t="shared" ca="1" si="34"/>
        <v>1</v>
      </c>
      <c r="BN147">
        <f t="shared" ca="1" si="35"/>
        <v>1</v>
      </c>
      <c r="BO147">
        <f t="shared" ca="1" si="36"/>
        <v>1</v>
      </c>
      <c r="BP147">
        <f t="shared" ca="1" si="37"/>
        <v>1</v>
      </c>
      <c r="BQ147">
        <f t="shared" ca="1" si="38"/>
        <v>1</v>
      </c>
    </row>
    <row r="148" spans="1:69" s="4" customFormat="1" x14ac:dyDescent="0.2">
      <c r="A148" t="str">
        <f>Sheet3!A132</f>
        <v>[[102,17,17]]</v>
      </c>
      <c r="B148" s="4">
        <v>102</v>
      </c>
      <c r="C148" cm="1">
        <f t="array" aca="1" ref="C148" ca="1">OFFSET(INDIRECT("Sheet"&amp;K$2&amp;"!d1"),$G148-1,)</f>
        <v>19</v>
      </c>
      <c r="D148" cm="1">
        <f t="array" aca="1" ref="D148" ca="1">OFFSET(INDIRECT("Sheet"&amp;L$2&amp;"!d1"),$G148-1,)</f>
        <v>18</v>
      </c>
      <c r="E148" s="4">
        <v>17</v>
      </c>
      <c r="F148" s="4">
        <v>17</v>
      </c>
      <c r="G148">
        <f t="shared" si="39"/>
        <v>132</v>
      </c>
      <c r="H148" cm="1">
        <f t="array" aca="1" ref="H148" ca="1">OFFSET(INDIRECT("Sheet"&amp;E$2&amp;"!d1"),$G148-1,)</f>
        <v>0</v>
      </c>
      <c r="I148" cm="1">
        <f t="array" aca="1" ref="I148" ca="1">OFFSET(INDIRECT("Sheet"&amp;F$2&amp;"!d1"),$G148-1,)</f>
        <v>0</v>
      </c>
      <c r="J148" cm="1">
        <f t="array" aca="1" ref="J148" ca="1">OFFSET(INDIRECT("Sheet"&amp;G$2&amp;"!d1"),$G148-1,)</f>
        <v>0</v>
      </c>
      <c r="K148" cm="1">
        <f t="array" aca="1" ref="K148" ca="1">OFFSET(INDIRECT("Sheet"&amp;H$2&amp;"!d1"),$G148-1,)</f>
        <v>0</v>
      </c>
      <c r="L148" cm="1">
        <f t="array" aca="1" ref="L148" ca="1">OFFSET(INDIRECT("Sheet"&amp;I$2&amp;"!d1"),$G148-1,)</f>
        <v>0</v>
      </c>
      <c r="M148" cm="1">
        <f t="array" aca="1" ref="M148" ca="1">OFFSET(INDIRECT("Sheet"&amp;J$2&amp;"!d1"),$G148-1,)</f>
        <v>20</v>
      </c>
      <c r="N148" cm="1">
        <f t="array" aca="1" ref="N148" ca="1">OFFSET(INDIRECT("Sheet"&amp;M$2&amp;"!d1"),$G148-1,)</f>
        <v>18</v>
      </c>
      <c r="O148" cm="1">
        <f t="array" aca="1" ref="O148" ca="1">OFFSET(INDIRECT("Sheet"&amp;C$2&amp;"!d1"),$G148-1,)</f>
        <v>0</v>
      </c>
      <c r="P148" cm="1">
        <f t="array" aca="1" ref="P148" ca="1">OFFSET(INDIRECT("Sheet"&amp;D$2&amp;"!d1"),$G148-1,)</f>
        <v>0</v>
      </c>
      <c r="Q148" cm="1">
        <f t="array" aca="1" ref="Q148" ca="1">OFFSET(INDIRECT("Sheet"&amp;N$2&amp;"!d1"),$G148-1,)</f>
        <v>18</v>
      </c>
      <c r="R148" cm="1">
        <f t="array" aca="1" ref="R148" ca="1">OFFSET(INDIRECT("Sheet"&amp;O$2&amp;"!d1"),$G148-1,)</f>
        <v>17</v>
      </c>
      <c r="S148" cm="1">
        <f t="array" aca="1" ref="S148" ca="1">OFFSET(INDIRECT("Sheet"&amp;P$2&amp;"!d1"),$G148-1,)</f>
        <v>17</v>
      </c>
      <c r="T148" cm="1">
        <f t="array" aca="1" ref="T148" ca="1">OFFSET(INDIRECT("Sheet"&amp;Q$2&amp;"!d1"),$G148-1,)</f>
        <v>20</v>
      </c>
      <c r="U148" cm="1">
        <f t="array" aca="1" ref="U148" ca="1">OFFSET(INDIRECT("Sheet"&amp;R$2&amp;"!d1"),$G148-1,)</f>
        <v>17</v>
      </c>
      <c r="V148" cm="1">
        <f t="array" aca="1" ref="V148" ca="1">OFFSET(INDIRECT("Sheet"&amp;S$2&amp;"!d1"),$G148-1,)</f>
        <v>19</v>
      </c>
      <c r="W148" cm="1">
        <f t="array" aca="1" ref="W148" ca="1">OFFSET(INDIRECT("Sheet"&amp;T$2&amp;"!d1"),$G148-1,)</f>
        <v>18</v>
      </c>
      <c r="X148" cm="1">
        <f t="array" aca="1" ref="X148" ca="1">OFFSET(INDIRECT("Sheet"&amp;U$2&amp;"!d1"),$G148-1,)</f>
        <v>18</v>
      </c>
      <c r="Y148" cm="1">
        <f t="array" aca="1" ref="Y148" ca="1">OFFSET(INDIRECT("Sheet"&amp;V$2&amp;"!d1"),$G148-1,)</f>
        <v>17</v>
      </c>
      <c r="Z148"/>
      <c r="AB148" s="3" cm="1">
        <f t="array" aca="1" ref="AB148" ca="1">OFFSET(INDIRECT("Sheet"&amp;E$2&amp;"!f1"),$G148-1,)</f>
        <v>0</v>
      </c>
      <c r="AC148" s="3" cm="1">
        <f t="array" aca="1" ref="AC148" ca="1">OFFSET(INDIRECT("Sheet"&amp;F$2&amp;"!f1"),$G148-1,)</f>
        <v>0</v>
      </c>
      <c r="AD148" s="3" cm="1">
        <f t="array" aca="1" ref="AD148" ca="1">OFFSET(INDIRECT("Sheet"&amp;G$2&amp;"!f1"),$G148-1,)</f>
        <v>0</v>
      </c>
      <c r="AE148" s="3" cm="1">
        <f t="array" aca="1" ref="AE148" ca="1">OFFSET(INDIRECT("Sheet"&amp;H$2&amp;"!f1"),$G148-1,)</f>
        <v>0</v>
      </c>
      <c r="AF148" s="3" cm="1">
        <f t="array" aca="1" ref="AF148" ca="1">OFFSET(INDIRECT("Sheet"&amp;I$2&amp;"!f1"),$G148-1,)</f>
        <v>0</v>
      </c>
      <c r="AG148" s="3" cm="1">
        <f t="array" aca="1" ref="AG148" ca="1">OFFSET(INDIRECT("Sheet"&amp;J$2&amp;"!f1"),$G148-1,)</f>
        <v>2.43996122293174</v>
      </c>
      <c r="AH148" s="3" cm="1">
        <f t="array" aca="1" ref="AH148" ca="1">OFFSET(INDIRECT("Sheet"&amp;K$2&amp;"!f1"),$G148-1,)</f>
        <v>2.1502707509999901</v>
      </c>
      <c r="AI148" s="3" cm="1">
        <f t="array" aca="1" ref="AI148" ca="1">OFFSET(INDIRECT("Sheet"&amp;L$2&amp;"!f1"),$G148-1,)</f>
        <v>2.1490300999999699</v>
      </c>
      <c r="AJ148" s="3" cm="1">
        <f t="array" aca="1" ref="AJ148" ca="1">OFFSET(INDIRECT("Sheet"&amp;M$2&amp;"!f1"),$G148-1,)</f>
        <v>3.6838858108967498</v>
      </c>
      <c r="AK148" s="3" cm="1">
        <f t="array" aca="1" ref="AK148" ca="1">OFFSET(INDIRECT("Sheet"&amp;C$2&amp;"!f1"),$G148-1,)</f>
        <v>0</v>
      </c>
      <c r="AL148" s="3" cm="1">
        <f t="array" aca="1" ref="AL148" ca="1">OFFSET(INDIRECT("Sheet"&amp;D$2&amp;"!f1"),$G148-1,)</f>
        <v>0</v>
      </c>
      <c r="AM148" s="3" cm="1">
        <f t="array" aca="1" ref="AM148" ca="1">OFFSET(INDIRECT("Sheet"&amp;N$2&amp;"!f1"),$G148-1,)</f>
        <v>22.828773016109999</v>
      </c>
      <c r="AN148" s="3" cm="1">
        <f t="array" aca="1" ref="AN148" ca="1">OFFSET(INDIRECT("Sheet"&amp;O$2&amp;"!f1"),$G148-1,)</f>
        <v>44.160741079598601</v>
      </c>
      <c r="AO148" s="3" cm="1">
        <f t="array" aca="1" ref="AO148" ca="1">OFFSET(INDIRECT("Sheet"&amp;P$2&amp;"!f1"),$G148-1,)</f>
        <v>71.6887732865288</v>
      </c>
      <c r="AP148" s="3" cm="1">
        <f t="array" aca="1" ref="AP148" ca="1">OFFSET(INDIRECT("Sheet"&amp;Q$2&amp;"!f1"),$G148-1,)</f>
        <v>16.765488771721699</v>
      </c>
      <c r="AQ148" s="3" cm="1">
        <f t="array" aca="1" ref="AQ148" ca="1">OFFSET(INDIRECT("Sheet"&amp;R$2&amp;"!f1"),$G148-1,)</f>
        <v>21.6554932305589</v>
      </c>
      <c r="AR148" s="3" cm="1">
        <f t="array" aca="1" ref="AR148" ca="1">OFFSET(INDIRECT("Sheet"&amp;S$2&amp;"!f1"),$G148-1,)</f>
        <v>40.096775320358503</v>
      </c>
      <c r="AS148" s="3" cm="1">
        <f t="array" aca="1" ref="AS148" ca="1">OFFSET(INDIRECT("Sheet"&amp;T$2&amp;"!f1"),$G148-1,)</f>
        <v>40.798671833239403</v>
      </c>
      <c r="AT148" s="3" cm="1">
        <f t="array" aca="1" ref="AT148" ca="1">OFFSET(INDIRECT("Sheet"&amp;U$2&amp;"!f1"),$G148-1,)</f>
        <v>63.981425541453</v>
      </c>
      <c r="AU148" s="3" cm="1">
        <f t="array" aca="1" ref="AU148" ca="1">OFFSET(INDIRECT("Sheet"&amp;V$2&amp;"!f1"),$G148-1,)</f>
        <v>67.698000484146107</v>
      </c>
      <c r="AV148" s="3"/>
      <c r="AX148">
        <f ca="1">IF(H148=$F148,1,0)</f>
        <v>0</v>
      </c>
      <c r="AY148">
        <f ca="1">IF(I148=$F148,1,0)</f>
        <v>0</v>
      </c>
      <c r="AZ148">
        <f ca="1">IF(J148=$F148,1,0)</f>
        <v>0</v>
      </c>
      <c r="BA148">
        <f ca="1">IF(K148=$F148,1,0)</f>
        <v>0</v>
      </c>
      <c r="BB148">
        <f ca="1">IF(L148=$F148,1,0)</f>
        <v>0</v>
      </c>
      <c r="BC148">
        <f ca="1">IF(M148=$F148,1,0)</f>
        <v>0</v>
      </c>
      <c r="BD148">
        <f ca="1">IF(C148=$F148,1,0)</f>
        <v>0</v>
      </c>
      <c r="BE148">
        <f ca="1">IF(D148=$F148,1,0)</f>
        <v>0</v>
      </c>
      <c r="BF148">
        <f t="shared" ca="1" si="29"/>
        <v>0</v>
      </c>
      <c r="BG148">
        <f t="shared" ca="1" si="30"/>
        <v>0</v>
      </c>
      <c r="BH148">
        <f t="shared" ca="1" si="41"/>
        <v>0</v>
      </c>
      <c r="BI148">
        <f t="shared" ca="1" si="42"/>
        <v>0</v>
      </c>
      <c r="BJ148">
        <f t="shared" ca="1" si="43"/>
        <v>1</v>
      </c>
      <c r="BK148">
        <f t="shared" ca="1" si="43"/>
        <v>1</v>
      </c>
      <c r="BL148">
        <f t="shared" ca="1" si="43"/>
        <v>0</v>
      </c>
      <c r="BM148">
        <f t="shared" ca="1" si="34"/>
        <v>1</v>
      </c>
      <c r="BN148">
        <f t="shared" ca="1" si="35"/>
        <v>0</v>
      </c>
      <c r="BO148">
        <f t="shared" ca="1" si="36"/>
        <v>0</v>
      </c>
      <c r="BP148">
        <f t="shared" ca="1" si="37"/>
        <v>0</v>
      </c>
      <c r="BQ148">
        <f t="shared" ca="1" si="38"/>
        <v>1</v>
      </c>
    </row>
    <row r="149" spans="1:69" s="4" customFormat="1" x14ac:dyDescent="0.2">
      <c r="A149" t="str">
        <f>Sheet3!A133</f>
        <v>[[103,18,17]]</v>
      </c>
      <c r="B149" s="4">
        <v>103</v>
      </c>
      <c r="C149" cm="1">
        <f t="array" aca="1" ref="C149" ca="1">OFFSET(INDIRECT("Sheet"&amp;K$2&amp;"!d1"),$G149-1,)</f>
        <v>18</v>
      </c>
      <c r="D149" cm="1">
        <f t="array" aca="1" ref="D149" ca="1">OFFSET(INDIRECT("Sheet"&amp;L$2&amp;"!d1"),$G149-1,)</f>
        <v>19</v>
      </c>
      <c r="E149" s="4">
        <v>18</v>
      </c>
      <c r="F149" s="4">
        <v>17</v>
      </c>
      <c r="G149">
        <f t="shared" si="39"/>
        <v>133</v>
      </c>
      <c r="H149" cm="1">
        <f t="array" aca="1" ref="H149" ca="1">OFFSET(INDIRECT("Sheet"&amp;E$2&amp;"!d1"),$G149-1,)</f>
        <v>0</v>
      </c>
      <c r="I149" cm="1">
        <f t="array" aca="1" ref="I149" ca="1">OFFSET(INDIRECT("Sheet"&amp;F$2&amp;"!d1"),$G149-1,)</f>
        <v>0</v>
      </c>
      <c r="J149" cm="1">
        <f t="array" aca="1" ref="J149" ca="1">OFFSET(INDIRECT("Sheet"&amp;G$2&amp;"!d1"),$G149-1,)</f>
        <v>0</v>
      </c>
      <c r="K149" cm="1">
        <f t="array" aca="1" ref="K149" ca="1">OFFSET(INDIRECT("Sheet"&amp;H$2&amp;"!d1"),$G149-1,)</f>
        <v>0</v>
      </c>
      <c r="L149" cm="1">
        <f t="array" aca="1" ref="L149" ca="1">OFFSET(INDIRECT("Sheet"&amp;I$2&amp;"!d1"),$G149-1,)</f>
        <v>0</v>
      </c>
      <c r="M149" cm="1">
        <f t="array" aca="1" ref="M149" ca="1">OFFSET(INDIRECT("Sheet"&amp;J$2&amp;"!d1"),$G149-1,)</f>
        <v>20</v>
      </c>
      <c r="N149" cm="1">
        <f t="array" aca="1" ref="N149" ca="1">OFFSET(INDIRECT("Sheet"&amp;M$2&amp;"!d1"),$G149-1,)</f>
        <v>18</v>
      </c>
      <c r="O149" cm="1">
        <f t="array" aca="1" ref="O149" ca="1">OFFSET(INDIRECT("Sheet"&amp;C$2&amp;"!d1"),$G149-1,)</f>
        <v>0</v>
      </c>
      <c r="P149" cm="1">
        <f t="array" aca="1" ref="P149" ca="1">OFFSET(INDIRECT("Sheet"&amp;D$2&amp;"!d1"),$G149-1,)</f>
        <v>0</v>
      </c>
      <c r="Q149" cm="1">
        <f t="array" aca="1" ref="Q149" ca="1">OFFSET(INDIRECT("Sheet"&amp;N$2&amp;"!d1"),$G149-1,)</f>
        <v>17</v>
      </c>
      <c r="R149" cm="1">
        <f t="array" aca="1" ref="R149" ca="1">OFFSET(INDIRECT("Sheet"&amp;O$2&amp;"!d1"),$G149-1,)</f>
        <v>17</v>
      </c>
      <c r="S149" cm="1">
        <f t="array" aca="1" ref="S149" ca="1">OFFSET(INDIRECT("Sheet"&amp;P$2&amp;"!d1"),$G149-1,)</f>
        <v>19</v>
      </c>
      <c r="T149" cm="1">
        <f t="array" aca="1" ref="T149" ca="1">OFFSET(INDIRECT("Sheet"&amp;Q$2&amp;"!d1"),$G149-1,)</f>
        <v>20</v>
      </c>
      <c r="U149" cm="1">
        <f t="array" aca="1" ref="U149" ca="1">OFFSET(INDIRECT("Sheet"&amp;R$2&amp;"!d1"),$G149-1,)</f>
        <v>17</v>
      </c>
      <c r="V149" cm="1">
        <f t="array" aca="1" ref="V149" ca="1">OFFSET(INDIRECT("Sheet"&amp;S$2&amp;"!d1"),$G149-1,)</f>
        <v>19</v>
      </c>
      <c r="W149" cm="1">
        <f t="array" aca="1" ref="W149" ca="1">OFFSET(INDIRECT("Sheet"&amp;T$2&amp;"!d1"),$G149-1,)</f>
        <v>18</v>
      </c>
      <c r="X149" cm="1">
        <f t="array" aca="1" ref="X149" ca="1">OFFSET(INDIRECT("Sheet"&amp;U$2&amp;"!d1"),$G149-1,)</f>
        <v>18</v>
      </c>
      <c r="Y149" cm="1">
        <f t="array" aca="1" ref="Y149" ca="1">OFFSET(INDIRECT("Sheet"&amp;V$2&amp;"!d1"),$G149-1,)</f>
        <v>17</v>
      </c>
      <c r="Z149"/>
      <c r="AB149" s="3" cm="1">
        <f t="array" aca="1" ref="AB149" ca="1">OFFSET(INDIRECT("Sheet"&amp;E$2&amp;"!f1"),$G149-1,)</f>
        <v>0</v>
      </c>
      <c r="AC149" s="3" cm="1">
        <f t="array" aca="1" ref="AC149" ca="1">OFFSET(INDIRECT("Sheet"&amp;F$2&amp;"!f1"),$G149-1,)</f>
        <v>0</v>
      </c>
      <c r="AD149" s="3" cm="1">
        <f t="array" aca="1" ref="AD149" ca="1">OFFSET(INDIRECT("Sheet"&amp;G$2&amp;"!f1"),$G149-1,)</f>
        <v>0</v>
      </c>
      <c r="AE149" s="3" cm="1">
        <f t="array" aca="1" ref="AE149" ca="1">OFFSET(INDIRECT("Sheet"&amp;H$2&amp;"!f1"),$G149-1,)</f>
        <v>0</v>
      </c>
      <c r="AF149" s="3" cm="1">
        <f t="array" aca="1" ref="AF149" ca="1">OFFSET(INDIRECT("Sheet"&amp;I$2&amp;"!f1"),$G149-1,)</f>
        <v>0</v>
      </c>
      <c r="AG149" s="3" cm="1">
        <f t="array" aca="1" ref="AG149" ca="1">OFFSET(INDIRECT("Sheet"&amp;J$2&amp;"!f1"),$G149-1,)</f>
        <v>2.4977365117520001</v>
      </c>
      <c r="AH149" s="3" cm="1">
        <f t="array" aca="1" ref="AH149" ca="1">OFFSET(INDIRECT("Sheet"&amp;K$2&amp;"!f1"),$G149-1,)</f>
        <v>2.1788905660000002</v>
      </c>
      <c r="AI149" s="3" cm="1">
        <f t="array" aca="1" ref="AI149" ca="1">OFFSET(INDIRECT("Sheet"&amp;L$2&amp;"!f1"),$G149-1,)</f>
        <v>2.176885542</v>
      </c>
      <c r="AJ149" s="3" cm="1">
        <f t="array" aca="1" ref="AJ149" ca="1">OFFSET(INDIRECT("Sheet"&amp;M$2&amp;"!f1"),$G149-1,)</f>
        <v>3.75540733896195</v>
      </c>
      <c r="AK149" s="3" cm="1">
        <f t="array" aca="1" ref="AK149" ca="1">OFFSET(INDIRECT("Sheet"&amp;C$2&amp;"!f1"),$G149-1,)</f>
        <v>0</v>
      </c>
      <c r="AL149" s="3" cm="1">
        <f t="array" aca="1" ref="AL149" ca="1">OFFSET(INDIRECT("Sheet"&amp;D$2&amp;"!f1"),$G149-1,)</f>
        <v>0</v>
      </c>
      <c r="AM149" s="3" cm="1">
        <f t="array" aca="1" ref="AM149" ca="1">OFFSET(INDIRECT("Sheet"&amp;N$2&amp;"!f1"),$G149-1,)</f>
        <v>24.228961776942</v>
      </c>
      <c r="AN149" s="3" cm="1">
        <f t="array" aca="1" ref="AN149" ca="1">OFFSET(INDIRECT("Sheet"&amp;O$2&amp;"!f1"),$G149-1,)</f>
        <v>46.332514224573899</v>
      </c>
      <c r="AO149" s="3" cm="1">
        <f t="array" aca="1" ref="AO149" ca="1">OFFSET(INDIRECT("Sheet"&amp;P$2&amp;"!f1"),$G149-1,)</f>
        <v>76.962120598181997</v>
      </c>
      <c r="AP149" s="3" cm="1">
        <f t="array" aca="1" ref="AP149" ca="1">OFFSET(INDIRECT("Sheet"&amp;Q$2&amp;"!f1"),$G149-1,)</f>
        <v>17.911991900764399</v>
      </c>
      <c r="AQ149" s="3" cm="1">
        <f t="array" aca="1" ref="AQ149" ca="1">OFFSET(INDIRECT("Sheet"&amp;R$2&amp;"!f1"),$G149-1,)</f>
        <v>22.560914619825699</v>
      </c>
      <c r="AR149" s="3" cm="1">
        <f t="array" aca="1" ref="AR149" ca="1">OFFSET(INDIRECT("Sheet"&amp;S$2&amp;"!f1"),$G149-1,)</f>
        <v>42.797464136034201</v>
      </c>
      <c r="AS149" s="3" cm="1">
        <f t="array" aca="1" ref="AS149" ca="1">OFFSET(INDIRECT("Sheet"&amp;T$2&amp;"!f1"),$G149-1,)</f>
        <v>42.346503098495297</v>
      </c>
      <c r="AT149" s="3" cm="1">
        <f t="array" aca="1" ref="AT149" ca="1">OFFSET(INDIRECT("Sheet"&amp;U$2&amp;"!f1"),$G149-1,)</f>
        <v>67.381224003620403</v>
      </c>
      <c r="AU149" s="3" cm="1">
        <f t="array" aca="1" ref="AU149" ca="1">OFFSET(INDIRECT("Sheet"&amp;V$2&amp;"!f1"),$G149-1,)</f>
        <v>72.265416526235597</v>
      </c>
      <c r="AV149" s="3"/>
      <c r="AX149">
        <f ca="1">IF(H149=$F149,1,0)</f>
        <v>0</v>
      </c>
      <c r="AY149">
        <f ca="1">IF(I149=$F149,1,0)</f>
        <v>0</v>
      </c>
      <c r="AZ149">
        <f ca="1">IF(J149=$F149,1,0)</f>
        <v>0</v>
      </c>
      <c r="BA149">
        <f ca="1">IF(K149=$F149,1,0)</f>
        <v>0</v>
      </c>
      <c r="BB149">
        <f ca="1">IF(L149=$F149,1,0)</f>
        <v>0</v>
      </c>
      <c r="BC149">
        <f ca="1">IF(M149=$F149,1,0)</f>
        <v>0</v>
      </c>
      <c r="BD149">
        <f ca="1">IF(C149=$F149,1,0)</f>
        <v>0</v>
      </c>
      <c r="BE149">
        <f ca="1">IF(D149=$F149,1,0)</f>
        <v>0</v>
      </c>
      <c r="BF149">
        <f t="shared" ca="1" si="29"/>
        <v>0</v>
      </c>
      <c r="BG149">
        <f t="shared" ca="1" si="30"/>
        <v>0</v>
      </c>
      <c r="BH149">
        <f t="shared" ca="1" si="41"/>
        <v>0</v>
      </c>
      <c r="BI149">
        <f t="shared" ca="1" si="42"/>
        <v>1</v>
      </c>
      <c r="BJ149">
        <f t="shared" ca="1" si="43"/>
        <v>1</v>
      </c>
      <c r="BK149">
        <f t="shared" ca="1" si="43"/>
        <v>0</v>
      </c>
      <c r="BL149">
        <f t="shared" ca="1" si="43"/>
        <v>0</v>
      </c>
      <c r="BM149">
        <f t="shared" ca="1" si="34"/>
        <v>1</v>
      </c>
      <c r="BN149">
        <f t="shared" ca="1" si="35"/>
        <v>0</v>
      </c>
      <c r="BO149">
        <f t="shared" ca="1" si="36"/>
        <v>0</v>
      </c>
      <c r="BP149">
        <f t="shared" ca="1" si="37"/>
        <v>0</v>
      </c>
      <c r="BQ149">
        <f t="shared" ca="1" si="38"/>
        <v>1</v>
      </c>
    </row>
    <row r="150" spans="1:69" s="4" customFormat="1" x14ac:dyDescent="0.2">
      <c r="A150" t="str">
        <f>Sheet3!A134</f>
        <v>[[104,12,19]]</v>
      </c>
      <c r="B150" s="4">
        <v>104</v>
      </c>
      <c r="C150" cm="1">
        <f t="array" aca="1" ref="C150" ca="1">OFFSET(INDIRECT("Sheet"&amp;K$2&amp;"!d1"),$G150-1,)</f>
        <v>22</v>
      </c>
      <c r="D150" cm="1">
        <f t="array" aca="1" ref="D150" ca="1">OFFSET(INDIRECT("Sheet"&amp;L$2&amp;"!d1"),$G150-1,)</f>
        <v>22</v>
      </c>
      <c r="E150" s="4">
        <v>12</v>
      </c>
      <c r="F150" s="4">
        <v>19</v>
      </c>
      <c r="G150">
        <f t="shared" si="39"/>
        <v>134</v>
      </c>
      <c r="H150" cm="1">
        <f t="array" aca="1" ref="H150" ca="1">OFFSET(INDIRECT("Sheet"&amp;E$2&amp;"!d1"),$G150-1,)</f>
        <v>0</v>
      </c>
      <c r="I150" cm="1">
        <f t="array" aca="1" ref="I150" ca="1">OFFSET(INDIRECT("Sheet"&amp;F$2&amp;"!d1"),$G150-1,)</f>
        <v>0</v>
      </c>
      <c r="J150" cm="1">
        <f t="array" aca="1" ref="J150" ca="1">OFFSET(INDIRECT("Sheet"&amp;G$2&amp;"!d1"),$G150-1,)</f>
        <v>0</v>
      </c>
      <c r="K150" cm="1">
        <f t="array" aca="1" ref="K150" ca="1">OFFSET(INDIRECT("Sheet"&amp;H$2&amp;"!d1"),$G150-1,)</f>
        <v>0</v>
      </c>
      <c r="L150" cm="1">
        <f t="array" aca="1" ref="L150" ca="1">OFFSET(INDIRECT("Sheet"&amp;I$2&amp;"!d1"),$G150-1,)</f>
        <v>0</v>
      </c>
      <c r="M150" cm="1">
        <f t="array" aca="1" ref="M150" ca="1">OFFSET(INDIRECT("Sheet"&amp;J$2&amp;"!d1"),$G150-1,)</f>
        <v>22</v>
      </c>
      <c r="N150" cm="1">
        <f t="array" aca="1" ref="N150" ca="1">OFFSET(INDIRECT("Sheet"&amp;M$2&amp;"!d1"),$G150-1,)</f>
        <v>20</v>
      </c>
      <c r="O150" cm="1">
        <f t="array" aca="1" ref="O150" ca="1">OFFSET(INDIRECT("Sheet"&amp;C$2&amp;"!d1"),$G150-1,)</f>
        <v>0</v>
      </c>
      <c r="P150" cm="1">
        <f t="array" aca="1" ref="P150" ca="1">OFFSET(INDIRECT("Sheet"&amp;D$2&amp;"!d1"),$G150-1,)</f>
        <v>0</v>
      </c>
      <c r="Q150" cm="1">
        <f t="array" aca="1" ref="Q150" ca="1">OFFSET(INDIRECT("Sheet"&amp;N$2&amp;"!d1"),$G150-1,)</f>
        <v>20</v>
      </c>
      <c r="R150" cm="1">
        <f t="array" aca="1" ref="R150" ca="1">OFFSET(INDIRECT("Sheet"&amp;O$2&amp;"!d1"),$G150-1,)</f>
        <v>19</v>
      </c>
      <c r="S150" cm="1">
        <f t="array" aca="1" ref="S150" ca="1">OFFSET(INDIRECT("Sheet"&amp;P$2&amp;"!d1"),$G150-1,)</f>
        <v>20</v>
      </c>
      <c r="T150" cm="1">
        <f t="array" aca="1" ref="T150" ca="1">OFFSET(INDIRECT("Sheet"&amp;Q$2&amp;"!d1"),$G150-1,)</f>
        <v>20</v>
      </c>
      <c r="U150" cm="1">
        <f t="array" aca="1" ref="U150" ca="1">OFFSET(INDIRECT("Sheet"&amp;R$2&amp;"!d1"),$G150-1,)</f>
        <v>19</v>
      </c>
      <c r="V150" cm="1">
        <f t="array" aca="1" ref="V150" ca="1">OFFSET(INDIRECT("Sheet"&amp;S$2&amp;"!d1"),$G150-1,)</f>
        <v>22</v>
      </c>
      <c r="W150" cm="1">
        <f t="array" aca="1" ref="W150" ca="1">OFFSET(INDIRECT("Sheet"&amp;T$2&amp;"!d1"),$G150-1,)</f>
        <v>20</v>
      </c>
      <c r="X150" cm="1">
        <f t="array" aca="1" ref="X150" ca="1">OFFSET(INDIRECT("Sheet"&amp;U$2&amp;"!d1"),$G150-1,)</f>
        <v>22</v>
      </c>
      <c r="Y150" cm="1">
        <f t="array" aca="1" ref="Y150" ca="1">OFFSET(INDIRECT("Sheet"&amp;V$2&amp;"!d1"),$G150-1,)</f>
        <v>19</v>
      </c>
      <c r="Z150"/>
      <c r="AB150" s="3" cm="1">
        <f t="array" aca="1" ref="AB150" ca="1">OFFSET(INDIRECT("Sheet"&amp;E$2&amp;"!f1"),$G150-1,)</f>
        <v>0</v>
      </c>
      <c r="AC150" s="3" cm="1">
        <f t="array" aca="1" ref="AC150" ca="1">OFFSET(INDIRECT("Sheet"&amp;F$2&amp;"!f1"),$G150-1,)</f>
        <v>0</v>
      </c>
      <c r="AD150" s="3" cm="1">
        <f t="array" aca="1" ref="AD150" ca="1">OFFSET(INDIRECT("Sheet"&amp;G$2&amp;"!f1"),$G150-1,)</f>
        <v>0</v>
      </c>
      <c r="AE150" s="3" cm="1">
        <f t="array" aca="1" ref="AE150" ca="1">OFFSET(INDIRECT("Sheet"&amp;H$2&amp;"!f1"),$G150-1,)</f>
        <v>0</v>
      </c>
      <c r="AF150" s="3" cm="1">
        <f t="array" aca="1" ref="AF150" ca="1">OFFSET(INDIRECT("Sheet"&amp;I$2&amp;"!f1"),$G150-1,)</f>
        <v>0</v>
      </c>
      <c r="AG150" s="3" cm="1">
        <f t="array" aca="1" ref="AG150" ca="1">OFFSET(INDIRECT("Sheet"&amp;J$2&amp;"!f1"),$G150-1,)</f>
        <v>2.6511851260438499</v>
      </c>
      <c r="AH150" s="3" cm="1">
        <f t="array" aca="1" ref="AH150" ca="1">OFFSET(INDIRECT("Sheet"&amp;K$2&amp;"!f1"),$G150-1,)</f>
        <v>2.3389061049999702</v>
      </c>
      <c r="AI150" s="3" cm="1">
        <f t="array" aca="1" ref="AI150" ca="1">OFFSET(INDIRECT("Sheet"&amp;L$2&amp;"!f1"),$G150-1,)</f>
        <v>2.3468667269999899</v>
      </c>
      <c r="AJ150" s="3" cm="1">
        <f t="array" aca="1" ref="AJ150" ca="1">OFFSET(INDIRECT("Sheet"&amp;M$2&amp;"!f1"),$G150-1,)</f>
        <v>3.7685805791988898</v>
      </c>
      <c r="AK150" s="3" cm="1">
        <f t="array" aca="1" ref="AK150" ca="1">OFFSET(INDIRECT("Sheet"&amp;C$2&amp;"!f1"),$G150-1,)</f>
        <v>0</v>
      </c>
      <c r="AL150" s="3" cm="1">
        <f t="array" aca="1" ref="AL150" ca="1">OFFSET(INDIRECT("Sheet"&amp;D$2&amp;"!f1"),$G150-1,)</f>
        <v>0</v>
      </c>
      <c r="AM150" s="3" cm="1">
        <f t="array" aca="1" ref="AM150" ca="1">OFFSET(INDIRECT("Sheet"&amp;N$2&amp;"!f1"),$G150-1,)</f>
        <v>19.911712897010101</v>
      </c>
      <c r="AN150" s="3" cm="1">
        <f t="array" aca="1" ref="AN150" ca="1">OFFSET(INDIRECT("Sheet"&amp;O$2&amp;"!f1"),$G150-1,)</f>
        <v>40.509104948490801</v>
      </c>
      <c r="AO150" s="3" cm="1">
        <f t="array" aca="1" ref="AO150" ca="1">OFFSET(INDIRECT("Sheet"&amp;P$2&amp;"!f1"),$G150-1,)</f>
        <v>60.570941569283598</v>
      </c>
      <c r="AP150" s="3" cm="1">
        <f t="array" aca="1" ref="AP150" ca="1">OFFSET(INDIRECT("Sheet"&amp;Q$2&amp;"!f1"),$G150-1,)</f>
        <v>14.8479721890762</v>
      </c>
      <c r="AQ150" s="3" cm="1">
        <f t="array" aca="1" ref="AQ150" ca="1">OFFSET(INDIRECT("Sheet"&amp;R$2&amp;"!f1"),$G150-1,)</f>
        <v>18.787291269749399</v>
      </c>
      <c r="AR150" s="3" cm="1">
        <f t="array" aca="1" ref="AR150" ca="1">OFFSET(INDIRECT("Sheet"&amp;S$2&amp;"!f1"),$G150-1,)</f>
        <v>39.1119107361882</v>
      </c>
      <c r="AS150" s="3" cm="1">
        <f t="array" aca="1" ref="AS150" ca="1">OFFSET(INDIRECT("Sheet"&amp;T$2&amp;"!f1"),$G150-1,)</f>
        <v>36.902900093234997</v>
      </c>
      <c r="AT150" s="3" cm="1">
        <f t="array" aca="1" ref="AT150" ca="1">OFFSET(INDIRECT("Sheet"&amp;U$2&amp;"!f1"),$G150-1,)</f>
        <v>55.216782126575701</v>
      </c>
      <c r="AU150" s="3" cm="1">
        <f t="array" aca="1" ref="AU150" ca="1">OFFSET(INDIRECT("Sheet"&amp;V$2&amp;"!f1"),$G150-1,)</f>
        <v>57.632718663662601</v>
      </c>
      <c r="AV150" s="3"/>
      <c r="AX150">
        <f ca="1">IF(H150=$F150,1,0)</f>
        <v>0</v>
      </c>
      <c r="AY150">
        <f ca="1">IF(I150=$F150,1,0)</f>
        <v>0</v>
      </c>
      <c r="AZ150">
        <f ca="1">IF(J150=$F150,1,0)</f>
        <v>0</v>
      </c>
      <c r="BA150">
        <f ca="1">IF(K150=$F150,1,0)</f>
        <v>0</v>
      </c>
      <c r="BB150">
        <f ca="1">IF(L150=$F150,1,0)</f>
        <v>0</v>
      </c>
      <c r="BC150">
        <f ca="1">IF(M150=$F150,1,0)</f>
        <v>0</v>
      </c>
      <c r="BD150">
        <f ca="1">IF(C150=$F150,1,0)</f>
        <v>0</v>
      </c>
      <c r="BE150">
        <f ca="1">IF(D150=$F150,1,0)</f>
        <v>0</v>
      </c>
      <c r="BF150">
        <f t="shared" ca="1" si="29"/>
        <v>0</v>
      </c>
      <c r="BG150">
        <f t="shared" ca="1" si="30"/>
        <v>0</v>
      </c>
      <c r="BH150">
        <f t="shared" ca="1" si="41"/>
        <v>0</v>
      </c>
      <c r="BI150">
        <f t="shared" ca="1" si="42"/>
        <v>0</v>
      </c>
      <c r="BJ150">
        <f t="shared" ca="1" si="43"/>
        <v>1</v>
      </c>
      <c r="BK150">
        <f t="shared" ca="1" si="43"/>
        <v>0</v>
      </c>
      <c r="BL150">
        <f t="shared" ca="1" si="43"/>
        <v>0</v>
      </c>
      <c r="BM150">
        <f t="shared" ca="1" si="34"/>
        <v>1</v>
      </c>
      <c r="BN150">
        <f t="shared" ca="1" si="35"/>
        <v>0</v>
      </c>
      <c r="BO150">
        <f t="shared" ca="1" si="36"/>
        <v>0</v>
      </c>
      <c r="BP150">
        <f t="shared" ca="1" si="37"/>
        <v>0</v>
      </c>
      <c r="BQ150">
        <f t="shared" ca="1" si="38"/>
        <v>1</v>
      </c>
    </row>
    <row r="151" spans="1:69" s="4" customFormat="1" x14ac:dyDescent="0.2">
      <c r="A151" t="str">
        <f>Sheet3!A135</f>
        <v>[[105,8,20]]</v>
      </c>
      <c r="B151" s="4">
        <v>105</v>
      </c>
      <c r="C151" cm="1">
        <f t="array" aca="1" ref="C151" ca="1">OFFSET(INDIRECT("Sheet"&amp;K$2&amp;"!d1"),$G151-1,)</f>
        <v>23</v>
      </c>
      <c r="D151" cm="1">
        <f t="array" aca="1" ref="D151" ca="1">OFFSET(INDIRECT("Sheet"&amp;L$2&amp;"!d1"),$G151-1,)</f>
        <v>24</v>
      </c>
      <c r="E151" s="4">
        <v>8</v>
      </c>
      <c r="F151" s="4">
        <v>20</v>
      </c>
      <c r="G151">
        <f t="shared" si="39"/>
        <v>135</v>
      </c>
      <c r="H151" cm="1">
        <f t="array" aca="1" ref="H151" ca="1">OFFSET(INDIRECT("Sheet"&amp;E$2&amp;"!d1"),$G151-1,)</f>
        <v>0</v>
      </c>
      <c r="I151" cm="1">
        <f t="array" aca="1" ref="I151" ca="1">OFFSET(INDIRECT("Sheet"&amp;F$2&amp;"!d1"),$G151-1,)</f>
        <v>0</v>
      </c>
      <c r="J151" cm="1">
        <f t="array" aca="1" ref="J151" ca="1">OFFSET(INDIRECT("Sheet"&amp;G$2&amp;"!d1"),$G151-1,)</f>
        <v>0</v>
      </c>
      <c r="K151" cm="1">
        <f t="array" aca="1" ref="K151" ca="1">OFFSET(INDIRECT("Sheet"&amp;H$2&amp;"!d1"),$G151-1,)</f>
        <v>0</v>
      </c>
      <c r="L151" cm="1">
        <f t="array" aca="1" ref="L151" ca="1">OFFSET(INDIRECT("Sheet"&amp;I$2&amp;"!d1"),$G151-1,)</f>
        <v>0</v>
      </c>
      <c r="M151" cm="1">
        <f t="array" aca="1" ref="M151" ca="1">OFFSET(INDIRECT("Sheet"&amp;J$2&amp;"!d1"),$G151-1,)</f>
        <v>22</v>
      </c>
      <c r="N151" cm="1">
        <f t="array" aca="1" ref="N151" ca="1">OFFSET(INDIRECT("Sheet"&amp;M$2&amp;"!d1"),$G151-1,)</f>
        <v>22</v>
      </c>
      <c r="O151" cm="1">
        <f t="array" aca="1" ref="O151" ca="1">OFFSET(INDIRECT("Sheet"&amp;C$2&amp;"!d1"),$G151-1,)</f>
        <v>0</v>
      </c>
      <c r="P151" cm="1">
        <f t="array" aca="1" ref="P151" ca="1">OFFSET(INDIRECT("Sheet"&amp;D$2&amp;"!d1"),$G151-1,)</f>
        <v>0</v>
      </c>
      <c r="Q151" cm="1">
        <f t="array" aca="1" ref="Q151" ca="1">OFFSET(INDIRECT("Sheet"&amp;N$2&amp;"!d1"),$G151-1,)</f>
        <v>20</v>
      </c>
      <c r="R151" cm="1">
        <f t="array" aca="1" ref="R151" ca="1">OFFSET(INDIRECT("Sheet"&amp;O$2&amp;"!d1"),$G151-1,)</f>
        <v>20</v>
      </c>
      <c r="S151" cm="1">
        <f t="array" aca="1" ref="S151" ca="1">OFFSET(INDIRECT("Sheet"&amp;P$2&amp;"!d1"),$G151-1,)</f>
        <v>20</v>
      </c>
      <c r="T151" cm="1">
        <f t="array" aca="1" ref="T151" ca="1">OFFSET(INDIRECT("Sheet"&amp;Q$2&amp;"!d1"),$G151-1,)</f>
        <v>25</v>
      </c>
      <c r="U151" cm="1">
        <f t="array" aca="1" ref="U151" ca="1">OFFSET(INDIRECT("Sheet"&amp;R$2&amp;"!d1"),$G151-1,)</f>
        <v>21</v>
      </c>
      <c r="V151" cm="1">
        <f t="array" aca="1" ref="V151" ca="1">OFFSET(INDIRECT("Sheet"&amp;S$2&amp;"!d1"),$G151-1,)</f>
        <v>22</v>
      </c>
      <c r="W151" cm="1">
        <f t="array" aca="1" ref="W151" ca="1">OFFSET(INDIRECT("Sheet"&amp;T$2&amp;"!d1"),$G151-1,)</f>
        <v>22</v>
      </c>
      <c r="X151" cm="1">
        <f t="array" aca="1" ref="X151" ca="1">OFFSET(INDIRECT("Sheet"&amp;U$2&amp;"!d1"),$G151-1,)</f>
        <v>24</v>
      </c>
      <c r="Y151" cm="1">
        <f t="array" aca="1" ref="Y151" ca="1">OFFSET(INDIRECT("Sheet"&amp;V$2&amp;"!d1"),$G151-1,)</f>
        <v>22</v>
      </c>
      <c r="Z151"/>
      <c r="AB151" s="3" cm="1">
        <f t="array" aca="1" ref="AB151" ca="1">OFFSET(INDIRECT("Sheet"&amp;E$2&amp;"!f1"),$G151-1,)</f>
        <v>0</v>
      </c>
      <c r="AC151" s="3" cm="1">
        <f t="array" aca="1" ref="AC151" ca="1">OFFSET(INDIRECT("Sheet"&amp;F$2&amp;"!f1"),$G151-1,)</f>
        <v>0</v>
      </c>
      <c r="AD151" s="3" cm="1">
        <f t="array" aca="1" ref="AD151" ca="1">OFFSET(INDIRECT("Sheet"&amp;G$2&amp;"!f1"),$G151-1,)</f>
        <v>0</v>
      </c>
      <c r="AE151" s="3" cm="1">
        <f t="array" aca="1" ref="AE151" ca="1">OFFSET(INDIRECT("Sheet"&amp;H$2&amp;"!f1"),$G151-1,)</f>
        <v>0</v>
      </c>
      <c r="AF151" s="3" cm="1">
        <f t="array" aca="1" ref="AF151" ca="1">OFFSET(INDIRECT("Sheet"&amp;I$2&amp;"!f1"),$G151-1,)</f>
        <v>0</v>
      </c>
      <c r="AG151" s="3" cm="1">
        <f t="array" aca="1" ref="AG151" ca="1">OFFSET(INDIRECT("Sheet"&amp;J$2&amp;"!f1"),$G151-1,)</f>
        <v>2.7926507238298601</v>
      </c>
      <c r="AH151" s="3" cm="1">
        <f t="array" aca="1" ref="AH151" ca="1">OFFSET(INDIRECT("Sheet"&amp;K$2&amp;"!f1"),$G151-1,)</f>
        <v>2.46723574</v>
      </c>
      <c r="AI151" s="3" cm="1">
        <f t="array" aca="1" ref="AI151" ca="1">OFFSET(INDIRECT("Sheet"&amp;L$2&amp;"!f1"),$G151-1,)</f>
        <v>2.4679286410000101</v>
      </c>
      <c r="AJ151" s="3" cm="1">
        <f t="array" aca="1" ref="AJ151" ca="1">OFFSET(INDIRECT("Sheet"&amp;M$2&amp;"!f1"),$G151-1,)</f>
        <v>3.7506445320323101</v>
      </c>
      <c r="AK151" s="3" cm="1">
        <f t="array" aca="1" ref="AK151" ca="1">OFFSET(INDIRECT("Sheet"&amp;C$2&amp;"!f1"),$G151-1,)</f>
        <v>0</v>
      </c>
      <c r="AL151" s="3" cm="1">
        <f t="array" aca="1" ref="AL151" ca="1">OFFSET(INDIRECT("Sheet"&amp;D$2&amp;"!f1"),$G151-1,)</f>
        <v>0</v>
      </c>
      <c r="AM151" s="3" cm="1">
        <f t="array" aca="1" ref="AM151" ca="1">OFFSET(INDIRECT("Sheet"&amp;N$2&amp;"!f1"),$G151-1,)</f>
        <v>17.6576871788129</v>
      </c>
      <c r="AN151" s="3" cm="1">
        <f t="array" aca="1" ref="AN151" ca="1">OFFSET(INDIRECT("Sheet"&amp;O$2&amp;"!f1"),$G151-1,)</f>
        <v>38.053355753421698</v>
      </c>
      <c r="AO151" s="3" cm="1">
        <f t="array" aca="1" ref="AO151" ca="1">OFFSET(INDIRECT("Sheet"&amp;P$2&amp;"!f1"),$G151-1,)</f>
        <v>51.029815927147801</v>
      </c>
      <c r="AP151" s="3" cm="1">
        <f t="array" aca="1" ref="AP151" ca="1">OFFSET(INDIRECT("Sheet"&amp;Q$2&amp;"!f1"),$G151-1,)</f>
        <v>13.134624902158899</v>
      </c>
      <c r="AQ151" s="3" cm="1">
        <f t="array" aca="1" ref="AQ151" ca="1">OFFSET(INDIRECT("Sheet"&amp;R$2&amp;"!f1"),$G151-1,)</f>
        <v>16.779823066666701</v>
      </c>
      <c r="AR151" s="3" cm="1">
        <f t="array" aca="1" ref="AR151" ca="1">OFFSET(INDIRECT("Sheet"&amp;S$2&amp;"!f1"),$G151-1,)</f>
        <v>38.236877802759402</v>
      </c>
      <c r="AS151" s="3" cm="1">
        <f t="array" aca="1" ref="AS151" ca="1">OFFSET(INDIRECT("Sheet"&amp;T$2&amp;"!f1"),$G151-1,)</f>
        <v>34.973033188842201</v>
      </c>
      <c r="AT151" s="3" cm="1">
        <f t="array" aca="1" ref="AT151" ca="1">OFFSET(INDIRECT("Sheet"&amp;U$2&amp;"!f1"),$G151-1,)</f>
        <v>48.460439843125599</v>
      </c>
      <c r="AU151" s="3" cm="1">
        <f t="array" aca="1" ref="AU151" ca="1">OFFSET(INDIRECT("Sheet"&amp;V$2&amp;"!f1"),$G151-1,)</f>
        <v>48.555382625199798</v>
      </c>
      <c r="AV151" s="3"/>
      <c r="AX151">
        <f ca="1">IF(H151=$F151,1,0)</f>
        <v>0</v>
      </c>
      <c r="AY151">
        <f ca="1">IF(I151=$F151,1,0)</f>
        <v>0</v>
      </c>
      <c r="AZ151">
        <f ca="1">IF(J151=$F151,1,0)</f>
        <v>0</v>
      </c>
      <c r="BA151">
        <f ca="1">IF(K151=$F151,1,0)</f>
        <v>0</v>
      </c>
      <c r="BB151">
        <f ca="1">IF(L151=$F151,1,0)</f>
        <v>0</v>
      </c>
      <c r="BC151">
        <f ca="1">IF(M151=$F151,1,0)</f>
        <v>0</v>
      </c>
      <c r="BD151">
        <f ca="1">IF(C151=$F151,1,0)</f>
        <v>0</v>
      </c>
      <c r="BE151">
        <f ca="1">IF(D151=$F151,1,0)</f>
        <v>0</v>
      </c>
      <c r="BF151">
        <f t="shared" ca="1" si="29"/>
        <v>0</v>
      </c>
      <c r="BG151">
        <f t="shared" ca="1" si="30"/>
        <v>0</v>
      </c>
      <c r="BH151">
        <f t="shared" ca="1" si="41"/>
        <v>0</v>
      </c>
      <c r="BI151">
        <f t="shared" ca="1" si="42"/>
        <v>1</v>
      </c>
      <c r="BJ151">
        <f t="shared" ca="1" si="43"/>
        <v>1</v>
      </c>
      <c r="BK151">
        <f t="shared" ca="1" si="43"/>
        <v>1</v>
      </c>
      <c r="BL151">
        <f t="shared" ca="1" si="43"/>
        <v>0</v>
      </c>
      <c r="BM151">
        <f t="shared" ca="1" si="34"/>
        <v>0</v>
      </c>
      <c r="BN151">
        <f t="shared" ca="1" si="35"/>
        <v>0</v>
      </c>
      <c r="BO151">
        <f t="shared" ca="1" si="36"/>
        <v>0</v>
      </c>
      <c r="BP151">
        <f t="shared" ca="1" si="37"/>
        <v>0</v>
      </c>
      <c r="BQ151">
        <f t="shared" ca="1" si="38"/>
        <v>0</v>
      </c>
    </row>
    <row r="152" spans="1:69" s="4" customFormat="1" x14ac:dyDescent="0.2">
      <c r="A152" t="str">
        <f>Sheet3!A136</f>
        <v>[[106,23,16]]</v>
      </c>
      <c r="B152" s="4">
        <v>106</v>
      </c>
      <c r="C152" cm="1">
        <f t="array" aca="1" ref="C152" ca="1">OFFSET(INDIRECT("Sheet"&amp;K$2&amp;"!d1"),$G152-1,)</f>
        <v>19</v>
      </c>
      <c r="D152" cm="1">
        <f t="array" aca="1" ref="D152" ca="1">OFFSET(INDIRECT("Sheet"&amp;L$2&amp;"!d1"),$G152-1,)</f>
        <v>19</v>
      </c>
      <c r="E152" s="4">
        <v>23</v>
      </c>
      <c r="F152" s="4">
        <v>16</v>
      </c>
      <c r="G152">
        <f t="shared" si="39"/>
        <v>136</v>
      </c>
      <c r="H152" cm="1">
        <f t="array" aca="1" ref="H152" ca="1">OFFSET(INDIRECT("Sheet"&amp;E$2&amp;"!d1"),$G152-1,)</f>
        <v>0</v>
      </c>
      <c r="I152" cm="1">
        <f t="array" aca="1" ref="I152" ca="1">OFFSET(INDIRECT("Sheet"&amp;F$2&amp;"!d1"),$G152-1,)</f>
        <v>0</v>
      </c>
      <c r="J152" cm="1">
        <f t="array" aca="1" ref="J152" ca="1">OFFSET(INDIRECT("Sheet"&amp;G$2&amp;"!d1"),$G152-1,)</f>
        <v>0</v>
      </c>
      <c r="K152" cm="1">
        <f t="array" aca="1" ref="K152" ca="1">OFFSET(INDIRECT("Sheet"&amp;H$2&amp;"!d1"),$G152-1,)</f>
        <v>0</v>
      </c>
      <c r="L152" cm="1">
        <f t="array" aca="1" ref="L152" ca="1">OFFSET(INDIRECT("Sheet"&amp;I$2&amp;"!d1"),$G152-1,)</f>
        <v>0</v>
      </c>
      <c r="M152" cm="1">
        <f t="array" aca="1" ref="M152" ca="1">OFFSET(INDIRECT("Sheet"&amp;J$2&amp;"!d1"),$G152-1,)</f>
        <v>18</v>
      </c>
      <c r="N152" cm="1">
        <f t="array" aca="1" ref="N152" ca="1">OFFSET(INDIRECT("Sheet"&amp;M$2&amp;"!d1"),$G152-1,)</f>
        <v>18</v>
      </c>
      <c r="O152" cm="1">
        <f t="array" aca="1" ref="O152" ca="1">OFFSET(INDIRECT("Sheet"&amp;C$2&amp;"!d1"),$G152-1,)</f>
        <v>0</v>
      </c>
      <c r="P152" cm="1">
        <f t="array" aca="1" ref="P152" ca="1">OFFSET(INDIRECT("Sheet"&amp;D$2&amp;"!d1"),$G152-1,)</f>
        <v>0</v>
      </c>
      <c r="Q152" cm="1">
        <f t="array" aca="1" ref="Q152" ca="1">OFFSET(INDIRECT("Sheet"&amp;N$2&amp;"!d1"),$G152-1,)</f>
        <v>16</v>
      </c>
      <c r="R152" cm="1">
        <f t="array" aca="1" ref="R152" ca="1">OFFSET(INDIRECT("Sheet"&amp;O$2&amp;"!d1"),$G152-1,)</f>
        <v>16</v>
      </c>
      <c r="S152" cm="1">
        <f t="array" aca="1" ref="S152" ca="1">OFFSET(INDIRECT("Sheet"&amp;P$2&amp;"!d1"),$G152-1,)</f>
        <v>16</v>
      </c>
      <c r="T152" cm="1">
        <f t="array" aca="1" ref="T152" ca="1">OFFSET(INDIRECT("Sheet"&amp;Q$2&amp;"!d1"),$G152-1,)</f>
        <v>16</v>
      </c>
      <c r="U152" cm="1">
        <f t="array" aca="1" ref="U152" ca="1">OFFSET(INDIRECT("Sheet"&amp;R$2&amp;"!d1"),$G152-1,)</f>
        <v>16</v>
      </c>
      <c r="V152" cm="1">
        <f t="array" aca="1" ref="V152" ca="1">OFFSET(INDIRECT("Sheet"&amp;S$2&amp;"!d1"),$G152-1,)</f>
        <v>16</v>
      </c>
      <c r="W152" cm="1">
        <f t="array" aca="1" ref="W152" ca="1">OFFSET(INDIRECT("Sheet"&amp;T$2&amp;"!d1"),$G152-1,)</f>
        <v>16</v>
      </c>
      <c r="X152" cm="1">
        <f t="array" aca="1" ref="X152" ca="1">OFFSET(INDIRECT("Sheet"&amp;U$2&amp;"!d1"),$G152-1,)</f>
        <v>16</v>
      </c>
      <c r="Y152" cm="1">
        <f t="array" aca="1" ref="Y152" ca="1">OFFSET(INDIRECT("Sheet"&amp;V$2&amp;"!d1"),$G152-1,)</f>
        <v>16</v>
      </c>
      <c r="Z152"/>
      <c r="AB152" s="3" cm="1">
        <f t="array" aca="1" ref="AB152" ca="1">OFFSET(INDIRECT("Sheet"&amp;E$2&amp;"!f1"),$G152-1,)</f>
        <v>0</v>
      </c>
      <c r="AC152" s="3" cm="1">
        <f t="array" aca="1" ref="AC152" ca="1">OFFSET(INDIRECT("Sheet"&amp;F$2&amp;"!f1"),$G152-1,)</f>
        <v>0</v>
      </c>
      <c r="AD152" s="3" cm="1">
        <f t="array" aca="1" ref="AD152" ca="1">OFFSET(INDIRECT("Sheet"&amp;G$2&amp;"!f1"),$G152-1,)</f>
        <v>0</v>
      </c>
      <c r="AE152" s="3" cm="1">
        <f t="array" aca="1" ref="AE152" ca="1">OFFSET(INDIRECT("Sheet"&amp;H$2&amp;"!f1"),$G152-1,)</f>
        <v>0</v>
      </c>
      <c r="AF152" s="3" cm="1">
        <f t="array" aca="1" ref="AF152" ca="1">OFFSET(INDIRECT("Sheet"&amp;I$2&amp;"!f1"),$G152-1,)</f>
        <v>0</v>
      </c>
      <c r="AG152" s="3" cm="1">
        <f t="array" aca="1" ref="AG152" ca="1">OFFSET(INDIRECT("Sheet"&amp;J$2&amp;"!f1"),$G152-1,)</f>
        <v>2.50411926023662</v>
      </c>
      <c r="AH152" s="3" cm="1">
        <f t="array" aca="1" ref="AH152" ca="1">OFFSET(INDIRECT("Sheet"&amp;K$2&amp;"!f1"),$G152-1,)</f>
        <v>2.22325668000002</v>
      </c>
      <c r="AI152" s="3" cm="1">
        <f t="array" aca="1" ref="AI152" ca="1">OFFSET(INDIRECT("Sheet"&amp;L$2&amp;"!f1"),$G152-1,)</f>
        <v>2.2259023279999801</v>
      </c>
      <c r="AJ152" s="3" cm="1">
        <f t="array" aca="1" ref="AJ152" ca="1">OFFSET(INDIRECT("Sheet"&amp;M$2&amp;"!f1"),$G152-1,)</f>
        <v>4.0251964870840302</v>
      </c>
      <c r="AK152" s="3" cm="1">
        <f t="array" aca="1" ref="AK152" ca="1">OFFSET(INDIRECT("Sheet"&amp;C$2&amp;"!f1"),$G152-1,)</f>
        <v>0</v>
      </c>
      <c r="AL152" s="3" cm="1">
        <f t="array" aca="1" ref="AL152" ca="1">OFFSET(INDIRECT("Sheet"&amp;D$2&amp;"!f1"),$G152-1,)</f>
        <v>0</v>
      </c>
      <c r="AM152" s="3" cm="1">
        <f t="array" aca="1" ref="AM152" ca="1">OFFSET(INDIRECT("Sheet"&amp;N$2&amp;"!f1"),$G152-1,)</f>
        <v>29.6464499039575</v>
      </c>
      <c r="AN152" s="3" cm="1">
        <f t="array" aca="1" ref="AN152" ca="1">OFFSET(INDIRECT("Sheet"&amp;O$2&amp;"!f1"),$G152-1,)</f>
        <v>53.312141209840703</v>
      </c>
      <c r="AO152" s="3" cm="1">
        <f t="array" aca="1" ref="AO152" ca="1">OFFSET(INDIRECT("Sheet"&amp;P$2&amp;"!f1"),$G152-1,)</f>
        <v>93.415741575881796</v>
      </c>
      <c r="AP152" s="3" cm="1">
        <f t="array" aca="1" ref="AP152" ca="1">OFFSET(INDIRECT("Sheet"&amp;Q$2&amp;"!f1"),$G152-1,)</f>
        <v>21.987741251476098</v>
      </c>
      <c r="AQ152" s="3" cm="1">
        <f t="array" aca="1" ref="AQ152" ca="1">OFFSET(INDIRECT("Sheet"&amp;R$2&amp;"!f1"),$G152-1,)</f>
        <v>27.631816639564899</v>
      </c>
      <c r="AR152" s="3" cm="1">
        <f t="array" aca="1" ref="AR152" ca="1">OFFSET(INDIRECT("Sheet"&amp;S$2&amp;"!f1"),$G152-1,)</f>
        <v>48.565525790676404</v>
      </c>
      <c r="AS152" s="3" cm="1">
        <f t="array" aca="1" ref="AS152" ca="1">OFFSET(INDIRECT("Sheet"&amp;T$2&amp;"!f1"),$G152-1,)</f>
        <v>49.229829748161102</v>
      </c>
      <c r="AT152" s="3" cm="1">
        <f t="array" aca="1" ref="AT152" ca="1">OFFSET(INDIRECT("Sheet"&amp;U$2&amp;"!f1"),$G152-1,)</f>
        <v>82.422588855028096</v>
      </c>
      <c r="AU152" s="3" cm="1">
        <f t="array" aca="1" ref="AU152" ca="1">OFFSET(INDIRECT("Sheet"&amp;V$2&amp;"!f1"),$G152-1,)</f>
        <v>87.672640412114504</v>
      </c>
      <c r="AV152" s="3"/>
      <c r="AX152">
        <f ca="1">IF(H152=$F152,1,0)</f>
        <v>0</v>
      </c>
      <c r="AY152">
        <f ca="1">IF(I152=$F152,1,0)</f>
        <v>0</v>
      </c>
      <c r="AZ152">
        <f ca="1">IF(J152=$F152,1,0)</f>
        <v>0</v>
      </c>
      <c r="BA152">
        <f ca="1">IF(K152=$F152,1,0)</f>
        <v>0</v>
      </c>
      <c r="BB152">
        <f ca="1">IF(L152=$F152,1,0)</f>
        <v>0</v>
      </c>
      <c r="BC152">
        <f ca="1">IF(M152=$F152,1,0)</f>
        <v>0</v>
      </c>
      <c r="BD152">
        <f ca="1">IF(C152=$F152,1,0)</f>
        <v>0</v>
      </c>
      <c r="BE152">
        <f ca="1">IF(D152=$F152,1,0)</f>
        <v>0</v>
      </c>
      <c r="BF152">
        <f t="shared" ca="1" si="29"/>
        <v>0</v>
      </c>
      <c r="BG152">
        <f t="shared" ca="1" si="30"/>
        <v>0</v>
      </c>
      <c r="BH152">
        <f t="shared" ca="1" si="41"/>
        <v>0</v>
      </c>
      <c r="BI152">
        <f t="shared" ca="1" si="42"/>
        <v>1</v>
      </c>
      <c r="BJ152">
        <f t="shared" ca="1" si="43"/>
        <v>1</v>
      </c>
      <c r="BK152">
        <f t="shared" ca="1" si="43"/>
        <v>1</v>
      </c>
      <c r="BL152">
        <f t="shared" ca="1" si="43"/>
        <v>1</v>
      </c>
      <c r="BM152">
        <f t="shared" ca="1" si="34"/>
        <v>1</v>
      </c>
      <c r="BN152">
        <f t="shared" ca="1" si="35"/>
        <v>1</v>
      </c>
      <c r="BO152">
        <f t="shared" ca="1" si="36"/>
        <v>1</v>
      </c>
      <c r="BP152">
        <f t="shared" ca="1" si="37"/>
        <v>1</v>
      </c>
      <c r="BQ152">
        <f t="shared" ca="1" si="38"/>
        <v>1</v>
      </c>
    </row>
    <row r="153" spans="1:69" s="4" customFormat="1" x14ac:dyDescent="0.2">
      <c r="A153" t="str">
        <f>Sheet3!A137</f>
        <v>[[107,10,20]]</v>
      </c>
      <c r="B153" s="4">
        <v>107</v>
      </c>
      <c r="C153" cm="1">
        <f t="array" aca="1" ref="C153" ca="1">OFFSET(INDIRECT("Sheet"&amp;K$2&amp;"!d1"),$G153-1,)</f>
        <v>22</v>
      </c>
      <c r="D153" cm="1">
        <f t="array" aca="1" ref="D153" ca="1">OFFSET(INDIRECT("Sheet"&amp;L$2&amp;"!d1"),$G153-1,)</f>
        <v>23</v>
      </c>
      <c r="E153" s="4">
        <v>10</v>
      </c>
      <c r="F153" s="4">
        <v>20</v>
      </c>
      <c r="G153">
        <f t="shared" si="39"/>
        <v>137</v>
      </c>
      <c r="H153" cm="1">
        <f t="array" aca="1" ref="H153" ca="1">OFFSET(INDIRECT("Sheet"&amp;E$2&amp;"!d1"),$G153-1,)</f>
        <v>0</v>
      </c>
      <c r="I153" cm="1">
        <f t="array" aca="1" ref="I153" ca="1">OFFSET(INDIRECT("Sheet"&amp;F$2&amp;"!d1"),$G153-1,)</f>
        <v>0</v>
      </c>
      <c r="J153" cm="1">
        <f t="array" aca="1" ref="J153" ca="1">OFFSET(INDIRECT("Sheet"&amp;G$2&amp;"!d1"),$G153-1,)</f>
        <v>0</v>
      </c>
      <c r="K153" cm="1">
        <f t="array" aca="1" ref="K153" ca="1">OFFSET(INDIRECT("Sheet"&amp;H$2&amp;"!d1"),$G153-1,)</f>
        <v>0</v>
      </c>
      <c r="L153" cm="1">
        <f t="array" aca="1" ref="L153" ca="1">OFFSET(INDIRECT("Sheet"&amp;I$2&amp;"!d1"),$G153-1,)</f>
        <v>0</v>
      </c>
      <c r="M153" cm="1">
        <f t="array" aca="1" ref="M153" ca="1">OFFSET(INDIRECT("Sheet"&amp;J$2&amp;"!d1"),$G153-1,)</f>
        <v>21</v>
      </c>
      <c r="N153" cm="1">
        <f t="array" aca="1" ref="N153" ca="1">OFFSET(INDIRECT("Sheet"&amp;M$2&amp;"!d1"),$G153-1,)</f>
        <v>21</v>
      </c>
      <c r="O153" cm="1">
        <f t="array" aca="1" ref="O153" ca="1">OFFSET(INDIRECT("Sheet"&amp;C$2&amp;"!d1"),$G153-1,)</f>
        <v>0</v>
      </c>
      <c r="P153" cm="1">
        <f t="array" aca="1" ref="P153" ca="1">OFFSET(INDIRECT("Sheet"&amp;D$2&amp;"!d1"),$G153-1,)</f>
        <v>0</v>
      </c>
      <c r="Q153" cm="1">
        <f t="array" aca="1" ref="Q153" ca="1">OFFSET(INDIRECT("Sheet"&amp;N$2&amp;"!d1"),$G153-1,)</f>
        <v>20</v>
      </c>
      <c r="R153" cm="1">
        <f t="array" aca="1" ref="R153" ca="1">OFFSET(INDIRECT("Sheet"&amp;O$2&amp;"!d1"),$G153-1,)</f>
        <v>20</v>
      </c>
      <c r="S153" cm="1">
        <f t="array" aca="1" ref="S153" ca="1">OFFSET(INDIRECT("Sheet"&amp;P$2&amp;"!d1"),$G153-1,)</f>
        <v>21</v>
      </c>
      <c r="T153" cm="1">
        <f t="array" aca="1" ref="T153" ca="1">OFFSET(INDIRECT("Sheet"&amp;Q$2&amp;"!d1"),$G153-1,)</f>
        <v>24</v>
      </c>
      <c r="U153" cm="1">
        <f t="array" aca="1" ref="U153" ca="1">OFFSET(INDIRECT("Sheet"&amp;R$2&amp;"!d1"),$G153-1,)</f>
        <v>20</v>
      </c>
      <c r="V153" cm="1">
        <f t="array" aca="1" ref="V153" ca="1">OFFSET(INDIRECT("Sheet"&amp;S$2&amp;"!d1"),$G153-1,)</f>
        <v>21</v>
      </c>
      <c r="W153" cm="1">
        <f t="array" aca="1" ref="W153" ca="1">OFFSET(INDIRECT("Sheet"&amp;T$2&amp;"!d1"),$G153-1,)</f>
        <v>21</v>
      </c>
      <c r="X153" cm="1">
        <f t="array" aca="1" ref="X153" ca="1">OFFSET(INDIRECT("Sheet"&amp;U$2&amp;"!d1"),$G153-1,)</f>
        <v>22</v>
      </c>
      <c r="Y153" cm="1">
        <f t="array" aca="1" ref="Y153" ca="1">OFFSET(INDIRECT("Sheet"&amp;V$2&amp;"!d1"),$G153-1,)</f>
        <v>20</v>
      </c>
      <c r="Z153"/>
      <c r="AB153" s="3" cm="1">
        <f t="array" aca="1" ref="AB153" ca="1">OFFSET(INDIRECT("Sheet"&amp;E$2&amp;"!f1"),$G153-1,)</f>
        <v>0</v>
      </c>
      <c r="AC153" s="3" cm="1">
        <f t="array" aca="1" ref="AC153" ca="1">OFFSET(INDIRECT("Sheet"&amp;F$2&amp;"!f1"),$G153-1,)</f>
        <v>0</v>
      </c>
      <c r="AD153" s="3" cm="1">
        <f t="array" aca="1" ref="AD153" ca="1">OFFSET(INDIRECT("Sheet"&amp;G$2&amp;"!f1"),$G153-1,)</f>
        <v>0</v>
      </c>
      <c r="AE153" s="3" cm="1">
        <f t="array" aca="1" ref="AE153" ca="1">OFFSET(INDIRECT("Sheet"&amp;H$2&amp;"!f1"),$G153-1,)</f>
        <v>0</v>
      </c>
      <c r="AF153" s="3" cm="1">
        <f t="array" aca="1" ref="AF153" ca="1">OFFSET(INDIRECT("Sheet"&amp;I$2&amp;"!f1"),$G153-1,)</f>
        <v>0</v>
      </c>
      <c r="AG153" s="3" cm="1">
        <f t="array" aca="1" ref="AG153" ca="1">OFFSET(INDIRECT("Sheet"&amp;J$2&amp;"!f1"),$G153-1,)</f>
        <v>2.7734852461144301</v>
      </c>
      <c r="AH153" s="3" cm="1">
        <f t="array" aca="1" ref="AH153" ca="1">OFFSET(INDIRECT("Sheet"&amp;K$2&amp;"!f1"),$G153-1,)</f>
        <v>2.4569505929999802</v>
      </c>
      <c r="AI153" s="3" cm="1">
        <f t="array" aca="1" ref="AI153" ca="1">OFFSET(INDIRECT("Sheet"&amp;L$2&amp;"!f1"),$G153-1,)</f>
        <v>2.46367242799999</v>
      </c>
      <c r="AJ153" s="3" cm="1">
        <f t="array" aca="1" ref="AJ153" ca="1">OFFSET(INDIRECT("Sheet"&amp;M$2&amp;"!f1"),$G153-1,)</f>
        <v>3.9330631392076598</v>
      </c>
      <c r="AK153" s="3" cm="1">
        <f t="array" aca="1" ref="AK153" ca="1">OFFSET(INDIRECT("Sheet"&amp;C$2&amp;"!f1"),$G153-1,)</f>
        <v>0</v>
      </c>
      <c r="AL153" s="3" cm="1">
        <f t="array" aca="1" ref="AL153" ca="1">OFFSET(INDIRECT("Sheet"&amp;D$2&amp;"!f1"),$G153-1,)</f>
        <v>0</v>
      </c>
      <c r="AM153" s="3" cm="1">
        <f t="array" aca="1" ref="AM153" ca="1">OFFSET(INDIRECT("Sheet"&amp;N$2&amp;"!f1"),$G153-1,)</f>
        <v>19.577073138207101</v>
      </c>
      <c r="AN153" s="3" cm="1">
        <f t="array" aca="1" ref="AN153" ca="1">OFFSET(INDIRECT("Sheet"&amp;O$2&amp;"!f1"),$G153-1,)</f>
        <v>38.178896099328902</v>
      </c>
      <c r="AO153" s="3" cm="1">
        <f t="array" aca="1" ref="AO153" ca="1">OFFSET(INDIRECT("Sheet"&amp;P$2&amp;"!f1"),$G153-1,)</f>
        <v>58.436162611469598</v>
      </c>
      <c r="AP153" s="3" cm="1">
        <f t="array" aca="1" ref="AP153" ca="1">OFFSET(INDIRECT("Sheet"&amp;Q$2&amp;"!f1"),$G153-1,)</f>
        <v>14.2678005071356</v>
      </c>
      <c r="AQ153" s="3" cm="1">
        <f t="array" aca="1" ref="AQ153" ca="1">OFFSET(INDIRECT("Sheet"&amp;R$2&amp;"!f1"),$G153-1,)</f>
        <v>18.205517686903399</v>
      </c>
      <c r="AR153" s="3" cm="1">
        <f t="array" aca="1" ref="AR153" ca="1">OFFSET(INDIRECT("Sheet"&amp;S$2&amp;"!f1"),$G153-1,)</f>
        <v>39.440682110376599</v>
      </c>
      <c r="AS153" s="3" cm="1">
        <f t="array" aca="1" ref="AS153" ca="1">OFFSET(INDIRECT("Sheet"&amp;T$2&amp;"!f1"),$G153-1,)</f>
        <v>35.532088804058702</v>
      </c>
      <c r="AT153" s="3" cm="1">
        <f t="array" aca="1" ref="AT153" ca="1">OFFSET(INDIRECT("Sheet"&amp;U$2&amp;"!f1"),$G153-1,)</f>
        <v>54.282792000100002</v>
      </c>
      <c r="AU153" s="3" cm="1">
        <f t="array" aca="1" ref="AU153" ca="1">OFFSET(INDIRECT("Sheet"&amp;V$2&amp;"!f1"),$G153-1,)</f>
        <v>54.639499489217997</v>
      </c>
      <c r="AV153" s="3"/>
      <c r="AX153">
        <f ca="1">IF(H153=$F153,1,0)</f>
        <v>0</v>
      </c>
      <c r="AY153">
        <f ca="1">IF(I153=$F153,1,0)</f>
        <v>0</v>
      </c>
      <c r="AZ153">
        <f ca="1">IF(J153=$F153,1,0)</f>
        <v>0</v>
      </c>
      <c r="BA153">
        <f ca="1">IF(K153=$F153,1,0)</f>
        <v>0</v>
      </c>
      <c r="BB153">
        <f ca="1">IF(L153=$F153,1,0)</f>
        <v>0</v>
      </c>
      <c r="BC153">
        <f ca="1">IF(M153=$F153,1,0)</f>
        <v>0</v>
      </c>
      <c r="BD153">
        <f ca="1">IF(C153=$F153,1,0)</f>
        <v>0</v>
      </c>
      <c r="BE153">
        <f ca="1">IF(D153=$F153,1,0)</f>
        <v>0</v>
      </c>
      <c r="BF153">
        <f t="shared" ca="1" si="29"/>
        <v>0</v>
      </c>
      <c r="BG153">
        <f t="shared" ca="1" si="30"/>
        <v>0</v>
      </c>
      <c r="BH153">
        <f t="shared" ca="1" si="41"/>
        <v>0</v>
      </c>
      <c r="BI153">
        <f t="shared" ca="1" si="42"/>
        <v>1</v>
      </c>
      <c r="BJ153">
        <f t="shared" ca="1" si="43"/>
        <v>1</v>
      </c>
      <c r="BK153">
        <f t="shared" ca="1" si="43"/>
        <v>0</v>
      </c>
      <c r="BL153">
        <f t="shared" ca="1" si="43"/>
        <v>0</v>
      </c>
      <c r="BM153">
        <f t="shared" ca="1" si="34"/>
        <v>1</v>
      </c>
      <c r="BN153">
        <f t="shared" ca="1" si="35"/>
        <v>0</v>
      </c>
      <c r="BO153">
        <f t="shared" ca="1" si="36"/>
        <v>0</v>
      </c>
      <c r="BP153">
        <f t="shared" ca="1" si="37"/>
        <v>0</v>
      </c>
      <c r="BQ153">
        <f t="shared" ca="1" si="38"/>
        <v>1</v>
      </c>
    </row>
    <row r="154" spans="1:69" s="4" customFormat="1" x14ac:dyDescent="0.2">
      <c r="A154" t="str">
        <f>Sheet3!A138</f>
        <v>[[108,36,13]]</v>
      </c>
      <c r="B154" s="4">
        <v>108</v>
      </c>
      <c r="C154" cm="1">
        <f t="array" aca="1" ref="C154" ca="1">OFFSET(INDIRECT("Sheet"&amp;K$2&amp;"!d1"),$G154-1,)</f>
        <v>16</v>
      </c>
      <c r="D154" cm="1">
        <f t="array" aca="1" ref="D154" ca="1">OFFSET(INDIRECT("Sheet"&amp;L$2&amp;"!d1"),$G154-1,)</f>
        <v>16</v>
      </c>
      <c r="E154" s="4">
        <v>36</v>
      </c>
      <c r="F154" s="4">
        <v>15</v>
      </c>
      <c r="G154">
        <f t="shared" si="39"/>
        <v>138</v>
      </c>
      <c r="H154" cm="1">
        <f t="array" aca="1" ref="H154" ca="1">OFFSET(INDIRECT("Sheet"&amp;E$2&amp;"!d1"),$G154-1,)</f>
        <v>0</v>
      </c>
      <c r="I154" cm="1">
        <f t="array" aca="1" ref="I154" ca="1">OFFSET(INDIRECT("Sheet"&amp;F$2&amp;"!d1"),$G154-1,)</f>
        <v>0</v>
      </c>
      <c r="J154" cm="1">
        <f t="array" aca="1" ref="J154" ca="1">OFFSET(INDIRECT("Sheet"&amp;G$2&amp;"!d1"),$G154-1,)</f>
        <v>0</v>
      </c>
      <c r="K154" cm="1">
        <f t="array" aca="1" ref="K154" ca="1">OFFSET(INDIRECT("Sheet"&amp;H$2&amp;"!d1"),$G154-1,)</f>
        <v>0</v>
      </c>
      <c r="L154" cm="1">
        <f t="array" aca="1" ref="L154" ca="1">OFFSET(INDIRECT("Sheet"&amp;I$2&amp;"!d1"),$G154-1,)</f>
        <v>0</v>
      </c>
      <c r="M154" cm="1">
        <f t="array" aca="1" ref="M154" ca="1">OFFSET(INDIRECT("Sheet"&amp;J$2&amp;"!d1"),$G154-1,)</f>
        <v>16</v>
      </c>
      <c r="N154" cm="1">
        <f t="array" aca="1" ref="N154" ca="1">OFFSET(INDIRECT("Sheet"&amp;M$2&amp;"!d1"),$G154-1,)</f>
        <v>15</v>
      </c>
      <c r="O154" cm="1">
        <f t="array" aca="1" ref="O154" ca="1">OFFSET(INDIRECT("Sheet"&amp;C$2&amp;"!d1"),$G154-1,)</f>
        <v>0</v>
      </c>
      <c r="P154" cm="1">
        <f t="array" aca="1" ref="P154" ca="1">OFFSET(INDIRECT("Sheet"&amp;D$2&amp;"!d1"),$G154-1,)</f>
        <v>0</v>
      </c>
      <c r="Q154" cm="1">
        <f t="array" aca="1" ref="Q154" ca="1">OFFSET(INDIRECT("Sheet"&amp;N$2&amp;"!d1"),$G154-1,)</f>
        <v>15</v>
      </c>
      <c r="R154" cm="1">
        <f t="array" aca="1" ref="R154" ca="1">OFFSET(INDIRECT("Sheet"&amp;O$2&amp;"!d1"),$G154-1,)</f>
        <v>15</v>
      </c>
      <c r="S154" cm="1">
        <f t="array" aca="1" ref="S154" ca="1">OFFSET(INDIRECT("Sheet"&amp;P$2&amp;"!d1"),$G154-1,)</f>
        <v>15</v>
      </c>
      <c r="T154" cm="1">
        <f t="array" aca="1" ref="T154" ca="1">OFFSET(INDIRECT("Sheet"&amp;Q$2&amp;"!d1"),$G154-1,)</f>
        <v>15</v>
      </c>
      <c r="U154" cm="1">
        <f t="array" aca="1" ref="U154" ca="1">OFFSET(INDIRECT("Sheet"&amp;R$2&amp;"!d1"),$G154-1,)</f>
        <v>15</v>
      </c>
      <c r="V154" cm="1">
        <f t="array" aca="1" ref="V154" ca="1">OFFSET(INDIRECT("Sheet"&amp;S$2&amp;"!d1"),$G154-1,)</f>
        <v>15</v>
      </c>
      <c r="W154" cm="1">
        <f t="array" aca="1" ref="W154" ca="1">OFFSET(INDIRECT("Sheet"&amp;T$2&amp;"!d1"),$G154-1,)</f>
        <v>15</v>
      </c>
      <c r="X154" cm="1">
        <f t="array" aca="1" ref="X154" ca="1">OFFSET(INDIRECT("Sheet"&amp;U$2&amp;"!d1"),$G154-1,)</f>
        <v>15</v>
      </c>
      <c r="Y154" cm="1">
        <f t="array" aca="1" ref="Y154" ca="1">OFFSET(INDIRECT("Sheet"&amp;V$2&amp;"!d1"),$G154-1,)</f>
        <v>15</v>
      </c>
      <c r="Z154"/>
      <c r="AB154" s="3" cm="1">
        <f t="array" aca="1" ref="AB154" ca="1">OFFSET(INDIRECT("Sheet"&amp;E$2&amp;"!f1"),$G154-1,)</f>
        <v>0</v>
      </c>
      <c r="AC154" s="3" cm="1">
        <f t="array" aca="1" ref="AC154" ca="1">OFFSET(INDIRECT("Sheet"&amp;F$2&amp;"!f1"),$G154-1,)</f>
        <v>0</v>
      </c>
      <c r="AD154" s="3" cm="1">
        <f t="array" aca="1" ref="AD154" ca="1">OFFSET(INDIRECT("Sheet"&amp;G$2&amp;"!f1"),$G154-1,)</f>
        <v>0</v>
      </c>
      <c r="AE154" s="3" cm="1">
        <f t="array" aca="1" ref="AE154" ca="1">OFFSET(INDIRECT("Sheet"&amp;H$2&amp;"!f1"),$G154-1,)</f>
        <v>0</v>
      </c>
      <c r="AF154" s="3" cm="1">
        <f t="array" aca="1" ref="AF154" ca="1">OFFSET(INDIRECT("Sheet"&amp;I$2&amp;"!f1"),$G154-1,)</f>
        <v>0</v>
      </c>
      <c r="AG154" s="3" cm="1">
        <f t="array" aca="1" ref="AG154" ca="1">OFFSET(INDIRECT("Sheet"&amp;J$2&amp;"!f1"),$G154-1,)</f>
        <v>2.2444239417090999</v>
      </c>
      <c r="AH154" s="3" cm="1">
        <f t="array" aca="1" ref="AH154" ca="1">OFFSET(INDIRECT("Sheet"&amp;K$2&amp;"!f1"),$G154-1,)</f>
        <v>1.97787878400001</v>
      </c>
      <c r="AI154" s="3" cm="1">
        <f t="array" aca="1" ref="AI154" ca="1">OFFSET(INDIRECT("Sheet"&amp;L$2&amp;"!f1"),$G154-1,)</f>
        <v>1.97729943800001</v>
      </c>
      <c r="AJ154" s="3" cm="1">
        <f t="array" aca="1" ref="AJ154" ca="1">OFFSET(INDIRECT("Sheet"&amp;M$2&amp;"!f1"),$G154-1,)</f>
        <v>3.8156841779127699</v>
      </c>
      <c r="AK154" s="3" cm="1">
        <f t="array" aca="1" ref="AK154" ca="1">OFFSET(INDIRECT("Sheet"&amp;C$2&amp;"!f1"),$G154-1,)</f>
        <v>0</v>
      </c>
      <c r="AL154" s="3" cm="1">
        <f t="array" aca="1" ref="AL154" ca="1">OFFSET(INDIRECT("Sheet"&amp;D$2&amp;"!f1"),$G154-1,)</f>
        <v>0</v>
      </c>
      <c r="AM154" s="3" cm="1">
        <f t="array" aca="1" ref="AM154" ca="1">OFFSET(INDIRECT("Sheet"&amp;N$2&amp;"!f1"),$G154-1,)</f>
        <v>44.6185017200186</v>
      </c>
      <c r="AN154" s="3" cm="1">
        <f t="array" aca="1" ref="AN154" ca="1">OFFSET(INDIRECT("Sheet"&amp;O$2&amp;"!f1"),$G154-1,)</f>
        <v>71.690505573525996</v>
      </c>
      <c r="AO154" s="3" cm="1">
        <f t="array" aca="1" ref="AO154" ca="1">OFFSET(INDIRECT("Sheet"&amp;P$2&amp;"!f1"),$G154-1,)</f>
        <v>141.01486365590199</v>
      </c>
      <c r="AP154" s="3" cm="1">
        <f t="array" aca="1" ref="AP154" ca="1">OFFSET(INDIRECT("Sheet"&amp;Q$2&amp;"!f1"),$G154-1,)</f>
        <v>33.310506070964003</v>
      </c>
      <c r="AQ154" s="3" cm="1">
        <f t="array" aca="1" ref="AQ154" ca="1">OFFSET(INDIRECT("Sheet"&amp;R$2&amp;"!f1"),$G154-1,)</f>
        <v>41.437014739029102</v>
      </c>
      <c r="AR154" s="3" cm="1">
        <f t="array" aca="1" ref="AR154" ca="1">OFFSET(INDIRECT("Sheet"&amp;S$2&amp;"!f1"),$G154-1,)</f>
        <v>63.924157301895299</v>
      </c>
      <c r="AS154" s="3" cm="1">
        <f t="array" aca="1" ref="AS154" ca="1">OFFSET(INDIRECT("Sheet"&amp;T$2&amp;"!f1"),$G154-1,)</f>
        <v>66.093836253508897</v>
      </c>
      <c r="AT154" s="3" cm="1">
        <f t="array" aca="1" ref="AT154" ca="1">OFFSET(INDIRECT("Sheet"&amp;U$2&amp;"!f1"),$G154-1,)</f>
        <v>119.486624009907</v>
      </c>
      <c r="AU154" s="3" cm="1">
        <f t="array" aca="1" ref="AU154" ca="1">OFFSET(INDIRECT("Sheet"&amp;V$2&amp;"!f1"),$G154-1,)</f>
        <v>129.01946020592001</v>
      </c>
      <c r="AV154" s="3"/>
      <c r="AX154">
        <f ca="1">IF(H154=$F154,1,0)</f>
        <v>0</v>
      </c>
      <c r="AY154">
        <f ca="1">IF(I154=$F154,1,0)</f>
        <v>0</v>
      </c>
      <c r="AZ154">
        <f ca="1">IF(J154=$F154,1,0)</f>
        <v>0</v>
      </c>
      <c r="BA154">
        <f ca="1">IF(K154=$F154,1,0)</f>
        <v>0</v>
      </c>
      <c r="BB154">
        <f ca="1">IF(L154=$F154,1,0)</f>
        <v>0</v>
      </c>
      <c r="BC154">
        <f ca="1">IF(M154=$F154,1,0)</f>
        <v>0</v>
      </c>
      <c r="BD154">
        <f ca="1">IF(C154=$F154,1,0)</f>
        <v>0</v>
      </c>
      <c r="BE154">
        <f ca="1">IF(D154=$F154,1,0)</f>
        <v>0</v>
      </c>
      <c r="BF154">
        <f t="shared" ca="1" si="29"/>
        <v>1</v>
      </c>
      <c r="BG154">
        <f t="shared" ca="1" si="30"/>
        <v>0</v>
      </c>
      <c r="BH154">
        <f t="shared" ca="1" si="41"/>
        <v>0</v>
      </c>
      <c r="BI154">
        <f t="shared" ca="1" si="42"/>
        <v>1</v>
      </c>
      <c r="BJ154">
        <f t="shared" ca="1" si="43"/>
        <v>1</v>
      </c>
      <c r="BK154">
        <f t="shared" ca="1" si="43"/>
        <v>1</v>
      </c>
      <c r="BL154">
        <f t="shared" ca="1" si="43"/>
        <v>1</v>
      </c>
      <c r="BM154">
        <f t="shared" ca="1" si="34"/>
        <v>1</v>
      </c>
      <c r="BN154">
        <f t="shared" ca="1" si="35"/>
        <v>1</v>
      </c>
      <c r="BO154">
        <f t="shared" ca="1" si="36"/>
        <v>1</v>
      </c>
      <c r="BP154">
        <f t="shared" ca="1" si="37"/>
        <v>1</v>
      </c>
      <c r="BQ154">
        <f t="shared" ca="1" si="38"/>
        <v>1</v>
      </c>
    </row>
    <row r="155" spans="1:69" s="4" customFormat="1" x14ac:dyDescent="0.2">
      <c r="A155" t="str">
        <f>Sheet3!A139</f>
        <v>[[109,31,14]]</v>
      </c>
      <c r="B155" s="4">
        <v>109</v>
      </c>
      <c r="C155" cm="1">
        <f t="array" aca="1" ref="C155" ca="1">OFFSET(INDIRECT("Sheet"&amp;K$2&amp;"!d1"),$G155-1,)</f>
        <v>18</v>
      </c>
      <c r="D155" cm="1">
        <f t="array" aca="1" ref="D155" ca="1">OFFSET(INDIRECT("Sheet"&amp;L$2&amp;"!d1"),$G155-1,)</f>
        <v>16</v>
      </c>
      <c r="E155" s="4">
        <v>31</v>
      </c>
      <c r="F155" s="4">
        <v>16</v>
      </c>
      <c r="G155">
        <f t="shared" si="39"/>
        <v>139</v>
      </c>
      <c r="H155" cm="1">
        <f t="array" aca="1" ref="H155" ca="1">OFFSET(INDIRECT("Sheet"&amp;E$2&amp;"!d1"),$G155-1,)</f>
        <v>0</v>
      </c>
      <c r="I155" cm="1">
        <f t="array" aca="1" ref="I155" ca="1">OFFSET(INDIRECT("Sheet"&amp;F$2&amp;"!d1"),$G155-1,)</f>
        <v>0</v>
      </c>
      <c r="J155" cm="1">
        <f t="array" aca="1" ref="J155" ca="1">OFFSET(INDIRECT("Sheet"&amp;G$2&amp;"!d1"),$G155-1,)</f>
        <v>0</v>
      </c>
      <c r="K155" cm="1">
        <f t="array" aca="1" ref="K155" ca="1">OFFSET(INDIRECT("Sheet"&amp;H$2&amp;"!d1"),$G155-1,)</f>
        <v>0</v>
      </c>
      <c r="L155" cm="1">
        <f t="array" aca="1" ref="L155" ca="1">OFFSET(INDIRECT("Sheet"&amp;I$2&amp;"!d1"),$G155-1,)</f>
        <v>0</v>
      </c>
      <c r="M155" cm="1">
        <f t="array" aca="1" ref="M155" ca="1">OFFSET(INDIRECT("Sheet"&amp;J$2&amp;"!d1"),$G155-1,)</f>
        <v>16</v>
      </c>
      <c r="N155" cm="1">
        <f t="array" aca="1" ref="N155" ca="1">OFFSET(INDIRECT("Sheet"&amp;M$2&amp;"!d1"),$G155-1,)</f>
        <v>16</v>
      </c>
      <c r="O155" cm="1">
        <f t="array" aca="1" ref="O155" ca="1">OFFSET(INDIRECT("Sheet"&amp;C$2&amp;"!d1"),$G155-1,)</f>
        <v>0</v>
      </c>
      <c r="P155" cm="1">
        <f t="array" aca="1" ref="P155" ca="1">OFFSET(INDIRECT("Sheet"&amp;D$2&amp;"!d1"),$G155-1,)</f>
        <v>0</v>
      </c>
      <c r="Q155" cm="1">
        <f t="array" aca="1" ref="Q155" ca="1">OFFSET(INDIRECT("Sheet"&amp;N$2&amp;"!d1"),$G155-1,)</f>
        <v>16</v>
      </c>
      <c r="R155" cm="1">
        <f t="array" aca="1" ref="R155" ca="1">OFFSET(INDIRECT("Sheet"&amp;O$2&amp;"!d1"),$G155-1,)</f>
        <v>16</v>
      </c>
      <c r="S155" cm="1">
        <f t="array" aca="1" ref="S155" ca="1">OFFSET(INDIRECT("Sheet"&amp;P$2&amp;"!d1"),$G155-1,)</f>
        <v>16</v>
      </c>
      <c r="T155" cm="1">
        <f t="array" aca="1" ref="T155" ca="1">OFFSET(INDIRECT("Sheet"&amp;Q$2&amp;"!d1"),$G155-1,)</f>
        <v>18</v>
      </c>
      <c r="U155" cm="1">
        <f t="array" aca="1" ref="U155" ca="1">OFFSET(INDIRECT("Sheet"&amp;R$2&amp;"!d1"),$G155-1,)</f>
        <v>16</v>
      </c>
      <c r="V155" cm="1">
        <f t="array" aca="1" ref="V155" ca="1">OFFSET(INDIRECT("Sheet"&amp;S$2&amp;"!d1"),$G155-1,)</f>
        <v>16</v>
      </c>
      <c r="W155" cm="1">
        <f t="array" aca="1" ref="W155" ca="1">OFFSET(INDIRECT("Sheet"&amp;T$2&amp;"!d1"),$G155-1,)</f>
        <v>16</v>
      </c>
      <c r="X155" cm="1">
        <f t="array" aca="1" ref="X155" ca="1">OFFSET(INDIRECT("Sheet"&amp;U$2&amp;"!d1"),$G155-1,)</f>
        <v>17</v>
      </c>
      <c r="Y155" cm="1">
        <f t="array" aca="1" ref="Y155" ca="1">OFFSET(INDIRECT("Sheet"&amp;V$2&amp;"!d1"),$G155-1,)</f>
        <v>16</v>
      </c>
      <c r="Z155"/>
      <c r="AB155" s="3" cm="1">
        <f t="array" aca="1" ref="AB155" ca="1">OFFSET(INDIRECT("Sheet"&amp;E$2&amp;"!f1"),$G155-1,)</f>
        <v>0</v>
      </c>
      <c r="AC155" s="3" cm="1">
        <f t="array" aca="1" ref="AC155" ca="1">OFFSET(INDIRECT("Sheet"&amp;F$2&amp;"!f1"),$G155-1,)</f>
        <v>0</v>
      </c>
      <c r="AD155" s="3" cm="1">
        <f t="array" aca="1" ref="AD155" ca="1">OFFSET(INDIRECT("Sheet"&amp;G$2&amp;"!f1"),$G155-1,)</f>
        <v>0</v>
      </c>
      <c r="AE155" s="3" cm="1">
        <f t="array" aca="1" ref="AE155" ca="1">OFFSET(INDIRECT("Sheet"&amp;H$2&amp;"!f1"),$G155-1,)</f>
        <v>0</v>
      </c>
      <c r="AF155" s="3" cm="1">
        <f t="array" aca="1" ref="AF155" ca="1">OFFSET(INDIRECT("Sheet"&amp;I$2&amp;"!f1"),$G155-1,)</f>
        <v>0</v>
      </c>
      <c r="AG155" s="3" cm="1">
        <f t="array" aca="1" ref="AG155" ca="1">OFFSET(INDIRECT("Sheet"&amp;J$2&amp;"!f1"),$G155-1,)</f>
        <v>2.3967005815356899</v>
      </c>
      <c r="AH155" s="3" cm="1">
        <f t="array" aca="1" ref="AH155" ca="1">OFFSET(INDIRECT("Sheet"&amp;K$2&amp;"!f1"),$G155-1,)</f>
        <v>2.13698034499998</v>
      </c>
      <c r="AI155" s="3" cm="1">
        <f t="array" aca="1" ref="AI155" ca="1">OFFSET(INDIRECT("Sheet"&amp;L$2&amp;"!f1"),$G155-1,)</f>
        <v>2.1257850629999901</v>
      </c>
      <c r="AJ155" s="3" cm="1">
        <f t="array" aca="1" ref="AJ155" ca="1">OFFSET(INDIRECT("Sheet"&amp;M$2&amp;"!f1"),$G155-1,)</f>
        <v>4.0639466922730199</v>
      </c>
      <c r="AK155" s="3" cm="1">
        <f t="array" aca="1" ref="AK155" ca="1">OFFSET(INDIRECT("Sheet"&amp;C$2&amp;"!f1"),$G155-1,)</f>
        <v>0</v>
      </c>
      <c r="AL155" s="3" cm="1">
        <f t="array" aca="1" ref="AL155" ca="1">OFFSET(INDIRECT("Sheet"&amp;D$2&amp;"!f1"),$G155-1,)</f>
        <v>0</v>
      </c>
      <c r="AM155" s="3" cm="1">
        <f t="array" aca="1" ref="AM155" ca="1">OFFSET(INDIRECT("Sheet"&amp;N$2&amp;"!f1"),$G155-1,)</f>
        <v>39.485638392157803</v>
      </c>
      <c r="AN155" s="3" cm="1">
        <f t="array" aca="1" ref="AN155" ca="1">OFFSET(INDIRECT("Sheet"&amp;O$2&amp;"!f1"),$G155-1,)</f>
        <v>65.510019904933799</v>
      </c>
      <c r="AO155" s="3" cm="1">
        <f t="array" aca="1" ref="AO155" ca="1">OFFSET(INDIRECT("Sheet"&amp;P$2&amp;"!f1"),$G155-1,)</f>
        <v>124.71654067561001</v>
      </c>
      <c r="AP155" s="3" cm="1">
        <f t="array" aca="1" ref="AP155" ca="1">OFFSET(INDIRECT("Sheet"&amp;Q$2&amp;"!f1"),$G155-1,)</f>
        <v>29.7436565430834</v>
      </c>
      <c r="AQ155" s="3" cm="1">
        <f t="array" aca="1" ref="AQ155" ca="1">OFFSET(INDIRECT("Sheet"&amp;R$2&amp;"!f1"),$G155-1,)</f>
        <v>36.816484731621998</v>
      </c>
      <c r="AR155" s="3" cm="1">
        <f t="array" aca="1" ref="AR155" ca="1">OFFSET(INDIRECT("Sheet"&amp;S$2&amp;"!f1"),$G155-1,)</f>
        <v>59.182905416935597</v>
      </c>
      <c r="AS155" s="3" cm="1">
        <f t="array" aca="1" ref="AS155" ca="1">OFFSET(INDIRECT("Sheet"&amp;T$2&amp;"!f1"),$G155-1,)</f>
        <v>60.4904265878722</v>
      </c>
      <c r="AT155" s="3" cm="1">
        <f t="array" aca="1" ref="AT155" ca="1">OFFSET(INDIRECT("Sheet"&amp;U$2&amp;"!f1"),$G155-1,)</f>
        <v>108.654852183535</v>
      </c>
      <c r="AU155" s="3" cm="1">
        <f t="array" aca="1" ref="AU155" ca="1">OFFSET(INDIRECT("Sheet"&amp;V$2&amp;"!f1"),$G155-1,)</f>
        <v>115.42194512579501</v>
      </c>
      <c r="AV155" s="3"/>
      <c r="AX155">
        <f ca="1">IF(H155=$F155,1,0)</f>
        <v>0</v>
      </c>
      <c r="AY155">
        <f ca="1">IF(I155=$F155,1,0)</f>
        <v>0</v>
      </c>
      <c r="AZ155">
        <f ca="1">IF(J155=$F155,1,0)</f>
        <v>0</v>
      </c>
      <c r="BA155">
        <f ca="1">IF(K155=$F155,1,0)</f>
        <v>0</v>
      </c>
      <c r="BB155">
        <f ca="1">IF(L155=$F155,1,0)</f>
        <v>0</v>
      </c>
      <c r="BC155">
        <f ca="1">IF(M155=$F155,1,0)</f>
        <v>1</v>
      </c>
      <c r="BD155">
        <f ca="1">IF(C155=$F155,1,0)</f>
        <v>0</v>
      </c>
      <c r="BE155">
        <f ca="1">IF(D155=$F155,1,0)</f>
        <v>1</v>
      </c>
      <c r="BF155">
        <f t="shared" ca="1" si="29"/>
        <v>1</v>
      </c>
      <c r="BG155">
        <f t="shared" ca="1" si="30"/>
        <v>0</v>
      </c>
      <c r="BH155">
        <f t="shared" ca="1" si="41"/>
        <v>0</v>
      </c>
      <c r="BI155">
        <f t="shared" ca="1" si="42"/>
        <v>1</v>
      </c>
      <c r="BJ155">
        <f t="shared" ca="1" si="43"/>
        <v>1</v>
      </c>
      <c r="BK155">
        <f t="shared" ca="1" si="43"/>
        <v>1</v>
      </c>
      <c r="BL155">
        <f t="shared" ca="1" si="43"/>
        <v>0</v>
      </c>
      <c r="BM155">
        <f t="shared" ca="1" si="34"/>
        <v>1</v>
      </c>
      <c r="BN155">
        <f t="shared" ca="1" si="35"/>
        <v>1</v>
      </c>
      <c r="BO155">
        <f t="shared" ca="1" si="36"/>
        <v>1</v>
      </c>
      <c r="BP155">
        <f t="shared" ca="1" si="37"/>
        <v>0</v>
      </c>
      <c r="BQ155">
        <f t="shared" ca="1" si="38"/>
        <v>1</v>
      </c>
    </row>
    <row r="156" spans="1:69" s="4" customFormat="1" x14ac:dyDescent="0.2">
      <c r="A156" t="str">
        <f>Sheet3!A140</f>
        <v>[[110,32,14]]</v>
      </c>
      <c r="B156" s="4">
        <v>110</v>
      </c>
      <c r="C156" cm="1">
        <f t="array" aca="1" ref="C156" ca="1">OFFSET(INDIRECT("Sheet"&amp;K$2&amp;"!d1"),$G156-1,)</f>
        <v>18</v>
      </c>
      <c r="D156" cm="1">
        <f t="array" aca="1" ref="D156" ca="1">OFFSET(INDIRECT("Sheet"&amp;L$2&amp;"!d1"),$G156-1,)</f>
        <v>18</v>
      </c>
      <c r="E156" s="4">
        <v>32</v>
      </c>
      <c r="F156" s="4">
        <v>16</v>
      </c>
      <c r="G156">
        <f t="shared" si="39"/>
        <v>140</v>
      </c>
      <c r="H156" cm="1">
        <f t="array" aca="1" ref="H156" ca="1">OFFSET(INDIRECT("Sheet"&amp;E$2&amp;"!d1"),$G156-1,)</f>
        <v>0</v>
      </c>
      <c r="I156" cm="1">
        <f t="array" aca="1" ref="I156" ca="1">OFFSET(INDIRECT("Sheet"&amp;F$2&amp;"!d1"),$G156-1,)</f>
        <v>0</v>
      </c>
      <c r="J156" cm="1">
        <f t="array" aca="1" ref="J156" ca="1">OFFSET(INDIRECT("Sheet"&amp;G$2&amp;"!d1"),$G156-1,)</f>
        <v>0</v>
      </c>
      <c r="K156" cm="1">
        <f t="array" aca="1" ref="K156" ca="1">OFFSET(INDIRECT("Sheet"&amp;H$2&amp;"!d1"),$G156-1,)</f>
        <v>0</v>
      </c>
      <c r="L156" cm="1">
        <f t="array" aca="1" ref="L156" ca="1">OFFSET(INDIRECT("Sheet"&amp;I$2&amp;"!d1"),$G156-1,)</f>
        <v>0</v>
      </c>
      <c r="M156" cm="1">
        <f t="array" aca="1" ref="M156" ca="1">OFFSET(INDIRECT("Sheet"&amp;J$2&amp;"!d1"),$G156-1,)</f>
        <v>17</v>
      </c>
      <c r="N156" cm="1">
        <f t="array" aca="1" ref="N156" ca="1">OFFSET(INDIRECT("Sheet"&amp;M$2&amp;"!d1"),$G156-1,)</f>
        <v>16</v>
      </c>
      <c r="O156" cm="1">
        <f t="array" aca="1" ref="O156" ca="1">OFFSET(INDIRECT("Sheet"&amp;C$2&amp;"!d1"),$G156-1,)</f>
        <v>0</v>
      </c>
      <c r="P156" cm="1">
        <f t="array" aca="1" ref="P156" ca="1">OFFSET(INDIRECT("Sheet"&amp;D$2&amp;"!d1"),$G156-1,)</f>
        <v>0</v>
      </c>
      <c r="Q156" cm="1">
        <f t="array" aca="1" ref="Q156" ca="1">OFFSET(INDIRECT("Sheet"&amp;N$2&amp;"!d1"),$G156-1,)</f>
        <v>17</v>
      </c>
      <c r="R156" cm="1">
        <f t="array" aca="1" ref="R156" ca="1">OFFSET(INDIRECT("Sheet"&amp;O$2&amp;"!d1"),$G156-1,)</f>
        <v>16</v>
      </c>
      <c r="S156" cm="1">
        <f t="array" aca="1" ref="S156" ca="1">OFFSET(INDIRECT("Sheet"&amp;P$2&amp;"!d1"),$G156-1,)</f>
        <v>16</v>
      </c>
      <c r="T156" cm="1">
        <f t="array" aca="1" ref="T156" ca="1">OFFSET(INDIRECT("Sheet"&amp;Q$2&amp;"!d1"),$G156-1,)</f>
        <v>18</v>
      </c>
      <c r="U156" cm="1">
        <f t="array" aca="1" ref="U156" ca="1">OFFSET(INDIRECT("Sheet"&amp;R$2&amp;"!d1"),$G156-1,)</f>
        <v>16</v>
      </c>
      <c r="V156" cm="1">
        <f t="array" aca="1" ref="V156" ca="1">OFFSET(INDIRECT("Sheet"&amp;S$2&amp;"!d1"),$G156-1,)</f>
        <v>18</v>
      </c>
      <c r="W156" cm="1">
        <f t="array" aca="1" ref="W156" ca="1">OFFSET(INDIRECT("Sheet"&amp;T$2&amp;"!d1"),$G156-1,)</f>
        <v>16</v>
      </c>
      <c r="X156" cm="1">
        <f t="array" aca="1" ref="X156" ca="1">OFFSET(INDIRECT("Sheet"&amp;U$2&amp;"!d1"),$G156-1,)</f>
        <v>16</v>
      </c>
      <c r="Y156" cm="1">
        <f t="array" aca="1" ref="Y156" ca="1">OFFSET(INDIRECT("Sheet"&amp;V$2&amp;"!d1"),$G156-1,)</f>
        <v>16</v>
      </c>
      <c r="Z156"/>
      <c r="AB156" s="3" cm="1">
        <f t="array" aca="1" ref="AB156" ca="1">OFFSET(INDIRECT("Sheet"&amp;E$2&amp;"!f1"),$G156-1,)</f>
        <v>0</v>
      </c>
      <c r="AC156" s="3" cm="1">
        <f t="array" aca="1" ref="AC156" ca="1">OFFSET(INDIRECT("Sheet"&amp;F$2&amp;"!f1"),$G156-1,)</f>
        <v>0</v>
      </c>
      <c r="AD156" s="3" cm="1">
        <f t="array" aca="1" ref="AD156" ca="1">OFFSET(INDIRECT("Sheet"&amp;G$2&amp;"!f1"),$G156-1,)</f>
        <v>0</v>
      </c>
      <c r="AE156" s="3" cm="1">
        <f t="array" aca="1" ref="AE156" ca="1">OFFSET(INDIRECT("Sheet"&amp;H$2&amp;"!f1"),$G156-1,)</f>
        <v>0</v>
      </c>
      <c r="AF156" s="3" cm="1">
        <f t="array" aca="1" ref="AF156" ca="1">OFFSET(INDIRECT("Sheet"&amp;I$2&amp;"!f1"),$G156-1,)</f>
        <v>0</v>
      </c>
      <c r="AG156" s="3" cm="1">
        <f t="array" aca="1" ref="AG156" ca="1">OFFSET(INDIRECT("Sheet"&amp;J$2&amp;"!f1"),$G156-1,)</f>
        <v>2.4662273926660401</v>
      </c>
      <c r="AH156" s="3" cm="1">
        <f t="array" aca="1" ref="AH156" ca="1">OFFSET(INDIRECT("Sheet"&amp;K$2&amp;"!f1"),$G156-1,)</f>
        <v>2.1809917310000002</v>
      </c>
      <c r="AI156" s="3" cm="1">
        <f t="array" aca="1" ref="AI156" ca="1">OFFSET(INDIRECT("Sheet"&amp;L$2&amp;"!f1"),$G156-1,)</f>
        <v>2.1818260759999899</v>
      </c>
      <c r="AJ156" s="3" cm="1">
        <f t="array" aca="1" ref="AJ156" ca="1">OFFSET(INDIRECT("Sheet"&amp;M$2&amp;"!f1"),$G156-1,)</f>
        <v>4.1660404289141297</v>
      </c>
      <c r="AK156" s="3" cm="1">
        <f t="array" aca="1" ref="AK156" ca="1">OFFSET(INDIRECT("Sheet"&amp;C$2&amp;"!f1"),$G156-1,)</f>
        <v>0</v>
      </c>
      <c r="AL156" s="3" cm="1">
        <f t="array" aca="1" ref="AL156" ca="1">OFFSET(INDIRECT("Sheet"&amp;D$2&amp;"!f1"),$G156-1,)</f>
        <v>0</v>
      </c>
      <c r="AM156" s="3" cm="1">
        <f t="array" aca="1" ref="AM156" ca="1">OFFSET(INDIRECT("Sheet"&amp;N$2&amp;"!f1"),$G156-1,)</f>
        <v>40.805809210985899</v>
      </c>
      <c r="AN156" s="3" cm="1">
        <f t="array" aca="1" ref="AN156" ca="1">OFFSET(INDIRECT("Sheet"&amp;O$2&amp;"!f1"),$G156-1,)</f>
        <v>67.635976060293601</v>
      </c>
      <c r="AO156" s="3" cm="1">
        <f t="array" aca="1" ref="AO156" ca="1">OFFSET(INDIRECT("Sheet"&amp;P$2&amp;"!f1"),$G156-1,)</f>
        <v>130.990839093923</v>
      </c>
      <c r="AP156" s="3" cm="1">
        <f t="array" aca="1" ref="AP156" ca="1">OFFSET(INDIRECT("Sheet"&amp;Q$2&amp;"!f1"),$G156-1,)</f>
        <v>30.677307594567498</v>
      </c>
      <c r="AQ156" s="3" cm="1">
        <f t="array" aca="1" ref="AQ156" ca="1">OFFSET(INDIRECT("Sheet"&amp;R$2&amp;"!f1"),$G156-1,)</f>
        <v>38.297501313500099</v>
      </c>
      <c r="AR156" s="3" cm="1">
        <f t="array" aca="1" ref="AR156" ca="1">OFFSET(INDIRECT("Sheet"&amp;S$2&amp;"!f1"),$G156-1,)</f>
        <v>62.2542822295799</v>
      </c>
      <c r="AS156" s="3" cm="1">
        <f t="array" aca="1" ref="AS156" ca="1">OFFSET(INDIRECT("Sheet"&amp;T$2&amp;"!f1"),$G156-1,)</f>
        <v>63.347078723832901</v>
      </c>
      <c r="AT156" s="3" cm="1">
        <f t="array" aca="1" ref="AT156" ca="1">OFFSET(INDIRECT("Sheet"&amp;U$2&amp;"!f1"),$G156-1,)</f>
        <v>111.75845106691099</v>
      </c>
      <c r="AU156" s="3" cm="1">
        <f t="array" aca="1" ref="AU156" ca="1">OFFSET(INDIRECT("Sheet"&amp;V$2&amp;"!f1"),$G156-1,)</f>
        <v>119.67977738194099</v>
      </c>
      <c r="AV156" s="3"/>
      <c r="AX156">
        <f ca="1">IF(H156=$F156,1,0)</f>
        <v>0</v>
      </c>
      <c r="AY156">
        <f ca="1">IF(I156=$F156,1,0)</f>
        <v>0</v>
      </c>
      <c r="AZ156">
        <f ca="1">IF(J156=$F156,1,0)</f>
        <v>0</v>
      </c>
      <c r="BA156">
        <f ca="1">IF(K156=$F156,1,0)</f>
        <v>0</v>
      </c>
      <c r="BB156">
        <f ca="1">IF(L156=$F156,1,0)</f>
        <v>0</v>
      </c>
      <c r="BC156">
        <f ca="1">IF(M156=$F156,1,0)</f>
        <v>0</v>
      </c>
      <c r="BD156">
        <f ca="1">IF(C156=$F156,1,0)</f>
        <v>0</v>
      </c>
      <c r="BE156">
        <f ca="1">IF(D156=$F156,1,0)</f>
        <v>0</v>
      </c>
      <c r="BF156">
        <f t="shared" ca="1" si="29"/>
        <v>1</v>
      </c>
      <c r="BG156">
        <f t="shared" ca="1" si="30"/>
        <v>0</v>
      </c>
      <c r="BH156">
        <f t="shared" ca="1" si="41"/>
        <v>0</v>
      </c>
      <c r="BI156">
        <f t="shared" ca="1" si="42"/>
        <v>0</v>
      </c>
      <c r="BJ156">
        <f t="shared" ca="1" si="43"/>
        <v>1</v>
      </c>
      <c r="BK156">
        <f t="shared" ca="1" si="43"/>
        <v>1</v>
      </c>
      <c r="BL156">
        <f t="shared" ca="1" si="43"/>
        <v>0</v>
      </c>
      <c r="BM156">
        <f t="shared" ca="1" si="34"/>
        <v>1</v>
      </c>
      <c r="BN156">
        <f t="shared" ca="1" si="35"/>
        <v>0</v>
      </c>
      <c r="BO156">
        <f t="shared" ca="1" si="36"/>
        <v>1</v>
      </c>
      <c r="BP156">
        <f t="shared" ca="1" si="37"/>
        <v>1</v>
      </c>
      <c r="BQ156">
        <f t="shared" ca="1" si="38"/>
        <v>1</v>
      </c>
    </row>
    <row r="157" spans="1:69" s="4" customFormat="1" x14ac:dyDescent="0.2">
      <c r="A157" t="str">
        <f>Sheet3!A141</f>
        <v>[[111,33,14]]</v>
      </c>
      <c r="B157" s="4">
        <v>111</v>
      </c>
      <c r="C157" cm="1">
        <f t="array" aca="1" ref="C157" ca="1">OFFSET(INDIRECT("Sheet"&amp;K$2&amp;"!d1"),$G157-1,)</f>
        <v>16</v>
      </c>
      <c r="D157" cm="1">
        <f t="array" aca="1" ref="D157" ca="1">OFFSET(INDIRECT("Sheet"&amp;L$2&amp;"!d1"),$G157-1,)</f>
        <v>17</v>
      </c>
      <c r="E157" s="4">
        <v>33</v>
      </c>
      <c r="F157" s="4">
        <v>16</v>
      </c>
      <c r="G157">
        <f t="shared" si="39"/>
        <v>141</v>
      </c>
      <c r="H157" cm="1">
        <f t="array" aca="1" ref="H157" ca="1">OFFSET(INDIRECT("Sheet"&amp;E$2&amp;"!d1"),$G157-1,)</f>
        <v>0</v>
      </c>
      <c r="I157" cm="1">
        <f t="array" aca="1" ref="I157" ca="1">OFFSET(INDIRECT("Sheet"&amp;F$2&amp;"!d1"),$G157-1,)</f>
        <v>0</v>
      </c>
      <c r="J157" cm="1">
        <f t="array" aca="1" ref="J157" ca="1">OFFSET(INDIRECT("Sheet"&amp;G$2&amp;"!d1"),$G157-1,)</f>
        <v>0</v>
      </c>
      <c r="K157" cm="1">
        <f t="array" aca="1" ref="K157" ca="1">OFFSET(INDIRECT("Sheet"&amp;H$2&amp;"!d1"),$G157-1,)</f>
        <v>0</v>
      </c>
      <c r="L157" cm="1">
        <f t="array" aca="1" ref="L157" ca="1">OFFSET(INDIRECT("Sheet"&amp;I$2&amp;"!d1"),$G157-1,)</f>
        <v>0</v>
      </c>
      <c r="M157" cm="1">
        <f t="array" aca="1" ref="M157" ca="1">OFFSET(INDIRECT("Sheet"&amp;J$2&amp;"!d1"),$G157-1,)</f>
        <v>16</v>
      </c>
      <c r="N157" cm="1">
        <f t="array" aca="1" ref="N157" ca="1">OFFSET(INDIRECT("Sheet"&amp;M$2&amp;"!d1"),$G157-1,)</f>
        <v>16</v>
      </c>
      <c r="O157" cm="1">
        <f t="array" aca="1" ref="O157" ca="1">OFFSET(INDIRECT("Sheet"&amp;C$2&amp;"!d1"),$G157-1,)</f>
        <v>0</v>
      </c>
      <c r="P157" cm="1">
        <f t="array" aca="1" ref="P157" ca="1">OFFSET(INDIRECT("Sheet"&amp;D$2&amp;"!d1"),$G157-1,)</f>
        <v>0</v>
      </c>
      <c r="Q157" cm="1">
        <f t="array" aca="1" ref="Q157" ca="1">OFFSET(INDIRECT("Sheet"&amp;N$2&amp;"!d1"),$G157-1,)</f>
        <v>16</v>
      </c>
      <c r="R157" cm="1">
        <f t="array" aca="1" ref="R157" ca="1">OFFSET(INDIRECT("Sheet"&amp;O$2&amp;"!d1"),$G157-1,)</f>
        <v>16</v>
      </c>
      <c r="S157" cm="1">
        <f t="array" aca="1" ref="S157" ca="1">OFFSET(INDIRECT("Sheet"&amp;P$2&amp;"!d1"),$G157-1,)</f>
        <v>16</v>
      </c>
      <c r="T157" cm="1">
        <f t="array" aca="1" ref="T157" ca="1">OFFSET(INDIRECT("Sheet"&amp;Q$2&amp;"!d1"),$G157-1,)</f>
        <v>16</v>
      </c>
      <c r="U157" cm="1">
        <f t="array" aca="1" ref="U157" ca="1">OFFSET(INDIRECT("Sheet"&amp;R$2&amp;"!d1"),$G157-1,)</f>
        <v>16</v>
      </c>
      <c r="V157" cm="1">
        <f t="array" aca="1" ref="V157" ca="1">OFFSET(INDIRECT("Sheet"&amp;S$2&amp;"!d1"),$G157-1,)</f>
        <v>17</v>
      </c>
      <c r="W157" cm="1">
        <f t="array" aca="1" ref="W157" ca="1">OFFSET(INDIRECT("Sheet"&amp;T$2&amp;"!d1"),$G157-1,)</f>
        <v>16</v>
      </c>
      <c r="X157" cm="1">
        <f t="array" aca="1" ref="X157" ca="1">OFFSET(INDIRECT("Sheet"&amp;U$2&amp;"!d1"),$G157-1,)</f>
        <v>17</v>
      </c>
      <c r="Y157" cm="1">
        <f t="array" aca="1" ref="Y157" ca="1">OFFSET(INDIRECT("Sheet"&amp;V$2&amp;"!d1"),$G157-1,)</f>
        <v>16</v>
      </c>
      <c r="Z157"/>
      <c r="AB157" s="3" cm="1">
        <f t="array" aca="1" ref="AB157" ca="1">OFFSET(INDIRECT("Sheet"&amp;E$2&amp;"!f1"),$G157-1,)</f>
        <v>0</v>
      </c>
      <c r="AC157" s="3" cm="1">
        <f t="array" aca="1" ref="AC157" ca="1">OFFSET(INDIRECT("Sheet"&amp;F$2&amp;"!f1"),$G157-1,)</f>
        <v>0</v>
      </c>
      <c r="AD157" s="3" cm="1">
        <f t="array" aca="1" ref="AD157" ca="1">OFFSET(INDIRECT("Sheet"&amp;G$2&amp;"!f1"),$G157-1,)</f>
        <v>0</v>
      </c>
      <c r="AE157" s="3" cm="1">
        <f t="array" aca="1" ref="AE157" ca="1">OFFSET(INDIRECT("Sheet"&amp;H$2&amp;"!f1"),$G157-1,)</f>
        <v>0</v>
      </c>
      <c r="AF157" s="3" cm="1">
        <f t="array" aca="1" ref="AF157" ca="1">OFFSET(INDIRECT("Sheet"&amp;I$2&amp;"!f1"),$G157-1,)</f>
        <v>0</v>
      </c>
      <c r="AG157" s="3" cm="1">
        <f t="array" aca="1" ref="AG157" ca="1">OFFSET(INDIRECT("Sheet"&amp;J$2&amp;"!f1"),$G157-1,)</f>
        <v>2.5273756068199802</v>
      </c>
      <c r="AH157" s="3" cm="1">
        <f t="array" aca="1" ref="AH157" ca="1">OFFSET(INDIRECT("Sheet"&amp;K$2&amp;"!f1"),$G157-1,)</f>
        <v>2.2065991299999999</v>
      </c>
      <c r="AI157" s="3" cm="1">
        <f t="array" aca="1" ref="AI157" ca="1">OFFSET(INDIRECT("Sheet"&amp;L$2&amp;"!f1"),$G157-1,)</f>
        <v>2.2226123800000099</v>
      </c>
      <c r="AJ157" s="3" cm="1">
        <f t="array" aca="1" ref="AJ157" ca="1">OFFSET(INDIRECT("Sheet"&amp;M$2&amp;"!f1"),$G157-1,)</f>
        <v>4.2164467405527803</v>
      </c>
      <c r="AK157" s="3" cm="1">
        <f t="array" aca="1" ref="AK157" ca="1">OFFSET(INDIRECT("Sheet"&amp;C$2&amp;"!f1"),$G157-1,)</f>
        <v>0</v>
      </c>
      <c r="AL157" s="3" cm="1">
        <f t="array" aca="1" ref="AL157" ca="1">OFFSET(INDIRECT("Sheet"&amp;D$2&amp;"!f1"),$G157-1,)</f>
        <v>0</v>
      </c>
      <c r="AM157" s="3" cm="1">
        <f t="array" aca="1" ref="AM157" ca="1">OFFSET(INDIRECT("Sheet"&amp;N$2&amp;"!f1"),$G157-1,)</f>
        <v>42.3604257684201</v>
      </c>
      <c r="AN157" s="3" cm="1">
        <f t="array" aca="1" ref="AN157" ca="1">OFFSET(INDIRECT("Sheet"&amp;O$2&amp;"!f1"),$G157-1,)</f>
        <v>69.854946437291801</v>
      </c>
      <c r="AO157" s="3" cm="1">
        <f t="array" aca="1" ref="AO157" ca="1">OFFSET(INDIRECT("Sheet"&amp;P$2&amp;"!f1"),$G157-1,)</f>
        <v>135.06023924332101</v>
      </c>
      <c r="AP157" s="3" cm="1">
        <f t="array" aca="1" ref="AP157" ca="1">OFFSET(INDIRECT("Sheet"&amp;Q$2&amp;"!f1"),$G157-1,)</f>
        <v>32.006593022495501</v>
      </c>
      <c r="AQ157" s="3" cm="1">
        <f t="array" aca="1" ref="AQ157" ca="1">OFFSET(INDIRECT("Sheet"&amp;R$2&amp;"!f1"),$G157-1,)</f>
        <v>39.556637638248503</v>
      </c>
      <c r="AR157" s="3" cm="1">
        <f t="array" aca="1" ref="AR157" ca="1">OFFSET(INDIRECT("Sheet"&amp;S$2&amp;"!f1"),$G157-1,)</f>
        <v>64.320835534483194</v>
      </c>
      <c r="AS157" s="3" cm="1">
        <f t="array" aca="1" ref="AS157" ca="1">OFFSET(INDIRECT("Sheet"&amp;T$2&amp;"!f1"),$G157-1,)</f>
        <v>65.668013258837107</v>
      </c>
      <c r="AT157" s="3" cm="1">
        <f t="array" aca="1" ref="AT157" ca="1">OFFSET(INDIRECT("Sheet"&amp;U$2&amp;"!f1"),$G157-1,)</f>
        <v>116.47551783826199</v>
      </c>
      <c r="AU157" s="3" cm="1">
        <f t="array" aca="1" ref="AU157" ca="1">OFFSET(INDIRECT("Sheet"&amp;V$2&amp;"!f1"),$G157-1,)</f>
        <v>122.378903674893</v>
      </c>
      <c r="AV157" s="3"/>
      <c r="AX157">
        <f ca="1">IF(H157=$F157,1,0)</f>
        <v>0</v>
      </c>
      <c r="AY157">
        <f ca="1">IF(I157=$F157,1,0)</f>
        <v>0</v>
      </c>
      <c r="AZ157">
        <f ca="1">IF(J157=$F157,1,0)</f>
        <v>0</v>
      </c>
      <c r="BA157">
        <f ca="1">IF(K157=$F157,1,0)</f>
        <v>0</v>
      </c>
      <c r="BB157">
        <f ca="1">IF(L157=$F157,1,0)</f>
        <v>0</v>
      </c>
      <c r="BC157">
        <f ca="1">IF(M157=$F157,1,0)</f>
        <v>1</v>
      </c>
      <c r="BD157">
        <f ca="1">IF(C157=$F157,1,0)</f>
        <v>1</v>
      </c>
      <c r="BE157">
        <f ca="1">IF(D157=$F157,1,0)</f>
        <v>0</v>
      </c>
      <c r="BF157">
        <f t="shared" ca="1" si="29"/>
        <v>1</v>
      </c>
      <c r="BG157">
        <f t="shared" ca="1" si="30"/>
        <v>0</v>
      </c>
      <c r="BH157">
        <f t="shared" ca="1" si="41"/>
        <v>0</v>
      </c>
      <c r="BI157">
        <f t="shared" ca="1" si="42"/>
        <v>1</v>
      </c>
      <c r="BJ157">
        <f t="shared" ca="1" si="43"/>
        <v>1</v>
      </c>
      <c r="BK157">
        <f t="shared" ca="1" si="43"/>
        <v>1</v>
      </c>
      <c r="BL157">
        <f t="shared" ca="1" si="43"/>
        <v>1</v>
      </c>
      <c r="BM157">
        <f t="shared" ca="1" si="34"/>
        <v>1</v>
      </c>
      <c r="BN157">
        <f t="shared" ca="1" si="35"/>
        <v>0</v>
      </c>
      <c r="BO157">
        <f t="shared" ca="1" si="36"/>
        <v>1</v>
      </c>
      <c r="BP157">
        <f t="shared" ca="1" si="37"/>
        <v>0</v>
      </c>
      <c r="BQ157">
        <f t="shared" ca="1" si="38"/>
        <v>1</v>
      </c>
    </row>
    <row r="158" spans="1:69" s="4" customFormat="1" x14ac:dyDescent="0.2">
      <c r="A158" t="str">
        <f>Sheet3!A142</f>
        <v>[[112,16,19]]</v>
      </c>
      <c r="B158" s="4">
        <v>112</v>
      </c>
      <c r="C158" cm="1">
        <f t="array" aca="1" ref="C158" ca="1">OFFSET(INDIRECT("Sheet"&amp;K$2&amp;"!d1"),$G158-1,)</f>
        <v>20</v>
      </c>
      <c r="D158" cm="1">
        <f t="array" aca="1" ref="D158" ca="1">OFFSET(INDIRECT("Sheet"&amp;L$2&amp;"!d1"),$G158-1,)</f>
        <v>20</v>
      </c>
      <c r="E158" s="4">
        <v>16</v>
      </c>
      <c r="F158" s="4">
        <v>19</v>
      </c>
      <c r="G158">
        <f t="shared" si="39"/>
        <v>142</v>
      </c>
      <c r="H158" cm="1">
        <f t="array" aca="1" ref="H158" ca="1">OFFSET(INDIRECT("Sheet"&amp;E$2&amp;"!d1"),$G158-1,)</f>
        <v>0</v>
      </c>
      <c r="I158" cm="1">
        <f t="array" aca="1" ref="I158" ca="1">OFFSET(INDIRECT("Sheet"&amp;F$2&amp;"!d1"),$G158-1,)</f>
        <v>0</v>
      </c>
      <c r="J158" cm="1">
        <f t="array" aca="1" ref="J158" ca="1">OFFSET(INDIRECT("Sheet"&amp;G$2&amp;"!d1"),$G158-1,)</f>
        <v>0</v>
      </c>
      <c r="K158" cm="1">
        <f t="array" aca="1" ref="K158" ca="1">OFFSET(INDIRECT("Sheet"&amp;H$2&amp;"!d1"),$G158-1,)</f>
        <v>0</v>
      </c>
      <c r="L158" cm="1">
        <f t="array" aca="1" ref="L158" ca="1">OFFSET(INDIRECT("Sheet"&amp;I$2&amp;"!d1"),$G158-1,)</f>
        <v>0</v>
      </c>
      <c r="M158" cm="1">
        <f t="array" aca="1" ref="M158" ca="1">OFFSET(INDIRECT("Sheet"&amp;J$2&amp;"!d1"),$G158-1,)</f>
        <v>20</v>
      </c>
      <c r="N158" cm="1">
        <f t="array" aca="1" ref="N158" ca="1">OFFSET(INDIRECT("Sheet"&amp;M$2&amp;"!d1"),$G158-1,)</f>
        <v>19</v>
      </c>
      <c r="O158" cm="1">
        <f t="array" aca="1" ref="O158" ca="1">OFFSET(INDIRECT("Sheet"&amp;C$2&amp;"!d1"),$G158-1,)</f>
        <v>0</v>
      </c>
      <c r="P158" cm="1">
        <f t="array" aca="1" ref="P158" ca="1">OFFSET(INDIRECT("Sheet"&amp;D$2&amp;"!d1"),$G158-1,)</f>
        <v>0</v>
      </c>
      <c r="Q158" cm="1">
        <f t="array" aca="1" ref="Q158" ca="1">OFFSET(INDIRECT("Sheet"&amp;N$2&amp;"!d1"),$G158-1,)</f>
        <v>19</v>
      </c>
      <c r="R158" cm="1">
        <f t="array" aca="1" ref="R158" ca="1">OFFSET(INDIRECT("Sheet"&amp;O$2&amp;"!d1"),$G158-1,)</f>
        <v>19</v>
      </c>
      <c r="S158" cm="1">
        <f t="array" aca="1" ref="S158" ca="1">OFFSET(INDIRECT("Sheet"&amp;P$2&amp;"!d1"),$G158-1,)</f>
        <v>19</v>
      </c>
      <c r="T158" cm="1">
        <f t="array" aca="1" ref="T158" ca="1">OFFSET(INDIRECT("Sheet"&amp;Q$2&amp;"!d1"),$G158-1,)</f>
        <v>20</v>
      </c>
      <c r="U158" cm="1">
        <f t="array" aca="1" ref="U158" ca="1">OFFSET(INDIRECT("Sheet"&amp;R$2&amp;"!d1"),$G158-1,)</f>
        <v>19</v>
      </c>
      <c r="V158" cm="1">
        <f t="array" aca="1" ref="V158" ca="1">OFFSET(INDIRECT("Sheet"&amp;S$2&amp;"!d1"),$G158-1,)</f>
        <v>22</v>
      </c>
      <c r="W158" cm="1">
        <f t="array" aca="1" ref="W158" ca="1">OFFSET(INDIRECT("Sheet"&amp;T$2&amp;"!d1"),$G158-1,)</f>
        <v>19</v>
      </c>
      <c r="X158" cm="1">
        <f t="array" aca="1" ref="X158" ca="1">OFFSET(INDIRECT("Sheet"&amp;U$2&amp;"!d1"),$G158-1,)</f>
        <v>19</v>
      </c>
      <c r="Y158" cm="1">
        <f t="array" aca="1" ref="Y158" ca="1">OFFSET(INDIRECT("Sheet"&amp;V$2&amp;"!d1"),$G158-1,)</f>
        <v>19</v>
      </c>
      <c r="Z158"/>
      <c r="AB158" s="3" cm="1">
        <f t="array" aca="1" ref="AB158" ca="1">OFFSET(INDIRECT("Sheet"&amp;E$2&amp;"!f1"),$G158-1,)</f>
        <v>0</v>
      </c>
      <c r="AC158" s="3" cm="1">
        <f t="array" aca="1" ref="AC158" ca="1">OFFSET(INDIRECT("Sheet"&amp;F$2&amp;"!f1"),$G158-1,)</f>
        <v>0</v>
      </c>
      <c r="AD158" s="3" cm="1">
        <f t="array" aca="1" ref="AD158" ca="1">OFFSET(INDIRECT("Sheet"&amp;G$2&amp;"!f1"),$G158-1,)</f>
        <v>0</v>
      </c>
      <c r="AE158" s="3" cm="1">
        <f t="array" aca="1" ref="AE158" ca="1">OFFSET(INDIRECT("Sheet"&amp;H$2&amp;"!f1"),$G158-1,)</f>
        <v>0</v>
      </c>
      <c r="AF158" s="3" cm="1">
        <f t="array" aca="1" ref="AF158" ca="1">OFFSET(INDIRECT("Sheet"&amp;I$2&amp;"!f1"),$G158-1,)</f>
        <v>0</v>
      </c>
      <c r="AG158" s="3" cm="1">
        <f t="array" aca="1" ref="AG158" ca="1">OFFSET(INDIRECT("Sheet"&amp;J$2&amp;"!f1"),$G158-1,)</f>
        <v>2.9373463913798301</v>
      </c>
      <c r="AH158" s="3" cm="1">
        <f t="array" aca="1" ref="AH158" ca="1">OFFSET(INDIRECT("Sheet"&amp;K$2&amp;"!f1"),$G158-1,)</f>
        <v>2.6040576799999799</v>
      </c>
      <c r="AI158" s="3" cm="1">
        <f t="array" aca="1" ref="AI158" ca="1">OFFSET(INDIRECT("Sheet"&amp;L$2&amp;"!f1"),$G158-1,)</f>
        <v>2.5953299529999998</v>
      </c>
      <c r="AJ158" s="3" cm="1">
        <f t="array" aca="1" ref="AJ158" ca="1">OFFSET(INDIRECT("Sheet"&amp;M$2&amp;"!f1"),$G158-1,)</f>
        <v>4.38205415010452</v>
      </c>
      <c r="AK158" s="3" cm="1">
        <f t="array" aca="1" ref="AK158" ca="1">OFFSET(INDIRECT("Sheet"&amp;C$2&amp;"!f1"),$G158-1,)</f>
        <v>0</v>
      </c>
      <c r="AL158" s="3" cm="1">
        <f t="array" aca="1" ref="AL158" ca="1">OFFSET(INDIRECT("Sheet"&amp;D$2&amp;"!f1"),$G158-1,)</f>
        <v>0</v>
      </c>
      <c r="AM158" s="3" cm="1">
        <f t="array" aca="1" ref="AM158" ca="1">OFFSET(INDIRECT("Sheet"&amp;N$2&amp;"!f1"),$G158-1,)</f>
        <v>25.1739423880353</v>
      </c>
      <c r="AN158" s="3" cm="1">
        <f t="array" aca="1" ref="AN158" ca="1">OFFSET(INDIRECT("Sheet"&amp;O$2&amp;"!f1"),$G158-1,)</f>
        <v>46.711863404139798</v>
      </c>
      <c r="AO158" s="3" cm="1">
        <f t="array" aca="1" ref="AO158" ca="1">OFFSET(INDIRECT("Sheet"&amp;P$2&amp;"!f1"),$G158-1,)</f>
        <v>79.829661770723703</v>
      </c>
      <c r="AP158" s="3" cm="1">
        <f t="array" aca="1" ref="AP158" ca="1">OFFSET(INDIRECT("Sheet"&amp;Q$2&amp;"!f1"),$G158-1,)</f>
        <v>18.640153504908</v>
      </c>
      <c r="AQ158" s="3" cm="1">
        <f t="array" aca="1" ref="AQ158" ca="1">OFFSET(INDIRECT("Sheet"&amp;R$2&amp;"!f1"),$G158-1,)</f>
        <v>24.112321777269202</v>
      </c>
      <c r="AR158" s="3" cm="1">
        <f t="array" aca="1" ref="AR158" ca="1">OFFSET(INDIRECT("Sheet"&amp;S$2&amp;"!f1"),$G158-1,)</f>
        <v>45.4942300496622</v>
      </c>
      <c r="AS158" s="3" cm="1">
        <f t="array" aca="1" ref="AS158" ca="1">OFFSET(INDIRECT("Sheet"&amp;T$2&amp;"!f1"),$G158-1,)</f>
        <v>45.0818379223346</v>
      </c>
      <c r="AT158" s="3" cm="1">
        <f t="array" aca="1" ref="AT158" ca="1">OFFSET(INDIRECT("Sheet"&amp;U$2&amp;"!f1"),$G158-1,)</f>
        <v>70.640931624919105</v>
      </c>
      <c r="AU158" s="3" cm="1">
        <f t="array" aca="1" ref="AU158" ca="1">OFFSET(INDIRECT("Sheet"&amp;V$2&amp;"!f1"),$G158-1,)</f>
        <v>73.859922554343896</v>
      </c>
      <c r="AV158" s="3"/>
      <c r="AX158">
        <f ca="1">IF(H158=$F158,1,0)</f>
        <v>0</v>
      </c>
      <c r="AY158">
        <f ca="1">IF(I158=$F158,1,0)</f>
        <v>0</v>
      </c>
      <c r="AZ158">
        <f ca="1">IF(J158=$F158,1,0)</f>
        <v>0</v>
      </c>
      <c r="BA158">
        <f ca="1">IF(K158=$F158,1,0)</f>
        <v>0</v>
      </c>
      <c r="BB158">
        <f ca="1">IF(L158=$F158,1,0)</f>
        <v>0</v>
      </c>
      <c r="BC158">
        <f ca="1">IF(M158=$F158,1,0)</f>
        <v>0</v>
      </c>
      <c r="BD158">
        <f ca="1">IF(C158=$F158,1,0)</f>
        <v>0</v>
      </c>
      <c r="BE158">
        <f ca="1">IF(D158=$F158,1,0)</f>
        <v>0</v>
      </c>
      <c r="BF158">
        <f t="shared" ca="1" si="29"/>
        <v>1</v>
      </c>
      <c r="BG158">
        <f t="shared" ca="1" si="30"/>
        <v>0</v>
      </c>
      <c r="BH158">
        <f t="shared" ca="1" si="41"/>
        <v>0</v>
      </c>
      <c r="BI158">
        <f t="shared" ca="1" si="42"/>
        <v>1</v>
      </c>
      <c r="BJ158">
        <f t="shared" ca="1" si="43"/>
        <v>1</v>
      </c>
      <c r="BK158">
        <f t="shared" ca="1" si="43"/>
        <v>1</v>
      </c>
      <c r="BL158">
        <f t="shared" ca="1" si="43"/>
        <v>0</v>
      </c>
      <c r="BM158">
        <f t="shared" ca="1" si="34"/>
        <v>1</v>
      </c>
      <c r="BN158">
        <f t="shared" ca="1" si="35"/>
        <v>0</v>
      </c>
      <c r="BO158">
        <f t="shared" ca="1" si="36"/>
        <v>1</v>
      </c>
      <c r="BP158">
        <f t="shared" ca="1" si="37"/>
        <v>1</v>
      </c>
      <c r="BQ158">
        <f t="shared" ca="1" si="38"/>
        <v>1</v>
      </c>
    </row>
    <row r="159" spans="1:69" s="4" customFormat="1" x14ac:dyDescent="0.2">
      <c r="A159" t="str">
        <f>Sheet3!A143</f>
        <v>[[113,34,14]]</v>
      </c>
      <c r="B159" s="4">
        <v>113</v>
      </c>
      <c r="C159" cm="1">
        <f t="array" aca="1" ref="C159" ca="1">OFFSET(INDIRECT("Sheet"&amp;K$2&amp;"!d1"),$G159-1,)</f>
        <v>15</v>
      </c>
      <c r="D159" cm="1">
        <f t="array" aca="1" ref="D159" ca="1">OFFSET(INDIRECT("Sheet"&amp;L$2&amp;"!d1"),$G159-1,)</f>
        <v>16</v>
      </c>
      <c r="E159" s="4">
        <v>34</v>
      </c>
      <c r="F159" s="4">
        <v>14</v>
      </c>
      <c r="G159">
        <f t="shared" si="39"/>
        <v>143</v>
      </c>
      <c r="H159" cm="1">
        <f t="array" aca="1" ref="H159" ca="1">OFFSET(INDIRECT("Sheet"&amp;E$2&amp;"!d1"),$G159-1,)</f>
        <v>0</v>
      </c>
      <c r="I159" cm="1">
        <f t="array" aca="1" ref="I159" ca="1">OFFSET(INDIRECT("Sheet"&amp;F$2&amp;"!d1"),$G159-1,)</f>
        <v>0</v>
      </c>
      <c r="J159" cm="1">
        <f t="array" aca="1" ref="J159" ca="1">OFFSET(INDIRECT("Sheet"&amp;G$2&amp;"!d1"),$G159-1,)</f>
        <v>0</v>
      </c>
      <c r="K159" cm="1">
        <f t="array" aca="1" ref="K159" ca="1">OFFSET(INDIRECT("Sheet"&amp;H$2&amp;"!d1"),$G159-1,)</f>
        <v>0</v>
      </c>
      <c r="L159" cm="1">
        <f t="array" aca="1" ref="L159" ca="1">OFFSET(INDIRECT("Sheet"&amp;I$2&amp;"!d1"),$G159-1,)</f>
        <v>0</v>
      </c>
      <c r="M159" cm="1">
        <f t="array" aca="1" ref="M159" ca="1">OFFSET(INDIRECT("Sheet"&amp;J$2&amp;"!d1"),$G159-1,)</f>
        <v>16</v>
      </c>
      <c r="N159" cm="1">
        <f t="array" aca="1" ref="N159" ca="1">OFFSET(INDIRECT("Sheet"&amp;M$2&amp;"!d1"),$G159-1,)</f>
        <v>15</v>
      </c>
      <c r="O159" cm="1">
        <f t="array" aca="1" ref="O159" ca="1">OFFSET(INDIRECT("Sheet"&amp;C$2&amp;"!d1"),$G159-1,)</f>
        <v>0</v>
      </c>
      <c r="P159" cm="1">
        <f t="array" aca="1" ref="P159" ca="1">OFFSET(INDIRECT("Sheet"&amp;D$2&amp;"!d1"),$G159-1,)</f>
        <v>0</v>
      </c>
      <c r="Q159" cm="1">
        <f t="array" aca="1" ref="Q159" ca="1">OFFSET(INDIRECT("Sheet"&amp;N$2&amp;"!d1"),$G159-1,)</f>
        <v>14</v>
      </c>
      <c r="R159" cm="1">
        <f t="array" aca="1" ref="R159" ca="1">OFFSET(INDIRECT("Sheet"&amp;O$2&amp;"!d1"),$G159-1,)</f>
        <v>14</v>
      </c>
      <c r="S159" cm="1">
        <f t="array" aca="1" ref="S159" ca="1">OFFSET(INDIRECT("Sheet"&amp;P$2&amp;"!d1"),$G159-1,)</f>
        <v>14</v>
      </c>
      <c r="T159" cm="1">
        <f t="array" aca="1" ref="T159" ca="1">OFFSET(INDIRECT("Sheet"&amp;Q$2&amp;"!d1"),$G159-1,)</f>
        <v>14</v>
      </c>
      <c r="U159" cm="1">
        <f t="array" aca="1" ref="U159" ca="1">OFFSET(INDIRECT("Sheet"&amp;R$2&amp;"!d1"),$G159-1,)</f>
        <v>14</v>
      </c>
      <c r="V159" cm="1">
        <f t="array" aca="1" ref="V159" ca="1">OFFSET(INDIRECT("Sheet"&amp;S$2&amp;"!d1"),$G159-1,)</f>
        <v>14</v>
      </c>
      <c r="W159" cm="1">
        <f t="array" aca="1" ref="W159" ca="1">OFFSET(INDIRECT("Sheet"&amp;T$2&amp;"!d1"),$G159-1,)</f>
        <v>16</v>
      </c>
      <c r="X159" cm="1">
        <f t="array" aca="1" ref="X159" ca="1">OFFSET(INDIRECT("Sheet"&amp;U$2&amp;"!d1"),$G159-1,)</f>
        <v>14</v>
      </c>
      <c r="Y159" cm="1">
        <f t="array" aca="1" ref="Y159" ca="1">OFFSET(INDIRECT("Sheet"&amp;V$2&amp;"!d1"),$G159-1,)</f>
        <v>14</v>
      </c>
      <c r="Z159"/>
      <c r="AB159" s="3" cm="1">
        <f t="array" aca="1" ref="AB159" ca="1">OFFSET(INDIRECT("Sheet"&amp;E$2&amp;"!f1"),$G159-1,)</f>
        <v>0</v>
      </c>
      <c r="AC159" s="3" cm="1">
        <f t="array" aca="1" ref="AC159" ca="1">OFFSET(INDIRECT("Sheet"&amp;F$2&amp;"!f1"),$G159-1,)</f>
        <v>0</v>
      </c>
      <c r="AD159" s="3" cm="1">
        <f t="array" aca="1" ref="AD159" ca="1">OFFSET(INDIRECT("Sheet"&amp;G$2&amp;"!f1"),$G159-1,)</f>
        <v>0</v>
      </c>
      <c r="AE159" s="3" cm="1">
        <f t="array" aca="1" ref="AE159" ca="1">OFFSET(INDIRECT("Sheet"&amp;H$2&amp;"!f1"),$G159-1,)</f>
        <v>0</v>
      </c>
      <c r="AF159" s="3" cm="1">
        <f t="array" aca="1" ref="AF159" ca="1">OFFSET(INDIRECT("Sheet"&amp;I$2&amp;"!f1"),$G159-1,)</f>
        <v>0</v>
      </c>
      <c r="AG159" s="3" cm="1">
        <f t="array" aca="1" ref="AG159" ca="1">OFFSET(INDIRECT("Sheet"&amp;J$2&amp;"!f1"),$G159-1,)</f>
        <v>2.5287761567160398</v>
      </c>
      <c r="AH159" s="3" cm="1">
        <f t="array" aca="1" ref="AH159" ca="1">OFFSET(INDIRECT("Sheet"&amp;K$2&amp;"!f1"),$G159-1,)</f>
        <v>2.2238557250000199</v>
      </c>
      <c r="AI159" s="3" cm="1">
        <f t="array" aca="1" ref="AI159" ca="1">OFFSET(INDIRECT("Sheet"&amp;L$2&amp;"!f1"),$G159-1,)</f>
        <v>2.2489271499999801</v>
      </c>
      <c r="AJ159" s="3" cm="1">
        <f t="array" aca="1" ref="AJ159" ca="1">OFFSET(INDIRECT("Sheet"&amp;M$2&amp;"!f1"),$G159-1,)</f>
        <v>4.2210592515766603</v>
      </c>
      <c r="AK159" s="3" cm="1">
        <f t="array" aca="1" ref="AK159" ca="1">OFFSET(INDIRECT("Sheet"&amp;C$2&amp;"!f1"),$G159-1,)</f>
        <v>0</v>
      </c>
      <c r="AL159" s="3" cm="1">
        <f t="array" aca="1" ref="AL159" ca="1">OFFSET(INDIRECT("Sheet"&amp;D$2&amp;"!f1"),$G159-1,)</f>
        <v>0</v>
      </c>
      <c r="AM159" s="3" cm="1">
        <f t="array" aca="1" ref="AM159" ca="1">OFFSET(INDIRECT("Sheet"&amp;N$2&amp;"!f1"),$G159-1,)</f>
        <v>44.961734229698699</v>
      </c>
      <c r="AN159" s="3" cm="1">
        <f t="array" aca="1" ref="AN159" ca="1">OFFSET(INDIRECT("Sheet"&amp;O$2&amp;"!f1"),$G159-1,)</f>
        <v>75.225109321996499</v>
      </c>
      <c r="AO159" s="3" cm="1">
        <f t="array" aca="1" ref="AO159" ca="1">OFFSET(INDIRECT("Sheet"&amp;P$2&amp;"!f1"),$G159-1,)</f>
        <v>145.792543642222</v>
      </c>
      <c r="AP159" s="3" cm="1">
        <f t="array" aca="1" ref="AP159" ca="1">OFFSET(INDIRECT("Sheet"&amp;Q$2&amp;"!f1"),$G159-1,)</f>
        <v>33.844674034044097</v>
      </c>
      <c r="AQ159" s="3" cm="1">
        <f t="array" aca="1" ref="AQ159" ca="1">OFFSET(INDIRECT("Sheet"&amp;R$2&amp;"!f1"),$G159-1,)</f>
        <v>41.059360083192502</v>
      </c>
      <c r="AR159" s="3" cm="1">
        <f t="array" aca="1" ref="AR159" ca="1">OFFSET(INDIRECT("Sheet"&amp;S$2&amp;"!f1"),$G159-1,)</f>
        <v>68.364090914838002</v>
      </c>
      <c r="AS159" s="3" cm="1">
        <f t="array" aca="1" ref="AS159" ca="1">OFFSET(INDIRECT("Sheet"&amp;T$2&amp;"!f1"),$G159-1,)</f>
        <v>69.640308883041101</v>
      </c>
      <c r="AT159" s="3" cm="1">
        <f t="array" aca="1" ref="AT159" ca="1">OFFSET(INDIRECT("Sheet"&amp;U$2&amp;"!f1"),$G159-1,)</f>
        <v>123.899305730126</v>
      </c>
      <c r="AU159" s="3" cm="1">
        <f t="array" aca="1" ref="AU159" ca="1">OFFSET(INDIRECT("Sheet"&amp;V$2&amp;"!f1"),$G159-1,)</f>
        <v>132.033243834041</v>
      </c>
      <c r="AV159" s="3"/>
      <c r="AX159">
        <f ca="1">IF(H159=$F159,1,0)</f>
        <v>0</v>
      </c>
      <c r="AY159">
        <f ca="1">IF(I159=$F159,1,0)</f>
        <v>0</v>
      </c>
      <c r="AZ159">
        <f ca="1">IF(J159=$F159,1,0)</f>
        <v>0</v>
      </c>
      <c r="BA159">
        <f ca="1">IF(K159=$F159,1,0)</f>
        <v>0</v>
      </c>
      <c r="BB159">
        <f ca="1">IF(L159=$F159,1,0)</f>
        <v>0</v>
      </c>
      <c r="BC159">
        <f ca="1">IF(M159=$F159,1,0)</f>
        <v>0</v>
      </c>
      <c r="BD159">
        <f ca="1">IF(C159=$F159,1,0)</f>
        <v>0</v>
      </c>
      <c r="BE159">
        <f ca="1">IF(D159=$F159,1,0)</f>
        <v>0</v>
      </c>
      <c r="BF159">
        <f t="shared" ca="1" si="29"/>
        <v>0</v>
      </c>
      <c r="BG159">
        <f t="shared" ca="1" si="30"/>
        <v>0</v>
      </c>
      <c r="BH159">
        <f t="shared" ca="1" si="41"/>
        <v>0</v>
      </c>
      <c r="BI159">
        <f t="shared" ca="1" si="42"/>
        <v>1</v>
      </c>
      <c r="BJ159">
        <f t="shared" ca="1" si="43"/>
        <v>1</v>
      </c>
      <c r="BK159">
        <f t="shared" ca="1" si="43"/>
        <v>1</v>
      </c>
      <c r="BL159">
        <f t="shared" ca="1" si="43"/>
        <v>1</v>
      </c>
      <c r="BM159">
        <f t="shared" ca="1" si="34"/>
        <v>1</v>
      </c>
      <c r="BN159">
        <f t="shared" ca="1" si="35"/>
        <v>1</v>
      </c>
      <c r="BO159">
        <f t="shared" ca="1" si="36"/>
        <v>0</v>
      </c>
      <c r="BP159">
        <f t="shared" ca="1" si="37"/>
        <v>1</v>
      </c>
      <c r="BQ159">
        <f t="shared" ca="1" si="38"/>
        <v>1</v>
      </c>
    </row>
    <row r="160" spans="1:69" s="4" customFormat="1" x14ac:dyDescent="0.2">
      <c r="A160" t="str">
        <f>Sheet3!A144</f>
        <v>[[114,36,14]]</v>
      </c>
      <c r="B160" s="4">
        <v>114</v>
      </c>
      <c r="C160" cm="1">
        <f t="array" aca="1" ref="C160" ca="1">OFFSET(INDIRECT("Sheet"&amp;K$2&amp;"!d1"),$G160-1,)</f>
        <v>14</v>
      </c>
      <c r="D160" cm="1">
        <f t="array" aca="1" ref="D160" ca="1">OFFSET(INDIRECT("Sheet"&amp;L$2&amp;"!d1"),$G160-1,)</f>
        <v>14</v>
      </c>
      <c r="E160" s="4">
        <v>36</v>
      </c>
      <c r="F160" s="4">
        <v>14</v>
      </c>
      <c r="G160">
        <f t="shared" si="39"/>
        <v>144</v>
      </c>
      <c r="H160" cm="1">
        <f t="array" aca="1" ref="H160" ca="1">OFFSET(INDIRECT("Sheet"&amp;E$2&amp;"!d1"),$G160-1,)</f>
        <v>0</v>
      </c>
      <c r="I160" cm="1">
        <f t="array" aca="1" ref="I160" ca="1">OFFSET(INDIRECT("Sheet"&amp;F$2&amp;"!d1"),$G160-1,)</f>
        <v>0</v>
      </c>
      <c r="J160" cm="1">
        <f t="array" aca="1" ref="J160" ca="1">OFFSET(INDIRECT("Sheet"&amp;G$2&amp;"!d1"),$G160-1,)</f>
        <v>0</v>
      </c>
      <c r="K160" cm="1">
        <f t="array" aca="1" ref="K160" ca="1">OFFSET(INDIRECT("Sheet"&amp;H$2&amp;"!d1"),$G160-1,)</f>
        <v>0</v>
      </c>
      <c r="L160" cm="1">
        <f t="array" aca="1" ref="L160" ca="1">OFFSET(INDIRECT("Sheet"&amp;I$2&amp;"!d1"),$G160-1,)</f>
        <v>0</v>
      </c>
      <c r="M160" cm="1">
        <f t="array" aca="1" ref="M160" ca="1">OFFSET(INDIRECT("Sheet"&amp;J$2&amp;"!d1"),$G160-1,)</f>
        <v>14</v>
      </c>
      <c r="N160" cm="1">
        <f t="array" aca="1" ref="N160" ca="1">OFFSET(INDIRECT("Sheet"&amp;M$2&amp;"!d1"),$G160-1,)</f>
        <v>14</v>
      </c>
      <c r="O160" cm="1">
        <f t="array" aca="1" ref="O160" ca="1">OFFSET(INDIRECT("Sheet"&amp;C$2&amp;"!d1"),$G160-1,)</f>
        <v>0</v>
      </c>
      <c r="P160" cm="1">
        <f t="array" aca="1" ref="P160" ca="1">OFFSET(INDIRECT("Sheet"&amp;D$2&amp;"!d1"),$G160-1,)</f>
        <v>0</v>
      </c>
      <c r="Q160" cm="1">
        <f t="array" aca="1" ref="Q160" ca="1">OFFSET(INDIRECT("Sheet"&amp;N$2&amp;"!d1"),$G160-1,)</f>
        <v>14</v>
      </c>
      <c r="R160" cm="1">
        <f t="array" aca="1" ref="R160" ca="1">OFFSET(INDIRECT("Sheet"&amp;O$2&amp;"!d1"),$G160-1,)</f>
        <v>14</v>
      </c>
      <c r="S160" cm="1">
        <f t="array" aca="1" ref="S160" ca="1">OFFSET(INDIRECT("Sheet"&amp;P$2&amp;"!d1"),$G160-1,)</f>
        <v>14</v>
      </c>
      <c r="T160" cm="1">
        <f t="array" aca="1" ref="T160" ca="1">OFFSET(INDIRECT("Sheet"&amp;Q$2&amp;"!d1"),$G160-1,)</f>
        <v>14</v>
      </c>
      <c r="U160" cm="1">
        <f t="array" aca="1" ref="U160" ca="1">OFFSET(INDIRECT("Sheet"&amp;R$2&amp;"!d1"),$G160-1,)</f>
        <v>14</v>
      </c>
      <c r="V160" cm="1">
        <f t="array" aca="1" ref="V160" ca="1">OFFSET(INDIRECT("Sheet"&amp;S$2&amp;"!d1"),$G160-1,)</f>
        <v>16</v>
      </c>
      <c r="W160" cm="1">
        <f t="array" aca="1" ref="W160" ca="1">OFFSET(INDIRECT("Sheet"&amp;T$2&amp;"!d1"),$G160-1,)</f>
        <v>14</v>
      </c>
      <c r="X160" cm="1">
        <f t="array" aca="1" ref="X160" ca="1">OFFSET(INDIRECT("Sheet"&amp;U$2&amp;"!d1"),$G160-1,)</f>
        <v>14</v>
      </c>
      <c r="Y160" cm="1">
        <f t="array" aca="1" ref="Y160" ca="1">OFFSET(INDIRECT("Sheet"&amp;V$2&amp;"!d1"),$G160-1,)</f>
        <v>14</v>
      </c>
      <c r="Z160"/>
      <c r="AB160" s="3" cm="1">
        <f t="array" aca="1" ref="AB160" ca="1">OFFSET(INDIRECT("Sheet"&amp;E$2&amp;"!f1"),$G160-1,)</f>
        <v>0</v>
      </c>
      <c r="AC160" s="3" cm="1">
        <f t="array" aca="1" ref="AC160" ca="1">OFFSET(INDIRECT("Sheet"&amp;F$2&amp;"!f1"),$G160-1,)</f>
        <v>0</v>
      </c>
      <c r="AD160" s="3" cm="1">
        <f t="array" aca="1" ref="AD160" ca="1">OFFSET(INDIRECT("Sheet"&amp;G$2&amp;"!f1"),$G160-1,)</f>
        <v>0</v>
      </c>
      <c r="AE160" s="3" cm="1">
        <f t="array" aca="1" ref="AE160" ca="1">OFFSET(INDIRECT("Sheet"&amp;H$2&amp;"!f1"),$G160-1,)</f>
        <v>0</v>
      </c>
      <c r="AF160" s="3" cm="1">
        <f t="array" aca="1" ref="AF160" ca="1">OFFSET(INDIRECT("Sheet"&amp;I$2&amp;"!f1"),$G160-1,)</f>
        <v>0</v>
      </c>
      <c r="AG160" s="3" cm="1">
        <f t="array" aca="1" ref="AG160" ca="1">OFFSET(INDIRECT("Sheet"&amp;J$2&amp;"!f1"),$G160-1,)</f>
        <v>2.5316542396321799</v>
      </c>
      <c r="AH160" s="3" cm="1">
        <f t="array" aca="1" ref="AH160" ca="1">OFFSET(INDIRECT("Sheet"&amp;K$2&amp;"!f1"),$G160-1,)</f>
        <v>2.2424368189999999</v>
      </c>
      <c r="AI160" s="3" cm="1">
        <f t="array" aca="1" ref="AI160" ca="1">OFFSET(INDIRECT("Sheet"&amp;L$2&amp;"!f1"),$G160-1,)</f>
        <v>2.23515111899999</v>
      </c>
      <c r="AJ160" s="3" cm="1">
        <f t="array" aca="1" ref="AJ160" ca="1">OFFSET(INDIRECT("Sheet"&amp;M$2&amp;"!f1"),$G160-1,)</f>
        <v>4.2715779058635199</v>
      </c>
      <c r="AK160" s="3" cm="1">
        <f t="array" aca="1" ref="AK160" ca="1">OFFSET(INDIRECT("Sheet"&amp;C$2&amp;"!f1"),$G160-1,)</f>
        <v>0</v>
      </c>
      <c r="AL160" s="3" cm="1">
        <f t="array" aca="1" ref="AL160" ca="1">OFFSET(INDIRECT("Sheet"&amp;D$2&amp;"!f1"),$G160-1,)</f>
        <v>0</v>
      </c>
      <c r="AM160" s="3" cm="1">
        <f t="array" aca="1" ref="AM160" ca="1">OFFSET(INDIRECT("Sheet"&amp;N$2&amp;"!f1"),$G160-1,)</f>
        <v>47.5652317106723</v>
      </c>
      <c r="AN160" s="3" cm="1">
        <f t="array" aca="1" ref="AN160" ca="1">OFFSET(INDIRECT("Sheet"&amp;O$2&amp;"!f1"),$G160-1,)</f>
        <v>78.784865258261505</v>
      </c>
      <c r="AO160" s="3" cm="1">
        <f t="array" aca="1" ref="AO160" ca="1">OFFSET(INDIRECT("Sheet"&amp;P$2&amp;"!f1"),$G160-1,)</f>
        <v>155.95417434163301</v>
      </c>
      <c r="AP160" s="3" cm="1">
        <f t="array" aca="1" ref="AP160" ca="1">OFFSET(INDIRECT("Sheet"&amp;Q$2&amp;"!f1"),$G160-1,)</f>
        <v>35.902137626893797</v>
      </c>
      <c r="AQ160" s="3" cm="1">
        <f t="array" aca="1" ref="AQ160" ca="1">OFFSET(INDIRECT("Sheet"&amp;R$2&amp;"!f1"),$G160-1,)</f>
        <v>42.327954395674098</v>
      </c>
      <c r="AR160" s="3" cm="1">
        <f t="array" aca="1" ref="AR160" ca="1">OFFSET(INDIRECT("Sheet"&amp;S$2&amp;"!f1"),$G160-1,)</f>
        <v>71.897741053253398</v>
      </c>
      <c r="AS160" s="3" cm="1">
        <f t="array" aca="1" ref="AS160" ca="1">OFFSET(INDIRECT("Sheet"&amp;T$2&amp;"!f1"),$G160-1,)</f>
        <v>74.2592216832563</v>
      </c>
      <c r="AT160" s="3" cm="1">
        <f t="array" aca="1" ref="AT160" ca="1">OFFSET(INDIRECT("Sheet"&amp;U$2&amp;"!f1"),$G160-1,)</f>
        <v>132.76283689774499</v>
      </c>
      <c r="AU160" s="3" cm="1">
        <f t="array" aca="1" ref="AU160" ca="1">OFFSET(INDIRECT("Sheet"&amp;V$2&amp;"!f1"),$G160-1,)</f>
        <v>142.08654771651999</v>
      </c>
      <c r="AV160" s="3"/>
      <c r="AX160">
        <f ca="1">IF(H160=$F160,1,0)</f>
        <v>0</v>
      </c>
      <c r="AY160">
        <f ca="1">IF(I160=$F160,1,0)</f>
        <v>0</v>
      </c>
      <c r="AZ160">
        <f ca="1">IF(J160=$F160,1,0)</f>
        <v>0</v>
      </c>
      <c r="BA160">
        <f ca="1">IF(K160=$F160,1,0)</f>
        <v>0</v>
      </c>
      <c r="BB160">
        <f ca="1">IF(L160=$F160,1,0)</f>
        <v>0</v>
      </c>
      <c r="BC160">
        <f ca="1">IF(M160=$F160,1,0)</f>
        <v>1</v>
      </c>
      <c r="BD160">
        <f ca="1">IF(C160=$F160,1,0)</f>
        <v>1</v>
      </c>
      <c r="BE160">
        <f ca="1">IF(D160=$F160,1,0)</f>
        <v>1</v>
      </c>
      <c r="BF160">
        <f t="shared" ca="1" si="29"/>
        <v>1</v>
      </c>
      <c r="BG160">
        <f t="shared" ca="1" si="30"/>
        <v>0</v>
      </c>
      <c r="BH160">
        <f t="shared" ca="1" si="41"/>
        <v>0</v>
      </c>
      <c r="BI160">
        <f t="shared" ca="1" si="42"/>
        <v>1</v>
      </c>
      <c r="BJ160">
        <f t="shared" ca="1" si="43"/>
        <v>1</v>
      </c>
      <c r="BK160">
        <f t="shared" ca="1" si="43"/>
        <v>1</v>
      </c>
      <c r="BL160">
        <f t="shared" ca="1" si="43"/>
        <v>1</v>
      </c>
      <c r="BM160">
        <f t="shared" ca="1" si="34"/>
        <v>1</v>
      </c>
      <c r="BN160">
        <f t="shared" ca="1" si="35"/>
        <v>0</v>
      </c>
      <c r="BO160">
        <f t="shared" ca="1" si="36"/>
        <v>1</v>
      </c>
      <c r="BP160">
        <f t="shared" ca="1" si="37"/>
        <v>1</v>
      </c>
      <c r="BQ160">
        <f t="shared" ca="1" si="38"/>
        <v>1</v>
      </c>
    </row>
    <row r="161" spans="1:69" s="4" customFormat="1" x14ac:dyDescent="0.2">
      <c r="A161" t="str">
        <f>Sheet3!A145</f>
        <v>[[115,1,25]]</v>
      </c>
      <c r="B161" s="4">
        <v>115</v>
      </c>
      <c r="C161" cm="1">
        <f t="array" aca="1" ref="C161" ca="1">OFFSET(INDIRECT("Sheet"&amp;K$2&amp;"!d1"),$G161-1,)</f>
        <v>25</v>
      </c>
      <c r="D161" cm="1">
        <f t="array" aca="1" ref="D161" ca="1">OFFSET(INDIRECT("Sheet"&amp;L$2&amp;"!d1"),$G161-1,)</f>
        <v>25</v>
      </c>
      <c r="E161" s="4">
        <v>1</v>
      </c>
      <c r="F161" s="4">
        <v>25</v>
      </c>
      <c r="G161">
        <f t="shared" si="39"/>
        <v>145</v>
      </c>
      <c r="H161" cm="1">
        <f t="array" aca="1" ref="H161" ca="1">OFFSET(INDIRECT("Sheet"&amp;E$2&amp;"!d1"),$G161-1,)</f>
        <v>0</v>
      </c>
      <c r="I161" cm="1">
        <f t="array" aca="1" ref="I161" ca="1">OFFSET(INDIRECT("Sheet"&amp;F$2&amp;"!d1"),$G161-1,)</f>
        <v>0</v>
      </c>
      <c r="J161" cm="1">
        <f t="array" aca="1" ref="J161" ca="1">OFFSET(INDIRECT("Sheet"&amp;G$2&amp;"!d1"),$G161-1,)</f>
        <v>0</v>
      </c>
      <c r="K161" cm="1">
        <f t="array" aca="1" ref="K161" ca="1">OFFSET(INDIRECT("Sheet"&amp;H$2&amp;"!d1"),$G161-1,)</f>
        <v>0</v>
      </c>
      <c r="L161" cm="1">
        <f t="array" aca="1" ref="L161" ca="1">OFFSET(INDIRECT("Sheet"&amp;I$2&amp;"!d1"),$G161-1,)</f>
        <v>0</v>
      </c>
      <c r="M161" cm="1">
        <f t="array" aca="1" ref="M161" ca="1">OFFSET(INDIRECT("Sheet"&amp;J$2&amp;"!d1"),$G161-1,)</f>
        <v>25</v>
      </c>
      <c r="N161" cm="1">
        <f t="array" aca="1" ref="N161" ca="1">OFFSET(INDIRECT("Sheet"&amp;M$2&amp;"!d1"),$G161-1,)</f>
        <v>25</v>
      </c>
      <c r="O161" cm="1">
        <f t="array" aca="1" ref="O161" ca="1">OFFSET(INDIRECT("Sheet"&amp;C$2&amp;"!d1"),$G161-1,)</f>
        <v>0</v>
      </c>
      <c r="P161" cm="1">
        <f t="array" aca="1" ref="P161" ca="1">OFFSET(INDIRECT("Sheet"&amp;D$2&amp;"!d1"),$G161-1,)</f>
        <v>0</v>
      </c>
      <c r="Q161" cm="1">
        <f t="array" aca="1" ref="Q161" ca="1">OFFSET(INDIRECT("Sheet"&amp;N$2&amp;"!d1"),$G161-1,)</f>
        <v>25</v>
      </c>
      <c r="R161" cm="1">
        <f t="array" aca="1" ref="R161" ca="1">OFFSET(INDIRECT("Sheet"&amp;O$2&amp;"!d1"),$G161-1,)</f>
        <v>25</v>
      </c>
      <c r="S161" cm="1">
        <f t="array" aca="1" ref="S161" ca="1">OFFSET(INDIRECT("Sheet"&amp;P$2&amp;"!d1"),$G161-1,)</f>
        <v>25</v>
      </c>
      <c r="T161" cm="1">
        <f t="array" aca="1" ref="T161" ca="1">OFFSET(INDIRECT("Sheet"&amp;Q$2&amp;"!d1"),$G161-1,)</f>
        <v>25</v>
      </c>
      <c r="U161" cm="1">
        <f t="array" aca="1" ref="U161" ca="1">OFFSET(INDIRECT("Sheet"&amp;R$2&amp;"!d1"),$G161-1,)</f>
        <v>25</v>
      </c>
      <c r="V161" cm="1">
        <f t="array" aca="1" ref="V161" ca="1">OFFSET(INDIRECT("Sheet"&amp;S$2&amp;"!d1"),$G161-1,)</f>
        <v>25</v>
      </c>
      <c r="W161" cm="1">
        <f t="array" aca="1" ref="W161" ca="1">OFFSET(INDIRECT("Sheet"&amp;T$2&amp;"!d1"),$G161-1,)</f>
        <v>25</v>
      </c>
      <c r="X161" cm="1">
        <f t="array" aca="1" ref="X161" ca="1">OFFSET(INDIRECT("Sheet"&amp;U$2&amp;"!d1"),$G161-1,)</f>
        <v>25</v>
      </c>
      <c r="Y161" cm="1">
        <f t="array" aca="1" ref="Y161" ca="1">OFFSET(INDIRECT("Sheet"&amp;V$2&amp;"!d1"),$G161-1,)</f>
        <v>25</v>
      </c>
      <c r="Z161"/>
      <c r="AB161" s="3" cm="1">
        <f t="array" aca="1" ref="AB161" ca="1">OFFSET(INDIRECT("Sheet"&amp;E$2&amp;"!f1"),$G161-1,)</f>
        <v>0</v>
      </c>
      <c r="AC161" s="3" cm="1">
        <f t="array" aca="1" ref="AC161" ca="1">OFFSET(INDIRECT("Sheet"&amp;F$2&amp;"!f1"),$G161-1,)</f>
        <v>0</v>
      </c>
      <c r="AD161" s="3" cm="1">
        <f t="array" aca="1" ref="AD161" ca="1">OFFSET(INDIRECT("Sheet"&amp;G$2&amp;"!f1"),$G161-1,)</f>
        <v>0</v>
      </c>
      <c r="AE161" s="3" cm="1">
        <f t="array" aca="1" ref="AE161" ca="1">OFFSET(INDIRECT("Sheet"&amp;H$2&amp;"!f1"),$G161-1,)</f>
        <v>0</v>
      </c>
      <c r="AF161" s="3" cm="1">
        <f t="array" aca="1" ref="AF161" ca="1">OFFSET(INDIRECT("Sheet"&amp;I$2&amp;"!f1"),$G161-1,)</f>
        <v>0</v>
      </c>
      <c r="AG161" s="3" cm="1">
        <f t="array" aca="1" ref="AG161" ca="1">OFFSET(INDIRECT("Sheet"&amp;J$2&amp;"!f1"),$G161-1,)</f>
        <v>3.26560170948505</v>
      </c>
      <c r="AH161" s="3" cm="1">
        <f t="array" aca="1" ref="AH161" ca="1">OFFSET(INDIRECT("Sheet"&amp;K$2&amp;"!f1"),$G161-1,)</f>
        <v>2.8847059160000001</v>
      </c>
      <c r="AI161" s="3" cm="1">
        <f t="array" aca="1" ref="AI161" ca="1">OFFSET(INDIRECT("Sheet"&amp;L$2&amp;"!f1"),$G161-1,)</f>
        <v>2.8726011540000198</v>
      </c>
      <c r="AJ161" s="3" cm="1">
        <f t="array" aca="1" ref="AJ161" ca="1">OFFSET(INDIRECT("Sheet"&amp;M$2&amp;"!f1"),$G161-1,)</f>
        <v>3.9382045799866301</v>
      </c>
      <c r="AK161" s="3" cm="1">
        <f t="array" aca="1" ref="AK161" ca="1">OFFSET(INDIRECT("Sheet"&amp;C$2&amp;"!f1"),$G161-1,)</f>
        <v>0</v>
      </c>
      <c r="AL161" s="3" cm="1">
        <f t="array" aca="1" ref="AL161" ca="1">OFFSET(INDIRECT("Sheet"&amp;D$2&amp;"!f1"),$G161-1,)</f>
        <v>0</v>
      </c>
      <c r="AM161" s="3" cm="1">
        <f t="array" aca="1" ref="AM161" ca="1">OFFSET(INDIRECT("Sheet"&amp;N$2&amp;"!f1"),$G161-1,)</f>
        <v>15.176148083992301</v>
      </c>
      <c r="AN161" s="3" cm="1">
        <f t="array" aca="1" ref="AN161" ca="1">OFFSET(INDIRECT("Sheet"&amp;O$2&amp;"!f1"),$G161-1,)</f>
        <v>33.9207366639748</v>
      </c>
      <c r="AO161" s="3" cm="1">
        <f t="array" aca="1" ref="AO161" ca="1">OFFSET(INDIRECT("Sheet"&amp;P$2&amp;"!f1"),$G161-1,)</f>
        <v>39.559463645331498</v>
      </c>
      <c r="AP161" s="3" cm="1">
        <f t="array" aca="1" ref="AP161" ca="1">OFFSET(INDIRECT("Sheet"&amp;Q$2&amp;"!f1"),$G161-1,)</f>
        <v>10.847827332094299</v>
      </c>
      <c r="AQ161" s="3" cm="1">
        <f t="array" aca="1" ref="AQ161" ca="1">OFFSET(INDIRECT("Sheet"&amp;R$2&amp;"!f1"),$G161-1,)</f>
        <v>14.007214837707499</v>
      </c>
      <c r="AR161" s="3" cm="1">
        <f t="array" aca="1" ref="AR161" ca="1">OFFSET(INDIRECT("Sheet"&amp;S$2&amp;"!f1"),$G161-1,)</f>
        <v>38.0204589609056</v>
      </c>
      <c r="AS161" s="3" cm="1">
        <f t="array" aca="1" ref="AS161" ca="1">OFFSET(INDIRECT("Sheet"&amp;T$2&amp;"!f1"),$G161-1,)</f>
        <v>33.000611049123101</v>
      </c>
      <c r="AT161" s="3" cm="1">
        <f t="array" aca="1" ref="AT161" ca="1">OFFSET(INDIRECT("Sheet"&amp;U$2&amp;"!f1"),$G161-1,)</f>
        <v>39.485786100849502</v>
      </c>
      <c r="AU161" s="3" cm="1">
        <f t="array" aca="1" ref="AU161" ca="1">OFFSET(INDIRECT("Sheet"&amp;V$2&amp;"!f1"),$G161-1,)</f>
        <v>40.390117182396303</v>
      </c>
      <c r="AV161" s="3"/>
      <c r="AX161">
        <f ca="1">IF(H161=$F161,1,0)</f>
        <v>0</v>
      </c>
      <c r="AY161">
        <f ca="1">IF(I161=$F161,1,0)</f>
        <v>0</v>
      </c>
      <c r="AZ161">
        <f ca="1">IF(J161=$F161,1,0)</f>
        <v>0</v>
      </c>
      <c r="BA161">
        <f ca="1">IF(K161=$F161,1,0)</f>
        <v>0</v>
      </c>
      <c r="BB161">
        <f ca="1">IF(L161=$F161,1,0)</f>
        <v>0</v>
      </c>
      <c r="BC161">
        <f ca="1">IF(M161=$F161,1,0)</f>
        <v>1</v>
      </c>
      <c r="BD161">
        <f ca="1">IF(C161=$F161,1,0)</f>
        <v>1</v>
      </c>
      <c r="BE161">
        <f ca="1">IF(D161=$F161,1,0)</f>
        <v>1</v>
      </c>
      <c r="BF161">
        <f t="shared" ca="1" si="29"/>
        <v>1</v>
      </c>
      <c r="BG161">
        <f t="shared" ca="1" si="30"/>
        <v>0</v>
      </c>
      <c r="BH161">
        <f t="shared" ca="1" si="41"/>
        <v>0</v>
      </c>
      <c r="BI161">
        <f t="shared" ca="1" si="42"/>
        <v>1</v>
      </c>
      <c r="BJ161">
        <f t="shared" ref="BJ161:BL169" ca="1" si="44">IF(R161=$F161,1,0)</f>
        <v>1</v>
      </c>
      <c r="BK161">
        <f t="shared" ca="1" si="44"/>
        <v>1</v>
      </c>
      <c r="BL161">
        <f t="shared" ca="1" si="44"/>
        <v>1</v>
      </c>
      <c r="BM161">
        <f t="shared" ca="1" si="34"/>
        <v>1</v>
      </c>
      <c r="BN161">
        <f t="shared" ca="1" si="35"/>
        <v>1</v>
      </c>
      <c r="BO161">
        <f t="shared" ca="1" si="36"/>
        <v>1</v>
      </c>
      <c r="BP161">
        <f t="shared" ca="1" si="37"/>
        <v>1</v>
      </c>
      <c r="BQ161">
        <f t="shared" ca="1" si="38"/>
        <v>1</v>
      </c>
    </row>
    <row r="162" spans="1:69" s="4" customFormat="1" x14ac:dyDescent="0.2">
      <c r="A162" t="str">
        <f>Sheet3!A146</f>
        <v>[[116,2,24]]</v>
      </c>
      <c r="B162" s="4">
        <v>116</v>
      </c>
      <c r="C162" cm="1">
        <f t="array" aca="1" ref="C162" ca="1">OFFSET(INDIRECT("Sheet"&amp;K$2&amp;"!d1"),$G162-1,)</f>
        <v>24</v>
      </c>
      <c r="D162" cm="1">
        <f t="array" aca="1" ref="D162" ca="1">OFFSET(INDIRECT("Sheet"&amp;L$2&amp;"!d1"),$G162-1,)</f>
        <v>25</v>
      </c>
      <c r="E162" s="4">
        <v>2</v>
      </c>
      <c r="F162" s="4">
        <v>24</v>
      </c>
      <c r="G162">
        <f t="shared" si="39"/>
        <v>146</v>
      </c>
      <c r="H162" cm="1">
        <f t="array" aca="1" ref="H162" ca="1">OFFSET(INDIRECT("Sheet"&amp;E$2&amp;"!d1"),$G162-1,)</f>
        <v>0</v>
      </c>
      <c r="I162" cm="1">
        <f t="array" aca="1" ref="I162" ca="1">OFFSET(INDIRECT("Sheet"&amp;F$2&amp;"!d1"),$G162-1,)</f>
        <v>0</v>
      </c>
      <c r="J162" cm="1">
        <f t="array" aca="1" ref="J162" ca="1">OFFSET(INDIRECT("Sheet"&amp;G$2&amp;"!d1"),$G162-1,)</f>
        <v>0</v>
      </c>
      <c r="K162" cm="1">
        <f t="array" aca="1" ref="K162" ca="1">OFFSET(INDIRECT("Sheet"&amp;H$2&amp;"!d1"),$G162-1,)</f>
        <v>0</v>
      </c>
      <c r="L162" cm="1">
        <f t="array" aca="1" ref="L162" ca="1">OFFSET(INDIRECT("Sheet"&amp;I$2&amp;"!d1"),$G162-1,)</f>
        <v>0</v>
      </c>
      <c r="M162" cm="1">
        <f t="array" aca="1" ref="M162" ca="1">OFFSET(INDIRECT("Sheet"&amp;J$2&amp;"!d1"),$G162-1,)</f>
        <v>24</v>
      </c>
      <c r="N162" cm="1">
        <f t="array" aca="1" ref="N162" ca="1">OFFSET(INDIRECT("Sheet"&amp;M$2&amp;"!d1"),$G162-1,)</f>
        <v>24</v>
      </c>
      <c r="O162" cm="1">
        <f t="array" aca="1" ref="O162" ca="1">OFFSET(INDIRECT("Sheet"&amp;C$2&amp;"!d1"),$G162-1,)</f>
        <v>0</v>
      </c>
      <c r="P162" cm="1">
        <f t="array" aca="1" ref="P162" ca="1">OFFSET(INDIRECT("Sheet"&amp;D$2&amp;"!d1"),$G162-1,)</f>
        <v>0</v>
      </c>
      <c r="Q162" cm="1">
        <f t="array" aca="1" ref="Q162" ca="1">OFFSET(INDIRECT("Sheet"&amp;N$2&amp;"!d1"),$G162-1,)</f>
        <v>24</v>
      </c>
      <c r="R162" cm="1">
        <f t="array" aca="1" ref="R162" ca="1">OFFSET(INDIRECT("Sheet"&amp;O$2&amp;"!d1"),$G162-1,)</f>
        <v>24</v>
      </c>
      <c r="S162" cm="1">
        <f t="array" aca="1" ref="S162" ca="1">OFFSET(INDIRECT("Sheet"&amp;P$2&amp;"!d1"),$G162-1,)</f>
        <v>24</v>
      </c>
      <c r="T162" cm="1">
        <f t="array" aca="1" ref="T162" ca="1">OFFSET(INDIRECT("Sheet"&amp;Q$2&amp;"!d1"),$G162-1,)</f>
        <v>24</v>
      </c>
      <c r="U162" cm="1">
        <f t="array" aca="1" ref="U162" ca="1">OFFSET(INDIRECT("Sheet"&amp;R$2&amp;"!d1"),$G162-1,)</f>
        <v>24</v>
      </c>
      <c r="V162" cm="1">
        <f t="array" aca="1" ref="V162" ca="1">OFFSET(INDIRECT("Sheet"&amp;S$2&amp;"!d1"),$G162-1,)</f>
        <v>24</v>
      </c>
      <c r="W162" cm="1">
        <f t="array" aca="1" ref="W162" ca="1">OFFSET(INDIRECT("Sheet"&amp;T$2&amp;"!d1"),$G162-1,)</f>
        <v>24</v>
      </c>
      <c r="X162" cm="1">
        <f t="array" aca="1" ref="X162" ca="1">OFFSET(INDIRECT("Sheet"&amp;U$2&amp;"!d1"),$G162-1,)</f>
        <v>24</v>
      </c>
      <c r="Y162" cm="1">
        <f t="array" aca="1" ref="Y162" ca="1">OFFSET(INDIRECT("Sheet"&amp;V$2&amp;"!d1"),$G162-1,)</f>
        <v>24</v>
      </c>
      <c r="Z162"/>
      <c r="AB162" s="3" cm="1">
        <f t="array" aca="1" ref="AB162" ca="1">OFFSET(INDIRECT("Sheet"&amp;E$2&amp;"!f1"),$G162-1,)</f>
        <v>0</v>
      </c>
      <c r="AC162" s="3" cm="1">
        <f t="array" aca="1" ref="AC162" ca="1">OFFSET(INDIRECT("Sheet"&amp;F$2&amp;"!f1"),$G162-1,)</f>
        <v>0</v>
      </c>
      <c r="AD162" s="3" cm="1">
        <f t="array" aca="1" ref="AD162" ca="1">OFFSET(INDIRECT("Sheet"&amp;G$2&amp;"!f1"),$G162-1,)</f>
        <v>0</v>
      </c>
      <c r="AE162" s="3" cm="1">
        <f t="array" aca="1" ref="AE162" ca="1">OFFSET(INDIRECT("Sheet"&amp;H$2&amp;"!f1"),$G162-1,)</f>
        <v>0</v>
      </c>
      <c r="AF162" s="3" cm="1">
        <f t="array" aca="1" ref="AF162" ca="1">OFFSET(INDIRECT("Sheet"&amp;I$2&amp;"!f1"),$G162-1,)</f>
        <v>0</v>
      </c>
      <c r="AG162" s="3" cm="1">
        <f t="array" aca="1" ref="AG162" ca="1">OFFSET(INDIRECT("Sheet"&amp;J$2&amp;"!f1"),$G162-1,)</f>
        <v>3.2150796521455001</v>
      </c>
      <c r="AH162" s="3" cm="1">
        <f t="array" aca="1" ref="AH162" ca="1">OFFSET(INDIRECT("Sheet"&amp;K$2&amp;"!f1"),$G162-1,)</f>
        <v>2.8488480529999798</v>
      </c>
      <c r="AI162" s="3" cm="1">
        <f t="array" aca="1" ref="AI162" ca="1">OFFSET(INDIRECT("Sheet"&amp;L$2&amp;"!f1"),$G162-1,)</f>
        <v>2.8611403639999899</v>
      </c>
      <c r="AJ162" s="3" cm="1">
        <f t="array" aca="1" ref="AJ162" ca="1">OFFSET(INDIRECT("Sheet"&amp;M$2&amp;"!f1"),$G162-1,)</f>
        <v>3.9590416271239501</v>
      </c>
      <c r="AK162" s="3" cm="1">
        <f t="array" aca="1" ref="AK162" ca="1">OFFSET(INDIRECT("Sheet"&amp;C$2&amp;"!f1"),$G162-1,)</f>
        <v>0</v>
      </c>
      <c r="AL162" s="3" cm="1">
        <f t="array" aca="1" ref="AL162" ca="1">OFFSET(INDIRECT("Sheet"&amp;D$2&amp;"!f1"),$G162-1,)</f>
        <v>0</v>
      </c>
      <c r="AM162" s="3" cm="1">
        <f t="array" aca="1" ref="AM162" ca="1">OFFSET(INDIRECT("Sheet"&amp;N$2&amp;"!f1"),$G162-1,)</f>
        <v>15.39270860143</v>
      </c>
      <c r="AN162" s="3" cm="1">
        <f t="array" aca="1" ref="AN162" ca="1">OFFSET(INDIRECT("Sheet"&amp;O$2&amp;"!f1"),$G162-1,)</f>
        <v>34.053578649647498</v>
      </c>
      <c r="AO162" s="3" cm="1">
        <f t="array" aca="1" ref="AO162" ca="1">OFFSET(INDIRECT("Sheet"&amp;P$2&amp;"!f1"),$G162-1,)</f>
        <v>42.882258293218896</v>
      </c>
      <c r="AP162" s="3" cm="1">
        <f t="array" aca="1" ref="AP162" ca="1">OFFSET(INDIRECT("Sheet"&amp;Q$2&amp;"!f1"),$G162-1,)</f>
        <v>11.51866467949</v>
      </c>
      <c r="AQ162" s="3" cm="1">
        <f t="array" aca="1" ref="AQ162" ca="1">OFFSET(INDIRECT("Sheet"&amp;R$2&amp;"!f1"),$G162-1,)</f>
        <v>14.169057114981101</v>
      </c>
      <c r="AR162" s="3" cm="1">
        <f t="array" aca="1" ref="AR162" ca="1">OFFSET(INDIRECT("Sheet"&amp;S$2&amp;"!f1"),$G162-1,)</f>
        <v>38.724542151205199</v>
      </c>
      <c r="AS162" s="3" cm="1">
        <f t="array" aca="1" ref="AS162" ca="1">OFFSET(INDIRECT("Sheet"&amp;T$2&amp;"!f1"),$G162-1,)</f>
        <v>34.095491725020104</v>
      </c>
      <c r="AT162" s="3" cm="1">
        <f t="array" aca="1" ref="AT162" ca="1">OFFSET(INDIRECT("Sheet"&amp;U$2&amp;"!f1"),$G162-1,)</f>
        <v>41.804101738147402</v>
      </c>
      <c r="AU162" s="3" cm="1">
        <f t="array" aca="1" ref="AU162" ca="1">OFFSET(INDIRECT("Sheet"&amp;V$2&amp;"!f1"),$G162-1,)</f>
        <v>42.032287615351301</v>
      </c>
      <c r="AV162" s="3"/>
      <c r="AX162">
        <f ca="1">IF(H162=$F162,1,0)</f>
        <v>0</v>
      </c>
      <c r="AY162">
        <f ca="1">IF(I162=$F162,1,0)</f>
        <v>0</v>
      </c>
      <c r="AZ162">
        <f ca="1">IF(J162=$F162,1,0)</f>
        <v>0</v>
      </c>
      <c r="BA162">
        <f ca="1">IF(K162=$F162,1,0)</f>
        <v>0</v>
      </c>
      <c r="BB162">
        <f ca="1">IF(L162=$F162,1,0)</f>
        <v>0</v>
      </c>
      <c r="BC162">
        <f ca="1">IF(M162=$F162,1,0)</f>
        <v>1</v>
      </c>
      <c r="BD162">
        <f ca="1">IF(C162=$F162,1,0)</f>
        <v>1</v>
      </c>
      <c r="BE162">
        <f ca="1">IF(D162=$F162,1,0)</f>
        <v>0</v>
      </c>
      <c r="BF162">
        <f t="shared" ca="1" si="29"/>
        <v>1</v>
      </c>
      <c r="BG162">
        <f t="shared" ca="1" si="30"/>
        <v>0</v>
      </c>
      <c r="BH162">
        <f t="shared" ca="1" si="41"/>
        <v>0</v>
      </c>
      <c r="BI162">
        <f t="shared" ca="1" si="42"/>
        <v>1</v>
      </c>
      <c r="BJ162">
        <f t="shared" ca="1" si="44"/>
        <v>1</v>
      </c>
      <c r="BK162">
        <f t="shared" ca="1" si="44"/>
        <v>1</v>
      </c>
      <c r="BL162">
        <f t="shared" ca="1" si="44"/>
        <v>1</v>
      </c>
      <c r="BM162">
        <f t="shared" ca="1" si="34"/>
        <v>1</v>
      </c>
      <c r="BN162">
        <f t="shared" ca="1" si="35"/>
        <v>1</v>
      </c>
      <c r="BO162">
        <f t="shared" ca="1" si="36"/>
        <v>1</v>
      </c>
      <c r="BP162">
        <f t="shared" ca="1" si="37"/>
        <v>1</v>
      </c>
      <c r="BQ162">
        <f t="shared" ca="1" si="38"/>
        <v>1</v>
      </c>
    </row>
    <row r="163" spans="1:69" s="4" customFormat="1" x14ac:dyDescent="0.2">
      <c r="A163" t="str">
        <f>Sheet3!A147</f>
        <v>[[117,2,24]]</v>
      </c>
      <c r="B163" s="4">
        <v>117</v>
      </c>
      <c r="C163" cm="1">
        <f t="array" aca="1" ref="C163" ca="1">OFFSET(INDIRECT("Sheet"&amp;K$2&amp;"!d1"),$G163-1,)</f>
        <v>24</v>
      </c>
      <c r="D163" cm="1">
        <f t="array" aca="1" ref="D163" ca="1">OFFSET(INDIRECT("Sheet"&amp;L$2&amp;"!d1"),$G163-1,)</f>
        <v>25</v>
      </c>
      <c r="E163" s="4">
        <v>2</v>
      </c>
      <c r="F163" s="4">
        <v>24</v>
      </c>
      <c r="G163">
        <f t="shared" si="39"/>
        <v>147</v>
      </c>
      <c r="H163" cm="1">
        <f t="array" aca="1" ref="H163" ca="1">OFFSET(INDIRECT("Sheet"&amp;E$2&amp;"!d1"),$G163-1,)</f>
        <v>0</v>
      </c>
      <c r="I163" cm="1">
        <f t="array" aca="1" ref="I163" ca="1">OFFSET(INDIRECT("Sheet"&amp;F$2&amp;"!d1"),$G163-1,)</f>
        <v>0</v>
      </c>
      <c r="J163" cm="1">
        <f t="array" aca="1" ref="J163" ca="1">OFFSET(INDIRECT("Sheet"&amp;G$2&amp;"!d1"),$G163-1,)</f>
        <v>0</v>
      </c>
      <c r="K163" cm="1">
        <f t="array" aca="1" ref="K163" ca="1">OFFSET(INDIRECT("Sheet"&amp;H$2&amp;"!d1"),$G163-1,)</f>
        <v>0</v>
      </c>
      <c r="L163" cm="1">
        <f t="array" aca="1" ref="L163" ca="1">OFFSET(INDIRECT("Sheet"&amp;I$2&amp;"!d1"),$G163-1,)</f>
        <v>0</v>
      </c>
      <c r="M163" cm="1">
        <f t="array" aca="1" ref="M163" ca="1">OFFSET(INDIRECT("Sheet"&amp;J$2&amp;"!d1"),$G163-1,)</f>
        <v>25</v>
      </c>
      <c r="N163" cm="1">
        <f t="array" aca="1" ref="N163" ca="1">OFFSET(INDIRECT("Sheet"&amp;M$2&amp;"!d1"),$G163-1,)</f>
        <v>24</v>
      </c>
      <c r="O163" cm="1">
        <f t="array" aca="1" ref="O163" ca="1">OFFSET(INDIRECT("Sheet"&amp;C$2&amp;"!d1"),$G163-1,)</f>
        <v>0</v>
      </c>
      <c r="P163" cm="1">
        <f t="array" aca="1" ref="P163" ca="1">OFFSET(INDIRECT("Sheet"&amp;D$2&amp;"!d1"),$G163-1,)</f>
        <v>0</v>
      </c>
      <c r="Q163" cm="1">
        <f t="array" aca="1" ref="Q163" ca="1">OFFSET(INDIRECT("Sheet"&amp;N$2&amp;"!d1"),$G163-1,)</f>
        <v>24</v>
      </c>
      <c r="R163" cm="1">
        <f t="array" aca="1" ref="R163" ca="1">OFFSET(INDIRECT("Sheet"&amp;O$2&amp;"!d1"),$G163-1,)</f>
        <v>24</v>
      </c>
      <c r="S163" cm="1">
        <f t="array" aca="1" ref="S163" ca="1">OFFSET(INDIRECT("Sheet"&amp;P$2&amp;"!d1"),$G163-1,)</f>
        <v>24</v>
      </c>
      <c r="T163" cm="1">
        <f t="array" aca="1" ref="T163" ca="1">OFFSET(INDIRECT("Sheet"&amp;Q$2&amp;"!d1"),$G163-1,)</f>
        <v>25</v>
      </c>
      <c r="U163" cm="1">
        <f t="array" aca="1" ref="U163" ca="1">OFFSET(INDIRECT("Sheet"&amp;R$2&amp;"!d1"),$G163-1,)</f>
        <v>24</v>
      </c>
      <c r="V163" cm="1">
        <f t="array" aca="1" ref="V163" ca="1">OFFSET(INDIRECT("Sheet"&amp;S$2&amp;"!d1"),$G163-1,)</f>
        <v>24</v>
      </c>
      <c r="W163" cm="1">
        <f t="array" aca="1" ref="W163" ca="1">OFFSET(INDIRECT("Sheet"&amp;T$2&amp;"!d1"),$G163-1,)</f>
        <v>24</v>
      </c>
      <c r="X163" cm="1">
        <f t="array" aca="1" ref="X163" ca="1">OFFSET(INDIRECT("Sheet"&amp;U$2&amp;"!d1"),$G163-1,)</f>
        <v>24</v>
      </c>
      <c r="Y163" cm="1">
        <f t="array" aca="1" ref="Y163" ca="1">OFFSET(INDIRECT("Sheet"&amp;V$2&amp;"!d1"),$G163-1,)</f>
        <v>24</v>
      </c>
      <c r="Z163"/>
      <c r="AB163" s="3" cm="1">
        <f t="array" aca="1" ref="AB163" ca="1">OFFSET(INDIRECT("Sheet"&amp;E$2&amp;"!f1"),$G163-1,)</f>
        <v>0</v>
      </c>
      <c r="AC163" s="3" cm="1">
        <f t="array" aca="1" ref="AC163" ca="1">OFFSET(INDIRECT("Sheet"&amp;F$2&amp;"!f1"),$G163-1,)</f>
        <v>0</v>
      </c>
      <c r="AD163" s="3" cm="1">
        <f t="array" aca="1" ref="AD163" ca="1">OFFSET(INDIRECT("Sheet"&amp;G$2&amp;"!f1"),$G163-1,)</f>
        <v>0</v>
      </c>
      <c r="AE163" s="3" cm="1">
        <f t="array" aca="1" ref="AE163" ca="1">OFFSET(INDIRECT("Sheet"&amp;H$2&amp;"!f1"),$G163-1,)</f>
        <v>0</v>
      </c>
      <c r="AF163" s="3" cm="1">
        <f t="array" aca="1" ref="AF163" ca="1">OFFSET(INDIRECT("Sheet"&amp;I$2&amp;"!f1"),$G163-1,)</f>
        <v>0</v>
      </c>
      <c r="AG163" s="3" cm="1">
        <f t="array" aca="1" ref="AG163" ca="1">OFFSET(INDIRECT("Sheet"&amp;J$2&amp;"!f1"),$G163-1,)</f>
        <v>3.2552312863990598</v>
      </c>
      <c r="AH163" s="3" cm="1">
        <f t="array" aca="1" ref="AH163" ca="1">OFFSET(INDIRECT("Sheet"&amp;K$2&amp;"!f1"),$G163-1,)</f>
        <v>2.8564089249999798</v>
      </c>
      <c r="AI163" s="3" cm="1">
        <f t="array" aca="1" ref="AI163" ca="1">OFFSET(INDIRECT("Sheet"&amp;L$2&amp;"!f1"),$G163-1,)</f>
        <v>2.86395360599996</v>
      </c>
      <c r="AJ163" s="3" cm="1">
        <f t="array" aca="1" ref="AJ163" ca="1">OFFSET(INDIRECT("Sheet"&amp;M$2&amp;"!f1"),$G163-1,)</f>
        <v>3.9873968567699101</v>
      </c>
      <c r="AK163" s="3" cm="1">
        <f t="array" aca="1" ref="AK163" ca="1">OFFSET(INDIRECT("Sheet"&amp;C$2&amp;"!f1"),$G163-1,)</f>
        <v>0</v>
      </c>
      <c r="AL163" s="3" cm="1">
        <f t="array" aca="1" ref="AL163" ca="1">OFFSET(INDIRECT("Sheet"&amp;D$2&amp;"!f1"),$G163-1,)</f>
        <v>0</v>
      </c>
      <c r="AM163" s="3" cm="1">
        <f t="array" aca="1" ref="AM163" ca="1">OFFSET(INDIRECT("Sheet"&amp;N$2&amp;"!f1"),$G163-1,)</f>
        <v>15.809934296645199</v>
      </c>
      <c r="AN163" s="3" cm="1">
        <f t="array" aca="1" ref="AN163" ca="1">OFFSET(INDIRECT("Sheet"&amp;O$2&amp;"!f1"),$G163-1,)</f>
        <v>35.344079189933801</v>
      </c>
      <c r="AO163" s="3" cm="1">
        <f t="array" aca="1" ref="AO163" ca="1">OFFSET(INDIRECT("Sheet"&amp;P$2&amp;"!f1"),$G163-1,)</f>
        <v>41.977665660902801</v>
      </c>
      <c r="AP163" s="3" cm="1">
        <f t="array" aca="1" ref="AP163" ca="1">OFFSET(INDIRECT("Sheet"&amp;Q$2&amp;"!f1"),$G163-1,)</f>
        <v>11.448223536834099</v>
      </c>
      <c r="AQ163" s="3" cm="1">
        <f t="array" aca="1" ref="AQ163" ca="1">OFFSET(INDIRECT("Sheet"&amp;R$2&amp;"!f1"),$G163-1,)</f>
        <v>14.2115808185189</v>
      </c>
      <c r="AR163" s="3" cm="1">
        <f t="array" aca="1" ref="AR163" ca="1">OFFSET(INDIRECT("Sheet"&amp;S$2&amp;"!f1"),$G163-1,)</f>
        <v>38.6070628734305</v>
      </c>
      <c r="AS163" s="3" cm="1">
        <f t="array" aca="1" ref="AS163" ca="1">OFFSET(INDIRECT("Sheet"&amp;T$2&amp;"!f1"),$G163-1,)</f>
        <v>35.745533775538199</v>
      </c>
      <c r="AT163" s="3" cm="1">
        <f t="array" aca="1" ref="AT163" ca="1">OFFSET(INDIRECT("Sheet"&amp;U$2&amp;"!f1"),$G163-1,)</f>
        <v>41.448925143107701</v>
      </c>
      <c r="AU163" s="3" cm="1">
        <f t="array" aca="1" ref="AU163" ca="1">OFFSET(INDIRECT("Sheet"&amp;V$2&amp;"!f1"),$G163-1,)</f>
        <v>42.857985711656497</v>
      </c>
      <c r="AV163" s="3"/>
      <c r="AX163">
        <f ca="1">IF(H163=$F163,1,0)</f>
        <v>0</v>
      </c>
      <c r="AY163">
        <f ca="1">IF(I163=$F163,1,0)</f>
        <v>0</v>
      </c>
      <c r="AZ163">
        <f ca="1">IF(J163=$F163,1,0)</f>
        <v>0</v>
      </c>
      <c r="BA163">
        <f ca="1">IF(K163=$F163,1,0)</f>
        <v>0</v>
      </c>
      <c r="BB163">
        <f ca="1">IF(L163=$F163,1,0)</f>
        <v>0</v>
      </c>
      <c r="BC163">
        <f ca="1">IF(M163=$F163,1,0)</f>
        <v>0</v>
      </c>
      <c r="BD163">
        <f ca="1">IF(C163=$F163,1,0)</f>
        <v>1</v>
      </c>
      <c r="BE163">
        <f ca="1">IF(D163=$F163,1,0)</f>
        <v>0</v>
      </c>
      <c r="BF163">
        <f t="shared" ca="1" si="29"/>
        <v>1</v>
      </c>
      <c r="BG163">
        <f t="shared" ca="1" si="30"/>
        <v>0</v>
      </c>
      <c r="BH163">
        <f t="shared" ca="1" si="41"/>
        <v>0</v>
      </c>
      <c r="BI163">
        <f t="shared" ca="1" si="42"/>
        <v>1</v>
      </c>
      <c r="BJ163">
        <f t="shared" ca="1" si="44"/>
        <v>1</v>
      </c>
      <c r="BK163">
        <f t="shared" ca="1" si="44"/>
        <v>1</v>
      </c>
      <c r="BL163">
        <f t="shared" ca="1" si="44"/>
        <v>0</v>
      </c>
      <c r="BM163">
        <f t="shared" ca="1" si="34"/>
        <v>1</v>
      </c>
      <c r="BN163">
        <f t="shared" ca="1" si="35"/>
        <v>1</v>
      </c>
      <c r="BO163">
        <f t="shared" ca="1" si="36"/>
        <v>1</v>
      </c>
      <c r="BP163">
        <f t="shared" ca="1" si="37"/>
        <v>1</v>
      </c>
      <c r="BQ163">
        <f t="shared" ca="1" si="38"/>
        <v>1</v>
      </c>
    </row>
    <row r="164" spans="1:69" s="4" customFormat="1" x14ac:dyDescent="0.2">
      <c r="A164" t="str">
        <f>Sheet3!A148</f>
        <v>[[118,1,25]]</v>
      </c>
      <c r="B164" s="4">
        <v>118</v>
      </c>
      <c r="C164" cm="1">
        <f t="array" aca="1" ref="C164" ca="1">OFFSET(INDIRECT("Sheet"&amp;K$2&amp;"!d1"),$G164-1,)</f>
        <v>27</v>
      </c>
      <c r="D164" cm="1">
        <f t="array" aca="1" ref="D164" ca="1">OFFSET(INDIRECT("Sheet"&amp;L$2&amp;"!d1"),$G164-1,)</f>
        <v>25</v>
      </c>
      <c r="E164" s="4">
        <v>1</v>
      </c>
      <c r="F164" s="4">
        <v>25</v>
      </c>
      <c r="G164">
        <f t="shared" si="39"/>
        <v>148</v>
      </c>
      <c r="H164" cm="1">
        <f t="array" aca="1" ref="H164" ca="1">OFFSET(INDIRECT("Sheet"&amp;E$2&amp;"!d1"),$G164-1,)</f>
        <v>0</v>
      </c>
      <c r="I164" cm="1">
        <f t="array" aca="1" ref="I164" ca="1">OFFSET(INDIRECT("Sheet"&amp;F$2&amp;"!d1"),$G164-1,)</f>
        <v>0</v>
      </c>
      <c r="J164" cm="1">
        <f t="array" aca="1" ref="J164" ca="1">OFFSET(INDIRECT("Sheet"&amp;G$2&amp;"!d1"),$G164-1,)</f>
        <v>0</v>
      </c>
      <c r="K164" cm="1">
        <f t="array" aca="1" ref="K164" ca="1">OFFSET(INDIRECT("Sheet"&amp;H$2&amp;"!d1"),$G164-1,)</f>
        <v>0</v>
      </c>
      <c r="L164" cm="1">
        <f t="array" aca="1" ref="L164" ca="1">OFFSET(INDIRECT("Sheet"&amp;I$2&amp;"!d1"),$G164-1,)</f>
        <v>0</v>
      </c>
      <c r="M164" cm="1">
        <f t="array" aca="1" ref="M164" ca="1">OFFSET(INDIRECT("Sheet"&amp;J$2&amp;"!d1"),$G164-1,)</f>
        <v>25</v>
      </c>
      <c r="N164" cm="1">
        <f t="array" aca="1" ref="N164" ca="1">OFFSET(INDIRECT("Sheet"&amp;M$2&amp;"!d1"),$G164-1,)</f>
        <v>25</v>
      </c>
      <c r="O164" cm="1">
        <f t="array" aca="1" ref="O164" ca="1">OFFSET(INDIRECT("Sheet"&amp;C$2&amp;"!d1"),$G164-1,)</f>
        <v>0</v>
      </c>
      <c r="P164" cm="1">
        <f t="array" aca="1" ref="P164" ca="1">OFFSET(INDIRECT("Sheet"&amp;D$2&amp;"!d1"),$G164-1,)</f>
        <v>0</v>
      </c>
      <c r="Q164" cm="1">
        <f t="array" aca="1" ref="Q164" ca="1">OFFSET(INDIRECT("Sheet"&amp;N$2&amp;"!d1"),$G164-1,)</f>
        <v>25</v>
      </c>
      <c r="R164" cm="1">
        <f t="array" aca="1" ref="R164" ca="1">OFFSET(INDIRECT("Sheet"&amp;O$2&amp;"!d1"),$G164-1,)</f>
        <v>25</v>
      </c>
      <c r="S164" cm="1">
        <f t="array" aca="1" ref="S164" ca="1">OFFSET(INDIRECT("Sheet"&amp;P$2&amp;"!d1"),$G164-1,)</f>
        <v>25</v>
      </c>
      <c r="T164" cm="1">
        <f t="array" aca="1" ref="T164" ca="1">OFFSET(INDIRECT("Sheet"&amp;Q$2&amp;"!d1"),$G164-1,)</f>
        <v>27</v>
      </c>
      <c r="U164" cm="1">
        <f t="array" aca="1" ref="U164" ca="1">OFFSET(INDIRECT("Sheet"&amp;R$2&amp;"!d1"),$G164-1,)</f>
        <v>25</v>
      </c>
      <c r="V164" cm="1">
        <f t="array" aca="1" ref="V164" ca="1">OFFSET(INDIRECT("Sheet"&amp;S$2&amp;"!d1"),$G164-1,)</f>
        <v>25</v>
      </c>
      <c r="W164" cm="1">
        <f t="array" aca="1" ref="W164" ca="1">OFFSET(INDIRECT("Sheet"&amp;T$2&amp;"!d1"),$G164-1,)</f>
        <v>25</v>
      </c>
      <c r="X164" cm="1">
        <f t="array" aca="1" ref="X164" ca="1">OFFSET(INDIRECT("Sheet"&amp;U$2&amp;"!d1"),$G164-1,)</f>
        <v>25</v>
      </c>
      <c r="Y164" cm="1">
        <f t="array" aca="1" ref="Y164" ca="1">OFFSET(INDIRECT("Sheet"&amp;V$2&amp;"!d1"),$G164-1,)</f>
        <v>25</v>
      </c>
      <c r="Z164"/>
      <c r="AB164" s="3" cm="1">
        <f t="array" aca="1" ref="AB164" ca="1">OFFSET(INDIRECT("Sheet"&amp;E$2&amp;"!f1"),$G164-1,)</f>
        <v>0</v>
      </c>
      <c r="AC164" s="3" cm="1">
        <f t="array" aca="1" ref="AC164" ca="1">OFFSET(INDIRECT("Sheet"&amp;F$2&amp;"!f1"),$G164-1,)</f>
        <v>0</v>
      </c>
      <c r="AD164" s="3" cm="1">
        <f t="array" aca="1" ref="AD164" ca="1">OFFSET(INDIRECT("Sheet"&amp;G$2&amp;"!f1"),$G164-1,)</f>
        <v>0</v>
      </c>
      <c r="AE164" s="3" cm="1">
        <f t="array" aca="1" ref="AE164" ca="1">OFFSET(INDIRECT("Sheet"&amp;H$2&amp;"!f1"),$G164-1,)</f>
        <v>0</v>
      </c>
      <c r="AF164" s="3" cm="1">
        <f t="array" aca="1" ref="AF164" ca="1">OFFSET(INDIRECT("Sheet"&amp;I$2&amp;"!f1"),$G164-1,)</f>
        <v>0</v>
      </c>
      <c r="AG164" s="3" cm="1">
        <f t="array" aca="1" ref="AG164" ca="1">OFFSET(INDIRECT("Sheet"&amp;J$2&amp;"!f1"),$G164-1,)</f>
        <v>3.3676019888371198</v>
      </c>
      <c r="AH164" s="3" cm="1">
        <f t="array" aca="1" ref="AH164" ca="1">OFFSET(INDIRECT("Sheet"&amp;K$2&amp;"!f1"),$G164-1,)</f>
        <v>2.9384372080000301</v>
      </c>
      <c r="AI164" s="3" cm="1">
        <f t="array" aca="1" ref="AI164" ca="1">OFFSET(INDIRECT("Sheet"&amp;L$2&amp;"!f1"),$G164-1,)</f>
        <v>2.916726111</v>
      </c>
      <c r="AJ164" s="3" cm="1">
        <f t="array" aca="1" ref="AJ164" ca="1">OFFSET(INDIRECT("Sheet"&amp;M$2&amp;"!f1"),$G164-1,)</f>
        <v>4.0309192147105897</v>
      </c>
      <c r="AK164" s="3" cm="1">
        <f t="array" aca="1" ref="AK164" ca="1">OFFSET(INDIRECT("Sheet"&amp;C$2&amp;"!f1"),$G164-1,)</f>
        <v>0</v>
      </c>
      <c r="AL164" s="3" cm="1">
        <f t="array" aca="1" ref="AL164" ca="1">OFFSET(INDIRECT("Sheet"&amp;D$2&amp;"!f1"),$G164-1,)</f>
        <v>0</v>
      </c>
      <c r="AM164" s="3" cm="1">
        <f t="array" aca="1" ref="AM164" ca="1">OFFSET(INDIRECT("Sheet"&amp;N$2&amp;"!f1"),$G164-1,)</f>
        <v>15.3898469274863</v>
      </c>
      <c r="AN164" s="3" cm="1">
        <f t="array" aca="1" ref="AN164" ca="1">OFFSET(INDIRECT("Sheet"&amp;O$2&amp;"!f1"),$G164-1,)</f>
        <v>34.106117439456199</v>
      </c>
      <c r="AO164" s="3" cm="1">
        <f t="array" aca="1" ref="AO164" ca="1">OFFSET(INDIRECT("Sheet"&amp;P$2&amp;"!f1"),$G164-1,)</f>
        <v>40.530630861409001</v>
      </c>
      <c r="AP164" s="3" cm="1">
        <f t="array" aca="1" ref="AP164" ca="1">OFFSET(INDIRECT("Sheet"&amp;Q$2&amp;"!f1"),$G164-1,)</f>
        <v>11.008984076790499</v>
      </c>
      <c r="AQ164" s="3" cm="1">
        <f t="array" aca="1" ref="AQ164" ca="1">OFFSET(INDIRECT("Sheet"&amp;R$2&amp;"!f1"),$G164-1,)</f>
        <v>14.131954161450199</v>
      </c>
      <c r="AR164" s="3" cm="1">
        <f t="array" aca="1" ref="AR164" ca="1">OFFSET(INDIRECT("Sheet"&amp;S$2&amp;"!f1"),$G164-1,)</f>
        <v>39.113694815896402</v>
      </c>
      <c r="AS164" s="3" cm="1">
        <f t="array" aca="1" ref="AS164" ca="1">OFFSET(INDIRECT("Sheet"&amp;T$2&amp;"!f1"),$G164-1,)</f>
        <v>33.582470979541498</v>
      </c>
      <c r="AT164" s="3" cm="1">
        <f t="array" aca="1" ref="AT164" ca="1">OFFSET(INDIRECT("Sheet"&amp;U$2&amp;"!f1"),$G164-1,)</f>
        <v>39.6902611805126</v>
      </c>
      <c r="AU164" s="3" cm="1">
        <f t="array" aca="1" ref="AU164" ca="1">OFFSET(INDIRECT("Sheet"&amp;V$2&amp;"!f1"),$G164-1,)</f>
        <v>40.137499049305902</v>
      </c>
      <c r="AV164" s="3"/>
      <c r="AX164">
        <f ca="1">IF(H164=$F164,1,0)</f>
        <v>0</v>
      </c>
      <c r="AY164">
        <f ca="1">IF(I164=$F164,1,0)</f>
        <v>0</v>
      </c>
      <c r="AZ164">
        <f ca="1">IF(J164=$F164,1,0)</f>
        <v>0</v>
      </c>
      <c r="BA164">
        <f ca="1">IF(K164=$F164,1,0)</f>
        <v>0</v>
      </c>
      <c r="BB164">
        <f ca="1">IF(L164=$F164,1,0)</f>
        <v>0</v>
      </c>
      <c r="BC164">
        <f ca="1">IF(M164=$F164,1,0)</f>
        <v>1</v>
      </c>
      <c r="BD164">
        <f ca="1">IF(C164=$F164,1,0)</f>
        <v>0</v>
      </c>
      <c r="BE164">
        <f ca="1">IF(D164=$F164,1,0)</f>
        <v>1</v>
      </c>
      <c r="BF164">
        <f t="shared" ca="1" si="29"/>
        <v>1</v>
      </c>
      <c r="BG164">
        <f t="shared" ca="1" si="30"/>
        <v>0</v>
      </c>
      <c r="BH164">
        <f t="shared" ca="1" si="41"/>
        <v>0</v>
      </c>
      <c r="BI164">
        <f t="shared" ca="1" si="42"/>
        <v>1</v>
      </c>
      <c r="BJ164">
        <f t="shared" ca="1" si="44"/>
        <v>1</v>
      </c>
      <c r="BK164">
        <f t="shared" ca="1" si="44"/>
        <v>1</v>
      </c>
      <c r="BL164">
        <f t="shared" ca="1" si="44"/>
        <v>0</v>
      </c>
      <c r="BM164">
        <f t="shared" ca="1" si="34"/>
        <v>1</v>
      </c>
      <c r="BN164">
        <f t="shared" ca="1" si="35"/>
        <v>1</v>
      </c>
      <c r="BO164">
        <f t="shared" ca="1" si="36"/>
        <v>1</v>
      </c>
      <c r="BP164">
        <f t="shared" ca="1" si="37"/>
        <v>1</v>
      </c>
      <c r="BQ164">
        <f t="shared" ca="1" si="38"/>
        <v>1</v>
      </c>
    </row>
    <row r="165" spans="1:69" s="4" customFormat="1" x14ac:dyDescent="0.2">
      <c r="A165" t="str">
        <f>Sheet3!A149</f>
        <v>[[119,39,14]]</v>
      </c>
      <c r="B165" s="4">
        <v>119</v>
      </c>
      <c r="C165" cm="1">
        <f t="array" aca="1" ref="C165" ca="1">OFFSET(INDIRECT("Sheet"&amp;K$2&amp;"!d1"),$G165-1,)</f>
        <v>17</v>
      </c>
      <c r="D165" cm="1">
        <f t="array" aca="1" ref="D165" ca="1">OFFSET(INDIRECT("Sheet"&amp;L$2&amp;"!d1"),$G165-1,)</f>
        <v>17</v>
      </c>
      <c r="E165" s="4">
        <v>39</v>
      </c>
      <c r="F165" s="4">
        <v>14</v>
      </c>
      <c r="G165">
        <f t="shared" si="39"/>
        <v>149</v>
      </c>
      <c r="H165" cm="1">
        <f t="array" aca="1" ref="H165" ca="1">OFFSET(INDIRECT("Sheet"&amp;E$2&amp;"!d1"),$G165-1,)</f>
        <v>0</v>
      </c>
      <c r="I165" cm="1">
        <f t="array" aca="1" ref="I165" ca="1">OFFSET(INDIRECT("Sheet"&amp;F$2&amp;"!d1"),$G165-1,)</f>
        <v>0</v>
      </c>
      <c r="J165" cm="1">
        <f t="array" aca="1" ref="J165" ca="1">OFFSET(INDIRECT("Sheet"&amp;G$2&amp;"!d1"),$G165-1,)</f>
        <v>0</v>
      </c>
      <c r="K165" cm="1">
        <f t="array" aca="1" ref="K165" ca="1">OFFSET(INDIRECT("Sheet"&amp;H$2&amp;"!d1"),$G165-1,)</f>
        <v>0</v>
      </c>
      <c r="L165" cm="1">
        <f t="array" aca="1" ref="L165" ca="1">OFFSET(INDIRECT("Sheet"&amp;I$2&amp;"!d1"),$G165-1,)</f>
        <v>0</v>
      </c>
      <c r="M165" cm="1">
        <f t="array" aca="1" ref="M165" ca="1">OFFSET(INDIRECT("Sheet"&amp;J$2&amp;"!d1"),$G165-1,)</f>
        <v>18</v>
      </c>
      <c r="N165" cm="1">
        <f t="array" aca="1" ref="N165" ca="1">OFFSET(INDIRECT("Sheet"&amp;M$2&amp;"!d1"),$G165-1,)</f>
        <v>18</v>
      </c>
      <c r="O165" cm="1">
        <f t="array" aca="1" ref="O165" ca="1">OFFSET(INDIRECT("Sheet"&amp;C$2&amp;"!d1"),$G165-1,)</f>
        <v>0</v>
      </c>
      <c r="P165" cm="1">
        <f t="array" aca="1" ref="P165" ca="1">OFFSET(INDIRECT("Sheet"&amp;D$2&amp;"!d1"),$G165-1,)</f>
        <v>0</v>
      </c>
      <c r="Q165" cm="1">
        <f t="array" aca="1" ref="Q165" ca="1">OFFSET(INDIRECT("Sheet"&amp;N$2&amp;"!d1"),$G165-1,)</f>
        <v>16</v>
      </c>
      <c r="R165" cm="1">
        <f t="array" aca="1" ref="R165" ca="1">OFFSET(INDIRECT("Sheet"&amp;O$2&amp;"!d1"),$G165-1,)</f>
        <v>16</v>
      </c>
      <c r="S165" cm="1">
        <f t="array" aca="1" ref="S165" ca="1">OFFSET(INDIRECT("Sheet"&amp;P$2&amp;"!d1"),$G165-1,)</f>
        <v>16</v>
      </c>
      <c r="T165" cm="1">
        <f t="array" aca="1" ref="T165" ca="1">OFFSET(INDIRECT("Sheet"&amp;Q$2&amp;"!d1"),$G165-1,)</f>
        <v>17</v>
      </c>
      <c r="U165" cm="1">
        <f t="array" aca="1" ref="U165" ca="1">OFFSET(INDIRECT("Sheet"&amp;R$2&amp;"!d1"),$G165-1,)</f>
        <v>16</v>
      </c>
      <c r="V165" cm="1">
        <f t="array" aca="1" ref="V165" ca="1">OFFSET(INDIRECT("Sheet"&amp;S$2&amp;"!d1"),$G165-1,)</f>
        <v>18</v>
      </c>
      <c r="W165" cm="1">
        <f t="array" aca="1" ref="W165" ca="1">OFFSET(INDIRECT("Sheet"&amp;T$2&amp;"!d1"),$G165-1,)</f>
        <v>15</v>
      </c>
      <c r="X165" cm="1">
        <f t="array" aca="1" ref="X165" ca="1">OFFSET(INDIRECT("Sheet"&amp;U$2&amp;"!d1"),$G165-1,)</f>
        <v>18</v>
      </c>
      <c r="Y165" cm="1">
        <f t="array" aca="1" ref="Y165" ca="1">OFFSET(INDIRECT("Sheet"&amp;V$2&amp;"!d1"),$G165-1,)</f>
        <v>14</v>
      </c>
      <c r="Z165"/>
      <c r="AB165" s="3" cm="1">
        <f t="array" aca="1" ref="AB165" ca="1">OFFSET(INDIRECT("Sheet"&amp;E$2&amp;"!f1"),$G165-1,)</f>
        <v>0</v>
      </c>
      <c r="AC165" s="3" cm="1">
        <f t="array" aca="1" ref="AC165" ca="1">OFFSET(INDIRECT("Sheet"&amp;F$2&amp;"!f1"),$G165-1,)</f>
        <v>0</v>
      </c>
      <c r="AD165" s="3" cm="1">
        <f t="array" aca="1" ref="AD165" ca="1">OFFSET(INDIRECT("Sheet"&amp;G$2&amp;"!f1"),$G165-1,)</f>
        <v>0</v>
      </c>
      <c r="AE165" s="3" cm="1">
        <f t="array" aca="1" ref="AE165" ca="1">OFFSET(INDIRECT("Sheet"&amp;H$2&amp;"!f1"),$G165-1,)</f>
        <v>0</v>
      </c>
      <c r="AF165" s="3" cm="1">
        <f t="array" aca="1" ref="AF165" ca="1">OFFSET(INDIRECT("Sheet"&amp;I$2&amp;"!f1"),$G165-1,)</f>
        <v>0</v>
      </c>
      <c r="AG165" s="3" cm="1">
        <f t="array" aca="1" ref="AG165" ca="1">OFFSET(INDIRECT("Sheet"&amp;J$2&amp;"!f1"),$G165-1,)</f>
        <v>2.7891986072063402</v>
      </c>
      <c r="AH165" s="3" cm="1">
        <f t="array" aca="1" ref="AH165" ca="1">OFFSET(INDIRECT("Sheet"&amp;K$2&amp;"!f1"),$G165-1,)</f>
        <v>2.3967825349999998</v>
      </c>
      <c r="AI165" s="3" cm="1">
        <f t="array" aca="1" ref="AI165" ca="1">OFFSET(INDIRECT("Sheet"&amp;L$2&amp;"!f1"),$G165-1,)</f>
        <v>2.39739216700002</v>
      </c>
      <c r="AJ165" s="3" cm="1">
        <f t="array" aca="1" ref="AJ165" ca="1">OFFSET(INDIRECT("Sheet"&amp;M$2&amp;"!f1"),$G165-1,)</f>
        <v>4.6889650737866697</v>
      </c>
      <c r="AK165" s="3" cm="1">
        <f t="array" aca="1" ref="AK165" ca="1">OFFSET(INDIRECT("Sheet"&amp;C$2&amp;"!f1"),$G165-1,)</f>
        <v>0</v>
      </c>
      <c r="AL165" s="3" cm="1">
        <f t="array" aca="1" ref="AL165" ca="1">OFFSET(INDIRECT("Sheet"&amp;D$2&amp;"!f1"),$G165-1,)</f>
        <v>0</v>
      </c>
      <c r="AM165" s="3" cm="1">
        <f t="array" aca="1" ref="AM165" ca="1">OFFSET(INDIRECT("Sheet"&amp;N$2&amp;"!f1"),$G165-1,)</f>
        <v>56.123015972785602</v>
      </c>
      <c r="AN165" s="3" cm="1">
        <f t="array" aca="1" ref="AN165" ca="1">OFFSET(INDIRECT("Sheet"&amp;O$2&amp;"!f1"),$G165-1,)</f>
        <v>90.4587310627102</v>
      </c>
      <c r="AO165" s="3" cm="1">
        <f t="array" aca="1" ref="AO165" ca="1">OFFSET(INDIRECT("Sheet"&amp;P$2&amp;"!f1"),$G165-1,)</f>
        <v>182.19414319284201</v>
      </c>
      <c r="AP165" s="3" cm="1">
        <f t="array" aca="1" ref="AP165" ca="1">OFFSET(INDIRECT("Sheet"&amp;Q$2&amp;"!f1"),$G165-1,)</f>
        <v>42.125704216770799</v>
      </c>
      <c r="AQ165" s="3" cm="1">
        <f t="array" aca="1" ref="AQ165" ca="1">OFFSET(INDIRECT("Sheet"&amp;R$2&amp;"!f1"),$G165-1,)</f>
        <v>49.513224408030503</v>
      </c>
      <c r="AR165" s="3" cm="1">
        <f t="array" aca="1" ref="AR165" ca="1">OFFSET(INDIRECT("Sheet"&amp;S$2&amp;"!f1"),$G165-1,)</f>
        <v>82.116294632665799</v>
      </c>
      <c r="AS165" s="3" cm="1">
        <f t="array" aca="1" ref="AS165" ca="1">OFFSET(INDIRECT("Sheet"&amp;T$2&amp;"!f1"),$G165-1,)</f>
        <v>84.391613362357006</v>
      </c>
      <c r="AT165" s="3" cm="1">
        <f t="array" aca="1" ref="AT165" ca="1">OFFSET(INDIRECT("Sheet"&amp;U$2&amp;"!f1"),$G165-1,)</f>
        <v>155.113101872615</v>
      </c>
      <c r="AU165" s="3" cm="1">
        <f t="array" aca="1" ref="AU165" ca="1">OFFSET(INDIRECT("Sheet"&amp;V$2&amp;"!f1"),$G165-1,)</f>
        <v>164.86280266195499</v>
      </c>
      <c r="AV165" s="3"/>
      <c r="AX165">
        <f ca="1">IF(H165=$F165,1,0)</f>
        <v>0</v>
      </c>
      <c r="AY165">
        <f ca="1">IF(I165=$F165,1,0)</f>
        <v>0</v>
      </c>
      <c r="AZ165">
        <f ca="1">IF(J165=$F165,1,0)</f>
        <v>0</v>
      </c>
      <c r="BA165">
        <f ca="1">IF(K165=$F165,1,0)</f>
        <v>0</v>
      </c>
      <c r="BB165">
        <f ca="1">IF(L165=$F165,1,0)</f>
        <v>0</v>
      </c>
      <c r="BC165">
        <f ca="1">IF(M165=$F165,1,0)</f>
        <v>0</v>
      </c>
      <c r="BD165">
        <f ca="1">IF(C165=$F165,1,0)</f>
        <v>0</v>
      </c>
      <c r="BE165">
        <f ca="1">IF(D165=$F165,1,0)</f>
        <v>0</v>
      </c>
      <c r="BF165">
        <f t="shared" ca="1" si="29"/>
        <v>0</v>
      </c>
      <c r="BG165">
        <f t="shared" ca="1" si="30"/>
        <v>0</v>
      </c>
      <c r="BH165">
        <f t="shared" ca="1" si="41"/>
        <v>0</v>
      </c>
      <c r="BI165">
        <f t="shared" ca="1" si="42"/>
        <v>0</v>
      </c>
      <c r="BJ165">
        <f t="shared" ca="1" si="44"/>
        <v>0</v>
      </c>
      <c r="BK165">
        <f t="shared" ca="1" si="44"/>
        <v>0</v>
      </c>
      <c r="BL165">
        <f t="shared" ca="1" si="44"/>
        <v>0</v>
      </c>
      <c r="BM165">
        <f t="shared" ca="1" si="34"/>
        <v>0</v>
      </c>
      <c r="BN165">
        <f t="shared" ca="1" si="35"/>
        <v>0</v>
      </c>
      <c r="BO165">
        <f t="shared" ca="1" si="36"/>
        <v>0</v>
      </c>
      <c r="BP165">
        <f t="shared" ca="1" si="37"/>
        <v>0</v>
      </c>
      <c r="BQ165">
        <f t="shared" ca="1" si="38"/>
        <v>1</v>
      </c>
    </row>
    <row r="166" spans="1:69" s="4" customFormat="1" x14ac:dyDescent="0.2">
      <c r="A166" t="str">
        <f>Sheet3!A150</f>
        <v>[[120,40,14]]</v>
      </c>
      <c r="B166" s="4">
        <v>120</v>
      </c>
      <c r="C166" cm="1">
        <f t="array" aca="1" ref="C166" ca="1">OFFSET(INDIRECT("Sheet"&amp;K$2&amp;"!d1"),$G166-1,)</f>
        <v>17</v>
      </c>
      <c r="D166" cm="1">
        <f t="array" aca="1" ref="D166" ca="1">OFFSET(INDIRECT("Sheet"&amp;L$2&amp;"!d1"),$G166-1,)</f>
        <v>18</v>
      </c>
      <c r="E166" s="4">
        <v>40</v>
      </c>
      <c r="F166" s="4">
        <v>14</v>
      </c>
      <c r="G166">
        <f t="shared" si="39"/>
        <v>150</v>
      </c>
      <c r="H166" cm="1">
        <f t="array" aca="1" ref="H166" ca="1">OFFSET(INDIRECT("Sheet"&amp;E$2&amp;"!d1"),$G166-1,)</f>
        <v>0</v>
      </c>
      <c r="I166" cm="1">
        <f t="array" aca="1" ref="I166" ca="1">OFFSET(INDIRECT("Sheet"&amp;F$2&amp;"!d1"),$G166-1,)</f>
        <v>0</v>
      </c>
      <c r="J166" cm="1">
        <f t="array" aca="1" ref="J166" ca="1">OFFSET(INDIRECT("Sheet"&amp;G$2&amp;"!d1"),$G166-1,)</f>
        <v>0</v>
      </c>
      <c r="K166" cm="1">
        <f t="array" aca="1" ref="K166" ca="1">OFFSET(INDIRECT("Sheet"&amp;H$2&amp;"!d1"),$G166-1,)</f>
        <v>0</v>
      </c>
      <c r="L166" cm="1">
        <f t="array" aca="1" ref="L166" ca="1">OFFSET(INDIRECT("Sheet"&amp;I$2&amp;"!d1"),$G166-1,)</f>
        <v>0</v>
      </c>
      <c r="M166" cm="1">
        <f t="array" aca="1" ref="M166" ca="1">OFFSET(INDIRECT("Sheet"&amp;J$2&amp;"!d1"),$G166-1,)</f>
        <v>14</v>
      </c>
      <c r="N166" cm="1">
        <f t="array" aca="1" ref="N166" ca="1">OFFSET(INDIRECT("Sheet"&amp;M$2&amp;"!d1"),$G166-1,)</f>
        <v>19</v>
      </c>
      <c r="O166" cm="1">
        <f t="array" aca="1" ref="O166" ca="1">OFFSET(INDIRECT("Sheet"&amp;C$2&amp;"!d1"),$G166-1,)</f>
        <v>0</v>
      </c>
      <c r="P166" cm="1">
        <f t="array" aca="1" ref="P166" ca="1">OFFSET(INDIRECT("Sheet"&amp;D$2&amp;"!d1"),$G166-1,)</f>
        <v>0</v>
      </c>
      <c r="Q166" cm="1">
        <f t="array" aca="1" ref="Q166" ca="1">OFFSET(INDIRECT("Sheet"&amp;N$2&amp;"!d1"),$G166-1,)</f>
        <v>16</v>
      </c>
      <c r="R166" cm="1">
        <f t="array" aca="1" ref="R166" ca="1">OFFSET(INDIRECT("Sheet"&amp;O$2&amp;"!d1"),$G166-1,)</f>
        <v>16</v>
      </c>
      <c r="S166" cm="1">
        <f t="array" aca="1" ref="S166" ca="1">OFFSET(INDIRECT("Sheet"&amp;P$2&amp;"!d1"),$G166-1,)</f>
        <v>16</v>
      </c>
      <c r="T166" cm="1">
        <f t="array" aca="1" ref="T166" ca="1">OFFSET(INDIRECT("Sheet"&amp;Q$2&amp;"!d1"),$G166-1,)</f>
        <v>14</v>
      </c>
      <c r="U166" cm="1">
        <f t="array" aca="1" ref="U166" ca="1">OFFSET(INDIRECT("Sheet"&amp;R$2&amp;"!d1"),$G166-1,)</f>
        <v>14</v>
      </c>
      <c r="V166" cm="1">
        <f t="array" aca="1" ref="V166" ca="1">OFFSET(INDIRECT("Sheet"&amp;S$2&amp;"!d1"),$G166-1,)</f>
        <v>18</v>
      </c>
      <c r="W166" cm="1">
        <f t="array" aca="1" ref="W166" ca="1">OFFSET(INDIRECT("Sheet"&amp;T$2&amp;"!d1"),$G166-1,)</f>
        <v>14</v>
      </c>
      <c r="X166" cm="1">
        <f t="array" aca="1" ref="X166" ca="1">OFFSET(INDIRECT("Sheet"&amp;U$2&amp;"!d1"),$G166-1,)</f>
        <v>16</v>
      </c>
      <c r="Y166" cm="1">
        <f t="array" aca="1" ref="Y166" ca="1">OFFSET(INDIRECT("Sheet"&amp;V$2&amp;"!d1"),$G166-1,)</f>
        <v>14</v>
      </c>
      <c r="Z166"/>
      <c r="AB166" s="3" cm="1">
        <f t="array" aca="1" ref="AB166" ca="1">OFFSET(INDIRECT("Sheet"&amp;E$2&amp;"!f1"),$G166-1,)</f>
        <v>0</v>
      </c>
      <c r="AC166" s="3" cm="1">
        <f t="array" aca="1" ref="AC166" ca="1">OFFSET(INDIRECT("Sheet"&amp;F$2&amp;"!f1"),$G166-1,)</f>
        <v>0</v>
      </c>
      <c r="AD166" s="3" cm="1">
        <f t="array" aca="1" ref="AD166" ca="1">OFFSET(INDIRECT("Sheet"&amp;G$2&amp;"!f1"),$G166-1,)</f>
        <v>0</v>
      </c>
      <c r="AE166" s="3" cm="1">
        <f t="array" aca="1" ref="AE166" ca="1">OFFSET(INDIRECT("Sheet"&amp;H$2&amp;"!f1"),$G166-1,)</f>
        <v>0</v>
      </c>
      <c r="AF166" s="3" cm="1">
        <f t="array" aca="1" ref="AF166" ca="1">OFFSET(INDIRECT("Sheet"&amp;I$2&amp;"!f1"),$G166-1,)</f>
        <v>0</v>
      </c>
      <c r="AG166" s="3" cm="1">
        <f t="array" aca="1" ref="AG166" ca="1">OFFSET(INDIRECT("Sheet"&amp;J$2&amp;"!f1"),$G166-1,)</f>
        <v>2.7253988077864002</v>
      </c>
      <c r="AH166" s="3" cm="1">
        <f t="array" aca="1" ref="AH166" ca="1">OFFSET(INDIRECT("Sheet"&amp;K$2&amp;"!f1"),$G166-1,)</f>
        <v>2.4181199089999801</v>
      </c>
      <c r="AI166" s="3" cm="1">
        <f t="array" aca="1" ref="AI166" ca="1">OFFSET(INDIRECT("Sheet"&amp;L$2&amp;"!f1"),$G166-1,)</f>
        <v>2.4267747649999998</v>
      </c>
      <c r="AJ166" s="3" cm="1">
        <f t="array" aca="1" ref="AJ166" ca="1">OFFSET(INDIRECT("Sheet"&amp;M$2&amp;"!f1"),$G166-1,)</f>
        <v>4.7524450905620998</v>
      </c>
      <c r="AK166" s="3" cm="1">
        <f t="array" aca="1" ref="AK166" ca="1">OFFSET(INDIRECT("Sheet"&amp;C$2&amp;"!f1"),$G166-1,)</f>
        <v>0</v>
      </c>
      <c r="AL166" s="3" cm="1">
        <f t="array" aca="1" ref="AL166" ca="1">OFFSET(INDIRECT("Sheet"&amp;D$2&amp;"!f1"),$G166-1,)</f>
        <v>0</v>
      </c>
      <c r="AM166" s="3" cm="1">
        <f t="array" aca="1" ref="AM166" ca="1">OFFSET(INDIRECT("Sheet"&amp;N$2&amp;"!f1"),$G166-1,)</f>
        <v>58.454668593592899</v>
      </c>
      <c r="AN166" s="3" cm="1">
        <f t="array" aca="1" ref="AN166" ca="1">OFFSET(INDIRECT("Sheet"&amp;O$2&amp;"!f1"),$G166-1,)</f>
        <v>93.558989479206502</v>
      </c>
      <c r="AO166" s="3" cm="1">
        <f t="array" aca="1" ref="AO166" ca="1">OFFSET(INDIRECT("Sheet"&amp;P$2&amp;"!f1"),$G166-1,)</f>
        <v>183.903796372003</v>
      </c>
      <c r="AP166" s="3" cm="1">
        <f t="array" aca="1" ref="AP166" ca="1">OFFSET(INDIRECT("Sheet"&amp;Q$2&amp;"!f1"),$G166-1,)</f>
        <v>44.430464079603503</v>
      </c>
      <c r="AQ166" s="3" cm="1">
        <f t="array" aca="1" ref="AQ166" ca="1">OFFSET(INDIRECT("Sheet"&amp;R$2&amp;"!f1"),$G166-1,)</f>
        <v>51.465372649952698</v>
      </c>
      <c r="AR166" s="3" cm="1">
        <f t="array" aca="1" ref="AR166" ca="1">OFFSET(INDIRECT("Sheet"&amp;S$2&amp;"!f1"),$G166-1,)</f>
        <v>85.196812337264404</v>
      </c>
      <c r="AS166" s="3" cm="1">
        <f t="array" aca="1" ref="AS166" ca="1">OFFSET(INDIRECT("Sheet"&amp;T$2&amp;"!f1"),$G166-1,)</f>
        <v>87.589469633996401</v>
      </c>
      <c r="AT166" s="3" cm="1">
        <f t="array" aca="1" ref="AT166" ca="1">OFFSET(INDIRECT("Sheet"&amp;U$2&amp;"!f1"),$G166-1,)</f>
        <v>159.72101758047901</v>
      </c>
      <c r="AU166" s="3" cm="1">
        <f t="array" aca="1" ref="AU166" ca="1">OFFSET(INDIRECT("Sheet"&amp;V$2&amp;"!f1"),$G166-1,)</f>
        <v>169.65800623036901</v>
      </c>
      <c r="AV166" s="3"/>
      <c r="AX166">
        <f ca="1">IF(H166=$F166,1,0)</f>
        <v>0</v>
      </c>
      <c r="AY166">
        <f ca="1">IF(I166=$F166,1,0)</f>
        <v>0</v>
      </c>
      <c r="AZ166">
        <f ca="1">IF(J166=$F166,1,0)</f>
        <v>0</v>
      </c>
      <c r="BA166">
        <f ca="1">IF(K166=$F166,1,0)</f>
        <v>0</v>
      </c>
      <c r="BB166">
        <f ca="1">IF(L166=$F166,1,0)</f>
        <v>0</v>
      </c>
      <c r="BC166">
        <f ca="1">IF(M166=$F166,1,0)</f>
        <v>1</v>
      </c>
      <c r="BD166">
        <f ca="1">IF(C166=$F166,1,0)</f>
        <v>0</v>
      </c>
      <c r="BE166">
        <f ca="1">IF(D166=$F166,1,0)</f>
        <v>0</v>
      </c>
      <c r="BF166">
        <f t="shared" ca="1" si="29"/>
        <v>0</v>
      </c>
      <c r="BG166">
        <f t="shared" ca="1" si="30"/>
        <v>0</v>
      </c>
      <c r="BH166">
        <f t="shared" ca="1" si="41"/>
        <v>0</v>
      </c>
      <c r="BI166">
        <f t="shared" ca="1" si="42"/>
        <v>0</v>
      </c>
      <c r="BJ166">
        <f t="shared" ca="1" si="44"/>
        <v>0</v>
      </c>
      <c r="BK166">
        <f t="shared" ca="1" si="44"/>
        <v>0</v>
      </c>
      <c r="BL166">
        <f t="shared" ca="1" si="44"/>
        <v>1</v>
      </c>
      <c r="BM166">
        <f t="shared" ca="1" si="34"/>
        <v>1</v>
      </c>
      <c r="BN166">
        <f t="shared" ca="1" si="35"/>
        <v>0</v>
      </c>
      <c r="BO166">
        <f t="shared" ca="1" si="36"/>
        <v>1</v>
      </c>
      <c r="BP166">
        <f t="shared" ca="1" si="37"/>
        <v>0</v>
      </c>
      <c r="BQ166">
        <f t="shared" ca="1" si="38"/>
        <v>1</v>
      </c>
    </row>
    <row r="167" spans="1:69" s="4" customFormat="1" x14ac:dyDescent="0.2">
      <c r="A167" t="str">
        <f>Sheet3!A151</f>
        <v>[[121,36,15]]</v>
      </c>
      <c r="B167" s="4">
        <v>121</v>
      </c>
      <c r="C167" cm="1">
        <f t="array" aca="1" ref="C167" ca="1">OFFSET(INDIRECT("Sheet"&amp;K$2&amp;"!d1"),$G167-1,)</f>
        <v>20</v>
      </c>
      <c r="D167" cm="1">
        <f t="array" aca="1" ref="D167" ca="1">OFFSET(INDIRECT("Sheet"&amp;L$2&amp;"!d1"),$G167-1,)</f>
        <v>19</v>
      </c>
      <c r="E167" s="4">
        <v>36</v>
      </c>
      <c r="F167" s="4">
        <v>16</v>
      </c>
      <c r="G167">
        <f t="shared" si="39"/>
        <v>151</v>
      </c>
      <c r="H167" cm="1">
        <f t="array" aca="1" ref="H167" ca="1">OFFSET(INDIRECT("Sheet"&amp;E$2&amp;"!d1"),$G167-1,)</f>
        <v>0</v>
      </c>
      <c r="I167" cm="1">
        <f t="array" aca="1" ref="I167" ca="1">OFFSET(INDIRECT("Sheet"&amp;F$2&amp;"!d1"),$G167-1,)</f>
        <v>0</v>
      </c>
      <c r="J167" cm="1">
        <f t="array" aca="1" ref="J167" ca="1">OFFSET(INDIRECT("Sheet"&amp;G$2&amp;"!d1"),$G167-1,)</f>
        <v>0</v>
      </c>
      <c r="K167" cm="1">
        <f t="array" aca="1" ref="K167" ca="1">OFFSET(INDIRECT("Sheet"&amp;H$2&amp;"!d1"),$G167-1,)</f>
        <v>0</v>
      </c>
      <c r="L167" cm="1">
        <f t="array" aca="1" ref="L167" ca="1">OFFSET(INDIRECT("Sheet"&amp;I$2&amp;"!d1"),$G167-1,)</f>
        <v>0</v>
      </c>
      <c r="M167" cm="1">
        <f t="array" aca="1" ref="M167" ca="1">OFFSET(INDIRECT("Sheet"&amp;J$2&amp;"!d1"),$G167-1,)</f>
        <v>19</v>
      </c>
      <c r="N167" cm="1">
        <f t="array" aca="1" ref="N167" ca="1">OFFSET(INDIRECT("Sheet"&amp;M$2&amp;"!d1"),$G167-1,)</f>
        <v>19</v>
      </c>
      <c r="O167" cm="1">
        <f t="array" aca="1" ref="O167" ca="1">OFFSET(INDIRECT("Sheet"&amp;C$2&amp;"!d1"),$G167-1,)</f>
        <v>0</v>
      </c>
      <c r="P167" cm="1">
        <f t="array" aca="1" ref="P167" ca="1">OFFSET(INDIRECT("Sheet"&amp;D$2&amp;"!d1"),$G167-1,)</f>
        <v>0</v>
      </c>
      <c r="Q167" cm="1">
        <f t="array" aca="1" ref="Q167" ca="1">OFFSET(INDIRECT("Sheet"&amp;N$2&amp;"!d1"),$G167-1,)</f>
        <v>18</v>
      </c>
      <c r="R167" cm="1">
        <f t="array" aca="1" ref="R167" ca="1">OFFSET(INDIRECT("Sheet"&amp;O$2&amp;"!d1"),$G167-1,)</f>
        <v>18</v>
      </c>
      <c r="S167" cm="1">
        <f t="array" aca="1" ref="S167" ca="1">OFFSET(INDIRECT("Sheet"&amp;P$2&amp;"!d1"),$G167-1,)</f>
        <v>16</v>
      </c>
      <c r="T167" cm="1">
        <f t="array" aca="1" ref="T167" ca="1">OFFSET(INDIRECT("Sheet"&amp;Q$2&amp;"!d1"),$G167-1,)</f>
        <v>18</v>
      </c>
      <c r="U167" cm="1">
        <f t="array" aca="1" ref="U167" ca="1">OFFSET(INDIRECT("Sheet"&amp;R$2&amp;"!d1"),$G167-1,)</f>
        <v>18</v>
      </c>
      <c r="V167" cm="1">
        <f t="array" aca="1" ref="V167" ca="1">OFFSET(INDIRECT("Sheet"&amp;S$2&amp;"!d1"),$G167-1,)</f>
        <v>18</v>
      </c>
      <c r="W167" cm="1">
        <f t="array" aca="1" ref="W167" ca="1">OFFSET(INDIRECT("Sheet"&amp;T$2&amp;"!d1"),$G167-1,)</f>
        <v>18</v>
      </c>
      <c r="X167" cm="1">
        <f t="array" aca="1" ref="X167" ca="1">OFFSET(INDIRECT("Sheet"&amp;U$2&amp;"!d1"),$G167-1,)</f>
        <v>17</v>
      </c>
      <c r="Y167" cm="1">
        <f t="array" aca="1" ref="Y167" ca="1">OFFSET(INDIRECT("Sheet"&amp;V$2&amp;"!d1"),$G167-1,)</f>
        <v>18</v>
      </c>
      <c r="Z167"/>
      <c r="AB167" s="3" cm="1">
        <f t="array" aca="1" ref="AB167" ca="1">OFFSET(INDIRECT("Sheet"&amp;E$2&amp;"!f1"),$G167-1,)</f>
        <v>0</v>
      </c>
      <c r="AC167" s="3" cm="1">
        <f t="array" aca="1" ref="AC167" ca="1">OFFSET(INDIRECT("Sheet"&amp;F$2&amp;"!f1"),$G167-1,)</f>
        <v>0</v>
      </c>
      <c r="AD167" s="3" cm="1">
        <f t="array" aca="1" ref="AD167" ca="1">OFFSET(INDIRECT("Sheet"&amp;G$2&amp;"!f1"),$G167-1,)</f>
        <v>0</v>
      </c>
      <c r="AE167" s="3" cm="1">
        <f t="array" aca="1" ref="AE167" ca="1">OFFSET(INDIRECT("Sheet"&amp;H$2&amp;"!f1"),$G167-1,)</f>
        <v>0</v>
      </c>
      <c r="AF167" s="3" cm="1">
        <f t="array" aca="1" ref="AF167" ca="1">OFFSET(INDIRECT("Sheet"&amp;I$2&amp;"!f1"),$G167-1,)</f>
        <v>0</v>
      </c>
      <c r="AG167" s="3" cm="1">
        <f t="array" aca="1" ref="AG167" ca="1">OFFSET(INDIRECT("Sheet"&amp;J$2&amp;"!f1"),$G167-1,)</f>
        <v>2.9450709149241399</v>
      </c>
      <c r="AH167" s="3" cm="1">
        <f t="array" aca="1" ref="AH167" ca="1">OFFSET(INDIRECT("Sheet"&amp;K$2&amp;"!f1"),$G167-1,)</f>
        <v>2.59903416100002</v>
      </c>
      <c r="AI167" s="3" cm="1">
        <f t="array" aca="1" ref="AI167" ca="1">OFFSET(INDIRECT("Sheet"&amp;L$2&amp;"!f1"),$G167-1,)</f>
        <v>2.595181867</v>
      </c>
      <c r="AJ167" s="3" cm="1">
        <f t="array" aca="1" ref="AJ167" ca="1">OFFSET(INDIRECT("Sheet"&amp;M$2&amp;"!f1"),$G167-1,)</f>
        <v>5.0151764675974801</v>
      </c>
      <c r="AK167" s="3" cm="1">
        <f t="array" aca="1" ref="AK167" ca="1">OFFSET(INDIRECT("Sheet"&amp;C$2&amp;"!f1"),$G167-1,)</f>
        <v>0</v>
      </c>
      <c r="AL167" s="3" cm="1">
        <f t="array" aca="1" ref="AL167" ca="1">OFFSET(INDIRECT("Sheet"&amp;D$2&amp;"!f1"),$G167-1,)</f>
        <v>0</v>
      </c>
      <c r="AM167" s="3" cm="1">
        <f t="array" aca="1" ref="AM167" ca="1">OFFSET(INDIRECT("Sheet"&amp;N$2&amp;"!f1"),$G167-1,)</f>
        <v>54.1001713043078</v>
      </c>
      <c r="AN167" s="3" cm="1">
        <f t="array" aca="1" ref="AN167" ca="1">OFFSET(INDIRECT("Sheet"&amp;O$2&amp;"!f1"),$G167-1,)</f>
        <v>88.739538758993106</v>
      </c>
      <c r="AO167" s="3" cm="1">
        <f t="array" aca="1" ref="AO167" ca="1">OFFSET(INDIRECT("Sheet"&amp;P$2&amp;"!f1"),$G167-1,)</f>
        <v>160.02352359332099</v>
      </c>
      <c r="AP167" s="3" cm="1">
        <f t="array" aca="1" ref="AP167" ca="1">OFFSET(INDIRECT("Sheet"&amp;Q$2&amp;"!f1"),$G167-1,)</f>
        <v>46.052085663191903</v>
      </c>
      <c r="AQ167" s="3" cm="1">
        <f t="array" aca="1" ref="AQ167" ca="1">OFFSET(INDIRECT("Sheet"&amp;R$2&amp;"!f1"),$G167-1,)</f>
        <v>47.970930710434899</v>
      </c>
      <c r="AR167" s="3" cm="1">
        <f t="array" aca="1" ref="AR167" ca="1">OFFSET(INDIRECT("Sheet"&amp;S$2&amp;"!f1"),$G167-1,)</f>
        <v>81.469203522428799</v>
      </c>
      <c r="AS167" s="3" cm="1">
        <f t="array" aca="1" ref="AS167" ca="1">OFFSET(INDIRECT("Sheet"&amp;T$2&amp;"!f1"),$G167-1,)</f>
        <v>81.537516126409102</v>
      </c>
      <c r="AT167" s="3" cm="1">
        <f t="array" aca="1" ref="AT167" ca="1">OFFSET(INDIRECT("Sheet"&amp;U$2&amp;"!f1"),$G167-1,)</f>
        <v>151.677466407418</v>
      </c>
      <c r="AU167" s="3" cm="1">
        <f t="array" aca="1" ref="AU167" ca="1">OFFSET(INDIRECT("Sheet"&amp;V$2&amp;"!f1"),$G167-1,)</f>
        <v>158.052360201254</v>
      </c>
      <c r="AV167" s="3"/>
      <c r="AX167">
        <f ca="1">IF(H167=$F167,1,0)</f>
        <v>0</v>
      </c>
      <c r="AY167">
        <f ca="1">IF(I167=$F167,1,0)</f>
        <v>0</v>
      </c>
      <c r="AZ167">
        <f ca="1">IF(J167=$F167,1,0)</f>
        <v>0</v>
      </c>
      <c r="BA167">
        <f ca="1">IF(K167=$F167,1,0)</f>
        <v>0</v>
      </c>
      <c r="BB167">
        <f ca="1">IF(L167=$F167,1,0)</f>
        <v>0</v>
      </c>
      <c r="BC167">
        <f ca="1">IF(M167=$F167,1,0)</f>
        <v>0</v>
      </c>
      <c r="BD167">
        <f ca="1">IF(C167=$F167,1,0)</f>
        <v>0</v>
      </c>
      <c r="BE167">
        <f ca="1">IF(D167=$F167,1,0)</f>
        <v>0</v>
      </c>
      <c r="BF167">
        <f t="shared" ca="1" si="29"/>
        <v>0</v>
      </c>
      <c r="BG167">
        <f t="shared" ca="1" si="30"/>
        <v>0</v>
      </c>
      <c r="BH167">
        <f t="shared" ca="1" si="41"/>
        <v>0</v>
      </c>
      <c r="BI167">
        <f t="shared" ca="1" si="42"/>
        <v>0</v>
      </c>
      <c r="BJ167">
        <f t="shared" ca="1" si="44"/>
        <v>0</v>
      </c>
      <c r="BK167">
        <f t="shared" ca="1" si="44"/>
        <v>1</v>
      </c>
      <c r="BL167">
        <f t="shared" ca="1" si="44"/>
        <v>0</v>
      </c>
      <c r="BM167">
        <f t="shared" ca="1" si="34"/>
        <v>0</v>
      </c>
      <c r="BN167">
        <f t="shared" ca="1" si="35"/>
        <v>0</v>
      </c>
      <c r="BO167">
        <f t="shared" ca="1" si="36"/>
        <v>0</v>
      </c>
      <c r="BP167">
        <f t="shared" ca="1" si="37"/>
        <v>0</v>
      </c>
      <c r="BQ167">
        <f t="shared" ca="1" si="38"/>
        <v>0</v>
      </c>
    </row>
    <row r="168" spans="1:69" s="4" customFormat="1" x14ac:dyDescent="0.2">
      <c r="A168" t="str">
        <f>Sheet3!A152</f>
        <v>[[122,37,15]]</v>
      </c>
      <c r="B168" s="4">
        <v>122</v>
      </c>
      <c r="C168" cm="1">
        <f t="array" aca="1" ref="C168" ca="1">OFFSET(INDIRECT("Sheet"&amp;K$2&amp;"!d1"),$G168-1,)</f>
        <v>16</v>
      </c>
      <c r="D168" cm="1">
        <f t="array" aca="1" ref="D168" ca="1">OFFSET(INDIRECT("Sheet"&amp;L$2&amp;"!d1"),$G168-1,)</f>
        <v>18</v>
      </c>
      <c r="E168" s="4">
        <v>37</v>
      </c>
      <c r="F168" s="4">
        <v>16</v>
      </c>
      <c r="G168">
        <f t="shared" si="39"/>
        <v>152</v>
      </c>
      <c r="H168" cm="1">
        <f t="array" aca="1" ref="H168" ca="1">OFFSET(INDIRECT("Sheet"&amp;E$2&amp;"!d1"),$G168-1,)</f>
        <v>0</v>
      </c>
      <c r="I168" cm="1">
        <f t="array" aca="1" ref="I168" ca="1">OFFSET(INDIRECT("Sheet"&amp;F$2&amp;"!d1"),$G168-1,)</f>
        <v>0</v>
      </c>
      <c r="J168" cm="1">
        <f t="array" aca="1" ref="J168" ca="1">OFFSET(INDIRECT("Sheet"&amp;G$2&amp;"!d1"),$G168-1,)</f>
        <v>0</v>
      </c>
      <c r="K168" cm="1">
        <f t="array" aca="1" ref="K168" ca="1">OFFSET(INDIRECT("Sheet"&amp;H$2&amp;"!d1"),$G168-1,)</f>
        <v>0</v>
      </c>
      <c r="L168" cm="1">
        <f t="array" aca="1" ref="L168" ca="1">OFFSET(INDIRECT("Sheet"&amp;I$2&amp;"!d1"),$G168-1,)</f>
        <v>0</v>
      </c>
      <c r="M168" cm="1">
        <f t="array" aca="1" ref="M168" ca="1">OFFSET(INDIRECT("Sheet"&amp;J$2&amp;"!d1"),$G168-1,)</f>
        <v>19</v>
      </c>
      <c r="N168" cm="1">
        <f t="array" aca="1" ref="N168" ca="1">OFFSET(INDIRECT("Sheet"&amp;M$2&amp;"!d1"),$G168-1,)</f>
        <v>18</v>
      </c>
      <c r="O168" cm="1">
        <f t="array" aca="1" ref="O168" ca="1">OFFSET(INDIRECT("Sheet"&amp;C$2&amp;"!d1"),$G168-1,)</f>
        <v>0</v>
      </c>
      <c r="P168" cm="1">
        <f t="array" aca="1" ref="P168" ca="1">OFFSET(INDIRECT("Sheet"&amp;D$2&amp;"!d1"),$G168-1,)</f>
        <v>0</v>
      </c>
      <c r="Q168" cm="1">
        <f t="array" aca="1" ref="Q168" ca="1">OFFSET(INDIRECT("Sheet"&amp;N$2&amp;"!d1"),$G168-1,)</f>
        <v>16</v>
      </c>
      <c r="R168" cm="1">
        <f t="array" aca="1" ref="R168" ca="1">OFFSET(INDIRECT("Sheet"&amp;O$2&amp;"!d1"),$G168-1,)</f>
        <v>18</v>
      </c>
      <c r="S168" cm="1">
        <f t="array" aca="1" ref="S168" ca="1">OFFSET(INDIRECT("Sheet"&amp;P$2&amp;"!d1"),$G168-1,)</f>
        <v>16</v>
      </c>
      <c r="T168" cm="1">
        <f t="array" aca="1" ref="T168" ca="1">OFFSET(INDIRECT("Sheet"&amp;Q$2&amp;"!d1"),$G168-1,)</f>
        <v>18</v>
      </c>
      <c r="U168" cm="1">
        <f t="array" aca="1" ref="U168" ca="1">OFFSET(INDIRECT("Sheet"&amp;R$2&amp;"!d1"),$G168-1,)</f>
        <v>17</v>
      </c>
      <c r="V168" cm="1">
        <f t="array" aca="1" ref="V168" ca="1">OFFSET(INDIRECT("Sheet"&amp;S$2&amp;"!d1"),$G168-1,)</f>
        <v>18</v>
      </c>
      <c r="W168" cm="1">
        <f t="array" aca="1" ref="W168" ca="1">OFFSET(INDIRECT("Sheet"&amp;T$2&amp;"!d1"),$G168-1,)</f>
        <v>15</v>
      </c>
      <c r="X168" cm="1">
        <f t="array" aca="1" ref="X168" ca="1">OFFSET(INDIRECT("Sheet"&amp;U$2&amp;"!d1"),$G168-1,)</f>
        <v>19</v>
      </c>
      <c r="Y168" cm="1">
        <f t="array" aca="1" ref="Y168" ca="1">OFFSET(INDIRECT("Sheet"&amp;V$2&amp;"!d1"),$G168-1,)</f>
        <v>16</v>
      </c>
      <c r="Z168"/>
      <c r="AB168" s="3" cm="1">
        <f t="array" aca="1" ref="AB168" ca="1">OFFSET(INDIRECT("Sheet"&amp;E$2&amp;"!f1"),$G168-1,)</f>
        <v>0</v>
      </c>
      <c r="AC168" s="3" cm="1">
        <f t="array" aca="1" ref="AC168" ca="1">OFFSET(INDIRECT("Sheet"&amp;F$2&amp;"!f1"),$G168-1,)</f>
        <v>0</v>
      </c>
      <c r="AD168" s="3" cm="1">
        <f t="array" aca="1" ref="AD168" ca="1">OFFSET(INDIRECT("Sheet"&amp;G$2&amp;"!f1"),$G168-1,)</f>
        <v>0</v>
      </c>
      <c r="AE168" s="3" cm="1">
        <f t="array" aca="1" ref="AE168" ca="1">OFFSET(INDIRECT("Sheet"&amp;H$2&amp;"!f1"),$G168-1,)</f>
        <v>0</v>
      </c>
      <c r="AF168" s="3" cm="1">
        <f t="array" aca="1" ref="AF168" ca="1">OFFSET(INDIRECT("Sheet"&amp;I$2&amp;"!f1"),$G168-1,)</f>
        <v>0</v>
      </c>
      <c r="AG168" s="3" cm="1">
        <f t="array" aca="1" ref="AG168" ca="1">OFFSET(INDIRECT("Sheet"&amp;J$2&amp;"!f1"),$G168-1,)</f>
        <v>3.0031877104192901</v>
      </c>
      <c r="AH168" s="3" cm="1">
        <f t="array" aca="1" ref="AH168" ca="1">OFFSET(INDIRECT("Sheet"&amp;K$2&amp;"!f1"),$G168-1,)</f>
        <v>2.6090298719999501</v>
      </c>
      <c r="AI168" s="3" cm="1">
        <f t="array" aca="1" ref="AI168" ca="1">OFFSET(INDIRECT("Sheet"&amp;L$2&amp;"!f1"),$G168-1,)</f>
        <v>2.6466466029999598</v>
      </c>
      <c r="AJ168" s="3" cm="1">
        <f t="array" aca="1" ref="AJ168" ca="1">OFFSET(INDIRECT("Sheet"&amp;M$2&amp;"!f1"),$G168-1,)</f>
        <v>5.0280721168965101</v>
      </c>
      <c r="AK168" s="3" cm="1">
        <f t="array" aca="1" ref="AK168" ca="1">OFFSET(INDIRECT("Sheet"&amp;C$2&amp;"!f1"),$G168-1,)</f>
        <v>0</v>
      </c>
      <c r="AL168" s="3" cm="1">
        <f t="array" aca="1" ref="AL168" ca="1">OFFSET(INDIRECT("Sheet"&amp;D$2&amp;"!f1"),$G168-1,)</f>
        <v>0</v>
      </c>
      <c r="AM168" s="3" cm="1">
        <f t="array" aca="1" ref="AM168" ca="1">OFFSET(INDIRECT("Sheet"&amp;N$2&amp;"!f1"),$G168-1,)</f>
        <v>55.948525484651299</v>
      </c>
      <c r="AN168" s="3" cm="1">
        <f t="array" aca="1" ref="AN168" ca="1">OFFSET(INDIRECT("Sheet"&amp;O$2&amp;"!f1"),$G168-1,)</f>
        <v>90.832612909376607</v>
      </c>
      <c r="AO168" s="3" cm="1">
        <f t="array" aca="1" ref="AO168" ca="1">OFFSET(INDIRECT("Sheet"&amp;P$2&amp;"!f1"),$G168-1,)</f>
        <v>167.376221614889</v>
      </c>
      <c r="AP168" s="3" cm="1">
        <f t="array" aca="1" ref="AP168" ca="1">OFFSET(INDIRECT("Sheet"&amp;Q$2&amp;"!f1"),$G168-1,)</f>
        <v>42.177384930662797</v>
      </c>
      <c r="AQ168" s="3" cm="1">
        <f t="array" aca="1" ref="AQ168" ca="1">OFFSET(INDIRECT("Sheet"&amp;R$2&amp;"!f1"),$G168-1,)</f>
        <v>48.850676064379499</v>
      </c>
      <c r="AR168" s="3" cm="1">
        <f t="array" aca="1" ref="AR168" ca="1">OFFSET(INDIRECT("Sheet"&amp;S$2&amp;"!f1"),$G168-1,)</f>
        <v>84.153158336877794</v>
      </c>
      <c r="AS168" s="3" cm="1">
        <f t="array" aca="1" ref="AS168" ca="1">OFFSET(INDIRECT("Sheet"&amp;T$2&amp;"!f1"),$G168-1,)</f>
        <v>84.010621597059</v>
      </c>
      <c r="AT168" s="3" cm="1">
        <f t="array" aca="1" ref="AT168" ca="1">OFFSET(INDIRECT("Sheet"&amp;U$2&amp;"!f1"),$G168-1,)</f>
        <v>154.68395542167099</v>
      </c>
      <c r="AU168" s="3" cm="1">
        <f t="array" aca="1" ref="AU168" ca="1">OFFSET(INDIRECT("Sheet"&amp;V$2&amp;"!f1"),$G168-1,)</f>
        <v>164.549686977639</v>
      </c>
      <c r="AV168" s="3"/>
      <c r="AX168">
        <f ca="1">IF(H168=$F168,1,0)</f>
        <v>0</v>
      </c>
      <c r="AY168">
        <f ca="1">IF(I168=$F168,1,0)</f>
        <v>0</v>
      </c>
      <c r="AZ168">
        <f ca="1">IF(J168=$F168,1,0)</f>
        <v>0</v>
      </c>
      <c r="BA168">
        <f ca="1">IF(K168=$F168,1,0)</f>
        <v>0</v>
      </c>
      <c r="BB168">
        <f ca="1">IF(L168=$F168,1,0)</f>
        <v>0</v>
      </c>
      <c r="BC168">
        <f ca="1">IF(M168=$F168,1,0)</f>
        <v>0</v>
      </c>
      <c r="BD168">
        <f ca="1">IF(C168=$F168,1,0)</f>
        <v>1</v>
      </c>
      <c r="BE168">
        <f ca="1">IF(D168=$F168,1,0)</f>
        <v>0</v>
      </c>
      <c r="BF168">
        <f t="shared" ca="1" si="29"/>
        <v>0</v>
      </c>
      <c r="BG168">
        <f t="shared" ca="1" si="30"/>
        <v>0</v>
      </c>
      <c r="BH168">
        <f t="shared" ca="1" si="41"/>
        <v>0</v>
      </c>
      <c r="BI168">
        <f t="shared" ca="1" si="42"/>
        <v>1</v>
      </c>
      <c r="BJ168">
        <f t="shared" ca="1" si="44"/>
        <v>0</v>
      </c>
      <c r="BK168">
        <f t="shared" ca="1" si="44"/>
        <v>1</v>
      </c>
      <c r="BL168">
        <f t="shared" ca="1" si="44"/>
        <v>0</v>
      </c>
      <c r="BM168">
        <f t="shared" ca="1" si="34"/>
        <v>0</v>
      </c>
      <c r="BN168">
        <f t="shared" ca="1" si="35"/>
        <v>0</v>
      </c>
      <c r="BO168">
        <f t="shared" ca="1" si="36"/>
        <v>0</v>
      </c>
      <c r="BP168">
        <f t="shared" ca="1" si="37"/>
        <v>0</v>
      </c>
      <c r="BQ168">
        <f t="shared" ca="1" si="38"/>
        <v>1</v>
      </c>
    </row>
    <row r="169" spans="1:69" s="4" customFormat="1" x14ac:dyDescent="0.2">
      <c r="A169" t="str">
        <f>Sheet3!A153</f>
        <v>[[123,38,15]]</v>
      </c>
      <c r="B169" s="4">
        <v>123</v>
      </c>
      <c r="C169" cm="1">
        <f t="array" aca="1" ref="C169" ca="1">OFFSET(INDIRECT("Sheet"&amp;K$2&amp;"!d1"),$G169-1,)</f>
        <v>18</v>
      </c>
      <c r="D169" cm="1">
        <f t="array" aca="1" ref="D169" ca="1">OFFSET(INDIRECT("Sheet"&amp;L$2&amp;"!d1"),$G169-1,)</f>
        <v>18</v>
      </c>
      <c r="E169" s="4">
        <v>38</v>
      </c>
      <c r="F169" s="4">
        <v>15</v>
      </c>
      <c r="G169">
        <f t="shared" si="39"/>
        <v>153</v>
      </c>
      <c r="H169" cm="1">
        <f t="array" aca="1" ref="H169" ca="1">OFFSET(INDIRECT("Sheet"&amp;E$2&amp;"!d1"),$G169-1,)</f>
        <v>0</v>
      </c>
      <c r="I169" cm="1">
        <f t="array" aca="1" ref="I169" ca="1">OFFSET(INDIRECT("Sheet"&amp;F$2&amp;"!d1"),$G169-1,)</f>
        <v>0</v>
      </c>
      <c r="J169" cm="1">
        <f t="array" aca="1" ref="J169" ca="1">OFFSET(INDIRECT("Sheet"&amp;G$2&amp;"!d1"),$G169-1,)</f>
        <v>0</v>
      </c>
      <c r="K169" cm="1">
        <f t="array" aca="1" ref="K169" ca="1">OFFSET(INDIRECT("Sheet"&amp;H$2&amp;"!d1"),$G169-1,)</f>
        <v>0</v>
      </c>
      <c r="L169" cm="1">
        <f t="array" aca="1" ref="L169" ca="1">OFFSET(INDIRECT("Sheet"&amp;I$2&amp;"!d1"),$G169-1,)</f>
        <v>0</v>
      </c>
      <c r="M169" cm="1">
        <f t="array" aca="1" ref="M169" ca="1">OFFSET(INDIRECT("Sheet"&amp;J$2&amp;"!d1"),$G169-1,)</f>
        <v>18</v>
      </c>
      <c r="N169" cm="1">
        <f t="array" aca="1" ref="N169" ca="1">OFFSET(INDIRECT("Sheet"&amp;M$2&amp;"!d1"),$G169-1,)</f>
        <v>16</v>
      </c>
      <c r="O169" cm="1">
        <f t="array" aca="1" ref="O169" ca="1">OFFSET(INDIRECT("Sheet"&amp;C$2&amp;"!d1"),$G169-1,)</f>
        <v>0</v>
      </c>
      <c r="P169" cm="1">
        <f t="array" aca="1" ref="P169" ca="1">OFFSET(INDIRECT("Sheet"&amp;D$2&amp;"!d1"),$G169-1,)</f>
        <v>0</v>
      </c>
      <c r="Q169" cm="1">
        <f t="array" aca="1" ref="Q169" ca="1">OFFSET(INDIRECT("Sheet"&amp;N$2&amp;"!d1"),$G169-1,)</f>
        <v>17</v>
      </c>
      <c r="R169" cm="1">
        <f t="array" aca="1" ref="R169" ca="1">OFFSET(INDIRECT("Sheet"&amp;O$2&amp;"!d1"),$G169-1,)</f>
        <v>16</v>
      </c>
      <c r="S169" cm="1">
        <f t="array" aca="1" ref="S169" ca="1">OFFSET(INDIRECT("Sheet"&amp;P$2&amp;"!d1"),$G169-1,)</f>
        <v>17</v>
      </c>
      <c r="T169" cm="1">
        <f t="array" aca="1" ref="T169" ca="1">OFFSET(INDIRECT("Sheet"&amp;Q$2&amp;"!d1"),$G169-1,)</f>
        <v>17</v>
      </c>
      <c r="U169" cm="1">
        <f t="array" aca="1" ref="U169" ca="1">OFFSET(INDIRECT("Sheet"&amp;R$2&amp;"!d1"),$G169-1,)</f>
        <v>16</v>
      </c>
      <c r="V169" cm="1">
        <f t="array" aca="1" ref="V169" ca="1">OFFSET(INDIRECT("Sheet"&amp;S$2&amp;"!d1"),$G169-1,)</f>
        <v>18</v>
      </c>
      <c r="W169" cm="1">
        <f t="array" aca="1" ref="W169" ca="1">OFFSET(INDIRECT("Sheet"&amp;T$2&amp;"!d1"),$G169-1,)</f>
        <v>17</v>
      </c>
      <c r="X169" cm="1">
        <f t="array" aca="1" ref="X169" ca="1">OFFSET(INDIRECT("Sheet"&amp;U$2&amp;"!d1"),$G169-1,)</f>
        <v>18</v>
      </c>
      <c r="Y169" cm="1">
        <f t="array" aca="1" ref="Y169" ca="1">OFFSET(INDIRECT("Sheet"&amp;V$2&amp;"!d1"),$G169-1,)</f>
        <v>16</v>
      </c>
      <c r="Z169"/>
      <c r="AB169" s="3" cm="1">
        <f t="array" aca="1" ref="AB169" ca="1">OFFSET(INDIRECT("Sheet"&amp;E$2&amp;"!f1"),$G169-1,)</f>
        <v>0</v>
      </c>
      <c r="AC169" s="3" cm="1">
        <f t="array" aca="1" ref="AC169" ca="1">OFFSET(INDIRECT("Sheet"&amp;F$2&amp;"!f1"),$G169-1,)</f>
        <v>0</v>
      </c>
      <c r="AD169" s="3" cm="1">
        <f t="array" aca="1" ref="AD169" ca="1">OFFSET(INDIRECT("Sheet"&amp;G$2&amp;"!f1"),$G169-1,)</f>
        <v>0</v>
      </c>
      <c r="AE169" s="3" cm="1">
        <f t="array" aca="1" ref="AE169" ca="1">OFFSET(INDIRECT("Sheet"&amp;H$2&amp;"!f1"),$G169-1,)</f>
        <v>0</v>
      </c>
      <c r="AF169" s="3" cm="1">
        <f t="array" aca="1" ref="AF169" ca="1">OFFSET(INDIRECT("Sheet"&amp;I$2&amp;"!f1"),$G169-1,)</f>
        <v>0</v>
      </c>
      <c r="AG169" s="3" cm="1">
        <f t="array" aca="1" ref="AG169" ca="1">OFFSET(INDIRECT("Sheet"&amp;J$2&amp;"!f1"),$G169-1,)</f>
        <v>3.0466952212154799</v>
      </c>
      <c r="AH169" s="3" cm="1">
        <f t="array" aca="1" ref="AH169" ca="1">OFFSET(INDIRECT("Sheet"&amp;K$2&amp;"!f1"),$G169-1,)</f>
        <v>2.6962274850000001</v>
      </c>
      <c r="AI169" s="3" cm="1">
        <f t="array" aca="1" ref="AI169" ca="1">OFFSET(INDIRECT("Sheet"&amp;L$2&amp;"!f1"),$G169-1,)</f>
        <v>2.68450274100001</v>
      </c>
      <c r="AJ169" s="3" cm="1">
        <f t="array" aca="1" ref="AJ169" ca="1">OFFSET(INDIRECT("Sheet"&amp;M$2&amp;"!f1"),$G169-1,)</f>
        <v>5.0923431366681999</v>
      </c>
      <c r="AK169" s="3" cm="1">
        <f t="array" aca="1" ref="AK169" ca="1">OFFSET(INDIRECT("Sheet"&amp;C$2&amp;"!f1"),$G169-1,)</f>
        <v>0</v>
      </c>
      <c r="AL169" s="3" cm="1">
        <f t="array" aca="1" ref="AL169" ca="1">OFFSET(INDIRECT("Sheet"&amp;D$2&amp;"!f1"),$G169-1,)</f>
        <v>0</v>
      </c>
      <c r="AM169" s="3" cm="1">
        <f t="array" aca="1" ref="AM169" ca="1">OFFSET(INDIRECT("Sheet"&amp;N$2&amp;"!f1"),$G169-1,)</f>
        <v>58.155159132555099</v>
      </c>
      <c r="AN169" s="3" cm="1">
        <f t="array" aca="1" ref="AN169" ca="1">OFFSET(INDIRECT("Sheet"&amp;O$2&amp;"!f1"),$G169-1,)</f>
        <v>94.897790119983199</v>
      </c>
      <c r="AO169" s="3" cm="1">
        <f t="array" aca="1" ref="AO169" ca="1">OFFSET(INDIRECT("Sheet"&amp;P$2&amp;"!f1"),$G169-1,)</f>
        <v>174.03950447123401</v>
      </c>
      <c r="AP169" s="3" cm="1">
        <f t="array" aca="1" ref="AP169" ca="1">OFFSET(INDIRECT("Sheet"&amp;Q$2&amp;"!f1"),$G169-1,)</f>
        <v>43.6898910161107</v>
      </c>
      <c r="AQ169" s="3" cm="1">
        <f t="array" aca="1" ref="AQ169" ca="1">OFFSET(INDIRECT("Sheet"&amp;R$2&amp;"!f1"),$G169-1,)</f>
        <v>50.306997116655097</v>
      </c>
      <c r="AR169" s="3" cm="1">
        <f t="array" aca="1" ref="AR169" ca="1">OFFSET(INDIRECT("Sheet"&amp;S$2&amp;"!f1"),$G169-1,)</f>
        <v>86.826320976018906</v>
      </c>
      <c r="AS169" s="3" cm="1">
        <f t="array" aca="1" ref="AS169" ca="1">OFFSET(INDIRECT("Sheet"&amp;T$2&amp;"!f1"),$G169-1,)</f>
        <v>88.6581429718062</v>
      </c>
      <c r="AT169" s="3" cm="1">
        <f t="array" aca="1" ref="AT169" ca="1">OFFSET(INDIRECT("Sheet"&amp;U$2&amp;"!f1"),$G169-1,)</f>
        <v>159.927589163184</v>
      </c>
      <c r="AU169" s="3" cm="1">
        <f t="array" aca="1" ref="AU169" ca="1">OFFSET(INDIRECT("Sheet"&amp;V$2&amp;"!f1"),$G169-1,)</f>
        <v>171.18898427579501</v>
      </c>
      <c r="AV169" s="3"/>
      <c r="AX169">
        <f ca="1">IF(H169=$F169,1,0)</f>
        <v>0</v>
      </c>
      <c r="AY169">
        <f ca="1">IF(I169=$F169,1,0)</f>
        <v>0</v>
      </c>
      <c r="AZ169">
        <f ca="1">IF(J169=$F169,1,0)</f>
        <v>0</v>
      </c>
      <c r="BA169">
        <f ca="1">IF(K169=$F169,1,0)</f>
        <v>0</v>
      </c>
      <c r="BB169">
        <f ca="1">IF(L169=$F169,1,0)</f>
        <v>0</v>
      </c>
      <c r="BC169">
        <f ca="1">IF(M169=$F169,1,0)</f>
        <v>0</v>
      </c>
      <c r="BD169">
        <f ca="1">IF(C169=$F169,1,0)</f>
        <v>0</v>
      </c>
      <c r="BE169">
        <f ca="1">IF(D169=$F169,1,0)</f>
        <v>0</v>
      </c>
      <c r="BF169">
        <f t="shared" ca="1" si="29"/>
        <v>0</v>
      </c>
      <c r="BG169">
        <f t="shared" ca="1" si="30"/>
        <v>0</v>
      </c>
      <c r="BH169">
        <f t="shared" ca="1" si="41"/>
        <v>0</v>
      </c>
      <c r="BI169">
        <f t="shared" ca="1" si="42"/>
        <v>0</v>
      </c>
      <c r="BJ169">
        <f t="shared" ca="1" si="44"/>
        <v>0</v>
      </c>
      <c r="BK169">
        <f t="shared" ca="1" si="44"/>
        <v>0</v>
      </c>
      <c r="BL169">
        <f t="shared" ca="1" si="44"/>
        <v>0</v>
      </c>
      <c r="BM169">
        <f t="shared" ca="1" si="34"/>
        <v>0</v>
      </c>
      <c r="BN169">
        <f t="shared" ca="1" si="35"/>
        <v>0</v>
      </c>
      <c r="BO169">
        <f t="shared" ca="1" si="36"/>
        <v>0</v>
      </c>
      <c r="BP169">
        <f t="shared" ca="1" si="37"/>
        <v>0</v>
      </c>
      <c r="BQ169">
        <f t="shared" ca="1" si="38"/>
        <v>0</v>
      </c>
    </row>
    <row r="170" spans="1:69" s="4" customFormat="1" x14ac:dyDescent="0.2">
      <c r="A170"/>
      <c r="D170" s="5"/>
      <c r="N170" s="5"/>
      <c r="O170" s="5"/>
      <c r="P170" s="5"/>
      <c r="Q170" s="5"/>
      <c r="R170" s="5"/>
      <c r="S170" s="5"/>
      <c r="T170" s="5"/>
      <c r="U170" s="5"/>
      <c r="V170" s="5"/>
      <c r="W170" s="5"/>
      <c r="X170" s="5"/>
      <c r="Y170" s="5"/>
      <c r="Z170" s="5"/>
      <c r="AA170" s="5"/>
      <c r="AB170" s="5"/>
      <c r="AC170" s="5"/>
      <c r="AD170" s="5"/>
      <c r="AE170" s="5"/>
      <c r="AF170" s="5"/>
      <c r="AH170"/>
      <c r="AI170"/>
      <c r="AJ170"/>
      <c r="AK170"/>
      <c r="AL170"/>
      <c r="AM170"/>
      <c r="AN170"/>
      <c r="AO170"/>
      <c r="AP170"/>
      <c r="AQ170"/>
      <c r="AR170"/>
      <c r="AS170"/>
      <c r="AT170"/>
      <c r="AU170"/>
      <c r="AV170"/>
      <c r="AW170"/>
      <c r="AX170"/>
      <c r="AY170"/>
      <c r="AZ170"/>
      <c r="BA170"/>
      <c r="BB170"/>
    </row>
    <row r="171" spans="1:69" s="4" customFormat="1" x14ac:dyDescent="0.2">
      <c r="A171"/>
      <c r="D171" s="5"/>
      <c r="N171" s="5"/>
      <c r="O171" s="5"/>
      <c r="P171" s="5"/>
      <c r="Q171" s="5"/>
      <c r="R171" s="5"/>
      <c r="S171" s="5"/>
      <c r="T171" s="5"/>
      <c r="U171" s="5"/>
      <c r="V171" s="5"/>
      <c r="W171" s="5"/>
      <c r="X171" s="5"/>
      <c r="Y171" s="5"/>
      <c r="Z171" s="5"/>
      <c r="AA171" s="5"/>
      <c r="AB171" s="5"/>
      <c r="AC171" s="5"/>
      <c r="AD171" s="5"/>
      <c r="AE171" s="5"/>
      <c r="AF171" s="5"/>
      <c r="AH171"/>
      <c r="AI171"/>
      <c r="AJ171"/>
      <c r="AK171"/>
      <c r="AL171"/>
      <c r="AM171"/>
      <c r="AN171"/>
      <c r="AO171"/>
      <c r="AP171"/>
      <c r="AQ171"/>
      <c r="AR171"/>
      <c r="AS171"/>
      <c r="AT171"/>
      <c r="AU171"/>
      <c r="AV171"/>
      <c r="AW171"/>
      <c r="AX171"/>
      <c r="AY171"/>
      <c r="AZ171"/>
      <c r="BA171"/>
      <c r="BB171"/>
    </row>
  </sheetData>
  <sortState xmlns:xlrd2="http://schemas.microsoft.com/office/spreadsheetml/2017/richdata2" columnSort="1" ref="E2:V39">
    <sortCondition ref="E31:V31"/>
    <sortCondition ref="E32:V32"/>
    <sortCondition ref="E33:V3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E948-759E-9E48-91E2-E0F1659113EF}">
  <dimension ref="A1:AD55"/>
  <sheetViews>
    <sheetView tabSelected="1" topLeftCell="O1" workbookViewId="0">
      <selection activeCell="T12" sqref="T12"/>
    </sheetView>
  </sheetViews>
  <sheetFormatPr baseColWidth="10" defaultRowHeight="16" x14ac:dyDescent="0.2"/>
  <cols>
    <col min="1" max="1" width="16.5" bestFit="1" customWidth="1"/>
    <col min="2" max="8" width="12.1640625" bestFit="1" customWidth="1"/>
    <col min="20" max="20" width="16.5" customWidth="1"/>
  </cols>
  <sheetData>
    <row r="1" spans="1:30" x14ac:dyDescent="0.2">
      <c r="B1" t="s">
        <v>2055</v>
      </c>
      <c r="K1" t="s">
        <v>23</v>
      </c>
      <c r="U1" t="s">
        <v>2056</v>
      </c>
    </row>
    <row r="2" spans="1:30" x14ac:dyDescent="0.2">
      <c r="A2" t="s">
        <v>1920</v>
      </c>
      <c r="B2">
        <v>1</v>
      </c>
      <c r="C2">
        <v>2</v>
      </c>
      <c r="D2">
        <v>9</v>
      </c>
      <c r="E2">
        <v>11</v>
      </c>
      <c r="F2">
        <v>10</v>
      </c>
      <c r="G2">
        <v>13</v>
      </c>
      <c r="H2">
        <v>12</v>
      </c>
    </row>
    <row r="3" spans="1:30" x14ac:dyDescent="0.2">
      <c r="A3" t="s">
        <v>1921</v>
      </c>
      <c r="B3" t="s">
        <v>1917</v>
      </c>
      <c r="C3" t="s">
        <v>1917</v>
      </c>
      <c r="D3" t="s">
        <v>1918</v>
      </c>
      <c r="E3" t="s">
        <v>1918</v>
      </c>
      <c r="F3" t="s">
        <v>1918</v>
      </c>
      <c r="G3" t="s">
        <v>1919</v>
      </c>
      <c r="H3" t="s">
        <v>1919</v>
      </c>
      <c r="I3" t="s">
        <v>1923</v>
      </c>
      <c r="K3" t="s">
        <v>1917</v>
      </c>
      <c r="L3" t="s">
        <v>1917</v>
      </c>
      <c r="M3" t="s">
        <v>1918</v>
      </c>
      <c r="N3" t="s">
        <v>1918</v>
      </c>
      <c r="O3" t="s">
        <v>1918</v>
      </c>
      <c r="P3" t="s">
        <v>1919</v>
      </c>
      <c r="Q3" t="s">
        <v>1919</v>
      </c>
      <c r="R3" t="s">
        <v>1923</v>
      </c>
      <c r="AD3" t="s">
        <v>2057</v>
      </c>
    </row>
    <row r="4" spans="1:30" x14ac:dyDescent="0.2">
      <c r="A4" t="s">
        <v>1922</v>
      </c>
      <c r="B4">
        <v>2</v>
      </c>
      <c r="C4">
        <v>3</v>
      </c>
      <c r="D4">
        <v>2</v>
      </c>
      <c r="E4">
        <v>3</v>
      </c>
      <c r="F4">
        <v>4</v>
      </c>
      <c r="G4">
        <v>3</v>
      </c>
      <c r="H4">
        <v>4</v>
      </c>
      <c r="I4">
        <v>2</v>
      </c>
      <c r="T4" t="s">
        <v>19</v>
      </c>
      <c r="U4" t="str">
        <f>B3&amp;" "&amp;B4&amp;" Block"</f>
        <v>GurobiDist 2 Block</v>
      </c>
      <c r="V4" t="str">
        <f t="shared" ref="V4:AB4" si="0">C3&amp;" "&amp;C4&amp;" Block"</f>
        <v>GurobiDist 3 Block</v>
      </c>
      <c r="W4" t="str">
        <f t="shared" si="0"/>
        <v>BZDistMW 2 Block</v>
      </c>
      <c r="X4" t="str">
        <f t="shared" si="0"/>
        <v>BZDistMW 3 Block</v>
      </c>
      <c r="Y4" t="str">
        <f t="shared" si="0"/>
        <v>BZDistMW 4 Block</v>
      </c>
      <c r="Z4" t="str">
        <f t="shared" si="0"/>
        <v>dist_m4ri_CC 3 Block</v>
      </c>
      <c r="AA4" t="str">
        <f t="shared" si="0"/>
        <v>dist_m4ri_CC 4 Block</v>
      </c>
      <c r="AB4" t="str">
        <f t="shared" si="0"/>
        <v>Magma 2 Block</v>
      </c>
    </row>
    <row r="5" spans="1:30" x14ac:dyDescent="0.2">
      <c r="A5" t="str">
        <f>Sheet1!A33</f>
        <v>[[3,1,1]]</v>
      </c>
      <c r="B5">
        <f ca="1">MATCH($A5,INDIRECT("Sheet"&amp;B$2&amp;"!A:A"),)</f>
        <v>33</v>
      </c>
      <c r="C5">
        <f ca="1">MATCH($A5,INDIRECT("Sheet"&amp;C$2&amp;"!A:A"),)</f>
        <v>33</v>
      </c>
      <c r="D5">
        <f ca="1">MATCH($A5,INDIRECT("Sheet"&amp;D$2&amp;"!A:A"),)</f>
        <v>33</v>
      </c>
      <c r="E5">
        <f ca="1">MATCH($A5,INDIRECT("Sheet"&amp;E$2&amp;"!A:A"),)</f>
        <v>33</v>
      </c>
      <c r="F5">
        <f ca="1">MATCH($A5,INDIRECT("Sheet"&amp;F$2&amp;"!A:A"),)</f>
        <v>33</v>
      </c>
      <c r="G5">
        <f ca="1">MATCH($A5,INDIRECT("Sheet"&amp;G$2&amp;"!A:A"),)</f>
        <v>33</v>
      </c>
      <c r="H5">
        <f ca="1">MATCH($A5,INDIRECT("Sheet"&amp;H$2&amp;"!A:A"),)</f>
        <v>33</v>
      </c>
      <c r="I5">
        <f>MATCH($A5,magma!A:A,)</f>
        <v>28</v>
      </c>
      <c r="K5" cm="1">
        <f t="array" aca="1" ref="K5" ca="1">OFFSET(INDIRECT("Sheet"&amp;B$2&amp;"!f1"),B5-1,)</f>
        <v>0.39045961946249003</v>
      </c>
      <c r="L5" cm="1">
        <f t="array" aca="1" ref="L5" ca="1">OFFSET(INDIRECT("Sheet"&amp;C$2&amp;"!f1"),C5-1,)</f>
        <v>0.21553472150117101</v>
      </c>
      <c r="M5" cm="1">
        <f t="array" aca="1" ref="M5" ca="1">OFFSET(INDIRECT("Sheet"&amp;D$2&amp;"!f1"),D5-1,)</f>
        <v>2.35251151025295E-3</v>
      </c>
      <c r="N5" cm="1">
        <f t="array" aca="1" ref="N5" ca="1">OFFSET(INDIRECT("Sheet"&amp;E$2&amp;"!f1"),E5-1,)</f>
        <v>2.0386641845107E-3</v>
      </c>
      <c r="O5" cm="1">
        <f t="array" aca="1" ref="O5" ca="1">OFFSET(INDIRECT("Sheet"&amp;F$2&amp;"!f1"),F5-1,)</f>
        <v>2.1212352439761101E-3</v>
      </c>
      <c r="P5" cm="1">
        <f t="array" aca="1" ref="P5" ca="1">OFFSET(INDIRECT("Sheet"&amp;G$2&amp;"!f1"),G5-1,)</f>
        <v>2.01894361525774E-2</v>
      </c>
      <c r="Q5" cm="1">
        <f t="array" aca="1" ref="Q5" ca="1">OFFSET(INDIRECT("Sheet"&amp;H$2&amp;"!f1"),H5-1,)</f>
        <v>0.12274851200001501</v>
      </c>
      <c r="R5">
        <f ca="1">OFFSET(magma!$F$1,I5-1,)*1</f>
        <v>0.86791575000097498</v>
      </c>
      <c r="T5">
        <f>Sheet1!B33</f>
        <v>3</v>
      </c>
      <c r="U5" s="10">
        <f t="shared" ref="U5:U55" ca="1" si="1">IF(AND(K5&gt;0,K5&lt;28800),K5,NA())</f>
        <v>0.39045961946249003</v>
      </c>
      <c r="V5" s="10">
        <f t="shared" ref="V5:V55" ca="1" si="2">IF(AND(L5&gt;0,L5&lt;28800),L5,NA())</f>
        <v>0.21553472150117101</v>
      </c>
      <c r="W5" s="10">
        <f t="shared" ref="W5:W55" ca="1" si="3">IF(AND(M5&gt;0,M5&lt;28800),M5,NA())</f>
        <v>2.35251151025295E-3</v>
      </c>
      <c r="X5" s="10">
        <f t="shared" ref="X5:X55" ca="1" si="4">IF(AND(N5&gt;0,N5&lt;28800),N5,NA())</f>
        <v>2.0386641845107E-3</v>
      </c>
      <c r="Y5" s="10">
        <f t="shared" ref="Y5:Y55" ca="1" si="5">IF(AND(O5&gt;0,O5&lt;28800),O5,NA())</f>
        <v>2.1212352439761101E-3</v>
      </c>
      <c r="Z5" s="10">
        <f t="shared" ref="Z5:Z55" ca="1" si="6">IF(AND(P5&gt;0,P5&lt;28800),P5,NA())</f>
        <v>2.01894361525774E-2</v>
      </c>
      <c r="AA5" s="10">
        <f t="shared" ref="AA5:AA55" ca="1" si="7">IF(AND(Q5&gt;0,Q5&lt;28800),Q5,NA())</f>
        <v>0.12274851200001501</v>
      </c>
      <c r="AB5" s="10">
        <f t="shared" ref="AB5:AB54" ca="1" si="8">IF(AND(R5&gt;0,R5&lt;28800),R5,NA())</f>
        <v>0.86791575000097498</v>
      </c>
    </row>
    <row r="6" spans="1:30" x14ac:dyDescent="0.2">
      <c r="A6" t="str">
        <f>Sheet1!A34</f>
        <v>[[4,1,2]]</v>
      </c>
      <c r="B6">
        <f ca="1">MATCH($A6,INDIRECT("Sheet"&amp;B$2&amp;"!A:A"),)</f>
        <v>34</v>
      </c>
      <c r="C6">
        <f ca="1">MATCH($A6,INDIRECT("Sheet"&amp;C$2&amp;"!A:A"),)</f>
        <v>34</v>
      </c>
      <c r="D6">
        <f ca="1">MATCH($A6,INDIRECT("Sheet"&amp;D$2&amp;"!A:A"),)</f>
        <v>34</v>
      </c>
      <c r="E6">
        <f ca="1">MATCH($A6,INDIRECT("Sheet"&amp;E$2&amp;"!A:A"),)</f>
        <v>34</v>
      </c>
      <c r="F6">
        <f ca="1">MATCH($A6,INDIRECT("Sheet"&amp;F$2&amp;"!A:A"),)</f>
        <v>34</v>
      </c>
      <c r="G6">
        <f ca="1">MATCH($A6,INDIRECT("Sheet"&amp;G$2&amp;"!A:A"),)</f>
        <v>34</v>
      </c>
      <c r="H6">
        <f ca="1">MATCH($A6,INDIRECT("Sheet"&amp;H$2&amp;"!A:A"),)</f>
        <v>34</v>
      </c>
      <c r="I6">
        <f>MATCH($A6,magma!A:A,)</f>
        <v>29</v>
      </c>
      <c r="K6" cm="1">
        <f t="array" aca="1" ref="K6" ca="1">OFFSET(INDIRECT("Sheet"&amp;B$2&amp;"!f1"),B6-1,)</f>
        <v>2.39316057413816E-2</v>
      </c>
      <c r="L6" cm="1">
        <f t="array" aca="1" ref="L6" ca="1">OFFSET(INDIRECT("Sheet"&amp;C$2&amp;"!f1"),C6-1,)</f>
        <v>2.44122687727212E-2</v>
      </c>
      <c r="M6" cm="1">
        <f t="array" aca="1" ref="M6" ca="1">OFFSET(INDIRECT("Sheet"&amp;D$2&amp;"!f1"),D6-1,)</f>
        <v>2.2834716364741299E-3</v>
      </c>
      <c r="N6" cm="1">
        <f t="array" aca="1" ref="N6" ca="1">OFFSET(INDIRECT("Sheet"&amp;E$2&amp;"!f1"),E6-1,)</f>
        <v>2.4125641211867302E-3</v>
      </c>
      <c r="O6" cm="1">
        <f t="array" aca="1" ref="O6" ca="1">OFFSET(INDIRECT("Sheet"&amp;F$2&amp;"!f1"),F6-1,)</f>
        <v>2.4783536791801401E-3</v>
      </c>
      <c r="P6" cm="1">
        <f t="array" aca="1" ref="P6" ca="1">OFFSET(INDIRECT("Sheet"&amp;G$2&amp;"!f1"),G6-1,)</f>
        <v>1.47162117063999E-2</v>
      </c>
      <c r="Q6" cm="1">
        <f t="array" aca="1" ref="Q6" ca="1">OFFSET(INDIRECT("Sheet"&amp;H$2&amp;"!f1"),H6-1,)</f>
        <v>7.60977889999878E-2</v>
      </c>
      <c r="R6">
        <f ca="1">OFFSET(magma!$F$1,I6-1,)*1</f>
        <v>5.70460840099258E-2</v>
      </c>
      <c r="T6">
        <f>Sheet1!B34</f>
        <v>4</v>
      </c>
      <c r="U6" s="10">
        <f t="shared" ca="1" si="1"/>
        <v>2.39316057413816E-2</v>
      </c>
      <c r="V6" s="10">
        <f t="shared" ca="1" si="2"/>
        <v>2.44122687727212E-2</v>
      </c>
      <c r="W6" s="10">
        <f t="shared" ca="1" si="3"/>
        <v>2.2834716364741299E-3</v>
      </c>
      <c r="X6" s="10">
        <f t="shared" ca="1" si="4"/>
        <v>2.4125641211867302E-3</v>
      </c>
      <c r="Y6" s="10">
        <f t="shared" ca="1" si="5"/>
        <v>2.4783536791801401E-3</v>
      </c>
      <c r="Z6" s="10">
        <f t="shared" ca="1" si="6"/>
        <v>1.47162117063999E-2</v>
      </c>
      <c r="AA6" s="10">
        <f t="shared" ca="1" si="7"/>
        <v>7.60977889999878E-2</v>
      </c>
      <c r="AB6" s="10">
        <f t="shared" ca="1" si="8"/>
        <v>5.70460840099258E-2</v>
      </c>
    </row>
    <row r="7" spans="1:30" x14ac:dyDescent="0.2">
      <c r="A7" t="str">
        <f>Sheet1!A35</f>
        <v>[[5,1,3]]</v>
      </c>
      <c r="B7">
        <f ca="1">MATCH($A7,INDIRECT("Sheet"&amp;B$2&amp;"!A:A"),)</f>
        <v>35</v>
      </c>
      <c r="C7">
        <f ca="1">MATCH($A7,INDIRECT("Sheet"&amp;C$2&amp;"!A:A"),)</f>
        <v>35</v>
      </c>
      <c r="D7">
        <f ca="1">MATCH($A7,INDIRECT("Sheet"&amp;D$2&amp;"!A:A"),)</f>
        <v>35</v>
      </c>
      <c r="E7">
        <f ca="1">MATCH($A7,INDIRECT("Sheet"&amp;E$2&amp;"!A:A"),)</f>
        <v>35</v>
      </c>
      <c r="F7">
        <f ca="1">MATCH($A7,INDIRECT("Sheet"&amp;F$2&amp;"!A:A"),)</f>
        <v>35</v>
      </c>
      <c r="G7">
        <f ca="1">MATCH($A7,INDIRECT("Sheet"&amp;G$2&amp;"!A:A"),)</f>
        <v>35</v>
      </c>
      <c r="H7">
        <f ca="1">MATCH($A7,INDIRECT("Sheet"&amp;H$2&amp;"!A:A"),)</f>
        <v>35</v>
      </c>
      <c r="I7">
        <f>MATCH($A7,magma!A:A,)</f>
        <v>30</v>
      </c>
      <c r="K7" cm="1">
        <f t="array" aca="1" ref="K7" ca="1">OFFSET(INDIRECT("Sheet"&amp;B$2&amp;"!f1"),B7-1,)</f>
        <v>4.3407255783677101E-2</v>
      </c>
      <c r="L7" cm="1">
        <f t="array" aca="1" ref="L7" ca="1">OFFSET(INDIRECT("Sheet"&amp;C$2&amp;"!f1"),C7-1,)</f>
        <v>4.4245871715247603E-2</v>
      </c>
      <c r="M7" cm="1">
        <f t="array" aca="1" ref="M7" ca="1">OFFSET(INDIRECT("Sheet"&amp;D$2&amp;"!f1"),D7-1,)</f>
        <v>2.7798004448413801E-3</v>
      </c>
      <c r="N7" cm="1">
        <f t="array" aca="1" ref="N7" ca="1">OFFSET(INDIRECT("Sheet"&amp;E$2&amp;"!f1"),E7-1,)</f>
        <v>2.50624772161245E-3</v>
      </c>
      <c r="O7" cm="1">
        <f t="array" aca="1" ref="O7" ca="1">OFFSET(INDIRECT("Sheet"&amp;F$2&amp;"!f1"),F7-1,)</f>
        <v>2.7241352945566099E-3</v>
      </c>
      <c r="P7" cm="1">
        <f t="array" aca="1" ref="P7" ca="1">OFFSET(INDIRECT("Sheet"&amp;G$2&amp;"!f1"),G7-1,)</f>
        <v>1.6103350557386799E-2</v>
      </c>
      <c r="Q7" cm="1">
        <f t="array" aca="1" ref="Q7" ca="1">OFFSET(INDIRECT("Sheet"&amp;H$2&amp;"!f1"),H7-1,)</f>
        <v>7.7310103000002003E-2</v>
      </c>
      <c r="R7">
        <f ca="1">OFFSET(magma!$F$1,I7-1,)*1</f>
        <v>5.7239332993049098E-2</v>
      </c>
      <c r="T7">
        <f>Sheet1!B35</f>
        <v>5</v>
      </c>
      <c r="U7" s="10">
        <f t="shared" ca="1" si="1"/>
        <v>4.3407255783677101E-2</v>
      </c>
      <c r="V7" s="10">
        <f t="shared" ca="1" si="2"/>
        <v>4.4245871715247603E-2</v>
      </c>
      <c r="W7" s="10">
        <f t="shared" ca="1" si="3"/>
        <v>2.7798004448413801E-3</v>
      </c>
      <c r="X7" s="10">
        <f t="shared" ca="1" si="4"/>
        <v>2.50624772161245E-3</v>
      </c>
      <c r="Y7" s="10">
        <f t="shared" ca="1" si="5"/>
        <v>2.7241352945566099E-3</v>
      </c>
      <c r="Z7" s="10">
        <f t="shared" ca="1" si="6"/>
        <v>1.6103350557386799E-2</v>
      </c>
      <c r="AA7" s="10">
        <f t="shared" ca="1" si="7"/>
        <v>7.7310103000002003E-2</v>
      </c>
      <c r="AB7" s="10">
        <f t="shared" ca="1" si="8"/>
        <v>5.7239332993049098E-2</v>
      </c>
    </row>
    <row r="8" spans="1:30" x14ac:dyDescent="0.2">
      <c r="A8" t="str">
        <f>Sheet1!A36</f>
        <v>[[6,1,3]]</v>
      </c>
      <c r="B8">
        <f ca="1">MATCH($A8,INDIRECT("Sheet"&amp;B$2&amp;"!A:A"),)</f>
        <v>36</v>
      </c>
      <c r="C8">
        <f ca="1">MATCH($A8,INDIRECT("Sheet"&amp;C$2&amp;"!A:A"),)</f>
        <v>36</v>
      </c>
      <c r="D8">
        <f ca="1">MATCH($A8,INDIRECT("Sheet"&amp;D$2&amp;"!A:A"),)</f>
        <v>36</v>
      </c>
      <c r="E8">
        <f ca="1">MATCH($A8,INDIRECT("Sheet"&amp;E$2&amp;"!A:A"),)</f>
        <v>36</v>
      </c>
      <c r="F8">
        <f ca="1">MATCH($A8,INDIRECT("Sheet"&amp;F$2&amp;"!A:A"),)</f>
        <v>36</v>
      </c>
      <c r="G8">
        <f ca="1">MATCH($A8,INDIRECT("Sheet"&amp;G$2&amp;"!A:A"),)</f>
        <v>36</v>
      </c>
      <c r="H8">
        <f ca="1">MATCH($A8,INDIRECT("Sheet"&amp;H$2&amp;"!A:A"),)</f>
        <v>36</v>
      </c>
      <c r="I8">
        <f>MATCH($A8,magma!A:A,)</f>
        <v>31</v>
      </c>
      <c r="K8" cm="1">
        <f t="array" aca="1" ref="K8" ca="1">OFFSET(INDIRECT("Sheet"&amp;B$2&amp;"!f1"),B8-1,)</f>
        <v>3.33463922142982E-2</v>
      </c>
      <c r="L8" cm="1">
        <f t="array" aca="1" ref="L8" ca="1">OFFSET(INDIRECT("Sheet"&amp;C$2&amp;"!f1"),C8-1,)</f>
        <v>3.4327877685427603E-2</v>
      </c>
      <c r="M8" cm="1">
        <f t="array" aca="1" ref="M8" ca="1">OFFSET(INDIRECT("Sheet"&amp;D$2&amp;"!f1"),D8-1,)</f>
        <v>2.96756811439991E-3</v>
      </c>
      <c r="N8" cm="1">
        <f t="array" aca="1" ref="N8" ca="1">OFFSET(INDIRECT("Sheet"&amp;E$2&amp;"!f1"),E8-1,)</f>
        <v>2.7871895581483802E-3</v>
      </c>
      <c r="O8" cm="1">
        <f t="array" aca="1" ref="O8" ca="1">OFFSET(INDIRECT("Sheet"&amp;F$2&amp;"!f1"),F8-1,)</f>
        <v>2.8956905007362301E-3</v>
      </c>
      <c r="P8" cm="1">
        <f t="array" aca="1" ref="P8" ca="1">OFFSET(INDIRECT("Sheet"&amp;G$2&amp;"!f1"),G8-1,)</f>
        <v>1.43522340804338E-2</v>
      </c>
      <c r="Q8" cm="1">
        <f t="array" aca="1" ref="Q8" ca="1">OFFSET(INDIRECT("Sheet"&amp;H$2&amp;"!f1"),H8-1,)</f>
        <v>6.4857103000008395E-2</v>
      </c>
      <c r="R8">
        <f ca="1">OFFSET(magma!$F$1,I8-1,)*1</f>
        <v>5.7163917008438099E-2</v>
      </c>
      <c r="T8">
        <f>Sheet1!B36</f>
        <v>6</v>
      </c>
      <c r="U8" s="10">
        <f t="shared" ca="1" si="1"/>
        <v>3.33463922142982E-2</v>
      </c>
      <c r="V8" s="10">
        <f t="shared" ca="1" si="2"/>
        <v>3.4327877685427603E-2</v>
      </c>
      <c r="W8" s="10">
        <f t="shared" ca="1" si="3"/>
        <v>2.96756811439991E-3</v>
      </c>
      <c r="X8" s="10">
        <f t="shared" ca="1" si="4"/>
        <v>2.7871895581483802E-3</v>
      </c>
      <c r="Y8" s="10">
        <f t="shared" ca="1" si="5"/>
        <v>2.8956905007362301E-3</v>
      </c>
      <c r="Z8" s="10">
        <f t="shared" ca="1" si="6"/>
        <v>1.43522340804338E-2</v>
      </c>
      <c r="AA8" s="10">
        <f t="shared" ca="1" si="7"/>
        <v>6.4857103000008395E-2</v>
      </c>
      <c r="AB8" s="10">
        <f t="shared" ca="1" si="8"/>
        <v>5.7163917008438099E-2</v>
      </c>
    </row>
    <row r="9" spans="1:30" x14ac:dyDescent="0.2">
      <c r="A9" t="str">
        <f>Sheet1!A37</f>
        <v>[[7,1,3]]</v>
      </c>
      <c r="B9">
        <f ca="1">MATCH($A9,INDIRECT("Sheet"&amp;B$2&amp;"!A:A"),)</f>
        <v>37</v>
      </c>
      <c r="C9">
        <f ca="1">MATCH($A9,INDIRECT("Sheet"&amp;C$2&amp;"!A:A"),)</f>
        <v>37</v>
      </c>
      <c r="D9">
        <f ca="1">MATCH($A9,INDIRECT("Sheet"&amp;D$2&amp;"!A:A"),)</f>
        <v>37</v>
      </c>
      <c r="E9">
        <f ca="1">MATCH($A9,INDIRECT("Sheet"&amp;E$2&amp;"!A:A"),)</f>
        <v>37</v>
      </c>
      <c r="F9">
        <f ca="1">MATCH($A9,INDIRECT("Sheet"&amp;F$2&amp;"!A:A"),)</f>
        <v>37</v>
      </c>
      <c r="G9">
        <f ca="1">MATCH($A9,INDIRECT("Sheet"&amp;G$2&amp;"!A:A"),)</f>
        <v>37</v>
      </c>
      <c r="H9">
        <f ca="1">MATCH($A9,INDIRECT("Sheet"&amp;H$2&amp;"!A:A"),)</f>
        <v>37</v>
      </c>
      <c r="I9">
        <f>MATCH($A9,magma!A:A,)</f>
        <v>32</v>
      </c>
      <c r="K9" cm="1">
        <f t="array" aca="1" ref="K9" ca="1">OFFSET(INDIRECT("Sheet"&amp;B$2&amp;"!f1"),B9-1,)</f>
        <v>3.3478545024991001E-2</v>
      </c>
      <c r="L9" cm="1">
        <f t="array" aca="1" ref="L9" ca="1">OFFSET(INDIRECT("Sheet"&amp;C$2&amp;"!f1"),C9-1,)</f>
        <v>3.39103387668728E-2</v>
      </c>
      <c r="M9" cm="1">
        <f t="array" aca="1" ref="M9" ca="1">OFFSET(INDIRECT("Sheet"&amp;D$2&amp;"!f1"),D9-1,)</f>
        <v>3.0723251402378E-3</v>
      </c>
      <c r="N9" cm="1">
        <f t="array" aca="1" ref="N9" ca="1">OFFSET(INDIRECT("Sheet"&amp;E$2&amp;"!f1"),E9-1,)</f>
        <v>3.1640138477086999E-3</v>
      </c>
      <c r="O9" cm="1">
        <f t="array" aca="1" ref="O9" ca="1">OFFSET(INDIRECT("Sheet"&amp;F$2&amp;"!f1"),F9-1,)</f>
        <v>3.2005840912461198E-3</v>
      </c>
      <c r="P9" cm="1">
        <f t="array" aca="1" ref="P9" ca="1">OFFSET(INDIRECT("Sheet"&amp;G$2&amp;"!f1"),G9-1,)</f>
        <v>1.7970439046621298E-2</v>
      </c>
      <c r="Q9" cm="1">
        <f t="array" aca="1" ref="Q9" ca="1">OFFSET(INDIRECT("Sheet"&amp;H$2&amp;"!f1"),H9-1,)</f>
        <v>4.23287059999779E-2</v>
      </c>
      <c r="R9">
        <f ca="1">OFFSET(magma!$F$1,I9-1,)*1</f>
        <v>5.5149332998553201E-2</v>
      </c>
      <c r="T9">
        <f>Sheet1!B37</f>
        <v>7</v>
      </c>
      <c r="U9" s="10">
        <f t="shared" ca="1" si="1"/>
        <v>3.3478545024991001E-2</v>
      </c>
      <c r="V9" s="10">
        <f t="shared" ca="1" si="2"/>
        <v>3.39103387668728E-2</v>
      </c>
      <c r="W9" s="10">
        <f t="shared" ca="1" si="3"/>
        <v>3.0723251402378E-3</v>
      </c>
      <c r="X9" s="10">
        <f t="shared" ca="1" si="4"/>
        <v>3.1640138477086999E-3</v>
      </c>
      <c r="Y9" s="10">
        <f t="shared" ca="1" si="5"/>
        <v>3.2005840912461198E-3</v>
      </c>
      <c r="Z9" s="10">
        <f t="shared" ca="1" si="6"/>
        <v>1.7970439046621298E-2</v>
      </c>
      <c r="AA9" s="10">
        <f t="shared" ca="1" si="7"/>
        <v>4.23287059999779E-2</v>
      </c>
      <c r="AB9" s="10">
        <f t="shared" ca="1" si="8"/>
        <v>5.5149332998553201E-2</v>
      </c>
    </row>
    <row r="10" spans="1:30" x14ac:dyDescent="0.2">
      <c r="A10" t="str">
        <f>Sheet1!A38</f>
        <v>[[8,1,3]]</v>
      </c>
      <c r="B10">
        <f ca="1">MATCH($A10,INDIRECT("Sheet"&amp;B$2&amp;"!A:A"),)</f>
        <v>38</v>
      </c>
      <c r="C10">
        <f ca="1">MATCH($A10,INDIRECT("Sheet"&amp;C$2&amp;"!A:A"),)</f>
        <v>38</v>
      </c>
      <c r="D10">
        <f ca="1">MATCH($A10,INDIRECT("Sheet"&amp;D$2&amp;"!A:A"),)</f>
        <v>38</v>
      </c>
      <c r="E10">
        <f ca="1">MATCH($A10,INDIRECT("Sheet"&amp;E$2&amp;"!A:A"),)</f>
        <v>38</v>
      </c>
      <c r="F10">
        <f ca="1">MATCH($A10,INDIRECT("Sheet"&amp;F$2&amp;"!A:A"),)</f>
        <v>38</v>
      </c>
      <c r="G10">
        <f ca="1">MATCH($A10,INDIRECT("Sheet"&amp;G$2&amp;"!A:A"),)</f>
        <v>38</v>
      </c>
      <c r="H10">
        <f ca="1">MATCH($A10,INDIRECT("Sheet"&amp;H$2&amp;"!A:A"),)</f>
        <v>38</v>
      </c>
      <c r="I10">
        <f>MATCH($A10,magma!A:A,)</f>
        <v>33</v>
      </c>
      <c r="K10" cm="1">
        <f t="array" aca="1" ref="K10" ca="1">OFFSET(INDIRECT("Sheet"&amp;B$2&amp;"!f1"),B10-1,)</f>
        <v>3.3332958817481897E-2</v>
      </c>
      <c r="L10" cm="1">
        <f t="array" aca="1" ref="L10" ca="1">OFFSET(INDIRECT("Sheet"&amp;C$2&amp;"!f1"),C10-1,)</f>
        <v>3.4905137494206401E-2</v>
      </c>
      <c r="M10" cm="1">
        <f t="array" aca="1" ref="M10" ca="1">OFFSET(INDIRECT("Sheet"&amp;D$2&amp;"!f1"),D10-1,)</f>
        <v>3.1412923708558E-3</v>
      </c>
      <c r="N10" cm="1">
        <f t="array" aca="1" ref="N10" ca="1">OFFSET(INDIRECT("Sheet"&amp;E$2&amp;"!f1"),E10-1,)</f>
        <v>3.1682951375841999E-3</v>
      </c>
      <c r="O10" cm="1">
        <f t="array" aca="1" ref="O10" ca="1">OFFSET(INDIRECT("Sheet"&amp;F$2&amp;"!f1"),F10-1,)</f>
        <v>3.59048880636692E-3</v>
      </c>
      <c r="P10" cm="1">
        <f t="array" aca="1" ref="P10" ca="1">OFFSET(INDIRECT("Sheet"&amp;G$2&amp;"!f1"),G10-1,)</f>
        <v>7.4682909995317404E-2</v>
      </c>
      <c r="Q10" cm="1">
        <f t="array" aca="1" ref="Q10" ca="1">OFFSET(INDIRECT("Sheet"&amp;H$2&amp;"!f1"),H10-1,)</f>
        <v>2.2826961000021101E-2</v>
      </c>
      <c r="R10">
        <f ca="1">OFFSET(magma!$F$1,I10-1,)*1</f>
        <v>5.2720499996212297E-2</v>
      </c>
      <c r="T10">
        <f>Sheet1!B38</f>
        <v>8</v>
      </c>
      <c r="U10" s="10">
        <f t="shared" ca="1" si="1"/>
        <v>3.3332958817481897E-2</v>
      </c>
      <c r="V10" s="10">
        <f t="shared" ca="1" si="2"/>
        <v>3.4905137494206401E-2</v>
      </c>
      <c r="W10" s="10">
        <f t="shared" ca="1" si="3"/>
        <v>3.1412923708558E-3</v>
      </c>
      <c r="X10" s="10">
        <f t="shared" ca="1" si="4"/>
        <v>3.1682951375841999E-3</v>
      </c>
      <c r="Y10" s="10">
        <f t="shared" ca="1" si="5"/>
        <v>3.59048880636692E-3</v>
      </c>
      <c r="Z10" s="10">
        <f t="shared" ca="1" si="6"/>
        <v>7.4682909995317404E-2</v>
      </c>
      <c r="AA10" s="10">
        <f t="shared" ca="1" si="7"/>
        <v>2.2826961000021101E-2</v>
      </c>
      <c r="AB10" s="10">
        <f t="shared" ca="1" si="8"/>
        <v>5.2720499996212297E-2</v>
      </c>
    </row>
    <row r="11" spans="1:30" x14ac:dyDescent="0.2">
      <c r="A11" t="str">
        <f>Sheet1!A39</f>
        <v>[[9,1,3]]</v>
      </c>
      <c r="B11">
        <f ca="1">MATCH($A11,INDIRECT("Sheet"&amp;B$2&amp;"!A:A"),)</f>
        <v>39</v>
      </c>
      <c r="C11">
        <f ca="1">MATCH($A11,INDIRECT("Sheet"&amp;C$2&amp;"!A:A"),)</f>
        <v>39</v>
      </c>
      <c r="D11">
        <f ca="1">MATCH($A11,INDIRECT("Sheet"&amp;D$2&amp;"!A:A"),)</f>
        <v>39</v>
      </c>
      <c r="E11">
        <f ca="1">MATCH($A11,INDIRECT("Sheet"&amp;E$2&amp;"!A:A"),)</f>
        <v>39</v>
      </c>
      <c r="F11">
        <f ca="1">MATCH($A11,INDIRECT("Sheet"&amp;F$2&amp;"!A:A"),)</f>
        <v>39</v>
      </c>
      <c r="G11">
        <f ca="1">MATCH($A11,INDIRECT("Sheet"&amp;G$2&amp;"!A:A"),)</f>
        <v>39</v>
      </c>
      <c r="H11">
        <f ca="1">MATCH($A11,INDIRECT("Sheet"&amp;H$2&amp;"!A:A"),)</f>
        <v>39</v>
      </c>
      <c r="I11">
        <f>MATCH($A11,magma!A:A,)</f>
        <v>34</v>
      </c>
      <c r="K11" cm="1">
        <f t="array" aca="1" ref="K11" ca="1">OFFSET(INDIRECT("Sheet"&amp;B$2&amp;"!f1"),B11-1,)</f>
        <v>3.3219592645764302E-2</v>
      </c>
      <c r="L11" cm="1">
        <f t="array" aca="1" ref="L11" ca="1">OFFSET(INDIRECT("Sheet"&amp;C$2&amp;"!f1"),C11-1,)</f>
        <v>3.4337542019784402E-2</v>
      </c>
      <c r="M11" cm="1">
        <f t="array" aca="1" ref="M11" ca="1">OFFSET(INDIRECT("Sheet"&amp;D$2&amp;"!f1"),D11-1,)</f>
        <v>3.3542551100253998E-3</v>
      </c>
      <c r="N11" cm="1">
        <f t="array" aca="1" ref="N11" ca="1">OFFSET(INDIRECT("Sheet"&amp;E$2&amp;"!f1"),E11-1,)</f>
        <v>3.3251987770199702E-3</v>
      </c>
      <c r="O11" cm="1">
        <f t="array" aca="1" ref="O11" ca="1">OFFSET(INDIRECT("Sheet"&amp;F$2&amp;"!f1"),F11-1,)</f>
        <v>3.5833623260259598E-3</v>
      </c>
      <c r="P11" cm="1">
        <f t="array" aca="1" ref="P11" ca="1">OFFSET(INDIRECT("Sheet"&amp;G$2&amp;"!f1"),G11-1,)</f>
        <v>1.37595320120453E-2</v>
      </c>
      <c r="Q11" cm="1">
        <f t="array" aca="1" ref="Q11" ca="1">OFFSET(INDIRECT("Sheet"&amp;H$2&amp;"!f1"),H11-1,)</f>
        <v>2.5137000999990201E-2</v>
      </c>
      <c r="R11">
        <f ca="1">OFFSET(magma!$F$1,I11-1,)*1</f>
        <v>5.2406624992727302E-2</v>
      </c>
      <c r="T11">
        <f>Sheet1!B39</f>
        <v>9</v>
      </c>
      <c r="U11" s="10">
        <f t="shared" ca="1" si="1"/>
        <v>3.3219592645764302E-2</v>
      </c>
      <c r="V11" s="10">
        <f t="shared" ca="1" si="2"/>
        <v>3.4337542019784402E-2</v>
      </c>
      <c r="W11" s="10">
        <f t="shared" ca="1" si="3"/>
        <v>3.3542551100253998E-3</v>
      </c>
      <c r="X11" s="10">
        <f t="shared" ca="1" si="4"/>
        <v>3.3251987770199702E-3</v>
      </c>
      <c r="Y11" s="10">
        <f t="shared" ca="1" si="5"/>
        <v>3.5833623260259598E-3</v>
      </c>
      <c r="Z11" s="10">
        <f t="shared" ca="1" si="6"/>
        <v>1.37595320120453E-2</v>
      </c>
      <c r="AA11" s="10">
        <f t="shared" ca="1" si="7"/>
        <v>2.5137000999990201E-2</v>
      </c>
      <c r="AB11" s="10">
        <f t="shared" ca="1" si="8"/>
        <v>5.2406624992727302E-2</v>
      </c>
    </row>
    <row r="12" spans="1:30" x14ac:dyDescent="0.2">
      <c r="A12" t="str">
        <f>Sheet1!A40</f>
        <v>[[10,1,4]]</v>
      </c>
      <c r="B12">
        <f ca="1">MATCH($A12,INDIRECT("Sheet"&amp;B$2&amp;"!A:A"),)</f>
        <v>40</v>
      </c>
      <c r="C12">
        <f ca="1">MATCH($A12,INDIRECT("Sheet"&amp;C$2&amp;"!A:A"),)</f>
        <v>40</v>
      </c>
      <c r="D12">
        <f ca="1">MATCH($A12,INDIRECT("Sheet"&amp;D$2&amp;"!A:A"),)</f>
        <v>40</v>
      </c>
      <c r="E12">
        <f ca="1">MATCH($A12,INDIRECT("Sheet"&amp;E$2&amp;"!A:A"),)</f>
        <v>40</v>
      </c>
      <c r="F12">
        <f ca="1">MATCH($A12,INDIRECT("Sheet"&amp;F$2&amp;"!A:A"),)</f>
        <v>40</v>
      </c>
      <c r="G12">
        <f ca="1">MATCH($A12,INDIRECT("Sheet"&amp;G$2&amp;"!A:A"),)</f>
        <v>40</v>
      </c>
      <c r="H12">
        <f ca="1">MATCH($A12,INDIRECT("Sheet"&amp;H$2&amp;"!A:A"),)</f>
        <v>40</v>
      </c>
      <c r="I12">
        <f>MATCH($A12,magma!A:A,)</f>
        <v>35</v>
      </c>
      <c r="K12" cm="1">
        <f t="array" aca="1" ref="K12" ca="1">OFFSET(INDIRECT("Sheet"&amp;B$2&amp;"!f1"),B12-1,)</f>
        <v>6.3495385460555498E-2</v>
      </c>
      <c r="L12" cm="1">
        <f t="array" aca="1" ref="L12" ca="1">OFFSET(INDIRECT("Sheet"&amp;C$2&amp;"!f1"),C12-1,)</f>
        <v>6.4393463544547502E-2</v>
      </c>
      <c r="M12" cm="1">
        <f t="array" aca="1" ref="M12" ca="1">OFFSET(INDIRECT("Sheet"&amp;D$2&amp;"!f1"),D12-1,)</f>
        <v>4.0917461737990301E-3</v>
      </c>
      <c r="N12" cm="1">
        <f t="array" aca="1" ref="N12" ca="1">OFFSET(INDIRECT("Sheet"&amp;E$2&amp;"!f1"),E12-1,)</f>
        <v>4.3107951059937399E-3</v>
      </c>
      <c r="O12" cm="1">
        <f t="array" aca="1" ref="O12" ca="1">OFFSET(INDIRECT("Sheet"&amp;F$2&amp;"!f1"),F12-1,)</f>
        <v>4.5743091031908902E-3</v>
      </c>
      <c r="P12" cm="1">
        <f t="array" aca="1" ref="P12" ca="1">OFFSET(INDIRECT("Sheet"&amp;G$2&amp;"!f1"),G12-1,)</f>
        <v>1.4279019087553E-2</v>
      </c>
      <c r="Q12" cm="1">
        <f t="array" aca="1" ref="Q12" ca="1">OFFSET(INDIRECT("Sheet"&amp;H$2&amp;"!f1"),H12-1,)</f>
        <v>1.20074715799998</v>
      </c>
      <c r="R12">
        <f ca="1">OFFSET(magma!$F$1,I12-1,)*1</f>
        <v>5.2589167011319597E-2</v>
      </c>
      <c r="T12">
        <f>Sheet1!B40</f>
        <v>10</v>
      </c>
      <c r="U12" s="10">
        <f t="shared" ca="1" si="1"/>
        <v>6.3495385460555498E-2</v>
      </c>
      <c r="V12" s="10">
        <f t="shared" ca="1" si="2"/>
        <v>6.4393463544547502E-2</v>
      </c>
      <c r="W12" s="10">
        <f t="shared" ca="1" si="3"/>
        <v>4.0917461737990301E-3</v>
      </c>
      <c r="X12" s="10">
        <f t="shared" ca="1" si="4"/>
        <v>4.3107951059937399E-3</v>
      </c>
      <c r="Y12" s="10">
        <f t="shared" ca="1" si="5"/>
        <v>4.5743091031908902E-3</v>
      </c>
      <c r="Z12" s="10">
        <f t="shared" ca="1" si="6"/>
        <v>1.4279019087553E-2</v>
      </c>
      <c r="AA12" s="10">
        <f t="shared" ca="1" si="7"/>
        <v>1.20074715799998</v>
      </c>
      <c r="AB12" s="10">
        <f t="shared" ca="1" si="8"/>
        <v>5.2589167011319597E-2</v>
      </c>
    </row>
    <row r="13" spans="1:30" x14ac:dyDescent="0.2">
      <c r="A13" t="str">
        <f>Sheet1!A41</f>
        <v>[[11,1,5]]</v>
      </c>
      <c r="B13">
        <f ca="1">MATCH($A13,INDIRECT("Sheet"&amp;B$2&amp;"!A:A"),)</f>
        <v>41</v>
      </c>
      <c r="C13">
        <f ca="1">MATCH($A13,INDIRECT("Sheet"&amp;C$2&amp;"!A:A"),)</f>
        <v>41</v>
      </c>
      <c r="D13">
        <f ca="1">MATCH($A13,INDIRECT("Sheet"&amp;D$2&amp;"!A:A"),)</f>
        <v>41</v>
      </c>
      <c r="E13">
        <f ca="1">MATCH($A13,INDIRECT("Sheet"&amp;E$2&amp;"!A:A"),)</f>
        <v>41</v>
      </c>
      <c r="F13">
        <f ca="1">MATCH($A13,INDIRECT("Sheet"&amp;F$2&amp;"!A:A"),)</f>
        <v>41</v>
      </c>
      <c r="G13">
        <f ca="1">MATCH($A13,INDIRECT("Sheet"&amp;G$2&amp;"!A:A"),)</f>
        <v>41</v>
      </c>
      <c r="H13">
        <f ca="1">MATCH($A13,INDIRECT("Sheet"&amp;H$2&amp;"!A:A"),)</f>
        <v>41</v>
      </c>
      <c r="I13">
        <f>MATCH($A13,magma!A:A,)</f>
        <v>36</v>
      </c>
      <c r="K13" cm="1">
        <f t="array" aca="1" ref="K13" ca="1">OFFSET(INDIRECT("Sheet"&amp;B$2&amp;"!f1"),B13-1,)</f>
        <v>9.5066388137638499E-2</v>
      </c>
      <c r="L13" cm="1">
        <f t="array" aca="1" ref="L13" ca="1">OFFSET(INDIRECT("Sheet"&amp;C$2&amp;"!f1"),C13-1,)</f>
        <v>0.114734776318073</v>
      </c>
      <c r="M13" cm="1">
        <f t="array" aca="1" ref="M13" ca="1">OFFSET(INDIRECT("Sheet"&amp;D$2&amp;"!f1"),D13-1,)</f>
        <v>4.3507665395736599E-3</v>
      </c>
      <c r="N13" cm="1">
        <f t="array" aca="1" ref="N13" ca="1">OFFSET(INDIRECT("Sheet"&amp;E$2&amp;"!f1"),E13-1,)</f>
        <v>4.8825424164533598E-3</v>
      </c>
      <c r="O13" cm="1">
        <f t="array" aca="1" ref="O13" ca="1">OFFSET(INDIRECT("Sheet"&amp;F$2&amp;"!f1"),F13-1,)</f>
        <v>5.0013242289423899E-3</v>
      </c>
      <c r="P13" cm="1">
        <f t="array" aca="1" ref="P13" ca="1">OFFSET(INDIRECT("Sheet"&amp;G$2&amp;"!f1"),G13-1,)</f>
        <v>1.5943530015647401E-2</v>
      </c>
      <c r="Q13" cm="1">
        <f t="array" aca="1" ref="Q13" ca="1">OFFSET(INDIRECT("Sheet"&amp;H$2&amp;"!f1"),H13-1,)</f>
        <v>109.564398193</v>
      </c>
      <c r="R13">
        <f ca="1">OFFSET(magma!$F$1,I13-1,)*1</f>
        <v>5.2994915997260202E-2</v>
      </c>
      <c r="T13">
        <f>Sheet1!B41</f>
        <v>11</v>
      </c>
      <c r="U13" s="10">
        <f t="shared" ca="1" si="1"/>
        <v>9.5066388137638499E-2</v>
      </c>
      <c r="V13" s="10">
        <f t="shared" ca="1" si="2"/>
        <v>0.114734776318073</v>
      </c>
      <c r="W13" s="10">
        <f t="shared" ca="1" si="3"/>
        <v>4.3507665395736599E-3</v>
      </c>
      <c r="X13" s="10">
        <f t="shared" ca="1" si="4"/>
        <v>4.8825424164533598E-3</v>
      </c>
      <c r="Y13" s="10">
        <f t="shared" ca="1" si="5"/>
        <v>5.0013242289423899E-3</v>
      </c>
      <c r="Z13" s="10">
        <f t="shared" ca="1" si="6"/>
        <v>1.5943530015647401E-2</v>
      </c>
      <c r="AA13" s="10">
        <f t="shared" ca="1" si="7"/>
        <v>109.564398193</v>
      </c>
      <c r="AB13" s="10">
        <f t="shared" ca="1" si="8"/>
        <v>5.2994915997260202E-2</v>
      </c>
    </row>
    <row r="14" spans="1:30" x14ac:dyDescent="0.2">
      <c r="A14" t="str">
        <f>Sheet1!A42</f>
        <v>[[12,6,3]]</v>
      </c>
      <c r="B14">
        <f ca="1">MATCH($A14,INDIRECT("Sheet"&amp;B$2&amp;"!A:A"),)</f>
        <v>42</v>
      </c>
      <c r="C14">
        <f ca="1">MATCH($A14,INDIRECT("Sheet"&amp;C$2&amp;"!A:A"),)</f>
        <v>42</v>
      </c>
      <c r="D14">
        <f ca="1">MATCH($A14,INDIRECT("Sheet"&amp;D$2&amp;"!A:A"),)</f>
        <v>42</v>
      </c>
      <c r="E14">
        <f ca="1">MATCH($A14,INDIRECT("Sheet"&amp;E$2&amp;"!A:A"),)</f>
        <v>42</v>
      </c>
      <c r="F14">
        <f ca="1">MATCH($A14,INDIRECT("Sheet"&amp;F$2&amp;"!A:A"),)</f>
        <v>42</v>
      </c>
      <c r="G14">
        <f ca="1">MATCH($A14,INDIRECT("Sheet"&amp;G$2&amp;"!A:A"),)</f>
        <v>42</v>
      </c>
      <c r="H14">
        <f ca="1">MATCH($A14,INDIRECT("Sheet"&amp;H$2&amp;"!A:A"),)</f>
        <v>42</v>
      </c>
      <c r="I14">
        <f>MATCH($A14,magma!A:A,)</f>
        <v>37</v>
      </c>
      <c r="K14" cm="1">
        <f t="array" aca="1" ref="K14" ca="1">OFFSET(INDIRECT("Sheet"&amp;B$2&amp;"!f1"),B14-1,)</f>
        <v>6.3549580052495003E-2</v>
      </c>
      <c r="L14" cm="1">
        <f t="array" aca="1" ref="L14" ca="1">OFFSET(INDIRECT("Sheet"&amp;C$2&amp;"!f1"),C14-1,)</f>
        <v>5.4484990425407803E-2</v>
      </c>
      <c r="M14" cm="1">
        <f t="array" aca="1" ref="M14" ca="1">OFFSET(INDIRECT("Sheet"&amp;D$2&amp;"!f1"),D14-1,)</f>
        <v>5.4580047726631104E-3</v>
      </c>
      <c r="N14" cm="1">
        <f t="array" aca="1" ref="N14" ca="1">OFFSET(INDIRECT("Sheet"&amp;E$2&amp;"!f1"),E14-1,)</f>
        <v>6.3266307115554801E-3</v>
      </c>
      <c r="O14" cm="1">
        <f t="array" aca="1" ref="O14" ca="1">OFFSET(INDIRECT("Sheet"&amp;F$2&amp;"!f1"),F14-1,)</f>
        <v>6.1778882518410596E-3</v>
      </c>
      <c r="P14" cm="1">
        <f t="array" aca="1" ref="P14" ca="1">OFFSET(INDIRECT("Sheet"&amp;G$2&amp;"!f1"),G14-1,)</f>
        <v>1.3633457943797099E-2</v>
      </c>
      <c r="Q14" cm="1">
        <f t="array" aca="1" ref="Q14" ca="1">OFFSET(INDIRECT("Sheet"&amp;H$2&amp;"!f1"),H14-1,)</f>
        <v>0.101056655000007</v>
      </c>
      <c r="R14">
        <f ca="1">OFFSET(magma!$F$1,I14-1,)*1</f>
        <v>5.2198791992850602E-2</v>
      </c>
      <c r="T14">
        <f>Sheet1!B42</f>
        <v>12</v>
      </c>
      <c r="U14" s="10">
        <f t="shared" ca="1" si="1"/>
        <v>6.3549580052495003E-2</v>
      </c>
      <c r="V14" s="10">
        <f t="shared" ca="1" si="2"/>
        <v>5.4484990425407803E-2</v>
      </c>
      <c r="W14" s="10">
        <f t="shared" ca="1" si="3"/>
        <v>5.4580047726631104E-3</v>
      </c>
      <c r="X14" s="10">
        <f t="shared" ca="1" si="4"/>
        <v>6.3266307115554801E-3</v>
      </c>
      <c r="Y14" s="10">
        <f t="shared" ca="1" si="5"/>
        <v>6.1778882518410596E-3</v>
      </c>
      <c r="Z14" s="10">
        <f t="shared" ca="1" si="6"/>
        <v>1.3633457943797099E-2</v>
      </c>
      <c r="AA14" s="10">
        <f t="shared" ca="1" si="7"/>
        <v>0.101056655000007</v>
      </c>
      <c r="AB14" s="10">
        <f t="shared" ca="1" si="8"/>
        <v>5.2198791992850602E-2</v>
      </c>
    </row>
    <row r="15" spans="1:30" x14ac:dyDescent="0.2">
      <c r="A15" t="str">
        <f>Sheet1!A43</f>
        <v>[[13,6,3]]</v>
      </c>
      <c r="B15">
        <f ca="1">MATCH($A15,INDIRECT("Sheet"&amp;B$2&amp;"!A:A"),)</f>
        <v>43</v>
      </c>
      <c r="C15">
        <f ca="1">MATCH($A15,INDIRECT("Sheet"&amp;C$2&amp;"!A:A"),)</f>
        <v>43</v>
      </c>
      <c r="D15">
        <f ca="1">MATCH($A15,INDIRECT("Sheet"&amp;D$2&amp;"!A:A"),)</f>
        <v>43</v>
      </c>
      <c r="E15">
        <f ca="1">MATCH($A15,INDIRECT("Sheet"&amp;E$2&amp;"!A:A"),)</f>
        <v>43</v>
      </c>
      <c r="F15">
        <f ca="1">MATCH($A15,INDIRECT("Sheet"&amp;F$2&amp;"!A:A"),)</f>
        <v>43</v>
      </c>
      <c r="G15">
        <f ca="1">MATCH($A15,INDIRECT("Sheet"&amp;G$2&amp;"!A:A"),)</f>
        <v>43</v>
      </c>
      <c r="H15">
        <f ca="1">MATCH($A15,INDIRECT("Sheet"&amp;H$2&amp;"!A:A"),)</f>
        <v>43</v>
      </c>
      <c r="I15">
        <f>MATCH($A15,magma!A:A,)</f>
        <v>38</v>
      </c>
      <c r="K15" cm="1">
        <f t="array" aca="1" ref="K15" ca="1">OFFSET(INDIRECT("Sheet"&amp;B$2&amp;"!f1"),B15-1,)</f>
        <v>5.3781666792929103E-2</v>
      </c>
      <c r="L15" cm="1">
        <f t="array" aca="1" ref="L15" ca="1">OFFSET(INDIRECT("Sheet"&amp;C$2&amp;"!f1"),C15-1,)</f>
        <v>7.5968705117702401E-2</v>
      </c>
      <c r="M15" cm="1">
        <f t="array" aca="1" ref="M15" ca="1">OFFSET(INDIRECT("Sheet"&amp;D$2&amp;"!f1"),D15-1,)</f>
        <v>5.7930769398808401E-3</v>
      </c>
      <c r="N15" cm="1">
        <f t="array" aca="1" ref="N15" ca="1">OFFSET(INDIRECT("Sheet"&amp;E$2&amp;"!f1"),E15-1,)</f>
        <v>5.5834501981735203E-3</v>
      </c>
      <c r="O15" cm="1">
        <f t="array" aca="1" ref="O15" ca="1">OFFSET(INDIRECT("Sheet"&amp;F$2&amp;"!f1"),F15-1,)</f>
        <v>6.6611217334866498E-3</v>
      </c>
      <c r="P15" cm="1">
        <f t="array" aca="1" ref="P15" ca="1">OFFSET(INDIRECT("Sheet"&amp;G$2&amp;"!f1"),G15-1,)</f>
        <v>1.3476771302521199E-2</v>
      </c>
      <c r="Q15" cm="1">
        <f t="array" aca="1" ref="Q15" ca="1">OFFSET(INDIRECT("Sheet"&amp;H$2&amp;"!f1"),H15-1,)</f>
        <v>0.102545738999992</v>
      </c>
      <c r="R15">
        <f ca="1">OFFSET(magma!$F$1,I15-1,)*1</f>
        <v>5.3350833011791103E-2</v>
      </c>
      <c r="T15">
        <f>Sheet1!B43</f>
        <v>13</v>
      </c>
      <c r="U15" s="10">
        <f t="shared" ca="1" si="1"/>
        <v>5.3781666792929103E-2</v>
      </c>
      <c r="V15" s="10">
        <f t="shared" ca="1" si="2"/>
        <v>7.5968705117702401E-2</v>
      </c>
      <c r="W15" s="10">
        <f t="shared" ca="1" si="3"/>
        <v>5.7930769398808401E-3</v>
      </c>
      <c r="X15" s="10">
        <f t="shared" ca="1" si="4"/>
        <v>5.5834501981735203E-3</v>
      </c>
      <c r="Y15" s="10">
        <f t="shared" ca="1" si="5"/>
        <v>6.6611217334866498E-3</v>
      </c>
      <c r="Z15" s="10">
        <f t="shared" ca="1" si="6"/>
        <v>1.3476771302521199E-2</v>
      </c>
      <c r="AA15" s="10">
        <f t="shared" ca="1" si="7"/>
        <v>0.102545738999992</v>
      </c>
      <c r="AB15" s="10">
        <f t="shared" ca="1" si="8"/>
        <v>5.3350833011791103E-2</v>
      </c>
    </row>
    <row r="16" spans="1:30" x14ac:dyDescent="0.2">
      <c r="A16" t="str">
        <f>Sheet1!A44</f>
        <v>[[14,2,5]]</v>
      </c>
      <c r="B16">
        <f ca="1">MATCH($A16,INDIRECT("Sheet"&amp;B$2&amp;"!A:A"),)</f>
        <v>44</v>
      </c>
      <c r="C16">
        <f ca="1">MATCH($A16,INDIRECT("Sheet"&amp;C$2&amp;"!A:A"),)</f>
        <v>44</v>
      </c>
      <c r="D16">
        <f ca="1">MATCH($A16,INDIRECT("Sheet"&amp;D$2&amp;"!A:A"),)</f>
        <v>44</v>
      </c>
      <c r="E16">
        <f ca="1">MATCH($A16,INDIRECT("Sheet"&amp;E$2&amp;"!A:A"),)</f>
        <v>44</v>
      </c>
      <c r="F16">
        <f ca="1">MATCH($A16,INDIRECT("Sheet"&amp;F$2&amp;"!A:A"),)</f>
        <v>44</v>
      </c>
      <c r="G16">
        <f ca="1">MATCH($A16,INDIRECT("Sheet"&amp;G$2&amp;"!A:A"),)</f>
        <v>44</v>
      </c>
      <c r="H16">
        <f ca="1">MATCH($A16,INDIRECT("Sheet"&amp;H$2&amp;"!A:A"),)</f>
        <v>44</v>
      </c>
      <c r="I16">
        <f>MATCH($A16,magma!A:A,)</f>
        <v>39</v>
      </c>
      <c r="K16" cm="1">
        <f t="array" aca="1" ref="K16" ca="1">OFFSET(INDIRECT("Sheet"&amp;B$2&amp;"!f1"),B16-1,)</f>
        <v>0.113954750820994</v>
      </c>
      <c r="L16" cm="1">
        <f t="array" aca="1" ref="L16" ca="1">OFFSET(INDIRECT("Sheet"&amp;C$2&amp;"!f1"),C16-1,)</f>
        <v>0.18532493617385601</v>
      </c>
      <c r="M16" cm="1">
        <f t="array" aca="1" ref="M16" ca="1">OFFSET(INDIRECT("Sheet"&amp;D$2&amp;"!f1"),D16-1,)</f>
        <v>4.97738644480705E-3</v>
      </c>
      <c r="N16" cm="1">
        <f t="array" aca="1" ref="N16" ca="1">OFFSET(INDIRECT("Sheet"&amp;E$2&amp;"!f1"),E16-1,)</f>
        <v>7.9374089837074193E-3</v>
      </c>
      <c r="O16" cm="1">
        <f t="array" aca="1" ref="O16" ca="1">OFFSET(INDIRECT("Sheet"&amp;F$2&amp;"!f1"),F16-1,)</f>
        <v>8.5715688765048894E-3</v>
      </c>
      <c r="P16" cm="1">
        <f t="array" aca="1" ref="P16" ca="1">OFFSET(INDIRECT("Sheet"&amp;G$2&amp;"!f1"),G16-1,)</f>
        <v>2.0579898729920301E-2</v>
      </c>
      <c r="Q16" cm="1">
        <f t="array" aca="1" ref="Q16" ca="1">OFFSET(INDIRECT("Sheet"&amp;H$2&amp;"!f1"),H16-1,)</f>
        <v>1785.6138570430001</v>
      </c>
      <c r="R16">
        <f ca="1">OFFSET(magma!$F$1,I16-1,)*1</f>
        <v>5.32726249948609E-2</v>
      </c>
      <c r="T16">
        <f>Sheet1!B44</f>
        <v>14</v>
      </c>
      <c r="U16" s="10">
        <f t="shared" ca="1" si="1"/>
        <v>0.113954750820994</v>
      </c>
      <c r="V16" s="10">
        <f t="shared" ca="1" si="2"/>
        <v>0.18532493617385601</v>
      </c>
      <c r="W16" s="10">
        <f t="shared" ca="1" si="3"/>
        <v>4.97738644480705E-3</v>
      </c>
      <c r="X16" s="10">
        <f t="shared" ca="1" si="4"/>
        <v>7.9374089837074193E-3</v>
      </c>
      <c r="Y16" s="10">
        <f t="shared" ca="1" si="5"/>
        <v>8.5715688765048894E-3</v>
      </c>
      <c r="Z16" s="10">
        <f t="shared" ca="1" si="6"/>
        <v>2.0579898729920301E-2</v>
      </c>
      <c r="AA16" s="10">
        <f t="shared" ca="1" si="7"/>
        <v>1785.6138570430001</v>
      </c>
      <c r="AB16" s="10">
        <f t="shared" ca="1" si="8"/>
        <v>5.32726249948609E-2</v>
      </c>
    </row>
    <row r="17" spans="1:30" x14ac:dyDescent="0.2">
      <c r="A17" t="str">
        <f>Sheet1!A45</f>
        <v>[[15,2,5]]</v>
      </c>
      <c r="B17">
        <f ca="1">MATCH($A17,INDIRECT("Sheet"&amp;B$2&amp;"!A:A"),)</f>
        <v>45</v>
      </c>
      <c r="C17">
        <f ca="1">MATCH($A17,INDIRECT("Sheet"&amp;C$2&amp;"!A:A"),)</f>
        <v>45</v>
      </c>
      <c r="D17">
        <f ca="1">MATCH($A17,INDIRECT("Sheet"&amp;D$2&amp;"!A:A"),)</f>
        <v>45</v>
      </c>
      <c r="E17">
        <f ca="1">MATCH($A17,INDIRECT("Sheet"&amp;E$2&amp;"!A:A"),)</f>
        <v>45</v>
      </c>
      <c r="F17">
        <f ca="1">MATCH($A17,INDIRECT("Sheet"&amp;F$2&amp;"!A:A"),)</f>
        <v>45</v>
      </c>
      <c r="G17">
        <f ca="1">MATCH($A17,INDIRECT("Sheet"&amp;G$2&amp;"!A:A"),)</f>
        <v>45</v>
      </c>
      <c r="H17">
        <f ca="1">MATCH($A17,INDIRECT("Sheet"&amp;H$2&amp;"!A:A"),)</f>
        <v>45</v>
      </c>
      <c r="I17">
        <f>MATCH($A17,magma!A:A,)</f>
        <v>40</v>
      </c>
      <c r="K17" cm="1">
        <f t="array" aca="1" ref="K17" ca="1">OFFSET(INDIRECT("Sheet"&amp;B$2&amp;"!f1"),B17-1,)</f>
        <v>0.12610618397593401</v>
      </c>
      <c r="L17" cm="1">
        <f t="array" aca="1" ref="L17" ca="1">OFFSET(INDIRECT("Sheet"&amp;C$2&amp;"!f1"),C17-1,)</f>
        <v>0.16520771477371399</v>
      </c>
      <c r="M17" cm="1">
        <f t="array" aca="1" ref="M17" ca="1">OFFSET(INDIRECT("Sheet"&amp;D$2&amp;"!f1"),D17-1,)</f>
        <v>9.9171409383416106E-3</v>
      </c>
      <c r="N17" cm="1">
        <f t="array" aca="1" ref="N17" ca="1">OFFSET(INDIRECT("Sheet"&amp;E$2&amp;"!f1"),E17-1,)</f>
        <v>9.1155618429183908E-3</v>
      </c>
      <c r="O17" cm="1">
        <f t="array" aca="1" ref="O17" ca="1">OFFSET(INDIRECT("Sheet"&amp;F$2&amp;"!f1"),F17-1,)</f>
        <v>9.5178755000233598E-3</v>
      </c>
      <c r="P17" cm="1">
        <f t="array" aca="1" ref="P17" ca="1">OFFSET(INDIRECT("Sheet"&amp;G$2&amp;"!f1"),G17-1,)</f>
        <v>2.0313364453613699E-2</v>
      </c>
      <c r="Q17" cm="1">
        <f t="array" aca="1" ref="Q17" ca="1">OFFSET(INDIRECT("Sheet"&amp;H$2&amp;"!f1"),H17-1,)</f>
        <v>1771.15714666899</v>
      </c>
      <c r="R17">
        <f ca="1">OFFSET(magma!$F$1,I17-1,)*1</f>
        <v>5.4226708991336602E-2</v>
      </c>
      <c r="T17">
        <f>Sheet1!B45</f>
        <v>15</v>
      </c>
      <c r="U17" s="10">
        <f t="shared" ca="1" si="1"/>
        <v>0.12610618397593401</v>
      </c>
      <c r="V17" s="10">
        <f t="shared" ca="1" si="2"/>
        <v>0.16520771477371399</v>
      </c>
      <c r="W17" s="10">
        <f t="shared" ca="1" si="3"/>
        <v>9.9171409383416106E-3</v>
      </c>
      <c r="X17" s="10">
        <f t="shared" ca="1" si="4"/>
        <v>9.1155618429183908E-3</v>
      </c>
      <c r="Y17" s="10">
        <f t="shared" ca="1" si="5"/>
        <v>9.5178755000233598E-3</v>
      </c>
      <c r="Z17" s="10">
        <f t="shared" ca="1" si="6"/>
        <v>2.0313364453613699E-2</v>
      </c>
      <c r="AA17" s="10">
        <f t="shared" ca="1" si="7"/>
        <v>1771.15714666899</v>
      </c>
      <c r="AB17" s="10">
        <f t="shared" ca="1" si="8"/>
        <v>5.4226708991336602E-2</v>
      </c>
    </row>
    <row r="18" spans="1:30" x14ac:dyDescent="0.2">
      <c r="A18" t="str">
        <f>Sheet1!A46</f>
        <v>[[16,1,6]]</v>
      </c>
      <c r="B18">
        <f ca="1">MATCH($A18,INDIRECT("Sheet"&amp;B$2&amp;"!A:A"),)</f>
        <v>46</v>
      </c>
      <c r="C18">
        <f ca="1">MATCH($A18,INDIRECT("Sheet"&amp;C$2&amp;"!A:A"),)</f>
        <v>46</v>
      </c>
      <c r="D18">
        <f ca="1">MATCH($A18,INDIRECT("Sheet"&amp;D$2&amp;"!A:A"),)</f>
        <v>46</v>
      </c>
      <c r="E18">
        <f ca="1">MATCH($A18,INDIRECT("Sheet"&amp;E$2&amp;"!A:A"),)</f>
        <v>46</v>
      </c>
      <c r="F18">
        <f ca="1">MATCH($A18,INDIRECT("Sheet"&amp;F$2&amp;"!A:A"),)</f>
        <v>46</v>
      </c>
      <c r="G18">
        <f ca="1">MATCH($A18,INDIRECT("Sheet"&amp;G$2&amp;"!A:A"),)</f>
        <v>46</v>
      </c>
      <c r="H18">
        <f ca="1">MATCH($A18,INDIRECT("Sheet"&amp;H$2&amp;"!A:A"),)</f>
        <v>46</v>
      </c>
      <c r="I18">
        <f>MATCH($A18,magma!A:A,)</f>
        <v>41</v>
      </c>
      <c r="K18" cm="1">
        <f t="array" aca="1" ref="K18" ca="1">OFFSET(INDIRECT("Sheet"&amp;B$2&amp;"!f1"),B18-1,)</f>
        <v>0.47610480524599502</v>
      </c>
      <c r="L18" cm="1">
        <f t="array" aca="1" ref="L18" ca="1">OFFSET(INDIRECT("Sheet"&amp;C$2&amp;"!f1"),C18-1,)</f>
        <v>0.50750039517879397</v>
      </c>
      <c r="M18" cm="1">
        <f t="array" aca="1" ref="M18" ca="1">OFFSET(INDIRECT("Sheet"&amp;D$2&amp;"!f1"),D18-1,)</f>
        <v>9.4521865248680097E-3</v>
      </c>
      <c r="N18" cm="1">
        <f t="array" aca="1" ref="N18" ca="1">OFFSET(INDIRECT("Sheet"&amp;E$2&amp;"!f1"),E18-1,)</f>
        <v>1.0332902893423999E-2</v>
      </c>
      <c r="O18" cm="1">
        <f t="array" aca="1" ref="O18" ca="1">OFFSET(INDIRECT("Sheet"&amp;F$2&amp;"!f1"),F18-1,)</f>
        <v>8.8683404028415593E-3</v>
      </c>
      <c r="P18" cm="1">
        <f t="array" aca="1" ref="P18" ca="1">OFFSET(INDIRECT("Sheet"&amp;G$2&amp;"!f1"),G18-1,)</f>
        <v>0.26514577679335999</v>
      </c>
      <c r="Q18" cm="1">
        <f t="array" aca="1" ref="Q18" ca="1">OFFSET(INDIRECT("Sheet"&amp;H$2&amp;"!f1"),H18-1,)</f>
        <v>28800.117492669</v>
      </c>
      <c r="R18">
        <f ca="1">OFFSET(magma!$F$1,I18-1,)*1</f>
        <v>5.3124625002965303E-2</v>
      </c>
      <c r="T18">
        <f>Sheet1!B46</f>
        <v>16</v>
      </c>
      <c r="U18" s="10">
        <f t="shared" ca="1" si="1"/>
        <v>0.47610480524599502</v>
      </c>
      <c r="V18" s="10">
        <f t="shared" ca="1" si="2"/>
        <v>0.50750039517879397</v>
      </c>
      <c r="W18" s="10">
        <f t="shared" ca="1" si="3"/>
        <v>9.4521865248680097E-3</v>
      </c>
      <c r="X18" s="10">
        <f t="shared" ca="1" si="4"/>
        <v>1.0332902893423999E-2</v>
      </c>
      <c r="Y18" s="10">
        <f t="shared" ca="1" si="5"/>
        <v>8.8683404028415593E-3</v>
      </c>
      <c r="Z18" s="10">
        <f t="shared" ca="1" si="6"/>
        <v>0.26514577679335999</v>
      </c>
      <c r="AA18" s="10" t="e">
        <f t="shared" ca="1" si="7"/>
        <v>#N/A</v>
      </c>
      <c r="AB18" s="10">
        <f t="shared" ca="1" si="8"/>
        <v>5.3124625002965303E-2</v>
      </c>
    </row>
    <row r="19" spans="1:30" x14ac:dyDescent="0.2">
      <c r="A19" t="str">
        <f>Sheet1!A47</f>
        <v>[[17,3,5]]</v>
      </c>
      <c r="B19">
        <f ca="1">MATCH($A19,INDIRECT("Sheet"&amp;B$2&amp;"!A:A"),)</f>
        <v>47</v>
      </c>
      <c r="C19">
        <f ca="1">MATCH($A19,INDIRECT("Sheet"&amp;C$2&amp;"!A:A"),)</f>
        <v>47</v>
      </c>
      <c r="D19">
        <f ca="1">MATCH($A19,INDIRECT("Sheet"&amp;D$2&amp;"!A:A"),)</f>
        <v>47</v>
      </c>
      <c r="E19">
        <f ca="1">MATCH($A19,INDIRECT("Sheet"&amp;E$2&amp;"!A:A"),)</f>
        <v>47</v>
      </c>
      <c r="F19">
        <f ca="1">MATCH($A19,INDIRECT("Sheet"&amp;F$2&amp;"!A:A"),)</f>
        <v>47</v>
      </c>
      <c r="G19">
        <f ca="1">MATCH($A19,INDIRECT("Sheet"&amp;G$2&amp;"!A:A"),)</f>
        <v>47</v>
      </c>
      <c r="H19">
        <f ca="1">MATCH($A19,INDIRECT("Sheet"&amp;H$2&amp;"!A:A"),)</f>
        <v>47</v>
      </c>
      <c r="I19">
        <f>MATCH($A19,magma!A:A,)</f>
        <v>42</v>
      </c>
      <c r="K19" cm="1">
        <f t="array" aca="1" ref="K19" ca="1">OFFSET(INDIRECT("Sheet"&amp;B$2&amp;"!f1"),B19-1,)</f>
        <v>0.27593678608536698</v>
      </c>
      <c r="L19" cm="1">
        <f t="array" aca="1" ref="L19" ca="1">OFFSET(INDIRECT("Sheet"&amp;C$2&amp;"!f1"),C19-1,)</f>
        <v>0.255701282061636</v>
      </c>
      <c r="M19" cm="1">
        <f t="array" aca="1" ref="M19" ca="1">OFFSET(INDIRECT("Sheet"&amp;D$2&amp;"!f1"),D19-1,)</f>
        <v>4.5107115060090998E-2</v>
      </c>
      <c r="N19" cm="1">
        <f t="array" aca="1" ref="N19" ca="1">OFFSET(INDIRECT("Sheet"&amp;E$2&amp;"!f1"),E19-1,)</f>
        <v>1.31941782310605E-2</v>
      </c>
      <c r="O19" cm="1">
        <f t="array" aca="1" ref="O19" ca="1">OFFSET(INDIRECT("Sheet"&amp;F$2&amp;"!f1"),F19-1,)</f>
        <v>1.45440474152565E-2</v>
      </c>
      <c r="P19" cm="1">
        <f t="array" aca="1" ref="P19" ca="1">OFFSET(INDIRECT("Sheet"&amp;G$2&amp;"!f1"),G19-1,)</f>
        <v>2.2161301225423799E-2</v>
      </c>
      <c r="Q19" cm="1">
        <f t="array" aca="1" ref="Q19" ca="1">OFFSET(INDIRECT("Sheet"&amp;H$2&amp;"!f1"),H19-1,)</f>
        <v>3266.3515120469901</v>
      </c>
      <c r="R19">
        <f ca="1">OFFSET(magma!$F$1,I19-1,)*1</f>
        <v>5.4344375006621697E-2</v>
      </c>
      <c r="T19">
        <f>Sheet1!B47</f>
        <v>17</v>
      </c>
      <c r="U19" s="10">
        <f t="shared" ca="1" si="1"/>
        <v>0.27593678608536698</v>
      </c>
      <c r="V19" s="10">
        <f t="shared" ca="1" si="2"/>
        <v>0.255701282061636</v>
      </c>
      <c r="W19" s="10">
        <f t="shared" ca="1" si="3"/>
        <v>4.5107115060090998E-2</v>
      </c>
      <c r="X19" s="10">
        <f t="shared" ca="1" si="4"/>
        <v>1.31941782310605E-2</v>
      </c>
      <c r="Y19" s="10">
        <f t="shared" ca="1" si="5"/>
        <v>1.45440474152565E-2</v>
      </c>
      <c r="Z19" s="10">
        <f t="shared" ca="1" si="6"/>
        <v>2.2161301225423799E-2</v>
      </c>
      <c r="AA19" s="10">
        <f t="shared" ca="1" si="7"/>
        <v>3266.3515120469901</v>
      </c>
      <c r="AB19" s="10">
        <f t="shared" ca="1" si="8"/>
        <v>5.4344375006621697E-2</v>
      </c>
    </row>
    <row r="20" spans="1:30" x14ac:dyDescent="0.2">
      <c r="A20" t="str">
        <f>Sheet1!A48</f>
        <v>[[18,5,5]]</v>
      </c>
      <c r="B20">
        <f ca="1">MATCH($A20,INDIRECT("Sheet"&amp;B$2&amp;"!A:A"),)</f>
        <v>48</v>
      </c>
      <c r="C20">
        <f ca="1">MATCH($A20,INDIRECT("Sheet"&amp;C$2&amp;"!A:A"),)</f>
        <v>48</v>
      </c>
      <c r="D20">
        <f ca="1">MATCH($A20,INDIRECT("Sheet"&amp;D$2&amp;"!A:A"),)</f>
        <v>48</v>
      </c>
      <c r="E20">
        <f ca="1">MATCH($A20,INDIRECT("Sheet"&amp;E$2&amp;"!A:A"),)</f>
        <v>48</v>
      </c>
      <c r="F20">
        <f ca="1">MATCH($A20,INDIRECT("Sheet"&amp;F$2&amp;"!A:A"),)</f>
        <v>48</v>
      </c>
      <c r="G20">
        <f ca="1">MATCH($A20,INDIRECT("Sheet"&amp;G$2&amp;"!A:A"),)</f>
        <v>48</v>
      </c>
      <c r="H20">
        <f ca="1">MATCH($A20,INDIRECT("Sheet"&amp;H$2&amp;"!A:A"),)</f>
        <v>48</v>
      </c>
      <c r="I20">
        <f>MATCH($A20,magma!A:A,)</f>
        <v>43</v>
      </c>
      <c r="K20" cm="1">
        <f t="array" aca="1" ref="K20" ca="1">OFFSET(INDIRECT("Sheet"&amp;B$2&amp;"!f1"),B20-1,)</f>
        <v>0.41555741801857898</v>
      </c>
      <c r="L20" cm="1">
        <f t="array" aca="1" ref="L20" ca="1">OFFSET(INDIRECT("Sheet"&amp;C$2&amp;"!f1"),C20-1,)</f>
        <v>0.41683706920593899</v>
      </c>
      <c r="M20" cm="1">
        <f t="array" aca="1" ref="M20" ca="1">OFFSET(INDIRECT("Sheet"&amp;D$2&amp;"!f1"),D20-1,)</f>
        <v>0.10043169837445</v>
      </c>
      <c r="N20" cm="1">
        <f t="array" aca="1" ref="N20" ca="1">OFFSET(INDIRECT("Sheet"&amp;E$2&amp;"!f1"),E20-1,)</f>
        <v>2.0377604290843E-2</v>
      </c>
      <c r="O20" cm="1">
        <f t="array" aca="1" ref="O20" ca="1">OFFSET(INDIRECT("Sheet"&amp;F$2&amp;"!f1"),F20-1,)</f>
        <v>2.3151479661464601E-2</v>
      </c>
      <c r="P20" cm="1">
        <f t="array" aca="1" ref="P20" ca="1">OFFSET(INDIRECT("Sheet"&amp;G$2&amp;"!f1"),G20-1,)</f>
        <v>3.3530186861753401E-2</v>
      </c>
      <c r="Q20" cm="1">
        <f t="array" aca="1" ref="Q20" ca="1">OFFSET(INDIRECT("Sheet"&amp;H$2&amp;"!f1"),H20-1,)</f>
        <v>28800.997361939</v>
      </c>
      <c r="R20">
        <f ca="1">OFFSET(magma!$F$1,I20-1,)*1</f>
        <v>5.4014332999940899E-2</v>
      </c>
      <c r="T20">
        <f>Sheet1!B48</f>
        <v>18</v>
      </c>
      <c r="U20" s="10">
        <f t="shared" ca="1" si="1"/>
        <v>0.41555741801857898</v>
      </c>
      <c r="V20" s="10">
        <f t="shared" ca="1" si="2"/>
        <v>0.41683706920593899</v>
      </c>
      <c r="W20" s="10">
        <f t="shared" ca="1" si="3"/>
        <v>0.10043169837445</v>
      </c>
      <c r="X20" s="10">
        <f t="shared" ca="1" si="4"/>
        <v>2.0377604290843E-2</v>
      </c>
      <c r="Y20" s="10">
        <f t="shared" ca="1" si="5"/>
        <v>2.3151479661464601E-2</v>
      </c>
      <c r="Z20" s="10">
        <f t="shared" ca="1" si="6"/>
        <v>3.3530186861753401E-2</v>
      </c>
      <c r="AA20" s="10" t="e">
        <f t="shared" ca="1" si="7"/>
        <v>#N/A</v>
      </c>
      <c r="AB20" s="10">
        <f t="shared" ca="1" si="8"/>
        <v>5.4014332999940899E-2</v>
      </c>
    </row>
    <row r="21" spans="1:30" x14ac:dyDescent="0.2">
      <c r="A21" t="str">
        <f>Sheet1!A49</f>
        <v>[[19,5,5]]</v>
      </c>
      <c r="B21">
        <f ca="1">MATCH($A21,INDIRECT("Sheet"&amp;B$2&amp;"!A:A"),)</f>
        <v>49</v>
      </c>
      <c r="C21">
        <f ca="1">MATCH($A21,INDIRECT("Sheet"&amp;C$2&amp;"!A:A"),)</f>
        <v>49</v>
      </c>
      <c r="D21">
        <f ca="1">MATCH($A21,INDIRECT("Sheet"&amp;D$2&amp;"!A:A"),)</f>
        <v>49</v>
      </c>
      <c r="E21">
        <f ca="1">MATCH($A21,INDIRECT("Sheet"&amp;E$2&amp;"!A:A"),)</f>
        <v>49</v>
      </c>
      <c r="F21">
        <f ca="1">MATCH($A21,INDIRECT("Sheet"&amp;F$2&amp;"!A:A"),)</f>
        <v>49</v>
      </c>
      <c r="G21">
        <f ca="1">MATCH($A21,INDIRECT("Sheet"&amp;G$2&amp;"!A:A"),)</f>
        <v>49</v>
      </c>
      <c r="H21">
        <f ca="1">MATCH($A21,INDIRECT("Sheet"&amp;H$2&amp;"!A:A"),)</f>
        <v>49</v>
      </c>
      <c r="I21">
        <f>MATCH($A21,magma!A:A,)</f>
        <v>44</v>
      </c>
      <c r="K21" cm="1">
        <f t="array" aca="1" ref="K21" ca="1">OFFSET(INDIRECT("Sheet"&amp;B$2&amp;"!f1"),B21-1,)</f>
        <v>0.37553599663078702</v>
      </c>
      <c r="L21" cm="1">
        <f t="array" aca="1" ref="L21" ca="1">OFFSET(INDIRECT("Sheet"&amp;C$2&amp;"!f1"),C21-1,)</f>
        <v>0.33663134649395898</v>
      </c>
      <c r="M21" cm="1">
        <f t="array" aca="1" ref="M21" ca="1">OFFSET(INDIRECT("Sheet"&amp;D$2&amp;"!f1"),D21-1,)</f>
        <v>0.114707043394446</v>
      </c>
      <c r="N21" cm="1">
        <f t="array" aca="1" ref="N21" ca="1">OFFSET(INDIRECT("Sheet"&amp;E$2&amp;"!f1"),E21-1,)</f>
        <v>2.4124764837324598E-2</v>
      </c>
      <c r="O21" cm="1">
        <f t="array" aca="1" ref="O21" ca="1">OFFSET(INDIRECT("Sheet"&amp;F$2&amp;"!f1"),F21-1,)</f>
        <v>2.67174672335386E-2</v>
      </c>
      <c r="P21" cm="1">
        <f t="array" aca="1" ref="P21" ca="1">OFFSET(INDIRECT("Sheet"&amp;G$2&amp;"!f1"),G21-1,)</f>
        <v>3.2995032146572997E-2</v>
      </c>
      <c r="Q21" cm="1">
        <f t="array" aca="1" ref="Q21" ca="1">OFFSET(INDIRECT("Sheet"&amp;H$2&amp;"!f1"),H21-1,)</f>
        <v>28801.314472671002</v>
      </c>
      <c r="R21">
        <f ca="1">OFFSET(magma!$F$1,I21-1,)*1</f>
        <v>5.43916250026086E-2</v>
      </c>
      <c r="T21">
        <f>Sheet1!B49</f>
        <v>19</v>
      </c>
      <c r="U21" s="10">
        <f t="shared" ca="1" si="1"/>
        <v>0.37553599663078702</v>
      </c>
      <c r="V21" s="10">
        <f t="shared" ca="1" si="2"/>
        <v>0.33663134649395898</v>
      </c>
      <c r="W21" s="10">
        <f t="shared" ca="1" si="3"/>
        <v>0.114707043394446</v>
      </c>
      <c r="X21" s="10">
        <f t="shared" ca="1" si="4"/>
        <v>2.4124764837324598E-2</v>
      </c>
      <c r="Y21" s="10">
        <f t="shared" ca="1" si="5"/>
        <v>2.67174672335386E-2</v>
      </c>
      <c r="Z21" s="10">
        <f t="shared" ca="1" si="6"/>
        <v>3.2995032146572997E-2</v>
      </c>
      <c r="AA21" s="10" t="e">
        <f t="shared" ca="1" si="7"/>
        <v>#N/A</v>
      </c>
      <c r="AB21" s="10">
        <f t="shared" ca="1" si="8"/>
        <v>5.43916250026086E-2</v>
      </c>
    </row>
    <row r="22" spans="1:30" x14ac:dyDescent="0.2">
      <c r="A22" t="str">
        <f>Sheet1!A50</f>
        <v>[[20,3,6]]</v>
      </c>
      <c r="B22">
        <f ca="1">MATCH($A22,INDIRECT("Sheet"&amp;B$2&amp;"!A:A"),)</f>
        <v>50</v>
      </c>
      <c r="C22">
        <f ca="1">MATCH($A22,INDIRECT("Sheet"&amp;C$2&amp;"!A:A"),)</f>
        <v>50</v>
      </c>
      <c r="D22">
        <f ca="1">MATCH($A22,INDIRECT("Sheet"&amp;D$2&amp;"!A:A"),)</f>
        <v>50</v>
      </c>
      <c r="E22">
        <f ca="1">MATCH($A22,INDIRECT("Sheet"&amp;E$2&amp;"!A:A"),)</f>
        <v>50</v>
      </c>
      <c r="F22">
        <f ca="1">MATCH($A22,INDIRECT("Sheet"&amp;F$2&amp;"!A:A"),)</f>
        <v>50</v>
      </c>
      <c r="G22">
        <f ca="1">MATCH($A22,INDIRECT("Sheet"&amp;G$2&amp;"!A:A"),)</f>
        <v>50</v>
      </c>
      <c r="H22">
        <f ca="1">MATCH($A22,INDIRECT("Sheet"&amp;H$2&amp;"!A:A"),)</f>
        <v>50</v>
      </c>
      <c r="I22">
        <f>MATCH($A22,magma!A:A,)</f>
        <v>45</v>
      </c>
      <c r="K22" cm="1">
        <f t="array" aca="1" ref="K22" ca="1">OFFSET(INDIRECT("Sheet"&amp;B$2&amp;"!f1"),B22-1,)</f>
        <v>1.1397836413234399</v>
      </c>
      <c r="L22" cm="1">
        <f t="array" aca="1" ref="L22" ca="1">OFFSET(INDIRECT("Sheet"&amp;C$2&amp;"!f1"),C22-1,)</f>
        <v>1.6740386718884099</v>
      </c>
      <c r="M22" cm="1">
        <f t="array" aca="1" ref="M22" ca="1">OFFSET(INDIRECT("Sheet"&amp;D$2&amp;"!f1"),D22-1,)</f>
        <v>0.109200841747224</v>
      </c>
      <c r="N22" cm="1">
        <f t="array" aca="1" ref="N22" ca="1">OFFSET(INDIRECT("Sheet"&amp;E$2&amp;"!f1"),E22-1,)</f>
        <v>5.0688656046986497E-2</v>
      </c>
      <c r="O22" cm="1">
        <f t="array" aca="1" ref="O22" ca="1">OFFSET(INDIRECT("Sheet"&amp;F$2&amp;"!f1"),F22-1,)</f>
        <v>5.4766591638326603E-2</v>
      </c>
      <c r="P22" cm="1">
        <f t="array" aca="1" ref="P22" ca="1">OFFSET(INDIRECT("Sheet"&amp;G$2&amp;"!f1"),G22-1,)</f>
        <v>0.44185539055615602</v>
      </c>
      <c r="Q22" cm="1">
        <f t="array" aca="1" ref="Q22" ca="1">OFFSET(INDIRECT("Sheet"&amp;H$2&amp;"!f1"),H22-1,)</f>
        <v>28800.795223622001</v>
      </c>
      <c r="R22">
        <f ca="1">OFFSET(magma!$F$1,I22-1,)*1</f>
        <v>5.4379583001718801E-2</v>
      </c>
      <c r="T22">
        <f>Sheet1!B50</f>
        <v>20</v>
      </c>
      <c r="U22" s="10">
        <f t="shared" ca="1" si="1"/>
        <v>1.1397836413234399</v>
      </c>
      <c r="V22" s="10">
        <f t="shared" ca="1" si="2"/>
        <v>1.6740386718884099</v>
      </c>
      <c r="W22" s="10">
        <f t="shared" ca="1" si="3"/>
        <v>0.109200841747224</v>
      </c>
      <c r="X22" s="10">
        <f t="shared" ca="1" si="4"/>
        <v>5.0688656046986497E-2</v>
      </c>
      <c r="Y22" s="10">
        <f t="shared" ca="1" si="5"/>
        <v>5.4766591638326603E-2</v>
      </c>
      <c r="Z22" s="10">
        <f t="shared" ca="1" si="6"/>
        <v>0.44185539055615602</v>
      </c>
      <c r="AA22" s="10" t="e">
        <f t="shared" ca="1" si="7"/>
        <v>#N/A</v>
      </c>
      <c r="AB22" s="10">
        <f t="shared" ca="1" si="8"/>
        <v>5.4379583001718801E-2</v>
      </c>
    </row>
    <row r="23" spans="1:30" x14ac:dyDescent="0.2">
      <c r="A23" t="str">
        <f>Sheet1!A51</f>
        <v>[[21,3,6]]</v>
      </c>
      <c r="B23">
        <f ca="1">MATCH($A23,INDIRECT("Sheet"&amp;B$2&amp;"!A:A"),)</f>
        <v>51</v>
      </c>
      <c r="C23">
        <f ca="1">MATCH($A23,INDIRECT("Sheet"&amp;C$2&amp;"!A:A"),)</f>
        <v>51</v>
      </c>
      <c r="D23">
        <f ca="1">MATCH($A23,INDIRECT("Sheet"&amp;D$2&amp;"!A:A"),)</f>
        <v>51</v>
      </c>
      <c r="E23">
        <f ca="1">MATCH($A23,INDIRECT("Sheet"&amp;E$2&amp;"!A:A"),)</f>
        <v>51</v>
      </c>
      <c r="F23">
        <f ca="1">MATCH($A23,INDIRECT("Sheet"&amp;F$2&amp;"!A:A"),)</f>
        <v>51</v>
      </c>
      <c r="G23">
        <f ca="1">MATCH($A23,INDIRECT("Sheet"&amp;G$2&amp;"!A:A"),)</f>
        <v>51</v>
      </c>
      <c r="H23">
        <f ca="1">MATCH($A23,INDIRECT("Sheet"&amp;H$2&amp;"!A:A"),)</f>
        <v>51</v>
      </c>
      <c r="I23">
        <f>MATCH($A23,magma!A:A,)</f>
        <v>46</v>
      </c>
      <c r="K23" cm="1">
        <f t="array" aca="1" ref="K23" ca="1">OFFSET(INDIRECT("Sheet"&amp;B$2&amp;"!f1"),B23-1,)</f>
        <v>1.78382814675569</v>
      </c>
      <c r="L23" cm="1">
        <f t="array" aca="1" ref="L23" ca="1">OFFSET(INDIRECT("Sheet"&amp;C$2&amp;"!f1"),C23-1,)</f>
        <v>1.1712528979405701</v>
      </c>
      <c r="M23" cm="1">
        <f t="array" aca="1" ref="M23" ca="1">OFFSET(INDIRECT("Sheet"&amp;D$2&amp;"!f1"),D23-1,)</f>
        <v>0.57108550053089802</v>
      </c>
      <c r="N23" cm="1">
        <f t="array" aca="1" ref="N23" ca="1">OFFSET(INDIRECT("Sheet"&amp;E$2&amp;"!f1"),E23-1,)</f>
        <v>6.3703079707920496E-2</v>
      </c>
      <c r="O23" cm="1">
        <f t="array" aca="1" ref="O23" ca="1">OFFSET(INDIRECT("Sheet"&amp;F$2&amp;"!f1"),F23-1,)</f>
        <v>6.9716023281216594E-2</v>
      </c>
      <c r="P23" cm="1">
        <f t="array" aca="1" ref="P23" ca="1">OFFSET(INDIRECT("Sheet"&amp;G$2&amp;"!f1"),G23-1,)</f>
        <v>0.44258954003453199</v>
      </c>
      <c r="Q23" cm="1">
        <f t="array" aca="1" ref="Q23" ca="1">OFFSET(INDIRECT("Sheet"&amp;H$2&amp;"!f1"),H23-1,)</f>
        <v>28800.162008339899</v>
      </c>
      <c r="R23">
        <f ca="1">OFFSET(magma!$F$1,I23-1,)*1</f>
        <v>8.3966416990733705E-2</v>
      </c>
      <c r="T23">
        <f>Sheet1!B51</f>
        <v>21</v>
      </c>
      <c r="U23" s="10">
        <f t="shared" ca="1" si="1"/>
        <v>1.78382814675569</v>
      </c>
      <c r="V23" s="10">
        <f t="shared" ca="1" si="2"/>
        <v>1.1712528979405701</v>
      </c>
      <c r="W23" s="10">
        <f t="shared" ca="1" si="3"/>
        <v>0.57108550053089802</v>
      </c>
      <c r="X23" s="10">
        <f t="shared" ca="1" si="4"/>
        <v>6.3703079707920496E-2</v>
      </c>
      <c r="Y23" s="10">
        <f t="shared" ca="1" si="5"/>
        <v>6.9716023281216594E-2</v>
      </c>
      <c r="Z23" s="10">
        <f t="shared" ca="1" si="6"/>
        <v>0.44258954003453199</v>
      </c>
      <c r="AA23" s="10" t="e">
        <f t="shared" ca="1" si="7"/>
        <v>#N/A</v>
      </c>
      <c r="AB23" s="10">
        <f t="shared" ca="1" si="8"/>
        <v>8.3966416990733705E-2</v>
      </c>
    </row>
    <row r="24" spans="1:30" x14ac:dyDescent="0.2">
      <c r="A24" t="str">
        <f>Sheet1!A52</f>
        <v>[[22,7,5]]</v>
      </c>
      <c r="B24">
        <f ca="1">MATCH($A24,INDIRECT("Sheet"&amp;B$2&amp;"!A:A"),)</f>
        <v>52</v>
      </c>
      <c r="C24">
        <f ca="1">MATCH($A24,INDIRECT("Sheet"&amp;C$2&amp;"!A:A"),)</f>
        <v>52</v>
      </c>
      <c r="D24">
        <f ca="1">MATCH($A24,INDIRECT("Sheet"&amp;D$2&amp;"!A:A"),)</f>
        <v>52</v>
      </c>
      <c r="E24">
        <f ca="1">MATCH($A24,INDIRECT("Sheet"&amp;E$2&amp;"!A:A"),)</f>
        <v>52</v>
      </c>
      <c r="F24">
        <f ca="1">MATCH($A24,INDIRECT("Sheet"&amp;F$2&amp;"!A:A"),)</f>
        <v>52</v>
      </c>
      <c r="G24">
        <f ca="1">MATCH($A24,INDIRECT("Sheet"&amp;G$2&amp;"!A:A"),)</f>
        <v>52</v>
      </c>
      <c r="H24">
        <f ca="1">MATCH($A24,INDIRECT("Sheet"&amp;H$2&amp;"!A:A"),)</f>
        <v>52</v>
      </c>
      <c r="I24">
        <f>MATCH($A24,magma!A:A,)</f>
        <v>47</v>
      </c>
      <c r="K24" cm="1">
        <f t="array" aca="1" ref="K24" ca="1">OFFSET(INDIRECT("Sheet"&amp;B$2&amp;"!f1"),B24-1,)</f>
        <v>1.1300711380317801</v>
      </c>
      <c r="L24" cm="1">
        <f t="array" aca="1" ref="L24" ca="1">OFFSET(INDIRECT("Sheet"&amp;C$2&amp;"!f1"),C24-1,)</f>
        <v>0.57773447781801202</v>
      </c>
      <c r="M24" cm="1">
        <f t="array" aca="1" ref="M24" ca="1">OFFSET(INDIRECT("Sheet"&amp;D$2&amp;"!f1"),D24-1,)</f>
        <v>0.32848217058926799</v>
      </c>
      <c r="N24" cm="1">
        <f t="array" aca="1" ref="N24" ca="1">OFFSET(INDIRECT("Sheet"&amp;E$2&amp;"!f1"),E24-1,)</f>
        <v>5.0369614735245698E-2</v>
      </c>
      <c r="O24" cm="1">
        <f t="array" aca="1" ref="O24" ca="1">OFFSET(INDIRECT("Sheet"&amp;F$2&amp;"!f1"),F24-1,)</f>
        <v>5.83320287987589E-2</v>
      </c>
      <c r="P24" cm="1">
        <f t="array" aca="1" ref="P24" ca="1">OFFSET(INDIRECT("Sheet"&amp;G$2&amp;"!f1"),G24-1,)</f>
        <v>5.3945272229611797E-2</v>
      </c>
      <c r="Q24" cm="1">
        <f t="array" aca="1" ref="Q24" ca="1">OFFSET(INDIRECT("Sheet"&amp;H$2&amp;"!f1"),H24-1,)</f>
        <v>28803.428641855699</v>
      </c>
      <c r="R24">
        <f ca="1">OFFSET(magma!$F$1,I24-1,)*1</f>
        <v>5.8356875000754302E-2</v>
      </c>
      <c r="T24">
        <f>Sheet1!B52</f>
        <v>22</v>
      </c>
      <c r="U24" s="10">
        <f t="shared" ca="1" si="1"/>
        <v>1.1300711380317801</v>
      </c>
      <c r="V24" s="10">
        <f t="shared" ca="1" si="2"/>
        <v>0.57773447781801202</v>
      </c>
      <c r="W24" s="10">
        <f t="shared" ca="1" si="3"/>
        <v>0.32848217058926799</v>
      </c>
      <c r="X24" s="10">
        <f t="shared" ca="1" si="4"/>
        <v>5.0369614735245698E-2</v>
      </c>
      <c r="Y24" s="10">
        <f t="shared" ca="1" si="5"/>
        <v>5.83320287987589E-2</v>
      </c>
      <c r="Z24" s="10">
        <f t="shared" ca="1" si="6"/>
        <v>5.3945272229611797E-2</v>
      </c>
      <c r="AA24" s="10" t="e">
        <f t="shared" ca="1" si="7"/>
        <v>#N/A</v>
      </c>
      <c r="AB24" s="10">
        <f t="shared" ca="1" si="8"/>
        <v>5.8356875000754302E-2</v>
      </c>
      <c r="AD24" t="s">
        <v>2058</v>
      </c>
    </row>
    <row r="25" spans="1:30" x14ac:dyDescent="0.2">
      <c r="A25" t="str">
        <f>Sheet1!A53</f>
        <v>[[23,2,7]]</v>
      </c>
      <c r="B25">
        <f ca="1">MATCH($A25,INDIRECT("Sheet"&amp;B$2&amp;"!A:A"),)</f>
        <v>53</v>
      </c>
      <c r="C25">
        <f ca="1">MATCH($A25,INDIRECT("Sheet"&amp;C$2&amp;"!A:A"),)</f>
        <v>53</v>
      </c>
      <c r="D25">
        <f ca="1">MATCH($A25,INDIRECT("Sheet"&amp;D$2&amp;"!A:A"),)</f>
        <v>53</v>
      </c>
      <c r="E25">
        <f ca="1">MATCH($A25,INDIRECT("Sheet"&amp;E$2&amp;"!A:A"),)</f>
        <v>53</v>
      </c>
      <c r="F25">
        <f ca="1">MATCH($A25,INDIRECT("Sheet"&amp;F$2&amp;"!A:A"),)</f>
        <v>53</v>
      </c>
      <c r="G25">
        <f ca="1">MATCH($A25,INDIRECT("Sheet"&amp;G$2&amp;"!A:A"),)</f>
        <v>53</v>
      </c>
      <c r="H25">
        <f ca="1">MATCH($A25,INDIRECT("Sheet"&amp;H$2&amp;"!A:A"),)</f>
        <v>53</v>
      </c>
      <c r="I25">
        <f>MATCH($A25,magma!A:A,)</f>
        <v>48</v>
      </c>
      <c r="K25" cm="1">
        <f t="array" aca="1" ref="K25" ca="1">OFFSET(INDIRECT("Sheet"&amp;B$2&amp;"!f1"),B25-1,)</f>
        <v>4.3183910343795997</v>
      </c>
      <c r="L25" cm="1">
        <f t="array" aca="1" ref="L25" ca="1">OFFSET(INDIRECT("Sheet"&amp;C$2&amp;"!f1"),C25-1,)</f>
        <v>8.7959127873182297</v>
      </c>
      <c r="M25" cm="1">
        <f t="array" aca="1" ref="M25" ca="1">OFFSET(INDIRECT("Sheet"&amp;D$2&amp;"!f1"),D25-1,)</f>
        <v>0.167406884022057</v>
      </c>
      <c r="N25" cm="1">
        <f t="array" aca="1" ref="N25" ca="1">OFFSET(INDIRECT("Sheet"&amp;E$2&amp;"!f1"),E25-1,)</f>
        <v>0.22472984157502601</v>
      </c>
      <c r="O25" cm="1">
        <f t="array" aca="1" ref="O25" ca="1">OFFSET(INDIRECT("Sheet"&amp;F$2&amp;"!f1"),F25-1,)</f>
        <v>3.7588599137961802E-2</v>
      </c>
      <c r="P25" cm="1">
        <f t="array" aca="1" ref="P25" ca="1">OFFSET(INDIRECT("Sheet"&amp;G$2&amp;"!f1"),G25-1,)</f>
        <v>25.449986932799199</v>
      </c>
      <c r="Q25" cm="1">
        <f t="array" aca="1" ref="Q25" ca="1">OFFSET(INDIRECT("Sheet"&amp;H$2&amp;"!f1"),H25-1,)</f>
        <v>28800.110930763101</v>
      </c>
      <c r="R25">
        <f ca="1">OFFSET(magma!$F$1,I25-1,)*1</f>
        <v>5.5515542000648503E-2</v>
      </c>
      <c r="T25">
        <f>Sheet1!B53</f>
        <v>23</v>
      </c>
      <c r="U25" s="10">
        <f t="shared" ca="1" si="1"/>
        <v>4.3183910343795997</v>
      </c>
      <c r="V25" s="10">
        <f t="shared" ca="1" si="2"/>
        <v>8.7959127873182297</v>
      </c>
      <c r="W25" s="10">
        <f t="shared" ca="1" si="3"/>
        <v>0.167406884022057</v>
      </c>
      <c r="X25" s="10">
        <f t="shared" ca="1" si="4"/>
        <v>0.22472984157502601</v>
      </c>
      <c r="Y25" s="10">
        <f t="shared" ca="1" si="5"/>
        <v>3.7588599137961802E-2</v>
      </c>
      <c r="Z25" s="10">
        <f t="shared" ca="1" si="6"/>
        <v>25.449986932799199</v>
      </c>
      <c r="AA25" s="10" t="e">
        <f t="shared" ca="1" si="7"/>
        <v>#N/A</v>
      </c>
      <c r="AB25" s="10">
        <f t="shared" ca="1" si="8"/>
        <v>5.5515542000648503E-2</v>
      </c>
    </row>
    <row r="26" spans="1:30" x14ac:dyDescent="0.2">
      <c r="A26" t="str">
        <f>Sheet1!A54</f>
        <v>[[24,8,5]]</v>
      </c>
      <c r="B26">
        <f ca="1">MATCH($A26,INDIRECT("Sheet"&amp;B$2&amp;"!A:A"),)</f>
        <v>54</v>
      </c>
      <c r="C26">
        <f ca="1">MATCH($A26,INDIRECT("Sheet"&amp;C$2&amp;"!A:A"),)</f>
        <v>54</v>
      </c>
      <c r="D26">
        <f ca="1">MATCH($A26,INDIRECT("Sheet"&amp;D$2&amp;"!A:A"),)</f>
        <v>54</v>
      </c>
      <c r="E26">
        <f ca="1">MATCH($A26,INDIRECT("Sheet"&amp;E$2&amp;"!A:A"),)</f>
        <v>54</v>
      </c>
      <c r="F26">
        <f ca="1">MATCH($A26,INDIRECT("Sheet"&amp;F$2&amp;"!A:A"),)</f>
        <v>54</v>
      </c>
      <c r="G26">
        <f ca="1">MATCH($A26,INDIRECT("Sheet"&amp;G$2&amp;"!A:A"),)</f>
        <v>54</v>
      </c>
      <c r="H26">
        <f ca="1">MATCH($A26,INDIRECT("Sheet"&amp;H$2&amp;"!A:A"),)</f>
        <v>54</v>
      </c>
      <c r="I26">
        <f>MATCH($A26,magma!A:A,)</f>
        <v>49</v>
      </c>
      <c r="K26" cm="1">
        <f t="array" aca="1" ref="K26" ca="1">OFFSET(INDIRECT("Sheet"&amp;B$2&amp;"!f1"),B26-1,)</f>
        <v>1.66312474850565</v>
      </c>
      <c r="L26" cm="1">
        <f t="array" aca="1" ref="L26" ca="1">OFFSET(INDIRECT("Sheet"&amp;C$2&amp;"!f1"),C26-1,)</f>
        <v>0.92048697266727597</v>
      </c>
      <c r="M26" cm="1">
        <f t="array" aca="1" ref="M26" ca="1">OFFSET(INDIRECT("Sheet"&amp;D$2&amp;"!f1"),D26-1,)</f>
        <v>0.56945125106722105</v>
      </c>
      <c r="N26" cm="1">
        <f t="array" aca="1" ref="N26" ca="1">OFFSET(INDIRECT("Sheet"&amp;E$2&amp;"!f1"),E26-1,)</f>
        <v>8.4098509512841702E-2</v>
      </c>
      <c r="O26" cm="1">
        <f t="array" aca="1" ref="O26" ca="1">OFFSET(INDIRECT("Sheet"&amp;F$2&amp;"!f1"),F26-1,)</f>
        <v>8.9682542718946906E-2</v>
      </c>
      <c r="P26" cm="1">
        <f t="array" aca="1" ref="P26" ca="1">OFFSET(INDIRECT("Sheet"&amp;G$2&amp;"!f1"),G26-1,)</f>
        <v>6.5455300733447006E-2</v>
      </c>
      <c r="Q26" cm="1">
        <f t="array" aca="1" ref="Q26" ca="1">OFFSET(INDIRECT("Sheet"&amp;H$2&amp;"!f1"),H26-1,)</f>
        <v>28800.112229362101</v>
      </c>
      <c r="R26">
        <f ca="1">OFFSET(magma!$F$1,I26-1,)*1</f>
        <v>5.5191624996950801E-2</v>
      </c>
      <c r="T26">
        <f>Sheet1!B54</f>
        <v>24</v>
      </c>
      <c r="U26" s="10">
        <f t="shared" ca="1" si="1"/>
        <v>1.66312474850565</v>
      </c>
      <c r="V26" s="10">
        <f t="shared" ca="1" si="2"/>
        <v>0.92048697266727597</v>
      </c>
      <c r="W26" s="10">
        <f t="shared" ca="1" si="3"/>
        <v>0.56945125106722105</v>
      </c>
      <c r="X26" s="10">
        <f t="shared" ca="1" si="4"/>
        <v>8.4098509512841702E-2</v>
      </c>
      <c r="Y26" s="10">
        <f t="shared" ca="1" si="5"/>
        <v>8.9682542718946906E-2</v>
      </c>
      <c r="Z26" s="10">
        <f t="shared" ca="1" si="6"/>
        <v>6.5455300733447006E-2</v>
      </c>
      <c r="AA26" s="10" t="e">
        <f t="shared" ca="1" si="7"/>
        <v>#N/A</v>
      </c>
      <c r="AB26" s="10">
        <f t="shared" ca="1" si="8"/>
        <v>5.5191624996950801E-2</v>
      </c>
    </row>
    <row r="27" spans="1:30" x14ac:dyDescent="0.2">
      <c r="A27" t="str">
        <f>Sheet1!A55</f>
        <v>[[25,8,5]]</v>
      </c>
      <c r="B27">
        <f ca="1">MATCH($A27,INDIRECT("Sheet"&amp;B$2&amp;"!A:A"),)</f>
        <v>55</v>
      </c>
      <c r="C27">
        <f ca="1">MATCH($A27,INDIRECT("Sheet"&amp;C$2&amp;"!A:A"),)</f>
        <v>55</v>
      </c>
      <c r="D27">
        <f ca="1">MATCH($A27,INDIRECT("Sheet"&amp;D$2&amp;"!A:A"),)</f>
        <v>55</v>
      </c>
      <c r="E27">
        <f ca="1">MATCH($A27,INDIRECT("Sheet"&amp;E$2&amp;"!A:A"),)</f>
        <v>55</v>
      </c>
      <c r="F27">
        <f ca="1">MATCH($A27,INDIRECT("Sheet"&amp;F$2&amp;"!A:A"),)</f>
        <v>55</v>
      </c>
      <c r="G27">
        <f ca="1">MATCH($A27,INDIRECT("Sheet"&amp;G$2&amp;"!A:A"),)</f>
        <v>55</v>
      </c>
      <c r="H27">
        <f ca="1">MATCH($A27,INDIRECT("Sheet"&amp;H$2&amp;"!A:A"),)</f>
        <v>55</v>
      </c>
      <c r="I27">
        <f>MATCH($A27,magma!A:A,)</f>
        <v>50</v>
      </c>
      <c r="K27" cm="1">
        <f t="array" aca="1" ref="K27" ca="1">OFFSET(INDIRECT("Sheet"&amp;B$2&amp;"!f1"),B27-1,)</f>
        <v>1.95494180265814</v>
      </c>
      <c r="L27" cm="1">
        <f t="array" aca="1" ref="L27" ca="1">OFFSET(INDIRECT("Sheet"&amp;C$2&amp;"!f1"),C27-1,)</f>
        <v>0.85945142246782702</v>
      </c>
      <c r="M27" cm="1">
        <f t="array" aca="1" ref="M27" ca="1">OFFSET(INDIRECT("Sheet"&amp;D$2&amp;"!f1"),D27-1,)</f>
        <v>0.64561058301478602</v>
      </c>
      <c r="N27" cm="1">
        <f t="array" aca="1" ref="N27" ca="1">OFFSET(INDIRECT("Sheet"&amp;E$2&amp;"!f1"),E27-1,)</f>
        <v>0.10301293153315701</v>
      </c>
      <c r="O27" cm="1">
        <f t="array" aca="1" ref="O27" ca="1">OFFSET(INDIRECT("Sheet"&amp;F$2&amp;"!f1"),F27-1,)</f>
        <v>0.107175817713141</v>
      </c>
      <c r="P27" cm="1">
        <f t="array" aca="1" ref="P27" ca="1">OFFSET(INDIRECT("Sheet"&amp;G$2&amp;"!f1"),G27-1,)</f>
        <v>6.4647968858480398E-2</v>
      </c>
      <c r="Q27" cm="1">
        <f t="array" aca="1" ref="Q27" ca="1">OFFSET(INDIRECT("Sheet"&amp;H$2&amp;"!f1"),H27-1,)</f>
        <v>28800.113644048499</v>
      </c>
      <c r="R27">
        <f ca="1">OFFSET(magma!$F$1,I27-1,)*1</f>
        <v>5.5713708003167897E-2</v>
      </c>
      <c r="T27">
        <f>Sheet1!B55</f>
        <v>25</v>
      </c>
      <c r="U27" s="10">
        <f t="shared" ca="1" si="1"/>
        <v>1.95494180265814</v>
      </c>
      <c r="V27" s="10">
        <f t="shared" ca="1" si="2"/>
        <v>0.85945142246782702</v>
      </c>
      <c r="W27" s="10">
        <f t="shared" ca="1" si="3"/>
        <v>0.64561058301478602</v>
      </c>
      <c r="X27" s="10">
        <f t="shared" ca="1" si="4"/>
        <v>0.10301293153315701</v>
      </c>
      <c r="Y27" s="10">
        <f t="shared" ca="1" si="5"/>
        <v>0.107175817713141</v>
      </c>
      <c r="Z27" s="10">
        <f t="shared" ca="1" si="6"/>
        <v>6.4647968858480398E-2</v>
      </c>
      <c r="AA27" s="10" t="e">
        <f t="shared" ca="1" si="7"/>
        <v>#N/A</v>
      </c>
      <c r="AB27" s="10">
        <f t="shared" ca="1" si="8"/>
        <v>5.5713708003167897E-2</v>
      </c>
    </row>
    <row r="28" spans="1:30" x14ac:dyDescent="0.2">
      <c r="A28" t="str">
        <f>Sheet1!A56</f>
        <v>[[26,6,6]]</v>
      </c>
      <c r="B28">
        <f ca="1">MATCH($A28,INDIRECT("Sheet"&amp;B$2&amp;"!A:A"),)</f>
        <v>56</v>
      </c>
      <c r="C28">
        <f ca="1">MATCH($A28,INDIRECT("Sheet"&amp;C$2&amp;"!A:A"),)</f>
        <v>56</v>
      </c>
      <c r="D28">
        <f ca="1">MATCH($A28,INDIRECT("Sheet"&amp;D$2&amp;"!A:A"),)</f>
        <v>56</v>
      </c>
      <c r="E28">
        <f ca="1">MATCH($A28,INDIRECT("Sheet"&amp;E$2&amp;"!A:A"),)</f>
        <v>56</v>
      </c>
      <c r="F28">
        <f ca="1">MATCH($A28,INDIRECT("Sheet"&amp;F$2&amp;"!A:A"),)</f>
        <v>56</v>
      </c>
      <c r="G28">
        <f ca="1">MATCH($A28,INDIRECT("Sheet"&amp;G$2&amp;"!A:A"),)</f>
        <v>56</v>
      </c>
      <c r="H28">
        <f ca="1">MATCH($A28,INDIRECT("Sheet"&amp;H$2&amp;"!A:A"),)</f>
        <v>56</v>
      </c>
      <c r="I28">
        <f>MATCH($A28,magma!A:A,)</f>
        <v>51</v>
      </c>
      <c r="K28" cm="1">
        <f t="array" aca="1" ref="K28" ca="1">OFFSET(INDIRECT("Sheet"&amp;B$2&amp;"!f1"),B28-1,)</f>
        <v>4.8920487351715503</v>
      </c>
      <c r="L28" cm="1">
        <f t="array" aca="1" ref="L28" ca="1">OFFSET(INDIRECT("Sheet"&amp;C$2&amp;"!f1"),C28-1,)</f>
        <v>3.4845665944740101</v>
      </c>
      <c r="M28" cm="1">
        <f t="array" aca="1" ref="M28" ca="1">OFFSET(INDIRECT("Sheet"&amp;D$2&amp;"!f1"),D28-1,)</f>
        <v>3.6392468148842401</v>
      </c>
      <c r="N28" cm="1">
        <f t="array" aca="1" ref="N28" ca="1">OFFSET(INDIRECT("Sheet"&amp;E$2&amp;"!f1"),E28-1,)</f>
        <v>0.36420888453722</v>
      </c>
      <c r="O28" cm="1">
        <f t="array" aca="1" ref="O28" ca="1">OFFSET(INDIRECT("Sheet"&amp;F$2&amp;"!f1"),F28-1,)</f>
        <v>0.40039758663624497</v>
      </c>
      <c r="P28" cm="1">
        <f t="array" aca="1" ref="P28" ca="1">OFFSET(INDIRECT("Sheet"&amp;G$2&amp;"!f1"),G28-1,)</f>
        <v>2.2800810802727902</v>
      </c>
      <c r="Q28" cm="1">
        <f t="array" aca="1" ref="Q28" ca="1">OFFSET(INDIRECT("Sheet"&amp;H$2&amp;"!f1"),H28-1,)</f>
        <v>28802.739547371799</v>
      </c>
      <c r="R28">
        <f ca="1">OFFSET(magma!$F$1,I28-1,)*1</f>
        <v>6.0908250001375501E-2</v>
      </c>
      <c r="T28">
        <f>Sheet1!B56</f>
        <v>26</v>
      </c>
      <c r="U28" s="10">
        <f t="shared" ca="1" si="1"/>
        <v>4.8920487351715503</v>
      </c>
      <c r="V28" s="10">
        <f t="shared" ca="1" si="2"/>
        <v>3.4845665944740101</v>
      </c>
      <c r="W28" s="10">
        <f t="shared" ca="1" si="3"/>
        <v>3.6392468148842401</v>
      </c>
      <c r="X28" s="10">
        <f t="shared" ca="1" si="4"/>
        <v>0.36420888453722</v>
      </c>
      <c r="Y28" s="10">
        <f t="shared" ca="1" si="5"/>
        <v>0.40039758663624497</v>
      </c>
      <c r="Z28" s="10">
        <f t="shared" ca="1" si="6"/>
        <v>2.2800810802727902</v>
      </c>
      <c r="AA28" s="10" t="e">
        <f t="shared" ca="1" si="7"/>
        <v>#N/A</v>
      </c>
      <c r="AB28" s="10">
        <f t="shared" ca="1" si="8"/>
        <v>6.0908250001375501E-2</v>
      </c>
    </row>
    <row r="29" spans="1:30" x14ac:dyDescent="0.2">
      <c r="A29" t="str">
        <f>Sheet1!A57</f>
        <v>[[27,6,6]]</v>
      </c>
      <c r="B29">
        <f ca="1">MATCH($A29,INDIRECT("Sheet"&amp;B$2&amp;"!A:A"),)</f>
        <v>57</v>
      </c>
      <c r="C29">
        <f ca="1">MATCH($A29,INDIRECT("Sheet"&amp;C$2&amp;"!A:A"),)</f>
        <v>57</v>
      </c>
      <c r="D29">
        <f ca="1">MATCH($A29,INDIRECT("Sheet"&amp;D$2&amp;"!A:A"),)</f>
        <v>57</v>
      </c>
      <c r="E29">
        <f ca="1">MATCH($A29,INDIRECT("Sheet"&amp;E$2&amp;"!A:A"),)</f>
        <v>57</v>
      </c>
      <c r="F29">
        <f ca="1">MATCH($A29,INDIRECT("Sheet"&amp;F$2&amp;"!A:A"),)</f>
        <v>57</v>
      </c>
      <c r="G29">
        <f ca="1">MATCH($A29,INDIRECT("Sheet"&amp;G$2&amp;"!A:A"),)</f>
        <v>57</v>
      </c>
      <c r="H29">
        <f ca="1">MATCH($A29,INDIRECT("Sheet"&amp;H$2&amp;"!A:A"),)</f>
        <v>57</v>
      </c>
      <c r="I29">
        <f>MATCH($A29,magma!A:A,)</f>
        <v>52</v>
      </c>
      <c r="K29" cm="1">
        <f t="array" aca="1" ref="K29" ca="1">OFFSET(INDIRECT("Sheet"&amp;B$2&amp;"!f1"),B29-1,)</f>
        <v>4.7106814906001002</v>
      </c>
      <c r="L29" cm="1">
        <f t="array" aca="1" ref="L29" ca="1">OFFSET(INDIRECT("Sheet"&amp;C$2&amp;"!f1"),C29-1,)</f>
        <v>3.4948351932689499</v>
      </c>
      <c r="M29" cm="1">
        <f t="array" aca="1" ref="M29" ca="1">OFFSET(INDIRECT("Sheet"&amp;D$2&amp;"!f1"),D29-1,)</f>
        <v>4.2119374219328103</v>
      </c>
      <c r="N29" cm="1">
        <f t="array" aca="1" ref="N29" ca="1">OFFSET(INDIRECT("Sheet"&amp;E$2&amp;"!f1"),E29-1,)</f>
        <v>0.43110878672450698</v>
      </c>
      <c r="O29" cm="1">
        <f t="array" aca="1" ref="O29" ca="1">OFFSET(INDIRECT("Sheet"&amp;F$2&amp;"!f1"),F29-1,)</f>
        <v>0.48181312717497299</v>
      </c>
      <c r="P29" cm="1">
        <f t="array" aca="1" ref="P29" ca="1">OFFSET(INDIRECT("Sheet"&amp;G$2&amp;"!f1"),G29-1,)</f>
        <v>2.2713823057711102</v>
      </c>
      <c r="Q29" cm="1">
        <f t="array" aca="1" ref="Q29" ca="1">OFFSET(INDIRECT("Sheet"&amp;H$2&amp;"!f1"),H29-1,)</f>
        <v>28800.108935512599</v>
      </c>
      <c r="R29">
        <f ca="1">OFFSET(magma!$F$1,I29-1,)*1</f>
        <v>6.3612166995881098E-2</v>
      </c>
      <c r="T29">
        <f>Sheet1!B57</f>
        <v>27</v>
      </c>
      <c r="U29" s="10">
        <f t="shared" ca="1" si="1"/>
        <v>4.7106814906001002</v>
      </c>
      <c r="V29" s="10">
        <f t="shared" ca="1" si="2"/>
        <v>3.4948351932689499</v>
      </c>
      <c r="W29" s="10">
        <f t="shared" ca="1" si="3"/>
        <v>4.2119374219328103</v>
      </c>
      <c r="X29" s="10">
        <f t="shared" ca="1" si="4"/>
        <v>0.43110878672450698</v>
      </c>
      <c r="Y29" s="10">
        <f t="shared" ca="1" si="5"/>
        <v>0.48181312717497299</v>
      </c>
      <c r="Z29" s="10">
        <f t="shared" ca="1" si="6"/>
        <v>2.2713823057711102</v>
      </c>
      <c r="AA29" s="10" t="e">
        <f t="shared" ca="1" si="7"/>
        <v>#N/A</v>
      </c>
      <c r="AB29" s="10">
        <f t="shared" ca="1" si="8"/>
        <v>6.3612166995881098E-2</v>
      </c>
    </row>
    <row r="30" spans="1:30" x14ac:dyDescent="0.2">
      <c r="A30" t="str">
        <f>Sheet1!A58</f>
        <v>[[28,6,6]]</v>
      </c>
      <c r="B30">
        <f ca="1">MATCH($A30,INDIRECT("Sheet"&amp;B$2&amp;"!A:A"),)</f>
        <v>58</v>
      </c>
      <c r="C30">
        <f ca="1">MATCH($A30,INDIRECT("Sheet"&amp;C$2&amp;"!A:A"),)</f>
        <v>58</v>
      </c>
      <c r="D30">
        <f ca="1">MATCH($A30,INDIRECT("Sheet"&amp;D$2&amp;"!A:A"),)</f>
        <v>58</v>
      </c>
      <c r="E30">
        <f ca="1">MATCH($A30,INDIRECT("Sheet"&amp;E$2&amp;"!A:A"),)</f>
        <v>58</v>
      </c>
      <c r="F30">
        <f ca="1">MATCH($A30,INDIRECT("Sheet"&amp;F$2&amp;"!A:A"),)</f>
        <v>58</v>
      </c>
      <c r="G30">
        <f ca="1">MATCH($A30,INDIRECT("Sheet"&amp;G$2&amp;"!A:A"),)</f>
        <v>58</v>
      </c>
      <c r="H30">
        <f ca="1">MATCH($A30,INDIRECT("Sheet"&amp;H$2&amp;"!A:A"),)</f>
        <v>58</v>
      </c>
      <c r="I30">
        <f>MATCH($A30,magma!A:A,)</f>
        <v>53</v>
      </c>
      <c r="K30" cm="1">
        <f t="array" aca="1" ref="K30" ca="1">OFFSET(INDIRECT("Sheet"&amp;B$2&amp;"!f1"),B30-1,)</f>
        <v>4.7309760702773902</v>
      </c>
      <c r="L30" cm="1">
        <f t="array" aca="1" ref="L30" ca="1">OFFSET(INDIRECT("Sheet"&amp;C$2&amp;"!f1"),C30-1,)</f>
        <v>3.60658238828182</v>
      </c>
      <c r="M30" cm="1">
        <f t="array" aca="1" ref="M30" ca="1">OFFSET(INDIRECT("Sheet"&amp;D$2&amp;"!f1"),D30-1,)</f>
        <v>4.75410298258066</v>
      </c>
      <c r="N30" cm="1">
        <f t="array" aca="1" ref="N30" ca="1">OFFSET(INDIRECT("Sheet"&amp;E$2&amp;"!f1"),E30-1,)</f>
        <v>0.52300243079662301</v>
      </c>
      <c r="O30" cm="1">
        <f t="array" aca="1" ref="O30" ca="1">OFFSET(INDIRECT("Sheet"&amp;F$2&amp;"!f1"),F30-1,)</f>
        <v>0.576257270760834</v>
      </c>
      <c r="P30" cm="1">
        <f t="array" aca="1" ref="P30" ca="1">OFFSET(INDIRECT("Sheet"&amp;G$2&amp;"!f1"),G30-1,)</f>
        <v>2.2809716304764098</v>
      </c>
      <c r="Q30" cm="1">
        <f t="array" aca="1" ref="Q30" ca="1">OFFSET(INDIRECT("Sheet"&amp;H$2&amp;"!f1"),H30-1,)</f>
        <v>28800.1098586767</v>
      </c>
      <c r="R30">
        <f ca="1">OFFSET(magma!$F$1,I30-1,)*1</f>
        <v>6.3219250005204203E-2</v>
      </c>
      <c r="T30">
        <f>Sheet1!B58</f>
        <v>28</v>
      </c>
      <c r="U30" s="10">
        <f t="shared" ca="1" si="1"/>
        <v>4.7309760702773902</v>
      </c>
      <c r="V30" s="10">
        <f t="shared" ca="1" si="2"/>
        <v>3.60658238828182</v>
      </c>
      <c r="W30" s="10">
        <f t="shared" ca="1" si="3"/>
        <v>4.75410298258066</v>
      </c>
      <c r="X30" s="10">
        <f t="shared" ca="1" si="4"/>
        <v>0.52300243079662301</v>
      </c>
      <c r="Y30" s="10">
        <f t="shared" ca="1" si="5"/>
        <v>0.576257270760834</v>
      </c>
      <c r="Z30" s="10">
        <f t="shared" ca="1" si="6"/>
        <v>2.2809716304764098</v>
      </c>
      <c r="AA30" s="10" t="e">
        <f t="shared" ca="1" si="7"/>
        <v>#N/A</v>
      </c>
      <c r="AB30" s="10">
        <f t="shared" ca="1" si="8"/>
        <v>6.3219250005204203E-2</v>
      </c>
    </row>
    <row r="31" spans="1:30" x14ac:dyDescent="0.2">
      <c r="A31" t="str">
        <f>Sheet1!A59</f>
        <v>[[29,6,7]]</v>
      </c>
      <c r="B31">
        <f ca="1">MATCH($A31,INDIRECT("Sheet"&amp;B$2&amp;"!A:A"),)</f>
        <v>59</v>
      </c>
      <c r="C31">
        <f ca="1">MATCH($A31,INDIRECT("Sheet"&amp;C$2&amp;"!A:A"),)</f>
        <v>59</v>
      </c>
      <c r="D31">
        <f ca="1">MATCH($A31,INDIRECT("Sheet"&amp;D$2&amp;"!A:A"),)</f>
        <v>59</v>
      </c>
      <c r="E31">
        <f ca="1">MATCH($A31,INDIRECT("Sheet"&amp;E$2&amp;"!A:A"),)</f>
        <v>59</v>
      </c>
      <c r="F31">
        <f ca="1">MATCH($A31,INDIRECT("Sheet"&amp;F$2&amp;"!A:A"),)</f>
        <v>59</v>
      </c>
      <c r="G31">
        <f ca="1">MATCH($A31,INDIRECT("Sheet"&amp;G$2&amp;"!A:A"),)</f>
        <v>59</v>
      </c>
      <c r="H31">
        <f ca="1">MATCH($A31,INDIRECT("Sheet"&amp;H$2&amp;"!A:A"),)</f>
        <v>59</v>
      </c>
      <c r="I31">
        <f>MATCH($A31,magma!A:A,)</f>
        <v>54</v>
      </c>
      <c r="K31" cm="1">
        <f t="array" aca="1" ref="K31" ca="1">OFFSET(INDIRECT("Sheet"&amp;B$2&amp;"!f1"),B31-1,)</f>
        <v>20.8961524311453</v>
      </c>
      <c r="L31" cm="1">
        <f t="array" aca="1" ref="L31" ca="1">OFFSET(INDIRECT("Sheet"&amp;C$2&amp;"!f1"),C31-1,)</f>
        <v>34.325612294487598</v>
      </c>
      <c r="M31" cm="1">
        <f t="array" aca="1" ref="M31" ca="1">OFFSET(INDIRECT("Sheet"&amp;D$2&amp;"!f1"),D31-1,)</f>
        <v>47.2419886700809</v>
      </c>
      <c r="N31" cm="1">
        <f t="array" aca="1" ref="N31" ca="1">OFFSET(INDIRECT("Sheet"&amp;E$2&amp;"!f1"),E31-1,)</f>
        <v>2.7633516350760998</v>
      </c>
      <c r="O31" cm="1">
        <f t="array" aca="1" ref="O31" ca="1">OFFSET(INDIRECT("Sheet"&amp;F$2&amp;"!f1"),F31-1,)</f>
        <v>3.0220317021012302</v>
      </c>
      <c r="P31" cm="1">
        <f t="array" aca="1" ref="P31" ca="1">OFFSET(INDIRECT("Sheet"&amp;G$2&amp;"!f1"),G31-1,)</f>
        <v>162.452353297732</v>
      </c>
      <c r="Q31" cm="1">
        <f t="array" aca="1" ref="Q31" ca="1">OFFSET(INDIRECT("Sheet"&amp;H$2&amp;"!f1"),H31-1,)</f>
        <v>28800.111978478701</v>
      </c>
      <c r="R31">
        <f ca="1">OFFSET(magma!$F$1,I31-1,)*1</f>
        <v>0.12554295800509799</v>
      </c>
      <c r="T31">
        <f>Sheet1!B59</f>
        <v>29</v>
      </c>
      <c r="U31" s="10">
        <f t="shared" ca="1" si="1"/>
        <v>20.8961524311453</v>
      </c>
      <c r="V31" s="10">
        <f t="shared" ca="1" si="2"/>
        <v>34.325612294487598</v>
      </c>
      <c r="W31" s="10">
        <f t="shared" ca="1" si="3"/>
        <v>47.2419886700809</v>
      </c>
      <c r="X31" s="10">
        <f t="shared" ca="1" si="4"/>
        <v>2.7633516350760998</v>
      </c>
      <c r="Y31" s="10">
        <f t="shared" ca="1" si="5"/>
        <v>3.0220317021012302</v>
      </c>
      <c r="Z31" s="10">
        <f t="shared" ca="1" si="6"/>
        <v>162.452353297732</v>
      </c>
      <c r="AA31" s="10" t="e">
        <f t="shared" ca="1" si="7"/>
        <v>#N/A</v>
      </c>
      <c r="AB31" s="10">
        <f t="shared" ca="1" si="8"/>
        <v>0.12554295800509799</v>
      </c>
    </row>
    <row r="32" spans="1:30" x14ac:dyDescent="0.2">
      <c r="A32" t="str">
        <f>Sheet1!A60</f>
        <v>[[30,9,6]]</v>
      </c>
      <c r="B32">
        <f ca="1">MATCH($A32,INDIRECT("Sheet"&amp;B$2&amp;"!A:A"),)</f>
        <v>60</v>
      </c>
      <c r="C32">
        <f ca="1">MATCH($A32,INDIRECT("Sheet"&amp;C$2&amp;"!A:A"),)</f>
        <v>60</v>
      </c>
      <c r="D32">
        <f ca="1">MATCH($A32,INDIRECT("Sheet"&amp;D$2&amp;"!A:A"),)</f>
        <v>60</v>
      </c>
      <c r="E32">
        <f ca="1">MATCH($A32,INDIRECT("Sheet"&amp;E$2&amp;"!A:A"),)</f>
        <v>60</v>
      </c>
      <c r="F32">
        <f ca="1">MATCH($A32,INDIRECT("Sheet"&amp;F$2&amp;"!A:A"),)</f>
        <v>60</v>
      </c>
      <c r="G32">
        <f ca="1">MATCH($A32,INDIRECT("Sheet"&amp;G$2&amp;"!A:A"),)</f>
        <v>60</v>
      </c>
      <c r="H32">
        <f ca="1">MATCH($A32,INDIRECT("Sheet"&amp;H$2&amp;"!A:A"),)</f>
        <v>60</v>
      </c>
      <c r="I32">
        <f>MATCH($A32,magma!A:A,)</f>
        <v>55</v>
      </c>
      <c r="K32" cm="1">
        <f t="array" aca="1" ref="K32" ca="1">OFFSET(INDIRECT("Sheet"&amp;B$2&amp;"!f1"),B32-1,)</f>
        <v>6.4265370974317104</v>
      </c>
      <c r="L32" cm="1">
        <f t="array" aca="1" ref="L32" ca="1">OFFSET(INDIRECT("Sheet"&amp;C$2&amp;"!f1"),C32-1,)</f>
        <v>6.0708239441737497</v>
      </c>
      <c r="M32" cm="1">
        <f t="array" aca="1" ref="M32" ca="1">OFFSET(INDIRECT("Sheet"&amp;D$2&amp;"!f1"),D32-1,)</f>
        <v>14.1127798920497</v>
      </c>
      <c r="N32" cm="1">
        <f t="array" aca="1" ref="N32" ca="1">OFFSET(INDIRECT("Sheet"&amp;E$2&amp;"!f1"),E32-1,)</f>
        <v>1.2614958547055699</v>
      </c>
      <c r="O32" cm="1">
        <f t="array" aca="1" ref="O32" ca="1">OFFSET(INDIRECT("Sheet"&amp;F$2&amp;"!f1"),F32-1,)</f>
        <v>1.3967292495071799</v>
      </c>
      <c r="P32" cm="1">
        <f t="array" aca="1" ref="P32" ca="1">OFFSET(INDIRECT("Sheet"&amp;G$2&amp;"!f1"),G32-1,)</f>
        <v>8.1521185357123596</v>
      </c>
      <c r="Q32" cm="1">
        <f t="array" aca="1" ref="Q32" ca="1">OFFSET(INDIRECT("Sheet"&amp;H$2&amp;"!f1"),H32-1,)</f>
        <v>28800.111287683201</v>
      </c>
      <c r="R32">
        <f ca="1">OFFSET(magma!$F$1,I32-1,)*1</f>
        <v>7.5886291990172994E-2</v>
      </c>
      <c r="T32">
        <f>Sheet1!B60</f>
        <v>30</v>
      </c>
      <c r="U32" s="10">
        <f t="shared" ca="1" si="1"/>
        <v>6.4265370974317104</v>
      </c>
      <c r="V32" s="10">
        <f t="shared" ca="1" si="2"/>
        <v>6.0708239441737497</v>
      </c>
      <c r="W32" s="10">
        <f t="shared" ca="1" si="3"/>
        <v>14.1127798920497</v>
      </c>
      <c r="X32" s="10">
        <f t="shared" ca="1" si="4"/>
        <v>1.2614958547055699</v>
      </c>
      <c r="Y32" s="10">
        <f t="shared" ca="1" si="5"/>
        <v>1.3967292495071799</v>
      </c>
      <c r="Z32" s="10">
        <f t="shared" ca="1" si="6"/>
        <v>8.1521185357123596</v>
      </c>
      <c r="AA32" s="10" t="e">
        <f t="shared" ca="1" si="7"/>
        <v>#N/A</v>
      </c>
      <c r="AB32" s="10">
        <f t="shared" ca="1" si="8"/>
        <v>7.5886291990172994E-2</v>
      </c>
    </row>
    <row r="33" spans="1:30" x14ac:dyDescent="0.2">
      <c r="A33" t="str">
        <f>Sheet1!A61</f>
        <v>[[31,9,6]]</v>
      </c>
      <c r="B33">
        <f ca="1">MATCH($A33,INDIRECT("Sheet"&amp;B$2&amp;"!A:A"),)</f>
        <v>61</v>
      </c>
      <c r="C33">
        <f ca="1">MATCH($A33,INDIRECT("Sheet"&amp;C$2&amp;"!A:A"),)</f>
        <v>61</v>
      </c>
      <c r="D33">
        <f ca="1">MATCH($A33,INDIRECT("Sheet"&amp;D$2&amp;"!A:A"),)</f>
        <v>61</v>
      </c>
      <c r="E33">
        <f ca="1">MATCH($A33,INDIRECT("Sheet"&amp;E$2&amp;"!A:A"),)</f>
        <v>61</v>
      </c>
      <c r="F33">
        <f ca="1">MATCH($A33,INDIRECT("Sheet"&amp;F$2&amp;"!A:A"),)</f>
        <v>61</v>
      </c>
      <c r="G33">
        <f ca="1">MATCH($A33,INDIRECT("Sheet"&amp;G$2&amp;"!A:A"),)</f>
        <v>61</v>
      </c>
      <c r="H33">
        <f ca="1">MATCH($A33,INDIRECT("Sheet"&amp;H$2&amp;"!A:A"),)</f>
        <v>61</v>
      </c>
      <c r="I33">
        <f>MATCH($A33,magma!A:A,)</f>
        <v>56</v>
      </c>
      <c r="K33" cm="1">
        <f t="array" aca="1" ref="K33" ca="1">OFFSET(INDIRECT("Sheet"&amp;B$2&amp;"!f1"),B33-1,)</f>
        <v>6.0603803731501102</v>
      </c>
      <c r="L33" cm="1">
        <f t="array" aca="1" ref="L33" ca="1">OFFSET(INDIRECT("Sheet"&amp;C$2&amp;"!f1"),C33-1,)</f>
        <v>7.1865104539319802</v>
      </c>
      <c r="M33" cm="1">
        <f t="array" aca="1" ref="M33" ca="1">OFFSET(INDIRECT("Sheet"&amp;D$2&amp;"!f1"),D33-1,)</f>
        <v>15.571770762093299</v>
      </c>
      <c r="N33" cm="1">
        <f t="array" aca="1" ref="N33" ca="1">OFFSET(INDIRECT("Sheet"&amp;E$2&amp;"!f1"),E33-1,)</f>
        <v>1.51116824895143</v>
      </c>
      <c r="O33" cm="1">
        <f t="array" aca="1" ref="O33" ca="1">OFFSET(INDIRECT("Sheet"&amp;F$2&amp;"!f1"),F33-1,)</f>
        <v>1.66291127447038</v>
      </c>
      <c r="P33" cm="1">
        <f t="array" aca="1" ref="P33" ca="1">OFFSET(INDIRECT("Sheet"&amp;G$2&amp;"!f1"),G33-1,)</f>
        <v>8.1546515775844401</v>
      </c>
      <c r="Q33" cm="1">
        <f t="array" aca="1" ref="Q33" ca="1">OFFSET(INDIRECT("Sheet"&amp;H$2&amp;"!f1"),H33-1,)</f>
        <v>28801.8664424419</v>
      </c>
      <c r="R33">
        <f ca="1">OFFSET(magma!$F$1,I33-1,)*1</f>
        <v>7.9208583003492095E-2</v>
      </c>
      <c r="T33">
        <f>Sheet1!B61</f>
        <v>31</v>
      </c>
      <c r="U33" s="10">
        <f t="shared" ca="1" si="1"/>
        <v>6.0603803731501102</v>
      </c>
      <c r="V33" s="10">
        <f t="shared" ca="1" si="2"/>
        <v>7.1865104539319802</v>
      </c>
      <c r="W33" s="10">
        <f t="shared" ca="1" si="3"/>
        <v>15.571770762093299</v>
      </c>
      <c r="X33" s="10">
        <f t="shared" ca="1" si="4"/>
        <v>1.51116824895143</v>
      </c>
      <c r="Y33" s="10">
        <f t="shared" ca="1" si="5"/>
        <v>1.66291127447038</v>
      </c>
      <c r="Z33" s="10">
        <f t="shared" ca="1" si="6"/>
        <v>8.1546515775844401</v>
      </c>
      <c r="AA33" s="10" t="e">
        <f t="shared" ca="1" si="7"/>
        <v>#N/A</v>
      </c>
      <c r="AB33" s="10">
        <f t="shared" ca="1" si="8"/>
        <v>7.9208583003492095E-2</v>
      </c>
    </row>
    <row r="34" spans="1:30" x14ac:dyDescent="0.2">
      <c r="A34" t="str">
        <f>Sheet1!A62</f>
        <v>[[32,5,8]]</v>
      </c>
      <c r="B34">
        <f ca="1">MATCH($A34,INDIRECT("Sheet"&amp;B$2&amp;"!A:A"),)</f>
        <v>62</v>
      </c>
      <c r="C34">
        <f ca="1">MATCH($A34,INDIRECT("Sheet"&amp;C$2&amp;"!A:A"),)</f>
        <v>62</v>
      </c>
      <c r="D34">
        <f ca="1">MATCH($A34,INDIRECT("Sheet"&amp;D$2&amp;"!A:A"),)</f>
        <v>62</v>
      </c>
      <c r="E34">
        <f ca="1">MATCH($A34,INDIRECT("Sheet"&amp;E$2&amp;"!A:A"),)</f>
        <v>62</v>
      </c>
      <c r="F34">
        <f ca="1">MATCH($A34,INDIRECT("Sheet"&amp;F$2&amp;"!A:A"),)</f>
        <v>62</v>
      </c>
      <c r="G34">
        <f ca="1">MATCH($A34,INDIRECT("Sheet"&amp;G$2&amp;"!A:A"),)</f>
        <v>62</v>
      </c>
      <c r="H34">
        <f ca="1">MATCH($A34,INDIRECT("Sheet"&amp;H$2&amp;"!A:A"),)</f>
        <v>62</v>
      </c>
      <c r="I34">
        <f>MATCH($A34,magma!A:A,)</f>
        <v>57</v>
      </c>
      <c r="K34" cm="1">
        <f t="array" aca="1" ref="K34" ca="1">OFFSET(INDIRECT("Sheet"&amp;B$2&amp;"!f1"),B34-1,)</f>
        <v>104.08217031415499</v>
      </c>
      <c r="L34" cm="1">
        <f t="array" aca="1" ref="L34" ca="1">OFFSET(INDIRECT("Sheet"&amp;C$2&amp;"!f1"),C34-1,)</f>
        <v>341.525071608833</v>
      </c>
      <c r="M34" cm="1">
        <f t="array" aca="1" ref="M34" ca="1">OFFSET(INDIRECT("Sheet"&amp;D$2&amp;"!f1"),D34-1,)</f>
        <v>76.661031563766301</v>
      </c>
      <c r="N34" cm="1">
        <f t="array" aca="1" ref="N34" ca="1">OFFSET(INDIRECT("Sheet"&amp;E$2&amp;"!f1"),E34-1,)</f>
        <v>16.616575188003399</v>
      </c>
      <c r="O34" cm="1">
        <f t="array" aca="1" ref="O34" ca="1">OFFSET(INDIRECT("Sheet"&amp;F$2&amp;"!f1"),F34-1,)</f>
        <v>5.6824114164337498</v>
      </c>
      <c r="P34" cm="1">
        <f t="array" aca="1" ref="P34" ca="1">OFFSET(INDIRECT("Sheet"&amp;G$2&amp;"!f1"),G34-1,)</f>
        <v>7169.6330119250297</v>
      </c>
      <c r="Q34" cm="1">
        <f t="array" aca="1" ref="Q34" ca="1">OFFSET(INDIRECT("Sheet"&amp;H$2&amp;"!f1"),H34-1,)</f>
        <v>28800.109964065199</v>
      </c>
      <c r="R34">
        <f ca="1">OFFSET(magma!$F$1,I34-1,)*1</f>
        <v>0.26050383299298102</v>
      </c>
      <c r="T34">
        <f>Sheet1!B62</f>
        <v>32</v>
      </c>
      <c r="U34" s="10">
        <f t="shared" ca="1" si="1"/>
        <v>104.08217031415499</v>
      </c>
      <c r="V34" s="10">
        <f t="shared" ca="1" si="2"/>
        <v>341.525071608833</v>
      </c>
      <c r="W34" s="10">
        <f t="shared" ca="1" si="3"/>
        <v>76.661031563766301</v>
      </c>
      <c r="X34" s="10">
        <f t="shared" ca="1" si="4"/>
        <v>16.616575188003399</v>
      </c>
      <c r="Y34" s="10">
        <f t="shared" ca="1" si="5"/>
        <v>5.6824114164337498</v>
      </c>
      <c r="Z34" s="10">
        <f t="shared" ca="1" si="6"/>
        <v>7169.6330119250297</v>
      </c>
      <c r="AA34" s="10" t="e">
        <f t="shared" ca="1" si="7"/>
        <v>#N/A</v>
      </c>
      <c r="AB34" s="10">
        <f t="shared" ca="1" si="8"/>
        <v>0.26050383299298102</v>
      </c>
    </row>
    <row r="35" spans="1:30" x14ac:dyDescent="0.2">
      <c r="A35" t="str">
        <f>Sheet1!A63</f>
        <v>[[33,7,8]]</v>
      </c>
      <c r="B35">
        <f ca="1">MATCH($A35,INDIRECT("Sheet"&amp;B$2&amp;"!A:A"),)</f>
        <v>63</v>
      </c>
      <c r="C35">
        <f ca="1">MATCH($A35,INDIRECT("Sheet"&amp;C$2&amp;"!A:A"),)</f>
        <v>63</v>
      </c>
      <c r="D35">
        <f ca="1">MATCH($A35,INDIRECT("Sheet"&amp;D$2&amp;"!A:A"),)</f>
        <v>63</v>
      </c>
      <c r="E35">
        <f ca="1">MATCH($A35,INDIRECT("Sheet"&amp;E$2&amp;"!A:A"),)</f>
        <v>63</v>
      </c>
      <c r="F35">
        <f ca="1">MATCH($A35,INDIRECT("Sheet"&amp;F$2&amp;"!A:A"),)</f>
        <v>63</v>
      </c>
      <c r="G35">
        <f ca="1">MATCH($A35,INDIRECT("Sheet"&amp;G$2&amp;"!A:A"),)</f>
        <v>63</v>
      </c>
      <c r="H35">
        <f ca="1">MATCH($A35,INDIRECT("Sheet"&amp;H$2&amp;"!A:A"),)</f>
        <v>63</v>
      </c>
      <c r="I35">
        <f>MATCH($A35,magma!A:A,)</f>
        <v>58</v>
      </c>
      <c r="K35" cm="1">
        <f t="array" aca="1" ref="K35" ca="1">OFFSET(INDIRECT("Sheet"&amp;B$2&amp;"!f1"),B35-1,)</f>
        <v>194.237742953002</v>
      </c>
      <c r="L35" cm="1">
        <f t="array" aca="1" ref="L35" ca="1">OFFSET(INDIRECT("Sheet"&amp;C$2&amp;"!f1"),C35-1,)</f>
        <v>333.802251926623</v>
      </c>
      <c r="M35" cm="1">
        <f t="array" aca="1" ref="M35" ca="1">OFFSET(INDIRECT("Sheet"&amp;D$2&amp;"!f1"),D35-1,)</f>
        <v>957.59382904693405</v>
      </c>
      <c r="N35" cm="1">
        <f t="array" aca="1" ref="N35" ca="1">OFFSET(INDIRECT("Sheet"&amp;E$2&amp;"!f1"),E35-1,)</f>
        <v>32.554674043320098</v>
      </c>
      <c r="O35" cm="1">
        <f t="array" aca="1" ref="O35" ca="1">OFFSET(INDIRECT("Sheet"&amp;F$2&amp;"!f1"),F35-1,)</f>
        <v>36.928359448909703</v>
      </c>
      <c r="P35" cm="1">
        <f t="array" aca="1" ref="P35" ca="1">OFFSET(INDIRECT("Sheet"&amp;G$2&amp;"!f1"),G35-1,)</f>
        <v>13337.341799964101</v>
      </c>
      <c r="Q35" cm="1">
        <f t="array" aca="1" ref="Q35" ca="1">OFFSET(INDIRECT("Sheet"&amp;H$2&amp;"!f1"),H35-1,)</f>
        <v>28800.1098792105</v>
      </c>
      <c r="R35">
        <f ca="1">OFFSET(magma!$F$1,I35-1,)*1</f>
        <v>1.1908722920052199</v>
      </c>
      <c r="T35">
        <f>Sheet1!B63</f>
        <v>33</v>
      </c>
      <c r="U35" s="10">
        <f t="shared" ca="1" si="1"/>
        <v>194.237742953002</v>
      </c>
      <c r="V35" s="10">
        <f t="shared" ca="1" si="2"/>
        <v>333.802251926623</v>
      </c>
      <c r="W35" s="10">
        <f t="shared" ca="1" si="3"/>
        <v>957.59382904693405</v>
      </c>
      <c r="X35" s="10">
        <f t="shared" ca="1" si="4"/>
        <v>32.554674043320098</v>
      </c>
      <c r="Y35" s="10">
        <f t="shared" ca="1" si="5"/>
        <v>36.928359448909703</v>
      </c>
      <c r="Z35" s="10">
        <f t="shared" ca="1" si="6"/>
        <v>13337.341799964101</v>
      </c>
      <c r="AA35" s="10" t="e">
        <f t="shared" ca="1" si="7"/>
        <v>#N/A</v>
      </c>
      <c r="AB35" s="10">
        <f t="shared" ca="1" si="8"/>
        <v>1.1908722920052199</v>
      </c>
    </row>
    <row r="36" spans="1:30" x14ac:dyDescent="0.2">
      <c r="A36" t="str">
        <f>Sheet1!A64</f>
        <v>[[34,17,5]]</v>
      </c>
      <c r="B36">
        <f ca="1">MATCH($A36,INDIRECT("Sheet"&amp;B$2&amp;"!A:A"),)</f>
        <v>64</v>
      </c>
      <c r="C36">
        <f ca="1">MATCH($A36,INDIRECT("Sheet"&amp;C$2&amp;"!A:A"),)</f>
        <v>64</v>
      </c>
      <c r="D36">
        <f ca="1">MATCH($A36,INDIRECT("Sheet"&amp;D$2&amp;"!A:A"),)</f>
        <v>64</v>
      </c>
      <c r="E36">
        <f ca="1">MATCH($A36,INDIRECT("Sheet"&amp;E$2&amp;"!A:A"),)</f>
        <v>64</v>
      </c>
      <c r="F36">
        <f ca="1">MATCH($A36,INDIRECT("Sheet"&amp;F$2&amp;"!A:A"),)</f>
        <v>64</v>
      </c>
      <c r="G36">
        <f ca="1">MATCH($A36,INDIRECT("Sheet"&amp;G$2&amp;"!A:A"),)</f>
        <v>64</v>
      </c>
      <c r="H36">
        <f ca="1">MATCH($A36,INDIRECT("Sheet"&amp;H$2&amp;"!A:A"),)</f>
        <v>64</v>
      </c>
      <c r="I36">
        <f>MATCH($A36,magma!A:A,)</f>
        <v>59</v>
      </c>
      <c r="K36" cm="1">
        <f t="array" aca="1" ref="K36" ca="1">OFFSET(INDIRECT("Sheet"&amp;B$2&amp;"!f1"),B36-1,)</f>
        <v>3.2938967337831802</v>
      </c>
      <c r="L36" cm="1">
        <f t="array" aca="1" ref="L36" ca="1">OFFSET(INDIRECT("Sheet"&amp;C$2&amp;"!f1"),C36-1,)</f>
        <v>3.0147598357871099</v>
      </c>
      <c r="M36" cm="1">
        <f t="array" aca="1" ref="M36" ca="1">OFFSET(INDIRECT("Sheet"&amp;D$2&amp;"!f1"),D36-1,)</f>
        <v>6.8014242984354496</v>
      </c>
      <c r="N36" cm="1">
        <f t="array" aca="1" ref="N36" ca="1">OFFSET(INDIRECT("Sheet"&amp;E$2&amp;"!f1"),E36-1,)</f>
        <v>53.149804209358898</v>
      </c>
      <c r="O36" cm="1">
        <f t="array" aca="1" ref="O36" ca="1">OFFSET(INDIRECT("Sheet"&amp;F$2&amp;"!f1"),F36-1,)</f>
        <v>1.0409763976931501</v>
      </c>
      <c r="P36" cm="1">
        <f t="array" aca="1" ref="P36" ca="1">OFFSET(INDIRECT("Sheet"&amp;G$2&amp;"!f1"),G36-1,)</f>
        <v>0.34773479029536197</v>
      </c>
      <c r="Q36" cm="1">
        <f t="array" aca="1" ref="Q36" ca="1">OFFSET(INDIRECT("Sheet"&amp;H$2&amp;"!f1"),H36-1,)</f>
        <v>28800.112078413302</v>
      </c>
      <c r="R36">
        <f ca="1">OFFSET(magma!$F$1,I36-1,)*1</f>
        <v>6.7020417001913302E-2</v>
      </c>
      <c r="T36">
        <f>Sheet1!B64</f>
        <v>34</v>
      </c>
      <c r="U36" s="10">
        <f t="shared" ca="1" si="1"/>
        <v>3.2938967337831802</v>
      </c>
      <c r="V36" s="10">
        <f t="shared" ca="1" si="2"/>
        <v>3.0147598357871099</v>
      </c>
      <c r="W36" s="10">
        <f t="shared" ca="1" si="3"/>
        <v>6.8014242984354496</v>
      </c>
      <c r="X36" s="10">
        <f t="shared" ca="1" si="4"/>
        <v>53.149804209358898</v>
      </c>
      <c r="Y36" s="10">
        <f t="shared" ca="1" si="5"/>
        <v>1.0409763976931501</v>
      </c>
      <c r="Z36" s="10">
        <f t="shared" ca="1" si="6"/>
        <v>0.34773479029536197</v>
      </c>
      <c r="AA36" s="10" t="e">
        <f t="shared" ca="1" si="7"/>
        <v>#N/A</v>
      </c>
      <c r="AB36" s="10">
        <f t="shared" ca="1" si="8"/>
        <v>6.7020417001913302E-2</v>
      </c>
    </row>
    <row r="37" spans="1:30" x14ac:dyDescent="0.2">
      <c r="A37" t="str">
        <f>Sheet1!A65</f>
        <v>[[35,4,9]]</v>
      </c>
      <c r="B37">
        <f ca="1">MATCH($A37,INDIRECT("Sheet"&amp;B$2&amp;"!A:A"),)</f>
        <v>65</v>
      </c>
      <c r="C37">
        <f ca="1">MATCH($A37,INDIRECT("Sheet"&amp;C$2&amp;"!A:A"),)</f>
        <v>65</v>
      </c>
      <c r="D37">
        <f ca="1">MATCH($A37,INDIRECT("Sheet"&amp;D$2&amp;"!A:A"),)</f>
        <v>65</v>
      </c>
      <c r="E37">
        <f ca="1">MATCH($A37,INDIRECT("Sheet"&amp;E$2&amp;"!A:A"),)</f>
        <v>65</v>
      </c>
      <c r="F37">
        <f ca="1">MATCH($A37,INDIRECT("Sheet"&amp;F$2&amp;"!A:A"),)</f>
        <v>65</v>
      </c>
      <c r="G37">
        <f ca="1">MATCH($A37,INDIRECT("Sheet"&amp;G$2&amp;"!A:A"),)</f>
        <v>65</v>
      </c>
      <c r="H37">
        <f ca="1">MATCH($A37,INDIRECT("Sheet"&amp;H$2&amp;"!A:A"),)</f>
        <v>65</v>
      </c>
      <c r="I37">
        <f>MATCH($A37,magma!A:A,)</f>
        <v>60</v>
      </c>
      <c r="K37" cm="1">
        <f t="array" aca="1" ref="K37" ca="1">OFFSET(INDIRECT("Sheet"&amp;B$2&amp;"!f1"),B37-1,)</f>
        <v>464.268310722894</v>
      </c>
      <c r="L37" cm="1">
        <f t="array" aca="1" ref="L37" ca="1">OFFSET(INDIRECT("Sheet"&amp;C$2&amp;"!f1"),C37-1,)</f>
        <v>1956.60859795287</v>
      </c>
      <c r="M37" cm="1">
        <f t="array" aca="1" ref="M37" ca="1">OFFSET(INDIRECT("Sheet"&amp;D$2&amp;"!f1"),D37-1,)</f>
        <v>115.125218615867</v>
      </c>
      <c r="N37" cm="1">
        <f t="array" aca="1" ref="N37" ca="1">OFFSET(INDIRECT("Sheet"&amp;E$2&amp;"!f1"),E37-1,)</f>
        <v>99.379991531371999</v>
      </c>
      <c r="O37" cm="1">
        <f t="array" aca="1" ref="O37" ca="1">OFFSET(INDIRECT("Sheet"&amp;F$2&amp;"!f1"),F37-1,)</f>
        <v>111.647802408784</v>
      </c>
      <c r="P37" cm="1">
        <f t="array" aca="1" ref="P37" ca="1">OFFSET(INDIRECT("Sheet"&amp;G$2&amp;"!f1"),G37-1,)</f>
        <v>28800.344587112701</v>
      </c>
      <c r="Q37" cm="1">
        <f t="array" aca="1" ref="Q37" ca="1">OFFSET(INDIRECT("Sheet"&amp;H$2&amp;"!f1"),H37-1,)</f>
        <v>28800.112140692701</v>
      </c>
      <c r="R37">
        <f ca="1">OFFSET(magma!$F$1,I37-1,)*1</f>
        <v>0.35134820800158101</v>
      </c>
      <c r="T37">
        <f>Sheet1!B65</f>
        <v>35</v>
      </c>
      <c r="U37" s="10">
        <f t="shared" ca="1" si="1"/>
        <v>464.268310722894</v>
      </c>
      <c r="V37" s="10">
        <f t="shared" ca="1" si="2"/>
        <v>1956.60859795287</v>
      </c>
      <c r="W37" s="10">
        <f t="shared" ca="1" si="3"/>
        <v>115.125218615867</v>
      </c>
      <c r="X37" s="10">
        <f t="shared" ca="1" si="4"/>
        <v>99.379991531371999</v>
      </c>
      <c r="Y37" s="10">
        <f t="shared" ca="1" si="5"/>
        <v>111.647802408784</v>
      </c>
      <c r="Z37" s="10" t="e">
        <f t="shared" ca="1" si="6"/>
        <v>#N/A</v>
      </c>
      <c r="AA37" s="10" t="e">
        <f t="shared" ca="1" si="7"/>
        <v>#N/A</v>
      </c>
      <c r="AB37" s="10">
        <f t="shared" ca="1" si="8"/>
        <v>0.35134820800158101</v>
      </c>
    </row>
    <row r="38" spans="1:30" x14ac:dyDescent="0.2">
      <c r="A38" t="str">
        <f>Sheet1!A66</f>
        <v>[[36,4,9]]</v>
      </c>
      <c r="B38">
        <f ca="1">MATCH($A38,INDIRECT("Sheet"&amp;B$2&amp;"!A:A"),)</f>
        <v>66</v>
      </c>
      <c r="C38">
        <f ca="1">MATCH($A38,INDIRECT("Sheet"&amp;C$2&amp;"!A:A"),)</f>
        <v>66</v>
      </c>
      <c r="D38">
        <f ca="1">MATCH($A38,INDIRECT("Sheet"&amp;D$2&amp;"!A:A"),)</f>
        <v>66</v>
      </c>
      <c r="E38">
        <f ca="1">MATCH($A38,INDIRECT("Sheet"&amp;E$2&amp;"!A:A"),)</f>
        <v>66</v>
      </c>
      <c r="F38">
        <f ca="1">MATCH($A38,INDIRECT("Sheet"&amp;F$2&amp;"!A:A"),)</f>
        <v>66</v>
      </c>
      <c r="G38">
        <f ca="1">MATCH($A38,INDIRECT("Sheet"&amp;G$2&amp;"!A:A"),)</f>
        <v>66</v>
      </c>
      <c r="H38">
        <f ca="1">MATCH($A38,INDIRECT("Sheet"&amp;H$2&amp;"!A:A"),)</f>
        <v>66</v>
      </c>
      <c r="I38">
        <f>MATCH($A38,magma!A:A,)</f>
        <v>61</v>
      </c>
      <c r="K38" cm="1">
        <f t="array" aca="1" ref="K38" ca="1">OFFSET(INDIRECT("Sheet"&amp;B$2&amp;"!f1"),B38-1,)</f>
        <v>533.12627736758395</v>
      </c>
      <c r="L38" cm="1">
        <f t="array" aca="1" ref="L38" ca="1">OFFSET(INDIRECT("Sheet"&amp;C$2&amp;"!f1"),C38-1,)</f>
        <v>2182.8305146554399</v>
      </c>
      <c r="M38" cm="1">
        <f t="array" aca="1" ref="M38" ca="1">OFFSET(INDIRECT("Sheet"&amp;D$2&amp;"!f1"),D38-1,)</f>
        <v>128.25970292463899</v>
      </c>
      <c r="N38" cm="1">
        <f t="array" aca="1" ref="N38" ca="1">OFFSET(INDIRECT("Sheet"&amp;E$2&amp;"!f1"),E38-1,)</f>
        <v>127.71079960651601</v>
      </c>
      <c r="O38" cm="1">
        <f t="array" aca="1" ref="O38" ca="1">OFFSET(INDIRECT("Sheet"&amp;F$2&amp;"!f1"),F38-1,)</f>
        <v>139.226033924147</v>
      </c>
      <c r="P38" cm="1">
        <f t="array" aca="1" ref="P38" ca="1">OFFSET(INDIRECT("Sheet"&amp;G$2&amp;"!f1"),G38-1,)</f>
        <v>28800.109907826401</v>
      </c>
      <c r="Q38" cm="1">
        <f t="array" aca="1" ref="Q38" ca="1">OFFSET(INDIRECT("Sheet"&amp;H$2&amp;"!f1"),H38-1,)</f>
        <v>28801.577284097599</v>
      </c>
      <c r="R38">
        <f ca="1">OFFSET(magma!$F$1,I38-1,)*1</f>
        <v>1.2553371249959999</v>
      </c>
      <c r="T38">
        <f>Sheet1!B66</f>
        <v>36</v>
      </c>
      <c r="U38" s="10">
        <f t="shared" ca="1" si="1"/>
        <v>533.12627736758395</v>
      </c>
      <c r="V38" s="10">
        <f t="shared" ca="1" si="2"/>
        <v>2182.8305146554399</v>
      </c>
      <c r="W38" s="10">
        <f t="shared" ca="1" si="3"/>
        <v>128.25970292463899</v>
      </c>
      <c r="X38" s="10">
        <f t="shared" ca="1" si="4"/>
        <v>127.71079960651601</v>
      </c>
      <c r="Y38" s="10">
        <f t="shared" ca="1" si="5"/>
        <v>139.226033924147</v>
      </c>
      <c r="Z38" s="10" t="e">
        <f t="shared" ca="1" si="6"/>
        <v>#N/A</v>
      </c>
      <c r="AA38" s="10" t="e">
        <f t="shared" ca="1" si="7"/>
        <v>#N/A</v>
      </c>
      <c r="AB38" s="10">
        <f t="shared" ca="1" si="8"/>
        <v>1.2553371249959999</v>
      </c>
    </row>
    <row r="39" spans="1:30" x14ac:dyDescent="0.2">
      <c r="A39" t="str">
        <f>Sheet1!A67</f>
        <v>[[37,4,9]]</v>
      </c>
      <c r="B39">
        <f ca="1">MATCH($A39,INDIRECT("Sheet"&amp;B$2&amp;"!A:A"),)</f>
        <v>67</v>
      </c>
      <c r="C39">
        <f ca="1">MATCH($A39,INDIRECT("Sheet"&amp;C$2&amp;"!A:A"),)</f>
        <v>67</v>
      </c>
      <c r="D39">
        <f ca="1">MATCH($A39,INDIRECT("Sheet"&amp;D$2&amp;"!A:A"),)</f>
        <v>67</v>
      </c>
      <c r="E39">
        <f ca="1">MATCH($A39,INDIRECT("Sheet"&amp;E$2&amp;"!A:A"),)</f>
        <v>67</v>
      </c>
      <c r="F39">
        <f ca="1">MATCH($A39,INDIRECT("Sheet"&amp;F$2&amp;"!A:A"),)</f>
        <v>67</v>
      </c>
      <c r="G39">
        <f ca="1">MATCH($A39,INDIRECT("Sheet"&amp;G$2&amp;"!A:A"),)</f>
        <v>67</v>
      </c>
      <c r="H39">
        <f ca="1">MATCH($A39,INDIRECT("Sheet"&amp;H$2&amp;"!A:A"),)</f>
        <v>67</v>
      </c>
      <c r="I39">
        <f>MATCH($A39,magma!A:A,)</f>
        <v>62</v>
      </c>
      <c r="K39" cm="1">
        <f t="array" aca="1" ref="K39" ca="1">OFFSET(INDIRECT("Sheet"&amp;B$2&amp;"!f1"),B39-1,)</f>
        <v>403.08556192275103</v>
      </c>
      <c r="L39" cm="1">
        <f t="array" aca="1" ref="L39" ca="1">OFFSET(INDIRECT("Sheet"&amp;C$2&amp;"!f1"),C39-1,)</f>
        <v>2503.5889614745902</v>
      </c>
      <c r="M39" cm="1">
        <f t="array" aca="1" ref="M39" ca="1">OFFSET(INDIRECT("Sheet"&amp;D$2&amp;"!f1"),D39-1,)</f>
        <v>956.91159109678097</v>
      </c>
      <c r="N39" cm="1">
        <f t="array" aca="1" ref="N39" ca="1">OFFSET(INDIRECT("Sheet"&amp;E$2&amp;"!f1"),E39-1,)</f>
        <v>164.50227001309301</v>
      </c>
      <c r="O39" cm="1">
        <f t="array" aca="1" ref="O39" ca="1">OFFSET(INDIRECT("Sheet"&amp;F$2&amp;"!f1"),F39-1,)</f>
        <v>187.70525731705101</v>
      </c>
      <c r="P39" cm="1">
        <f t="array" aca="1" ref="P39" ca="1">OFFSET(INDIRECT("Sheet"&amp;G$2&amp;"!f1"),G39-1,)</f>
        <v>28800.110171844201</v>
      </c>
      <c r="Q39" cm="1">
        <f t="array" aca="1" ref="Q39" ca="1">OFFSET(INDIRECT("Sheet"&amp;H$2&amp;"!f1"),H39-1,)</f>
        <v>28800.1479524448</v>
      </c>
      <c r="R39">
        <f ca="1">OFFSET(magma!$F$1,I39-1,)*1</f>
        <v>2.4793415419990099</v>
      </c>
      <c r="T39">
        <f>Sheet1!B67</f>
        <v>37</v>
      </c>
      <c r="U39" s="10">
        <f t="shared" ca="1" si="1"/>
        <v>403.08556192275103</v>
      </c>
      <c r="V39" s="10">
        <f t="shared" ca="1" si="2"/>
        <v>2503.5889614745902</v>
      </c>
      <c r="W39" s="10">
        <f t="shared" ca="1" si="3"/>
        <v>956.91159109678097</v>
      </c>
      <c r="X39" s="10">
        <f t="shared" ca="1" si="4"/>
        <v>164.50227001309301</v>
      </c>
      <c r="Y39" s="10">
        <f t="shared" ca="1" si="5"/>
        <v>187.70525731705101</v>
      </c>
      <c r="Z39" s="10" t="e">
        <f t="shared" ca="1" si="6"/>
        <v>#N/A</v>
      </c>
      <c r="AA39" s="10" t="e">
        <f t="shared" ca="1" si="7"/>
        <v>#N/A</v>
      </c>
      <c r="AB39" s="10">
        <f t="shared" ca="1" si="8"/>
        <v>2.4793415419990099</v>
      </c>
    </row>
    <row r="40" spans="1:30" x14ac:dyDescent="0.2">
      <c r="A40" t="str">
        <f>Sheet1!A68</f>
        <v>[[38,4,9]]</v>
      </c>
      <c r="B40">
        <f ca="1">MATCH($A40,INDIRECT("Sheet"&amp;B$2&amp;"!A:A"),)</f>
        <v>68</v>
      </c>
      <c r="C40">
        <f ca="1">MATCH($A40,INDIRECT("Sheet"&amp;C$2&amp;"!A:A"),)</f>
        <v>68</v>
      </c>
      <c r="D40">
        <f ca="1">MATCH($A40,INDIRECT("Sheet"&amp;D$2&amp;"!A:A"),)</f>
        <v>68</v>
      </c>
      <c r="E40">
        <f ca="1">MATCH($A40,INDIRECT("Sheet"&amp;E$2&amp;"!A:A"),)</f>
        <v>68</v>
      </c>
      <c r="F40">
        <f ca="1">MATCH($A40,INDIRECT("Sheet"&amp;F$2&amp;"!A:A"),)</f>
        <v>68</v>
      </c>
      <c r="G40">
        <f ca="1">MATCH($A40,INDIRECT("Sheet"&amp;G$2&amp;"!A:A"),)</f>
        <v>68</v>
      </c>
      <c r="H40">
        <f ca="1">MATCH($A40,INDIRECT("Sheet"&amp;H$2&amp;"!A:A"),)</f>
        <v>68</v>
      </c>
      <c r="I40">
        <f>MATCH($A40,magma!A:A,)</f>
        <v>63</v>
      </c>
      <c r="K40" cm="1">
        <f t="array" aca="1" ref="K40" ca="1">OFFSET(INDIRECT("Sheet"&amp;B$2&amp;"!f1"),B40-1,)</f>
        <v>448.91240877937503</v>
      </c>
      <c r="L40" cm="1">
        <f t="array" aca="1" ref="L40" ca="1">OFFSET(INDIRECT("Sheet"&amp;C$2&amp;"!f1"),C40-1,)</f>
        <v>2585.3750874949601</v>
      </c>
      <c r="M40" cm="1">
        <f t="array" aca="1" ref="M40" ca="1">OFFSET(INDIRECT("Sheet"&amp;D$2&amp;"!f1"),D40-1,)</f>
        <v>5893.1940914140996</v>
      </c>
      <c r="N40" cm="1">
        <f t="array" aca="1" ref="N40" ca="1">OFFSET(INDIRECT("Sheet"&amp;E$2&amp;"!f1"),E40-1,)</f>
        <v>204.03927592560601</v>
      </c>
      <c r="O40" cm="1">
        <f t="array" aca="1" ref="O40" ca="1">OFFSET(INDIRECT("Sheet"&amp;F$2&amp;"!f1"),F40-1,)</f>
        <v>235.79278613813199</v>
      </c>
      <c r="P40" cm="1">
        <f t="array" aca="1" ref="P40" ca="1">OFFSET(INDIRECT("Sheet"&amp;G$2&amp;"!f1"),G40-1,)</f>
        <v>28800.109918839298</v>
      </c>
      <c r="Q40" cm="1">
        <f t="array" aca="1" ref="Q40" ca="1">OFFSET(INDIRECT("Sheet"&amp;H$2&amp;"!f1"),H40-1,)</f>
        <v>28800.110839672299</v>
      </c>
      <c r="R40">
        <f ca="1">OFFSET(magma!$F$1,I40-1,)*1</f>
        <v>7.4901826660061399</v>
      </c>
      <c r="T40">
        <f>Sheet1!B68</f>
        <v>38</v>
      </c>
      <c r="U40" s="10">
        <f t="shared" ca="1" si="1"/>
        <v>448.91240877937503</v>
      </c>
      <c r="V40" s="10">
        <f t="shared" ca="1" si="2"/>
        <v>2585.3750874949601</v>
      </c>
      <c r="W40" s="10">
        <f t="shared" ca="1" si="3"/>
        <v>5893.1940914140996</v>
      </c>
      <c r="X40" s="10">
        <f t="shared" ca="1" si="4"/>
        <v>204.03927592560601</v>
      </c>
      <c r="Y40" s="10">
        <f t="shared" ca="1" si="5"/>
        <v>235.79278613813199</v>
      </c>
      <c r="Z40" s="10" t="e">
        <f t="shared" ca="1" si="6"/>
        <v>#N/A</v>
      </c>
      <c r="AA40" s="10" t="e">
        <f t="shared" ca="1" si="7"/>
        <v>#N/A</v>
      </c>
      <c r="AB40" s="10">
        <f t="shared" ca="1" si="8"/>
        <v>7.4901826660061399</v>
      </c>
    </row>
    <row r="41" spans="1:30" x14ac:dyDescent="0.2">
      <c r="A41" t="str">
        <f>Sheet1!A69</f>
        <v>[[39,4,9]]</v>
      </c>
      <c r="B41">
        <f ca="1">MATCH($A41,INDIRECT("Sheet"&amp;B$2&amp;"!A:A"),)</f>
        <v>69</v>
      </c>
      <c r="C41">
        <f ca="1">MATCH($A41,INDIRECT("Sheet"&amp;C$2&amp;"!A:A"),)</f>
        <v>69</v>
      </c>
      <c r="D41">
        <f ca="1">MATCH($A41,INDIRECT("Sheet"&amp;D$2&amp;"!A:A"),)</f>
        <v>69</v>
      </c>
      <c r="E41">
        <f ca="1">MATCH($A41,INDIRECT("Sheet"&amp;E$2&amp;"!A:A"),)</f>
        <v>69</v>
      </c>
      <c r="F41">
        <f ca="1">MATCH($A41,INDIRECT("Sheet"&amp;F$2&amp;"!A:A"),)</f>
        <v>69</v>
      </c>
      <c r="G41">
        <f ca="1">MATCH($A41,INDIRECT("Sheet"&amp;G$2&amp;"!A:A"),)</f>
        <v>69</v>
      </c>
      <c r="H41">
        <f ca="1">MATCH($A41,INDIRECT("Sheet"&amp;H$2&amp;"!A:A"),)</f>
        <v>69</v>
      </c>
      <c r="I41">
        <f>MATCH($A41,magma!A:A,)</f>
        <v>64</v>
      </c>
      <c r="K41" cm="1">
        <f t="array" aca="1" ref="K41" ca="1">OFFSET(INDIRECT("Sheet"&amp;B$2&amp;"!f1"),B41-1,)</f>
        <v>789.556889217346</v>
      </c>
      <c r="L41" cm="1">
        <f t="array" aca="1" ref="L41" ca="1">OFFSET(INDIRECT("Sheet"&amp;C$2&amp;"!f1"),C41-1,)</f>
        <v>2218.3414981337201</v>
      </c>
      <c r="M41" cm="1">
        <f t="array" aca="1" ref="M41" ca="1">OFFSET(INDIRECT("Sheet"&amp;D$2&amp;"!f1"),D41-1,)</f>
        <v>217.28401865344401</v>
      </c>
      <c r="N41" cm="1">
        <f t="array" aca="1" ref="N41" ca="1">OFFSET(INDIRECT("Sheet"&amp;E$2&amp;"!f1"),E41-1,)</f>
        <v>264.004984871484</v>
      </c>
      <c r="O41" cm="1">
        <f t="array" aca="1" ref="O41" ca="1">OFFSET(INDIRECT("Sheet"&amp;F$2&amp;"!f1"),F41-1,)</f>
        <v>300.79440461657902</v>
      </c>
      <c r="P41" cm="1">
        <f t="array" aca="1" ref="P41" ca="1">OFFSET(INDIRECT("Sheet"&amp;G$2&amp;"!f1"),G41-1,)</f>
        <v>28800.126395986401</v>
      </c>
      <c r="Q41" cm="1">
        <f t="array" aca="1" ref="Q41" ca="1">OFFSET(INDIRECT("Sheet"&amp;H$2&amp;"!f1"),H41-1,)</f>
        <v>28800.113276421998</v>
      </c>
      <c r="R41">
        <f ca="1">OFFSET(magma!$F$1,I41-1,)*1</f>
        <v>0.63059874999453303</v>
      </c>
      <c r="T41">
        <f>Sheet1!B69</f>
        <v>39</v>
      </c>
      <c r="U41" s="10">
        <f t="shared" ca="1" si="1"/>
        <v>789.556889217346</v>
      </c>
      <c r="V41" s="10">
        <f t="shared" ca="1" si="2"/>
        <v>2218.3414981337201</v>
      </c>
      <c r="W41" s="10">
        <f t="shared" ca="1" si="3"/>
        <v>217.28401865344401</v>
      </c>
      <c r="X41" s="10">
        <f t="shared" ca="1" si="4"/>
        <v>264.004984871484</v>
      </c>
      <c r="Y41" s="10">
        <f t="shared" ca="1" si="5"/>
        <v>300.79440461657902</v>
      </c>
      <c r="Z41" s="10" t="e">
        <f t="shared" ca="1" si="6"/>
        <v>#N/A</v>
      </c>
      <c r="AA41" s="10" t="e">
        <f t="shared" ca="1" si="7"/>
        <v>#N/A</v>
      </c>
      <c r="AB41" s="10">
        <f t="shared" ca="1" si="8"/>
        <v>0.63059874999453303</v>
      </c>
    </row>
    <row r="42" spans="1:30" x14ac:dyDescent="0.2">
      <c r="A42" t="str">
        <f>Sheet1!A70</f>
        <v>[[40,5,9]]</v>
      </c>
      <c r="B42">
        <f ca="1">MATCH($A42,INDIRECT("Sheet"&amp;B$2&amp;"!A:A"),)</f>
        <v>70</v>
      </c>
      <c r="C42">
        <f ca="1">MATCH($A42,INDIRECT("Sheet"&amp;C$2&amp;"!A:A"),)</f>
        <v>70</v>
      </c>
      <c r="D42">
        <f ca="1">MATCH($A42,INDIRECT("Sheet"&amp;D$2&amp;"!A:A"),)</f>
        <v>70</v>
      </c>
      <c r="E42">
        <f ca="1">MATCH($A42,INDIRECT("Sheet"&amp;E$2&amp;"!A:A"),)</f>
        <v>70</v>
      </c>
      <c r="F42">
        <f ca="1">MATCH($A42,INDIRECT("Sheet"&amp;F$2&amp;"!A:A"),)</f>
        <v>70</v>
      </c>
      <c r="G42">
        <f ca="1">MATCH($A42,INDIRECT("Sheet"&amp;G$2&amp;"!A:A"),)</f>
        <v>70</v>
      </c>
      <c r="H42">
        <f ca="1">MATCH($A42,INDIRECT("Sheet"&amp;H$2&amp;"!A:A"),)</f>
        <v>70</v>
      </c>
      <c r="I42">
        <f>MATCH($A42,magma!A:A,)</f>
        <v>65</v>
      </c>
      <c r="K42" cm="1">
        <f t="array" aca="1" ref="K42" ca="1">OFFSET(INDIRECT("Sheet"&amp;B$2&amp;"!f1"),B42-1,)</f>
        <v>953.86314334906604</v>
      </c>
      <c r="L42" cm="1">
        <f t="array" aca="1" ref="L42" ca="1">OFFSET(INDIRECT("Sheet"&amp;C$2&amp;"!f1"),C42-1,)</f>
        <v>6454.2228162372403</v>
      </c>
      <c r="M42" cm="1">
        <f t="array" aca="1" ref="M42" ca="1">OFFSET(INDIRECT("Sheet"&amp;D$2&amp;"!f1"),D42-1,)</f>
        <v>306.62457797303699</v>
      </c>
      <c r="N42" cm="1">
        <f t="array" aca="1" ref="N42" ca="1">OFFSET(INDIRECT("Sheet"&amp;E$2&amp;"!f1"),E42-1,)</f>
        <v>404.24307955335797</v>
      </c>
      <c r="O42" cm="1">
        <f t="array" aca="1" ref="O42" ca="1">OFFSET(INDIRECT("Sheet"&amp;F$2&amp;"!f1"),F42-1,)</f>
        <v>465.87269571330398</v>
      </c>
      <c r="P42" cm="1">
        <f t="array" aca="1" ref="P42" ca="1">OFFSET(INDIRECT("Sheet"&amp;G$2&amp;"!f1"),G42-1,)</f>
        <v>28800.1375510199</v>
      </c>
      <c r="Q42" cm="1">
        <f t="array" aca="1" ref="Q42" ca="1">OFFSET(INDIRECT("Sheet"&amp;H$2&amp;"!f1"),H42-1,)</f>
        <v>28800.122812792601</v>
      </c>
      <c r="R42">
        <f ca="1">OFFSET(magma!$F$1,I42-1,)*1</f>
        <v>3.2243135419994302</v>
      </c>
      <c r="T42">
        <f>Sheet1!B70</f>
        <v>40</v>
      </c>
      <c r="U42" s="10">
        <f t="shared" ca="1" si="1"/>
        <v>953.86314334906604</v>
      </c>
      <c r="V42" s="10">
        <f t="shared" ca="1" si="2"/>
        <v>6454.2228162372403</v>
      </c>
      <c r="W42" s="10">
        <f t="shared" ca="1" si="3"/>
        <v>306.62457797303699</v>
      </c>
      <c r="X42" s="10">
        <f t="shared" ca="1" si="4"/>
        <v>404.24307955335797</v>
      </c>
      <c r="Y42" s="10">
        <f t="shared" ca="1" si="5"/>
        <v>465.87269571330398</v>
      </c>
      <c r="Z42" s="10" t="e">
        <f t="shared" ca="1" si="6"/>
        <v>#N/A</v>
      </c>
      <c r="AA42" s="10" t="e">
        <f t="shared" ca="1" si="7"/>
        <v>#N/A</v>
      </c>
      <c r="AB42" s="10">
        <f t="shared" ca="1" si="8"/>
        <v>3.2243135419994302</v>
      </c>
    </row>
    <row r="43" spans="1:30" x14ac:dyDescent="0.2">
      <c r="A43" t="str">
        <f>Sheet1!A71</f>
        <v>[[41,2,11]]</v>
      </c>
      <c r="B43">
        <f ca="1">MATCH($A43,INDIRECT("Sheet"&amp;B$2&amp;"!A:A"),)</f>
        <v>71</v>
      </c>
      <c r="C43">
        <f ca="1">MATCH($A43,INDIRECT("Sheet"&amp;C$2&amp;"!A:A"),)</f>
        <v>71</v>
      </c>
      <c r="D43">
        <f ca="1">MATCH($A43,INDIRECT("Sheet"&amp;D$2&amp;"!A:A"),)</f>
        <v>71</v>
      </c>
      <c r="E43">
        <f ca="1">MATCH($A43,INDIRECT("Sheet"&amp;E$2&amp;"!A:A"),)</f>
        <v>71</v>
      </c>
      <c r="F43">
        <f ca="1">MATCH($A43,INDIRECT("Sheet"&amp;F$2&amp;"!A:A"),)</f>
        <v>71</v>
      </c>
      <c r="G43">
        <f ca="1">MATCH($A43,INDIRECT("Sheet"&amp;G$2&amp;"!A:A"),)</f>
        <v>71</v>
      </c>
      <c r="H43">
        <f ca="1">MATCH($A43,INDIRECT("Sheet"&amp;H$2&amp;"!A:A"),)</f>
        <v>71</v>
      </c>
      <c r="I43">
        <f>MATCH($A43,magma!A:A,)</f>
        <v>66</v>
      </c>
      <c r="K43" cm="1">
        <f t="array" aca="1" ref="K43" ca="1">OFFSET(INDIRECT("Sheet"&amp;B$2&amp;"!f1"),B43-1,)</f>
        <v>10392.1676664808</v>
      </c>
      <c r="L43" cm="1">
        <f t="array" aca="1" ref="L43" ca="1">OFFSET(INDIRECT("Sheet"&amp;C$2&amp;"!f1"),C43-1,)</f>
        <v>28841.694798617598</v>
      </c>
      <c r="M43" cm="1">
        <f t="array" aca="1" ref="M43" ca="1">OFFSET(INDIRECT("Sheet"&amp;D$2&amp;"!f1"),D43-1,)</f>
        <v>216.54129989538299</v>
      </c>
      <c r="N43" cm="1">
        <f t="array" aca="1" ref="N43" ca="1">OFFSET(INDIRECT("Sheet"&amp;E$2&amp;"!f1"),E43-1,)</f>
        <v>376.92658756114503</v>
      </c>
      <c r="O43" cm="1">
        <f t="array" aca="1" ref="O43" ca="1">OFFSET(INDIRECT("Sheet"&amp;F$2&amp;"!f1"),F43-1,)</f>
        <v>87.245409810915504</v>
      </c>
      <c r="P43" cm="1">
        <f t="array" aca="1" ref="P43" ca="1">OFFSET(INDIRECT("Sheet"&amp;G$2&amp;"!f1"),G43-1,)</f>
        <v>28800.112573664599</v>
      </c>
      <c r="Q43" cm="1">
        <f t="array" aca="1" ref="Q43" ca="1">OFFSET(INDIRECT("Sheet"&amp;H$2&amp;"!f1"),H43-1,)</f>
        <v>28803.584711626099</v>
      </c>
      <c r="R43">
        <f ca="1">OFFSET(magma!$F$1,I43-1,)*1</f>
        <v>0.62676125000871197</v>
      </c>
      <c r="T43">
        <f>Sheet1!B71</f>
        <v>41</v>
      </c>
      <c r="U43" s="10">
        <f t="shared" ca="1" si="1"/>
        <v>10392.1676664808</v>
      </c>
      <c r="V43" s="10" t="e">
        <f t="shared" ca="1" si="2"/>
        <v>#N/A</v>
      </c>
      <c r="W43" s="10">
        <f t="shared" ca="1" si="3"/>
        <v>216.54129989538299</v>
      </c>
      <c r="X43" s="10">
        <f t="shared" ca="1" si="4"/>
        <v>376.92658756114503</v>
      </c>
      <c r="Y43" s="10">
        <f t="shared" ca="1" si="5"/>
        <v>87.245409810915504</v>
      </c>
      <c r="Z43" s="10" t="e">
        <f t="shared" ca="1" si="6"/>
        <v>#N/A</v>
      </c>
      <c r="AA43" s="10" t="e">
        <f t="shared" ca="1" si="7"/>
        <v>#N/A</v>
      </c>
      <c r="AB43" s="10">
        <f t="shared" ca="1" si="8"/>
        <v>0.62676125000871197</v>
      </c>
    </row>
    <row r="44" spans="1:30" x14ac:dyDescent="0.2">
      <c r="A44" t="str">
        <f>Sheet1!A72</f>
        <v>[[42,5,9]]</v>
      </c>
      <c r="B44">
        <f ca="1">MATCH($A44,INDIRECT("Sheet"&amp;B$2&amp;"!A:A"),)</f>
        <v>72</v>
      </c>
      <c r="C44">
        <f ca="1">MATCH($A44,INDIRECT("Sheet"&amp;C$2&amp;"!A:A"),)</f>
        <v>72</v>
      </c>
      <c r="D44">
        <f ca="1">MATCH($A44,INDIRECT("Sheet"&amp;D$2&amp;"!A:A"),)</f>
        <v>72</v>
      </c>
      <c r="E44">
        <f ca="1">MATCH($A44,INDIRECT("Sheet"&amp;E$2&amp;"!A:A"),)</f>
        <v>72</v>
      </c>
      <c r="F44">
        <f ca="1">MATCH($A44,INDIRECT("Sheet"&amp;F$2&amp;"!A:A"),)</f>
        <v>72</v>
      </c>
      <c r="G44">
        <f ca="1">MATCH($A44,INDIRECT("Sheet"&amp;G$2&amp;"!A:A"),)</f>
        <v>72</v>
      </c>
      <c r="H44">
        <f ca="1">MATCH($A44,INDIRECT("Sheet"&amp;H$2&amp;"!A:A"),)</f>
        <v>72</v>
      </c>
      <c r="I44">
        <f>MATCH($A44,magma!A:A,)</f>
        <v>67</v>
      </c>
      <c r="K44" cm="1">
        <f t="array" aca="1" ref="K44" ca="1">OFFSET(INDIRECT("Sheet"&amp;B$2&amp;"!f1"),B44-1,)</f>
        <v>7933.8909792723098</v>
      </c>
      <c r="L44" cm="1">
        <f t="array" aca="1" ref="L44" ca="1">OFFSET(INDIRECT("Sheet"&amp;C$2&amp;"!f1"),C44-1,)</f>
        <v>5764.3248862968703</v>
      </c>
      <c r="M44" cm="1">
        <f t="array" aca="1" ref="M44" ca="1">OFFSET(INDIRECT("Sheet"&amp;D$2&amp;"!f1"),D44-1,)</f>
        <v>429.20031798258401</v>
      </c>
      <c r="N44" cm="1">
        <f t="array" aca="1" ref="N44" ca="1">OFFSET(INDIRECT("Sheet"&amp;E$2&amp;"!f1"),E44-1,)</f>
        <v>615.20297078788201</v>
      </c>
      <c r="O44" cm="1">
        <f t="array" aca="1" ref="O44" ca="1">OFFSET(INDIRECT("Sheet"&amp;F$2&amp;"!f1"),F44-1,)</f>
        <v>714.61376341897903</v>
      </c>
      <c r="P44" cm="1">
        <f t="array" aca="1" ref="P44" ca="1">OFFSET(INDIRECT("Sheet"&amp;G$2&amp;"!f1"),G44-1,)</f>
        <v>28800.1121812565</v>
      </c>
      <c r="Q44" cm="1">
        <f t="array" aca="1" ref="Q44" ca="1">OFFSET(INDIRECT("Sheet"&amp;H$2&amp;"!f1"),H44-1,)</f>
        <v>28800.132895611201</v>
      </c>
      <c r="R44">
        <f ca="1">OFFSET(magma!$F$1,I44-1,)*1</f>
        <v>4.4930964579980301</v>
      </c>
      <c r="T44">
        <f>Sheet1!B72</f>
        <v>42</v>
      </c>
      <c r="U44" s="10">
        <f t="shared" ca="1" si="1"/>
        <v>7933.8909792723098</v>
      </c>
      <c r="V44" s="10">
        <f t="shared" ca="1" si="2"/>
        <v>5764.3248862968703</v>
      </c>
      <c r="W44" s="10">
        <f t="shared" ca="1" si="3"/>
        <v>429.20031798258401</v>
      </c>
      <c r="X44" s="10">
        <f t="shared" ca="1" si="4"/>
        <v>615.20297078788201</v>
      </c>
      <c r="Y44" s="10">
        <f t="shared" ca="1" si="5"/>
        <v>714.61376341897903</v>
      </c>
      <c r="Z44" s="10" t="e">
        <f t="shared" ca="1" si="6"/>
        <v>#N/A</v>
      </c>
      <c r="AA44" s="10" t="e">
        <f t="shared" ca="1" si="7"/>
        <v>#N/A</v>
      </c>
      <c r="AB44" s="10">
        <f t="shared" ca="1" si="8"/>
        <v>4.4930964579980301</v>
      </c>
    </row>
    <row r="45" spans="1:30" x14ac:dyDescent="0.2">
      <c r="A45" t="str">
        <f>Sheet1!A73</f>
        <v>[[43,6,9]]</v>
      </c>
      <c r="B45">
        <f ca="1">MATCH($A45,INDIRECT("Sheet"&amp;B$2&amp;"!A:A"),)</f>
        <v>73</v>
      </c>
      <c r="C45">
        <f ca="1">MATCH($A45,INDIRECT("Sheet"&amp;C$2&amp;"!A:A"),)</f>
        <v>73</v>
      </c>
      <c r="D45">
        <f ca="1">MATCH($A45,INDIRECT("Sheet"&amp;D$2&amp;"!A:A"),)</f>
        <v>73</v>
      </c>
      <c r="E45">
        <f ca="1">MATCH($A45,INDIRECT("Sheet"&amp;E$2&amp;"!A:A"),)</f>
        <v>73</v>
      </c>
      <c r="F45">
        <f ca="1">MATCH($A45,INDIRECT("Sheet"&amp;F$2&amp;"!A:A"),)</f>
        <v>73</v>
      </c>
      <c r="G45">
        <f ca="1">MATCH($A45,INDIRECT("Sheet"&amp;G$2&amp;"!A:A"),)</f>
        <v>73</v>
      </c>
      <c r="H45">
        <f ca="1">MATCH($A45,INDIRECT("Sheet"&amp;H$2&amp;"!A:A"),)</f>
        <v>73</v>
      </c>
      <c r="I45">
        <f>MATCH($A45,magma!A:A,)</f>
        <v>68</v>
      </c>
      <c r="K45" cm="1">
        <f t="array" aca="1" ref="K45" ca="1">OFFSET(INDIRECT("Sheet"&amp;B$2&amp;"!f1"),B45-1,)</f>
        <v>2317.3929523527599</v>
      </c>
      <c r="L45" cm="1">
        <f t="array" aca="1" ref="L45" ca="1">OFFSET(INDIRECT("Sheet"&amp;C$2&amp;"!f1"),C45-1,)</f>
        <v>14690.8822062565</v>
      </c>
      <c r="M45" cm="1">
        <f t="array" aca="1" ref="M45" ca="1">OFFSET(INDIRECT("Sheet"&amp;D$2&amp;"!f1"),D45-1,)</f>
        <v>4901.57413679827</v>
      </c>
      <c r="N45" cm="1">
        <f t="array" aca="1" ref="N45" ca="1">OFFSET(INDIRECT("Sheet"&amp;E$2&amp;"!f1"),E45-1,)</f>
        <v>930.91817077714904</v>
      </c>
      <c r="O45" cm="1">
        <f t="array" aca="1" ref="O45" ca="1">OFFSET(INDIRECT("Sheet"&amp;F$2&amp;"!f1"),F45-1,)</f>
        <v>1112.9614635119201</v>
      </c>
      <c r="P45" cm="1">
        <f t="array" aca="1" ref="P45" ca="1">OFFSET(INDIRECT("Sheet"&amp;G$2&amp;"!f1"),G45-1,)</f>
        <v>28800.226552955799</v>
      </c>
      <c r="Q45" cm="1">
        <f t="array" aca="1" ref="Q45" ca="1">OFFSET(INDIRECT("Sheet"&amp;H$2&amp;"!f1"),H45-1,)</f>
        <v>28800.110992357098</v>
      </c>
      <c r="R45">
        <f ca="1">OFFSET(magma!$F$1,I45-1,)*1</f>
        <v>11.075541833997701</v>
      </c>
      <c r="T45">
        <f>Sheet1!B73</f>
        <v>43</v>
      </c>
      <c r="U45" s="10">
        <f t="shared" ca="1" si="1"/>
        <v>2317.3929523527599</v>
      </c>
      <c r="V45" s="10">
        <f t="shared" ca="1" si="2"/>
        <v>14690.8822062565</v>
      </c>
      <c r="W45" s="10">
        <f t="shared" ca="1" si="3"/>
        <v>4901.57413679827</v>
      </c>
      <c r="X45" s="10">
        <f t="shared" ca="1" si="4"/>
        <v>930.91817077714904</v>
      </c>
      <c r="Y45" s="10">
        <f t="shared" ca="1" si="5"/>
        <v>1112.9614635119201</v>
      </c>
      <c r="Z45" s="10" t="e">
        <f t="shared" ca="1" si="6"/>
        <v>#N/A</v>
      </c>
      <c r="AA45" s="10" t="e">
        <f t="shared" ca="1" si="7"/>
        <v>#N/A</v>
      </c>
      <c r="AB45" s="10">
        <f t="shared" ca="1" si="8"/>
        <v>11.075541833997701</v>
      </c>
      <c r="AD45" t="s">
        <v>2059</v>
      </c>
    </row>
    <row r="46" spans="1:30" x14ac:dyDescent="0.2">
      <c r="A46" t="str">
        <f>Sheet1!A74</f>
        <v>[[44,6,9]]</v>
      </c>
      <c r="B46">
        <f ca="1">MATCH($A46,INDIRECT("Sheet"&amp;B$2&amp;"!A:A"),)</f>
        <v>74</v>
      </c>
      <c r="C46">
        <f ca="1">MATCH($A46,INDIRECT("Sheet"&amp;C$2&amp;"!A:A"),)</f>
        <v>74</v>
      </c>
      <c r="D46">
        <f ca="1">MATCH($A46,INDIRECT("Sheet"&amp;D$2&amp;"!A:A"),)</f>
        <v>74</v>
      </c>
      <c r="E46">
        <f ca="1">MATCH($A46,INDIRECT("Sheet"&amp;E$2&amp;"!A:A"),)</f>
        <v>74</v>
      </c>
      <c r="F46">
        <f ca="1">MATCH($A46,INDIRECT("Sheet"&amp;F$2&amp;"!A:A"),)</f>
        <v>74</v>
      </c>
      <c r="G46">
        <f ca="1">MATCH($A46,INDIRECT("Sheet"&amp;G$2&amp;"!A:A"),)</f>
        <v>74</v>
      </c>
      <c r="H46">
        <f ca="1">MATCH($A46,INDIRECT("Sheet"&amp;H$2&amp;"!A:A"),)</f>
        <v>74</v>
      </c>
      <c r="I46">
        <f>MATCH($A46,magma!A:A,)</f>
        <v>69</v>
      </c>
      <c r="K46" cm="1">
        <f t="array" aca="1" ref="K46" ca="1">OFFSET(INDIRECT("Sheet"&amp;B$2&amp;"!f1"),B46-1,)</f>
        <v>2629.1679560160201</v>
      </c>
      <c r="L46" cm="1">
        <f t="array" aca="1" ref="L46" ca="1">OFFSET(INDIRECT("Sheet"&amp;C$2&amp;"!f1"),C46-1,)</f>
        <v>9101.9994694488105</v>
      </c>
      <c r="M46" cm="1">
        <f t="array" aca="1" ref="M46" ca="1">OFFSET(INDIRECT("Sheet"&amp;D$2&amp;"!f1"),D46-1,)</f>
        <v>696.78772511891998</v>
      </c>
      <c r="N46" cm="1">
        <f t="array" aca="1" ref="N46" ca="1">OFFSET(INDIRECT("Sheet"&amp;E$2&amp;"!f1"),E46-1,)</f>
        <v>1142.74233960267</v>
      </c>
      <c r="O46" cm="1">
        <f t="array" aca="1" ref="O46" ca="1">OFFSET(INDIRECT("Sheet"&amp;F$2&amp;"!f1"),F46-1,)</f>
        <v>1328.0673340558999</v>
      </c>
      <c r="P46" cm="1">
        <f t="array" aca="1" ref="P46" ca="1">OFFSET(INDIRECT("Sheet"&amp;G$2&amp;"!f1"),G46-1,)</f>
        <v>28800.118742591701</v>
      </c>
      <c r="Q46" cm="1">
        <f t="array" aca="1" ref="Q46" ca="1">OFFSET(INDIRECT("Sheet"&amp;H$2&amp;"!f1"),H46-1,)</f>
        <v>28800.113851286402</v>
      </c>
      <c r="R46">
        <f ca="1">OFFSET(magma!$F$1,I46-1,)*1</f>
        <v>7.5369881660008096</v>
      </c>
      <c r="T46">
        <f>Sheet1!B74</f>
        <v>44</v>
      </c>
      <c r="U46" s="10">
        <f t="shared" ca="1" si="1"/>
        <v>2629.1679560160201</v>
      </c>
      <c r="V46" s="10">
        <f t="shared" ca="1" si="2"/>
        <v>9101.9994694488105</v>
      </c>
      <c r="W46" s="10">
        <f t="shared" ca="1" si="3"/>
        <v>696.78772511891998</v>
      </c>
      <c r="X46" s="10">
        <f t="shared" ca="1" si="4"/>
        <v>1142.74233960267</v>
      </c>
      <c r="Y46" s="10">
        <f t="shared" ca="1" si="5"/>
        <v>1328.0673340558999</v>
      </c>
      <c r="Z46" s="10" t="e">
        <f t="shared" ca="1" si="6"/>
        <v>#N/A</v>
      </c>
      <c r="AA46" s="10" t="e">
        <f t="shared" ca="1" si="7"/>
        <v>#N/A</v>
      </c>
      <c r="AB46" s="10">
        <f t="shared" ca="1" si="8"/>
        <v>7.5369881660008096</v>
      </c>
    </row>
    <row r="47" spans="1:30" x14ac:dyDescent="0.2">
      <c r="A47" t="str">
        <f>Sheet1!A75</f>
        <v>[[45,6,9]]</v>
      </c>
      <c r="B47">
        <f ca="1">MATCH($A47,INDIRECT("Sheet"&amp;B$2&amp;"!A:A"),)</f>
        <v>75</v>
      </c>
      <c r="C47">
        <f ca="1">MATCH($A47,INDIRECT("Sheet"&amp;C$2&amp;"!A:A"),)</f>
        <v>75</v>
      </c>
      <c r="D47">
        <f ca="1">MATCH($A47,INDIRECT("Sheet"&amp;D$2&amp;"!A:A"),)</f>
        <v>75</v>
      </c>
      <c r="E47">
        <f ca="1">MATCH($A47,INDIRECT("Sheet"&amp;E$2&amp;"!A:A"),)</f>
        <v>75</v>
      </c>
      <c r="F47">
        <f ca="1">MATCH($A47,INDIRECT("Sheet"&amp;F$2&amp;"!A:A"),)</f>
        <v>75</v>
      </c>
      <c r="G47">
        <f ca="1">MATCH($A47,INDIRECT("Sheet"&amp;G$2&amp;"!A:A"),)</f>
        <v>75</v>
      </c>
      <c r="H47">
        <f ca="1">MATCH($A47,INDIRECT("Sheet"&amp;H$2&amp;"!A:A"),)</f>
        <v>75</v>
      </c>
      <c r="I47">
        <f>MATCH($A47,magma!A:A,)</f>
        <v>70</v>
      </c>
      <c r="K47" cm="1">
        <f t="array" aca="1" ref="K47" ca="1">OFFSET(INDIRECT("Sheet"&amp;B$2&amp;"!f1"),B47-1,)</f>
        <v>3039.4316863650402</v>
      </c>
      <c r="L47" cm="1">
        <f t="array" aca="1" ref="L47" ca="1">OFFSET(INDIRECT("Sheet"&amp;C$2&amp;"!f1"),C47-1,)</f>
        <v>13266.8998115221</v>
      </c>
      <c r="M47" cm="1">
        <f t="array" aca="1" ref="M47" ca="1">OFFSET(INDIRECT("Sheet"&amp;D$2&amp;"!f1"),D47-1,)</f>
        <v>6890.7503289831802</v>
      </c>
      <c r="N47" cm="1">
        <f t="array" aca="1" ref="N47" ca="1">OFFSET(INDIRECT("Sheet"&amp;E$2&amp;"!f1"),E47-1,)</f>
        <v>1405.6680839164101</v>
      </c>
      <c r="O47" cm="1">
        <f t="array" aca="1" ref="O47" ca="1">OFFSET(INDIRECT("Sheet"&amp;F$2&amp;"!f1"),F47-1,)</f>
        <v>1638.3674236219299</v>
      </c>
      <c r="P47" cm="1">
        <f t="array" aca="1" ref="P47" ca="1">OFFSET(INDIRECT("Sheet"&amp;G$2&amp;"!f1"),G47-1,)</f>
        <v>28800.138307602101</v>
      </c>
      <c r="Q47" cm="1">
        <f t="array" aca="1" ref="Q47" ca="1">OFFSET(INDIRECT("Sheet"&amp;H$2&amp;"!f1"),H47-1,)</f>
        <v>28800.112244509099</v>
      </c>
      <c r="R47">
        <f ca="1">OFFSET(magma!$F$1,I47-1,)*1</f>
        <v>15.035402749999699</v>
      </c>
      <c r="T47">
        <f>Sheet1!B75</f>
        <v>45</v>
      </c>
      <c r="U47" s="10">
        <f t="shared" ca="1" si="1"/>
        <v>3039.4316863650402</v>
      </c>
      <c r="V47" s="10">
        <f t="shared" ca="1" si="2"/>
        <v>13266.8998115221</v>
      </c>
      <c r="W47" s="10">
        <f t="shared" ca="1" si="3"/>
        <v>6890.7503289831802</v>
      </c>
      <c r="X47" s="10">
        <f t="shared" ca="1" si="4"/>
        <v>1405.6680839164101</v>
      </c>
      <c r="Y47" s="10">
        <f t="shared" ca="1" si="5"/>
        <v>1638.3674236219299</v>
      </c>
      <c r="Z47" s="10" t="e">
        <f t="shared" ca="1" si="6"/>
        <v>#N/A</v>
      </c>
      <c r="AA47" s="10" t="e">
        <f t="shared" ca="1" si="7"/>
        <v>#N/A</v>
      </c>
      <c r="AB47" s="10">
        <f t="shared" ca="1" si="8"/>
        <v>15.035402749999699</v>
      </c>
    </row>
    <row r="48" spans="1:30" x14ac:dyDescent="0.2">
      <c r="A48" t="str">
        <f>Sheet1!A76</f>
        <v>[[46,7,9]]</v>
      </c>
      <c r="B48">
        <f ca="1">MATCH($A48,INDIRECT("Sheet"&amp;B$2&amp;"!A:A"),)</f>
        <v>76</v>
      </c>
      <c r="C48" t="e">
        <f ca="1">MATCH($A48,INDIRECT("Sheet"&amp;C$2&amp;"!A:A"),)</f>
        <v>#N/A</v>
      </c>
      <c r="D48">
        <f ca="1">MATCH($A48,INDIRECT("Sheet"&amp;D$2&amp;"!A:A"),)</f>
        <v>76</v>
      </c>
      <c r="E48">
        <f ca="1">MATCH($A48,INDIRECT("Sheet"&amp;E$2&amp;"!A:A"),)</f>
        <v>76</v>
      </c>
      <c r="F48">
        <f ca="1">MATCH($A48,INDIRECT("Sheet"&amp;F$2&amp;"!A:A"),)</f>
        <v>76</v>
      </c>
      <c r="G48">
        <f ca="1">MATCH($A48,INDIRECT("Sheet"&amp;G$2&amp;"!A:A"),)</f>
        <v>76</v>
      </c>
      <c r="H48">
        <f ca="1">MATCH($A48,INDIRECT("Sheet"&amp;H$2&amp;"!A:A"),)</f>
        <v>76</v>
      </c>
      <c r="I48">
        <f>MATCH($A48,magma!A:A,)</f>
        <v>71</v>
      </c>
      <c r="K48" cm="1">
        <f t="array" aca="1" ref="K48" ca="1">OFFSET(INDIRECT("Sheet"&amp;B$2&amp;"!f1"),B48-1,)</f>
        <v>8477.3824303066303</v>
      </c>
      <c r="L48" t="e" cm="1">
        <f t="array" aca="1" ref="L48" ca="1">OFFSET(INDIRECT("Sheet"&amp;C$2&amp;"!f1"),C48-1,)</f>
        <v>#N/A</v>
      </c>
      <c r="M48" cm="1">
        <f t="array" aca="1" ref="M48" ca="1">OFFSET(INDIRECT("Sheet"&amp;D$2&amp;"!f1"),D48-1,)</f>
        <v>72620.5459769312</v>
      </c>
      <c r="N48" cm="1">
        <f t="array" aca="1" ref="N48" ca="1">OFFSET(INDIRECT("Sheet"&amp;E$2&amp;"!f1"),E48-1,)</f>
        <v>2015.0021126214399</v>
      </c>
      <c r="O48" cm="1">
        <f t="array" aca="1" ref="O48" ca="1">OFFSET(INDIRECT("Sheet"&amp;F$2&amp;"!f1"),F48-1,)</f>
        <v>2428.3175406046198</v>
      </c>
      <c r="P48" cm="1">
        <f t="array" aca="1" ref="P48" ca="1">OFFSET(INDIRECT("Sheet"&amp;G$2&amp;"!f1"),G48-1,)</f>
        <v>28800.114048516301</v>
      </c>
      <c r="Q48" cm="1">
        <f t="array" aca="1" ref="Q48" ca="1">OFFSET(INDIRECT("Sheet"&amp;H$2&amp;"!f1"),H48-1,)</f>
        <v>28802.630149602799</v>
      </c>
      <c r="R48">
        <f ca="1">OFFSET(magma!$F$1,I48-1,)*1</f>
        <v>75.226949999996506</v>
      </c>
      <c r="T48">
        <f>Sheet1!B76</f>
        <v>46</v>
      </c>
      <c r="U48" s="10">
        <f t="shared" ca="1" si="1"/>
        <v>8477.3824303066303</v>
      </c>
      <c r="V48" s="10" t="e">
        <f t="shared" ca="1" si="2"/>
        <v>#N/A</v>
      </c>
      <c r="W48" s="10" t="e">
        <f t="shared" ca="1" si="3"/>
        <v>#N/A</v>
      </c>
      <c r="X48" s="10">
        <f t="shared" ca="1" si="4"/>
        <v>2015.0021126214399</v>
      </c>
      <c r="Y48" s="10">
        <f t="shared" ca="1" si="5"/>
        <v>2428.3175406046198</v>
      </c>
      <c r="Z48" s="10" t="e">
        <f t="shared" ca="1" si="6"/>
        <v>#N/A</v>
      </c>
      <c r="AA48" s="10" t="e">
        <f t="shared" ca="1" si="7"/>
        <v>#N/A</v>
      </c>
      <c r="AB48" s="10">
        <f t="shared" ca="1" si="8"/>
        <v>75.226949999996506</v>
      </c>
    </row>
    <row r="49" spans="1:28" x14ac:dyDescent="0.2">
      <c r="A49" t="str">
        <f>Sheet1!A77</f>
        <v>[[47,8,9]]</v>
      </c>
      <c r="B49">
        <f ca="1">MATCH($A49,INDIRECT("Sheet"&amp;B$2&amp;"!A:A"),)</f>
        <v>77</v>
      </c>
      <c r="C49" t="e">
        <f ca="1">MATCH($A49,INDIRECT("Sheet"&amp;C$2&amp;"!A:A"),)</f>
        <v>#N/A</v>
      </c>
      <c r="D49" t="e">
        <f ca="1">MATCH($A49,INDIRECT("Sheet"&amp;D$2&amp;"!A:A"),)</f>
        <v>#N/A</v>
      </c>
      <c r="E49">
        <f ca="1">MATCH($A49,INDIRECT("Sheet"&amp;E$2&amp;"!A:A"),)</f>
        <v>77</v>
      </c>
      <c r="F49">
        <f ca="1">MATCH($A49,INDIRECT("Sheet"&amp;F$2&amp;"!A:A"),)</f>
        <v>77</v>
      </c>
      <c r="G49">
        <f ca="1">MATCH($A49,INDIRECT("Sheet"&amp;G$2&amp;"!A:A"),)</f>
        <v>77</v>
      </c>
      <c r="H49">
        <f ca="1">MATCH($A49,INDIRECT("Sheet"&amp;H$2&amp;"!A:A"),)</f>
        <v>77</v>
      </c>
      <c r="I49">
        <f>MATCH($A49,magma!A:A,)</f>
        <v>72</v>
      </c>
      <c r="K49" cm="1">
        <f t="array" aca="1" ref="K49" ca="1">OFFSET(INDIRECT("Sheet"&amp;B$2&amp;"!f1"),B49-1,)</f>
        <v>8473.8553908988797</v>
      </c>
      <c r="L49" t="e" cm="1">
        <f t="array" aca="1" ref="L49" ca="1">OFFSET(INDIRECT("Sheet"&amp;C$2&amp;"!f1"),C49-1,)</f>
        <v>#N/A</v>
      </c>
      <c r="M49" t="e" cm="1">
        <f t="array" aca="1" ref="M49" ca="1">OFFSET(INDIRECT("Sheet"&amp;D$2&amp;"!f1"),D49-1,)</f>
        <v>#N/A</v>
      </c>
      <c r="N49" cm="1">
        <f t="array" aca="1" ref="N49" ca="1">OFFSET(INDIRECT("Sheet"&amp;E$2&amp;"!f1"),E49-1,)</f>
        <v>3026.6436775801699</v>
      </c>
      <c r="O49" cm="1">
        <f t="array" aca="1" ref="O49" ca="1">OFFSET(INDIRECT("Sheet"&amp;F$2&amp;"!f1"),F49-1,)</f>
        <v>3529.13093432597</v>
      </c>
      <c r="P49" cm="1">
        <f t="array" aca="1" ref="P49" ca="1">OFFSET(INDIRECT("Sheet"&amp;G$2&amp;"!f1"),G49-1,)</f>
        <v>28800.113923507699</v>
      </c>
      <c r="Q49" cm="1">
        <f t="array" aca="1" ref="Q49" ca="1">OFFSET(INDIRECT("Sheet"&amp;H$2&amp;"!f1"),H49-1,)</f>
        <v>28800.110951118098</v>
      </c>
      <c r="R49">
        <f ca="1">OFFSET(magma!$F$1,I49-1,)*1</f>
        <v>104.374176458994</v>
      </c>
      <c r="T49">
        <f>Sheet1!B77</f>
        <v>47</v>
      </c>
      <c r="U49" s="10">
        <f t="shared" ca="1" si="1"/>
        <v>8473.8553908988797</v>
      </c>
      <c r="V49" s="10" t="e">
        <f t="shared" ca="1" si="2"/>
        <v>#N/A</v>
      </c>
      <c r="W49" s="10" t="e">
        <f t="shared" ca="1" si="3"/>
        <v>#N/A</v>
      </c>
      <c r="X49" s="10">
        <f t="shared" ca="1" si="4"/>
        <v>3026.6436775801699</v>
      </c>
      <c r="Y49" s="10">
        <f t="shared" ca="1" si="5"/>
        <v>3529.13093432597</v>
      </c>
      <c r="Z49" s="10" t="e">
        <f t="shared" ca="1" si="6"/>
        <v>#N/A</v>
      </c>
      <c r="AA49" s="10" t="e">
        <f t="shared" ca="1" si="7"/>
        <v>#N/A</v>
      </c>
      <c r="AB49" s="10">
        <f t="shared" ca="1" si="8"/>
        <v>104.374176458994</v>
      </c>
    </row>
    <row r="50" spans="1:28" x14ac:dyDescent="0.2">
      <c r="A50" t="str">
        <f>Sheet1!A78</f>
        <v>[[48,5,10]]</v>
      </c>
      <c r="B50">
        <f ca="1">MATCH($A50,INDIRECT("Sheet"&amp;B$2&amp;"!A:A"),)</f>
        <v>78</v>
      </c>
      <c r="C50" t="e">
        <f ca="1">MATCH($A50,INDIRECT("Sheet"&amp;C$2&amp;"!A:A"),)</f>
        <v>#N/A</v>
      </c>
      <c r="D50" t="e">
        <f ca="1">MATCH($A50,INDIRECT("Sheet"&amp;D$2&amp;"!A:A"),)</f>
        <v>#N/A</v>
      </c>
      <c r="E50">
        <f ca="1">MATCH($A50,INDIRECT("Sheet"&amp;E$2&amp;"!A:A"),)</f>
        <v>78</v>
      </c>
      <c r="F50">
        <f ca="1">MATCH($A50,INDIRECT("Sheet"&amp;F$2&amp;"!A:A"),)</f>
        <v>78</v>
      </c>
      <c r="G50">
        <f ca="1">MATCH($A50,INDIRECT("Sheet"&amp;G$2&amp;"!A:A"),)</f>
        <v>78</v>
      </c>
      <c r="H50">
        <f ca="1">MATCH($A50,INDIRECT("Sheet"&amp;H$2&amp;"!A:A"),)</f>
        <v>78</v>
      </c>
      <c r="I50">
        <f>MATCH($A50,magma!A:A,)</f>
        <v>73</v>
      </c>
      <c r="K50" cm="1">
        <f t="array" aca="1" ref="K50" ca="1">OFFSET(INDIRECT("Sheet"&amp;B$2&amp;"!f1"),B50-1,)</f>
        <v>28814.408389100801</v>
      </c>
      <c r="L50" t="e" cm="1">
        <f t="array" aca="1" ref="L50" ca="1">OFFSET(INDIRECT("Sheet"&amp;C$2&amp;"!f1"),C50-1,)</f>
        <v>#N/A</v>
      </c>
      <c r="M50" t="e" cm="1">
        <f t="array" aca="1" ref="M50" ca="1">OFFSET(INDIRECT("Sheet"&amp;D$2&amp;"!f1"),D50-1,)</f>
        <v>#N/A</v>
      </c>
      <c r="N50" cm="1">
        <f t="array" aca="1" ref="N50" ca="1">OFFSET(INDIRECT("Sheet"&amp;E$2&amp;"!f1"),E50-1,)</f>
        <v>9653.4171753451192</v>
      </c>
      <c r="O50" cm="1">
        <f t="array" aca="1" ref="O50" ca="1">OFFSET(INDIRECT("Sheet"&amp;F$2&amp;"!f1"),F50-1,)</f>
        <v>10942.6104296296</v>
      </c>
      <c r="P50" cm="1">
        <f t="array" aca="1" ref="P50" ca="1">OFFSET(INDIRECT("Sheet"&amp;G$2&amp;"!f1"),G50-1,)</f>
        <v>28800.230038165999</v>
      </c>
      <c r="Q50" cm="1">
        <f t="array" aca="1" ref="Q50" ca="1">OFFSET(INDIRECT("Sheet"&amp;H$2&amp;"!f1"),H50-1,)</f>
        <v>28800.110875166902</v>
      </c>
      <c r="R50">
        <f ca="1">OFFSET(magma!$F$1,I50-1,)*1</f>
        <v>19.976325750001699</v>
      </c>
      <c r="T50">
        <f>Sheet1!B78</f>
        <v>48</v>
      </c>
      <c r="U50" s="10" t="e">
        <f t="shared" ca="1" si="1"/>
        <v>#N/A</v>
      </c>
      <c r="V50" s="10" t="e">
        <f t="shared" ca="1" si="2"/>
        <v>#N/A</v>
      </c>
      <c r="W50" s="10" t="e">
        <f t="shared" ca="1" si="3"/>
        <v>#N/A</v>
      </c>
      <c r="X50" s="10">
        <f t="shared" ca="1" si="4"/>
        <v>9653.4171753451192</v>
      </c>
      <c r="Y50" s="10">
        <f t="shared" ca="1" si="5"/>
        <v>10942.6104296296</v>
      </c>
      <c r="Z50" s="10" t="e">
        <f t="shared" ca="1" si="6"/>
        <v>#N/A</v>
      </c>
      <c r="AA50" s="10" t="e">
        <f t="shared" ca="1" si="7"/>
        <v>#N/A</v>
      </c>
      <c r="AB50" s="10">
        <f t="shared" ca="1" si="8"/>
        <v>19.976325750001699</v>
      </c>
    </row>
    <row r="51" spans="1:28" x14ac:dyDescent="0.2">
      <c r="A51" t="str">
        <f>Sheet1!A79</f>
        <v>[[49,17,7]]</v>
      </c>
      <c r="B51">
        <f ca="1">MATCH($A51,INDIRECT("Sheet"&amp;B$2&amp;"!A:A"),)</f>
        <v>79</v>
      </c>
      <c r="C51" t="e">
        <f ca="1">MATCH($A51,INDIRECT("Sheet"&amp;C$2&amp;"!A:A"),)</f>
        <v>#N/A</v>
      </c>
      <c r="D51" t="e">
        <f ca="1">MATCH($A51,INDIRECT("Sheet"&amp;D$2&amp;"!A:A"),)</f>
        <v>#N/A</v>
      </c>
      <c r="E51">
        <f ca="1">MATCH($A51,INDIRECT("Sheet"&amp;E$2&amp;"!A:A"),)</f>
        <v>79</v>
      </c>
      <c r="F51">
        <f ca="1">MATCH($A51,INDIRECT("Sheet"&amp;F$2&amp;"!A:A"),)</f>
        <v>79</v>
      </c>
      <c r="G51">
        <f ca="1">MATCH($A51,INDIRECT("Sheet"&amp;G$2&amp;"!A:A"),)</f>
        <v>79</v>
      </c>
      <c r="H51">
        <f ca="1">MATCH($A51,INDIRECT("Sheet"&amp;H$2&amp;"!A:A"),)</f>
        <v>79</v>
      </c>
      <c r="I51">
        <f>MATCH($A51,magma!A:A,)</f>
        <v>74</v>
      </c>
      <c r="K51" cm="1">
        <f t="array" aca="1" ref="K51" ca="1">OFFSET(INDIRECT("Sheet"&amp;B$2&amp;"!f1"),B51-1,)</f>
        <v>511.41341916657899</v>
      </c>
      <c r="L51" t="e" cm="1">
        <f t="array" aca="1" ref="L51" ca="1">OFFSET(INDIRECT("Sheet"&amp;C$2&amp;"!f1"),C51-1,)</f>
        <v>#N/A</v>
      </c>
      <c r="M51" t="e" cm="1">
        <f t="array" aca="1" ref="M51" ca="1">OFFSET(INDIRECT("Sheet"&amp;D$2&amp;"!f1"),D51-1,)</f>
        <v>#N/A</v>
      </c>
      <c r="N51" cm="1">
        <f t="array" aca="1" ref="N51" ca="1">OFFSET(INDIRECT("Sheet"&amp;E$2&amp;"!f1"),E51-1,)</f>
        <v>316.37667980231299</v>
      </c>
      <c r="O51" cm="1">
        <f t="array" aca="1" ref="O51" ca="1">OFFSET(INDIRECT("Sheet"&amp;F$2&amp;"!f1"),F51-1,)</f>
        <v>381.64202316664102</v>
      </c>
      <c r="P51" cm="1">
        <f t="array" aca="1" ref="P51" ca="1">OFFSET(INDIRECT("Sheet"&amp;G$2&amp;"!f1"),G51-1,)</f>
        <v>8295.5894078454003</v>
      </c>
      <c r="Q51" cm="1">
        <f t="array" aca="1" ref="Q51" ca="1">OFFSET(INDIRECT("Sheet"&amp;H$2&amp;"!f1"),H51-1,)</f>
        <v>28800.112955570199</v>
      </c>
      <c r="R51">
        <f ca="1">OFFSET(magma!$F$1,I51-1,)*1</f>
        <v>4.7231276660022496</v>
      </c>
      <c r="T51">
        <f>Sheet1!B79</f>
        <v>49</v>
      </c>
      <c r="U51" s="10">
        <f t="shared" ca="1" si="1"/>
        <v>511.41341916657899</v>
      </c>
      <c r="V51" s="10" t="e">
        <f t="shared" ca="1" si="2"/>
        <v>#N/A</v>
      </c>
      <c r="W51" s="10" t="e">
        <f t="shared" ca="1" si="3"/>
        <v>#N/A</v>
      </c>
      <c r="X51" s="10">
        <f t="shared" ca="1" si="4"/>
        <v>316.37667980231299</v>
      </c>
      <c r="Y51" s="10">
        <f t="shared" ca="1" si="5"/>
        <v>381.64202316664102</v>
      </c>
      <c r="Z51" s="10">
        <f t="shared" ca="1" si="6"/>
        <v>8295.5894078454003</v>
      </c>
      <c r="AA51" s="10" t="e">
        <f t="shared" ca="1" si="7"/>
        <v>#N/A</v>
      </c>
      <c r="AB51" s="10">
        <f t="shared" ca="1" si="8"/>
        <v>4.7231276660022496</v>
      </c>
    </row>
    <row r="52" spans="1:28" x14ac:dyDescent="0.2">
      <c r="A52" t="str">
        <f>Sheet1!A80</f>
        <v>[[50,13,8]]</v>
      </c>
      <c r="B52">
        <f ca="1">MATCH($A52,INDIRECT("Sheet"&amp;B$2&amp;"!A:A"),)</f>
        <v>80</v>
      </c>
      <c r="C52" t="e">
        <f ca="1">MATCH($A52,INDIRECT("Sheet"&amp;C$2&amp;"!A:A"),)</f>
        <v>#N/A</v>
      </c>
      <c r="D52" t="e">
        <f ca="1">MATCH($A52,INDIRECT("Sheet"&amp;D$2&amp;"!A:A"),)</f>
        <v>#N/A</v>
      </c>
      <c r="E52">
        <f ca="1">MATCH($A52,INDIRECT("Sheet"&amp;E$2&amp;"!A:A"),)</f>
        <v>80</v>
      </c>
      <c r="F52">
        <f ca="1">MATCH($A52,INDIRECT("Sheet"&amp;F$2&amp;"!A:A"),)</f>
        <v>80</v>
      </c>
      <c r="G52">
        <f ca="1">MATCH($A52,INDIRECT("Sheet"&amp;G$2&amp;"!A:A"),)</f>
        <v>80</v>
      </c>
      <c r="H52">
        <f ca="1">MATCH($A52,INDIRECT("Sheet"&amp;H$2&amp;"!A:A"),)</f>
        <v>80</v>
      </c>
      <c r="I52">
        <f>MATCH($A52,magma!A:A,)</f>
        <v>75</v>
      </c>
      <c r="K52" cm="1">
        <f t="array" aca="1" ref="K52" ca="1">OFFSET(INDIRECT("Sheet"&amp;B$2&amp;"!f1"),B52-1,)</f>
        <v>1912.8247975856</v>
      </c>
      <c r="L52" t="e" cm="1">
        <f t="array" aca="1" ref="L52" ca="1">OFFSET(INDIRECT("Sheet"&amp;C$2&amp;"!f1"),C52-1,)</f>
        <v>#N/A</v>
      </c>
      <c r="M52" t="e" cm="1">
        <f t="array" aca="1" ref="M52" ca="1">OFFSET(INDIRECT("Sheet"&amp;D$2&amp;"!f1"),D52-1,)</f>
        <v>#N/A</v>
      </c>
      <c r="N52" cm="1">
        <f t="array" aca="1" ref="N52" ca="1">OFFSET(INDIRECT("Sheet"&amp;E$2&amp;"!f1"),E52-1,)</f>
        <v>1602.1817576242599</v>
      </c>
      <c r="O52" cm="1">
        <f t="array" aca="1" ref="O52" ca="1">OFFSET(INDIRECT("Sheet"&amp;F$2&amp;"!f1"),F52-1,)</f>
        <v>12156.4691090537</v>
      </c>
      <c r="P52" cm="1">
        <f t="array" aca="1" ref="P52" ca="1">OFFSET(INDIRECT("Sheet"&amp;G$2&amp;"!f1"),G52-1,)</f>
        <v>28800.206706974601</v>
      </c>
      <c r="Q52" cm="1">
        <f t="array" aca="1" ref="Q52" ca="1">OFFSET(INDIRECT("Sheet"&amp;H$2&amp;"!f1"),H52-1,)</f>
        <v>28800.153296262</v>
      </c>
      <c r="R52">
        <f ca="1">OFFSET(magma!$F$1,I52-1,)*1</f>
        <v>38.280680167008498</v>
      </c>
      <c r="T52">
        <f>Sheet1!B80</f>
        <v>50</v>
      </c>
      <c r="U52" s="10">
        <f t="shared" ca="1" si="1"/>
        <v>1912.8247975856</v>
      </c>
      <c r="V52" s="10" t="e">
        <f t="shared" ca="1" si="2"/>
        <v>#N/A</v>
      </c>
      <c r="W52" s="10" t="e">
        <f t="shared" ca="1" si="3"/>
        <v>#N/A</v>
      </c>
      <c r="X52" s="10">
        <f t="shared" ca="1" si="4"/>
        <v>1602.1817576242599</v>
      </c>
      <c r="Y52" s="10">
        <f t="shared" ca="1" si="5"/>
        <v>12156.4691090537</v>
      </c>
      <c r="Z52" s="10" t="e">
        <f t="shared" ca="1" si="6"/>
        <v>#N/A</v>
      </c>
      <c r="AA52" s="10" t="e">
        <f t="shared" ca="1" si="7"/>
        <v>#N/A</v>
      </c>
      <c r="AB52" s="10">
        <f t="shared" ca="1" si="8"/>
        <v>38.280680167008498</v>
      </c>
    </row>
    <row r="53" spans="1:28" x14ac:dyDescent="0.2">
      <c r="A53" t="str">
        <f>Sheet1!A81</f>
        <v>[[51,12,9]]</v>
      </c>
      <c r="B53">
        <f ca="1">MATCH($A53,INDIRECT("Sheet"&amp;B$2&amp;"!A:A"),)</f>
        <v>81</v>
      </c>
      <c r="C53" t="e">
        <f ca="1">MATCH($A53,INDIRECT("Sheet"&amp;C$2&amp;"!A:A"),)</f>
        <v>#N/A</v>
      </c>
      <c r="D53" t="e">
        <f ca="1">MATCH($A53,INDIRECT("Sheet"&amp;D$2&amp;"!A:A"),)</f>
        <v>#N/A</v>
      </c>
      <c r="E53">
        <f ca="1">MATCH($A53,INDIRECT("Sheet"&amp;E$2&amp;"!A:A"),)</f>
        <v>81</v>
      </c>
      <c r="F53">
        <f ca="1">MATCH($A53,INDIRECT("Sheet"&amp;F$2&amp;"!A:A"),)</f>
        <v>81</v>
      </c>
      <c r="G53">
        <f ca="1">MATCH($A53,INDIRECT("Sheet"&amp;G$2&amp;"!A:A"),)</f>
        <v>81</v>
      </c>
      <c r="H53">
        <f ca="1">MATCH($A53,INDIRECT("Sheet"&amp;H$2&amp;"!A:A"),)</f>
        <v>81</v>
      </c>
      <c r="I53">
        <f>MATCH($A53,magma!A:A,)</f>
        <v>76</v>
      </c>
      <c r="K53" cm="1">
        <f t="array" aca="1" ref="K53" ca="1">OFFSET(INDIRECT("Sheet"&amp;B$2&amp;"!f1"),B53-1,)</f>
        <v>7432.1109610041603</v>
      </c>
      <c r="L53" t="e" cm="1">
        <f t="array" aca="1" ref="L53" ca="1">OFFSET(INDIRECT("Sheet"&amp;C$2&amp;"!f1"),C53-1,)</f>
        <v>#N/A</v>
      </c>
      <c r="M53" t="e" cm="1">
        <f t="array" aca="1" ref="M53" ca="1">OFFSET(INDIRECT("Sheet"&amp;D$2&amp;"!f1"),D53-1,)</f>
        <v>#N/A</v>
      </c>
      <c r="N53" cm="1">
        <f t="array" aca="1" ref="N53" ca="1">OFFSET(INDIRECT("Sheet"&amp;E$2&amp;"!f1"),E53-1,)</f>
        <v>10171.856206763499</v>
      </c>
      <c r="O53" cm="1">
        <f t="array" aca="1" ref="O53" ca="1">OFFSET(INDIRECT("Sheet"&amp;F$2&amp;"!f1"),F53-1,)</f>
        <v>12050.268975073401</v>
      </c>
      <c r="P53" cm="1">
        <f t="array" aca="1" ref="P53" ca="1">OFFSET(INDIRECT("Sheet"&amp;G$2&amp;"!f1"),G53-1,)</f>
        <v>28800.1418899251</v>
      </c>
      <c r="Q53" cm="1">
        <f t="array" aca="1" ref="Q53" ca="1">OFFSET(INDIRECT("Sheet"&amp;H$2&amp;"!f1"),H53-1,)</f>
        <v>28803.2985442727</v>
      </c>
      <c r="R53">
        <f ca="1">OFFSET(magma!$F$1,I53-1,)*1</f>
        <v>356.73267145799701</v>
      </c>
      <c r="T53">
        <f>Sheet1!B81</f>
        <v>51</v>
      </c>
      <c r="U53" s="10">
        <f t="shared" ca="1" si="1"/>
        <v>7432.1109610041603</v>
      </c>
      <c r="V53" s="10" t="e">
        <f t="shared" ca="1" si="2"/>
        <v>#N/A</v>
      </c>
      <c r="W53" s="10" t="e">
        <f t="shared" ca="1" si="3"/>
        <v>#N/A</v>
      </c>
      <c r="X53" s="10">
        <f t="shared" ca="1" si="4"/>
        <v>10171.856206763499</v>
      </c>
      <c r="Y53" s="10">
        <f t="shared" ca="1" si="5"/>
        <v>12050.268975073401</v>
      </c>
      <c r="Z53" s="10" t="e">
        <f t="shared" ca="1" si="6"/>
        <v>#N/A</v>
      </c>
      <c r="AA53" s="10" t="e">
        <f t="shared" ca="1" si="7"/>
        <v>#N/A</v>
      </c>
      <c r="AB53" s="10">
        <f t="shared" ca="1" si="8"/>
        <v>356.73267145799701</v>
      </c>
    </row>
    <row r="54" spans="1:28" x14ac:dyDescent="0.2">
      <c r="A54" t="str">
        <f>Sheet1!A82</f>
        <v>[[52,10,10]]</v>
      </c>
      <c r="B54">
        <f ca="1">MATCH($A54,INDIRECT("Sheet"&amp;B$2&amp;"!A:A"),)</f>
        <v>82</v>
      </c>
      <c r="C54" t="e">
        <f ca="1">MATCH($A54,INDIRECT("Sheet"&amp;C$2&amp;"!A:A"),)</f>
        <v>#N/A</v>
      </c>
      <c r="D54" t="e">
        <f ca="1">MATCH($A54,INDIRECT("Sheet"&amp;D$2&amp;"!A:A"),)</f>
        <v>#N/A</v>
      </c>
      <c r="E54" t="e">
        <f ca="1">MATCH($A54,INDIRECT("Sheet"&amp;E$2&amp;"!A:A"),)</f>
        <v>#N/A</v>
      </c>
      <c r="F54" t="e">
        <f ca="1">MATCH($A54,INDIRECT("Sheet"&amp;F$2&amp;"!A:A"),)</f>
        <v>#N/A</v>
      </c>
      <c r="G54">
        <f ca="1">MATCH($A54,INDIRECT("Sheet"&amp;G$2&amp;"!A:A"),)</f>
        <v>82</v>
      </c>
      <c r="H54">
        <f ca="1">MATCH($A54,INDIRECT("Sheet"&amp;H$2&amp;"!A:A"),)</f>
        <v>82</v>
      </c>
      <c r="I54">
        <f>MATCH($A54,magma!A:A,)</f>
        <v>77</v>
      </c>
      <c r="K54" cm="1">
        <f t="array" aca="1" ref="K54" ca="1">OFFSET(INDIRECT("Sheet"&amp;B$2&amp;"!f1"),B54-1,)</f>
        <v>28822.678173533601</v>
      </c>
      <c r="L54" t="e" cm="1">
        <f t="array" aca="1" ref="L54" ca="1">OFFSET(INDIRECT("Sheet"&amp;C$2&amp;"!f1"),C54-1,)</f>
        <v>#N/A</v>
      </c>
      <c r="M54" t="e" cm="1">
        <f t="array" aca="1" ref="M54" ca="1">OFFSET(INDIRECT("Sheet"&amp;D$2&amp;"!f1"),D54-1,)</f>
        <v>#N/A</v>
      </c>
      <c r="N54" t="e" cm="1">
        <f t="array" aca="1" ref="N54" ca="1">OFFSET(INDIRECT("Sheet"&amp;E$2&amp;"!f1"),E54-1,)</f>
        <v>#N/A</v>
      </c>
      <c r="O54" t="e" cm="1">
        <f t="array" aca="1" ref="O54" ca="1">OFFSET(INDIRECT("Sheet"&amp;F$2&amp;"!f1"),F54-1,)</f>
        <v>#N/A</v>
      </c>
      <c r="P54" cm="1">
        <f t="array" aca="1" ref="P54" ca="1">OFFSET(INDIRECT("Sheet"&amp;G$2&amp;"!f1"),G54-1,)</f>
        <v>28800.1540491329</v>
      </c>
      <c r="Q54" cm="1">
        <f t="array" aca="1" ref="Q54" ca="1">OFFSET(INDIRECT("Sheet"&amp;H$2&amp;"!f1"),H54-1,)</f>
        <v>28800.111936539401</v>
      </c>
      <c r="R54">
        <f ca="1">OFFSET(magma!$F$1,I54-1,)*1</f>
        <v>28800.0326176249</v>
      </c>
      <c r="T54">
        <f>Sheet1!B82</f>
        <v>52</v>
      </c>
      <c r="U54" s="10" t="e">
        <f t="shared" ca="1" si="1"/>
        <v>#N/A</v>
      </c>
      <c r="V54" s="10" t="e">
        <f t="shared" ca="1" si="2"/>
        <v>#N/A</v>
      </c>
      <c r="W54" s="10" t="e">
        <f t="shared" ca="1" si="3"/>
        <v>#N/A</v>
      </c>
      <c r="X54" s="10" t="e">
        <f t="shared" ca="1" si="4"/>
        <v>#N/A</v>
      </c>
      <c r="Y54" s="10" t="e">
        <f t="shared" ca="1" si="5"/>
        <v>#N/A</v>
      </c>
      <c r="Z54" s="10" t="e">
        <f t="shared" ca="1" si="6"/>
        <v>#N/A</v>
      </c>
      <c r="AA54" s="10" t="e">
        <f t="shared" ca="1" si="7"/>
        <v>#N/A</v>
      </c>
      <c r="AB54" s="10" t="e">
        <f t="shared" ca="1" si="8"/>
        <v>#N/A</v>
      </c>
    </row>
    <row r="55" spans="1:28" x14ac:dyDescent="0.2">
      <c r="A55" t="str">
        <f>Sheet1!A83</f>
        <v>[[53,6,11]]</v>
      </c>
      <c r="B55">
        <f ca="1">MATCH($A55,INDIRECT("Sheet"&amp;B$2&amp;"!A:A"),)</f>
        <v>83</v>
      </c>
      <c r="C55" t="e">
        <f ca="1">MATCH($A55,INDIRECT("Sheet"&amp;C$2&amp;"!A:A"),)</f>
        <v>#N/A</v>
      </c>
      <c r="D55" t="e">
        <f ca="1">MATCH($A55,INDIRECT("Sheet"&amp;D$2&amp;"!A:A"),)</f>
        <v>#N/A</v>
      </c>
      <c r="E55" t="e">
        <f ca="1">MATCH($A55,INDIRECT("Sheet"&amp;E$2&amp;"!A:A"),)</f>
        <v>#N/A</v>
      </c>
      <c r="F55" t="e">
        <f ca="1">MATCH($A55,INDIRECT("Sheet"&amp;F$2&amp;"!A:A"),)</f>
        <v>#N/A</v>
      </c>
      <c r="G55">
        <f ca="1">MATCH($A55,INDIRECT("Sheet"&amp;G$2&amp;"!A:A"),)</f>
        <v>83</v>
      </c>
      <c r="H55">
        <f ca="1">MATCH($A55,INDIRECT("Sheet"&amp;H$2&amp;"!A:A"),)</f>
        <v>83</v>
      </c>
      <c r="I55">
        <f>MATCH($A55,magma!A:A,)</f>
        <v>78</v>
      </c>
      <c r="K55" cm="1">
        <f t="array" aca="1" ref="K55" ca="1">OFFSET(INDIRECT("Sheet"&amp;B$2&amp;"!f1"),B55-1,)</f>
        <v>28839.104911733401</v>
      </c>
      <c r="L55" t="e" cm="1">
        <f t="array" aca="1" ref="L55" ca="1">OFFSET(INDIRECT("Sheet"&amp;C$2&amp;"!f1"),C55-1,)</f>
        <v>#N/A</v>
      </c>
      <c r="M55" t="e" cm="1">
        <f t="array" aca="1" ref="M55" ca="1">OFFSET(INDIRECT("Sheet"&amp;D$2&amp;"!f1"),D55-1,)</f>
        <v>#N/A</v>
      </c>
      <c r="N55" t="e" cm="1">
        <f t="array" aca="1" ref="N55" ca="1">OFFSET(INDIRECT("Sheet"&amp;E$2&amp;"!f1"),E55-1,)</f>
        <v>#N/A</v>
      </c>
      <c r="O55" t="e" cm="1">
        <f t="array" aca="1" ref="O55" ca="1">OFFSET(INDIRECT("Sheet"&amp;F$2&amp;"!f1"),F55-1,)</f>
        <v>#N/A</v>
      </c>
      <c r="P55" cm="1">
        <f t="array" aca="1" ref="P55" ca="1">OFFSET(INDIRECT("Sheet"&amp;G$2&amp;"!f1"),G55-1,)</f>
        <v>28800.141889139999</v>
      </c>
      <c r="Q55" cm="1">
        <f t="array" aca="1" ref="Q55" ca="1">OFFSET(INDIRECT("Sheet"&amp;H$2&amp;"!f1"),H55-1,)</f>
        <v>28800.127797640798</v>
      </c>
      <c r="R55">
        <f ca="1">OFFSET(magma!$F$1,I55-1,)*1</f>
        <v>846.85662175004802</v>
      </c>
      <c r="T55">
        <f>Sheet1!B83</f>
        <v>53</v>
      </c>
      <c r="U55" s="10" t="e">
        <f t="shared" ca="1" si="1"/>
        <v>#N/A</v>
      </c>
      <c r="V55" s="10" t="e">
        <f t="shared" ca="1" si="2"/>
        <v>#N/A</v>
      </c>
      <c r="W55" s="10" t="e">
        <f t="shared" ca="1" si="3"/>
        <v>#N/A</v>
      </c>
      <c r="X55" s="10" t="e">
        <f t="shared" ca="1" si="4"/>
        <v>#N/A</v>
      </c>
      <c r="Y55" s="10" t="e">
        <f t="shared" ca="1" si="5"/>
        <v>#N/A</v>
      </c>
      <c r="Z55" s="10" t="e">
        <f t="shared" ca="1" si="6"/>
        <v>#N/A</v>
      </c>
      <c r="AA55" s="10" t="e">
        <f t="shared" ca="1" si="7"/>
        <v>#N/A</v>
      </c>
      <c r="AB55" s="10">
        <f ca="1">IF(AND(R55&gt;0,R55&lt;28800),R55,NA())</f>
        <v>846.85662175004802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D152-2347-904B-8900-698DCD47AB4A}">
  <dimension ref="A1:I105"/>
  <sheetViews>
    <sheetView topLeftCell="A56" workbookViewId="0">
      <selection activeCell="F85" sqref="F85"/>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s="8" t="s">
        <v>32</v>
      </c>
    </row>
    <row r="5" spans="1:1" x14ac:dyDescent="0.2">
      <c r="A5" s="7" t="s">
        <v>33</v>
      </c>
    </row>
    <row r="6" spans="1:1" x14ac:dyDescent="0.2">
      <c r="A6" s="2" t="s">
        <v>1924</v>
      </c>
    </row>
    <row r="7" spans="1:1" x14ac:dyDescent="0.2">
      <c r="A7" t="s">
        <v>3</v>
      </c>
    </row>
    <row r="8" spans="1:1" x14ac:dyDescent="0.2">
      <c r="A8" s="8" t="s">
        <v>4</v>
      </c>
    </row>
    <row r="9" spans="1:1" x14ac:dyDescent="0.2">
      <c r="A9" t="s">
        <v>5</v>
      </c>
    </row>
    <row r="10" spans="1:1" x14ac:dyDescent="0.2">
      <c r="A10" t="s">
        <v>6</v>
      </c>
    </row>
    <row r="11" spans="1:1" x14ac:dyDescent="0.2">
      <c r="A11" t="s">
        <v>7</v>
      </c>
    </row>
    <row r="12" spans="1:1" x14ac:dyDescent="0.2">
      <c r="A12" t="s">
        <v>8</v>
      </c>
    </row>
    <row r="13" spans="1:1" x14ac:dyDescent="0.2">
      <c r="A13" t="s">
        <v>9</v>
      </c>
    </row>
    <row r="14" spans="1:1" x14ac:dyDescent="0.2">
      <c r="A14" t="s">
        <v>12</v>
      </c>
    </row>
    <row r="15" spans="1:1" x14ac:dyDescent="0.2">
      <c r="A15" t="s">
        <v>1925</v>
      </c>
    </row>
    <row r="16" spans="1:1" x14ac:dyDescent="0.2">
      <c r="A16" t="s">
        <v>1926</v>
      </c>
    </row>
    <row r="17" spans="1:9" x14ac:dyDescent="0.2">
      <c r="A17" t="s">
        <v>1927</v>
      </c>
    </row>
    <row r="18" spans="1:9" x14ac:dyDescent="0.2">
      <c r="A18" t="s">
        <v>13</v>
      </c>
    </row>
    <row r="19" spans="1:9" x14ac:dyDescent="0.2">
      <c r="A19" t="s">
        <v>27</v>
      </c>
    </row>
    <row r="20" spans="1:9" x14ac:dyDescent="0.2">
      <c r="A20" t="s">
        <v>14</v>
      </c>
    </row>
    <row r="21" spans="1:9" x14ac:dyDescent="0.2">
      <c r="A21" t="s">
        <v>1050</v>
      </c>
    </row>
    <row r="22" spans="1:9" x14ac:dyDescent="0.2">
      <c r="A22" t="s">
        <v>1051</v>
      </c>
    </row>
    <row r="23" spans="1:9" x14ac:dyDescent="0.2">
      <c r="A23" t="s">
        <v>1928</v>
      </c>
    </row>
    <row r="24" spans="1:9" x14ac:dyDescent="0.2">
      <c r="A24" t="s">
        <v>16</v>
      </c>
    </row>
    <row r="25" spans="1:9" x14ac:dyDescent="0.2">
      <c r="A25" t="s">
        <v>1929</v>
      </c>
    </row>
    <row r="26" spans="1:9" x14ac:dyDescent="0.2">
      <c r="A26" t="s">
        <v>17</v>
      </c>
    </row>
    <row r="27" spans="1:9" x14ac:dyDescent="0.2">
      <c r="A27" t="s">
        <v>18</v>
      </c>
      <c r="B27" t="s">
        <v>19</v>
      </c>
      <c r="C27" t="s">
        <v>20</v>
      </c>
      <c r="D27" t="s">
        <v>21</v>
      </c>
      <c r="E27" t="s">
        <v>22</v>
      </c>
      <c r="F27" t="s">
        <v>23</v>
      </c>
      <c r="G27" t="s">
        <v>24</v>
      </c>
      <c r="H27" t="s">
        <v>25</v>
      </c>
      <c r="I27" t="s">
        <v>26</v>
      </c>
    </row>
    <row r="28" spans="1:9" x14ac:dyDescent="0.2">
      <c r="A28" t="s">
        <v>92</v>
      </c>
      <c r="B28">
        <v>3</v>
      </c>
      <c r="C28">
        <v>1</v>
      </c>
      <c r="D28">
        <v>1</v>
      </c>
      <c r="E28">
        <v>0</v>
      </c>
      <c r="F28" s="9" t="s">
        <v>1930</v>
      </c>
      <c r="G28">
        <v>1</v>
      </c>
      <c r="H28">
        <v>1</v>
      </c>
      <c r="I28" t="s">
        <v>1931</v>
      </c>
    </row>
    <row r="29" spans="1:9" x14ac:dyDescent="0.2">
      <c r="A29" t="s">
        <v>93</v>
      </c>
      <c r="B29">
        <v>4</v>
      </c>
      <c r="C29">
        <v>1</v>
      </c>
      <c r="D29">
        <v>2</v>
      </c>
      <c r="E29">
        <v>0</v>
      </c>
      <c r="F29" s="9" t="s">
        <v>1932</v>
      </c>
      <c r="G29">
        <v>1</v>
      </c>
      <c r="H29">
        <v>1</v>
      </c>
      <c r="I29" t="s">
        <v>1933</v>
      </c>
    </row>
    <row r="30" spans="1:9" x14ac:dyDescent="0.2">
      <c r="A30" t="s">
        <v>94</v>
      </c>
      <c r="B30">
        <v>5</v>
      </c>
      <c r="C30">
        <v>1</v>
      </c>
      <c r="D30">
        <v>3</v>
      </c>
      <c r="E30">
        <v>0</v>
      </c>
      <c r="F30" s="9" t="s">
        <v>1934</v>
      </c>
      <c r="G30">
        <v>1</v>
      </c>
      <c r="H30">
        <v>1</v>
      </c>
      <c r="I30" t="s">
        <v>1935</v>
      </c>
    </row>
    <row r="31" spans="1:9" x14ac:dyDescent="0.2">
      <c r="A31" t="s">
        <v>95</v>
      </c>
      <c r="B31">
        <v>6</v>
      </c>
      <c r="C31">
        <v>1</v>
      </c>
      <c r="D31">
        <v>3</v>
      </c>
      <c r="E31">
        <v>0</v>
      </c>
      <c r="F31">
        <v>5.7163917008438099E-2</v>
      </c>
      <c r="G31">
        <v>1</v>
      </c>
      <c r="H31">
        <v>1</v>
      </c>
      <c r="I31" t="s">
        <v>1936</v>
      </c>
    </row>
    <row r="32" spans="1:9" x14ac:dyDescent="0.2">
      <c r="A32" t="s">
        <v>96</v>
      </c>
      <c r="B32">
        <v>7</v>
      </c>
      <c r="C32">
        <v>1</v>
      </c>
      <c r="D32">
        <v>3</v>
      </c>
      <c r="E32">
        <v>0</v>
      </c>
      <c r="F32">
        <v>5.5149332998553201E-2</v>
      </c>
      <c r="G32">
        <v>1</v>
      </c>
      <c r="H32">
        <v>1</v>
      </c>
      <c r="I32" t="s">
        <v>1937</v>
      </c>
    </row>
    <row r="33" spans="1:9" x14ac:dyDescent="0.2">
      <c r="A33" t="s">
        <v>97</v>
      </c>
      <c r="B33">
        <v>8</v>
      </c>
      <c r="C33">
        <v>1</v>
      </c>
      <c r="D33">
        <v>3</v>
      </c>
      <c r="E33">
        <v>0</v>
      </c>
      <c r="F33">
        <v>5.2720499996212297E-2</v>
      </c>
      <c r="G33">
        <v>1</v>
      </c>
      <c r="H33">
        <v>1</v>
      </c>
      <c r="I33" t="s">
        <v>1938</v>
      </c>
    </row>
    <row r="34" spans="1:9" x14ac:dyDescent="0.2">
      <c r="A34" t="s">
        <v>98</v>
      </c>
      <c r="B34">
        <v>9</v>
      </c>
      <c r="C34">
        <v>1</v>
      </c>
      <c r="D34">
        <v>3</v>
      </c>
      <c r="E34">
        <v>0</v>
      </c>
      <c r="F34">
        <v>5.2406624992727302E-2</v>
      </c>
      <c r="G34">
        <v>1</v>
      </c>
      <c r="H34">
        <v>1</v>
      </c>
      <c r="I34" t="s">
        <v>1939</v>
      </c>
    </row>
    <row r="35" spans="1:9" x14ac:dyDescent="0.2">
      <c r="A35" t="s">
        <v>99</v>
      </c>
      <c r="B35">
        <v>10</v>
      </c>
      <c r="C35">
        <v>1</v>
      </c>
      <c r="D35">
        <v>4</v>
      </c>
      <c r="E35">
        <v>0</v>
      </c>
      <c r="F35">
        <v>5.2589167011319597E-2</v>
      </c>
      <c r="G35">
        <v>1</v>
      </c>
      <c r="H35">
        <v>1</v>
      </c>
      <c r="I35" t="s">
        <v>1940</v>
      </c>
    </row>
    <row r="36" spans="1:9" x14ac:dyDescent="0.2">
      <c r="A36" t="s">
        <v>100</v>
      </c>
      <c r="B36">
        <v>11</v>
      </c>
      <c r="C36">
        <v>1</v>
      </c>
      <c r="D36">
        <v>5</v>
      </c>
      <c r="E36">
        <v>0</v>
      </c>
      <c r="F36">
        <v>5.2994915997260202E-2</v>
      </c>
      <c r="G36">
        <v>1</v>
      </c>
      <c r="H36">
        <v>1</v>
      </c>
      <c r="I36" t="s">
        <v>1941</v>
      </c>
    </row>
    <row r="37" spans="1:9" x14ac:dyDescent="0.2">
      <c r="A37" t="s">
        <v>101</v>
      </c>
      <c r="B37">
        <v>12</v>
      </c>
      <c r="C37">
        <v>6</v>
      </c>
      <c r="D37">
        <v>3</v>
      </c>
      <c r="E37">
        <v>0</v>
      </c>
      <c r="F37">
        <v>5.2198791992850602E-2</v>
      </c>
      <c r="G37">
        <v>1</v>
      </c>
      <c r="H37">
        <v>1</v>
      </c>
      <c r="I37" t="s">
        <v>1942</v>
      </c>
    </row>
    <row r="38" spans="1:9" x14ac:dyDescent="0.2">
      <c r="A38" t="s">
        <v>102</v>
      </c>
      <c r="B38">
        <v>13</v>
      </c>
      <c r="C38">
        <v>6</v>
      </c>
      <c r="D38">
        <v>3</v>
      </c>
      <c r="E38">
        <v>0</v>
      </c>
      <c r="F38">
        <v>5.3350833011791103E-2</v>
      </c>
      <c r="G38">
        <v>1</v>
      </c>
      <c r="H38">
        <v>1</v>
      </c>
      <c r="I38" t="s">
        <v>1943</v>
      </c>
    </row>
    <row r="39" spans="1:9" x14ac:dyDescent="0.2">
      <c r="A39" t="s">
        <v>103</v>
      </c>
      <c r="B39">
        <v>14</v>
      </c>
      <c r="C39">
        <v>2</v>
      </c>
      <c r="D39">
        <v>5</v>
      </c>
      <c r="E39">
        <v>0</v>
      </c>
      <c r="F39">
        <v>5.32726249948609E-2</v>
      </c>
      <c r="G39">
        <v>1</v>
      </c>
      <c r="H39">
        <v>1</v>
      </c>
      <c r="I39" t="s">
        <v>1944</v>
      </c>
    </row>
    <row r="40" spans="1:9" x14ac:dyDescent="0.2">
      <c r="A40" t="s">
        <v>104</v>
      </c>
      <c r="B40">
        <v>15</v>
      </c>
      <c r="C40">
        <v>2</v>
      </c>
      <c r="D40">
        <v>5</v>
      </c>
      <c r="E40">
        <v>0</v>
      </c>
      <c r="F40" s="9" t="s">
        <v>1945</v>
      </c>
      <c r="G40">
        <v>1</v>
      </c>
      <c r="H40">
        <v>1</v>
      </c>
      <c r="I40" t="s">
        <v>1946</v>
      </c>
    </row>
    <row r="41" spans="1:9" x14ac:dyDescent="0.2">
      <c r="A41" t="s">
        <v>105</v>
      </c>
      <c r="B41">
        <v>16</v>
      </c>
      <c r="C41">
        <v>1</v>
      </c>
      <c r="D41">
        <v>6</v>
      </c>
      <c r="E41">
        <v>0</v>
      </c>
      <c r="F41">
        <v>5.3124625002965303E-2</v>
      </c>
      <c r="G41">
        <v>1</v>
      </c>
      <c r="H41">
        <v>1</v>
      </c>
      <c r="I41" t="s">
        <v>1947</v>
      </c>
    </row>
    <row r="42" spans="1:9" x14ac:dyDescent="0.2">
      <c r="A42" t="s">
        <v>106</v>
      </c>
      <c r="B42">
        <v>17</v>
      </c>
      <c r="C42">
        <v>3</v>
      </c>
      <c r="D42">
        <v>5</v>
      </c>
      <c r="E42">
        <v>0</v>
      </c>
      <c r="F42" s="9" t="s">
        <v>1948</v>
      </c>
      <c r="G42">
        <v>1</v>
      </c>
      <c r="H42">
        <v>1</v>
      </c>
      <c r="I42" t="s">
        <v>1949</v>
      </c>
    </row>
    <row r="43" spans="1:9" x14ac:dyDescent="0.2">
      <c r="A43" t="s">
        <v>107</v>
      </c>
      <c r="B43">
        <v>18</v>
      </c>
      <c r="C43">
        <v>5</v>
      </c>
      <c r="D43">
        <v>5</v>
      </c>
      <c r="E43">
        <v>0</v>
      </c>
      <c r="F43">
        <v>5.4014332999940899E-2</v>
      </c>
      <c r="G43">
        <v>1</v>
      </c>
      <c r="H43">
        <v>1</v>
      </c>
      <c r="I43" t="s">
        <v>1950</v>
      </c>
    </row>
    <row r="44" spans="1:9" x14ac:dyDescent="0.2">
      <c r="A44" t="s">
        <v>108</v>
      </c>
      <c r="B44">
        <v>19</v>
      </c>
      <c r="C44">
        <v>5</v>
      </c>
      <c r="D44">
        <v>5</v>
      </c>
      <c r="E44">
        <v>0</v>
      </c>
      <c r="F44" s="9" t="s">
        <v>1951</v>
      </c>
      <c r="G44">
        <v>1</v>
      </c>
      <c r="H44">
        <v>1</v>
      </c>
      <c r="I44" t="s">
        <v>1952</v>
      </c>
    </row>
    <row r="45" spans="1:9" x14ac:dyDescent="0.2">
      <c r="A45" t="s">
        <v>109</v>
      </c>
      <c r="B45">
        <v>20</v>
      </c>
      <c r="C45">
        <v>3</v>
      </c>
      <c r="D45">
        <v>6</v>
      </c>
      <c r="E45">
        <v>0</v>
      </c>
      <c r="F45" s="9" t="s">
        <v>1953</v>
      </c>
      <c r="G45">
        <v>1</v>
      </c>
      <c r="H45">
        <v>1</v>
      </c>
      <c r="I45" t="s">
        <v>1954</v>
      </c>
    </row>
    <row r="46" spans="1:9" x14ac:dyDescent="0.2">
      <c r="A46" t="s">
        <v>110</v>
      </c>
      <c r="B46">
        <v>21</v>
      </c>
      <c r="C46">
        <v>3</v>
      </c>
      <c r="D46">
        <v>6</v>
      </c>
      <c r="E46">
        <v>0</v>
      </c>
      <c r="F46">
        <v>8.3966416990733705E-2</v>
      </c>
      <c r="G46">
        <v>1</v>
      </c>
      <c r="H46">
        <v>1</v>
      </c>
      <c r="I46" t="s">
        <v>1955</v>
      </c>
    </row>
    <row r="47" spans="1:9" x14ac:dyDescent="0.2">
      <c r="A47" t="s">
        <v>111</v>
      </c>
      <c r="B47">
        <v>22</v>
      </c>
      <c r="C47">
        <v>7</v>
      </c>
      <c r="D47">
        <v>5</v>
      </c>
      <c r="E47">
        <v>0</v>
      </c>
      <c r="F47">
        <v>5.8356875000754302E-2</v>
      </c>
      <c r="G47">
        <v>1</v>
      </c>
      <c r="H47">
        <v>1</v>
      </c>
      <c r="I47" t="s">
        <v>1956</v>
      </c>
    </row>
    <row r="48" spans="1:9" x14ac:dyDescent="0.2">
      <c r="A48" t="s">
        <v>112</v>
      </c>
      <c r="B48">
        <v>23</v>
      </c>
      <c r="C48">
        <v>2</v>
      </c>
      <c r="D48">
        <v>7</v>
      </c>
      <c r="E48">
        <v>0</v>
      </c>
      <c r="F48" s="9" t="s">
        <v>1957</v>
      </c>
      <c r="G48">
        <v>1</v>
      </c>
      <c r="H48">
        <v>1</v>
      </c>
      <c r="I48" t="s">
        <v>1958</v>
      </c>
    </row>
    <row r="49" spans="1:9" x14ac:dyDescent="0.2">
      <c r="A49" t="s">
        <v>113</v>
      </c>
      <c r="B49">
        <v>24</v>
      </c>
      <c r="C49">
        <v>8</v>
      </c>
      <c r="D49">
        <v>5</v>
      </c>
      <c r="E49">
        <v>0</v>
      </c>
      <c r="F49">
        <v>5.5191624996950801E-2</v>
      </c>
      <c r="G49">
        <v>1</v>
      </c>
      <c r="H49">
        <v>1</v>
      </c>
      <c r="I49" t="s">
        <v>1959</v>
      </c>
    </row>
    <row r="50" spans="1:9" x14ac:dyDescent="0.2">
      <c r="A50" t="s">
        <v>114</v>
      </c>
      <c r="B50">
        <v>25</v>
      </c>
      <c r="C50">
        <v>8</v>
      </c>
      <c r="D50">
        <v>5</v>
      </c>
      <c r="E50">
        <v>0</v>
      </c>
      <c r="F50" s="9" t="s">
        <v>1960</v>
      </c>
      <c r="G50">
        <v>1</v>
      </c>
      <c r="H50">
        <v>1</v>
      </c>
      <c r="I50" t="s">
        <v>1961</v>
      </c>
    </row>
    <row r="51" spans="1:9" x14ac:dyDescent="0.2">
      <c r="A51" t="s">
        <v>115</v>
      </c>
      <c r="B51">
        <v>26</v>
      </c>
      <c r="C51">
        <v>6</v>
      </c>
      <c r="D51">
        <v>6</v>
      </c>
      <c r="E51">
        <v>0</v>
      </c>
      <c r="F51">
        <v>6.0908250001375501E-2</v>
      </c>
      <c r="G51">
        <v>1</v>
      </c>
      <c r="H51">
        <v>1</v>
      </c>
      <c r="I51" t="s">
        <v>1962</v>
      </c>
    </row>
    <row r="52" spans="1:9" x14ac:dyDescent="0.2">
      <c r="A52" t="s">
        <v>116</v>
      </c>
      <c r="B52">
        <v>27</v>
      </c>
      <c r="C52">
        <v>6</v>
      </c>
      <c r="D52">
        <v>6</v>
      </c>
      <c r="E52">
        <v>0</v>
      </c>
      <c r="F52">
        <v>6.3612166995881098E-2</v>
      </c>
      <c r="G52">
        <v>1</v>
      </c>
      <c r="H52">
        <v>1</v>
      </c>
      <c r="I52" t="s">
        <v>1963</v>
      </c>
    </row>
    <row r="53" spans="1:9" x14ac:dyDescent="0.2">
      <c r="A53" t="s">
        <v>117</v>
      </c>
      <c r="B53">
        <v>28</v>
      </c>
      <c r="C53">
        <v>6</v>
      </c>
      <c r="D53">
        <v>6</v>
      </c>
      <c r="E53">
        <v>0</v>
      </c>
      <c r="F53">
        <v>6.3219250005204203E-2</v>
      </c>
      <c r="G53">
        <v>1</v>
      </c>
      <c r="H53">
        <v>1</v>
      </c>
      <c r="I53" t="s">
        <v>1964</v>
      </c>
    </row>
    <row r="54" spans="1:9" x14ac:dyDescent="0.2">
      <c r="A54" t="s">
        <v>118</v>
      </c>
      <c r="B54">
        <v>29</v>
      </c>
      <c r="C54">
        <v>6</v>
      </c>
      <c r="D54">
        <v>7</v>
      </c>
      <c r="E54">
        <v>0</v>
      </c>
      <c r="F54" s="9" t="s">
        <v>1965</v>
      </c>
      <c r="G54">
        <v>1</v>
      </c>
      <c r="H54">
        <v>1</v>
      </c>
      <c r="I54" t="s">
        <v>1966</v>
      </c>
    </row>
    <row r="55" spans="1:9" x14ac:dyDescent="0.2">
      <c r="A55" t="s">
        <v>119</v>
      </c>
      <c r="B55">
        <v>30</v>
      </c>
      <c r="C55">
        <v>9</v>
      </c>
      <c r="D55">
        <v>6</v>
      </c>
      <c r="E55">
        <v>0</v>
      </c>
      <c r="F55">
        <v>7.5886291990172994E-2</v>
      </c>
      <c r="G55">
        <v>1</v>
      </c>
      <c r="H55">
        <v>1</v>
      </c>
      <c r="I55" t="s">
        <v>1967</v>
      </c>
    </row>
    <row r="56" spans="1:9" x14ac:dyDescent="0.2">
      <c r="A56" t="s">
        <v>120</v>
      </c>
      <c r="B56">
        <v>31</v>
      </c>
      <c r="C56">
        <v>9</v>
      </c>
      <c r="D56">
        <v>6</v>
      </c>
      <c r="E56">
        <v>0</v>
      </c>
      <c r="F56">
        <v>7.9208583003492095E-2</v>
      </c>
      <c r="G56">
        <v>1</v>
      </c>
      <c r="H56">
        <v>1</v>
      </c>
      <c r="I56" t="s">
        <v>1968</v>
      </c>
    </row>
    <row r="57" spans="1:9" x14ac:dyDescent="0.2">
      <c r="A57" t="s">
        <v>121</v>
      </c>
      <c r="B57">
        <v>32</v>
      </c>
      <c r="C57">
        <v>5</v>
      </c>
      <c r="D57">
        <v>8</v>
      </c>
      <c r="E57">
        <v>0</v>
      </c>
      <c r="F57" s="9" t="s">
        <v>1969</v>
      </c>
      <c r="G57">
        <v>1</v>
      </c>
      <c r="H57">
        <v>1</v>
      </c>
      <c r="I57" t="s">
        <v>1970</v>
      </c>
    </row>
    <row r="58" spans="1:9" x14ac:dyDescent="0.2">
      <c r="A58" t="s">
        <v>122</v>
      </c>
      <c r="B58">
        <v>33</v>
      </c>
      <c r="C58">
        <v>7</v>
      </c>
      <c r="D58">
        <v>8</v>
      </c>
      <c r="E58">
        <v>0</v>
      </c>
      <c r="F58" s="9" t="s">
        <v>1971</v>
      </c>
      <c r="G58">
        <v>1</v>
      </c>
      <c r="H58">
        <v>1</v>
      </c>
      <c r="I58" t="s">
        <v>1972</v>
      </c>
    </row>
    <row r="59" spans="1:9" x14ac:dyDescent="0.2">
      <c r="A59" t="s">
        <v>123</v>
      </c>
      <c r="B59">
        <v>34</v>
      </c>
      <c r="C59">
        <v>17</v>
      </c>
      <c r="D59">
        <v>5</v>
      </c>
      <c r="E59">
        <v>0</v>
      </c>
      <c r="F59">
        <v>6.7020417001913302E-2</v>
      </c>
      <c r="G59">
        <v>1</v>
      </c>
      <c r="H59">
        <v>1</v>
      </c>
      <c r="I59" t="s">
        <v>1973</v>
      </c>
    </row>
    <row r="60" spans="1:9" x14ac:dyDescent="0.2">
      <c r="A60" t="s">
        <v>124</v>
      </c>
      <c r="B60">
        <v>35</v>
      </c>
      <c r="C60">
        <v>4</v>
      </c>
      <c r="D60">
        <v>9</v>
      </c>
      <c r="E60">
        <v>0</v>
      </c>
      <c r="F60" s="9" t="s">
        <v>1974</v>
      </c>
      <c r="G60">
        <v>1</v>
      </c>
      <c r="H60">
        <v>1</v>
      </c>
      <c r="I60" t="s">
        <v>1975</v>
      </c>
    </row>
    <row r="61" spans="1:9" x14ac:dyDescent="0.2">
      <c r="A61" t="s">
        <v>125</v>
      </c>
      <c r="B61">
        <v>36</v>
      </c>
      <c r="C61">
        <v>4</v>
      </c>
      <c r="D61">
        <v>9</v>
      </c>
      <c r="E61">
        <v>0</v>
      </c>
      <c r="F61" s="9" t="s">
        <v>1976</v>
      </c>
      <c r="G61">
        <v>1</v>
      </c>
      <c r="H61">
        <v>1</v>
      </c>
      <c r="I61" t="s">
        <v>1977</v>
      </c>
    </row>
    <row r="62" spans="1:9" x14ac:dyDescent="0.2">
      <c r="A62" t="s">
        <v>126</v>
      </c>
      <c r="B62">
        <v>37</v>
      </c>
      <c r="C62">
        <v>4</v>
      </c>
      <c r="D62">
        <v>9</v>
      </c>
      <c r="E62">
        <v>0</v>
      </c>
      <c r="F62" s="9" t="s">
        <v>1978</v>
      </c>
      <c r="G62">
        <v>1</v>
      </c>
      <c r="H62">
        <v>1</v>
      </c>
      <c r="I62" t="s">
        <v>1979</v>
      </c>
    </row>
    <row r="63" spans="1:9" x14ac:dyDescent="0.2">
      <c r="A63" t="s">
        <v>127</v>
      </c>
      <c r="B63">
        <v>38</v>
      </c>
      <c r="C63">
        <v>4</v>
      </c>
      <c r="D63">
        <v>9</v>
      </c>
      <c r="E63">
        <v>0</v>
      </c>
      <c r="F63" s="9" t="s">
        <v>1980</v>
      </c>
      <c r="G63">
        <v>1</v>
      </c>
      <c r="H63">
        <v>1</v>
      </c>
      <c r="I63" t="s">
        <v>1981</v>
      </c>
    </row>
    <row r="64" spans="1:9" x14ac:dyDescent="0.2">
      <c r="A64" t="s">
        <v>128</v>
      </c>
      <c r="B64">
        <v>39</v>
      </c>
      <c r="C64">
        <v>4</v>
      </c>
      <c r="D64">
        <v>9</v>
      </c>
      <c r="E64">
        <v>0</v>
      </c>
      <c r="F64" s="9" t="s">
        <v>1982</v>
      </c>
      <c r="G64">
        <v>1</v>
      </c>
      <c r="H64">
        <v>1</v>
      </c>
      <c r="I64" t="s">
        <v>1983</v>
      </c>
    </row>
    <row r="65" spans="1:9" x14ac:dyDescent="0.2">
      <c r="A65" t="s">
        <v>129</v>
      </c>
      <c r="B65">
        <v>40</v>
      </c>
      <c r="C65">
        <v>5</v>
      </c>
      <c r="D65">
        <v>9</v>
      </c>
      <c r="E65">
        <v>0</v>
      </c>
      <c r="F65" s="9" t="s">
        <v>1984</v>
      </c>
      <c r="G65">
        <v>1</v>
      </c>
      <c r="H65">
        <v>1</v>
      </c>
      <c r="I65" t="s">
        <v>1985</v>
      </c>
    </row>
    <row r="66" spans="1:9" x14ac:dyDescent="0.2">
      <c r="A66" t="s">
        <v>130</v>
      </c>
      <c r="B66">
        <v>41</v>
      </c>
      <c r="C66">
        <v>2</v>
      </c>
      <c r="D66">
        <v>11</v>
      </c>
      <c r="E66">
        <v>0</v>
      </c>
      <c r="F66" s="9" t="s">
        <v>1986</v>
      </c>
      <c r="G66">
        <v>1</v>
      </c>
      <c r="H66">
        <v>1</v>
      </c>
      <c r="I66" t="s">
        <v>1987</v>
      </c>
    </row>
    <row r="67" spans="1:9" x14ac:dyDescent="0.2">
      <c r="A67" t="s">
        <v>131</v>
      </c>
      <c r="B67">
        <v>42</v>
      </c>
      <c r="C67">
        <v>5</v>
      </c>
      <c r="D67">
        <v>9</v>
      </c>
      <c r="E67">
        <v>0</v>
      </c>
      <c r="F67" s="9" t="s">
        <v>1988</v>
      </c>
      <c r="G67">
        <v>1</v>
      </c>
      <c r="H67">
        <v>1</v>
      </c>
      <c r="I67" t="s">
        <v>1989</v>
      </c>
    </row>
    <row r="68" spans="1:9" x14ac:dyDescent="0.2">
      <c r="A68" t="s">
        <v>132</v>
      </c>
      <c r="B68">
        <v>43</v>
      </c>
      <c r="C68">
        <v>6</v>
      </c>
      <c r="D68">
        <v>9</v>
      </c>
      <c r="E68">
        <v>0</v>
      </c>
      <c r="F68" s="9" t="s">
        <v>1990</v>
      </c>
      <c r="G68">
        <v>1</v>
      </c>
      <c r="H68">
        <v>1</v>
      </c>
      <c r="I68" t="s">
        <v>1991</v>
      </c>
    </row>
    <row r="69" spans="1:9" x14ac:dyDescent="0.2">
      <c r="A69" t="s">
        <v>133</v>
      </c>
      <c r="B69">
        <v>44</v>
      </c>
      <c r="C69">
        <v>6</v>
      </c>
      <c r="D69">
        <v>9</v>
      </c>
      <c r="E69">
        <v>0</v>
      </c>
      <c r="F69" s="9" t="s">
        <v>1992</v>
      </c>
      <c r="G69">
        <v>1</v>
      </c>
      <c r="H69">
        <v>1</v>
      </c>
      <c r="I69" t="s">
        <v>1993</v>
      </c>
    </row>
    <row r="70" spans="1:9" x14ac:dyDescent="0.2">
      <c r="A70" t="s">
        <v>134</v>
      </c>
      <c r="B70">
        <v>45</v>
      </c>
      <c r="C70">
        <v>6</v>
      </c>
      <c r="D70">
        <v>9</v>
      </c>
      <c r="E70">
        <v>0</v>
      </c>
      <c r="F70" s="9" t="s">
        <v>1994</v>
      </c>
      <c r="G70">
        <v>1</v>
      </c>
      <c r="H70">
        <v>1</v>
      </c>
      <c r="I70" t="s">
        <v>1995</v>
      </c>
    </row>
    <row r="71" spans="1:9" x14ac:dyDescent="0.2">
      <c r="A71" t="s">
        <v>135</v>
      </c>
      <c r="B71">
        <v>46</v>
      </c>
      <c r="C71">
        <v>7</v>
      </c>
      <c r="D71">
        <v>9</v>
      </c>
      <c r="E71">
        <v>0</v>
      </c>
      <c r="F71" s="9" t="s">
        <v>1996</v>
      </c>
      <c r="G71">
        <v>1</v>
      </c>
      <c r="H71">
        <v>1</v>
      </c>
      <c r="I71" t="s">
        <v>1997</v>
      </c>
    </row>
    <row r="72" spans="1:9" x14ac:dyDescent="0.2">
      <c r="A72" t="s">
        <v>136</v>
      </c>
      <c r="B72">
        <v>47</v>
      </c>
      <c r="C72">
        <v>8</v>
      </c>
      <c r="D72">
        <v>9</v>
      </c>
      <c r="E72">
        <v>0</v>
      </c>
      <c r="F72" s="9" t="s">
        <v>1998</v>
      </c>
      <c r="G72">
        <v>1</v>
      </c>
      <c r="H72">
        <v>1</v>
      </c>
      <c r="I72" t="s">
        <v>1999</v>
      </c>
    </row>
    <row r="73" spans="1:9" x14ac:dyDescent="0.2">
      <c r="A73" t="s">
        <v>137</v>
      </c>
      <c r="B73">
        <v>48</v>
      </c>
      <c r="C73">
        <v>5</v>
      </c>
      <c r="D73">
        <v>10</v>
      </c>
      <c r="E73">
        <v>0</v>
      </c>
      <c r="F73" s="9" t="s">
        <v>2000</v>
      </c>
      <c r="G73">
        <v>1</v>
      </c>
      <c r="H73">
        <v>1</v>
      </c>
      <c r="I73" t="s">
        <v>2001</v>
      </c>
    </row>
    <row r="74" spans="1:9" x14ac:dyDescent="0.2">
      <c r="A74" t="s">
        <v>138</v>
      </c>
      <c r="B74">
        <v>49</v>
      </c>
      <c r="C74">
        <v>17</v>
      </c>
      <c r="D74">
        <v>7</v>
      </c>
      <c r="E74">
        <v>0</v>
      </c>
      <c r="F74" s="9" t="s">
        <v>2002</v>
      </c>
      <c r="G74">
        <v>1</v>
      </c>
      <c r="H74">
        <v>1</v>
      </c>
      <c r="I74" t="s">
        <v>2003</v>
      </c>
    </row>
    <row r="75" spans="1:9" x14ac:dyDescent="0.2">
      <c r="A75" t="s">
        <v>139</v>
      </c>
      <c r="B75">
        <v>50</v>
      </c>
      <c r="C75">
        <v>13</v>
      </c>
      <c r="D75">
        <v>8</v>
      </c>
      <c r="E75">
        <v>0</v>
      </c>
      <c r="F75" s="9" t="s">
        <v>2004</v>
      </c>
      <c r="G75">
        <v>1</v>
      </c>
      <c r="H75">
        <v>1</v>
      </c>
      <c r="I75" t="s">
        <v>2005</v>
      </c>
    </row>
    <row r="76" spans="1:9" x14ac:dyDescent="0.2">
      <c r="A76" t="s">
        <v>188</v>
      </c>
      <c r="B76">
        <v>51</v>
      </c>
      <c r="C76">
        <v>12</v>
      </c>
      <c r="D76">
        <v>9</v>
      </c>
      <c r="E76">
        <v>0</v>
      </c>
      <c r="F76" s="9" t="s">
        <v>2006</v>
      </c>
      <c r="G76">
        <v>1</v>
      </c>
      <c r="H76">
        <v>1</v>
      </c>
      <c r="I76" t="s">
        <v>2007</v>
      </c>
    </row>
    <row r="77" spans="1:9" x14ac:dyDescent="0.2">
      <c r="A77" t="s">
        <v>190</v>
      </c>
      <c r="B77">
        <v>52</v>
      </c>
      <c r="C77">
        <v>10</v>
      </c>
      <c r="D77">
        <v>11</v>
      </c>
      <c r="E77">
        <v>1</v>
      </c>
      <c r="F77" s="9" t="s">
        <v>2008</v>
      </c>
      <c r="G77">
        <v>1</v>
      </c>
      <c r="H77">
        <v>1</v>
      </c>
      <c r="I77" t="s">
        <v>2009</v>
      </c>
    </row>
    <row r="78" spans="1:9" x14ac:dyDescent="0.2">
      <c r="A78" t="s">
        <v>192</v>
      </c>
      <c r="B78">
        <v>53</v>
      </c>
      <c r="C78">
        <v>6</v>
      </c>
      <c r="D78">
        <v>11</v>
      </c>
      <c r="E78">
        <v>0</v>
      </c>
      <c r="F78" s="9" t="s">
        <v>2010</v>
      </c>
      <c r="G78">
        <v>1</v>
      </c>
      <c r="H78">
        <v>1</v>
      </c>
      <c r="I78" t="s">
        <v>2011</v>
      </c>
    </row>
    <row r="79" spans="1:9" x14ac:dyDescent="0.2">
      <c r="A79" t="s">
        <v>194</v>
      </c>
      <c r="B79">
        <v>54</v>
      </c>
      <c r="C79">
        <v>12</v>
      </c>
      <c r="D79">
        <v>10</v>
      </c>
      <c r="E79">
        <v>0</v>
      </c>
      <c r="F79" s="9" t="s">
        <v>2012</v>
      </c>
      <c r="G79">
        <v>1</v>
      </c>
      <c r="H79">
        <v>1</v>
      </c>
      <c r="I79" t="s">
        <v>2013</v>
      </c>
    </row>
    <row r="80" spans="1:9" x14ac:dyDescent="0.2">
      <c r="A80" t="s">
        <v>196</v>
      </c>
      <c r="B80">
        <v>55</v>
      </c>
      <c r="C80">
        <v>5</v>
      </c>
      <c r="D80">
        <v>12</v>
      </c>
      <c r="E80">
        <v>0</v>
      </c>
      <c r="F80" s="9" t="s">
        <v>2014</v>
      </c>
      <c r="G80">
        <v>1</v>
      </c>
      <c r="H80">
        <v>1</v>
      </c>
      <c r="I80" t="s">
        <v>2015</v>
      </c>
    </row>
    <row r="81" spans="1:9" x14ac:dyDescent="0.2">
      <c r="A81" t="s">
        <v>198</v>
      </c>
      <c r="B81">
        <v>56</v>
      </c>
      <c r="C81">
        <v>5</v>
      </c>
      <c r="D81">
        <v>12</v>
      </c>
      <c r="E81">
        <v>0</v>
      </c>
      <c r="F81" s="9" t="s">
        <v>2016</v>
      </c>
      <c r="G81">
        <v>1</v>
      </c>
      <c r="H81">
        <v>1</v>
      </c>
      <c r="I81" t="s">
        <v>2017</v>
      </c>
    </row>
    <row r="82" spans="1:9" x14ac:dyDescent="0.2">
      <c r="A82" t="s">
        <v>200</v>
      </c>
      <c r="B82">
        <v>57</v>
      </c>
      <c r="C82">
        <v>4</v>
      </c>
      <c r="D82">
        <v>13</v>
      </c>
      <c r="E82">
        <v>0</v>
      </c>
      <c r="F82" s="9" t="s">
        <v>2018</v>
      </c>
      <c r="G82">
        <v>1</v>
      </c>
      <c r="H82">
        <v>1</v>
      </c>
      <c r="I82" t="s">
        <v>2019</v>
      </c>
    </row>
    <row r="83" spans="1:9" x14ac:dyDescent="0.2">
      <c r="A83" t="s">
        <v>202</v>
      </c>
      <c r="B83">
        <v>58</v>
      </c>
      <c r="C83">
        <v>12</v>
      </c>
      <c r="D83">
        <v>10</v>
      </c>
      <c r="E83">
        <v>0</v>
      </c>
      <c r="F83" s="9" t="s">
        <v>2020</v>
      </c>
      <c r="G83">
        <v>1</v>
      </c>
      <c r="H83">
        <v>1</v>
      </c>
      <c r="I83" t="s">
        <v>2021</v>
      </c>
    </row>
    <row r="84" spans="1:9" x14ac:dyDescent="0.2">
      <c r="A84" t="s">
        <v>204</v>
      </c>
      <c r="B84">
        <v>59</v>
      </c>
      <c r="C84">
        <v>12</v>
      </c>
      <c r="D84">
        <v>10</v>
      </c>
      <c r="E84">
        <v>0</v>
      </c>
      <c r="F84">
        <v>17225.466760166</v>
      </c>
      <c r="G84">
        <v>1</v>
      </c>
      <c r="H84">
        <v>1</v>
      </c>
      <c r="I84" t="s">
        <v>2022</v>
      </c>
    </row>
    <row r="85" spans="1:9" x14ac:dyDescent="0.2">
      <c r="A85" t="s">
        <v>206</v>
      </c>
      <c r="B85">
        <v>60</v>
      </c>
      <c r="C85">
        <v>10</v>
      </c>
      <c r="D85">
        <v>11</v>
      </c>
      <c r="E85">
        <v>0</v>
      </c>
      <c r="F85">
        <v>28800.090111500002</v>
      </c>
      <c r="G85">
        <v>1</v>
      </c>
      <c r="H85">
        <v>1</v>
      </c>
      <c r="I85" t="s">
        <v>2023</v>
      </c>
    </row>
    <row r="86" spans="1:9" x14ac:dyDescent="0.2">
      <c r="A86" t="s">
        <v>208</v>
      </c>
      <c r="B86">
        <v>61</v>
      </c>
      <c r="C86">
        <v>10</v>
      </c>
      <c r="D86">
        <v>11</v>
      </c>
      <c r="E86">
        <v>0</v>
      </c>
      <c r="F86">
        <v>28800.037076875</v>
      </c>
      <c r="G86">
        <v>1</v>
      </c>
      <c r="H86">
        <v>1</v>
      </c>
      <c r="I86" t="s">
        <v>2024</v>
      </c>
    </row>
    <row r="87" spans="1:9" x14ac:dyDescent="0.2">
      <c r="A87" t="s">
        <v>218</v>
      </c>
      <c r="B87">
        <v>66</v>
      </c>
      <c r="C87">
        <v>5</v>
      </c>
      <c r="D87">
        <v>14</v>
      </c>
      <c r="E87">
        <v>0</v>
      </c>
      <c r="F87" s="9" t="s">
        <v>2025</v>
      </c>
      <c r="G87">
        <v>1</v>
      </c>
      <c r="H87">
        <v>1</v>
      </c>
      <c r="I87" t="s">
        <v>2026</v>
      </c>
    </row>
    <row r="88" spans="1:9" x14ac:dyDescent="0.2">
      <c r="A88" t="s">
        <v>228</v>
      </c>
      <c r="B88">
        <v>71</v>
      </c>
      <c r="C88">
        <v>5</v>
      </c>
      <c r="D88">
        <v>15</v>
      </c>
      <c r="E88">
        <v>0</v>
      </c>
      <c r="F88">
        <v>28800.019841417001</v>
      </c>
      <c r="G88">
        <v>1</v>
      </c>
      <c r="H88">
        <v>1</v>
      </c>
      <c r="I88" t="s">
        <v>2027</v>
      </c>
    </row>
    <row r="89" spans="1:9" x14ac:dyDescent="0.2">
      <c r="A89" t="s">
        <v>236</v>
      </c>
      <c r="B89">
        <v>75</v>
      </c>
      <c r="C89">
        <v>5</v>
      </c>
      <c r="D89">
        <v>15</v>
      </c>
      <c r="E89">
        <v>0</v>
      </c>
      <c r="F89">
        <v>28800.101519374999</v>
      </c>
      <c r="G89">
        <v>1</v>
      </c>
      <c r="H89">
        <v>1</v>
      </c>
      <c r="I89" t="s">
        <v>2028</v>
      </c>
    </row>
    <row r="90" spans="1:9" x14ac:dyDescent="0.2">
      <c r="A90" t="s">
        <v>210</v>
      </c>
      <c r="B90">
        <v>62</v>
      </c>
      <c r="C90">
        <v>16</v>
      </c>
      <c r="D90">
        <v>10</v>
      </c>
      <c r="E90">
        <v>0</v>
      </c>
      <c r="F90" s="9" t="s">
        <v>2029</v>
      </c>
      <c r="G90">
        <v>1</v>
      </c>
      <c r="H90">
        <v>1</v>
      </c>
      <c r="I90" t="s">
        <v>2030</v>
      </c>
    </row>
    <row r="91" spans="1:9" x14ac:dyDescent="0.2">
      <c r="A91" t="s">
        <v>220</v>
      </c>
      <c r="B91">
        <v>67</v>
      </c>
      <c r="C91">
        <v>5</v>
      </c>
      <c r="D91">
        <v>14</v>
      </c>
      <c r="E91">
        <v>0</v>
      </c>
      <c r="F91">
        <v>28800.134485666</v>
      </c>
      <c r="G91">
        <v>1</v>
      </c>
      <c r="H91">
        <v>1</v>
      </c>
      <c r="I91" t="s">
        <v>2031</v>
      </c>
    </row>
    <row r="92" spans="1:9" x14ac:dyDescent="0.2">
      <c r="A92" t="s">
        <v>230</v>
      </c>
      <c r="B92">
        <v>72</v>
      </c>
      <c r="C92">
        <v>5</v>
      </c>
      <c r="D92">
        <v>15</v>
      </c>
      <c r="E92">
        <v>0</v>
      </c>
      <c r="F92" s="9" t="s">
        <v>2032</v>
      </c>
      <c r="G92">
        <v>1</v>
      </c>
      <c r="H92">
        <v>1</v>
      </c>
      <c r="I92" t="s">
        <v>2033</v>
      </c>
    </row>
    <row r="93" spans="1:9" x14ac:dyDescent="0.2">
      <c r="A93" t="s">
        <v>238</v>
      </c>
      <c r="B93">
        <v>76</v>
      </c>
      <c r="C93">
        <v>5</v>
      </c>
      <c r="D93">
        <v>15</v>
      </c>
      <c r="E93">
        <v>0</v>
      </c>
      <c r="F93" s="9" t="s">
        <v>2034</v>
      </c>
      <c r="G93">
        <v>1</v>
      </c>
      <c r="H93">
        <v>1</v>
      </c>
      <c r="I93" t="s">
        <v>2035</v>
      </c>
    </row>
    <row r="94" spans="1:9" x14ac:dyDescent="0.2">
      <c r="A94" t="s">
        <v>212</v>
      </c>
      <c r="B94">
        <v>63</v>
      </c>
      <c r="C94">
        <v>8</v>
      </c>
      <c r="D94">
        <v>13</v>
      </c>
      <c r="E94">
        <v>0</v>
      </c>
      <c r="F94" s="9" t="s">
        <v>2036</v>
      </c>
      <c r="G94">
        <v>1</v>
      </c>
      <c r="H94">
        <v>1</v>
      </c>
      <c r="I94" t="s">
        <v>2037</v>
      </c>
    </row>
    <row r="95" spans="1:9" x14ac:dyDescent="0.2">
      <c r="A95" t="s">
        <v>222</v>
      </c>
      <c r="B95">
        <v>68</v>
      </c>
      <c r="C95">
        <v>5</v>
      </c>
      <c r="D95">
        <v>14</v>
      </c>
      <c r="E95">
        <v>0</v>
      </c>
      <c r="F95">
        <v>28800.091456875001</v>
      </c>
      <c r="G95">
        <v>1</v>
      </c>
      <c r="H95">
        <v>1</v>
      </c>
      <c r="I95" t="s">
        <v>2038</v>
      </c>
    </row>
    <row r="96" spans="1:9" x14ac:dyDescent="0.2">
      <c r="A96" t="s">
        <v>232</v>
      </c>
      <c r="B96">
        <v>73</v>
      </c>
      <c r="C96">
        <v>5</v>
      </c>
      <c r="D96">
        <v>15</v>
      </c>
      <c r="E96">
        <v>0</v>
      </c>
      <c r="F96" s="9" t="s">
        <v>2039</v>
      </c>
      <c r="G96">
        <v>1</v>
      </c>
      <c r="H96">
        <v>1</v>
      </c>
      <c r="I96" t="s">
        <v>2040</v>
      </c>
    </row>
    <row r="97" spans="1:9" x14ac:dyDescent="0.2">
      <c r="A97" t="s">
        <v>240</v>
      </c>
      <c r="B97">
        <v>77</v>
      </c>
      <c r="C97">
        <v>5</v>
      </c>
      <c r="D97">
        <v>15</v>
      </c>
      <c r="E97">
        <v>0</v>
      </c>
      <c r="F97" s="9" t="s">
        <v>2041</v>
      </c>
      <c r="G97">
        <v>1</v>
      </c>
      <c r="H97">
        <v>1</v>
      </c>
      <c r="I97" t="s">
        <v>2042</v>
      </c>
    </row>
    <row r="98" spans="1:9" x14ac:dyDescent="0.2">
      <c r="A98" t="s">
        <v>214</v>
      </c>
      <c r="B98">
        <v>64</v>
      </c>
      <c r="C98">
        <v>13</v>
      </c>
      <c r="D98">
        <v>12</v>
      </c>
      <c r="E98">
        <v>0</v>
      </c>
      <c r="F98">
        <v>28800.029754208001</v>
      </c>
      <c r="G98">
        <v>1</v>
      </c>
      <c r="H98">
        <v>1</v>
      </c>
      <c r="I98" t="s">
        <v>2043</v>
      </c>
    </row>
    <row r="99" spans="1:9" x14ac:dyDescent="0.2">
      <c r="A99" t="s">
        <v>224</v>
      </c>
      <c r="B99">
        <v>69</v>
      </c>
      <c r="C99">
        <v>5</v>
      </c>
      <c r="D99">
        <v>14</v>
      </c>
      <c r="E99">
        <v>0</v>
      </c>
      <c r="F99">
        <v>28800.016552500001</v>
      </c>
      <c r="G99">
        <v>1</v>
      </c>
      <c r="H99">
        <v>1</v>
      </c>
      <c r="I99" t="s">
        <v>2044</v>
      </c>
    </row>
    <row r="100" spans="1:9" x14ac:dyDescent="0.2">
      <c r="A100" t="s">
        <v>234</v>
      </c>
      <c r="B100">
        <v>74</v>
      </c>
      <c r="C100">
        <v>5</v>
      </c>
      <c r="D100">
        <v>15</v>
      </c>
      <c r="E100">
        <v>0</v>
      </c>
      <c r="F100" s="9" t="s">
        <v>2045</v>
      </c>
      <c r="G100">
        <v>1</v>
      </c>
      <c r="H100">
        <v>1</v>
      </c>
      <c r="I100" t="s">
        <v>2046</v>
      </c>
    </row>
    <row r="101" spans="1:9" x14ac:dyDescent="0.2">
      <c r="A101" t="s">
        <v>36</v>
      </c>
      <c r="B101">
        <v>78</v>
      </c>
      <c r="C101">
        <v>15</v>
      </c>
      <c r="D101">
        <v>13</v>
      </c>
      <c r="E101">
        <v>1</v>
      </c>
      <c r="F101" s="9" t="s">
        <v>2047</v>
      </c>
      <c r="G101">
        <v>1</v>
      </c>
      <c r="H101">
        <v>1</v>
      </c>
      <c r="I101" t="s">
        <v>2048</v>
      </c>
    </row>
    <row r="102" spans="1:9" x14ac:dyDescent="0.2">
      <c r="A102" t="s">
        <v>216</v>
      </c>
      <c r="B102">
        <v>65</v>
      </c>
      <c r="C102">
        <v>5</v>
      </c>
      <c r="D102">
        <v>14</v>
      </c>
      <c r="E102">
        <v>0</v>
      </c>
      <c r="F102">
        <v>28800.112606541999</v>
      </c>
      <c r="G102">
        <v>1</v>
      </c>
      <c r="H102">
        <v>1</v>
      </c>
      <c r="I102" t="s">
        <v>2049</v>
      </c>
    </row>
    <row r="103" spans="1:9" x14ac:dyDescent="0.2">
      <c r="A103" t="s">
        <v>226</v>
      </c>
      <c r="B103">
        <v>70</v>
      </c>
      <c r="C103">
        <v>5</v>
      </c>
      <c r="D103">
        <v>14</v>
      </c>
      <c r="E103">
        <v>0</v>
      </c>
      <c r="F103" s="9" t="s">
        <v>2050</v>
      </c>
      <c r="G103">
        <v>1</v>
      </c>
      <c r="H103">
        <v>1</v>
      </c>
      <c r="I103" t="s">
        <v>2051</v>
      </c>
    </row>
    <row r="104" spans="1:9" x14ac:dyDescent="0.2">
      <c r="A104" t="s">
        <v>37</v>
      </c>
      <c r="B104">
        <v>79</v>
      </c>
      <c r="C104">
        <v>14</v>
      </c>
      <c r="D104">
        <v>14</v>
      </c>
      <c r="E104">
        <v>1</v>
      </c>
      <c r="F104" s="9" t="s">
        <v>2052</v>
      </c>
      <c r="G104">
        <v>1</v>
      </c>
      <c r="H104">
        <v>1</v>
      </c>
      <c r="I104" t="s">
        <v>2053</v>
      </c>
    </row>
    <row r="105" spans="1:9" x14ac:dyDescent="0.2">
      <c r="A105" t="s">
        <v>38</v>
      </c>
      <c r="B105">
        <v>80</v>
      </c>
      <c r="C105">
        <v>7</v>
      </c>
      <c r="D105">
        <v>15</v>
      </c>
      <c r="E105">
        <v>0</v>
      </c>
      <c r="F105">
        <v>28800.067293667002</v>
      </c>
      <c r="G105">
        <v>1</v>
      </c>
      <c r="H105">
        <v>1</v>
      </c>
      <c r="I105" t="s">
        <v>2054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D9E0-20D0-B941-90E4-09CA09CD5D35}">
  <dimension ref="A1:I83"/>
  <sheetViews>
    <sheetView topLeftCell="A65" workbookViewId="0">
      <selection activeCell="A33" sqref="A33"/>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85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35</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87</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91</v>
      </c>
    </row>
    <row r="30" spans="1:9" x14ac:dyDescent="0.2">
      <c r="A30" t="s">
        <v>17</v>
      </c>
    </row>
    <row r="32" spans="1:9" x14ac:dyDescent="0.2">
      <c r="A32" t="s">
        <v>18</v>
      </c>
      <c r="B32" t="s">
        <v>19</v>
      </c>
      <c r="C32" t="s">
        <v>20</v>
      </c>
      <c r="D32" t="s">
        <v>21</v>
      </c>
      <c r="E32" t="s">
        <v>22</v>
      </c>
      <c r="F32" t="s">
        <v>23</v>
      </c>
      <c r="G32" t="s">
        <v>24</v>
      </c>
      <c r="H32" t="s">
        <v>25</v>
      </c>
      <c r="I32" t="s">
        <v>26</v>
      </c>
    </row>
    <row r="33" spans="1:8" x14ac:dyDescent="0.2">
      <c r="A33" t="s">
        <v>92</v>
      </c>
      <c r="B33">
        <v>3</v>
      </c>
      <c r="C33">
        <v>1</v>
      </c>
      <c r="D33">
        <v>1</v>
      </c>
      <c r="E33">
        <v>0</v>
      </c>
      <c r="F33">
        <v>0.39045961946249003</v>
      </c>
      <c r="G33">
        <v>1</v>
      </c>
      <c r="H33">
        <v>1</v>
      </c>
    </row>
    <row r="34" spans="1:8" x14ac:dyDescent="0.2">
      <c r="A34" t="s">
        <v>93</v>
      </c>
      <c r="B34">
        <v>4</v>
      </c>
      <c r="C34">
        <v>1</v>
      </c>
      <c r="D34">
        <v>2</v>
      </c>
      <c r="E34">
        <v>0</v>
      </c>
      <c r="F34">
        <v>2.39316057413816E-2</v>
      </c>
      <c r="G34">
        <v>1</v>
      </c>
      <c r="H34">
        <v>1</v>
      </c>
    </row>
    <row r="35" spans="1:8" x14ac:dyDescent="0.2">
      <c r="A35" t="s">
        <v>94</v>
      </c>
      <c r="B35">
        <v>5</v>
      </c>
      <c r="C35">
        <v>1</v>
      </c>
      <c r="D35">
        <v>3</v>
      </c>
      <c r="E35">
        <v>0</v>
      </c>
      <c r="F35">
        <v>4.3407255783677101E-2</v>
      </c>
      <c r="G35">
        <v>1</v>
      </c>
      <c r="H35">
        <v>1</v>
      </c>
    </row>
    <row r="36" spans="1:8" x14ac:dyDescent="0.2">
      <c r="A36" t="s">
        <v>95</v>
      </c>
      <c r="B36">
        <v>6</v>
      </c>
      <c r="C36">
        <v>1</v>
      </c>
      <c r="D36">
        <v>3</v>
      </c>
      <c r="E36">
        <v>0</v>
      </c>
      <c r="F36">
        <v>3.33463922142982E-2</v>
      </c>
      <c r="G36">
        <v>1</v>
      </c>
      <c r="H36">
        <v>1</v>
      </c>
    </row>
    <row r="37" spans="1:8" x14ac:dyDescent="0.2">
      <c r="A37" t="s">
        <v>96</v>
      </c>
      <c r="B37">
        <v>7</v>
      </c>
      <c r="C37">
        <v>1</v>
      </c>
      <c r="D37">
        <v>3</v>
      </c>
      <c r="E37">
        <v>0</v>
      </c>
      <c r="F37">
        <v>3.3478545024991001E-2</v>
      </c>
      <c r="G37">
        <v>1</v>
      </c>
      <c r="H37">
        <v>1</v>
      </c>
    </row>
    <row r="38" spans="1:8" x14ac:dyDescent="0.2">
      <c r="A38" t="s">
        <v>97</v>
      </c>
      <c r="B38">
        <v>8</v>
      </c>
      <c r="C38">
        <v>1</v>
      </c>
      <c r="D38">
        <v>3</v>
      </c>
      <c r="E38">
        <v>0</v>
      </c>
      <c r="F38">
        <v>3.3332958817481897E-2</v>
      </c>
      <c r="G38">
        <v>1</v>
      </c>
      <c r="H38">
        <v>1</v>
      </c>
    </row>
    <row r="39" spans="1:8" x14ac:dyDescent="0.2">
      <c r="A39" t="s">
        <v>98</v>
      </c>
      <c r="B39">
        <v>9</v>
      </c>
      <c r="C39">
        <v>1</v>
      </c>
      <c r="D39">
        <v>3</v>
      </c>
      <c r="E39">
        <v>0</v>
      </c>
      <c r="F39">
        <v>3.3219592645764302E-2</v>
      </c>
      <c r="G39">
        <v>1</v>
      </c>
      <c r="H39">
        <v>1</v>
      </c>
    </row>
    <row r="40" spans="1:8" x14ac:dyDescent="0.2">
      <c r="A40" t="s">
        <v>99</v>
      </c>
      <c r="B40">
        <v>10</v>
      </c>
      <c r="C40">
        <v>1</v>
      </c>
      <c r="D40">
        <v>4</v>
      </c>
      <c r="E40">
        <v>0</v>
      </c>
      <c r="F40">
        <v>6.3495385460555498E-2</v>
      </c>
      <c r="G40">
        <v>1</v>
      </c>
      <c r="H40">
        <v>1</v>
      </c>
    </row>
    <row r="41" spans="1:8" x14ac:dyDescent="0.2">
      <c r="A41" t="s">
        <v>100</v>
      </c>
      <c r="B41">
        <v>11</v>
      </c>
      <c r="C41">
        <v>1</v>
      </c>
      <c r="D41">
        <v>5</v>
      </c>
      <c r="E41">
        <v>0</v>
      </c>
      <c r="F41">
        <v>9.5066388137638499E-2</v>
      </c>
      <c r="G41">
        <v>1</v>
      </c>
      <c r="H41">
        <v>1</v>
      </c>
    </row>
    <row r="42" spans="1:8" x14ac:dyDescent="0.2">
      <c r="A42" t="s">
        <v>101</v>
      </c>
      <c r="B42">
        <v>12</v>
      </c>
      <c r="C42">
        <v>6</v>
      </c>
      <c r="D42">
        <v>3</v>
      </c>
      <c r="E42">
        <v>0</v>
      </c>
      <c r="F42">
        <v>6.3549580052495003E-2</v>
      </c>
      <c r="G42">
        <v>1</v>
      </c>
      <c r="H42">
        <v>1</v>
      </c>
    </row>
    <row r="43" spans="1:8" x14ac:dyDescent="0.2">
      <c r="A43" t="s">
        <v>102</v>
      </c>
      <c r="B43">
        <v>13</v>
      </c>
      <c r="C43">
        <v>6</v>
      </c>
      <c r="D43">
        <v>3</v>
      </c>
      <c r="E43">
        <v>0</v>
      </c>
      <c r="F43">
        <v>5.3781666792929103E-2</v>
      </c>
      <c r="G43">
        <v>1</v>
      </c>
      <c r="H43">
        <v>1</v>
      </c>
    </row>
    <row r="44" spans="1:8" x14ac:dyDescent="0.2">
      <c r="A44" t="s">
        <v>103</v>
      </c>
      <c r="B44">
        <v>14</v>
      </c>
      <c r="C44">
        <v>2</v>
      </c>
      <c r="D44">
        <v>5</v>
      </c>
      <c r="E44">
        <v>0</v>
      </c>
      <c r="F44">
        <v>0.113954750820994</v>
      </c>
      <c r="G44">
        <v>1</v>
      </c>
      <c r="H44">
        <v>1</v>
      </c>
    </row>
    <row r="45" spans="1:8" x14ac:dyDescent="0.2">
      <c r="A45" t="s">
        <v>104</v>
      </c>
      <c r="B45">
        <v>15</v>
      </c>
      <c r="C45">
        <v>2</v>
      </c>
      <c r="D45">
        <v>5</v>
      </c>
      <c r="E45">
        <v>0</v>
      </c>
      <c r="F45">
        <v>0.12610618397593401</v>
      </c>
      <c r="G45">
        <v>1</v>
      </c>
      <c r="H45">
        <v>1</v>
      </c>
    </row>
    <row r="46" spans="1:8" x14ac:dyDescent="0.2">
      <c r="A46" t="s">
        <v>105</v>
      </c>
      <c r="B46">
        <v>16</v>
      </c>
      <c r="C46">
        <v>1</v>
      </c>
      <c r="D46">
        <v>6</v>
      </c>
      <c r="E46">
        <v>0</v>
      </c>
      <c r="F46">
        <v>0.47610480524599502</v>
      </c>
      <c r="G46">
        <v>1</v>
      </c>
      <c r="H46">
        <v>1</v>
      </c>
    </row>
    <row r="47" spans="1:8" x14ac:dyDescent="0.2">
      <c r="A47" t="s">
        <v>106</v>
      </c>
      <c r="B47">
        <v>17</v>
      </c>
      <c r="C47">
        <v>3</v>
      </c>
      <c r="D47">
        <v>5</v>
      </c>
      <c r="E47">
        <v>0</v>
      </c>
      <c r="F47">
        <v>0.27593678608536698</v>
      </c>
      <c r="G47">
        <v>1</v>
      </c>
      <c r="H47">
        <v>1</v>
      </c>
    </row>
    <row r="48" spans="1:8" x14ac:dyDescent="0.2">
      <c r="A48" t="s">
        <v>107</v>
      </c>
      <c r="B48">
        <v>18</v>
      </c>
      <c r="C48">
        <v>5</v>
      </c>
      <c r="D48">
        <v>5</v>
      </c>
      <c r="E48">
        <v>0</v>
      </c>
      <c r="F48">
        <v>0.41555741801857898</v>
      </c>
      <c r="G48">
        <v>1</v>
      </c>
      <c r="H48">
        <v>1</v>
      </c>
    </row>
    <row r="49" spans="1:8" x14ac:dyDescent="0.2">
      <c r="A49" t="s">
        <v>108</v>
      </c>
      <c r="B49">
        <v>19</v>
      </c>
      <c r="C49">
        <v>5</v>
      </c>
      <c r="D49">
        <v>5</v>
      </c>
      <c r="E49">
        <v>0</v>
      </c>
      <c r="F49">
        <v>0.37553599663078702</v>
      </c>
      <c r="G49">
        <v>1</v>
      </c>
      <c r="H49">
        <v>1</v>
      </c>
    </row>
    <row r="50" spans="1:8" x14ac:dyDescent="0.2">
      <c r="A50" t="s">
        <v>109</v>
      </c>
      <c r="B50">
        <v>20</v>
      </c>
      <c r="C50">
        <v>3</v>
      </c>
      <c r="D50">
        <v>6</v>
      </c>
      <c r="E50">
        <v>0</v>
      </c>
      <c r="F50">
        <v>1.1397836413234399</v>
      </c>
      <c r="G50">
        <v>1</v>
      </c>
      <c r="H50">
        <v>1</v>
      </c>
    </row>
    <row r="51" spans="1:8" x14ac:dyDescent="0.2">
      <c r="A51" t="s">
        <v>110</v>
      </c>
      <c r="B51">
        <v>21</v>
      </c>
      <c r="C51">
        <v>3</v>
      </c>
      <c r="D51">
        <v>6</v>
      </c>
      <c r="E51">
        <v>0</v>
      </c>
      <c r="F51">
        <v>1.78382814675569</v>
      </c>
      <c r="G51">
        <v>1</v>
      </c>
      <c r="H51">
        <v>1</v>
      </c>
    </row>
    <row r="52" spans="1:8" x14ac:dyDescent="0.2">
      <c r="A52" t="s">
        <v>111</v>
      </c>
      <c r="B52">
        <v>22</v>
      </c>
      <c r="C52">
        <v>7</v>
      </c>
      <c r="D52">
        <v>5</v>
      </c>
      <c r="E52">
        <v>0</v>
      </c>
      <c r="F52">
        <v>1.1300711380317801</v>
      </c>
      <c r="G52">
        <v>1</v>
      </c>
      <c r="H52">
        <v>1</v>
      </c>
    </row>
    <row r="53" spans="1:8" x14ac:dyDescent="0.2">
      <c r="A53" t="s">
        <v>112</v>
      </c>
      <c r="B53">
        <v>23</v>
      </c>
      <c r="C53">
        <v>2</v>
      </c>
      <c r="D53">
        <v>7</v>
      </c>
      <c r="E53">
        <v>0</v>
      </c>
      <c r="F53">
        <v>4.3183910343795997</v>
      </c>
      <c r="G53">
        <v>1</v>
      </c>
      <c r="H53">
        <v>1</v>
      </c>
    </row>
    <row r="54" spans="1:8" x14ac:dyDescent="0.2">
      <c r="A54" t="s">
        <v>113</v>
      </c>
      <c r="B54">
        <v>24</v>
      </c>
      <c r="C54">
        <v>8</v>
      </c>
      <c r="D54">
        <v>5</v>
      </c>
      <c r="E54">
        <v>0</v>
      </c>
      <c r="F54">
        <v>1.66312474850565</v>
      </c>
      <c r="G54">
        <v>1</v>
      </c>
      <c r="H54">
        <v>1</v>
      </c>
    </row>
    <row r="55" spans="1:8" x14ac:dyDescent="0.2">
      <c r="A55" t="s">
        <v>114</v>
      </c>
      <c r="B55">
        <v>25</v>
      </c>
      <c r="C55">
        <v>8</v>
      </c>
      <c r="D55">
        <v>5</v>
      </c>
      <c r="E55">
        <v>0</v>
      </c>
      <c r="F55">
        <v>1.95494180265814</v>
      </c>
      <c r="G55">
        <v>1</v>
      </c>
      <c r="H55">
        <v>1</v>
      </c>
    </row>
    <row r="56" spans="1:8" x14ac:dyDescent="0.2">
      <c r="A56" t="s">
        <v>115</v>
      </c>
      <c r="B56">
        <v>26</v>
      </c>
      <c r="C56">
        <v>6</v>
      </c>
      <c r="D56">
        <v>6</v>
      </c>
      <c r="E56">
        <v>0</v>
      </c>
      <c r="F56">
        <v>4.8920487351715503</v>
      </c>
      <c r="G56">
        <v>1</v>
      </c>
      <c r="H56">
        <v>1</v>
      </c>
    </row>
    <row r="57" spans="1:8" x14ac:dyDescent="0.2">
      <c r="A57" t="s">
        <v>116</v>
      </c>
      <c r="B57">
        <v>27</v>
      </c>
      <c r="C57">
        <v>6</v>
      </c>
      <c r="D57">
        <v>6</v>
      </c>
      <c r="E57">
        <v>0</v>
      </c>
      <c r="F57">
        <v>4.7106814906001002</v>
      </c>
      <c r="G57">
        <v>1</v>
      </c>
      <c r="H57">
        <v>1</v>
      </c>
    </row>
    <row r="58" spans="1:8" x14ac:dyDescent="0.2">
      <c r="A58" t="s">
        <v>117</v>
      </c>
      <c r="B58">
        <v>28</v>
      </c>
      <c r="C58">
        <v>6</v>
      </c>
      <c r="D58">
        <v>6</v>
      </c>
      <c r="E58">
        <v>0</v>
      </c>
      <c r="F58">
        <v>4.7309760702773902</v>
      </c>
      <c r="G58">
        <v>1</v>
      </c>
      <c r="H58">
        <v>1</v>
      </c>
    </row>
    <row r="59" spans="1:8" x14ac:dyDescent="0.2">
      <c r="A59" t="s">
        <v>118</v>
      </c>
      <c r="B59">
        <v>29</v>
      </c>
      <c r="C59">
        <v>6</v>
      </c>
      <c r="D59">
        <v>7</v>
      </c>
      <c r="E59">
        <v>0</v>
      </c>
      <c r="F59">
        <v>20.8961524311453</v>
      </c>
      <c r="G59">
        <v>1</v>
      </c>
      <c r="H59">
        <v>1</v>
      </c>
    </row>
    <row r="60" spans="1:8" x14ac:dyDescent="0.2">
      <c r="A60" t="s">
        <v>119</v>
      </c>
      <c r="B60">
        <v>30</v>
      </c>
      <c r="C60">
        <v>9</v>
      </c>
      <c r="D60">
        <v>6</v>
      </c>
      <c r="E60">
        <v>0</v>
      </c>
      <c r="F60">
        <v>6.4265370974317104</v>
      </c>
      <c r="G60">
        <v>1</v>
      </c>
      <c r="H60">
        <v>1</v>
      </c>
    </row>
    <row r="61" spans="1:8" x14ac:dyDescent="0.2">
      <c r="A61" t="s">
        <v>120</v>
      </c>
      <c r="B61">
        <v>31</v>
      </c>
      <c r="C61">
        <v>9</v>
      </c>
      <c r="D61">
        <v>6</v>
      </c>
      <c r="E61">
        <v>0</v>
      </c>
      <c r="F61">
        <v>6.0603803731501102</v>
      </c>
      <c r="G61">
        <v>1</v>
      </c>
      <c r="H61">
        <v>1</v>
      </c>
    </row>
    <row r="62" spans="1:8" x14ac:dyDescent="0.2">
      <c r="A62" t="s">
        <v>121</v>
      </c>
      <c r="B62">
        <v>32</v>
      </c>
      <c r="C62">
        <v>5</v>
      </c>
      <c r="D62">
        <v>8</v>
      </c>
      <c r="E62">
        <v>0</v>
      </c>
      <c r="F62">
        <v>104.08217031415499</v>
      </c>
      <c r="G62">
        <v>1</v>
      </c>
      <c r="H62">
        <v>1</v>
      </c>
    </row>
    <row r="63" spans="1:8" x14ac:dyDescent="0.2">
      <c r="A63" t="s">
        <v>122</v>
      </c>
      <c r="B63">
        <v>33</v>
      </c>
      <c r="C63">
        <v>7</v>
      </c>
      <c r="D63">
        <v>8</v>
      </c>
      <c r="E63">
        <v>0</v>
      </c>
      <c r="F63">
        <v>194.237742953002</v>
      </c>
      <c r="G63">
        <v>1</v>
      </c>
      <c r="H63">
        <v>1</v>
      </c>
    </row>
    <row r="64" spans="1:8" x14ac:dyDescent="0.2">
      <c r="A64" t="s">
        <v>123</v>
      </c>
      <c r="B64">
        <v>34</v>
      </c>
      <c r="C64">
        <v>17</v>
      </c>
      <c r="D64">
        <v>5</v>
      </c>
      <c r="E64">
        <v>0</v>
      </c>
      <c r="F64">
        <v>3.2938967337831802</v>
      </c>
      <c r="G64">
        <v>1</v>
      </c>
      <c r="H64">
        <v>1</v>
      </c>
    </row>
    <row r="65" spans="1:8" x14ac:dyDescent="0.2">
      <c r="A65" t="s">
        <v>124</v>
      </c>
      <c r="B65">
        <v>35</v>
      </c>
      <c r="C65">
        <v>4</v>
      </c>
      <c r="D65">
        <v>9</v>
      </c>
      <c r="E65">
        <v>0</v>
      </c>
      <c r="F65">
        <v>464.268310722894</v>
      </c>
      <c r="G65">
        <v>1</v>
      </c>
      <c r="H65">
        <v>1</v>
      </c>
    </row>
    <row r="66" spans="1:8" x14ac:dyDescent="0.2">
      <c r="A66" t="s">
        <v>125</v>
      </c>
      <c r="B66">
        <v>36</v>
      </c>
      <c r="C66">
        <v>4</v>
      </c>
      <c r="D66">
        <v>9</v>
      </c>
      <c r="E66">
        <v>0</v>
      </c>
      <c r="F66">
        <v>533.12627736758395</v>
      </c>
      <c r="G66">
        <v>1</v>
      </c>
      <c r="H66">
        <v>1</v>
      </c>
    </row>
    <row r="67" spans="1:8" x14ac:dyDescent="0.2">
      <c r="A67" t="s">
        <v>126</v>
      </c>
      <c r="B67">
        <v>37</v>
      </c>
      <c r="C67">
        <v>4</v>
      </c>
      <c r="D67">
        <v>9</v>
      </c>
      <c r="E67">
        <v>0</v>
      </c>
      <c r="F67">
        <v>403.08556192275103</v>
      </c>
      <c r="G67">
        <v>1</v>
      </c>
      <c r="H67">
        <v>1</v>
      </c>
    </row>
    <row r="68" spans="1:8" x14ac:dyDescent="0.2">
      <c r="A68" t="s">
        <v>127</v>
      </c>
      <c r="B68">
        <v>38</v>
      </c>
      <c r="C68">
        <v>4</v>
      </c>
      <c r="D68">
        <v>9</v>
      </c>
      <c r="E68">
        <v>0</v>
      </c>
      <c r="F68">
        <v>448.91240877937503</v>
      </c>
      <c r="G68">
        <v>1</v>
      </c>
      <c r="H68">
        <v>1</v>
      </c>
    </row>
    <row r="69" spans="1:8" x14ac:dyDescent="0.2">
      <c r="A69" t="s">
        <v>128</v>
      </c>
      <c r="B69">
        <v>39</v>
      </c>
      <c r="C69">
        <v>4</v>
      </c>
      <c r="D69">
        <v>9</v>
      </c>
      <c r="E69">
        <v>0</v>
      </c>
      <c r="F69">
        <v>789.556889217346</v>
      </c>
      <c r="G69">
        <v>1</v>
      </c>
      <c r="H69">
        <v>1</v>
      </c>
    </row>
    <row r="70" spans="1:8" x14ac:dyDescent="0.2">
      <c r="A70" t="s">
        <v>129</v>
      </c>
      <c r="B70">
        <v>40</v>
      </c>
      <c r="C70">
        <v>5</v>
      </c>
      <c r="D70">
        <v>9</v>
      </c>
      <c r="E70">
        <v>0</v>
      </c>
      <c r="F70">
        <v>953.86314334906604</v>
      </c>
      <c r="G70">
        <v>1</v>
      </c>
      <c r="H70">
        <v>1</v>
      </c>
    </row>
    <row r="71" spans="1:8" x14ac:dyDescent="0.2">
      <c r="A71" t="s">
        <v>130</v>
      </c>
      <c r="B71">
        <v>41</v>
      </c>
      <c r="C71">
        <v>2</v>
      </c>
      <c r="D71">
        <v>11</v>
      </c>
      <c r="E71">
        <v>0</v>
      </c>
      <c r="F71">
        <v>10392.1676664808</v>
      </c>
      <c r="G71">
        <v>1</v>
      </c>
      <c r="H71">
        <v>1</v>
      </c>
    </row>
    <row r="72" spans="1:8" x14ac:dyDescent="0.2">
      <c r="A72" t="s">
        <v>131</v>
      </c>
      <c r="B72">
        <v>42</v>
      </c>
      <c r="C72">
        <v>5</v>
      </c>
      <c r="D72">
        <v>9</v>
      </c>
      <c r="E72">
        <v>0</v>
      </c>
      <c r="F72">
        <v>7933.8909792723098</v>
      </c>
      <c r="G72">
        <v>1</v>
      </c>
      <c r="H72">
        <v>1</v>
      </c>
    </row>
    <row r="73" spans="1:8" x14ac:dyDescent="0.2">
      <c r="A73" t="s">
        <v>132</v>
      </c>
      <c r="B73">
        <v>43</v>
      </c>
      <c r="C73">
        <v>6</v>
      </c>
      <c r="D73">
        <v>9</v>
      </c>
      <c r="E73">
        <v>0</v>
      </c>
      <c r="F73">
        <v>2317.3929523527599</v>
      </c>
      <c r="G73">
        <v>1</v>
      </c>
      <c r="H73">
        <v>1</v>
      </c>
    </row>
    <row r="74" spans="1:8" x14ac:dyDescent="0.2">
      <c r="A74" t="s">
        <v>133</v>
      </c>
      <c r="B74">
        <v>44</v>
      </c>
      <c r="C74">
        <v>6</v>
      </c>
      <c r="D74">
        <v>9</v>
      </c>
      <c r="E74">
        <v>0</v>
      </c>
      <c r="F74">
        <v>2629.1679560160201</v>
      </c>
      <c r="G74">
        <v>1</v>
      </c>
      <c r="H74">
        <v>1</v>
      </c>
    </row>
    <row r="75" spans="1:8" x14ac:dyDescent="0.2">
      <c r="A75" t="s">
        <v>134</v>
      </c>
      <c r="B75">
        <v>45</v>
      </c>
      <c r="C75">
        <v>6</v>
      </c>
      <c r="D75">
        <v>9</v>
      </c>
      <c r="E75">
        <v>0</v>
      </c>
      <c r="F75">
        <v>3039.4316863650402</v>
      </c>
      <c r="G75">
        <v>1</v>
      </c>
      <c r="H75">
        <v>1</v>
      </c>
    </row>
    <row r="76" spans="1:8" x14ac:dyDescent="0.2">
      <c r="A76" t="s">
        <v>135</v>
      </c>
      <c r="B76">
        <v>46</v>
      </c>
      <c r="C76">
        <v>7</v>
      </c>
      <c r="D76">
        <v>9</v>
      </c>
      <c r="E76">
        <v>0</v>
      </c>
      <c r="F76">
        <v>8477.3824303066303</v>
      </c>
      <c r="G76">
        <v>1</v>
      </c>
      <c r="H76">
        <v>1</v>
      </c>
    </row>
    <row r="77" spans="1:8" x14ac:dyDescent="0.2">
      <c r="A77" t="s">
        <v>136</v>
      </c>
      <c r="B77">
        <v>47</v>
      </c>
      <c r="C77">
        <v>8</v>
      </c>
      <c r="D77">
        <v>9</v>
      </c>
      <c r="E77">
        <v>0</v>
      </c>
      <c r="F77">
        <v>8473.8553908988797</v>
      </c>
      <c r="G77">
        <v>1</v>
      </c>
      <c r="H77">
        <v>1</v>
      </c>
    </row>
    <row r="78" spans="1:8" x14ac:dyDescent="0.2">
      <c r="A78" t="s">
        <v>137</v>
      </c>
      <c r="B78">
        <v>48</v>
      </c>
      <c r="C78">
        <v>5</v>
      </c>
      <c r="D78">
        <v>10</v>
      </c>
      <c r="E78">
        <v>0</v>
      </c>
      <c r="F78">
        <v>28814.408389100801</v>
      </c>
      <c r="G78">
        <v>1</v>
      </c>
      <c r="H78">
        <v>1</v>
      </c>
    </row>
    <row r="79" spans="1:8" x14ac:dyDescent="0.2">
      <c r="A79" t="s">
        <v>138</v>
      </c>
      <c r="B79">
        <v>49</v>
      </c>
      <c r="C79">
        <v>17</v>
      </c>
      <c r="D79">
        <v>7</v>
      </c>
      <c r="E79">
        <v>0</v>
      </c>
      <c r="F79">
        <v>511.41341916657899</v>
      </c>
      <c r="G79">
        <v>1</v>
      </c>
      <c r="H79">
        <v>1</v>
      </c>
    </row>
    <row r="80" spans="1:8" x14ac:dyDescent="0.2">
      <c r="A80" t="s">
        <v>139</v>
      </c>
      <c r="B80">
        <v>50</v>
      </c>
      <c r="C80">
        <v>13</v>
      </c>
      <c r="D80">
        <v>8</v>
      </c>
      <c r="E80">
        <v>0</v>
      </c>
      <c r="F80">
        <v>1912.8247975856</v>
      </c>
      <c r="G80">
        <v>1</v>
      </c>
      <c r="H80">
        <v>1</v>
      </c>
    </row>
    <row r="81" spans="1:8" x14ac:dyDescent="0.2">
      <c r="A81" t="s">
        <v>188</v>
      </c>
      <c r="B81">
        <v>51</v>
      </c>
      <c r="C81">
        <v>12</v>
      </c>
      <c r="D81">
        <v>9</v>
      </c>
      <c r="E81">
        <v>0</v>
      </c>
      <c r="F81">
        <v>7432.1109610041603</v>
      </c>
      <c r="G81">
        <v>1</v>
      </c>
      <c r="H81">
        <v>1</v>
      </c>
    </row>
    <row r="82" spans="1:8" x14ac:dyDescent="0.2">
      <c r="A82" t="s">
        <v>190</v>
      </c>
      <c r="B82">
        <v>52</v>
      </c>
      <c r="C82">
        <v>10</v>
      </c>
      <c r="D82">
        <v>11</v>
      </c>
      <c r="E82">
        <v>1</v>
      </c>
      <c r="F82">
        <v>28822.678173533601</v>
      </c>
      <c r="G82">
        <v>1</v>
      </c>
      <c r="H82">
        <v>1</v>
      </c>
    </row>
    <row r="83" spans="1:8" x14ac:dyDescent="0.2">
      <c r="A83" t="s">
        <v>192</v>
      </c>
      <c r="B83">
        <v>53</v>
      </c>
      <c r="C83">
        <v>6</v>
      </c>
      <c r="D83">
        <v>11</v>
      </c>
      <c r="E83">
        <v>0</v>
      </c>
      <c r="F83">
        <v>28839.104911733401</v>
      </c>
      <c r="G83">
        <v>1</v>
      </c>
      <c r="H8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61BB4-7CF6-234C-88DE-9EE6E952291A}">
  <dimension ref="A1:I75"/>
  <sheetViews>
    <sheetView topLeftCell="A44"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85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87</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140</v>
      </c>
    </row>
    <row r="30" spans="1:9" x14ac:dyDescent="0.2">
      <c r="A30" t="s">
        <v>17</v>
      </c>
    </row>
    <row r="32" spans="1:9" x14ac:dyDescent="0.2">
      <c r="A32" t="s">
        <v>18</v>
      </c>
      <c r="B32" t="s">
        <v>19</v>
      </c>
      <c r="C32" t="s">
        <v>20</v>
      </c>
      <c r="D32" t="s">
        <v>21</v>
      </c>
      <c r="E32" t="s">
        <v>22</v>
      </c>
      <c r="F32" t="s">
        <v>23</v>
      </c>
      <c r="G32" t="s">
        <v>24</v>
      </c>
      <c r="H32" t="s">
        <v>25</v>
      </c>
      <c r="I32" t="s">
        <v>26</v>
      </c>
    </row>
    <row r="33" spans="1:8" x14ac:dyDescent="0.2">
      <c r="A33" t="s">
        <v>92</v>
      </c>
      <c r="B33">
        <v>3</v>
      </c>
      <c r="C33">
        <v>1</v>
      </c>
      <c r="D33">
        <v>1</v>
      </c>
      <c r="E33">
        <v>0</v>
      </c>
      <c r="F33">
        <v>0.21553472150117101</v>
      </c>
      <c r="G33">
        <v>1</v>
      </c>
      <c r="H33">
        <v>1</v>
      </c>
    </row>
    <row r="34" spans="1:8" x14ac:dyDescent="0.2">
      <c r="A34" t="s">
        <v>93</v>
      </c>
      <c r="B34">
        <v>4</v>
      </c>
      <c r="C34">
        <v>1</v>
      </c>
      <c r="D34">
        <v>2</v>
      </c>
      <c r="E34">
        <v>0</v>
      </c>
      <c r="F34">
        <v>2.44122687727212E-2</v>
      </c>
      <c r="G34">
        <v>1</v>
      </c>
      <c r="H34">
        <v>1</v>
      </c>
    </row>
    <row r="35" spans="1:8" x14ac:dyDescent="0.2">
      <c r="A35" t="s">
        <v>94</v>
      </c>
      <c r="B35">
        <v>5</v>
      </c>
      <c r="C35">
        <v>1</v>
      </c>
      <c r="D35">
        <v>3</v>
      </c>
      <c r="E35">
        <v>0</v>
      </c>
      <c r="F35">
        <v>4.4245871715247603E-2</v>
      </c>
      <c r="G35">
        <v>1</v>
      </c>
      <c r="H35">
        <v>1</v>
      </c>
    </row>
    <row r="36" spans="1:8" x14ac:dyDescent="0.2">
      <c r="A36" t="s">
        <v>95</v>
      </c>
      <c r="B36">
        <v>6</v>
      </c>
      <c r="C36">
        <v>1</v>
      </c>
      <c r="D36">
        <v>3</v>
      </c>
      <c r="E36">
        <v>0</v>
      </c>
      <c r="F36">
        <v>3.4327877685427603E-2</v>
      </c>
      <c r="G36">
        <v>1</v>
      </c>
      <c r="H36">
        <v>1</v>
      </c>
    </row>
    <row r="37" spans="1:8" x14ac:dyDescent="0.2">
      <c r="A37" t="s">
        <v>96</v>
      </c>
      <c r="B37">
        <v>7</v>
      </c>
      <c r="C37">
        <v>1</v>
      </c>
      <c r="D37">
        <v>3</v>
      </c>
      <c r="E37">
        <v>0</v>
      </c>
      <c r="F37">
        <v>3.39103387668728E-2</v>
      </c>
      <c r="G37">
        <v>1</v>
      </c>
      <c r="H37">
        <v>1</v>
      </c>
    </row>
    <row r="38" spans="1:8" x14ac:dyDescent="0.2">
      <c r="A38" t="s">
        <v>97</v>
      </c>
      <c r="B38">
        <v>8</v>
      </c>
      <c r="C38">
        <v>1</v>
      </c>
      <c r="D38">
        <v>3</v>
      </c>
      <c r="E38">
        <v>0</v>
      </c>
      <c r="F38">
        <v>3.4905137494206401E-2</v>
      </c>
      <c r="G38">
        <v>1</v>
      </c>
      <c r="H38">
        <v>1</v>
      </c>
    </row>
    <row r="39" spans="1:8" x14ac:dyDescent="0.2">
      <c r="A39" t="s">
        <v>98</v>
      </c>
      <c r="B39">
        <v>9</v>
      </c>
      <c r="C39">
        <v>1</v>
      </c>
      <c r="D39">
        <v>3</v>
      </c>
      <c r="E39">
        <v>0</v>
      </c>
      <c r="F39">
        <v>3.4337542019784402E-2</v>
      </c>
      <c r="G39">
        <v>1</v>
      </c>
      <c r="H39">
        <v>1</v>
      </c>
    </row>
    <row r="40" spans="1:8" x14ac:dyDescent="0.2">
      <c r="A40" t="s">
        <v>99</v>
      </c>
      <c r="B40">
        <v>10</v>
      </c>
      <c r="C40">
        <v>1</v>
      </c>
      <c r="D40">
        <v>4</v>
      </c>
      <c r="E40">
        <v>0</v>
      </c>
      <c r="F40">
        <v>6.4393463544547502E-2</v>
      </c>
      <c r="G40">
        <v>1</v>
      </c>
      <c r="H40">
        <v>1</v>
      </c>
    </row>
    <row r="41" spans="1:8" x14ac:dyDescent="0.2">
      <c r="A41" t="s">
        <v>100</v>
      </c>
      <c r="B41">
        <v>11</v>
      </c>
      <c r="C41">
        <v>1</v>
      </c>
      <c r="D41">
        <v>5</v>
      </c>
      <c r="E41">
        <v>0</v>
      </c>
      <c r="F41">
        <v>0.114734776318073</v>
      </c>
      <c r="G41">
        <v>1</v>
      </c>
      <c r="H41">
        <v>1</v>
      </c>
    </row>
    <row r="42" spans="1:8" x14ac:dyDescent="0.2">
      <c r="A42" t="s">
        <v>101</v>
      </c>
      <c r="B42">
        <v>12</v>
      </c>
      <c r="C42">
        <v>6</v>
      </c>
      <c r="D42">
        <v>3</v>
      </c>
      <c r="E42">
        <v>0</v>
      </c>
      <c r="F42">
        <v>5.4484990425407803E-2</v>
      </c>
      <c r="G42">
        <v>1</v>
      </c>
      <c r="H42">
        <v>1</v>
      </c>
    </row>
    <row r="43" spans="1:8" x14ac:dyDescent="0.2">
      <c r="A43" t="s">
        <v>102</v>
      </c>
      <c r="B43">
        <v>13</v>
      </c>
      <c r="C43">
        <v>6</v>
      </c>
      <c r="D43">
        <v>3</v>
      </c>
      <c r="E43">
        <v>0</v>
      </c>
      <c r="F43">
        <v>7.5968705117702401E-2</v>
      </c>
      <c r="G43">
        <v>1</v>
      </c>
      <c r="H43">
        <v>1</v>
      </c>
    </row>
    <row r="44" spans="1:8" x14ac:dyDescent="0.2">
      <c r="A44" t="s">
        <v>103</v>
      </c>
      <c r="B44">
        <v>14</v>
      </c>
      <c r="C44">
        <v>2</v>
      </c>
      <c r="D44">
        <v>5</v>
      </c>
      <c r="E44">
        <v>0</v>
      </c>
      <c r="F44">
        <v>0.18532493617385601</v>
      </c>
      <c r="G44">
        <v>1</v>
      </c>
      <c r="H44">
        <v>1</v>
      </c>
    </row>
    <row r="45" spans="1:8" x14ac:dyDescent="0.2">
      <c r="A45" t="s">
        <v>104</v>
      </c>
      <c r="B45">
        <v>15</v>
      </c>
      <c r="C45">
        <v>2</v>
      </c>
      <c r="D45">
        <v>5</v>
      </c>
      <c r="E45">
        <v>0</v>
      </c>
      <c r="F45">
        <v>0.16520771477371399</v>
      </c>
      <c r="G45">
        <v>1</v>
      </c>
      <c r="H45">
        <v>1</v>
      </c>
    </row>
    <row r="46" spans="1:8" x14ac:dyDescent="0.2">
      <c r="A46" t="s">
        <v>105</v>
      </c>
      <c r="B46">
        <v>16</v>
      </c>
      <c r="C46">
        <v>1</v>
      </c>
      <c r="D46">
        <v>6</v>
      </c>
      <c r="E46">
        <v>0</v>
      </c>
      <c r="F46">
        <v>0.50750039517879397</v>
      </c>
      <c r="G46">
        <v>1</v>
      </c>
      <c r="H46">
        <v>1</v>
      </c>
    </row>
    <row r="47" spans="1:8" x14ac:dyDescent="0.2">
      <c r="A47" t="s">
        <v>106</v>
      </c>
      <c r="B47">
        <v>17</v>
      </c>
      <c r="C47">
        <v>3</v>
      </c>
      <c r="D47">
        <v>5</v>
      </c>
      <c r="E47">
        <v>0</v>
      </c>
      <c r="F47">
        <v>0.255701282061636</v>
      </c>
      <c r="G47">
        <v>1</v>
      </c>
      <c r="H47">
        <v>1</v>
      </c>
    </row>
    <row r="48" spans="1:8" x14ac:dyDescent="0.2">
      <c r="A48" t="s">
        <v>107</v>
      </c>
      <c r="B48">
        <v>18</v>
      </c>
      <c r="C48">
        <v>5</v>
      </c>
      <c r="D48">
        <v>5</v>
      </c>
      <c r="E48">
        <v>0</v>
      </c>
      <c r="F48">
        <v>0.41683706920593899</v>
      </c>
      <c r="G48">
        <v>1</v>
      </c>
      <c r="H48">
        <v>1</v>
      </c>
    </row>
    <row r="49" spans="1:8" x14ac:dyDescent="0.2">
      <c r="A49" t="s">
        <v>108</v>
      </c>
      <c r="B49">
        <v>19</v>
      </c>
      <c r="C49">
        <v>5</v>
      </c>
      <c r="D49">
        <v>5</v>
      </c>
      <c r="E49">
        <v>0</v>
      </c>
      <c r="F49">
        <v>0.33663134649395898</v>
      </c>
      <c r="G49">
        <v>1</v>
      </c>
      <c r="H49">
        <v>1</v>
      </c>
    </row>
    <row r="50" spans="1:8" x14ac:dyDescent="0.2">
      <c r="A50" t="s">
        <v>109</v>
      </c>
      <c r="B50">
        <v>20</v>
      </c>
      <c r="C50">
        <v>3</v>
      </c>
      <c r="D50">
        <v>6</v>
      </c>
      <c r="E50">
        <v>0</v>
      </c>
      <c r="F50">
        <v>1.6740386718884099</v>
      </c>
      <c r="G50">
        <v>1</v>
      </c>
      <c r="H50">
        <v>1</v>
      </c>
    </row>
    <row r="51" spans="1:8" x14ac:dyDescent="0.2">
      <c r="A51" t="s">
        <v>110</v>
      </c>
      <c r="B51">
        <v>21</v>
      </c>
      <c r="C51">
        <v>3</v>
      </c>
      <c r="D51">
        <v>6</v>
      </c>
      <c r="E51">
        <v>0</v>
      </c>
      <c r="F51">
        <v>1.1712528979405701</v>
      </c>
      <c r="G51">
        <v>1</v>
      </c>
      <c r="H51">
        <v>1</v>
      </c>
    </row>
    <row r="52" spans="1:8" x14ac:dyDescent="0.2">
      <c r="A52" t="s">
        <v>111</v>
      </c>
      <c r="B52">
        <v>22</v>
      </c>
      <c r="C52">
        <v>7</v>
      </c>
      <c r="D52">
        <v>5</v>
      </c>
      <c r="E52">
        <v>0</v>
      </c>
      <c r="F52">
        <v>0.57773447781801202</v>
      </c>
      <c r="G52">
        <v>1</v>
      </c>
      <c r="H52">
        <v>1</v>
      </c>
    </row>
    <row r="53" spans="1:8" x14ac:dyDescent="0.2">
      <c r="A53" t="s">
        <v>112</v>
      </c>
      <c r="B53">
        <v>23</v>
      </c>
      <c r="C53">
        <v>2</v>
      </c>
      <c r="D53">
        <v>7</v>
      </c>
      <c r="E53">
        <v>0</v>
      </c>
      <c r="F53">
        <v>8.7959127873182297</v>
      </c>
      <c r="G53">
        <v>1</v>
      </c>
      <c r="H53">
        <v>1</v>
      </c>
    </row>
    <row r="54" spans="1:8" x14ac:dyDescent="0.2">
      <c r="A54" t="s">
        <v>113</v>
      </c>
      <c r="B54">
        <v>24</v>
      </c>
      <c r="C54">
        <v>8</v>
      </c>
      <c r="D54">
        <v>5</v>
      </c>
      <c r="E54">
        <v>0</v>
      </c>
      <c r="F54">
        <v>0.92048697266727597</v>
      </c>
      <c r="G54">
        <v>1</v>
      </c>
      <c r="H54">
        <v>1</v>
      </c>
    </row>
    <row r="55" spans="1:8" x14ac:dyDescent="0.2">
      <c r="A55" t="s">
        <v>114</v>
      </c>
      <c r="B55">
        <v>25</v>
      </c>
      <c r="C55">
        <v>8</v>
      </c>
      <c r="D55">
        <v>5</v>
      </c>
      <c r="E55">
        <v>0</v>
      </c>
      <c r="F55">
        <v>0.85945142246782702</v>
      </c>
      <c r="G55">
        <v>1</v>
      </c>
      <c r="H55">
        <v>1</v>
      </c>
    </row>
    <row r="56" spans="1:8" x14ac:dyDescent="0.2">
      <c r="A56" t="s">
        <v>115</v>
      </c>
      <c r="B56">
        <v>26</v>
      </c>
      <c r="C56">
        <v>6</v>
      </c>
      <c r="D56">
        <v>6</v>
      </c>
      <c r="E56">
        <v>0</v>
      </c>
      <c r="F56">
        <v>3.4845665944740101</v>
      </c>
      <c r="G56">
        <v>1</v>
      </c>
      <c r="H56">
        <v>1</v>
      </c>
    </row>
    <row r="57" spans="1:8" x14ac:dyDescent="0.2">
      <c r="A57" t="s">
        <v>116</v>
      </c>
      <c r="B57">
        <v>27</v>
      </c>
      <c r="C57">
        <v>6</v>
      </c>
      <c r="D57">
        <v>6</v>
      </c>
      <c r="E57">
        <v>0</v>
      </c>
      <c r="F57">
        <v>3.4948351932689499</v>
      </c>
      <c r="G57">
        <v>1</v>
      </c>
      <c r="H57">
        <v>1</v>
      </c>
    </row>
    <row r="58" spans="1:8" x14ac:dyDescent="0.2">
      <c r="A58" t="s">
        <v>117</v>
      </c>
      <c r="B58">
        <v>28</v>
      </c>
      <c r="C58">
        <v>6</v>
      </c>
      <c r="D58">
        <v>6</v>
      </c>
      <c r="E58">
        <v>0</v>
      </c>
      <c r="F58">
        <v>3.60658238828182</v>
      </c>
      <c r="G58">
        <v>1</v>
      </c>
      <c r="H58">
        <v>1</v>
      </c>
    </row>
    <row r="59" spans="1:8" x14ac:dyDescent="0.2">
      <c r="A59" t="s">
        <v>118</v>
      </c>
      <c r="B59">
        <v>29</v>
      </c>
      <c r="C59">
        <v>6</v>
      </c>
      <c r="D59">
        <v>7</v>
      </c>
      <c r="E59">
        <v>0</v>
      </c>
      <c r="F59">
        <v>34.325612294487598</v>
      </c>
      <c r="G59">
        <v>1</v>
      </c>
      <c r="H59">
        <v>1</v>
      </c>
    </row>
    <row r="60" spans="1:8" x14ac:dyDescent="0.2">
      <c r="A60" t="s">
        <v>119</v>
      </c>
      <c r="B60">
        <v>30</v>
      </c>
      <c r="C60">
        <v>9</v>
      </c>
      <c r="D60">
        <v>6</v>
      </c>
      <c r="E60">
        <v>0</v>
      </c>
      <c r="F60">
        <v>6.0708239441737497</v>
      </c>
      <c r="G60">
        <v>1</v>
      </c>
      <c r="H60">
        <v>1</v>
      </c>
    </row>
    <row r="61" spans="1:8" x14ac:dyDescent="0.2">
      <c r="A61" t="s">
        <v>120</v>
      </c>
      <c r="B61">
        <v>31</v>
      </c>
      <c r="C61">
        <v>9</v>
      </c>
      <c r="D61">
        <v>6</v>
      </c>
      <c r="E61">
        <v>0</v>
      </c>
      <c r="F61">
        <v>7.1865104539319802</v>
      </c>
      <c r="G61">
        <v>1</v>
      </c>
      <c r="H61">
        <v>1</v>
      </c>
    </row>
    <row r="62" spans="1:8" x14ac:dyDescent="0.2">
      <c r="A62" t="s">
        <v>121</v>
      </c>
      <c r="B62">
        <v>32</v>
      </c>
      <c r="C62">
        <v>5</v>
      </c>
      <c r="D62">
        <v>8</v>
      </c>
      <c r="E62">
        <v>0</v>
      </c>
      <c r="F62">
        <v>341.525071608833</v>
      </c>
      <c r="G62">
        <v>1</v>
      </c>
      <c r="H62">
        <v>1</v>
      </c>
    </row>
    <row r="63" spans="1:8" x14ac:dyDescent="0.2">
      <c r="A63" t="s">
        <v>122</v>
      </c>
      <c r="B63">
        <v>33</v>
      </c>
      <c r="C63">
        <v>7</v>
      </c>
      <c r="D63">
        <v>8</v>
      </c>
      <c r="E63">
        <v>0</v>
      </c>
      <c r="F63">
        <v>333.802251926623</v>
      </c>
      <c r="G63">
        <v>1</v>
      </c>
      <c r="H63">
        <v>1</v>
      </c>
    </row>
    <row r="64" spans="1:8" x14ac:dyDescent="0.2">
      <c r="A64" t="s">
        <v>123</v>
      </c>
      <c r="B64">
        <v>34</v>
      </c>
      <c r="C64">
        <v>17</v>
      </c>
      <c r="D64">
        <v>5</v>
      </c>
      <c r="E64">
        <v>0</v>
      </c>
      <c r="F64">
        <v>3.0147598357871099</v>
      </c>
      <c r="G64">
        <v>1</v>
      </c>
      <c r="H64">
        <v>1</v>
      </c>
    </row>
    <row r="65" spans="1:8" x14ac:dyDescent="0.2">
      <c r="A65" t="s">
        <v>124</v>
      </c>
      <c r="B65">
        <v>35</v>
      </c>
      <c r="C65">
        <v>4</v>
      </c>
      <c r="D65">
        <v>9</v>
      </c>
      <c r="E65">
        <v>0</v>
      </c>
      <c r="F65">
        <v>1956.60859795287</v>
      </c>
      <c r="G65">
        <v>1</v>
      </c>
      <c r="H65">
        <v>1</v>
      </c>
    </row>
    <row r="66" spans="1:8" x14ac:dyDescent="0.2">
      <c r="A66" t="s">
        <v>125</v>
      </c>
      <c r="B66">
        <v>36</v>
      </c>
      <c r="C66">
        <v>4</v>
      </c>
      <c r="D66">
        <v>9</v>
      </c>
      <c r="E66">
        <v>0</v>
      </c>
      <c r="F66">
        <v>2182.8305146554399</v>
      </c>
      <c r="G66">
        <v>1</v>
      </c>
      <c r="H66">
        <v>1</v>
      </c>
    </row>
    <row r="67" spans="1:8" x14ac:dyDescent="0.2">
      <c r="A67" t="s">
        <v>126</v>
      </c>
      <c r="B67">
        <v>37</v>
      </c>
      <c r="C67">
        <v>4</v>
      </c>
      <c r="D67">
        <v>9</v>
      </c>
      <c r="E67">
        <v>0</v>
      </c>
      <c r="F67">
        <v>2503.5889614745902</v>
      </c>
      <c r="G67">
        <v>1</v>
      </c>
      <c r="H67">
        <v>1</v>
      </c>
    </row>
    <row r="68" spans="1:8" x14ac:dyDescent="0.2">
      <c r="A68" t="s">
        <v>127</v>
      </c>
      <c r="B68">
        <v>38</v>
      </c>
      <c r="C68">
        <v>4</v>
      </c>
      <c r="D68">
        <v>9</v>
      </c>
      <c r="E68">
        <v>0</v>
      </c>
      <c r="F68">
        <v>2585.3750874949601</v>
      </c>
      <c r="G68">
        <v>1</v>
      </c>
      <c r="H68">
        <v>1</v>
      </c>
    </row>
    <row r="69" spans="1:8" x14ac:dyDescent="0.2">
      <c r="A69" t="s">
        <v>128</v>
      </c>
      <c r="B69">
        <v>39</v>
      </c>
      <c r="C69">
        <v>4</v>
      </c>
      <c r="D69">
        <v>9</v>
      </c>
      <c r="E69">
        <v>0</v>
      </c>
      <c r="F69">
        <v>2218.3414981337201</v>
      </c>
      <c r="G69">
        <v>1</v>
      </c>
      <c r="H69">
        <v>1</v>
      </c>
    </row>
    <row r="70" spans="1:8" x14ac:dyDescent="0.2">
      <c r="A70" t="s">
        <v>129</v>
      </c>
      <c r="B70">
        <v>40</v>
      </c>
      <c r="C70">
        <v>5</v>
      </c>
      <c r="D70">
        <v>9</v>
      </c>
      <c r="E70">
        <v>0</v>
      </c>
      <c r="F70">
        <v>6454.2228162372403</v>
      </c>
      <c r="G70">
        <v>1</v>
      </c>
      <c r="H70">
        <v>1</v>
      </c>
    </row>
    <row r="71" spans="1:8" x14ac:dyDescent="0.2">
      <c r="A71" t="s">
        <v>130</v>
      </c>
      <c r="B71">
        <v>41</v>
      </c>
      <c r="C71">
        <v>2</v>
      </c>
      <c r="D71">
        <v>11</v>
      </c>
      <c r="E71">
        <v>0</v>
      </c>
      <c r="F71">
        <v>28841.694798617598</v>
      </c>
      <c r="G71">
        <v>1</v>
      </c>
      <c r="H71">
        <v>1</v>
      </c>
    </row>
    <row r="72" spans="1:8" x14ac:dyDescent="0.2">
      <c r="A72" t="s">
        <v>131</v>
      </c>
      <c r="B72">
        <v>42</v>
      </c>
      <c r="C72">
        <v>5</v>
      </c>
      <c r="D72">
        <v>9</v>
      </c>
      <c r="E72">
        <v>0</v>
      </c>
      <c r="F72">
        <v>5764.3248862968703</v>
      </c>
      <c r="G72">
        <v>1</v>
      </c>
      <c r="H72">
        <v>1</v>
      </c>
    </row>
    <row r="73" spans="1:8" x14ac:dyDescent="0.2">
      <c r="A73" t="s">
        <v>132</v>
      </c>
      <c r="B73">
        <v>43</v>
      </c>
      <c r="C73">
        <v>6</v>
      </c>
      <c r="D73">
        <v>9</v>
      </c>
      <c r="E73">
        <v>0</v>
      </c>
      <c r="F73">
        <v>14690.8822062565</v>
      </c>
      <c r="G73">
        <v>1</v>
      </c>
      <c r="H73">
        <v>1</v>
      </c>
    </row>
    <row r="74" spans="1:8" x14ac:dyDescent="0.2">
      <c r="A74" t="s">
        <v>133</v>
      </c>
      <c r="B74">
        <v>44</v>
      </c>
      <c r="C74">
        <v>6</v>
      </c>
      <c r="D74">
        <v>9</v>
      </c>
      <c r="E74">
        <v>0</v>
      </c>
      <c r="F74">
        <v>9101.9994694488105</v>
      </c>
      <c r="G74">
        <v>1</v>
      </c>
      <c r="H74">
        <v>1</v>
      </c>
    </row>
    <row r="75" spans="1:8" x14ac:dyDescent="0.2">
      <c r="A75" t="s">
        <v>134</v>
      </c>
      <c r="B75">
        <v>45</v>
      </c>
      <c r="C75">
        <v>6</v>
      </c>
      <c r="D75">
        <v>9</v>
      </c>
      <c r="E75">
        <v>0</v>
      </c>
      <c r="F75">
        <v>13266.8998115221</v>
      </c>
      <c r="G75">
        <v>1</v>
      </c>
      <c r="H75">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EB517-405F-6F48-AD7B-7D519453AE79}">
  <dimension ref="A1:I153"/>
  <sheetViews>
    <sheetView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2</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142</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1.77985198982059</v>
      </c>
      <c r="G33">
        <v>10000</v>
      </c>
      <c r="H33">
        <v>10000</v>
      </c>
      <c r="I33" t="s">
        <v>143</v>
      </c>
    </row>
    <row r="34" spans="1:9" x14ac:dyDescent="0.2">
      <c r="A34" t="s">
        <v>93</v>
      </c>
      <c r="B34">
        <v>4</v>
      </c>
      <c r="C34">
        <v>1</v>
      </c>
      <c r="D34">
        <v>2</v>
      </c>
      <c r="E34">
        <v>0</v>
      </c>
      <c r="F34">
        <v>1.95989414677023</v>
      </c>
      <c r="G34">
        <v>10000</v>
      </c>
      <c r="H34">
        <v>10000</v>
      </c>
      <c r="I34" t="s">
        <v>144</v>
      </c>
    </row>
    <row r="35" spans="1:9" x14ac:dyDescent="0.2">
      <c r="A35" t="s">
        <v>94</v>
      </c>
      <c r="B35">
        <v>5</v>
      </c>
      <c r="C35">
        <v>1</v>
      </c>
      <c r="D35">
        <v>3</v>
      </c>
      <c r="E35">
        <v>0</v>
      </c>
      <c r="F35">
        <v>2.1905940044671199</v>
      </c>
      <c r="G35">
        <v>10000</v>
      </c>
      <c r="H35">
        <v>10000</v>
      </c>
      <c r="I35" t="s">
        <v>145</v>
      </c>
    </row>
    <row r="36" spans="1:9" x14ac:dyDescent="0.2">
      <c r="A36" t="s">
        <v>95</v>
      </c>
      <c r="B36">
        <v>6</v>
      </c>
      <c r="C36">
        <v>1</v>
      </c>
      <c r="D36">
        <v>3</v>
      </c>
      <c r="E36">
        <v>0</v>
      </c>
      <c r="F36">
        <v>2.2893541222438198</v>
      </c>
      <c r="G36">
        <v>10000</v>
      </c>
      <c r="H36">
        <v>10000</v>
      </c>
      <c r="I36" t="s">
        <v>145</v>
      </c>
    </row>
    <row r="37" spans="1:9" x14ac:dyDescent="0.2">
      <c r="A37" t="s">
        <v>96</v>
      </c>
      <c r="B37">
        <v>7</v>
      </c>
      <c r="C37">
        <v>1</v>
      </c>
      <c r="D37">
        <v>3</v>
      </c>
      <c r="E37">
        <v>0</v>
      </c>
      <c r="F37">
        <v>2.3819386549293902</v>
      </c>
      <c r="G37">
        <v>10000</v>
      </c>
      <c r="H37">
        <v>10000</v>
      </c>
      <c r="I37" t="s">
        <v>146</v>
      </c>
    </row>
    <row r="38" spans="1:9" x14ac:dyDescent="0.2">
      <c r="A38" t="s">
        <v>97</v>
      </c>
      <c r="B38">
        <v>8</v>
      </c>
      <c r="C38">
        <v>1</v>
      </c>
      <c r="D38">
        <v>3</v>
      </c>
      <c r="E38">
        <v>0</v>
      </c>
      <c r="F38">
        <v>2.4677076768130002</v>
      </c>
      <c r="G38">
        <v>10000</v>
      </c>
      <c r="H38">
        <v>10000</v>
      </c>
      <c r="I38" t="s">
        <v>145</v>
      </c>
    </row>
    <row r="39" spans="1:9" x14ac:dyDescent="0.2">
      <c r="A39" t="s">
        <v>98</v>
      </c>
      <c r="B39">
        <v>9</v>
      </c>
      <c r="C39">
        <v>1</v>
      </c>
      <c r="D39">
        <v>3</v>
      </c>
      <c r="E39">
        <v>0</v>
      </c>
      <c r="F39">
        <v>2.5834248233586501</v>
      </c>
      <c r="G39">
        <v>10000</v>
      </c>
      <c r="H39">
        <v>10000</v>
      </c>
      <c r="I39" t="s">
        <v>145</v>
      </c>
    </row>
    <row r="40" spans="1:9" x14ac:dyDescent="0.2">
      <c r="A40" t="s">
        <v>99</v>
      </c>
      <c r="B40">
        <v>10</v>
      </c>
      <c r="C40">
        <v>1</v>
      </c>
      <c r="D40">
        <v>4</v>
      </c>
      <c r="E40">
        <v>0</v>
      </c>
      <c r="F40">
        <v>2.5527049442753098</v>
      </c>
      <c r="G40">
        <v>10000</v>
      </c>
      <c r="H40">
        <v>10000</v>
      </c>
      <c r="I40" t="s">
        <v>147</v>
      </c>
    </row>
    <row r="41" spans="1:9" x14ac:dyDescent="0.2">
      <c r="A41" t="s">
        <v>100</v>
      </c>
      <c r="B41">
        <v>11</v>
      </c>
      <c r="C41">
        <v>1</v>
      </c>
      <c r="D41">
        <v>5</v>
      </c>
      <c r="E41">
        <v>0</v>
      </c>
      <c r="F41">
        <v>3.33782823383808</v>
      </c>
      <c r="G41">
        <v>10000</v>
      </c>
      <c r="H41">
        <v>10000</v>
      </c>
      <c r="I41" t="s">
        <v>148</v>
      </c>
    </row>
    <row r="42" spans="1:9" x14ac:dyDescent="0.2">
      <c r="A42" t="s">
        <v>101</v>
      </c>
      <c r="B42">
        <v>12</v>
      </c>
      <c r="C42">
        <v>6</v>
      </c>
      <c r="D42">
        <v>3</v>
      </c>
      <c r="E42">
        <v>0</v>
      </c>
      <c r="F42">
        <v>3.59706591721624</v>
      </c>
      <c r="G42">
        <v>9863</v>
      </c>
      <c r="H42">
        <v>10000</v>
      </c>
      <c r="I42" t="s">
        <v>149</v>
      </c>
    </row>
    <row r="43" spans="1:9" x14ac:dyDescent="0.2">
      <c r="A43" t="s">
        <v>102</v>
      </c>
      <c r="B43">
        <v>13</v>
      </c>
      <c r="C43">
        <v>6</v>
      </c>
      <c r="D43">
        <v>3</v>
      </c>
      <c r="E43">
        <v>0</v>
      </c>
      <c r="F43">
        <v>3.80591746885329</v>
      </c>
      <c r="G43">
        <v>9855</v>
      </c>
      <c r="H43">
        <v>10000</v>
      </c>
      <c r="I43" t="s">
        <v>150</v>
      </c>
    </row>
    <row r="44" spans="1:9" x14ac:dyDescent="0.2">
      <c r="A44" t="s">
        <v>103</v>
      </c>
      <c r="B44">
        <v>14</v>
      </c>
      <c r="C44">
        <v>2</v>
      </c>
      <c r="D44">
        <v>5</v>
      </c>
      <c r="E44">
        <v>0</v>
      </c>
      <c r="F44">
        <v>3.3369292384013498</v>
      </c>
      <c r="G44">
        <v>9923</v>
      </c>
      <c r="H44">
        <v>10000</v>
      </c>
      <c r="I44" t="s">
        <v>151</v>
      </c>
    </row>
    <row r="45" spans="1:9" x14ac:dyDescent="0.2">
      <c r="A45" t="s">
        <v>104</v>
      </c>
      <c r="B45">
        <v>15</v>
      </c>
      <c r="C45">
        <v>2</v>
      </c>
      <c r="D45">
        <v>5</v>
      </c>
      <c r="E45">
        <v>0</v>
      </c>
      <c r="F45">
        <v>3.4914828520268202</v>
      </c>
      <c r="G45">
        <v>9919</v>
      </c>
      <c r="H45">
        <v>10000</v>
      </c>
      <c r="I45" t="s">
        <v>152</v>
      </c>
    </row>
    <row r="46" spans="1:9" x14ac:dyDescent="0.2">
      <c r="A46" t="s">
        <v>105</v>
      </c>
      <c r="B46">
        <v>16</v>
      </c>
      <c r="C46">
        <v>1</v>
      </c>
      <c r="D46">
        <v>6</v>
      </c>
      <c r="E46">
        <v>0</v>
      </c>
      <c r="F46">
        <v>3.5911750113591498</v>
      </c>
      <c r="G46">
        <v>10000</v>
      </c>
      <c r="H46">
        <v>10000</v>
      </c>
      <c r="I46" t="s">
        <v>153</v>
      </c>
    </row>
    <row r="47" spans="1:9" x14ac:dyDescent="0.2">
      <c r="A47" t="s">
        <v>106</v>
      </c>
      <c r="B47">
        <v>17</v>
      </c>
      <c r="C47">
        <v>3</v>
      </c>
      <c r="D47">
        <v>5</v>
      </c>
      <c r="E47">
        <v>0</v>
      </c>
      <c r="F47">
        <v>3.8488930361345401</v>
      </c>
      <c r="G47">
        <v>10000</v>
      </c>
      <c r="H47">
        <v>10000</v>
      </c>
      <c r="I47" t="s">
        <v>154</v>
      </c>
    </row>
    <row r="48" spans="1:9" x14ac:dyDescent="0.2">
      <c r="A48" t="s">
        <v>107</v>
      </c>
      <c r="B48">
        <v>18</v>
      </c>
      <c r="C48">
        <v>5</v>
      </c>
      <c r="D48">
        <v>5</v>
      </c>
      <c r="E48">
        <v>0</v>
      </c>
      <c r="F48">
        <v>4.4098652778193301</v>
      </c>
      <c r="G48">
        <v>9999</v>
      </c>
      <c r="H48">
        <v>10000</v>
      </c>
      <c r="I48" t="s">
        <v>155</v>
      </c>
    </row>
    <row r="49" spans="1:9" x14ac:dyDescent="0.2">
      <c r="A49" t="s">
        <v>108</v>
      </c>
      <c r="B49">
        <v>19</v>
      </c>
      <c r="C49">
        <v>5</v>
      </c>
      <c r="D49">
        <v>5</v>
      </c>
      <c r="E49">
        <v>0</v>
      </c>
      <c r="F49">
        <v>4.6162422597408197</v>
      </c>
      <c r="G49">
        <v>9998</v>
      </c>
      <c r="H49">
        <v>10000</v>
      </c>
      <c r="I49" t="s">
        <v>156</v>
      </c>
    </row>
    <row r="50" spans="1:9" x14ac:dyDescent="0.2">
      <c r="A50" t="s">
        <v>109</v>
      </c>
      <c r="B50">
        <v>20</v>
      </c>
      <c r="C50">
        <v>3</v>
      </c>
      <c r="D50">
        <v>6</v>
      </c>
      <c r="E50">
        <v>0</v>
      </c>
      <c r="F50">
        <v>4.2837742445990399</v>
      </c>
      <c r="G50">
        <v>9991</v>
      </c>
      <c r="H50">
        <v>10000</v>
      </c>
      <c r="I50" t="s">
        <v>157</v>
      </c>
    </row>
    <row r="51" spans="1:9" x14ac:dyDescent="0.2">
      <c r="A51" t="s">
        <v>110</v>
      </c>
      <c r="B51">
        <v>21</v>
      </c>
      <c r="C51">
        <v>3</v>
      </c>
      <c r="D51">
        <v>6</v>
      </c>
      <c r="E51">
        <v>0</v>
      </c>
      <c r="F51">
        <v>4.4111380279064099</v>
      </c>
      <c r="G51">
        <v>9992</v>
      </c>
      <c r="H51">
        <v>10000</v>
      </c>
      <c r="I51" t="s">
        <v>158</v>
      </c>
    </row>
    <row r="52" spans="1:9" x14ac:dyDescent="0.2">
      <c r="A52" t="s">
        <v>111</v>
      </c>
      <c r="B52">
        <v>22</v>
      </c>
      <c r="C52">
        <v>7</v>
      </c>
      <c r="D52">
        <v>5</v>
      </c>
      <c r="E52">
        <v>0</v>
      </c>
      <c r="F52">
        <v>4.9838595539331401</v>
      </c>
      <c r="G52">
        <v>9999</v>
      </c>
      <c r="H52">
        <v>10000</v>
      </c>
      <c r="I52" t="s">
        <v>159</v>
      </c>
    </row>
    <row r="53" spans="1:9" x14ac:dyDescent="0.2">
      <c r="A53" t="s">
        <v>112</v>
      </c>
      <c r="B53">
        <v>23</v>
      </c>
      <c r="C53">
        <v>2</v>
      </c>
      <c r="D53">
        <v>7</v>
      </c>
      <c r="E53">
        <v>0</v>
      </c>
      <c r="F53">
        <v>4.2750115478411299</v>
      </c>
      <c r="G53">
        <v>9940</v>
      </c>
      <c r="H53">
        <v>10000</v>
      </c>
      <c r="I53" t="s">
        <v>160</v>
      </c>
    </row>
    <row r="54" spans="1:9" x14ac:dyDescent="0.2">
      <c r="A54" t="s">
        <v>113</v>
      </c>
      <c r="B54">
        <v>24</v>
      </c>
      <c r="C54">
        <v>8</v>
      </c>
      <c r="D54">
        <v>5</v>
      </c>
      <c r="E54">
        <v>0</v>
      </c>
      <c r="F54">
        <v>5.6741417488083199</v>
      </c>
      <c r="G54">
        <v>4336</v>
      </c>
      <c r="H54">
        <v>10000</v>
      </c>
      <c r="I54" t="s">
        <v>161</v>
      </c>
    </row>
    <row r="55" spans="1:9" x14ac:dyDescent="0.2">
      <c r="A55" t="s">
        <v>114</v>
      </c>
      <c r="B55">
        <v>25</v>
      </c>
      <c r="C55">
        <v>8</v>
      </c>
      <c r="D55">
        <v>5</v>
      </c>
      <c r="E55">
        <v>0</v>
      </c>
      <c r="F55">
        <v>5.8678578408434898</v>
      </c>
      <c r="G55">
        <v>4350</v>
      </c>
      <c r="H55">
        <v>10000</v>
      </c>
      <c r="I55" t="s">
        <v>162</v>
      </c>
    </row>
    <row r="56" spans="1:9" x14ac:dyDescent="0.2">
      <c r="A56" t="s">
        <v>115</v>
      </c>
      <c r="B56">
        <v>26</v>
      </c>
      <c r="C56">
        <v>6</v>
      </c>
      <c r="D56">
        <v>6</v>
      </c>
      <c r="E56">
        <v>0</v>
      </c>
      <c r="F56">
        <v>5.5501268142834297</v>
      </c>
      <c r="G56">
        <v>6819</v>
      </c>
      <c r="H56">
        <v>10000</v>
      </c>
      <c r="I56" t="s">
        <v>163</v>
      </c>
    </row>
    <row r="57" spans="1:9" x14ac:dyDescent="0.2">
      <c r="A57" t="s">
        <v>116</v>
      </c>
      <c r="B57">
        <v>27</v>
      </c>
      <c r="C57">
        <v>6</v>
      </c>
      <c r="D57">
        <v>6</v>
      </c>
      <c r="E57">
        <v>0</v>
      </c>
      <c r="F57">
        <v>5.74434429593384</v>
      </c>
      <c r="G57">
        <v>6859</v>
      </c>
      <c r="H57">
        <v>10000</v>
      </c>
      <c r="I57" t="s">
        <v>164</v>
      </c>
    </row>
    <row r="58" spans="1:9" x14ac:dyDescent="0.2">
      <c r="A58" t="s">
        <v>117</v>
      </c>
      <c r="B58">
        <v>28</v>
      </c>
      <c r="C58">
        <v>6</v>
      </c>
      <c r="D58">
        <v>6</v>
      </c>
      <c r="E58">
        <v>0</v>
      </c>
      <c r="F58">
        <v>6.0136339049786303</v>
      </c>
      <c r="G58">
        <v>6856</v>
      </c>
      <c r="H58">
        <v>10000</v>
      </c>
      <c r="I58" t="s">
        <v>165</v>
      </c>
    </row>
    <row r="59" spans="1:9" x14ac:dyDescent="0.2">
      <c r="A59" t="s">
        <v>118</v>
      </c>
      <c r="B59">
        <v>29</v>
      </c>
      <c r="C59">
        <v>6</v>
      </c>
      <c r="D59">
        <v>7</v>
      </c>
      <c r="E59">
        <v>0</v>
      </c>
      <c r="F59">
        <v>5.9078152989968604</v>
      </c>
      <c r="G59">
        <v>9515</v>
      </c>
      <c r="H59">
        <v>10000</v>
      </c>
      <c r="I59" t="s">
        <v>166</v>
      </c>
    </row>
    <row r="60" spans="1:9" x14ac:dyDescent="0.2">
      <c r="A60" t="s">
        <v>119</v>
      </c>
      <c r="B60">
        <v>30</v>
      </c>
      <c r="C60">
        <v>9</v>
      </c>
      <c r="D60">
        <v>6</v>
      </c>
      <c r="E60">
        <v>0</v>
      </c>
      <c r="F60">
        <v>6.8290113275870601</v>
      </c>
      <c r="G60">
        <v>8726</v>
      </c>
      <c r="H60">
        <v>10000</v>
      </c>
      <c r="I60" t="s">
        <v>167</v>
      </c>
    </row>
    <row r="61" spans="1:9" x14ac:dyDescent="0.2">
      <c r="A61" t="s">
        <v>120</v>
      </c>
      <c r="B61">
        <v>31</v>
      </c>
      <c r="C61">
        <v>9</v>
      </c>
      <c r="D61">
        <v>6</v>
      </c>
      <c r="E61">
        <v>0</v>
      </c>
      <c r="F61">
        <v>7.1378344930708399</v>
      </c>
      <c r="G61">
        <v>8600</v>
      </c>
      <c r="H61">
        <v>10000</v>
      </c>
      <c r="I61" t="s">
        <v>168</v>
      </c>
    </row>
    <row r="62" spans="1:9" x14ac:dyDescent="0.2">
      <c r="A62" t="s">
        <v>121</v>
      </c>
      <c r="B62">
        <v>32</v>
      </c>
      <c r="C62">
        <v>5</v>
      </c>
      <c r="D62">
        <v>8</v>
      </c>
      <c r="E62">
        <v>0</v>
      </c>
      <c r="F62">
        <v>6.4672976033762097</v>
      </c>
      <c r="G62">
        <v>9853</v>
      </c>
      <c r="H62">
        <v>10000</v>
      </c>
      <c r="I62" t="s">
        <v>169</v>
      </c>
    </row>
    <row r="63" spans="1:9" x14ac:dyDescent="0.2">
      <c r="A63" t="s">
        <v>122</v>
      </c>
      <c r="B63">
        <v>33</v>
      </c>
      <c r="C63">
        <v>7</v>
      </c>
      <c r="D63">
        <v>8</v>
      </c>
      <c r="E63">
        <v>0</v>
      </c>
      <c r="F63">
        <v>7.8650288442149696</v>
      </c>
      <c r="G63">
        <v>7628</v>
      </c>
      <c r="H63">
        <v>10000</v>
      </c>
      <c r="I63" t="s">
        <v>170</v>
      </c>
    </row>
    <row r="64" spans="1:9" x14ac:dyDescent="0.2">
      <c r="A64" t="s">
        <v>123</v>
      </c>
      <c r="B64">
        <v>34</v>
      </c>
      <c r="C64">
        <v>17</v>
      </c>
      <c r="D64">
        <v>5</v>
      </c>
      <c r="E64">
        <v>0</v>
      </c>
      <c r="F64">
        <v>11.0120093636214</v>
      </c>
      <c r="G64">
        <v>9528</v>
      </c>
      <c r="H64">
        <v>10000</v>
      </c>
      <c r="I64" t="s">
        <v>171</v>
      </c>
    </row>
    <row r="65" spans="1:9" x14ac:dyDescent="0.2">
      <c r="A65" t="s">
        <v>124</v>
      </c>
      <c r="B65">
        <v>35</v>
      </c>
      <c r="C65">
        <v>4</v>
      </c>
      <c r="D65">
        <v>9</v>
      </c>
      <c r="E65">
        <v>0</v>
      </c>
      <c r="F65">
        <v>6.86747264955192</v>
      </c>
      <c r="G65">
        <v>7915</v>
      </c>
      <c r="H65">
        <v>10000</v>
      </c>
      <c r="I65" t="s">
        <v>172</v>
      </c>
    </row>
    <row r="66" spans="1:9" x14ac:dyDescent="0.2">
      <c r="A66" t="s">
        <v>125</v>
      </c>
      <c r="B66">
        <v>36</v>
      </c>
      <c r="C66">
        <v>4</v>
      </c>
      <c r="D66">
        <v>9</v>
      </c>
      <c r="E66">
        <v>0</v>
      </c>
      <c r="F66">
        <v>7.0070951133966402</v>
      </c>
      <c r="G66">
        <v>8203</v>
      </c>
      <c r="H66">
        <v>10000</v>
      </c>
      <c r="I66" t="s">
        <v>173</v>
      </c>
    </row>
    <row r="67" spans="1:9" x14ac:dyDescent="0.2">
      <c r="A67" t="s">
        <v>126</v>
      </c>
      <c r="B67">
        <v>37</v>
      </c>
      <c r="C67">
        <v>4</v>
      </c>
      <c r="D67">
        <v>9</v>
      </c>
      <c r="E67">
        <v>0</v>
      </c>
      <c r="F67">
        <v>7.2183020729571501</v>
      </c>
      <c r="G67">
        <v>8234</v>
      </c>
      <c r="H67">
        <v>10000</v>
      </c>
      <c r="I67" t="s">
        <v>174</v>
      </c>
    </row>
    <row r="68" spans="1:9" x14ac:dyDescent="0.2">
      <c r="A68" t="s">
        <v>127</v>
      </c>
      <c r="B68">
        <v>38</v>
      </c>
      <c r="C68">
        <v>4</v>
      </c>
      <c r="D68">
        <v>9</v>
      </c>
      <c r="E68">
        <v>0</v>
      </c>
      <c r="F68">
        <v>7.4537208024412296</v>
      </c>
      <c r="G68">
        <v>8241</v>
      </c>
      <c r="H68">
        <v>10000</v>
      </c>
      <c r="I68" t="s">
        <v>175</v>
      </c>
    </row>
    <row r="69" spans="1:9" x14ac:dyDescent="0.2">
      <c r="A69" t="s">
        <v>128</v>
      </c>
      <c r="B69">
        <v>39</v>
      </c>
      <c r="C69">
        <v>4</v>
      </c>
      <c r="D69">
        <v>9</v>
      </c>
      <c r="E69">
        <v>0</v>
      </c>
      <c r="F69">
        <v>7.8287252029404</v>
      </c>
      <c r="G69">
        <v>5478</v>
      </c>
      <c r="H69">
        <v>10000</v>
      </c>
      <c r="I69" t="s">
        <v>176</v>
      </c>
    </row>
    <row r="70" spans="1:9" x14ac:dyDescent="0.2">
      <c r="A70" t="s">
        <v>129</v>
      </c>
      <c r="B70">
        <v>40</v>
      </c>
      <c r="C70">
        <v>5</v>
      </c>
      <c r="D70">
        <v>9</v>
      </c>
      <c r="E70">
        <v>0</v>
      </c>
      <c r="F70">
        <v>8.3117103828117198</v>
      </c>
      <c r="G70">
        <v>7687</v>
      </c>
      <c r="H70">
        <v>10000</v>
      </c>
      <c r="I70" t="s">
        <v>177</v>
      </c>
    </row>
    <row r="71" spans="1:9" x14ac:dyDescent="0.2">
      <c r="A71" t="s">
        <v>130</v>
      </c>
      <c r="B71">
        <v>41</v>
      </c>
      <c r="C71">
        <v>2</v>
      </c>
      <c r="D71">
        <v>11</v>
      </c>
      <c r="E71">
        <v>0</v>
      </c>
      <c r="F71">
        <v>7.6261414354666996</v>
      </c>
      <c r="G71">
        <v>7553</v>
      </c>
      <c r="H71">
        <v>10000</v>
      </c>
      <c r="I71" t="s">
        <v>178</v>
      </c>
    </row>
    <row r="72" spans="1:9" x14ac:dyDescent="0.2">
      <c r="A72" t="s">
        <v>131</v>
      </c>
      <c r="B72">
        <v>42</v>
      </c>
      <c r="C72">
        <v>5</v>
      </c>
      <c r="D72">
        <v>9</v>
      </c>
      <c r="E72">
        <v>0</v>
      </c>
      <c r="F72">
        <v>9.2527695046737701</v>
      </c>
      <c r="G72">
        <v>3440</v>
      </c>
      <c r="H72">
        <v>10000</v>
      </c>
      <c r="I72" t="s">
        <v>179</v>
      </c>
    </row>
    <row r="73" spans="1:9" x14ac:dyDescent="0.2">
      <c r="A73" t="s">
        <v>132</v>
      </c>
      <c r="B73">
        <v>43</v>
      </c>
      <c r="C73">
        <v>6</v>
      </c>
      <c r="D73">
        <v>9</v>
      </c>
      <c r="E73">
        <v>0</v>
      </c>
      <c r="F73">
        <v>10.4810595558956</v>
      </c>
      <c r="G73">
        <v>3004</v>
      </c>
      <c r="H73">
        <v>10000</v>
      </c>
      <c r="I73" t="s">
        <v>180</v>
      </c>
    </row>
    <row r="74" spans="1:9" x14ac:dyDescent="0.2">
      <c r="A74" t="s">
        <v>133</v>
      </c>
      <c r="B74">
        <v>44</v>
      </c>
      <c r="C74">
        <v>6</v>
      </c>
      <c r="D74">
        <v>9</v>
      </c>
      <c r="E74">
        <v>0</v>
      </c>
      <c r="F74">
        <v>10.1362989265471</v>
      </c>
      <c r="G74">
        <v>3197</v>
      </c>
      <c r="H74">
        <v>10000</v>
      </c>
      <c r="I74" t="s">
        <v>181</v>
      </c>
    </row>
    <row r="75" spans="1:9" x14ac:dyDescent="0.2">
      <c r="A75" t="s">
        <v>134</v>
      </c>
      <c r="B75">
        <v>45</v>
      </c>
      <c r="C75">
        <v>6</v>
      </c>
      <c r="D75">
        <v>9</v>
      </c>
      <c r="E75">
        <v>0</v>
      </c>
      <c r="F75">
        <v>10.5134219964966</v>
      </c>
      <c r="G75">
        <v>3343</v>
      </c>
      <c r="H75">
        <v>10000</v>
      </c>
      <c r="I75" t="s">
        <v>182</v>
      </c>
    </row>
    <row r="76" spans="1:9" x14ac:dyDescent="0.2">
      <c r="A76" t="s">
        <v>135</v>
      </c>
      <c r="B76">
        <v>46</v>
      </c>
      <c r="C76">
        <v>7</v>
      </c>
      <c r="D76">
        <v>9</v>
      </c>
      <c r="E76">
        <v>0</v>
      </c>
      <c r="F76">
        <v>11.6612660214304</v>
      </c>
      <c r="G76">
        <v>3393</v>
      </c>
      <c r="H76">
        <v>10000</v>
      </c>
      <c r="I76" t="s">
        <v>183</v>
      </c>
    </row>
    <row r="77" spans="1:9" x14ac:dyDescent="0.2">
      <c r="A77" t="s">
        <v>136</v>
      </c>
      <c r="B77">
        <v>47</v>
      </c>
      <c r="C77">
        <v>8</v>
      </c>
      <c r="D77">
        <v>9</v>
      </c>
      <c r="E77">
        <v>0</v>
      </c>
      <c r="F77">
        <v>13.0051707820966</v>
      </c>
      <c r="G77">
        <v>2815</v>
      </c>
      <c r="H77">
        <v>10000</v>
      </c>
      <c r="I77" t="s">
        <v>184</v>
      </c>
    </row>
    <row r="78" spans="1:9" x14ac:dyDescent="0.2">
      <c r="A78" t="s">
        <v>137</v>
      </c>
      <c r="B78">
        <v>48</v>
      </c>
      <c r="C78">
        <v>5</v>
      </c>
      <c r="D78">
        <v>10</v>
      </c>
      <c r="E78">
        <v>0</v>
      </c>
      <c r="F78">
        <v>11.2781906090676</v>
      </c>
      <c r="G78">
        <v>2863</v>
      </c>
      <c r="H78">
        <v>10000</v>
      </c>
      <c r="I78" t="s">
        <v>185</v>
      </c>
    </row>
    <row r="79" spans="1:9" x14ac:dyDescent="0.2">
      <c r="A79" t="s">
        <v>138</v>
      </c>
      <c r="B79">
        <v>49</v>
      </c>
      <c r="C79">
        <v>17</v>
      </c>
      <c r="D79">
        <v>7</v>
      </c>
      <c r="E79">
        <v>0</v>
      </c>
      <c r="F79">
        <v>19.433749852702</v>
      </c>
      <c r="G79">
        <v>1589</v>
      </c>
      <c r="H79">
        <v>10000</v>
      </c>
      <c r="I79" t="s">
        <v>186</v>
      </c>
    </row>
    <row r="80" spans="1:9" x14ac:dyDescent="0.2">
      <c r="A80" t="s">
        <v>139</v>
      </c>
      <c r="B80">
        <v>50</v>
      </c>
      <c r="C80">
        <v>13</v>
      </c>
      <c r="D80">
        <v>8</v>
      </c>
      <c r="E80">
        <v>0</v>
      </c>
      <c r="F80">
        <v>17.357147828675799</v>
      </c>
      <c r="G80">
        <v>1760</v>
      </c>
      <c r="H80">
        <v>10000</v>
      </c>
      <c r="I80" t="s">
        <v>187</v>
      </c>
    </row>
    <row r="81" spans="1:9" x14ac:dyDescent="0.2">
      <c r="A81" t="s">
        <v>188</v>
      </c>
      <c r="B81">
        <v>51</v>
      </c>
      <c r="C81">
        <v>12</v>
      </c>
      <c r="D81">
        <v>9</v>
      </c>
      <c r="E81">
        <v>0</v>
      </c>
      <c r="F81">
        <v>17.282390513457301</v>
      </c>
      <c r="G81">
        <v>2324</v>
      </c>
      <c r="H81">
        <v>10000</v>
      </c>
      <c r="I81" t="s">
        <v>189</v>
      </c>
    </row>
    <row r="82" spans="1:9" x14ac:dyDescent="0.2">
      <c r="A82" t="s">
        <v>190</v>
      </c>
      <c r="B82">
        <v>52</v>
      </c>
      <c r="C82">
        <v>10</v>
      </c>
      <c r="D82">
        <v>11</v>
      </c>
      <c r="E82">
        <v>1</v>
      </c>
      <c r="F82">
        <v>17.319223970174701</v>
      </c>
      <c r="G82">
        <v>4049</v>
      </c>
      <c r="H82">
        <v>10000</v>
      </c>
      <c r="I82" t="s">
        <v>191</v>
      </c>
    </row>
    <row r="83" spans="1:9" x14ac:dyDescent="0.2">
      <c r="A83" t="s">
        <v>192</v>
      </c>
      <c r="B83">
        <v>53</v>
      </c>
      <c r="C83">
        <v>6</v>
      </c>
      <c r="D83">
        <v>11</v>
      </c>
      <c r="E83">
        <v>0</v>
      </c>
      <c r="F83">
        <v>14.600183941423801</v>
      </c>
      <c r="G83">
        <v>3083</v>
      </c>
      <c r="H83">
        <v>10000</v>
      </c>
      <c r="I83" t="s">
        <v>193</v>
      </c>
    </row>
    <row r="84" spans="1:9" x14ac:dyDescent="0.2">
      <c r="A84" t="s">
        <v>194</v>
      </c>
      <c r="B84">
        <v>54</v>
      </c>
      <c r="C84">
        <v>12</v>
      </c>
      <c r="D84">
        <v>10</v>
      </c>
      <c r="E84">
        <v>0</v>
      </c>
      <c r="F84">
        <v>19.780166652053499</v>
      </c>
      <c r="G84">
        <v>1898</v>
      </c>
      <c r="H84">
        <v>10000</v>
      </c>
      <c r="I84" t="s">
        <v>195</v>
      </c>
    </row>
    <row r="85" spans="1:9" x14ac:dyDescent="0.2">
      <c r="A85" t="s">
        <v>196</v>
      </c>
      <c r="B85">
        <v>55</v>
      </c>
      <c r="C85">
        <v>5</v>
      </c>
      <c r="D85">
        <v>12</v>
      </c>
      <c r="E85">
        <v>0</v>
      </c>
      <c r="F85">
        <v>14.941614666953599</v>
      </c>
      <c r="G85">
        <v>2388</v>
      </c>
      <c r="H85">
        <v>10000</v>
      </c>
      <c r="I85" t="s">
        <v>197</v>
      </c>
    </row>
    <row r="86" spans="1:9" x14ac:dyDescent="0.2">
      <c r="A86" t="s">
        <v>198</v>
      </c>
      <c r="B86">
        <v>56</v>
      </c>
      <c r="C86">
        <v>5</v>
      </c>
      <c r="D86">
        <v>12</v>
      </c>
      <c r="E86">
        <v>0</v>
      </c>
      <c r="F86">
        <v>14.7015788061544</v>
      </c>
      <c r="G86">
        <v>2941</v>
      </c>
      <c r="H86">
        <v>10000</v>
      </c>
      <c r="I86" t="s">
        <v>199</v>
      </c>
    </row>
    <row r="87" spans="1:9" x14ac:dyDescent="0.2">
      <c r="A87" t="s">
        <v>200</v>
      </c>
      <c r="B87">
        <v>57</v>
      </c>
      <c r="C87">
        <v>4</v>
      </c>
      <c r="D87">
        <v>13</v>
      </c>
      <c r="E87">
        <v>0</v>
      </c>
      <c r="F87">
        <v>14.4018216943368</v>
      </c>
      <c r="G87">
        <v>3023</v>
      </c>
      <c r="H87">
        <v>10000</v>
      </c>
      <c r="I87" t="s">
        <v>201</v>
      </c>
    </row>
    <row r="88" spans="1:9" x14ac:dyDescent="0.2">
      <c r="A88" t="s">
        <v>202</v>
      </c>
      <c r="B88">
        <v>58</v>
      </c>
      <c r="C88">
        <v>12</v>
      </c>
      <c r="D88">
        <v>10</v>
      </c>
      <c r="E88">
        <v>0</v>
      </c>
      <c r="F88">
        <v>21.468696843832699</v>
      </c>
      <c r="G88">
        <v>2066</v>
      </c>
      <c r="H88">
        <v>10000</v>
      </c>
      <c r="I88" t="s">
        <v>203</v>
      </c>
    </row>
    <row r="89" spans="1:9" x14ac:dyDescent="0.2">
      <c r="A89" t="s">
        <v>204</v>
      </c>
      <c r="B89">
        <v>59</v>
      </c>
      <c r="C89">
        <v>12</v>
      </c>
      <c r="D89">
        <v>10</v>
      </c>
      <c r="E89">
        <v>0</v>
      </c>
      <c r="F89">
        <v>22.429125016555101</v>
      </c>
      <c r="G89">
        <v>2022</v>
      </c>
      <c r="H89">
        <v>10000</v>
      </c>
      <c r="I89" t="s">
        <v>205</v>
      </c>
    </row>
    <row r="90" spans="1:9" x14ac:dyDescent="0.2">
      <c r="A90" t="s">
        <v>206</v>
      </c>
      <c r="B90">
        <v>60</v>
      </c>
      <c r="C90">
        <v>10</v>
      </c>
      <c r="D90">
        <v>11</v>
      </c>
      <c r="E90">
        <v>0</v>
      </c>
      <c r="F90">
        <v>21.885557253845001</v>
      </c>
      <c r="G90">
        <v>2280</v>
      </c>
      <c r="H90">
        <v>10000</v>
      </c>
      <c r="I90" t="s">
        <v>207</v>
      </c>
    </row>
    <row r="91" spans="1:9" x14ac:dyDescent="0.2">
      <c r="A91" t="s">
        <v>208</v>
      </c>
      <c r="B91">
        <v>61</v>
      </c>
      <c r="C91">
        <v>10</v>
      </c>
      <c r="D91">
        <v>11</v>
      </c>
      <c r="E91">
        <v>0</v>
      </c>
      <c r="F91">
        <v>22.4505859054625</v>
      </c>
      <c r="G91">
        <v>2188</v>
      </c>
      <c r="H91">
        <v>10000</v>
      </c>
      <c r="I91" t="s">
        <v>209</v>
      </c>
    </row>
    <row r="92" spans="1:9" x14ac:dyDescent="0.2">
      <c r="A92" t="s">
        <v>210</v>
      </c>
      <c r="B92">
        <v>62</v>
      </c>
      <c r="C92">
        <v>16</v>
      </c>
      <c r="D92">
        <v>10</v>
      </c>
      <c r="E92">
        <v>0</v>
      </c>
      <c r="F92">
        <v>29.508421784266801</v>
      </c>
      <c r="G92">
        <v>1516</v>
      </c>
      <c r="H92">
        <v>10000</v>
      </c>
      <c r="I92" t="s">
        <v>211</v>
      </c>
    </row>
    <row r="93" spans="1:9" x14ac:dyDescent="0.2">
      <c r="A93" t="s">
        <v>212</v>
      </c>
      <c r="B93">
        <v>63</v>
      </c>
      <c r="C93">
        <v>8</v>
      </c>
      <c r="D93">
        <v>13</v>
      </c>
      <c r="E93">
        <v>0</v>
      </c>
      <c r="F93">
        <v>20.9245258122682</v>
      </c>
      <c r="G93">
        <v>1902</v>
      </c>
      <c r="H93">
        <v>10000</v>
      </c>
      <c r="I93" t="s">
        <v>213</v>
      </c>
    </row>
    <row r="94" spans="1:9" x14ac:dyDescent="0.2">
      <c r="A94" t="s">
        <v>214</v>
      </c>
      <c r="B94">
        <v>64</v>
      </c>
      <c r="C94">
        <v>13</v>
      </c>
      <c r="D94">
        <v>12</v>
      </c>
      <c r="E94">
        <v>0</v>
      </c>
      <c r="F94">
        <v>26.661164000630301</v>
      </c>
      <c r="G94">
        <v>1912</v>
      </c>
      <c r="H94">
        <v>10000</v>
      </c>
      <c r="I94" t="s">
        <v>215</v>
      </c>
    </row>
    <row r="95" spans="1:9" x14ac:dyDescent="0.2">
      <c r="A95" t="s">
        <v>216</v>
      </c>
      <c r="B95">
        <v>65</v>
      </c>
      <c r="C95">
        <v>5</v>
      </c>
      <c r="D95">
        <v>14</v>
      </c>
      <c r="E95">
        <v>0</v>
      </c>
      <c r="F95">
        <v>19.4781447155401</v>
      </c>
      <c r="G95">
        <v>2401</v>
      </c>
      <c r="H95">
        <v>10000</v>
      </c>
      <c r="I95" t="s">
        <v>217</v>
      </c>
    </row>
    <row r="96" spans="1:9" x14ac:dyDescent="0.2">
      <c r="A96" t="s">
        <v>218</v>
      </c>
      <c r="B96">
        <v>66</v>
      </c>
      <c r="C96">
        <v>5</v>
      </c>
      <c r="D96">
        <v>14</v>
      </c>
      <c r="E96">
        <v>0</v>
      </c>
      <c r="F96">
        <v>19.7783579370006</v>
      </c>
      <c r="G96">
        <v>2278</v>
      </c>
      <c r="H96">
        <v>10000</v>
      </c>
      <c r="I96" t="s">
        <v>219</v>
      </c>
    </row>
    <row r="97" spans="1:9" x14ac:dyDescent="0.2">
      <c r="A97" t="s">
        <v>220</v>
      </c>
      <c r="B97">
        <v>67</v>
      </c>
      <c r="C97">
        <v>5</v>
      </c>
      <c r="D97">
        <v>14</v>
      </c>
      <c r="E97">
        <v>0</v>
      </c>
      <c r="F97">
        <v>20.3041388597339</v>
      </c>
      <c r="G97">
        <v>2286</v>
      </c>
      <c r="H97">
        <v>10000</v>
      </c>
      <c r="I97" t="s">
        <v>221</v>
      </c>
    </row>
    <row r="98" spans="1:9" x14ac:dyDescent="0.2">
      <c r="A98" t="s">
        <v>222</v>
      </c>
      <c r="B98">
        <v>68</v>
      </c>
      <c r="C98">
        <v>5</v>
      </c>
      <c r="D98">
        <v>14</v>
      </c>
      <c r="E98">
        <v>0</v>
      </c>
      <c r="F98">
        <v>20.8274318519979</v>
      </c>
      <c r="G98">
        <v>2548</v>
      </c>
      <c r="H98">
        <v>10000</v>
      </c>
      <c r="I98" t="s">
        <v>223</v>
      </c>
    </row>
    <row r="99" spans="1:9" x14ac:dyDescent="0.2">
      <c r="A99" t="s">
        <v>224</v>
      </c>
      <c r="B99">
        <v>69</v>
      </c>
      <c r="C99">
        <v>5</v>
      </c>
      <c r="D99">
        <v>14</v>
      </c>
      <c r="E99">
        <v>0</v>
      </c>
      <c r="F99">
        <v>21.255308899097098</v>
      </c>
      <c r="G99">
        <v>2612</v>
      </c>
      <c r="H99">
        <v>10000</v>
      </c>
      <c r="I99" t="s">
        <v>225</v>
      </c>
    </row>
    <row r="100" spans="1:9" x14ac:dyDescent="0.2">
      <c r="A100" t="s">
        <v>226</v>
      </c>
      <c r="B100">
        <v>70</v>
      </c>
      <c r="C100">
        <v>5</v>
      </c>
      <c r="D100">
        <v>14</v>
      </c>
      <c r="E100">
        <v>0</v>
      </c>
      <c r="F100">
        <v>21.923311394639299</v>
      </c>
      <c r="G100">
        <v>2547</v>
      </c>
      <c r="H100">
        <v>10000</v>
      </c>
      <c r="I100" t="s">
        <v>227</v>
      </c>
    </row>
    <row r="101" spans="1:9" x14ac:dyDescent="0.2">
      <c r="A101" t="s">
        <v>228</v>
      </c>
      <c r="B101">
        <v>71</v>
      </c>
      <c r="C101">
        <v>5</v>
      </c>
      <c r="D101">
        <v>15</v>
      </c>
      <c r="E101">
        <v>0</v>
      </c>
      <c r="F101">
        <v>22.752698007970999</v>
      </c>
      <c r="G101">
        <v>2246</v>
      </c>
      <c r="H101">
        <v>10000</v>
      </c>
      <c r="I101" t="s">
        <v>229</v>
      </c>
    </row>
    <row r="102" spans="1:9" x14ac:dyDescent="0.2">
      <c r="A102" t="s">
        <v>230</v>
      </c>
      <c r="B102">
        <v>72</v>
      </c>
      <c r="C102">
        <v>5</v>
      </c>
      <c r="D102">
        <v>15</v>
      </c>
      <c r="E102">
        <v>0</v>
      </c>
      <c r="F102">
        <v>22.845021741464699</v>
      </c>
      <c r="G102">
        <v>2303</v>
      </c>
      <c r="H102">
        <v>10000</v>
      </c>
      <c r="I102" t="s">
        <v>231</v>
      </c>
    </row>
    <row r="103" spans="1:9" x14ac:dyDescent="0.2">
      <c r="A103" t="s">
        <v>232</v>
      </c>
      <c r="B103">
        <v>73</v>
      </c>
      <c r="C103">
        <v>5</v>
      </c>
      <c r="D103">
        <v>15</v>
      </c>
      <c r="E103">
        <v>0</v>
      </c>
      <c r="F103">
        <v>23.7722502397373</v>
      </c>
      <c r="G103">
        <v>1963</v>
      </c>
      <c r="H103">
        <v>10000</v>
      </c>
      <c r="I103" t="s">
        <v>233</v>
      </c>
    </row>
    <row r="104" spans="1:9" x14ac:dyDescent="0.2">
      <c r="A104" t="s">
        <v>234</v>
      </c>
      <c r="B104">
        <v>74</v>
      </c>
      <c r="C104">
        <v>5</v>
      </c>
      <c r="D104">
        <v>15</v>
      </c>
      <c r="E104">
        <v>0</v>
      </c>
      <c r="F104">
        <v>24.201507396996</v>
      </c>
      <c r="G104">
        <v>1837</v>
      </c>
      <c r="H104">
        <v>10000</v>
      </c>
      <c r="I104" t="s">
        <v>235</v>
      </c>
    </row>
    <row r="105" spans="1:9" x14ac:dyDescent="0.2">
      <c r="A105" t="s">
        <v>236</v>
      </c>
      <c r="B105">
        <v>75</v>
      </c>
      <c r="C105">
        <v>5</v>
      </c>
      <c r="D105">
        <v>15</v>
      </c>
      <c r="E105">
        <v>0</v>
      </c>
      <c r="F105">
        <v>25.118577119894301</v>
      </c>
      <c r="G105">
        <v>1777</v>
      </c>
      <c r="H105">
        <v>10000</v>
      </c>
      <c r="I105" t="s">
        <v>237</v>
      </c>
    </row>
    <row r="106" spans="1:9" x14ac:dyDescent="0.2">
      <c r="A106" t="s">
        <v>238</v>
      </c>
      <c r="B106">
        <v>76</v>
      </c>
      <c r="C106">
        <v>5</v>
      </c>
      <c r="D106">
        <v>15</v>
      </c>
      <c r="E106">
        <v>0</v>
      </c>
      <c r="F106">
        <v>24.7152986954897</v>
      </c>
      <c r="G106">
        <v>2101</v>
      </c>
      <c r="H106">
        <v>10000</v>
      </c>
      <c r="I106" t="s">
        <v>239</v>
      </c>
    </row>
    <row r="107" spans="1:9" x14ac:dyDescent="0.2">
      <c r="A107" t="s">
        <v>240</v>
      </c>
      <c r="B107">
        <v>77</v>
      </c>
      <c r="C107">
        <v>5</v>
      </c>
      <c r="D107">
        <v>16</v>
      </c>
      <c r="E107">
        <v>1</v>
      </c>
      <c r="F107">
        <v>26.596491491422</v>
      </c>
      <c r="G107">
        <v>1808</v>
      </c>
      <c r="H107">
        <v>10000</v>
      </c>
      <c r="I107" t="s">
        <v>241</v>
      </c>
    </row>
    <row r="108" spans="1:9" x14ac:dyDescent="0.2">
      <c r="A108" t="s">
        <v>36</v>
      </c>
      <c r="B108">
        <v>78</v>
      </c>
      <c r="C108">
        <v>15</v>
      </c>
      <c r="D108">
        <v>13</v>
      </c>
      <c r="E108">
        <v>1</v>
      </c>
      <c r="F108">
        <v>42.857684666290801</v>
      </c>
      <c r="G108">
        <v>1799</v>
      </c>
      <c r="H108">
        <v>10000</v>
      </c>
      <c r="I108" t="s">
        <v>242</v>
      </c>
    </row>
    <row r="109" spans="1:9" x14ac:dyDescent="0.2">
      <c r="A109" t="s">
        <v>37</v>
      </c>
      <c r="B109">
        <v>79</v>
      </c>
      <c r="C109">
        <v>14</v>
      </c>
      <c r="D109">
        <v>14</v>
      </c>
      <c r="E109">
        <v>1</v>
      </c>
      <c r="F109">
        <v>42.108270839787998</v>
      </c>
      <c r="G109">
        <v>1454</v>
      </c>
      <c r="H109">
        <v>10000</v>
      </c>
      <c r="I109" t="s">
        <v>243</v>
      </c>
    </row>
    <row r="110" spans="1:9" x14ac:dyDescent="0.2">
      <c r="A110" t="s">
        <v>38</v>
      </c>
      <c r="B110">
        <v>80</v>
      </c>
      <c r="C110">
        <v>7</v>
      </c>
      <c r="D110">
        <v>16</v>
      </c>
      <c r="E110">
        <v>1</v>
      </c>
      <c r="F110">
        <v>31.806758120655999</v>
      </c>
      <c r="G110">
        <v>2408</v>
      </c>
      <c r="H110">
        <v>10000</v>
      </c>
      <c r="I110" t="s">
        <v>244</v>
      </c>
    </row>
    <row r="111" spans="1:9" x14ac:dyDescent="0.2">
      <c r="A111" t="s">
        <v>39</v>
      </c>
      <c r="B111">
        <v>81</v>
      </c>
      <c r="C111">
        <v>11</v>
      </c>
      <c r="D111">
        <v>15</v>
      </c>
      <c r="E111">
        <v>0</v>
      </c>
      <c r="F111">
        <v>37.850591651163903</v>
      </c>
      <c r="G111">
        <v>991</v>
      </c>
      <c r="H111">
        <v>10000</v>
      </c>
      <c r="I111" t="s">
        <v>245</v>
      </c>
    </row>
    <row r="112" spans="1:9" x14ac:dyDescent="0.2">
      <c r="A112" t="s">
        <v>40</v>
      </c>
      <c r="B112">
        <v>82</v>
      </c>
      <c r="C112">
        <v>7</v>
      </c>
      <c r="D112">
        <v>16</v>
      </c>
      <c r="E112">
        <v>0</v>
      </c>
      <c r="F112">
        <v>32.141234136186497</v>
      </c>
      <c r="G112">
        <v>1534</v>
      </c>
      <c r="H112">
        <v>10000</v>
      </c>
      <c r="I112" t="s">
        <v>246</v>
      </c>
    </row>
    <row r="113" spans="1:9" x14ac:dyDescent="0.2">
      <c r="A113" t="s">
        <v>41</v>
      </c>
      <c r="B113">
        <v>83</v>
      </c>
      <c r="C113">
        <v>13</v>
      </c>
      <c r="D113">
        <v>15</v>
      </c>
      <c r="E113">
        <v>0</v>
      </c>
      <c r="F113">
        <v>44.5126857403665</v>
      </c>
      <c r="G113">
        <v>1675</v>
      </c>
      <c r="H113">
        <v>10000</v>
      </c>
      <c r="I113" t="s">
        <v>247</v>
      </c>
    </row>
    <row r="114" spans="1:9" x14ac:dyDescent="0.2">
      <c r="A114" t="s">
        <v>42</v>
      </c>
      <c r="B114">
        <v>84</v>
      </c>
      <c r="C114">
        <v>4</v>
      </c>
      <c r="D114">
        <v>18</v>
      </c>
      <c r="E114">
        <v>0</v>
      </c>
      <c r="F114">
        <v>30.146269589662499</v>
      </c>
      <c r="G114">
        <v>997</v>
      </c>
      <c r="H114">
        <v>10000</v>
      </c>
      <c r="I114" t="s">
        <v>248</v>
      </c>
    </row>
    <row r="115" spans="1:9" x14ac:dyDescent="0.2">
      <c r="A115" t="s">
        <v>43</v>
      </c>
      <c r="B115">
        <v>85</v>
      </c>
      <c r="C115">
        <v>11</v>
      </c>
      <c r="D115">
        <v>17</v>
      </c>
      <c r="E115">
        <v>0</v>
      </c>
      <c r="F115">
        <v>42.537031131796503</v>
      </c>
      <c r="G115">
        <v>1873</v>
      </c>
      <c r="H115">
        <v>10000</v>
      </c>
      <c r="I115" t="s">
        <v>249</v>
      </c>
    </row>
    <row r="116" spans="1:9" x14ac:dyDescent="0.2">
      <c r="A116" t="s">
        <v>44</v>
      </c>
      <c r="B116">
        <v>86</v>
      </c>
      <c r="C116">
        <v>4</v>
      </c>
      <c r="D116">
        <v>19</v>
      </c>
      <c r="E116">
        <v>0</v>
      </c>
      <c r="F116">
        <v>31.027923965826599</v>
      </c>
      <c r="G116">
        <v>2686</v>
      </c>
      <c r="H116">
        <v>10000</v>
      </c>
      <c r="I116" t="s">
        <v>250</v>
      </c>
    </row>
    <row r="117" spans="1:9" x14ac:dyDescent="0.2">
      <c r="A117" t="s">
        <v>45</v>
      </c>
      <c r="B117">
        <v>87</v>
      </c>
      <c r="C117">
        <v>5</v>
      </c>
      <c r="D117">
        <v>19</v>
      </c>
      <c r="E117">
        <v>0</v>
      </c>
      <c r="F117">
        <v>33.4682702105492</v>
      </c>
      <c r="G117">
        <v>2103</v>
      </c>
      <c r="H117">
        <v>10000</v>
      </c>
      <c r="I117" t="s">
        <v>251</v>
      </c>
    </row>
    <row r="118" spans="1:9" x14ac:dyDescent="0.2">
      <c r="A118" t="s">
        <v>46</v>
      </c>
      <c r="B118">
        <v>88</v>
      </c>
      <c r="C118">
        <v>5</v>
      </c>
      <c r="D118">
        <v>19</v>
      </c>
      <c r="E118">
        <v>0</v>
      </c>
      <c r="F118">
        <v>33.414863633923197</v>
      </c>
      <c r="G118">
        <v>2426</v>
      </c>
      <c r="H118">
        <v>10000</v>
      </c>
      <c r="I118" t="s">
        <v>252</v>
      </c>
    </row>
    <row r="119" spans="1:9" x14ac:dyDescent="0.2">
      <c r="A119" t="s">
        <v>47</v>
      </c>
      <c r="B119">
        <v>89</v>
      </c>
      <c r="C119">
        <v>3</v>
      </c>
      <c r="D119">
        <v>19</v>
      </c>
      <c r="E119">
        <v>0</v>
      </c>
      <c r="F119">
        <v>32.636014419607797</v>
      </c>
      <c r="G119">
        <v>2355</v>
      </c>
      <c r="H119">
        <v>10000</v>
      </c>
      <c r="I119" t="s">
        <v>253</v>
      </c>
    </row>
    <row r="120" spans="1:9" x14ac:dyDescent="0.2">
      <c r="A120" t="s">
        <v>48</v>
      </c>
      <c r="B120">
        <v>90</v>
      </c>
      <c r="C120">
        <v>3</v>
      </c>
      <c r="D120">
        <v>20</v>
      </c>
      <c r="E120">
        <v>1</v>
      </c>
      <c r="F120">
        <v>32.789726042188697</v>
      </c>
      <c r="G120">
        <v>2263</v>
      </c>
      <c r="H120">
        <v>10000</v>
      </c>
      <c r="I120" t="s">
        <v>254</v>
      </c>
    </row>
    <row r="121" spans="1:9" x14ac:dyDescent="0.2">
      <c r="A121" t="s">
        <v>49</v>
      </c>
      <c r="B121">
        <v>91</v>
      </c>
      <c r="C121">
        <v>4</v>
      </c>
      <c r="D121">
        <v>19</v>
      </c>
      <c r="E121">
        <v>0</v>
      </c>
      <c r="F121">
        <v>33.200708406045997</v>
      </c>
      <c r="G121">
        <v>2290</v>
      </c>
      <c r="H121">
        <v>10000</v>
      </c>
      <c r="I121" t="s">
        <v>255</v>
      </c>
    </row>
    <row r="122" spans="1:9" x14ac:dyDescent="0.2">
      <c r="A122" t="s">
        <v>50</v>
      </c>
      <c r="B122">
        <v>92</v>
      </c>
      <c r="C122">
        <v>3</v>
      </c>
      <c r="D122">
        <v>20</v>
      </c>
      <c r="E122">
        <v>0</v>
      </c>
      <c r="F122">
        <v>34.430247014388399</v>
      </c>
      <c r="G122">
        <v>2566</v>
      </c>
      <c r="H122">
        <v>10000</v>
      </c>
      <c r="I122" t="s">
        <v>256</v>
      </c>
    </row>
    <row r="123" spans="1:9" x14ac:dyDescent="0.2">
      <c r="A123" t="s">
        <v>51</v>
      </c>
      <c r="B123">
        <v>93</v>
      </c>
      <c r="C123">
        <v>4</v>
      </c>
      <c r="D123">
        <v>20</v>
      </c>
      <c r="E123">
        <v>0</v>
      </c>
      <c r="F123">
        <v>36.685853095725101</v>
      </c>
      <c r="G123">
        <v>1350</v>
      </c>
      <c r="H123">
        <v>10000</v>
      </c>
      <c r="I123" t="s">
        <v>257</v>
      </c>
    </row>
    <row r="124" spans="1:9" x14ac:dyDescent="0.2">
      <c r="A124" t="s">
        <v>52</v>
      </c>
      <c r="B124">
        <v>94</v>
      </c>
      <c r="C124">
        <v>4</v>
      </c>
      <c r="D124">
        <v>20</v>
      </c>
      <c r="E124">
        <v>0</v>
      </c>
      <c r="F124">
        <v>36.052396412007496</v>
      </c>
      <c r="G124">
        <v>1583</v>
      </c>
      <c r="H124">
        <v>10000</v>
      </c>
      <c r="I124" t="s">
        <v>258</v>
      </c>
    </row>
    <row r="125" spans="1:9" x14ac:dyDescent="0.2">
      <c r="A125" t="s">
        <v>53</v>
      </c>
      <c r="B125">
        <v>95</v>
      </c>
      <c r="C125">
        <v>5</v>
      </c>
      <c r="D125">
        <v>19</v>
      </c>
      <c r="E125">
        <v>0</v>
      </c>
      <c r="F125">
        <v>35.894671796821001</v>
      </c>
      <c r="G125">
        <v>2593</v>
      </c>
      <c r="H125">
        <v>10000</v>
      </c>
      <c r="I125" t="s">
        <v>259</v>
      </c>
    </row>
    <row r="126" spans="1:9" x14ac:dyDescent="0.2">
      <c r="A126" t="s">
        <v>54</v>
      </c>
      <c r="B126">
        <v>96</v>
      </c>
      <c r="C126">
        <v>27</v>
      </c>
      <c r="D126">
        <v>14</v>
      </c>
      <c r="E126">
        <v>0</v>
      </c>
      <c r="F126">
        <v>86.655456347390995</v>
      </c>
      <c r="G126">
        <v>797</v>
      </c>
      <c r="H126">
        <v>10000</v>
      </c>
      <c r="I126" t="s">
        <v>260</v>
      </c>
    </row>
    <row r="127" spans="1:9" x14ac:dyDescent="0.2">
      <c r="A127" t="s">
        <v>55</v>
      </c>
      <c r="B127">
        <v>97</v>
      </c>
      <c r="C127">
        <v>5</v>
      </c>
      <c r="D127">
        <v>19</v>
      </c>
      <c r="E127">
        <v>0</v>
      </c>
      <c r="F127">
        <v>36.428022005595203</v>
      </c>
      <c r="G127">
        <v>1510</v>
      </c>
      <c r="H127">
        <v>10000</v>
      </c>
      <c r="I127" t="s">
        <v>261</v>
      </c>
    </row>
    <row r="128" spans="1:9" x14ac:dyDescent="0.2">
      <c r="A128" t="s">
        <v>56</v>
      </c>
      <c r="B128">
        <v>98</v>
      </c>
      <c r="C128">
        <v>2</v>
      </c>
      <c r="D128">
        <v>21</v>
      </c>
      <c r="E128">
        <v>0</v>
      </c>
      <c r="F128">
        <v>32.6713127624243</v>
      </c>
      <c r="G128">
        <v>2827</v>
      </c>
      <c r="H128">
        <v>10000</v>
      </c>
      <c r="I128" t="s">
        <v>262</v>
      </c>
    </row>
    <row r="129" spans="1:9" x14ac:dyDescent="0.2">
      <c r="A129" t="s">
        <v>57</v>
      </c>
      <c r="B129">
        <v>99</v>
      </c>
      <c r="C129">
        <v>3</v>
      </c>
      <c r="D129">
        <v>21</v>
      </c>
      <c r="E129">
        <v>0</v>
      </c>
      <c r="F129">
        <v>35.6756160110235</v>
      </c>
      <c r="G129">
        <v>2543</v>
      </c>
      <c r="H129">
        <v>10000</v>
      </c>
      <c r="I129" t="s">
        <v>263</v>
      </c>
    </row>
    <row r="130" spans="1:9" x14ac:dyDescent="0.2">
      <c r="A130" t="s">
        <v>58</v>
      </c>
      <c r="B130">
        <v>100</v>
      </c>
      <c r="C130">
        <v>4</v>
      </c>
      <c r="D130">
        <v>20</v>
      </c>
      <c r="E130">
        <v>0</v>
      </c>
      <c r="F130">
        <v>37.530755059793499</v>
      </c>
      <c r="G130">
        <v>1799</v>
      </c>
      <c r="H130">
        <v>10000</v>
      </c>
      <c r="I130" t="s">
        <v>264</v>
      </c>
    </row>
    <row r="131" spans="1:9" x14ac:dyDescent="0.2">
      <c r="A131" t="s">
        <v>59</v>
      </c>
      <c r="B131">
        <v>101</v>
      </c>
      <c r="C131">
        <v>4</v>
      </c>
      <c r="D131">
        <v>20</v>
      </c>
      <c r="E131">
        <v>0</v>
      </c>
      <c r="F131">
        <v>39.126212281174901</v>
      </c>
      <c r="G131">
        <v>2531</v>
      </c>
      <c r="H131">
        <v>10000</v>
      </c>
      <c r="I131" t="s">
        <v>265</v>
      </c>
    </row>
    <row r="132" spans="1:9" x14ac:dyDescent="0.2">
      <c r="A132" t="s">
        <v>60</v>
      </c>
      <c r="B132">
        <v>102</v>
      </c>
      <c r="C132">
        <v>17</v>
      </c>
      <c r="D132">
        <v>17</v>
      </c>
      <c r="E132">
        <v>0</v>
      </c>
      <c r="F132">
        <v>71.6887732865288</v>
      </c>
      <c r="G132">
        <v>1070</v>
      </c>
      <c r="H132">
        <v>10000</v>
      </c>
      <c r="I132" t="s">
        <v>266</v>
      </c>
    </row>
    <row r="133" spans="1:9" x14ac:dyDescent="0.2">
      <c r="A133" t="s">
        <v>61</v>
      </c>
      <c r="B133">
        <v>103</v>
      </c>
      <c r="C133">
        <v>18</v>
      </c>
      <c r="D133">
        <v>19</v>
      </c>
      <c r="E133">
        <v>2</v>
      </c>
      <c r="F133">
        <v>76.962120598181997</v>
      </c>
      <c r="G133">
        <v>813</v>
      </c>
      <c r="H133">
        <v>10000</v>
      </c>
      <c r="I133" t="s">
        <v>267</v>
      </c>
    </row>
    <row r="134" spans="1:9" x14ac:dyDescent="0.2">
      <c r="A134" t="s">
        <v>62</v>
      </c>
      <c r="B134">
        <v>104</v>
      </c>
      <c r="C134">
        <v>12</v>
      </c>
      <c r="D134">
        <v>20</v>
      </c>
      <c r="E134">
        <v>1</v>
      </c>
      <c r="F134">
        <v>60.570941569283598</v>
      </c>
      <c r="G134">
        <v>1967</v>
      </c>
      <c r="H134">
        <v>10000</v>
      </c>
      <c r="I134" t="s">
        <v>268</v>
      </c>
    </row>
    <row r="135" spans="1:9" x14ac:dyDescent="0.2">
      <c r="A135" t="s">
        <v>63</v>
      </c>
      <c r="B135">
        <v>105</v>
      </c>
      <c r="C135">
        <v>8</v>
      </c>
      <c r="D135">
        <v>20</v>
      </c>
      <c r="E135">
        <v>0</v>
      </c>
      <c r="F135">
        <v>51.029815927147801</v>
      </c>
      <c r="G135">
        <v>2411</v>
      </c>
      <c r="H135">
        <v>10000</v>
      </c>
      <c r="I135" t="s">
        <v>269</v>
      </c>
    </row>
    <row r="136" spans="1:9" x14ac:dyDescent="0.2">
      <c r="A136" t="s">
        <v>65</v>
      </c>
      <c r="B136">
        <v>106</v>
      </c>
      <c r="C136">
        <v>23</v>
      </c>
      <c r="D136">
        <v>16</v>
      </c>
      <c r="E136">
        <v>0</v>
      </c>
      <c r="F136">
        <v>93.415741575881796</v>
      </c>
      <c r="G136">
        <v>1641</v>
      </c>
      <c r="H136">
        <v>10000</v>
      </c>
      <c r="I136" t="s">
        <v>270</v>
      </c>
    </row>
    <row r="137" spans="1:9" x14ac:dyDescent="0.2">
      <c r="A137" t="s">
        <v>66</v>
      </c>
      <c r="B137">
        <v>107</v>
      </c>
      <c r="C137">
        <v>10</v>
      </c>
      <c r="D137">
        <v>21</v>
      </c>
      <c r="E137">
        <v>1</v>
      </c>
      <c r="F137">
        <v>58.436162611469598</v>
      </c>
      <c r="G137">
        <v>86</v>
      </c>
      <c r="H137">
        <v>10000</v>
      </c>
      <c r="I137" t="s">
        <v>271</v>
      </c>
    </row>
    <row r="138" spans="1:9" x14ac:dyDescent="0.2">
      <c r="A138" t="s">
        <v>67</v>
      </c>
      <c r="B138">
        <v>108</v>
      </c>
      <c r="C138">
        <v>36</v>
      </c>
      <c r="D138">
        <v>15</v>
      </c>
      <c r="E138">
        <v>2</v>
      </c>
      <c r="F138">
        <v>141.01486365590199</v>
      </c>
      <c r="G138">
        <v>16</v>
      </c>
      <c r="H138">
        <v>10000</v>
      </c>
      <c r="I138" t="s">
        <v>272</v>
      </c>
    </row>
    <row r="139" spans="1:9" x14ac:dyDescent="0.2">
      <c r="A139" t="s">
        <v>68</v>
      </c>
      <c r="B139">
        <v>109</v>
      </c>
      <c r="C139">
        <v>31</v>
      </c>
      <c r="D139">
        <v>16</v>
      </c>
      <c r="E139">
        <v>2</v>
      </c>
      <c r="F139">
        <v>124.71654067561001</v>
      </c>
      <c r="G139">
        <v>126</v>
      </c>
      <c r="H139">
        <v>10000</v>
      </c>
      <c r="I139" t="s">
        <v>273</v>
      </c>
    </row>
    <row r="140" spans="1:9" x14ac:dyDescent="0.2">
      <c r="A140" t="s">
        <v>69</v>
      </c>
      <c r="B140">
        <v>110</v>
      </c>
      <c r="C140">
        <v>32</v>
      </c>
      <c r="D140">
        <v>16</v>
      </c>
      <c r="E140">
        <v>2</v>
      </c>
      <c r="F140">
        <v>130.990839093923</v>
      </c>
      <c r="G140">
        <v>32</v>
      </c>
      <c r="H140">
        <v>10000</v>
      </c>
      <c r="I140" t="s">
        <v>274</v>
      </c>
    </row>
    <row r="141" spans="1:9" x14ac:dyDescent="0.2">
      <c r="A141" t="s">
        <v>70</v>
      </c>
      <c r="B141">
        <v>111</v>
      </c>
      <c r="C141">
        <v>33</v>
      </c>
      <c r="D141">
        <v>16</v>
      </c>
      <c r="E141">
        <v>2</v>
      </c>
      <c r="F141">
        <v>135.06023924332101</v>
      </c>
      <c r="G141">
        <v>226</v>
      </c>
      <c r="H141">
        <v>10000</v>
      </c>
      <c r="I141" t="s">
        <v>275</v>
      </c>
    </row>
    <row r="142" spans="1:9" x14ac:dyDescent="0.2">
      <c r="A142" t="s">
        <v>71</v>
      </c>
      <c r="B142">
        <v>112</v>
      </c>
      <c r="C142">
        <v>16</v>
      </c>
      <c r="D142">
        <v>19</v>
      </c>
      <c r="E142">
        <v>0</v>
      </c>
      <c r="F142">
        <v>79.829661770723703</v>
      </c>
      <c r="G142">
        <v>2229</v>
      </c>
      <c r="H142">
        <v>10000</v>
      </c>
      <c r="I142" t="s">
        <v>276</v>
      </c>
    </row>
    <row r="143" spans="1:9" x14ac:dyDescent="0.2">
      <c r="A143" t="s">
        <v>72</v>
      </c>
      <c r="B143">
        <v>113</v>
      </c>
      <c r="C143">
        <v>34</v>
      </c>
      <c r="D143">
        <v>14</v>
      </c>
      <c r="E143">
        <v>0</v>
      </c>
      <c r="F143">
        <v>145.792543642222</v>
      </c>
      <c r="G143">
        <v>2</v>
      </c>
      <c r="H143">
        <v>10000</v>
      </c>
      <c r="I143" t="s">
        <v>277</v>
      </c>
    </row>
    <row r="144" spans="1:9" x14ac:dyDescent="0.2">
      <c r="A144" t="s">
        <v>73</v>
      </c>
      <c r="B144">
        <v>114</v>
      </c>
      <c r="C144">
        <v>36</v>
      </c>
      <c r="D144">
        <v>14</v>
      </c>
      <c r="E144">
        <v>0</v>
      </c>
      <c r="F144">
        <v>155.95417434163301</v>
      </c>
      <c r="G144">
        <v>173</v>
      </c>
      <c r="H144">
        <v>10000</v>
      </c>
      <c r="I144" t="s">
        <v>278</v>
      </c>
    </row>
    <row r="145" spans="1:9" x14ac:dyDescent="0.2">
      <c r="A145" t="s">
        <v>75</v>
      </c>
      <c r="B145">
        <v>115</v>
      </c>
      <c r="C145">
        <v>1</v>
      </c>
      <c r="D145">
        <v>25</v>
      </c>
      <c r="E145">
        <v>0</v>
      </c>
      <c r="F145">
        <v>39.559463645331498</v>
      </c>
      <c r="G145">
        <v>2471</v>
      </c>
      <c r="H145">
        <v>10000</v>
      </c>
      <c r="I145" t="s">
        <v>279</v>
      </c>
    </row>
    <row r="146" spans="1:9" x14ac:dyDescent="0.2">
      <c r="A146" t="s">
        <v>76</v>
      </c>
      <c r="B146">
        <v>116</v>
      </c>
      <c r="C146">
        <v>2</v>
      </c>
      <c r="D146">
        <v>24</v>
      </c>
      <c r="E146">
        <v>0</v>
      </c>
      <c r="F146">
        <v>42.882258293218896</v>
      </c>
      <c r="G146">
        <v>1542</v>
      </c>
      <c r="H146">
        <v>10000</v>
      </c>
      <c r="I146" t="s">
        <v>280</v>
      </c>
    </row>
    <row r="147" spans="1:9" x14ac:dyDescent="0.2">
      <c r="A147" t="s">
        <v>77</v>
      </c>
      <c r="B147">
        <v>117</v>
      </c>
      <c r="C147">
        <v>2</v>
      </c>
      <c r="D147">
        <v>24</v>
      </c>
      <c r="E147">
        <v>0</v>
      </c>
      <c r="F147">
        <v>41.977665660902801</v>
      </c>
      <c r="G147">
        <v>2366</v>
      </c>
      <c r="H147">
        <v>10000</v>
      </c>
      <c r="I147" t="s">
        <v>281</v>
      </c>
    </row>
    <row r="148" spans="1:9" x14ac:dyDescent="0.2">
      <c r="A148" t="s">
        <v>78</v>
      </c>
      <c r="B148">
        <v>118</v>
      </c>
      <c r="C148">
        <v>1</v>
      </c>
      <c r="D148">
        <v>25</v>
      </c>
      <c r="E148">
        <v>0</v>
      </c>
      <c r="F148">
        <v>40.530630861409001</v>
      </c>
      <c r="G148">
        <v>2489</v>
      </c>
      <c r="H148">
        <v>10000</v>
      </c>
      <c r="I148" t="s">
        <v>282</v>
      </c>
    </row>
    <row r="149" spans="1:9" x14ac:dyDescent="0.2">
      <c r="A149" t="s">
        <v>79</v>
      </c>
      <c r="B149">
        <v>119</v>
      </c>
      <c r="C149">
        <v>39</v>
      </c>
      <c r="D149">
        <v>16</v>
      </c>
      <c r="E149">
        <v>2</v>
      </c>
      <c r="F149">
        <v>182.19414319284201</v>
      </c>
      <c r="G149">
        <v>1</v>
      </c>
      <c r="H149">
        <v>10000</v>
      </c>
      <c r="I149" t="s">
        <v>283</v>
      </c>
    </row>
    <row r="150" spans="1:9" x14ac:dyDescent="0.2">
      <c r="A150" t="s">
        <v>80</v>
      </c>
      <c r="B150">
        <v>120</v>
      </c>
      <c r="C150">
        <v>40</v>
      </c>
      <c r="D150">
        <v>16</v>
      </c>
      <c r="E150">
        <v>2</v>
      </c>
      <c r="F150">
        <v>183.903796372003</v>
      </c>
      <c r="G150">
        <v>90</v>
      </c>
      <c r="H150">
        <v>10000</v>
      </c>
      <c r="I150" t="s">
        <v>284</v>
      </c>
    </row>
    <row r="151" spans="1:9" x14ac:dyDescent="0.2">
      <c r="A151" t="s">
        <v>81</v>
      </c>
      <c r="B151">
        <v>121</v>
      </c>
      <c r="C151">
        <v>36</v>
      </c>
      <c r="D151">
        <v>16</v>
      </c>
      <c r="E151">
        <v>1</v>
      </c>
      <c r="F151">
        <v>160.02352359332099</v>
      </c>
      <c r="G151">
        <v>2</v>
      </c>
      <c r="H151">
        <v>10000</v>
      </c>
      <c r="I151" t="s">
        <v>285</v>
      </c>
    </row>
    <row r="152" spans="1:9" x14ac:dyDescent="0.2">
      <c r="A152" t="s">
        <v>82</v>
      </c>
      <c r="B152">
        <v>122</v>
      </c>
      <c r="C152">
        <v>37</v>
      </c>
      <c r="D152">
        <v>16</v>
      </c>
      <c r="E152">
        <v>1</v>
      </c>
      <c r="F152">
        <v>167.376221614889</v>
      </c>
      <c r="G152">
        <v>671</v>
      </c>
      <c r="H152">
        <v>10000</v>
      </c>
      <c r="I152" t="s">
        <v>286</v>
      </c>
    </row>
    <row r="153" spans="1:9" x14ac:dyDescent="0.2">
      <c r="A153" t="s">
        <v>83</v>
      </c>
      <c r="B153">
        <v>123</v>
      </c>
      <c r="C153">
        <v>38</v>
      </c>
      <c r="D153">
        <v>17</v>
      </c>
      <c r="E153">
        <v>2</v>
      </c>
      <c r="F153">
        <v>174.03950447123401</v>
      </c>
      <c r="G153">
        <v>1</v>
      </c>
      <c r="H153">
        <v>10000</v>
      </c>
      <c r="I153" t="s">
        <v>287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7C9CC-B096-9042-B832-9EB03AD723C0}">
  <dimension ref="A1:I153"/>
  <sheetViews>
    <sheetView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2</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288</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1.60139895230531</v>
      </c>
      <c r="G33">
        <v>10000</v>
      </c>
      <c r="H33">
        <v>10000</v>
      </c>
      <c r="I33" t="s">
        <v>289</v>
      </c>
    </row>
    <row r="34" spans="1:9" x14ac:dyDescent="0.2">
      <c r="A34" t="s">
        <v>93</v>
      </c>
      <c r="B34">
        <v>4</v>
      </c>
      <c r="C34">
        <v>1</v>
      </c>
      <c r="D34">
        <v>2</v>
      </c>
      <c r="E34">
        <v>0</v>
      </c>
      <c r="F34">
        <v>1.7308920472860301</v>
      </c>
      <c r="G34">
        <v>10000</v>
      </c>
      <c r="H34">
        <v>10000</v>
      </c>
      <c r="I34" t="s">
        <v>290</v>
      </c>
    </row>
    <row r="35" spans="1:9" x14ac:dyDescent="0.2">
      <c r="A35" t="s">
        <v>94</v>
      </c>
      <c r="B35">
        <v>5</v>
      </c>
      <c r="C35">
        <v>1</v>
      </c>
      <c r="D35">
        <v>3</v>
      </c>
      <c r="E35">
        <v>0</v>
      </c>
      <c r="F35">
        <v>1.8779128910973599</v>
      </c>
      <c r="G35">
        <v>10000</v>
      </c>
      <c r="H35">
        <v>10000</v>
      </c>
      <c r="I35" t="s">
        <v>291</v>
      </c>
    </row>
    <row r="36" spans="1:9" x14ac:dyDescent="0.2">
      <c r="A36" t="s">
        <v>95</v>
      </c>
      <c r="B36">
        <v>6</v>
      </c>
      <c r="C36">
        <v>1</v>
      </c>
      <c r="D36">
        <v>3</v>
      </c>
      <c r="E36">
        <v>0</v>
      </c>
      <c r="F36">
        <v>1.94076800812035</v>
      </c>
      <c r="G36">
        <v>10000</v>
      </c>
      <c r="H36">
        <v>10000</v>
      </c>
      <c r="I36" t="s">
        <v>291</v>
      </c>
    </row>
    <row r="37" spans="1:9" x14ac:dyDescent="0.2">
      <c r="A37" t="s">
        <v>96</v>
      </c>
      <c r="B37">
        <v>7</v>
      </c>
      <c r="C37">
        <v>1</v>
      </c>
      <c r="D37">
        <v>3</v>
      </c>
      <c r="E37">
        <v>0</v>
      </c>
      <c r="F37">
        <v>2.0118329022079702</v>
      </c>
      <c r="G37">
        <v>10000</v>
      </c>
      <c r="H37">
        <v>10000</v>
      </c>
      <c r="I37" t="s">
        <v>292</v>
      </c>
    </row>
    <row r="38" spans="1:9" x14ac:dyDescent="0.2">
      <c r="A38" t="s">
        <v>97</v>
      </c>
      <c r="B38">
        <v>8</v>
      </c>
      <c r="C38">
        <v>1</v>
      </c>
      <c r="D38">
        <v>3</v>
      </c>
      <c r="E38">
        <v>0</v>
      </c>
      <c r="F38">
        <v>2.0705328192561798</v>
      </c>
      <c r="G38">
        <v>10000</v>
      </c>
      <c r="H38">
        <v>10000</v>
      </c>
      <c r="I38" t="s">
        <v>291</v>
      </c>
    </row>
    <row r="39" spans="1:9" x14ac:dyDescent="0.2">
      <c r="A39" t="s">
        <v>98</v>
      </c>
      <c r="B39">
        <v>9</v>
      </c>
      <c r="C39">
        <v>1</v>
      </c>
      <c r="D39">
        <v>3</v>
      </c>
      <c r="E39">
        <v>0</v>
      </c>
      <c r="F39">
        <v>2.1356820007786101</v>
      </c>
      <c r="G39">
        <v>10000</v>
      </c>
      <c r="H39">
        <v>10000</v>
      </c>
      <c r="I39" t="s">
        <v>291</v>
      </c>
    </row>
    <row r="40" spans="1:9" x14ac:dyDescent="0.2">
      <c r="A40" t="s">
        <v>99</v>
      </c>
      <c r="B40">
        <v>10</v>
      </c>
      <c r="C40">
        <v>1</v>
      </c>
      <c r="D40">
        <v>4</v>
      </c>
      <c r="E40">
        <v>0</v>
      </c>
      <c r="F40">
        <v>2.17571632750332</v>
      </c>
      <c r="G40">
        <v>9994</v>
      </c>
      <c r="H40">
        <v>10000</v>
      </c>
      <c r="I40" t="s">
        <v>293</v>
      </c>
    </row>
    <row r="41" spans="1:9" x14ac:dyDescent="0.2">
      <c r="A41" t="s">
        <v>100</v>
      </c>
      <c r="B41">
        <v>11</v>
      </c>
      <c r="C41">
        <v>1</v>
      </c>
      <c r="D41">
        <v>5</v>
      </c>
      <c r="E41">
        <v>0</v>
      </c>
      <c r="F41">
        <v>2.5735537046566601</v>
      </c>
      <c r="G41">
        <v>10000</v>
      </c>
      <c r="H41">
        <v>10000</v>
      </c>
      <c r="I41" t="s">
        <v>294</v>
      </c>
    </row>
    <row r="42" spans="1:9" x14ac:dyDescent="0.2">
      <c r="A42" t="s">
        <v>101</v>
      </c>
      <c r="B42">
        <v>12</v>
      </c>
      <c r="C42">
        <v>6</v>
      </c>
      <c r="D42">
        <v>3</v>
      </c>
      <c r="E42">
        <v>0</v>
      </c>
      <c r="F42">
        <v>2.69321665354073</v>
      </c>
      <c r="G42">
        <v>9832</v>
      </c>
      <c r="H42">
        <v>10000</v>
      </c>
      <c r="I42" t="s">
        <v>295</v>
      </c>
    </row>
    <row r="43" spans="1:9" x14ac:dyDescent="0.2">
      <c r="A43" t="s">
        <v>102</v>
      </c>
      <c r="B43">
        <v>13</v>
      </c>
      <c r="C43">
        <v>6</v>
      </c>
      <c r="D43">
        <v>3</v>
      </c>
      <c r="E43">
        <v>0</v>
      </c>
      <c r="F43">
        <v>2.7950439481064602</v>
      </c>
      <c r="G43">
        <v>9841</v>
      </c>
      <c r="H43">
        <v>10000</v>
      </c>
      <c r="I43" t="s">
        <v>296</v>
      </c>
    </row>
    <row r="44" spans="1:9" x14ac:dyDescent="0.2">
      <c r="A44" t="s">
        <v>103</v>
      </c>
      <c r="B44">
        <v>14</v>
      </c>
      <c r="C44">
        <v>2</v>
      </c>
      <c r="D44">
        <v>5</v>
      </c>
      <c r="E44">
        <v>0</v>
      </c>
      <c r="F44">
        <v>2.6661664647981498</v>
      </c>
      <c r="G44">
        <v>9932</v>
      </c>
      <c r="H44">
        <v>10000</v>
      </c>
      <c r="I44" t="s">
        <v>297</v>
      </c>
    </row>
    <row r="45" spans="1:9" x14ac:dyDescent="0.2">
      <c r="A45" t="s">
        <v>104</v>
      </c>
      <c r="B45">
        <v>15</v>
      </c>
      <c r="C45">
        <v>2</v>
      </c>
      <c r="D45">
        <v>5</v>
      </c>
      <c r="E45">
        <v>0</v>
      </c>
      <c r="F45">
        <v>2.75606178492307</v>
      </c>
      <c r="G45">
        <v>9927</v>
      </c>
      <c r="H45">
        <v>10000</v>
      </c>
      <c r="I45" t="s">
        <v>298</v>
      </c>
    </row>
    <row r="46" spans="1:9" x14ac:dyDescent="0.2">
      <c r="A46" t="s">
        <v>105</v>
      </c>
      <c r="B46">
        <v>16</v>
      </c>
      <c r="C46">
        <v>1</v>
      </c>
      <c r="D46">
        <v>6</v>
      </c>
      <c r="E46">
        <v>0</v>
      </c>
      <c r="F46">
        <v>2.8759850598871699</v>
      </c>
      <c r="G46">
        <v>10000</v>
      </c>
      <c r="H46">
        <v>10000</v>
      </c>
      <c r="I46" t="s">
        <v>299</v>
      </c>
    </row>
    <row r="47" spans="1:9" x14ac:dyDescent="0.2">
      <c r="A47" t="s">
        <v>106</v>
      </c>
      <c r="B47">
        <v>17</v>
      </c>
      <c r="C47">
        <v>3</v>
      </c>
      <c r="D47">
        <v>5</v>
      </c>
      <c r="E47">
        <v>0</v>
      </c>
      <c r="F47">
        <v>2.99710612185299</v>
      </c>
      <c r="G47">
        <v>10000</v>
      </c>
      <c r="H47">
        <v>10000</v>
      </c>
      <c r="I47" t="s">
        <v>300</v>
      </c>
    </row>
    <row r="48" spans="1:9" x14ac:dyDescent="0.2">
      <c r="A48" t="s">
        <v>107</v>
      </c>
      <c r="B48">
        <v>18</v>
      </c>
      <c r="C48">
        <v>5</v>
      </c>
      <c r="D48">
        <v>5</v>
      </c>
      <c r="E48">
        <v>0</v>
      </c>
      <c r="F48">
        <v>3.2945504169911102</v>
      </c>
      <c r="G48">
        <v>9991</v>
      </c>
      <c r="H48">
        <v>10000</v>
      </c>
      <c r="I48" t="s">
        <v>301</v>
      </c>
    </row>
    <row r="49" spans="1:9" x14ac:dyDescent="0.2">
      <c r="A49" t="s">
        <v>108</v>
      </c>
      <c r="B49">
        <v>19</v>
      </c>
      <c r="C49">
        <v>5</v>
      </c>
      <c r="D49">
        <v>5</v>
      </c>
      <c r="E49">
        <v>0</v>
      </c>
      <c r="F49">
        <v>3.3985214000567701</v>
      </c>
      <c r="G49">
        <v>9988</v>
      </c>
      <c r="H49">
        <v>10000</v>
      </c>
      <c r="I49" t="s">
        <v>302</v>
      </c>
    </row>
    <row r="50" spans="1:9" x14ac:dyDescent="0.2">
      <c r="A50" t="s">
        <v>109</v>
      </c>
      <c r="B50">
        <v>20</v>
      </c>
      <c r="C50">
        <v>3</v>
      </c>
      <c r="D50">
        <v>6</v>
      </c>
      <c r="E50">
        <v>0</v>
      </c>
      <c r="F50">
        <v>3.3059043288230798</v>
      </c>
      <c r="G50">
        <v>9958</v>
      </c>
      <c r="H50">
        <v>10000</v>
      </c>
      <c r="I50" t="s">
        <v>303</v>
      </c>
    </row>
    <row r="51" spans="1:9" x14ac:dyDescent="0.2">
      <c r="A51" t="s">
        <v>110</v>
      </c>
      <c r="B51">
        <v>21</v>
      </c>
      <c r="C51">
        <v>3</v>
      </c>
      <c r="D51">
        <v>6</v>
      </c>
      <c r="E51">
        <v>0</v>
      </c>
      <c r="F51">
        <v>3.4250756781548199</v>
      </c>
      <c r="G51">
        <v>9958</v>
      </c>
      <c r="H51">
        <v>10000</v>
      </c>
      <c r="I51" t="s">
        <v>304</v>
      </c>
    </row>
    <row r="52" spans="1:9" x14ac:dyDescent="0.2">
      <c r="A52" t="s">
        <v>111</v>
      </c>
      <c r="B52">
        <v>22</v>
      </c>
      <c r="C52">
        <v>7</v>
      </c>
      <c r="D52">
        <v>5</v>
      </c>
      <c r="E52">
        <v>0</v>
      </c>
      <c r="F52">
        <v>3.5720875253900801</v>
      </c>
      <c r="G52">
        <v>9925</v>
      </c>
      <c r="H52">
        <v>10000</v>
      </c>
      <c r="I52" t="s">
        <v>305</v>
      </c>
    </row>
    <row r="53" spans="1:9" x14ac:dyDescent="0.2">
      <c r="A53" t="s">
        <v>112</v>
      </c>
      <c r="B53">
        <v>23</v>
      </c>
      <c r="C53">
        <v>2</v>
      </c>
      <c r="D53">
        <v>7</v>
      </c>
      <c r="E53">
        <v>0</v>
      </c>
      <c r="F53">
        <v>3.47376021370291</v>
      </c>
      <c r="G53">
        <v>9619</v>
      </c>
      <c r="H53">
        <v>10000</v>
      </c>
      <c r="I53" t="s">
        <v>306</v>
      </c>
    </row>
    <row r="54" spans="1:9" x14ac:dyDescent="0.2">
      <c r="A54" t="s">
        <v>113</v>
      </c>
      <c r="B54">
        <v>24</v>
      </c>
      <c r="C54">
        <v>8</v>
      </c>
      <c r="D54">
        <v>5</v>
      </c>
      <c r="E54">
        <v>0</v>
      </c>
      <c r="F54">
        <v>4.1310460455715603</v>
      </c>
      <c r="G54">
        <v>4447</v>
      </c>
      <c r="H54">
        <v>10000</v>
      </c>
      <c r="I54" t="s">
        <v>307</v>
      </c>
    </row>
    <row r="55" spans="1:9" x14ac:dyDescent="0.2">
      <c r="A55" t="s">
        <v>114</v>
      </c>
      <c r="B55">
        <v>25</v>
      </c>
      <c r="C55">
        <v>8</v>
      </c>
      <c r="D55">
        <v>5</v>
      </c>
      <c r="E55">
        <v>0</v>
      </c>
      <c r="F55">
        <v>4.2926199529320002</v>
      </c>
      <c r="G55">
        <v>4527</v>
      </c>
      <c r="H55">
        <v>10000</v>
      </c>
      <c r="I55" t="s">
        <v>308</v>
      </c>
    </row>
    <row r="56" spans="1:9" x14ac:dyDescent="0.2">
      <c r="A56" t="s">
        <v>115</v>
      </c>
      <c r="B56">
        <v>26</v>
      </c>
      <c r="C56">
        <v>6</v>
      </c>
      <c r="D56">
        <v>6</v>
      </c>
      <c r="E56">
        <v>0</v>
      </c>
      <c r="F56">
        <v>4.1840110495686504</v>
      </c>
      <c r="G56">
        <v>6832</v>
      </c>
      <c r="H56">
        <v>10000</v>
      </c>
      <c r="I56" t="s">
        <v>309</v>
      </c>
    </row>
    <row r="57" spans="1:9" x14ac:dyDescent="0.2">
      <c r="A57" t="s">
        <v>116</v>
      </c>
      <c r="B57">
        <v>27</v>
      </c>
      <c r="C57">
        <v>6</v>
      </c>
      <c r="D57">
        <v>6</v>
      </c>
      <c r="E57">
        <v>0</v>
      </c>
      <c r="F57">
        <v>4.2856497513130298</v>
      </c>
      <c r="G57">
        <v>6808</v>
      </c>
      <c r="H57">
        <v>10000</v>
      </c>
      <c r="I57" t="s">
        <v>310</v>
      </c>
    </row>
    <row r="58" spans="1:9" x14ac:dyDescent="0.2">
      <c r="A58" t="s">
        <v>117</v>
      </c>
      <c r="B58">
        <v>28</v>
      </c>
      <c r="C58">
        <v>6</v>
      </c>
      <c r="D58">
        <v>6</v>
      </c>
      <c r="E58">
        <v>0</v>
      </c>
      <c r="F58">
        <v>4.3891281662508801</v>
      </c>
      <c r="G58">
        <v>6868</v>
      </c>
      <c r="H58">
        <v>10000</v>
      </c>
      <c r="I58" t="s">
        <v>311</v>
      </c>
    </row>
    <row r="59" spans="1:9" x14ac:dyDescent="0.2">
      <c r="A59" t="s">
        <v>118</v>
      </c>
      <c r="B59">
        <v>29</v>
      </c>
      <c r="C59">
        <v>6</v>
      </c>
      <c r="D59">
        <v>7</v>
      </c>
      <c r="E59">
        <v>0</v>
      </c>
      <c r="F59">
        <v>4.5235286485403696</v>
      </c>
      <c r="G59">
        <v>8728</v>
      </c>
      <c r="H59">
        <v>10000</v>
      </c>
      <c r="I59" t="s">
        <v>312</v>
      </c>
    </row>
    <row r="60" spans="1:9" x14ac:dyDescent="0.2">
      <c r="A60" t="s">
        <v>119</v>
      </c>
      <c r="B60">
        <v>30</v>
      </c>
      <c r="C60">
        <v>9</v>
      </c>
      <c r="D60">
        <v>6</v>
      </c>
      <c r="E60">
        <v>0</v>
      </c>
      <c r="F60">
        <v>4.9402723964303696</v>
      </c>
      <c r="G60">
        <v>7524</v>
      </c>
      <c r="H60">
        <v>10000</v>
      </c>
      <c r="I60" t="s">
        <v>313</v>
      </c>
    </row>
    <row r="61" spans="1:9" x14ac:dyDescent="0.2">
      <c r="A61" t="s">
        <v>120</v>
      </c>
      <c r="B61">
        <v>31</v>
      </c>
      <c r="C61">
        <v>9</v>
      </c>
      <c r="D61">
        <v>6</v>
      </c>
      <c r="E61">
        <v>0</v>
      </c>
      <c r="F61">
        <v>5.0697901677340198</v>
      </c>
      <c r="G61">
        <v>7606</v>
      </c>
      <c r="H61">
        <v>10000</v>
      </c>
      <c r="I61" t="s">
        <v>314</v>
      </c>
    </row>
    <row r="62" spans="1:9" x14ac:dyDescent="0.2">
      <c r="A62" t="s">
        <v>121</v>
      </c>
      <c r="B62">
        <v>32</v>
      </c>
      <c r="C62">
        <v>5</v>
      </c>
      <c r="D62">
        <v>8</v>
      </c>
      <c r="E62">
        <v>0</v>
      </c>
      <c r="F62">
        <v>4.8334180805832103</v>
      </c>
      <c r="G62">
        <v>9450</v>
      </c>
      <c r="H62">
        <v>10000</v>
      </c>
      <c r="I62" t="s">
        <v>315</v>
      </c>
    </row>
    <row r="63" spans="1:9" x14ac:dyDescent="0.2">
      <c r="A63" t="s">
        <v>122</v>
      </c>
      <c r="B63">
        <v>33</v>
      </c>
      <c r="C63">
        <v>7</v>
      </c>
      <c r="D63">
        <v>8</v>
      </c>
      <c r="E63">
        <v>0</v>
      </c>
      <c r="F63">
        <v>5.5726291509345103</v>
      </c>
      <c r="G63">
        <v>7517</v>
      </c>
      <c r="H63">
        <v>10000</v>
      </c>
      <c r="I63" t="s">
        <v>316</v>
      </c>
    </row>
    <row r="64" spans="1:9" x14ac:dyDescent="0.2">
      <c r="A64" t="s">
        <v>123</v>
      </c>
      <c r="B64">
        <v>34</v>
      </c>
      <c r="C64">
        <v>17</v>
      </c>
      <c r="D64">
        <v>5</v>
      </c>
      <c r="E64">
        <v>0</v>
      </c>
      <c r="F64">
        <v>6.7769064586609602</v>
      </c>
      <c r="G64">
        <v>8511</v>
      </c>
      <c r="H64">
        <v>10000</v>
      </c>
      <c r="I64" t="s">
        <v>317</v>
      </c>
    </row>
    <row r="65" spans="1:9" x14ac:dyDescent="0.2">
      <c r="A65" t="s">
        <v>124</v>
      </c>
      <c r="B65">
        <v>35</v>
      </c>
      <c r="C65">
        <v>4</v>
      </c>
      <c r="D65">
        <v>9</v>
      </c>
      <c r="E65">
        <v>0</v>
      </c>
      <c r="F65">
        <v>5.2947467854246497</v>
      </c>
      <c r="G65">
        <v>6837</v>
      </c>
      <c r="H65">
        <v>10000</v>
      </c>
      <c r="I65" t="s">
        <v>318</v>
      </c>
    </row>
    <row r="66" spans="1:9" x14ac:dyDescent="0.2">
      <c r="A66" t="s">
        <v>125</v>
      </c>
      <c r="B66">
        <v>36</v>
      </c>
      <c r="C66">
        <v>4</v>
      </c>
      <c r="D66">
        <v>9</v>
      </c>
      <c r="E66">
        <v>0</v>
      </c>
      <c r="F66">
        <v>5.4251553639769501</v>
      </c>
      <c r="G66">
        <v>6879</v>
      </c>
      <c r="H66">
        <v>10000</v>
      </c>
      <c r="I66" t="s">
        <v>319</v>
      </c>
    </row>
    <row r="67" spans="1:9" x14ac:dyDescent="0.2">
      <c r="A67" t="s">
        <v>126</v>
      </c>
      <c r="B67">
        <v>37</v>
      </c>
      <c r="C67">
        <v>4</v>
      </c>
      <c r="D67">
        <v>9</v>
      </c>
      <c r="E67">
        <v>0</v>
      </c>
      <c r="F67">
        <v>5.6313750836998198</v>
      </c>
      <c r="G67">
        <v>6965</v>
      </c>
      <c r="H67">
        <v>10000</v>
      </c>
      <c r="I67" t="s">
        <v>320</v>
      </c>
    </row>
    <row r="68" spans="1:9" x14ac:dyDescent="0.2">
      <c r="A68" t="s">
        <v>127</v>
      </c>
      <c r="B68">
        <v>38</v>
      </c>
      <c r="C68">
        <v>4</v>
      </c>
      <c r="D68">
        <v>9</v>
      </c>
      <c r="E68">
        <v>0</v>
      </c>
      <c r="F68">
        <v>5.7139613702893204</v>
      </c>
      <c r="G68">
        <v>6899</v>
      </c>
      <c r="H68">
        <v>10000</v>
      </c>
      <c r="I68" t="s">
        <v>321</v>
      </c>
    </row>
    <row r="69" spans="1:9" x14ac:dyDescent="0.2">
      <c r="A69" t="s">
        <v>128</v>
      </c>
      <c r="B69">
        <v>39</v>
      </c>
      <c r="C69">
        <v>4</v>
      </c>
      <c r="D69">
        <v>9</v>
      </c>
      <c r="E69">
        <v>0</v>
      </c>
      <c r="F69">
        <v>6.0542305549606601</v>
      </c>
      <c r="G69">
        <v>4410</v>
      </c>
      <c r="H69">
        <v>10000</v>
      </c>
      <c r="I69" t="s">
        <v>322</v>
      </c>
    </row>
    <row r="70" spans="1:9" x14ac:dyDescent="0.2">
      <c r="A70" t="s">
        <v>129</v>
      </c>
      <c r="B70">
        <v>40</v>
      </c>
      <c r="C70">
        <v>5</v>
      </c>
      <c r="D70">
        <v>9</v>
      </c>
      <c r="E70">
        <v>0</v>
      </c>
      <c r="F70">
        <v>6.2468115044757697</v>
      </c>
      <c r="G70">
        <v>6433</v>
      </c>
      <c r="H70">
        <v>10000</v>
      </c>
      <c r="I70" t="s">
        <v>323</v>
      </c>
    </row>
    <row r="71" spans="1:9" x14ac:dyDescent="0.2">
      <c r="A71" t="s">
        <v>130</v>
      </c>
      <c r="B71">
        <v>41</v>
      </c>
      <c r="C71">
        <v>2</v>
      </c>
      <c r="D71">
        <v>11</v>
      </c>
      <c r="E71">
        <v>0</v>
      </c>
      <c r="F71">
        <v>6.4205719344317904</v>
      </c>
      <c r="G71">
        <v>6375</v>
      </c>
      <c r="H71">
        <v>10000</v>
      </c>
      <c r="I71" t="s">
        <v>324</v>
      </c>
    </row>
    <row r="72" spans="1:9" x14ac:dyDescent="0.2">
      <c r="A72" t="s">
        <v>131</v>
      </c>
      <c r="B72">
        <v>42</v>
      </c>
      <c r="C72">
        <v>5</v>
      </c>
      <c r="D72">
        <v>9</v>
      </c>
      <c r="E72">
        <v>0</v>
      </c>
      <c r="F72">
        <v>7.1163104651495797</v>
      </c>
      <c r="G72">
        <v>3129</v>
      </c>
      <c r="H72">
        <v>10000</v>
      </c>
      <c r="I72" t="s">
        <v>325</v>
      </c>
    </row>
    <row r="73" spans="1:9" x14ac:dyDescent="0.2">
      <c r="A73" t="s">
        <v>132</v>
      </c>
      <c r="B73">
        <v>43</v>
      </c>
      <c r="C73">
        <v>6</v>
      </c>
      <c r="D73">
        <v>9</v>
      </c>
      <c r="E73">
        <v>0</v>
      </c>
      <c r="F73">
        <v>7.3565596146508998</v>
      </c>
      <c r="G73">
        <v>2829</v>
      </c>
      <c r="H73">
        <v>10000</v>
      </c>
      <c r="I73" t="s">
        <v>326</v>
      </c>
    </row>
    <row r="74" spans="1:9" x14ac:dyDescent="0.2">
      <c r="A74" t="s">
        <v>133</v>
      </c>
      <c r="B74">
        <v>44</v>
      </c>
      <c r="C74">
        <v>6</v>
      </c>
      <c r="D74">
        <v>9</v>
      </c>
      <c r="E74">
        <v>0</v>
      </c>
      <c r="F74">
        <v>7.4648421006277204</v>
      </c>
      <c r="G74">
        <v>2858</v>
      </c>
      <c r="H74">
        <v>10000</v>
      </c>
      <c r="I74" t="s">
        <v>327</v>
      </c>
    </row>
    <row r="75" spans="1:9" x14ac:dyDescent="0.2">
      <c r="A75" t="s">
        <v>134</v>
      </c>
      <c r="B75">
        <v>45</v>
      </c>
      <c r="C75">
        <v>6</v>
      </c>
      <c r="D75">
        <v>9</v>
      </c>
      <c r="E75">
        <v>0</v>
      </c>
      <c r="F75">
        <v>7.7407105062156898</v>
      </c>
      <c r="G75">
        <v>2595</v>
      </c>
      <c r="H75">
        <v>10000</v>
      </c>
      <c r="I75" t="s">
        <v>328</v>
      </c>
    </row>
    <row r="76" spans="1:9" x14ac:dyDescent="0.2">
      <c r="A76" t="s">
        <v>135</v>
      </c>
      <c r="B76">
        <v>46</v>
      </c>
      <c r="C76">
        <v>7</v>
      </c>
      <c r="D76">
        <v>9</v>
      </c>
      <c r="E76">
        <v>0</v>
      </c>
      <c r="F76">
        <v>8.3359521180391294</v>
      </c>
      <c r="G76">
        <v>2849</v>
      </c>
      <c r="H76">
        <v>10000</v>
      </c>
      <c r="I76" t="s">
        <v>329</v>
      </c>
    </row>
    <row r="77" spans="1:9" x14ac:dyDescent="0.2">
      <c r="A77" t="s">
        <v>136</v>
      </c>
      <c r="B77">
        <v>47</v>
      </c>
      <c r="C77">
        <v>8</v>
      </c>
      <c r="D77">
        <v>9</v>
      </c>
      <c r="E77">
        <v>0</v>
      </c>
      <c r="F77">
        <v>8.8895047325640899</v>
      </c>
      <c r="G77">
        <v>3011</v>
      </c>
      <c r="H77">
        <v>10000</v>
      </c>
      <c r="I77" t="s">
        <v>330</v>
      </c>
    </row>
    <row r="78" spans="1:9" x14ac:dyDescent="0.2">
      <c r="A78" t="s">
        <v>137</v>
      </c>
      <c r="B78">
        <v>48</v>
      </c>
      <c r="C78">
        <v>5</v>
      </c>
      <c r="D78">
        <v>10</v>
      </c>
      <c r="E78">
        <v>0</v>
      </c>
      <c r="F78">
        <v>8.4108435921370894</v>
      </c>
      <c r="G78">
        <v>2597</v>
      </c>
      <c r="H78">
        <v>10000</v>
      </c>
      <c r="I78" t="s">
        <v>331</v>
      </c>
    </row>
    <row r="79" spans="1:9" x14ac:dyDescent="0.2">
      <c r="A79" t="s">
        <v>138</v>
      </c>
      <c r="B79">
        <v>49</v>
      </c>
      <c r="C79">
        <v>17</v>
      </c>
      <c r="D79">
        <v>7</v>
      </c>
      <c r="E79">
        <v>0</v>
      </c>
      <c r="F79">
        <v>11.8985801469534</v>
      </c>
      <c r="G79">
        <v>1418</v>
      </c>
      <c r="H79">
        <v>10000</v>
      </c>
      <c r="I79" t="s">
        <v>332</v>
      </c>
    </row>
    <row r="80" spans="1:9" x14ac:dyDescent="0.2">
      <c r="A80" t="s">
        <v>139</v>
      </c>
      <c r="B80">
        <v>50</v>
      </c>
      <c r="C80">
        <v>13</v>
      </c>
      <c r="D80">
        <v>8</v>
      </c>
      <c r="E80">
        <v>0</v>
      </c>
      <c r="F80">
        <v>10.982709265314</v>
      </c>
      <c r="G80">
        <v>1517</v>
      </c>
      <c r="H80">
        <v>10000</v>
      </c>
      <c r="I80" t="s">
        <v>333</v>
      </c>
    </row>
    <row r="81" spans="1:9" x14ac:dyDescent="0.2">
      <c r="A81" t="s">
        <v>188</v>
      </c>
      <c r="B81">
        <v>51</v>
      </c>
      <c r="C81">
        <v>12</v>
      </c>
      <c r="D81">
        <v>9</v>
      </c>
      <c r="E81">
        <v>0</v>
      </c>
      <c r="F81">
        <v>11.029422181658401</v>
      </c>
      <c r="G81">
        <v>1826</v>
      </c>
      <c r="H81">
        <v>10000</v>
      </c>
      <c r="I81" t="s">
        <v>334</v>
      </c>
    </row>
    <row r="82" spans="1:9" x14ac:dyDescent="0.2">
      <c r="A82" t="s">
        <v>190</v>
      </c>
      <c r="B82">
        <v>52</v>
      </c>
      <c r="C82">
        <v>10</v>
      </c>
      <c r="D82">
        <v>11</v>
      </c>
      <c r="E82">
        <v>1</v>
      </c>
      <c r="F82">
        <v>11.0358860744163</v>
      </c>
      <c r="G82">
        <v>4083</v>
      </c>
      <c r="H82">
        <v>10000</v>
      </c>
      <c r="I82" t="s">
        <v>335</v>
      </c>
    </row>
    <row r="83" spans="1:9" x14ac:dyDescent="0.2">
      <c r="A83" t="s">
        <v>192</v>
      </c>
      <c r="B83">
        <v>53</v>
      </c>
      <c r="C83">
        <v>6</v>
      </c>
      <c r="D83">
        <v>11</v>
      </c>
      <c r="E83">
        <v>0</v>
      </c>
      <c r="F83">
        <v>10.378429128788399</v>
      </c>
      <c r="G83">
        <v>2564</v>
      </c>
      <c r="H83">
        <v>10000</v>
      </c>
      <c r="I83" t="s">
        <v>336</v>
      </c>
    </row>
    <row r="84" spans="1:9" x14ac:dyDescent="0.2">
      <c r="A84" t="s">
        <v>194</v>
      </c>
      <c r="B84">
        <v>54</v>
      </c>
      <c r="C84">
        <v>12</v>
      </c>
      <c r="D84">
        <v>10</v>
      </c>
      <c r="E84">
        <v>0</v>
      </c>
      <c r="F84">
        <v>12.251845100894499</v>
      </c>
      <c r="G84">
        <v>1807</v>
      </c>
      <c r="H84">
        <v>10000</v>
      </c>
      <c r="I84" t="s">
        <v>337</v>
      </c>
    </row>
    <row r="85" spans="1:9" x14ac:dyDescent="0.2">
      <c r="A85" t="s">
        <v>196</v>
      </c>
      <c r="B85">
        <v>55</v>
      </c>
      <c r="C85">
        <v>5</v>
      </c>
      <c r="D85">
        <v>12</v>
      </c>
      <c r="E85">
        <v>0</v>
      </c>
      <c r="F85">
        <v>10.771885363385</v>
      </c>
      <c r="G85">
        <v>2396</v>
      </c>
      <c r="H85">
        <v>10000</v>
      </c>
      <c r="I85" t="s">
        <v>338</v>
      </c>
    </row>
    <row r="86" spans="1:9" x14ac:dyDescent="0.2">
      <c r="A86" t="s">
        <v>198</v>
      </c>
      <c r="B86">
        <v>56</v>
      </c>
      <c r="C86">
        <v>5</v>
      </c>
      <c r="D86">
        <v>12</v>
      </c>
      <c r="E86">
        <v>0</v>
      </c>
      <c r="F86">
        <v>10.7620215360075</v>
      </c>
      <c r="G86">
        <v>2681</v>
      </c>
      <c r="H86">
        <v>10000</v>
      </c>
      <c r="I86" t="s">
        <v>339</v>
      </c>
    </row>
    <row r="87" spans="1:9" x14ac:dyDescent="0.2">
      <c r="A87" t="s">
        <v>200</v>
      </c>
      <c r="B87">
        <v>57</v>
      </c>
      <c r="C87">
        <v>4</v>
      </c>
      <c r="D87">
        <v>13</v>
      </c>
      <c r="E87">
        <v>0</v>
      </c>
      <c r="F87">
        <v>11.0892522605136</v>
      </c>
      <c r="G87">
        <v>2498</v>
      </c>
      <c r="H87">
        <v>10000</v>
      </c>
      <c r="I87" t="s">
        <v>340</v>
      </c>
    </row>
    <row r="88" spans="1:9" x14ac:dyDescent="0.2">
      <c r="A88" t="s">
        <v>202</v>
      </c>
      <c r="B88">
        <v>58</v>
      </c>
      <c r="C88">
        <v>12</v>
      </c>
      <c r="D88">
        <v>10</v>
      </c>
      <c r="E88">
        <v>0</v>
      </c>
      <c r="F88">
        <v>13.761587399989301</v>
      </c>
      <c r="G88">
        <v>1587</v>
      </c>
      <c r="H88">
        <v>10000</v>
      </c>
      <c r="I88" t="s">
        <v>341</v>
      </c>
    </row>
    <row r="89" spans="1:9" x14ac:dyDescent="0.2">
      <c r="A89" t="s">
        <v>204</v>
      </c>
      <c r="B89">
        <v>59</v>
      </c>
      <c r="C89">
        <v>12</v>
      </c>
      <c r="D89">
        <v>10</v>
      </c>
      <c r="E89">
        <v>0</v>
      </c>
      <c r="F89">
        <v>14.134850833564901</v>
      </c>
      <c r="G89">
        <v>1800</v>
      </c>
      <c r="H89">
        <v>10000</v>
      </c>
      <c r="I89" t="s">
        <v>342</v>
      </c>
    </row>
    <row r="90" spans="1:9" x14ac:dyDescent="0.2">
      <c r="A90" t="s">
        <v>206</v>
      </c>
      <c r="B90">
        <v>60</v>
      </c>
      <c r="C90">
        <v>10</v>
      </c>
      <c r="D90">
        <v>11</v>
      </c>
      <c r="E90">
        <v>0</v>
      </c>
      <c r="F90">
        <v>14.165303135290699</v>
      </c>
      <c r="G90">
        <v>2256</v>
      </c>
      <c r="H90">
        <v>10000</v>
      </c>
      <c r="I90" t="s">
        <v>343</v>
      </c>
    </row>
    <row r="91" spans="1:9" x14ac:dyDescent="0.2">
      <c r="A91" t="s">
        <v>208</v>
      </c>
      <c r="B91">
        <v>61</v>
      </c>
      <c r="C91">
        <v>10</v>
      </c>
      <c r="D91">
        <v>11</v>
      </c>
      <c r="E91">
        <v>0</v>
      </c>
      <c r="F91">
        <v>14.578342012129699</v>
      </c>
      <c r="G91">
        <v>2197</v>
      </c>
      <c r="H91">
        <v>10000</v>
      </c>
      <c r="I91" t="s">
        <v>344</v>
      </c>
    </row>
    <row r="92" spans="1:9" x14ac:dyDescent="0.2">
      <c r="A92" t="s">
        <v>210</v>
      </c>
      <c r="B92">
        <v>62</v>
      </c>
      <c r="C92">
        <v>16</v>
      </c>
      <c r="D92">
        <v>10</v>
      </c>
      <c r="E92">
        <v>0</v>
      </c>
      <c r="F92">
        <v>17.574640678241799</v>
      </c>
      <c r="G92">
        <v>1296</v>
      </c>
      <c r="H92">
        <v>10000</v>
      </c>
      <c r="I92" t="s">
        <v>345</v>
      </c>
    </row>
    <row r="93" spans="1:9" x14ac:dyDescent="0.2">
      <c r="A93" t="s">
        <v>212</v>
      </c>
      <c r="B93">
        <v>63</v>
      </c>
      <c r="C93">
        <v>8</v>
      </c>
      <c r="D93">
        <v>13</v>
      </c>
      <c r="E93">
        <v>0</v>
      </c>
      <c r="F93">
        <v>14.553415986709201</v>
      </c>
      <c r="G93">
        <v>1808</v>
      </c>
      <c r="H93">
        <v>10000</v>
      </c>
      <c r="I93" t="s">
        <v>346</v>
      </c>
    </row>
    <row r="94" spans="1:9" x14ac:dyDescent="0.2">
      <c r="A94" t="s">
        <v>214</v>
      </c>
      <c r="B94">
        <v>64</v>
      </c>
      <c r="C94">
        <v>13</v>
      </c>
      <c r="D94">
        <v>12</v>
      </c>
      <c r="E94">
        <v>0</v>
      </c>
      <c r="F94">
        <v>16.554341278970199</v>
      </c>
      <c r="G94">
        <v>1625</v>
      </c>
      <c r="H94">
        <v>10000</v>
      </c>
      <c r="I94" t="s">
        <v>347</v>
      </c>
    </row>
    <row r="95" spans="1:9" x14ac:dyDescent="0.2">
      <c r="A95" t="s">
        <v>216</v>
      </c>
      <c r="B95">
        <v>65</v>
      </c>
      <c r="C95">
        <v>5</v>
      </c>
      <c r="D95">
        <v>14</v>
      </c>
      <c r="E95">
        <v>0</v>
      </c>
      <c r="F95">
        <v>14.3971027992665</v>
      </c>
      <c r="G95">
        <v>2406</v>
      </c>
      <c r="H95">
        <v>10000</v>
      </c>
      <c r="I95" t="s">
        <v>348</v>
      </c>
    </row>
    <row r="96" spans="1:9" x14ac:dyDescent="0.2">
      <c r="A96" t="s">
        <v>218</v>
      </c>
      <c r="B96">
        <v>66</v>
      </c>
      <c r="C96">
        <v>5</v>
      </c>
      <c r="D96">
        <v>14</v>
      </c>
      <c r="E96">
        <v>0</v>
      </c>
      <c r="F96">
        <v>14.747634920291601</v>
      </c>
      <c r="G96">
        <v>2451</v>
      </c>
      <c r="H96">
        <v>10000</v>
      </c>
      <c r="I96" t="s">
        <v>349</v>
      </c>
    </row>
    <row r="97" spans="1:9" x14ac:dyDescent="0.2">
      <c r="A97" t="s">
        <v>220</v>
      </c>
      <c r="B97">
        <v>67</v>
      </c>
      <c r="C97">
        <v>5</v>
      </c>
      <c r="D97">
        <v>14</v>
      </c>
      <c r="E97">
        <v>0</v>
      </c>
      <c r="F97">
        <v>14.979576271958599</v>
      </c>
      <c r="G97">
        <v>1634</v>
      </c>
      <c r="H97">
        <v>10000</v>
      </c>
      <c r="I97" t="s">
        <v>350</v>
      </c>
    </row>
    <row r="98" spans="1:9" x14ac:dyDescent="0.2">
      <c r="A98" t="s">
        <v>222</v>
      </c>
      <c r="B98">
        <v>68</v>
      </c>
      <c r="C98">
        <v>5</v>
      </c>
      <c r="D98">
        <v>14</v>
      </c>
      <c r="E98">
        <v>0</v>
      </c>
      <c r="F98">
        <v>15.263153725303701</v>
      </c>
      <c r="G98">
        <v>2523</v>
      </c>
      <c r="H98">
        <v>10000</v>
      </c>
      <c r="I98" t="s">
        <v>351</v>
      </c>
    </row>
    <row r="99" spans="1:9" x14ac:dyDescent="0.2">
      <c r="A99" t="s">
        <v>224</v>
      </c>
      <c r="B99">
        <v>69</v>
      </c>
      <c r="C99">
        <v>5</v>
      </c>
      <c r="D99">
        <v>14</v>
      </c>
      <c r="E99">
        <v>0</v>
      </c>
      <c r="F99">
        <v>15.766185096465</v>
      </c>
      <c r="G99">
        <v>2260</v>
      </c>
      <c r="H99">
        <v>10000</v>
      </c>
      <c r="I99" t="s">
        <v>352</v>
      </c>
    </row>
    <row r="100" spans="1:9" x14ac:dyDescent="0.2">
      <c r="A100" t="s">
        <v>226</v>
      </c>
      <c r="B100">
        <v>70</v>
      </c>
      <c r="C100">
        <v>5</v>
      </c>
      <c r="D100">
        <v>14</v>
      </c>
      <c r="E100">
        <v>0</v>
      </c>
      <c r="F100">
        <v>15.878181780688401</v>
      </c>
      <c r="G100">
        <v>2274</v>
      </c>
      <c r="H100">
        <v>10000</v>
      </c>
      <c r="I100" t="s">
        <v>353</v>
      </c>
    </row>
    <row r="101" spans="1:9" x14ac:dyDescent="0.2">
      <c r="A101" t="s">
        <v>228</v>
      </c>
      <c r="B101">
        <v>71</v>
      </c>
      <c r="C101">
        <v>5</v>
      </c>
      <c r="D101">
        <v>15</v>
      </c>
      <c r="E101">
        <v>0</v>
      </c>
      <c r="F101">
        <v>17.2135715428739</v>
      </c>
      <c r="G101">
        <v>2359</v>
      </c>
      <c r="H101">
        <v>10000</v>
      </c>
      <c r="I101" t="s">
        <v>354</v>
      </c>
    </row>
    <row r="102" spans="1:9" x14ac:dyDescent="0.2">
      <c r="A102" t="s">
        <v>230</v>
      </c>
      <c r="B102">
        <v>72</v>
      </c>
      <c r="C102">
        <v>5</v>
      </c>
      <c r="D102">
        <v>15</v>
      </c>
      <c r="E102">
        <v>0</v>
      </c>
      <c r="F102">
        <v>16.675558422692099</v>
      </c>
      <c r="G102">
        <v>2144</v>
      </c>
      <c r="H102">
        <v>10000</v>
      </c>
      <c r="I102" t="s">
        <v>355</v>
      </c>
    </row>
    <row r="103" spans="1:9" x14ac:dyDescent="0.2">
      <c r="A103" t="s">
        <v>232</v>
      </c>
      <c r="B103">
        <v>73</v>
      </c>
      <c r="C103">
        <v>5</v>
      </c>
      <c r="D103">
        <v>15</v>
      </c>
      <c r="E103">
        <v>0</v>
      </c>
      <c r="F103">
        <v>17.988263875245998</v>
      </c>
      <c r="G103">
        <v>1803</v>
      </c>
      <c r="H103">
        <v>10000</v>
      </c>
      <c r="I103" t="s">
        <v>356</v>
      </c>
    </row>
    <row r="104" spans="1:9" x14ac:dyDescent="0.2">
      <c r="A104" t="s">
        <v>234</v>
      </c>
      <c r="B104">
        <v>74</v>
      </c>
      <c r="C104">
        <v>5</v>
      </c>
      <c r="D104">
        <v>15</v>
      </c>
      <c r="E104">
        <v>0</v>
      </c>
      <c r="F104">
        <v>17.926679347641699</v>
      </c>
      <c r="G104">
        <v>2670</v>
      </c>
      <c r="H104">
        <v>10000</v>
      </c>
      <c r="I104" t="s">
        <v>357</v>
      </c>
    </row>
    <row r="105" spans="1:9" x14ac:dyDescent="0.2">
      <c r="A105" t="s">
        <v>236</v>
      </c>
      <c r="B105">
        <v>75</v>
      </c>
      <c r="C105">
        <v>5</v>
      </c>
      <c r="D105">
        <v>15</v>
      </c>
      <c r="E105">
        <v>0</v>
      </c>
      <c r="F105">
        <v>18.422670886851801</v>
      </c>
      <c r="G105">
        <v>2405</v>
      </c>
      <c r="H105">
        <v>10000</v>
      </c>
      <c r="I105" t="s">
        <v>358</v>
      </c>
    </row>
    <row r="106" spans="1:9" x14ac:dyDescent="0.2">
      <c r="A106" t="s">
        <v>238</v>
      </c>
      <c r="B106">
        <v>76</v>
      </c>
      <c r="C106">
        <v>5</v>
      </c>
      <c r="D106">
        <v>15</v>
      </c>
      <c r="E106">
        <v>0</v>
      </c>
      <c r="F106">
        <v>18.513954075053299</v>
      </c>
      <c r="G106">
        <v>1761</v>
      </c>
      <c r="H106">
        <v>10000</v>
      </c>
      <c r="I106" t="s">
        <v>359</v>
      </c>
    </row>
    <row r="107" spans="1:9" x14ac:dyDescent="0.2">
      <c r="A107" t="s">
        <v>240</v>
      </c>
      <c r="B107">
        <v>77</v>
      </c>
      <c r="C107">
        <v>5</v>
      </c>
      <c r="D107">
        <v>17</v>
      </c>
      <c r="E107">
        <v>2</v>
      </c>
      <c r="F107">
        <v>19.495131014846201</v>
      </c>
      <c r="G107">
        <v>2380</v>
      </c>
      <c r="H107">
        <v>10000</v>
      </c>
      <c r="I107" t="s">
        <v>360</v>
      </c>
    </row>
    <row r="108" spans="1:9" x14ac:dyDescent="0.2">
      <c r="A108" t="s">
        <v>36</v>
      </c>
      <c r="B108">
        <v>78</v>
      </c>
      <c r="C108">
        <v>15</v>
      </c>
      <c r="D108">
        <v>13</v>
      </c>
      <c r="E108">
        <v>1</v>
      </c>
      <c r="F108">
        <v>25.454804955981601</v>
      </c>
      <c r="G108">
        <v>2</v>
      </c>
      <c r="H108">
        <v>10000</v>
      </c>
      <c r="I108" t="s">
        <v>361</v>
      </c>
    </row>
    <row r="109" spans="1:9" x14ac:dyDescent="0.2">
      <c r="A109" t="s">
        <v>37</v>
      </c>
      <c r="B109">
        <v>79</v>
      </c>
      <c r="C109">
        <v>14</v>
      </c>
      <c r="D109">
        <v>14</v>
      </c>
      <c r="E109">
        <v>1</v>
      </c>
      <c r="F109">
        <v>25.244411230087199</v>
      </c>
      <c r="G109">
        <v>1571</v>
      </c>
      <c r="H109">
        <v>10000</v>
      </c>
      <c r="I109" t="s">
        <v>362</v>
      </c>
    </row>
    <row r="110" spans="1:9" x14ac:dyDescent="0.2">
      <c r="A110" t="s">
        <v>38</v>
      </c>
      <c r="B110">
        <v>80</v>
      </c>
      <c r="C110">
        <v>7</v>
      </c>
      <c r="D110">
        <v>16</v>
      </c>
      <c r="E110">
        <v>1</v>
      </c>
      <c r="F110">
        <v>21.152259719558</v>
      </c>
      <c r="G110">
        <v>2249</v>
      </c>
      <c r="H110">
        <v>10000</v>
      </c>
      <c r="I110" t="s">
        <v>363</v>
      </c>
    </row>
    <row r="111" spans="1:9" x14ac:dyDescent="0.2">
      <c r="A111" t="s">
        <v>39</v>
      </c>
      <c r="B111">
        <v>81</v>
      </c>
      <c r="C111">
        <v>11</v>
      </c>
      <c r="D111">
        <v>15</v>
      </c>
      <c r="E111">
        <v>0</v>
      </c>
      <c r="F111">
        <v>24.540027606300999</v>
      </c>
      <c r="G111">
        <v>31</v>
      </c>
      <c r="H111">
        <v>10000</v>
      </c>
      <c r="I111" t="s">
        <v>364</v>
      </c>
    </row>
    <row r="112" spans="1:9" x14ac:dyDescent="0.2">
      <c r="A112" t="s">
        <v>40</v>
      </c>
      <c r="B112">
        <v>82</v>
      </c>
      <c r="C112">
        <v>7</v>
      </c>
      <c r="D112">
        <v>17</v>
      </c>
      <c r="E112">
        <v>1</v>
      </c>
      <c r="F112">
        <v>22.5792798902839</v>
      </c>
      <c r="G112">
        <v>2084</v>
      </c>
      <c r="H112">
        <v>10000</v>
      </c>
      <c r="I112" t="s">
        <v>365</v>
      </c>
    </row>
    <row r="113" spans="1:9" x14ac:dyDescent="0.2">
      <c r="A113" t="s">
        <v>41</v>
      </c>
      <c r="B113">
        <v>83</v>
      </c>
      <c r="C113">
        <v>13</v>
      </c>
      <c r="D113">
        <v>15</v>
      </c>
      <c r="E113">
        <v>0</v>
      </c>
      <c r="F113">
        <v>27.0234212614595</v>
      </c>
      <c r="G113">
        <v>1</v>
      </c>
      <c r="H113">
        <v>10000</v>
      </c>
      <c r="I113" t="s">
        <v>366</v>
      </c>
    </row>
    <row r="114" spans="1:9" x14ac:dyDescent="0.2">
      <c r="A114" t="s">
        <v>42</v>
      </c>
      <c r="B114">
        <v>84</v>
      </c>
      <c r="C114">
        <v>4</v>
      </c>
      <c r="D114">
        <v>18</v>
      </c>
      <c r="E114">
        <v>0</v>
      </c>
      <c r="F114">
        <v>21.403771166689602</v>
      </c>
      <c r="G114">
        <v>2177</v>
      </c>
      <c r="H114">
        <v>10000</v>
      </c>
      <c r="I114" t="s">
        <v>367</v>
      </c>
    </row>
    <row r="115" spans="1:9" x14ac:dyDescent="0.2">
      <c r="A115" t="s">
        <v>43</v>
      </c>
      <c r="B115">
        <v>85</v>
      </c>
      <c r="C115">
        <v>11</v>
      </c>
      <c r="D115">
        <v>17</v>
      </c>
      <c r="E115">
        <v>0</v>
      </c>
      <c r="F115">
        <v>27.245163065381298</v>
      </c>
      <c r="G115">
        <v>1661</v>
      </c>
      <c r="H115">
        <v>10000</v>
      </c>
      <c r="I115" t="s">
        <v>368</v>
      </c>
    </row>
    <row r="116" spans="1:9" x14ac:dyDescent="0.2">
      <c r="A116" t="s">
        <v>44</v>
      </c>
      <c r="B116">
        <v>86</v>
      </c>
      <c r="C116">
        <v>4</v>
      </c>
      <c r="D116">
        <v>19</v>
      </c>
      <c r="E116">
        <v>0</v>
      </c>
      <c r="F116">
        <v>22.002889077179098</v>
      </c>
      <c r="G116">
        <v>1875</v>
      </c>
      <c r="H116">
        <v>10000</v>
      </c>
      <c r="I116" t="s">
        <v>369</v>
      </c>
    </row>
    <row r="117" spans="1:9" x14ac:dyDescent="0.2">
      <c r="A117" t="s">
        <v>45</v>
      </c>
      <c r="B117">
        <v>87</v>
      </c>
      <c r="C117">
        <v>5</v>
      </c>
      <c r="D117">
        <v>19</v>
      </c>
      <c r="E117">
        <v>0</v>
      </c>
      <c r="F117">
        <v>23.238520595244999</v>
      </c>
      <c r="G117">
        <v>2052</v>
      </c>
      <c r="H117">
        <v>10000</v>
      </c>
      <c r="I117" t="s">
        <v>370</v>
      </c>
    </row>
    <row r="118" spans="1:9" x14ac:dyDescent="0.2">
      <c r="A118" t="s">
        <v>46</v>
      </c>
      <c r="B118">
        <v>88</v>
      </c>
      <c r="C118">
        <v>5</v>
      </c>
      <c r="D118">
        <v>19</v>
      </c>
      <c r="E118">
        <v>0</v>
      </c>
      <c r="F118">
        <v>23.410070755518898</v>
      </c>
      <c r="G118">
        <v>1072</v>
      </c>
      <c r="H118">
        <v>10000</v>
      </c>
      <c r="I118" t="s">
        <v>371</v>
      </c>
    </row>
    <row r="119" spans="1:9" x14ac:dyDescent="0.2">
      <c r="A119" t="s">
        <v>47</v>
      </c>
      <c r="B119">
        <v>89</v>
      </c>
      <c r="C119">
        <v>3</v>
      </c>
      <c r="D119">
        <v>19</v>
      </c>
      <c r="E119">
        <v>0</v>
      </c>
      <c r="F119">
        <v>23.8900115517899</v>
      </c>
      <c r="G119">
        <v>2895</v>
      </c>
      <c r="H119">
        <v>10000</v>
      </c>
      <c r="I119" t="s">
        <v>372</v>
      </c>
    </row>
    <row r="120" spans="1:9" x14ac:dyDescent="0.2">
      <c r="A120" t="s">
        <v>48</v>
      </c>
      <c r="B120">
        <v>90</v>
      </c>
      <c r="C120">
        <v>3</v>
      </c>
      <c r="D120">
        <v>19</v>
      </c>
      <c r="E120">
        <v>0</v>
      </c>
      <c r="F120">
        <v>23.9359661163762</v>
      </c>
      <c r="G120">
        <v>810</v>
      </c>
      <c r="H120">
        <v>10000</v>
      </c>
      <c r="I120" t="s">
        <v>373</v>
      </c>
    </row>
    <row r="121" spans="1:9" x14ac:dyDescent="0.2">
      <c r="A121" t="s">
        <v>49</v>
      </c>
      <c r="B121">
        <v>91</v>
      </c>
      <c r="C121">
        <v>4</v>
      </c>
      <c r="D121">
        <v>19</v>
      </c>
      <c r="E121">
        <v>0</v>
      </c>
      <c r="F121">
        <v>23.973626370541702</v>
      </c>
      <c r="G121">
        <v>2129</v>
      </c>
      <c r="H121">
        <v>10000</v>
      </c>
      <c r="I121" t="s">
        <v>374</v>
      </c>
    </row>
    <row r="122" spans="1:9" x14ac:dyDescent="0.2">
      <c r="A122" t="s">
        <v>50</v>
      </c>
      <c r="B122">
        <v>92</v>
      </c>
      <c r="C122">
        <v>3</v>
      </c>
      <c r="D122">
        <v>20</v>
      </c>
      <c r="E122">
        <v>0</v>
      </c>
      <c r="F122">
        <v>25.2562255216762</v>
      </c>
      <c r="G122">
        <v>2473</v>
      </c>
      <c r="H122">
        <v>10000</v>
      </c>
      <c r="I122" t="s">
        <v>375</v>
      </c>
    </row>
    <row r="123" spans="1:9" x14ac:dyDescent="0.2">
      <c r="A123" t="s">
        <v>51</v>
      </c>
      <c r="B123">
        <v>93</v>
      </c>
      <c r="C123">
        <v>4</v>
      </c>
      <c r="D123">
        <v>20</v>
      </c>
      <c r="E123">
        <v>0</v>
      </c>
      <c r="F123">
        <v>26.361786354333098</v>
      </c>
      <c r="G123">
        <v>1452</v>
      </c>
      <c r="H123">
        <v>10000</v>
      </c>
      <c r="I123" t="s">
        <v>376</v>
      </c>
    </row>
    <row r="124" spans="1:9" x14ac:dyDescent="0.2">
      <c r="A124" t="s">
        <v>52</v>
      </c>
      <c r="B124">
        <v>94</v>
      </c>
      <c r="C124">
        <v>4</v>
      </c>
      <c r="D124">
        <v>20</v>
      </c>
      <c r="E124">
        <v>0</v>
      </c>
      <c r="F124">
        <v>26.564996362663798</v>
      </c>
      <c r="G124">
        <v>1485</v>
      </c>
      <c r="H124">
        <v>10000</v>
      </c>
      <c r="I124" t="s">
        <v>377</v>
      </c>
    </row>
    <row r="125" spans="1:9" x14ac:dyDescent="0.2">
      <c r="A125" t="s">
        <v>53</v>
      </c>
      <c r="B125">
        <v>95</v>
      </c>
      <c r="C125">
        <v>5</v>
      </c>
      <c r="D125">
        <v>19</v>
      </c>
      <c r="E125">
        <v>0</v>
      </c>
      <c r="F125">
        <v>26.236992618068999</v>
      </c>
      <c r="G125">
        <v>1973</v>
      </c>
      <c r="H125">
        <v>10000</v>
      </c>
      <c r="I125" t="s">
        <v>378</v>
      </c>
    </row>
    <row r="126" spans="1:9" x14ac:dyDescent="0.2">
      <c r="A126" t="s">
        <v>54</v>
      </c>
      <c r="B126">
        <v>96</v>
      </c>
      <c r="C126">
        <v>27</v>
      </c>
      <c r="D126">
        <v>14</v>
      </c>
      <c r="E126">
        <v>0</v>
      </c>
      <c r="F126">
        <v>48.203070767223799</v>
      </c>
      <c r="G126">
        <v>418</v>
      </c>
      <c r="H126">
        <v>10000</v>
      </c>
      <c r="I126" t="s">
        <v>379</v>
      </c>
    </row>
    <row r="127" spans="1:9" x14ac:dyDescent="0.2">
      <c r="A127" t="s">
        <v>55</v>
      </c>
      <c r="B127">
        <v>97</v>
      </c>
      <c r="C127">
        <v>5</v>
      </c>
      <c r="D127">
        <v>19</v>
      </c>
      <c r="E127">
        <v>0</v>
      </c>
      <c r="F127">
        <v>26.353448219597301</v>
      </c>
      <c r="G127">
        <v>1669</v>
      </c>
      <c r="H127">
        <v>10000</v>
      </c>
      <c r="I127" t="s">
        <v>380</v>
      </c>
    </row>
    <row r="128" spans="1:9" x14ac:dyDescent="0.2">
      <c r="A128" t="s">
        <v>56</v>
      </c>
      <c r="B128">
        <v>98</v>
      </c>
      <c r="C128">
        <v>2</v>
      </c>
      <c r="D128">
        <v>21</v>
      </c>
      <c r="E128">
        <v>0</v>
      </c>
      <c r="F128">
        <v>26.4849547408521</v>
      </c>
      <c r="G128">
        <v>2813</v>
      </c>
      <c r="H128">
        <v>10000</v>
      </c>
      <c r="I128" t="s">
        <v>381</v>
      </c>
    </row>
    <row r="129" spans="1:9" x14ac:dyDescent="0.2">
      <c r="A129" t="s">
        <v>57</v>
      </c>
      <c r="B129">
        <v>99</v>
      </c>
      <c r="C129">
        <v>3</v>
      </c>
      <c r="D129">
        <v>21</v>
      </c>
      <c r="E129">
        <v>0</v>
      </c>
      <c r="F129">
        <v>27.401882600970499</v>
      </c>
      <c r="G129">
        <v>2848</v>
      </c>
      <c r="H129">
        <v>10000</v>
      </c>
      <c r="I129" t="s">
        <v>382</v>
      </c>
    </row>
    <row r="130" spans="1:9" x14ac:dyDescent="0.2">
      <c r="A130" t="s">
        <v>58</v>
      </c>
      <c r="B130">
        <v>100</v>
      </c>
      <c r="C130">
        <v>4</v>
      </c>
      <c r="D130">
        <v>20</v>
      </c>
      <c r="E130">
        <v>0</v>
      </c>
      <c r="F130">
        <v>28.2645847694948</v>
      </c>
      <c r="G130">
        <v>2169</v>
      </c>
      <c r="H130">
        <v>10000</v>
      </c>
      <c r="I130" t="s">
        <v>383</v>
      </c>
    </row>
    <row r="131" spans="1:9" x14ac:dyDescent="0.2">
      <c r="A131" t="s">
        <v>59</v>
      </c>
      <c r="B131">
        <v>101</v>
      </c>
      <c r="C131">
        <v>4</v>
      </c>
      <c r="D131">
        <v>20</v>
      </c>
      <c r="E131">
        <v>0</v>
      </c>
      <c r="F131">
        <v>29.458861937746398</v>
      </c>
      <c r="G131">
        <v>1564</v>
      </c>
      <c r="H131">
        <v>10000</v>
      </c>
      <c r="I131" t="s">
        <v>384</v>
      </c>
    </row>
    <row r="132" spans="1:9" x14ac:dyDescent="0.2">
      <c r="A132" t="s">
        <v>60</v>
      </c>
      <c r="B132">
        <v>102</v>
      </c>
      <c r="C132">
        <v>17</v>
      </c>
      <c r="D132">
        <v>17</v>
      </c>
      <c r="E132">
        <v>0</v>
      </c>
      <c r="F132">
        <v>44.160741079598601</v>
      </c>
      <c r="G132">
        <v>1013</v>
      </c>
      <c r="H132">
        <v>10000</v>
      </c>
      <c r="I132" t="s">
        <v>385</v>
      </c>
    </row>
    <row r="133" spans="1:9" x14ac:dyDescent="0.2">
      <c r="A133" t="s">
        <v>61</v>
      </c>
      <c r="B133">
        <v>103</v>
      </c>
      <c r="C133">
        <v>18</v>
      </c>
      <c r="D133">
        <v>17</v>
      </c>
      <c r="E133">
        <v>0</v>
      </c>
      <c r="F133">
        <v>46.332514224573899</v>
      </c>
      <c r="G133">
        <v>754</v>
      </c>
      <c r="H133">
        <v>10000</v>
      </c>
      <c r="I133" t="s">
        <v>386</v>
      </c>
    </row>
    <row r="134" spans="1:9" x14ac:dyDescent="0.2">
      <c r="A134" t="s">
        <v>62</v>
      </c>
      <c r="B134">
        <v>104</v>
      </c>
      <c r="C134">
        <v>12</v>
      </c>
      <c r="D134">
        <v>19</v>
      </c>
      <c r="E134">
        <v>0</v>
      </c>
      <c r="F134">
        <v>40.509104948490801</v>
      </c>
      <c r="G134">
        <v>762</v>
      </c>
      <c r="H134">
        <v>10000</v>
      </c>
      <c r="I134" t="s">
        <v>387</v>
      </c>
    </row>
    <row r="135" spans="1:9" x14ac:dyDescent="0.2">
      <c r="A135" t="s">
        <v>63</v>
      </c>
      <c r="B135">
        <v>105</v>
      </c>
      <c r="C135">
        <v>8</v>
      </c>
      <c r="D135">
        <v>20</v>
      </c>
      <c r="E135">
        <v>0</v>
      </c>
      <c r="F135">
        <v>38.053355753421698</v>
      </c>
      <c r="G135">
        <v>5</v>
      </c>
      <c r="H135">
        <v>10000</v>
      </c>
      <c r="I135" t="s">
        <v>388</v>
      </c>
    </row>
    <row r="136" spans="1:9" x14ac:dyDescent="0.2">
      <c r="A136" t="s">
        <v>65</v>
      </c>
      <c r="B136">
        <v>106</v>
      </c>
      <c r="C136">
        <v>23</v>
      </c>
      <c r="D136">
        <v>16</v>
      </c>
      <c r="E136">
        <v>0</v>
      </c>
      <c r="F136">
        <v>53.312141209840703</v>
      </c>
      <c r="G136">
        <v>1231</v>
      </c>
      <c r="H136">
        <v>10000</v>
      </c>
      <c r="I136" t="s">
        <v>389</v>
      </c>
    </row>
    <row r="137" spans="1:9" x14ac:dyDescent="0.2">
      <c r="A137" t="s">
        <v>66</v>
      </c>
      <c r="B137">
        <v>107</v>
      </c>
      <c r="C137">
        <v>10</v>
      </c>
      <c r="D137">
        <v>20</v>
      </c>
      <c r="E137">
        <v>0</v>
      </c>
      <c r="F137">
        <v>38.178896099328902</v>
      </c>
      <c r="G137">
        <v>4</v>
      </c>
      <c r="H137">
        <v>10000</v>
      </c>
      <c r="I137" t="s">
        <v>390</v>
      </c>
    </row>
    <row r="138" spans="1:9" x14ac:dyDescent="0.2">
      <c r="A138" t="s">
        <v>67</v>
      </c>
      <c r="B138">
        <v>108</v>
      </c>
      <c r="C138">
        <v>36</v>
      </c>
      <c r="D138">
        <v>15</v>
      </c>
      <c r="E138">
        <v>2</v>
      </c>
      <c r="F138">
        <v>71.690505573525996</v>
      </c>
      <c r="G138">
        <v>19</v>
      </c>
      <c r="H138">
        <v>10000</v>
      </c>
      <c r="I138" t="s">
        <v>391</v>
      </c>
    </row>
    <row r="139" spans="1:9" x14ac:dyDescent="0.2">
      <c r="A139" t="s">
        <v>68</v>
      </c>
      <c r="B139">
        <v>109</v>
      </c>
      <c r="C139">
        <v>31</v>
      </c>
      <c r="D139">
        <v>16</v>
      </c>
      <c r="E139">
        <v>2</v>
      </c>
      <c r="F139">
        <v>65.510019904933799</v>
      </c>
      <c r="G139">
        <v>25</v>
      </c>
      <c r="H139">
        <v>10000</v>
      </c>
      <c r="I139" t="s">
        <v>392</v>
      </c>
    </row>
    <row r="140" spans="1:9" x14ac:dyDescent="0.2">
      <c r="A140" t="s">
        <v>69</v>
      </c>
      <c r="B140">
        <v>110</v>
      </c>
      <c r="C140">
        <v>32</v>
      </c>
      <c r="D140">
        <v>16</v>
      </c>
      <c r="E140">
        <v>2</v>
      </c>
      <c r="F140">
        <v>67.635976060293601</v>
      </c>
      <c r="G140">
        <v>10</v>
      </c>
      <c r="H140">
        <v>10000</v>
      </c>
      <c r="I140" t="s">
        <v>393</v>
      </c>
    </row>
    <row r="141" spans="1:9" x14ac:dyDescent="0.2">
      <c r="A141" t="s">
        <v>70</v>
      </c>
      <c r="B141">
        <v>111</v>
      </c>
      <c r="C141">
        <v>33</v>
      </c>
      <c r="D141">
        <v>16</v>
      </c>
      <c r="E141">
        <v>2</v>
      </c>
      <c r="F141">
        <v>69.854946437291801</v>
      </c>
      <c r="G141">
        <v>13</v>
      </c>
      <c r="H141">
        <v>10000</v>
      </c>
      <c r="I141" t="s">
        <v>394</v>
      </c>
    </row>
    <row r="142" spans="1:9" x14ac:dyDescent="0.2">
      <c r="A142" t="s">
        <v>71</v>
      </c>
      <c r="B142">
        <v>112</v>
      </c>
      <c r="C142">
        <v>16</v>
      </c>
      <c r="D142">
        <v>19</v>
      </c>
      <c r="E142">
        <v>0</v>
      </c>
      <c r="F142">
        <v>46.711863404139798</v>
      </c>
      <c r="G142">
        <v>1594</v>
      </c>
      <c r="H142">
        <v>10000</v>
      </c>
      <c r="I142" t="s">
        <v>395</v>
      </c>
    </row>
    <row r="143" spans="1:9" x14ac:dyDescent="0.2">
      <c r="A143" t="s">
        <v>72</v>
      </c>
      <c r="B143">
        <v>113</v>
      </c>
      <c r="C143">
        <v>34</v>
      </c>
      <c r="D143">
        <v>14</v>
      </c>
      <c r="E143">
        <v>0</v>
      </c>
      <c r="F143">
        <v>75.225109321996499</v>
      </c>
      <c r="G143">
        <v>1296</v>
      </c>
      <c r="H143">
        <v>10000</v>
      </c>
      <c r="I143" t="s">
        <v>396</v>
      </c>
    </row>
    <row r="144" spans="1:9" x14ac:dyDescent="0.2">
      <c r="A144" t="s">
        <v>73</v>
      </c>
      <c r="B144">
        <v>114</v>
      </c>
      <c r="C144">
        <v>36</v>
      </c>
      <c r="D144">
        <v>14</v>
      </c>
      <c r="E144">
        <v>0</v>
      </c>
      <c r="F144">
        <v>78.784865258261505</v>
      </c>
      <c r="G144">
        <v>808</v>
      </c>
      <c r="H144">
        <v>10000</v>
      </c>
      <c r="I144" t="s">
        <v>397</v>
      </c>
    </row>
    <row r="145" spans="1:9" x14ac:dyDescent="0.2">
      <c r="A145" t="s">
        <v>75</v>
      </c>
      <c r="B145">
        <v>115</v>
      </c>
      <c r="C145">
        <v>1</v>
      </c>
      <c r="D145">
        <v>25</v>
      </c>
      <c r="E145">
        <v>0</v>
      </c>
      <c r="F145">
        <v>33.9207366639748</v>
      </c>
      <c r="G145">
        <v>2388</v>
      </c>
      <c r="H145">
        <v>10000</v>
      </c>
      <c r="I145" t="s">
        <v>398</v>
      </c>
    </row>
    <row r="146" spans="1:9" x14ac:dyDescent="0.2">
      <c r="A146" t="s">
        <v>76</v>
      </c>
      <c r="B146">
        <v>116</v>
      </c>
      <c r="C146">
        <v>2</v>
      </c>
      <c r="D146">
        <v>24</v>
      </c>
      <c r="E146">
        <v>0</v>
      </c>
      <c r="F146">
        <v>34.053578649647498</v>
      </c>
      <c r="G146">
        <v>1574</v>
      </c>
      <c r="H146">
        <v>10000</v>
      </c>
      <c r="I146" t="s">
        <v>399</v>
      </c>
    </row>
    <row r="147" spans="1:9" x14ac:dyDescent="0.2">
      <c r="A147" t="s">
        <v>77</v>
      </c>
      <c r="B147">
        <v>117</v>
      </c>
      <c r="C147">
        <v>2</v>
      </c>
      <c r="D147">
        <v>24</v>
      </c>
      <c r="E147">
        <v>0</v>
      </c>
      <c r="F147">
        <v>35.344079189933801</v>
      </c>
      <c r="G147">
        <v>2104</v>
      </c>
      <c r="H147">
        <v>10000</v>
      </c>
      <c r="I147" t="s">
        <v>400</v>
      </c>
    </row>
    <row r="148" spans="1:9" x14ac:dyDescent="0.2">
      <c r="A148" t="s">
        <v>78</v>
      </c>
      <c r="B148">
        <v>118</v>
      </c>
      <c r="C148">
        <v>1</v>
      </c>
      <c r="D148">
        <v>25</v>
      </c>
      <c r="E148">
        <v>0</v>
      </c>
      <c r="F148">
        <v>34.106117439456199</v>
      </c>
      <c r="G148">
        <v>2835</v>
      </c>
      <c r="H148">
        <v>10000</v>
      </c>
      <c r="I148" t="s">
        <v>401</v>
      </c>
    </row>
    <row r="149" spans="1:9" x14ac:dyDescent="0.2">
      <c r="A149" t="s">
        <v>79</v>
      </c>
      <c r="B149">
        <v>119</v>
      </c>
      <c r="C149">
        <v>39</v>
      </c>
      <c r="D149">
        <v>16</v>
      </c>
      <c r="E149">
        <v>2</v>
      </c>
      <c r="F149">
        <v>90.4587310627102</v>
      </c>
      <c r="G149">
        <v>3</v>
      </c>
      <c r="H149">
        <v>10000</v>
      </c>
      <c r="I149" t="s">
        <v>402</v>
      </c>
    </row>
    <row r="150" spans="1:9" x14ac:dyDescent="0.2">
      <c r="A150" t="s">
        <v>80</v>
      </c>
      <c r="B150">
        <v>120</v>
      </c>
      <c r="C150">
        <v>40</v>
      </c>
      <c r="D150">
        <v>16</v>
      </c>
      <c r="E150">
        <v>2</v>
      </c>
      <c r="F150">
        <v>93.558989479206502</v>
      </c>
      <c r="G150">
        <v>254</v>
      </c>
      <c r="H150">
        <v>10000</v>
      </c>
      <c r="I150" t="s">
        <v>403</v>
      </c>
    </row>
    <row r="151" spans="1:9" x14ac:dyDescent="0.2">
      <c r="A151" t="s">
        <v>81</v>
      </c>
      <c r="B151">
        <v>121</v>
      </c>
      <c r="C151">
        <v>36</v>
      </c>
      <c r="D151">
        <v>18</v>
      </c>
      <c r="E151">
        <v>3</v>
      </c>
      <c r="F151">
        <v>88.739538758993106</v>
      </c>
      <c r="G151">
        <v>1</v>
      </c>
      <c r="H151">
        <v>10000</v>
      </c>
      <c r="I151" t="s">
        <v>404</v>
      </c>
    </row>
    <row r="152" spans="1:9" x14ac:dyDescent="0.2">
      <c r="A152" t="s">
        <v>82</v>
      </c>
      <c r="B152">
        <v>122</v>
      </c>
      <c r="C152">
        <v>37</v>
      </c>
      <c r="D152">
        <v>18</v>
      </c>
      <c r="E152">
        <v>3</v>
      </c>
      <c r="F152">
        <v>90.832612909376607</v>
      </c>
      <c r="G152">
        <v>67</v>
      </c>
      <c r="H152">
        <v>10000</v>
      </c>
      <c r="I152" t="s">
        <v>405</v>
      </c>
    </row>
    <row r="153" spans="1:9" x14ac:dyDescent="0.2">
      <c r="A153" t="s">
        <v>83</v>
      </c>
      <c r="B153">
        <v>123</v>
      </c>
      <c r="C153">
        <v>38</v>
      </c>
      <c r="D153">
        <v>16</v>
      </c>
      <c r="E153">
        <v>1</v>
      </c>
      <c r="F153">
        <v>94.897790119983199</v>
      </c>
      <c r="G153">
        <v>3</v>
      </c>
      <c r="H153">
        <v>10000</v>
      </c>
      <c r="I153" t="s">
        <v>406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22C52-A392-0B45-BD3B-D835CC02E763}">
  <dimension ref="A1:I153"/>
  <sheetViews>
    <sheetView topLeftCell="A31"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2</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35</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407</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1.84352957271039</v>
      </c>
      <c r="G33">
        <v>10000</v>
      </c>
      <c r="H33">
        <v>10000</v>
      </c>
      <c r="I33" t="s">
        <v>408</v>
      </c>
    </row>
    <row r="34" spans="1:9" x14ac:dyDescent="0.2">
      <c r="A34" t="s">
        <v>93</v>
      </c>
      <c r="B34">
        <v>4</v>
      </c>
      <c r="C34">
        <v>1</v>
      </c>
      <c r="D34">
        <v>2</v>
      </c>
      <c r="E34">
        <v>0</v>
      </c>
      <c r="F34">
        <v>1.93429916724562</v>
      </c>
      <c r="G34">
        <v>10000</v>
      </c>
      <c r="H34">
        <v>10000</v>
      </c>
      <c r="I34" t="s">
        <v>409</v>
      </c>
    </row>
    <row r="35" spans="1:9" x14ac:dyDescent="0.2">
      <c r="A35" t="s">
        <v>94</v>
      </c>
      <c r="B35">
        <v>5</v>
      </c>
      <c r="C35">
        <v>1</v>
      </c>
      <c r="D35">
        <v>3</v>
      </c>
      <c r="E35">
        <v>0</v>
      </c>
      <c r="F35">
        <v>2.0525572849437501</v>
      </c>
      <c r="G35">
        <v>10000</v>
      </c>
      <c r="H35">
        <v>10000</v>
      </c>
      <c r="I35" t="s">
        <v>410</v>
      </c>
    </row>
    <row r="36" spans="1:9" x14ac:dyDescent="0.2">
      <c r="A36" t="s">
        <v>95</v>
      </c>
      <c r="B36">
        <v>6</v>
      </c>
      <c r="C36">
        <v>1</v>
      </c>
      <c r="D36">
        <v>3</v>
      </c>
      <c r="E36">
        <v>0</v>
      </c>
      <c r="F36">
        <v>2.0908897211775099</v>
      </c>
      <c r="G36">
        <v>10000</v>
      </c>
      <c r="H36">
        <v>10000</v>
      </c>
      <c r="I36" t="s">
        <v>410</v>
      </c>
    </row>
    <row r="37" spans="1:9" x14ac:dyDescent="0.2">
      <c r="A37" t="s">
        <v>96</v>
      </c>
      <c r="B37">
        <v>7</v>
      </c>
      <c r="C37">
        <v>1</v>
      </c>
      <c r="D37">
        <v>3</v>
      </c>
      <c r="E37">
        <v>0</v>
      </c>
      <c r="F37">
        <v>2.1323368977755299</v>
      </c>
      <c r="G37">
        <v>10000</v>
      </c>
      <c r="H37">
        <v>10000</v>
      </c>
      <c r="I37" t="s">
        <v>411</v>
      </c>
    </row>
    <row r="38" spans="1:9" x14ac:dyDescent="0.2">
      <c r="A38" t="s">
        <v>97</v>
      </c>
      <c r="B38">
        <v>8</v>
      </c>
      <c r="C38">
        <v>1</v>
      </c>
      <c r="D38">
        <v>3</v>
      </c>
      <c r="E38">
        <v>0</v>
      </c>
      <c r="F38">
        <v>2.16537505574524</v>
      </c>
      <c r="G38">
        <v>10000</v>
      </c>
      <c r="H38">
        <v>10000</v>
      </c>
      <c r="I38" t="s">
        <v>410</v>
      </c>
    </row>
    <row r="39" spans="1:9" x14ac:dyDescent="0.2">
      <c r="A39" t="s">
        <v>98</v>
      </c>
      <c r="B39">
        <v>9</v>
      </c>
      <c r="C39">
        <v>1</v>
      </c>
      <c r="D39">
        <v>3</v>
      </c>
      <c r="E39">
        <v>0</v>
      </c>
      <c r="F39">
        <v>2.1980821704491902</v>
      </c>
      <c r="G39">
        <v>10000</v>
      </c>
      <c r="H39">
        <v>10000</v>
      </c>
      <c r="I39" t="s">
        <v>410</v>
      </c>
    </row>
    <row r="40" spans="1:9" x14ac:dyDescent="0.2">
      <c r="A40" t="s">
        <v>99</v>
      </c>
      <c r="B40">
        <v>10</v>
      </c>
      <c r="C40">
        <v>1</v>
      </c>
      <c r="D40">
        <v>4</v>
      </c>
      <c r="E40">
        <v>0</v>
      </c>
      <c r="F40">
        <v>2.1802528994157901</v>
      </c>
      <c r="G40">
        <v>9998</v>
      </c>
      <c r="H40">
        <v>10000</v>
      </c>
      <c r="I40" t="s">
        <v>412</v>
      </c>
    </row>
    <row r="41" spans="1:9" x14ac:dyDescent="0.2">
      <c r="A41" t="s">
        <v>100</v>
      </c>
      <c r="B41">
        <v>11</v>
      </c>
      <c r="C41">
        <v>1</v>
      </c>
      <c r="D41">
        <v>5</v>
      </c>
      <c r="E41">
        <v>0</v>
      </c>
      <c r="F41">
        <v>2.4791637696325699</v>
      </c>
      <c r="G41">
        <v>10000</v>
      </c>
      <c r="H41">
        <v>10000</v>
      </c>
      <c r="I41" t="s">
        <v>413</v>
      </c>
    </row>
    <row r="42" spans="1:9" x14ac:dyDescent="0.2">
      <c r="A42" t="s">
        <v>101</v>
      </c>
      <c r="B42">
        <v>12</v>
      </c>
      <c r="C42">
        <v>6</v>
      </c>
      <c r="D42">
        <v>3</v>
      </c>
      <c r="E42">
        <v>0</v>
      </c>
      <c r="F42">
        <v>2.5592376543208899</v>
      </c>
      <c r="G42">
        <v>9829</v>
      </c>
      <c r="H42">
        <v>10000</v>
      </c>
      <c r="I42" t="s">
        <v>414</v>
      </c>
    </row>
    <row r="43" spans="1:9" x14ac:dyDescent="0.2">
      <c r="A43" t="s">
        <v>102</v>
      </c>
      <c r="B43">
        <v>13</v>
      </c>
      <c r="C43">
        <v>6</v>
      </c>
      <c r="D43">
        <v>3</v>
      </c>
      <c r="E43">
        <v>0</v>
      </c>
      <c r="F43">
        <v>2.63003046158701</v>
      </c>
      <c r="G43">
        <v>9816</v>
      </c>
      <c r="H43">
        <v>10000</v>
      </c>
      <c r="I43" t="s">
        <v>415</v>
      </c>
    </row>
    <row r="44" spans="1:9" x14ac:dyDescent="0.2">
      <c r="A44" t="s">
        <v>103</v>
      </c>
      <c r="B44">
        <v>14</v>
      </c>
      <c r="C44">
        <v>2</v>
      </c>
      <c r="D44">
        <v>5</v>
      </c>
      <c r="E44">
        <v>0</v>
      </c>
      <c r="F44">
        <v>2.4533396884798999</v>
      </c>
      <c r="G44">
        <v>9909</v>
      </c>
      <c r="H44">
        <v>10000</v>
      </c>
      <c r="I44" t="s">
        <v>416</v>
      </c>
    </row>
    <row r="45" spans="1:9" x14ac:dyDescent="0.2">
      <c r="A45" t="s">
        <v>104</v>
      </c>
      <c r="B45">
        <v>15</v>
      </c>
      <c r="C45">
        <v>2</v>
      </c>
      <c r="D45">
        <v>5</v>
      </c>
      <c r="E45">
        <v>0</v>
      </c>
      <c r="F45">
        <v>2.49013100657612</v>
      </c>
      <c r="G45">
        <v>9898</v>
      </c>
      <c r="H45">
        <v>10000</v>
      </c>
      <c r="I45" t="s">
        <v>417</v>
      </c>
    </row>
    <row r="46" spans="1:9" x14ac:dyDescent="0.2">
      <c r="A46" t="s">
        <v>105</v>
      </c>
      <c r="B46">
        <v>16</v>
      </c>
      <c r="C46">
        <v>1</v>
      </c>
      <c r="D46">
        <v>6</v>
      </c>
      <c r="E46">
        <v>0</v>
      </c>
      <c r="F46">
        <v>2.5617452310398199</v>
      </c>
      <c r="G46">
        <v>10000</v>
      </c>
      <c r="H46">
        <v>10000</v>
      </c>
      <c r="I46" t="s">
        <v>299</v>
      </c>
    </row>
    <row r="47" spans="1:9" x14ac:dyDescent="0.2">
      <c r="A47" t="s">
        <v>106</v>
      </c>
      <c r="B47">
        <v>17</v>
      </c>
      <c r="C47">
        <v>3</v>
      </c>
      <c r="D47">
        <v>5</v>
      </c>
      <c r="E47">
        <v>0</v>
      </c>
      <c r="F47">
        <v>2.6463275486603299</v>
      </c>
      <c r="G47">
        <v>10000</v>
      </c>
      <c r="H47">
        <v>10000</v>
      </c>
      <c r="I47" t="s">
        <v>418</v>
      </c>
    </row>
    <row r="48" spans="1:9" x14ac:dyDescent="0.2">
      <c r="A48" t="s">
        <v>107</v>
      </c>
      <c r="B48">
        <v>18</v>
      </c>
      <c r="C48">
        <v>5</v>
      </c>
      <c r="D48">
        <v>5</v>
      </c>
      <c r="E48">
        <v>0</v>
      </c>
      <c r="F48">
        <v>2.81405927520245</v>
      </c>
      <c r="G48">
        <v>9999</v>
      </c>
      <c r="H48">
        <v>10000</v>
      </c>
      <c r="I48" t="s">
        <v>419</v>
      </c>
    </row>
    <row r="49" spans="1:9" x14ac:dyDescent="0.2">
      <c r="A49" t="s">
        <v>108</v>
      </c>
      <c r="B49">
        <v>19</v>
      </c>
      <c r="C49">
        <v>5</v>
      </c>
      <c r="D49">
        <v>5</v>
      </c>
      <c r="E49">
        <v>0</v>
      </c>
      <c r="F49">
        <v>2.8784887995570898</v>
      </c>
      <c r="G49">
        <v>9991</v>
      </c>
      <c r="H49">
        <v>10000</v>
      </c>
      <c r="I49" t="s">
        <v>420</v>
      </c>
    </row>
    <row r="50" spans="1:9" x14ac:dyDescent="0.2">
      <c r="A50" t="s">
        <v>109</v>
      </c>
      <c r="B50">
        <v>20</v>
      </c>
      <c r="C50">
        <v>3</v>
      </c>
      <c r="D50">
        <v>6</v>
      </c>
      <c r="E50">
        <v>0</v>
      </c>
      <c r="F50">
        <v>2.7693319898098698</v>
      </c>
      <c r="G50">
        <v>9950</v>
      </c>
      <c r="H50">
        <v>10000</v>
      </c>
      <c r="I50" t="s">
        <v>421</v>
      </c>
    </row>
    <row r="51" spans="1:9" x14ac:dyDescent="0.2">
      <c r="A51" t="s">
        <v>110</v>
      </c>
      <c r="B51">
        <v>21</v>
      </c>
      <c r="C51">
        <v>3</v>
      </c>
      <c r="D51">
        <v>6</v>
      </c>
      <c r="E51">
        <v>0</v>
      </c>
      <c r="F51">
        <v>2.8219171948730901</v>
      </c>
      <c r="G51">
        <v>9946</v>
      </c>
      <c r="H51">
        <v>10000</v>
      </c>
      <c r="I51" t="s">
        <v>422</v>
      </c>
    </row>
    <row r="52" spans="1:9" x14ac:dyDescent="0.2">
      <c r="A52" t="s">
        <v>111</v>
      </c>
      <c r="B52">
        <v>22</v>
      </c>
      <c r="C52">
        <v>7</v>
      </c>
      <c r="D52">
        <v>5</v>
      </c>
      <c r="E52">
        <v>0</v>
      </c>
      <c r="F52">
        <v>2.9677751166745998</v>
      </c>
      <c r="G52">
        <v>9937</v>
      </c>
      <c r="H52">
        <v>10000</v>
      </c>
      <c r="I52" t="s">
        <v>423</v>
      </c>
    </row>
    <row r="53" spans="1:9" x14ac:dyDescent="0.2">
      <c r="A53" t="s">
        <v>112</v>
      </c>
      <c r="B53">
        <v>23</v>
      </c>
      <c r="C53">
        <v>2</v>
      </c>
      <c r="D53">
        <v>7</v>
      </c>
      <c r="E53">
        <v>0</v>
      </c>
      <c r="F53">
        <v>2.8458884619176299</v>
      </c>
      <c r="G53">
        <v>9615</v>
      </c>
      <c r="H53">
        <v>10000</v>
      </c>
      <c r="I53" t="s">
        <v>424</v>
      </c>
    </row>
    <row r="54" spans="1:9" x14ac:dyDescent="0.2">
      <c r="A54" t="s">
        <v>113</v>
      </c>
      <c r="B54">
        <v>24</v>
      </c>
      <c r="C54">
        <v>8</v>
      </c>
      <c r="D54">
        <v>5</v>
      </c>
      <c r="E54">
        <v>0</v>
      </c>
      <c r="F54">
        <v>3.30280963052064</v>
      </c>
      <c r="G54">
        <v>4383</v>
      </c>
      <c r="H54">
        <v>10000</v>
      </c>
      <c r="I54" t="s">
        <v>425</v>
      </c>
    </row>
    <row r="55" spans="1:9" x14ac:dyDescent="0.2">
      <c r="A55" t="s">
        <v>114</v>
      </c>
      <c r="B55">
        <v>25</v>
      </c>
      <c r="C55">
        <v>8</v>
      </c>
      <c r="D55">
        <v>5</v>
      </c>
      <c r="E55">
        <v>0</v>
      </c>
      <c r="F55">
        <v>3.37064032629132</v>
      </c>
      <c r="G55">
        <v>4446</v>
      </c>
      <c r="H55">
        <v>10000</v>
      </c>
      <c r="I55" t="s">
        <v>426</v>
      </c>
    </row>
    <row r="56" spans="1:9" x14ac:dyDescent="0.2">
      <c r="A56" t="s">
        <v>115</v>
      </c>
      <c r="B56">
        <v>26</v>
      </c>
      <c r="C56">
        <v>6</v>
      </c>
      <c r="D56">
        <v>6</v>
      </c>
      <c r="E56">
        <v>0</v>
      </c>
      <c r="F56">
        <v>3.2488272124901401</v>
      </c>
      <c r="G56">
        <v>6758</v>
      </c>
      <c r="H56">
        <v>10000</v>
      </c>
      <c r="I56" t="s">
        <v>427</v>
      </c>
    </row>
    <row r="57" spans="1:9" x14ac:dyDescent="0.2">
      <c r="A57" t="s">
        <v>116</v>
      </c>
      <c r="B57">
        <v>27</v>
      </c>
      <c r="C57">
        <v>6</v>
      </c>
      <c r="D57">
        <v>6</v>
      </c>
      <c r="E57">
        <v>0</v>
      </c>
      <c r="F57">
        <v>3.3208893528208101</v>
      </c>
      <c r="G57">
        <v>6743</v>
      </c>
      <c r="H57">
        <v>10000</v>
      </c>
      <c r="I57" t="s">
        <v>428</v>
      </c>
    </row>
    <row r="58" spans="1:9" x14ac:dyDescent="0.2">
      <c r="A58" t="s">
        <v>117</v>
      </c>
      <c r="B58">
        <v>28</v>
      </c>
      <c r="C58">
        <v>6</v>
      </c>
      <c r="D58">
        <v>6</v>
      </c>
      <c r="E58">
        <v>0</v>
      </c>
      <c r="F58">
        <v>3.3760253619402598</v>
      </c>
      <c r="G58">
        <v>6858</v>
      </c>
      <c r="H58">
        <v>10000</v>
      </c>
      <c r="I58" t="s">
        <v>429</v>
      </c>
    </row>
    <row r="59" spans="1:9" x14ac:dyDescent="0.2">
      <c r="A59" t="s">
        <v>118</v>
      </c>
      <c r="B59">
        <v>29</v>
      </c>
      <c r="C59">
        <v>6</v>
      </c>
      <c r="D59">
        <v>7</v>
      </c>
      <c r="E59">
        <v>0</v>
      </c>
      <c r="F59">
        <v>3.3434745837002899</v>
      </c>
      <c r="G59">
        <v>8848</v>
      </c>
      <c r="H59">
        <v>10000</v>
      </c>
      <c r="I59" t="s">
        <v>430</v>
      </c>
    </row>
    <row r="60" spans="1:9" x14ac:dyDescent="0.2">
      <c r="A60" t="s">
        <v>119</v>
      </c>
      <c r="B60">
        <v>30</v>
      </c>
      <c r="C60">
        <v>9</v>
      </c>
      <c r="D60">
        <v>6</v>
      </c>
      <c r="E60">
        <v>0</v>
      </c>
      <c r="F60">
        <v>3.5808690581470701</v>
      </c>
      <c r="G60">
        <v>7762</v>
      </c>
      <c r="H60">
        <v>10000</v>
      </c>
      <c r="I60" t="s">
        <v>431</v>
      </c>
    </row>
    <row r="61" spans="1:9" x14ac:dyDescent="0.2">
      <c r="A61" t="s">
        <v>120</v>
      </c>
      <c r="B61">
        <v>31</v>
      </c>
      <c r="C61">
        <v>9</v>
      </c>
      <c r="D61">
        <v>6</v>
      </c>
      <c r="E61">
        <v>0</v>
      </c>
      <c r="F61">
        <v>3.65579661540687</v>
      </c>
      <c r="G61">
        <v>7878</v>
      </c>
      <c r="H61">
        <v>10000</v>
      </c>
      <c r="I61" t="s">
        <v>432</v>
      </c>
    </row>
    <row r="62" spans="1:9" x14ac:dyDescent="0.2">
      <c r="A62" t="s">
        <v>121</v>
      </c>
      <c r="B62">
        <v>32</v>
      </c>
      <c r="C62">
        <v>5</v>
      </c>
      <c r="D62">
        <v>8</v>
      </c>
      <c r="E62">
        <v>0</v>
      </c>
      <c r="F62">
        <v>3.5065103080123601</v>
      </c>
      <c r="G62">
        <v>9490</v>
      </c>
      <c r="H62">
        <v>10000</v>
      </c>
      <c r="I62" t="s">
        <v>433</v>
      </c>
    </row>
    <row r="63" spans="1:9" x14ac:dyDescent="0.2">
      <c r="A63" t="s">
        <v>122</v>
      </c>
      <c r="B63">
        <v>33</v>
      </c>
      <c r="C63">
        <v>7</v>
      </c>
      <c r="D63">
        <v>8</v>
      </c>
      <c r="E63">
        <v>0</v>
      </c>
      <c r="F63">
        <v>3.9183797007426602</v>
      </c>
      <c r="G63">
        <v>7332</v>
      </c>
      <c r="H63">
        <v>10000</v>
      </c>
      <c r="I63" t="s">
        <v>434</v>
      </c>
    </row>
    <row r="64" spans="1:9" x14ac:dyDescent="0.2">
      <c r="A64" t="s">
        <v>123</v>
      </c>
      <c r="B64">
        <v>34</v>
      </c>
      <c r="C64">
        <v>17</v>
      </c>
      <c r="D64">
        <v>5</v>
      </c>
      <c r="E64">
        <v>0</v>
      </c>
      <c r="F64">
        <v>4.7828903691843099</v>
      </c>
      <c r="G64">
        <v>7906</v>
      </c>
      <c r="H64">
        <v>10000</v>
      </c>
      <c r="I64" t="s">
        <v>435</v>
      </c>
    </row>
    <row r="65" spans="1:9" x14ac:dyDescent="0.2">
      <c r="A65" t="s">
        <v>124</v>
      </c>
      <c r="B65">
        <v>35</v>
      </c>
      <c r="C65">
        <v>4</v>
      </c>
      <c r="D65">
        <v>9</v>
      </c>
      <c r="E65">
        <v>0</v>
      </c>
      <c r="F65">
        <v>3.6108271814882702</v>
      </c>
      <c r="G65">
        <v>6546</v>
      </c>
      <c r="H65">
        <v>10000</v>
      </c>
      <c r="I65" t="s">
        <v>436</v>
      </c>
    </row>
    <row r="66" spans="1:9" x14ac:dyDescent="0.2">
      <c r="A66" t="s">
        <v>125</v>
      </c>
      <c r="B66">
        <v>36</v>
      </c>
      <c r="C66">
        <v>4</v>
      </c>
      <c r="D66">
        <v>9</v>
      </c>
      <c r="E66">
        <v>0</v>
      </c>
      <c r="F66">
        <v>3.6366991577669898</v>
      </c>
      <c r="G66">
        <v>6550</v>
      </c>
      <c r="H66">
        <v>10000</v>
      </c>
      <c r="I66" t="s">
        <v>437</v>
      </c>
    </row>
    <row r="67" spans="1:9" x14ac:dyDescent="0.2">
      <c r="A67" t="s">
        <v>126</v>
      </c>
      <c r="B67">
        <v>37</v>
      </c>
      <c r="C67">
        <v>4</v>
      </c>
      <c r="D67">
        <v>9</v>
      </c>
      <c r="E67">
        <v>0</v>
      </c>
      <c r="F67">
        <v>3.7266440270468499</v>
      </c>
      <c r="G67">
        <v>6507</v>
      </c>
      <c r="H67">
        <v>10000</v>
      </c>
      <c r="I67" t="s">
        <v>438</v>
      </c>
    </row>
    <row r="68" spans="1:9" x14ac:dyDescent="0.2">
      <c r="A68" t="s">
        <v>127</v>
      </c>
      <c r="B68">
        <v>38</v>
      </c>
      <c r="C68">
        <v>4</v>
      </c>
      <c r="D68">
        <v>9</v>
      </c>
      <c r="E68">
        <v>0</v>
      </c>
      <c r="F68">
        <v>3.7788724405691001</v>
      </c>
      <c r="G68">
        <v>6604</v>
      </c>
      <c r="H68">
        <v>10000</v>
      </c>
      <c r="I68" t="s">
        <v>439</v>
      </c>
    </row>
    <row r="69" spans="1:9" x14ac:dyDescent="0.2">
      <c r="A69" t="s">
        <v>128</v>
      </c>
      <c r="B69">
        <v>39</v>
      </c>
      <c r="C69">
        <v>4</v>
      </c>
      <c r="D69">
        <v>9</v>
      </c>
      <c r="E69">
        <v>0</v>
      </c>
      <c r="F69">
        <v>3.9369479576125701</v>
      </c>
      <c r="G69">
        <v>3866</v>
      </c>
      <c r="H69">
        <v>10000</v>
      </c>
      <c r="I69" t="s">
        <v>440</v>
      </c>
    </row>
    <row r="70" spans="1:9" x14ac:dyDescent="0.2">
      <c r="A70" t="s">
        <v>129</v>
      </c>
      <c r="B70">
        <v>40</v>
      </c>
      <c r="C70">
        <v>5</v>
      </c>
      <c r="D70">
        <v>9</v>
      </c>
      <c r="E70">
        <v>0</v>
      </c>
      <c r="F70">
        <v>4.0638027684763003</v>
      </c>
      <c r="G70">
        <v>6108</v>
      </c>
      <c r="H70">
        <v>10000</v>
      </c>
      <c r="I70" t="s">
        <v>441</v>
      </c>
    </row>
    <row r="71" spans="1:9" x14ac:dyDescent="0.2">
      <c r="A71" t="s">
        <v>130</v>
      </c>
      <c r="B71">
        <v>41</v>
      </c>
      <c r="C71">
        <v>2</v>
      </c>
      <c r="D71">
        <v>11</v>
      </c>
      <c r="E71">
        <v>0</v>
      </c>
      <c r="F71">
        <v>3.9361022533848802</v>
      </c>
      <c r="G71">
        <v>5746</v>
      </c>
      <c r="H71">
        <v>10000</v>
      </c>
      <c r="I71" t="s">
        <v>442</v>
      </c>
    </row>
    <row r="72" spans="1:9" x14ac:dyDescent="0.2">
      <c r="A72" t="s">
        <v>131</v>
      </c>
      <c r="B72">
        <v>42</v>
      </c>
      <c r="C72">
        <v>5</v>
      </c>
      <c r="D72">
        <v>9</v>
      </c>
      <c r="E72">
        <v>0</v>
      </c>
      <c r="F72">
        <v>4.3207208244129998</v>
      </c>
      <c r="G72">
        <v>1952</v>
      </c>
      <c r="H72">
        <v>10000</v>
      </c>
      <c r="I72" t="s">
        <v>443</v>
      </c>
    </row>
    <row r="73" spans="1:9" x14ac:dyDescent="0.2">
      <c r="A73" t="s">
        <v>132</v>
      </c>
      <c r="B73">
        <v>43</v>
      </c>
      <c r="C73">
        <v>6</v>
      </c>
      <c r="D73">
        <v>9</v>
      </c>
      <c r="E73">
        <v>0</v>
      </c>
      <c r="F73">
        <v>4.6817379500716898</v>
      </c>
      <c r="G73">
        <v>1879</v>
      </c>
      <c r="H73">
        <v>10000</v>
      </c>
      <c r="I73" t="s">
        <v>444</v>
      </c>
    </row>
    <row r="74" spans="1:9" x14ac:dyDescent="0.2">
      <c r="A74" t="s">
        <v>133</v>
      </c>
      <c r="B74">
        <v>44</v>
      </c>
      <c r="C74">
        <v>6</v>
      </c>
      <c r="D74">
        <v>9</v>
      </c>
      <c r="E74">
        <v>0</v>
      </c>
      <c r="F74">
        <v>4.5619454355910403</v>
      </c>
      <c r="G74">
        <v>1770</v>
      </c>
      <c r="H74">
        <v>10000</v>
      </c>
      <c r="I74" t="s">
        <v>445</v>
      </c>
    </row>
    <row r="75" spans="1:9" x14ac:dyDescent="0.2">
      <c r="A75" t="s">
        <v>134</v>
      </c>
      <c r="B75">
        <v>45</v>
      </c>
      <c r="C75">
        <v>6</v>
      </c>
      <c r="D75">
        <v>9</v>
      </c>
      <c r="E75">
        <v>0</v>
      </c>
      <c r="F75">
        <v>4.6869888547807896</v>
      </c>
      <c r="G75">
        <v>1877</v>
      </c>
      <c r="H75">
        <v>10000</v>
      </c>
      <c r="I75" t="s">
        <v>446</v>
      </c>
    </row>
    <row r="76" spans="1:9" x14ac:dyDescent="0.2">
      <c r="A76" t="s">
        <v>135</v>
      </c>
      <c r="B76">
        <v>46</v>
      </c>
      <c r="C76">
        <v>7</v>
      </c>
      <c r="D76">
        <v>9</v>
      </c>
      <c r="E76">
        <v>0</v>
      </c>
      <c r="F76">
        <v>4.99396175798028</v>
      </c>
      <c r="G76">
        <v>1623</v>
      </c>
      <c r="H76">
        <v>10000</v>
      </c>
      <c r="I76" t="s">
        <v>447</v>
      </c>
    </row>
    <row r="77" spans="1:9" x14ac:dyDescent="0.2">
      <c r="A77" t="s">
        <v>136</v>
      </c>
      <c r="B77">
        <v>47</v>
      </c>
      <c r="C77">
        <v>8</v>
      </c>
      <c r="D77">
        <v>9</v>
      </c>
      <c r="E77">
        <v>0</v>
      </c>
      <c r="F77">
        <v>5.3775108829140601</v>
      </c>
      <c r="G77">
        <v>2128</v>
      </c>
      <c r="H77">
        <v>10000</v>
      </c>
      <c r="I77" t="s">
        <v>448</v>
      </c>
    </row>
    <row r="78" spans="1:9" x14ac:dyDescent="0.2">
      <c r="A78" t="s">
        <v>137</v>
      </c>
      <c r="B78">
        <v>48</v>
      </c>
      <c r="C78">
        <v>5</v>
      </c>
      <c r="D78">
        <v>10</v>
      </c>
      <c r="E78">
        <v>0</v>
      </c>
      <c r="F78">
        <v>4.82472905609756</v>
      </c>
      <c r="G78">
        <v>1503</v>
      </c>
      <c r="H78">
        <v>10000</v>
      </c>
      <c r="I78" t="s">
        <v>449</v>
      </c>
    </row>
    <row r="79" spans="1:9" x14ac:dyDescent="0.2">
      <c r="A79" t="s">
        <v>138</v>
      </c>
      <c r="B79">
        <v>49</v>
      </c>
      <c r="C79">
        <v>17</v>
      </c>
      <c r="D79">
        <v>7</v>
      </c>
      <c r="E79">
        <v>0</v>
      </c>
      <c r="F79">
        <v>7.1046810345724198</v>
      </c>
      <c r="G79">
        <v>1603</v>
      </c>
      <c r="H79">
        <v>10000</v>
      </c>
      <c r="I79" t="s">
        <v>450</v>
      </c>
    </row>
    <row r="80" spans="1:9" x14ac:dyDescent="0.2">
      <c r="A80" t="s">
        <v>139</v>
      </c>
      <c r="B80">
        <v>50</v>
      </c>
      <c r="C80">
        <v>13</v>
      </c>
      <c r="D80">
        <v>8</v>
      </c>
      <c r="E80">
        <v>0</v>
      </c>
      <c r="F80">
        <v>6.3857780722901198</v>
      </c>
      <c r="G80">
        <v>1117</v>
      </c>
      <c r="H80">
        <v>10000</v>
      </c>
      <c r="I80" t="s">
        <v>451</v>
      </c>
    </row>
    <row r="81" spans="1:9" x14ac:dyDescent="0.2">
      <c r="A81" t="s">
        <v>188</v>
      </c>
      <c r="B81">
        <v>51</v>
      </c>
      <c r="C81">
        <v>12</v>
      </c>
      <c r="D81">
        <v>9</v>
      </c>
      <c r="E81">
        <v>0</v>
      </c>
      <c r="F81">
        <v>6.35294858925044</v>
      </c>
      <c r="G81">
        <v>1443</v>
      </c>
      <c r="H81">
        <v>10000</v>
      </c>
      <c r="I81" t="s">
        <v>452</v>
      </c>
    </row>
    <row r="82" spans="1:9" x14ac:dyDescent="0.2">
      <c r="A82" t="s">
        <v>190</v>
      </c>
      <c r="B82">
        <v>52</v>
      </c>
      <c r="C82">
        <v>10</v>
      </c>
      <c r="D82">
        <v>11</v>
      </c>
      <c r="E82">
        <v>1</v>
      </c>
      <c r="F82">
        <v>6.3888484686613003</v>
      </c>
      <c r="G82">
        <v>3398</v>
      </c>
      <c r="H82">
        <v>10000</v>
      </c>
      <c r="I82" t="s">
        <v>453</v>
      </c>
    </row>
    <row r="83" spans="1:9" x14ac:dyDescent="0.2">
      <c r="A83" t="s">
        <v>192</v>
      </c>
      <c r="B83">
        <v>53</v>
      </c>
      <c r="C83">
        <v>6</v>
      </c>
      <c r="D83">
        <v>11</v>
      </c>
      <c r="E83">
        <v>0</v>
      </c>
      <c r="F83">
        <v>5.6820017015561399</v>
      </c>
      <c r="G83">
        <v>1042</v>
      </c>
      <c r="H83">
        <v>10000</v>
      </c>
      <c r="I83" t="s">
        <v>454</v>
      </c>
    </row>
    <row r="84" spans="1:9" x14ac:dyDescent="0.2">
      <c r="A84" t="s">
        <v>194</v>
      </c>
      <c r="B84">
        <v>54</v>
      </c>
      <c r="C84">
        <v>12</v>
      </c>
      <c r="D84">
        <v>10</v>
      </c>
      <c r="E84">
        <v>0</v>
      </c>
      <c r="F84">
        <v>7.1605969984084297</v>
      </c>
      <c r="G84">
        <v>1261</v>
      </c>
      <c r="H84">
        <v>10000</v>
      </c>
      <c r="I84" t="s">
        <v>455</v>
      </c>
    </row>
    <row r="85" spans="1:9" x14ac:dyDescent="0.2">
      <c r="A85" t="s">
        <v>196</v>
      </c>
      <c r="B85">
        <v>55</v>
      </c>
      <c r="C85">
        <v>5</v>
      </c>
      <c r="D85">
        <v>12</v>
      </c>
      <c r="E85">
        <v>0</v>
      </c>
      <c r="F85">
        <v>5.89092935528606</v>
      </c>
      <c r="G85">
        <v>792</v>
      </c>
      <c r="H85">
        <v>10000</v>
      </c>
      <c r="I85" t="s">
        <v>456</v>
      </c>
    </row>
    <row r="86" spans="1:9" x14ac:dyDescent="0.2">
      <c r="A86" t="s">
        <v>198</v>
      </c>
      <c r="B86">
        <v>56</v>
      </c>
      <c r="C86">
        <v>5</v>
      </c>
      <c r="D86">
        <v>12</v>
      </c>
      <c r="E86">
        <v>0</v>
      </c>
      <c r="F86">
        <v>5.8089930983260203</v>
      </c>
      <c r="G86">
        <v>1126</v>
      </c>
      <c r="H86">
        <v>10000</v>
      </c>
      <c r="I86" t="s">
        <v>457</v>
      </c>
    </row>
    <row r="87" spans="1:9" x14ac:dyDescent="0.2">
      <c r="A87" t="s">
        <v>200</v>
      </c>
      <c r="B87">
        <v>57</v>
      </c>
      <c r="C87">
        <v>4</v>
      </c>
      <c r="D87">
        <v>13</v>
      </c>
      <c r="E87">
        <v>0</v>
      </c>
      <c r="F87">
        <v>5.8363873502239496</v>
      </c>
      <c r="G87">
        <v>940</v>
      </c>
      <c r="H87">
        <v>10000</v>
      </c>
      <c r="I87" t="s">
        <v>458</v>
      </c>
    </row>
    <row r="88" spans="1:9" x14ac:dyDescent="0.2">
      <c r="A88" t="s">
        <v>202</v>
      </c>
      <c r="B88">
        <v>58</v>
      </c>
      <c r="C88">
        <v>12</v>
      </c>
      <c r="D88">
        <v>10</v>
      </c>
      <c r="E88">
        <v>0</v>
      </c>
      <c r="F88">
        <v>7.6812478294595996</v>
      </c>
      <c r="G88">
        <v>1150</v>
      </c>
      <c r="H88">
        <v>10000</v>
      </c>
      <c r="I88" t="s">
        <v>459</v>
      </c>
    </row>
    <row r="89" spans="1:9" x14ac:dyDescent="0.2">
      <c r="A89" t="s">
        <v>204</v>
      </c>
      <c r="B89">
        <v>59</v>
      </c>
      <c r="C89">
        <v>12</v>
      </c>
      <c r="D89">
        <v>10</v>
      </c>
      <c r="E89">
        <v>0</v>
      </c>
      <c r="F89">
        <v>7.8558863475918699</v>
      </c>
      <c r="G89">
        <v>975</v>
      </c>
      <c r="H89">
        <v>10000</v>
      </c>
      <c r="I89" t="s">
        <v>460</v>
      </c>
    </row>
    <row r="90" spans="1:9" x14ac:dyDescent="0.2">
      <c r="A90" t="s">
        <v>206</v>
      </c>
      <c r="B90">
        <v>60</v>
      </c>
      <c r="C90">
        <v>10</v>
      </c>
      <c r="D90">
        <v>11</v>
      </c>
      <c r="E90">
        <v>0</v>
      </c>
      <c r="F90">
        <v>7.7058130903169504</v>
      </c>
      <c r="G90">
        <v>1168</v>
      </c>
      <c r="H90">
        <v>10000</v>
      </c>
      <c r="I90" t="s">
        <v>461</v>
      </c>
    </row>
    <row r="91" spans="1:9" x14ac:dyDescent="0.2">
      <c r="A91" t="s">
        <v>208</v>
      </c>
      <c r="B91">
        <v>61</v>
      </c>
      <c r="C91">
        <v>10</v>
      </c>
      <c r="D91">
        <v>11</v>
      </c>
      <c r="E91">
        <v>0</v>
      </c>
      <c r="F91">
        <v>7.97907013259828</v>
      </c>
      <c r="G91">
        <v>1361</v>
      </c>
      <c r="H91">
        <v>10000</v>
      </c>
      <c r="I91" t="s">
        <v>462</v>
      </c>
    </row>
    <row r="92" spans="1:9" x14ac:dyDescent="0.2">
      <c r="A92" t="s">
        <v>210</v>
      </c>
      <c r="B92">
        <v>62</v>
      </c>
      <c r="C92">
        <v>16</v>
      </c>
      <c r="D92">
        <v>10</v>
      </c>
      <c r="E92">
        <v>0</v>
      </c>
      <c r="F92">
        <v>10.009875060990399</v>
      </c>
      <c r="G92">
        <v>1085</v>
      </c>
      <c r="H92">
        <v>10000</v>
      </c>
      <c r="I92" t="s">
        <v>463</v>
      </c>
    </row>
    <row r="93" spans="1:9" x14ac:dyDescent="0.2">
      <c r="A93" t="s">
        <v>212</v>
      </c>
      <c r="B93">
        <v>63</v>
      </c>
      <c r="C93">
        <v>8</v>
      </c>
      <c r="D93">
        <v>13</v>
      </c>
      <c r="E93">
        <v>0</v>
      </c>
      <c r="F93">
        <v>7.6212336467578998</v>
      </c>
      <c r="G93">
        <v>213</v>
      </c>
      <c r="H93">
        <v>10000</v>
      </c>
      <c r="I93" t="s">
        <v>464</v>
      </c>
    </row>
    <row r="94" spans="1:9" x14ac:dyDescent="0.2">
      <c r="A94" t="s">
        <v>214</v>
      </c>
      <c r="B94">
        <v>64</v>
      </c>
      <c r="C94">
        <v>13</v>
      </c>
      <c r="D94">
        <v>12</v>
      </c>
      <c r="E94">
        <v>0</v>
      </c>
      <c r="F94">
        <v>9.0156983863562292</v>
      </c>
      <c r="G94">
        <v>782</v>
      </c>
      <c r="H94">
        <v>10000</v>
      </c>
      <c r="I94" t="s">
        <v>465</v>
      </c>
    </row>
    <row r="95" spans="1:9" x14ac:dyDescent="0.2">
      <c r="A95" t="s">
        <v>216</v>
      </c>
      <c r="B95">
        <v>65</v>
      </c>
      <c r="C95">
        <v>5</v>
      </c>
      <c r="D95">
        <v>14</v>
      </c>
      <c r="E95">
        <v>0</v>
      </c>
      <c r="F95">
        <v>7.2745002871379203</v>
      </c>
      <c r="G95">
        <v>486</v>
      </c>
      <c r="H95">
        <v>10000</v>
      </c>
      <c r="I95" t="s">
        <v>466</v>
      </c>
    </row>
    <row r="96" spans="1:9" x14ac:dyDescent="0.2">
      <c r="A96" t="s">
        <v>218</v>
      </c>
      <c r="B96">
        <v>66</v>
      </c>
      <c r="C96">
        <v>5</v>
      </c>
      <c r="D96">
        <v>14</v>
      </c>
      <c r="E96">
        <v>0</v>
      </c>
      <c r="F96">
        <v>7.3822682881727797</v>
      </c>
      <c r="G96">
        <v>555</v>
      </c>
      <c r="H96">
        <v>10000</v>
      </c>
      <c r="I96" t="s">
        <v>467</v>
      </c>
    </row>
    <row r="97" spans="1:9" x14ac:dyDescent="0.2">
      <c r="A97" t="s">
        <v>220</v>
      </c>
      <c r="B97">
        <v>67</v>
      </c>
      <c r="C97">
        <v>5</v>
      </c>
      <c r="D97">
        <v>14</v>
      </c>
      <c r="E97">
        <v>0</v>
      </c>
      <c r="F97">
        <v>7.64887301530689</v>
      </c>
      <c r="G97">
        <v>470</v>
      </c>
      <c r="H97">
        <v>10000</v>
      </c>
      <c r="I97" t="s">
        <v>468</v>
      </c>
    </row>
    <row r="98" spans="1:9" x14ac:dyDescent="0.2">
      <c r="A98" t="s">
        <v>222</v>
      </c>
      <c r="B98">
        <v>68</v>
      </c>
      <c r="C98">
        <v>5</v>
      </c>
      <c r="D98">
        <v>14</v>
      </c>
      <c r="E98">
        <v>0</v>
      </c>
      <c r="F98">
        <v>7.6787667898461196</v>
      </c>
      <c r="G98">
        <v>28</v>
      </c>
      <c r="H98">
        <v>10000</v>
      </c>
      <c r="I98" t="s">
        <v>469</v>
      </c>
    </row>
    <row r="99" spans="1:9" x14ac:dyDescent="0.2">
      <c r="A99" t="s">
        <v>224</v>
      </c>
      <c r="B99">
        <v>69</v>
      </c>
      <c r="C99">
        <v>5</v>
      </c>
      <c r="D99">
        <v>14</v>
      </c>
      <c r="E99">
        <v>0</v>
      </c>
      <c r="F99">
        <v>7.8680984899401603</v>
      </c>
      <c r="G99">
        <v>280</v>
      </c>
      <c r="H99">
        <v>10000</v>
      </c>
      <c r="I99" t="s">
        <v>470</v>
      </c>
    </row>
    <row r="100" spans="1:9" x14ac:dyDescent="0.2">
      <c r="A100" t="s">
        <v>226</v>
      </c>
      <c r="B100">
        <v>70</v>
      </c>
      <c r="C100">
        <v>5</v>
      </c>
      <c r="D100">
        <v>14</v>
      </c>
      <c r="E100">
        <v>0</v>
      </c>
      <c r="F100">
        <v>7.9737046249210799</v>
      </c>
      <c r="G100">
        <v>881</v>
      </c>
      <c r="H100">
        <v>10000</v>
      </c>
      <c r="I100" t="s">
        <v>471</v>
      </c>
    </row>
    <row r="101" spans="1:9" x14ac:dyDescent="0.2">
      <c r="A101" t="s">
        <v>228</v>
      </c>
      <c r="B101">
        <v>71</v>
      </c>
      <c r="C101">
        <v>5</v>
      </c>
      <c r="D101">
        <v>15</v>
      </c>
      <c r="E101">
        <v>0</v>
      </c>
      <c r="F101">
        <v>8.3508578715845907</v>
      </c>
      <c r="G101">
        <v>54</v>
      </c>
      <c r="H101">
        <v>10000</v>
      </c>
      <c r="I101" t="s">
        <v>472</v>
      </c>
    </row>
    <row r="102" spans="1:9" x14ac:dyDescent="0.2">
      <c r="A102" t="s">
        <v>230</v>
      </c>
      <c r="B102">
        <v>72</v>
      </c>
      <c r="C102">
        <v>5</v>
      </c>
      <c r="D102">
        <v>15</v>
      </c>
      <c r="E102">
        <v>0</v>
      </c>
      <c r="F102">
        <v>8.3583951201289892</v>
      </c>
      <c r="G102">
        <v>324</v>
      </c>
      <c r="H102">
        <v>10000</v>
      </c>
      <c r="I102" t="s">
        <v>473</v>
      </c>
    </row>
    <row r="103" spans="1:9" x14ac:dyDescent="0.2">
      <c r="A103" t="s">
        <v>232</v>
      </c>
      <c r="B103">
        <v>73</v>
      </c>
      <c r="C103">
        <v>5</v>
      </c>
      <c r="D103">
        <v>15</v>
      </c>
      <c r="E103">
        <v>0</v>
      </c>
      <c r="F103">
        <v>8.7521717865020001</v>
      </c>
      <c r="G103">
        <v>109</v>
      </c>
      <c r="H103">
        <v>10000</v>
      </c>
      <c r="I103" t="s">
        <v>474</v>
      </c>
    </row>
    <row r="104" spans="1:9" x14ac:dyDescent="0.2">
      <c r="A104" t="s">
        <v>234</v>
      </c>
      <c r="B104">
        <v>74</v>
      </c>
      <c r="C104">
        <v>5</v>
      </c>
      <c r="D104">
        <v>15</v>
      </c>
      <c r="E104">
        <v>0</v>
      </c>
      <c r="F104">
        <v>8.7605313817039097</v>
      </c>
      <c r="G104">
        <v>13</v>
      </c>
      <c r="H104">
        <v>10000</v>
      </c>
      <c r="I104" t="s">
        <v>475</v>
      </c>
    </row>
    <row r="105" spans="1:9" x14ac:dyDescent="0.2">
      <c r="A105" t="s">
        <v>236</v>
      </c>
      <c r="B105">
        <v>75</v>
      </c>
      <c r="C105">
        <v>5</v>
      </c>
      <c r="D105">
        <v>16</v>
      </c>
      <c r="E105">
        <v>1</v>
      </c>
      <c r="F105">
        <v>9.0909330556169099</v>
      </c>
      <c r="G105">
        <v>35</v>
      </c>
      <c r="H105">
        <v>10000</v>
      </c>
      <c r="I105" t="s">
        <v>476</v>
      </c>
    </row>
    <row r="106" spans="1:9" x14ac:dyDescent="0.2">
      <c r="A106" t="s">
        <v>238</v>
      </c>
      <c r="B106">
        <v>76</v>
      </c>
      <c r="C106">
        <v>5</v>
      </c>
      <c r="D106">
        <v>15</v>
      </c>
      <c r="E106">
        <v>0</v>
      </c>
      <c r="F106">
        <v>8.9273696746677107</v>
      </c>
      <c r="G106">
        <v>11</v>
      </c>
      <c r="H106">
        <v>10000</v>
      </c>
      <c r="I106" t="s">
        <v>477</v>
      </c>
    </row>
    <row r="107" spans="1:9" x14ac:dyDescent="0.2">
      <c r="A107" t="s">
        <v>240</v>
      </c>
      <c r="B107">
        <v>77</v>
      </c>
      <c r="C107">
        <v>5</v>
      </c>
      <c r="D107">
        <v>15</v>
      </c>
      <c r="E107">
        <v>0</v>
      </c>
      <c r="F107">
        <v>9.4270199453458101</v>
      </c>
      <c r="G107">
        <v>3</v>
      </c>
      <c r="H107">
        <v>10000</v>
      </c>
      <c r="I107" t="s">
        <v>478</v>
      </c>
    </row>
    <row r="108" spans="1:9" x14ac:dyDescent="0.2">
      <c r="A108" t="s">
        <v>36</v>
      </c>
      <c r="B108">
        <v>78</v>
      </c>
      <c r="C108">
        <v>15</v>
      </c>
      <c r="D108">
        <v>13</v>
      </c>
      <c r="E108">
        <v>1</v>
      </c>
      <c r="F108">
        <v>13.4458870766684</v>
      </c>
      <c r="G108">
        <v>102</v>
      </c>
      <c r="H108">
        <v>10000</v>
      </c>
      <c r="I108" t="s">
        <v>479</v>
      </c>
    </row>
    <row r="109" spans="1:9" x14ac:dyDescent="0.2">
      <c r="A109" t="s">
        <v>37</v>
      </c>
      <c r="B109">
        <v>79</v>
      </c>
      <c r="C109">
        <v>14</v>
      </c>
      <c r="D109">
        <v>14</v>
      </c>
      <c r="E109">
        <v>1</v>
      </c>
      <c r="F109">
        <v>13.339175256900401</v>
      </c>
      <c r="G109">
        <v>202</v>
      </c>
      <c r="H109">
        <v>10000</v>
      </c>
      <c r="I109" t="s">
        <v>480</v>
      </c>
    </row>
    <row r="110" spans="1:9" x14ac:dyDescent="0.2">
      <c r="A110" t="s">
        <v>38</v>
      </c>
      <c r="B110">
        <v>80</v>
      </c>
      <c r="C110">
        <v>7</v>
      </c>
      <c r="D110">
        <v>16</v>
      </c>
      <c r="E110">
        <v>1</v>
      </c>
      <c r="F110">
        <v>10.440658563748</v>
      </c>
      <c r="G110">
        <v>103</v>
      </c>
      <c r="H110">
        <v>10000</v>
      </c>
      <c r="I110" t="s">
        <v>481</v>
      </c>
    </row>
    <row r="111" spans="1:9" x14ac:dyDescent="0.2">
      <c r="A111" t="s">
        <v>39</v>
      </c>
      <c r="B111">
        <v>81</v>
      </c>
      <c r="C111">
        <v>11</v>
      </c>
      <c r="D111">
        <v>15</v>
      </c>
      <c r="E111">
        <v>0</v>
      </c>
      <c r="F111">
        <v>12.236565141007301</v>
      </c>
      <c r="G111">
        <v>1</v>
      </c>
      <c r="H111">
        <v>10000</v>
      </c>
      <c r="I111" t="s">
        <v>482</v>
      </c>
    </row>
    <row r="112" spans="1:9" x14ac:dyDescent="0.2">
      <c r="A112" t="s">
        <v>40</v>
      </c>
      <c r="B112">
        <v>82</v>
      </c>
      <c r="C112">
        <v>7</v>
      </c>
      <c r="D112">
        <v>17</v>
      </c>
      <c r="E112">
        <v>1</v>
      </c>
      <c r="F112">
        <v>10.7672527022659</v>
      </c>
      <c r="G112">
        <v>9</v>
      </c>
      <c r="H112">
        <v>10000</v>
      </c>
      <c r="I112" t="s">
        <v>483</v>
      </c>
    </row>
    <row r="113" spans="1:9" x14ac:dyDescent="0.2">
      <c r="A113" t="s">
        <v>41</v>
      </c>
      <c r="B113">
        <v>83</v>
      </c>
      <c r="C113">
        <v>13</v>
      </c>
      <c r="D113">
        <v>15</v>
      </c>
      <c r="E113">
        <v>0</v>
      </c>
      <c r="F113">
        <v>13.6756324926391</v>
      </c>
      <c r="G113">
        <v>183</v>
      </c>
      <c r="H113">
        <v>10000</v>
      </c>
      <c r="I113" t="s">
        <v>484</v>
      </c>
    </row>
    <row r="114" spans="1:9" x14ac:dyDescent="0.2">
      <c r="A114" t="s">
        <v>42</v>
      </c>
      <c r="B114">
        <v>84</v>
      </c>
      <c r="C114">
        <v>4</v>
      </c>
      <c r="D114">
        <v>18</v>
      </c>
      <c r="E114">
        <v>0</v>
      </c>
      <c r="F114">
        <v>10.1413590265437</v>
      </c>
      <c r="G114">
        <v>36</v>
      </c>
      <c r="H114">
        <v>10000</v>
      </c>
      <c r="I114" t="s">
        <v>485</v>
      </c>
    </row>
    <row r="115" spans="1:9" x14ac:dyDescent="0.2">
      <c r="A115" t="s">
        <v>43</v>
      </c>
      <c r="B115">
        <v>85</v>
      </c>
      <c r="C115">
        <v>11</v>
      </c>
      <c r="D115">
        <v>17</v>
      </c>
      <c r="E115">
        <v>0</v>
      </c>
      <c r="F115">
        <v>13.4448129925876</v>
      </c>
      <c r="G115">
        <v>111</v>
      </c>
      <c r="H115">
        <v>10000</v>
      </c>
      <c r="I115" t="s">
        <v>486</v>
      </c>
    </row>
    <row r="116" spans="1:9" x14ac:dyDescent="0.2">
      <c r="A116" t="s">
        <v>44</v>
      </c>
      <c r="B116">
        <v>86</v>
      </c>
      <c r="C116">
        <v>4</v>
      </c>
      <c r="D116">
        <v>19</v>
      </c>
      <c r="E116">
        <v>0</v>
      </c>
      <c r="F116">
        <v>10.440953557379499</v>
      </c>
      <c r="G116">
        <v>8</v>
      </c>
      <c r="H116">
        <v>10000</v>
      </c>
      <c r="I116" t="s">
        <v>487</v>
      </c>
    </row>
    <row r="117" spans="1:9" x14ac:dyDescent="0.2">
      <c r="A117" t="s">
        <v>45</v>
      </c>
      <c r="B117">
        <v>87</v>
      </c>
      <c r="C117">
        <v>5</v>
      </c>
      <c r="D117">
        <v>19</v>
      </c>
      <c r="E117">
        <v>0</v>
      </c>
      <c r="F117">
        <v>11.15904741548</v>
      </c>
      <c r="G117">
        <v>12</v>
      </c>
      <c r="H117">
        <v>10000</v>
      </c>
      <c r="I117" t="s">
        <v>488</v>
      </c>
    </row>
    <row r="118" spans="1:9" x14ac:dyDescent="0.2">
      <c r="A118" t="s">
        <v>46</v>
      </c>
      <c r="B118">
        <v>88</v>
      </c>
      <c r="C118">
        <v>5</v>
      </c>
      <c r="D118">
        <v>19</v>
      </c>
      <c r="E118">
        <v>0</v>
      </c>
      <c r="F118">
        <v>11.1486077979207</v>
      </c>
      <c r="G118">
        <v>73</v>
      </c>
      <c r="H118">
        <v>10000</v>
      </c>
      <c r="I118" t="s">
        <v>489</v>
      </c>
    </row>
    <row r="119" spans="1:9" x14ac:dyDescent="0.2">
      <c r="A119" t="s">
        <v>47</v>
      </c>
      <c r="B119">
        <v>89</v>
      </c>
      <c r="C119">
        <v>3</v>
      </c>
      <c r="D119">
        <v>19</v>
      </c>
      <c r="E119">
        <v>0</v>
      </c>
      <c r="F119">
        <v>10.9835018245503</v>
      </c>
      <c r="G119">
        <v>15</v>
      </c>
      <c r="H119">
        <v>10000</v>
      </c>
      <c r="I119" t="s">
        <v>490</v>
      </c>
    </row>
    <row r="120" spans="1:9" x14ac:dyDescent="0.2">
      <c r="A120" t="s">
        <v>48</v>
      </c>
      <c r="B120">
        <v>90</v>
      </c>
      <c r="C120">
        <v>3</v>
      </c>
      <c r="D120">
        <v>19</v>
      </c>
      <c r="E120">
        <v>0</v>
      </c>
      <c r="F120">
        <v>11.079643813893099</v>
      </c>
      <c r="G120">
        <v>6</v>
      </c>
      <c r="H120">
        <v>10000</v>
      </c>
      <c r="I120" t="s">
        <v>491</v>
      </c>
    </row>
    <row r="121" spans="1:9" x14ac:dyDescent="0.2">
      <c r="A121" t="s">
        <v>49</v>
      </c>
      <c r="B121">
        <v>91</v>
      </c>
      <c r="C121">
        <v>4</v>
      </c>
      <c r="D121">
        <v>19</v>
      </c>
      <c r="E121">
        <v>0</v>
      </c>
      <c r="F121">
        <v>11.2923518987372</v>
      </c>
      <c r="G121">
        <v>12</v>
      </c>
      <c r="H121">
        <v>10000</v>
      </c>
      <c r="I121" t="s">
        <v>492</v>
      </c>
    </row>
    <row r="122" spans="1:9" x14ac:dyDescent="0.2">
      <c r="A122" t="s">
        <v>50</v>
      </c>
      <c r="B122">
        <v>92</v>
      </c>
      <c r="C122">
        <v>3</v>
      </c>
      <c r="D122">
        <v>20</v>
      </c>
      <c r="E122">
        <v>0</v>
      </c>
      <c r="F122">
        <v>11.1917373966425</v>
      </c>
      <c r="G122">
        <v>66</v>
      </c>
      <c r="H122">
        <v>10000</v>
      </c>
      <c r="I122" t="s">
        <v>493</v>
      </c>
    </row>
    <row r="123" spans="1:9" x14ac:dyDescent="0.2">
      <c r="A123" t="s">
        <v>51</v>
      </c>
      <c r="B123">
        <v>93</v>
      </c>
      <c r="C123">
        <v>4</v>
      </c>
      <c r="D123">
        <v>20</v>
      </c>
      <c r="E123">
        <v>0</v>
      </c>
      <c r="F123">
        <v>12.2289896532893</v>
      </c>
      <c r="G123">
        <v>41</v>
      </c>
      <c r="H123">
        <v>10000</v>
      </c>
      <c r="I123" t="s">
        <v>494</v>
      </c>
    </row>
    <row r="124" spans="1:9" x14ac:dyDescent="0.2">
      <c r="A124" t="s">
        <v>52</v>
      </c>
      <c r="B124">
        <v>94</v>
      </c>
      <c r="C124">
        <v>4</v>
      </c>
      <c r="D124">
        <v>20</v>
      </c>
      <c r="E124">
        <v>0</v>
      </c>
      <c r="F124">
        <v>12.246852165088001</v>
      </c>
      <c r="G124">
        <v>79</v>
      </c>
      <c r="H124">
        <v>10000</v>
      </c>
      <c r="I124" t="s">
        <v>495</v>
      </c>
    </row>
    <row r="125" spans="1:9" x14ac:dyDescent="0.2">
      <c r="A125" t="s">
        <v>53</v>
      </c>
      <c r="B125">
        <v>95</v>
      </c>
      <c r="C125">
        <v>5</v>
      </c>
      <c r="D125">
        <v>19</v>
      </c>
      <c r="E125">
        <v>0</v>
      </c>
      <c r="F125">
        <v>12.4190290840342</v>
      </c>
      <c r="G125">
        <v>273</v>
      </c>
      <c r="H125">
        <v>10000</v>
      </c>
      <c r="I125" t="s">
        <v>496</v>
      </c>
    </row>
    <row r="126" spans="1:9" x14ac:dyDescent="0.2">
      <c r="A126" t="s">
        <v>54</v>
      </c>
      <c r="B126">
        <v>96</v>
      </c>
      <c r="C126">
        <v>27</v>
      </c>
      <c r="D126">
        <v>14</v>
      </c>
      <c r="E126">
        <v>0</v>
      </c>
      <c r="F126">
        <v>27.090642912313299</v>
      </c>
      <c r="G126">
        <v>194</v>
      </c>
      <c r="H126">
        <v>10000</v>
      </c>
      <c r="I126" t="s">
        <v>497</v>
      </c>
    </row>
    <row r="127" spans="1:9" x14ac:dyDescent="0.2">
      <c r="A127" t="s">
        <v>55</v>
      </c>
      <c r="B127">
        <v>97</v>
      </c>
      <c r="C127">
        <v>5</v>
      </c>
      <c r="D127">
        <v>19</v>
      </c>
      <c r="E127">
        <v>0</v>
      </c>
      <c r="F127">
        <v>12.385046478360801</v>
      </c>
      <c r="G127">
        <v>40</v>
      </c>
      <c r="H127">
        <v>10000</v>
      </c>
      <c r="I127" t="s">
        <v>498</v>
      </c>
    </row>
    <row r="128" spans="1:9" x14ac:dyDescent="0.2">
      <c r="A128" t="s">
        <v>56</v>
      </c>
      <c r="B128">
        <v>98</v>
      </c>
      <c r="C128">
        <v>2</v>
      </c>
      <c r="D128">
        <v>21</v>
      </c>
      <c r="E128">
        <v>0</v>
      </c>
      <c r="F128">
        <v>11.6637303587049</v>
      </c>
      <c r="G128">
        <v>37</v>
      </c>
      <c r="H128">
        <v>10000</v>
      </c>
      <c r="I128" t="s">
        <v>499</v>
      </c>
    </row>
    <row r="129" spans="1:9" x14ac:dyDescent="0.2">
      <c r="A129" t="s">
        <v>57</v>
      </c>
      <c r="B129">
        <v>99</v>
      </c>
      <c r="C129">
        <v>3</v>
      </c>
      <c r="D129">
        <v>21</v>
      </c>
      <c r="E129">
        <v>0</v>
      </c>
      <c r="F129">
        <v>12.734484676271601</v>
      </c>
      <c r="G129">
        <v>180</v>
      </c>
      <c r="H129">
        <v>10000</v>
      </c>
      <c r="I129" t="s">
        <v>500</v>
      </c>
    </row>
    <row r="130" spans="1:9" x14ac:dyDescent="0.2">
      <c r="A130" t="s">
        <v>58</v>
      </c>
      <c r="B130">
        <v>100</v>
      </c>
      <c r="C130">
        <v>4</v>
      </c>
      <c r="D130">
        <v>20</v>
      </c>
      <c r="E130">
        <v>0</v>
      </c>
      <c r="F130">
        <v>13.0673901466652</v>
      </c>
      <c r="G130">
        <v>187</v>
      </c>
      <c r="H130">
        <v>10000</v>
      </c>
      <c r="I130" t="s">
        <v>501</v>
      </c>
    </row>
    <row r="131" spans="1:9" x14ac:dyDescent="0.2">
      <c r="A131" t="s">
        <v>59</v>
      </c>
      <c r="B131">
        <v>101</v>
      </c>
      <c r="C131">
        <v>4</v>
      </c>
      <c r="D131">
        <v>20</v>
      </c>
      <c r="E131">
        <v>0</v>
      </c>
      <c r="F131">
        <v>13.346928919665499</v>
      </c>
      <c r="G131">
        <v>66</v>
      </c>
      <c r="H131">
        <v>10000</v>
      </c>
      <c r="I131" t="s">
        <v>502</v>
      </c>
    </row>
    <row r="132" spans="1:9" x14ac:dyDescent="0.2">
      <c r="A132" t="s">
        <v>60</v>
      </c>
      <c r="B132">
        <v>102</v>
      </c>
      <c r="C132">
        <v>17</v>
      </c>
      <c r="D132">
        <v>18</v>
      </c>
      <c r="E132">
        <v>1</v>
      </c>
      <c r="F132">
        <v>22.828773016109999</v>
      </c>
      <c r="G132">
        <v>73</v>
      </c>
      <c r="H132">
        <v>10000</v>
      </c>
      <c r="I132" t="s">
        <v>503</v>
      </c>
    </row>
    <row r="133" spans="1:9" x14ac:dyDescent="0.2">
      <c r="A133" t="s">
        <v>61</v>
      </c>
      <c r="B133">
        <v>103</v>
      </c>
      <c r="C133">
        <v>18</v>
      </c>
      <c r="D133">
        <v>17</v>
      </c>
      <c r="E133">
        <v>0</v>
      </c>
      <c r="F133">
        <v>24.228961776942</v>
      </c>
      <c r="G133">
        <v>5</v>
      </c>
      <c r="H133">
        <v>10000</v>
      </c>
      <c r="I133" t="s">
        <v>504</v>
      </c>
    </row>
    <row r="134" spans="1:9" x14ac:dyDescent="0.2">
      <c r="A134" t="s">
        <v>62</v>
      </c>
      <c r="B134">
        <v>104</v>
      </c>
      <c r="C134">
        <v>12</v>
      </c>
      <c r="D134">
        <v>20</v>
      </c>
      <c r="E134">
        <v>1</v>
      </c>
      <c r="F134">
        <v>19.911712897010101</v>
      </c>
      <c r="G134">
        <v>2</v>
      </c>
      <c r="H134">
        <v>10000</v>
      </c>
      <c r="I134" t="s">
        <v>505</v>
      </c>
    </row>
    <row r="135" spans="1:9" x14ac:dyDescent="0.2">
      <c r="A135" t="s">
        <v>63</v>
      </c>
      <c r="B135">
        <v>105</v>
      </c>
      <c r="C135">
        <v>8</v>
      </c>
      <c r="D135">
        <v>20</v>
      </c>
      <c r="E135">
        <v>0</v>
      </c>
      <c r="F135">
        <v>17.6576871788129</v>
      </c>
      <c r="G135">
        <v>3</v>
      </c>
      <c r="H135">
        <v>10000</v>
      </c>
      <c r="I135" t="s">
        <v>506</v>
      </c>
    </row>
    <row r="136" spans="1:9" x14ac:dyDescent="0.2">
      <c r="A136" t="s">
        <v>65</v>
      </c>
      <c r="B136">
        <v>106</v>
      </c>
      <c r="C136">
        <v>23</v>
      </c>
      <c r="D136">
        <v>16</v>
      </c>
      <c r="E136">
        <v>0</v>
      </c>
      <c r="F136">
        <v>29.6464499039575</v>
      </c>
      <c r="G136">
        <v>41</v>
      </c>
      <c r="H136">
        <v>10000</v>
      </c>
      <c r="I136" t="s">
        <v>507</v>
      </c>
    </row>
    <row r="137" spans="1:9" x14ac:dyDescent="0.2">
      <c r="A137" t="s">
        <v>66</v>
      </c>
      <c r="B137">
        <v>107</v>
      </c>
      <c r="C137">
        <v>10</v>
      </c>
      <c r="D137">
        <v>20</v>
      </c>
      <c r="E137">
        <v>0</v>
      </c>
      <c r="F137">
        <v>19.577073138207101</v>
      </c>
      <c r="G137">
        <v>15</v>
      </c>
      <c r="H137">
        <v>10000</v>
      </c>
      <c r="I137" t="s">
        <v>508</v>
      </c>
    </row>
    <row r="138" spans="1:9" x14ac:dyDescent="0.2">
      <c r="A138" t="s">
        <v>67</v>
      </c>
      <c r="B138">
        <v>108</v>
      </c>
      <c r="C138">
        <v>36</v>
      </c>
      <c r="D138">
        <v>15</v>
      </c>
      <c r="E138">
        <v>2</v>
      </c>
      <c r="F138">
        <v>44.6185017200186</v>
      </c>
      <c r="G138">
        <v>8</v>
      </c>
      <c r="H138">
        <v>10000</v>
      </c>
      <c r="I138" t="s">
        <v>509</v>
      </c>
    </row>
    <row r="139" spans="1:9" x14ac:dyDescent="0.2">
      <c r="A139" t="s">
        <v>68</v>
      </c>
      <c r="B139">
        <v>109</v>
      </c>
      <c r="C139">
        <v>31</v>
      </c>
      <c r="D139">
        <v>16</v>
      </c>
      <c r="E139">
        <v>2</v>
      </c>
      <c r="F139">
        <v>39.485638392157803</v>
      </c>
      <c r="G139">
        <v>12</v>
      </c>
      <c r="H139">
        <v>10000</v>
      </c>
      <c r="I139" t="s">
        <v>510</v>
      </c>
    </row>
    <row r="140" spans="1:9" x14ac:dyDescent="0.2">
      <c r="A140" t="s">
        <v>69</v>
      </c>
      <c r="B140">
        <v>110</v>
      </c>
      <c r="C140">
        <v>32</v>
      </c>
      <c r="D140">
        <v>17</v>
      </c>
      <c r="E140">
        <v>3</v>
      </c>
      <c r="F140">
        <v>40.805809210985899</v>
      </c>
      <c r="G140">
        <v>15</v>
      </c>
      <c r="H140">
        <v>10000</v>
      </c>
      <c r="I140" t="s">
        <v>511</v>
      </c>
    </row>
    <row r="141" spans="1:9" x14ac:dyDescent="0.2">
      <c r="A141" t="s">
        <v>70</v>
      </c>
      <c r="B141">
        <v>111</v>
      </c>
      <c r="C141">
        <v>33</v>
      </c>
      <c r="D141">
        <v>16</v>
      </c>
      <c r="E141">
        <v>2</v>
      </c>
      <c r="F141">
        <v>42.3604257684201</v>
      </c>
      <c r="G141">
        <v>71</v>
      </c>
      <c r="H141">
        <v>10000</v>
      </c>
      <c r="I141" t="s">
        <v>512</v>
      </c>
    </row>
    <row r="142" spans="1:9" x14ac:dyDescent="0.2">
      <c r="A142" t="s">
        <v>71</v>
      </c>
      <c r="B142">
        <v>112</v>
      </c>
      <c r="C142">
        <v>16</v>
      </c>
      <c r="D142">
        <v>19</v>
      </c>
      <c r="E142">
        <v>0</v>
      </c>
      <c r="F142">
        <v>25.1739423880353</v>
      </c>
      <c r="G142">
        <v>340</v>
      </c>
      <c r="H142">
        <v>10000</v>
      </c>
      <c r="I142" t="s">
        <v>513</v>
      </c>
    </row>
    <row r="143" spans="1:9" x14ac:dyDescent="0.2">
      <c r="A143" t="s">
        <v>72</v>
      </c>
      <c r="B143">
        <v>113</v>
      </c>
      <c r="C143">
        <v>34</v>
      </c>
      <c r="D143">
        <v>14</v>
      </c>
      <c r="E143">
        <v>0</v>
      </c>
      <c r="F143">
        <v>44.961734229698699</v>
      </c>
      <c r="G143">
        <v>1</v>
      </c>
      <c r="H143">
        <v>10000</v>
      </c>
      <c r="I143" t="s">
        <v>514</v>
      </c>
    </row>
    <row r="144" spans="1:9" x14ac:dyDescent="0.2">
      <c r="A144" t="s">
        <v>73</v>
      </c>
      <c r="B144">
        <v>114</v>
      </c>
      <c r="C144">
        <v>36</v>
      </c>
      <c r="D144">
        <v>14</v>
      </c>
      <c r="E144">
        <v>0</v>
      </c>
      <c r="F144">
        <v>47.5652317106723</v>
      </c>
      <c r="G144">
        <v>1212</v>
      </c>
      <c r="H144">
        <v>10000</v>
      </c>
      <c r="I144" t="s">
        <v>515</v>
      </c>
    </row>
    <row r="145" spans="1:9" x14ac:dyDescent="0.2">
      <c r="A145" t="s">
        <v>75</v>
      </c>
      <c r="B145">
        <v>115</v>
      </c>
      <c r="C145">
        <v>1</v>
      </c>
      <c r="D145">
        <v>25</v>
      </c>
      <c r="E145">
        <v>0</v>
      </c>
      <c r="F145">
        <v>15.176148083992301</v>
      </c>
      <c r="G145">
        <v>81</v>
      </c>
      <c r="H145">
        <v>10000</v>
      </c>
      <c r="I145" t="s">
        <v>516</v>
      </c>
    </row>
    <row r="146" spans="1:9" x14ac:dyDescent="0.2">
      <c r="A146" t="s">
        <v>76</v>
      </c>
      <c r="B146">
        <v>116</v>
      </c>
      <c r="C146">
        <v>2</v>
      </c>
      <c r="D146">
        <v>24</v>
      </c>
      <c r="E146">
        <v>0</v>
      </c>
      <c r="F146">
        <v>15.39270860143</v>
      </c>
      <c r="G146">
        <v>294</v>
      </c>
      <c r="H146">
        <v>10000</v>
      </c>
      <c r="I146" t="s">
        <v>517</v>
      </c>
    </row>
    <row r="147" spans="1:9" x14ac:dyDescent="0.2">
      <c r="A147" t="s">
        <v>77</v>
      </c>
      <c r="B147">
        <v>117</v>
      </c>
      <c r="C147">
        <v>2</v>
      </c>
      <c r="D147">
        <v>24</v>
      </c>
      <c r="E147">
        <v>0</v>
      </c>
      <c r="F147">
        <v>15.809934296645199</v>
      </c>
      <c r="G147">
        <v>3</v>
      </c>
      <c r="H147">
        <v>10000</v>
      </c>
      <c r="I147" t="s">
        <v>518</v>
      </c>
    </row>
    <row r="148" spans="1:9" x14ac:dyDescent="0.2">
      <c r="A148" t="s">
        <v>78</v>
      </c>
      <c r="B148">
        <v>118</v>
      </c>
      <c r="C148">
        <v>1</v>
      </c>
      <c r="D148">
        <v>25</v>
      </c>
      <c r="E148">
        <v>0</v>
      </c>
      <c r="F148">
        <v>15.3898469274863</v>
      </c>
      <c r="G148">
        <v>23</v>
      </c>
      <c r="H148">
        <v>10000</v>
      </c>
      <c r="I148" t="s">
        <v>519</v>
      </c>
    </row>
    <row r="149" spans="1:9" x14ac:dyDescent="0.2">
      <c r="A149" t="s">
        <v>79</v>
      </c>
      <c r="B149">
        <v>119</v>
      </c>
      <c r="C149">
        <v>39</v>
      </c>
      <c r="D149">
        <v>16</v>
      </c>
      <c r="E149">
        <v>2</v>
      </c>
      <c r="F149">
        <v>56.123015972785602</v>
      </c>
      <c r="G149">
        <v>48</v>
      </c>
      <c r="H149">
        <v>10000</v>
      </c>
      <c r="I149" t="s">
        <v>520</v>
      </c>
    </row>
    <row r="150" spans="1:9" x14ac:dyDescent="0.2">
      <c r="A150" t="s">
        <v>80</v>
      </c>
      <c r="B150">
        <v>120</v>
      </c>
      <c r="C150">
        <v>40</v>
      </c>
      <c r="D150">
        <v>16</v>
      </c>
      <c r="E150">
        <v>2</v>
      </c>
      <c r="F150">
        <v>58.454668593592899</v>
      </c>
      <c r="G150">
        <v>116</v>
      </c>
      <c r="H150">
        <v>10000</v>
      </c>
      <c r="I150" t="s">
        <v>521</v>
      </c>
    </row>
    <row r="151" spans="1:9" x14ac:dyDescent="0.2">
      <c r="A151" t="s">
        <v>81</v>
      </c>
      <c r="B151">
        <v>121</v>
      </c>
      <c r="C151">
        <v>36</v>
      </c>
      <c r="D151">
        <v>18</v>
      </c>
      <c r="E151">
        <v>3</v>
      </c>
      <c r="F151">
        <v>54.1001713043078</v>
      </c>
      <c r="G151">
        <v>23</v>
      </c>
      <c r="H151">
        <v>10000</v>
      </c>
      <c r="I151" t="s">
        <v>522</v>
      </c>
    </row>
    <row r="152" spans="1:9" x14ac:dyDescent="0.2">
      <c r="A152" t="s">
        <v>82</v>
      </c>
      <c r="B152">
        <v>122</v>
      </c>
      <c r="C152">
        <v>37</v>
      </c>
      <c r="D152">
        <v>16</v>
      </c>
      <c r="E152">
        <v>1</v>
      </c>
      <c r="F152">
        <v>55.948525484651299</v>
      </c>
      <c r="G152">
        <v>4</v>
      </c>
      <c r="H152">
        <v>10000</v>
      </c>
      <c r="I152" t="s">
        <v>523</v>
      </c>
    </row>
    <row r="153" spans="1:9" x14ac:dyDescent="0.2">
      <c r="A153" t="s">
        <v>83</v>
      </c>
      <c r="B153">
        <v>123</v>
      </c>
      <c r="C153">
        <v>38</v>
      </c>
      <c r="D153">
        <v>17</v>
      </c>
      <c r="E153">
        <v>2</v>
      </c>
      <c r="F153">
        <v>58.155159132555099</v>
      </c>
      <c r="G153">
        <v>4</v>
      </c>
      <c r="H153">
        <v>10000</v>
      </c>
      <c r="I153" t="s">
        <v>524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A00A5-43B2-3B47-AE5E-7AC8A046703F}">
  <dimension ref="A1:I153"/>
  <sheetViews>
    <sheetView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526</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1.12516075093299</v>
      </c>
      <c r="G33">
        <v>10000</v>
      </c>
      <c r="H33">
        <v>10000</v>
      </c>
      <c r="I33" t="s">
        <v>527</v>
      </c>
    </row>
    <row r="34" spans="1:9" x14ac:dyDescent="0.2">
      <c r="A34" t="s">
        <v>93</v>
      </c>
      <c r="B34">
        <v>4</v>
      </c>
      <c r="C34">
        <v>1</v>
      </c>
      <c r="D34">
        <v>2</v>
      </c>
      <c r="E34">
        <v>0</v>
      </c>
      <c r="F34">
        <v>1.3240070948377201</v>
      </c>
      <c r="G34">
        <v>10000</v>
      </c>
      <c r="H34">
        <v>10000</v>
      </c>
      <c r="I34" t="s">
        <v>528</v>
      </c>
    </row>
    <row r="35" spans="1:9" x14ac:dyDescent="0.2">
      <c r="A35" t="s">
        <v>94</v>
      </c>
      <c r="B35">
        <v>5</v>
      </c>
      <c r="C35">
        <v>1</v>
      </c>
      <c r="D35">
        <v>3</v>
      </c>
      <c r="E35">
        <v>0</v>
      </c>
      <c r="F35">
        <v>1.5491679506376299</v>
      </c>
      <c r="G35">
        <v>10000</v>
      </c>
      <c r="H35">
        <v>10000</v>
      </c>
      <c r="I35" t="s">
        <v>529</v>
      </c>
    </row>
    <row r="36" spans="1:9" x14ac:dyDescent="0.2">
      <c r="A36" t="s">
        <v>95</v>
      </c>
      <c r="B36">
        <v>6</v>
      </c>
      <c r="C36">
        <v>1</v>
      </c>
      <c r="D36">
        <v>3</v>
      </c>
      <c r="E36">
        <v>0</v>
      </c>
      <c r="F36">
        <v>1.6744138356298199</v>
      </c>
      <c r="G36">
        <v>10000</v>
      </c>
      <c r="H36">
        <v>10000</v>
      </c>
      <c r="I36" t="s">
        <v>529</v>
      </c>
    </row>
    <row r="37" spans="1:9" x14ac:dyDescent="0.2">
      <c r="A37" t="s">
        <v>96</v>
      </c>
      <c r="B37">
        <v>7</v>
      </c>
      <c r="C37">
        <v>1</v>
      </c>
      <c r="D37">
        <v>3</v>
      </c>
      <c r="E37">
        <v>0</v>
      </c>
      <c r="F37">
        <v>1.78451935295015</v>
      </c>
      <c r="G37">
        <v>10000</v>
      </c>
      <c r="H37">
        <v>10000</v>
      </c>
      <c r="I37" t="s">
        <v>530</v>
      </c>
    </row>
    <row r="38" spans="1:9" x14ac:dyDescent="0.2">
      <c r="A38" t="s">
        <v>97</v>
      </c>
      <c r="B38">
        <v>8</v>
      </c>
      <c r="C38">
        <v>1</v>
      </c>
      <c r="D38">
        <v>3</v>
      </c>
      <c r="E38">
        <v>0</v>
      </c>
      <c r="F38">
        <v>1.88248931523412</v>
      </c>
      <c r="G38">
        <v>10000</v>
      </c>
      <c r="H38">
        <v>10000</v>
      </c>
      <c r="I38" t="s">
        <v>529</v>
      </c>
    </row>
    <row r="39" spans="1:9" x14ac:dyDescent="0.2">
      <c r="A39" t="s">
        <v>98</v>
      </c>
      <c r="B39">
        <v>9</v>
      </c>
      <c r="C39">
        <v>1</v>
      </c>
      <c r="D39">
        <v>3</v>
      </c>
      <c r="E39">
        <v>0</v>
      </c>
      <c r="F39">
        <v>2.0092638358473698</v>
      </c>
      <c r="G39">
        <v>10000</v>
      </c>
      <c r="H39">
        <v>10000</v>
      </c>
      <c r="I39" t="s">
        <v>529</v>
      </c>
    </row>
    <row r="40" spans="1:9" x14ac:dyDescent="0.2">
      <c r="A40" t="s">
        <v>99</v>
      </c>
      <c r="B40">
        <v>10</v>
      </c>
      <c r="C40">
        <v>1</v>
      </c>
      <c r="D40">
        <v>4</v>
      </c>
      <c r="E40">
        <v>0</v>
      </c>
      <c r="F40">
        <v>1.9879078678786699</v>
      </c>
      <c r="G40">
        <v>10000</v>
      </c>
      <c r="H40">
        <v>10000</v>
      </c>
      <c r="I40" t="s">
        <v>531</v>
      </c>
    </row>
    <row r="41" spans="1:9" x14ac:dyDescent="0.2">
      <c r="A41" t="s">
        <v>100</v>
      </c>
      <c r="B41">
        <v>11</v>
      </c>
      <c r="C41">
        <v>1</v>
      </c>
      <c r="D41">
        <v>5</v>
      </c>
      <c r="E41">
        <v>0</v>
      </c>
      <c r="F41">
        <v>2.80305710528045</v>
      </c>
      <c r="G41">
        <v>10000</v>
      </c>
      <c r="H41">
        <v>10000</v>
      </c>
      <c r="I41" t="s">
        <v>532</v>
      </c>
    </row>
    <row r="42" spans="1:9" x14ac:dyDescent="0.2">
      <c r="A42" t="s">
        <v>101</v>
      </c>
      <c r="B42">
        <v>12</v>
      </c>
      <c r="C42">
        <v>6</v>
      </c>
      <c r="D42">
        <v>3</v>
      </c>
      <c r="E42">
        <v>0</v>
      </c>
      <c r="F42">
        <v>3.0778215397149302</v>
      </c>
      <c r="G42">
        <v>9807</v>
      </c>
      <c r="H42">
        <v>10000</v>
      </c>
      <c r="I42" t="s">
        <v>533</v>
      </c>
    </row>
    <row r="43" spans="1:9" x14ac:dyDescent="0.2">
      <c r="A43" t="s">
        <v>102</v>
      </c>
      <c r="B43">
        <v>13</v>
      </c>
      <c r="C43">
        <v>6</v>
      </c>
      <c r="D43">
        <v>3</v>
      </c>
      <c r="E43">
        <v>0</v>
      </c>
      <c r="F43">
        <v>3.28184048552066</v>
      </c>
      <c r="G43">
        <v>9802</v>
      </c>
      <c r="H43">
        <v>10000</v>
      </c>
      <c r="I43" t="s">
        <v>534</v>
      </c>
    </row>
    <row r="44" spans="1:9" x14ac:dyDescent="0.2">
      <c r="A44" t="s">
        <v>103</v>
      </c>
      <c r="B44">
        <v>14</v>
      </c>
      <c r="C44">
        <v>2</v>
      </c>
      <c r="D44">
        <v>5</v>
      </c>
      <c r="E44">
        <v>0</v>
      </c>
      <c r="F44">
        <v>2.8272356307134001</v>
      </c>
      <c r="G44">
        <v>9897</v>
      </c>
      <c r="H44">
        <v>10000</v>
      </c>
      <c r="I44" t="s">
        <v>535</v>
      </c>
    </row>
    <row r="45" spans="1:9" x14ac:dyDescent="0.2">
      <c r="A45" t="s">
        <v>104</v>
      </c>
      <c r="B45">
        <v>15</v>
      </c>
      <c r="C45">
        <v>2</v>
      </c>
      <c r="D45">
        <v>5</v>
      </c>
      <c r="E45">
        <v>0</v>
      </c>
      <c r="F45">
        <v>2.9518381580710402</v>
      </c>
      <c r="G45">
        <v>9881</v>
      </c>
      <c r="H45">
        <v>10000</v>
      </c>
      <c r="I45" t="s">
        <v>536</v>
      </c>
    </row>
    <row r="46" spans="1:9" x14ac:dyDescent="0.2">
      <c r="A46" t="s">
        <v>105</v>
      </c>
      <c r="B46">
        <v>16</v>
      </c>
      <c r="C46">
        <v>1</v>
      </c>
      <c r="D46">
        <v>6</v>
      </c>
      <c r="E46">
        <v>0</v>
      </c>
      <c r="F46">
        <v>3.0915028424933499</v>
      </c>
      <c r="G46">
        <v>10000</v>
      </c>
      <c r="H46">
        <v>10000</v>
      </c>
      <c r="I46" t="s">
        <v>537</v>
      </c>
    </row>
    <row r="47" spans="1:9" x14ac:dyDescent="0.2">
      <c r="A47" t="s">
        <v>106</v>
      </c>
      <c r="B47">
        <v>17</v>
      </c>
      <c r="C47">
        <v>3</v>
      </c>
      <c r="D47">
        <v>5</v>
      </c>
      <c r="E47">
        <v>0</v>
      </c>
      <c r="F47">
        <v>3.3846670780330799</v>
      </c>
      <c r="G47">
        <v>10000</v>
      </c>
      <c r="H47">
        <v>10000</v>
      </c>
      <c r="I47" t="s">
        <v>538</v>
      </c>
    </row>
    <row r="48" spans="1:9" x14ac:dyDescent="0.2">
      <c r="A48" t="s">
        <v>107</v>
      </c>
      <c r="B48">
        <v>18</v>
      </c>
      <c r="C48">
        <v>5</v>
      </c>
      <c r="D48">
        <v>5</v>
      </c>
      <c r="E48">
        <v>0</v>
      </c>
      <c r="F48">
        <v>3.9619363760575599</v>
      </c>
      <c r="G48">
        <v>9998</v>
      </c>
      <c r="H48">
        <v>10000</v>
      </c>
      <c r="I48" t="s">
        <v>539</v>
      </c>
    </row>
    <row r="49" spans="1:9" x14ac:dyDescent="0.2">
      <c r="A49" t="s">
        <v>108</v>
      </c>
      <c r="B49">
        <v>19</v>
      </c>
      <c r="C49">
        <v>5</v>
      </c>
      <c r="D49">
        <v>5</v>
      </c>
      <c r="E49">
        <v>0</v>
      </c>
      <c r="F49">
        <v>4.1698260912671596</v>
      </c>
      <c r="G49">
        <v>9999</v>
      </c>
      <c r="H49">
        <v>10000</v>
      </c>
      <c r="I49" t="s">
        <v>540</v>
      </c>
    </row>
    <row r="50" spans="1:9" x14ac:dyDescent="0.2">
      <c r="A50" t="s">
        <v>109</v>
      </c>
      <c r="B50">
        <v>20</v>
      </c>
      <c r="C50">
        <v>3</v>
      </c>
      <c r="D50">
        <v>6</v>
      </c>
      <c r="E50">
        <v>0</v>
      </c>
      <c r="F50">
        <v>3.7772950194776</v>
      </c>
      <c r="G50">
        <v>9994</v>
      </c>
      <c r="H50">
        <v>10000</v>
      </c>
      <c r="I50" t="s">
        <v>541</v>
      </c>
    </row>
    <row r="51" spans="1:9" x14ac:dyDescent="0.2">
      <c r="A51" t="s">
        <v>110</v>
      </c>
      <c r="B51">
        <v>21</v>
      </c>
      <c r="C51">
        <v>3</v>
      </c>
      <c r="D51">
        <v>6</v>
      </c>
      <c r="E51">
        <v>0</v>
      </c>
      <c r="F51">
        <v>3.9246871815994302</v>
      </c>
      <c r="G51">
        <v>9990</v>
      </c>
      <c r="H51">
        <v>10000</v>
      </c>
      <c r="I51" t="s">
        <v>542</v>
      </c>
    </row>
    <row r="52" spans="1:9" x14ac:dyDescent="0.2">
      <c r="A52" t="s">
        <v>111</v>
      </c>
      <c r="B52">
        <v>22</v>
      </c>
      <c r="C52">
        <v>7</v>
      </c>
      <c r="D52">
        <v>5</v>
      </c>
      <c r="E52">
        <v>0</v>
      </c>
      <c r="F52">
        <v>4.5680401157587696</v>
      </c>
      <c r="G52">
        <v>9996</v>
      </c>
      <c r="H52">
        <v>10000</v>
      </c>
      <c r="I52" t="s">
        <v>543</v>
      </c>
    </row>
    <row r="53" spans="1:9" x14ac:dyDescent="0.2">
      <c r="A53" t="s">
        <v>112</v>
      </c>
      <c r="B53">
        <v>23</v>
      </c>
      <c r="C53">
        <v>2</v>
      </c>
      <c r="D53">
        <v>7</v>
      </c>
      <c r="E53">
        <v>0</v>
      </c>
      <c r="F53">
        <v>3.8543197549879502</v>
      </c>
      <c r="G53">
        <v>9901</v>
      </c>
      <c r="H53">
        <v>10000</v>
      </c>
      <c r="I53" t="s">
        <v>544</v>
      </c>
    </row>
    <row r="54" spans="1:9" x14ac:dyDescent="0.2">
      <c r="A54" t="s">
        <v>113</v>
      </c>
      <c r="B54">
        <v>24</v>
      </c>
      <c r="C54">
        <v>8</v>
      </c>
      <c r="D54">
        <v>5</v>
      </c>
      <c r="E54">
        <v>0</v>
      </c>
      <c r="F54">
        <v>5.3457356970757202</v>
      </c>
      <c r="G54">
        <v>3943</v>
      </c>
      <c r="H54">
        <v>10000</v>
      </c>
      <c r="I54" t="s">
        <v>545</v>
      </c>
    </row>
    <row r="55" spans="1:9" x14ac:dyDescent="0.2">
      <c r="A55" t="s">
        <v>114</v>
      </c>
      <c r="B55">
        <v>25</v>
      </c>
      <c r="C55">
        <v>8</v>
      </c>
      <c r="D55">
        <v>5</v>
      </c>
      <c r="E55">
        <v>0</v>
      </c>
      <c r="F55">
        <v>5.5767219634726599</v>
      </c>
      <c r="G55">
        <v>3930</v>
      </c>
      <c r="H55">
        <v>10000</v>
      </c>
      <c r="I55" t="s">
        <v>546</v>
      </c>
    </row>
    <row r="56" spans="1:9" x14ac:dyDescent="0.2">
      <c r="A56" t="s">
        <v>115</v>
      </c>
      <c r="B56">
        <v>26</v>
      </c>
      <c r="C56">
        <v>6</v>
      </c>
      <c r="D56">
        <v>6</v>
      </c>
      <c r="E56">
        <v>0</v>
      </c>
      <c r="F56">
        <v>5.2999347029253796</v>
      </c>
      <c r="G56">
        <v>6637</v>
      </c>
      <c r="H56">
        <v>10000</v>
      </c>
      <c r="I56" t="s">
        <v>547</v>
      </c>
    </row>
    <row r="57" spans="1:9" x14ac:dyDescent="0.2">
      <c r="A57" t="s">
        <v>116</v>
      </c>
      <c r="B57">
        <v>27</v>
      </c>
      <c r="C57">
        <v>6</v>
      </c>
      <c r="D57">
        <v>6</v>
      </c>
      <c r="E57">
        <v>0</v>
      </c>
      <c r="F57">
        <v>5.4831194551661602</v>
      </c>
      <c r="G57">
        <v>6587</v>
      </c>
      <c r="H57">
        <v>10000</v>
      </c>
      <c r="I57" t="s">
        <v>548</v>
      </c>
    </row>
    <row r="58" spans="1:9" x14ac:dyDescent="0.2">
      <c r="A58" t="s">
        <v>117</v>
      </c>
      <c r="B58">
        <v>28</v>
      </c>
      <c r="C58">
        <v>6</v>
      </c>
      <c r="D58">
        <v>6</v>
      </c>
      <c r="E58">
        <v>0</v>
      </c>
      <c r="F58">
        <v>5.6970468498766396</v>
      </c>
      <c r="G58">
        <v>6654</v>
      </c>
      <c r="H58">
        <v>10000</v>
      </c>
      <c r="I58" t="s">
        <v>549</v>
      </c>
    </row>
    <row r="59" spans="1:9" x14ac:dyDescent="0.2">
      <c r="A59" t="s">
        <v>118</v>
      </c>
      <c r="B59">
        <v>29</v>
      </c>
      <c r="C59">
        <v>6</v>
      </c>
      <c r="D59">
        <v>7</v>
      </c>
      <c r="E59">
        <v>0</v>
      </c>
      <c r="F59">
        <v>5.61796487960964</v>
      </c>
      <c r="G59">
        <v>9438</v>
      </c>
      <c r="H59">
        <v>10000</v>
      </c>
      <c r="I59" t="s">
        <v>550</v>
      </c>
    </row>
    <row r="60" spans="1:9" x14ac:dyDescent="0.2">
      <c r="A60" t="s">
        <v>119</v>
      </c>
      <c r="B60">
        <v>30</v>
      </c>
      <c r="C60">
        <v>9</v>
      </c>
      <c r="D60">
        <v>6</v>
      </c>
      <c r="E60">
        <v>0</v>
      </c>
      <c r="F60">
        <v>6.5688655832782299</v>
      </c>
      <c r="G60">
        <v>8488</v>
      </c>
      <c r="H60">
        <v>10000</v>
      </c>
      <c r="I60" t="s">
        <v>551</v>
      </c>
    </row>
    <row r="61" spans="1:9" x14ac:dyDescent="0.2">
      <c r="A61" t="s">
        <v>120</v>
      </c>
      <c r="B61">
        <v>31</v>
      </c>
      <c r="C61">
        <v>9</v>
      </c>
      <c r="D61">
        <v>6</v>
      </c>
      <c r="E61">
        <v>0</v>
      </c>
      <c r="F61">
        <v>6.9256945457309396</v>
      </c>
      <c r="G61">
        <v>8483</v>
      </c>
      <c r="H61">
        <v>10000</v>
      </c>
      <c r="I61" t="s">
        <v>552</v>
      </c>
    </row>
    <row r="62" spans="1:9" x14ac:dyDescent="0.2">
      <c r="A62" t="s">
        <v>121</v>
      </c>
      <c r="B62">
        <v>32</v>
      </c>
      <c r="C62">
        <v>5</v>
      </c>
      <c r="D62">
        <v>8</v>
      </c>
      <c r="E62">
        <v>0</v>
      </c>
      <c r="F62">
        <v>6.2094108965247798</v>
      </c>
      <c r="G62">
        <v>9830</v>
      </c>
      <c r="H62">
        <v>10000</v>
      </c>
      <c r="I62" t="s">
        <v>553</v>
      </c>
    </row>
    <row r="63" spans="1:9" x14ac:dyDescent="0.2">
      <c r="A63" t="s">
        <v>122</v>
      </c>
      <c r="B63">
        <v>33</v>
      </c>
      <c r="C63">
        <v>7</v>
      </c>
      <c r="D63">
        <v>8</v>
      </c>
      <c r="E63">
        <v>0</v>
      </c>
      <c r="F63">
        <v>7.5689581045880896</v>
      </c>
      <c r="G63">
        <v>6674</v>
      </c>
      <c r="H63">
        <v>10000</v>
      </c>
      <c r="I63" t="s">
        <v>554</v>
      </c>
    </row>
    <row r="64" spans="1:9" x14ac:dyDescent="0.2">
      <c r="A64" t="s">
        <v>123</v>
      </c>
      <c r="B64">
        <v>34</v>
      </c>
      <c r="C64">
        <v>17</v>
      </c>
      <c r="D64">
        <v>5</v>
      </c>
      <c r="E64">
        <v>0</v>
      </c>
      <c r="F64">
        <v>10.840503985062201</v>
      </c>
      <c r="G64">
        <v>9475</v>
      </c>
      <c r="H64">
        <v>10000</v>
      </c>
      <c r="I64" t="s">
        <v>555</v>
      </c>
    </row>
    <row r="65" spans="1:9" x14ac:dyDescent="0.2">
      <c r="A65" t="s">
        <v>124</v>
      </c>
      <c r="B65">
        <v>35</v>
      </c>
      <c r="C65">
        <v>4</v>
      </c>
      <c r="D65">
        <v>9</v>
      </c>
      <c r="E65">
        <v>0</v>
      </c>
      <c r="F65">
        <v>6.67838939651846</v>
      </c>
      <c r="G65">
        <v>7350</v>
      </c>
      <c r="H65">
        <v>10000</v>
      </c>
      <c r="I65" t="s">
        <v>556</v>
      </c>
    </row>
    <row r="66" spans="1:9" x14ac:dyDescent="0.2">
      <c r="A66" t="s">
        <v>125</v>
      </c>
      <c r="B66">
        <v>36</v>
      </c>
      <c r="C66">
        <v>4</v>
      </c>
      <c r="D66">
        <v>9</v>
      </c>
      <c r="E66">
        <v>0</v>
      </c>
      <c r="F66">
        <v>6.8328526485711301</v>
      </c>
      <c r="G66">
        <v>7242</v>
      </c>
      <c r="H66">
        <v>10000</v>
      </c>
      <c r="I66" t="s">
        <v>557</v>
      </c>
    </row>
    <row r="67" spans="1:9" x14ac:dyDescent="0.2">
      <c r="A67" t="s">
        <v>126</v>
      </c>
      <c r="B67">
        <v>37</v>
      </c>
      <c r="C67">
        <v>4</v>
      </c>
      <c r="D67">
        <v>9</v>
      </c>
      <c r="E67">
        <v>0</v>
      </c>
      <c r="F67">
        <v>7.0712391864508302</v>
      </c>
      <c r="G67">
        <v>7417</v>
      </c>
      <c r="H67">
        <v>10000</v>
      </c>
      <c r="I67" t="s">
        <v>558</v>
      </c>
    </row>
    <row r="68" spans="1:9" x14ac:dyDescent="0.2">
      <c r="A68" t="s">
        <v>127</v>
      </c>
      <c r="B68">
        <v>38</v>
      </c>
      <c r="C68">
        <v>4</v>
      </c>
      <c r="D68">
        <v>9</v>
      </c>
      <c r="E68">
        <v>0</v>
      </c>
      <c r="F68">
        <v>7.2402684520929999</v>
      </c>
      <c r="G68">
        <v>7382</v>
      </c>
      <c r="H68">
        <v>10000</v>
      </c>
      <c r="I68" t="s">
        <v>559</v>
      </c>
    </row>
    <row r="69" spans="1:9" x14ac:dyDescent="0.2">
      <c r="A69" t="s">
        <v>128</v>
      </c>
      <c r="B69">
        <v>39</v>
      </c>
      <c r="C69">
        <v>4</v>
      </c>
      <c r="D69">
        <v>9</v>
      </c>
      <c r="E69">
        <v>0</v>
      </c>
      <c r="F69">
        <v>7.7246585274115196</v>
      </c>
      <c r="G69">
        <v>3997</v>
      </c>
      <c r="H69">
        <v>10000</v>
      </c>
      <c r="I69" t="s">
        <v>560</v>
      </c>
    </row>
    <row r="70" spans="1:9" x14ac:dyDescent="0.2">
      <c r="A70" t="s">
        <v>129</v>
      </c>
      <c r="B70">
        <v>40</v>
      </c>
      <c r="C70">
        <v>5</v>
      </c>
      <c r="D70">
        <v>9</v>
      </c>
      <c r="E70">
        <v>0</v>
      </c>
      <c r="F70">
        <v>8.2013302966952306</v>
      </c>
      <c r="G70">
        <v>6675</v>
      </c>
      <c r="H70">
        <v>10000</v>
      </c>
      <c r="I70" t="s">
        <v>561</v>
      </c>
    </row>
    <row r="71" spans="1:9" x14ac:dyDescent="0.2">
      <c r="A71" t="s">
        <v>130</v>
      </c>
      <c r="B71">
        <v>41</v>
      </c>
      <c r="C71">
        <v>2</v>
      </c>
      <c r="D71">
        <v>11</v>
      </c>
      <c r="E71">
        <v>0</v>
      </c>
      <c r="F71">
        <v>7.5353663759306002</v>
      </c>
      <c r="G71">
        <v>6821</v>
      </c>
      <c r="H71">
        <v>10000</v>
      </c>
      <c r="I71" t="s">
        <v>562</v>
      </c>
    </row>
    <row r="72" spans="1:9" x14ac:dyDescent="0.2">
      <c r="A72" t="s">
        <v>131</v>
      </c>
      <c r="B72">
        <v>42</v>
      </c>
      <c r="C72">
        <v>5</v>
      </c>
      <c r="D72">
        <v>9</v>
      </c>
      <c r="E72">
        <v>0</v>
      </c>
      <c r="F72">
        <v>9.1495054345577902</v>
      </c>
      <c r="G72">
        <v>969</v>
      </c>
      <c r="H72">
        <v>10000</v>
      </c>
      <c r="I72" t="s">
        <v>563</v>
      </c>
    </row>
    <row r="73" spans="1:9" x14ac:dyDescent="0.2">
      <c r="A73" t="s">
        <v>132</v>
      </c>
      <c r="B73">
        <v>43</v>
      </c>
      <c r="C73">
        <v>6</v>
      </c>
      <c r="D73">
        <v>9</v>
      </c>
      <c r="E73">
        <v>0</v>
      </c>
      <c r="F73">
        <v>10.4654935915023</v>
      </c>
      <c r="G73">
        <v>721</v>
      </c>
      <c r="H73">
        <v>10000</v>
      </c>
      <c r="I73" t="s">
        <v>564</v>
      </c>
    </row>
    <row r="74" spans="1:9" x14ac:dyDescent="0.2">
      <c r="A74" t="s">
        <v>133</v>
      </c>
      <c r="B74">
        <v>44</v>
      </c>
      <c r="C74">
        <v>6</v>
      </c>
      <c r="D74">
        <v>9</v>
      </c>
      <c r="E74">
        <v>0</v>
      </c>
      <c r="F74">
        <v>10.166616711765499</v>
      </c>
      <c r="G74">
        <v>1240</v>
      </c>
      <c r="H74">
        <v>10000</v>
      </c>
      <c r="I74" t="s">
        <v>565</v>
      </c>
    </row>
    <row r="75" spans="1:9" x14ac:dyDescent="0.2">
      <c r="A75" t="s">
        <v>134</v>
      </c>
      <c r="B75">
        <v>45</v>
      </c>
      <c r="C75">
        <v>6</v>
      </c>
      <c r="D75">
        <v>9</v>
      </c>
      <c r="E75">
        <v>0</v>
      </c>
      <c r="F75">
        <v>10.5198318017646</v>
      </c>
      <c r="G75">
        <v>1270</v>
      </c>
      <c r="H75">
        <v>10000</v>
      </c>
      <c r="I75" t="s">
        <v>566</v>
      </c>
    </row>
    <row r="76" spans="1:9" x14ac:dyDescent="0.2">
      <c r="A76" t="s">
        <v>135</v>
      </c>
      <c r="B76">
        <v>46</v>
      </c>
      <c r="C76">
        <v>7</v>
      </c>
      <c r="D76">
        <v>9</v>
      </c>
      <c r="E76">
        <v>0</v>
      </c>
      <c r="F76">
        <v>11.629316691309199</v>
      </c>
      <c r="G76">
        <v>505</v>
      </c>
      <c r="H76">
        <v>10000</v>
      </c>
      <c r="I76" t="s">
        <v>567</v>
      </c>
    </row>
    <row r="77" spans="1:9" x14ac:dyDescent="0.2">
      <c r="A77" t="s">
        <v>136</v>
      </c>
      <c r="B77">
        <v>47</v>
      </c>
      <c r="C77">
        <v>8</v>
      </c>
      <c r="D77">
        <v>9</v>
      </c>
      <c r="E77">
        <v>0</v>
      </c>
      <c r="F77">
        <v>13.1748792007565</v>
      </c>
      <c r="G77">
        <v>392</v>
      </c>
      <c r="H77">
        <v>10000</v>
      </c>
      <c r="I77" t="s">
        <v>568</v>
      </c>
    </row>
    <row r="78" spans="1:9" x14ac:dyDescent="0.2">
      <c r="A78" t="s">
        <v>137</v>
      </c>
      <c r="B78">
        <v>48</v>
      </c>
      <c r="C78">
        <v>5</v>
      </c>
      <c r="D78">
        <v>10</v>
      </c>
      <c r="E78">
        <v>0</v>
      </c>
      <c r="F78">
        <v>11.287394081242301</v>
      </c>
      <c r="G78">
        <v>436</v>
      </c>
      <c r="H78">
        <v>10000</v>
      </c>
      <c r="I78" t="s">
        <v>569</v>
      </c>
    </row>
    <row r="79" spans="1:9" x14ac:dyDescent="0.2">
      <c r="A79" t="s">
        <v>138</v>
      </c>
      <c r="B79">
        <v>49</v>
      </c>
      <c r="C79">
        <v>17</v>
      </c>
      <c r="D79">
        <v>7</v>
      </c>
      <c r="E79">
        <v>0</v>
      </c>
      <c r="F79">
        <v>19.519957246258802</v>
      </c>
      <c r="G79">
        <v>223</v>
      </c>
      <c r="H79">
        <v>10000</v>
      </c>
      <c r="I79" t="s">
        <v>570</v>
      </c>
    </row>
    <row r="80" spans="1:9" x14ac:dyDescent="0.2">
      <c r="A80" t="s">
        <v>139</v>
      </c>
      <c r="B80">
        <v>50</v>
      </c>
      <c r="C80">
        <v>13</v>
      </c>
      <c r="D80">
        <v>8</v>
      </c>
      <c r="E80">
        <v>0</v>
      </c>
      <c r="F80">
        <v>17.586686814203802</v>
      </c>
      <c r="G80">
        <v>103</v>
      </c>
      <c r="H80">
        <v>10000</v>
      </c>
      <c r="I80" t="s">
        <v>571</v>
      </c>
    </row>
    <row r="81" spans="1:9" x14ac:dyDescent="0.2">
      <c r="A81" t="s">
        <v>188</v>
      </c>
      <c r="B81">
        <v>51</v>
      </c>
      <c r="C81">
        <v>12</v>
      </c>
      <c r="D81">
        <v>9</v>
      </c>
      <c r="E81">
        <v>0</v>
      </c>
      <c r="F81">
        <v>17.466702415607799</v>
      </c>
      <c r="G81">
        <v>470</v>
      </c>
      <c r="H81">
        <v>10000</v>
      </c>
      <c r="I81" t="s">
        <v>572</v>
      </c>
    </row>
    <row r="82" spans="1:9" x14ac:dyDescent="0.2">
      <c r="A82" t="s">
        <v>190</v>
      </c>
      <c r="B82">
        <v>52</v>
      </c>
      <c r="C82">
        <v>10</v>
      </c>
      <c r="D82">
        <v>11</v>
      </c>
      <c r="E82">
        <v>1</v>
      </c>
      <c r="F82">
        <v>17.564714022912</v>
      </c>
      <c r="G82">
        <v>2776</v>
      </c>
      <c r="H82">
        <v>10000</v>
      </c>
      <c r="I82" t="s">
        <v>573</v>
      </c>
    </row>
    <row r="83" spans="1:9" x14ac:dyDescent="0.2">
      <c r="A83" t="s">
        <v>192</v>
      </c>
      <c r="B83">
        <v>53</v>
      </c>
      <c r="C83">
        <v>6</v>
      </c>
      <c r="D83">
        <v>11</v>
      </c>
      <c r="E83">
        <v>0</v>
      </c>
      <c r="F83">
        <v>14.2517563384026</v>
      </c>
      <c r="G83">
        <v>285</v>
      </c>
      <c r="H83">
        <v>10000</v>
      </c>
      <c r="I83" t="s">
        <v>574</v>
      </c>
    </row>
    <row r="84" spans="1:9" x14ac:dyDescent="0.2">
      <c r="A84" t="s">
        <v>194</v>
      </c>
      <c r="B84">
        <v>54</v>
      </c>
      <c r="C84">
        <v>12</v>
      </c>
      <c r="D84">
        <v>10</v>
      </c>
      <c r="E84">
        <v>0</v>
      </c>
      <c r="F84">
        <v>19.9427770012989</v>
      </c>
      <c r="G84">
        <v>364</v>
      </c>
      <c r="H84">
        <v>10000</v>
      </c>
      <c r="I84" t="s">
        <v>575</v>
      </c>
    </row>
    <row r="85" spans="1:9" x14ac:dyDescent="0.2">
      <c r="A85" t="s">
        <v>196</v>
      </c>
      <c r="B85">
        <v>55</v>
      </c>
      <c r="C85">
        <v>5</v>
      </c>
      <c r="D85">
        <v>12</v>
      </c>
      <c r="E85">
        <v>0</v>
      </c>
      <c r="F85">
        <v>15.269910573028</v>
      </c>
      <c r="G85">
        <v>79</v>
      </c>
      <c r="H85">
        <v>10000</v>
      </c>
      <c r="I85" t="s">
        <v>576</v>
      </c>
    </row>
    <row r="86" spans="1:9" x14ac:dyDescent="0.2">
      <c r="A86" t="s">
        <v>198</v>
      </c>
      <c r="B86">
        <v>56</v>
      </c>
      <c r="C86">
        <v>5</v>
      </c>
      <c r="D86">
        <v>12</v>
      </c>
      <c r="E86">
        <v>0</v>
      </c>
      <c r="F86">
        <v>14.290853776037601</v>
      </c>
      <c r="G86">
        <v>204</v>
      </c>
      <c r="H86">
        <v>10000</v>
      </c>
      <c r="I86" t="s">
        <v>577</v>
      </c>
    </row>
    <row r="87" spans="1:9" x14ac:dyDescent="0.2">
      <c r="A87" t="s">
        <v>200</v>
      </c>
      <c r="B87">
        <v>57</v>
      </c>
      <c r="C87">
        <v>4</v>
      </c>
      <c r="D87">
        <v>13</v>
      </c>
      <c r="E87">
        <v>0</v>
      </c>
      <c r="F87">
        <v>13.668645250611</v>
      </c>
      <c r="G87">
        <v>299</v>
      </c>
      <c r="H87">
        <v>10000</v>
      </c>
      <c r="I87" t="s">
        <v>578</v>
      </c>
    </row>
    <row r="88" spans="1:9" x14ac:dyDescent="0.2">
      <c r="A88" t="s">
        <v>202</v>
      </c>
      <c r="B88">
        <v>58</v>
      </c>
      <c r="C88">
        <v>12</v>
      </c>
      <c r="D88">
        <v>10</v>
      </c>
      <c r="E88">
        <v>0</v>
      </c>
      <c r="F88">
        <v>20.3391454704105</v>
      </c>
      <c r="G88">
        <v>250</v>
      </c>
      <c r="H88">
        <v>10000</v>
      </c>
      <c r="I88" t="s">
        <v>579</v>
      </c>
    </row>
    <row r="89" spans="1:9" x14ac:dyDescent="0.2">
      <c r="A89" t="s">
        <v>204</v>
      </c>
      <c r="B89">
        <v>59</v>
      </c>
      <c r="C89">
        <v>12</v>
      </c>
      <c r="D89">
        <v>10</v>
      </c>
      <c r="E89">
        <v>0</v>
      </c>
      <c r="F89">
        <v>21.3475862732157</v>
      </c>
      <c r="G89">
        <v>123</v>
      </c>
      <c r="H89">
        <v>10000</v>
      </c>
      <c r="I89" t="s">
        <v>580</v>
      </c>
    </row>
    <row r="90" spans="1:9" x14ac:dyDescent="0.2">
      <c r="A90" t="s">
        <v>206</v>
      </c>
      <c r="B90">
        <v>60</v>
      </c>
      <c r="C90">
        <v>10</v>
      </c>
      <c r="D90">
        <v>11</v>
      </c>
      <c r="E90">
        <v>0</v>
      </c>
      <c r="F90">
        <v>20.633857977576501</v>
      </c>
      <c r="G90">
        <v>55</v>
      </c>
      <c r="H90">
        <v>10000</v>
      </c>
      <c r="I90" t="s">
        <v>581</v>
      </c>
    </row>
    <row r="91" spans="1:9" x14ac:dyDescent="0.2">
      <c r="A91" t="s">
        <v>208</v>
      </c>
      <c r="B91">
        <v>61</v>
      </c>
      <c r="C91">
        <v>10</v>
      </c>
      <c r="D91">
        <v>11</v>
      </c>
      <c r="E91">
        <v>0</v>
      </c>
      <c r="F91">
        <v>21.461052679456699</v>
      </c>
      <c r="G91">
        <v>48</v>
      </c>
      <c r="H91">
        <v>10000</v>
      </c>
      <c r="I91" t="s">
        <v>582</v>
      </c>
    </row>
    <row r="92" spans="1:9" x14ac:dyDescent="0.2">
      <c r="A92" t="s">
        <v>210</v>
      </c>
      <c r="B92">
        <v>62</v>
      </c>
      <c r="C92">
        <v>16</v>
      </c>
      <c r="D92">
        <v>10</v>
      </c>
      <c r="E92">
        <v>0</v>
      </c>
      <c r="F92">
        <v>27.965845911763601</v>
      </c>
      <c r="G92">
        <v>30</v>
      </c>
      <c r="H92">
        <v>10000</v>
      </c>
      <c r="I92" t="s">
        <v>583</v>
      </c>
    </row>
    <row r="93" spans="1:9" x14ac:dyDescent="0.2">
      <c r="A93" t="s">
        <v>212</v>
      </c>
      <c r="B93">
        <v>63</v>
      </c>
      <c r="C93">
        <v>8</v>
      </c>
      <c r="D93">
        <v>13</v>
      </c>
      <c r="E93">
        <v>0</v>
      </c>
      <c r="F93">
        <v>20.2599422354251</v>
      </c>
      <c r="G93">
        <v>142</v>
      </c>
      <c r="H93">
        <v>10000</v>
      </c>
      <c r="I93" t="s">
        <v>584</v>
      </c>
    </row>
    <row r="94" spans="1:9" x14ac:dyDescent="0.2">
      <c r="A94" t="s">
        <v>214</v>
      </c>
      <c r="B94">
        <v>64</v>
      </c>
      <c r="C94">
        <v>13</v>
      </c>
      <c r="D94">
        <v>12</v>
      </c>
      <c r="E94">
        <v>0</v>
      </c>
      <c r="F94">
        <v>25.538601706735701</v>
      </c>
      <c r="G94">
        <v>192</v>
      </c>
      <c r="H94">
        <v>10000</v>
      </c>
      <c r="I94" t="s">
        <v>585</v>
      </c>
    </row>
    <row r="95" spans="1:9" x14ac:dyDescent="0.2">
      <c r="A95" t="s">
        <v>216</v>
      </c>
      <c r="B95">
        <v>65</v>
      </c>
      <c r="C95">
        <v>5</v>
      </c>
      <c r="D95">
        <v>14</v>
      </c>
      <c r="E95">
        <v>0</v>
      </c>
      <c r="F95">
        <v>18.676788694225198</v>
      </c>
      <c r="G95">
        <v>37</v>
      </c>
      <c r="H95">
        <v>10000</v>
      </c>
      <c r="I95" t="s">
        <v>586</v>
      </c>
    </row>
    <row r="96" spans="1:9" x14ac:dyDescent="0.2">
      <c r="A96" t="s">
        <v>218</v>
      </c>
      <c r="B96">
        <v>66</v>
      </c>
      <c r="C96">
        <v>5</v>
      </c>
      <c r="D96">
        <v>14</v>
      </c>
      <c r="E96">
        <v>0</v>
      </c>
      <c r="F96">
        <v>19.449908399954399</v>
      </c>
      <c r="G96">
        <v>43</v>
      </c>
      <c r="H96">
        <v>10000</v>
      </c>
      <c r="I96" t="s">
        <v>587</v>
      </c>
    </row>
    <row r="97" spans="1:9" x14ac:dyDescent="0.2">
      <c r="A97" t="s">
        <v>220</v>
      </c>
      <c r="B97">
        <v>67</v>
      </c>
      <c r="C97">
        <v>5</v>
      </c>
      <c r="D97">
        <v>14</v>
      </c>
      <c r="E97">
        <v>0</v>
      </c>
      <c r="F97">
        <v>20.296231442131099</v>
      </c>
      <c r="G97">
        <v>14</v>
      </c>
      <c r="H97">
        <v>10000</v>
      </c>
      <c r="I97" t="s">
        <v>588</v>
      </c>
    </row>
    <row r="98" spans="1:9" x14ac:dyDescent="0.2">
      <c r="A98" t="s">
        <v>222</v>
      </c>
      <c r="B98">
        <v>68</v>
      </c>
      <c r="C98">
        <v>5</v>
      </c>
      <c r="D98">
        <v>14</v>
      </c>
      <c r="E98">
        <v>0</v>
      </c>
      <c r="F98">
        <v>20.4977276176214</v>
      </c>
      <c r="G98">
        <v>13</v>
      </c>
      <c r="H98">
        <v>10000</v>
      </c>
      <c r="I98" t="s">
        <v>589</v>
      </c>
    </row>
    <row r="99" spans="1:9" x14ac:dyDescent="0.2">
      <c r="A99" t="s">
        <v>224</v>
      </c>
      <c r="B99">
        <v>69</v>
      </c>
      <c r="C99">
        <v>5</v>
      </c>
      <c r="D99">
        <v>14</v>
      </c>
      <c r="E99">
        <v>0</v>
      </c>
      <c r="F99">
        <v>20.9204454133287</v>
      </c>
      <c r="G99">
        <v>13</v>
      </c>
      <c r="H99">
        <v>10000</v>
      </c>
      <c r="I99" t="s">
        <v>590</v>
      </c>
    </row>
    <row r="100" spans="1:9" x14ac:dyDescent="0.2">
      <c r="A100" t="s">
        <v>226</v>
      </c>
      <c r="B100">
        <v>70</v>
      </c>
      <c r="C100">
        <v>5</v>
      </c>
      <c r="D100">
        <v>14</v>
      </c>
      <c r="E100">
        <v>0</v>
      </c>
      <c r="F100">
        <v>20.9973124703392</v>
      </c>
      <c r="G100">
        <v>17</v>
      </c>
      <c r="H100">
        <v>10000</v>
      </c>
      <c r="I100" t="s">
        <v>591</v>
      </c>
    </row>
    <row r="101" spans="1:9" x14ac:dyDescent="0.2">
      <c r="A101" t="s">
        <v>228</v>
      </c>
      <c r="B101">
        <v>71</v>
      </c>
      <c r="C101">
        <v>5</v>
      </c>
      <c r="D101">
        <v>15</v>
      </c>
      <c r="E101">
        <v>0</v>
      </c>
      <c r="F101">
        <v>22.110911517403999</v>
      </c>
      <c r="G101">
        <v>7</v>
      </c>
      <c r="H101">
        <v>10000</v>
      </c>
      <c r="I101" t="s">
        <v>592</v>
      </c>
    </row>
    <row r="102" spans="1:9" x14ac:dyDescent="0.2">
      <c r="A102" t="s">
        <v>230</v>
      </c>
      <c r="B102">
        <v>72</v>
      </c>
      <c r="C102">
        <v>5</v>
      </c>
      <c r="D102">
        <v>15</v>
      </c>
      <c r="E102">
        <v>0</v>
      </c>
      <c r="F102">
        <v>22.146976215764798</v>
      </c>
      <c r="G102">
        <v>12</v>
      </c>
      <c r="H102">
        <v>10000</v>
      </c>
      <c r="I102" t="s">
        <v>593</v>
      </c>
    </row>
    <row r="103" spans="1:9" x14ac:dyDescent="0.2">
      <c r="A103" t="s">
        <v>232</v>
      </c>
      <c r="B103">
        <v>73</v>
      </c>
      <c r="C103">
        <v>5</v>
      </c>
      <c r="D103">
        <v>15</v>
      </c>
      <c r="E103">
        <v>0</v>
      </c>
      <c r="F103">
        <v>23.218111015856199</v>
      </c>
      <c r="G103">
        <v>13</v>
      </c>
      <c r="H103">
        <v>10000</v>
      </c>
      <c r="I103" t="s">
        <v>594</v>
      </c>
    </row>
    <row r="104" spans="1:9" x14ac:dyDescent="0.2">
      <c r="A104" t="s">
        <v>234</v>
      </c>
      <c r="B104">
        <v>74</v>
      </c>
      <c r="C104">
        <v>5</v>
      </c>
      <c r="D104">
        <v>15</v>
      </c>
      <c r="E104">
        <v>0</v>
      </c>
      <c r="F104">
        <v>23.9518863167613</v>
      </c>
      <c r="G104">
        <v>11</v>
      </c>
      <c r="H104">
        <v>10000</v>
      </c>
      <c r="I104" t="s">
        <v>595</v>
      </c>
    </row>
    <row r="105" spans="1:9" x14ac:dyDescent="0.2">
      <c r="A105" t="s">
        <v>236</v>
      </c>
      <c r="B105">
        <v>75</v>
      </c>
      <c r="C105">
        <v>5</v>
      </c>
      <c r="D105">
        <v>15</v>
      </c>
      <c r="E105">
        <v>0</v>
      </c>
      <c r="F105">
        <v>24.4462896836921</v>
      </c>
      <c r="G105">
        <v>5</v>
      </c>
      <c r="H105">
        <v>10000</v>
      </c>
      <c r="I105" t="s">
        <v>596</v>
      </c>
    </row>
    <row r="106" spans="1:9" x14ac:dyDescent="0.2">
      <c r="A106" t="s">
        <v>238</v>
      </c>
      <c r="B106">
        <v>76</v>
      </c>
      <c r="C106">
        <v>5</v>
      </c>
      <c r="D106">
        <v>15</v>
      </c>
      <c r="E106">
        <v>0</v>
      </c>
      <c r="F106">
        <v>24.657427999190901</v>
      </c>
      <c r="G106">
        <v>3</v>
      </c>
      <c r="H106">
        <v>10000</v>
      </c>
      <c r="I106" t="s">
        <v>597</v>
      </c>
    </row>
    <row r="107" spans="1:9" x14ac:dyDescent="0.2">
      <c r="A107" t="s">
        <v>240</v>
      </c>
      <c r="B107">
        <v>77</v>
      </c>
      <c r="C107">
        <v>5</v>
      </c>
      <c r="D107">
        <v>15</v>
      </c>
      <c r="E107">
        <v>0</v>
      </c>
      <c r="F107">
        <v>26.012229790911</v>
      </c>
      <c r="G107">
        <v>1</v>
      </c>
      <c r="H107">
        <v>10000</v>
      </c>
      <c r="I107" t="s">
        <v>598</v>
      </c>
    </row>
    <row r="108" spans="1:9" x14ac:dyDescent="0.2">
      <c r="A108" t="s">
        <v>36</v>
      </c>
      <c r="B108">
        <v>78</v>
      </c>
      <c r="C108">
        <v>15</v>
      </c>
      <c r="D108">
        <v>13</v>
      </c>
      <c r="E108">
        <v>1</v>
      </c>
      <c r="F108">
        <v>41.246828782372098</v>
      </c>
      <c r="G108">
        <v>4</v>
      </c>
      <c r="H108">
        <v>10000</v>
      </c>
      <c r="I108" t="s">
        <v>599</v>
      </c>
    </row>
    <row r="109" spans="1:9" x14ac:dyDescent="0.2">
      <c r="A109" t="s">
        <v>37</v>
      </c>
      <c r="B109">
        <v>79</v>
      </c>
      <c r="C109">
        <v>14</v>
      </c>
      <c r="D109">
        <v>13</v>
      </c>
      <c r="E109">
        <v>0</v>
      </c>
      <c r="F109">
        <v>40.659893549047403</v>
      </c>
      <c r="G109">
        <v>1</v>
      </c>
      <c r="H109">
        <v>10000</v>
      </c>
      <c r="I109" t="s">
        <v>600</v>
      </c>
    </row>
    <row r="110" spans="1:9" x14ac:dyDescent="0.2">
      <c r="A110" t="s">
        <v>38</v>
      </c>
      <c r="B110">
        <v>80</v>
      </c>
      <c r="C110">
        <v>7</v>
      </c>
      <c r="D110">
        <v>15</v>
      </c>
      <c r="E110">
        <v>0</v>
      </c>
      <c r="F110">
        <v>29.596858440898298</v>
      </c>
      <c r="G110">
        <v>1</v>
      </c>
      <c r="H110">
        <v>10000</v>
      </c>
      <c r="I110" t="s">
        <v>601</v>
      </c>
    </row>
    <row r="111" spans="1:9" x14ac:dyDescent="0.2">
      <c r="A111" t="s">
        <v>39</v>
      </c>
      <c r="B111">
        <v>81</v>
      </c>
      <c r="C111">
        <v>11</v>
      </c>
      <c r="D111">
        <v>15</v>
      </c>
      <c r="E111">
        <v>0</v>
      </c>
      <c r="F111">
        <v>35.298054132610503</v>
      </c>
      <c r="G111">
        <v>7</v>
      </c>
      <c r="H111">
        <v>10000</v>
      </c>
      <c r="I111" t="s">
        <v>602</v>
      </c>
    </row>
    <row r="112" spans="1:9" x14ac:dyDescent="0.2">
      <c r="A112" t="s">
        <v>40</v>
      </c>
      <c r="B112">
        <v>82</v>
      </c>
      <c r="C112">
        <v>7</v>
      </c>
      <c r="D112">
        <v>17</v>
      </c>
      <c r="E112">
        <v>1</v>
      </c>
      <c r="F112">
        <v>29.213044129311999</v>
      </c>
      <c r="G112">
        <v>16</v>
      </c>
      <c r="H112">
        <v>10000</v>
      </c>
      <c r="I112" t="s">
        <v>603</v>
      </c>
    </row>
    <row r="113" spans="1:9" x14ac:dyDescent="0.2">
      <c r="A113" t="s">
        <v>41</v>
      </c>
      <c r="B113">
        <v>83</v>
      </c>
      <c r="C113">
        <v>13</v>
      </c>
      <c r="D113">
        <v>15</v>
      </c>
      <c r="E113">
        <v>0</v>
      </c>
      <c r="F113">
        <v>40.8917958121746</v>
      </c>
      <c r="G113">
        <v>2</v>
      </c>
      <c r="H113">
        <v>10000</v>
      </c>
      <c r="I113" t="s">
        <v>604</v>
      </c>
    </row>
    <row r="114" spans="1:9" x14ac:dyDescent="0.2">
      <c r="A114" t="s">
        <v>42</v>
      </c>
      <c r="B114">
        <v>84</v>
      </c>
      <c r="C114">
        <v>4</v>
      </c>
      <c r="D114">
        <v>18</v>
      </c>
      <c r="E114">
        <v>0</v>
      </c>
      <c r="F114">
        <v>27.539630199782501</v>
      </c>
      <c r="G114">
        <v>9</v>
      </c>
      <c r="H114">
        <v>10000</v>
      </c>
      <c r="I114" t="s">
        <v>605</v>
      </c>
    </row>
    <row r="115" spans="1:9" x14ac:dyDescent="0.2">
      <c r="A115" t="s">
        <v>43</v>
      </c>
      <c r="B115">
        <v>85</v>
      </c>
      <c r="C115">
        <v>11</v>
      </c>
      <c r="D115">
        <v>17</v>
      </c>
      <c r="E115">
        <v>0</v>
      </c>
      <c r="F115">
        <v>39.453668927773798</v>
      </c>
      <c r="G115">
        <v>37</v>
      </c>
      <c r="H115">
        <v>10000</v>
      </c>
      <c r="I115" t="s">
        <v>606</v>
      </c>
    </row>
    <row r="116" spans="1:9" x14ac:dyDescent="0.2">
      <c r="A116" t="s">
        <v>44</v>
      </c>
      <c r="B116">
        <v>86</v>
      </c>
      <c r="C116">
        <v>4</v>
      </c>
      <c r="D116">
        <v>19</v>
      </c>
      <c r="E116">
        <v>0</v>
      </c>
      <c r="F116">
        <v>28.662488516420101</v>
      </c>
      <c r="G116">
        <v>12</v>
      </c>
      <c r="H116">
        <v>10000</v>
      </c>
      <c r="I116" t="s">
        <v>607</v>
      </c>
    </row>
    <row r="117" spans="1:9" x14ac:dyDescent="0.2">
      <c r="A117" t="s">
        <v>45</v>
      </c>
      <c r="B117">
        <v>87</v>
      </c>
      <c r="C117">
        <v>5</v>
      </c>
      <c r="D117">
        <v>19</v>
      </c>
      <c r="E117">
        <v>0</v>
      </c>
      <c r="F117">
        <v>31.608128235675299</v>
      </c>
      <c r="G117">
        <v>17</v>
      </c>
      <c r="H117">
        <v>10000</v>
      </c>
      <c r="I117" t="s">
        <v>608</v>
      </c>
    </row>
    <row r="118" spans="1:9" x14ac:dyDescent="0.2">
      <c r="A118" t="s">
        <v>46</v>
      </c>
      <c r="B118">
        <v>88</v>
      </c>
      <c r="C118">
        <v>5</v>
      </c>
      <c r="D118">
        <v>19</v>
      </c>
      <c r="E118">
        <v>0</v>
      </c>
      <c r="F118">
        <v>31.380103575997001</v>
      </c>
      <c r="G118">
        <v>17</v>
      </c>
      <c r="H118">
        <v>10000</v>
      </c>
      <c r="I118" t="s">
        <v>609</v>
      </c>
    </row>
    <row r="119" spans="1:9" x14ac:dyDescent="0.2">
      <c r="A119" t="s">
        <v>47</v>
      </c>
      <c r="B119">
        <v>89</v>
      </c>
      <c r="C119">
        <v>3</v>
      </c>
      <c r="D119">
        <v>19</v>
      </c>
      <c r="E119">
        <v>0</v>
      </c>
      <c r="F119">
        <v>30.326316215097901</v>
      </c>
      <c r="G119">
        <v>6</v>
      </c>
      <c r="H119">
        <v>10000</v>
      </c>
      <c r="I119" t="s">
        <v>610</v>
      </c>
    </row>
    <row r="120" spans="1:9" x14ac:dyDescent="0.2">
      <c r="A120" t="s">
        <v>48</v>
      </c>
      <c r="B120">
        <v>90</v>
      </c>
      <c r="C120">
        <v>3</v>
      </c>
      <c r="D120">
        <v>19</v>
      </c>
      <c r="E120">
        <v>0</v>
      </c>
      <c r="F120">
        <v>30.558555664494602</v>
      </c>
      <c r="G120">
        <v>3</v>
      </c>
      <c r="H120">
        <v>10000</v>
      </c>
      <c r="I120" t="s">
        <v>611</v>
      </c>
    </row>
    <row r="121" spans="1:9" x14ac:dyDescent="0.2">
      <c r="A121" t="s">
        <v>49</v>
      </c>
      <c r="B121">
        <v>91</v>
      </c>
      <c r="C121">
        <v>4</v>
      </c>
      <c r="D121">
        <v>19</v>
      </c>
      <c r="E121">
        <v>0</v>
      </c>
      <c r="F121">
        <v>30.0833905842155</v>
      </c>
      <c r="G121">
        <v>6</v>
      </c>
      <c r="H121">
        <v>10000</v>
      </c>
      <c r="I121" t="s">
        <v>612</v>
      </c>
    </row>
    <row r="122" spans="1:9" x14ac:dyDescent="0.2">
      <c r="A122" t="s">
        <v>50</v>
      </c>
      <c r="B122">
        <v>92</v>
      </c>
      <c r="C122">
        <v>3</v>
      </c>
      <c r="D122">
        <v>20</v>
      </c>
      <c r="E122">
        <v>0</v>
      </c>
      <c r="F122">
        <v>31.416640182957</v>
      </c>
      <c r="G122">
        <v>6</v>
      </c>
      <c r="H122">
        <v>10000</v>
      </c>
      <c r="I122" t="s">
        <v>613</v>
      </c>
    </row>
    <row r="123" spans="1:9" x14ac:dyDescent="0.2">
      <c r="A123" t="s">
        <v>51</v>
      </c>
      <c r="B123">
        <v>93</v>
      </c>
      <c r="C123">
        <v>4</v>
      </c>
      <c r="D123">
        <v>20</v>
      </c>
      <c r="E123">
        <v>0</v>
      </c>
      <c r="F123">
        <v>34.973877032287398</v>
      </c>
      <c r="G123">
        <v>13</v>
      </c>
      <c r="H123">
        <v>10000</v>
      </c>
      <c r="I123" t="s">
        <v>614</v>
      </c>
    </row>
    <row r="124" spans="1:9" x14ac:dyDescent="0.2">
      <c r="A124" t="s">
        <v>52</v>
      </c>
      <c r="B124">
        <v>94</v>
      </c>
      <c r="C124">
        <v>4</v>
      </c>
      <c r="D124">
        <v>20</v>
      </c>
      <c r="E124">
        <v>0</v>
      </c>
      <c r="F124">
        <v>34.811747514642697</v>
      </c>
      <c r="G124">
        <v>7</v>
      </c>
      <c r="H124">
        <v>10000</v>
      </c>
      <c r="I124" t="s">
        <v>615</v>
      </c>
    </row>
    <row r="125" spans="1:9" x14ac:dyDescent="0.2">
      <c r="A125" t="s">
        <v>53</v>
      </c>
      <c r="B125">
        <v>95</v>
      </c>
      <c r="C125">
        <v>5</v>
      </c>
      <c r="D125">
        <v>19</v>
      </c>
      <c r="E125">
        <v>0</v>
      </c>
      <c r="F125">
        <v>34.4084599772468</v>
      </c>
      <c r="G125">
        <v>14</v>
      </c>
      <c r="H125">
        <v>10000</v>
      </c>
      <c r="I125" t="s">
        <v>616</v>
      </c>
    </row>
    <row r="126" spans="1:9" x14ac:dyDescent="0.2">
      <c r="A126" t="s">
        <v>54</v>
      </c>
      <c r="B126">
        <v>96</v>
      </c>
      <c r="C126">
        <v>27</v>
      </c>
      <c r="D126">
        <v>14</v>
      </c>
      <c r="E126">
        <v>0</v>
      </c>
      <c r="F126">
        <v>79.826961993239806</v>
      </c>
      <c r="G126">
        <v>29</v>
      </c>
      <c r="H126">
        <v>10000</v>
      </c>
      <c r="I126" t="s">
        <v>617</v>
      </c>
    </row>
    <row r="127" spans="1:9" x14ac:dyDescent="0.2">
      <c r="A127" t="s">
        <v>55</v>
      </c>
      <c r="B127">
        <v>97</v>
      </c>
      <c r="C127">
        <v>5</v>
      </c>
      <c r="D127">
        <v>19</v>
      </c>
      <c r="E127">
        <v>0</v>
      </c>
      <c r="F127">
        <v>34.577643124386597</v>
      </c>
      <c r="G127">
        <v>20</v>
      </c>
      <c r="H127">
        <v>10000</v>
      </c>
      <c r="I127" t="s">
        <v>618</v>
      </c>
    </row>
    <row r="128" spans="1:9" x14ac:dyDescent="0.2">
      <c r="A128" t="s">
        <v>56</v>
      </c>
      <c r="B128">
        <v>98</v>
      </c>
      <c r="C128">
        <v>2</v>
      </c>
      <c r="D128">
        <v>21</v>
      </c>
      <c r="E128">
        <v>0</v>
      </c>
      <c r="F128">
        <v>31.643314908258599</v>
      </c>
      <c r="G128">
        <v>36</v>
      </c>
      <c r="H128">
        <v>10000</v>
      </c>
      <c r="I128" t="s">
        <v>619</v>
      </c>
    </row>
    <row r="129" spans="1:9" x14ac:dyDescent="0.2">
      <c r="A129" t="s">
        <v>57</v>
      </c>
      <c r="B129">
        <v>99</v>
      </c>
      <c r="C129">
        <v>3</v>
      </c>
      <c r="D129">
        <v>21</v>
      </c>
      <c r="E129">
        <v>0</v>
      </c>
      <c r="F129">
        <v>35.343232342973302</v>
      </c>
      <c r="G129">
        <v>8</v>
      </c>
      <c r="H129">
        <v>10000</v>
      </c>
      <c r="I129" t="s">
        <v>620</v>
      </c>
    </row>
    <row r="130" spans="1:9" x14ac:dyDescent="0.2">
      <c r="A130" t="s">
        <v>58</v>
      </c>
      <c r="B130">
        <v>100</v>
      </c>
      <c r="C130">
        <v>4</v>
      </c>
      <c r="D130">
        <v>20</v>
      </c>
      <c r="E130">
        <v>0</v>
      </c>
      <c r="F130">
        <v>36.433148951269601</v>
      </c>
      <c r="G130">
        <v>6</v>
      </c>
      <c r="H130">
        <v>10000</v>
      </c>
      <c r="I130" t="s">
        <v>621</v>
      </c>
    </row>
    <row r="131" spans="1:9" x14ac:dyDescent="0.2">
      <c r="A131" t="s">
        <v>59</v>
      </c>
      <c r="B131">
        <v>101</v>
      </c>
      <c r="C131">
        <v>4</v>
      </c>
      <c r="D131">
        <v>20</v>
      </c>
      <c r="E131">
        <v>0</v>
      </c>
      <c r="F131">
        <v>37.950430006720097</v>
      </c>
      <c r="G131">
        <v>6</v>
      </c>
      <c r="H131">
        <v>10000</v>
      </c>
      <c r="I131" t="s">
        <v>622</v>
      </c>
    </row>
    <row r="132" spans="1:9" x14ac:dyDescent="0.2">
      <c r="A132" t="s">
        <v>60</v>
      </c>
      <c r="B132">
        <v>102</v>
      </c>
      <c r="C132">
        <v>17</v>
      </c>
      <c r="D132">
        <v>17</v>
      </c>
      <c r="E132">
        <v>0</v>
      </c>
      <c r="F132">
        <v>67.698000484146107</v>
      </c>
      <c r="G132">
        <v>1</v>
      </c>
      <c r="H132">
        <v>10000</v>
      </c>
      <c r="I132" t="s">
        <v>623</v>
      </c>
    </row>
    <row r="133" spans="1:9" x14ac:dyDescent="0.2">
      <c r="A133" t="s">
        <v>61</v>
      </c>
      <c r="B133">
        <v>103</v>
      </c>
      <c r="C133">
        <v>18</v>
      </c>
      <c r="D133">
        <v>17</v>
      </c>
      <c r="E133">
        <v>0</v>
      </c>
      <c r="F133">
        <v>72.265416526235597</v>
      </c>
      <c r="G133">
        <v>1</v>
      </c>
      <c r="H133">
        <v>10000</v>
      </c>
      <c r="I133" t="s">
        <v>624</v>
      </c>
    </row>
    <row r="134" spans="1:9" x14ac:dyDescent="0.2">
      <c r="A134" t="s">
        <v>62</v>
      </c>
      <c r="B134">
        <v>104</v>
      </c>
      <c r="C134">
        <v>12</v>
      </c>
      <c r="D134">
        <v>19</v>
      </c>
      <c r="E134">
        <v>0</v>
      </c>
      <c r="F134">
        <v>57.632718663662601</v>
      </c>
      <c r="G134">
        <v>1</v>
      </c>
      <c r="H134">
        <v>10000</v>
      </c>
      <c r="I134" t="s">
        <v>625</v>
      </c>
    </row>
    <row r="135" spans="1:9" x14ac:dyDescent="0.2">
      <c r="A135" t="s">
        <v>63</v>
      </c>
      <c r="B135">
        <v>105</v>
      </c>
      <c r="C135">
        <v>8</v>
      </c>
      <c r="D135">
        <v>22</v>
      </c>
      <c r="E135">
        <v>2</v>
      </c>
      <c r="F135">
        <v>48.555382625199798</v>
      </c>
      <c r="G135">
        <v>8</v>
      </c>
      <c r="H135">
        <v>10000</v>
      </c>
      <c r="I135" t="s">
        <v>626</v>
      </c>
    </row>
    <row r="136" spans="1:9" x14ac:dyDescent="0.2">
      <c r="A136" t="s">
        <v>65</v>
      </c>
      <c r="B136">
        <v>106</v>
      </c>
      <c r="C136">
        <v>23</v>
      </c>
      <c r="D136">
        <v>16</v>
      </c>
      <c r="E136">
        <v>0</v>
      </c>
      <c r="F136">
        <v>87.672640412114504</v>
      </c>
      <c r="G136">
        <v>6</v>
      </c>
      <c r="H136">
        <v>10000</v>
      </c>
      <c r="I136" t="s">
        <v>627</v>
      </c>
    </row>
    <row r="137" spans="1:9" x14ac:dyDescent="0.2">
      <c r="A137" t="s">
        <v>66</v>
      </c>
      <c r="B137">
        <v>107</v>
      </c>
      <c r="C137">
        <v>10</v>
      </c>
      <c r="D137">
        <v>20</v>
      </c>
      <c r="E137">
        <v>0</v>
      </c>
      <c r="F137">
        <v>54.639499489217997</v>
      </c>
      <c r="G137">
        <v>3</v>
      </c>
      <c r="H137">
        <v>10000</v>
      </c>
      <c r="I137" t="s">
        <v>628</v>
      </c>
    </row>
    <row r="138" spans="1:9" x14ac:dyDescent="0.2">
      <c r="A138" t="s">
        <v>67</v>
      </c>
      <c r="B138">
        <v>108</v>
      </c>
      <c r="C138">
        <v>36</v>
      </c>
      <c r="D138">
        <v>15</v>
      </c>
      <c r="E138">
        <v>2</v>
      </c>
      <c r="F138">
        <v>129.01946020592001</v>
      </c>
      <c r="G138">
        <v>4</v>
      </c>
      <c r="H138">
        <v>10000</v>
      </c>
      <c r="I138" t="s">
        <v>629</v>
      </c>
    </row>
    <row r="139" spans="1:9" x14ac:dyDescent="0.2">
      <c r="A139" t="s">
        <v>68</v>
      </c>
      <c r="B139">
        <v>109</v>
      </c>
      <c r="C139">
        <v>31</v>
      </c>
      <c r="D139">
        <v>16</v>
      </c>
      <c r="E139">
        <v>2</v>
      </c>
      <c r="F139">
        <v>115.42194512579501</v>
      </c>
      <c r="G139">
        <v>5</v>
      </c>
      <c r="H139">
        <v>10000</v>
      </c>
      <c r="I139" t="s">
        <v>630</v>
      </c>
    </row>
    <row r="140" spans="1:9" x14ac:dyDescent="0.2">
      <c r="A140" t="s">
        <v>69</v>
      </c>
      <c r="B140">
        <v>110</v>
      </c>
      <c r="C140">
        <v>32</v>
      </c>
      <c r="D140">
        <v>16</v>
      </c>
      <c r="E140">
        <v>2</v>
      </c>
      <c r="F140">
        <v>119.67977738194099</v>
      </c>
      <c r="G140">
        <v>4</v>
      </c>
      <c r="H140">
        <v>10000</v>
      </c>
      <c r="I140" t="s">
        <v>631</v>
      </c>
    </row>
    <row r="141" spans="1:9" x14ac:dyDescent="0.2">
      <c r="A141" t="s">
        <v>70</v>
      </c>
      <c r="B141">
        <v>111</v>
      </c>
      <c r="C141">
        <v>33</v>
      </c>
      <c r="D141">
        <v>16</v>
      </c>
      <c r="E141">
        <v>2</v>
      </c>
      <c r="F141">
        <v>122.378903674893</v>
      </c>
      <c r="G141">
        <v>7</v>
      </c>
      <c r="H141">
        <v>10000</v>
      </c>
      <c r="I141" t="s">
        <v>632</v>
      </c>
    </row>
    <row r="142" spans="1:9" x14ac:dyDescent="0.2">
      <c r="A142" t="s">
        <v>71</v>
      </c>
      <c r="B142">
        <v>112</v>
      </c>
      <c r="C142">
        <v>16</v>
      </c>
      <c r="D142">
        <v>19</v>
      </c>
      <c r="E142">
        <v>0</v>
      </c>
      <c r="F142">
        <v>73.859922554343896</v>
      </c>
      <c r="G142">
        <v>6</v>
      </c>
      <c r="H142">
        <v>10000</v>
      </c>
      <c r="I142" t="s">
        <v>633</v>
      </c>
    </row>
    <row r="143" spans="1:9" x14ac:dyDescent="0.2">
      <c r="A143" t="s">
        <v>72</v>
      </c>
      <c r="B143">
        <v>113</v>
      </c>
      <c r="C143">
        <v>34</v>
      </c>
      <c r="D143">
        <v>14</v>
      </c>
      <c r="E143">
        <v>0</v>
      </c>
      <c r="F143">
        <v>132.033243834041</v>
      </c>
      <c r="G143">
        <v>2</v>
      </c>
      <c r="H143">
        <v>10000</v>
      </c>
      <c r="I143" t="s">
        <v>634</v>
      </c>
    </row>
    <row r="144" spans="1:9" x14ac:dyDescent="0.2">
      <c r="A144" t="s">
        <v>73</v>
      </c>
      <c r="B144">
        <v>114</v>
      </c>
      <c r="C144">
        <v>36</v>
      </c>
      <c r="D144">
        <v>14</v>
      </c>
      <c r="E144">
        <v>0</v>
      </c>
      <c r="F144">
        <v>142.08654771651999</v>
      </c>
      <c r="G144">
        <v>4</v>
      </c>
      <c r="H144">
        <v>10000</v>
      </c>
      <c r="I144" t="s">
        <v>635</v>
      </c>
    </row>
    <row r="145" spans="1:9" x14ac:dyDescent="0.2">
      <c r="A145" t="s">
        <v>75</v>
      </c>
      <c r="B145">
        <v>115</v>
      </c>
      <c r="C145">
        <v>1</v>
      </c>
      <c r="D145">
        <v>25</v>
      </c>
      <c r="E145">
        <v>0</v>
      </c>
      <c r="F145">
        <v>40.390117182396303</v>
      </c>
      <c r="G145">
        <v>16</v>
      </c>
      <c r="H145">
        <v>10000</v>
      </c>
      <c r="I145" t="s">
        <v>636</v>
      </c>
    </row>
    <row r="146" spans="1:9" x14ac:dyDescent="0.2">
      <c r="A146" t="s">
        <v>76</v>
      </c>
      <c r="B146">
        <v>116</v>
      </c>
      <c r="C146">
        <v>2</v>
      </c>
      <c r="D146">
        <v>24</v>
      </c>
      <c r="E146">
        <v>0</v>
      </c>
      <c r="F146">
        <v>42.032287615351301</v>
      </c>
      <c r="G146">
        <v>5</v>
      </c>
      <c r="H146">
        <v>10000</v>
      </c>
      <c r="I146" t="s">
        <v>637</v>
      </c>
    </row>
    <row r="147" spans="1:9" x14ac:dyDescent="0.2">
      <c r="A147" t="s">
        <v>77</v>
      </c>
      <c r="B147">
        <v>117</v>
      </c>
      <c r="C147">
        <v>2</v>
      </c>
      <c r="D147">
        <v>24</v>
      </c>
      <c r="E147">
        <v>0</v>
      </c>
      <c r="F147">
        <v>42.857985711656497</v>
      </c>
      <c r="G147">
        <v>4</v>
      </c>
      <c r="H147">
        <v>10000</v>
      </c>
      <c r="I147" t="s">
        <v>638</v>
      </c>
    </row>
    <row r="148" spans="1:9" x14ac:dyDescent="0.2">
      <c r="A148" t="s">
        <v>78</v>
      </c>
      <c r="B148">
        <v>118</v>
      </c>
      <c r="C148">
        <v>1</v>
      </c>
      <c r="D148">
        <v>25</v>
      </c>
      <c r="E148">
        <v>0</v>
      </c>
      <c r="F148">
        <v>40.137499049305902</v>
      </c>
      <c r="G148">
        <v>12</v>
      </c>
      <c r="H148">
        <v>10000</v>
      </c>
      <c r="I148" t="s">
        <v>639</v>
      </c>
    </row>
    <row r="149" spans="1:9" x14ac:dyDescent="0.2">
      <c r="A149" t="s">
        <v>79</v>
      </c>
      <c r="B149">
        <v>119</v>
      </c>
      <c r="C149">
        <v>39</v>
      </c>
      <c r="D149">
        <v>14</v>
      </c>
      <c r="E149">
        <v>0</v>
      </c>
      <c r="F149">
        <v>164.86280266195499</v>
      </c>
      <c r="G149">
        <v>1</v>
      </c>
      <c r="H149">
        <v>10000</v>
      </c>
      <c r="I149" t="s">
        <v>640</v>
      </c>
    </row>
    <row r="150" spans="1:9" x14ac:dyDescent="0.2">
      <c r="A150" t="s">
        <v>80</v>
      </c>
      <c r="B150">
        <v>120</v>
      </c>
      <c r="C150">
        <v>40</v>
      </c>
      <c r="D150">
        <v>14</v>
      </c>
      <c r="E150">
        <v>0</v>
      </c>
      <c r="F150">
        <v>169.65800623036901</v>
      </c>
      <c r="G150">
        <v>2</v>
      </c>
      <c r="H150">
        <v>10000</v>
      </c>
      <c r="I150" t="s">
        <v>641</v>
      </c>
    </row>
    <row r="151" spans="1:9" x14ac:dyDescent="0.2">
      <c r="A151" t="s">
        <v>81</v>
      </c>
      <c r="B151">
        <v>121</v>
      </c>
      <c r="C151">
        <v>36</v>
      </c>
      <c r="D151">
        <v>18</v>
      </c>
      <c r="E151">
        <v>3</v>
      </c>
      <c r="F151">
        <v>158.052360201254</v>
      </c>
      <c r="G151">
        <v>9</v>
      </c>
      <c r="H151">
        <v>10000</v>
      </c>
      <c r="I151" t="s">
        <v>642</v>
      </c>
    </row>
    <row r="152" spans="1:9" x14ac:dyDescent="0.2">
      <c r="A152" t="s">
        <v>82</v>
      </c>
      <c r="B152">
        <v>122</v>
      </c>
      <c r="C152">
        <v>37</v>
      </c>
      <c r="D152">
        <v>16</v>
      </c>
      <c r="E152">
        <v>1</v>
      </c>
      <c r="F152">
        <v>164.549686977639</v>
      </c>
      <c r="G152">
        <v>3</v>
      </c>
      <c r="H152">
        <v>10000</v>
      </c>
      <c r="I152" t="s">
        <v>643</v>
      </c>
    </row>
    <row r="153" spans="1:9" x14ac:dyDescent="0.2">
      <c r="A153" t="s">
        <v>83</v>
      </c>
      <c r="B153">
        <v>123</v>
      </c>
      <c r="C153">
        <v>38</v>
      </c>
      <c r="D153">
        <v>16</v>
      </c>
      <c r="E153">
        <v>1</v>
      </c>
      <c r="F153">
        <v>171.18898427579501</v>
      </c>
      <c r="G153">
        <v>1</v>
      </c>
      <c r="H153">
        <v>10000</v>
      </c>
      <c r="I153" t="s">
        <v>644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736A-E450-AE47-BFF9-69ECCAAA23C7}">
  <dimension ref="A1:I153"/>
  <sheetViews>
    <sheetView workbookViewId="0">
      <selection activeCell="G11" sqref="G11"/>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35</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645</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0.96256039757281497</v>
      </c>
      <c r="G33">
        <v>10000</v>
      </c>
      <c r="H33">
        <v>10000</v>
      </c>
      <c r="I33" t="s">
        <v>646</v>
      </c>
    </row>
    <row r="34" spans="1:9" x14ac:dyDescent="0.2">
      <c r="A34" t="s">
        <v>93</v>
      </c>
      <c r="B34">
        <v>4</v>
      </c>
      <c r="C34">
        <v>1</v>
      </c>
      <c r="D34">
        <v>2</v>
      </c>
      <c r="E34">
        <v>0</v>
      </c>
      <c r="F34">
        <v>1.06373836193233</v>
      </c>
      <c r="G34">
        <v>10000</v>
      </c>
      <c r="H34">
        <v>10000</v>
      </c>
      <c r="I34" t="s">
        <v>647</v>
      </c>
    </row>
    <row r="35" spans="1:9" x14ac:dyDescent="0.2">
      <c r="A35" t="s">
        <v>94</v>
      </c>
      <c r="B35">
        <v>5</v>
      </c>
      <c r="C35">
        <v>1</v>
      </c>
      <c r="D35">
        <v>3</v>
      </c>
      <c r="E35">
        <v>0</v>
      </c>
      <c r="F35">
        <v>1.1891566403210101</v>
      </c>
      <c r="G35">
        <v>10000</v>
      </c>
      <c r="H35">
        <v>10000</v>
      </c>
      <c r="I35" t="s">
        <v>648</v>
      </c>
    </row>
    <row r="36" spans="1:9" x14ac:dyDescent="0.2">
      <c r="A36" t="s">
        <v>95</v>
      </c>
      <c r="B36">
        <v>6</v>
      </c>
      <c r="C36">
        <v>1</v>
      </c>
      <c r="D36">
        <v>3</v>
      </c>
      <c r="E36">
        <v>0</v>
      </c>
      <c r="F36">
        <v>1.2430309364572101</v>
      </c>
      <c r="G36">
        <v>10000</v>
      </c>
      <c r="H36">
        <v>10000</v>
      </c>
      <c r="I36" t="s">
        <v>648</v>
      </c>
    </row>
    <row r="37" spans="1:9" x14ac:dyDescent="0.2">
      <c r="A37" t="s">
        <v>96</v>
      </c>
      <c r="B37">
        <v>7</v>
      </c>
      <c r="C37">
        <v>1</v>
      </c>
      <c r="D37">
        <v>3</v>
      </c>
      <c r="E37">
        <v>0</v>
      </c>
      <c r="F37">
        <v>1.2747546508908201</v>
      </c>
      <c r="G37">
        <v>10000</v>
      </c>
      <c r="H37">
        <v>10000</v>
      </c>
      <c r="I37" t="s">
        <v>649</v>
      </c>
    </row>
    <row r="38" spans="1:9" x14ac:dyDescent="0.2">
      <c r="A38" t="s">
        <v>97</v>
      </c>
      <c r="B38">
        <v>8</v>
      </c>
      <c r="C38">
        <v>1</v>
      </c>
      <c r="D38">
        <v>3</v>
      </c>
      <c r="E38">
        <v>0</v>
      </c>
      <c r="F38">
        <v>1.31569855287671</v>
      </c>
      <c r="G38">
        <v>10000</v>
      </c>
      <c r="H38">
        <v>10000</v>
      </c>
      <c r="I38" t="s">
        <v>648</v>
      </c>
    </row>
    <row r="39" spans="1:9" x14ac:dyDescent="0.2">
      <c r="A39" t="s">
        <v>98</v>
      </c>
      <c r="B39">
        <v>9</v>
      </c>
      <c r="C39">
        <v>1</v>
      </c>
      <c r="D39">
        <v>3</v>
      </c>
      <c r="E39">
        <v>0</v>
      </c>
      <c r="F39">
        <v>1.3873983426019501</v>
      </c>
      <c r="G39">
        <v>10000</v>
      </c>
      <c r="H39">
        <v>10000</v>
      </c>
      <c r="I39" t="s">
        <v>648</v>
      </c>
    </row>
    <row r="40" spans="1:9" x14ac:dyDescent="0.2">
      <c r="A40" t="s">
        <v>99</v>
      </c>
      <c r="B40">
        <v>10</v>
      </c>
      <c r="C40">
        <v>1</v>
      </c>
      <c r="D40">
        <v>4</v>
      </c>
      <c r="E40">
        <v>0</v>
      </c>
      <c r="F40">
        <v>1.33772465586662</v>
      </c>
      <c r="G40">
        <v>9996</v>
      </c>
      <c r="H40">
        <v>10000</v>
      </c>
      <c r="I40" t="s">
        <v>650</v>
      </c>
    </row>
    <row r="41" spans="1:9" x14ac:dyDescent="0.2">
      <c r="A41" t="s">
        <v>100</v>
      </c>
      <c r="B41">
        <v>11</v>
      </c>
      <c r="C41">
        <v>1</v>
      </c>
      <c r="D41">
        <v>5</v>
      </c>
      <c r="E41">
        <v>0</v>
      </c>
      <c r="F41">
        <v>1.6512811100110401</v>
      </c>
      <c r="G41">
        <v>10000</v>
      </c>
      <c r="H41">
        <v>10000</v>
      </c>
      <c r="I41" t="s">
        <v>651</v>
      </c>
    </row>
    <row r="42" spans="1:9" x14ac:dyDescent="0.2">
      <c r="A42" t="s">
        <v>101</v>
      </c>
      <c r="B42">
        <v>12</v>
      </c>
      <c r="C42">
        <v>6</v>
      </c>
      <c r="D42">
        <v>3</v>
      </c>
      <c r="E42">
        <v>0</v>
      </c>
      <c r="F42">
        <v>1.74438585806638</v>
      </c>
      <c r="G42">
        <v>9828</v>
      </c>
      <c r="H42">
        <v>10000</v>
      </c>
      <c r="I42" t="s">
        <v>652</v>
      </c>
    </row>
    <row r="43" spans="1:9" x14ac:dyDescent="0.2">
      <c r="A43" t="s">
        <v>102</v>
      </c>
      <c r="B43">
        <v>13</v>
      </c>
      <c r="C43">
        <v>6</v>
      </c>
      <c r="D43">
        <v>3</v>
      </c>
      <c r="E43">
        <v>0</v>
      </c>
      <c r="F43">
        <v>1.8258100356906599</v>
      </c>
      <c r="G43">
        <v>9803</v>
      </c>
      <c r="H43">
        <v>10000</v>
      </c>
      <c r="I43" t="s">
        <v>653</v>
      </c>
    </row>
    <row r="44" spans="1:9" x14ac:dyDescent="0.2">
      <c r="A44" t="s">
        <v>103</v>
      </c>
      <c r="B44">
        <v>14</v>
      </c>
      <c r="C44">
        <v>2</v>
      </c>
      <c r="D44">
        <v>5</v>
      </c>
      <c r="E44">
        <v>0</v>
      </c>
      <c r="F44">
        <v>1.6459109960123799</v>
      </c>
      <c r="G44">
        <v>9876</v>
      </c>
      <c r="H44">
        <v>10000</v>
      </c>
      <c r="I44" t="s">
        <v>654</v>
      </c>
    </row>
    <row r="45" spans="1:9" x14ac:dyDescent="0.2">
      <c r="A45" t="s">
        <v>104</v>
      </c>
      <c r="B45">
        <v>15</v>
      </c>
      <c r="C45">
        <v>2</v>
      </c>
      <c r="D45">
        <v>5</v>
      </c>
      <c r="E45">
        <v>0</v>
      </c>
      <c r="F45">
        <v>1.7019760804250801</v>
      </c>
      <c r="G45">
        <v>9901</v>
      </c>
      <c r="H45">
        <v>10000</v>
      </c>
      <c r="I45" t="s">
        <v>655</v>
      </c>
    </row>
    <row r="46" spans="1:9" x14ac:dyDescent="0.2">
      <c r="A46" t="s">
        <v>105</v>
      </c>
      <c r="B46">
        <v>16</v>
      </c>
      <c r="C46">
        <v>1</v>
      </c>
      <c r="D46">
        <v>6</v>
      </c>
      <c r="E46">
        <v>0</v>
      </c>
      <c r="F46">
        <v>1.76615670975297</v>
      </c>
      <c r="G46">
        <v>10000</v>
      </c>
      <c r="H46">
        <v>10000</v>
      </c>
      <c r="I46" t="s">
        <v>656</v>
      </c>
    </row>
    <row r="47" spans="1:9" x14ac:dyDescent="0.2">
      <c r="A47" t="s">
        <v>106</v>
      </c>
      <c r="B47">
        <v>17</v>
      </c>
      <c r="C47">
        <v>3</v>
      </c>
      <c r="D47">
        <v>5</v>
      </c>
      <c r="E47">
        <v>0</v>
      </c>
      <c r="F47">
        <v>1.85536152310669</v>
      </c>
      <c r="G47">
        <v>10000</v>
      </c>
      <c r="H47">
        <v>10000</v>
      </c>
      <c r="I47" t="s">
        <v>657</v>
      </c>
    </row>
    <row r="48" spans="1:9" x14ac:dyDescent="0.2">
      <c r="A48" t="s">
        <v>107</v>
      </c>
      <c r="B48">
        <v>18</v>
      </c>
      <c r="C48">
        <v>5</v>
      </c>
      <c r="D48">
        <v>5</v>
      </c>
      <c r="E48">
        <v>0</v>
      </c>
      <c r="F48">
        <v>2.0292159570381001</v>
      </c>
      <c r="G48">
        <v>9995</v>
      </c>
      <c r="H48">
        <v>10000</v>
      </c>
      <c r="I48" t="s">
        <v>658</v>
      </c>
    </row>
    <row r="49" spans="1:9" x14ac:dyDescent="0.2">
      <c r="A49" t="s">
        <v>108</v>
      </c>
      <c r="B49">
        <v>19</v>
      </c>
      <c r="C49">
        <v>5</v>
      </c>
      <c r="D49">
        <v>5</v>
      </c>
      <c r="E49">
        <v>0</v>
      </c>
      <c r="F49">
        <v>2.0889894142746899</v>
      </c>
      <c r="G49">
        <v>9992</v>
      </c>
      <c r="H49">
        <v>10000</v>
      </c>
      <c r="I49" t="s">
        <v>659</v>
      </c>
    </row>
    <row r="50" spans="1:9" x14ac:dyDescent="0.2">
      <c r="A50" t="s">
        <v>109</v>
      </c>
      <c r="B50">
        <v>20</v>
      </c>
      <c r="C50">
        <v>3</v>
      </c>
      <c r="D50">
        <v>6</v>
      </c>
      <c r="E50">
        <v>0</v>
      </c>
      <c r="F50">
        <v>1.99731131922453</v>
      </c>
      <c r="G50">
        <v>9934</v>
      </c>
      <c r="H50">
        <v>10000</v>
      </c>
      <c r="I50" t="s">
        <v>660</v>
      </c>
    </row>
    <row r="51" spans="1:9" x14ac:dyDescent="0.2">
      <c r="A51" t="s">
        <v>110</v>
      </c>
      <c r="B51">
        <v>21</v>
      </c>
      <c r="C51">
        <v>3</v>
      </c>
      <c r="D51">
        <v>6</v>
      </c>
      <c r="E51">
        <v>0</v>
      </c>
      <c r="F51">
        <v>2.04571927525103</v>
      </c>
      <c r="G51">
        <v>9946</v>
      </c>
      <c r="H51">
        <v>10000</v>
      </c>
      <c r="I51" t="s">
        <v>661</v>
      </c>
    </row>
    <row r="52" spans="1:9" x14ac:dyDescent="0.2">
      <c r="A52" t="s">
        <v>111</v>
      </c>
      <c r="B52">
        <v>22</v>
      </c>
      <c r="C52">
        <v>7</v>
      </c>
      <c r="D52">
        <v>5</v>
      </c>
      <c r="E52">
        <v>0</v>
      </c>
      <c r="F52">
        <v>2.2251676386222199</v>
      </c>
      <c r="G52">
        <v>9926</v>
      </c>
      <c r="H52">
        <v>10000</v>
      </c>
      <c r="I52" t="s">
        <v>662</v>
      </c>
    </row>
    <row r="53" spans="1:9" x14ac:dyDescent="0.2">
      <c r="A53" t="s">
        <v>112</v>
      </c>
      <c r="B53">
        <v>23</v>
      </c>
      <c r="C53">
        <v>2</v>
      </c>
      <c r="D53">
        <v>7</v>
      </c>
      <c r="E53">
        <v>0</v>
      </c>
      <c r="F53">
        <v>2.0985540067777002</v>
      </c>
      <c r="G53">
        <v>9574</v>
      </c>
      <c r="H53">
        <v>10000</v>
      </c>
      <c r="I53" t="s">
        <v>663</v>
      </c>
    </row>
    <row r="54" spans="1:9" x14ac:dyDescent="0.2">
      <c r="A54" t="s">
        <v>113</v>
      </c>
      <c r="B54">
        <v>24</v>
      </c>
      <c r="C54">
        <v>8</v>
      </c>
      <c r="D54">
        <v>5</v>
      </c>
      <c r="E54">
        <v>0</v>
      </c>
      <c r="F54">
        <v>2.5903482660651198</v>
      </c>
      <c r="G54">
        <v>3952</v>
      </c>
      <c r="H54">
        <v>10000</v>
      </c>
      <c r="I54" t="s">
        <v>664</v>
      </c>
    </row>
    <row r="55" spans="1:9" x14ac:dyDescent="0.2">
      <c r="A55" t="s">
        <v>114</v>
      </c>
      <c r="B55">
        <v>25</v>
      </c>
      <c r="C55">
        <v>8</v>
      </c>
      <c r="D55">
        <v>5</v>
      </c>
      <c r="E55">
        <v>0</v>
      </c>
      <c r="F55">
        <v>2.6773603148758398</v>
      </c>
      <c r="G55">
        <v>3968</v>
      </c>
      <c r="H55">
        <v>10000</v>
      </c>
      <c r="I55" t="s">
        <v>665</v>
      </c>
    </row>
    <row r="56" spans="1:9" x14ac:dyDescent="0.2">
      <c r="A56" t="s">
        <v>115</v>
      </c>
      <c r="B56">
        <v>26</v>
      </c>
      <c r="C56">
        <v>6</v>
      </c>
      <c r="D56">
        <v>6</v>
      </c>
      <c r="E56">
        <v>0</v>
      </c>
      <c r="F56">
        <v>2.5399924656376198</v>
      </c>
      <c r="G56">
        <v>6688</v>
      </c>
      <c r="H56">
        <v>10000</v>
      </c>
      <c r="I56" t="s">
        <v>666</v>
      </c>
    </row>
    <row r="57" spans="1:9" x14ac:dyDescent="0.2">
      <c r="A57" t="s">
        <v>116</v>
      </c>
      <c r="B57">
        <v>27</v>
      </c>
      <c r="C57">
        <v>6</v>
      </c>
      <c r="D57">
        <v>6</v>
      </c>
      <c r="E57">
        <v>0</v>
      </c>
      <c r="F57">
        <v>2.6207130011171098</v>
      </c>
      <c r="G57">
        <v>6612</v>
      </c>
      <c r="H57">
        <v>10000</v>
      </c>
      <c r="I57" t="s">
        <v>667</v>
      </c>
    </row>
    <row r="58" spans="1:9" x14ac:dyDescent="0.2">
      <c r="A58" t="s">
        <v>117</v>
      </c>
      <c r="B58">
        <v>28</v>
      </c>
      <c r="C58">
        <v>6</v>
      </c>
      <c r="D58">
        <v>6</v>
      </c>
      <c r="E58">
        <v>0</v>
      </c>
      <c r="F58">
        <v>2.69621885009109</v>
      </c>
      <c r="G58">
        <v>6570</v>
      </c>
      <c r="H58">
        <v>10000</v>
      </c>
      <c r="I58" t="s">
        <v>668</v>
      </c>
    </row>
    <row r="59" spans="1:9" x14ac:dyDescent="0.2">
      <c r="A59" t="s">
        <v>118</v>
      </c>
      <c r="B59">
        <v>29</v>
      </c>
      <c r="C59">
        <v>6</v>
      </c>
      <c r="D59">
        <v>7</v>
      </c>
      <c r="E59">
        <v>0</v>
      </c>
      <c r="F59">
        <v>2.6515608523041001</v>
      </c>
      <c r="G59">
        <v>8672</v>
      </c>
      <c r="H59">
        <v>10000</v>
      </c>
      <c r="I59" t="s">
        <v>669</v>
      </c>
    </row>
    <row r="60" spans="1:9" x14ac:dyDescent="0.2">
      <c r="A60" t="s">
        <v>119</v>
      </c>
      <c r="B60">
        <v>30</v>
      </c>
      <c r="C60">
        <v>9</v>
      </c>
      <c r="D60">
        <v>6</v>
      </c>
      <c r="E60">
        <v>0</v>
      </c>
      <c r="F60">
        <v>2.9085986297577602</v>
      </c>
      <c r="G60">
        <v>7525</v>
      </c>
      <c r="H60">
        <v>10000</v>
      </c>
      <c r="I60" t="s">
        <v>670</v>
      </c>
    </row>
    <row r="61" spans="1:9" x14ac:dyDescent="0.2">
      <c r="A61" t="s">
        <v>120</v>
      </c>
      <c r="B61">
        <v>31</v>
      </c>
      <c r="C61">
        <v>9</v>
      </c>
      <c r="D61">
        <v>6</v>
      </c>
      <c r="E61">
        <v>0</v>
      </c>
      <c r="F61">
        <v>2.99036946520209</v>
      </c>
      <c r="G61">
        <v>7434</v>
      </c>
      <c r="H61">
        <v>10000</v>
      </c>
      <c r="I61" t="s">
        <v>671</v>
      </c>
    </row>
    <row r="62" spans="1:9" x14ac:dyDescent="0.2">
      <c r="A62" t="s">
        <v>121</v>
      </c>
      <c r="B62">
        <v>32</v>
      </c>
      <c r="C62">
        <v>5</v>
      </c>
      <c r="D62">
        <v>8</v>
      </c>
      <c r="E62">
        <v>0</v>
      </c>
      <c r="F62">
        <v>2.8326981794088999</v>
      </c>
      <c r="G62">
        <v>9435</v>
      </c>
      <c r="H62">
        <v>10000</v>
      </c>
      <c r="I62" t="s">
        <v>672</v>
      </c>
    </row>
    <row r="63" spans="1:9" x14ac:dyDescent="0.2">
      <c r="A63" t="s">
        <v>122</v>
      </c>
      <c r="B63">
        <v>33</v>
      </c>
      <c r="C63">
        <v>7</v>
      </c>
      <c r="D63">
        <v>8</v>
      </c>
      <c r="E63">
        <v>0</v>
      </c>
      <c r="F63">
        <v>3.25899837911129</v>
      </c>
      <c r="G63">
        <v>6658</v>
      </c>
      <c r="H63">
        <v>10000</v>
      </c>
      <c r="I63" t="s">
        <v>673</v>
      </c>
    </row>
    <row r="64" spans="1:9" x14ac:dyDescent="0.2">
      <c r="A64" t="s">
        <v>123</v>
      </c>
      <c r="B64">
        <v>34</v>
      </c>
      <c r="C64">
        <v>17</v>
      </c>
      <c r="D64">
        <v>5</v>
      </c>
      <c r="E64">
        <v>0</v>
      </c>
      <c r="F64">
        <v>4.1325480202212903</v>
      </c>
      <c r="G64">
        <v>7919</v>
      </c>
      <c r="H64">
        <v>10000</v>
      </c>
      <c r="I64" t="s">
        <v>674</v>
      </c>
    </row>
    <row r="65" spans="1:9" x14ac:dyDescent="0.2">
      <c r="A65" t="s">
        <v>124</v>
      </c>
      <c r="B65">
        <v>35</v>
      </c>
      <c r="C65">
        <v>4</v>
      </c>
      <c r="D65">
        <v>9</v>
      </c>
      <c r="E65">
        <v>0</v>
      </c>
      <c r="F65">
        <v>2.9899480454623699</v>
      </c>
      <c r="G65">
        <v>6126</v>
      </c>
      <c r="H65">
        <v>10000</v>
      </c>
      <c r="I65" t="s">
        <v>675</v>
      </c>
    </row>
    <row r="66" spans="1:9" x14ac:dyDescent="0.2">
      <c r="A66" t="s">
        <v>125</v>
      </c>
      <c r="B66">
        <v>36</v>
      </c>
      <c r="C66">
        <v>4</v>
      </c>
      <c r="D66">
        <v>9</v>
      </c>
      <c r="E66">
        <v>0</v>
      </c>
      <c r="F66">
        <v>3.0424362653866401</v>
      </c>
      <c r="G66">
        <v>6178</v>
      </c>
      <c r="H66">
        <v>10000</v>
      </c>
      <c r="I66" t="s">
        <v>676</v>
      </c>
    </row>
    <row r="67" spans="1:9" x14ac:dyDescent="0.2">
      <c r="A67" t="s">
        <v>126</v>
      </c>
      <c r="B67">
        <v>37</v>
      </c>
      <c r="C67">
        <v>4</v>
      </c>
      <c r="D67">
        <v>9</v>
      </c>
      <c r="E67">
        <v>0</v>
      </c>
      <c r="F67">
        <v>3.13850486278533</v>
      </c>
      <c r="G67">
        <v>6084</v>
      </c>
      <c r="H67">
        <v>10000</v>
      </c>
      <c r="I67" t="s">
        <v>677</v>
      </c>
    </row>
    <row r="68" spans="1:9" x14ac:dyDescent="0.2">
      <c r="A68" t="s">
        <v>127</v>
      </c>
      <c r="B68">
        <v>38</v>
      </c>
      <c r="C68">
        <v>4</v>
      </c>
      <c r="D68">
        <v>9</v>
      </c>
      <c r="E68">
        <v>0</v>
      </c>
      <c r="F68">
        <v>3.1755695044994301</v>
      </c>
      <c r="G68">
        <v>6141</v>
      </c>
      <c r="H68">
        <v>10000</v>
      </c>
      <c r="I68" t="s">
        <v>678</v>
      </c>
    </row>
    <row r="69" spans="1:9" x14ac:dyDescent="0.2">
      <c r="A69" t="s">
        <v>128</v>
      </c>
      <c r="B69">
        <v>39</v>
      </c>
      <c r="C69">
        <v>4</v>
      </c>
      <c r="D69">
        <v>9</v>
      </c>
      <c r="E69">
        <v>0</v>
      </c>
      <c r="F69">
        <v>3.3526537083089298</v>
      </c>
      <c r="G69">
        <v>3223</v>
      </c>
      <c r="H69">
        <v>10000</v>
      </c>
      <c r="I69" t="s">
        <v>679</v>
      </c>
    </row>
    <row r="70" spans="1:9" x14ac:dyDescent="0.2">
      <c r="A70" t="s">
        <v>129</v>
      </c>
      <c r="B70">
        <v>40</v>
      </c>
      <c r="C70">
        <v>5</v>
      </c>
      <c r="D70">
        <v>9</v>
      </c>
      <c r="E70">
        <v>0</v>
      </c>
      <c r="F70">
        <v>3.4912114413455102</v>
      </c>
      <c r="G70">
        <v>5489</v>
      </c>
      <c r="H70">
        <v>10000</v>
      </c>
      <c r="I70" t="s">
        <v>680</v>
      </c>
    </row>
    <row r="71" spans="1:9" x14ac:dyDescent="0.2">
      <c r="A71" t="s">
        <v>130</v>
      </c>
      <c r="B71">
        <v>41</v>
      </c>
      <c r="C71">
        <v>2</v>
      </c>
      <c r="D71">
        <v>11</v>
      </c>
      <c r="E71">
        <v>0</v>
      </c>
      <c r="F71">
        <v>3.3630427336320201</v>
      </c>
      <c r="G71">
        <v>5478</v>
      </c>
      <c r="H71">
        <v>10000</v>
      </c>
      <c r="I71" t="s">
        <v>681</v>
      </c>
    </row>
    <row r="72" spans="1:9" x14ac:dyDescent="0.2">
      <c r="A72" t="s">
        <v>131</v>
      </c>
      <c r="B72">
        <v>42</v>
      </c>
      <c r="C72">
        <v>5</v>
      </c>
      <c r="D72">
        <v>9</v>
      </c>
      <c r="E72">
        <v>0</v>
      </c>
      <c r="F72">
        <v>3.7732645375654101</v>
      </c>
      <c r="G72">
        <v>817</v>
      </c>
      <c r="H72">
        <v>10000</v>
      </c>
      <c r="I72" t="s">
        <v>682</v>
      </c>
    </row>
    <row r="73" spans="1:9" x14ac:dyDescent="0.2">
      <c r="A73" t="s">
        <v>132</v>
      </c>
      <c r="B73">
        <v>43</v>
      </c>
      <c r="C73">
        <v>6</v>
      </c>
      <c r="D73">
        <v>9</v>
      </c>
      <c r="E73">
        <v>0</v>
      </c>
      <c r="F73">
        <v>4.1359242396429101</v>
      </c>
      <c r="G73">
        <v>724</v>
      </c>
      <c r="H73">
        <v>10000</v>
      </c>
      <c r="I73" t="s">
        <v>683</v>
      </c>
    </row>
    <row r="74" spans="1:9" x14ac:dyDescent="0.2">
      <c r="A74" t="s">
        <v>133</v>
      </c>
      <c r="B74">
        <v>44</v>
      </c>
      <c r="C74">
        <v>6</v>
      </c>
      <c r="D74">
        <v>9</v>
      </c>
      <c r="E74">
        <v>0</v>
      </c>
      <c r="F74">
        <v>4.0317790107801503</v>
      </c>
      <c r="G74">
        <v>975</v>
      </c>
      <c r="H74">
        <v>10000</v>
      </c>
      <c r="I74" t="s">
        <v>684</v>
      </c>
    </row>
    <row r="75" spans="1:9" x14ac:dyDescent="0.2">
      <c r="A75" t="s">
        <v>134</v>
      </c>
      <c r="B75">
        <v>45</v>
      </c>
      <c r="C75">
        <v>6</v>
      </c>
      <c r="D75">
        <v>9</v>
      </c>
      <c r="E75">
        <v>0</v>
      </c>
      <c r="F75">
        <v>4.1527475938200897</v>
      </c>
      <c r="G75">
        <v>944</v>
      </c>
      <c r="H75">
        <v>10000</v>
      </c>
      <c r="I75" t="s">
        <v>685</v>
      </c>
    </row>
    <row r="76" spans="1:9" x14ac:dyDescent="0.2">
      <c r="A76" t="s">
        <v>135</v>
      </c>
      <c r="B76">
        <v>46</v>
      </c>
      <c r="C76">
        <v>7</v>
      </c>
      <c r="D76">
        <v>9</v>
      </c>
      <c r="E76">
        <v>0</v>
      </c>
      <c r="F76">
        <v>4.4812408108264199</v>
      </c>
      <c r="G76">
        <v>339</v>
      </c>
      <c r="H76">
        <v>10000</v>
      </c>
      <c r="I76" t="s">
        <v>686</v>
      </c>
    </row>
    <row r="77" spans="1:9" x14ac:dyDescent="0.2">
      <c r="A77" t="s">
        <v>136</v>
      </c>
      <c r="B77">
        <v>47</v>
      </c>
      <c r="C77">
        <v>8</v>
      </c>
      <c r="D77">
        <v>9</v>
      </c>
      <c r="E77">
        <v>0</v>
      </c>
      <c r="F77">
        <v>4.8577266298234401</v>
      </c>
      <c r="G77">
        <v>401</v>
      </c>
      <c r="H77">
        <v>10000</v>
      </c>
      <c r="I77" t="s">
        <v>687</v>
      </c>
    </row>
    <row r="78" spans="1:9" x14ac:dyDescent="0.2">
      <c r="A78" t="s">
        <v>137</v>
      </c>
      <c r="B78">
        <v>48</v>
      </c>
      <c r="C78">
        <v>5</v>
      </c>
      <c r="D78">
        <v>10</v>
      </c>
      <c r="E78">
        <v>0</v>
      </c>
      <c r="F78">
        <v>4.3147716997191301</v>
      </c>
      <c r="G78">
        <v>332</v>
      </c>
      <c r="H78">
        <v>10000</v>
      </c>
      <c r="I78" t="s">
        <v>688</v>
      </c>
    </row>
    <row r="79" spans="1:9" x14ac:dyDescent="0.2">
      <c r="A79" t="s">
        <v>138</v>
      </c>
      <c r="B79">
        <v>49</v>
      </c>
      <c r="C79">
        <v>17</v>
      </c>
      <c r="D79">
        <v>7</v>
      </c>
      <c r="E79">
        <v>0</v>
      </c>
      <c r="F79">
        <v>6.6005733441561398</v>
      </c>
      <c r="G79">
        <v>214</v>
      </c>
      <c r="H79">
        <v>10000</v>
      </c>
      <c r="I79" t="s">
        <v>689</v>
      </c>
    </row>
    <row r="80" spans="1:9" x14ac:dyDescent="0.2">
      <c r="A80" t="s">
        <v>139</v>
      </c>
      <c r="B80">
        <v>50</v>
      </c>
      <c r="C80">
        <v>13</v>
      </c>
      <c r="D80">
        <v>8</v>
      </c>
      <c r="E80">
        <v>0</v>
      </c>
      <c r="F80">
        <v>5.8843277897685704</v>
      </c>
      <c r="G80">
        <v>71</v>
      </c>
      <c r="H80">
        <v>10000</v>
      </c>
      <c r="I80" t="s">
        <v>690</v>
      </c>
    </row>
    <row r="81" spans="1:9" x14ac:dyDescent="0.2">
      <c r="A81" t="s">
        <v>188</v>
      </c>
      <c r="B81">
        <v>51</v>
      </c>
      <c r="C81">
        <v>12</v>
      </c>
      <c r="D81">
        <v>9</v>
      </c>
      <c r="E81">
        <v>0</v>
      </c>
      <c r="F81">
        <v>5.8639962309971398</v>
      </c>
      <c r="G81">
        <v>353</v>
      </c>
      <c r="H81">
        <v>10000</v>
      </c>
      <c r="I81" t="s">
        <v>691</v>
      </c>
    </row>
    <row r="82" spans="1:9" x14ac:dyDescent="0.2">
      <c r="A82" t="s">
        <v>190</v>
      </c>
      <c r="B82">
        <v>52</v>
      </c>
      <c r="C82">
        <v>10</v>
      </c>
      <c r="D82">
        <v>11</v>
      </c>
      <c r="E82">
        <v>1</v>
      </c>
      <c r="F82">
        <v>5.9193099578842503</v>
      </c>
      <c r="G82">
        <v>2863</v>
      </c>
      <c r="H82">
        <v>10000</v>
      </c>
      <c r="I82" t="s">
        <v>692</v>
      </c>
    </row>
    <row r="83" spans="1:9" x14ac:dyDescent="0.2">
      <c r="A83" t="s">
        <v>192</v>
      </c>
      <c r="B83">
        <v>53</v>
      </c>
      <c r="C83">
        <v>6</v>
      </c>
      <c r="D83">
        <v>11</v>
      </c>
      <c r="E83">
        <v>0</v>
      </c>
      <c r="F83">
        <v>5.1827145367860696</v>
      </c>
      <c r="G83">
        <v>194</v>
      </c>
      <c r="H83">
        <v>10000</v>
      </c>
      <c r="I83" t="s">
        <v>693</v>
      </c>
    </row>
    <row r="84" spans="1:9" x14ac:dyDescent="0.2">
      <c r="A84" t="s">
        <v>194</v>
      </c>
      <c r="B84">
        <v>54</v>
      </c>
      <c r="C84">
        <v>12</v>
      </c>
      <c r="D84">
        <v>10</v>
      </c>
      <c r="E84">
        <v>0</v>
      </c>
      <c r="F84">
        <v>6.6794187342748002</v>
      </c>
      <c r="G84">
        <v>348</v>
      </c>
      <c r="H84">
        <v>10000</v>
      </c>
      <c r="I84" t="s">
        <v>694</v>
      </c>
    </row>
    <row r="85" spans="1:9" x14ac:dyDescent="0.2">
      <c r="A85" t="s">
        <v>196</v>
      </c>
      <c r="B85">
        <v>55</v>
      </c>
      <c r="C85">
        <v>5</v>
      </c>
      <c r="D85">
        <v>12</v>
      </c>
      <c r="E85">
        <v>0</v>
      </c>
      <c r="F85">
        <v>5.4160697525367096</v>
      </c>
      <c r="G85">
        <v>92</v>
      </c>
      <c r="H85">
        <v>10000</v>
      </c>
      <c r="I85" t="s">
        <v>695</v>
      </c>
    </row>
    <row r="86" spans="1:9" x14ac:dyDescent="0.2">
      <c r="A86" t="s">
        <v>198</v>
      </c>
      <c r="B86">
        <v>56</v>
      </c>
      <c r="C86">
        <v>5</v>
      </c>
      <c r="D86">
        <v>12</v>
      </c>
      <c r="E86">
        <v>0</v>
      </c>
      <c r="F86">
        <v>5.3629288366064403</v>
      </c>
      <c r="G86">
        <v>159</v>
      </c>
      <c r="H86">
        <v>10000</v>
      </c>
      <c r="I86" t="s">
        <v>696</v>
      </c>
    </row>
    <row r="87" spans="1:9" x14ac:dyDescent="0.2">
      <c r="A87" t="s">
        <v>200</v>
      </c>
      <c r="B87">
        <v>57</v>
      </c>
      <c r="C87">
        <v>4</v>
      </c>
      <c r="D87">
        <v>13</v>
      </c>
      <c r="E87">
        <v>0</v>
      </c>
      <c r="F87">
        <v>5.3964968193322402</v>
      </c>
      <c r="G87">
        <v>219</v>
      </c>
      <c r="H87">
        <v>10000</v>
      </c>
      <c r="I87" t="s">
        <v>697</v>
      </c>
    </row>
    <row r="88" spans="1:9" x14ac:dyDescent="0.2">
      <c r="A88" t="s">
        <v>202</v>
      </c>
      <c r="B88">
        <v>58</v>
      </c>
      <c r="C88">
        <v>12</v>
      </c>
      <c r="D88">
        <v>10</v>
      </c>
      <c r="E88">
        <v>0</v>
      </c>
      <c r="F88">
        <v>7.2246219823136899</v>
      </c>
      <c r="G88">
        <v>154</v>
      </c>
      <c r="H88">
        <v>10000</v>
      </c>
      <c r="I88" t="s">
        <v>698</v>
      </c>
    </row>
    <row r="89" spans="1:9" x14ac:dyDescent="0.2">
      <c r="A89" t="s">
        <v>204</v>
      </c>
      <c r="B89">
        <v>59</v>
      </c>
      <c r="C89">
        <v>12</v>
      </c>
      <c r="D89">
        <v>10</v>
      </c>
      <c r="E89">
        <v>0</v>
      </c>
      <c r="F89">
        <v>7.4054412413388402</v>
      </c>
      <c r="G89">
        <v>79</v>
      </c>
      <c r="H89">
        <v>10000</v>
      </c>
      <c r="I89" t="s">
        <v>699</v>
      </c>
    </row>
    <row r="90" spans="1:9" x14ac:dyDescent="0.2">
      <c r="A90" t="s">
        <v>206</v>
      </c>
      <c r="B90">
        <v>60</v>
      </c>
      <c r="C90">
        <v>10</v>
      </c>
      <c r="D90">
        <v>11</v>
      </c>
      <c r="E90">
        <v>0</v>
      </c>
      <c r="F90">
        <v>7.26150977797806</v>
      </c>
      <c r="G90">
        <v>56</v>
      </c>
      <c r="H90">
        <v>10000</v>
      </c>
      <c r="I90" t="s">
        <v>700</v>
      </c>
    </row>
    <row r="91" spans="1:9" x14ac:dyDescent="0.2">
      <c r="A91" t="s">
        <v>208</v>
      </c>
      <c r="B91">
        <v>61</v>
      </c>
      <c r="C91">
        <v>10</v>
      </c>
      <c r="D91">
        <v>11</v>
      </c>
      <c r="E91">
        <v>0</v>
      </c>
      <c r="F91">
        <v>7.6428091516718197</v>
      </c>
      <c r="G91">
        <v>47</v>
      </c>
      <c r="H91">
        <v>10000</v>
      </c>
      <c r="I91" t="s">
        <v>701</v>
      </c>
    </row>
    <row r="92" spans="1:9" x14ac:dyDescent="0.2">
      <c r="A92" t="s">
        <v>210</v>
      </c>
      <c r="B92">
        <v>62</v>
      </c>
      <c r="C92">
        <v>16</v>
      </c>
      <c r="D92">
        <v>10</v>
      </c>
      <c r="E92">
        <v>0</v>
      </c>
      <c r="F92">
        <v>9.5924680726602602</v>
      </c>
      <c r="G92">
        <v>46</v>
      </c>
      <c r="H92">
        <v>10000</v>
      </c>
      <c r="I92" t="s">
        <v>702</v>
      </c>
    </row>
    <row r="93" spans="1:9" x14ac:dyDescent="0.2">
      <c r="A93" t="s">
        <v>212</v>
      </c>
      <c r="B93">
        <v>63</v>
      </c>
      <c r="C93">
        <v>8</v>
      </c>
      <c r="D93">
        <v>13</v>
      </c>
      <c r="E93">
        <v>0</v>
      </c>
      <c r="F93">
        <v>7.2221105946227899</v>
      </c>
      <c r="G93">
        <v>95</v>
      </c>
      <c r="H93">
        <v>10000</v>
      </c>
      <c r="I93" t="s">
        <v>703</v>
      </c>
    </row>
    <row r="94" spans="1:9" x14ac:dyDescent="0.2">
      <c r="A94" t="s">
        <v>214</v>
      </c>
      <c r="B94">
        <v>64</v>
      </c>
      <c r="C94">
        <v>13</v>
      </c>
      <c r="D94">
        <v>12</v>
      </c>
      <c r="E94">
        <v>0</v>
      </c>
      <c r="F94">
        <v>8.6471600849181396</v>
      </c>
      <c r="G94">
        <v>114</v>
      </c>
      <c r="H94">
        <v>10000</v>
      </c>
      <c r="I94" t="s">
        <v>704</v>
      </c>
    </row>
    <row r="95" spans="1:9" x14ac:dyDescent="0.2">
      <c r="A95" t="s">
        <v>216</v>
      </c>
      <c r="B95">
        <v>65</v>
      </c>
      <c r="C95">
        <v>5</v>
      </c>
      <c r="D95">
        <v>14</v>
      </c>
      <c r="E95">
        <v>0</v>
      </c>
      <c r="F95">
        <v>6.9588855393230897</v>
      </c>
      <c r="G95">
        <v>66</v>
      </c>
      <c r="H95">
        <v>10000</v>
      </c>
      <c r="I95" t="s">
        <v>705</v>
      </c>
    </row>
    <row r="96" spans="1:9" x14ac:dyDescent="0.2">
      <c r="A96" t="s">
        <v>218</v>
      </c>
      <c r="B96">
        <v>66</v>
      </c>
      <c r="C96">
        <v>5</v>
      </c>
      <c r="D96">
        <v>14</v>
      </c>
      <c r="E96">
        <v>0</v>
      </c>
      <c r="F96">
        <v>7.0320596760138798</v>
      </c>
      <c r="G96">
        <v>52</v>
      </c>
      <c r="H96">
        <v>10000</v>
      </c>
      <c r="I96" t="s">
        <v>706</v>
      </c>
    </row>
    <row r="97" spans="1:9" x14ac:dyDescent="0.2">
      <c r="A97" t="s">
        <v>220</v>
      </c>
      <c r="B97">
        <v>67</v>
      </c>
      <c r="C97">
        <v>5</v>
      </c>
      <c r="D97">
        <v>14</v>
      </c>
      <c r="E97">
        <v>0</v>
      </c>
      <c r="F97">
        <v>7.3404713785275799</v>
      </c>
      <c r="G97">
        <v>6</v>
      </c>
      <c r="H97">
        <v>10000</v>
      </c>
      <c r="I97" t="s">
        <v>707</v>
      </c>
    </row>
    <row r="98" spans="1:9" x14ac:dyDescent="0.2">
      <c r="A98" t="s">
        <v>222</v>
      </c>
      <c r="B98">
        <v>68</v>
      </c>
      <c r="C98">
        <v>5</v>
      </c>
      <c r="D98">
        <v>14</v>
      </c>
      <c r="E98">
        <v>0</v>
      </c>
      <c r="F98">
        <v>7.3544704839587203</v>
      </c>
      <c r="G98">
        <v>14</v>
      </c>
      <c r="H98">
        <v>10000</v>
      </c>
      <c r="I98" t="s">
        <v>708</v>
      </c>
    </row>
    <row r="99" spans="1:9" x14ac:dyDescent="0.2">
      <c r="A99" t="s">
        <v>224</v>
      </c>
      <c r="B99">
        <v>69</v>
      </c>
      <c r="C99">
        <v>5</v>
      </c>
      <c r="D99">
        <v>14</v>
      </c>
      <c r="E99">
        <v>0</v>
      </c>
      <c r="F99">
        <v>7.6000742111355004</v>
      </c>
      <c r="G99">
        <v>17</v>
      </c>
      <c r="H99">
        <v>10000</v>
      </c>
      <c r="I99" t="s">
        <v>709</v>
      </c>
    </row>
    <row r="100" spans="1:9" x14ac:dyDescent="0.2">
      <c r="A100" t="s">
        <v>226</v>
      </c>
      <c r="B100">
        <v>70</v>
      </c>
      <c r="C100">
        <v>5</v>
      </c>
      <c r="D100">
        <v>14</v>
      </c>
      <c r="E100">
        <v>0</v>
      </c>
      <c r="F100">
        <v>7.6520687332376802</v>
      </c>
      <c r="G100">
        <v>17</v>
      </c>
      <c r="H100">
        <v>10000</v>
      </c>
      <c r="I100" t="s">
        <v>710</v>
      </c>
    </row>
    <row r="101" spans="1:9" x14ac:dyDescent="0.2">
      <c r="A101" t="s">
        <v>228</v>
      </c>
      <c r="B101">
        <v>71</v>
      </c>
      <c r="C101">
        <v>5</v>
      </c>
      <c r="D101">
        <v>15</v>
      </c>
      <c r="E101">
        <v>0</v>
      </c>
      <c r="F101">
        <v>8.0607738010585308</v>
      </c>
      <c r="G101">
        <v>22</v>
      </c>
      <c r="H101">
        <v>10000</v>
      </c>
      <c r="I101" t="s">
        <v>711</v>
      </c>
    </row>
    <row r="102" spans="1:9" x14ac:dyDescent="0.2">
      <c r="A102" t="s">
        <v>230</v>
      </c>
      <c r="B102">
        <v>72</v>
      </c>
      <c r="C102">
        <v>5</v>
      </c>
      <c r="D102">
        <v>15</v>
      </c>
      <c r="E102">
        <v>0</v>
      </c>
      <c r="F102">
        <v>8.0473483270034194</v>
      </c>
      <c r="G102">
        <v>23</v>
      </c>
      <c r="H102">
        <v>10000</v>
      </c>
      <c r="I102" t="s">
        <v>712</v>
      </c>
    </row>
    <row r="103" spans="1:9" x14ac:dyDescent="0.2">
      <c r="A103" t="s">
        <v>232</v>
      </c>
      <c r="B103">
        <v>73</v>
      </c>
      <c r="C103">
        <v>5</v>
      </c>
      <c r="D103">
        <v>15</v>
      </c>
      <c r="E103">
        <v>0</v>
      </c>
      <c r="F103">
        <v>8.50395467877388</v>
      </c>
      <c r="G103">
        <v>12</v>
      </c>
      <c r="H103">
        <v>10000</v>
      </c>
      <c r="I103" t="s">
        <v>713</v>
      </c>
    </row>
    <row r="104" spans="1:9" x14ac:dyDescent="0.2">
      <c r="A104" t="s">
        <v>234</v>
      </c>
      <c r="B104">
        <v>74</v>
      </c>
      <c r="C104">
        <v>5</v>
      </c>
      <c r="D104">
        <v>15</v>
      </c>
      <c r="E104">
        <v>0</v>
      </c>
      <c r="F104">
        <v>8.5032669724896497</v>
      </c>
      <c r="G104">
        <v>11</v>
      </c>
      <c r="H104">
        <v>10000</v>
      </c>
      <c r="I104" t="s">
        <v>714</v>
      </c>
    </row>
    <row r="105" spans="1:9" x14ac:dyDescent="0.2">
      <c r="A105" t="s">
        <v>236</v>
      </c>
      <c r="B105">
        <v>75</v>
      </c>
      <c r="C105">
        <v>5</v>
      </c>
      <c r="D105">
        <v>15</v>
      </c>
      <c r="E105">
        <v>0</v>
      </c>
      <c r="F105">
        <v>8.8647745195776206</v>
      </c>
      <c r="G105">
        <v>3</v>
      </c>
      <c r="H105">
        <v>10000</v>
      </c>
      <c r="I105" t="s">
        <v>715</v>
      </c>
    </row>
    <row r="106" spans="1:9" x14ac:dyDescent="0.2">
      <c r="A106" t="s">
        <v>238</v>
      </c>
      <c r="B106">
        <v>76</v>
      </c>
      <c r="C106">
        <v>5</v>
      </c>
      <c r="D106">
        <v>15</v>
      </c>
      <c r="E106">
        <v>0</v>
      </c>
      <c r="F106">
        <v>8.7182479677721805</v>
      </c>
      <c r="G106">
        <v>3</v>
      </c>
      <c r="H106">
        <v>10000</v>
      </c>
      <c r="I106" t="s">
        <v>716</v>
      </c>
    </row>
    <row r="107" spans="1:9" x14ac:dyDescent="0.2">
      <c r="A107" t="s">
        <v>240</v>
      </c>
      <c r="B107">
        <v>77</v>
      </c>
      <c r="C107">
        <v>5</v>
      </c>
      <c r="D107">
        <v>15</v>
      </c>
      <c r="E107">
        <v>0</v>
      </c>
      <c r="F107">
        <v>9.1978165898472</v>
      </c>
      <c r="G107">
        <v>3</v>
      </c>
      <c r="H107">
        <v>10000</v>
      </c>
      <c r="I107" t="s">
        <v>717</v>
      </c>
    </row>
    <row r="108" spans="1:9" x14ac:dyDescent="0.2">
      <c r="A108" t="s">
        <v>36</v>
      </c>
      <c r="B108">
        <v>78</v>
      </c>
      <c r="C108">
        <v>15</v>
      </c>
      <c r="D108">
        <v>13</v>
      </c>
      <c r="E108">
        <v>1</v>
      </c>
      <c r="F108">
        <v>13.238942460156901</v>
      </c>
      <c r="G108">
        <v>10</v>
      </c>
      <c r="H108">
        <v>10000</v>
      </c>
      <c r="I108" t="s">
        <v>718</v>
      </c>
    </row>
    <row r="109" spans="1:9" x14ac:dyDescent="0.2">
      <c r="A109" t="s">
        <v>37</v>
      </c>
      <c r="B109">
        <v>79</v>
      </c>
      <c r="C109">
        <v>14</v>
      </c>
      <c r="D109">
        <v>14</v>
      </c>
      <c r="E109">
        <v>1</v>
      </c>
      <c r="F109">
        <v>13.051982580684101</v>
      </c>
      <c r="G109">
        <v>14</v>
      </c>
      <c r="H109">
        <v>10000</v>
      </c>
      <c r="I109" t="s">
        <v>719</v>
      </c>
    </row>
    <row r="110" spans="1:9" x14ac:dyDescent="0.2">
      <c r="A110" t="s">
        <v>38</v>
      </c>
      <c r="B110">
        <v>80</v>
      </c>
      <c r="C110">
        <v>7</v>
      </c>
      <c r="D110">
        <v>15</v>
      </c>
      <c r="E110">
        <v>0</v>
      </c>
      <c r="F110">
        <v>10.2261428115889</v>
      </c>
      <c r="G110">
        <v>1</v>
      </c>
      <c r="H110">
        <v>10000</v>
      </c>
      <c r="I110" t="s">
        <v>720</v>
      </c>
    </row>
    <row r="111" spans="1:9" x14ac:dyDescent="0.2">
      <c r="A111" t="s">
        <v>39</v>
      </c>
      <c r="B111">
        <v>81</v>
      </c>
      <c r="C111">
        <v>11</v>
      </c>
      <c r="D111">
        <v>15</v>
      </c>
      <c r="E111">
        <v>0</v>
      </c>
      <c r="F111">
        <v>12.1111822584643</v>
      </c>
      <c r="G111">
        <v>2</v>
      </c>
      <c r="H111">
        <v>10000</v>
      </c>
      <c r="I111" t="s">
        <v>721</v>
      </c>
    </row>
    <row r="112" spans="1:9" x14ac:dyDescent="0.2">
      <c r="A112" t="s">
        <v>40</v>
      </c>
      <c r="B112">
        <v>82</v>
      </c>
      <c r="C112">
        <v>7</v>
      </c>
      <c r="D112">
        <v>16</v>
      </c>
      <c r="E112">
        <v>0</v>
      </c>
      <c r="F112">
        <v>10.241529603488701</v>
      </c>
      <c r="G112">
        <v>1</v>
      </c>
      <c r="H112">
        <v>10000</v>
      </c>
      <c r="I112" t="s">
        <v>722</v>
      </c>
    </row>
    <row r="113" spans="1:9" x14ac:dyDescent="0.2">
      <c r="A113" t="s">
        <v>41</v>
      </c>
      <c r="B113">
        <v>83</v>
      </c>
      <c r="C113">
        <v>13</v>
      </c>
      <c r="D113">
        <v>15</v>
      </c>
      <c r="E113">
        <v>0</v>
      </c>
      <c r="F113">
        <v>12.612147768028001</v>
      </c>
      <c r="G113">
        <v>1</v>
      </c>
      <c r="H113">
        <v>10000</v>
      </c>
      <c r="I113" t="s">
        <v>723</v>
      </c>
    </row>
    <row r="114" spans="1:9" x14ac:dyDescent="0.2">
      <c r="A114" t="s">
        <v>42</v>
      </c>
      <c r="B114">
        <v>84</v>
      </c>
      <c r="C114">
        <v>4</v>
      </c>
      <c r="D114">
        <v>18</v>
      </c>
      <c r="E114">
        <v>0</v>
      </c>
      <c r="F114">
        <v>9.2631403058767301</v>
      </c>
      <c r="G114">
        <v>9</v>
      </c>
      <c r="H114">
        <v>10000</v>
      </c>
      <c r="I114" t="s">
        <v>724</v>
      </c>
    </row>
    <row r="115" spans="1:9" x14ac:dyDescent="0.2">
      <c r="A115" t="s">
        <v>43</v>
      </c>
      <c r="B115">
        <v>85</v>
      </c>
      <c r="C115">
        <v>11</v>
      </c>
      <c r="D115">
        <v>17</v>
      </c>
      <c r="E115">
        <v>0</v>
      </c>
      <c r="F115">
        <v>12.5928249908611</v>
      </c>
      <c r="G115">
        <v>20</v>
      </c>
      <c r="H115">
        <v>10000</v>
      </c>
      <c r="I115" t="s">
        <v>725</v>
      </c>
    </row>
    <row r="116" spans="1:9" x14ac:dyDescent="0.2">
      <c r="A116" t="s">
        <v>44</v>
      </c>
      <c r="B116">
        <v>86</v>
      </c>
      <c r="C116">
        <v>4</v>
      </c>
      <c r="D116">
        <v>19</v>
      </c>
      <c r="E116">
        <v>0</v>
      </c>
      <c r="F116">
        <v>9.81656651757657</v>
      </c>
      <c r="G116">
        <v>14</v>
      </c>
      <c r="H116">
        <v>10000</v>
      </c>
      <c r="I116" t="s">
        <v>726</v>
      </c>
    </row>
    <row r="117" spans="1:9" x14ac:dyDescent="0.2">
      <c r="A117" t="s">
        <v>45</v>
      </c>
      <c r="B117">
        <v>87</v>
      </c>
      <c r="C117">
        <v>5</v>
      </c>
      <c r="D117">
        <v>19</v>
      </c>
      <c r="E117">
        <v>0</v>
      </c>
      <c r="F117">
        <v>10.577609143219799</v>
      </c>
      <c r="G117">
        <v>16</v>
      </c>
      <c r="H117">
        <v>10000</v>
      </c>
      <c r="I117" t="s">
        <v>727</v>
      </c>
    </row>
    <row r="118" spans="1:9" x14ac:dyDescent="0.2">
      <c r="A118" t="s">
        <v>46</v>
      </c>
      <c r="B118">
        <v>88</v>
      </c>
      <c r="C118">
        <v>5</v>
      </c>
      <c r="D118">
        <v>19</v>
      </c>
      <c r="E118">
        <v>0</v>
      </c>
      <c r="F118">
        <v>10.284865289926501</v>
      </c>
      <c r="G118">
        <v>17</v>
      </c>
      <c r="H118">
        <v>10000</v>
      </c>
      <c r="I118" t="s">
        <v>728</v>
      </c>
    </row>
    <row r="119" spans="1:9" x14ac:dyDescent="0.2">
      <c r="A119" t="s">
        <v>47</v>
      </c>
      <c r="B119">
        <v>89</v>
      </c>
      <c r="C119">
        <v>3</v>
      </c>
      <c r="D119">
        <v>19</v>
      </c>
      <c r="E119">
        <v>0</v>
      </c>
      <c r="F119">
        <v>10.079297141171899</v>
      </c>
      <c r="G119">
        <v>4</v>
      </c>
      <c r="H119">
        <v>10000</v>
      </c>
      <c r="I119" t="s">
        <v>729</v>
      </c>
    </row>
    <row r="120" spans="1:9" x14ac:dyDescent="0.2">
      <c r="A120" t="s">
        <v>48</v>
      </c>
      <c r="B120">
        <v>90</v>
      </c>
      <c r="C120">
        <v>3</v>
      </c>
      <c r="D120">
        <v>19</v>
      </c>
      <c r="E120">
        <v>0</v>
      </c>
      <c r="F120">
        <v>10.188449288718401</v>
      </c>
      <c r="G120">
        <v>5</v>
      </c>
      <c r="H120">
        <v>10000</v>
      </c>
      <c r="I120" t="s">
        <v>730</v>
      </c>
    </row>
    <row r="121" spans="1:9" x14ac:dyDescent="0.2">
      <c r="A121" t="s">
        <v>49</v>
      </c>
      <c r="B121">
        <v>91</v>
      </c>
      <c r="C121">
        <v>4</v>
      </c>
      <c r="D121">
        <v>19</v>
      </c>
      <c r="E121">
        <v>0</v>
      </c>
      <c r="F121">
        <v>10.631273558363301</v>
      </c>
      <c r="G121">
        <v>11</v>
      </c>
      <c r="H121">
        <v>10000</v>
      </c>
      <c r="I121" t="s">
        <v>731</v>
      </c>
    </row>
    <row r="122" spans="1:9" x14ac:dyDescent="0.2">
      <c r="A122" t="s">
        <v>50</v>
      </c>
      <c r="B122">
        <v>92</v>
      </c>
      <c r="C122">
        <v>3</v>
      </c>
      <c r="D122">
        <v>20</v>
      </c>
      <c r="E122">
        <v>0</v>
      </c>
      <c r="F122">
        <v>10.3465246837586</v>
      </c>
      <c r="G122">
        <v>10</v>
      </c>
      <c r="H122">
        <v>10000</v>
      </c>
      <c r="I122" t="s">
        <v>732</v>
      </c>
    </row>
    <row r="123" spans="1:9" x14ac:dyDescent="0.2">
      <c r="A123" t="s">
        <v>51</v>
      </c>
      <c r="B123">
        <v>93</v>
      </c>
      <c r="C123">
        <v>4</v>
      </c>
      <c r="D123">
        <v>20</v>
      </c>
      <c r="E123">
        <v>0</v>
      </c>
      <c r="F123">
        <v>11.359042232856099</v>
      </c>
      <c r="G123">
        <v>6</v>
      </c>
      <c r="H123">
        <v>10000</v>
      </c>
      <c r="I123" t="s">
        <v>733</v>
      </c>
    </row>
    <row r="124" spans="1:9" x14ac:dyDescent="0.2">
      <c r="A124" t="s">
        <v>52</v>
      </c>
      <c r="B124">
        <v>94</v>
      </c>
      <c r="C124">
        <v>4</v>
      </c>
      <c r="D124">
        <v>20</v>
      </c>
      <c r="E124">
        <v>0</v>
      </c>
      <c r="F124">
        <v>11.3952150102704</v>
      </c>
      <c r="G124">
        <v>12</v>
      </c>
      <c r="H124">
        <v>10000</v>
      </c>
      <c r="I124" t="s">
        <v>734</v>
      </c>
    </row>
    <row r="125" spans="1:9" x14ac:dyDescent="0.2">
      <c r="A125" t="s">
        <v>53</v>
      </c>
      <c r="B125">
        <v>95</v>
      </c>
      <c r="C125">
        <v>5</v>
      </c>
      <c r="D125">
        <v>19</v>
      </c>
      <c r="E125">
        <v>0</v>
      </c>
      <c r="F125">
        <v>11.517994856461801</v>
      </c>
      <c r="G125">
        <v>12</v>
      </c>
      <c r="H125">
        <v>10000</v>
      </c>
      <c r="I125" t="s">
        <v>735</v>
      </c>
    </row>
    <row r="126" spans="1:9" x14ac:dyDescent="0.2">
      <c r="A126" t="s">
        <v>54</v>
      </c>
      <c r="B126">
        <v>96</v>
      </c>
      <c r="C126">
        <v>27</v>
      </c>
      <c r="D126">
        <v>14</v>
      </c>
      <c r="E126">
        <v>0</v>
      </c>
      <c r="F126">
        <v>25.153417877852899</v>
      </c>
      <c r="G126">
        <v>18</v>
      </c>
      <c r="H126">
        <v>10000</v>
      </c>
      <c r="I126" t="s">
        <v>736</v>
      </c>
    </row>
    <row r="127" spans="1:9" x14ac:dyDescent="0.2">
      <c r="A127" t="s">
        <v>55</v>
      </c>
      <c r="B127">
        <v>97</v>
      </c>
      <c r="C127">
        <v>5</v>
      </c>
      <c r="D127">
        <v>19</v>
      </c>
      <c r="E127">
        <v>0</v>
      </c>
      <c r="F127">
        <v>11.5101414117962</v>
      </c>
      <c r="G127">
        <v>12</v>
      </c>
      <c r="H127">
        <v>10000</v>
      </c>
      <c r="I127" t="s">
        <v>737</v>
      </c>
    </row>
    <row r="128" spans="1:9" x14ac:dyDescent="0.2">
      <c r="A128" t="s">
        <v>56</v>
      </c>
      <c r="B128">
        <v>98</v>
      </c>
      <c r="C128">
        <v>2</v>
      </c>
      <c r="D128">
        <v>21</v>
      </c>
      <c r="E128">
        <v>0</v>
      </c>
      <c r="F128">
        <v>10.7655122578144</v>
      </c>
      <c r="G128">
        <v>25</v>
      </c>
      <c r="H128">
        <v>10000</v>
      </c>
      <c r="I128" t="s">
        <v>738</v>
      </c>
    </row>
    <row r="129" spans="1:9" x14ac:dyDescent="0.2">
      <c r="A129" t="s">
        <v>57</v>
      </c>
      <c r="B129">
        <v>99</v>
      </c>
      <c r="C129">
        <v>3</v>
      </c>
      <c r="D129">
        <v>21</v>
      </c>
      <c r="E129">
        <v>0</v>
      </c>
      <c r="F129">
        <v>11.8205994796007</v>
      </c>
      <c r="G129">
        <v>20</v>
      </c>
      <c r="H129">
        <v>10000</v>
      </c>
      <c r="I129" t="s">
        <v>739</v>
      </c>
    </row>
    <row r="130" spans="1:9" x14ac:dyDescent="0.2">
      <c r="A130" t="s">
        <v>58</v>
      </c>
      <c r="B130">
        <v>100</v>
      </c>
      <c r="C130">
        <v>4</v>
      </c>
      <c r="D130">
        <v>20</v>
      </c>
      <c r="E130">
        <v>0</v>
      </c>
      <c r="F130">
        <v>12.158542171120599</v>
      </c>
      <c r="G130">
        <v>11</v>
      </c>
      <c r="H130">
        <v>10000</v>
      </c>
      <c r="I130" t="s">
        <v>740</v>
      </c>
    </row>
    <row r="131" spans="1:9" x14ac:dyDescent="0.2">
      <c r="A131" t="s">
        <v>59</v>
      </c>
      <c r="B131">
        <v>101</v>
      </c>
      <c r="C131">
        <v>4</v>
      </c>
      <c r="D131">
        <v>20</v>
      </c>
      <c r="E131">
        <v>0</v>
      </c>
      <c r="F131">
        <v>12.407013461925001</v>
      </c>
      <c r="G131">
        <v>10</v>
      </c>
      <c r="H131">
        <v>10000</v>
      </c>
      <c r="I131" t="s">
        <v>741</v>
      </c>
    </row>
    <row r="132" spans="1:9" x14ac:dyDescent="0.2">
      <c r="A132" t="s">
        <v>60</v>
      </c>
      <c r="B132">
        <v>102</v>
      </c>
      <c r="C132">
        <v>17</v>
      </c>
      <c r="D132">
        <v>17</v>
      </c>
      <c r="E132">
        <v>0</v>
      </c>
      <c r="F132">
        <v>21.6554932305589</v>
      </c>
      <c r="G132">
        <v>1</v>
      </c>
      <c r="H132">
        <v>10000</v>
      </c>
      <c r="I132" t="s">
        <v>742</v>
      </c>
    </row>
    <row r="133" spans="1:9" x14ac:dyDescent="0.2">
      <c r="A133" t="s">
        <v>61</v>
      </c>
      <c r="B133">
        <v>103</v>
      </c>
      <c r="C133">
        <v>18</v>
      </c>
      <c r="D133">
        <v>17</v>
      </c>
      <c r="E133">
        <v>0</v>
      </c>
      <c r="F133">
        <v>22.560914619825699</v>
      </c>
      <c r="G133">
        <v>1</v>
      </c>
      <c r="H133">
        <v>10000</v>
      </c>
      <c r="I133" t="s">
        <v>743</v>
      </c>
    </row>
    <row r="134" spans="1:9" x14ac:dyDescent="0.2">
      <c r="A134" t="s">
        <v>62</v>
      </c>
      <c r="B134">
        <v>104</v>
      </c>
      <c r="C134">
        <v>12</v>
      </c>
      <c r="D134">
        <v>19</v>
      </c>
      <c r="E134">
        <v>0</v>
      </c>
      <c r="F134">
        <v>18.787291269749399</v>
      </c>
      <c r="G134">
        <v>2</v>
      </c>
      <c r="H134">
        <v>10000</v>
      </c>
      <c r="I134" t="s">
        <v>744</v>
      </c>
    </row>
    <row r="135" spans="1:9" x14ac:dyDescent="0.2">
      <c r="A135" t="s">
        <v>63</v>
      </c>
      <c r="B135">
        <v>105</v>
      </c>
      <c r="C135">
        <v>8</v>
      </c>
      <c r="D135">
        <v>21</v>
      </c>
      <c r="E135">
        <v>1</v>
      </c>
      <c r="F135">
        <v>16.779823066666701</v>
      </c>
      <c r="G135">
        <v>3</v>
      </c>
      <c r="H135">
        <v>10000</v>
      </c>
      <c r="I135" t="s">
        <v>745</v>
      </c>
    </row>
    <row r="136" spans="1:9" x14ac:dyDescent="0.2">
      <c r="A136" t="s">
        <v>65</v>
      </c>
      <c r="B136">
        <v>106</v>
      </c>
      <c r="C136">
        <v>23</v>
      </c>
      <c r="D136">
        <v>16</v>
      </c>
      <c r="E136">
        <v>0</v>
      </c>
      <c r="F136">
        <v>27.631816639564899</v>
      </c>
      <c r="G136">
        <v>5</v>
      </c>
      <c r="H136">
        <v>10000</v>
      </c>
      <c r="I136" t="s">
        <v>746</v>
      </c>
    </row>
    <row r="137" spans="1:9" x14ac:dyDescent="0.2">
      <c r="A137" t="s">
        <v>66</v>
      </c>
      <c r="B137">
        <v>107</v>
      </c>
      <c r="C137">
        <v>10</v>
      </c>
      <c r="D137">
        <v>20</v>
      </c>
      <c r="E137">
        <v>0</v>
      </c>
      <c r="F137">
        <v>18.205517686903399</v>
      </c>
      <c r="G137">
        <v>2</v>
      </c>
      <c r="H137">
        <v>10000</v>
      </c>
      <c r="I137" t="s">
        <v>747</v>
      </c>
    </row>
    <row r="138" spans="1:9" x14ac:dyDescent="0.2">
      <c r="A138" t="s">
        <v>67</v>
      </c>
      <c r="B138">
        <v>108</v>
      </c>
      <c r="C138">
        <v>36</v>
      </c>
      <c r="D138">
        <v>15</v>
      </c>
      <c r="E138">
        <v>2</v>
      </c>
      <c r="F138">
        <v>41.437014739029102</v>
      </c>
      <c r="G138">
        <v>1</v>
      </c>
      <c r="H138">
        <v>10000</v>
      </c>
      <c r="I138" t="s">
        <v>748</v>
      </c>
    </row>
    <row r="139" spans="1:9" x14ac:dyDescent="0.2">
      <c r="A139" t="s">
        <v>68</v>
      </c>
      <c r="B139">
        <v>109</v>
      </c>
      <c r="C139">
        <v>31</v>
      </c>
      <c r="D139">
        <v>16</v>
      </c>
      <c r="E139">
        <v>2</v>
      </c>
      <c r="F139">
        <v>36.816484731621998</v>
      </c>
      <c r="G139">
        <v>4</v>
      </c>
      <c r="H139">
        <v>10000</v>
      </c>
      <c r="I139" t="s">
        <v>749</v>
      </c>
    </row>
    <row r="140" spans="1:9" x14ac:dyDescent="0.2">
      <c r="A140" t="s">
        <v>69</v>
      </c>
      <c r="B140">
        <v>110</v>
      </c>
      <c r="C140">
        <v>32</v>
      </c>
      <c r="D140">
        <v>16</v>
      </c>
      <c r="E140">
        <v>2</v>
      </c>
      <c r="F140">
        <v>38.297501313500099</v>
      </c>
      <c r="G140">
        <v>7</v>
      </c>
      <c r="H140">
        <v>10000</v>
      </c>
      <c r="I140" t="s">
        <v>750</v>
      </c>
    </row>
    <row r="141" spans="1:9" x14ac:dyDescent="0.2">
      <c r="A141" t="s">
        <v>70</v>
      </c>
      <c r="B141">
        <v>111</v>
      </c>
      <c r="C141">
        <v>33</v>
      </c>
      <c r="D141">
        <v>16</v>
      </c>
      <c r="E141">
        <v>2</v>
      </c>
      <c r="F141">
        <v>39.556637638248503</v>
      </c>
      <c r="G141">
        <v>3</v>
      </c>
      <c r="H141">
        <v>10000</v>
      </c>
      <c r="I141" t="s">
        <v>751</v>
      </c>
    </row>
    <row r="142" spans="1:9" x14ac:dyDescent="0.2">
      <c r="A142" t="s">
        <v>71</v>
      </c>
      <c r="B142">
        <v>112</v>
      </c>
      <c r="C142">
        <v>16</v>
      </c>
      <c r="D142">
        <v>19</v>
      </c>
      <c r="E142">
        <v>0</v>
      </c>
      <c r="F142">
        <v>24.112321777269202</v>
      </c>
      <c r="G142">
        <v>5</v>
      </c>
      <c r="H142">
        <v>10000</v>
      </c>
      <c r="I142" t="s">
        <v>752</v>
      </c>
    </row>
    <row r="143" spans="1:9" x14ac:dyDescent="0.2">
      <c r="A143" t="s">
        <v>72</v>
      </c>
      <c r="B143">
        <v>113</v>
      </c>
      <c r="C143">
        <v>34</v>
      </c>
      <c r="D143">
        <v>14</v>
      </c>
      <c r="E143">
        <v>0</v>
      </c>
      <c r="F143">
        <v>41.059360083192502</v>
      </c>
      <c r="G143">
        <v>6</v>
      </c>
      <c r="H143">
        <v>10000</v>
      </c>
      <c r="I143" t="s">
        <v>753</v>
      </c>
    </row>
    <row r="144" spans="1:9" x14ac:dyDescent="0.2">
      <c r="A144" t="s">
        <v>73</v>
      </c>
      <c r="B144">
        <v>114</v>
      </c>
      <c r="C144">
        <v>36</v>
      </c>
      <c r="D144">
        <v>14</v>
      </c>
      <c r="E144">
        <v>0</v>
      </c>
      <c r="F144">
        <v>42.327954395674098</v>
      </c>
      <c r="G144">
        <v>6</v>
      </c>
      <c r="H144">
        <v>10000</v>
      </c>
      <c r="I144" t="s">
        <v>754</v>
      </c>
    </row>
    <row r="145" spans="1:9" x14ac:dyDescent="0.2">
      <c r="A145" t="s">
        <v>75</v>
      </c>
      <c r="B145">
        <v>115</v>
      </c>
      <c r="C145">
        <v>1</v>
      </c>
      <c r="D145">
        <v>25</v>
      </c>
      <c r="E145">
        <v>0</v>
      </c>
      <c r="F145">
        <v>14.007214837707499</v>
      </c>
      <c r="G145">
        <v>18</v>
      </c>
      <c r="H145">
        <v>10000</v>
      </c>
      <c r="I145" t="s">
        <v>755</v>
      </c>
    </row>
    <row r="146" spans="1:9" x14ac:dyDescent="0.2">
      <c r="A146" t="s">
        <v>76</v>
      </c>
      <c r="B146">
        <v>116</v>
      </c>
      <c r="C146">
        <v>2</v>
      </c>
      <c r="D146">
        <v>24</v>
      </c>
      <c r="E146">
        <v>0</v>
      </c>
      <c r="F146">
        <v>14.169057114981101</v>
      </c>
      <c r="G146">
        <v>4</v>
      </c>
      <c r="H146">
        <v>10000</v>
      </c>
      <c r="I146" t="s">
        <v>756</v>
      </c>
    </row>
    <row r="147" spans="1:9" x14ac:dyDescent="0.2">
      <c r="A147" t="s">
        <v>77</v>
      </c>
      <c r="B147">
        <v>117</v>
      </c>
      <c r="C147">
        <v>2</v>
      </c>
      <c r="D147">
        <v>24</v>
      </c>
      <c r="E147">
        <v>0</v>
      </c>
      <c r="F147">
        <v>14.2115808185189</v>
      </c>
      <c r="G147">
        <v>4</v>
      </c>
      <c r="H147">
        <v>10000</v>
      </c>
      <c r="I147" t="s">
        <v>757</v>
      </c>
    </row>
    <row r="148" spans="1:9" x14ac:dyDescent="0.2">
      <c r="A148" t="s">
        <v>78</v>
      </c>
      <c r="B148">
        <v>118</v>
      </c>
      <c r="C148">
        <v>1</v>
      </c>
      <c r="D148">
        <v>25</v>
      </c>
      <c r="E148">
        <v>0</v>
      </c>
      <c r="F148">
        <v>14.131954161450199</v>
      </c>
      <c r="G148">
        <v>11</v>
      </c>
      <c r="H148">
        <v>10000</v>
      </c>
      <c r="I148" t="s">
        <v>758</v>
      </c>
    </row>
    <row r="149" spans="1:9" x14ac:dyDescent="0.2">
      <c r="A149" t="s">
        <v>79</v>
      </c>
      <c r="B149">
        <v>119</v>
      </c>
      <c r="C149">
        <v>39</v>
      </c>
      <c r="D149">
        <v>16</v>
      </c>
      <c r="E149">
        <v>2</v>
      </c>
      <c r="F149">
        <v>49.513224408030503</v>
      </c>
      <c r="G149">
        <v>2</v>
      </c>
      <c r="H149">
        <v>10000</v>
      </c>
      <c r="I149" t="s">
        <v>759</v>
      </c>
    </row>
    <row r="150" spans="1:9" x14ac:dyDescent="0.2">
      <c r="A150" t="s">
        <v>80</v>
      </c>
      <c r="B150">
        <v>120</v>
      </c>
      <c r="C150">
        <v>40</v>
      </c>
      <c r="D150">
        <v>14</v>
      </c>
      <c r="E150">
        <v>0</v>
      </c>
      <c r="F150">
        <v>51.465372649952698</v>
      </c>
      <c r="G150">
        <v>4</v>
      </c>
      <c r="H150">
        <v>10000</v>
      </c>
      <c r="I150" t="s">
        <v>760</v>
      </c>
    </row>
    <row r="151" spans="1:9" x14ac:dyDescent="0.2">
      <c r="A151" t="s">
        <v>81</v>
      </c>
      <c r="B151">
        <v>121</v>
      </c>
      <c r="C151">
        <v>36</v>
      </c>
      <c r="D151">
        <v>18</v>
      </c>
      <c r="E151">
        <v>3</v>
      </c>
      <c r="F151">
        <v>47.970930710434899</v>
      </c>
      <c r="G151">
        <v>12</v>
      </c>
      <c r="H151">
        <v>10000</v>
      </c>
      <c r="I151" t="s">
        <v>761</v>
      </c>
    </row>
    <row r="152" spans="1:9" x14ac:dyDescent="0.2">
      <c r="A152" t="s">
        <v>82</v>
      </c>
      <c r="B152">
        <v>122</v>
      </c>
      <c r="C152">
        <v>37</v>
      </c>
      <c r="D152">
        <v>17</v>
      </c>
      <c r="E152">
        <v>2</v>
      </c>
      <c r="F152">
        <v>48.850676064379499</v>
      </c>
      <c r="G152">
        <v>1</v>
      </c>
      <c r="H152">
        <v>10000</v>
      </c>
      <c r="I152" t="s">
        <v>762</v>
      </c>
    </row>
    <row r="153" spans="1:9" x14ac:dyDescent="0.2">
      <c r="A153" t="s">
        <v>83</v>
      </c>
      <c r="B153">
        <v>123</v>
      </c>
      <c r="C153">
        <v>38</v>
      </c>
      <c r="D153">
        <v>16</v>
      </c>
      <c r="E153">
        <v>1</v>
      </c>
      <c r="F153">
        <v>50.306997116655097</v>
      </c>
      <c r="G153">
        <v>3</v>
      </c>
      <c r="H153">
        <v>10000</v>
      </c>
      <c r="I153" t="s">
        <v>763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438BB-4385-3B4F-B414-45C247366804}">
  <dimension ref="A1:I153"/>
  <sheetViews>
    <sheetView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764</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1.0375477736815799</v>
      </c>
      <c r="G33">
        <v>10000</v>
      </c>
      <c r="H33">
        <v>10000</v>
      </c>
      <c r="I33" t="s">
        <v>765</v>
      </c>
    </row>
    <row r="34" spans="1:9" x14ac:dyDescent="0.2">
      <c r="A34" t="s">
        <v>93</v>
      </c>
      <c r="B34">
        <v>4</v>
      </c>
      <c r="C34">
        <v>1</v>
      </c>
      <c r="D34">
        <v>2</v>
      </c>
      <c r="E34">
        <v>0</v>
      </c>
      <c r="F34">
        <v>1.1694715060293599</v>
      </c>
      <c r="G34">
        <v>10000</v>
      </c>
      <c r="H34">
        <v>10000</v>
      </c>
      <c r="I34" t="s">
        <v>766</v>
      </c>
    </row>
    <row r="35" spans="1:9" x14ac:dyDescent="0.2">
      <c r="A35" t="s">
        <v>94</v>
      </c>
      <c r="B35">
        <v>5</v>
      </c>
      <c r="C35">
        <v>1</v>
      </c>
      <c r="D35">
        <v>3</v>
      </c>
      <c r="E35">
        <v>0</v>
      </c>
      <c r="F35">
        <v>1.33060788363218</v>
      </c>
      <c r="G35">
        <v>10000</v>
      </c>
      <c r="H35">
        <v>10000</v>
      </c>
      <c r="I35" t="s">
        <v>767</v>
      </c>
    </row>
    <row r="36" spans="1:9" x14ac:dyDescent="0.2">
      <c r="A36" t="s">
        <v>95</v>
      </c>
      <c r="B36">
        <v>6</v>
      </c>
      <c r="C36">
        <v>1</v>
      </c>
      <c r="D36">
        <v>3</v>
      </c>
      <c r="E36">
        <v>0</v>
      </c>
      <c r="F36">
        <v>1.4047483950853299</v>
      </c>
      <c r="G36">
        <v>10000</v>
      </c>
      <c r="H36">
        <v>10000</v>
      </c>
      <c r="I36" t="s">
        <v>767</v>
      </c>
    </row>
    <row r="37" spans="1:9" x14ac:dyDescent="0.2">
      <c r="A37" t="s">
        <v>96</v>
      </c>
      <c r="B37">
        <v>7</v>
      </c>
      <c r="C37">
        <v>1</v>
      </c>
      <c r="D37">
        <v>3</v>
      </c>
      <c r="E37">
        <v>0</v>
      </c>
      <c r="F37">
        <v>1.4939156305044801</v>
      </c>
      <c r="G37">
        <v>10000</v>
      </c>
      <c r="H37">
        <v>10000</v>
      </c>
      <c r="I37" t="s">
        <v>768</v>
      </c>
    </row>
    <row r="38" spans="1:9" x14ac:dyDescent="0.2">
      <c r="A38" t="s">
        <v>97</v>
      </c>
      <c r="B38">
        <v>8</v>
      </c>
      <c r="C38">
        <v>1</v>
      </c>
      <c r="D38">
        <v>3</v>
      </c>
      <c r="E38">
        <v>0</v>
      </c>
      <c r="F38">
        <v>1.5532897468656299</v>
      </c>
      <c r="G38">
        <v>10000</v>
      </c>
      <c r="H38">
        <v>10000</v>
      </c>
      <c r="I38" t="s">
        <v>767</v>
      </c>
    </row>
    <row r="39" spans="1:9" x14ac:dyDescent="0.2">
      <c r="A39" t="s">
        <v>98</v>
      </c>
      <c r="B39">
        <v>9</v>
      </c>
      <c r="C39">
        <v>1</v>
      </c>
      <c r="D39">
        <v>3</v>
      </c>
      <c r="E39">
        <v>0</v>
      </c>
      <c r="F39">
        <v>1.63269532192498</v>
      </c>
      <c r="G39">
        <v>10000</v>
      </c>
      <c r="H39">
        <v>10000</v>
      </c>
      <c r="I39" t="s">
        <v>767</v>
      </c>
    </row>
    <row r="40" spans="1:9" x14ac:dyDescent="0.2">
      <c r="A40" t="s">
        <v>99</v>
      </c>
      <c r="B40">
        <v>10</v>
      </c>
      <c r="C40">
        <v>1</v>
      </c>
      <c r="D40">
        <v>4</v>
      </c>
      <c r="E40">
        <v>0</v>
      </c>
      <c r="F40">
        <v>1.6705009667202799</v>
      </c>
      <c r="G40">
        <v>9994</v>
      </c>
      <c r="H40">
        <v>10000</v>
      </c>
      <c r="I40" t="s">
        <v>769</v>
      </c>
    </row>
    <row r="41" spans="1:9" x14ac:dyDescent="0.2">
      <c r="A41" t="s">
        <v>100</v>
      </c>
      <c r="B41">
        <v>11</v>
      </c>
      <c r="C41">
        <v>1</v>
      </c>
      <c r="D41">
        <v>5</v>
      </c>
      <c r="E41">
        <v>0</v>
      </c>
      <c r="F41">
        <v>2.0704075535759299</v>
      </c>
      <c r="G41">
        <v>10000</v>
      </c>
      <c r="H41">
        <v>10000</v>
      </c>
      <c r="I41" t="s">
        <v>770</v>
      </c>
    </row>
    <row r="42" spans="1:9" x14ac:dyDescent="0.2">
      <c r="A42" t="s">
        <v>101</v>
      </c>
      <c r="B42">
        <v>12</v>
      </c>
      <c r="C42">
        <v>6</v>
      </c>
      <c r="D42">
        <v>3</v>
      </c>
      <c r="E42">
        <v>0</v>
      </c>
      <c r="F42">
        <v>2.2152744792401702</v>
      </c>
      <c r="G42">
        <v>9824</v>
      </c>
      <c r="H42">
        <v>10000</v>
      </c>
      <c r="I42" t="s">
        <v>771</v>
      </c>
    </row>
    <row r="43" spans="1:9" x14ac:dyDescent="0.2">
      <c r="A43" t="s">
        <v>102</v>
      </c>
      <c r="B43">
        <v>13</v>
      </c>
      <c r="C43">
        <v>6</v>
      </c>
      <c r="D43">
        <v>3</v>
      </c>
      <c r="E43">
        <v>0</v>
      </c>
      <c r="F43">
        <v>2.3305168040096702</v>
      </c>
      <c r="G43">
        <v>9819</v>
      </c>
      <c r="H43">
        <v>10000</v>
      </c>
      <c r="I43" t="s">
        <v>772</v>
      </c>
    </row>
    <row r="44" spans="1:9" x14ac:dyDescent="0.2">
      <c r="A44" t="s">
        <v>103</v>
      </c>
      <c r="B44">
        <v>14</v>
      </c>
      <c r="C44">
        <v>2</v>
      </c>
      <c r="D44">
        <v>5</v>
      </c>
      <c r="E44">
        <v>0</v>
      </c>
      <c r="F44">
        <v>2.1937729120254499</v>
      </c>
      <c r="G44">
        <v>9886</v>
      </c>
      <c r="H44">
        <v>10000</v>
      </c>
      <c r="I44" t="s">
        <v>773</v>
      </c>
    </row>
    <row r="45" spans="1:9" x14ac:dyDescent="0.2">
      <c r="A45" t="s">
        <v>104</v>
      </c>
      <c r="B45">
        <v>15</v>
      </c>
      <c r="C45">
        <v>2</v>
      </c>
      <c r="D45">
        <v>5</v>
      </c>
      <c r="E45">
        <v>0</v>
      </c>
      <c r="F45">
        <v>2.28402811288833</v>
      </c>
      <c r="G45">
        <v>9912</v>
      </c>
      <c r="H45">
        <v>10000</v>
      </c>
      <c r="I45" t="s">
        <v>774</v>
      </c>
    </row>
    <row r="46" spans="1:9" x14ac:dyDescent="0.2">
      <c r="A46" t="s">
        <v>105</v>
      </c>
      <c r="B46">
        <v>16</v>
      </c>
      <c r="C46">
        <v>1</v>
      </c>
      <c r="D46">
        <v>6</v>
      </c>
      <c r="E46">
        <v>0</v>
      </c>
      <c r="F46">
        <v>2.4103229260072099</v>
      </c>
      <c r="G46">
        <v>10000</v>
      </c>
      <c r="H46">
        <v>10000</v>
      </c>
      <c r="I46" t="s">
        <v>656</v>
      </c>
    </row>
    <row r="47" spans="1:9" x14ac:dyDescent="0.2">
      <c r="A47" t="s">
        <v>106</v>
      </c>
      <c r="B47">
        <v>17</v>
      </c>
      <c r="C47">
        <v>3</v>
      </c>
      <c r="D47">
        <v>5</v>
      </c>
      <c r="E47">
        <v>0</v>
      </c>
      <c r="F47">
        <v>2.5603844039142101</v>
      </c>
      <c r="G47">
        <v>10000</v>
      </c>
      <c r="H47">
        <v>10000</v>
      </c>
      <c r="I47" t="s">
        <v>775</v>
      </c>
    </row>
    <row r="48" spans="1:9" x14ac:dyDescent="0.2">
      <c r="A48" t="s">
        <v>107</v>
      </c>
      <c r="B48">
        <v>18</v>
      </c>
      <c r="C48">
        <v>5</v>
      </c>
      <c r="D48">
        <v>5</v>
      </c>
      <c r="E48">
        <v>0</v>
      </c>
      <c r="F48">
        <v>2.8629457633942299</v>
      </c>
      <c r="G48">
        <v>9989</v>
      </c>
      <c r="H48">
        <v>10000</v>
      </c>
      <c r="I48" t="s">
        <v>776</v>
      </c>
    </row>
    <row r="49" spans="1:9" x14ac:dyDescent="0.2">
      <c r="A49" t="s">
        <v>108</v>
      </c>
      <c r="B49">
        <v>19</v>
      </c>
      <c r="C49">
        <v>5</v>
      </c>
      <c r="D49">
        <v>5</v>
      </c>
      <c r="E49">
        <v>0</v>
      </c>
      <c r="F49">
        <v>2.97063961625099</v>
      </c>
      <c r="G49">
        <v>9995</v>
      </c>
      <c r="H49">
        <v>10000</v>
      </c>
      <c r="I49" t="s">
        <v>777</v>
      </c>
    </row>
    <row r="50" spans="1:9" x14ac:dyDescent="0.2">
      <c r="A50" t="s">
        <v>109</v>
      </c>
      <c r="B50">
        <v>20</v>
      </c>
      <c r="C50">
        <v>3</v>
      </c>
      <c r="D50">
        <v>6</v>
      </c>
      <c r="E50">
        <v>0</v>
      </c>
      <c r="F50">
        <v>2.8885676153004098</v>
      </c>
      <c r="G50">
        <v>9934</v>
      </c>
      <c r="H50">
        <v>10000</v>
      </c>
      <c r="I50" t="s">
        <v>778</v>
      </c>
    </row>
    <row r="51" spans="1:9" x14ac:dyDescent="0.2">
      <c r="A51" t="s">
        <v>110</v>
      </c>
      <c r="B51">
        <v>21</v>
      </c>
      <c r="C51">
        <v>3</v>
      </c>
      <c r="D51">
        <v>6</v>
      </c>
      <c r="E51">
        <v>0</v>
      </c>
      <c r="F51">
        <v>3.00235137436538</v>
      </c>
      <c r="G51">
        <v>9934</v>
      </c>
      <c r="H51">
        <v>10000</v>
      </c>
      <c r="I51" t="s">
        <v>779</v>
      </c>
    </row>
    <row r="52" spans="1:9" x14ac:dyDescent="0.2">
      <c r="A52" t="s">
        <v>111</v>
      </c>
      <c r="B52">
        <v>22</v>
      </c>
      <c r="C52">
        <v>7</v>
      </c>
      <c r="D52">
        <v>5</v>
      </c>
      <c r="E52">
        <v>0</v>
      </c>
      <c r="F52">
        <v>3.2196114920079699</v>
      </c>
      <c r="G52">
        <v>9945</v>
      </c>
      <c r="H52">
        <v>10000</v>
      </c>
      <c r="I52" t="s">
        <v>780</v>
      </c>
    </row>
    <row r="53" spans="1:9" x14ac:dyDescent="0.2">
      <c r="A53" t="s">
        <v>112</v>
      </c>
      <c r="B53">
        <v>23</v>
      </c>
      <c r="C53">
        <v>2</v>
      </c>
      <c r="D53">
        <v>7</v>
      </c>
      <c r="E53">
        <v>0</v>
      </c>
      <c r="F53">
        <v>3.1148686753585899</v>
      </c>
      <c r="G53">
        <v>9584</v>
      </c>
      <c r="H53">
        <v>10000</v>
      </c>
      <c r="I53" t="s">
        <v>781</v>
      </c>
    </row>
    <row r="54" spans="1:9" x14ac:dyDescent="0.2">
      <c r="A54" t="s">
        <v>113</v>
      </c>
      <c r="B54">
        <v>24</v>
      </c>
      <c r="C54">
        <v>8</v>
      </c>
      <c r="D54">
        <v>5</v>
      </c>
      <c r="E54">
        <v>0</v>
      </c>
      <c r="F54">
        <v>3.8131338590756001</v>
      </c>
      <c r="G54">
        <v>3996</v>
      </c>
      <c r="H54">
        <v>10000</v>
      </c>
      <c r="I54" t="s">
        <v>782</v>
      </c>
    </row>
    <row r="55" spans="1:9" x14ac:dyDescent="0.2">
      <c r="A55" t="s">
        <v>114</v>
      </c>
      <c r="B55">
        <v>25</v>
      </c>
      <c r="C55">
        <v>8</v>
      </c>
      <c r="D55">
        <v>5</v>
      </c>
      <c r="E55">
        <v>0</v>
      </c>
      <c r="F55">
        <v>3.9977229302749002</v>
      </c>
      <c r="G55">
        <v>3960</v>
      </c>
      <c r="H55">
        <v>10000</v>
      </c>
      <c r="I55" t="s">
        <v>783</v>
      </c>
    </row>
    <row r="56" spans="1:9" x14ac:dyDescent="0.2">
      <c r="A56" t="s">
        <v>115</v>
      </c>
      <c r="B56">
        <v>26</v>
      </c>
      <c r="C56">
        <v>6</v>
      </c>
      <c r="D56">
        <v>6</v>
      </c>
      <c r="E56">
        <v>0</v>
      </c>
      <c r="F56">
        <v>3.8833318492397599</v>
      </c>
      <c r="G56">
        <v>6596</v>
      </c>
      <c r="H56">
        <v>10000</v>
      </c>
      <c r="I56" t="s">
        <v>784</v>
      </c>
    </row>
    <row r="57" spans="1:9" x14ac:dyDescent="0.2">
      <c r="A57" t="s">
        <v>116</v>
      </c>
      <c r="B57">
        <v>27</v>
      </c>
      <c r="C57">
        <v>6</v>
      </c>
      <c r="D57">
        <v>6</v>
      </c>
      <c r="E57">
        <v>0</v>
      </c>
      <c r="F57">
        <v>4.0144191328436101</v>
      </c>
      <c r="G57">
        <v>6539</v>
      </c>
      <c r="H57">
        <v>10000</v>
      </c>
      <c r="I57" t="s">
        <v>785</v>
      </c>
    </row>
    <row r="58" spans="1:9" x14ac:dyDescent="0.2">
      <c r="A58" t="s">
        <v>117</v>
      </c>
      <c r="B58">
        <v>28</v>
      </c>
      <c r="C58">
        <v>6</v>
      </c>
      <c r="D58">
        <v>6</v>
      </c>
      <c r="E58">
        <v>0</v>
      </c>
      <c r="F58">
        <v>4.1157139521092097</v>
      </c>
      <c r="G58">
        <v>6598</v>
      </c>
      <c r="H58">
        <v>10000</v>
      </c>
      <c r="I58" t="s">
        <v>786</v>
      </c>
    </row>
    <row r="59" spans="1:9" x14ac:dyDescent="0.2">
      <c r="A59" t="s">
        <v>118</v>
      </c>
      <c r="B59">
        <v>29</v>
      </c>
      <c r="C59">
        <v>6</v>
      </c>
      <c r="D59">
        <v>7</v>
      </c>
      <c r="E59">
        <v>0</v>
      </c>
      <c r="F59">
        <v>4.24157128669321</v>
      </c>
      <c r="G59">
        <v>8556</v>
      </c>
      <c r="H59">
        <v>10000</v>
      </c>
      <c r="I59" t="s">
        <v>787</v>
      </c>
    </row>
    <row r="60" spans="1:9" x14ac:dyDescent="0.2">
      <c r="A60" t="s">
        <v>119</v>
      </c>
      <c r="B60">
        <v>30</v>
      </c>
      <c r="C60">
        <v>9</v>
      </c>
      <c r="D60">
        <v>6</v>
      </c>
      <c r="E60">
        <v>0</v>
      </c>
      <c r="F60">
        <v>4.6710591157898298</v>
      </c>
      <c r="G60">
        <v>7171</v>
      </c>
      <c r="H60">
        <v>10000</v>
      </c>
      <c r="I60" t="s">
        <v>788</v>
      </c>
    </row>
    <row r="61" spans="1:9" x14ac:dyDescent="0.2">
      <c r="A61" t="s">
        <v>120</v>
      </c>
      <c r="B61">
        <v>31</v>
      </c>
      <c r="C61">
        <v>9</v>
      </c>
      <c r="D61">
        <v>6</v>
      </c>
      <c r="E61">
        <v>0</v>
      </c>
      <c r="F61">
        <v>4.8459228072315401</v>
      </c>
      <c r="G61">
        <v>7167</v>
      </c>
      <c r="H61">
        <v>10000</v>
      </c>
      <c r="I61" t="s">
        <v>789</v>
      </c>
    </row>
    <row r="62" spans="1:9" x14ac:dyDescent="0.2">
      <c r="A62" t="s">
        <v>121</v>
      </c>
      <c r="B62">
        <v>32</v>
      </c>
      <c r="C62">
        <v>5</v>
      </c>
      <c r="D62">
        <v>8</v>
      </c>
      <c r="E62">
        <v>0</v>
      </c>
      <c r="F62">
        <v>4.5802612090483299</v>
      </c>
      <c r="G62">
        <v>9374</v>
      </c>
      <c r="H62">
        <v>10000</v>
      </c>
      <c r="I62" t="s">
        <v>790</v>
      </c>
    </row>
    <row r="63" spans="1:9" x14ac:dyDescent="0.2">
      <c r="A63" t="s">
        <v>122</v>
      </c>
      <c r="B63">
        <v>33</v>
      </c>
      <c r="C63">
        <v>7</v>
      </c>
      <c r="D63">
        <v>8</v>
      </c>
      <c r="E63">
        <v>0</v>
      </c>
      <c r="F63">
        <v>5.3098085327073896</v>
      </c>
      <c r="G63">
        <v>6741</v>
      </c>
      <c r="H63">
        <v>10000</v>
      </c>
      <c r="I63" t="s">
        <v>791</v>
      </c>
    </row>
    <row r="64" spans="1:9" x14ac:dyDescent="0.2">
      <c r="A64" t="s">
        <v>123</v>
      </c>
      <c r="B64">
        <v>34</v>
      </c>
      <c r="C64">
        <v>17</v>
      </c>
      <c r="D64">
        <v>5</v>
      </c>
      <c r="E64">
        <v>0</v>
      </c>
      <c r="F64">
        <v>6.5855906419455996</v>
      </c>
      <c r="G64">
        <v>8470</v>
      </c>
      <c r="H64">
        <v>10000</v>
      </c>
      <c r="I64" t="s">
        <v>792</v>
      </c>
    </row>
    <row r="65" spans="1:9" x14ac:dyDescent="0.2">
      <c r="A65" t="s">
        <v>124</v>
      </c>
      <c r="B65">
        <v>35</v>
      </c>
      <c r="C65">
        <v>4</v>
      </c>
      <c r="D65">
        <v>9</v>
      </c>
      <c r="E65">
        <v>0</v>
      </c>
      <c r="F65">
        <v>5.0830172207206399</v>
      </c>
      <c r="G65">
        <v>6021</v>
      </c>
      <c r="H65">
        <v>10000</v>
      </c>
      <c r="I65" t="s">
        <v>793</v>
      </c>
    </row>
    <row r="66" spans="1:9" x14ac:dyDescent="0.2">
      <c r="A66" t="s">
        <v>125</v>
      </c>
      <c r="B66">
        <v>36</v>
      </c>
      <c r="C66">
        <v>4</v>
      </c>
      <c r="D66">
        <v>9</v>
      </c>
      <c r="E66">
        <v>0</v>
      </c>
      <c r="F66">
        <v>5.2239598529413298</v>
      </c>
      <c r="G66">
        <v>6089</v>
      </c>
      <c r="H66">
        <v>10000</v>
      </c>
      <c r="I66" t="s">
        <v>794</v>
      </c>
    </row>
    <row r="67" spans="1:9" x14ac:dyDescent="0.2">
      <c r="A67" t="s">
        <v>126</v>
      </c>
      <c r="B67">
        <v>37</v>
      </c>
      <c r="C67">
        <v>4</v>
      </c>
      <c r="D67">
        <v>9</v>
      </c>
      <c r="E67">
        <v>0</v>
      </c>
      <c r="F67">
        <v>5.4323094673454699</v>
      </c>
      <c r="G67">
        <v>6031</v>
      </c>
      <c r="H67">
        <v>10000</v>
      </c>
      <c r="I67" t="s">
        <v>795</v>
      </c>
    </row>
    <row r="68" spans="1:9" x14ac:dyDescent="0.2">
      <c r="A68" t="s">
        <v>127</v>
      </c>
      <c r="B68">
        <v>38</v>
      </c>
      <c r="C68">
        <v>4</v>
      </c>
      <c r="D68">
        <v>9</v>
      </c>
      <c r="E68">
        <v>0</v>
      </c>
      <c r="F68">
        <v>5.5296714575961197</v>
      </c>
      <c r="G68">
        <v>6096</v>
      </c>
      <c r="H68">
        <v>10000</v>
      </c>
      <c r="I68" t="s">
        <v>796</v>
      </c>
    </row>
    <row r="69" spans="1:9" x14ac:dyDescent="0.2">
      <c r="A69" t="s">
        <v>128</v>
      </c>
      <c r="B69">
        <v>39</v>
      </c>
      <c r="C69">
        <v>4</v>
      </c>
      <c r="D69">
        <v>9</v>
      </c>
      <c r="E69">
        <v>0</v>
      </c>
      <c r="F69">
        <v>5.9060352183878404</v>
      </c>
      <c r="G69">
        <v>3028</v>
      </c>
      <c r="H69">
        <v>10000</v>
      </c>
      <c r="I69" t="s">
        <v>797</v>
      </c>
    </row>
    <row r="70" spans="1:9" x14ac:dyDescent="0.2">
      <c r="A70" t="s">
        <v>129</v>
      </c>
      <c r="B70">
        <v>40</v>
      </c>
      <c r="C70">
        <v>5</v>
      </c>
      <c r="D70">
        <v>9</v>
      </c>
      <c r="E70">
        <v>0</v>
      </c>
      <c r="F70">
        <v>6.1053627505898396</v>
      </c>
      <c r="G70">
        <v>5261</v>
      </c>
      <c r="H70">
        <v>10000</v>
      </c>
      <c r="I70" t="s">
        <v>798</v>
      </c>
    </row>
    <row r="71" spans="1:9" x14ac:dyDescent="0.2">
      <c r="A71" t="s">
        <v>130</v>
      </c>
      <c r="B71">
        <v>41</v>
      </c>
      <c r="C71">
        <v>2</v>
      </c>
      <c r="D71">
        <v>11</v>
      </c>
      <c r="E71">
        <v>0</v>
      </c>
      <c r="F71">
        <v>6.3097572149708796</v>
      </c>
      <c r="G71">
        <v>5303</v>
      </c>
      <c r="H71">
        <v>10000</v>
      </c>
      <c r="I71" t="s">
        <v>799</v>
      </c>
    </row>
    <row r="72" spans="1:9" x14ac:dyDescent="0.2">
      <c r="A72" t="s">
        <v>131</v>
      </c>
      <c r="B72">
        <v>42</v>
      </c>
      <c r="C72">
        <v>5</v>
      </c>
      <c r="D72">
        <v>9</v>
      </c>
      <c r="E72">
        <v>0</v>
      </c>
      <c r="F72">
        <v>7.03241738863289</v>
      </c>
      <c r="G72">
        <v>797</v>
      </c>
      <c r="H72">
        <v>10000</v>
      </c>
      <c r="I72" t="s">
        <v>800</v>
      </c>
    </row>
    <row r="73" spans="1:9" x14ac:dyDescent="0.2">
      <c r="A73" t="s">
        <v>132</v>
      </c>
      <c r="B73">
        <v>43</v>
      </c>
      <c r="C73">
        <v>6</v>
      </c>
      <c r="D73">
        <v>9</v>
      </c>
      <c r="E73">
        <v>0</v>
      </c>
      <c r="F73">
        <v>7.3234934285283</v>
      </c>
      <c r="G73">
        <v>762</v>
      </c>
      <c r="H73">
        <v>10000</v>
      </c>
      <c r="I73" t="s">
        <v>801</v>
      </c>
    </row>
    <row r="74" spans="1:9" x14ac:dyDescent="0.2">
      <c r="A74" t="s">
        <v>133</v>
      </c>
      <c r="B74">
        <v>44</v>
      </c>
      <c r="C74">
        <v>6</v>
      </c>
      <c r="D74">
        <v>9</v>
      </c>
      <c r="E74">
        <v>0</v>
      </c>
      <c r="F74">
        <v>7.41348690073937</v>
      </c>
      <c r="G74">
        <v>891</v>
      </c>
      <c r="H74">
        <v>10000</v>
      </c>
      <c r="I74" t="s">
        <v>802</v>
      </c>
    </row>
    <row r="75" spans="1:9" x14ac:dyDescent="0.2">
      <c r="A75" t="s">
        <v>134</v>
      </c>
      <c r="B75">
        <v>45</v>
      </c>
      <c r="C75">
        <v>6</v>
      </c>
      <c r="D75">
        <v>9</v>
      </c>
      <c r="E75">
        <v>0</v>
      </c>
      <c r="F75">
        <v>7.6900865845382196</v>
      </c>
      <c r="G75">
        <v>868</v>
      </c>
      <c r="H75">
        <v>10000</v>
      </c>
      <c r="I75" t="s">
        <v>803</v>
      </c>
    </row>
    <row r="76" spans="1:9" x14ac:dyDescent="0.2">
      <c r="A76" t="s">
        <v>135</v>
      </c>
      <c r="B76">
        <v>46</v>
      </c>
      <c r="C76">
        <v>7</v>
      </c>
      <c r="D76">
        <v>9</v>
      </c>
      <c r="E76">
        <v>0</v>
      </c>
      <c r="F76">
        <v>8.2949231611564702</v>
      </c>
      <c r="G76">
        <v>368</v>
      </c>
      <c r="H76">
        <v>10000</v>
      </c>
      <c r="I76" t="s">
        <v>804</v>
      </c>
    </row>
    <row r="77" spans="1:9" x14ac:dyDescent="0.2">
      <c r="A77" t="s">
        <v>136</v>
      </c>
      <c r="B77">
        <v>47</v>
      </c>
      <c r="C77">
        <v>8</v>
      </c>
      <c r="D77">
        <v>9</v>
      </c>
      <c r="E77">
        <v>0</v>
      </c>
      <c r="F77">
        <v>8.8753155339509195</v>
      </c>
      <c r="G77">
        <v>384</v>
      </c>
      <c r="H77">
        <v>10000</v>
      </c>
      <c r="I77" t="s">
        <v>805</v>
      </c>
    </row>
    <row r="78" spans="1:9" x14ac:dyDescent="0.2">
      <c r="A78" t="s">
        <v>137</v>
      </c>
      <c r="B78">
        <v>48</v>
      </c>
      <c r="C78">
        <v>5</v>
      </c>
      <c r="D78">
        <v>10</v>
      </c>
      <c r="E78">
        <v>0</v>
      </c>
      <c r="F78">
        <v>8.34351312555372</v>
      </c>
      <c r="G78">
        <v>327</v>
      </c>
      <c r="H78">
        <v>10000</v>
      </c>
      <c r="I78" t="s">
        <v>806</v>
      </c>
    </row>
    <row r="79" spans="1:9" x14ac:dyDescent="0.2">
      <c r="A79" t="s">
        <v>138</v>
      </c>
      <c r="B79">
        <v>49</v>
      </c>
      <c r="C79">
        <v>17</v>
      </c>
      <c r="D79">
        <v>7</v>
      </c>
      <c r="E79">
        <v>0</v>
      </c>
      <c r="F79">
        <v>11.8824637113139</v>
      </c>
      <c r="G79">
        <v>146</v>
      </c>
      <c r="H79">
        <v>10000</v>
      </c>
      <c r="I79" t="s">
        <v>807</v>
      </c>
    </row>
    <row r="80" spans="1:9" x14ac:dyDescent="0.2">
      <c r="A80" t="s">
        <v>139</v>
      </c>
      <c r="B80">
        <v>50</v>
      </c>
      <c r="C80">
        <v>13</v>
      </c>
      <c r="D80">
        <v>8</v>
      </c>
      <c r="E80">
        <v>0</v>
      </c>
      <c r="F80">
        <v>10.9871010752394</v>
      </c>
      <c r="G80">
        <v>62</v>
      </c>
      <c r="H80">
        <v>10000</v>
      </c>
      <c r="I80" t="s">
        <v>808</v>
      </c>
    </row>
    <row r="81" spans="1:9" x14ac:dyDescent="0.2">
      <c r="A81" t="s">
        <v>188</v>
      </c>
      <c r="B81">
        <v>51</v>
      </c>
      <c r="C81">
        <v>12</v>
      </c>
      <c r="D81">
        <v>9</v>
      </c>
      <c r="E81">
        <v>0</v>
      </c>
      <c r="F81">
        <v>11.0758090075105</v>
      </c>
      <c r="G81">
        <v>313</v>
      </c>
      <c r="H81">
        <v>10000</v>
      </c>
      <c r="I81" t="s">
        <v>809</v>
      </c>
    </row>
    <row r="82" spans="1:9" x14ac:dyDescent="0.2">
      <c r="A82" t="s">
        <v>190</v>
      </c>
      <c r="B82">
        <v>52</v>
      </c>
      <c r="C82">
        <v>10</v>
      </c>
      <c r="D82">
        <v>11</v>
      </c>
      <c r="E82">
        <v>1</v>
      </c>
      <c r="F82">
        <v>11.116754104383199</v>
      </c>
      <c r="G82">
        <v>2895</v>
      </c>
      <c r="H82">
        <v>10000</v>
      </c>
      <c r="I82" t="s">
        <v>810</v>
      </c>
    </row>
    <row r="83" spans="1:9" x14ac:dyDescent="0.2">
      <c r="A83" t="s">
        <v>192</v>
      </c>
      <c r="B83">
        <v>53</v>
      </c>
      <c r="C83">
        <v>6</v>
      </c>
      <c r="D83">
        <v>11</v>
      </c>
      <c r="E83">
        <v>0</v>
      </c>
      <c r="F83">
        <v>10.408268093131399</v>
      </c>
      <c r="G83">
        <v>206</v>
      </c>
      <c r="H83">
        <v>10000</v>
      </c>
      <c r="I83" t="s">
        <v>811</v>
      </c>
    </row>
    <row r="84" spans="1:9" x14ac:dyDescent="0.2">
      <c r="A84" t="s">
        <v>194</v>
      </c>
      <c r="B84">
        <v>54</v>
      </c>
      <c r="C84">
        <v>12</v>
      </c>
      <c r="D84">
        <v>10</v>
      </c>
      <c r="E84">
        <v>0</v>
      </c>
      <c r="F84">
        <v>12.412080229260001</v>
      </c>
      <c r="G84">
        <v>335</v>
      </c>
      <c r="H84">
        <v>10000</v>
      </c>
      <c r="I84" t="s">
        <v>812</v>
      </c>
    </row>
    <row r="85" spans="1:9" x14ac:dyDescent="0.2">
      <c r="A85" t="s">
        <v>196</v>
      </c>
      <c r="B85">
        <v>55</v>
      </c>
      <c r="C85">
        <v>5</v>
      </c>
      <c r="D85">
        <v>12</v>
      </c>
      <c r="E85">
        <v>0</v>
      </c>
      <c r="F85">
        <v>10.8731632540002</v>
      </c>
      <c r="G85">
        <v>75</v>
      </c>
      <c r="H85">
        <v>10000</v>
      </c>
      <c r="I85" t="s">
        <v>813</v>
      </c>
    </row>
    <row r="86" spans="1:9" x14ac:dyDescent="0.2">
      <c r="A86" t="s">
        <v>198</v>
      </c>
      <c r="B86">
        <v>56</v>
      </c>
      <c r="C86">
        <v>5</v>
      </c>
      <c r="D86">
        <v>12</v>
      </c>
      <c r="E86">
        <v>0</v>
      </c>
      <c r="F86">
        <v>10.8389267539605</v>
      </c>
      <c r="G86">
        <v>144</v>
      </c>
      <c r="H86">
        <v>10000</v>
      </c>
      <c r="I86" t="s">
        <v>814</v>
      </c>
    </row>
    <row r="87" spans="1:9" x14ac:dyDescent="0.2">
      <c r="A87" t="s">
        <v>200</v>
      </c>
      <c r="B87">
        <v>57</v>
      </c>
      <c r="C87">
        <v>4</v>
      </c>
      <c r="D87">
        <v>13</v>
      </c>
      <c r="E87">
        <v>0</v>
      </c>
      <c r="F87">
        <v>11.1889666141942</v>
      </c>
      <c r="G87">
        <v>175</v>
      </c>
      <c r="H87">
        <v>10000</v>
      </c>
      <c r="I87" t="s">
        <v>815</v>
      </c>
    </row>
    <row r="88" spans="1:9" x14ac:dyDescent="0.2">
      <c r="A88" t="s">
        <v>202</v>
      </c>
      <c r="B88">
        <v>58</v>
      </c>
      <c r="C88">
        <v>12</v>
      </c>
      <c r="D88">
        <v>10</v>
      </c>
      <c r="E88">
        <v>0</v>
      </c>
      <c r="F88">
        <v>13.8025121130049</v>
      </c>
      <c r="G88">
        <v>153</v>
      </c>
      <c r="H88">
        <v>10000</v>
      </c>
      <c r="I88" t="s">
        <v>816</v>
      </c>
    </row>
    <row r="89" spans="1:9" x14ac:dyDescent="0.2">
      <c r="A89" t="s">
        <v>204</v>
      </c>
      <c r="B89">
        <v>59</v>
      </c>
      <c r="C89">
        <v>12</v>
      </c>
      <c r="D89">
        <v>10</v>
      </c>
      <c r="E89">
        <v>0</v>
      </c>
      <c r="F89">
        <v>14.2816241392865</v>
      </c>
      <c r="G89">
        <v>82</v>
      </c>
      <c r="H89">
        <v>10000</v>
      </c>
      <c r="I89" t="s">
        <v>817</v>
      </c>
    </row>
    <row r="90" spans="1:9" x14ac:dyDescent="0.2">
      <c r="A90" t="s">
        <v>206</v>
      </c>
      <c r="B90">
        <v>60</v>
      </c>
      <c r="C90">
        <v>10</v>
      </c>
      <c r="D90">
        <v>11</v>
      </c>
      <c r="E90">
        <v>0</v>
      </c>
      <c r="F90">
        <v>14.2566133607178</v>
      </c>
      <c r="G90">
        <v>46</v>
      </c>
      <c r="H90">
        <v>10000</v>
      </c>
      <c r="I90" t="s">
        <v>818</v>
      </c>
    </row>
    <row r="91" spans="1:9" x14ac:dyDescent="0.2">
      <c r="A91" t="s">
        <v>208</v>
      </c>
      <c r="B91">
        <v>61</v>
      </c>
      <c r="C91">
        <v>10</v>
      </c>
      <c r="D91">
        <v>11</v>
      </c>
      <c r="E91">
        <v>0</v>
      </c>
      <c r="F91">
        <v>14.832558573223601</v>
      </c>
      <c r="G91">
        <v>44</v>
      </c>
      <c r="H91">
        <v>10000</v>
      </c>
      <c r="I91" t="s">
        <v>819</v>
      </c>
    </row>
    <row r="92" spans="1:9" x14ac:dyDescent="0.2">
      <c r="A92" t="s">
        <v>210</v>
      </c>
      <c r="B92">
        <v>62</v>
      </c>
      <c r="C92">
        <v>16</v>
      </c>
      <c r="D92">
        <v>10</v>
      </c>
      <c r="E92">
        <v>0</v>
      </c>
      <c r="F92">
        <v>17.7190255718305</v>
      </c>
      <c r="G92">
        <v>37</v>
      </c>
      <c r="H92">
        <v>10000</v>
      </c>
      <c r="I92" t="s">
        <v>820</v>
      </c>
    </row>
    <row r="93" spans="1:9" x14ac:dyDescent="0.2">
      <c r="A93" t="s">
        <v>212</v>
      </c>
      <c r="B93">
        <v>63</v>
      </c>
      <c r="C93">
        <v>8</v>
      </c>
      <c r="D93">
        <v>13</v>
      </c>
      <c r="E93">
        <v>0</v>
      </c>
      <c r="F93">
        <v>14.802545633167</v>
      </c>
      <c r="G93">
        <v>89</v>
      </c>
      <c r="H93">
        <v>10000</v>
      </c>
      <c r="I93" t="s">
        <v>821</v>
      </c>
    </row>
    <row r="94" spans="1:9" x14ac:dyDescent="0.2">
      <c r="A94" t="s">
        <v>214</v>
      </c>
      <c r="B94">
        <v>64</v>
      </c>
      <c r="C94">
        <v>13</v>
      </c>
      <c r="D94">
        <v>12</v>
      </c>
      <c r="E94">
        <v>0</v>
      </c>
      <c r="F94">
        <v>15.8018566798418</v>
      </c>
      <c r="G94">
        <v>116</v>
      </c>
      <c r="H94">
        <v>10000</v>
      </c>
      <c r="I94" t="s">
        <v>822</v>
      </c>
    </row>
    <row r="95" spans="1:9" x14ac:dyDescent="0.2">
      <c r="A95" t="s">
        <v>216</v>
      </c>
      <c r="B95">
        <v>65</v>
      </c>
      <c r="C95">
        <v>5</v>
      </c>
      <c r="D95">
        <v>14</v>
      </c>
      <c r="E95">
        <v>0</v>
      </c>
      <c r="F95">
        <v>13.773933253251</v>
      </c>
      <c r="G95">
        <v>56</v>
      </c>
      <c r="H95">
        <v>10000</v>
      </c>
      <c r="I95" t="s">
        <v>823</v>
      </c>
    </row>
    <row r="96" spans="1:9" x14ac:dyDescent="0.2">
      <c r="A96" t="s">
        <v>218</v>
      </c>
      <c r="B96">
        <v>66</v>
      </c>
      <c r="C96">
        <v>5</v>
      </c>
      <c r="D96">
        <v>14</v>
      </c>
      <c r="E96">
        <v>0</v>
      </c>
      <c r="F96">
        <v>14.0946836387738</v>
      </c>
      <c r="G96">
        <v>52</v>
      </c>
      <c r="H96">
        <v>10000</v>
      </c>
      <c r="I96" t="s">
        <v>824</v>
      </c>
    </row>
    <row r="97" spans="1:9" x14ac:dyDescent="0.2">
      <c r="A97" t="s">
        <v>220</v>
      </c>
      <c r="B97">
        <v>67</v>
      </c>
      <c r="C97">
        <v>5</v>
      </c>
      <c r="D97">
        <v>14</v>
      </c>
      <c r="E97">
        <v>0</v>
      </c>
      <c r="F97">
        <v>14.393259346485101</v>
      </c>
      <c r="G97">
        <v>12</v>
      </c>
      <c r="H97">
        <v>10000</v>
      </c>
      <c r="I97" t="s">
        <v>825</v>
      </c>
    </row>
    <row r="98" spans="1:9" x14ac:dyDescent="0.2">
      <c r="A98" t="s">
        <v>222</v>
      </c>
      <c r="B98">
        <v>68</v>
      </c>
      <c r="C98">
        <v>5</v>
      </c>
      <c r="D98">
        <v>14</v>
      </c>
      <c r="E98">
        <v>0</v>
      </c>
      <c r="F98">
        <v>14.547873458825</v>
      </c>
      <c r="G98">
        <v>12</v>
      </c>
      <c r="H98">
        <v>10000</v>
      </c>
      <c r="I98" t="s">
        <v>826</v>
      </c>
    </row>
    <row r="99" spans="1:9" x14ac:dyDescent="0.2">
      <c r="A99" t="s">
        <v>224</v>
      </c>
      <c r="B99">
        <v>69</v>
      </c>
      <c r="C99">
        <v>5</v>
      </c>
      <c r="D99">
        <v>14</v>
      </c>
      <c r="E99">
        <v>0</v>
      </c>
      <c r="F99">
        <v>15.0290497448295</v>
      </c>
      <c r="G99">
        <v>15</v>
      </c>
      <c r="H99">
        <v>10000</v>
      </c>
      <c r="I99" t="s">
        <v>827</v>
      </c>
    </row>
    <row r="100" spans="1:9" x14ac:dyDescent="0.2">
      <c r="A100" t="s">
        <v>226</v>
      </c>
      <c r="B100">
        <v>70</v>
      </c>
      <c r="C100">
        <v>5</v>
      </c>
      <c r="D100">
        <v>14</v>
      </c>
      <c r="E100">
        <v>0</v>
      </c>
      <c r="F100">
        <v>15.169061487540599</v>
      </c>
      <c r="G100">
        <v>9</v>
      </c>
      <c r="H100">
        <v>10000</v>
      </c>
      <c r="I100" t="s">
        <v>828</v>
      </c>
    </row>
    <row r="101" spans="1:9" x14ac:dyDescent="0.2">
      <c r="A101" t="s">
        <v>228</v>
      </c>
      <c r="B101">
        <v>71</v>
      </c>
      <c r="C101">
        <v>5</v>
      </c>
      <c r="D101">
        <v>15</v>
      </c>
      <c r="E101">
        <v>0</v>
      </c>
      <c r="F101">
        <v>16.2004366172477</v>
      </c>
      <c r="G101">
        <v>17</v>
      </c>
      <c r="H101">
        <v>10000</v>
      </c>
      <c r="I101" t="s">
        <v>829</v>
      </c>
    </row>
    <row r="102" spans="1:9" x14ac:dyDescent="0.2">
      <c r="A102" t="s">
        <v>230</v>
      </c>
      <c r="B102">
        <v>72</v>
      </c>
      <c r="C102">
        <v>5</v>
      </c>
      <c r="D102">
        <v>15</v>
      </c>
      <c r="E102">
        <v>0</v>
      </c>
      <c r="F102">
        <v>16.008901647291999</v>
      </c>
      <c r="G102">
        <v>17</v>
      </c>
      <c r="H102">
        <v>10000</v>
      </c>
      <c r="I102" t="s">
        <v>830</v>
      </c>
    </row>
    <row r="103" spans="1:9" x14ac:dyDescent="0.2">
      <c r="A103" t="s">
        <v>232</v>
      </c>
      <c r="B103">
        <v>73</v>
      </c>
      <c r="C103">
        <v>5</v>
      </c>
      <c r="D103">
        <v>15</v>
      </c>
      <c r="E103">
        <v>0</v>
      </c>
      <c r="F103">
        <v>17.015792903490301</v>
      </c>
      <c r="G103">
        <v>11</v>
      </c>
      <c r="H103">
        <v>10000</v>
      </c>
      <c r="I103" t="s">
        <v>831</v>
      </c>
    </row>
    <row r="104" spans="1:9" x14ac:dyDescent="0.2">
      <c r="A104" t="s">
        <v>234</v>
      </c>
      <c r="B104">
        <v>74</v>
      </c>
      <c r="C104">
        <v>5</v>
      </c>
      <c r="D104">
        <v>15</v>
      </c>
      <c r="E104">
        <v>0</v>
      </c>
      <c r="F104">
        <v>17.2645901590585</v>
      </c>
      <c r="G104">
        <v>8</v>
      </c>
      <c r="H104">
        <v>10000</v>
      </c>
      <c r="I104" t="s">
        <v>832</v>
      </c>
    </row>
    <row r="105" spans="1:9" x14ac:dyDescent="0.2">
      <c r="A105" t="s">
        <v>236</v>
      </c>
      <c r="B105">
        <v>75</v>
      </c>
      <c r="C105">
        <v>5</v>
      </c>
      <c r="D105">
        <v>15</v>
      </c>
      <c r="E105">
        <v>0</v>
      </c>
      <c r="F105">
        <v>18.034943724982401</v>
      </c>
      <c r="G105">
        <v>1</v>
      </c>
      <c r="H105">
        <v>10000</v>
      </c>
      <c r="I105" t="s">
        <v>833</v>
      </c>
    </row>
    <row r="106" spans="1:9" x14ac:dyDescent="0.2">
      <c r="A106" t="s">
        <v>238</v>
      </c>
      <c r="B106">
        <v>76</v>
      </c>
      <c r="C106">
        <v>5</v>
      </c>
      <c r="D106">
        <v>15</v>
      </c>
      <c r="E106">
        <v>0</v>
      </c>
      <c r="F106">
        <v>18.146578744053802</v>
      </c>
      <c r="G106">
        <v>1</v>
      </c>
      <c r="H106">
        <v>10000</v>
      </c>
      <c r="I106" t="s">
        <v>834</v>
      </c>
    </row>
    <row r="107" spans="1:9" x14ac:dyDescent="0.2">
      <c r="A107" t="s">
        <v>240</v>
      </c>
      <c r="B107">
        <v>77</v>
      </c>
      <c r="C107">
        <v>5</v>
      </c>
      <c r="D107">
        <v>16</v>
      </c>
      <c r="E107">
        <v>1</v>
      </c>
      <c r="F107">
        <v>19.326948122121301</v>
      </c>
      <c r="G107">
        <v>9</v>
      </c>
      <c r="H107">
        <v>10000</v>
      </c>
      <c r="I107" t="s">
        <v>835</v>
      </c>
    </row>
    <row r="108" spans="1:9" x14ac:dyDescent="0.2">
      <c r="A108" t="s">
        <v>36</v>
      </c>
      <c r="B108">
        <v>78</v>
      </c>
      <c r="C108">
        <v>15</v>
      </c>
      <c r="D108">
        <v>13</v>
      </c>
      <c r="E108">
        <v>1</v>
      </c>
      <c r="F108">
        <v>24.642048579640601</v>
      </c>
      <c r="G108">
        <v>6</v>
      </c>
      <c r="H108">
        <v>10000</v>
      </c>
      <c r="I108" t="s">
        <v>836</v>
      </c>
    </row>
    <row r="109" spans="1:9" x14ac:dyDescent="0.2">
      <c r="A109" t="s">
        <v>37</v>
      </c>
      <c r="B109">
        <v>79</v>
      </c>
      <c r="C109">
        <v>14</v>
      </c>
      <c r="D109">
        <v>13</v>
      </c>
      <c r="E109">
        <v>0</v>
      </c>
      <c r="F109">
        <v>24.139244901016301</v>
      </c>
      <c r="G109">
        <v>1</v>
      </c>
      <c r="H109">
        <v>10000</v>
      </c>
      <c r="I109" t="s">
        <v>837</v>
      </c>
    </row>
    <row r="110" spans="1:9" x14ac:dyDescent="0.2">
      <c r="A110" t="s">
        <v>38</v>
      </c>
      <c r="B110">
        <v>80</v>
      </c>
      <c r="C110">
        <v>7</v>
      </c>
      <c r="D110">
        <v>16</v>
      </c>
      <c r="E110">
        <v>1</v>
      </c>
      <c r="F110">
        <v>20.354486480355199</v>
      </c>
      <c r="G110">
        <v>5</v>
      </c>
      <c r="H110">
        <v>10000</v>
      </c>
      <c r="I110" t="s">
        <v>838</v>
      </c>
    </row>
    <row r="111" spans="1:9" x14ac:dyDescent="0.2">
      <c r="A111" t="s">
        <v>39</v>
      </c>
      <c r="B111">
        <v>81</v>
      </c>
      <c r="C111">
        <v>11</v>
      </c>
      <c r="D111">
        <v>15</v>
      </c>
      <c r="E111">
        <v>0</v>
      </c>
      <c r="F111">
        <v>24.069725525565399</v>
      </c>
      <c r="G111">
        <v>2</v>
      </c>
      <c r="H111">
        <v>10000</v>
      </c>
      <c r="I111" t="s">
        <v>839</v>
      </c>
    </row>
    <row r="112" spans="1:9" x14ac:dyDescent="0.2">
      <c r="A112" t="s">
        <v>40</v>
      </c>
      <c r="B112">
        <v>82</v>
      </c>
      <c r="C112">
        <v>7</v>
      </c>
      <c r="D112">
        <v>17</v>
      </c>
      <c r="E112">
        <v>1</v>
      </c>
      <c r="F112">
        <v>22.190023413859301</v>
      </c>
      <c r="G112">
        <v>12</v>
      </c>
      <c r="H112">
        <v>10000</v>
      </c>
      <c r="I112" t="s">
        <v>840</v>
      </c>
    </row>
    <row r="113" spans="1:9" x14ac:dyDescent="0.2">
      <c r="A113" t="s">
        <v>41</v>
      </c>
      <c r="B113">
        <v>83</v>
      </c>
      <c r="C113">
        <v>13</v>
      </c>
      <c r="D113">
        <v>15</v>
      </c>
      <c r="E113">
        <v>0</v>
      </c>
      <c r="F113">
        <v>26.345805533230301</v>
      </c>
      <c r="G113">
        <v>3</v>
      </c>
      <c r="H113">
        <v>10000</v>
      </c>
      <c r="I113" t="s">
        <v>841</v>
      </c>
    </row>
    <row r="114" spans="1:9" x14ac:dyDescent="0.2">
      <c r="A114" t="s">
        <v>42</v>
      </c>
      <c r="B114">
        <v>84</v>
      </c>
      <c r="C114">
        <v>4</v>
      </c>
      <c r="D114">
        <v>18</v>
      </c>
      <c r="E114">
        <v>0</v>
      </c>
      <c r="F114">
        <v>21.608619729056901</v>
      </c>
      <c r="G114">
        <v>12</v>
      </c>
      <c r="H114">
        <v>10000</v>
      </c>
      <c r="I114" t="s">
        <v>842</v>
      </c>
    </row>
    <row r="115" spans="1:9" x14ac:dyDescent="0.2">
      <c r="A115" t="s">
        <v>43</v>
      </c>
      <c r="B115">
        <v>85</v>
      </c>
      <c r="C115">
        <v>11</v>
      </c>
      <c r="D115">
        <v>17</v>
      </c>
      <c r="E115">
        <v>0</v>
      </c>
      <c r="F115">
        <v>26.582804140634799</v>
      </c>
      <c r="G115">
        <v>31</v>
      </c>
      <c r="H115">
        <v>10000</v>
      </c>
      <c r="I115" t="s">
        <v>843</v>
      </c>
    </row>
    <row r="116" spans="1:9" x14ac:dyDescent="0.2">
      <c r="A116" t="s">
        <v>44</v>
      </c>
      <c r="B116">
        <v>86</v>
      </c>
      <c r="C116">
        <v>4</v>
      </c>
      <c r="D116">
        <v>19</v>
      </c>
      <c r="E116">
        <v>0</v>
      </c>
      <c r="F116">
        <v>22.352614091709199</v>
      </c>
      <c r="G116">
        <v>9</v>
      </c>
      <c r="H116">
        <v>10000</v>
      </c>
      <c r="I116" t="s">
        <v>844</v>
      </c>
    </row>
    <row r="117" spans="1:9" x14ac:dyDescent="0.2">
      <c r="A117" t="s">
        <v>45</v>
      </c>
      <c r="B117">
        <v>87</v>
      </c>
      <c r="C117">
        <v>5</v>
      </c>
      <c r="D117">
        <v>19</v>
      </c>
      <c r="E117">
        <v>0</v>
      </c>
      <c r="F117">
        <v>23.201491952873699</v>
      </c>
      <c r="G117">
        <v>17</v>
      </c>
      <c r="H117">
        <v>10000</v>
      </c>
      <c r="I117" t="s">
        <v>845</v>
      </c>
    </row>
    <row r="118" spans="1:9" x14ac:dyDescent="0.2">
      <c r="A118" t="s">
        <v>46</v>
      </c>
      <c r="B118">
        <v>88</v>
      </c>
      <c r="C118">
        <v>5</v>
      </c>
      <c r="D118">
        <v>19</v>
      </c>
      <c r="E118">
        <v>0</v>
      </c>
      <c r="F118">
        <v>23.1959160398691</v>
      </c>
      <c r="G118">
        <v>8</v>
      </c>
      <c r="H118">
        <v>10000</v>
      </c>
      <c r="I118" t="s">
        <v>846</v>
      </c>
    </row>
    <row r="119" spans="1:9" x14ac:dyDescent="0.2">
      <c r="A119" t="s">
        <v>47</v>
      </c>
      <c r="B119">
        <v>89</v>
      </c>
      <c r="C119">
        <v>3</v>
      </c>
      <c r="D119">
        <v>19</v>
      </c>
      <c r="E119">
        <v>0</v>
      </c>
      <c r="F119">
        <v>23.684011192992301</v>
      </c>
      <c r="G119">
        <v>1</v>
      </c>
      <c r="H119">
        <v>10000</v>
      </c>
      <c r="I119" t="s">
        <v>847</v>
      </c>
    </row>
    <row r="120" spans="1:9" x14ac:dyDescent="0.2">
      <c r="A120" t="s">
        <v>48</v>
      </c>
      <c r="B120">
        <v>90</v>
      </c>
      <c r="C120">
        <v>3</v>
      </c>
      <c r="D120">
        <v>19</v>
      </c>
      <c r="E120">
        <v>0</v>
      </c>
      <c r="F120">
        <v>23.9046906605362</v>
      </c>
      <c r="G120">
        <v>4</v>
      </c>
      <c r="H120">
        <v>10000</v>
      </c>
      <c r="I120" t="s">
        <v>848</v>
      </c>
    </row>
    <row r="121" spans="1:9" x14ac:dyDescent="0.2">
      <c r="A121" t="s">
        <v>49</v>
      </c>
      <c r="B121">
        <v>91</v>
      </c>
      <c r="C121">
        <v>4</v>
      </c>
      <c r="D121">
        <v>19</v>
      </c>
      <c r="E121">
        <v>0</v>
      </c>
      <c r="F121">
        <v>23.209071949124301</v>
      </c>
      <c r="G121">
        <v>12</v>
      </c>
      <c r="H121">
        <v>10000</v>
      </c>
      <c r="I121" t="s">
        <v>849</v>
      </c>
    </row>
    <row r="122" spans="1:9" x14ac:dyDescent="0.2">
      <c r="A122" t="s">
        <v>50</v>
      </c>
      <c r="B122">
        <v>92</v>
      </c>
      <c r="C122">
        <v>3</v>
      </c>
      <c r="D122">
        <v>20</v>
      </c>
      <c r="E122">
        <v>0</v>
      </c>
      <c r="F122">
        <v>23.660069989040402</v>
      </c>
      <c r="G122">
        <v>10</v>
      </c>
      <c r="H122">
        <v>10000</v>
      </c>
      <c r="I122" t="s">
        <v>850</v>
      </c>
    </row>
    <row r="123" spans="1:9" x14ac:dyDescent="0.2">
      <c r="A123" t="s">
        <v>51</v>
      </c>
      <c r="B123">
        <v>93</v>
      </c>
      <c r="C123">
        <v>4</v>
      </c>
      <c r="D123">
        <v>20</v>
      </c>
      <c r="E123">
        <v>0</v>
      </c>
      <c r="F123">
        <v>24.752445159479901</v>
      </c>
      <c r="G123">
        <v>7</v>
      </c>
      <c r="H123">
        <v>10000</v>
      </c>
      <c r="I123" t="s">
        <v>851</v>
      </c>
    </row>
    <row r="124" spans="1:9" x14ac:dyDescent="0.2">
      <c r="A124" t="s">
        <v>52</v>
      </c>
      <c r="B124">
        <v>94</v>
      </c>
      <c r="C124">
        <v>4</v>
      </c>
      <c r="D124">
        <v>20</v>
      </c>
      <c r="E124">
        <v>0</v>
      </c>
      <c r="F124">
        <v>24.621995561756101</v>
      </c>
      <c r="G124">
        <v>11</v>
      </c>
      <c r="H124">
        <v>10000</v>
      </c>
      <c r="I124" t="s">
        <v>852</v>
      </c>
    </row>
    <row r="125" spans="1:9" x14ac:dyDescent="0.2">
      <c r="A125" t="s">
        <v>53</v>
      </c>
      <c r="B125">
        <v>95</v>
      </c>
      <c r="C125">
        <v>5</v>
      </c>
      <c r="D125">
        <v>19</v>
      </c>
      <c r="E125">
        <v>0</v>
      </c>
      <c r="F125">
        <v>24.387543633580201</v>
      </c>
      <c r="G125">
        <v>15</v>
      </c>
      <c r="H125">
        <v>10000</v>
      </c>
      <c r="I125" t="s">
        <v>853</v>
      </c>
    </row>
    <row r="126" spans="1:9" x14ac:dyDescent="0.2">
      <c r="A126" t="s">
        <v>54</v>
      </c>
      <c r="B126">
        <v>96</v>
      </c>
      <c r="C126">
        <v>27</v>
      </c>
      <c r="D126">
        <v>14</v>
      </c>
      <c r="E126">
        <v>0</v>
      </c>
      <c r="F126">
        <v>43.899668761529</v>
      </c>
      <c r="G126">
        <v>15</v>
      </c>
      <c r="H126">
        <v>10000</v>
      </c>
      <c r="I126" t="s">
        <v>854</v>
      </c>
    </row>
    <row r="127" spans="1:9" x14ac:dyDescent="0.2">
      <c r="A127" t="s">
        <v>55</v>
      </c>
      <c r="B127">
        <v>97</v>
      </c>
      <c r="C127">
        <v>5</v>
      </c>
      <c r="D127">
        <v>19</v>
      </c>
      <c r="E127">
        <v>0</v>
      </c>
      <c r="F127">
        <v>24.3359991563484</v>
      </c>
      <c r="G127">
        <v>11</v>
      </c>
      <c r="H127">
        <v>10000</v>
      </c>
      <c r="I127" t="s">
        <v>855</v>
      </c>
    </row>
    <row r="128" spans="1:9" x14ac:dyDescent="0.2">
      <c r="A128" t="s">
        <v>56</v>
      </c>
      <c r="B128">
        <v>98</v>
      </c>
      <c r="C128">
        <v>2</v>
      </c>
      <c r="D128">
        <v>21</v>
      </c>
      <c r="E128">
        <v>0</v>
      </c>
      <c r="F128">
        <v>24.413631080649701</v>
      </c>
      <c r="G128">
        <v>27</v>
      </c>
      <c r="H128">
        <v>10000</v>
      </c>
      <c r="I128" t="s">
        <v>856</v>
      </c>
    </row>
    <row r="129" spans="1:9" x14ac:dyDescent="0.2">
      <c r="A129" t="s">
        <v>57</v>
      </c>
      <c r="B129">
        <v>99</v>
      </c>
      <c r="C129">
        <v>3</v>
      </c>
      <c r="D129">
        <v>21</v>
      </c>
      <c r="E129">
        <v>0</v>
      </c>
      <c r="F129">
        <v>26.437600355595301</v>
      </c>
      <c r="G129">
        <v>21</v>
      </c>
      <c r="H129">
        <v>10000</v>
      </c>
      <c r="I129" t="s">
        <v>857</v>
      </c>
    </row>
    <row r="130" spans="1:9" x14ac:dyDescent="0.2">
      <c r="A130" t="s">
        <v>58</v>
      </c>
      <c r="B130">
        <v>100</v>
      </c>
      <c r="C130">
        <v>4</v>
      </c>
      <c r="D130">
        <v>20</v>
      </c>
      <c r="E130">
        <v>0</v>
      </c>
      <c r="F130">
        <v>26.3669473296031</v>
      </c>
      <c r="G130">
        <v>6</v>
      </c>
      <c r="H130">
        <v>10000</v>
      </c>
      <c r="I130" t="s">
        <v>858</v>
      </c>
    </row>
    <row r="131" spans="1:9" x14ac:dyDescent="0.2">
      <c r="A131" t="s">
        <v>59</v>
      </c>
      <c r="B131">
        <v>101</v>
      </c>
      <c r="C131">
        <v>4</v>
      </c>
      <c r="D131">
        <v>20</v>
      </c>
      <c r="E131">
        <v>0</v>
      </c>
      <c r="F131">
        <v>27.710338851436902</v>
      </c>
      <c r="G131">
        <v>8</v>
      </c>
      <c r="H131">
        <v>10000</v>
      </c>
      <c r="I131" t="s">
        <v>859</v>
      </c>
    </row>
    <row r="132" spans="1:9" x14ac:dyDescent="0.2">
      <c r="A132" t="s">
        <v>60</v>
      </c>
      <c r="B132">
        <v>102</v>
      </c>
      <c r="C132">
        <v>17</v>
      </c>
      <c r="D132">
        <v>18</v>
      </c>
      <c r="E132">
        <v>1</v>
      </c>
      <c r="F132">
        <v>40.798671833239403</v>
      </c>
      <c r="G132">
        <v>1</v>
      </c>
      <c r="H132">
        <v>10000</v>
      </c>
      <c r="I132" t="s">
        <v>860</v>
      </c>
    </row>
    <row r="133" spans="1:9" x14ac:dyDescent="0.2">
      <c r="A133" t="s">
        <v>61</v>
      </c>
      <c r="B133">
        <v>103</v>
      </c>
      <c r="C133">
        <v>18</v>
      </c>
      <c r="D133">
        <v>18</v>
      </c>
      <c r="E133">
        <v>1</v>
      </c>
      <c r="F133">
        <v>42.346503098495297</v>
      </c>
      <c r="G133">
        <v>3</v>
      </c>
      <c r="H133">
        <v>10000</v>
      </c>
      <c r="I133" t="s">
        <v>861</v>
      </c>
    </row>
    <row r="134" spans="1:9" x14ac:dyDescent="0.2">
      <c r="A134" t="s">
        <v>62</v>
      </c>
      <c r="B134">
        <v>104</v>
      </c>
      <c r="C134">
        <v>12</v>
      </c>
      <c r="D134">
        <v>20</v>
      </c>
      <c r="E134">
        <v>1</v>
      </c>
      <c r="F134">
        <v>36.902900093234997</v>
      </c>
      <c r="G134">
        <v>4</v>
      </c>
      <c r="H134">
        <v>10000</v>
      </c>
      <c r="I134" t="s">
        <v>862</v>
      </c>
    </row>
    <row r="135" spans="1:9" x14ac:dyDescent="0.2">
      <c r="A135" t="s">
        <v>63</v>
      </c>
      <c r="B135">
        <v>105</v>
      </c>
      <c r="C135">
        <v>8</v>
      </c>
      <c r="D135">
        <v>22</v>
      </c>
      <c r="E135">
        <v>2</v>
      </c>
      <c r="F135">
        <v>34.973033188842201</v>
      </c>
      <c r="G135">
        <v>2</v>
      </c>
      <c r="H135">
        <v>10000</v>
      </c>
      <c r="I135" t="s">
        <v>863</v>
      </c>
    </row>
    <row r="136" spans="1:9" x14ac:dyDescent="0.2">
      <c r="A136" t="s">
        <v>65</v>
      </c>
      <c r="B136">
        <v>106</v>
      </c>
      <c r="C136">
        <v>23</v>
      </c>
      <c r="D136">
        <v>16</v>
      </c>
      <c r="E136">
        <v>0</v>
      </c>
      <c r="F136">
        <v>49.229829748161102</v>
      </c>
      <c r="G136">
        <v>1</v>
      </c>
      <c r="H136">
        <v>10000</v>
      </c>
      <c r="I136" t="s">
        <v>864</v>
      </c>
    </row>
    <row r="137" spans="1:9" x14ac:dyDescent="0.2">
      <c r="A137" t="s">
        <v>66</v>
      </c>
      <c r="B137">
        <v>107</v>
      </c>
      <c r="C137">
        <v>10</v>
      </c>
      <c r="D137">
        <v>21</v>
      </c>
      <c r="E137">
        <v>1</v>
      </c>
      <c r="F137">
        <v>35.532088804058702</v>
      </c>
      <c r="G137">
        <v>4</v>
      </c>
      <c r="H137">
        <v>10000</v>
      </c>
      <c r="I137" t="s">
        <v>865</v>
      </c>
    </row>
    <row r="138" spans="1:9" x14ac:dyDescent="0.2">
      <c r="A138" t="s">
        <v>67</v>
      </c>
      <c r="B138">
        <v>108</v>
      </c>
      <c r="C138">
        <v>36</v>
      </c>
      <c r="D138">
        <v>15</v>
      </c>
      <c r="E138">
        <v>2</v>
      </c>
      <c r="F138">
        <v>66.093836253508897</v>
      </c>
      <c r="G138">
        <v>3</v>
      </c>
      <c r="H138">
        <v>10000</v>
      </c>
      <c r="I138" t="s">
        <v>866</v>
      </c>
    </row>
    <row r="139" spans="1:9" x14ac:dyDescent="0.2">
      <c r="A139" t="s">
        <v>68</v>
      </c>
      <c r="B139">
        <v>109</v>
      </c>
      <c r="C139">
        <v>31</v>
      </c>
      <c r="D139">
        <v>16</v>
      </c>
      <c r="E139">
        <v>2</v>
      </c>
      <c r="F139">
        <v>60.4904265878722</v>
      </c>
      <c r="G139">
        <v>3</v>
      </c>
      <c r="H139">
        <v>10000</v>
      </c>
      <c r="I139" t="s">
        <v>867</v>
      </c>
    </row>
    <row r="140" spans="1:9" x14ac:dyDescent="0.2">
      <c r="A140" t="s">
        <v>69</v>
      </c>
      <c r="B140">
        <v>110</v>
      </c>
      <c r="C140">
        <v>32</v>
      </c>
      <c r="D140">
        <v>16</v>
      </c>
      <c r="E140">
        <v>2</v>
      </c>
      <c r="F140">
        <v>63.347078723832901</v>
      </c>
      <c r="G140">
        <v>3</v>
      </c>
      <c r="H140">
        <v>10000</v>
      </c>
      <c r="I140" t="s">
        <v>868</v>
      </c>
    </row>
    <row r="141" spans="1:9" x14ac:dyDescent="0.2">
      <c r="A141" t="s">
        <v>70</v>
      </c>
      <c r="B141">
        <v>111</v>
      </c>
      <c r="C141">
        <v>33</v>
      </c>
      <c r="D141">
        <v>16</v>
      </c>
      <c r="E141">
        <v>2</v>
      </c>
      <c r="F141">
        <v>65.668013258837107</v>
      </c>
      <c r="G141">
        <v>2</v>
      </c>
      <c r="H141">
        <v>10000</v>
      </c>
      <c r="I141" t="s">
        <v>869</v>
      </c>
    </row>
    <row r="142" spans="1:9" x14ac:dyDescent="0.2">
      <c r="A142" t="s">
        <v>71</v>
      </c>
      <c r="B142">
        <v>112</v>
      </c>
      <c r="C142">
        <v>16</v>
      </c>
      <c r="D142">
        <v>19</v>
      </c>
      <c r="E142">
        <v>0</v>
      </c>
      <c r="F142">
        <v>45.0818379223346</v>
      </c>
      <c r="G142">
        <v>4</v>
      </c>
      <c r="H142">
        <v>10000</v>
      </c>
      <c r="I142" t="s">
        <v>870</v>
      </c>
    </row>
    <row r="143" spans="1:9" x14ac:dyDescent="0.2">
      <c r="A143" t="s">
        <v>72</v>
      </c>
      <c r="B143">
        <v>113</v>
      </c>
      <c r="C143">
        <v>34</v>
      </c>
      <c r="D143">
        <v>16</v>
      </c>
      <c r="E143">
        <v>2</v>
      </c>
      <c r="F143">
        <v>69.640308883041101</v>
      </c>
      <c r="G143">
        <v>5</v>
      </c>
      <c r="H143">
        <v>10000</v>
      </c>
      <c r="I143" t="s">
        <v>871</v>
      </c>
    </row>
    <row r="144" spans="1:9" x14ac:dyDescent="0.2">
      <c r="A144" t="s">
        <v>73</v>
      </c>
      <c r="B144">
        <v>114</v>
      </c>
      <c r="C144">
        <v>36</v>
      </c>
      <c r="D144">
        <v>14</v>
      </c>
      <c r="E144">
        <v>0</v>
      </c>
      <c r="F144">
        <v>74.2592216832563</v>
      </c>
      <c r="G144">
        <v>5</v>
      </c>
      <c r="H144">
        <v>10000</v>
      </c>
      <c r="I144" t="s">
        <v>872</v>
      </c>
    </row>
    <row r="145" spans="1:9" x14ac:dyDescent="0.2">
      <c r="A145" t="s">
        <v>75</v>
      </c>
      <c r="B145">
        <v>115</v>
      </c>
      <c r="C145">
        <v>1</v>
      </c>
      <c r="D145">
        <v>25</v>
      </c>
      <c r="E145">
        <v>0</v>
      </c>
      <c r="F145">
        <v>33.000611049123101</v>
      </c>
      <c r="G145">
        <v>14</v>
      </c>
      <c r="H145">
        <v>10000</v>
      </c>
      <c r="I145" t="s">
        <v>873</v>
      </c>
    </row>
    <row r="146" spans="1:9" x14ac:dyDescent="0.2">
      <c r="A146" t="s">
        <v>76</v>
      </c>
      <c r="B146">
        <v>116</v>
      </c>
      <c r="C146">
        <v>2</v>
      </c>
      <c r="D146">
        <v>24</v>
      </c>
      <c r="E146">
        <v>0</v>
      </c>
      <c r="F146">
        <v>34.095491725020104</v>
      </c>
      <c r="G146">
        <v>8</v>
      </c>
      <c r="H146">
        <v>10000</v>
      </c>
      <c r="I146" t="s">
        <v>874</v>
      </c>
    </row>
    <row r="147" spans="1:9" x14ac:dyDescent="0.2">
      <c r="A147" t="s">
        <v>77</v>
      </c>
      <c r="B147">
        <v>117</v>
      </c>
      <c r="C147">
        <v>2</v>
      </c>
      <c r="D147">
        <v>24</v>
      </c>
      <c r="E147">
        <v>0</v>
      </c>
      <c r="F147">
        <v>35.745533775538199</v>
      </c>
      <c r="G147">
        <v>9</v>
      </c>
      <c r="H147">
        <v>10000</v>
      </c>
      <c r="I147" t="s">
        <v>875</v>
      </c>
    </row>
    <row r="148" spans="1:9" x14ac:dyDescent="0.2">
      <c r="A148" t="s">
        <v>78</v>
      </c>
      <c r="B148">
        <v>118</v>
      </c>
      <c r="C148">
        <v>1</v>
      </c>
      <c r="D148">
        <v>25</v>
      </c>
      <c r="E148">
        <v>0</v>
      </c>
      <c r="F148">
        <v>33.582470979541498</v>
      </c>
      <c r="G148">
        <v>10</v>
      </c>
      <c r="H148">
        <v>10000</v>
      </c>
      <c r="I148" t="s">
        <v>876</v>
      </c>
    </row>
    <row r="149" spans="1:9" x14ac:dyDescent="0.2">
      <c r="A149" t="s">
        <v>79</v>
      </c>
      <c r="B149">
        <v>119</v>
      </c>
      <c r="C149">
        <v>39</v>
      </c>
      <c r="D149">
        <v>15</v>
      </c>
      <c r="E149">
        <v>1</v>
      </c>
      <c r="F149">
        <v>84.391613362357006</v>
      </c>
      <c r="G149">
        <v>3</v>
      </c>
      <c r="H149">
        <v>10000</v>
      </c>
      <c r="I149" t="s">
        <v>877</v>
      </c>
    </row>
    <row r="150" spans="1:9" x14ac:dyDescent="0.2">
      <c r="A150" t="s">
        <v>80</v>
      </c>
      <c r="B150">
        <v>120</v>
      </c>
      <c r="C150">
        <v>40</v>
      </c>
      <c r="D150">
        <v>14</v>
      </c>
      <c r="E150">
        <v>0</v>
      </c>
      <c r="F150">
        <v>87.589469633996401</v>
      </c>
      <c r="G150">
        <v>1</v>
      </c>
      <c r="H150">
        <v>10000</v>
      </c>
      <c r="I150" t="s">
        <v>878</v>
      </c>
    </row>
    <row r="151" spans="1:9" x14ac:dyDescent="0.2">
      <c r="A151" t="s">
        <v>81</v>
      </c>
      <c r="B151">
        <v>121</v>
      </c>
      <c r="C151">
        <v>36</v>
      </c>
      <c r="D151">
        <v>18</v>
      </c>
      <c r="E151">
        <v>3</v>
      </c>
      <c r="F151">
        <v>81.537516126409102</v>
      </c>
      <c r="G151">
        <v>4</v>
      </c>
      <c r="H151">
        <v>10000</v>
      </c>
      <c r="I151" t="s">
        <v>879</v>
      </c>
    </row>
    <row r="152" spans="1:9" x14ac:dyDescent="0.2">
      <c r="A152" t="s">
        <v>82</v>
      </c>
      <c r="B152">
        <v>122</v>
      </c>
      <c r="C152">
        <v>37</v>
      </c>
      <c r="D152">
        <v>15</v>
      </c>
      <c r="E152">
        <v>0</v>
      </c>
      <c r="F152">
        <v>84.010621597059</v>
      </c>
      <c r="G152">
        <v>2</v>
      </c>
      <c r="H152">
        <v>10000</v>
      </c>
      <c r="I152" t="s">
        <v>880</v>
      </c>
    </row>
    <row r="153" spans="1:9" x14ac:dyDescent="0.2">
      <c r="A153" t="s">
        <v>83</v>
      </c>
      <c r="B153">
        <v>123</v>
      </c>
      <c r="C153">
        <v>38</v>
      </c>
      <c r="D153">
        <v>17</v>
      </c>
      <c r="E153">
        <v>2</v>
      </c>
      <c r="F153">
        <v>88.6581429718062</v>
      </c>
      <c r="G153">
        <v>1</v>
      </c>
      <c r="H153">
        <v>10000</v>
      </c>
      <c r="I153" t="s">
        <v>881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E927-EBE9-844B-8118-62FFB86667B2}">
  <dimension ref="A1:I76"/>
  <sheetViews>
    <sheetView topLeftCell="A55"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883</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35</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884</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2.35251151025295E-3</v>
      </c>
      <c r="G33">
        <v>1</v>
      </c>
      <c r="H33">
        <v>1</v>
      </c>
      <c r="I33" t="s">
        <v>885</v>
      </c>
    </row>
    <row r="34" spans="1:9" x14ac:dyDescent="0.2">
      <c r="A34" t="s">
        <v>93</v>
      </c>
      <c r="B34">
        <v>4</v>
      </c>
      <c r="C34">
        <v>1</v>
      </c>
      <c r="D34">
        <v>2</v>
      </c>
      <c r="E34">
        <v>0</v>
      </c>
      <c r="F34">
        <v>2.2834716364741299E-3</v>
      </c>
      <c r="G34">
        <v>1</v>
      </c>
      <c r="H34">
        <v>1</v>
      </c>
      <c r="I34" t="s">
        <v>886</v>
      </c>
    </row>
    <row r="35" spans="1:9" x14ac:dyDescent="0.2">
      <c r="A35" t="s">
        <v>94</v>
      </c>
      <c r="B35">
        <v>5</v>
      </c>
      <c r="C35">
        <v>1</v>
      </c>
      <c r="D35">
        <v>3</v>
      </c>
      <c r="E35">
        <v>0</v>
      </c>
      <c r="F35">
        <v>2.7798004448413801E-3</v>
      </c>
      <c r="G35">
        <v>1</v>
      </c>
      <c r="H35">
        <v>1</v>
      </c>
      <c r="I35" t="s">
        <v>887</v>
      </c>
    </row>
    <row r="36" spans="1:9" x14ac:dyDescent="0.2">
      <c r="A36" t="s">
        <v>95</v>
      </c>
      <c r="B36">
        <v>6</v>
      </c>
      <c r="C36">
        <v>1</v>
      </c>
      <c r="D36">
        <v>3</v>
      </c>
      <c r="E36">
        <v>0</v>
      </c>
      <c r="F36">
        <v>2.96756811439991E-3</v>
      </c>
      <c r="G36">
        <v>1</v>
      </c>
      <c r="H36">
        <v>1</v>
      </c>
      <c r="I36" t="s">
        <v>888</v>
      </c>
    </row>
    <row r="37" spans="1:9" x14ac:dyDescent="0.2">
      <c r="A37" t="s">
        <v>96</v>
      </c>
      <c r="B37">
        <v>7</v>
      </c>
      <c r="C37">
        <v>1</v>
      </c>
      <c r="D37">
        <v>3</v>
      </c>
      <c r="E37">
        <v>0</v>
      </c>
      <c r="F37">
        <v>3.0723251402378E-3</v>
      </c>
      <c r="G37">
        <v>1</v>
      </c>
      <c r="H37">
        <v>1</v>
      </c>
      <c r="I37" t="s">
        <v>889</v>
      </c>
    </row>
    <row r="38" spans="1:9" x14ac:dyDescent="0.2">
      <c r="A38" t="s">
        <v>97</v>
      </c>
      <c r="B38">
        <v>8</v>
      </c>
      <c r="C38">
        <v>1</v>
      </c>
      <c r="D38">
        <v>3</v>
      </c>
      <c r="E38">
        <v>0</v>
      </c>
      <c r="F38">
        <v>3.1412923708558E-3</v>
      </c>
      <c r="G38">
        <v>1</v>
      </c>
      <c r="H38">
        <v>1</v>
      </c>
      <c r="I38" t="s">
        <v>890</v>
      </c>
    </row>
    <row r="39" spans="1:9" x14ac:dyDescent="0.2">
      <c r="A39" t="s">
        <v>98</v>
      </c>
      <c r="B39">
        <v>9</v>
      </c>
      <c r="C39">
        <v>1</v>
      </c>
      <c r="D39">
        <v>3</v>
      </c>
      <c r="E39">
        <v>0</v>
      </c>
      <c r="F39">
        <v>3.3542551100253998E-3</v>
      </c>
      <c r="G39">
        <v>1</v>
      </c>
      <c r="H39">
        <v>1</v>
      </c>
      <c r="I39" t="s">
        <v>891</v>
      </c>
    </row>
    <row r="40" spans="1:9" x14ac:dyDescent="0.2">
      <c r="A40" t="s">
        <v>99</v>
      </c>
      <c r="B40">
        <v>10</v>
      </c>
      <c r="C40">
        <v>1</v>
      </c>
      <c r="D40">
        <v>4</v>
      </c>
      <c r="E40">
        <v>0</v>
      </c>
      <c r="F40">
        <v>4.0917461737990301E-3</v>
      </c>
      <c r="G40">
        <v>1</v>
      </c>
      <c r="H40">
        <v>1</v>
      </c>
      <c r="I40" t="s">
        <v>892</v>
      </c>
    </row>
    <row r="41" spans="1:9" x14ac:dyDescent="0.2">
      <c r="A41" t="s">
        <v>100</v>
      </c>
      <c r="B41">
        <v>11</v>
      </c>
      <c r="C41">
        <v>1</v>
      </c>
      <c r="D41">
        <v>5</v>
      </c>
      <c r="E41">
        <v>0</v>
      </c>
      <c r="F41">
        <v>4.3507665395736599E-3</v>
      </c>
      <c r="G41">
        <v>1</v>
      </c>
      <c r="H41">
        <v>1</v>
      </c>
      <c r="I41" t="s">
        <v>893</v>
      </c>
    </row>
    <row r="42" spans="1:9" x14ac:dyDescent="0.2">
      <c r="A42" t="s">
        <v>101</v>
      </c>
      <c r="B42">
        <v>12</v>
      </c>
      <c r="C42">
        <v>6</v>
      </c>
      <c r="D42">
        <v>3</v>
      </c>
      <c r="E42">
        <v>0</v>
      </c>
      <c r="F42">
        <v>5.4580047726631104E-3</v>
      </c>
      <c r="G42">
        <v>1</v>
      </c>
      <c r="H42">
        <v>1</v>
      </c>
      <c r="I42" t="s">
        <v>894</v>
      </c>
    </row>
    <row r="43" spans="1:9" x14ac:dyDescent="0.2">
      <c r="A43" t="s">
        <v>102</v>
      </c>
      <c r="B43">
        <v>13</v>
      </c>
      <c r="C43">
        <v>6</v>
      </c>
      <c r="D43">
        <v>3</v>
      </c>
      <c r="E43">
        <v>0</v>
      </c>
      <c r="F43">
        <v>5.7930769398808401E-3</v>
      </c>
      <c r="G43">
        <v>1</v>
      </c>
      <c r="H43">
        <v>1</v>
      </c>
      <c r="I43" t="s">
        <v>895</v>
      </c>
    </row>
    <row r="44" spans="1:9" x14ac:dyDescent="0.2">
      <c r="A44" t="s">
        <v>103</v>
      </c>
      <c r="B44">
        <v>14</v>
      </c>
      <c r="C44">
        <v>2</v>
      </c>
      <c r="D44">
        <v>5</v>
      </c>
      <c r="E44">
        <v>0</v>
      </c>
      <c r="F44">
        <v>4.97738644480705E-3</v>
      </c>
      <c r="G44">
        <v>1</v>
      </c>
      <c r="H44">
        <v>1</v>
      </c>
      <c r="I44" t="s">
        <v>896</v>
      </c>
    </row>
    <row r="45" spans="1:9" x14ac:dyDescent="0.2">
      <c r="A45" t="s">
        <v>104</v>
      </c>
      <c r="B45">
        <v>15</v>
      </c>
      <c r="C45">
        <v>2</v>
      </c>
      <c r="D45">
        <v>5</v>
      </c>
      <c r="E45">
        <v>0</v>
      </c>
      <c r="F45">
        <v>9.9171409383416106E-3</v>
      </c>
      <c r="G45">
        <v>1</v>
      </c>
      <c r="H45">
        <v>1</v>
      </c>
      <c r="I45" t="s">
        <v>897</v>
      </c>
    </row>
    <row r="46" spans="1:9" x14ac:dyDescent="0.2">
      <c r="A46" t="s">
        <v>105</v>
      </c>
      <c r="B46">
        <v>16</v>
      </c>
      <c r="C46">
        <v>1</v>
      </c>
      <c r="D46">
        <v>6</v>
      </c>
      <c r="E46">
        <v>0</v>
      </c>
      <c r="F46">
        <v>9.4521865248680097E-3</v>
      </c>
      <c r="G46">
        <v>1</v>
      </c>
      <c r="H46">
        <v>1</v>
      </c>
      <c r="I46" t="s">
        <v>898</v>
      </c>
    </row>
    <row r="47" spans="1:9" x14ac:dyDescent="0.2">
      <c r="A47" t="s">
        <v>106</v>
      </c>
      <c r="B47">
        <v>17</v>
      </c>
      <c r="C47">
        <v>3</v>
      </c>
      <c r="D47">
        <v>5</v>
      </c>
      <c r="E47">
        <v>0</v>
      </c>
      <c r="F47">
        <v>4.5107115060090998E-2</v>
      </c>
      <c r="G47">
        <v>1</v>
      </c>
      <c r="H47">
        <v>1</v>
      </c>
      <c r="I47" t="s">
        <v>899</v>
      </c>
    </row>
    <row r="48" spans="1:9" x14ac:dyDescent="0.2">
      <c r="A48" t="s">
        <v>107</v>
      </c>
      <c r="B48">
        <v>18</v>
      </c>
      <c r="C48">
        <v>5</v>
      </c>
      <c r="D48">
        <v>5</v>
      </c>
      <c r="E48">
        <v>0</v>
      </c>
      <c r="F48">
        <v>0.10043169837445</v>
      </c>
      <c r="G48">
        <v>1</v>
      </c>
      <c r="H48">
        <v>1</v>
      </c>
      <c r="I48" t="s">
        <v>900</v>
      </c>
    </row>
    <row r="49" spans="1:9" x14ac:dyDescent="0.2">
      <c r="A49" t="s">
        <v>108</v>
      </c>
      <c r="B49">
        <v>19</v>
      </c>
      <c r="C49">
        <v>5</v>
      </c>
      <c r="D49">
        <v>5</v>
      </c>
      <c r="E49">
        <v>0</v>
      </c>
      <c r="F49">
        <v>0.114707043394446</v>
      </c>
      <c r="G49">
        <v>1</v>
      </c>
      <c r="H49">
        <v>1</v>
      </c>
      <c r="I49" t="s">
        <v>901</v>
      </c>
    </row>
    <row r="50" spans="1:9" x14ac:dyDescent="0.2">
      <c r="A50" t="s">
        <v>109</v>
      </c>
      <c r="B50">
        <v>20</v>
      </c>
      <c r="C50">
        <v>3</v>
      </c>
      <c r="D50">
        <v>6</v>
      </c>
      <c r="E50">
        <v>0</v>
      </c>
      <c r="F50">
        <v>0.109200841747224</v>
      </c>
      <c r="G50">
        <v>1</v>
      </c>
      <c r="H50">
        <v>1</v>
      </c>
      <c r="I50" t="s">
        <v>902</v>
      </c>
    </row>
    <row r="51" spans="1:9" x14ac:dyDescent="0.2">
      <c r="A51" t="s">
        <v>110</v>
      </c>
      <c r="B51">
        <v>21</v>
      </c>
      <c r="C51">
        <v>3</v>
      </c>
      <c r="D51">
        <v>6</v>
      </c>
      <c r="E51">
        <v>0</v>
      </c>
      <c r="F51">
        <v>0.57108550053089802</v>
      </c>
      <c r="G51">
        <v>1</v>
      </c>
      <c r="H51">
        <v>1</v>
      </c>
      <c r="I51" t="s">
        <v>903</v>
      </c>
    </row>
    <row r="52" spans="1:9" x14ac:dyDescent="0.2">
      <c r="A52" t="s">
        <v>111</v>
      </c>
      <c r="B52">
        <v>22</v>
      </c>
      <c r="C52">
        <v>7</v>
      </c>
      <c r="D52">
        <v>5</v>
      </c>
      <c r="E52">
        <v>0</v>
      </c>
      <c r="F52">
        <v>0.32848217058926799</v>
      </c>
      <c r="G52">
        <v>1</v>
      </c>
      <c r="H52">
        <v>1</v>
      </c>
      <c r="I52" t="s">
        <v>904</v>
      </c>
    </row>
    <row r="53" spans="1:9" x14ac:dyDescent="0.2">
      <c r="A53" t="s">
        <v>112</v>
      </c>
      <c r="B53">
        <v>23</v>
      </c>
      <c r="C53">
        <v>2</v>
      </c>
      <c r="D53">
        <v>7</v>
      </c>
      <c r="E53">
        <v>0</v>
      </c>
      <c r="F53">
        <v>0.167406884022057</v>
      </c>
      <c r="G53">
        <v>1</v>
      </c>
      <c r="H53">
        <v>1</v>
      </c>
      <c r="I53" t="s">
        <v>905</v>
      </c>
    </row>
    <row r="54" spans="1:9" x14ac:dyDescent="0.2">
      <c r="A54" t="s">
        <v>113</v>
      </c>
      <c r="B54">
        <v>24</v>
      </c>
      <c r="C54">
        <v>8</v>
      </c>
      <c r="D54">
        <v>5</v>
      </c>
      <c r="E54">
        <v>0</v>
      </c>
      <c r="F54">
        <v>0.56945125106722105</v>
      </c>
      <c r="G54">
        <v>1</v>
      </c>
      <c r="H54">
        <v>1</v>
      </c>
      <c r="I54" t="s">
        <v>906</v>
      </c>
    </row>
    <row r="55" spans="1:9" x14ac:dyDescent="0.2">
      <c r="A55" t="s">
        <v>114</v>
      </c>
      <c r="B55">
        <v>25</v>
      </c>
      <c r="C55">
        <v>8</v>
      </c>
      <c r="D55">
        <v>5</v>
      </c>
      <c r="E55">
        <v>0</v>
      </c>
      <c r="F55">
        <v>0.64561058301478602</v>
      </c>
      <c r="G55">
        <v>1</v>
      </c>
      <c r="H55">
        <v>1</v>
      </c>
      <c r="I55" t="s">
        <v>907</v>
      </c>
    </row>
    <row r="56" spans="1:9" x14ac:dyDescent="0.2">
      <c r="A56" t="s">
        <v>115</v>
      </c>
      <c r="B56">
        <v>26</v>
      </c>
      <c r="C56">
        <v>6</v>
      </c>
      <c r="D56">
        <v>6</v>
      </c>
      <c r="E56">
        <v>0</v>
      </c>
      <c r="F56">
        <v>3.6392468148842401</v>
      </c>
      <c r="G56">
        <v>1</v>
      </c>
      <c r="H56">
        <v>1</v>
      </c>
      <c r="I56" t="s">
        <v>908</v>
      </c>
    </row>
    <row r="57" spans="1:9" x14ac:dyDescent="0.2">
      <c r="A57" t="s">
        <v>116</v>
      </c>
      <c r="B57">
        <v>27</v>
      </c>
      <c r="C57">
        <v>6</v>
      </c>
      <c r="D57">
        <v>6</v>
      </c>
      <c r="E57">
        <v>0</v>
      </c>
      <c r="F57">
        <v>4.2119374219328103</v>
      </c>
      <c r="G57">
        <v>1</v>
      </c>
      <c r="H57">
        <v>1</v>
      </c>
      <c r="I57" t="s">
        <v>909</v>
      </c>
    </row>
    <row r="58" spans="1:9" x14ac:dyDescent="0.2">
      <c r="A58" t="s">
        <v>117</v>
      </c>
      <c r="B58">
        <v>28</v>
      </c>
      <c r="C58">
        <v>6</v>
      </c>
      <c r="D58">
        <v>6</v>
      </c>
      <c r="E58">
        <v>0</v>
      </c>
      <c r="F58">
        <v>4.75410298258066</v>
      </c>
      <c r="G58">
        <v>1</v>
      </c>
      <c r="H58">
        <v>1</v>
      </c>
      <c r="I58" t="s">
        <v>910</v>
      </c>
    </row>
    <row r="59" spans="1:9" x14ac:dyDescent="0.2">
      <c r="A59" t="s">
        <v>118</v>
      </c>
      <c r="B59">
        <v>29</v>
      </c>
      <c r="C59">
        <v>6</v>
      </c>
      <c r="D59">
        <v>7</v>
      </c>
      <c r="E59">
        <v>0</v>
      </c>
      <c r="F59">
        <v>47.2419886700809</v>
      </c>
      <c r="G59">
        <v>1</v>
      </c>
      <c r="H59">
        <v>1</v>
      </c>
      <c r="I59" t="s">
        <v>911</v>
      </c>
    </row>
    <row r="60" spans="1:9" x14ac:dyDescent="0.2">
      <c r="A60" t="s">
        <v>119</v>
      </c>
      <c r="B60">
        <v>30</v>
      </c>
      <c r="C60">
        <v>9</v>
      </c>
      <c r="D60">
        <v>6</v>
      </c>
      <c r="E60">
        <v>0</v>
      </c>
      <c r="F60">
        <v>14.1127798920497</v>
      </c>
      <c r="G60">
        <v>1</v>
      </c>
      <c r="H60">
        <v>1</v>
      </c>
      <c r="I60" t="s">
        <v>912</v>
      </c>
    </row>
    <row r="61" spans="1:9" x14ac:dyDescent="0.2">
      <c r="A61" t="s">
        <v>120</v>
      </c>
      <c r="B61">
        <v>31</v>
      </c>
      <c r="C61">
        <v>9</v>
      </c>
      <c r="D61">
        <v>6</v>
      </c>
      <c r="E61">
        <v>0</v>
      </c>
      <c r="F61">
        <v>15.571770762093299</v>
      </c>
      <c r="G61">
        <v>1</v>
      </c>
      <c r="H61">
        <v>1</v>
      </c>
      <c r="I61" t="s">
        <v>913</v>
      </c>
    </row>
    <row r="62" spans="1:9" x14ac:dyDescent="0.2">
      <c r="A62" t="s">
        <v>121</v>
      </c>
      <c r="B62">
        <v>32</v>
      </c>
      <c r="C62">
        <v>5</v>
      </c>
      <c r="D62">
        <v>8</v>
      </c>
      <c r="E62">
        <v>0</v>
      </c>
      <c r="F62">
        <v>76.661031563766301</v>
      </c>
      <c r="G62">
        <v>1</v>
      </c>
      <c r="H62">
        <v>1</v>
      </c>
      <c r="I62" t="s">
        <v>914</v>
      </c>
    </row>
    <row r="63" spans="1:9" x14ac:dyDescent="0.2">
      <c r="A63" t="s">
        <v>122</v>
      </c>
      <c r="B63">
        <v>33</v>
      </c>
      <c r="C63">
        <v>7</v>
      </c>
      <c r="D63">
        <v>8</v>
      </c>
      <c r="E63">
        <v>0</v>
      </c>
      <c r="F63">
        <v>957.59382904693405</v>
      </c>
      <c r="G63">
        <v>1</v>
      </c>
      <c r="H63">
        <v>1</v>
      </c>
      <c r="I63" t="s">
        <v>915</v>
      </c>
    </row>
    <row r="64" spans="1:9" x14ac:dyDescent="0.2">
      <c r="A64" t="s">
        <v>123</v>
      </c>
      <c r="B64">
        <v>34</v>
      </c>
      <c r="C64">
        <v>17</v>
      </c>
      <c r="D64">
        <v>5</v>
      </c>
      <c r="E64">
        <v>0</v>
      </c>
      <c r="F64">
        <v>6.8014242984354496</v>
      </c>
      <c r="G64">
        <v>1</v>
      </c>
      <c r="H64">
        <v>1</v>
      </c>
      <c r="I64" t="s">
        <v>916</v>
      </c>
    </row>
    <row r="65" spans="1:9" x14ac:dyDescent="0.2">
      <c r="A65" t="s">
        <v>124</v>
      </c>
      <c r="B65">
        <v>35</v>
      </c>
      <c r="C65">
        <v>4</v>
      </c>
      <c r="D65">
        <v>9</v>
      </c>
      <c r="E65">
        <v>0</v>
      </c>
      <c r="F65">
        <v>115.125218615867</v>
      </c>
      <c r="G65">
        <v>1</v>
      </c>
      <c r="H65">
        <v>1</v>
      </c>
      <c r="I65" t="s">
        <v>917</v>
      </c>
    </row>
    <row r="66" spans="1:9" x14ac:dyDescent="0.2">
      <c r="A66" t="s">
        <v>125</v>
      </c>
      <c r="B66">
        <v>36</v>
      </c>
      <c r="C66">
        <v>4</v>
      </c>
      <c r="D66">
        <v>9</v>
      </c>
      <c r="E66">
        <v>0</v>
      </c>
      <c r="F66">
        <v>128.25970292463899</v>
      </c>
      <c r="G66">
        <v>1</v>
      </c>
      <c r="H66">
        <v>1</v>
      </c>
      <c r="I66" t="s">
        <v>918</v>
      </c>
    </row>
    <row r="67" spans="1:9" x14ac:dyDescent="0.2">
      <c r="A67" t="s">
        <v>126</v>
      </c>
      <c r="B67">
        <v>37</v>
      </c>
      <c r="C67">
        <v>4</v>
      </c>
      <c r="D67">
        <v>9</v>
      </c>
      <c r="E67">
        <v>0</v>
      </c>
      <c r="F67">
        <v>956.91159109678097</v>
      </c>
      <c r="G67">
        <v>1</v>
      </c>
      <c r="H67">
        <v>1</v>
      </c>
      <c r="I67" t="s">
        <v>919</v>
      </c>
    </row>
    <row r="68" spans="1:9" x14ac:dyDescent="0.2">
      <c r="A68" t="s">
        <v>127</v>
      </c>
      <c r="B68">
        <v>38</v>
      </c>
      <c r="C68">
        <v>4</v>
      </c>
      <c r="D68">
        <v>9</v>
      </c>
      <c r="E68">
        <v>0</v>
      </c>
      <c r="F68">
        <v>5893.1940914140996</v>
      </c>
      <c r="G68">
        <v>1</v>
      </c>
      <c r="H68">
        <v>1</v>
      </c>
      <c r="I68" t="s">
        <v>920</v>
      </c>
    </row>
    <row r="69" spans="1:9" x14ac:dyDescent="0.2">
      <c r="A69" t="s">
        <v>128</v>
      </c>
      <c r="B69">
        <v>39</v>
      </c>
      <c r="C69">
        <v>4</v>
      </c>
      <c r="D69">
        <v>9</v>
      </c>
      <c r="E69">
        <v>0</v>
      </c>
      <c r="F69">
        <v>217.28401865344401</v>
      </c>
      <c r="G69">
        <v>1</v>
      </c>
      <c r="H69">
        <v>1</v>
      </c>
      <c r="I69" t="s">
        <v>921</v>
      </c>
    </row>
    <row r="70" spans="1:9" x14ac:dyDescent="0.2">
      <c r="A70" t="s">
        <v>129</v>
      </c>
      <c r="B70">
        <v>40</v>
      </c>
      <c r="C70">
        <v>5</v>
      </c>
      <c r="D70">
        <v>9</v>
      </c>
      <c r="E70">
        <v>0</v>
      </c>
      <c r="F70">
        <v>306.62457797303699</v>
      </c>
      <c r="G70">
        <v>1</v>
      </c>
      <c r="H70">
        <v>1</v>
      </c>
      <c r="I70" t="s">
        <v>922</v>
      </c>
    </row>
    <row r="71" spans="1:9" x14ac:dyDescent="0.2">
      <c r="A71" t="s">
        <v>130</v>
      </c>
      <c r="B71">
        <v>41</v>
      </c>
      <c r="C71">
        <v>2</v>
      </c>
      <c r="D71">
        <v>11</v>
      </c>
      <c r="E71">
        <v>0</v>
      </c>
      <c r="F71">
        <v>216.54129989538299</v>
      </c>
      <c r="G71">
        <v>1</v>
      </c>
      <c r="H71">
        <v>1</v>
      </c>
      <c r="I71" t="s">
        <v>923</v>
      </c>
    </row>
    <row r="72" spans="1:9" x14ac:dyDescent="0.2">
      <c r="A72" t="s">
        <v>131</v>
      </c>
      <c r="B72">
        <v>42</v>
      </c>
      <c r="C72">
        <v>5</v>
      </c>
      <c r="D72">
        <v>9</v>
      </c>
      <c r="E72">
        <v>0</v>
      </c>
      <c r="F72">
        <v>429.20031798258401</v>
      </c>
      <c r="G72">
        <v>1</v>
      </c>
      <c r="H72">
        <v>1</v>
      </c>
      <c r="I72" t="s">
        <v>924</v>
      </c>
    </row>
    <row r="73" spans="1:9" x14ac:dyDescent="0.2">
      <c r="A73" t="s">
        <v>132</v>
      </c>
      <c r="B73">
        <v>43</v>
      </c>
      <c r="C73">
        <v>6</v>
      </c>
      <c r="D73">
        <v>9</v>
      </c>
      <c r="E73">
        <v>0</v>
      </c>
      <c r="F73">
        <v>4901.57413679827</v>
      </c>
      <c r="G73">
        <v>1</v>
      </c>
      <c r="H73">
        <v>1</v>
      </c>
      <c r="I73" t="s">
        <v>925</v>
      </c>
    </row>
    <row r="74" spans="1:9" x14ac:dyDescent="0.2">
      <c r="A74" t="s">
        <v>133</v>
      </c>
      <c r="B74">
        <v>44</v>
      </c>
      <c r="C74">
        <v>6</v>
      </c>
      <c r="D74">
        <v>9</v>
      </c>
      <c r="E74">
        <v>0</v>
      </c>
      <c r="F74">
        <v>696.78772511891998</v>
      </c>
      <c r="G74">
        <v>1</v>
      </c>
      <c r="H74">
        <v>1</v>
      </c>
      <c r="I74" t="s">
        <v>926</v>
      </c>
    </row>
    <row r="75" spans="1:9" x14ac:dyDescent="0.2">
      <c r="A75" t="s">
        <v>134</v>
      </c>
      <c r="B75">
        <v>45</v>
      </c>
      <c r="C75">
        <v>6</v>
      </c>
      <c r="D75">
        <v>9</v>
      </c>
      <c r="E75">
        <v>0</v>
      </c>
      <c r="F75">
        <v>6890.7503289831802</v>
      </c>
      <c r="G75">
        <v>1</v>
      </c>
      <c r="H75">
        <v>1</v>
      </c>
      <c r="I75" t="s">
        <v>927</v>
      </c>
    </row>
    <row r="76" spans="1:9" x14ac:dyDescent="0.2">
      <c r="A76" t="s">
        <v>135</v>
      </c>
      <c r="B76">
        <v>46</v>
      </c>
      <c r="C76">
        <v>7</v>
      </c>
      <c r="D76">
        <v>9</v>
      </c>
      <c r="E76">
        <v>0</v>
      </c>
      <c r="F76">
        <v>72620.5459769312</v>
      </c>
      <c r="G76">
        <v>1</v>
      </c>
      <c r="H76">
        <v>1</v>
      </c>
      <c r="I76" t="s">
        <v>1032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52349-479C-874A-ABFE-53771B099E3C}">
  <dimension ref="A1:I81"/>
  <sheetViews>
    <sheetView topLeftCell="A57"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883</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935</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2.1212352439761101E-3</v>
      </c>
      <c r="G33">
        <v>1</v>
      </c>
      <c r="H33">
        <v>1</v>
      </c>
      <c r="I33" t="s">
        <v>936</v>
      </c>
    </row>
    <row r="34" spans="1:9" x14ac:dyDescent="0.2">
      <c r="A34" t="s">
        <v>93</v>
      </c>
      <c r="B34">
        <v>4</v>
      </c>
      <c r="C34">
        <v>1</v>
      </c>
      <c r="D34">
        <v>2</v>
      </c>
      <c r="E34">
        <v>0</v>
      </c>
      <c r="F34">
        <v>2.4783536791801401E-3</v>
      </c>
      <c r="G34">
        <v>1</v>
      </c>
      <c r="H34">
        <v>1</v>
      </c>
      <c r="I34" t="s">
        <v>937</v>
      </c>
    </row>
    <row r="35" spans="1:9" x14ac:dyDescent="0.2">
      <c r="A35" t="s">
        <v>94</v>
      </c>
      <c r="B35">
        <v>5</v>
      </c>
      <c r="C35">
        <v>1</v>
      </c>
      <c r="D35">
        <v>3</v>
      </c>
      <c r="E35">
        <v>0</v>
      </c>
      <c r="F35">
        <v>2.7241352945566099E-3</v>
      </c>
      <c r="G35">
        <v>1</v>
      </c>
      <c r="H35">
        <v>1</v>
      </c>
      <c r="I35" t="s">
        <v>938</v>
      </c>
    </row>
    <row r="36" spans="1:9" x14ac:dyDescent="0.2">
      <c r="A36" t="s">
        <v>95</v>
      </c>
      <c r="B36">
        <v>6</v>
      </c>
      <c r="C36">
        <v>1</v>
      </c>
      <c r="D36">
        <v>3</v>
      </c>
      <c r="E36">
        <v>0</v>
      </c>
      <c r="F36">
        <v>2.8956905007362301E-3</v>
      </c>
      <c r="G36">
        <v>1</v>
      </c>
      <c r="H36">
        <v>1</v>
      </c>
      <c r="I36" t="s">
        <v>939</v>
      </c>
    </row>
    <row r="37" spans="1:9" x14ac:dyDescent="0.2">
      <c r="A37" t="s">
        <v>96</v>
      </c>
      <c r="B37">
        <v>7</v>
      </c>
      <c r="C37">
        <v>1</v>
      </c>
      <c r="D37">
        <v>3</v>
      </c>
      <c r="E37">
        <v>0</v>
      </c>
      <c r="F37">
        <v>3.2005840912461198E-3</v>
      </c>
      <c r="G37">
        <v>1</v>
      </c>
      <c r="H37">
        <v>1</v>
      </c>
      <c r="I37" t="s">
        <v>940</v>
      </c>
    </row>
    <row r="38" spans="1:9" x14ac:dyDescent="0.2">
      <c r="A38" t="s">
        <v>97</v>
      </c>
      <c r="B38">
        <v>8</v>
      </c>
      <c r="C38">
        <v>1</v>
      </c>
      <c r="D38">
        <v>3</v>
      </c>
      <c r="E38">
        <v>0</v>
      </c>
      <c r="F38">
        <v>3.59048880636692E-3</v>
      </c>
      <c r="G38">
        <v>1</v>
      </c>
      <c r="H38">
        <v>1</v>
      </c>
      <c r="I38" t="s">
        <v>941</v>
      </c>
    </row>
    <row r="39" spans="1:9" x14ac:dyDescent="0.2">
      <c r="A39" t="s">
        <v>98</v>
      </c>
      <c r="B39">
        <v>9</v>
      </c>
      <c r="C39">
        <v>1</v>
      </c>
      <c r="D39">
        <v>3</v>
      </c>
      <c r="E39">
        <v>0</v>
      </c>
      <c r="F39">
        <v>3.5833623260259598E-3</v>
      </c>
      <c r="G39">
        <v>1</v>
      </c>
      <c r="H39">
        <v>1</v>
      </c>
      <c r="I39" t="s">
        <v>942</v>
      </c>
    </row>
    <row r="40" spans="1:9" x14ac:dyDescent="0.2">
      <c r="A40" t="s">
        <v>99</v>
      </c>
      <c r="B40">
        <v>10</v>
      </c>
      <c r="C40">
        <v>1</v>
      </c>
      <c r="D40">
        <v>4</v>
      </c>
      <c r="E40">
        <v>0</v>
      </c>
      <c r="F40">
        <v>4.5743091031908902E-3</v>
      </c>
      <c r="G40">
        <v>1</v>
      </c>
      <c r="H40">
        <v>1</v>
      </c>
      <c r="I40" t="s">
        <v>943</v>
      </c>
    </row>
    <row r="41" spans="1:9" x14ac:dyDescent="0.2">
      <c r="A41" t="s">
        <v>100</v>
      </c>
      <c r="B41">
        <v>11</v>
      </c>
      <c r="C41">
        <v>1</v>
      </c>
      <c r="D41">
        <v>5</v>
      </c>
      <c r="E41">
        <v>0</v>
      </c>
      <c r="F41">
        <v>5.0013242289423899E-3</v>
      </c>
      <c r="G41">
        <v>1</v>
      </c>
      <c r="H41">
        <v>1</v>
      </c>
      <c r="I41" t="s">
        <v>944</v>
      </c>
    </row>
    <row r="42" spans="1:9" x14ac:dyDescent="0.2">
      <c r="A42" t="s">
        <v>101</v>
      </c>
      <c r="B42">
        <v>12</v>
      </c>
      <c r="C42">
        <v>6</v>
      </c>
      <c r="D42">
        <v>3</v>
      </c>
      <c r="E42">
        <v>0</v>
      </c>
      <c r="F42">
        <v>6.1778882518410596E-3</v>
      </c>
      <c r="G42">
        <v>1</v>
      </c>
      <c r="H42">
        <v>1</v>
      </c>
      <c r="I42" t="s">
        <v>945</v>
      </c>
    </row>
    <row r="43" spans="1:9" x14ac:dyDescent="0.2">
      <c r="A43" t="s">
        <v>102</v>
      </c>
      <c r="B43">
        <v>13</v>
      </c>
      <c r="C43">
        <v>6</v>
      </c>
      <c r="D43">
        <v>3</v>
      </c>
      <c r="E43">
        <v>0</v>
      </c>
      <c r="F43">
        <v>6.6611217334866498E-3</v>
      </c>
      <c r="G43">
        <v>1</v>
      </c>
      <c r="H43">
        <v>1</v>
      </c>
      <c r="I43" t="s">
        <v>946</v>
      </c>
    </row>
    <row r="44" spans="1:9" x14ac:dyDescent="0.2">
      <c r="A44" t="s">
        <v>103</v>
      </c>
      <c r="B44">
        <v>14</v>
      </c>
      <c r="C44">
        <v>2</v>
      </c>
      <c r="D44">
        <v>5</v>
      </c>
      <c r="E44">
        <v>0</v>
      </c>
      <c r="F44">
        <v>8.5715688765048894E-3</v>
      </c>
      <c r="G44">
        <v>1</v>
      </c>
      <c r="H44">
        <v>1</v>
      </c>
      <c r="I44" t="s">
        <v>947</v>
      </c>
    </row>
    <row r="45" spans="1:9" x14ac:dyDescent="0.2">
      <c r="A45" t="s">
        <v>104</v>
      </c>
      <c r="B45">
        <v>15</v>
      </c>
      <c r="C45">
        <v>2</v>
      </c>
      <c r="D45">
        <v>5</v>
      </c>
      <c r="E45">
        <v>0</v>
      </c>
      <c r="F45">
        <v>9.5178755000233598E-3</v>
      </c>
      <c r="G45">
        <v>1</v>
      </c>
      <c r="H45">
        <v>1</v>
      </c>
      <c r="I45" t="s">
        <v>948</v>
      </c>
    </row>
    <row r="46" spans="1:9" x14ac:dyDescent="0.2">
      <c r="A46" t="s">
        <v>105</v>
      </c>
      <c r="B46">
        <v>16</v>
      </c>
      <c r="C46">
        <v>1</v>
      </c>
      <c r="D46">
        <v>6</v>
      </c>
      <c r="E46">
        <v>0</v>
      </c>
      <c r="F46">
        <v>8.8683404028415593E-3</v>
      </c>
      <c r="G46">
        <v>1</v>
      </c>
      <c r="H46">
        <v>1</v>
      </c>
      <c r="I46" t="s">
        <v>949</v>
      </c>
    </row>
    <row r="47" spans="1:9" x14ac:dyDescent="0.2">
      <c r="A47" t="s">
        <v>106</v>
      </c>
      <c r="B47">
        <v>17</v>
      </c>
      <c r="C47">
        <v>3</v>
      </c>
      <c r="D47">
        <v>5</v>
      </c>
      <c r="E47">
        <v>0</v>
      </c>
      <c r="F47">
        <v>1.45440474152565E-2</v>
      </c>
      <c r="G47">
        <v>1</v>
      </c>
      <c r="H47">
        <v>1</v>
      </c>
      <c r="I47" t="s">
        <v>950</v>
      </c>
    </row>
    <row r="48" spans="1:9" x14ac:dyDescent="0.2">
      <c r="A48" t="s">
        <v>107</v>
      </c>
      <c r="B48">
        <v>18</v>
      </c>
      <c r="C48">
        <v>5</v>
      </c>
      <c r="D48">
        <v>5</v>
      </c>
      <c r="E48">
        <v>0</v>
      </c>
      <c r="F48">
        <v>2.3151479661464601E-2</v>
      </c>
      <c r="G48">
        <v>1</v>
      </c>
      <c r="H48">
        <v>1</v>
      </c>
      <c r="I48" t="s">
        <v>951</v>
      </c>
    </row>
    <row r="49" spans="1:9" x14ac:dyDescent="0.2">
      <c r="A49" t="s">
        <v>108</v>
      </c>
      <c r="B49">
        <v>19</v>
      </c>
      <c r="C49">
        <v>5</v>
      </c>
      <c r="D49">
        <v>5</v>
      </c>
      <c r="E49">
        <v>0</v>
      </c>
      <c r="F49">
        <v>2.67174672335386E-2</v>
      </c>
      <c r="G49">
        <v>1</v>
      </c>
      <c r="H49">
        <v>1</v>
      </c>
      <c r="I49" t="s">
        <v>952</v>
      </c>
    </row>
    <row r="50" spans="1:9" x14ac:dyDescent="0.2">
      <c r="A50" t="s">
        <v>109</v>
      </c>
      <c r="B50">
        <v>20</v>
      </c>
      <c r="C50">
        <v>3</v>
      </c>
      <c r="D50">
        <v>6</v>
      </c>
      <c r="E50">
        <v>0</v>
      </c>
      <c r="F50">
        <v>5.4766591638326603E-2</v>
      </c>
      <c r="G50">
        <v>1</v>
      </c>
      <c r="H50">
        <v>1</v>
      </c>
      <c r="I50" t="s">
        <v>953</v>
      </c>
    </row>
    <row r="51" spans="1:9" x14ac:dyDescent="0.2">
      <c r="A51" t="s">
        <v>110</v>
      </c>
      <c r="B51">
        <v>21</v>
      </c>
      <c r="C51">
        <v>3</v>
      </c>
      <c r="D51">
        <v>6</v>
      </c>
      <c r="E51">
        <v>0</v>
      </c>
      <c r="F51">
        <v>6.9716023281216594E-2</v>
      </c>
      <c r="G51">
        <v>1</v>
      </c>
      <c r="H51">
        <v>1</v>
      </c>
      <c r="I51" t="s">
        <v>954</v>
      </c>
    </row>
    <row r="52" spans="1:9" x14ac:dyDescent="0.2">
      <c r="A52" t="s">
        <v>111</v>
      </c>
      <c r="B52">
        <v>22</v>
      </c>
      <c r="C52">
        <v>7</v>
      </c>
      <c r="D52">
        <v>5</v>
      </c>
      <c r="E52">
        <v>0</v>
      </c>
      <c r="F52">
        <v>5.83320287987589E-2</v>
      </c>
      <c r="G52">
        <v>1</v>
      </c>
      <c r="H52">
        <v>1</v>
      </c>
      <c r="I52" t="s">
        <v>955</v>
      </c>
    </row>
    <row r="53" spans="1:9" x14ac:dyDescent="0.2">
      <c r="A53" t="s">
        <v>112</v>
      </c>
      <c r="B53">
        <v>23</v>
      </c>
      <c r="C53">
        <v>2</v>
      </c>
      <c r="D53">
        <v>7</v>
      </c>
      <c r="E53">
        <v>0</v>
      </c>
      <c r="F53">
        <v>3.7588599137961802E-2</v>
      </c>
      <c r="G53">
        <v>1</v>
      </c>
      <c r="H53">
        <v>1</v>
      </c>
      <c r="I53" t="s">
        <v>956</v>
      </c>
    </row>
    <row r="54" spans="1:9" x14ac:dyDescent="0.2">
      <c r="A54" t="s">
        <v>113</v>
      </c>
      <c r="B54">
        <v>24</v>
      </c>
      <c r="C54">
        <v>8</v>
      </c>
      <c r="D54">
        <v>5</v>
      </c>
      <c r="E54">
        <v>0</v>
      </c>
      <c r="F54">
        <v>8.9682542718946906E-2</v>
      </c>
      <c r="G54">
        <v>1</v>
      </c>
      <c r="H54">
        <v>1</v>
      </c>
      <c r="I54" t="s">
        <v>957</v>
      </c>
    </row>
    <row r="55" spans="1:9" x14ac:dyDescent="0.2">
      <c r="A55" t="s">
        <v>114</v>
      </c>
      <c r="B55">
        <v>25</v>
      </c>
      <c r="C55">
        <v>8</v>
      </c>
      <c r="D55">
        <v>5</v>
      </c>
      <c r="E55">
        <v>0</v>
      </c>
      <c r="F55">
        <v>0.107175817713141</v>
      </c>
      <c r="G55">
        <v>1</v>
      </c>
      <c r="H55">
        <v>1</v>
      </c>
      <c r="I55" t="s">
        <v>958</v>
      </c>
    </row>
    <row r="56" spans="1:9" x14ac:dyDescent="0.2">
      <c r="A56" t="s">
        <v>115</v>
      </c>
      <c r="B56">
        <v>26</v>
      </c>
      <c r="C56">
        <v>6</v>
      </c>
      <c r="D56">
        <v>6</v>
      </c>
      <c r="E56">
        <v>0</v>
      </c>
      <c r="F56">
        <v>0.40039758663624497</v>
      </c>
      <c r="G56">
        <v>1</v>
      </c>
      <c r="H56">
        <v>1</v>
      </c>
      <c r="I56" t="s">
        <v>959</v>
      </c>
    </row>
    <row r="57" spans="1:9" x14ac:dyDescent="0.2">
      <c r="A57" t="s">
        <v>116</v>
      </c>
      <c r="B57">
        <v>27</v>
      </c>
      <c r="C57">
        <v>6</v>
      </c>
      <c r="D57">
        <v>6</v>
      </c>
      <c r="E57">
        <v>0</v>
      </c>
      <c r="F57">
        <v>0.48181312717497299</v>
      </c>
      <c r="G57">
        <v>1</v>
      </c>
      <c r="H57">
        <v>1</v>
      </c>
      <c r="I57" t="s">
        <v>960</v>
      </c>
    </row>
    <row r="58" spans="1:9" x14ac:dyDescent="0.2">
      <c r="A58" t="s">
        <v>117</v>
      </c>
      <c r="B58">
        <v>28</v>
      </c>
      <c r="C58">
        <v>6</v>
      </c>
      <c r="D58">
        <v>6</v>
      </c>
      <c r="E58">
        <v>0</v>
      </c>
      <c r="F58">
        <v>0.576257270760834</v>
      </c>
      <c r="G58">
        <v>1</v>
      </c>
      <c r="H58">
        <v>1</v>
      </c>
      <c r="I58" t="s">
        <v>961</v>
      </c>
    </row>
    <row r="59" spans="1:9" x14ac:dyDescent="0.2">
      <c r="A59" t="s">
        <v>118</v>
      </c>
      <c r="B59">
        <v>29</v>
      </c>
      <c r="C59">
        <v>6</v>
      </c>
      <c r="D59">
        <v>7</v>
      </c>
      <c r="E59">
        <v>0</v>
      </c>
      <c r="F59">
        <v>3.0220317021012302</v>
      </c>
      <c r="G59">
        <v>1</v>
      </c>
      <c r="H59">
        <v>1</v>
      </c>
      <c r="I59" t="s">
        <v>962</v>
      </c>
    </row>
    <row r="60" spans="1:9" x14ac:dyDescent="0.2">
      <c r="A60" t="s">
        <v>119</v>
      </c>
      <c r="B60">
        <v>30</v>
      </c>
      <c r="C60">
        <v>9</v>
      </c>
      <c r="D60">
        <v>6</v>
      </c>
      <c r="E60">
        <v>0</v>
      </c>
      <c r="F60">
        <v>1.3967292495071799</v>
      </c>
      <c r="G60">
        <v>1</v>
      </c>
      <c r="H60">
        <v>1</v>
      </c>
      <c r="I60" t="s">
        <v>963</v>
      </c>
    </row>
    <row r="61" spans="1:9" x14ac:dyDescent="0.2">
      <c r="A61" t="s">
        <v>120</v>
      </c>
      <c r="B61">
        <v>31</v>
      </c>
      <c r="C61">
        <v>9</v>
      </c>
      <c r="D61">
        <v>6</v>
      </c>
      <c r="E61">
        <v>0</v>
      </c>
      <c r="F61">
        <v>1.66291127447038</v>
      </c>
      <c r="G61">
        <v>1</v>
      </c>
      <c r="H61">
        <v>1</v>
      </c>
      <c r="I61" t="s">
        <v>964</v>
      </c>
    </row>
    <row r="62" spans="1:9" x14ac:dyDescent="0.2">
      <c r="A62" t="s">
        <v>121</v>
      </c>
      <c r="B62">
        <v>32</v>
      </c>
      <c r="C62">
        <v>5</v>
      </c>
      <c r="D62">
        <v>8</v>
      </c>
      <c r="E62">
        <v>0</v>
      </c>
      <c r="F62">
        <v>5.6824114164337498</v>
      </c>
      <c r="G62">
        <v>1</v>
      </c>
      <c r="H62">
        <v>1</v>
      </c>
      <c r="I62" t="s">
        <v>965</v>
      </c>
    </row>
    <row r="63" spans="1:9" x14ac:dyDescent="0.2">
      <c r="A63" t="s">
        <v>122</v>
      </c>
      <c r="B63">
        <v>33</v>
      </c>
      <c r="C63">
        <v>7</v>
      </c>
      <c r="D63">
        <v>8</v>
      </c>
      <c r="E63">
        <v>0</v>
      </c>
      <c r="F63">
        <v>36.928359448909703</v>
      </c>
      <c r="G63">
        <v>1</v>
      </c>
      <c r="H63">
        <v>1</v>
      </c>
      <c r="I63" t="s">
        <v>966</v>
      </c>
    </row>
    <row r="64" spans="1:9" x14ac:dyDescent="0.2">
      <c r="A64" t="s">
        <v>123</v>
      </c>
      <c r="B64">
        <v>34</v>
      </c>
      <c r="C64">
        <v>17</v>
      </c>
      <c r="D64">
        <v>5</v>
      </c>
      <c r="E64">
        <v>0</v>
      </c>
      <c r="F64">
        <v>1.0409763976931501</v>
      </c>
      <c r="G64">
        <v>1</v>
      </c>
      <c r="H64">
        <v>1</v>
      </c>
      <c r="I64" t="s">
        <v>967</v>
      </c>
    </row>
    <row r="65" spans="1:9" x14ac:dyDescent="0.2">
      <c r="A65" t="s">
        <v>124</v>
      </c>
      <c r="B65">
        <v>35</v>
      </c>
      <c r="C65">
        <v>4</v>
      </c>
      <c r="D65">
        <v>9</v>
      </c>
      <c r="E65">
        <v>0</v>
      </c>
      <c r="F65">
        <v>111.647802408784</v>
      </c>
      <c r="G65">
        <v>1</v>
      </c>
      <c r="H65">
        <v>1</v>
      </c>
      <c r="I65" t="s">
        <v>968</v>
      </c>
    </row>
    <row r="66" spans="1:9" x14ac:dyDescent="0.2">
      <c r="A66" t="s">
        <v>125</v>
      </c>
      <c r="B66">
        <v>36</v>
      </c>
      <c r="C66">
        <v>4</v>
      </c>
      <c r="D66">
        <v>9</v>
      </c>
      <c r="E66">
        <v>0</v>
      </c>
      <c r="F66">
        <v>139.226033924147</v>
      </c>
      <c r="G66">
        <v>1</v>
      </c>
      <c r="H66">
        <v>1</v>
      </c>
      <c r="I66" t="s">
        <v>969</v>
      </c>
    </row>
    <row r="67" spans="1:9" x14ac:dyDescent="0.2">
      <c r="A67" t="s">
        <v>126</v>
      </c>
      <c r="B67">
        <v>37</v>
      </c>
      <c r="C67">
        <v>4</v>
      </c>
      <c r="D67">
        <v>9</v>
      </c>
      <c r="E67">
        <v>0</v>
      </c>
      <c r="F67">
        <v>187.70525731705101</v>
      </c>
      <c r="G67">
        <v>1</v>
      </c>
      <c r="H67">
        <v>1</v>
      </c>
      <c r="I67" t="s">
        <v>970</v>
      </c>
    </row>
    <row r="68" spans="1:9" x14ac:dyDescent="0.2">
      <c r="A68" t="s">
        <v>127</v>
      </c>
      <c r="B68">
        <v>38</v>
      </c>
      <c r="C68">
        <v>4</v>
      </c>
      <c r="D68">
        <v>9</v>
      </c>
      <c r="E68">
        <v>0</v>
      </c>
      <c r="F68">
        <v>235.79278613813199</v>
      </c>
      <c r="G68">
        <v>1</v>
      </c>
      <c r="H68">
        <v>1</v>
      </c>
      <c r="I68" t="s">
        <v>971</v>
      </c>
    </row>
    <row r="69" spans="1:9" x14ac:dyDescent="0.2">
      <c r="A69" t="s">
        <v>128</v>
      </c>
      <c r="B69">
        <v>39</v>
      </c>
      <c r="C69">
        <v>4</v>
      </c>
      <c r="D69">
        <v>9</v>
      </c>
      <c r="E69">
        <v>0</v>
      </c>
      <c r="F69">
        <v>300.79440461657902</v>
      </c>
      <c r="G69">
        <v>1</v>
      </c>
      <c r="H69">
        <v>1</v>
      </c>
      <c r="I69" t="s">
        <v>972</v>
      </c>
    </row>
    <row r="70" spans="1:9" x14ac:dyDescent="0.2">
      <c r="A70" t="s">
        <v>129</v>
      </c>
      <c r="B70">
        <v>40</v>
      </c>
      <c r="C70">
        <v>5</v>
      </c>
      <c r="D70">
        <v>9</v>
      </c>
      <c r="E70">
        <v>0</v>
      </c>
      <c r="F70">
        <v>465.87269571330398</v>
      </c>
      <c r="G70">
        <v>1</v>
      </c>
      <c r="H70">
        <v>1</v>
      </c>
      <c r="I70" t="s">
        <v>973</v>
      </c>
    </row>
    <row r="71" spans="1:9" x14ac:dyDescent="0.2">
      <c r="A71" t="s">
        <v>130</v>
      </c>
      <c r="B71">
        <v>41</v>
      </c>
      <c r="C71">
        <v>2</v>
      </c>
      <c r="D71">
        <v>11</v>
      </c>
      <c r="E71">
        <v>0</v>
      </c>
      <c r="F71">
        <v>87.245409810915504</v>
      </c>
      <c r="G71">
        <v>1</v>
      </c>
      <c r="H71">
        <v>1</v>
      </c>
      <c r="I71" t="s">
        <v>974</v>
      </c>
    </row>
    <row r="72" spans="1:9" x14ac:dyDescent="0.2">
      <c r="A72" t="s">
        <v>131</v>
      </c>
      <c r="B72">
        <v>42</v>
      </c>
      <c r="C72">
        <v>5</v>
      </c>
      <c r="D72">
        <v>9</v>
      </c>
      <c r="E72">
        <v>0</v>
      </c>
      <c r="F72">
        <v>714.61376341897903</v>
      </c>
      <c r="G72">
        <v>1</v>
      </c>
      <c r="H72">
        <v>1</v>
      </c>
      <c r="I72" t="s">
        <v>975</v>
      </c>
    </row>
    <row r="73" spans="1:9" x14ac:dyDescent="0.2">
      <c r="A73" t="s">
        <v>132</v>
      </c>
      <c r="B73">
        <v>43</v>
      </c>
      <c r="C73">
        <v>6</v>
      </c>
      <c r="D73">
        <v>9</v>
      </c>
      <c r="E73">
        <v>0</v>
      </c>
      <c r="F73">
        <v>1112.9614635119201</v>
      </c>
      <c r="G73">
        <v>1</v>
      </c>
      <c r="H73">
        <v>1</v>
      </c>
      <c r="I73" t="s">
        <v>976</v>
      </c>
    </row>
    <row r="74" spans="1:9" x14ac:dyDescent="0.2">
      <c r="A74" t="s">
        <v>133</v>
      </c>
      <c r="B74">
        <v>44</v>
      </c>
      <c r="C74">
        <v>6</v>
      </c>
      <c r="D74">
        <v>9</v>
      </c>
      <c r="E74">
        <v>0</v>
      </c>
      <c r="F74">
        <v>1328.0673340558999</v>
      </c>
      <c r="G74">
        <v>1</v>
      </c>
      <c r="H74">
        <v>1</v>
      </c>
      <c r="I74" t="s">
        <v>977</v>
      </c>
    </row>
    <row r="75" spans="1:9" x14ac:dyDescent="0.2">
      <c r="A75" t="s">
        <v>134</v>
      </c>
      <c r="B75">
        <v>45</v>
      </c>
      <c r="C75">
        <v>6</v>
      </c>
      <c r="D75">
        <v>9</v>
      </c>
      <c r="E75">
        <v>0</v>
      </c>
      <c r="F75">
        <v>1638.3674236219299</v>
      </c>
      <c r="G75">
        <v>1</v>
      </c>
      <c r="H75">
        <v>1</v>
      </c>
      <c r="I75" t="s">
        <v>978</v>
      </c>
    </row>
    <row r="76" spans="1:9" x14ac:dyDescent="0.2">
      <c r="A76" t="s">
        <v>135</v>
      </c>
      <c r="B76">
        <v>46</v>
      </c>
      <c r="C76">
        <v>7</v>
      </c>
      <c r="D76">
        <v>9</v>
      </c>
      <c r="E76">
        <v>0</v>
      </c>
      <c r="F76">
        <v>2428.3175406046198</v>
      </c>
      <c r="G76">
        <v>1</v>
      </c>
      <c r="H76">
        <v>1</v>
      </c>
      <c r="I76" t="s">
        <v>979</v>
      </c>
    </row>
    <row r="77" spans="1:9" x14ac:dyDescent="0.2">
      <c r="A77" t="s">
        <v>136</v>
      </c>
      <c r="B77">
        <v>47</v>
      </c>
      <c r="C77">
        <v>8</v>
      </c>
      <c r="D77">
        <v>9</v>
      </c>
      <c r="E77">
        <v>0</v>
      </c>
      <c r="F77">
        <v>3529.13093432597</v>
      </c>
      <c r="G77">
        <v>1</v>
      </c>
      <c r="H77">
        <v>1</v>
      </c>
      <c r="I77" t="s">
        <v>980</v>
      </c>
    </row>
    <row r="78" spans="1:9" x14ac:dyDescent="0.2">
      <c r="A78" t="s">
        <v>137</v>
      </c>
      <c r="B78">
        <v>48</v>
      </c>
      <c r="C78">
        <v>5</v>
      </c>
      <c r="D78">
        <v>10</v>
      </c>
      <c r="E78">
        <v>0</v>
      </c>
      <c r="F78">
        <v>10942.6104296296</v>
      </c>
      <c r="G78">
        <v>1</v>
      </c>
      <c r="H78">
        <v>1</v>
      </c>
      <c r="I78" t="s">
        <v>981</v>
      </c>
    </row>
    <row r="79" spans="1:9" x14ac:dyDescent="0.2">
      <c r="A79" t="s">
        <v>138</v>
      </c>
      <c r="B79">
        <v>49</v>
      </c>
      <c r="C79">
        <v>17</v>
      </c>
      <c r="D79">
        <v>7</v>
      </c>
      <c r="E79">
        <v>0</v>
      </c>
      <c r="F79">
        <v>381.64202316664102</v>
      </c>
      <c r="G79">
        <v>1</v>
      </c>
      <c r="H79">
        <v>1</v>
      </c>
      <c r="I79" t="s">
        <v>982</v>
      </c>
    </row>
    <row r="80" spans="1:9" x14ac:dyDescent="0.2">
      <c r="A80" t="s">
        <v>139</v>
      </c>
      <c r="B80">
        <v>50</v>
      </c>
      <c r="C80">
        <v>13</v>
      </c>
      <c r="D80">
        <v>9</v>
      </c>
      <c r="E80">
        <v>1</v>
      </c>
      <c r="F80">
        <v>12156.4691090537</v>
      </c>
      <c r="G80">
        <v>1</v>
      </c>
      <c r="H80">
        <v>1</v>
      </c>
      <c r="I80" t="s">
        <v>983</v>
      </c>
    </row>
    <row r="81" spans="1:9" x14ac:dyDescent="0.2">
      <c r="A81" t="s">
        <v>188</v>
      </c>
      <c r="B81">
        <v>51</v>
      </c>
      <c r="C81">
        <v>12</v>
      </c>
      <c r="D81">
        <v>9</v>
      </c>
      <c r="E81">
        <v>0</v>
      </c>
      <c r="F81">
        <v>12050.268975073401</v>
      </c>
      <c r="G81">
        <v>1</v>
      </c>
      <c r="H81">
        <v>1</v>
      </c>
      <c r="I81" t="s">
        <v>984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74789-766E-CF47-A9A6-BF431AF1DE70}">
  <dimension ref="A1:I81"/>
  <sheetViews>
    <sheetView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883</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141</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985</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2.0386641845107E-3</v>
      </c>
      <c r="G33">
        <v>1</v>
      </c>
      <c r="H33">
        <v>1</v>
      </c>
      <c r="I33" t="s">
        <v>936</v>
      </c>
    </row>
    <row r="34" spans="1:9" x14ac:dyDescent="0.2">
      <c r="A34" t="s">
        <v>93</v>
      </c>
      <c r="B34">
        <v>4</v>
      </c>
      <c r="C34">
        <v>1</v>
      </c>
      <c r="D34">
        <v>2</v>
      </c>
      <c r="E34">
        <v>0</v>
      </c>
      <c r="F34">
        <v>2.4125641211867302E-3</v>
      </c>
      <c r="G34">
        <v>1</v>
      </c>
      <c r="H34">
        <v>1</v>
      </c>
      <c r="I34" t="s">
        <v>937</v>
      </c>
    </row>
    <row r="35" spans="1:9" x14ac:dyDescent="0.2">
      <c r="A35" t="s">
        <v>94</v>
      </c>
      <c r="B35">
        <v>5</v>
      </c>
      <c r="C35">
        <v>1</v>
      </c>
      <c r="D35">
        <v>3</v>
      </c>
      <c r="E35">
        <v>0</v>
      </c>
      <c r="F35">
        <v>2.50624772161245E-3</v>
      </c>
      <c r="G35">
        <v>1</v>
      </c>
      <c r="H35">
        <v>1</v>
      </c>
      <c r="I35" t="s">
        <v>986</v>
      </c>
    </row>
    <row r="36" spans="1:9" x14ac:dyDescent="0.2">
      <c r="A36" t="s">
        <v>95</v>
      </c>
      <c r="B36">
        <v>6</v>
      </c>
      <c r="C36">
        <v>1</v>
      </c>
      <c r="D36">
        <v>3</v>
      </c>
      <c r="E36">
        <v>0</v>
      </c>
      <c r="F36">
        <v>2.7871895581483802E-3</v>
      </c>
      <c r="G36">
        <v>1</v>
      </c>
      <c r="H36">
        <v>1</v>
      </c>
      <c r="I36" t="s">
        <v>987</v>
      </c>
    </row>
    <row r="37" spans="1:9" x14ac:dyDescent="0.2">
      <c r="A37" t="s">
        <v>96</v>
      </c>
      <c r="B37">
        <v>7</v>
      </c>
      <c r="C37">
        <v>1</v>
      </c>
      <c r="D37">
        <v>3</v>
      </c>
      <c r="E37">
        <v>0</v>
      </c>
      <c r="F37">
        <v>3.1640138477086999E-3</v>
      </c>
      <c r="G37">
        <v>1</v>
      </c>
      <c r="H37">
        <v>1</v>
      </c>
      <c r="I37" t="s">
        <v>940</v>
      </c>
    </row>
    <row r="38" spans="1:9" x14ac:dyDescent="0.2">
      <c r="A38" t="s">
        <v>97</v>
      </c>
      <c r="B38">
        <v>8</v>
      </c>
      <c r="C38">
        <v>1</v>
      </c>
      <c r="D38">
        <v>3</v>
      </c>
      <c r="E38">
        <v>0</v>
      </c>
      <c r="F38">
        <v>3.1682951375841999E-3</v>
      </c>
      <c r="G38">
        <v>1</v>
      </c>
      <c r="H38">
        <v>1</v>
      </c>
      <c r="I38" t="s">
        <v>988</v>
      </c>
    </row>
    <row r="39" spans="1:9" x14ac:dyDescent="0.2">
      <c r="A39" t="s">
        <v>98</v>
      </c>
      <c r="B39">
        <v>9</v>
      </c>
      <c r="C39">
        <v>1</v>
      </c>
      <c r="D39">
        <v>3</v>
      </c>
      <c r="E39">
        <v>0</v>
      </c>
      <c r="F39">
        <v>3.3251987770199702E-3</v>
      </c>
      <c r="G39">
        <v>1</v>
      </c>
      <c r="H39">
        <v>1</v>
      </c>
      <c r="I39" t="s">
        <v>989</v>
      </c>
    </row>
    <row r="40" spans="1:9" x14ac:dyDescent="0.2">
      <c r="A40" t="s">
        <v>99</v>
      </c>
      <c r="B40">
        <v>10</v>
      </c>
      <c r="C40">
        <v>1</v>
      </c>
      <c r="D40">
        <v>4</v>
      </c>
      <c r="E40">
        <v>0</v>
      </c>
      <c r="F40">
        <v>4.3107951059937399E-3</v>
      </c>
      <c r="G40">
        <v>1</v>
      </c>
      <c r="H40">
        <v>1</v>
      </c>
      <c r="I40" t="s">
        <v>990</v>
      </c>
    </row>
    <row r="41" spans="1:9" x14ac:dyDescent="0.2">
      <c r="A41" t="s">
        <v>100</v>
      </c>
      <c r="B41">
        <v>11</v>
      </c>
      <c r="C41">
        <v>1</v>
      </c>
      <c r="D41">
        <v>5</v>
      </c>
      <c r="E41">
        <v>0</v>
      </c>
      <c r="F41">
        <v>4.8825424164533598E-3</v>
      </c>
      <c r="G41">
        <v>1</v>
      </c>
      <c r="H41">
        <v>1</v>
      </c>
      <c r="I41" t="s">
        <v>991</v>
      </c>
    </row>
    <row r="42" spans="1:9" x14ac:dyDescent="0.2">
      <c r="A42" t="s">
        <v>101</v>
      </c>
      <c r="B42">
        <v>12</v>
      </c>
      <c r="C42">
        <v>6</v>
      </c>
      <c r="D42">
        <v>3</v>
      </c>
      <c r="E42">
        <v>0</v>
      </c>
      <c r="F42">
        <v>6.3266307115554801E-3</v>
      </c>
      <c r="G42">
        <v>1</v>
      </c>
      <c r="H42">
        <v>1</v>
      </c>
      <c r="I42" t="s">
        <v>992</v>
      </c>
    </row>
    <row r="43" spans="1:9" x14ac:dyDescent="0.2">
      <c r="A43" t="s">
        <v>102</v>
      </c>
      <c r="B43">
        <v>13</v>
      </c>
      <c r="C43">
        <v>6</v>
      </c>
      <c r="D43">
        <v>3</v>
      </c>
      <c r="E43">
        <v>0</v>
      </c>
      <c r="F43">
        <v>5.5834501981735203E-3</v>
      </c>
      <c r="G43">
        <v>1</v>
      </c>
      <c r="H43">
        <v>1</v>
      </c>
      <c r="I43" t="s">
        <v>993</v>
      </c>
    </row>
    <row r="44" spans="1:9" x14ac:dyDescent="0.2">
      <c r="A44" t="s">
        <v>103</v>
      </c>
      <c r="B44">
        <v>14</v>
      </c>
      <c r="C44">
        <v>2</v>
      </c>
      <c r="D44">
        <v>5</v>
      </c>
      <c r="E44">
        <v>0</v>
      </c>
      <c r="F44">
        <v>7.9374089837074193E-3</v>
      </c>
      <c r="G44">
        <v>1</v>
      </c>
      <c r="H44">
        <v>1</v>
      </c>
      <c r="I44" t="s">
        <v>994</v>
      </c>
    </row>
    <row r="45" spans="1:9" x14ac:dyDescent="0.2">
      <c r="A45" t="s">
        <v>104</v>
      </c>
      <c r="B45">
        <v>15</v>
      </c>
      <c r="C45">
        <v>2</v>
      </c>
      <c r="D45">
        <v>5</v>
      </c>
      <c r="E45">
        <v>0</v>
      </c>
      <c r="F45">
        <v>9.1155618429183908E-3</v>
      </c>
      <c r="G45">
        <v>1</v>
      </c>
      <c r="H45">
        <v>1</v>
      </c>
      <c r="I45" t="s">
        <v>995</v>
      </c>
    </row>
    <row r="46" spans="1:9" x14ac:dyDescent="0.2">
      <c r="A46" t="s">
        <v>105</v>
      </c>
      <c r="B46">
        <v>16</v>
      </c>
      <c r="C46">
        <v>1</v>
      </c>
      <c r="D46">
        <v>6</v>
      </c>
      <c r="E46">
        <v>0</v>
      </c>
      <c r="F46">
        <v>1.0332902893423999E-2</v>
      </c>
      <c r="G46">
        <v>1</v>
      </c>
      <c r="H46">
        <v>1</v>
      </c>
      <c r="I46" t="s">
        <v>996</v>
      </c>
    </row>
    <row r="47" spans="1:9" x14ac:dyDescent="0.2">
      <c r="A47" t="s">
        <v>106</v>
      </c>
      <c r="B47">
        <v>17</v>
      </c>
      <c r="C47">
        <v>3</v>
      </c>
      <c r="D47">
        <v>5</v>
      </c>
      <c r="E47">
        <v>0</v>
      </c>
      <c r="F47">
        <v>1.31941782310605E-2</v>
      </c>
      <c r="G47">
        <v>1</v>
      </c>
      <c r="H47">
        <v>1</v>
      </c>
      <c r="I47" t="s">
        <v>997</v>
      </c>
    </row>
    <row r="48" spans="1:9" x14ac:dyDescent="0.2">
      <c r="A48" t="s">
        <v>107</v>
      </c>
      <c r="B48">
        <v>18</v>
      </c>
      <c r="C48">
        <v>5</v>
      </c>
      <c r="D48">
        <v>5</v>
      </c>
      <c r="E48">
        <v>0</v>
      </c>
      <c r="F48">
        <v>2.0377604290843E-2</v>
      </c>
      <c r="G48">
        <v>1</v>
      </c>
      <c r="H48">
        <v>1</v>
      </c>
      <c r="I48" t="s">
        <v>998</v>
      </c>
    </row>
    <row r="49" spans="1:9" x14ac:dyDescent="0.2">
      <c r="A49" t="s">
        <v>108</v>
      </c>
      <c r="B49">
        <v>19</v>
      </c>
      <c r="C49">
        <v>5</v>
      </c>
      <c r="D49">
        <v>5</v>
      </c>
      <c r="E49">
        <v>0</v>
      </c>
      <c r="F49">
        <v>2.4124764837324598E-2</v>
      </c>
      <c r="G49">
        <v>1</v>
      </c>
      <c r="H49">
        <v>1</v>
      </c>
      <c r="I49" t="s">
        <v>999</v>
      </c>
    </row>
    <row r="50" spans="1:9" x14ac:dyDescent="0.2">
      <c r="A50" t="s">
        <v>109</v>
      </c>
      <c r="B50">
        <v>20</v>
      </c>
      <c r="C50">
        <v>3</v>
      </c>
      <c r="D50">
        <v>6</v>
      </c>
      <c r="E50">
        <v>0</v>
      </c>
      <c r="F50">
        <v>5.0688656046986497E-2</v>
      </c>
      <c r="G50">
        <v>1</v>
      </c>
      <c r="H50">
        <v>1</v>
      </c>
      <c r="I50" t="s">
        <v>1000</v>
      </c>
    </row>
    <row r="51" spans="1:9" x14ac:dyDescent="0.2">
      <c r="A51" t="s">
        <v>110</v>
      </c>
      <c r="B51">
        <v>21</v>
      </c>
      <c r="C51">
        <v>3</v>
      </c>
      <c r="D51">
        <v>6</v>
      </c>
      <c r="E51">
        <v>0</v>
      </c>
      <c r="F51">
        <v>6.3703079707920496E-2</v>
      </c>
      <c r="G51">
        <v>1</v>
      </c>
      <c r="H51">
        <v>1</v>
      </c>
      <c r="I51" t="s">
        <v>1001</v>
      </c>
    </row>
    <row r="52" spans="1:9" x14ac:dyDescent="0.2">
      <c r="A52" t="s">
        <v>111</v>
      </c>
      <c r="B52">
        <v>22</v>
      </c>
      <c r="C52">
        <v>7</v>
      </c>
      <c r="D52">
        <v>5</v>
      </c>
      <c r="E52">
        <v>0</v>
      </c>
      <c r="F52">
        <v>5.0369614735245698E-2</v>
      </c>
      <c r="G52">
        <v>1</v>
      </c>
      <c r="H52">
        <v>1</v>
      </c>
      <c r="I52" t="s">
        <v>1002</v>
      </c>
    </row>
    <row r="53" spans="1:9" x14ac:dyDescent="0.2">
      <c r="A53" t="s">
        <v>112</v>
      </c>
      <c r="B53">
        <v>23</v>
      </c>
      <c r="C53">
        <v>2</v>
      </c>
      <c r="D53">
        <v>7</v>
      </c>
      <c r="E53">
        <v>0</v>
      </c>
      <c r="F53">
        <v>0.22472984157502601</v>
      </c>
      <c r="G53">
        <v>1</v>
      </c>
      <c r="H53">
        <v>1</v>
      </c>
      <c r="I53" t="s">
        <v>1003</v>
      </c>
    </row>
    <row r="54" spans="1:9" x14ac:dyDescent="0.2">
      <c r="A54" t="s">
        <v>113</v>
      </c>
      <c r="B54">
        <v>24</v>
      </c>
      <c r="C54">
        <v>8</v>
      </c>
      <c r="D54">
        <v>5</v>
      </c>
      <c r="E54">
        <v>0</v>
      </c>
      <c r="F54">
        <v>8.4098509512841702E-2</v>
      </c>
      <c r="G54">
        <v>1</v>
      </c>
      <c r="H54">
        <v>1</v>
      </c>
      <c r="I54" t="s">
        <v>1004</v>
      </c>
    </row>
    <row r="55" spans="1:9" x14ac:dyDescent="0.2">
      <c r="A55" t="s">
        <v>114</v>
      </c>
      <c r="B55">
        <v>25</v>
      </c>
      <c r="C55">
        <v>8</v>
      </c>
      <c r="D55">
        <v>5</v>
      </c>
      <c r="E55">
        <v>0</v>
      </c>
      <c r="F55">
        <v>0.10301293153315701</v>
      </c>
      <c r="G55">
        <v>1</v>
      </c>
      <c r="H55">
        <v>1</v>
      </c>
      <c r="I55" t="s">
        <v>1005</v>
      </c>
    </row>
    <row r="56" spans="1:9" x14ac:dyDescent="0.2">
      <c r="A56" t="s">
        <v>115</v>
      </c>
      <c r="B56">
        <v>26</v>
      </c>
      <c r="C56">
        <v>6</v>
      </c>
      <c r="D56">
        <v>6</v>
      </c>
      <c r="E56">
        <v>0</v>
      </c>
      <c r="F56">
        <v>0.36420888453722</v>
      </c>
      <c r="G56">
        <v>1</v>
      </c>
      <c r="H56">
        <v>1</v>
      </c>
      <c r="I56" t="s">
        <v>1006</v>
      </c>
    </row>
    <row r="57" spans="1:9" x14ac:dyDescent="0.2">
      <c r="A57" t="s">
        <v>116</v>
      </c>
      <c r="B57">
        <v>27</v>
      </c>
      <c r="C57">
        <v>6</v>
      </c>
      <c r="D57">
        <v>6</v>
      </c>
      <c r="E57">
        <v>0</v>
      </c>
      <c r="F57">
        <v>0.43110878672450698</v>
      </c>
      <c r="G57">
        <v>1</v>
      </c>
      <c r="H57">
        <v>1</v>
      </c>
      <c r="I57" t="s">
        <v>1007</v>
      </c>
    </row>
    <row r="58" spans="1:9" x14ac:dyDescent="0.2">
      <c r="A58" t="s">
        <v>117</v>
      </c>
      <c r="B58">
        <v>28</v>
      </c>
      <c r="C58">
        <v>6</v>
      </c>
      <c r="D58">
        <v>6</v>
      </c>
      <c r="E58">
        <v>0</v>
      </c>
      <c r="F58">
        <v>0.52300243079662301</v>
      </c>
      <c r="G58">
        <v>1</v>
      </c>
      <c r="H58">
        <v>1</v>
      </c>
      <c r="I58" t="s">
        <v>1008</v>
      </c>
    </row>
    <row r="59" spans="1:9" x14ac:dyDescent="0.2">
      <c r="A59" t="s">
        <v>118</v>
      </c>
      <c r="B59">
        <v>29</v>
      </c>
      <c r="C59">
        <v>6</v>
      </c>
      <c r="D59">
        <v>7</v>
      </c>
      <c r="E59">
        <v>0</v>
      </c>
      <c r="F59">
        <v>2.7633516350760998</v>
      </c>
      <c r="G59">
        <v>1</v>
      </c>
      <c r="H59">
        <v>1</v>
      </c>
      <c r="I59" t="s">
        <v>1009</v>
      </c>
    </row>
    <row r="60" spans="1:9" x14ac:dyDescent="0.2">
      <c r="A60" t="s">
        <v>119</v>
      </c>
      <c r="B60">
        <v>30</v>
      </c>
      <c r="C60">
        <v>9</v>
      </c>
      <c r="D60">
        <v>6</v>
      </c>
      <c r="E60">
        <v>0</v>
      </c>
      <c r="F60">
        <v>1.2614958547055699</v>
      </c>
      <c r="G60">
        <v>1</v>
      </c>
      <c r="H60">
        <v>1</v>
      </c>
      <c r="I60" t="s">
        <v>1010</v>
      </c>
    </row>
    <row r="61" spans="1:9" x14ac:dyDescent="0.2">
      <c r="A61" t="s">
        <v>120</v>
      </c>
      <c r="B61">
        <v>31</v>
      </c>
      <c r="C61">
        <v>9</v>
      </c>
      <c r="D61">
        <v>6</v>
      </c>
      <c r="E61">
        <v>0</v>
      </c>
      <c r="F61">
        <v>1.51116824895143</v>
      </c>
      <c r="G61">
        <v>1</v>
      </c>
      <c r="H61">
        <v>1</v>
      </c>
      <c r="I61" t="s">
        <v>1011</v>
      </c>
    </row>
    <row r="62" spans="1:9" x14ac:dyDescent="0.2">
      <c r="A62" t="s">
        <v>121</v>
      </c>
      <c r="B62">
        <v>32</v>
      </c>
      <c r="C62">
        <v>5</v>
      </c>
      <c r="D62">
        <v>8</v>
      </c>
      <c r="E62">
        <v>0</v>
      </c>
      <c r="F62">
        <v>16.616575188003399</v>
      </c>
      <c r="G62">
        <v>1</v>
      </c>
      <c r="H62">
        <v>1</v>
      </c>
      <c r="I62" t="s">
        <v>1012</v>
      </c>
    </row>
    <row r="63" spans="1:9" x14ac:dyDescent="0.2">
      <c r="A63" t="s">
        <v>122</v>
      </c>
      <c r="B63">
        <v>33</v>
      </c>
      <c r="C63">
        <v>7</v>
      </c>
      <c r="D63">
        <v>8</v>
      </c>
      <c r="E63">
        <v>0</v>
      </c>
      <c r="F63">
        <v>32.554674043320098</v>
      </c>
      <c r="G63">
        <v>1</v>
      </c>
      <c r="H63">
        <v>1</v>
      </c>
      <c r="I63" t="s">
        <v>1013</v>
      </c>
    </row>
    <row r="64" spans="1:9" x14ac:dyDescent="0.2">
      <c r="A64" t="s">
        <v>123</v>
      </c>
      <c r="B64">
        <v>34</v>
      </c>
      <c r="C64">
        <v>17</v>
      </c>
      <c r="D64">
        <v>5</v>
      </c>
      <c r="E64">
        <v>0</v>
      </c>
      <c r="F64">
        <v>53.149804209358898</v>
      </c>
      <c r="G64">
        <v>1</v>
      </c>
      <c r="H64">
        <v>1</v>
      </c>
      <c r="I64" t="s">
        <v>1014</v>
      </c>
    </row>
    <row r="65" spans="1:9" x14ac:dyDescent="0.2">
      <c r="A65" t="s">
        <v>124</v>
      </c>
      <c r="B65">
        <v>35</v>
      </c>
      <c r="C65">
        <v>4</v>
      </c>
      <c r="D65">
        <v>9</v>
      </c>
      <c r="E65">
        <v>0</v>
      </c>
      <c r="F65">
        <v>99.379991531371999</v>
      </c>
      <c r="G65">
        <v>1</v>
      </c>
      <c r="H65">
        <v>1</v>
      </c>
      <c r="I65" t="s">
        <v>1015</v>
      </c>
    </row>
    <row r="66" spans="1:9" x14ac:dyDescent="0.2">
      <c r="A66" t="s">
        <v>125</v>
      </c>
      <c r="B66">
        <v>36</v>
      </c>
      <c r="C66">
        <v>4</v>
      </c>
      <c r="D66">
        <v>9</v>
      </c>
      <c r="E66">
        <v>0</v>
      </c>
      <c r="F66">
        <v>127.71079960651601</v>
      </c>
      <c r="G66">
        <v>1</v>
      </c>
      <c r="H66">
        <v>1</v>
      </c>
      <c r="I66" t="s">
        <v>1016</v>
      </c>
    </row>
    <row r="67" spans="1:9" x14ac:dyDescent="0.2">
      <c r="A67" t="s">
        <v>126</v>
      </c>
      <c r="B67">
        <v>37</v>
      </c>
      <c r="C67">
        <v>4</v>
      </c>
      <c r="D67">
        <v>9</v>
      </c>
      <c r="E67">
        <v>0</v>
      </c>
      <c r="F67">
        <v>164.50227001309301</v>
      </c>
      <c r="G67">
        <v>1</v>
      </c>
      <c r="H67">
        <v>1</v>
      </c>
      <c r="I67" t="s">
        <v>1017</v>
      </c>
    </row>
    <row r="68" spans="1:9" x14ac:dyDescent="0.2">
      <c r="A68" t="s">
        <v>127</v>
      </c>
      <c r="B68">
        <v>38</v>
      </c>
      <c r="C68">
        <v>4</v>
      </c>
      <c r="D68">
        <v>9</v>
      </c>
      <c r="E68">
        <v>0</v>
      </c>
      <c r="F68">
        <v>204.03927592560601</v>
      </c>
      <c r="G68">
        <v>1</v>
      </c>
      <c r="H68">
        <v>1</v>
      </c>
      <c r="I68" t="s">
        <v>1018</v>
      </c>
    </row>
    <row r="69" spans="1:9" x14ac:dyDescent="0.2">
      <c r="A69" t="s">
        <v>128</v>
      </c>
      <c r="B69">
        <v>39</v>
      </c>
      <c r="C69">
        <v>4</v>
      </c>
      <c r="D69">
        <v>9</v>
      </c>
      <c r="E69">
        <v>0</v>
      </c>
      <c r="F69">
        <v>264.004984871484</v>
      </c>
      <c r="G69">
        <v>1</v>
      </c>
      <c r="H69">
        <v>1</v>
      </c>
      <c r="I69" t="s">
        <v>1019</v>
      </c>
    </row>
    <row r="70" spans="1:9" x14ac:dyDescent="0.2">
      <c r="A70" t="s">
        <v>129</v>
      </c>
      <c r="B70">
        <v>40</v>
      </c>
      <c r="C70">
        <v>5</v>
      </c>
      <c r="D70">
        <v>9</v>
      </c>
      <c r="E70">
        <v>0</v>
      </c>
      <c r="F70">
        <v>404.24307955335797</v>
      </c>
      <c r="G70">
        <v>1</v>
      </c>
      <c r="H70">
        <v>1</v>
      </c>
      <c r="I70" t="s">
        <v>1020</v>
      </c>
    </row>
    <row r="71" spans="1:9" x14ac:dyDescent="0.2">
      <c r="A71" t="s">
        <v>130</v>
      </c>
      <c r="B71">
        <v>41</v>
      </c>
      <c r="C71">
        <v>2</v>
      </c>
      <c r="D71">
        <v>11</v>
      </c>
      <c r="E71">
        <v>0</v>
      </c>
      <c r="F71">
        <v>376.92658756114503</v>
      </c>
      <c r="G71">
        <v>1</v>
      </c>
      <c r="H71">
        <v>1</v>
      </c>
      <c r="I71" t="s">
        <v>1021</v>
      </c>
    </row>
    <row r="72" spans="1:9" x14ac:dyDescent="0.2">
      <c r="A72" t="s">
        <v>131</v>
      </c>
      <c r="B72">
        <v>42</v>
      </c>
      <c r="C72">
        <v>5</v>
      </c>
      <c r="D72">
        <v>9</v>
      </c>
      <c r="E72">
        <v>0</v>
      </c>
      <c r="F72">
        <v>615.20297078788201</v>
      </c>
      <c r="G72">
        <v>1</v>
      </c>
      <c r="H72">
        <v>1</v>
      </c>
      <c r="I72" t="s">
        <v>1022</v>
      </c>
    </row>
    <row r="73" spans="1:9" x14ac:dyDescent="0.2">
      <c r="A73" t="s">
        <v>132</v>
      </c>
      <c r="B73">
        <v>43</v>
      </c>
      <c r="C73">
        <v>6</v>
      </c>
      <c r="D73">
        <v>9</v>
      </c>
      <c r="E73">
        <v>0</v>
      </c>
      <c r="F73">
        <v>930.91817077714904</v>
      </c>
      <c r="G73">
        <v>1</v>
      </c>
      <c r="H73">
        <v>1</v>
      </c>
      <c r="I73" t="s">
        <v>1023</v>
      </c>
    </row>
    <row r="74" spans="1:9" x14ac:dyDescent="0.2">
      <c r="A74" t="s">
        <v>133</v>
      </c>
      <c r="B74">
        <v>44</v>
      </c>
      <c r="C74">
        <v>6</v>
      </c>
      <c r="D74">
        <v>9</v>
      </c>
      <c r="E74">
        <v>0</v>
      </c>
      <c r="F74">
        <v>1142.74233960267</v>
      </c>
      <c r="G74">
        <v>1</v>
      </c>
      <c r="H74">
        <v>1</v>
      </c>
      <c r="I74" t="s">
        <v>1024</v>
      </c>
    </row>
    <row r="75" spans="1:9" x14ac:dyDescent="0.2">
      <c r="A75" t="s">
        <v>134</v>
      </c>
      <c r="B75">
        <v>45</v>
      </c>
      <c r="C75">
        <v>6</v>
      </c>
      <c r="D75">
        <v>9</v>
      </c>
      <c r="E75">
        <v>0</v>
      </c>
      <c r="F75">
        <v>1405.6680839164101</v>
      </c>
      <c r="G75">
        <v>1</v>
      </c>
      <c r="H75">
        <v>1</v>
      </c>
      <c r="I75" t="s">
        <v>1025</v>
      </c>
    </row>
    <row r="76" spans="1:9" x14ac:dyDescent="0.2">
      <c r="A76" t="s">
        <v>135</v>
      </c>
      <c r="B76">
        <v>46</v>
      </c>
      <c r="C76">
        <v>7</v>
      </c>
      <c r="D76">
        <v>9</v>
      </c>
      <c r="E76">
        <v>0</v>
      </c>
      <c r="F76">
        <v>2015.0021126214399</v>
      </c>
      <c r="G76">
        <v>1</v>
      </c>
      <c r="H76">
        <v>1</v>
      </c>
      <c r="I76" t="s">
        <v>1026</v>
      </c>
    </row>
    <row r="77" spans="1:9" x14ac:dyDescent="0.2">
      <c r="A77" t="s">
        <v>136</v>
      </c>
      <c r="B77">
        <v>47</v>
      </c>
      <c r="C77">
        <v>8</v>
      </c>
      <c r="D77">
        <v>9</v>
      </c>
      <c r="E77">
        <v>0</v>
      </c>
      <c r="F77">
        <v>3026.6436775801699</v>
      </c>
      <c r="G77">
        <v>1</v>
      </c>
      <c r="H77">
        <v>1</v>
      </c>
      <c r="I77" t="s">
        <v>1027</v>
      </c>
    </row>
    <row r="78" spans="1:9" x14ac:dyDescent="0.2">
      <c r="A78" t="s">
        <v>137</v>
      </c>
      <c r="B78">
        <v>48</v>
      </c>
      <c r="C78">
        <v>5</v>
      </c>
      <c r="D78">
        <v>10</v>
      </c>
      <c r="E78">
        <v>0</v>
      </c>
      <c r="F78">
        <v>9653.4171753451192</v>
      </c>
      <c r="G78">
        <v>1</v>
      </c>
      <c r="H78">
        <v>1</v>
      </c>
      <c r="I78" t="s">
        <v>1028</v>
      </c>
    </row>
    <row r="79" spans="1:9" x14ac:dyDescent="0.2">
      <c r="A79" t="s">
        <v>138</v>
      </c>
      <c r="B79">
        <v>49</v>
      </c>
      <c r="C79">
        <v>17</v>
      </c>
      <c r="D79">
        <v>7</v>
      </c>
      <c r="E79">
        <v>0</v>
      </c>
      <c r="F79">
        <v>316.37667980231299</v>
      </c>
      <c r="G79">
        <v>1</v>
      </c>
      <c r="H79">
        <v>1</v>
      </c>
      <c r="I79" t="s">
        <v>1029</v>
      </c>
    </row>
    <row r="80" spans="1:9" x14ac:dyDescent="0.2">
      <c r="A80" t="s">
        <v>139</v>
      </c>
      <c r="B80">
        <v>50</v>
      </c>
      <c r="C80">
        <v>13</v>
      </c>
      <c r="D80">
        <v>8</v>
      </c>
      <c r="E80">
        <v>0</v>
      </c>
      <c r="F80">
        <v>1602.1817576242599</v>
      </c>
      <c r="G80">
        <v>1</v>
      </c>
      <c r="H80">
        <v>1</v>
      </c>
      <c r="I80" t="s">
        <v>1030</v>
      </c>
    </row>
    <row r="81" spans="1:9" x14ac:dyDescent="0.2">
      <c r="A81" t="s">
        <v>188</v>
      </c>
      <c r="B81">
        <v>51</v>
      </c>
      <c r="C81">
        <v>12</v>
      </c>
      <c r="D81">
        <v>9</v>
      </c>
      <c r="E81">
        <v>0</v>
      </c>
      <c r="F81">
        <v>10171.856206763499</v>
      </c>
      <c r="G81">
        <v>1</v>
      </c>
      <c r="H81">
        <v>1</v>
      </c>
      <c r="I81" t="s">
        <v>1031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EE67-9D29-6F44-BAC4-AC2A99FF08CC}">
  <dimension ref="A1:I110"/>
  <sheetViews>
    <sheetView topLeftCell="A26" workbookViewId="0">
      <selection activeCell="F16" sqref="F16"/>
    </sheetView>
  </sheetViews>
  <sheetFormatPr baseColWidth="10" defaultColWidth="11" defaultRowHeight="16" x14ac:dyDescent="0.2"/>
  <sheetData>
    <row r="1" spans="1:1" x14ac:dyDescent="0.2">
      <c r="A1" t="s">
        <v>0</v>
      </c>
    </row>
    <row r="2" spans="1:1" x14ac:dyDescent="0.2">
      <c r="A2" t="s">
        <v>1</v>
      </c>
    </row>
    <row r="4" spans="1:1" x14ac:dyDescent="0.2">
      <c r="A4" t="s">
        <v>32</v>
      </c>
    </row>
    <row r="5" spans="1:1" x14ac:dyDescent="0.2">
      <c r="A5" s="7" t="s">
        <v>33</v>
      </c>
    </row>
    <row r="6" spans="1:1" x14ac:dyDescent="0.2">
      <c r="A6" s="7" t="s">
        <v>1033</v>
      </c>
    </row>
    <row r="7" spans="1:1" x14ac:dyDescent="0.2">
      <c r="A7" t="s">
        <v>3</v>
      </c>
    </row>
    <row r="8" spans="1:1" x14ac:dyDescent="0.2">
      <c r="A8" t="s">
        <v>4</v>
      </c>
    </row>
    <row r="11" spans="1:1" x14ac:dyDescent="0.2">
      <c r="A11" s="7"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8" spans="1:9" x14ac:dyDescent="0.2">
      <c r="A18" t="s">
        <v>12</v>
      </c>
    </row>
    <row r="19" spans="1:9" x14ac:dyDescent="0.2">
      <c r="A19" t="s">
        <v>13</v>
      </c>
    </row>
    <row r="20" spans="1:9" x14ac:dyDescent="0.2">
      <c r="A20" t="s">
        <v>1034</v>
      </c>
    </row>
    <row r="21" spans="1:9" x14ac:dyDescent="0.2">
      <c r="A21" t="s">
        <v>14</v>
      </c>
    </row>
    <row r="26" spans="1:9" x14ac:dyDescent="0.2">
      <c r="A26" t="s">
        <v>1035</v>
      </c>
    </row>
    <row r="27" spans="1:9" x14ac:dyDescent="0.2">
      <c r="A27"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0.12274851200001501</v>
      </c>
      <c r="G33">
        <v>1</v>
      </c>
      <c r="H33">
        <v>1</v>
      </c>
      <c r="I33" t="s">
        <v>1036</v>
      </c>
    </row>
    <row r="34" spans="1:9" x14ac:dyDescent="0.2">
      <c r="A34" t="s">
        <v>93</v>
      </c>
      <c r="B34">
        <v>4</v>
      </c>
      <c r="C34">
        <v>1</v>
      </c>
      <c r="D34">
        <v>2</v>
      </c>
      <c r="E34">
        <v>0</v>
      </c>
      <c r="F34">
        <v>7.60977889999878E-2</v>
      </c>
      <c r="G34">
        <v>1</v>
      </c>
      <c r="H34">
        <v>1</v>
      </c>
      <c r="I34" t="s">
        <v>1037</v>
      </c>
    </row>
    <row r="35" spans="1:9" x14ac:dyDescent="0.2">
      <c r="A35" t="s">
        <v>94</v>
      </c>
      <c r="B35">
        <v>5</v>
      </c>
      <c r="C35">
        <v>1</v>
      </c>
      <c r="D35">
        <v>3</v>
      </c>
      <c r="E35">
        <v>0</v>
      </c>
      <c r="F35">
        <v>7.7310103000002003E-2</v>
      </c>
      <c r="G35">
        <v>1</v>
      </c>
      <c r="H35">
        <v>1</v>
      </c>
      <c r="I35" t="s">
        <v>1038</v>
      </c>
    </row>
    <row r="36" spans="1:9" x14ac:dyDescent="0.2">
      <c r="A36" t="s">
        <v>95</v>
      </c>
      <c r="B36">
        <v>6</v>
      </c>
      <c r="C36">
        <v>1</v>
      </c>
      <c r="D36">
        <v>3</v>
      </c>
      <c r="E36">
        <v>0</v>
      </c>
      <c r="F36">
        <v>6.4857103000008395E-2</v>
      </c>
      <c r="G36">
        <v>1</v>
      </c>
      <c r="H36">
        <v>1</v>
      </c>
      <c r="I36" t="s">
        <v>1039</v>
      </c>
    </row>
    <row r="37" spans="1:9" x14ac:dyDescent="0.2">
      <c r="A37" t="s">
        <v>96</v>
      </c>
      <c r="B37">
        <v>7</v>
      </c>
      <c r="C37">
        <v>1</v>
      </c>
      <c r="D37">
        <v>3</v>
      </c>
      <c r="E37">
        <v>0</v>
      </c>
      <c r="F37">
        <v>4.23287059999779E-2</v>
      </c>
      <c r="G37">
        <v>1</v>
      </c>
      <c r="H37">
        <v>1</v>
      </c>
      <c r="I37" t="s">
        <v>1040</v>
      </c>
    </row>
    <row r="38" spans="1:9" x14ac:dyDescent="0.2">
      <c r="A38" t="s">
        <v>97</v>
      </c>
      <c r="B38">
        <v>8</v>
      </c>
      <c r="C38">
        <v>1</v>
      </c>
      <c r="D38">
        <v>3</v>
      </c>
      <c r="E38">
        <v>0</v>
      </c>
      <c r="F38">
        <v>2.2826961000021101E-2</v>
      </c>
      <c r="G38">
        <v>1</v>
      </c>
      <c r="H38">
        <v>1</v>
      </c>
      <c r="I38" t="s">
        <v>1041</v>
      </c>
    </row>
    <row r="39" spans="1:9" x14ac:dyDescent="0.2">
      <c r="A39" t="s">
        <v>98</v>
      </c>
      <c r="B39">
        <v>9</v>
      </c>
      <c r="C39">
        <v>1</v>
      </c>
      <c r="D39">
        <v>3</v>
      </c>
      <c r="E39">
        <v>0</v>
      </c>
      <c r="F39">
        <v>2.5137000999990201E-2</v>
      </c>
      <c r="G39">
        <v>1</v>
      </c>
      <c r="H39">
        <v>1</v>
      </c>
      <c r="I39" t="s">
        <v>1042</v>
      </c>
    </row>
    <row r="40" spans="1:9" x14ac:dyDescent="0.2">
      <c r="A40" t="s">
        <v>99</v>
      </c>
      <c r="B40">
        <v>10</v>
      </c>
      <c r="C40">
        <v>1</v>
      </c>
      <c r="D40">
        <v>4</v>
      </c>
      <c r="E40">
        <v>0</v>
      </c>
      <c r="F40">
        <v>1.20074715799998</v>
      </c>
      <c r="G40">
        <v>1</v>
      </c>
      <c r="H40">
        <v>1</v>
      </c>
      <c r="I40" t="s">
        <v>1043</v>
      </c>
    </row>
    <row r="41" spans="1:9" x14ac:dyDescent="0.2">
      <c r="A41" t="s">
        <v>100</v>
      </c>
      <c r="B41">
        <v>11</v>
      </c>
      <c r="C41">
        <v>1</v>
      </c>
      <c r="D41">
        <v>5</v>
      </c>
      <c r="E41">
        <v>0</v>
      </c>
      <c r="F41">
        <v>109.564398193</v>
      </c>
      <c r="G41">
        <v>1</v>
      </c>
      <c r="H41">
        <v>1</v>
      </c>
      <c r="I41" t="s">
        <v>1044</v>
      </c>
    </row>
    <row r="42" spans="1:9" x14ac:dyDescent="0.2">
      <c r="A42" t="s">
        <v>101</v>
      </c>
      <c r="B42">
        <v>12</v>
      </c>
      <c r="C42">
        <v>6</v>
      </c>
      <c r="D42">
        <v>3</v>
      </c>
      <c r="E42">
        <v>0</v>
      </c>
      <c r="F42">
        <v>0.101056655000007</v>
      </c>
      <c r="G42">
        <v>1</v>
      </c>
      <c r="H42">
        <v>1</v>
      </c>
      <c r="I42" t="s">
        <v>1045</v>
      </c>
    </row>
    <row r="43" spans="1:9" x14ac:dyDescent="0.2">
      <c r="A43" t="s">
        <v>102</v>
      </c>
      <c r="B43">
        <v>13</v>
      </c>
      <c r="C43">
        <v>6</v>
      </c>
      <c r="D43">
        <v>3</v>
      </c>
      <c r="E43">
        <v>0</v>
      </c>
      <c r="F43">
        <v>0.102545738999992</v>
      </c>
      <c r="G43">
        <v>1</v>
      </c>
      <c r="H43">
        <v>1</v>
      </c>
      <c r="I43" t="s">
        <v>1046</v>
      </c>
    </row>
    <row r="44" spans="1:9" x14ac:dyDescent="0.2">
      <c r="A44" t="s">
        <v>103</v>
      </c>
      <c r="B44">
        <v>14</v>
      </c>
      <c r="C44">
        <v>2</v>
      </c>
      <c r="D44">
        <v>5</v>
      </c>
      <c r="E44">
        <v>0</v>
      </c>
      <c r="F44">
        <v>1785.6138570430001</v>
      </c>
      <c r="G44">
        <v>1</v>
      </c>
      <c r="H44">
        <v>1</v>
      </c>
      <c r="I44" t="s">
        <v>1047</v>
      </c>
    </row>
    <row r="45" spans="1:9" x14ac:dyDescent="0.2">
      <c r="A45" t="s">
        <v>104</v>
      </c>
      <c r="B45">
        <v>15</v>
      </c>
      <c r="C45">
        <v>2</v>
      </c>
      <c r="D45">
        <v>5</v>
      </c>
      <c r="E45">
        <v>0</v>
      </c>
      <c r="F45">
        <v>1771.15714666899</v>
      </c>
      <c r="G45">
        <v>1</v>
      </c>
      <c r="H45">
        <v>1</v>
      </c>
      <c r="I45" t="s">
        <v>1048</v>
      </c>
    </row>
    <row r="46" spans="1:9" x14ac:dyDescent="0.2">
      <c r="A46" t="s">
        <v>105</v>
      </c>
      <c r="B46">
        <v>16</v>
      </c>
      <c r="C46">
        <v>1</v>
      </c>
      <c r="D46">
        <v>0</v>
      </c>
      <c r="E46">
        <v>-6</v>
      </c>
      <c r="F46">
        <v>28800.117492669</v>
      </c>
      <c r="G46">
        <v>1</v>
      </c>
      <c r="H46">
        <v>1</v>
      </c>
    </row>
    <row r="47" spans="1:9" x14ac:dyDescent="0.2">
      <c r="A47" t="s">
        <v>106</v>
      </c>
      <c r="B47">
        <v>17</v>
      </c>
      <c r="C47">
        <v>3</v>
      </c>
      <c r="D47">
        <v>5</v>
      </c>
      <c r="E47">
        <v>0</v>
      </c>
      <c r="F47">
        <v>3266.3515120469901</v>
      </c>
      <c r="G47">
        <v>1</v>
      </c>
      <c r="H47">
        <v>1</v>
      </c>
      <c r="I47" t="s">
        <v>1049</v>
      </c>
    </row>
    <row r="48" spans="1:9" x14ac:dyDescent="0.2">
      <c r="A48" t="s">
        <v>107</v>
      </c>
      <c r="B48">
        <v>18</v>
      </c>
      <c r="C48">
        <v>5</v>
      </c>
      <c r="D48">
        <v>0</v>
      </c>
      <c r="E48">
        <v>-5</v>
      </c>
      <c r="F48">
        <v>28800.997361939</v>
      </c>
      <c r="G48">
        <v>1</v>
      </c>
      <c r="H48">
        <v>1</v>
      </c>
    </row>
    <row r="49" spans="1:8" x14ac:dyDescent="0.2">
      <c r="A49" t="s">
        <v>108</v>
      </c>
      <c r="B49">
        <v>19</v>
      </c>
      <c r="C49">
        <v>5</v>
      </c>
      <c r="D49">
        <v>0</v>
      </c>
      <c r="E49">
        <v>-5</v>
      </c>
      <c r="F49">
        <v>28801.314472671002</v>
      </c>
      <c r="G49">
        <v>1</v>
      </c>
      <c r="H49">
        <v>1</v>
      </c>
    </row>
    <row r="50" spans="1:8" x14ac:dyDescent="0.2">
      <c r="A50" t="s">
        <v>109</v>
      </c>
      <c r="B50">
        <v>20</v>
      </c>
      <c r="C50">
        <v>3</v>
      </c>
      <c r="D50">
        <v>0</v>
      </c>
      <c r="E50">
        <v>-6</v>
      </c>
      <c r="F50">
        <v>28800.795223622001</v>
      </c>
      <c r="G50">
        <v>1</v>
      </c>
      <c r="H50">
        <v>1</v>
      </c>
    </row>
    <row r="51" spans="1:8" x14ac:dyDescent="0.2">
      <c r="A51" t="s">
        <v>110</v>
      </c>
      <c r="B51">
        <v>21</v>
      </c>
      <c r="C51">
        <v>3</v>
      </c>
      <c r="D51">
        <v>0</v>
      </c>
      <c r="E51">
        <v>-6</v>
      </c>
      <c r="F51">
        <v>28800.162008339899</v>
      </c>
      <c r="G51">
        <v>1</v>
      </c>
      <c r="H51">
        <v>1</v>
      </c>
    </row>
    <row r="52" spans="1:8" x14ac:dyDescent="0.2">
      <c r="A52" t="s">
        <v>111</v>
      </c>
      <c r="B52">
        <v>22</v>
      </c>
      <c r="C52">
        <v>7</v>
      </c>
      <c r="D52">
        <v>0</v>
      </c>
      <c r="E52">
        <v>-5</v>
      </c>
      <c r="F52">
        <v>28803.428641855699</v>
      </c>
      <c r="G52">
        <v>1</v>
      </c>
      <c r="H52">
        <v>1</v>
      </c>
    </row>
    <row r="53" spans="1:8" x14ac:dyDescent="0.2">
      <c r="A53" t="s">
        <v>112</v>
      </c>
      <c r="B53">
        <v>23</v>
      </c>
      <c r="C53">
        <v>2</v>
      </c>
      <c r="D53">
        <v>0</v>
      </c>
      <c r="E53">
        <v>-7</v>
      </c>
      <c r="F53">
        <v>28800.110930763101</v>
      </c>
      <c r="G53">
        <v>1</v>
      </c>
      <c r="H53">
        <v>1</v>
      </c>
    </row>
    <row r="54" spans="1:8" x14ac:dyDescent="0.2">
      <c r="A54" t="s">
        <v>113</v>
      </c>
      <c r="B54">
        <v>24</v>
      </c>
      <c r="C54">
        <v>8</v>
      </c>
      <c r="D54">
        <v>0</v>
      </c>
      <c r="E54">
        <v>-5</v>
      </c>
      <c r="F54">
        <v>28800.112229362101</v>
      </c>
      <c r="G54">
        <v>1</v>
      </c>
      <c r="H54">
        <v>1</v>
      </c>
    </row>
    <row r="55" spans="1:8" x14ac:dyDescent="0.2">
      <c r="A55" t="s">
        <v>114</v>
      </c>
      <c r="B55">
        <v>25</v>
      </c>
      <c r="C55">
        <v>8</v>
      </c>
      <c r="D55">
        <v>0</v>
      </c>
      <c r="E55">
        <v>-5</v>
      </c>
      <c r="F55">
        <v>28800.113644048499</v>
      </c>
      <c r="G55">
        <v>1</v>
      </c>
      <c r="H55">
        <v>1</v>
      </c>
    </row>
    <row r="56" spans="1:8" x14ac:dyDescent="0.2">
      <c r="A56" t="s">
        <v>115</v>
      </c>
      <c r="B56">
        <v>26</v>
      </c>
      <c r="C56">
        <v>6</v>
      </c>
      <c r="D56">
        <v>0</v>
      </c>
      <c r="E56">
        <v>-6</v>
      </c>
      <c r="F56">
        <v>28802.739547371799</v>
      </c>
      <c r="G56">
        <v>1</v>
      </c>
      <c r="H56">
        <v>1</v>
      </c>
    </row>
    <row r="57" spans="1:8" x14ac:dyDescent="0.2">
      <c r="A57" t="s">
        <v>116</v>
      </c>
      <c r="B57">
        <v>27</v>
      </c>
      <c r="C57">
        <v>6</v>
      </c>
      <c r="D57">
        <v>0</v>
      </c>
      <c r="E57">
        <v>-6</v>
      </c>
      <c r="F57">
        <v>28800.108935512599</v>
      </c>
      <c r="G57">
        <v>1</v>
      </c>
      <c r="H57">
        <v>1</v>
      </c>
    </row>
    <row r="58" spans="1:8" x14ac:dyDescent="0.2">
      <c r="A58" t="s">
        <v>117</v>
      </c>
      <c r="B58">
        <v>28</v>
      </c>
      <c r="C58">
        <v>6</v>
      </c>
      <c r="D58">
        <v>0</v>
      </c>
      <c r="E58">
        <v>-6</v>
      </c>
      <c r="F58">
        <v>28800.1098586767</v>
      </c>
      <c r="G58">
        <v>1</v>
      </c>
      <c r="H58">
        <v>1</v>
      </c>
    </row>
    <row r="59" spans="1:8" x14ac:dyDescent="0.2">
      <c r="A59" t="s">
        <v>118</v>
      </c>
      <c r="B59">
        <v>29</v>
      </c>
      <c r="C59">
        <v>6</v>
      </c>
      <c r="D59">
        <v>0</v>
      </c>
      <c r="E59">
        <v>-7</v>
      </c>
      <c r="F59">
        <v>28800.111978478701</v>
      </c>
      <c r="G59">
        <v>1</v>
      </c>
      <c r="H59">
        <v>1</v>
      </c>
    </row>
    <row r="60" spans="1:8" x14ac:dyDescent="0.2">
      <c r="A60" t="s">
        <v>119</v>
      </c>
      <c r="B60">
        <v>30</v>
      </c>
      <c r="C60">
        <v>9</v>
      </c>
      <c r="D60">
        <v>0</v>
      </c>
      <c r="E60">
        <v>-6</v>
      </c>
      <c r="F60">
        <v>28800.111287683201</v>
      </c>
      <c r="G60">
        <v>1</v>
      </c>
      <c r="H60">
        <v>1</v>
      </c>
    </row>
    <row r="61" spans="1:8" x14ac:dyDescent="0.2">
      <c r="A61" t="s">
        <v>120</v>
      </c>
      <c r="B61">
        <v>31</v>
      </c>
      <c r="C61">
        <v>9</v>
      </c>
      <c r="D61">
        <v>0</v>
      </c>
      <c r="E61">
        <v>-6</v>
      </c>
      <c r="F61">
        <v>28801.8664424419</v>
      </c>
      <c r="G61">
        <v>1</v>
      </c>
      <c r="H61">
        <v>1</v>
      </c>
    </row>
    <row r="62" spans="1:8" x14ac:dyDescent="0.2">
      <c r="A62" t="s">
        <v>121</v>
      </c>
      <c r="B62">
        <v>32</v>
      </c>
      <c r="C62">
        <v>5</v>
      </c>
      <c r="D62">
        <v>0</v>
      </c>
      <c r="E62">
        <v>-8</v>
      </c>
      <c r="F62">
        <v>28800.109964065199</v>
      </c>
      <c r="G62">
        <v>1</v>
      </c>
      <c r="H62">
        <v>1</v>
      </c>
    </row>
    <row r="63" spans="1:8" x14ac:dyDescent="0.2">
      <c r="A63" t="s">
        <v>122</v>
      </c>
      <c r="B63">
        <v>33</v>
      </c>
      <c r="C63">
        <v>7</v>
      </c>
      <c r="D63">
        <v>0</v>
      </c>
      <c r="E63">
        <v>-8</v>
      </c>
      <c r="F63">
        <v>28800.1098792105</v>
      </c>
      <c r="G63">
        <v>1</v>
      </c>
      <c r="H63">
        <v>1</v>
      </c>
    </row>
    <row r="64" spans="1:8" x14ac:dyDescent="0.2">
      <c r="A64" t="s">
        <v>123</v>
      </c>
      <c r="B64">
        <v>34</v>
      </c>
      <c r="C64">
        <v>17</v>
      </c>
      <c r="D64">
        <v>0</v>
      </c>
      <c r="E64">
        <v>-5</v>
      </c>
      <c r="F64">
        <v>28800.112078413302</v>
      </c>
      <c r="G64">
        <v>1</v>
      </c>
      <c r="H64">
        <v>1</v>
      </c>
    </row>
    <row r="65" spans="1:8" x14ac:dyDescent="0.2">
      <c r="A65" t="s">
        <v>124</v>
      </c>
      <c r="B65">
        <v>35</v>
      </c>
      <c r="C65">
        <v>4</v>
      </c>
      <c r="D65">
        <v>0</v>
      </c>
      <c r="E65">
        <v>-9</v>
      </c>
      <c r="F65">
        <v>28800.112140692701</v>
      </c>
      <c r="G65">
        <v>1</v>
      </c>
      <c r="H65">
        <v>1</v>
      </c>
    </row>
    <row r="66" spans="1:8" x14ac:dyDescent="0.2">
      <c r="A66" t="s">
        <v>125</v>
      </c>
      <c r="B66">
        <v>36</v>
      </c>
      <c r="C66">
        <v>4</v>
      </c>
      <c r="D66">
        <v>0</v>
      </c>
      <c r="E66">
        <v>-9</v>
      </c>
      <c r="F66">
        <v>28801.577284097599</v>
      </c>
      <c r="G66">
        <v>1</v>
      </c>
      <c r="H66">
        <v>1</v>
      </c>
    </row>
    <row r="67" spans="1:8" x14ac:dyDescent="0.2">
      <c r="A67" t="s">
        <v>126</v>
      </c>
      <c r="B67">
        <v>37</v>
      </c>
      <c r="C67">
        <v>4</v>
      </c>
      <c r="D67">
        <v>0</v>
      </c>
      <c r="E67">
        <v>-9</v>
      </c>
      <c r="F67">
        <v>28800.1479524448</v>
      </c>
      <c r="G67">
        <v>1</v>
      </c>
      <c r="H67">
        <v>1</v>
      </c>
    </row>
    <row r="68" spans="1:8" x14ac:dyDescent="0.2">
      <c r="A68" t="s">
        <v>127</v>
      </c>
      <c r="B68">
        <v>38</v>
      </c>
      <c r="C68">
        <v>4</v>
      </c>
      <c r="D68">
        <v>0</v>
      </c>
      <c r="E68">
        <v>-9</v>
      </c>
      <c r="F68">
        <v>28800.110839672299</v>
      </c>
      <c r="G68">
        <v>1</v>
      </c>
      <c r="H68">
        <v>1</v>
      </c>
    </row>
    <row r="69" spans="1:8" x14ac:dyDescent="0.2">
      <c r="A69" t="s">
        <v>128</v>
      </c>
      <c r="B69">
        <v>39</v>
      </c>
      <c r="C69">
        <v>4</v>
      </c>
      <c r="D69">
        <v>0</v>
      </c>
      <c r="E69">
        <v>-9</v>
      </c>
      <c r="F69">
        <v>28800.113276421998</v>
      </c>
      <c r="G69">
        <v>1</v>
      </c>
      <c r="H69">
        <v>1</v>
      </c>
    </row>
    <row r="70" spans="1:8" x14ac:dyDescent="0.2">
      <c r="A70" t="s">
        <v>129</v>
      </c>
      <c r="B70">
        <v>40</v>
      </c>
      <c r="C70">
        <v>5</v>
      </c>
      <c r="D70">
        <v>0</v>
      </c>
      <c r="E70">
        <v>-9</v>
      </c>
      <c r="F70">
        <v>28800.122812792601</v>
      </c>
      <c r="G70">
        <v>1</v>
      </c>
      <c r="H70">
        <v>1</v>
      </c>
    </row>
    <row r="71" spans="1:8" x14ac:dyDescent="0.2">
      <c r="A71" t="s">
        <v>130</v>
      </c>
      <c r="B71">
        <v>41</v>
      </c>
      <c r="C71">
        <v>2</v>
      </c>
      <c r="D71">
        <v>0</v>
      </c>
      <c r="E71">
        <v>-11</v>
      </c>
      <c r="F71">
        <v>28803.584711626099</v>
      </c>
      <c r="G71">
        <v>1</v>
      </c>
      <c r="H71">
        <v>1</v>
      </c>
    </row>
    <row r="72" spans="1:8" x14ac:dyDescent="0.2">
      <c r="A72" t="s">
        <v>131</v>
      </c>
      <c r="B72">
        <v>42</v>
      </c>
      <c r="C72">
        <v>5</v>
      </c>
      <c r="D72">
        <v>0</v>
      </c>
      <c r="E72">
        <v>-9</v>
      </c>
      <c r="F72">
        <v>28800.132895611201</v>
      </c>
      <c r="G72">
        <v>1</v>
      </c>
      <c r="H72">
        <v>1</v>
      </c>
    </row>
    <row r="73" spans="1:8" x14ac:dyDescent="0.2">
      <c r="A73" t="s">
        <v>132</v>
      </c>
      <c r="B73">
        <v>43</v>
      </c>
      <c r="C73">
        <v>6</v>
      </c>
      <c r="D73">
        <v>0</v>
      </c>
      <c r="E73">
        <v>-9</v>
      </c>
      <c r="F73">
        <v>28800.110992357098</v>
      </c>
      <c r="G73">
        <v>1</v>
      </c>
      <c r="H73">
        <v>1</v>
      </c>
    </row>
    <row r="74" spans="1:8" x14ac:dyDescent="0.2">
      <c r="A74" t="s">
        <v>133</v>
      </c>
      <c r="B74">
        <v>44</v>
      </c>
      <c r="C74">
        <v>6</v>
      </c>
      <c r="D74">
        <v>0</v>
      </c>
      <c r="E74">
        <v>-9</v>
      </c>
      <c r="F74">
        <v>28800.113851286402</v>
      </c>
      <c r="G74">
        <v>1</v>
      </c>
      <c r="H74">
        <v>1</v>
      </c>
    </row>
    <row r="75" spans="1:8" x14ac:dyDescent="0.2">
      <c r="A75" t="s">
        <v>134</v>
      </c>
      <c r="B75">
        <v>45</v>
      </c>
      <c r="C75">
        <v>6</v>
      </c>
      <c r="D75">
        <v>0</v>
      </c>
      <c r="E75">
        <v>-9</v>
      </c>
      <c r="F75">
        <v>28800.112244509099</v>
      </c>
      <c r="G75">
        <v>1</v>
      </c>
      <c r="H75">
        <v>1</v>
      </c>
    </row>
    <row r="76" spans="1:8" x14ac:dyDescent="0.2">
      <c r="A76" t="s">
        <v>135</v>
      </c>
      <c r="B76">
        <v>46</v>
      </c>
      <c r="C76">
        <v>7</v>
      </c>
      <c r="D76">
        <v>0</v>
      </c>
      <c r="E76">
        <v>-9</v>
      </c>
      <c r="F76">
        <v>28802.630149602799</v>
      </c>
      <c r="G76">
        <v>1</v>
      </c>
      <c r="H76">
        <v>1</v>
      </c>
    </row>
    <row r="77" spans="1:8" x14ac:dyDescent="0.2">
      <c r="A77" t="s">
        <v>136</v>
      </c>
      <c r="B77">
        <v>47</v>
      </c>
      <c r="C77">
        <v>8</v>
      </c>
      <c r="D77">
        <v>0</v>
      </c>
      <c r="E77">
        <v>-9</v>
      </c>
      <c r="F77">
        <v>28800.110951118098</v>
      </c>
      <c r="G77">
        <v>1</v>
      </c>
      <c r="H77">
        <v>1</v>
      </c>
    </row>
    <row r="78" spans="1:8" x14ac:dyDescent="0.2">
      <c r="A78" t="s">
        <v>137</v>
      </c>
      <c r="B78">
        <v>48</v>
      </c>
      <c r="C78">
        <v>5</v>
      </c>
      <c r="D78">
        <v>0</v>
      </c>
      <c r="E78">
        <v>-10</v>
      </c>
      <c r="F78">
        <v>28800.110875166902</v>
      </c>
      <c r="G78">
        <v>1</v>
      </c>
      <c r="H78">
        <v>1</v>
      </c>
    </row>
    <row r="79" spans="1:8" x14ac:dyDescent="0.2">
      <c r="A79" t="s">
        <v>138</v>
      </c>
      <c r="B79">
        <v>49</v>
      </c>
      <c r="C79">
        <v>17</v>
      </c>
      <c r="D79">
        <v>0</v>
      </c>
      <c r="E79">
        <v>-7</v>
      </c>
      <c r="F79">
        <v>28800.112955570199</v>
      </c>
      <c r="G79">
        <v>1</v>
      </c>
      <c r="H79">
        <v>1</v>
      </c>
    </row>
    <row r="80" spans="1:8" x14ac:dyDescent="0.2">
      <c r="A80" t="s">
        <v>139</v>
      </c>
      <c r="B80">
        <v>50</v>
      </c>
      <c r="C80">
        <v>13</v>
      </c>
      <c r="D80">
        <v>0</v>
      </c>
      <c r="E80">
        <v>-8</v>
      </c>
      <c r="F80">
        <v>28800.153296262</v>
      </c>
      <c r="G80">
        <v>1</v>
      </c>
      <c r="H80">
        <v>1</v>
      </c>
    </row>
    <row r="81" spans="1:8" x14ac:dyDescent="0.2">
      <c r="A81" t="s">
        <v>188</v>
      </c>
      <c r="B81">
        <v>51</v>
      </c>
      <c r="C81">
        <v>12</v>
      </c>
      <c r="D81">
        <v>0</v>
      </c>
      <c r="E81">
        <v>-9</v>
      </c>
      <c r="F81">
        <v>28803.2985442727</v>
      </c>
      <c r="G81">
        <v>1</v>
      </c>
      <c r="H81">
        <v>1</v>
      </c>
    </row>
    <row r="82" spans="1:8" x14ac:dyDescent="0.2">
      <c r="A82" t="s">
        <v>190</v>
      </c>
      <c r="B82">
        <v>52</v>
      </c>
      <c r="C82">
        <v>10</v>
      </c>
      <c r="D82">
        <v>0</v>
      </c>
      <c r="E82">
        <v>-10</v>
      </c>
      <c r="F82">
        <v>28800.111936539401</v>
      </c>
      <c r="G82">
        <v>1</v>
      </c>
      <c r="H82">
        <v>1</v>
      </c>
    </row>
    <row r="83" spans="1:8" x14ac:dyDescent="0.2">
      <c r="A83" t="s">
        <v>192</v>
      </c>
      <c r="B83">
        <v>53</v>
      </c>
      <c r="C83">
        <v>6</v>
      </c>
      <c r="D83">
        <v>0</v>
      </c>
      <c r="E83">
        <v>-11</v>
      </c>
      <c r="F83">
        <v>28800.127797640798</v>
      </c>
      <c r="G83">
        <v>1</v>
      </c>
      <c r="H83">
        <v>1</v>
      </c>
    </row>
    <row r="84" spans="1:8" x14ac:dyDescent="0.2">
      <c r="A84" t="s">
        <v>194</v>
      </c>
      <c r="B84">
        <v>54</v>
      </c>
      <c r="C84">
        <v>12</v>
      </c>
      <c r="D84">
        <v>0</v>
      </c>
      <c r="E84">
        <v>-10</v>
      </c>
      <c r="F84">
        <v>28800.116159222998</v>
      </c>
      <c r="G84">
        <v>1</v>
      </c>
      <c r="H84">
        <v>1</v>
      </c>
    </row>
    <row r="85" spans="1:8" x14ac:dyDescent="0.2">
      <c r="A85" t="s">
        <v>196</v>
      </c>
      <c r="B85">
        <v>55</v>
      </c>
      <c r="C85">
        <v>5</v>
      </c>
      <c r="D85">
        <v>0</v>
      </c>
      <c r="E85">
        <v>-12</v>
      </c>
      <c r="F85">
        <v>28800.113202601598</v>
      </c>
      <c r="G85">
        <v>1</v>
      </c>
      <c r="H85">
        <v>1</v>
      </c>
    </row>
    <row r="86" spans="1:8" x14ac:dyDescent="0.2">
      <c r="A86" t="s">
        <v>198</v>
      </c>
      <c r="B86">
        <v>56</v>
      </c>
      <c r="C86">
        <v>5</v>
      </c>
      <c r="D86">
        <v>0</v>
      </c>
      <c r="E86">
        <v>-12</v>
      </c>
      <c r="F86">
        <v>28802.8303047269</v>
      </c>
      <c r="G86">
        <v>1</v>
      </c>
      <c r="H86">
        <v>1</v>
      </c>
    </row>
    <row r="87" spans="1:8" x14ac:dyDescent="0.2">
      <c r="A87" t="s">
        <v>200</v>
      </c>
      <c r="B87">
        <v>57</v>
      </c>
      <c r="C87">
        <v>4</v>
      </c>
      <c r="D87">
        <v>0</v>
      </c>
      <c r="E87">
        <v>-13</v>
      </c>
      <c r="F87">
        <v>28800.111983582301</v>
      </c>
      <c r="G87">
        <v>1</v>
      </c>
      <c r="H87">
        <v>1</v>
      </c>
    </row>
    <row r="88" spans="1:8" x14ac:dyDescent="0.2">
      <c r="A88" t="s">
        <v>202</v>
      </c>
      <c r="B88">
        <v>58</v>
      </c>
      <c r="C88">
        <v>12</v>
      </c>
      <c r="D88">
        <v>0</v>
      </c>
      <c r="E88">
        <v>-10</v>
      </c>
      <c r="F88">
        <v>28800.1131799742</v>
      </c>
      <c r="G88">
        <v>1</v>
      </c>
      <c r="H88">
        <v>1</v>
      </c>
    </row>
    <row r="89" spans="1:8" x14ac:dyDescent="0.2">
      <c r="A89" t="s">
        <v>204</v>
      </c>
      <c r="B89">
        <v>59</v>
      </c>
      <c r="C89">
        <v>12</v>
      </c>
      <c r="D89">
        <v>0</v>
      </c>
      <c r="E89">
        <v>-10</v>
      </c>
      <c r="F89">
        <v>28800.1157726645</v>
      </c>
      <c r="G89">
        <v>1</v>
      </c>
      <c r="H89">
        <v>1</v>
      </c>
    </row>
    <row r="90" spans="1:8" x14ac:dyDescent="0.2">
      <c r="A90" t="s">
        <v>206</v>
      </c>
      <c r="B90">
        <v>60</v>
      </c>
      <c r="C90">
        <v>10</v>
      </c>
      <c r="D90">
        <v>0</v>
      </c>
      <c r="E90">
        <v>-11</v>
      </c>
      <c r="F90">
        <v>28800.1140911355</v>
      </c>
      <c r="G90">
        <v>1</v>
      </c>
      <c r="H90">
        <v>1</v>
      </c>
    </row>
    <row r="91" spans="1:8" x14ac:dyDescent="0.2">
      <c r="A91" t="s">
        <v>208</v>
      </c>
      <c r="B91">
        <v>61</v>
      </c>
      <c r="C91">
        <v>10</v>
      </c>
      <c r="D91">
        <v>0</v>
      </c>
      <c r="E91">
        <v>-11</v>
      </c>
      <c r="F91">
        <v>28803.350313797499</v>
      </c>
      <c r="G91">
        <v>1</v>
      </c>
      <c r="H91">
        <v>1</v>
      </c>
    </row>
    <row r="92" spans="1:8" x14ac:dyDescent="0.2">
      <c r="A92" t="s">
        <v>210</v>
      </c>
      <c r="B92">
        <v>62</v>
      </c>
      <c r="C92">
        <v>16</v>
      </c>
      <c r="D92">
        <v>0</v>
      </c>
      <c r="E92">
        <v>-10</v>
      </c>
      <c r="F92">
        <v>28800.116017296899</v>
      </c>
      <c r="G92">
        <v>1</v>
      </c>
      <c r="H92">
        <v>1</v>
      </c>
    </row>
    <row r="93" spans="1:8" x14ac:dyDescent="0.2">
      <c r="A93" t="s">
        <v>212</v>
      </c>
      <c r="B93">
        <v>63</v>
      </c>
      <c r="C93">
        <v>8</v>
      </c>
      <c r="D93">
        <v>0</v>
      </c>
      <c r="E93">
        <v>-13</v>
      </c>
      <c r="F93">
        <v>28800.1148208007</v>
      </c>
      <c r="G93">
        <v>1</v>
      </c>
      <c r="H93">
        <v>1</v>
      </c>
    </row>
    <row r="94" spans="1:8" x14ac:dyDescent="0.2">
      <c r="A94" t="s">
        <v>214</v>
      </c>
      <c r="B94">
        <v>64</v>
      </c>
      <c r="C94">
        <v>13</v>
      </c>
      <c r="D94">
        <v>0</v>
      </c>
      <c r="E94">
        <v>-12</v>
      </c>
      <c r="F94">
        <v>28800.118154242598</v>
      </c>
      <c r="G94">
        <v>1</v>
      </c>
      <c r="H94">
        <v>1</v>
      </c>
    </row>
    <row r="95" spans="1:8" x14ac:dyDescent="0.2">
      <c r="A95" t="s">
        <v>216</v>
      </c>
      <c r="B95">
        <v>65</v>
      </c>
      <c r="C95">
        <v>5</v>
      </c>
      <c r="D95">
        <v>0</v>
      </c>
      <c r="E95">
        <v>-14</v>
      </c>
      <c r="F95">
        <v>28800.1170864626</v>
      </c>
      <c r="G95">
        <v>1</v>
      </c>
      <c r="H95">
        <v>1</v>
      </c>
    </row>
    <row r="96" spans="1:8" x14ac:dyDescent="0.2">
      <c r="A96" t="s">
        <v>218</v>
      </c>
      <c r="B96">
        <v>66</v>
      </c>
      <c r="C96">
        <v>5</v>
      </c>
      <c r="D96">
        <v>0</v>
      </c>
      <c r="E96">
        <v>-14</v>
      </c>
      <c r="F96">
        <v>28802.076413147101</v>
      </c>
      <c r="G96">
        <v>1</v>
      </c>
      <c r="H96">
        <v>1</v>
      </c>
    </row>
    <row r="97" spans="1:8" x14ac:dyDescent="0.2">
      <c r="A97" t="s">
        <v>220</v>
      </c>
      <c r="B97">
        <v>67</v>
      </c>
      <c r="C97">
        <v>5</v>
      </c>
      <c r="D97">
        <v>0</v>
      </c>
      <c r="E97">
        <v>-14</v>
      </c>
      <c r="F97">
        <v>28800.1129318028</v>
      </c>
      <c r="G97">
        <v>1</v>
      </c>
      <c r="H97">
        <v>1</v>
      </c>
    </row>
    <row r="98" spans="1:8" x14ac:dyDescent="0.2">
      <c r="A98" t="s">
        <v>222</v>
      </c>
      <c r="B98">
        <v>68</v>
      </c>
      <c r="C98">
        <v>5</v>
      </c>
      <c r="D98">
        <v>0</v>
      </c>
      <c r="E98">
        <v>-14</v>
      </c>
      <c r="F98">
        <v>28800.113758698099</v>
      </c>
      <c r="G98">
        <v>1</v>
      </c>
      <c r="H98">
        <v>1</v>
      </c>
    </row>
    <row r="99" spans="1:8" x14ac:dyDescent="0.2">
      <c r="A99" t="s">
        <v>224</v>
      </c>
      <c r="B99">
        <v>69</v>
      </c>
      <c r="C99">
        <v>5</v>
      </c>
      <c r="D99">
        <v>0</v>
      </c>
      <c r="E99">
        <v>-14</v>
      </c>
      <c r="F99">
        <v>28800.116017729</v>
      </c>
      <c r="G99">
        <v>1</v>
      </c>
      <c r="H99">
        <v>1</v>
      </c>
    </row>
    <row r="100" spans="1:8" x14ac:dyDescent="0.2">
      <c r="A100" t="s">
        <v>226</v>
      </c>
      <c r="B100">
        <v>70</v>
      </c>
      <c r="C100">
        <v>5</v>
      </c>
      <c r="D100">
        <v>0</v>
      </c>
      <c r="E100">
        <v>-14</v>
      </c>
      <c r="F100">
        <v>28800.115975804601</v>
      </c>
      <c r="G100">
        <v>1</v>
      </c>
      <c r="H100">
        <v>1</v>
      </c>
    </row>
    <row r="101" spans="1:8" x14ac:dyDescent="0.2">
      <c r="A101" t="s">
        <v>228</v>
      </c>
      <c r="B101">
        <v>71</v>
      </c>
      <c r="C101">
        <v>5</v>
      </c>
      <c r="D101">
        <v>0</v>
      </c>
      <c r="E101">
        <v>-15</v>
      </c>
      <c r="F101">
        <v>28802.882862500799</v>
      </c>
      <c r="G101">
        <v>1</v>
      </c>
      <c r="H101">
        <v>1</v>
      </c>
    </row>
    <row r="102" spans="1:8" x14ac:dyDescent="0.2">
      <c r="A102" t="s">
        <v>230</v>
      </c>
      <c r="B102">
        <v>72</v>
      </c>
      <c r="C102">
        <v>5</v>
      </c>
      <c r="D102">
        <v>0</v>
      </c>
      <c r="E102">
        <v>-15</v>
      </c>
      <c r="F102">
        <v>28800.113890998</v>
      </c>
      <c r="G102">
        <v>1</v>
      </c>
      <c r="H102">
        <v>1</v>
      </c>
    </row>
    <row r="103" spans="1:8" x14ac:dyDescent="0.2">
      <c r="A103" t="s">
        <v>232</v>
      </c>
      <c r="B103">
        <v>73</v>
      </c>
      <c r="C103">
        <v>5</v>
      </c>
      <c r="D103">
        <v>0</v>
      </c>
      <c r="E103">
        <v>-15</v>
      </c>
      <c r="F103">
        <v>28800.113945610799</v>
      </c>
      <c r="G103">
        <v>1</v>
      </c>
      <c r="H103">
        <v>1</v>
      </c>
    </row>
    <row r="104" spans="1:8" x14ac:dyDescent="0.2">
      <c r="A104" t="s">
        <v>234</v>
      </c>
      <c r="B104">
        <v>74</v>
      </c>
      <c r="C104">
        <v>5</v>
      </c>
      <c r="D104">
        <v>0</v>
      </c>
      <c r="E104">
        <v>-15</v>
      </c>
      <c r="F104">
        <v>28800.1170412227</v>
      </c>
      <c r="G104">
        <v>1</v>
      </c>
      <c r="H104">
        <v>1</v>
      </c>
    </row>
    <row r="105" spans="1:8" x14ac:dyDescent="0.2">
      <c r="A105" t="s">
        <v>236</v>
      </c>
      <c r="B105">
        <v>75</v>
      </c>
      <c r="C105">
        <v>5</v>
      </c>
      <c r="D105">
        <v>0</v>
      </c>
      <c r="E105">
        <v>-15</v>
      </c>
      <c r="F105">
        <v>28800.1162018328</v>
      </c>
      <c r="G105">
        <v>1</v>
      </c>
      <c r="H105">
        <v>1</v>
      </c>
    </row>
    <row r="106" spans="1:8" x14ac:dyDescent="0.2">
      <c r="A106" t="s">
        <v>238</v>
      </c>
      <c r="B106">
        <v>76</v>
      </c>
      <c r="C106">
        <v>5</v>
      </c>
      <c r="D106">
        <v>0</v>
      </c>
      <c r="E106">
        <v>-15</v>
      </c>
      <c r="F106">
        <v>28802.610276475501</v>
      </c>
      <c r="G106">
        <v>1</v>
      </c>
      <c r="H106">
        <v>1</v>
      </c>
    </row>
    <row r="107" spans="1:8" x14ac:dyDescent="0.2">
      <c r="A107" t="s">
        <v>240</v>
      </c>
      <c r="B107">
        <v>77</v>
      </c>
      <c r="C107">
        <v>5</v>
      </c>
      <c r="D107">
        <v>0</v>
      </c>
      <c r="E107">
        <v>-15</v>
      </c>
      <c r="F107">
        <v>28800.117202214798</v>
      </c>
      <c r="G107">
        <v>1</v>
      </c>
      <c r="H107">
        <v>1</v>
      </c>
    </row>
    <row r="108" spans="1:8" x14ac:dyDescent="0.2">
      <c r="A108" t="s">
        <v>36</v>
      </c>
      <c r="B108">
        <v>78</v>
      </c>
      <c r="C108">
        <v>15</v>
      </c>
      <c r="D108">
        <v>0</v>
      </c>
      <c r="E108">
        <v>-12</v>
      </c>
      <c r="F108">
        <v>28800.115794129601</v>
      </c>
      <c r="G108">
        <v>1</v>
      </c>
      <c r="H108">
        <v>1</v>
      </c>
    </row>
    <row r="109" spans="1:8" x14ac:dyDescent="0.2">
      <c r="A109" t="s">
        <v>37</v>
      </c>
      <c r="B109">
        <v>79</v>
      </c>
      <c r="C109">
        <v>14</v>
      </c>
      <c r="D109">
        <v>0</v>
      </c>
      <c r="E109">
        <v>-13</v>
      </c>
      <c r="F109">
        <v>28800.1192585676</v>
      </c>
      <c r="G109">
        <v>1</v>
      </c>
      <c r="H109">
        <v>1</v>
      </c>
    </row>
    <row r="110" spans="1:8" x14ac:dyDescent="0.2">
      <c r="A110" t="s">
        <v>38</v>
      </c>
      <c r="B110">
        <v>80</v>
      </c>
      <c r="C110">
        <v>7</v>
      </c>
      <c r="D110">
        <v>0</v>
      </c>
      <c r="E110">
        <v>-15</v>
      </c>
      <c r="F110">
        <v>28800.1350456699</v>
      </c>
      <c r="G110">
        <v>1</v>
      </c>
      <c r="H110">
        <v>1</v>
      </c>
    </row>
  </sheetData>
  <sortState xmlns:xlrd2="http://schemas.microsoft.com/office/spreadsheetml/2017/richdata2" ref="A46:I110">
    <sortCondition ref="B46:B110"/>
  </sortState>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1D91-46BC-DF47-8E48-7C585CE5E5FE}">
  <dimension ref="A1:I110"/>
  <sheetViews>
    <sheetView topLeftCell="A44"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1033</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1051</v>
      </c>
    </row>
    <row r="24" spans="1:9" x14ac:dyDescent="0.2">
      <c r="A24" t="s">
        <v>15</v>
      </c>
    </row>
    <row r="25" spans="1:9" x14ac:dyDescent="0.2">
      <c r="A25" t="s">
        <v>16</v>
      </c>
    </row>
    <row r="26" spans="1:9" x14ac:dyDescent="0.2">
      <c r="A26" t="s">
        <v>1052</v>
      </c>
    </row>
    <row r="27" spans="1:9" x14ac:dyDescent="0.2">
      <c r="A27"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2.01894361525774E-2</v>
      </c>
      <c r="G33">
        <v>1</v>
      </c>
      <c r="H33">
        <v>1</v>
      </c>
      <c r="I33" t="s">
        <v>1053</v>
      </c>
    </row>
    <row r="34" spans="1:9" x14ac:dyDescent="0.2">
      <c r="A34" t="s">
        <v>93</v>
      </c>
      <c r="B34">
        <v>4</v>
      </c>
      <c r="C34">
        <v>1</v>
      </c>
      <c r="D34">
        <v>2</v>
      </c>
      <c r="E34">
        <v>0</v>
      </c>
      <c r="F34">
        <v>1.47162117063999E-2</v>
      </c>
      <c r="G34">
        <v>1</v>
      </c>
      <c r="H34">
        <v>1</v>
      </c>
      <c r="I34" t="s">
        <v>1054</v>
      </c>
    </row>
    <row r="35" spans="1:9" x14ac:dyDescent="0.2">
      <c r="A35" t="s">
        <v>94</v>
      </c>
      <c r="B35">
        <v>5</v>
      </c>
      <c r="C35">
        <v>1</v>
      </c>
      <c r="D35">
        <v>3</v>
      </c>
      <c r="E35">
        <v>0</v>
      </c>
      <c r="F35">
        <v>1.6103350557386799E-2</v>
      </c>
      <c r="G35">
        <v>1</v>
      </c>
      <c r="H35">
        <v>1</v>
      </c>
      <c r="I35" t="s">
        <v>1055</v>
      </c>
    </row>
    <row r="36" spans="1:9" x14ac:dyDescent="0.2">
      <c r="A36" t="s">
        <v>95</v>
      </c>
      <c r="B36">
        <v>6</v>
      </c>
      <c r="C36">
        <v>1</v>
      </c>
      <c r="D36">
        <v>3</v>
      </c>
      <c r="E36">
        <v>0</v>
      </c>
      <c r="F36">
        <v>1.43522340804338E-2</v>
      </c>
      <c r="G36">
        <v>1</v>
      </c>
      <c r="H36">
        <v>1</v>
      </c>
      <c r="I36" t="s">
        <v>1056</v>
      </c>
    </row>
    <row r="37" spans="1:9" x14ac:dyDescent="0.2">
      <c r="A37" t="s">
        <v>96</v>
      </c>
      <c r="B37">
        <v>7</v>
      </c>
      <c r="C37">
        <v>1</v>
      </c>
      <c r="D37">
        <v>3</v>
      </c>
      <c r="E37">
        <v>0</v>
      </c>
      <c r="F37">
        <v>1.7970439046621298E-2</v>
      </c>
      <c r="G37">
        <v>1</v>
      </c>
      <c r="H37">
        <v>1</v>
      </c>
      <c r="I37" t="s">
        <v>1057</v>
      </c>
    </row>
    <row r="38" spans="1:9" x14ac:dyDescent="0.2">
      <c r="A38" t="s">
        <v>97</v>
      </c>
      <c r="B38">
        <v>8</v>
      </c>
      <c r="C38">
        <v>1</v>
      </c>
      <c r="D38">
        <v>3</v>
      </c>
      <c r="E38">
        <v>0</v>
      </c>
      <c r="F38">
        <v>7.4682909995317404E-2</v>
      </c>
      <c r="G38">
        <v>1</v>
      </c>
      <c r="H38">
        <v>1</v>
      </c>
      <c r="I38" t="s">
        <v>1058</v>
      </c>
    </row>
    <row r="39" spans="1:9" x14ac:dyDescent="0.2">
      <c r="A39" t="s">
        <v>98</v>
      </c>
      <c r="B39">
        <v>9</v>
      </c>
      <c r="C39">
        <v>1</v>
      </c>
      <c r="D39">
        <v>3</v>
      </c>
      <c r="E39">
        <v>0</v>
      </c>
      <c r="F39">
        <v>1.37595320120453E-2</v>
      </c>
      <c r="G39">
        <v>1</v>
      </c>
      <c r="H39">
        <v>1</v>
      </c>
      <c r="I39" t="s">
        <v>1059</v>
      </c>
    </row>
    <row r="40" spans="1:9" x14ac:dyDescent="0.2">
      <c r="A40" t="s">
        <v>99</v>
      </c>
      <c r="B40">
        <v>10</v>
      </c>
      <c r="C40">
        <v>1</v>
      </c>
      <c r="D40">
        <v>4</v>
      </c>
      <c r="E40">
        <v>0</v>
      </c>
      <c r="F40">
        <v>1.4279019087553E-2</v>
      </c>
      <c r="G40">
        <v>1</v>
      </c>
      <c r="H40">
        <v>1</v>
      </c>
      <c r="I40" t="s">
        <v>1060</v>
      </c>
    </row>
    <row r="41" spans="1:9" x14ac:dyDescent="0.2">
      <c r="A41" t="s">
        <v>100</v>
      </c>
      <c r="B41">
        <v>11</v>
      </c>
      <c r="C41">
        <v>1</v>
      </c>
      <c r="D41">
        <v>5</v>
      </c>
      <c r="E41">
        <v>0</v>
      </c>
      <c r="F41">
        <v>1.5943530015647401E-2</v>
      </c>
      <c r="G41">
        <v>1</v>
      </c>
      <c r="H41">
        <v>1</v>
      </c>
      <c r="I41" t="s">
        <v>1061</v>
      </c>
    </row>
    <row r="42" spans="1:9" x14ac:dyDescent="0.2">
      <c r="A42" t="s">
        <v>101</v>
      </c>
      <c r="B42">
        <v>12</v>
      </c>
      <c r="C42">
        <v>6</v>
      </c>
      <c r="D42">
        <v>3</v>
      </c>
      <c r="E42">
        <v>0</v>
      </c>
      <c r="F42">
        <v>1.3633457943797099E-2</v>
      </c>
      <c r="G42">
        <v>1</v>
      </c>
      <c r="H42">
        <v>1</v>
      </c>
      <c r="I42" t="s">
        <v>1062</v>
      </c>
    </row>
    <row r="43" spans="1:9" x14ac:dyDescent="0.2">
      <c r="A43" t="s">
        <v>102</v>
      </c>
      <c r="B43">
        <v>13</v>
      </c>
      <c r="C43">
        <v>6</v>
      </c>
      <c r="D43">
        <v>3</v>
      </c>
      <c r="E43">
        <v>0</v>
      </c>
      <c r="F43">
        <v>1.3476771302521199E-2</v>
      </c>
      <c r="G43">
        <v>1</v>
      </c>
      <c r="H43">
        <v>1</v>
      </c>
      <c r="I43" t="s">
        <v>1063</v>
      </c>
    </row>
    <row r="44" spans="1:9" x14ac:dyDescent="0.2">
      <c r="A44" t="s">
        <v>103</v>
      </c>
      <c r="B44">
        <v>14</v>
      </c>
      <c r="C44">
        <v>2</v>
      </c>
      <c r="D44">
        <v>5</v>
      </c>
      <c r="E44">
        <v>0</v>
      </c>
      <c r="F44">
        <v>2.0579898729920301E-2</v>
      </c>
      <c r="G44">
        <v>1</v>
      </c>
      <c r="H44">
        <v>1</v>
      </c>
      <c r="I44" t="s">
        <v>1064</v>
      </c>
    </row>
    <row r="45" spans="1:9" x14ac:dyDescent="0.2">
      <c r="A45" t="s">
        <v>104</v>
      </c>
      <c r="B45">
        <v>15</v>
      </c>
      <c r="C45">
        <v>2</v>
      </c>
      <c r="D45">
        <v>5</v>
      </c>
      <c r="E45">
        <v>0</v>
      </c>
      <c r="F45">
        <v>2.0313364453613699E-2</v>
      </c>
      <c r="G45">
        <v>1</v>
      </c>
      <c r="H45">
        <v>1</v>
      </c>
      <c r="I45" t="s">
        <v>1065</v>
      </c>
    </row>
    <row r="46" spans="1:9" x14ac:dyDescent="0.2">
      <c r="A46" t="s">
        <v>105</v>
      </c>
      <c r="B46">
        <v>16</v>
      </c>
      <c r="C46">
        <v>1</v>
      </c>
      <c r="D46">
        <v>6</v>
      </c>
      <c r="E46">
        <v>0</v>
      </c>
      <c r="F46">
        <v>0.26514577679335999</v>
      </c>
      <c r="G46">
        <v>1</v>
      </c>
      <c r="H46">
        <v>1</v>
      </c>
      <c r="I46" t="s">
        <v>1066</v>
      </c>
    </row>
    <row r="47" spans="1:9" x14ac:dyDescent="0.2">
      <c r="A47" t="s">
        <v>106</v>
      </c>
      <c r="B47">
        <v>17</v>
      </c>
      <c r="C47">
        <v>3</v>
      </c>
      <c r="D47">
        <v>5</v>
      </c>
      <c r="E47">
        <v>0</v>
      </c>
      <c r="F47">
        <v>2.2161301225423799E-2</v>
      </c>
      <c r="G47">
        <v>1</v>
      </c>
      <c r="H47">
        <v>1</v>
      </c>
      <c r="I47" t="s">
        <v>1067</v>
      </c>
    </row>
    <row r="48" spans="1:9" x14ac:dyDescent="0.2">
      <c r="A48" t="s">
        <v>107</v>
      </c>
      <c r="B48">
        <v>18</v>
      </c>
      <c r="C48">
        <v>5</v>
      </c>
      <c r="D48">
        <v>5</v>
      </c>
      <c r="E48">
        <v>0</v>
      </c>
      <c r="F48">
        <v>3.3530186861753401E-2</v>
      </c>
      <c r="G48">
        <v>1</v>
      </c>
      <c r="H48">
        <v>1</v>
      </c>
      <c r="I48" t="s">
        <v>1068</v>
      </c>
    </row>
    <row r="49" spans="1:9" x14ac:dyDescent="0.2">
      <c r="A49" t="s">
        <v>108</v>
      </c>
      <c r="B49">
        <v>19</v>
      </c>
      <c r="C49">
        <v>5</v>
      </c>
      <c r="D49">
        <v>5</v>
      </c>
      <c r="E49">
        <v>0</v>
      </c>
      <c r="F49">
        <v>3.2995032146572997E-2</v>
      </c>
      <c r="G49">
        <v>1</v>
      </c>
      <c r="H49">
        <v>1</v>
      </c>
      <c r="I49" t="s">
        <v>1069</v>
      </c>
    </row>
    <row r="50" spans="1:9" x14ac:dyDescent="0.2">
      <c r="A50" t="s">
        <v>109</v>
      </c>
      <c r="B50">
        <v>20</v>
      </c>
      <c r="C50">
        <v>3</v>
      </c>
      <c r="D50">
        <v>6</v>
      </c>
      <c r="E50">
        <v>0</v>
      </c>
      <c r="F50">
        <v>0.44185539055615602</v>
      </c>
      <c r="G50">
        <v>1</v>
      </c>
      <c r="H50">
        <v>1</v>
      </c>
      <c r="I50" t="s">
        <v>1070</v>
      </c>
    </row>
    <row r="51" spans="1:9" x14ac:dyDescent="0.2">
      <c r="A51" t="s">
        <v>110</v>
      </c>
      <c r="B51">
        <v>21</v>
      </c>
      <c r="C51">
        <v>3</v>
      </c>
      <c r="D51">
        <v>6</v>
      </c>
      <c r="E51">
        <v>0</v>
      </c>
      <c r="F51">
        <v>0.44258954003453199</v>
      </c>
      <c r="G51">
        <v>1</v>
      </c>
      <c r="H51">
        <v>1</v>
      </c>
      <c r="I51" t="s">
        <v>1071</v>
      </c>
    </row>
    <row r="52" spans="1:9" x14ac:dyDescent="0.2">
      <c r="A52" t="s">
        <v>111</v>
      </c>
      <c r="B52">
        <v>22</v>
      </c>
      <c r="C52">
        <v>7</v>
      </c>
      <c r="D52">
        <v>5</v>
      </c>
      <c r="E52">
        <v>0</v>
      </c>
      <c r="F52">
        <v>5.3945272229611797E-2</v>
      </c>
      <c r="G52">
        <v>1</v>
      </c>
      <c r="H52">
        <v>1</v>
      </c>
      <c r="I52" t="s">
        <v>1072</v>
      </c>
    </row>
    <row r="53" spans="1:9" x14ac:dyDescent="0.2">
      <c r="A53" t="s">
        <v>112</v>
      </c>
      <c r="B53">
        <v>23</v>
      </c>
      <c r="C53">
        <v>2</v>
      </c>
      <c r="D53">
        <v>7</v>
      </c>
      <c r="E53">
        <v>0</v>
      </c>
      <c r="F53">
        <v>25.449986932799199</v>
      </c>
      <c r="G53">
        <v>1</v>
      </c>
      <c r="H53">
        <v>1</v>
      </c>
      <c r="I53" t="s">
        <v>1073</v>
      </c>
    </row>
    <row r="54" spans="1:9" x14ac:dyDescent="0.2">
      <c r="A54" t="s">
        <v>113</v>
      </c>
      <c r="B54">
        <v>24</v>
      </c>
      <c r="C54">
        <v>8</v>
      </c>
      <c r="D54">
        <v>5</v>
      </c>
      <c r="E54">
        <v>0</v>
      </c>
      <c r="F54">
        <v>6.5455300733447006E-2</v>
      </c>
      <c r="G54">
        <v>1</v>
      </c>
      <c r="H54">
        <v>1</v>
      </c>
      <c r="I54" t="s">
        <v>1074</v>
      </c>
    </row>
    <row r="55" spans="1:9" x14ac:dyDescent="0.2">
      <c r="A55" t="s">
        <v>114</v>
      </c>
      <c r="B55">
        <v>25</v>
      </c>
      <c r="C55">
        <v>8</v>
      </c>
      <c r="D55">
        <v>5</v>
      </c>
      <c r="E55">
        <v>0</v>
      </c>
      <c r="F55">
        <v>6.4647968858480398E-2</v>
      </c>
      <c r="G55">
        <v>1</v>
      </c>
      <c r="H55">
        <v>1</v>
      </c>
      <c r="I55" t="s">
        <v>1075</v>
      </c>
    </row>
    <row r="56" spans="1:9" x14ac:dyDescent="0.2">
      <c r="A56" t="s">
        <v>115</v>
      </c>
      <c r="B56">
        <v>26</v>
      </c>
      <c r="C56">
        <v>6</v>
      </c>
      <c r="D56">
        <v>6</v>
      </c>
      <c r="E56">
        <v>0</v>
      </c>
      <c r="F56">
        <v>2.2800810802727902</v>
      </c>
      <c r="G56">
        <v>1</v>
      </c>
      <c r="H56">
        <v>1</v>
      </c>
      <c r="I56" t="s">
        <v>1076</v>
      </c>
    </row>
    <row r="57" spans="1:9" x14ac:dyDescent="0.2">
      <c r="A57" t="s">
        <v>116</v>
      </c>
      <c r="B57">
        <v>27</v>
      </c>
      <c r="C57">
        <v>6</v>
      </c>
      <c r="D57">
        <v>6</v>
      </c>
      <c r="E57">
        <v>0</v>
      </c>
      <c r="F57">
        <v>2.2713823057711102</v>
      </c>
      <c r="G57">
        <v>1</v>
      </c>
      <c r="H57">
        <v>1</v>
      </c>
      <c r="I57" t="s">
        <v>1077</v>
      </c>
    </row>
    <row r="58" spans="1:9" x14ac:dyDescent="0.2">
      <c r="A58" t="s">
        <v>117</v>
      </c>
      <c r="B58">
        <v>28</v>
      </c>
      <c r="C58">
        <v>6</v>
      </c>
      <c r="D58">
        <v>6</v>
      </c>
      <c r="E58">
        <v>0</v>
      </c>
      <c r="F58">
        <v>2.2809716304764098</v>
      </c>
      <c r="G58">
        <v>1</v>
      </c>
      <c r="H58">
        <v>1</v>
      </c>
      <c r="I58" t="s">
        <v>1078</v>
      </c>
    </row>
    <row r="59" spans="1:9" x14ac:dyDescent="0.2">
      <c r="A59" t="s">
        <v>118</v>
      </c>
      <c r="B59">
        <v>29</v>
      </c>
      <c r="C59">
        <v>6</v>
      </c>
      <c r="D59">
        <v>7</v>
      </c>
      <c r="E59">
        <v>0</v>
      </c>
      <c r="F59">
        <v>162.452353297732</v>
      </c>
      <c r="G59">
        <v>1</v>
      </c>
      <c r="H59">
        <v>1</v>
      </c>
      <c r="I59" t="s">
        <v>1079</v>
      </c>
    </row>
    <row r="60" spans="1:9" x14ac:dyDescent="0.2">
      <c r="A60" t="s">
        <v>119</v>
      </c>
      <c r="B60">
        <v>30</v>
      </c>
      <c r="C60">
        <v>9</v>
      </c>
      <c r="D60">
        <v>6</v>
      </c>
      <c r="E60">
        <v>0</v>
      </c>
      <c r="F60">
        <v>8.1521185357123596</v>
      </c>
      <c r="G60">
        <v>1</v>
      </c>
      <c r="H60">
        <v>1</v>
      </c>
      <c r="I60" t="s">
        <v>1080</v>
      </c>
    </row>
    <row r="61" spans="1:9" x14ac:dyDescent="0.2">
      <c r="A61" t="s">
        <v>120</v>
      </c>
      <c r="B61">
        <v>31</v>
      </c>
      <c r="C61">
        <v>9</v>
      </c>
      <c r="D61">
        <v>6</v>
      </c>
      <c r="E61">
        <v>0</v>
      </c>
      <c r="F61">
        <v>8.1546515775844401</v>
      </c>
      <c r="G61">
        <v>1</v>
      </c>
      <c r="H61">
        <v>1</v>
      </c>
      <c r="I61" t="s">
        <v>1081</v>
      </c>
    </row>
    <row r="62" spans="1:9" x14ac:dyDescent="0.2">
      <c r="A62" t="s">
        <v>121</v>
      </c>
      <c r="B62">
        <v>32</v>
      </c>
      <c r="C62">
        <v>5</v>
      </c>
      <c r="D62">
        <v>8</v>
      </c>
      <c r="E62">
        <v>0</v>
      </c>
      <c r="F62">
        <v>7169.6330119250297</v>
      </c>
      <c r="G62">
        <v>1</v>
      </c>
      <c r="H62">
        <v>1</v>
      </c>
      <c r="I62" t="s">
        <v>1082</v>
      </c>
    </row>
    <row r="63" spans="1:9" x14ac:dyDescent="0.2">
      <c r="A63" t="s">
        <v>122</v>
      </c>
      <c r="B63">
        <v>33</v>
      </c>
      <c r="C63">
        <v>7</v>
      </c>
      <c r="D63">
        <v>8</v>
      </c>
      <c r="E63">
        <v>0</v>
      </c>
      <c r="F63">
        <v>13337.341799964101</v>
      </c>
      <c r="G63">
        <v>1</v>
      </c>
      <c r="H63">
        <v>1</v>
      </c>
      <c r="I63" t="s">
        <v>1083</v>
      </c>
    </row>
    <row r="64" spans="1:9" x14ac:dyDescent="0.2">
      <c r="A64" t="s">
        <v>123</v>
      </c>
      <c r="B64">
        <v>34</v>
      </c>
      <c r="C64">
        <v>17</v>
      </c>
      <c r="D64">
        <v>5</v>
      </c>
      <c r="E64">
        <v>0</v>
      </c>
      <c r="F64">
        <v>0.34773479029536197</v>
      </c>
      <c r="G64">
        <v>1</v>
      </c>
      <c r="H64">
        <v>1</v>
      </c>
      <c r="I64" t="s">
        <v>1084</v>
      </c>
    </row>
    <row r="65" spans="1:9" x14ac:dyDescent="0.2">
      <c r="A65" t="s">
        <v>124</v>
      </c>
      <c r="B65">
        <v>35</v>
      </c>
      <c r="C65">
        <v>4</v>
      </c>
      <c r="D65">
        <v>0</v>
      </c>
      <c r="E65">
        <v>-9</v>
      </c>
      <c r="F65">
        <v>28800.344587112701</v>
      </c>
      <c r="G65">
        <v>1</v>
      </c>
      <c r="H65">
        <v>1</v>
      </c>
    </row>
    <row r="66" spans="1:9" x14ac:dyDescent="0.2">
      <c r="A66" t="s">
        <v>125</v>
      </c>
      <c r="B66">
        <v>36</v>
      </c>
      <c r="C66">
        <v>4</v>
      </c>
      <c r="D66">
        <v>0</v>
      </c>
      <c r="E66">
        <v>-9</v>
      </c>
      <c r="F66">
        <v>28800.109907826401</v>
      </c>
      <c r="G66">
        <v>1</v>
      </c>
      <c r="H66">
        <v>1</v>
      </c>
    </row>
    <row r="67" spans="1:9" x14ac:dyDescent="0.2">
      <c r="A67" t="s">
        <v>126</v>
      </c>
      <c r="B67">
        <v>37</v>
      </c>
      <c r="C67">
        <v>4</v>
      </c>
      <c r="D67">
        <v>0</v>
      </c>
      <c r="E67">
        <v>-9</v>
      </c>
      <c r="F67">
        <v>28800.110171844201</v>
      </c>
      <c r="G67">
        <v>1</v>
      </c>
      <c r="H67">
        <v>1</v>
      </c>
    </row>
    <row r="68" spans="1:9" x14ac:dyDescent="0.2">
      <c r="A68" t="s">
        <v>127</v>
      </c>
      <c r="B68">
        <v>38</v>
      </c>
      <c r="C68">
        <v>4</v>
      </c>
      <c r="D68">
        <v>0</v>
      </c>
      <c r="E68">
        <v>-9</v>
      </c>
      <c r="F68">
        <v>28800.109918839298</v>
      </c>
      <c r="G68">
        <v>1</v>
      </c>
      <c r="H68">
        <v>1</v>
      </c>
    </row>
    <row r="69" spans="1:9" x14ac:dyDescent="0.2">
      <c r="A69" t="s">
        <v>128</v>
      </c>
      <c r="B69">
        <v>39</v>
      </c>
      <c r="C69">
        <v>4</v>
      </c>
      <c r="D69">
        <v>0</v>
      </c>
      <c r="E69">
        <v>-9</v>
      </c>
      <c r="F69">
        <v>28800.126395986401</v>
      </c>
      <c r="G69">
        <v>1</v>
      </c>
      <c r="H69">
        <v>1</v>
      </c>
    </row>
    <row r="70" spans="1:9" x14ac:dyDescent="0.2">
      <c r="A70" t="s">
        <v>129</v>
      </c>
      <c r="B70">
        <v>40</v>
      </c>
      <c r="C70">
        <v>5</v>
      </c>
      <c r="D70">
        <v>0</v>
      </c>
      <c r="E70">
        <v>-9</v>
      </c>
      <c r="F70">
        <v>28800.1375510199</v>
      </c>
      <c r="G70">
        <v>1</v>
      </c>
      <c r="H70">
        <v>1</v>
      </c>
    </row>
    <row r="71" spans="1:9" x14ac:dyDescent="0.2">
      <c r="A71" t="s">
        <v>130</v>
      </c>
      <c r="B71">
        <v>41</v>
      </c>
      <c r="C71">
        <v>2</v>
      </c>
      <c r="D71">
        <v>0</v>
      </c>
      <c r="E71">
        <v>-11</v>
      </c>
      <c r="F71">
        <v>28800.112573664599</v>
      </c>
      <c r="G71">
        <v>1</v>
      </c>
      <c r="H71">
        <v>1</v>
      </c>
    </row>
    <row r="72" spans="1:9" x14ac:dyDescent="0.2">
      <c r="A72" t="s">
        <v>131</v>
      </c>
      <c r="B72">
        <v>42</v>
      </c>
      <c r="C72">
        <v>5</v>
      </c>
      <c r="D72">
        <v>0</v>
      </c>
      <c r="E72">
        <v>-9</v>
      </c>
      <c r="F72">
        <v>28800.1121812565</v>
      </c>
      <c r="G72">
        <v>1</v>
      </c>
      <c r="H72">
        <v>1</v>
      </c>
    </row>
    <row r="73" spans="1:9" x14ac:dyDescent="0.2">
      <c r="A73" t="s">
        <v>132</v>
      </c>
      <c r="B73">
        <v>43</v>
      </c>
      <c r="C73">
        <v>6</v>
      </c>
      <c r="D73">
        <v>0</v>
      </c>
      <c r="E73">
        <v>-9</v>
      </c>
      <c r="F73">
        <v>28800.226552955799</v>
      </c>
      <c r="G73">
        <v>1</v>
      </c>
      <c r="H73">
        <v>1</v>
      </c>
    </row>
    <row r="74" spans="1:9" x14ac:dyDescent="0.2">
      <c r="A74" t="s">
        <v>133</v>
      </c>
      <c r="B74">
        <v>44</v>
      </c>
      <c r="C74">
        <v>6</v>
      </c>
      <c r="D74">
        <v>0</v>
      </c>
      <c r="E74">
        <v>-9</v>
      </c>
      <c r="F74">
        <v>28800.118742591701</v>
      </c>
      <c r="G74">
        <v>1</v>
      </c>
      <c r="H74">
        <v>1</v>
      </c>
    </row>
    <row r="75" spans="1:9" x14ac:dyDescent="0.2">
      <c r="A75" t="s">
        <v>134</v>
      </c>
      <c r="B75">
        <v>45</v>
      </c>
      <c r="C75">
        <v>6</v>
      </c>
      <c r="D75">
        <v>0</v>
      </c>
      <c r="E75">
        <v>-9</v>
      </c>
      <c r="F75">
        <v>28800.138307602101</v>
      </c>
      <c r="G75">
        <v>1</v>
      </c>
      <c r="H75">
        <v>1</v>
      </c>
    </row>
    <row r="76" spans="1:9" x14ac:dyDescent="0.2">
      <c r="A76" t="s">
        <v>135</v>
      </c>
      <c r="B76">
        <v>46</v>
      </c>
      <c r="C76">
        <v>7</v>
      </c>
      <c r="D76">
        <v>0</v>
      </c>
      <c r="E76">
        <v>-9</v>
      </c>
      <c r="F76">
        <v>28800.114048516301</v>
      </c>
      <c r="G76">
        <v>1</v>
      </c>
      <c r="H76">
        <v>1</v>
      </c>
    </row>
    <row r="77" spans="1:9" x14ac:dyDescent="0.2">
      <c r="A77" t="s">
        <v>136</v>
      </c>
      <c r="B77">
        <v>47</v>
      </c>
      <c r="C77">
        <v>8</v>
      </c>
      <c r="D77">
        <v>0</v>
      </c>
      <c r="E77">
        <v>-9</v>
      </c>
      <c r="F77">
        <v>28800.113923507699</v>
      </c>
      <c r="G77">
        <v>1</v>
      </c>
      <c r="H77">
        <v>1</v>
      </c>
    </row>
    <row r="78" spans="1:9" x14ac:dyDescent="0.2">
      <c r="A78" t="s">
        <v>137</v>
      </c>
      <c r="B78">
        <v>48</v>
      </c>
      <c r="C78">
        <v>5</v>
      </c>
      <c r="D78">
        <v>0</v>
      </c>
      <c r="E78">
        <v>-10</v>
      </c>
      <c r="F78">
        <v>28800.230038165999</v>
      </c>
      <c r="G78">
        <v>1</v>
      </c>
      <c r="H78">
        <v>1</v>
      </c>
    </row>
    <row r="79" spans="1:9" x14ac:dyDescent="0.2">
      <c r="A79" t="s">
        <v>138</v>
      </c>
      <c r="B79">
        <v>49</v>
      </c>
      <c r="C79">
        <v>17</v>
      </c>
      <c r="D79">
        <v>7</v>
      </c>
      <c r="E79">
        <v>0</v>
      </c>
      <c r="F79">
        <v>8295.5894078454003</v>
      </c>
      <c r="G79">
        <v>1</v>
      </c>
      <c r="H79">
        <v>1</v>
      </c>
      <c r="I79" t="s">
        <v>1085</v>
      </c>
    </row>
    <row r="80" spans="1:9" x14ac:dyDescent="0.2">
      <c r="A80" t="s">
        <v>139</v>
      </c>
      <c r="B80">
        <v>50</v>
      </c>
      <c r="C80">
        <v>13</v>
      </c>
      <c r="D80">
        <v>0</v>
      </c>
      <c r="E80">
        <v>-8</v>
      </c>
      <c r="F80">
        <v>28800.206706974601</v>
      </c>
      <c r="G80">
        <v>1</v>
      </c>
      <c r="H80">
        <v>1</v>
      </c>
    </row>
    <row r="81" spans="1:8" x14ac:dyDescent="0.2">
      <c r="A81" t="s">
        <v>188</v>
      </c>
      <c r="B81">
        <v>51</v>
      </c>
      <c r="C81">
        <v>12</v>
      </c>
      <c r="D81">
        <v>0</v>
      </c>
      <c r="E81">
        <v>-9</v>
      </c>
      <c r="F81">
        <v>28800.1418899251</v>
      </c>
      <c r="G81">
        <v>1</v>
      </c>
      <c r="H81">
        <v>1</v>
      </c>
    </row>
    <row r="82" spans="1:8" x14ac:dyDescent="0.2">
      <c r="A82" t="s">
        <v>190</v>
      </c>
      <c r="B82">
        <v>52</v>
      </c>
      <c r="C82">
        <v>10</v>
      </c>
      <c r="D82">
        <v>0</v>
      </c>
      <c r="E82">
        <v>-10</v>
      </c>
      <c r="F82">
        <v>28800.1540491329</v>
      </c>
      <c r="G82">
        <v>1</v>
      </c>
      <c r="H82">
        <v>1</v>
      </c>
    </row>
    <row r="83" spans="1:8" x14ac:dyDescent="0.2">
      <c r="A83" t="s">
        <v>192</v>
      </c>
      <c r="B83">
        <v>53</v>
      </c>
      <c r="C83">
        <v>6</v>
      </c>
      <c r="D83">
        <v>0</v>
      </c>
      <c r="E83">
        <v>-11</v>
      </c>
      <c r="F83">
        <v>28800.141889139999</v>
      </c>
      <c r="G83">
        <v>1</v>
      </c>
      <c r="H83">
        <v>1</v>
      </c>
    </row>
    <row r="84" spans="1:8" x14ac:dyDescent="0.2">
      <c r="A84" t="s">
        <v>194</v>
      </c>
      <c r="B84">
        <v>54</v>
      </c>
      <c r="C84">
        <v>12</v>
      </c>
      <c r="D84">
        <v>0</v>
      </c>
      <c r="E84">
        <v>-10</v>
      </c>
      <c r="F84">
        <v>28800.1443041237</v>
      </c>
      <c r="G84">
        <v>1</v>
      </c>
      <c r="H84">
        <v>1</v>
      </c>
    </row>
    <row r="85" spans="1:8" x14ac:dyDescent="0.2">
      <c r="A85" t="s">
        <v>196</v>
      </c>
      <c r="B85">
        <v>55</v>
      </c>
      <c r="C85">
        <v>5</v>
      </c>
      <c r="D85">
        <v>0</v>
      </c>
      <c r="E85">
        <v>-12</v>
      </c>
      <c r="F85">
        <v>28800.137753351501</v>
      </c>
      <c r="G85">
        <v>1</v>
      </c>
      <c r="H85">
        <v>1</v>
      </c>
    </row>
    <row r="86" spans="1:8" x14ac:dyDescent="0.2">
      <c r="A86" t="s">
        <v>198</v>
      </c>
      <c r="B86">
        <v>56</v>
      </c>
      <c r="C86">
        <v>5</v>
      </c>
      <c r="D86">
        <v>0</v>
      </c>
      <c r="E86">
        <v>-12</v>
      </c>
      <c r="F86">
        <v>28800.1149517456</v>
      </c>
      <c r="G86">
        <v>1</v>
      </c>
      <c r="H86">
        <v>1</v>
      </c>
    </row>
    <row r="87" spans="1:8" x14ac:dyDescent="0.2">
      <c r="A87" t="s">
        <v>200</v>
      </c>
      <c r="B87">
        <v>57</v>
      </c>
      <c r="C87">
        <v>4</v>
      </c>
      <c r="D87">
        <v>0</v>
      </c>
      <c r="E87">
        <v>-13</v>
      </c>
      <c r="F87">
        <v>28800.1140086427</v>
      </c>
      <c r="G87">
        <v>1</v>
      </c>
      <c r="H87">
        <v>1</v>
      </c>
    </row>
    <row r="88" spans="1:8" x14ac:dyDescent="0.2">
      <c r="A88" t="s">
        <v>202</v>
      </c>
      <c r="B88">
        <v>58</v>
      </c>
      <c r="C88">
        <v>12</v>
      </c>
      <c r="D88">
        <v>0</v>
      </c>
      <c r="E88">
        <v>-10</v>
      </c>
      <c r="F88">
        <v>28800.113914703899</v>
      </c>
      <c r="G88">
        <v>1</v>
      </c>
      <c r="H88">
        <v>1</v>
      </c>
    </row>
    <row r="89" spans="1:8" x14ac:dyDescent="0.2">
      <c r="A89" t="s">
        <v>204</v>
      </c>
      <c r="B89">
        <v>59</v>
      </c>
      <c r="C89">
        <v>12</v>
      </c>
      <c r="D89">
        <v>0</v>
      </c>
      <c r="E89">
        <v>-10</v>
      </c>
      <c r="F89">
        <v>28800.113145462201</v>
      </c>
      <c r="G89">
        <v>1</v>
      </c>
      <c r="H89">
        <v>1</v>
      </c>
    </row>
    <row r="90" spans="1:8" x14ac:dyDescent="0.2">
      <c r="A90" t="s">
        <v>206</v>
      </c>
      <c r="B90">
        <v>60</v>
      </c>
      <c r="C90">
        <v>10</v>
      </c>
      <c r="D90">
        <v>0</v>
      </c>
      <c r="E90">
        <v>-11</v>
      </c>
      <c r="F90">
        <v>28800.1189204398</v>
      </c>
      <c r="G90">
        <v>1</v>
      </c>
      <c r="H90">
        <v>1</v>
      </c>
    </row>
    <row r="91" spans="1:8" x14ac:dyDescent="0.2">
      <c r="A91" t="s">
        <v>208</v>
      </c>
      <c r="B91">
        <v>61</v>
      </c>
      <c r="C91">
        <v>10</v>
      </c>
      <c r="D91">
        <v>0</v>
      </c>
      <c r="E91">
        <v>-11</v>
      </c>
      <c r="F91">
        <v>28800.114969386701</v>
      </c>
      <c r="G91">
        <v>1</v>
      </c>
      <c r="H91">
        <v>1</v>
      </c>
    </row>
    <row r="92" spans="1:8" x14ac:dyDescent="0.2">
      <c r="A92" t="s">
        <v>210</v>
      </c>
      <c r="B92">
        <v>62</v>
      </c>
      <c r="C92">
        <v>16</v>
      </c>
      <c r="D92">
        <v>0</v>
      </c>
      <c r="E92">
        <v>-10</v>
      </c>
      <c r="F92">
        <v>28800.114999138699</v>
      </c>
      <c r="G92">
        <v>1</v>
      </c>
      <c r="H92">
        <v>1</v>
      </c>
    </row>
    <row r="93" spans="1:8" x14ac:dyDescent="0.2">
      <c r="A93" t="s">
        <v>212</v>
      </c>
      <c r="B93">
        <v>63</v>
      </c>
      <c r="C93">
        <v>8</v>
      </c>
      <c r="D93">
        <v>0</v>
      </c>
      <c r="E93">
        <v>-13</v>
      </c>
      <c r="F93">
        <v>28800.114097176101</v>
      </c>
      <c r="G93">
        <v>1</v>
      </c>
      <c r="H93">
        <v>1</v>
      </c>
    </row>
    <row r="94" spans="1:8" x14ac:dyDescent="0.2">
      <c r="A94" t="s">
        <v>214</v>
      </c>
      <c r="B94">
        <v>64</v>
      </c>
      <c r="C94">
        <v>13</v>
      </c>
      <c r="D94">
        <v>0</v>
      </c>
      <c r="E94">
        <v>-12</v>
      </c>
      <c r="F94">
        <v>28800.1150663308</v>
      </c>
      <c r="G94">
        <v>1</v>
      </c>
      <c r="H94">
        <v>1</v>
      </c>
    </row>
    <row r="95" spans="1:8" x14ac:dyDescent="0.2">
      <c r="A95" t="s">
        <v>216</v>
      </c>
      <c r="B95">
        <v>65</v>
      </c>
      <c r="C95">
        <v>5</v>
      </c>
      <c r="D95">
        <v>0</v>
      </c>
      <c r="E95">
        <v>-14</v>
      </c>
      <c r="F95">
        <v>28800.1197771513</v>
      </c>
      <c r="G95">
        <v>1</v>
      </c>
      <c r="H95">
        <v>1</v>
      </c>
    </row>
    <row r="96" spans="1:8" x14ac:dyDescent="0.2">
      <c r="A96" t="s">
        <v>218</v>
      </c>
      <c r="B96">
        <v>66</v>
      </c>
      <c r="C96">
        <v>5</v>
      </c>
      <c r="D96">
        <v>0</v>
      </c>
      <c r="E96">
        <v>-14</v>
      </c>
      <c r="F96">
        <v>28800.1155279669</v>
      </c>
      <c r="G96">
        <v>1</v>
      </c>
      <c r="H96">
        <v>1</v>
      </c>
    </row>
    <row r="97" spans="1:8" x14ac:dyDescent="0.2">
      <c r="A97" t="s">
        <v>220</v>
      </c>
      <c r="B97">
        <v>67</v>
      </c>
      <c r="C97">
        <v>5</v>
      </c>
      <c r="D97">
        <v>0</v>
      </c>
      <c r="E97">
        <v>-14</v>
      </c>
      <c r="F97">
        <v>28800.123999224899</v>
      </c>
      <c r="G97">
        <v>1</v>
      </c>
      <c r="H97">
        <v>1</v>
      </c>
    </row>
    <row r="98" spans="1:8" x14ac:dyDescent="0.2">
      <c r="A98" t="s">
        <v>222</v>
      </c>
      <c r="B98">
        <v>68</v>
      </c>
      <c r="C98">
        <v>5</v>
      </c>
      <c r="D98">
        <v>0</v>
      </c>
      <c r="E98">
        <v>-14</v>
      </c>
      <c r="F98">
        <v>28800.2027643853</v>
      </c>
      <c r="G98">
        <v>1</v>
      </c>
      <c r="H98">
        <v>1</v>
      </c>
    </row>
    <row r="99" spans="1:8" x14ac:dyDescent="0.2">
      <c r="A99" t="s">
        <v>224</v>
      </c>
      <c r="B99">
        <v>69</v>
      </c>
      <c r="C99">
        <v>5</v>
      </c>
      <c r="D99">
        <v>0</v>
      </c>
      <c r="E99">
        <v>-14</v>
      </c>
      <c r="F99">
        <v>28800.118373662201</v>
      </c>
      <c r="G99">
        <v>1</v>
      </c>
      <c r="H99">
        <v>1</v>
      </c>
    </row>
    <row r="100" spans="1:8" x14ac:dyDescent="0.2">
      <c r="A100" t="s">
        <v>226</v>
      </c>
      <c r="B100">
        <v>70</v>
      </c>
      <c r="C100">
        <v>5</v>
      </c>
      <c r="D100">
        <v>0</v>
      </c>
      <c r="E100">
        <v>-14</v>
      </c>
      <c r="F100">
        <v>28800.1386170396</v>
      </c>
      <c r="G100">
        <v>1</v>
      </c>
      <c r="H100">
        <v>1</v>
      </c>
    </row>
    <row r="101" spans="1:8" x14ac:dyDescent="0.2">
      <c r="A101" t="s">
        <v>228</v>
      </c>
      <c r="B101">
        <v>71</v>
      </c>
      <c r="C101">
        <v>5</v>
      </c>
      <c r="D101">
        <v>0</v>
      </c>
      <c r="E101">
        <v>-15</v>
      </c>
      <c r="F101">
        <v>28800.117391704502</v>
      </c>
      <c r="G101">
        <v>1</v>
      </c>
      <c r="H101">
        <v>1</v>
      </c>
    </row>
    <row r="102" spans="1:8" x14ac:dyDescent="0.2">
      <c r="A102" t="s">
        <v>230</v>
      </c>
      <c r="B102">
        <v>72</v>
      </c>
      <c r="C102">
        <v>5</v>
      </c>
      <c r="D102">
        <v>0</v>
      </c>
      <c r="E102">
        <v>-15</v>
      </c>
      <c r="F102">
        <v>28800.135792208799</v>
      </c>
      <c r="G102">
        <v>1</v>
      </c>
      <c r="H102">
        <v>1</v>
      </c>
    </row>
    <row r="103" spans="1:8" x14ac:dyDescent="0.2">
      <c r="A103" t="s">
        <v>232</v>
      </c>
      <c r="B103">
        <v>73</v>
      </c>
      <c r="C103">
        <v>5</v>
      </c>
      <c r="D103">
        <v>0</v>
      </c>
      <c r="E103">
        <v>-15</v>
      </c>
      <c r="F103">
        <v>28800.201730640601</v>
      </c>
      <c r="G103">
        <v>1</v>
      </c>
      <c r="H103">
        <v>1</v>
      </c>
    </row>
    <row r="104" spans="1:8" x14ac:dyDescent="0.2">
      <c r="A104" t="s">
        <v>234</v>
      </c>
      <c r="B104">
        <v>74</v>
      </c>
      <c r="C104">
        <v>5</v>
      </c>
      <c r="D104">
        <v>0</v>
      </c>
      <c r="E104">
        <v>-15</v>
      </c>
      <c r="F104">
        <v>28800.120093609199</v>
      </c>
      <c r="G104">
        <v>1</v>
      </c>
      <c r="H104">
        <v>1</v>
      </c>
    </row>
    <row r="105" spans="1:8" x14ac:dyDescent="0.2">
      <c r="A105" t="s">
        <v>236</v>
      </c>
      <c r="B105">
        <v>75</v>
      </c>
      <c r="C105">
        <v>5</v>
      </c>
      <c r="D105">
        <v>0</v>
      </c>
      <c r="E105">
        <v>-15</v>
      </c>
      <c r="F105">
        <v>28800.1425523338</v>
      </c>
      <c r="G105">
        <v>1</v>
      </c>
      <c r="H105">
        <v>1</v>
      </c>
    </row>
    <row r="106" spans="1:8" x14ac:dyDescent="0.2">
      <c r="A106" t="s">
        <v>238</v>
      </c>
      <c r="B106">
        <v>76</v>
      </c>
      <c r="C106">
        <v>5</v>
      </c>
      <c r="D106">
        <v>0</v>
      </c>
      <c r="E106">
        <v>-15</v>
      </c>
      <c r="F106">
        <v>28800.118407809099</v>
      </c>
      <c r="G106">
        <v>1</v>
      </c>
      <c r="H106">
        <v>1</v>
      </c>
    </row>
    <row r="107" spans="1:8" x14ac:dyDescent="0.2">
      <c r="A107" t="s">
        <v>240</v>
      </c>
      <c r="B107">
        <v>77</v>
      </c>
      <c r="C107">
        <v>5</v>
      </c>
      <c r="D107">
        <v>0</v>
      </c>
      <c r="E107">
        <v>-15</v>
      </c>
      <c r="F107">
        <v>28800.126798768499</v>
      </c>
      <c r="G107">
        <v>1</v>
      </c>
      <c r="H107">
        <v>1</v>
      </c>
    </row>
    <row r="108" spans="1:8" x14ac:dyDescent="0.2">
      <c r="A108" t="s">
        <v>36</v>
      </c>
      <c r="B108">
        <v>78</v>
      </c>
      <c r="C108">
        <v>15</v>
      </c>
      <c r="D108">
        <v>0</v>
      </c>
      <c r="E108">
        <v>-12</v>
      </c>
      <c r="F108">
        <v>28800.202232940999</v>
      </c>
      <c r="G108">
        <v>1</v>
      </c>
      <c r="H108">
        <v>1</v>
      </c>
    </row>
    <row r="109" spans="1:8" x14ac:dyDescent="0.2">
      <c r="A109" t="s">
        <v>37</v>
      </c>
      <c r="B109">
        <v>79</v>
      </c>
      <c r="C109">
        <v>14</v>
      </c>
      <c r="D109">
        <v>0</v>
      </c>
      <c r="E109">
        <v>-13</v>
      </c>
      <c r="F109">
        <v>28800.118655142302</v>
      </c>
      <c r="G109">
        <v>1</v>
      </c>
      <c r="H109">
        <v>1</v>
      </c>
    </row>
    <row r="110" spans="1:8" x14ac:dyDescent="0.2">
      <c r="A110" t="s">
        <v>38</v>
      </c>
      <c r="B110">
        <v>80</v>
      </c>
      <c r="C110">
        <v>7</v>
      </c>
      <c r="D110">
        <v>0</v>
      </c>
      <c r="E110">
        <v>-15</v>
      </c>
      <c r="F110">
        <v>28800.181399437599</v>
      </c>
      <c r="G110">
        <v>1</v>
      </c>
      <c r="H110">
        <v>1</v>
      </c>
    </row>
  </sheetData>
  <sortState xmlns:xlrd2="http://schemas.microsoft.com/office/spreadsheetml/2017/richdata2" ref="A64:I110">
    <sortCondition ref="B64:B110"/>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C485-2F2B-CF40-A0A7-A5EA330A05B8}">
  <dimension ref="A1:I153"/>
  <sheetViews>
    <sheetView topLeftCell="A31" workbookViewId="0">
      <selection activeCell="F16" sqref="F1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1086</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87</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1087</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0.14657405950128999</v>
      </c>
      <c r="G33">
        <v>1</v>
      </c>
      <c r="H33">
        <v>1</v>
      </c>
      <c r="I33" t="s">
        <v>1088</v>
      </c>
    </row>
    <row r="34" spans="1:9" x14ac:dyDescent="0.2">
      <c r="A34" t="s">
        <v>93</v>
      </c>
      <c r="B34">
        <v>4</v>
      </c>
      <c r="C34">
        <v>1</v>
      </c>
      <c r="D34">
        <v>2</v>
      </c>
      <c r="E34">
        <v>0</v>
      </c>
      <c r="F34">
        <v>2.2678963840007699E-2</v>
      </c>
      <c r="G34">
        <v>1</v>
      </c>
      <c r="H34">
        <v>1</v>
      </c>
      <c r="I34" t="s">
        <v>1089</v>
      </c>
    </row>
    <row r="35" spans="1:9" x14ac:dyDescent="0.2">
      <c r="A35" t="s">
        <v>94</v>
      </c>
      <c r="B35">
        <v>5</v>
      </c>
      <c r="C35">
        <v>1</v>
      </c>
      <c r="D35">
        <v>3</v>
      </c>
      <c r="E35">
        <v>0</v>
      </c>
      <c r="F35">
        <v>2.66415700316429E-2</v>
      </c>
      <c r="G35">
        <v>1</v>
      </c>
      <c r="H35">
        <v>1</v>
      </c>
      <c r="I35" t="s">
        <v>1090</v>
      </c>
    </row>
    <row r="36" spans="1:9" x14ac:dyDescent="0.2">
      <c r="A36" t="s">
        <v>95</v>
      </c>
      <c r="B36">
        <v>6</v>
      </c>
      <c r="C36">
        <v>1</v>
      </c>
      <c r="D36">
        <v>3</v>
      </c>
      <c r="E36">
        <v>0</v>
      </c>
      <c r="F36">
        <v>3.1461617909371797E-2</v>
      </c>
      <c r="G36">
        <v>1</v>
      </c>
      <c r="H36">
        <v>1</v>
      </c>
      <c r="I36" t="s">
        <v>1091</v>
      </c>
    </row>
    <row r="37" spans="1:9" x14ac:dyDescent="0.2">
      <c r="A37" t="s">
        <v>96</v>
      </c>
      <c r="B37">
        <v>7</v>
      </c>
      <c r="C37">
        <v>1</v>
      </c>
      <c r="D37">
        <v>3</v>
      </c>
      <c r="E37">
        <v>0</v>
      </c>
      <c r="F37">
        <v>4.1968803852796499E-2</v>
      </c>
      <c r="G37">
        <v>1</v>
      </c>
      <c r="H37">
        <v>1</v>
      </c>
      <c r="I37" t="s">
        <v>1092</v>
      </c>
    </row>
    <row r="38" spans="1:9" x14ac:dyDescent="0.2">
      <c r="A38" t="s">
        <v>97</v>
      </c>
      <c r="B38">
        <v>8</v>
      </c>
      <c r="C38">
        <v>1</v>
      </c>
      <c r="D38">
        <v>3</v>
      </c>
      <c r="E38">
        <v>0</v>
      </c>
      <c r="F38">
        <v>3.8902051746845197E-2</v>
      </c>
      <c r="G38">
        <v>1</v>
      </c>
      <c r="H38">
        <v>1</v>
      </c>
      <c r="I38" t="s">
        <v>1093</v>
      </c>
    </row>
    <row r="39" spans="1:9" x14ac:dyDescent="0.2">
      <c r="A39" t="s">
        <v>98</v>
      </c>
      <c r="B39">
        <v>9</v>
      </c>
      <c r="C39">
        <v>1</v>
      </c>
      <c r="D39">
        <v>3</v>
      </c>
      <c r="E39">
        <v>0</v>
      </c>
      <c r="F39">
        <v>4.2237495072185903E-2</v>
      </c>
      <c r="G39">
        <v>1</v>
      </c>
      <c r="H39">
        <v>1</v>
      </c>
      <c r="I39" t="s">
        <v>1094</v>
      </c>
    </row>
    <row r="40" spans="1:9" x14ac:dyDescent="0.2">
      <c r="A40" t="s">
        <v>99</v>
      </c>
      <c r="B40">
        <v>10</v>
      </c>
      <c r="C40">
        <v>1</v>
      </c>
      <c r="D40">
        <v>4</v>
      </c>
      <c r="E40">
        <v>0</v>
      </c>
      <c r="F40">
        <v>5.2330171689391101E-2</v>
      </c>
      <c r="G40">
        <v>1</v>
      </c>
      <c r="H40">
        <v>1</v>
      </c>
      <c r="I40" t="s">
        <v>1095</v>
      </c>
    </row>
    <row r="41" spans="1:9" x14ac:dyDescent="0.2">
      <c r="A41" t="s">
        <v>100</v>
      </c>
      <c r="B41">
        <v>11</v>
      </c>
      <c r="C41">
        <v>1</v>
      </c>
      <c r="D41">
        <v>5</v>
      </c>
      <c r="E41">
        <v>0</v>
      </c>
      <c r="F41">
        <v>6.1735243536531897E-2</v>
      </c>
      <c r="G41">
        <v>1</v>
      </c>
      <c r="H41">
        <v>1</v>
      </c>
      <c r="I41" t="s">
        <v>1096</v>
      </c>
    </row>
    <row r="42" spans="1:9" x14ac:dyDescent="0.2">
      <c r="A42" t="s">
        <v>101</v>
      </c>
      <c r="B42">
        <v>12</v>
      </c>
      <c r="C42">
        <v>6</v>
      </c>
      <c r="D42">
        <v>3</v>
      </c>
      <c r="E42">
        <v>0</v>
      </c>
      <c r="F42">
        <v>5.3688268177211201E-2</v>
      </c>
      <c r="G42">
        <v>1</v>
      </c>
      <c r="H42">
        <v>1</v>
      </c>
      <c r="I42" t="s">
        <v>1097</v>
      </c>
    </row>
    <row r="43" spans="1:9" x14ac:dyDescent="0.2">
      <c r="A43" t="s">
        <v>102</v>
      </c>
      <c r="B43">
        <v>13</v>
      </c>
      <c r="C43">
        <v>6</v>
      </c>
      <c r="D43">
        <v>3</v>
      </c>
      <c r="E43">
        <v>0</v>
      </c>
      <c r="F43">
        <v>5.8465625159442397E-2</v>
      </c>
      <c r="G43">
        <v>1</v>
      </c>
      <c r="H43">
        <v>1</v>
      </c>
      <c r="I43" t="s">
        <v>1098</v>
      </c>
    </row>
    <row r="44" spans="1:9" x14ac:dyDescent="0.2">
      <c r="A44" t="s">
        <v>103</v>
      </c>
      <c r="B44">
        <v>14</v>
      </c>
      <c r="C44">
        <v>2</v>
      </c>
      <c r="D44">
        <v>5</v>
      </c>
      <c r="E44">
        <v>0</v>
      </c>
      <c r="F44">
        <v>7.8545484691858194E-2</v>
      </c>
      <c r="G44">
        <v>1</v>
      </c>
      <c r="H44">
        <v>1</v>
      </c>
      <c r="I44" t="s">
        <v>1099</v>
      </c>
    </row>
    <row r="45" spans="1:9" x14ac:dyDescent="0.2">
      <c r="A45" t="s">
        <v>104</v>
      </c>
      <c r="B45">
        <v>15</v>
      </c>
      <c r="C45">
        <v>2</v>
      </c>
      <c r="D45">
        <v>5</v>
      </c>
      <c r="E45">
        <v>0</v>
      </c>
      <c r="F45">
        <v>8.3003557287156499E-2</v>
      </c>
      <c r="G45">
        <v>1</v>
      </c>
      <c r="H45">
        <v>1</v>
      </c>
      <c r="I45" t="s">
        <v>1100</v>
      </c>
    </row>
    <row r="46" spans="1:9" x14ac:dyDescent="0.2">
      <c r="A46" t="s">
        <v>105</v>
      </c>
      <c r="B46">
        <v>16</v>
      </c>
      <c r="C46">
        <v>1</v>
      </c>
      <c r="D46">
        <v>6</v>
      </c>
      <c r="E46">
        <v>0</v>
      </c>
      <c r="F46">
        <v>9.6995405852794606E-2</v>
      </c>
      <c r="G46">
        <v>1</v>
      </c>
      <c r="H46">
        <v>1</v>
      </c>
      <c r="I46" t="s">
        <v>1101</v>
      </c>
    </row>
    <row r="47" spans="1:9" x14ac:dyDescent="0.2">
      <c r="A47" t="s">
        <v>106</v>
      </c>
      <c r="B47">
        <v>17</v>
      </c>
      <c r="C47">
        <v>3</v>
      </c>
      <c r="D47">
        <v>5</v>
      </c>
      <c r="E47">
        <v>0</v>
      </c>
      <c r="F47">
        <v>9.5055114477872807E-2</v>
      </c>
      <c r="G47">
        <v>1</v>
      </c>
      <c r="H47">
        <v>1</v>
      </c>
      <c r="I47" t="s">
        <v>1102</v>
      </c>
    </row>
    <row r="48" spans="1:9" x14ac:dyDescent="0.2">
      <c r="A48" t="s">
        <v>107</v>
      </c>
      <c r="B48">
        <v>18</v>
      </c>
      <c r="C48">
        <v>5</v>
      </c>
      <c r="D48">
        <v>5</v>
      </c>
      <c r="E48">
        <v>0</v>
      </c>
      <c r="F48">
        <v>9.9640884436666896E-2</v>
      </c>
      <c r="G48">
        <v>1</v>
      </c>
      <c r="H48">
        <v>1</v>
      </c>
      <c r="I48" t="s">
        <v>1103</v>
      </c>
    </row>
    <row r="49" spans="1:9" x14ac:dyDescent="0.2">
      <c r="A49" t="s">
        <v>108</v>
      </c>
      <c r="B49">
        <v>19</v>
      </c>
      <c r="C49">
        <v>5</v>
      </c>
      <c r="D49">
        <v>5</v>
      </c>
      <c r="E49">
        <v>0</v>
      </c>
      <c r="F49">
        <v>0.106223221868276</v>
      </c>
      <c r="G49">
        <v>1</v>
      </c>
      <c r="H49">
        <v>1</v>
      </c>
      <c r="I49" t="s">
        <v>1104</v>
      </c>
    </row>
    <row r="50" spans="1:9" x14ac:dyDescent="0.2">
      <c r="A50" t="s">
        <v>109</v>
      </c>
      <c r="B50">
        <v>20</v>
      </c>
      <c r="C50">
        <v>3</v>
      </c>
      <c r="D50">
        <v>6</v>
      </c>
      <c r="E50">
        <v>0</v>
      </c>
      <c r="F50">
        <v>0.124023319222033</v>
      </c>
      <c r="G50">
        <v>1</v>
      </c>
      <c r="H50">
        <v>1</v>
      </c>
      <c r="I50" t="s">
        <v>1105</v>
      </c>
    </row>
    <row r="51" spans="1:9" x14ac:dyDescent="0.2">
      <c r="A51" t="s">
        <v>110</v>
      </c>
      <c r="B51">
        <v>21</v>
      </c>
      <c r="C51">
        <v>3</v>
      </c>
      <c r="D51">
        <v>6</v>
      </c>
      <c r="E51">
        <v>0</v>
      </c>
      <c r="F51">
        <v>0.13026001676917001</v>
      </c>
      <c r="G51">
        <v>1</v>
      </c>
      <c r="H51">
        <v>1</v>
      </c>
      <c r="I51" t="s">
        <v>1106</v>
      </c>
    </row>
    <row r="52" spans="1:9" x14ac:dyDescent="0.2">
      <c r="A52" t="s">
        <v>111</v>
      </c>
      <c r="B52">
        <v>22</v>
      </c>
      <c r="C52">
        <v>7</v>
      </c>
      <c r="D52">
        <v>5</v>
      </c>
      <c r="E52">
        <v>0</v>
      </c>
      <c r="F52">
        <v>0.13280897401273201</v>
      </c>
      <c r="G52">
        <v>1</v>
      </c>
      <c r="H52">
        <v>1</v>
      </c>
      <c r="I52" t="s">
        <v>1107</v>
      </c>
    </row>
    <row r="53" spans="1:9" x14ac:dyDescent="0.2">
      <c r="A53" t="s">
        <v>112</v>
      </c>
      <c r="B53">
        <v>23</v>
      </c>
      <c r="C53">
        <v>2</v>
      </c>
      <c r="D53">
        <v>7</v>
      </c>
      <c r="E53">
        <v>0</v>
      </c>
      <c r="F53">
        <v>0.166930807754397</v>
      </c>
      <c r="G53">
        <v>1</v>
      </c>
      <c r="H53">
        <v>1</v>
      </c>
      <c r="I53" t="s">
        <v>1108</v>
      </c>
    </row>
    <row r="54" spans="1:9" x14ac:dyDescent="0.2">
      <c r="A54" t="s">
        <v>113</v>
      </c>
      <c r="B54">
        <v>24</v>
      </c>
      <c r="C54">
        <v>8</v>
      </c>
      <c r="D54">
        <v>5</v>
      </c>
      <c r="E54">
        <v>0</v>
      </c>
      <c r="F54">
        <v>0.14748085383325801</v>
      </c>
      <c r="G54">
        <v>1</v>
      </c>
      <c r="H54">
        <v>1</v>
      </c>
      <c r="I54" t="s">
        <v>1109</v>
      </c>
    </row>
    <row r="55" spans="1:9" x14ac:dyDescent="0.2">
      <c r="A55" t="s">
        <v>114</v>
      </c>
      <c r="B55">
        <v>25</v>
      </c>
      <c r="C55">
        <v>8</v>
      </c>
      <c r="D55">
        <v>5</v>
      </c>
      <c r="E55">
        <v>0</v>
      </c>
      <c r="F55">
        <v>0.157631914131343</v>
      </c>
      <c r="G55">
        <v>1</v>
      </c>
      <c r="H55">
        <v>1</v>
      </c>
      <c r="I55" t="s">
        <v>1110</v>
      </c>
    </row>
    <row r="56" spans="1:9" x14ac:dyDescent="0.2">
      <c r="A56" t="s">
        <v>115</v>
      </c>
      <c r="B56">
        <v>26</v>
      </c>
      <c r="C56">
        <v>6</v>
      </c>
      <c r="D56">
        <v>6</v>
      </c>
      <c r="E56">
        <v>0</v>
      </c>
      <c r="F56">
        <v>0.177405616268515</v>
      </c>
      <c r="G56">
        <v>1</v>
      </c>
      <c r="H56">
        <v>1</v>
      </c>
      <c r="I56" t="s">
        <v>1111</v>
      </c>
    </row>
    <row r="57" spans="1:9" x14ac:dyDescent="0.2">
      <c r="A57" t="s">
        <v>116</v>
      </c>
      <c r="B57">
        <v>27</v>
      </c>
      <c r="C57">
        <v>6</v>
      </c>
      <c r="D57">
        <v>6</v>
      </c>
      <c r="E57">
        <v>0</v>
      </c>
      <c r="F57">
        <v>0.186206625774502</v>
      </c>
      <c r="G57">
        <v>1</v>
      </c>
      <c r="H57">
        <v>1</v>
      </c>
      <c r="I57" t="s">
        <v>1112</v>
      </c>
    </row>
    <row r="58" spans="1:9" x14ac:dyDescent="0.2">
      <c r="A58" t="s">
        <v>117</v>
      </c>
      <c r="B58">
        <v>28</v>
      </c>
      <c r="C58">
        <v>6</v>
      </c>
      <c r="D58">
        <v>6</v>
      </c>
      <c r="E58">
        <v>0</v>
      </c>
      <c r="F58">
        <v>0.194590039551258</v>
      </c>
      <c r="G58">
        <v>1</v>
      </c>
      <c r="H58">
        <v>1</v>
      </c>
      <c r="I58" t="s">
        <v>1113</v>
      </c>
    </row>
    <row r="59" spans="1:9" x14ac:dyDescent="0.2">
      <c r="A59" t="s">
        <v>118</v>
      </c>
      <c r="B59">
        <v>29</v>
      </c>
      <c r="C59">
        <v>6</v>
      </c>
      <c r="D59">
        <v>7</v>
      </c>
      <c r="E59">
        <v>0</v>
      </c>
      <c r="F59">
        <v>0.21760187111794899</v>
      </c>
      <c r="G59">
        <v>1</v>
      </c>
      <c r="H59">
        <v>1</v>
      </c>
      <c r="I59" t="s">
        <v>1114</v>
      </c>
    </row>
    <row r="60" spans="1:9" x14ac:dyDescent="0.2">
      <c r="A60" t="s">
        <v>119</v>
      </c>
      <c r="B60">
        <v>30</v>
      </c>
      <c r="C60">
        <v>9</v>
      </c>
      <c r="D60">
        <v>6</v>
      </c>
      <c r="E60">
        <v>0</v>
      </c>
      <c r="F60">
        <v>0.209892723709344</v>
      </c>
      <c r="G60">
        <v>1</v>
      </c>
      <c r="H60">
        <v>1</v>
      </c>
      <c r="I60" t="s">
        <v>1115</v>
      </c>
    </row>
    <row r="61" spans="1:9" x14ac:dyDescent="0.2">
      <c r="A61" t="s">
        <v>120</v>
      </c>
      <c r="B61">
        <v>31</v>
      </c>
      <c r="C61">
        <v>9</v>
      </c>
      <c r="D61">
        <v>6</v>
      </c>
      <c r="E61">
        <v>0</v>
      </c>
      <c r="F61">
        <v>0.221101452596485</v>
      </c>
      <c r="G61">
        <v>1</v>
      </c>
      <c r="H61">
        <v>1</v>
      </c>
      <c r="I61" t="s">
        <v>1116</v>
      </c>
    </row>
    <row r="62" spans="1:9" x14ac:dyDescent="0.2">
      <c r="A62" t="s">
        <v>121</v>
      </c>
      <c r="B62">
        <v>32</v>
      </c>
      <c r="C62">
        <v>5</v>
      </c>
      <c r="D62">
        <v>8</v>
      </c>
      <c r="E62">
        <v>0</v>
      </c>
      <c r="F62">
        <v>0.26032263040542603</v>
      </c>
      <c r="G62">
        <v>1</v>
      </c>
      <c r="H62">
        <v>1</v>
      </c>
      <c r="I62" t="s">
        <v>1117</v>
      </c>
    </row>
    <row r="63" spans="1:9" x14ac:dyDescent="0.2">
      <c r="A63" t="s">
        <v>122</v>
      </c>
      <c r="B63">
        <v>33</v>
      </c>
      <c r="C63">
        <v>7</v>
      </c>
      <c r="D63">
        <v>8</v>
      </c>
      <c r="E63">
        <v>0</v>
      </c>
      <c r="F63">
        <v>0.26603432744741401</v>
      </c>
      <c r="G63">
        <v>1</v>
      </c>
      <c r="H63">
        <v>1</v>
      </c>
      <c r="I63" t="s">
        <v>1118</v>
      </c>
    </row>
    <row r="64" spans="1:9" x14ac:dyDescent="0.2">
      <c r="A64" t="s">
        <v>123</v>
      </c>
      <c r="B64">
        <v>34</v>
      </c>
      <c r="C64">
        <v>17</v>
      </c>
      <c r="D64">
        <v>5</v>
      </c>
      <c r="E64">
        <v>0</v>
      </c>
      <c r="F64">
        <v>0.206314321607351</v>
      </c>
      <c r="G64">
        <v>1</v>
      </c>
      <c r="H64">
        <v>1</v>
      </c>
      <c r="I64" t="s">
        <v>1119</v>
      </c>
    </row>
    <row r="65" spans="1:9" x14ac:dyDescent="0.2">
      <c r="A65" t="s">
        <v>124</v>
      </c>
      <c r="B65">
        <v>35</v>
      </c>
      <c r="C65">
        <v>4</v>
      </c>
      <c r="D65">
        <v>9</v>
      </c>
      <c r="E65">
        <v>0</v>
      </c>
      <c r="F65">
        <v>0.32041450962424201</v>
      </c>
      <c r="G65">
        <v>1</v>
      </c>
      <c r="H65">
        <v>1</v>
      </c>
      <c r="I65" t="s">
        <v>1120</v>
      </c>
    </row>
    <row r="66" spans="1:9" x14ac:dyDescent="0.2">
      <c r="A66" t="s">
        <v>125</v>
      </c>
      <c r="B66">
        <v>36</v>
      </c>
      <c r="C66">
        <v>4</v>
      </c>
      <c r="D66">
        <v>9</v>
      </c>
      <c r="E66">
        <v>0</v>
      </c>
      <c r="F66">
        <v>0.33328623138368102</v>
      </c>
      <c r="G66">
        <v>1</v>
      </c>
      <c r="H66">
        <v>1</v>
      </c>
      <c r="I66" t="s">
        <v>1121</v>
      </c>
    </row>
    <row r="67" spans="1:9" x14ac:dyDescent="0.2">
      <c r="A67" t="s">
        <v>126</v>
      </c>
      <c r="B67">
        <v>37</v>
      </c>
      <c r="C67">
        <v>4</v>
      </c>
      <c r="D67">
        <v>9</v>
      </c>
      <c r="E67">
        <v>0</v>
      </c>
      <c r="F67">
        <v>0.34159657359123202</v>
      </c>
      <c r="G67">
        <v>1</v>
      </c>
      <c r="H67">
        <v>1</v>
      </c>
      <c r="I67" t="s">
        <v>1122</v>
      </c>
    </row>
    <row r="68" spans="1:9" x14ac:dyDescent="0.2">
      <c r="A68" t="s">
        <v>127</v>
      </c>
      <c r="B68">
        <v>38</v>
      </c>
      <c r="C68">
        <v>4</v>
      </c>
      <c r="D68">
        <v>9</v>
      </c>
      <c r="E68">
        <v>0</v>
      </c>
      <c r="F68">
        <v>0.351719458587467</v>
      </c>
      <c r="G68">
        <v>1</v>
      </c>
      <c r="H68">
        <v>1</v>
      </c>
      <c r="I68" t="s">
        <v>1123</v>
      </c>
    </row>
    <row r="69" spans="1:9" x14ac:dyDescent="0.2">
      <c r="A69" t="s">
        <v>128</v>
      </c>
      <c r="B69">
        <v>39</v>
      </c>
      <c r="C69">
        <v>4</v>
      </c>
      <c r="D69">
        <v>9</v>
      </c>
      <c r="E69">
        <v>0</v>
      </c>
      <c r="F69">
        <v>0.38131677266210301</v>
      </c>
      <c r="G69">
        <v>1</v>
      </c>
      <c r="H69">
        <v>1</v>
      </c>
      <c r="I69" t="s">
        <v>1124</v>
      </c>
    </row>
    <row r="70" spans="1:9" x14ac:dyDescent="0.2">
      <c r="A70" t="s">
        <v>129</v>
      </c>
      <c r="B70">
        <v>40</v>
      </c>
      <c r="C70">
        <v>5</v>
      </c>
      <c r="D70">
        <v>9</v>
      </c>
      <c r="E70">
        <v>0</v>
      </c>
      <c r="F70">
        <v>0.38846310507506099</v>
      </c>
      <c r="G70">
        <v>1</v>
      </c>
      <c r="H70">
        <v>1</v>
      </c>
      <c r="I70" t="s">
        <v>1125</v>
      </c>
    </row>
    <row r="71" spans="1:9" x14ac:dyDescent="0.2">
      <c r="A71" t="s">
        <v>130</v>
      </c>
      <c r="B71">
        <v>41</v>
      </c>
      <c r="C71">
        <v>2</v>
      </c>
      <c r="D71">
        <v>11</v>
      </c>
      <c r="E71">
        <v>0</v>
      </c>
      <c r="F71">
        <v>0.43285664729773998</v>
      </c>
      <c r="G71">
        <v>1</v>
      </c>
      <c r="H71">
        <v>1</v>
      </c>
      <c r="I71" t="s">
        <v>1126</v>
      </c>
    </row>
    <row r="72" spans="1:9" x14ac:dyDescent="0.2">
      <c r="A72" t="s">
        <v>131</v>
      </c>
      <c r="B72">
        <v>42</v>
      </c>
      <c r="C72">
        <v>5</v>
      </c>
      <c r="D72">
        <v>9</v>
      </c>
      <c r="E72">
        <v>0</v>
      </c>
      <c r="F72">
        <v>0.42395984381437302</v>
      </c>
      <c r="G72">
        <v>1</v>
      </c>
      <c r="H72">
        <v>1</v>
      </c>
      <c r="I72" t="s">
        <v>1127</v>
      </c>
    </row>
    <row r="73" spans="1:9" x14ac:dyDescent="0.2">
      <c r="A73" t="s">
        <v>132</v>
      </c>
      <c r="B73">
        <v>43</v>
      </c>
      <c r="C73">
        <v>6</v>
      </c>
      <c r="D73">
        <v>9</v>
      </c>
      <c r="E73">
        <v>0</v>
      </c>
      <c r="F73">
        <v>0.43234391789883297</v>
      </c>
      <c r="G73">
        <v>1</v>
      </c>
      <c r="H73">
        <v>1</v>
      </c>
      <c r="I73" t="s">
        <v>1128</v>
      </c>
    </row>
    <row r="74" spans="1:9" x14ac:dyDescent="0.2">
      <c r="A74" t="s">
        <v>133</v>
      </c>
      <c r="B74">
        <v>44</v>
      </c>
      <c r="C74">
        <v>6</v>
      </c>
      <c r="D74">
        <v>9</v>
      </c>
      <c r="E74">
        <v>0</v>
      </c>
      <c r="F74">
        <v>0.45703243557363699</v>
      </c>
      <c r="G74">
        <v>1</v>
      </c>
      <c r="H74">
        <v>1</v>
      </c>
      <c r="I74" t="s">
        <v>1129</v>
      </c>
    </row>
    <row r="75" spans="1:9" x14ac:dyDescent="0.2">
      <c r="A75" t="s">
        <v>134</v>
      </c>
      <c r="B75">
        <v>45</v>
      </c>
      <c r="C75">
        <v>6</v>
      </c>
      <c r="D75">
        <v>9</v>
      </c>
      <c r="E75">
        <v>0</v>
      </c>
      <c r="F75">
        <v>0.47302889358252198</v>
      </c>
      <c r="G75">
        <v>1</v>
      </c>
      <c r="H75">
        <v>1</v>
      </c>
      <c r="I75" t="s">
        <v>1130</v>
      </c>
    </row>
    <row r="76" spans="1:9" x14ac:dyDescent="0.2">
      <c r="A76" t="s">
        <v>135</v>
      </c>
      <c r="B76">
        <v>46</v>
      </c>
      <c r="C76">
        <v>7</v>
      </c>
      <c r="D76">
        <v>9</v>
      </c>
      <c r="E76">
        <v>0</v>
      </c>
      <c r="F76">
        <v>0.486661643721163</v>
      </c>
      <c r="G76">
        <v>1</v>
      </c>
      <c r="H76">
        <v>1</v>
      </c>
      <c r="I76" t="s">
        <v>1131</v>
      </c>
    </row>
    <row r="77" spans="1:9" x14ac:dyDescent="0.2">
      <c r="A77" t="s">
        <v>136</v>
      </c>
      <c r="B77">
        <v>47</v>
      </c>
      <c r="C77">
        <v>8</v>
      </c>
      <c r="D77">
        <v>9</v>
      </c>
      <c r="E77">
        <v>0</v>
      </c>
      <c r="F77">
        <v>0.496243525296449</v>
      </c>
      <c r="G77">
        <v>1</v>
      </c>
      <c r="H77">
        <v>1</v>
      </c>
      <c r="I77" t="s">
        <v>1132</v>
      </c>
    </row>
    <row r="78" spans="1:9" x14ac:dyDescent="0.2">
      <c r="A78" t="s">
        <v>137</v>
      </c>
      <c r="B78">
        <v>48</v>
      </c>
      <c r="C78">
        <v>5</v>
      </c>
      <c r="D78">
        <v>10</v>
      </c>
      <c r="E78">
        <v>0</v>
      </c>
      <c r="F78">
        <v>0.54488225653767497</v>
      </c>
      <c r="G78">
        <v>1</v>
      </c>
      <c r="H78">
        <v>1</v>
      </c>
      <c r="I78" t="s">
        <v>1133</v>
      </c>
    </row>
    <row r="79" spans="1:9" x14ac:dyDescent="0.2">
      <c r="A79" t="s">
        <v>138</v>
      </c>
      <c r="B79">
        <v>49</v>
      </c>
      <c r="C79">
        <v>17</v>
      </c>
      <c r="D79">
        <v>7</v>
      </c>
      <c r="E79">
        <v>0</v>
      </c>
      <c r="F79">
        <v>0.44816066045314001</v>
      </c>
      <c r="G79">
        <v>1</v>
      </c>
      <c r="H79">
        <v>1</v>
      </c>
      <c r="I79" t="s">
        <v>1134</v>
      </c>
    </row>
    <row r="80" spans="1:9" x14ac:dyDescent="0.2">
      <c r="A80" t="s">
        <v>139</v>
      </c>
      <c r="B80">
        <v>50</v>
      </c>
      <c r="C80">
        <v>13</v>
      </c>
      <c r="D80">
        <v>8</v>
      </c>
      <c r="E80">
        <v>0</v>
      </c>
      <c r="F80">
        <v>0.50879911892116003</v>
      </c>
      <c r="G80">
        <v>1</v>
      </c>
      <c r="H80">
        <v>1</v>
      </c>
      <c r="I80" t="s">
        <v>1135</v>
      </c>
    </row>
    <row r="81" spans="1:9" x14ac:dyDescent="0.2">
      <c r="A81" t="s">
        <v>188</v>
      </c>
      <c r="B81">
        <v>51</v>
      </c>
      <c r="C81">
        <v>12</v>
      </c>
      <c r="D81">
        <v>9</v>
      </c>
      <c r="E81">
        <v>0</v>
      </c>
      <c r="F81">
        <v>0.54279550258070197</v>
      </c>
      <c r="G81">
        <v>1</v>
      </c>
      <c r="H81">
        <v>1</v>
      </c>
      <c r="I81" t="s">
        <v>1136</v>
      </c>
    </row>
    <row r="82" spans="1:9" x14ac:dyDescent="0.2">
      <c r="A82" t="s">
        <v>190</v>
      </c>
      <c r="B82">
        <v>52</v>
      </c>
      <c r="C82">
        <v>10</v>
      </c>
      <c r="D82">
        <v>11</v>
      </c>
      <c r="E82">
        <v>1</v>
      </c>
      <c r="F82">
        <v>0.59186213091015805</v>
      </c>
      <c r="G82">
        <v>1</v>
      </c>
      <c r="H82">
        <v>1</v>
      </c>
      <c r="I82" t="s">
        <v>1137</v>
      </c>
    </row>
    <row r="83" spans="1:9" x14ac:dyDescent="0.2">
      <c r="A83" t="s">
        <v>192</v>
      </c>
      <c r="B83">
        <v>53</v>
      </c>
      <c r="C83">
        <v>6</v>
      </c>
      <c r="D83">
        <v>11</v>
      </c>
      <c r="E83">
        <v>0</v>
      </c>
      <c r="F83">
        <v>0.65209583844989505</v>
      </c>
      <c r="G83">
        <v>1</v>
      </c>
      <c r="H83">
        <v>1</v>
      </c>
      <c r="I83" t="s">
        <v>1138</v>
      </c>
    </row>
    <row r="84" spans="1:9" x14ac:dyDescent="0.2">
      <c r="A84" t="s">
        <v>194</v>
      </c>
      <c r="B84">
        <v>54</v>
      </c>
      <c r="C84">
        <v>12</v>
      </c>
      <c r="D84">
        <v>10</v>
      </c>
      <c r="E84">
        <v>0</v>
      </c>
      <c r="F84">
        <v>0.61150959506630898</v>
      </c>
      <c r="G84">
        <v>1</v>
      </c>
      <c r="H84">
        <v>1</v>
      </c>
      <c r="I84" t="s">
        <v>1139</v>
      </c>
    </row>
    <row r="85" spans="1:9" x14ac:dyDescent="0.2">
      <c r="A85" t="s">
        <v>196</v>
      </c>
      <c r="B85">
        <v>55</v>
      </c>
      <c r="C85">
        <v>5</v>
      </c>
      <c r="D85">
        <v>12</v>
      </c>
      <c r="E85">
        <v>0</v>
      </c>
      <c r="F85">
        <v>0.711590372957289</v>
      </c>
      <c r="G85">
        <v>1</v>
      </c>
      <c r="H85">
        <v>1</v>
      </c>
      <c r="I85" t="s">
        <v>1140</v>
      </c>
    </row>
    <row r="86" spans="1:9" x14ac:dyDescent="0.2">
      <c r="A86" t="s">
        <v>198</v>
      </c>
      <c r="B86">
        <v>56</v>
      </c>
      <c r="C86">
        <v>5</v>
      </c>
      <c r="D86">
        <v>12</v>
      </c>
      <c r="E86">
        <v>0</v>
      </c>
      <c r="F86">
        <v>0.73301730956882205</v>
      </c>
      <c r="G86">
        <v>1</v>
      </c>
      <c r="H86">
        <v>1</v>
      </c>
      <c r="I86" t="s">
        <v>1141</v>
      </c>
    </row>
    <row r="87" spans="1:9" x14ac:dyDescent="0.2">
      <c r="A87" t="s">
        <v>200</v>
      </c>
      <c r="B87">
        <v>57</v>
      </c>
      <c r="C87">
        <v>4</v>
      </c>
      <c r="D87">
        <v>13</v>
      </c>
      <c r="E87">
        <v>0</v>
      </c>
      <c r="F87">
        <v>0.82568578608333998</v>
      </c>
      <c r="G87">
        <v>1</v>
      </c>
      <c r="H87">
        <v>1</v>
      </c>
      <c r="I87" t="s">
        <v>1142</v>
      </c>
    </row>
    <row r="88" spans="1:9" x14ac:dyDescent="0.2">
      <c r="A88" t="s">
        <v>202</v>
      </c>
      <c r="B88">
        <v>58</v>
      </c>
      <c r="C88">
        <v>12</v>
      </c>
      <c r="D88">
        <v>10</v>
      </c>
      <c r="E88">
        <v>0</v>
      </c>
      <c r="F88">
        <v>0.70058861374854997</v>
      </c>
      <c r="G88">
        <v>1</v>
      </c>
      <c r="H88">
        <v>1</v>
      </c>
      <c r="I88" t="s">
        <v>1143</v>
      </c>
    </row>
    <row r="89" spans="1:9" x14ac:dyDescent="0.2">
      <c r="A89" t="s">
        <v>204</v>
      </c>
      <c r="B89">
        <v>59</v>
      </c>
      <c r="C89">
        <v>12</v>
      </c>
      <c r="D89">
        <v>10</v>
      </c>
      <c r="E89">
        <v>0</v>
      </c>
      <c r="F89">
        <v>0.72511680237948895</v>
      </c>
      <c r="G89">
        <v>1</v>
      </c>
      <c r="H89">
        <v>1</v>
      </c>
      <c r="I89" t="s">
        <v>1144</v>
      </c>
    </row>
    <row r="90" spans="1:9" x14ac:dyDescent="0.2">
      <c r="A90" t="s">
        <v>206</v>
      </c>
      <c r="B90">
        <v>60</v>
      </c>
      <c r="C90">
        <v>10</v>
      </c>
      <c r="D90">
        <v>11</v>
      </c>
      <c r="E90">
        <v>0</v>
      </c>
      <c r="F90">
        <v>0.77383481711149205</v>
      </c>
      <c r="G90">
        <v>1</v>
      </c>
      <c r="H90">
        <v>1</v>
      </c>
      <c r="I90" t="s">
        <v>1145</v>
      </c>
    </row>
    <row r="91" spans="1:9" x14ac:dyDescent="0.2">
      <c r="A91" t="s">
        <v>208</v>
      </c>
      <c r="B91">
        <v>61</v>
      </c>
      <c r="C91">
        <v>10</v>
      </c>
      <c r="D91">
        <v>11</v>
      </c>
      <c r="E91">
        <v>0</v>
      </c>
      <c r="F91">
        <v>0.79706818517297495</v>
      </c>
      <c r="G91">
        <v>1</v>
      </c>
      <c r="H91">
        <v>1</v>
      </c>
      <c r="I91" t="s">
        <v>1146</v>
      </c>
    </row>
    <row r="92" spans="1:9" x14ac:dyDescent="0.2">
      <c r="A92" t="s">
        <v>210</v>
      </c>
      <c r="B92">
        <v>62</v>
      </c>
      <c r="C92">
        <v>16</v>
      </c>
      <c r="D92">
        <v>10</v>
      </c>
      <c r="E92">
        <v>0</v>
      </c>
      <c r="F92">
        <v>0.75153655651956797</v>
      </c>
      <c r="G92">
        <v>1</v>
      </c>
      <c r="H92">
        <v>1</v>
      </c>
      <c r="I92" t="s">
        <v>1147</v>
      </c>
    </row>
    <row r="93" spans="1:9" x14ac:dyDescent="0.2">
      <c r="A93" t="s">
        <v>212</v>
      </c>
      <c r="B93">
        <v>63</v>
      </c>
      <c r="C93">
        <v>8</v>
      </c>
      <c r="D93">
        <v>13</v>
      </c>
      <c r="E93">
        <v>0</v>
      </c>
      <c r="F93">
        <v>0.87857654225081205</v>
      </c>
      <c r="G93">
        <v>1</v>
      </c>
      <c r="H93">
        <v>1</v>
      </c>
      <c r="I93" t="s">
        <v>1148</v>
      </c>
    </row>
    <row r="94" spans="1:9" x14ac:dyDescent="0.2">
      <c r="A94" t="s">
        <v>214</v>
      </c>
      <c r="B94">
        <v>64</v>
      </c>
      <c r="C94">
        <v>13</v>
      </c>
      <c r="D94">
        <v>12</v>
      </c>
      <c r="E94">
        <v>0</v>
      </c>
      <c r="F94">
        <v>0.84600598737597399</v>
      </c>
      <c r="G94">
        <v>1</v>
      </c>
      <c r="H94">
        <v>1</v>
      </c>
      <c r="I94" t="s">
        <v>1149</v>
      </c>
    </row>
    <row r="95" spans="1:9" x14ac:dyDescent="0.2">
      <c r="A95" t="s">
        <v>216</v>
      </c>
      <c r="B95">
        <v>65</v>
      </c>
      <c r="C95">
        <v>5</v>
      </c>
      <c r="D95">
        <v>14</v>
      </c>
      <c r="E95">
        <v>0</v>
      </c>
      <c r="F95">
        <v>1.1162594147026501</v>
      </c>
      <c r="G95">
        <v>1</v>
      </c>
      <c r="H95">
        <v>1</v>
      </c>
      <c r="I95" t="s">
        <v>1150</v>
      </c>
    </row>
    <row r="96" spans="1:9" x14ac:dyDescent="0.2">
      <c r="A96" t="s">
        <v>218</v>
      </c>
      <c r="B96">
        <v>66</v>
      </c>
      <c r="C96">
        <v>5</v>
      </c>
      <c r="D96">
        <v>14</v>
      </c>
      <c r="E96">
        <v>0</v>
      </c>
      <c r="F96">
        <v>1.1287232292816001</v>
      </c>
      <c r="G96">
        <v>1</v>
      </c>
      <c r="H96">
        <v>1</v>
      </c>
      <c r="I96" t="s">
        <v>1151</v>
      </c>
    </row>
    <row r="97" spans="1:9" x14ac:dyDescent="0.2">
      <c r="A97" t="s">
        <v>220</v>
      </c>
      <c r="B97">
        <v>67</v>
      </c>
      <c r="C97">
        <v>5</v>
      </c>
      <c r="D97">
        <v>14</v>
      </c>
      <c r="E97">
        <v>0</v>
      </c>
      <c r="F97">
        <v>1.1644487362354901</v>
      </c>
      <c r="G97">
        <v>1</v>
      </c>
      <c r="H97">
        <v>1</v>
      </c>
      <c r="I97" t="s">
        <v>1152</v>
      </c>
    </row>
    <row r="98" spans="1:9" x14ac:dyDescent="0.2">
      <c r="A98" t="s">
        <v>222</v>
      </c>
      <c r="B98">
        <v>68</v>
      </c>
      <c r="C98">
        <v>5</v>
      </c>
      <c r="D98">
        <v>14</v>
      </c>
      <c r="E98">
        <v>0</v>
      </c>
      <c r="F98">
        <v>1.1891909074038201</v>
      </c>
      <c r="G98">
        <v>1</v>
      </c>
      <c r="H98">
        <v>1</v>
      </c>
      <c r="I98" t="s">
        <v>1153</v>
      </c>
    </row>
    <row r="99" spans="1:9" x14ac:dyDescent="0.2">
      <c r="A99" t="s">
        <v>224</v>
      </c>
      <c r="B99">
        <v>69</v>
      </c>
      <c r="C99">
        <v>5</v>
      </c>
      <c r="D99">
        <v>14</v>
      </c>
      <c r="E99">
        <v>0</v>
      </c>
      <c r="F99">
        <v>1.20772994030267</v>
      </c>
      <c r="G99">
        <v>1</v>
      </c>
      <c r="H99">
        <v>1</v>
      </c>
      <c r="I99" t="s">
        <v>1154</v>
      </c>
    </row>
    <row r="100" spans="1:9" x14ac:dyDescent="0.2">
      <c r="A100" t="s">
        <v>226</v>
      </c>
      <c r="B100">
        <v>70</v>
      </c>
      <c r="C100">
        <v>5</v>
      </c>
      <c r="D100">
        <v>14</v>
      </c>
      <c r="E100">
        <v>0</v>
      </c>
      <c r="F100">
        <v>1.2288674637675201</v>
      </c>
      <c r="G100">
        <v>1</v>
      </c>
      <c r="H100">
        <v>1</v>
      </c>
      <c r="I100" t="s">
        <v>1155</v>
      </c>
    </row>
    <row r="101" spans="1:9" x14ac:dyDescent="0.2">
      <c r="A101" t="s">
        <v>228</v>
      </c>
      <c r="B101">
        <v>71</v>
      </c>
      <c r="C101">
        <v>5</v>
      </c>
      <c r="D101">
        <v>15</v>
      </c>
      <c r="E101">
        <v>0</v>
      </c>
      <c r="F101">
        <v>1.3111004913225699</v>
      </c>
      <c r="G101">
        <v>1</v>
      </c>
      <c r="H101">
        <v>1</v>
      </c>
      <c r="I101" t="s">
        <v>1156</v>
      </c>
    </row>
    <row r="102" spans="1:9" x14ac:dyDescent="0.2">
      <c r="A102" t="s">
        <v>230</v>
      </c>
      <c r="B102">
        <v>72</v>
      </c>
      <c r="C102">
        <v>5</v>
      </c>
      <c r="D102">
        <v>15</v>
      </c>
      <c r="E102">
        <v>0</v>
      </c>
      <c r="F102">
        <v>1.34816254675388</v>
      </c>
      <c r="G102">
        <v>1</v>
      </c>
      <c r="H102">
        <v>1</v>
      </c>
      <c r="I102" t="s">
        <v>1157</v>
      </c>
    </row>
    <row r="103" spans="1:9" x14ac:dyDescent="0.2">
      <c r="A103" t="s">
        <v>232</v>
      </c>
      <c r="B103">
        <v>73</v>
      </c>
      <c r="C103">
        <v>5</v>
      </c>
      <c r="D103">
        <v>15</v>
      </c>
      <c r="E103">
        <v>0</v>
      </c>
      <c r="F103">
        <v>1.37644453067332</v>
      </c>
      <c r="G103">
        <v>1</v>
      </c>
      <c r="H103">
        <v>1</v>
      </c>
      <c r="I103" t="s">
        <v>1158</v>
      </c>
    </row>
    <row r="104" spans="1:9" x14ac:dyDescent="0.2">
      <c r="A104" t="s">
        <v>234</v>
      </c>
      <c r="B104">
        <v>74</v>
      </c>
      <c r="C104">
        <v>5</v>
      </c>
      <c r="D104">
        <v>15</v>
      </c>
      <c r="E104">
        <v>0</v>
      </c>
      <c r="F104">
        <v>1.4015023168176399</v>
      </c>
      <c r="G104">
        <v>1</v>
      </c>
      <c r="H104">
        <v>1</v>
      </c>
      <c r="I104" t="s">
        <v>1159</v>
      </c>
    </row>
    <row r="105" spans="1:9" x14ac:dyDescent="0.2">
      <c r="A105" t="s">
        <v>236</v>
      </c>
      <c r="B105">
        <v>75</v>
      </c>
      <c r="C105">
        <v>5</v>
      </c>
      <c r="D105">
        <v>15</v>
      </c>
      <c r="E105">
        <v>0</v>
      </c>
      <c r="F105">
        <v>1.4595038145780499</v>
      </c>
      <c r="G105">
        <v>1</v>
      </c>
      <c r="H105">
        <v>1</v>
      </c>
      <c r="I105" t="s">
        <v>1160</v>
      </c>
    </row>
    <row r="106" spans="1:9" x14ac:dyDescent="0.2">
      <c r="A106" t="s">
        <v>238</v>
      </c>
      <c r="B106">
        <v>76</v>
      </c>
      <c r="C106">
        <v>5</v>
      </c>
      <c r="D106">
        <v>15</v>
      </c>
      <c r="E106">
        <v>0</v>
      </c>
      <c r="F106">
        <v>1.4913540575653299</v>
      </c>
      <c r="G106">
        <v>1</v>
      </c>
      <c r="H106">
        <v>1</v>
      </c>
      <c r="I106" t="s">
        <v>1161</v>
      </c>
    </row>
    <row r="107" spans="1:9" x14ac:dyDescent="0.2">
      <c r="A107" t="s">
        <v>240</v>
      </c>
      <c r="B107">
        <v>77</v>
      </c>
      <c r="C107">
        <v>5</v>
      </c>
      <c r="D107">
        <v>16</v>
      </c>
      <c r="E107">
        <v>1</v>
      </c>
      <c r="F107">
        <v>1.5363754685968101</v>
      </c>
      <c r="G107">
        <v>1</v>
      </c>
      <c r="H107">
        <v>1</v>
      </c>
      <c r="I107" t="s">
        <v>1162</v>
      </c>
    </row>
    <row r="108" spans="1:9" x14ac:dyDescent="0.2">
      <c r="A108" t="s">
        <v>36</v>
      </c>
      <c r="B108">
        <v>78</v>
      </c>
      <c r="C108">
        <v>15</v>
      </c>
      <c r="D108">
        <v>13</v>
      </c>
      <c r="E108">
        <v>1</v>
      </c>
      <c r="F108">
        <v>1.4008418098091999</v>
      </c>
      <c r="G108">
        <v>1</v>
      </c>
      <c r="H108">
        <v>1</v>
      </c>
      <c r="I108" t="s">
        <v>1163</v>
      </c>
    </row>
    <row r="109" spans="1:9" x14ac:dyDescent="0.2">
      <c r="A109" t="s">
        <v>37</v>
      </c>
      <c r="B109">
        <v>79</v>
      </c>
      <c r="C109">
        <v>14</v>
      </c>
      <c r="D109">
        <v>14</v>
      </c>
      <c r="E109">
        <v>1</v>
      </c>
      <c r="F109">
        <v>1.4598740348592401</v>
      </c>
      <c r="G109">
        <v>1</v>
      </c>
      <c r="H109">
        <v>1</v>
      </c>
      <c r="I109" t="s">
        <v>1164</v>
      </c>
    </row>
    <row r="110" spans="1:9" x14ac:dyDescent="0.2">
      <c r="A110" t="s">
        <v>38</v>
      </c>
      <c r="B110">
        <v>80</v>
      </c>
      <c r="C110">
        <v>7</v>
      </c>
      <c r="D110">
        <v>17</v>
      </c>
      <c r="E110">
        <v>2</v>
      </c>
      <c r="F110">
        <v>1.6207057852297999</v>
      </c>
      <c r="G110">
        <v>1</v>
      </c>
      <c r="H110">
        <v>1</v>
      </c>
      <c r="I110" t="s">
        <v>1165</v>
      </c>
    </row>
    <row r="111" spans="1:9" x14ac:dyDescent="0.2">
      <c r="A111" t="s">
        <v>39</v>
      </c>
      <c r="B111">
        <v>81</v>
      </c>
      <c r="C111">
        <v>11</v>
      </c>
      <c r="D111">
        <v>15</v>
      </c>
      <c r="E111">
        <v>0</v>
      </c>
      <c r="F111">
        <v>1.59572577197104</v>
      </c>
      <c r="G111">
        <v>1</v>
      </c>
      <c r="H111">
        <v>1</v>
      </c>
      <c r="I111" t="s">
        <v>1166</v>
      </c>
    </row>
    <row r="112" spans="1:9" x14ac:dyDescent="0.2">
      <c r="A112" t="s">
        <v>40</v>
      </c>
      <c r="B112">
        <v>82</v>
      </c>
      <c r="C112">
        <v>7</v>
      </c>
      <c r="D112">
        <v>17</v>
      </c>
      <c r="E112">
        <v>1</v>
      </c>
      <c r="F112">
        <v>1.70681578479707</v>
      </c>
      <c r="G112">
        <v>1</v>
      </c>
      <c r="H112">
        <v>1</v>
      </c>
      <c r="I112" t="s">
        <v>1167</v>
      </c>
    </row>
    <row r="113" spans="1:9" x14ac:dyDescent="0.2">
      <c r="A113" t="s">
        <v>41</v>
      </c>
      <c r="B113">
        <v>83</v>
      </c>
      <c r="C113">
        <v>13</v>
      </c>
      <c r="D113">
        <v>15</v>
      </c>
      <c r="E113">
        <v>0</v>
      </c>
      <c r="F113">
        <v>1.6342339906841501</v>
      </c>
      <c r="G113">
        <v>1</v>
      </c>
      <c r="H113">
        <v>1</v>
      </c>
      <c r="I113" t="s">
        <v>1168</v>
      </c>
    </row>
    <row r="114" spans="1:9" x14ac:dyDescent="0.2">
      <c r="A114" t="s">
        <v>42</v>
      </c>
      <c r="B114">
        <v>84</v>
      </c>
      <c r="C114">
        <v>4</v>
      </c>
      <c r="D114">
        <v>18</v>
      </c>
      <c r="E114">
        <v>0</v>
      </c>
      <c r="F114">
        <v>1.79923059884458</v>
      </c>
      <c r="G114">
        <v>1</v>
      </c>
      <c r="H114">
        <v>1</v>
      </c>
      <c r="I114" t="s">
        <v>1169</v>
      </c>
    </row>
    <row r="115" spans="1:9" x14ac:dyDescent="0.2">
      <c r="A115" t="s">
        <v>43</v>
      </c>
      <c r="B115">
        <v>85</v>
      </c>
      <c r="C115">
        <v>11</v>
      </c>
      <c r="D115">
        <v>17</v>
      </c>
      <c r="E115">
        <v>0</v>
      </c>
      <c r="F115">
        <v>1.7711686827242299</v>
      </c>
      <c r="G115">
        <v>1</v>
      </c>
      <c r="H115">
        <v>1</v>
      </c>
      <c r="I115" t="s">
        <v>1170</v>
      </c>
    </row>
    <row r="116" spans="1:9" x14ac:dyDescent="0.2">
      <c r="A116" t="s">
        <v>44</v>
      </c>
      <c r="B116">
        <v>86</v>
      </c>
      <c r="C116">
        <v>4</v>
      </c>
      <c r="D116">
        <v>19</v>
      </c>
      <c r="E116">
        <v>0</v>
      </c>
      <c r="F116">
        <v>1.96135306172072</v>
      </c>
      <c r="G116">
        <v>1</v>
      </c>
      <c r="H116">
        <v>1</v>
      </c>
      <c r="I116" t="s">
        <v>1171</v>
      </c>
    </row>
    <row r="117" spans="1:9" x14ac:dyDescent="0.2">
      <c r="A117" t="s">
        <v>45</v>
      </c>
      <c r="B117">
        <v>87</v>
      </c>
      <c r="C117">
        <v>5</v>
      </c>
      <c r="D117">
        <v>19</v>
      </c>
      <c r="E117">
        <v>0</v>
      </c>
      <c r="F117">
        <v>1.95623925700783</v>
      </c>
      <c r="G117">
        <v>1</v>
      </c>
      <c r="H117">
        <v>1</v>
      </c>
      <c r="I117" t="s">
        <v>1172</v>
      </c>
    </row>
    <row r="118" spans="1:9" x14ac:dyDescent="0.2">
      <c r="A118" t="s">
        <v>46</v>
      </c>
      <c r="B118">
        <v>88</v>
      </c>
      <c r="C118">
        <v>5</v>
      </c>
      <c r="D118">
        <v>19</v>
      </c>
      <c r="E118">
        <v>0</v>
      </c>
      <c r="F118">
        <v>1.97799673303961</v>
      </c>
      <c r="G118">
        <v>1</v>
      </c>
      <c r="H118">
        <v>1</v>
      </c>
      <c r="I118" t="s">
        <v>1173</v>
      </c>
    </row>
    <row r="119" spans="1:9" x14ac:dyDescent="0.2">
      <c r="A119" t="s">
        <v>47</v>
      </c>
      <c r="B119">
        <v>89</v>
      </c>
      <c r="C119">
        <v>3</v>
      </c>
      <c r="D119">
        <v>19</v>
      </c>
      <c r="E119">
        <v>0</v>
      </c>
      <c r="F119">
        <v>2.0848066722974101</v>
      </c>
      <c r="G119">
        <v>1</v>
      </c>
      <c r="H119">
        <v>1</v>
      </c>
      <c r="I119" t="s">
        <v>1174</v>
      </c>
    </row>
    <row r="120" spans="1:9" x14ac:dyDescent="0.2">
      <c r="A120" t="s">
        <v>48</v>
      </c>
      <c r="B120">
        <v>90</v>
      </c>
      <c r="C120">
        <v>3</v>
      </c>
      <c r="D120">
        <v>19</v>
      </c>
      <c r="E120">
        <v>0</v>
      </c>
      <c r="F120">
        <v>2.12832884304225</v>
      </c>
      <c r="G120">
        <v>1</v>
      </c>
      <c r="H120">
        <v>1</v>
      </c>
      <c r="I120" t="s">
        <v>1175</v>
      </c>
    </row>
    <row r="121" spans="1:9" x14ac:dyDescent="0.2">
      <c r="A121" t="s">
        <v>49</v>
      </c>
      <c r="B121">
        <v>91</v>
      </c>
      <c r="C121">
        <v>4</v>
      </c>
      <c r="D121">
        <v>19</v>
      </c>
      <c r="E121">
        <v>0</v>
      </c>
      <c r="F121">
        <v>2.0686862282454901</v>
      </c>
      <c r="G121">
        <v>1</v>
      </c>
      <c r="H121">
        <v>1</v>
      </c>
      <c r="I121" t="s">
        <v>1176</v>
      </c>
    </row>
    <row r="122" spans="1:9" x14ac:dyDescent="0.2">
      <c r="A122" t="s">
        <v>50</v>
      </c>
      <c r="B122">
        <v>92</v>
      </c>
      <c r="C122">
        <v>3</v>
      </c>
      <c r="D122">
        <v>20</v>
      </c>
      <c r="E122">
        <v>0</v>
      </c>
      <c r="F122">
        <v>2.2298730639740798</v>
      </c>
      <c r="G122">
        <v>1</v>
      </c>
      <c r="H122">
        <v>1</v>
      </c>
      <c r="I122" t="s">
        <v>1177</v>
      </c>
    </row>
    <row r="123" spans="1:9" x14ac:dyDescent="0.2">
      <c r="A123" t="s">
        <v>51</v>
      </c>
      <c r="B123">
        <v>93</v>
      </c>
      <c r="C123">
        <v>4</v>
      </c>
      <c r="D123">
        <v>20</v>
      </c>
      <c r="E123">
        <v>0</v>
      </c>
      <c r="F123">
        <v>2.23261114489287</v>
      </c>
      <c r="G123">
        <v>1</v>
      </c>
      <c r="H123">
        <v>1</v>
      </c>
      <c r="I123" t="s">
        <v>1178</v>
      </c>
    </row>
    <row r="124" spans="1:9" x14ac:dyDescent="0.2">
      <c r="A124" t="s">
        <v>52</v>
      </c>
      <c r="B124">
        <v>94</v>
      </c>
      <c r="C124">
        <v>4</v>
      </c>
      <c r="D124">
        <v>20</v>
      </c>
      <c r="E124">
        <v>0</v>
      </c>
      <c r="F124">
        <v>2.26271469984203</v>
      </c>
      <c r="G124">
        <v>1</v>
      </c>
      <c r="H124">
        <v>1</v>
      </c>
      <c r="I124" t="s">
        <v>1179</v>
      </c>
    </row>
    <row r="125" spans="1:9" x14ac:dyDescent="0.2">
      <c r="A125" t="s">
        <v>53</v>
      </c>
      <c r="B125">
        <v>95</v>
      </c>
      <c r="C125">
        <v>5</v>
      </c>
      <c r="D125">
        <v>19</v>
      </c>
      <c r="E125">
        <v>0</v>
      </c>
      <c r="F125">
        <v>2.1475245263427398</v>
      </c>
      <c r="G125">
        <v>1</v>
      </c>
      <c r="H125">
        <v>1</v>
      </c>
      <c r="I125" t="s">
        <v>1180</v>
      </c>
    </row>
    <row r="126" spans="1:9" x14ac:dyDescent="0.2">
      <c r="A126" t="s">
        <v>54</v>
      </c>
      <c r="B126">
        <v>96</v>
      </c>
      <c r="C126">
        <v>27</v>
      </c>
      <c r="D126">
        <v>15</v>
      </c>
      <c r="E126">
        <v>1</v>
      </c>
      <c r="F126">
        <v>2.0033556679263702</v>
      </c>
      <c r="G126">
        <v>1</v>
      </c>
      <c r="H126">
        <v>1</v>
      </c>
      <c r="I126" t="s">
        <v>1181</v>
      </c>
    </row>
    <row r="127" spans="1:9" x14ac:dyDescent="0.2">
      <c r="A127" t="s">
        <v>55</v>
      </c>
      <c r="B127">
        <v>97</v>
      </c>
      <c r="C127">
        <v>5</v>
      </c>
      <c r="D127">
        <v>19</v>
      </c>
      <c r="E127">
        <v>0</v>
      </c>
      <c r="F127">
        <v>2.1945993173867402</v>
      </c>
      <c r="G127">
        <v>1</v>
      </c>
      <c r="H127">
        <v>1</v>
      </c>
      <c r="I127" t="s">
        <v>1182</v>
      </c>
    </row>
    <row r="128" spans="1:9" x14ac:dyDescent="0.2">
      <c r="A128" t="s">
        <v>56</v>
      </c>
      <c r="B128">
        <v>98</v>
      </c>
      <c r="C128">
        <v>2</v>
      </c>
      <c r="D128">
        <v>21</v>
      </c>
      <c r="E128">
        <v>0</v>
      </c>
      <c r="F128">
        <v>2.3966222004964899</v>
      </c>
      <c r="G128">
        <v>1</v>
      </c>
      <c r="H128">
        <v>1</v>
      </c>
      <c r="I128" t="s">
        <v>1183</v>
      </c>
    </row>
    <row r="129" spans="1:9" x14ac:dyDescent="0.2">
      <c r="A129" t="s">
        <v>57</v>
      </c>
      <c r="B129">
        <v>99</v>
      </c>
      <c r="C129">
        <v>3</v>
      </c>
      <c r="D129">
        <v>21</v>
      </c>
      <c r="E129">
        <v>0</v>
      </c>
      <c r="F129">
        <v>2.4092067228630101</v>
      </c>
      <c r="G129">
        <v>1</v>
      </c>
      <c r="H129">
        <v>1</v>
      </c>
      <c r="I129" t="s">
        <v>1184</v>
      </c>
    </row>
    <row r="130" spans="1:9" x14ac:dyDescent="0.2">
      <c r="A130" t="s">
        <v>58</v>
      </c>
      <c r="B130">
        <v>100</v>
      </c>
      <c r="C130">
        <v>4</v>
      </c>
      <c r="D130">
        <v>20</v>
      </c>
      <c r="E130">
        <v>0</v>
      </c>
      <c r="F130">
        <v>2.4109885375946698</v>
      </c>
      <c r="G130">
        <v>1</v>
      </c>
      <c r="H130">
        <v>1</v>
      </c>
      <c r="I130" t="s">
        <v>1185</v>
      </c>
    </row>
    <row r="131" spans="1:9" x14ac:dyDescent="0.2">
      <c r="A131" t="s">
        <v>59</v>
      </c>
      <c r="B131">
        <v>101</v>
      </c>
      <c r="C131">
        <v>4</v>
      </c>
      <c r="D131">
        <v>20</v>
      </c>
      <c r="E131">
        <v>0</v>
      </c>
      <c r="F131">
        <v>2.4269222524016998</v>
      </c>
      <c r="G131">
        <v>1</v>
      </c>
      <c r="H131">
        <v>1</v>
      </c>
      <c r="I131" t="s">
        <v>1186</v>
      </c>
    </row>
    <row r="132" spans="1:9" x14ac:dyDescent="0.2">
      <c r="A132" t="s">
        <v>60</v>
      </c>
      <c r="B132">
        <v>102</v>
      </c>
      <c r="C132">
        <v>17</v>
      </c>
      <c r="D132">
        <v>20</v>
      </c>
      <c r="E132">
        <v>3</v>
      </c>
      <c r="F132">
        <v>2.43996122293174</v>
      </c>
      <c r="G132">
        <v>1</v>
      </c>
      <c r="H132">
        <v>1</v>
      </c>
      <c r="I132" t="s">
        <v>1187</v>
      </c>
    </row>
    <row r="133" spans="1:9" x14ac:dyDescent="0.2">
      <c r="A133" t="s">
        <v>61</v>
      </c>
      <c r="B133">
        <v>103</v>
      </c>
      <c r="C133">
        <v>18</v>
      </c>
      <c r="D133">
        <v>20</v>
      </c>
      <c r="E133">
        <v>3</v>
      </c>
      <c r="F133">
        <v>2.4977365117520001</v>
      </c>
      <c r="G133">
        <v>1</v>
      </c>
      <c r="H133">
        <v>1</v>
      </c>
      <c r="I133" t="s">
        <v>1188</v>
      </c>
    </row>
    <row r="134" spans="1:9" x14ac:dyDescent="0.2">
      <c r="A134" t="s">
        <v>62</v>
      </c>
      <c r="B134">
        <v>104</v>
      </c>
      <c r="C134">
        <v>12</v>
      </c>
      <c r="D134">
        <v>22</v>
      </c>
      <c r="E134">
        <v>3</v>
      </c>
      <c r="F134">
        <v>2.6511851260438499</v>
      </c>
      <c r="G134">
        <v>1</v>
      </c>
      <c r="H134">
        <v>1</v>
      </c>
      <c r="I134" t="s">
        <v>1189</v>
      </c>
    </row>
    <row r="135" spans="1:9" x14ac:dyDescent="0.2">
      <c r="A135" t="s">
        <v>63</v>
      </c>
      <c r="B135">
        <v>105</v>
      </c>
      <c r="C135">
        <v>8</v>
      </c>
      <c r="D135">
        <v>22</v>
      </c>
      <c r="E135">
        <v>2</v>
      </c>
      <c r="F135">
        <v>2.7926507238298601</v>
      </c>
      <c r="G135">
        <v>1</v>
      </c>
      <c r="H135">
        <v>1</v>
      </c>
      <c r="I135" t="s">
        <v>1190</v>
      </c>
    </row>
    <row r="136" spans="1:9" x14ac:dyDescent="0.2">
      <c r="A136" t="s">
        <v>65</v>
      </c>
      <c r="B136">
        <v>106</v>
      </c>
      <c r="C136">
        <v>23</v>
      </c>
      <c r="D136">
        <v>18</v>
      </c>
      <c r="E136">
        <v>2</v>
      </c>
      <c r="F136">
        <v>2.50411926023662</v>
      </c>
      <c r="G136">
        <v>1</v>
      </c>
      <c r="H136">
        <v>1</v>
      </c>
      <c r="I136" t="s">
        <v>1191</v>
      </c>
    </row>
    <row r="137" spans="1:9" x14ac:dyDescent="0.2">
      <c r="A137" t="s">
        <v>66</v>
      </c>
      <c r="B137">
        <v>107</v>
      </c>
      <c r="C137">
        <v>10</v>
      </c>
      <c r="D137">
        <v>21</v>
      </c>
      <c r="E137">
        <v>1</v>
      </c>
      <c r="F137">
        <v>2.7734852461144301</v>
      </c>
      <c r="G137">
        <v>1</v>
      </c>
      <c r="H137">
        <v>1</v>
      </c>
      <c r="I137" t="s">
        <v>1192</v>
      </c>
    </row>
    <row r="138" spans="1:9" x14ac:dyDescent="0.2">
      <c r="A138" t="s">
        <v>67</v>
      </c>
      <c r="B138">
        <v>108</v>
      </c>
      <c r="C138">
        <v>36</v>
      </c>
      <c r="D138">
        <v>16</v>
      </c>
      <c r="E138">
        <v>3</v>
      </c>
      <c r="F138">
        <v>2.2444239417090999</v>
      </c>
      <c r="G138">
        <v>1</v>
      </c>
      <c r="H138">
        <v>1</v>
      </c>
      <c r="I138" t="s">
        <v>1193</v>
      </c>
    </row>
    <row r="139" spans="1:9" x14ac:dyDescent="0.2">
      <c r="A139" t="s">
        <v>68</v>
      </c>
      <c r="B139">
        <v>109</v>
      </c>
      <c r="C139">
        <v>31</v>
      </c>
      <c r="D139">
        <v>16</v>
      </c>
      <c r="E139">
        <v>2</v>
      </c>
      <c r="F139">
        <v>2.3967005815356899</v>
      </c>
      <c r="G139">
        <v>1</v>
      </c>
      <c r="H139">
        <v>1</v>
      </c>
      <c r="I139" t="s">
        <v>1194</v>
      </c>
    </row>
    <row r="140" spans="1:9" x14ac:dyDescent="0.2">
      <c r="A140" t="s">
        <v>69</v>
      </c>
      <c r="B140">
        <v>110</v>
      </c>
      <c r="C140">
        <v>32</v>
      </c>
      <c r="D140">
        <v>17</v>
      </c>
      <c r="E140">
        <v>3</v>
      </c>
      <c r="F140">
        <v>2.4662273926660401</v>
      </c>
      <c r="G140">
        <v>1</v>
      </c>
      <c r="H140">
        <v>1</v>
      </c>
      <c r="I140" t="s">
        <v>1195</v>
      </c>
    </row>
    <row r="141" spans="1:9" x14ac:dyDescent="0.2">
      <c r="A141" t="s">
        <v>70</v>
      </c>
      <c r="B141">
        <v>111</v>
      </c>
      <c r="C141">
        <v>33</v>
      </c>
      <c r="D141">
        <v>16</v>
      </c>
      <c r="E141">
        <v>2</v>
      </c>
      <c r="F141">
        <v>2.5273756068199802</v>
      </c>
      <c r="G141">
        <v>1</v>
      </c>
      <c r="H141">
        <v>1</v>
      </c>
      <c r="I141" t="s">
        <v>1196</v>
      </c>
    </row>
    <row r="142" spans="1:9" x14ac:dyDescent="0.2">
      <c r="A142" t="s">
        <v>71</v>
      </c>
      <c r="B142">
        <v>112</v>
      </c>
      <c r="C142">
        <v>16</v>
      </c>
      <c r="D142">
        <v>20</v>
      </c>
      <c r="E142">
        <v>1</v>
      </c>
      <c r="F142">
        <v>2.9373463913798301</v>
      </c>
      <c r="G142">
        <v>1</v>
      </c>
      <c r="H142">
        <v>1</v>
      </c>
      <c r="I142" t="s">
        <v>1197</v>
      </c>
    </row>
    <row r="143" spans="1:9" x14ac:dyDescent="0.2">
      <c r="A143" t="s">
        <v>72</v>
      </c>
      <c r="B143">
        <v>113</v>
      </c>
      <c r="C143">
        <v>34</v>
      </c>
      <c r="D143">
        <v>16</v>
      </c>
      <c r="E143">
        <v>2</v>
      </c>
      <c r="F143">
        <v>2.5287761567160398</v>
      </c>
      <c r="G143">
        <v>1</v>
      </c>
      <c r="H143">
        <v>1</v>
      </c>
      <c r="I143" t="s">
        <v>1198</v>
      </c>
    </row>
    <row r="144" spans="1:9" x14ac:dyDescent="0.2">
      <c r="A144" t="s">
        <v>73</v>
      </c>
      <c r="B144">
        <v>114</v>
      </c>
      <c r="C144">
        <v>36</v>
      </c>
      <c r="D144">
        <v>14</v>
      </c>
      <c r="E144">
        <v>0</v>
      </c>
      <c r="F144">
        <v>2.5316542396321799</v>
      </c>
      <c r="G144">
        <v>1</v>
      </c>
      <c r="H144">
        <v>1</v>
      </c>
      <c r="I144" t="s">
        <v>1199</v>
      </c>
    </row>
    <row r="145" spans="1:9" x14ac:dyDescent="0.2">
      <c r="A145" t="s">
        <v>75</v>
      </c>
      <c r="B145">
        <v>115</v>
      </c>
      <c r="C145">
        <v>1</v>
      </c>
      <c r="D145">
        <v>25</v>
      </c>
      <c r="E145">
        <v>0</v>
      </c>
      <c r="F145">
        <v>3.26560170948505</v>
      </c>
      <c r="G145">
        <v>1</v>
      </c>
      <c r="H145">
        <v>1</v>
      </c>
      <c r="I145" t="s">
        <v>1200</v>
      </c>
    </row>
    <row r="146" spans="1:9" x14ac:dyDescent="0.2">
      <c r="A146" t="s">
        <v>76</v>
      </c>
      <c r="B146">
        <v>116</v>
      </c>
      <c r="C146">
        <v>2</v>
      </c>
      <c r="D146">
        <v>24</v>
      </c>
      <c r="E146">
        <v>0</v>
      </c>
      <c r="F146">
        <v>3.2150796521455001</v>
      </c>
      <c r="G146">
        <v>1</v>
      </c>
      <c r="H146">
        <v>1</v>
      </c>
      <c r="I146" t="s">
        <v>1201</v>
      </c>
    </row>
    <row r="147" spans="1:9" x14ac:dyDescent="0.2">
      <c r="A147" t="s">
        <v>77</v>
      </c>
      <c r="B147">
        <v>117</v>
      </c>
      <c r="C147">
        <v>2</v>
      </c>
      <c r="D147">
        <v>25</v>
      </c>
      <c r="E147">
        <v>1</v>
      </c>
      <c r="F147">
        <v>3.2552312863990598</v>
      </c>
      <c r="G147">
        <v>1</v>
      </c>
      <c r="H147">
        <v>1</v>
      </c>
      <c r="I147" t="s">
        <v>1202</v>
      </c>
    </row>
    <row r="148" spans="1:9" x14ac:dyDescent="0.2">
      <c r="A148" t="s">
        <v>78</v>
      </c>
      <c r="B148">
        <v>118</v>
      </c>
      <c r="C148">
        <v>1</v>
      </c>
      <c r="D148">
        <v>25</v>
      </c>
      <c r="E148">
        <v>0</v>
      </c>
      <c r="F148">
        <v>3.3676019888371198</v>
      </c>
      <c r="G148">
        <v>1</v>
      </c>
      <c r="H148">
        <v>1</v>
      </c>
      <c r="I148" t="s">
        <v>1203</v>
      </c>
    </row>
    <row r="149" spans="1:9" x14ac:dyDescent="0.2">
      <c r="A149" t="s">
        <v>79</v>
      </c>
      <c r="B149">
        <v>119</v>
      </c>
      <c r="C149">
        <v>39</v>
      </c>
      <c r="D149">
        <v>18</v>
      </c>
      <c r="E149">
        <v>4</v>
      </c>
      <c r="F149">
        <v>2.7891986072063402</v>
      </c>
      <c r="G149">
        <v>1</v>
      </c>
      <c r="H149">
        <v>1</v>
      </c>
      <c r="I149" t="s">
        <v>1204</v>
      </c>
    </row>
    <row r="150" spans="1:9" x14ac:dyDescent="0.2">
      <c r="A150" t="s">
        <v>80</v>
      </c>
      <c r="B150">
        <v>120</v>
      </c>
      <c r="C150">
        <v>40</v>
      </c>
      <c r="D150">
        <v>14</v>
      </c>
      <c r="E150">
        <v>0</v>
      </c>
      <c r="F150">
        <v>2.7253988077864002</v>
      </c>
      <c r="G150">
        <v>1</v>
      </c>
      <c r="H150">
        <v>1</v>
      </c>
      <c r="I150" t="s">
        <v>1205</v>
      </c>
    </row>
    <row r="151" spans="1:9" x14ac:dyDescent="0.2">
      <c r="A151" t="s">
        <v>81</v>
      </c>
      <c r="B151">
        <v>121</v>
      </c>
      <c r="C151">
        <v>36</v>
      </c>
      <c r="D151">
        <v>19</v>
      </c>
      <c r="E151">
        <v>4</v>
      </c>
      <c r="F151">
        <v>2.9450709149241399</v>
      </c>
      <c r="G151">
        <v>1</v>
      </c>
      <c r="H151">
        <v>1</v>
      </c>
      <c r="I151" t="s">
        <v>1206</v>
      </c>
    </row>
    <row r="152" spans="1:9" x14ac:dyDescent="0.2">
      <c r="A152" t="s">
        <v>82</v>
      </c>
      <c r="B152">
        <v>122</v>
      </c>
      <c r="C152">
        <v>37</v>
      </c>
      <c r="D152">
        <v>19</v>
      </c>
      <c r="E152">
        <v>4</v>
      </c>
      <c r="F152">
        <v>3.0031877104192901</v>
      </c>
      <c r="G152">
        <v>1</v>
      </c>
      <c r="H152">
        <v>1</v>
      </c>
      <c r="I152" t="s">
        <v>1207</v>
      </c>
    </row>
    <row r="153" spans="1:9" x14ac:dyDescent="0.2">
      <c r="A153" t="s">
        <v>83</v>
      </c>
      <c r="B153">
        <v>123</v>
      </c>
      <c r="C153">
        <v>38</v>
      </c>
      <c r="D153">
        <v>18</v>
      </c>
      <c r="E153">
        <v>3</v>
      </c>
      <c r="F153">
        <v>3.0466952212154799</v>
      </c>
      <c r="G153">
        <v>1</v>
      </c>
      <c r="H153">
        <v>1</v>
      </c>
      <c r="I153" t="s">
        <v>1208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95318-358A-124F-92DD-DE8D229CB6FD}">
  <dimension ref="A1:I153"/>
  <sheetViews>
    <sheetView workbookViewId="0">
      <selection activeCell="H14" sqref="A1:XFD1048576"/>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1086</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87</v>
      </c>
    </row>
    <row r="23" spans="1:9" x14ac:dyDescent="0.2">
      <c r="A23" t="s">
        <v>88</v>
      </c>
    </row>
    <row r="24" spans="1:9" x14ac:dyDescent="0.2">
      <c r="A24" t="s">
        <v>89</v>
      </c>
    </row>
    <row r="25" spans="1:9" x14ac:dyDescent="0.2">
      <c r="A25" t="s">
        <v>28</v>
      </c>
    </row>
    <row r="26" spans="1:9" x14ac:dyDescent="0.2">
      <c r="A26" t="s">
        <v>90</v>
      </c>
    </row>
    <row r="27" spans="1:9" x14ac:dyDescent="0.2">
      <c r="A27" t="s">
        <v>15</v>
      </c>
    </row>
    <row r="28" spans="1:9" x14ac:dyDescent="0.2">
      <c r="A28" t="s">
        <v>16</v>
      </c>
    </row>
    <row r="29" spans="1:9" x14ac:dyDescent="0.2">
      <c r="A29" t="s">
        <v>1209</v>
      </c>
    </row>
    <row r="30" spans="1:9" x14ac:dyDescent="0.2">
      <c r="A30"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0.15588868688791899</v>
      </c>
      <c r="G33">
        <v>1</v>
      </c>
      <c r="H33">
        <v>1</v>
      </c>
      <c r="I33" t="s">
        <v>1210</v>
      </c>
    </row>
    <row r="34" spans="1:9" x14ac:dyDescent="0.2">
      <c r="A34" t="s">
        <v>93</v>
      </c>
      <c r="B34">
        <v>4</v>
      </c>
      <c r="C34">
        <v>1</v>
      </c>
      <c r="D34">
        <v>2</v>
      </c>
      <c r="E34">
        <v>0</v>
      </c>
      <c r="F34">
        <v>2.4490771815180699E-2</v>
      </c>
      <c r="G34">
        <v>1</v>
      </c>
      <c r="H34">
        <v>1</v>
      </c>
      <c r="I34" t="s">
        <v>1211</v>
      </c>
    </row>
    <row r="35" spans="1:9" x14ac:dyDescent="0.2">
      <c r="A35" t="s">
        <v>94</v>
      </c>
      <c r="B35">
        <v>5</v>
      </c>
      <c r="C35">
        <v>1</v>
      </c>
      <c r="D35">
        <v>3</v>
      </c>
      <c r="E35">
        <v>0</v>
      </c>
      <c r="F35">
        <v>3.1393998302519301E-2</v>
      </c>
      <c r="G35">
        <v>1</v>
      </c>
      <c r="H35">
        <v>1</v>
      </c>
      <c r="I35" t="s">
        <v>1212</v>
      </c>
    </row>
    <row r="36" spans="1:9" x14ac:dyDescent="0.2">
      <c r="A36" t="s">
        <v>95</v>
      </c>
      <c r="B36">
        <v>6</v>
      </c>
      <c r="C36">
        <v>1</v>
      </c>
      <c r="D36">
        <v>3</v>
      </c>
      <c r="E36">
        <v>0</v>
      </c>
      <c r="F36">
        <v>3.6323600448668003E-2</v>
      </c>
      <c r="G36">
        <v>1</v>
      </c>
      <c r="H36">
        <v>1</v>
      </c>
      <c r="I36" t="s">
        <v>1213</v>
      </c>
    </row>
    <row r="37" spans="1:9" x14ac:dyDescent="0.2">
      <c r="A37" t="s">
        <v>96</v>
      </c>
      <c r="B37">
        <v>7</v>
      </c>
      <c r="C37">
        <v>1</v>
      </c>
      <c r="D37">
        <v>3</v>
      </c>
      <c r="E37">
        <v>0</v>
      </c>
      <c r="F37">
        <v>4.2451309040188699E-2</v>
      </c>
      <c r="G37">
        <v>1</v>
      </c>
      <c r="H37">
        <v>1</v>
      </c>
      <c r="I37" t="s">
        <v>1214</v>
      </c>
    </row>
    <row r="38" spans="1:9" x14ac:dyDescent="0.2">
      <c r="A38" t="s">
        <v>97</v>
      </c>
      <c r="B38">
        <v>8</v>
      </c>
      <c r="C38">
        <v>1</v>
      </c>
      <c r="D38">
        <v>3</v>
      </c>
      <c r="E38">
        <v>0</v>
      </c>
      <c r="F38">
        <v>4.5867452397942501E-2</v>
      </c>
      <c r="G38">
        <v>1</v>
      </c>
      <c r="H38">
        <v>1</v>
      </c>
      <c r="I38" t="s">
        <v>1215</v>
      </c>
    </row>
    <row r="39" spans="1:9" x14ac:dyDescent="0.2">
      <c r="A39" t="s">
        <v>98</v>
      </c>
      <c r="B39">
        <v>9</v>
      </c>
      <c r="C39">
        <v>1</v>
      </c>
      <c r="D39">
        <v>3</v>
      </c>
      <c r="E39">
        <v>0</v>
      </c>
      <c r="F39">
        <v>5.20390346646308E-2</v>
      </c>
      <c r="G39">
        <v>1</v>
      </c>
      <c r="H39">
        <v>1</v>
      </c>
      <c r="I39" t="s">
        <v>1216</v>
      </c>
    </row>
    <row r="40" spans="1:9" x14ac:dyDescent="0.2">
      <c r="A40" t="s">
        <v>99</v>
      </c>
      <c r="B40">
        <v>10</v>
      </c>
      <c r="C40">
        <v>1</v>
      </c>
      <c r="D40">
        <v>4</v>
      </c>
      <c r="E40">
        <v>0</v>
      </c>
      <c r="F40">
        <v>7.44207752868533E-2</v>
      </c>
      <c r="G40">
        <v>1</v>
      </c>
      <c r="H40">
        <v>1</v>
      </c>
      <c r="I40" t="s">
        <v>1217</v>
      </c>
    </row>
    <row r="41" spans="1:9" x14ac:dyDescent="0.2">
      <c r="A41" t="s">
        <v>100</v>
      </c>
      <c r="B41">
        <v>11</v>
      </c>
      <c r="C41">
        <v>1</v>
      </c>
      <c r="D41">
        <v>5</v>
      </c>
      <c r="E41">
        <v>0</v>
      </c>
      <c r="F41">
        <v>7.3163796216249397E-2</v>
      </c>
      <c r="G41">
        <v>1</v>
      </c>
      <c r="H41">
        <v>1</v>
      </c>
      <c r="I41" t="s">
        <v>1218</v>
      </c>
    </row>
    <row r="42" spans="1:9" x14ac:dyDescent="0.2">
      <c r="A42" t="s">
        <v>101</v>
      </c>
      <c r="B42">
        <v>12</v>
      </c>
      <c r="C42">
        <v>6</v>
      </c>
      <c r="D42">
        <v>3</v>
      </c>
      <c r="E42">
        <v>0</v>
      </c>
      <c r="F42">
        <v>6.3535203225910594E-2</v>
      </c>
      <c r="G42">
        <v>1</v>
      </c>
      <c r="H42">
        <v>1</v>
      </c>
      <c r="I42" t="s">
        <v>1219</v>
      </c>
    </row>
    <row r="43" spans="1:9" x14ac:dyDescent="0.2">
      <c r="A43" t="s">
        <v>102</v>
      </c>
      <c r="B43">
        <v>13</v>
      </c>
      <c r="C43">
        <v>6</v>
      </c>
      <c r="D43">
        <v>3</v>
      </c>
      <c r="E43">
        <v>0</v>
      </c>
      <c r="F43">
        <v>8.1499826163053499E-2</v>
      </c>
      <c r="G43">
        <v>1</v>
      </c>
      <c r="H43">
        <v>1</v>
      </c>
      <c r="I43" t="s">
        <v>1220</v>
      </c>
    </row>
    <row r="44" spans="1:9" x14ac:dyDescent="0.2">
      <c r="A44" t="s">
        <v>103</v>
      </c>
      <c r="B44">
        <v>14</v>
      </c>
      <c r="C44">
        <v>2</v>
      </c>
      <c r="D44">
        <v>5</v>
      </c>
      <c r="E44">
        <v>0</v>
      </c>
      <c r="F44">
        <v>9.5016393810510594E-2</v>
      </c>
      <c r="G44">
        <v>1</v>
      </c>
      <c r="H44">
        <v>1</v>
      </c>
      <c r="I44" t="s">
        <v>1221</v>
      </c>
    </row>
    <row r="45" spans="1:9" x14ac:dyDescent="0.2">
      <c r="A45" t="s">
        <v>104</v>
      </c>
      <c r="B45">
        <v>15</v>
      </c>
      <c r="C45">
        <v>2</v>
      </c>
      <c r="D45">
        <v>5</v>
      </c>
      <c r="E45">
        <v>0</v>
      </c>
      <c r="F45">
        <v>0.101343440823256</v>
      </c>
      <c r="G45">
        <v>1</v>
      </c>
      <c r="H45">
        <v>1</v>
      </c>
      <c r="I45" t="s">
        <v>1222</v>
      </c>
    </row>
    <row r="46" spans="1:9" x14ac:dyDescent="0.2">
      <c r="A46" t="s">
        <v>105</v>
      </c>
      <c r="B46">
        <v>16</v>
      </c>
      <c r="C46">
        <v>1</v>
      </c>
      <c r="D46">
        <v>6</v>
      </c>
      <c r="E46">
        <v>0</v>
      </c>
      <c r="F46">
        <v>0.117176168598234</v>
      </c>
      <c r="G46">
        <v>1</v>
      </c>
      <c r="H46">
        <v>1</v>
      </c>
      <c r="I46" t="s">
        <v>1223</v>
      </c>
    </row>
    <row r="47" spans="1:9" x14ac:dyDescent="0.2">
      <c r="A47" t="s">
        <v>106</v>
      </c>
      <c r="B47">
        <v>17</v>
      </c>
      <c r="C47">
        <v>3</v>
      </c>
      <c r="D47">
        <v>5</v>
      </c>
      <c r="E47">
        <v>0</v>
      </c>
      <c r="F47">
        <v>0.120109114795923</v>
      </c>
      <c r="G47">
        <v>1</v>
      </c>
      <c r="H47">
        <v>1</v>
      </c>
      <c r="I47" t="s">
        <v>1224</v>
      </c>
    </row>
    <row r="48" spans="1:9" x14ac:dyDescent="0.2">
      <c r="A48" t="s">
        <v>107</v>
      </c>
      <c r="B48">
        <v>18</v>
      </c>
      <c r="C48">
        <v>5</v>
      </c>
      <c r="D48">
        <v>5</v>
      </c>
      <c r="E48">
        <v>0</v>
      </c>
      <c r="F48">
        <v>0.13076229486614399</v>
      </c>
      <c r="G48">
        <v>1</v>
      </c>
      <c r="H48">
        <v>1</v>
      </c>
      <c r="I48" t="s">
        <v>1225</v>
      </c>
    </row>
    <row r="49" spans="1:9" x14ac:dyDescent="0.2">
      <c r="A49" t="s">
        <v>108</v>
      </c>
      <c r="B49">
        <v>19</v>
      </c>
      <c r="C49">
        <v>5</v>
      </c>
      <c r="D49">
        <v>5</v>
      </c>
      <c r="E49">
        <v>0</v>
      </c>
      <c r="F49">
        <v>0.14501057472079901</v>
      </c>
      <c r="G49">
        <v>1</v>
      </c>
      <c r="H49">
        <v>1</v>
      </c>
      <c r="I49" t="s">
        <v>1226</v>
      </c>
    </row>
    <row r="50" spans="1:9" x14ac:dyDescent="0.2">
      <c r="A50" t="s">
        <v>109</v>
      </c>
      <c r="B50">
        <v>20</v>
      </c>
      <c r="C50">
        <v>3</v>
      </c>
      <c r="D50">
        <v>6</v>
      </c>
      <c r="E50">
        <v>0</v>
      </c>
      <c r="F50">
        <v>0.16614509746432299</v>
      </c>
      <c r="G50">
        <v>1</v>
      </c>
      <c r="H50">
        <v>1</v>
      </c>
      <c r="I50" t="s">
        <v>1227</v>
      </c>
    </row>
    <row r="51" spans="1:9" x14ac:dyDescent="0.2">
      <c r="A51" t="s">
        <v>110</v>
      </c>
      <c r="B51">
        <v>21</v>
      </c>
      <c r="C51">
        <v>3</v>
      </c>
      <c r="D51">
        <v>6</v>
      </c>
      <c r="E51">
        <v>0</v>
      </c>
      <c r="F51">
        <v>0.17464506160467799</v>
      </c>
      <c r="G51">
        <v>1</v>
      </c>
      <c r="H51">
        <v>1</v>
      </c>
      <c r="I51" t="s">
        <v>1228</v>
      </c>
    </row>
    <row r="52" spans="1:9" x14ac:dyDescent="0.2">
      <c r="A52" t="s">
        <v>111</v>
      </c>
      <c r="B52">
        <v>22</v>
      </c>
      <c r="C52">
        <v>7</v>
      </c>
      <c r="D52">
        <v>5</v>
      </c>
      <c r="E52">
        <v>0</v>
      </c>
      <c r="F52">
        <v>0.172774327918887</v>
      </c>
      <c r="G52">
        <v>1</v>
      </c>
      <c r="H52">
        <v>1</v>
      </c>
      <c r="I52" t="s">
        <v>1229</v>
      </c>
    </row>
    <row r="53" spans="1:9" x14ac:dyDescent="0.2">
      <c r="A53" t="s">
        <v>112</v>
      </c>
      <c r="B53">
        <v>23</v>
      </c>
      <c r="C53">
        <v>2</v>
      </c>
      <c r="D53">
        <v>7</v>
      </c>
      <c r="E53">
        <v>0</v>
      </c>
      <c r="F53">
        <v>0.20794854220002801</v>
      </c>
      <c r="G53">
        <v>1</v>
      </c>
      <c r="H53">
        <v>1</v>
      </c>
      <c r="I53" t="s">
        <v>1230</v>
      </c>
    </row>
    <row r="54" spans="1:9" x14ac:dyDescent="0.2">
      <c r="A54" t="s">
        <v>113</v>
      </c>
      <c r="B54">
        <v>24</v>
      </c>
      <c r="C54">
        <v>8</v>
      </c>
      <c r="D54">
        <v>5</v>
      </c>
      <c r="E54">
        <v>0</v>
      </c>
      <c r="F54">
        <v>0.191198577173054</v>
      </c>
      <c r="G54">
        <v>1</v>
      </c>
      <c r="H54">
        <v>1</v>
      </c>
      <c r="I54" t="s">
        <v>1231</v>
      </c>
    </row>
    <row r="55" spans="1:9" x14ac:dyDescent="0.2">
      <c r="A55" t="s">
        <v>114</v>
      </c>
      <c r="B55">
        <v>25</v>
      </c>
      <c r="C55">
        <v>8</v>
      </c>
      <c r="D55">
        <v>5</v>
      </c>
      <c r="E55">
        <v>0</v>
      </c>
      <c r="F55">
        <v>0.21511321049183599</v>
      </c>
      <c r="G55">
        <v>1</v>
      </c>
      <c r="H55">
        <v>1</v>
      </c>
      <c r="I55" t="s">
        <v>1232</v>
      </c>
    </row>
    <row r="56" spans="1:9" x14ac:dyDescent="0.2">
      <c r="A56" t="s">
        <v>115</v>
      </c>
      <c r="B56">
        <v>26</v>
      </c>
      <c r="C56">
        <v>6</v>
      </c>
      <c r="D56">
        <v>6</v>
      </c>
      <c r="E56">
        <v>0</v>
      </c>
      <c r="F56">
        <v>0.23455656692385601</v>
      </c>
      <c r="G56">
        <v>1</v>
      </c>
      <c r="H56">
        <v>1</v>
      </c>
      <c r="I56" t="s">
        <v>1233</v>
      </c>
    </row>
    <row r="57" spans="1:9" x14ac:dyDescent="0.2">
      <c r="A57" t="s">
        <v>116</v>
      </c>
      <c r="B57">
        <v>27</v>
      </c>
      <c r="C57">
        <v>6</v>
      </c>
      <c r="D57">
        <v>6</v>
      </c>
      <c r="E57">
        <v>0</v>
      </c>
      <c r="F57">
        <v>0.244939550757408</v>
      </c>
      <c r="G57">
        <v>1</v>
      </c>
      <c r="H57">
        <v>1</v>
      </c>
      <c r="I57" t="s">
        <v>1234</v>
      </c>
    </row>
    <row r="58" spans="1:9" x14ac:dyDescent="0.2">
      <c r="A58" t="s">
        <v>117</v>
      </c>
      <c r="B58">
        <v>28</v>
      </c>
      <c r="C58">
        <v>6</v>
      </c>
      <c r="D58">
        <v>6</v>
      </c>
      <c r="E58">
        <v>0</v>
      </c>
      <c r="F58">
        <v>0.25610197708010601</v>
      </c>
      <c r="G58">
        <v>1</v>
      </c>
      <c r="H58">
        <v>1</v>
      </c>
      <c r="I58" t="s">
        <v>1235</v>
      </c>
    </row>
    <row r="59" spans="1:9" x14ac:dyDescent="0.2">
      <c r="A59" t="s">
        <v>118</v>
      </c>
      <c r="B59">
        <v>29</v>
      </c>
      <c r="C59">
        <v>6</v>
      </c>
      <c r="D59">
        <v>7</v>
      </c>
      <c r="E59">
        <v>0</v>
      </c>
      <c r="F59">
        <v>0.29130439553409798</v>
      </c>
      <c r="G59">
        <v>1</v>
      </c>
      <c r="H59">
        <v>1</v>
      </c>
      <c r="I59" t="s">
        <v>1236</v>
      </c>
    </row>
    <row r="60" spans="1:9" x14ac:dyDescent="0.2">
      <c r="A60" t="s">
        <v>119</v>
      </c>
      <c r="B60">
        <v>30</v>
      </c>
      <c r="C60">
        <v>9</v>
      </c>
      <c r="D60">
        <v>6</v>
      </c>
      <c r="E60">
        <v>0</v>
      </c>
      <c r="F60">
        <v>0.28124441765248698</v>
      </c>
      <c r="G60">
        <v>1</v>
      </c>
      <c r="H60">
        <v>1</v>
      </c>
      <c r="I60" t="s">
        <v>1237</v>
      </c>
    </row>
    <row r="61" spans="1:9" x14ac:dyDescent="0.2">
      <c r="A61" t="s">
        <v>120</v>
      </c>
      <c r="B61">
        <v>31</v>
      </c>
      <c r="C61">
        <v>9</v>
      </c>
      <c r="D61">
        <v>6</v>
      </c>
      <c r="E61">
        <v>0</v>
      </c>
      <c r="F61">
        <v>0.29746988043188999</v>
      </c>
      <c r="G61">
        <v>1</v>
      </c>
      <c r="H61">
        <v>1</v>
      </c>
      <c r="I61" t="s">
        <v>1238</v>
      </c>
    </row>
    <row r="62" spans="1:9" x14ac:dyDescent="0.2">
      <c r="A62" t="s">
        <v>121</v>
      </c>
      <c r="B62">
        <v>32</v>
      </c>
      <c r="C62">
        <v>5</v>
      </c>
      <c r="D62">
        <v>8</v>
      </c>
      <c r="E62">
        <v>0</v>
      </c>
      <c r="F62">
        <v>0.34492480661719999</v>
      </c>
      <c r="G62">
        <v>1</v>
      </c>
      <c r="H62">
        <v>1</v>
      </c>
      <c r="I62" t="s">
        <v>1239</v>
      </c>
    </row>
    <row r="63" spans="1:9" x14ac:dyDescent="0.2">
      <c r="A63" t="s">
        <v>122</v>
      </c>
      <c r="B63">
        <v>33</v>
      </c>
      <c r="C63">
        <v>7</v>
      </c>
      <c r="D63">
        <v>8</v>
      </c>
      <c r="E63">
        <v>0</v>
      </c>
      <c r="F63">
        <v>0.36814383510500098</v>
      </c>
      <c r="G63">
        <v>1</v>
      </c>
      <c r="H63">
        <v>1</v>
      </c>
      <c r="I63" t="s">
        <v>1240</v>
      </c>
    </row>
    <row r="64" spans="1:9" x14ac:dyDescent="0.2">
      <c r="A64" t="s">
        <v>123</v>
      </c>
      <c r="B64">
        <v>34</v>
      </c>
      <c r="C64">
        <v>17</v>
      </c>
      <c r="D64">
        <v>5</v>
      </c>
      <c r="E64">
        <v>0</v>
      </c>
      <c r="F64">
        <v>0.28286806773394302</v>
      </c>
      <c r="G64">
        <v>1</v>
      </c>
      <c r="H64">
        <v>1</v>
      </c>
      <c r="I64" t="s">
        <v>1241</v>
      </c>
    </row>
    <row r="65" spans="1:9" x14ac:dyDescent="0.2">
      <c r="A65" t="s">
        <v>124</v>
      </c>
      <c r="B65">
        <v>35</v>
      </c>
      <c r="C65">
        <v>4</v>
      </c>
      <c r="D65">
        <v>9</v>
      </c>
      <c r="E65">
        <v>0</v>
      </c>
      <c r="F65">
        <v>0.418196361511945</v>
      </c>
      <c r="G65">
        <v>1</v>
      </c>
      <c r="H65">
        <v>1</v>
      </c>
      <c r="I65" t="s">
        <v>1242</v>
      </c>
    </row>
    <row r="66" spans="1:9" x14ac:dyDescent="0.2">
      <c r="A66" t="s">
        <v>125</v>
      </c>
      <c r="B66">
        <v>36</v>
      </c>
      <c r="C66">
        <v>4</v>
      </c>
      <c r="D66">
        <v>9</v>
      </c>
      <c r="E66">
        <v>0</v>
      </c>
      <c r="F66">
        <v>0.51519015431404103</v>
      </c>
      <c r="G66">
        <v>1</v>
      </c>
      <c r="H66">
        <v>1</v>
      </c>
      <c r="I66" t="s">
        <v>1243</v>
      </c>
    </row>
    <row r="67" spans="1:9" x14ac:dyDescent="0.2">
      <c r="A67" t="s">
        <v>126</v>
      </c>
      <c r="B67">
        <v>37</v>
      </c>
      <c r="C67">
        <v>4</v>
      </c>
      <c r="D67">
        <v>9</v>
      </c>
      <c r="E67">
        <v>0</v>
      </c>
      <c r="F67">
        <v>0.53346748184412696</v>
      </c>
      <c r="G67">
        <v>1</v>
      </c>
      <c r="H67">
        <v>1</v>
      </c>
      <c r="I67" t="s">
        <v>1244</v>
      </c>
    </row>
    <row r="68" spans="1:9" x14ac:dyDescent="0.2">
      <c r="A68" t="s">
        <v>127</v>
      </c>
      <c r="B68">
        <v>38</v>
      </c>
      <c r="C68">
        <v>4</v>
      </c>
      <c r="D68">
        <v>9</v>
      </c>
      <c r="E68">
        <v>0</v>
      </c>
      <c r="F68">
        <v>0.46249569486826603</v>
      </c>
      <c r="G68">
        <v>1</v>
      </c>
      <c r="H68">
        <v>1</v>
      </c>
      <c r="I68" t="s">
        <v>1245</v>
      </c>
    </row>
    <row r="69" spans="1:9" x14ac:dyDescent="0.2">
      <c r="A69" t="s">
        <v>128</v>
      </c>
      <c r="B69">
        <v>39</v>
      </c>
      <c r="C69">
        <v>4</v>
      </c>
      <c r="D69">
        <v>9</v>
      </c>
      <c r="E69">
        <v>0</v>
      </c>
      <c r="F69">
        <v>0.49475203081965402</v>
      </c>
      <c r="G69">
        <v>1</v>
      </c>
      <c r="H69">
        <v>1</v>
      </c>
      <c r="I69" t="s">
        <v>1246</v>
      </c>
    </row>
    <row r="70" spans="1:9" x14ac:dyDescent="0.2">
      <c r="A70" t="s">
        <v>129</v>
      </c>
      <c r="B70">
        <v>40</v>
      </c>
      <c r="C70">
        <v>5</v>
      </c>
      <c r="D70">
        <v>9</v>
      </c>
      <c r="E70">
        <v>0</v>
      </c>
      <c r="F70">
        <v>0.51987022534012794</v>
      </c>
      <c r="G70">
        <v>1</v>
      </c>
      <c r="H70">
        <v>1</v>
      </c>
      <c r="I70" t="s">
        <v>1247</v>
      </c>
    </row>
    <row r="71" spans="1:9" x14ac:dyDescent="0.2">
      <c r="A71" t="s">
        <v>130</v>
      </c>
      <c r="B71">
        <v>41</v>
      </c>
      <c r="C71">
        <v>2</v>
      </c>
      <c r="D71">
        <v>11</v>
      </c>
      <c r="E71">
        <v>0</v>
      </c>
      <c r="F71">
        <v>0.55389240011572805</v>
      </c>
      <c r="G71">
        <v>1</v>
      </c>
      <c r="H71">
        <v>1</v>
      </c>
      <c r="I71" t="s">
        <v>1248</v>
      </c>
    </row>
    <row r="72" spans="1:9" x14ac:dyDescent="0.2">
      <c r="A72" t="s">
        <v>131</v>
      </c>
      <c r="B72">
        <v>42</v>
      </c>
      <c r="C72">
        <v>5</v>
      </c>
      <c r="D72">
        <v>9</v>
      </c>
      <c r="E72">
        <v>0</v>
      </c>
      <c r="F72">
        <v>0.58124091010540702</v>
      </c>
      <c r="G72">
        <v>1</v>
      </c>
      <c r="H72">
        <v>1</v>
      </c>
      <c r="I72" t="s">
        <v>1249</v>
      </c>
    </row>
    <row r="73" spans="1:9" x14ac:dyDescent="0.2">
      <c r="A73" t="s">
        <v>132</v>
      </c>
      <c r="B73">
        <v>43</v>
      </c>
      <c r="C73">
        <v>6</v>
      </c>
      <c r="D73">
        <v>9</v>
      </c>
      <c r="E73">
        <v>0</v>
      </c>
      <c r="F73">
        <v>0.60335565544664804</v>
      </c>
      <c r="G73">
        <v>1</v>
      </c>
      <c r="H73">
        <v>1</v>
      </c>
      <c r="I73" t="s">
        <v>1250</v>
      </c>
    </row>
    <row r="74" spans="1:9" x14ac:dyDescent="0.2">
      <c r="A74" t="s">
        <v>133</v>
      </c>
      <c r="B74">
        <v>44</v>
      </c>
      <c r="C74">
        <v>6</v>
      </c>
      <c r="D74">
        <v>9</v>
      </c>
      <c r="E74">
        <v>0</v>
      </c>
      <c r="F74">
        <v>0.62698991224169698</v>
      </c>
      <c r="G74">
        <v>1</v>
      </c>
      <c r="H74">
        <v>1</v>
      </c>
      <c r="I74" t="s">
        <v>1251</v>
      </c>
    </row>
    <row r="75" spans="1:9" x14ac:dyDescent="0.2">
      <c r="A75" t="s">
        <v>134</v>
      </c>
      <c r="B75">
        <v>45</v>
      </c>
      <c r="C75">
        <v>6</v>
      </c>
      <c r="D75">
        <v>9</v>
      </c>
      <c r="E75">
        <v>0</v>
      </c>
      <c r="F75">
        <v>0.64888219907879796</v>
      </c>
      <c r="G75">
        <v>1</v>
      </c>
      <c r="H75">
        <v>1</v>
      </c>
      <c r="I75" t="s">
        <v>1252</v>
      </c>
    </row>
    <row r="76" spans="1:9" x14ac:dyDescent="0.2">
      <c r="A76" t="s">
        <v>135</v>
      </c>
      <c r="B76">
        <v>46</v>
      </c>
      <c r="C76">
        <v>7</v>
      </c>
      <c r="D76">
        <v>9</v>
      </c>
      <c r="E76">
        <v>0</v>
      </c>
      <c r="F76">
        <v>0.68082804512232498</v>
      </c>
      <c r="G76">
        <v>1</v>
      </c>
      <c r="H76">
        <v>1</v>
      </c>
      <c r="I76" t="s">
        <v>1253</v>
      </c>
    </row>
    <row r="77" spans="1:9" x14ac:dyDescent="0.2">
      <c r="A77" t="s">
        <v>136</v>
      </c>
      <c r="B77">
        <v>47</v>
      </c>
      <c r="C77">
        <v>8</v>
      </c>
      <c r="D77">
        <v>9</v>
      </c>
      <c r="E77">
        <v>0</v>
      </c>
      <c r="F77">
        <v>0.70833167061209601</v>
      </c>
      <c r="G77">
        <v>1</v>
      </c>
      <c r="H77">
        <v>1</v>
      </c>
      <c r="I77" t="s">
        <v>1254</v>
      </c>
    </row>
    <row r="78" spans="1:9" x14ac:dyDescent="0.2">
      <c r="A78" t="s">
        <v>137</v>
      </c>
      <c r="B78">
        <v>48</v>
      </c>
      <c r="C78">
        <v>5</v>
      </c>
      <c r="D78">
        <v>10</v>
      </c>
      <c r="E78">
        <v>0</v>
      </c>
      <c r="F78">
        <v>0.73458861373364903</v>
      </c>
      <c r="G78">
        <v>1</v>
      </c>
      <c r="H78">
        <v>1</v>
      </c>
      <c r="I78" t="s">
        <v>1255</v>
      </c>
    </row>
    <row r="79" spans="1:9" x14ac:dyDescent="0.2">
      <c r="A79" t="s">
        <v>138</v>
      </c>
      <c r="B79">
        <v>49</v>
      </c>
      <c r="C79">
        <v>17</v>
      </c>
      <c r="D79">
        <v>7</v>
      </c>
      <c r="E79">
        <v>0</v>
      </c>
      <c r="F79">
        <v>0.73409105930477303</v>
      </c>
      <c r="G79">
        <v>1</v>
      </c>
      <c r="H79">
        <v>1</v>
      </c>
      <c r="I79" t="s">
        <v>1256</v>
      </c>
    </row>
    <row r="80" spans="1:9" x14ac:dyDescent="0.2">
      <c r="A80" t="s">
        <v>139</v>
      </c>
      <c r="B80">
        <v>50</v>
      </c>
      <c r="C80">
        <v>13</v>
      </c>
      <c r="D80">
        <v>8</v>
      </c>
      <c r="E80">
        <v>0</v>
      </c>
      <c r="F80">
        <v>0.83616261929273605</v>
      </c>
      <c r="G80">
        <v>1</v>
      </c>
      <c r="H80">
        <v>1</v>
      </c>
      <c r="I80" t="s">
        <v>1257</v>
      </c>
    </row>
    <row r="81" spans="1:9" x14ac:dyDescent="0.2">
      <c r="A81" t="s">
        <v>188</v>
      </c>
      <c r="B81">
        <v>51</v>
      </c>
      <c r="C81">
        <v>12</v>
      </c>
      <c r="D81">
        <v>9</v>
      </c>
      <c r="E81">
        <v>0</v>
      </c>
      <c r="F81">
        <v>0.88822130672633604</v>
      </c>
      <c r="G81">
        <v>1</v>
      </c>
      <c r="H81">
        <v>1</v>
      </c>
      <c r="I81" t="s">
        <v>1258</v>
      </c>
    </row>
    <row r="82" spans="1:9" x14ac:dyDescent="0.2">
      <c r="A82" t="s">
        <v>190</v>
      </c>
      <c r="B82">
        <v>52</v>
      </c>
      <c r="C82">
        <v>10</v>
      </c>
      <c r="D82">
        <v>11</v>
      </c>
      <c r="E82">
        <v>1</v>
      </c>
      <c r="F82">
        <v>0.93987900950014502</v>
      </c>
      <c r="G82">
        <v>1</v>
      </c>
      <c r="H82">
        <v>1</v>
      </c>
      <c r="I82" t="s">
        <v>1259</v>
      </c>
    </row>
    <row r="83" spans="1:9" x14ac:dyDescent="0.2">
      <c r="A83" t="s">
        <v>192</v>
      </c>
      <c r="B83">
        <v>53</v>
      </c>
      <c r="C83">
        <v>6</v>
      </c>
      <c r="D83">
        <v>11</v>
      </c>
      <c r="E83">
        <v>0</v>
      </c>
      <c r="F83">
        <v>0.99439700227230698</v>
      </c>
      <c r="G83">
        <v>1</v>
      </c>
      <c r="H83">
        <v>1</v>
      </c>
      <c r="I83" t="s">
        <v>1260</v>
      </c>
    </row>
    <row r="84" spans="1:9" x14ac:dyDescent="0.2">
      <c r="A84" t="s">
        <v>194</v>
      </c>
      <c r="B84">
        <v>54</v>
      </c>
      <c r="C84">
        <v>12</v>
      </c>
      <c r="D84">
        <v>10</v>
      </c>
      <c r="E84">
        <v>0</v>
      </c>
      <c r="F84">
        <v>0.99327641353011098</v>
      </c>
      <c r="G84">
        <v>1</v>
      </c>
      <c r="H84">
        <v>1</v>
      </c>
      <c r="I84" t="s">
        <v>1261</v>
      </c>
    </row>
    <row r="85" spans="1:9" x14ac:dyDescent="0.2">
      <c r="A85" t="s">
        <v>196</v>
      </c>
      <c r="B85">
        <v>55</v>
      </c>
      <c r="C85">
        <v>5</v>
      </c>
      <c r="D85">
        <v>12</v>
      </c>
      <c r="E85">
        <v>0</v>
      </c>
      <c r="F85">
        <v>1.0638200417160899</v>
      </c>
      <c r="G85">
        <v>1</v>
      </c>
      <c r="H85">
        <v>1</v>
      </c>
      <c r="I85" t="s">
        <v>1262</v>
      </c>
    </row>
    <row r="86" spans="1:9" x14ac:dyDescent="0.2">
      <c r="A86" t="s">
        <v>198</v>
      </c>
      <c r="B86">
        <v>56</v>
      </c>
      <c r="C86">
        <v>5</v>
      </c>
      <c r="D86">
        <v>12</v>
      </c>
      <c r="E86">
        <v>0</v>
      </c>
      <c r="F86">
        <v>1.09858090337365</v>
      </c>
      <c r="G86">
        <v>1</v>
      </c>
      <c r="H86">
        <v>1</v>
      </c>
      <c r="I86" t="s">
        <v>1263</v>
      </c>
    </row>
    <row r="87" spans="1:9" x14ac:dyDescent="0.2">
      <c r="A87" t="s">
        <v>200</v>
      </c>
      <c r="B87">
        <v>57</v>
      </c>
      <c r="C87">
        <v>4</v>
      </c>
      <c r="D87">
        <v>13</v>
      </c>
      <c r="E87">
        <v>0</v>
      </c>
      <c r="F87">
        <v>1.1319715259596701</v>
      </c>
      <c r="G87">
        <v>1</v>
      </c>
      <c r="H87">
        <v>1</v>
      </c>
      <c r="I87" t="s">
        <v>1264</v>
      </c>
    </row>
    <row r="88" spans="1:9" x14ac:dyDescent="0.2">
      <c r="A88" t="s">
        <v>202</v>
      </c>
      <c r="B88">
        <v>58</v>
      </c>
      <c r="C88">
        <v>12</v>
      </c>
      <c r="D88">
        <v>10</v>
      </c>
      <c r="E88">
        <v>0</v>
      </c>
      <c r="F88">
        <v>1.1525873998180001</v>
      </c>
      <c r="G88">
        <v>1</v>
      </c>
      <c r="H88">
        <v>1</v>
      </c>
      <c r="I88" t="s">
        <v>1265</v>
      </c>
    </row>
    <row r="89" spans="1:9" x14ac:dyDescent="0.2">
      <c r="A89" t="s">
        <v>204</v>
      </c>
      <c r="B89">
        <v>59</v>
      </c>
      <c r="C89">
        <v>12</v>
      </c>
      <c r="D89">
        <v>10</v>
      </c>
      <c r="E89">
        <v>0</v>
      </c>
      <c r="F89">
        <v>1.1937603978440099</v>
      </c>
      <c r="G89">
        <v>1</v>
      </c>
      <c r="H89">
        <v>1</v>
      </c>
      <c r="I89" t="s">
        <v>1266</v>
      </c>
    </row>
    <row r="90" spans="1:9" x14ac:dyDescent="0.2">
      <c r="A90" t="s">
        <v>206</v>
      </c>
      <c r="B90">
        <v>60</v>
      </c>
      <c r="C90">
        <v>10</v>
      </c>
      <c r="D90">
        <v>11</v>
      </c>
      <c r="E90">
        <v>0</v>
      </c>
      <c r="F90">
        <v>1.24732156191021</v>
      </c>
      <c r="G90">
        <v>1</v>
      </c>
      <c r="H90">
        <v>1</v>
      </c>
      <c r="I90" t="s">
        <v>1267</v>
      </c>
    </row>
    <row r="91" spans="1:9" x14ac:dyDescent="0.2">
      <c r="A91" t="s">
        <v>208</v>
      </c>
      <c r="B91">
        <v>61</v>
      </c>
      <c r="C91">
        <v>10</v>
      </c>
      <c r="D91">
        <v>11</v>
      </c>
      <c r="E91">
        <v>0</v>
      </c>
      <c r="F91">
        <v>1.28009026218205</v>
      </c>
      <c r="G91">
        <v>1</v>
      </c>
      <c r="H91">
        <v>1</v>
      </c>
      <c r="I91" t="s">
        <v>1268</v>
      </c>
    </row>
    <row r="92" spans="1:9" x14ac:dyDescent="0.2">
      <c r="A92" t="s">
        <v>210</v>
      </c>
      <c r="B92">
        <v>62</v>
      </c>
      <c r="C92">
        <v>16</v>
      </c>
      <c r="D92">
        <v>10</v>
      </c>
      <c r="E92">
        <v>0</v>
      </c>
      <c r="F92">
        <v>1.2789711691439101</v>
      </c>
      <c r="G92">
        <v>1</v>
      </c>
      <c r="H92">
        <v>1</v>
      </c>
      <c r="I92" t="s">
        <v>1269</v>
      </c>
    </row>
    <row r="93" spans="1:9" x14ac:dyDescent="0.2">
      <c r="A93" t="s">
        <v>212</v>
      </c>
      <c r="B93">
        <v>63</v>
      </c>
      <c r="C93">
        <v>8</v>
      </c>
      <c r="D93">
        <v>13</v>
      </c>
      <c r="E93">
        <v>0</v>
      </c>
      <c r="F93">
        <v>1.3359361067414199</v>
      </c>
      <c r="G93">
        <v>1</v>
      </c>
      <c r="H93">
        <v>1</v>
      </c>
      <c r="I93" t="s">
        <v>1270</v>
      </c>
    </row>
    <row r="94" spans="1:9" x14ac:dyDescent="0.2">
      <c r="A94" t="s">
        <v>214</v>
      </c>
      <c r="B94">
        <v>64</v>
      </c>
      <c r="C94">
        <v>13</v>
      </c>
      <c r="D94">
        <v>12</v>
      </c>
      <c r="E94">
        <v>0</v>
      </c>
      <c r="F94">
        <v>1.40425920207053</v>
      </c>
      <c r="G94">
        <v>1</v>
      </c>
      <c r="H94">
        <v>1</v>
      </c>
      <c r="I94" t="s">
        <v>1271</v>
      </c>
    </row>
    <row r="95" spans="1:9" x14ac:dyDescent="0.2">
      <c r="A95" t="s">
        <v>216</v>
      </c>
      <c r="B95">
        <v>65</v>
      </c>
      <c r="C95">
        <v>5</v>
      </c>
      <c r="D95">
        <v>14</v>
      </c>
      <c r="E95">
        <v>0</v>
      </c>
      <c r="F95">
        <v>1.46024376526474</v>
      </c>
      <c r="G95">
        <v>1</v>
      </c>
      <c r="H95">
        <v>1</v>
      </c>
      <c r="I95" t="s">
        <v>1272</v>
      </c>
    </row>
    <row r="96" spans="1:9" x14ac:dyDescent="0.2">
      <c r="A96" t="s">
        <v>218</v>
      </c>
      <c r="B96">
        <v>66</v>
      </c>
      <c r="C96">
        <v>5</v>
      </c>
      <c r="D96">
        <v>14</v>
      </c>
      <c r="E96">
        <v>0</v>
      </c>
      <c r="F96">
        <v>1.48648449592292</v>
      </c>
      <c r="G96">
        <v>1</v>
      </c>
      <c r="H96">
        <v>1</v>
      </c>
      <c r="I96" t="s">
        <v>1273</v>
      </c>
    </row>
    <row r="97" spans="1:9" x14ac:dyDescent="0.2">
      <c r="A97" t="s">
        <v>220</v>
      </c>
      <c r="B97">
        <v>67</v>
      </c>
      <c r="C97">
        <v>5</v>
      </c>
      <c r="D97">
        <v>14</v>
      </c>
      <c r="E97">
        <v>0</v>
      </c>
      <c r="F97">
        <v>1.5254215747117901</v>
      </c>
      <c r="G97">
        <v>1</v>
      </c>
      <c r="H97">
        <v>1</v>
      </c>
      <c r="I97" t="s">
        <v>1274</v>
      </c>
    </row>
    <row r="98" spans="1:9" x14ac:dyDescent="0.2">
      <c r="A98" t="s">
        <v>222</v>
      </c>
      <c r="B98">
        <v>68</v>
      </c>
      <c r="C98">
        <v>5</v>
      </c>
      <c r="D98">
        <v>14</v>
      </c>
      <c r="E98">
        <v>0</v>
      </c>
      <c r="F98">
        <v>1.55781934037804</v>
      </c>
      <c r="G98">
        <v>1</v>
      </c>
      <c r="H98">
        <v>1</v>
      </c>
      <c r="I98" t="s">
        <v>1275</v>
      </c>
    </row>
    <row r="99" spans="1:9" x14ac:dyDescent="0.2">
      <c r="A99" t="s">
        <v>224</v>
      </c>
      <c r="B99">
        <v>69</v>
      </c>
      <c r="C99">
        <v>5</v>
      </c>
      <c r="D99">
        <v>14</v>
      </c>
      <c r="E99">
        <v>0</v>
      </c>
      <c r="F99">
        <v>1.59264357946813</v>
      </c>
      <c r="G99">
        <v>1</v>
      </c>
      <c r="H99">
        <v>1</v>
      </c>
      <c r="I99" t="s">
        <v>1276</v>
      </c>
    </row>
    <row r="100" spans="1:9" x14ac:dyDescent="0.2">
      <c r="A100" t="s">
        <v>226</v>
      </c>
      <c r="B100">
        <v>70</v>
      </c>
      <c r="C100">
        <v>5</v>
      </c>
      <c r="D100">
        <v>14</v>
      </c>
      <c r="E100">
        <v>0</v>
      </c>
      <c r="F100">
        <v>1.6139665665104901</v>
      </c>
      <c r="G100">
        <v>1</v>
      </c>
      <c r="H100">
        <v>1</v>
      </c>
      <c r="I100" t="s">
        <v>1277</v>
      </c>
    </row>
    <row r="101" spans="1:9" x14ac:dyDescent="0.2">
      <c r="A101" t="s">
        <v>228</v>
      </c>
      <c r="B101">
        <v>71</v>
      </c>
      <c r="C101">
        <v>5</v>
      </c>
      <c r="D101">
        <v>15</v>
      </c>
      <c r="E101">
        <v>0</v>
      </c>
      <c r="F101">
        <v>1.72041630279272</v>
      </c>
      <c r="G101">
        <v>1</v>
      </c>
      <c r="H101">
        <v>1</v>
      </c>
      <c r="I101" t="s">
        <v>1278</v>
      </c>
    </row>
    <row r="102" spans="1:9" x14ac:dyDescent="0.2">
      <c r="A102" t="s">
        <v>230</v>
      </c>
      <c r="B102">
        <v>72</v>
      </c>
      <c r="C102">
        <v>5</v>
      </c>
      <c r="D102">
        <v>15</v>
      </c>
      <c r="E102">
        <v>0</v>
      </c>
      <c r="F102">
        <v>1.7490123994648401</v>
      </c>
      <c r="G102">
        <v>1</v>
      </c>
      <c r="H102">
        <v>1</v>
      </c>
      <c r="I102" t="s">
        <v>1279</v>
      </c>
    </row>
    <row r="103" spans="1:9" x14ac:dyDescent="0.2">
      <c r="A103" t="s">
        <v>232</v>
      </c>
      <c r="B103">
        <v>73</v>
      </c>
      <c r="C103">
        <v>5</v>
      </c>
      <c r="D103">
        <v>15</v>
      </c>
      <c r="E103">
        <v>0</v>
      </c>
      <c r="F103">
        <v>1.8191587524488499</v>
      </c>
      <c r="G103">
        <v>1</v>
      </c>
      <c r="H103">
        <v>1</v>
      </c>
      <c r="I103" t="s">
        <v>1280</v>
      </c>
    </row>
    <row r="104" spans="1:9" x14ac:dyDescent="0.2">
      <c r="A104" t="s">
        <v>234</v>
      </c>
      <c r="B104">
        <v>74</v>
      </c>
      <c r="C104">
        <v>5</v>
      </c>
      <c r="D104">
        <v>15</v>
      </c>
      <c r="E104">
        <v>0</v>
      </c>
      <c r="F104">
        <v>1.8477418646216299</v>
      </c>
      <c r="G104">
        <v>1</v>
      </c>
      <c r="H104">
        <v>1</v>
      </c>
      <c r="I104" t="s">
        <v>1281</v>
      </c>
    </row>
    <row r="105" spans="1:9" x14ac:dyDescent="0.2">
      <c r="A105" t="s">
        <v>236</v>
      </c>
      <c r="B105">
        <v>75</v>
      </c>
      <c r="C105">
        <v>5</v>
      </c>
      <c r="D105">
        <v>15</v>
      </c>
      <c r="E105">
        <v>0</v>
      </c>
      <c r="F105">
        <v>1.92347026616334</v>
      </c>
      <c r="G105">
        <v>1</v>
      </c>
      <c r="H105">
        <v>1</v>
      </c>
      <c r="I105" t="s">
        <v>1282</v>
      </c>
    </row>
    <row r="106" spans="1:9" x14ac:dyDescent="0.2">
      <c r="A106" t="s">
        <v>238</v>
      </c>
      <c r="B106">
        <v>76</v>
      </c>
      <c r="C106">
        <v>5</v>
      </c>
      <c r="D106">
        <v>15</v>
      </c>
      <c r="E106">
        <v>0</v>
      </c>
      <c r="F106">
        <v>1.9589783912524501</v>
      </c>
      <c r="G106">
        <v>1</v>
      </c>
      <c r="H106">
        <v>1</v>
      </c>
      <c r="I106" t="s">
        <v>1283</v>
      </c>
    </row>
    <row r="107" spans="1:9" x14ac:dyDescent="0.2">
      <c r="A107" t="s">
        <v>240</v>
      </c>
      <c r="B107">
        <v>77</v>
      </c>
      <c r="C107">
        <v>5</v>
      </c>
      <c r="D107">
        <v>15</v>
      </c>
      <c r="E107">
        <v>0</v>
      </c>
      <c r="F107">
        <v>2.0180333536118198</v>
      </c>
      <c r="G107">
        <v>1</v>
      </c>
      <c r="H107">
        <v>1</v>
      </c>
      <c r="I107" t="s">
        <v>1284</v>
      </c>
    </row>
    <row r="108" spans="1:9" x14ac:dyDescent="0.2">
      <c r="A108" t="s">
        <v>36</v>
      </c>
      <c r="B108">
        <v>78</v>
      </c>
      <c r="C108">
        <v>15</v>
      </c>
      <c r="D108">
        <v>13</v>
      </c>
      <c r="E108">
        <v>1</v>
      </c>
      <c r="F108">
        <v>2.1054917341098101</v>
      </c>
      <c r="G108">
        <v>1</v>
      </c>
      <c r="H108">
        <v>1</v>
      </c>
      <c r="I108" t="s">
        <v>1285</v>
      </c>
    </row>
    <row r="109" spans="1:9" x14ac:dyDescent="0.2">
      <c r="A109" t="s">
        <v>37</v>
      </c>
      <c r="B109">
        <v>79</v>
      </c>
      <c r="C109">
        <v>14</v>
      </c>
      <c r="D109">
        <v>14</v>
      </c>
      <c r="E109">
        <v>1</v>
      </c>
      <c r="F109">
        <v>2.1676240088418099</v>
      </c>
      <c r="G109">
        <v>1</v>
      </c>
      <c r="H109">
        <v>1</v>
      </c>
      <c r="I109" t="s">
        <v>1286</v>
      </c>
    </row>
    <row r="110" spans="1:9" x14ac:dyDescent="0.2">
      <c r="A110" t="s">
        <v>38</v>
      </c>
      <c r="B110">
        <v>80</v>
      </c>
      <c r="C110">
        <v>7</v>
      </c>
      <c r="D110">
        <v>15</v>
      </c>
      <c r="E110">
        <v>0</v>
      </c>
      <c r="F110">
        <v>2.18055375106632</v>
      </c>
      <c r="G110">
        <v>1</v>
      </c>
      <c r="H110">
        <v>1</v>
      </c>
      <c r="I110" t="s">
        <v>1287</v>
      </c>
    </row>
    <row r="111" spans="1:9" x14ac:dyDescent="0.2">
      <c r="A111" t="s">
        <v>39</v>
      </c>
      <c r="B111">
        <v>81</v>
      </c>
      <c r="C111">
        <v>11</v>
      </c>
      <c r="D111">
        <v>15</v>
      </c>
      <c r="E111">
        <v>0</v>
      </c>
      <c r="F111">
        <v>2.26406788546592</v>
      </c>
      <c r="G111">
        <v>1</v>
      </c>
      <c r="H111">
        <v>1</v>
      </c>
      <c r="I111" t="s">
        <v>1288</v>
      </c>
    </row>
    <row r="112" spans="1:9" x14ac:dyDescent="0.2">
      <c r="A112" t="s">
        <v>40</v>
      </c>
      <c r="B112">
        <v>82</v>
      </c>
      <c r="C112">
        <v>7</v>
      </c>
      <c r="D112">
        <v>17</v>
      </c>
      <c r="E112">
        <v>1</v>
      </c>
      <c r="F112">
        <v>2.3003353662788801</v>
      </c>
      <c r="G112">
        <v>1</v>
      </c>
      <c r="H112">
        <v>1</v>
      </c>
      <c r="I112" t="s">
        <v>1289</v>
      </c>
    </row>
    <row r="113" spans="1:9" x14ac:dyDescent="0.2">
      <c r="A113" t="s">
        <v>41</v>
      </c>
      <c r="B113">
        <v>83</v>
      </c>
      <c r="C113">
        <v>13</v>
      </c>
      <c r="D113">
        <v>15</v>
      </c>
      <c r="E113">
        <v>0</v>
      </c>
      <c r="F113">
        <v>2.3748373538255598</v>
      </c>
      <c r="G113">
        <v>1</v>
      </c>
      <c r="H113">
        <v>1</v>
      </c>
      <c r="I113" t="s">
        <v>1290</v>
      </c>
    </row>
    <row r="114" spans="1:9" x14ac:dyDescent="0.2">
      <c r="A114" t="s">
        <v>42</v>
      </c>
      <c r="B114">
        <v>84</v>
      </c>
      <c r="C114">
        <v>4</v>
      </c>
      <c r="D114">
        <v>18</v>
      </c>
      <c r="E114">
        <v>0</v>
      </c>
      <c r="F114">
        <v>2.28793570213019</v>
      </c>
      <c r="G114">
        <v>1</v>
      </c>
      <c r="H114">
        <v>1</v>
      </c>
      <c r="I114" t="s">
        <v>1291</v>
      </c>
    </row>
    <row r="115" spans="1:9" x14ac:dyDescent="0.2">
      <c r="A115" t="s">
        <v>43</v>
      </c>
      <c r="B115">
        <v>85</v>
      </c>
      <c r="C115">
        <v>11</v>
      </c>
      <c r="D115">
        <v>17</v>
      </c>
      <c r="E115">
        <v>0</v>
      </c>
      <c r="F115">
        <v>2.5001926776021701</v>
      </c>
      <c r="G115">
        <v>1</v>
      </c>
      <c r="H115">
        <v>1</v>
      </c>
      <c r="I115" t="s">
        <v>1292</v>
      </c>
    </row>
    <row r="116" spans="1:9" x14ac:dyDescent="0.2">
      <c r="A116" t="s">
        <v>44</v>
      </c>
      <c r="B116">
        <v>86</v>
      </c>
      <c r="C116">
        <v>4</v>
      </c>
      <c r="D116">
        <v>19</v>
      </c>
      <c r="E116">
        <v>0</v>
      </c>
      <c r="F116">
        <v>2.4485882380977202</v>
      </c>
      <c r="G116">
        <v>1</v>
      </c>
      <c r="H116">
        <v>1</v>
      </c>
      <c r="I116" t="s">
        <v>1293</v>
      </c>
    </row>
    <row r="117" spans="1:9" x14ac:dyDescent="0.2">
      <c r="A117" t="s">
        <v>45</v>
      </c>
      <c r="B117">
        <v>87</v>
      </c>
      <c r="C117">
        <v>5</v>
      </c>
      <c r="D117">
        <v>19</v>
      </c>
      <c r="E117">
        <v>0</v>
      </c>
      <c r="F117">
        <v>2.9823195254430099</v>
      </c>
      <c r="G117">
        <v>1</v>
      </c>
      <c r="H117">
        <v>1</v>
      </c>
      <c r="I117" t="s">
        <v>1294</v>
      </c>
    </row>
    <row r="118" spans="1:9" x14ac:dyDescent="0.2">
      <c r="A118" t="s">
        <v>46</v>
      </c>
      <c r="B118">
        <v>88</v>
      </c>
      <c r="C118">
        <v>5</v>
      </c>
      <c r="D118">
        <v>19</v>
      </c>
      <c r="E118">
        <v>0</v>
      </c>
      <c r="F118">
        <v>2.5430550277233102</v>
      </c>
      <c r="G118">
        <v>1</v>
      </c>
      <c r="H118">
        <v>1</v>
      </c>
      <c r="I118" t="s">
        <v>1295</v>
      </c>
    </row>
    <row r="119" spans="1:9" x14ac:dyDescent="0.2">
      <c r="A119" t="s">
        <v>47</v>
      </c>
      <c r="B119">
        <v>89</v>
      </c>
      <c r="C119">
        <v>3</v>
      </c>
      <c r="D119">
        <v>19</v>
      </c>
      <c r="E119">
        <v>0</v>
      </c>
      <c r="F119">
        <v>2.5779232699424002</v>
      </c>
      <c r="G119">
        <v>1</v>
      </c>
      <c r="H119">
        <v>1</v>
      </c>
      <c r="I119" t="s">
        <v>1296</v>
      </c>
    </row>
    <row r="120" spans="1:9" x14ac:dyDescent="0.2">
      <c r="A120" t="s">
        <v>48</v>
      </c>
      <c r="B120">
        <v>90</v>
      </c>
      <c r="C120">
        <v>3</v>
      </c>
      <c r="D120">
        <v>19</v>
      </c>
      <c r="E120">
        <v>0</v>
      </c>
      <c r="F120">
        <v>2.6121645076200299</v>
      </c>
      <c r="G120">
        <v>1</v>
      </c>
      <c r="H120">
        <v>1</v>
      </c>
      <c r="I120" t="s">
        <v>1297</v>
      </c>
    </row>
    <row r="121" spans="1:9" x14ac:dyDescent="0.2">
      <c r="A121" t="s">
        <v>49</v>
      </c>
      <c r="B121">
        <v>91</v>
      </c>
      <c r="C121">
        <v>4</v>
      </c>
      <c r="D121">
        <v>20</v>
      </c>
      <c r="E121">
        <v>1</v>
      </c>
      <c r="F121">
        <v>2.6059031803160901</v>
      </c>
      <c r="G121">
        <v>1</v>
      </c>
      <c r="H121">
        <v>1</v>
      </c>
      <c r="I121" t="s">
        <v>1298</v>
      </c>
    </row>
    <row r="122" spans="1:9" x14ac:dyDescent="0.2">
      <c r="A122" t="s">
        <v>50</v>
      </c>
      <c r="B122">
        <v>92</v>
      </c>
      <c r="C122">
        <v>3</v>
      </c>
      <c r="D122">
        <v>20</v>
      </c>
      <c r="E122">
        <v>0</v>
      </c>
      <c r="F122">
        <v>2.7272001365199601</v>
      </c>
      <c r="G122">
        <v>1</v>
      </c>
      <c r="H122">
        <v>1</v>
      </c>
      <c r="I122" t="s">
        <v>1299</v>
      </c>
    </row>
    <row r="123" spans="1:9" x14ac:dyDescent="0.2">
      <c r="A123" t="s">
        <v>51</v>
      </c>
      <c r="B123">
        <v>93</v>
      </c>
      <c r="C123">
        <v>4</v>
      </c>
      <c r="D123">
        <v>20</v>
      </c>
      <c r="E123">
        <v>0</v>
      </c>
      <c r="F123">
        <v>2.7927537029609</v>
      </c>
      <c r="G123">
        <v>1</v>
      </c>
      <c r="H123">
        <v>1</v>
      </c>
      <c r="I123" t="s">
        <v>1300</v>
      </c>
    </row>
    <row r="124" spans="1:9" x14ac:dyDescent="0.2">
      <c r="A124" t="s">
        <v>52</v>
      </c>
      <c r="B124">
        <v>94</v>
      </c>
      <c r="C124">
        <v>4</v>
      </c>
      <c r="D124">
        <v>20</v>
      </c>
      <c r="E124">
        <v>0</v>
      </c>
      <c r="F124">
        <v>2.81636347342282</v>
      </c>
      <c r="G124">
        <v>1</v>
      </c>
      <c r="H124">
        <v>1</v>
      </c>
      <c r="I124" t="s">
        <v>1301</v>
      </c>
    </row>
    <row r="125" spans="1:9" x14ac:dyDescent="0.2">
      <c r="A125" t="s">
        <v>53</v>
      </c>
      <c r="B125">
        <v>95</v>
      </c>
      <c r="C125">
        <v>5</v>
      </c>
      <c r="D125">
        <v>19</v>
      </c>
      <c r="E125">
        <v>0</v>
      </c>
      <c r="F125">
        <v>2.7424096604809098</v>
      </c>
      <c r="G125">
        <v>1</v>
      </c>
      <c r="H125">
        <v>1</v>
      </c>
      <c r="I125" t="s">
        <v>1302</v>
      </c>
    </row>
    <row r="126" spans="1:9" x14ac:dyDescent="0.2">
      <c r="A126" t="s">
        <v>54</v>
      </c>
      <c r="B126">
        <v>96</v>
      </c>
      <c r="C126">
        <v>27</v>
      </c>
      <c r="D126">
        <v>14</v>
      </c>
      <c r="E126">
        <v>0</v>
      </c>
      <c r="F126">
        <v>3.1382205840200101</v>
      </c>
      <c r="G126">
        <v>1</v>
      </c>
      <c r="H126">
        <v>1</v>
      </c>
      <c r="I126" t="s">
        <v>1303</v>
      </c>
    </row>
    <row r="127" spans="1:9" x14ac:dyDescent="0.2">
      <c r="A127" t="s">
        <v>55</v>
      </c>
      <c r="B127">
        <v>97</v>
      </c>
      <c r="C127">
        <v>5</v>
      </c>
      <c r="D127">
        <v>19</v>
      </c>
      <c r="E127">
        <v>0</v>
      </c>
      <c r="F127">
        <v>2.8185819294303598</v>
      </c>
      <c r="G127">
        <v>1</v>
      </c>
      <c r="H127">
        <v>1</v>
      </c>
      <c r="I127" t="s">
        <v>1304</v>
      </c>
    </row>
    <row r="128" spans="1:9" x14ac:dyDescent="0.2">
      <c r="A128" t="s">
        <v>56</v>
      </c>
      <c r="B128">
        <v>98</v>
      </c>
      <c r="C128">
        <v>2</v>
      </c>
      <c r="D128">
        <v>21</v>
      </c>
      <c r="E128">
        <v>0</v>
      </c>
      <c r="F128">
        <v>2.8878996474668299</v>
      </c>
      <c r="G128">
        <v>1</v>
      </c>
      <c r="H128">
        <v>1</v>
      </c>
      <c r="I128" t="s">
        <v>1305</v>
      </c>
    </row>
    <row r="129" spans="1:9" x14ac:dyDescent="0.2">
      <c r="A129" t="s">
        <v>57</v>
      </c>
      <c r="B129">
        <v>99</v>
      </c>
      <c r="C129">
        <v>3</v>
      </c>
      <c r="D129">
        <v>21</v>
      </c>
      <c r="E129">
        <v>0</v>
      </c>
      <c r="F129">
        <v>3.0105356760322999</v>
      </c>
      <c r="G129">
        <v>1</v>
      </c>
      <c r="H129">
        <v>1</v>
      </c>
      <c r="I129" t="s">
        <v>1306</v>
      </c>
    </row>
    <row r="130" spans="1:9" x14ac:dyDescent="0.2">
      <c r="A130" t="s">
        <v>58</v>
      </c>
      <c r="B130">
        <v>100</v>
      </c>
      <c r="C130">
        <v>4</v>
      </c>
      <c r="D130">
        <v>20</v>
      </c>
      <c r="E130">
        <v>0</v>
      </c>
      <c r="F130">
        <v>3.01588190253824</v>
      </c>
      <c r="G130">
        <v>1</v>
      </c>
      <c r="H130">
        <v>1</v>
      </c>
      <c r="I130" t="s">
        <v>1307</v>
      </c>
    </row>
    <row r="131" spans="1:9" x14ac:dyDescent="0.2">
      <c r="A131" t="s">
        <v>59</v>
      </c>
      <c r="B131">
        <v>101</v>
      </c>
      <c r="C131">
        <v>4</v>
      </c>
      <c r="D131">
        <v>20</v>
      </c>
      <c r="E131">
        <v>0</v>
      </c>
      <c r="F131">
        <v>3.0394169399514701</v>
      </c>
      <c r="G131">
        <v>1</v>
      </c>
      <c r="H131">
        <v>1</v>
      </c>
      <c r="I131" t="s">
        <v>1308</v>
      </c>
    </row>
    <row r="132" spans="1:9" x14ac:dyDescent="0.2">
      <c r="A132" t="s">
        <v>60</v>
      </c>
      <c r="B132">
        <v>102</v>
      </c>
      <c r="C132">
        <v>17</v>
      </c>
      <c r="D132">
        <v>18</v>
      </c>
      <c r="E132">
        <v>1</v>
      </c>
      <c r="F132">
        <v>3.6838858108967498</v>
      </c>
      <c r="G132">
        <v>1</v>
      </c>
      <c r="H132">
        <v>1</v>
      </c>
      <c r="I132" t="s">
        <v>1309</v>
      </c>
    </row>
    <row r="133" spans="1:9" x14ac:dyDescent="0.2">
      <c r="A133" t="s">
        <v>61</v>
      </c>
      <c r="B133">
        <v>103</v>
      </c>
      <c r="C133">
        <v>18</v>
      </c>
      <c r="D133">
        <v>18</v>
      </c>
      <c r="E133">
        <v>1</v>
      </c>
      <c r="F133">
        <v>3.75540733896195</v>
      </c>
      <c r="G133">
        <v>1</v>
      </c>
      <c r="H133">
        <v>1</v>
      </c>
      <c r="I133" t="s">
        <v>1310</v>
      </c>
    </row>
    <row r="134" spans="1:9" x14ac:dyDescent="0.2">
      <c r="A134" t="s">
        <v>62</v>
      </c>
      <c r="B134">
        <v>104</v>
      </c>
      <c r="C134">
        <v>12</v>
      </c>
      <c r="D134">
        <v>20</v>
      </c>
      <c r="E134">
        <v>1</v>
      </c>
      <c r="F134">
        <v>3.7685805791988898</v>
      </c>
      <c r="G134">
        <v>1</v>
      </c>
      <c r="H134">
        <v>1</v>
      </c>
      <c r="I134" t="s">
        <v>1311</v>
      </c>
    </row>
    <row r="135" spans="1:9" x14ac:dyDescent="0.2">
      <c r="A135" t="s">
        <v>63</v>
      </c>
      <c r="B135">
        <v>105</v>
      </c>
      <c r="C135">
        <v>8</v>
      </c>
      <c r="D135">
        <v>22</v>
      </c>
      <c r="E135">
        <v>2</v>
      </c>
      <c r="F135">
        <v>3.7506445320323101</v>
      </c>
      <c r="G135">
        <v>1</v>
      </c>
      <c r="H135">
        <v>1</v>
      </c>
      <c r="I135" t="s">
        <v>1312</v>
      </c>
    </row>
    <row r="136" spans="1:9" x14ac:dyDescent="0.2">
      <c r="A136" t="s">
        <v>65</v>
      </c>
      <c r="B136">
        <v>106</v>
      </c>
      <c r="C136">
        <v>23</v>
      </c>
      <c r="D136">
        <v>18</v>
      </c>
      <c r="E136">
        <v>2</v>
      </c>
      <c r="F136">
        <v>4.0251964870840302</v>
      </c>
      <c r="G136">
        <v>1</v>
      </c>
      <c r="H136">
        <v>1</v>
      </c>
      <c r="I136" t="s">
        <v>1313</v>
      </c>
    </row>
    <row r="137" spans="1:9" x14ac:dyDescent="0.2">
      <c r="A137" t="s">
        <v>66</v>
      </c>
      <c r="B137">
        <v>107</v>
      </c>
      <c r="C137">
        <v>10</v>
      </c>
      <c r="D137">
        <v>21</v>
      </c>
      <c r="E137">
        <v>1</v>
      </c>
      <c r="F137">
        <v>3.9330631392076598</v>
      </c>
      <c r="G137">
        <v>1</v>
      </c>
      <c r="H137">
        <v>1</v>
      </c>
      <c r="I137" t="s">
        <v>1314</v>
      </c>
    </row>
    <row r="138" spans="1:9" x14ac:dyDescent="0.2">
      <c r="A138" t="s">
        <v>67</v>
      </c>
      <c r="B138">
        <v>108</v>
      </c>
      <c r="C138">
        <v>36</v>
      </c>
      <c r="D138">
        <v>15</v>
      </c>
      <c r="E138">
        <v>2</v>
      </c>
      <c r="F138">
        <v>3.8156841779127699</v>
      </c>
      <c r="G138">
        <v>1</v>
      </c>
      <c r="H138">
        <v>1</v>
      </c>
      <c r="I138" t="s">
        <v>1315</v>
      </c>
    </row>
    <row r="139" spans="1:9" x14ac:dyDescent="0.2">
      <c r="A139" t="s">
        <v>68</v>
      </c>
      <c r="B139">
        <v>109</v>
      </c>
      <c r="C139">
        <v>31</v>
      </c>
      <c r="D139">
        <v>16</v>
      </c>
      <c r="E139">
        <v>2</v>
      </c>
      <c r="F139">
        <v>4.0639466922730199</v>
      </c>
      <c r="G139">
        <v>1</v>
      </c>
      <c r="H139">
        <v>1</v>
      </c>
      <c r="I139" t="s">
        <v>1316</v>
      </c>
    </row>
    <row r="140" spans="1:9" x14ac:dyDescent="0.2">
      <c r="A140" t="s">
        <v>69</v>
      </c>
      <c r="B140">
        <v>110</v>
      </c>
      <c r="C140">
        <v>32</v>
      </c>
      <c r="D140">
        <v>16</v>
      </c>
      <c r="E140">
        <v>2</v>
      </c>
      <c r="F140">
        <v>4.1660404289141297</v>
      </c>
      <c r="G140">
        <v>1</v>
      </c>
      <c r="H140">
        <v>1</v>
      </c>
      <c r="I140" t="s">
        <v>1317</v>
      </c>
    </row>
    <row r="141" spans="1:9" x14ac:dyDescent="0.2">
      <c r="A141" t="s">
        <v>70</v>
      </c>
      <c r="B141">
        <v>111</v>
      </c>
      <c r="C141">
        <v>33</v>
      </c>
      <c r="D141">
        <v>16</v>
      </c>
      <c r="E141">
        <v>2</v>
      </c>
      <c r="F141">
        <v>4.2164467405527803</v>
      </c>
      <c r="G141">
        <v>1</v>
      </c>
      <c r="H141">
        <v>1</v>
      </c>
      <c r="I141" t="s">
        <v>1318</v>
      </c>
    </row>
    <row r="142" spans="1:9" x14ac:dyDescent="0.2">
      <c r="A142" t="s">
        <v>71</v>
      </c>
      <c r="B142">
        <v>112</v>
      </c>
      <c r="C142">
        <v>16</v>
      </c>
      <c r="D142">
        <v>19</v>
      </c>
      <c r="E142">
        <v>0</v>
      </c>
      <c r="F142">
        <v>4.38205415010452</v>
      </c>
      <c r="G142">
        <v>1</v>
      </c>
      <c r="H142">
        <v>1</v>
      </c>
      <c r="I142" t="s">
        <v>1319</v>
      </c>
    </row>
    <row r="143" spans="1:9" x14ac:dyDescent="0.2">
      <c r="A143" t="s">
        <v>72</v>
      </c>
      <c r="B143">
        <v>113</v>
      </c>
      <c r="C143">
        <v>34</v>
      </c>
      <c r="D143">
        <v>15</v>
      </c>
      <c r="E143">
        <v>1</v>
      </c>
      <c r="F143">
        <v>4.2210592515766603</v>
      </c>
      <c r="G143">
        <v>1</v>
      </c>
      <c r="H143">
        <v>1</v>
      </c>
      <c r="I143" t="s">
        <v>1320</v>
      </c>
    </row>
    <row r="144" spans="1:9" x14ac:dyDescent="0.2">
      <c r="A144" t="s">
        <v>73</v>
      </c>
      <c r="B144">
        <v>114</v>
      </c>
      <c r="C144">
        <v>36</v>
      </c>
      <c r="D144">
        <v>14</v>
      </c>
      <c r="E144">
        <v>0</v>
      </c>
      <c r="F144">
        <v>4.2715779058635199</v>
      </c>
      <c r="G144">
        <v>1</v>
      </c>
      <c r="H144">
        <v>1</v>
      </c>
      <c r="I144" t="s">
        <v>1321</v>
      </c>
    </row>
    <row r="145" spans="1:9" x14ac:dyDescent="0.2">
      <c r="A145" t="s">
        <v>75</v>
      </c>
      <c r="B145">
        <v>115</v>
      </c>
      <c r="C145">
        <v>1</v>
      </c>
      <c r="D145">
        <v>25</v>
      </c>
      <c r="E145">
        <v>0</v>
      </c>
      <c r="F145">
        <v>3.9382045799866301</v>
      </c>
      <c r="G145">
        <v>1</v>
      </c>
      <c r="H145">
        <v>1</v>
      </c>
      <c r="I145" t="s">
        <v>1322</v>
      </c>
    </row>
    <row r="146" spans="1:9" x14ac:dyDescent="0.2">
      <c r="A146" t="s">
        <v>76</v>
      </c>
      <c r="B146">
        <v>116</v>
      </c>
      <c r="C146">
        <v>2</v>
      </c>
      <c r="D146">
        <v>24</v>
      </c>
      <c r="E146">
        <v>0</v>
      </c>
      <c r="F146">
        <v>3.9590416271239501</v>
      </c>
      <c r="G146">
        <v>1</v>
      </c>
      <c r="H146">
        <v>1</v>
      </c>
      <c r="I146" t="s">
        <v>1323</v>
      </c>
    </row>
    <row r="147" spans="1:9" x14ac:dyDescent="0.2">
      <c r="A147" t="s">
        <v>77</v>
      </c>
      <c r="B147">
        <v>117</v>
      </c>
      <c r="C147">
        <v>2</v>
      </c>
      <c r="D147">
        <v>24</v>
      </c>
      <c r="E147">
        <v>0</v>
      </c>
      <c r="F147">
        <v>3.9873968567699101</v>
      </c>
      <c r="G147">
        <v>1</v>
      </c>
      <c r="H147">
        <v>1</v>
      </c>
      <c r="I147" t="s">
        <v>1324</v>
      </c>
    </row>
    <row r="148" spans="1:9" x14ac:dyDescent="0.2">
      <c r="A148" t="s">
        <v>78</v>
      </c>
      <c r="B148">
        <v>118</v>
      </c>
      <c r="C148">
        <v>1</v>
      </c>
      <c r="D148">
        <v>25</v>
      </c>
      <c r="E148">
        <v>0</v>
      </c>
      <c r="F148">
        <v>4.0309192147105897</v>
      </c>
      <c r="G148">
        <v>1</v>
      </c>
      <c r="H148">
        <v>1</v>
      </c>
      <c r="I148" t="s">
        <v>1325</v>
      </c>
    </row>
    <row r="149" spans="1:9" x14ac:dyDescent="0.2">
      <c r="A149" t="s">
        <v>79</v>
      </c>
      <c r="B149">
        <v>119</v>
      </c>
      <c r="C149">
        <v>39</v>
      </c>
      <c r="D149">
        <v>18</v>
      </c>
      <c r="E149">
        <v>4</v>
      </c>
      <c r="F149">
        <v>4.6889650737866697</v>
      </c>
      <c r="G149">
        <v>1</v>
      </c>
      <c r="H149">
        <v>1</v>
      </c>
      <c r="I149" t="s">
        <v>1326</v>
      </c>
    </row>
    <row r="150" spans="1:9" x14ac:dyDescent="0.2">
      <c r="A150" t="s">
        <v>80</v>
      </c>
      <c r="B150">
        <v>120</v>
      </c>
      <c r="C150">
        <v>40</v>
      </c>
      <c r="D150">
        <v>19</v>
      </c>
      <c r="E150">
        <v>5</v>
      </c>
      <c r="F150">
        <v>4.7524450905620998</v>
      </c>
      <c r="G150">
        <v>1</v>
      </c>
      <c r="H150">
        <v>1</v>
      </c>
      <c r="I150" t="s">
        <v>1327</v>
      </c>
    </row>
    <row r="151" spans="1:9" x14ac:dyDescent="0.2">
      <c r="A151" t="s">
        <v>81</v>
      </c>
      <c r="B151">
        <v>121</v>
      </c>
      <c r="C151">
        <v>36</v>
      </c>
      <c r="D151">
        <v>19</v>
      </c>
      <c r="E151">
        <v>4</v>
      </c>
      <c r="F151">
        <v>5.0151764675974801</v>
      </c>
      <c r="G151">
        <v>1</v>
      </c>
      <c r="H151">
        <v>1</v>
      </c>
      <c r="I151" t="s">
        <v>1328</v>
      </c>
    </row>
    <row r="152" spans="1:9" x14ac:dyDescent="0.2">
      <c r="A152" t="s">
        <v>82</v>
      </c>
      <c r="B152">
        <v>122</v>
      </c>
      <c r="C152">
        <v>37</v>
      </c>
      <c r="D152">
        <v>18</v>
      </c>
      <c r="E152">
        <v>3</v>
      </c>
      <c r="F152">
        <v>5.0280721168965101</v>
      </c>
      <c r="G152">
        <v>1</v>
      </c>
      <c r="H152">
        <v>1</v>
      </c>
      <c r="I152" t="s">
        <v>1329</v>
      </c>
    </row>
    <row r="153" spans="1:9" x14ac:dyDescent="0.2">
      <c r="A153" t="s">
        <v>83</v>
      </c>
      <c r="B153">
        <v>123</v>
      </c>
      <c r="C153">
        <v>38</v>
      </c>
      <c r="D153">
        <v>16</v>
      </c>
      <c r="E153">
        <v>1</v>
      </c>
      <c r="F153">
        <v>5.0923431366681999</v>
      </c>
      <c r="G153">
        <v>1</v>
      </c>
      <c r="H153">
        <v>1</v>
      </c>
      <c r="I153" t="s">
        <v>1330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1482-092D-6540-8AFC-58E2C3945D27}">
  <dimension ref="A1:I153"/>
  <sheetViews>
    <sheetView workbookViewId="0">
      <selection activeCell="A29" sqref="A29:XFD29"/>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1086</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88</v>
      </c>
    </row>
    <row r="24" spans="1:9" x14ac:dyDescent="0.2">
      <c r="A24" t="s">
        <v>89</v>
      </c>
    </row>
    <row r="25" spans="1:9" x14ac:dyDescent="0.2">
      <c r="A25" t="s">
        <v>28</v>
      </c>
    </row>
    <row r="26" spans="1:9" x14ac:dyDescent="0.2">
      <c r="A26" t="s">
        <v>90</v>
      </c>
    </row>
    <row r="27" spans="1:9" x14ac:dyDescent="0.2">
      <c r="A27" t="s">
        <v>1331</v>
      </c>
    </row>
    <row r="28" spans="1:9" x14ac:dyDescent="0.2">
      <c r="A28" t="s">
        <v>15</v>
      </c>
    </row>
    <row r="29" spans="1:9" x14ac:dyDescent="0.2">
      <c r="A29" t="s">
        <v>16</v>
      </c>
    </row>
    <row r="30" spans="1:9" x14ac:dyDescent="0.2">
      <c r="A30" t="s">
        <v>1332</v>
      </c>
    </row>
    <row r="31" spans="1:9" x14ac:dyDescent="0.2">
      <c r="A31"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0.23518173300001799</v>
      </c>
      <c r="G33">
        <v>1</v>
      </c>
      <c r="H33">
        <v>1</v>
      </c>
      <c r="I33" t="s">
        <v>1088</v>
      </c>
    </row>
    <row r="34" spans="1:9" x14ac:dyDescent="0.2">
      <c r="A34" t="s">
        <v>93</v>
      </c>
      <c r="B34">
        <v>4</v>
      </c>
      <c r="C34">
        <v>1</v>
      </c>
      <c r="D34">
        <v>2</v>
      </c>
      <c r="E34">
        <v>0</v>
      </c>
      <c r="F34">
        <v>2.1372837999990599E-2</v>
      </c>
      <c r="G34">
        <v>1</v>
      </c>
      <c r="H34">
        <v>1</v>
      </c>
      <c r="I34" t="s">
        <v>1333</v>
      </c>
    </row>
    <row r="35" spans="1:9" x14ac:dyDescent="0.2">
      <c r="A35" t="s">
        <v>94</v>
      </c>
      <c r="B35">
        <v>5</v>
      </c>
      <c r="C35">
        <v>1</v>
      </c>
      <c r="D35">
        <v>3</v>
      </c>
      <c r="E35">
        <v>0</v>
      </c>
      <c r="F35">
        <v>2.4612031000003701E-2</v>
      </c>
      <c r="G35">
        <v>1</v>
      </c>
      <c r="H35">
        <v>1</v>
      </c>
      <c r="I35" t="s">
        <v>1334</v>
      </c>
    </row>
    <row r="36" spans="1:9" x14ac:dyDescent="0.2">
      <c r="A36" t="s">
        <v>95</v>
      </c>
      <c r="B36">
        <v>6</v>
      </c>
      <c r="C36">
        <v>1</v>
      </c>
      <c r="D36">
        <v>3</v>
      </c>
      <c r="E36">
        <v>0</v>
      </c>
      <c r="F36">
        <v>3.0893069000001099E-2</v>
      </c>
      <c r="G36">
        <v>1</v>
      </c>
      <c r="H36">
        <v>1</v>
      </c>
      <c r="I36" t="s">
        <v>1335</v>
      </c>
    </row>
    <row r="37" spans="1:9" x14ac:dyDescent="0.2">
      <c r="A37" t="s">
        <v>96</v>
      </c>
      <c r="B37">
        <v>7</v>
      </c>
      <c r="C37">
        <v>1</v>
      </c>
      <c r="D37">
        <v>3</v>
      </c>
      <c r="E37">
        <v>0</v>
      </c>
      <c r="F37">
        <v>3.3567819000012301E-2</v>
      </c>
      <c r="G37">
        <v>1</v>
      </c>
      <c r="H37">
        <v>1</v>
      </c>
      <c r="I37" t="s">
        <v>1336</v>
      </c>
    </row>
    <row r="38" spans="1:9" x14ac:dyDescent="0.2">
      <c r="A38" t="s">
        <v>97</v>
      </c>
      <c r="B38">
        <v>8</v>
      </c>
      <c r="C38">
        <v>1</v>
      </c>
      <c r="D38">
        <v>3</v>
      </c>
      <c r="E38">
        <v>0</v>
      </c>
      <c r="F38">
        <v>3.5097514000000198E-2</v>
      </c>
      <c r="G38">
        <v>1</v>
      </c>
      <c r="H38">
        <v>1</v>
      </c>
      <c r="I38" t="s">
        <v>1337</v>
      </c>
    </row>
    <row r="39" spans="1:9" x14ac:dyDescent="0.2">
      <c r="A39" t="s">
        <v>98</v>
      </c>
      <c r="B39">
        <v>9</v>
      </c>
      <c r="C39">
        <v>1</v>
      </c>
      <c r="D39">
        <v>3</v>
      </c>
      <c r="E39">
        <v>0</v>
      </c>
      <c r="F39">
        <v>3.9095926999976799E-2</v>
      </c>
      <c r="G39">
        <v>1</v>
      </c>
      <c r="H39">
        <v>1</v>
      </c>
      <c r="I39" t="s">
        <v>1338</v>
      </c>
    </row>
    <row r="40" spans="1:9" x14ac:dyDescent="0.2">
      <c r="A40" t="s">
        <v>99</v>
      </c>
      <c r="B40">
        <v>10</v>
      </c>
      <c r="C40">
        <v>1</v>
      </c>
      <c r="D40">
        <v>4</v>
      </c>
      <c r="E40">
        <v>0</v>
      </c>
      <c r="F40">
        <v>4.7048443000022602E-2</v>
      </c>
      <c r="G40">
        <v>1</v>
      </c>
      <c r="H40">
        <v>1</v>
      </c>
      <c r="I40" t="s">
        <v>1339</v>
      </c>
    </row>
    <row r="41" spans="1:9" x14ac:dyDescent="0.2">
      <c r="A41" t="s">
        <v>100</v>
      </c>
      <c r="B41">
        <v>11</v>
      </c>
      <c r="C41">
        <v>1</v>
      </c>
      <c r="D41">
        <v>5</v>
      </c>
      <c r="E41">
        <v>0</v>
      </c>
      <c r="F41">
        <v>5.5647210999978797E-2</v>
      </c>
      <c r="G41">
        <v>1</v>
      </c>
      <c r="H41">
        <v>1</v>
      </c>
      <c r="I41" t="s">
        <v>1340</v>
      </c>
    </row>
    <row r="42" spans="1:9" x14ac:dyDescent="0.2">
      <c r="A42" t="s">
        <v>101</v>
      </c>
      <c r="B42">
        <v>12</v>
      </c>
      <c r="C42">
        <v>6</v>
      </c>
      <c r="D42">
        <v>3</v>
      </c>
      <c r="E42">
        <v>0</v>
      </c>
      <c r="F42">
        <v>5.02184450000129E-2</v>
      </c>
      <c r="G42">
        <v>1</v>
      </c>
      <c r="H42">
        <v>1</v>
      </c>
      <c r="I42" t="s">
        <v>1341</v>
      </c>
    </row>
    <row r="43" spans="1:9" x14ac:dyDescent="0.2">
      <c r="A43" t="s">
        <v>102</v>
      </c>
      <c r="B43">
        <v>13</v>
      </c>
      <c r="C43">
        <v>6</v>
      </c>
      <c r="D43">
        <v>3</v>
      </c>
      <c r="E43">
        <v>0</v>
      </c>
      <c r="F43">
        <v>5.28397200000085E-2</v>
      </c>
      <c r="G43">
        <v>1</v>
      </c>
      <c r="H43">
        <v>1</v>
      </c>
      <c r="I43" t="s">
        <v>1342</v>
      </c>
    </row>
    <row r="44" spans="1:9" x14ac:dyDescent="0.2">
      <c r="A44" t="s">
        <v>103</v>
      </c>
      <c r="B44">
        <v>14</v>
      </c>
      <c r="C44">
        <v>2</v>
      </c>
      <c r="D44">
        <v>5</v>
      </c>
      <c r="E44">
        <v>0</v>
      </c>
      <c r="F44">
        <v>7.4795710999978796E-2</v>
      </c>
      <c r="G44">
        <v>1</v>
      </c>
      <c r="H44">
        <v>1</v>
      </c>
      <c r="I44" t="s">
        <v>1343</v>
      </c>
    </row>
    <row r="45" spans="1:9" x14ac:dyDescent="0.2">
      <c r="A45" t="s">
        <v>104</v>
      </c>
      <c r="B45">
        <v>15</v>
      </c>
      <c r="C45">
        <v>2</v>
      </c>
      <c r="D45">
        <v>5</v>
      </c>
      <c r="E45">
        <v>0</v>
      </c>
      <c r="F45">
        <v>7.7596024000001707E-2</v>
      </c>
      <c r="G45">
        <v>1</v>
      </c>
      <c r="H45">
        <v>1</v>
      </c>
      <c r="I45" t="s">
        <v>1344</v>
      </c>
    </row>
    <row r="46" spans="1:9" x14ac:dyDescent="0.2">
      <c r="A46" t="s">
        <v>105</v>
      </c>
      <c r="B46">
        <v>16</v>
      </c>
      <c r="C46">
        <v>1</v>
      </c>
      <c r="D46">
        <v>6</v>
      </c>
      <c r="E46">
        <v>0</v>
      </c>
      <c r="F46">
        <v>9.3972198000017201E-2</v>
      </c>
      <c r="G46">
        <v>1</v>
      </c>
      <c r="H46">
        <v>1</v>
      </c>
      <c r="I46" t="s">
        <v>1345</v>
      </c>
    </row>
    <row r="47" spans="1:9" x14ac:dyDescent="0.2">
      <c r="A47" t="s">
        <v>106</v>
      </c>
      <c r="B47">
        <v>17</v>
      </c>
      <c r="C47">
        <v>3</v>
      </c>
      <c r="D47">
        <v>5</v>
      </c>
      <c r="E47">
        <v>0</v>
      </c>
      <c r="F47">
        <v>8.7990540999982103E-2</v>
      </c>
      <c r="G47">
        <v>1</v>
      </c>
      <c r="H47">
        <v>1</v>
      </c>
      <c r="I47" t="s">
        <v>1346</v>
      </c>
    </row>
    <row r="48" spans="1:9" x14ac:dyDescent="0.2">
      <c r="A48" t="s">
        <v>107</v>
      </c>
      <c r="B48">
        <v>18</v>
      </c>
      <c r="C48">
        <v>5</v>
      </c>
      <c r="D48">
        <v>5</v>
      </c>
      <c r="E48">
        <v>0</v>
      </c>
      <c r="F48">
        <v>9.1779362000011105E-2</v>
      </c>
      <c r="G48">
        <v>1</v>
      </c>
      <c r="H48">
        <v>1</v>
      </c>
      <c r="I48" t="s">
        <v>1347</v>
      </c>
    </row>
    <row r="49" spans="1:9" x14ac:dyDescent="0.2">
      <c r="A49" t="s">
        <v>108</v>
      </c>
      <c r="B49">
        <v>19</v>
      </c>
      <c r="C49">
        <v>5</v>
      </c>
      <c r="D49">
        <v>5</v>
      </c>
      <c r="E49">
        <v>0</v>
      </c>
      <c r="F49">
        <v>0.13489590699998599</v>
      </c>
      <c r="G49">
        <v>1</v>
      </c>
      <c r="H49">
        <v>1</v>
      </c>
      <c r="I49" t="s">
        <v>1348</v>
      </c>
    </row>
    <row r="50" spans="1:9" x14ac:dyDescent="0.2">
      <c r="A50" t="s">
        <v>109</v>
      </c>
      <c r="B50">
        <v>20</v>
      </c>
      <c r="C50">
        <v>3</v>
      </c>
      <c r="D50">
        <v>6</v>
      </c>
      <c r="E50">
        <v>0</v>
      </c>
      <c r="F50">
        <v>0.122914903000008</v>
      </c>
      <c r="G50">
        <v>1</v>
      </c>
      <c r="H50">
        <v>1</v>
      </c>
      <c r="I50" t="s">
        <v>1349</v>
      </c>
    </row>
    <row r="51" spans="1:9" x14ac:dyDescent="0.2">
      <c r="A51" t="s">
        <v>110</v>
      </c>
      <c r="B51">
        <v>21</v>
      </c>
      <c r="C51">
        <v>3</v>
      </c>
      <c r="D51">
        <v>6</v>
      </c>
      <c r="E51">
        <v>0</v>
      </c>
      <c r="F51">
        <v>0.117951769000001</v>
      </c>
      <c r="G51">
        <v>1</v>
      </c>
      <c r="H51">
        <v>1</v>
      </c>
      <c r="I51" t="s">
        <v>1350</v>
      </c>
    </row>
    <row r="52" spans="1:9" x14ac:dyDescent="0.2">
      <c r="A52" t="s">
        <v>111</v>
      </c>
      <c r="B52">
        <v>22</v>
      </c>
      <c r="C52">
        <v>7</v>
      </c>
      <c r="D52">
        <v>5</v>
      </c>
      <c r="E52">
        <v>0</v>
      </c>
      <c r="F52">
        <v>0.12220315700000101</v>
      </c>
      <c r="G52">
        <v>1</v>
      </c>
      <c r="H52">
        <v>1</v>
      </c>
      <c r="I52" t="s">
        <v>1351</v>
      </c>
    </row>
    <row r="53" spans="1:9" x14ac:dyDescent="0.2">
      <c r="A53" t="s">
        <v>112</v>
      </c>
      <c r="B53">
        <v>23</v>
      </c>
      <c r="C53">
        <v>2</v>
      </c>
      <c r="D53">
        <v>7</v>
      </c>
      <c r="E53">
        <v>0</v>
      </c>
      <c r="F53">
        <v>0.15126133199999001</v>
      </c>
      <c r="G53">
        <v>1</v>
      </c>
      <c r="H53">
        <v>1</v>
      </c>
      <c r="I53" t="s">
        <v>1352</v>
      </c>
    </row>
    <row r="54" spans="1:9" x14ac:dyDescent="0.2">
      <c r="A54" t="s">
        <v>113</v>
      </c>
      <c r="B54">
        <v>24</v>
      </c>
      <c r="C54">
        <v>8</v>
      </c>
      <c r="D54">
        <v>5</v>
      </c>
      <c r="E54">
        <v>0</v>
      </c>
      <c r="F54">
        <v>0.13438106000000899</v>
      </c>
      <c r="G54">
        <v>1</v>
      </c>
      <c r="H54">
        <v>1</v>
      </c>
      <c r="I54" t="s">
        <v>1353</v>
      </c>
    </row>
    <row r="55" spans="1:9" x14ac:dyDescent="0.2">
      <c r="A55" t="s">
        <v>114</v>
      </c>
      <c r="B55">
        <v>25</v>
      </c>
      <c r="C55">
        <v>8</v>
      </c>
      <c r="D55">
        <v>5</v>
      </c>
      <c r="E55">
        <v>0</v>
      </c>
      <c r="F55">
        <v>0.14781709199999599</v>
      </c>
      <c r="G55">
        <v>1</v>
      </c>
      <c r="H55">
        <v>1</v>
      </c>
      <c r="I55" t="s">
        <v>1354</v>
      </c>
    </row>
    <row r="56" spans="1:9" x14ac:dyDescent="0.2">
      <c r="A56" t="s">
        <v>115</v>
      </c>
      <c r="B56">
        <v>26</v>
      </c>
      <c r="C56">
        <v>6</v>
      </c>
      <c r="D56">
        <v>6</v>
      </c>
      <c r="E56">
        <v>0</v>
      </c>
      <c r="F56">
        <v>0.159989461999998</v>
      </c>
      <c r="G56">
        <v>1</v>
      </c>
      <c r="H56">
        <v>1</v>
      </c>
      <c r="I56" t="s">
        <v>1355</v>
      </c>
    </row>
    <row r="57" spans="1:9" x14ac:dyDescent="0.2">
      <c r="A57" t="s">
        <v>116</v>
      </c>
      <c r="B57">
        <v>27</v>
      </c>
      <c r="C57">
        <v>6</v>
      </c>
      <c r="D57">
        <v>6</v>
      </c>
      <c r="E57">
        <v>0</v>
      </c>
      <c r="F57">
        <v>0.16650642100000801</v>
      </c>
      <c r="G57">
        <v>1</v>
      </c>
      <c r="H57">
        <v>1</v>
      </c>
      <c r="I57" t="s">
        <v>1356</v>
      </c>
    </row>
    <row r="58" spans="1:9" x14ac:dyDescent="0.2">
      <c r="A58" t="s">
        <v>117</v>
      </c>
      <c r="B58">
        <v>28</v>
      </c>
      <c r="C58">
        <v>6</v>
      </c>
      <c r="D58">
        <v>6</v>
      </c>
      <c r="E58">
        <v>0</v>
      </c>
      <c r="F58">
        <v>0.17529170199998101</v>
      </c>
      <c r="G58">
        <v>1</v>
      </c>
      <c r="H58">
        <v>1</v>
      </c>
      <c r="I58" t="s">
        <v>1357</v>
      </c>
    </row>
    <row r="59" spans="1:9" x14ac:dyDescent="0.2">
      <c r="A59" t="s">
        <v>118</v>
      </c>
      <c r="B59">
        <v>29</v>
      </c>
      <c r="C59">
        <v>6</v>
      </c>
      <c r="D59">
        <v>7</v>
      </c>
      <c r="E59">
        <v>0</v>
      </c>
      <c r="F59">
        <v>0.20247901100000801</v>
      </c>
      <c r="G59">
        <v>1</v>
      </c>
      <c r="H59">
        <v>1</v>
      </c>
      <c r="I59" t="s">
        <v>1358</v>
      </c>
    </row>
    <row r="60" spans="1:9" x14ac:dyDescent="0.2">
      <c r="A60" t="s">
        <v>119</v>
      </c>
      <c r="B60">
        <v>30</v>
      </c>
      <c r="C60">
        <v>9</v>
      </c>
      <c r="D60">
        <v>6</v>
      </c>
      <c r="E60">
        <v>0</v>
      </c>
      <c r="F60">
        <v>0.19140931600000499</v>
      </c>
      <c r="G60">
        <v>1</v>
      </c>
      <c r="H60">
        <v>1</v>
      </c>
      <c r="I60" t="s">
        <v>1359</v>
      </c>
    </row>
    <row r="61" spans="1:9" x14ac:dyDescent="0.2">
      <c r="A61" t="s">
        <v>120</v>
      </c>
      <c r="B61">
        <v>31</v>
      </c>
      <c r="C61">
        <v>9</v>
      </c>
      <c r="D61">
        <v>6</v>
      </c>
      <c r="E61">
        <v>0</v>
      </c>
      <c r="F61">
        <v>0.20676414199999699</v>
      </c>
      <c r="G61">
        <v>1</v>
      </c>
      <c r="H61">
        <v>1</v>
      </c>
      <c r="I61" t="s">
        <v>1360</v>
      </c>
    </row>
    <row r="62" spans="1:9" x14ac:dyDescent="0.2">
      <c r="A62" t="s">
        <v>121</v>
      </c>
      <c r="B62">
        <v>32</v>
      </c>
      <c r="C62">
        <v>5</v>
      </c>
      <c r="D62">
        <v>8</v>
      </c>
      <c r="E62">
        <v>0</v>
      </c>
      <c r="F62">
        <v>0.23984728999999999</v>
      </c>
      <c r="G62">
        <v>1</v>
      </c>
      <c r="H62">
        <v>1</v>
      </c>
      <c r="I62" t="s">
        <v>1361</v>
      </c>
    </row>
    <row r="63" spans="1:9" x14ac:dyDescent="0.2">
      <c r="A63" t="s">
        <v>122</v>
      </c>
      <c r="B63">
        <v>33</v>
      </c>
      <c r="C63">
        <v>7</v>
      </c>
      <c r="D63">
        <v>8</v>
      </c>
      <c r="E63">
        <v>0</v>
      </c>
      <c r="F63">
        <v>0.23647815999999</v>
      </c>
      <c r="G63">
        <v>1</v>
      </c>
      <c r="H63">
        <v>1</v>
      </c>
      <c r="I63" t="s">
        <v>1362</v>
      </c>
    </row>
    <row r="64" spans="1:9" x14ac:dyDescent="0.2">
      <c r="A64" t="s">
        <v>123</v>
      </c>
      <c r="B64">
        <v>34</v>
      </c>
      <c r="C64">
        <v>17</v>
      </c>
      <c r="D64">
        <v>5</v>
      </c>
      <c r="E64">
        <v>0</v>
      </c>
      <c r="F64">
        <v>0.18540856900000299</v>
      </c>
      <c r="G64">
        <v>1</v>
      </c>
      <c r="H64">
        <v>1</v>
      </c>
      <c r="I64" t="s">
        <v>1363</v>
      </c>
    </row>
    <row r="65" spans="1:9" x14ac:dyDescent="0.2">
      <c r="A65" t="s">
        <v>124</v>
      </c>
      <c r="B65">
        <v>35</v>
      </c>
      <c r="C65">
        <v>4</v>
      </c>
      <c r="D65">
        <v>9</v>
      </c>
      <c r="E65">
        <v>0</v>
      </c>
      <c r="F65">
        <v>0.29134233800002102</v>
      </c>
      <c r="G65">
        <v>1</v>
      </c>
      <c r="H65">
        <v>1</v>
      </c>
      <c r="I65" t="s">
        <v>1364</v>
      </c>
    </row>
    <row r="66" spans="1:9" x14ac:dyDescent="0.2">
      <c r="A66" t="s">
        <v>125</v>
      </c>
      <c r="B66">
        <v>36</v>
      </c>
      <c r="C66">
        <v>4</v>
      </c>
      <c r="D66">
        <v>9</v>
      </c>
      <c r="E66">
        <v>0</v>
      </c>
      <c r="F66">
        <v>0.301401599999991</v>
      </c>
      <c r="G66">
        <v>1</v>
      </c>
      <c r="H66">
        <v>1</v>
      </c>
      <c r="I66" t="s">
        <v>1365</v>
      </c>
    </row>
    <row r="67" spans="1:9" x14ac:dyDescent="0.2">
      <c r="A67" t="s">
        <v>126</v>
      </c>
      <c r="B67">
        <v>37</v>
      </c>
      <c r="C67">
        <v>4</v>
      </c>
      <c r="D67">
        <v>9</v>
      </c>
      <c r="E67">
        <v>0</v>
      </c>
      <c r="F67">
        <v>0.31243669299999499</v>
      </c>
      <c r="G67">
        <v>1</v>
      </c>
      <c r="H67">
        <v>1</v>
      </c>
      <c r="I67" t="s">
        <v>1366</v>
      </c>
    </row>
    <row r="68" spans="1:9" x14ac:dyDescent="0.2">
      <c r="A68" t="s">
        <v>127</v>
      </c>
      <c r="B68">
        <v>38</v>
      </c>
      <c r="C68">
        <v>4</v>
      </c>
      <c r="D68">
        <v>9</v>
      </c>
      <c r="E68">
        <v>0</v>
      </c>
      <c r="F68">
        <v>0.32086469099999698</v>
      </c>
      <c r="G68">
        <v>1</v>
      </c>
      <c r="H68">
        <v>1</v>
      </c>
      <c r="I68" t="s">
        <v>1367</v>
      </c>
    </row>
    <row r="69" spans="1:9" x14ac:dyDescent="0.2">
      <c r="A69" t="s">
        <v>128</v>
      </c>
      <c r="B69">
        <v>39</v>
      </c>
      <c r="C69">
        <v>4</v>
      </c>
      <c r="D69">
        <v>9</v>
      </c>
      <c r="E69">
        <v>0</v>
      </c>
      <c r="F69">
        <v>0.33741266999999198</v>
      </c>
      <c r="G69">
        <v>1</v>
      </c>
      <c r="H69">
        <v>1</v>
      </c>
      <c r="I69" t="s">
        <v>1368</v>
      </c>
    </row>
    <row r="70" spans="1:9" x14ac:dyDescent="0.2">
      <c r="A70" t="s">
        <v>129</v>
      </c>
      <c r="B70">
        <v>40</v>
      </c>
      <c r="C70">
        <v>5</v>
      </c>
      <c r="D70">
        <v>9</v>
      </c>
      <c r="E70">
        <v>0</v>
      </c>
      <c r="F70">
        <v>0.34290139000000802</v>
      </c>
      <c r="G70">
        <v>1</v>
      </c>
      <c r="H70">
        <v>1</v>
      </c>
      <c r="I70" t="s">
        <v>1369</v>
      </c>
    </row>
    <row r="71" spans="1:9" x14ac:dyDescent="0.2">
      <c r="A71" t="s">
        <v>130</v>
      </c>
      <c r="B71">
        <v>41</v>
      </c>
      <c r="C71">
        <v>2</v>
      </c>
      <c r="D71">
        <v>11</v>
      </c>
      <c r="E71">
        <v>0</v>
      </c>
      <c r="F71">
        <v>0.38908565100001602</v>
      </c>
      <c r="G71">
        <v>1</v>
      </c>
      <c r="H71">
        <v>1</v>
      </c>
      <c r="I71" t="s">
        <v>1370</v>
      </c>
    </row>
    <row r="72" spans="1:9" x14ac:dyDescent="0.2">
      <c r="A72" t="s">
        <v>131</v>
      </c>
      <c r="B72">
        <v>42</v>
      </c>
      <c r="C72">
        <v>5</v>
      </c>
      <c r="D72">
        <v>9</v>
      </c>
      <c r="E72">
        <v>0</v>
      </c>
      <c r="F72">
        <v>0.37611616299997702</v>
      </c>
      <c r="G72">
        <v>1</v>
      </c>
      <c r="H72">
        <v>1</v>
      </c>
      <c r="I72" t="s">
        <v>1371</v>
      </c>
    </row>
    <row r="73" spans="1:9" x14ac:dyDescent="0.2">
      <c r="A73" t="s">
        <v>132</v>
      </c>
      <c r="B73">
        <v>43</v>
      </c>
      <c r="C73">
        <v>6</v>
      </c>
      <c r="D73">
        <v>9</v>
      </c>
      <c r="E73">
        <v>0</v>
      </c>
      <c r="F73">
        <v>0.38330603900001797</v>
      </c>
      <c r="G73">
        <v>1</v>
      </c>
      <c r="H73">
        <v>1</v>
      </c>
      <c r="I73" t="s">
        <v>1372</v>
      </c>
    </row>
    <row r="74" spans="1:9" x14ac:dyDescent="0.2">
      <c r="A74" t="s">
        <v>133</v>
      </c>
      <c r="B74">
        <v>44</v>
      </c>
      <c r="C74">
        <v>6</v>
      </c>
      <c r="D74">
        <v>9</v>
      </c>
      <c r="E74">
        <v>0</v>
      </c>
      <c r="F74">
        <v>0.41475866899997899</v>
      </c>
      <c r="G74">
        <v>1</v>
      </c>
      <c r="H74">
        <v>1</v>
      </c>
      <c r="I74" t="s">
        <v>1373</v>
      </c>
    </row>
    <row r="75" spans="1:9" x14ac:dyDescent="0.2">
      <c r="A75" t="s">
        <v>134</v>
      </c>
      <c r="B75">
        <v>45</v>
      </c>
      <c r="C75">
        <v>6</v>
      </c>
      <c r="D75">
        <v>9</v>
      </c>
      <c r="E75">
        <v>0</v>
      </c>
      <c r="F75">
        <v>0.41888646899999998</v>
      </c>
      <c r="G75">
        <v>1</v>
      </c>
      <c r="H75">
        <v>1</v>
      </c>
      <c r="I75" t="s">
        <v>1374</v>
      </c>
    </row>
    <row r="76" spans="1:9" x14ac:dyDescent="0.2">
      <c r="A76" t="s">
        <v>135</v>
      </c>
      <c r="B76">
        <v>46</v>
      </c>
      <c r="C76">
        <v>7</v>
      </c>
      <c r="D76">
        <v>9</v>
      </c>
      <c r="E76">
        <v>0</v>
      </c>
      <c r="F76">
        <v>0.43912496900000503</v>
      </c>
      <c r="G76">
        <v>1</v>
      </c>
      <c r="H76">
        <v>1</v>
      </c>
      <c r="I76" t="s">
        <v>1375</v>
      </c>
    </row>
    <row r="77" spans="1:9" x14ac:dyDescent="0.2">
      <c r="A77" t="s">
        <v>136</v>
      </c>
      <c r="B77">
        <v>47</v>
      </c>
      <c r="C77">
        <v>8</v>
      </c>
      <c r="D77">
        <v>9</v>
      </c>
      <c r="E77">
        <v>0</v>
      </c>
      <c r="F77">
        <v>0.44459352399999802</v>
      </c>
      <c r="G77">
        <v>1</v>
      </c>
      <c r="H77">
        <v>1</v>
      </c>
      <c r="I77" t="s">
        <v>1376</v>
      </c>
    </row>
    <row r="78" spans="1:9" x14ac:dyDescent="0.2">
      <c r="A78" t="s">
        <v>137</v>
      </c>
      <c r="B78">
        <v>48</v>
      </c>
      <c r="C78">
        <v>5</v>
      </c>
      <c r="D78">
        <v>10</v>
      </c>
      <c r="E78">
        <v>0</v>
      </c>
      <c r="F78">
        <v>0.48186819599999298</v>
      </c>
      <c r="G78">
        <v>1</v>
      </c>
      <c r="H78">
        <v>1</v>
      </c>
      <c r="I78" t="s">
        <v>1377</v>
      </c>
    </row>
    <row r="79" spans="1:9" x14ac:dyDescent="0.2">
      <c r="A79" t="s">
        <v>138</v>
      </c>
      <c r="B79">
        <v>49</v>
      </c>
      <c r="C79">
        <v>17</v>
      </c>
      <c r="D79">
        <v>7</v>
      </c>
      <c r="E79">
        <v>0</v>
      </c>
      <c r="F79">
        <v>0.41072712800001898</v>
      </c>
      <c r="G79">
        <v>1</v>
      </c>
      <c r="H79">
        <v>1</v>
      </c>
      <c r="I79" t="s">
        <v>1378</v>
      </c>
    </row>
    <row r="80" spans="1:9" x14ac:dyDescent="0.2">
      <c r="A80" t="s">
        <v>139</v>
      </c>
      <c r="B80">
        <v>50</v>
      </c>
      <c r="C80">
        <v>13</v>
      </c>
      <c r="D80">
        <v>8</v>
      </c>
      <c r="E80">
        <v>0</v>
      </c>
      <c r="F80">
        <v>0.44993324399999302</v>
      </c>
      <c r="G80">
        <v>1</v>
      </c>
      <c r="H80">
        <v>1</v>
      </c>
      <c r="I80" t="s">
        <v>1379</v>
      </c>
    </row>
    <row r="81" spans="1:9" x14ac:dyDescent="0.2">
      <c r="A81" t="s">
        <v>188</v>
      </c>
      <c r="B81">
        <v>51</v>
      </c>
      <c r="C81">
        <v>12</v>
      </c>
      <c r="D81">
        <v>9</v>
      </c>
      <c r="E81">
        <v>0</v>
      </c>
      <c r="F81">
        <v>0.49138057499999299</v>
      </c>
      <c r="G81">
        <v>1</v>
      </c>
      <c r="H81">
        <v>1</v>
      </c>
      <c r="I81" t="s">
        <v>1380</v>
      </c>
    </row>
    <row r="82" spans="1:9" x14ac:dyDescent="0.2">
      <c r="A82" t="s">
        <v>190</v>
      </c>
      <c r="B82">
        <v>52</v>
      </c>
      <c r="C82">
        <v>10</v>
      </c>
      <c r="D82">
        <v>11</v>
      </c>
      <c r="E82">
        <v>1</v>
      </c>
      <c r="F82">
        <v>0.58031898000001503</v>
      </c>
      <c r="G82">
        <v>1</v>
      </c>
      <c r="H82">
        <v>1</v>
      </c>
      <c r="I82" t="s">
        <v>1381</v>
      </c>
    </row>
    <row r="83" spans="1:9" x14ac:dyDescent="0.2">
      <c r="A83" t="s">
        <v>192</v>
      </c>
      <c r="B83">
        <v>53</v>
      </c>
      <c r="C83">
        <v>6</v>
      </c>
      <c r="D83">
        <v>11</v>
      </c>
      <c r="E83">
        <v>0</v>
      </c>
      <c r="F83">
        <v>0.58620479499998601</v>
      </c>
      <c r="G83">
        <v>1</v>
      </c>
      <c r="H83">
        <v>1</v>
      </c>
      <c r="I83" t="s">
        <v>1382</v>
      </c>
    </row>
    <row r="84" spans="1:9" x14ac:dyDescent="0.2">
      <c r="A84" t="s">
        <v>194</v>
      </c>
      <c r="B84">
        <v>54</v>
      </c>
      <c r="C84">
        <v>12</v>
      </c>
      <c r="D84">
        <v>10</v>
      </c>
      <c r="E84">
        <v>0</v>
      </c>
      <c r="F84">
        <v>0.54844508400000702</v>
      </c>
      <c r="G84">
        <v>1</v>
      </c>
      <c r="H84">
        <v>1</v>
      </c>
      <c r="I84" t="s">
        <v>1383</v>
      </c>
    </row>
    <row r="85" spans="1:9" x14ac:dyDescent="0.2">
      <c r="A85" t="s">
        <v>196</v>
      </c>
      <c r="B85">
        <v>55</v>
      </c>
      <c r="C85">
        <v>5</v>
      </c>
      <c r="D85">
        <v>12</v>
      </c>
      <c r="E85">
        <v>0</v>
      </c>
      <c r="F85">
        <v>0.63510523599998603</v>
      </c>
      <c r="G85">
        <v>1</v>
      </c>
      <c r="H85">
        <v>1</v>
      </c>
      <c r="I85" t="s">
        <v>1384</v>
      </c>
    </row>
    <row r="86" spans="1:9" x14ac:dyDescent="0.2">
      <c r="A86" t="s">
        <v>198</v>
      </c>
      <c r="B86">
        <v>56</v>
      </c>
      <c r="C86">
        <v>5</v>
      </c>
      <c r="D86">
        <v>12</v>
      </c>
      <c r="E86">
        <v>0</v>
      </c>
      <c r="F86">
        <v>0.681740459000025</v>
      </c>
      <c r="G86">
        <v>1</v>
      </c>
      <c r="H86">
        <v>1</v>
      </c>
      <c r="I86" t="s">
        <v>1385</v>
      </c>
    </row>
    <row r="87" spans="1:9" x14ac:dyDescent="0.2">
      <c r="A87" t="s">
        <v>200</v>
      </c>
      <c r="B87">
        <v>57</v>
      </c>
      <c r="C87">
        <v>4</v>
      </c>
      <c r="D87">
        <v>13</v>
      </c>
      <c r="E87">
        <v>0</v>
      </c>
      <c r="F87">
        <v>0.70199211599998501</v>
      </c>
      <c r="G87">
        <v>1</v>
      </c>
      <c r="H87">
        <v>1</v>
      </c>
      <c r="I87" t="s">
        <v>1386</v>
      </c>
    </row>
    <row r="88" spans="1:9" x14ac:dyDescent="0.2">
      <c r="A88" t="s">
        <v>202</v>
      </c>
      <c r="B88">
        <v>58</v>
      </c>
      <c r="C88">
        <v>12</v>
      </c>
      <c r="D88">
        <v>10</v>
      </c>
      <c r="E88">
        <v>0</v>
      </c>
      <c r="F88">
        <v>0.62127624699999695</v>
      </c>
      <c r="G88">
        <v>1</v>
      </c>
      <c r="H88">
        <v>1</v>
      </c>
      <c r="I88" t="s">
        <v>1387</v>
      </c>
    </row>
    <row r="89" spans="1:9" x14ac:dyDescent="0.2">
      <c r="A89" t="s">
        <v>204</v>
      </c>
      <c r="B89">
        <v>59</v>
      </c>
      <c r="C89">
        <v>12</v>
      </c>
      <c r="D89">
        <v>10</v>
      </c>
      <c r="E89">
        <v>0</v>
      </c>
      <c r="F89">
        <v>0.64253539000000603</v>
      </c>
      <c r="G89">
        <v>1</v>
      </c>
      <c r="H89">
        <v>1</v>
      </c>
      <c r="I89" t="s">
        <v>1388</v>
      </c>
    </row>
    <row r="90" spans="1:9" x14ac:dyDescent="0.2">
      <c r="A90" t="s">
        <v>206</v>
      </c>
      <c r="B90">
        <v>60</v>
      </c>
      <c r="C90">
        <v>10</v>
      </c>
      <c r="D90">
        <v>11</v>
      </c>
      <c r="E90">
        <v>0</v>
      </c>
      <c r="F90">
        <v>0.68552851100000101</v>
      </c>
      <c r="G90">
        <v>1</v>
      </c>
      <c r="H90">
        <v>1</v>
      </c>
      <c r="I90" t="s">
        <v>1389</v>
      </c>
    </row>
    <row r="91" spans="1:9" x14ac:dyDescent="0.2">
      <c r="A91" t="s">
        <v>208</v>
      </c>
      <c r="B91">
        <v>61</v>
      </c>
      <c r="C91">
        <v>10</v>
      </c>
      <c r="D91">
        <v>11</v>
      </c>
      <c r="E91">
        <v>0</v>
      </c>
      <c r="F91">
        <v>0.71249165000000403</v>
      </c>
      <c r="G91">
        <v>1</v>
      </c>
      <c r="H91">
        <v>1</v>
      </c>
      <c r="I91" t="s">
        <v>1390</v>
      </c>
    </row>
    <row r="92" spans="1:9" x14ac:dyDescent="0.2">
      <c r="A92" t="s">
        <v>210</v>
      </c>
      <c r="B92">
        <v>62</v>
      </c>
      <c r="C92">
        <v>16</v>
      </c>
      <c r="D92">
        <v>10</v>
      </c>
      <c r="E92">
        <v>0</v>
      </c>
      <c r="F92">
        <v>0.684413731999995</v>
      </c>
      <c r="G92">
        <v>1</v>
      </c>
      <c r="H92">
        <v>1</v>
      </c>
      <c r="I92" t="s">
        <v>1391</v>
      </c>
    </row>
    <row r="93" spans="1:9" x14ac:dyDescent="0.2">
      <c r="A93" t="s">
        <v>212</v>
      </c>
      <c r="B93">
        <v>63</v>
      </c>
      <c r="C93">
        <v>8</v>
      </c>
      <c r="D93">
        <v>13</v>
      </c>
      <c r="E93">
        <v>0</v>
      </c>
      <c r="F93">
        <v>0.79891314299999205</v>
      </c>
      <c r="G93">
        <v>1</v>
      </c>
      <c r="H93">
        <v>1</v>
      </c>
      <c r="I93" t="s">
        <v>1392</v>
      </c>
    </row>
    <row r="94" spans="1:9" x14ac:dyDescent="0.2">
      <c r="A94" t="s">
        <v>214</v>
      </c>
      <c r="B94">
        <v>64</v>
      </c>
      <c r="C94">
        <v>13</v>
      </c>
      <c r="D94">
        <v>12</v>
      </c>
      <c r="E94">
        <v>0</v>
      </c>
      <c r="F94">
        <v>0.76895300199998895</v>
      </c>
      <c r="G94">
        <v>1</v>
      </c>
      <c r="H94">
        <v>1</v>
      </c>
      <c r="I94" t="s">
        <v>1393</v>
      </c>
    </row>
    <row r="95" spans="1:9" x14ac:dyDescent="0.2">
      <c r="A95" t="s">
        <v>216</v>
      </c>
      <c r="B95">
        <v>65</v>
      </c>
      <c r="C95">
        <v>5</v>
      </c>
      <c r="D95">
        <v>14</v>
      </c>
      <c r="E95">
        <v>0</v>
      </c>
      <c r="F95">
        <v>0.98156809600001704</v>
      </c>
      <c r="G95">
        <v>1</v>
      </c>
      <c r="H95">
        <v>1</v>
      </c>
      <c r="I95" t="s">
        <v>1394</v>
      </c>
    </row>
    <row r="96" spans="1:9" x14ac:dyDescent="0.2">
      <c r="A96" t="s">
        <v>218</v>
      </c>
      <c r="B96">
        <v>66</v>
      </c>
      <c r="C96">
        <v>5</v>
      </c>
      <c r="D96">
        <v>14</v>
      </c>
      <c r="E96">
        <v>0</v>
      </c>
      <c r="F96">
        <v>0.99846779899999605</v>
      </c>
      <c r="G96">
        <v>1</v>
      </c>
      <c r="H96">
        <v>1</v>
      </c>
      <c r="I96" t="s">
        <v>1395</v>
      </c>
    </row>
    <row r="97" spans="1:9" x14ac:dyDescent="0.2">
      <c r="A97" t="s">
        <v>220</v>
      </c>
      <c r="B97">
        <v>67</v>
      </c>
      <c r="C97">
        <v>5</v>
      </c>
      <c r="D97">
        <v>14</v>
      </c>
      <c r="E97">
        <v>0</v>
      </c>
      <c r="F97">
        <v>1.03166932600001</v>
      </c>
      <c r="G97">
        <v>1</v>
      </c>
      <c r="H97">
        <v>1</v>
      </c>
      <c r="I97" t="s">
        <v>1396</v>
      </c>
    </row>
    <row r="98" spans="1:9" x14ac:dyDescent="0.2">
      <c r="A98" t="s">
        <v>222</v>
      </c>
      <c r="B98">
        <v>68</v>
      </c>
      <c r="C98">
        <v>5</v>
      </c>
      <c r="D98">
        <v>14</v>
      </c>
      <c r="E98">
        <v>0</v>
      </c>
      <c r="F98">
        <v>1.05174450899997</v>
      </c>
      <c r="G98">
        <v>1</v>
      </c>
      <c r="H98">
        <v>1</v>
      </c>
      <c r="I98" t="s">
        <v>1397</v>
      </c>
    </row>
    <row r="99" spans="1:9" x14ac:dyDescent="0.2">
      <c r="A99" t="s">
        <v>224</v>
      </c>
      <c r="B99">
        <v>69</v>
      </c>
      <c r="C99">
        <v>5</v>
      </c>
      <c r="D99">
        <v>14</v>
      </c>
      <c r="E99">
        <v>0</v>
      </c>
      <c r="F99">
        <v>1.06698101400002</v>
      </c>
      <c r="G99">
        <v>1</v>
      </c>
      <c r="H99">
        <v>1</v>
      </c>
      <c r="I99" t="s">
        <v>1398</v>
      </c>
    </row>
    <row r="100" spans="1:9" x14ac:dyDescent="0.2">
      <c r="A100" t="s">
        <v>226</v>
      </c>
      <c r="B100">
        <v>70</v>
      </c>
      <c r="C100">
        <v>5</v>
      </c>
      <c r="D100">
        <v>14</v>
      </c>
      <c r="E100">
        <v>0</v>
      </c>
      <c r="F100">
        <v>1.0962894129999901</v>
      </c>
      <c r="G100">
        <v>1</v>
      </c>
      <c r="H100">
        <v>1</v>
      </c>
      <c r="I100" t="s">
        <v>1399</v>
      </c>
    </row>
    <row r="101" spans="1:9" x14ac:dyDescent="0.2">
      <c r="A101" t="s">
        <v>228</v>
      </c>
      <c r="B101">
        <v>71</v>
      </c>
      <c r="C101">
        <v>5</v>
      </c>
      <c r="D101">
        <v>15</v>
      </c>
      <c r="E101">
        <v>0</v>
      </c>
      <c r="F101">
        <v>1.1589352199999801</v>
      </c>
      <c r="G101">
        <v>1</v>
      </c>
      <c r="H101">
        <v>1</v>
      </c>
      <c r="I101" t="s">
        <v>1400</v>
      </c>
    </row>
    <row r="102" spans="1:9" x14ac:dyDescent="0.2">
      <c r="A102" t="s">
        <v>230</v>
      </c>
      <c r="B102">
        <v>72</v>
      </c>
      <c r="C102">
        <v>5</v>
      </c>
      <c r="D102">
        <v>15</v>
      </c>
      <c r="E102">
        <v>0</v>
      </c>
      <c r="F102">
        <v>1.1770184189999999</v>
      </c>
      <c r="G102">
        <v>1</v>
      </c>
      <c r="H102">
        <v>1</v>
      </c>
      <c r="I102" t="s">
        <v>1401</v>
      </c>
    </row>
    <row r="103" spans="1:9" x14ac:dyDescent="0.2">
      <c r="A103" t="s">
        <v>232</v>
      </c>
      <c r="B103">
        <v>73</v>
      </c>
      <c r="C103">
        <v>5</v>
      </c>
      <c r="D103">
        <v>15</v>
      </c>
      <c r="E103">
        <v>0</v>
      </c>
      <c r="F103">
        <v>1.2214486899999799</v>
      </c>
      <c r="G103">
        <v>1</v>
      </c>
      <c r="H103">
        <v>1</v>
      </c>
      <c r="I103" t="s">
        <v>1402</v>
      </c>
    </row>
    <row r="104" spans="1:9" x14ac:dyDescent="0.2">
      <c r="A104" t="s">
        <v>234</v>
      </c>
      <c r="B104">
        <v>74</v>
      </c>
      <c r="C104">
        <v>5</v>
      </c>
      <c r="D104">
        <v>15</v>
      </c>
      <c r="E104">
        <v>0</v>
      </c>
      <c r="F104">
        <v>1.23725873</v>
      </c>
      <c r="G104">
        <v>1</v>
      </c>
      <c r="H104">
        <v>1</v>
      </c>
      <c r="I104" t="s">
        <v>1403</v>
      </c>
    </row>
    <row r="105" spans="1:9" x14ac:dyDescent="0.2">
      <c r="A105" t="s">
        <v>236</v>
      </c>
      <c r="B105">
        <v>75</v>
      </c>
      <c r="C105">
        <v>5</v>
      </c>
      <c r="D105">
        <v>16</v>
      </c>
      <c r="E105">
        <v>1</v>
      </c>
      <c r="F105">
        <v>1.29559958000001</v>
      </c>
      <c r="G105">
        <v>1</v>
      </c>
      <c r="H105">
        <v>1</v>
      </c>
      <c r="I105" t="s">
        <v>1404</v>
      </c>
    </row>
    <row r="106" spans="1:9" x14ac:dyDescent="0.2">
      <c r="A106" t="s">
        <v>238</v>
      </c>
      <c r="B106">
        <v>76</v>
      </c>
      <c r="C106">
        <v>5</v>
      </c>
      <c r="D106">
        <v>15</v>
      </c>
      <c r="E106">
        <v>0</v>
      </c>
      <c r="F106">
        <v>1.31794531799999</v>
      </c>
      <c r="G106">
        <v>1</v>
      </c>
      <c r="H106">
        <v>1</v>
      </c>
      <c r="I106" t="s">
        <v>1405</v>
      </c>
    </row>
    <row r="107" spans="1:9" x14ac:dyDescent="0.2">
      <c r="A107" t="s">
        <v>240</v>
      </c>
      <c r="B107">
        <v>77</v>
      </c>
      <c r="C107">
        <v>5</v>
      </c>
      <c r="D107">
        <v>15</v>
      </c>
      <c r="E107">
        <v>0</v>
      </c>
      <c r="F107">
        <v>1.35219800999999</v>
      </c>
      <c r="G107">
        <v>1</v>
      </c>
      <c r="H107">
        <v>1</v>
      </c>
      <c r="I107" t="s">
        <v>1406</v>
      </c>
    </row>
    <row r="108" spans="1:9" x14ac:dyDescent="0.2">
      <c r="A108" t="s">
        <v>36</v>
      </c>
      <c r="B108">
        <v>78</v>
      </c>
      <c r="C108">
        <v>15</v>
      </c>
      <c r="D108">
        <v>13</v>
      </c>
      <c r="E108">
        <v>1</v>
      </c>
      <c r="F108">
        <v>1.2410993210000001</v>
      </c>
      <c r="G108">
        <v>1</v>
      </c>
      <c r="H108">
        <v>1</v>
      </c>
      <c r="I108" t="s">
        <v>1407</v>
      </c>
    </row>
    <row r="109" spans="1:9" x14ac:dyDescent="0.2">
      <c r="A109" t="s">
        <v>37</v>
      </c>
      <c r="B109">
        <v>79</v>
      </c>
      <c r="C109">
        <v>14</v>
      </c>
      <c r="D109">
        <v>14</v>
      </c>
      <c r="E109">
        <v>1</v>
      </c>
      <c r="F109">
        <v>1.28774683399998</v>
      </c>
      <c r="G109">
        <v>1</v>
      </c>
      <c r="H109">
        <v>1</v>
      </c>
      <c r="I109" t="s">
        <v>1408</v>
      </c>
    </row>
    <row r="110" spans="1:9" x14ac:dyDescent="0.2">
      <c r="A110" t="s">
        <v>38</v>
      </c>
      <c r="B110">
        <v>80</v>
      </c>
      <c r="C110">
        <v>7</v>
      </c>
      <c r="D110">
        <v>16</v>
      </c>
      <c r="E110">
        <v>1</v>
      </c>
      <c r="F110">
        <v>1.42332020999998</v>
      </c>
      <c r="G110">
        <v>1</v>
      </c>
      <c r="H110">
        <v>1</v>
      </c>
      <c r="I110" t="s">
        <v>1409</v>
      </c>
    </row>
    <row r="111" spans="1:9" x14ac:dyDescent="0.2">
      <c r="A111" t="s">
        <v>39</v>
      </c>
      <c r="B111">
        <v>81</v>
      </c>
      <c r="C111">
        <v>11</v>
      </c>
      <c r="D111">
        <v>16</v>
      </c>
      <c r="E111">
        <v>1</v>
      </c>
      <c r="F111">
        <v>1.4114286280000099</v>
      </c>
      <c r="G111">
        <v>1</v>
      </c>
      <c r="H111">
        <v>1</v>
      </c>
      <c r="I111" t="s">
        <v>1410</v>
      </c>
    </row>
    <row r="112" spans="1:9" x14ac:dyDescent="0.2">
      <c r="A112" t="s">
        <v>40</v>
      </c>
      <c r="B112">
        <v>82</v>
      </c>
      <c r="C112">
        <v>7</v>
      </c>
      <c r="D112">
        <v>16</v>
      </c>
      <c r="E112">
        <v>0</v>
      </c>
      <c r="F112">
        <v>1.49422337199999</v>
      </c>
      <c r="G112">
        <v>1</v>
      </c>
      <c r="H112">
        <v>1</v>
      </c>
      <c r="I112" t="s">
        <v>1411</v>
      </c>
    </row>
    <row r="113" spans="1:9" x14ac:dyDescent="0.2">
      <c r="A113" t="s">
        <v>41</v>
      </c>
      <c r="B113">
        <v>83</v>
      </c>
      <c r="C113">
        <v>13</v>
      </c>
      <c r="D113">
        <v>16</v>
      </c>
      <c r="E113">
        <v>1</v>
      </c>
      <c r="F113">
        <v>1.450661703</v>
      </c>
      <c r="G113">
        <v>1</v>
      </c>
      <c r="H113">
        <v>1</v>
      </c>
      <c r="I113" t="s">
        <v>1412</v>
      </c>
    </row>
    <row r="114" spans="1:9" x14ac:dyDescent="0.2">
      <c r="A114" t="s">
        <v>42</v>
      </c>
      <c r="B114">
        <v>84</v>
      </c>
      <c r="C114">
        <v>4</v>
      </c>
      <c r="D114">
        <v>18</v>
      </c>
      <c r="E114">
        <v>0</v>
      </c>
      <c r="F114">
        <v>1.588625121</v>
      </c>
      <c r="G114">
        <v>1</v>
      </c>
      <c r="H114">
        <v>1</v>
      </c>
      <c r="I114" t="s">
        <v>1413</v>
      </c>
    </row>
    <row r="115" spans="1:9" x14ac:dyDescent="0.2">
      <c r="A115" t="s">
        <v>43</v>
      </c>
      <c r="B115">
        <v>85</v>
      </c>
      <c r="C115">
        <v>11</v>
      </c>
      <c r="D115">
        <v>17</v>
      </c>
      <c r="E115">
        <v>0</v>
      </c>
      <c r="F115">
        <v>1.563593075</v>
      </c>
      <c r="G115">
        <v>1</v>
      </c>
      <c r="H115">
        <v>1</v>
      </c>
      <c r="I115" t="s">
        <v>1414</v>
      </c>
    </row>
    <row r="116" spans="1:9" x14ac:dyDescent="0.2">
      <c r="A116" t="s">
        <v>44</v>
      </c>
      <c r="B116">
        <v>86</v>
      </c>
      <c r="C116">
        <v>4</v>
      </c>
      <c r="D116">
        <v>19</v>
      </c>
      <c r="E116">
        <v>0</v>
      </c>
      <c r="F116">
        <v>1.7184265129999901</v>
      </c>
      <c r="G116">
        <v>1</v>
      </c>
      <c r="H116">
        <v>1</v>
      </c>
      <c r="I116" t="s">
        <v>1415</v>
      </c>
    </row>
    <row r="117" spans="1:9" x14ac:dyDescent="0.2">
      <c r="A117" t="s">
        <v>45</v>
      </c>
      <c r="B117">
        <v>87</v>
      </c>
      <c r="C117">
        <v>5</v>
      </c>
      <c r="D117">
        <v>19</v>
      </c>
      <c r="E117">
        <v>0</v>
      </c>
      <c r="F117">
        <v>1.7285607709999899</v>
      </c>
      <c r="G117">
        <v>1</v>
      </c>
      <c r="H117">
        <v>1</v>
      </c>
      <c r="I117" t="s">
        <v>1416</v>
      </c>
    </row>
    <row r="118" spans="1:9" x14ac:dyDescent="0.2">
      <c r="A118" t="s">
        <v>46</v>
      </c>
      <c r="B118">
        <v>88</v>
      </c>
      <c r="C118">
        <v>5</v>
      </c>
      <c r="D118">
        <v>19</v>
      </c>
      <c r="E118">
        <v>0</v>
      </c>
      <c r="F118">
        <v>1.75753998800001</v>
      </c>
      <c r="G118">
        <v>1</v>
      </c>
      <c r="H118">
        <v>1</v>
      </c>
      <c r="I118" t="s">
        <v>1417</v>
      </c>
    </row>
    <row r="119" spans="1:9" x14ac:dyDescent="0.2">
      <c r="A119" t="s">
        <v>47</v>
      </c>
      <c r="B119">
        <v>89</v>
      </c>
      <c r="C119">
        <v>3</v>
      </c>
      <c r="D119">
        <v>20</v>
      </c>
      <c r="E119">
        <v>1</v>
      </c>
      <c r="F119">
        <v>1.8642716399999899</v>
      </c>
      <c r="G119">
        <v>1</v>
      </c>
      <c r="H119">
        <v>1</v>
      </c>
      <c r="I119" t="s">
        <v>1418</v>
      </c>
    </row>
    <row r="120" spans="1:9" x14ac:dyDescent="0.2">
      <c r="A120" t="s">
        <v>48</v>
      </c>
      <c r="B120">
        <v>90</v>
      </c>
      <c r="C120">
        <v>3</v>
      </c>
      <c r="D120">
        <v>19</v>
      </c>
      <c r="E120">
        <v>0</v>
      </c>
      <c r="F120">
        <v>1.8682427579999701</v>
      </c>
      <c r="G120">
        <v>1</v>
      </c>
      <c r="H120">
        <v>1</v>
      </c>
      <c r="I120" t="s">
        <v>1419</v>
      </c>
    </row>
    <row r="121" spans="1:9" x14ac:dyDescent="0.2">
      <c r="A121" t="s">
        <v>49</v>
      </c>
      <c r="B121">
        <v>91</v>
      </c>
      <c r="C121">
        <v>4</v>
      </c>
      <c r="D121">
        <v>19</v>
      </c>
      <c r="E121">
        <v>0</v>
      </c>
      <c r="F121">
        <v>1.8210257839999899</v>
      </c>
      <c r="G121">
        <v>1</v>
      </c>
      <c r="H121">
        <v>1</v>
      </c>
      <c r="I121" t="s">
        <v>1420</v>
      </c>
    </row>
    <row r="122" spans="1:9" x14ac:dyDescent="0.2">
      <c r="A122" t="s">
        <v>50</v>
      </c>
      <c r="B122">
        <v>92</v>
      </c>
      <c r="C122">
        <v>3</v>
      </c>
      <c r="D122">
        <v>21</v>
      </c>
      <c r="E122">
        <v>1</v>
      </c>
      <c r="F122">
        <v>1.97356229500002</v>
      </c>
      <c r="G122">
        <v>1</v>
      </c>
      <c r="H122">
        <v>1</v>
      </c>
      <c r="I122" t="s">
        <v>1421</v>
      </c>
    </row>
    <row r="123" spans="1:9" x14ac:dyDescent="0.2">
      <c r="A123" t="s">
        <v>51</v>
      </c>
      <c r="B123">
        <v>93</v>
      </c>
      <c r="C123">
        <v>4</v>
      </c>
      <c r="D123">
        <v>20</v>
      </c>
      <c r="E123">
        <v>0</v>
      </c>
      <c r="F123">
        <v>1.97627634999997</v>
      </c>
      <c r="G123">
        <v>1</v>
      </c>
      <c r="H123">
        <v>1</v>
      </c>
      <c r="I123" t="s">
        <v>1422</v>
      </c>
    </row>
    <row r="124" spans="1:9" x14ac:dyDescent="0.2">
      <c r="A124" t="s">
        <v>52</v>
      </c>
      <c r="B124">
        <v>94</v>
      </c>
      <c r="C124">
        <v>4</v>
      </c>
      <c r="D124">
        <v>21</v>
      </c>
      <c r="E124">
        <v>1</v>
      </c>
      <c r="F124">
        <v>2.0063652969999999</v>
      </c>
      <c r="G124">
        <v>1</v>
      </c>
      <c r="H124">
        <v>1</v>
      </c>
      <c r="I124" t="s">
        <v>1423</v>
      </c>
    </row>
    <row r="125" spans="1:9" x14ac:dyDescent="0.2">
      <c r="A125" t="s">
        <v>53</v>
      </c>
      <c r="B125">
        <v>95</v>
      </c>
      <c r="C125">
        <v>5</v>
      </c>
      <c r="D125">
        <v>19</v>
      </c>
      <c r="E125">
        <v>0</v>
      </c>
      <c r="F125">
        <v>1.8919485389999899</v>
      </c>
      <c r="G125">
        <v>1</v>
      </c>
      <c r="H125">
        <v>1</v>
      </c>
      <c r="I125" t="s">
        <v>1424</v>
      </c>
    </row>
    <row r="126" spans="1:9" x14ac:dyDescent="0.2">
      <c r="A126" t="s">
        <v>54</v>
      </c>
      <c r="B126">
        <v>96</v>
      </c>
      <c r="C126">
        <v>27</v>
      </c>
      <c r="D126">
        <v>14</v>
      </c>
      <c r="E126">
        <v>0</v>
      </c>
      <c r="F126">
        <v>1.758782351</v>
      </c>
      <c r="G126">
        <v>1</v>
      </c>
      <c r="H126">
        <v>1</v>
      </c>
      <c r="I126" t="s">
        <v>1425</v>
      </c>
    </row>
    <row r="127" spans="1:9" x14ac:dyDescent="0.2">
      <c r="A127" t="s">
        <v>55</v>
      </c>
      <c r="B127">
        <v>97</v>
      </c>
      <c r="C127">
        <v>5</v>
      </c>
      <c r="D127">
        <v>20</v>
      </c>
      <c r="E127">
        <v>1</v>
      </c>
      <c r="F127">
        <v>1.9535550450000001</v>
      </c>
      <c r="G127">
        <v>1</v>
      </c>
      <c r="H127">
        <v>1</v>
      </c>
      <c r="I127" t="s">
        <v>1426</v>
      </c>
    </row>
    <row r="128" spans="1:9" x14ac:dyDescent="0.2">
      <c r="A128" t="s">
        <v>56</v>
      </c>
      <c r="B128">
        <v>98</v>
      </c>
      <c r="C128">
        <v>2</v>
      </c>
      <c r="D128">
        <v>21</v>
      </c>
      <c r="E128">
        <v>0</v>
      </c>
      <c r="F128">
        <v>2.1185223409999798</v>
      </c>
      <c r="G128">
        <v>1</v>
      </c>
      <c r="H128">
        <v>1</v>
      </c>
      <c r="I128" t="s">
        <v>1427</v>
      </c>
    </row>
    <row r="129" spans="1:9" x14ac:dyDescent="0.2">
      <c r="A129" t="s">
        <v>57</v>
      </c>
      <c r="B129">
        <v>99</v>
      </c>
      <c r="C129">
        <v>3</v>
      </c>
      <c r="D129">
        <v>21</v>
      </c>
      <c r="E129">
        <v>0</v>
      </c>
      <c r="F129">
        <v>2.1250782350000099</v>
      </c>
      <c r="G129">
        <v>1</v>
      </c>
      <c r="H129">
        <v>1</v>
      </c>
      <c r="I129" t="s">
        <v>1428</v>
      </c>
    </row>
    <row r="130" spans="1:9" x14ac:dyDescent="0.2">
      <c r="A130" t="s">
        <v>58</v>
      </c>
      <c r="B130">
        <v>100</v>
      </c>
      <c r="C130">
        <v>4</v>
      </c>
      <c r="D130">
        <v>20</v>
      </c>
      <c r="E130">
        <v>0</v>
      </c>
      <c r="F130">
        <v>2.11997213199998</v>
      </c>
      <c r="G130">
        <v>1</v>
      </c>
      <c r="H130">
        <v>1</v>
      </c>
      <c r="I130" t="s">
        <v>1429</v>
      </c>
    </row>
    <row r="131" spans="1:9" x14ac:dyDescent="0.2">
      <c r="A131" t="s">
        <v>59</v>
      </c>
      <c r="B131">
        <v>101</v>
      </c>
      <c r="C131">
        <v>4</v>
      </c>
      <c r="D131">
        <v>20</v>
      </c>
      <c r="E131">
        <v>0</v>
      </c>
      <c r="F131">
        <v>2.1340857160000102</v>
      </c>
      <c r="G131">
        <v>1</v>
      </c>
      <c r="H131">
        <v>1</v>
      </c>
      <c r="I131" t="s">
        <v>1430</v>
      </c>
    </row>
    <row r="132" spans="1:9" x14ac:dyDescent="0.2">
      <c r="A132" t="s">
        <v>60</v>
      </c>
      <c r="B132">
        <v>102</v>
      </c>
      <c r="C132">
        <v>17</v>
      </c>
      <c r="D132">
        <v>19</v>
      </c>
      <c r="E132">
        <v>2</v>
      </c>
      <c r="F132">
        <v>2.1502707509999901</v>
      </c>
      <c r="G132">
        <v>1</v>
      </c>
      <c r="H132">
        <v>1</v>
      </c>
      <c r="I132" t="s">
        <v>1431</v>
      </c>
    </row>
    <row r="133" spans="1:9" x14ac:dyDescent="0.2">
      <c r="A133" t="s">
        <v>61</v>
      </c>
      <c r="B133">
        <v>103</v>
      </c>
      <c r="C133">
        <v>18</v>
      </c>
      <c r="D133">
        <v>18</v>
      </c>
      <c r="E133">
        <v>1</v>
      </c>
      <c r="F133">
        <v>2.1788905660000002</v>
      </c>
      <c r="G133">
        <v>1</v>
      </c>
      <c r="H133">
        <v>1</v>
      </c>
      <c r="I133" t="s">
        <v>1432</v>
      </c>
    </row>
    <row r="134" spans="1:9" x14ac:dyDescent="0.2">
      <c r="A134" t="s">
        <v>62</v>
      </c>
      <c r="B134">
        <v>104</v>
      </c>
      <c r="C134">
        <v>12</v>
      </c>
      <c r="D134">
        <v>22</v>
      </c>
      <c r="E134">
        <v>3</v>
      </c>
      <c r="F134">
        <v>2.3389061049999702</v>
      </c>
      <c r="G134">
        <v>1</v>
      </c>
      <c r="H134">
        <v>1</v>
      </c>
      <c r="I134" t="s">
        <v>1433</v>
      </c>
    </row>
    <row r="135" spans="1:9" x14ac:dyDescent="0.2">
      <c r="A135" t="s">
        <v>63</v>
      </c>
      <c r="B135">
        <v>105</v>
      </c>
      <c r="C135">
        <v>8</v>
      </c>
      <c r="D135">
        <v>23</v>
      </c>
      <c r="E135">
        <v>3</v>
      </c>
      <c r="F135">
        <v>2.46723574</v>
      </c>
      <c r="G135">
        <v>1</v>
      </c>
      <c r="H135">
        <v>1</v>
      </c>
      <c r="I135" t="s">
        <v>1434</v>
      </c>
    </row>
    <row r="136" spans="1:9" x14ac:dyDescent="0.2">
      <c r="A136" t="s">
        <v>65</v>
      </c>
      <c r="B136">
        <v>106</v>
      </c>
      <c r="C136">
        <v>23</v>
      </c>
      <c r="D136">
        <v>19</v>
      </c>
      <c r="E136">
        <v>3</v>
      </c>
      <c r="F136">
        <v>2.22325668000002</v>
      </c>
      <c r="G136">
        <v>1</v>
      </c>
      <c r="H136">
        <v>1</v>
      </c>
      <c r="I136" t="s">
        <v>1435</v>
      </c>
    </row>
    <row r="137" spans="1:9" x14ac:dyDescent="0.2">
      <c r="A137" t="s">
        <v>66</v>
      </c>
      <c r="B137">
        <v>107</v>
      </c>
      <c r="C137">
        <v>10</v>
      </c>
      <c r="D137">
        <v>22</v>
      </c>
      <c r="E137">
        <v>2</v>
      </c>
      <c r="F137">
        <v>2.4569505929999802</v>
      </c>
      <c r="G137">
        <v>1</v>
      </c>
      <c r="H137">
        <v>1</v>
      </c>
      <c r="I137" t="s">
        <v>1436</v>
      </c>
    </row>
    <row r="138" spans="1:9" x14ac:dyDescent="0.2">
      <c r="A138" t="s">
        <v>67</v>
      </c>
      <c r="B138">
        <v>108</v>
      </c>
      <c r="C138">
        <v>36</v>
      </c>
      <c r="D138">
        <v>16</v>
      </c>
      <c r="E138">
        <v>3</v>
      </c>
      <c r="F138">
        <v>1.97787878400001</v>
      </c>
      <c r="G138">
        <v>1</v>
      </c>
      <c r="H138">
        <v>1</v>
      </c>
      <c r="I138" t="s">
        <v>1437</v>
      </c>
    </row>
    <row r="139" spans="1:9" x14ac:dyDescent="0.2">
      <c r="A139" t="s">
        <v>68</v>
      </c>
      <c r="B139">
        <v>109</v>
      </c>
      <c r="C139">
        <v>31</v>
      </c>
      <c r="D139">
        <v>18</v>
      </c>
      <c r="E139">
        <v>4</v>
      </c>
      <c r="F139">
        <v>2.13698034499998</v>
      </c>
      <c r="G139">
        <v>1</v>
      </c>
      <c r="H139">
        <v>1</v>
      </c>
      <c r="I139" t="s">
        <v>1438</v>
      </c>
    </row>
    <row r="140" spans="1:9" x14ac:dyDescent="0.2">
      <c r="A140" t="s">
        <v>69</v>
      </c>
      <c r="B140">
        <v>110</v>
      </c>
      <c r="C140">
        <v>32</v>
      </c>
      <c r="D140">
        <v>18</v>
      </c>
      <c r="E140">
        <v>4</v>
      </c>
      <c r="F140">
        <v>2.1809917310000002</v>
      </c>
      <c r="G140">
        <v>1</v>
      </c>
      <c r="H140">
        <v>1</v>
      </c>
      <c r="I140" t="s">
        <v>1439</v>
      </c>
    </row>
    <row r="141" spans="1:9" x14ac:dyDescent="0.2">
      <c r="A141" t="s">
        <v>70</v>
      </c>
      <c r="B141">
        <v>111</v>
      </c>
      <c r="C141">
        <v>33</v>
      </c>
      <c r="D141">
        <v>16</v>
      </c>
      <c r="E141">
        <v>2</v>
      </c>
      <c r="F141">
        <v>2.2065991299999999</v>
      </c>
      <c r="G141">
        <v>1</v>
      </c>
      <c r="H141">
        <v>1</v>
      </c>
      <c r="I141" t="s">
        <v>1440</v>
      </c>
    </row>
    <row r="142" spans="1:9" x14ac:dyDescent="0.2">
      <c r="A142" t="s">
        <v>71</v>
      </c>
      <c r="B142">
        <v>112</v>
      </c>
      <c r="C142">
        <v>16</v>
      </c>
      <c r="D142">
        <v>20</v>
      </c>
      <c r="E142">
        <v>1</v>
      </c>
      <c r="F142">
        <v>2.6040576799999799</v>
      </c>
      <c r="G142">
        <v>1</v>
      </c>
      <c r="H142">
        <v>1</v>
      </c>
      <c r="I142" t="s">
        <v>1441</v>
      </c>
    </row>
    <row r="143" spans="1:9" x14ac:dyDescent="0.2">
      <c r="A143" t="s">
        <v>72</v>
      </c>
      <c r="B143">
        <v>113</v>
      </c>
      <c r="C143">
        <v>34</v>
      </c>
      <c r="D143">
        <v>15</v>
      </c>
      <c r="E143">
        <v>1</v>
      </c>
      <c r="F143">
        <v>2.2238557250000199</v>
      </c>
      <c r="G143">
        <v>1</v>
      </c>
      <c r="H143">
        <v>1</v>
      </c>
      <c r="I143" t="s">
        <v>1442</v>
      </c>
    </row>
    <row r="144" spans="1:9" x14ac:dyDescent="0.2">
      <c r="A144" t="s">
        <v>73</v>
      </c>
      <c r="B144">
        <v>114</v>
      </c>
      <c r="C144">
        <v>36</v>
      </c>
      <c r="D144">
        <v>14</v>
      </c>
      <c r="E144">
        <v>0</v>
      </c>
      <c r="F144">
        <v>2.2424368189999999</v>
      </c>
      <c r="G144">
        <v>1</v>
      </c>
      <c r="H144">
        <v>1</v>
      </c>
      <c r="I144" t="s">
        <v>1443</v>
      </c>
    </row>
    <row r="145" spans="1:9" x14ac:dyDescent="0.2">
      <c r="A145" t="s">
        <v>75</v>
      </c>
      <c r="B145">
        <v>115</v>
      </c>
      <c r="C145">
        <v>1</v>
      </c>
      <c r="D145">
        <v>25</v>
      </c>
      <c r="E145">
        <v>0</v>
      </c>
      <c r="F145">
        <v>2.8847059160000001</v>
      </c>
      <c r="G145">
        <v>1</v>
      </c>
      <c r="H145">
        <v>1</v>
      </c>
      <c r="I145" t="s">
        <v>1444</v>
      </c>
    </row>
    <row r="146" spans="1:9" x14ac:dyDescent="0.2">
      <c r="A146" t="s">
        <v>76</v>
      </c>
      <c r="B146">
        <v>116</v>
      </c>
      <c r="C146">
        <v>2</v>
      </c>
      <c r="D146">
        <v>24</v>
      </c>
      <c r="E146">
        <v>0</v>
      </c>
      <c r="F146">
        <v>2.8488480529999798</v>
      </c>
      <c r="G146">
        <v>1</v>
      </c>
      <c r="H146">
        <v>1</v>
      </c>
      <c r="I146" t="s">
        <v>1445</v>
      </c>
    </row>
    <row r="147" spans="1:9" x14ac:dyDescent="0.2">
      <c r="A147" t="s">
        <v>77</v>
      </c>
      <c r="B147">
        <v>117</v>
      </c>
      <c r="C147">
        <v>2</v>
      </c>
      <c r="D147">
        <v>24</v>
      </c>
      <c r="E147">
        <v>0</v>
      </c>
      <c r="F147">
        <v>2.8564089249999798</v>
      </c>
      <c r="G147">
        <v>1</v>
      </c>
      <c r="H147">
        <v>1</v>
      </c>
      <c r="I147" t="s">
        <v>1446</v>
      </c>
    </row>
    <row r="148" spans="1:9" x14ac:dyDescent="0.2">
      <c r="A148" t="s">
        <v>78</v>
      </c>
      <c r="B148">
        <v>118</v>
      </c>
      <c r="C148">
        <v>1</v>
      </c>
      <c r="D148">
        <v>27</v>
      </c>
      <c r="E148">
        <v>2</v>
      </c>
      <c r="F148">
        <v>2.9384372080000301</v>
      </c>
      <c r="G148">
        <v>1</v>
      </c>
      <c r="H148">
        <v>1</v>
      </c>
      <c r="I148" t="s">
        <v>1447</v>
      </c>
    </row>
    <row r="149" spans="1:9" x14ac:dyDescent="0.2">
      <c r="A149" t="s">
        <v>79</v>
      </c>
      <c r="B149">
        <v>119</v>
      </c>
      <c r="C149">
        <v>39</v>
      </c>
      <c r="D149">
        <v>17</v>
      </c>
      <c r="E149">
        <v>3</v>
      </c>
      <c r="F149">
        <v>2.3967825349999998</v>
      </c>
      <c r="G149">
        <v>1</v>
      </c>
      <c r="H149">
        <v>1</v>
      </c>
      <c r="I149" t="s">
        <v>1448</v>
      </c>
    </row>
    <row r="150" spans="1:9" x14ac:dyDescent="0.2">
      <c r="A150" t="s">
        <v>80</v>
      </c>
      <c r="B150">
        <v>120</v>
      </c>
      <c r="C150">
        <v>40</v>
      </c>
      <c r="D150">
        <v>17</v>
      </c>
      <c r="E150">
        <v>3</v>
      </c>
      <c r="F150">
        <v>2.4181199089999801</v>
      </c>
      <c r="G150">
        <v>1</v>
      </c>
      <c r="H150">
        <v>1</v>
      </c>
      <c r="I150" t="s">
        <v>1449</v>
      </c>
    </row>
    <row r="151" spans="1:9" x14ac:dyDescent="0.2">
      <c r="A151" t="s">
        <v>81</v>
      </c>
      <c r="B151">
        <v>121</v>
      </c>
      <c r="C151">
        <v>36</v>
      </c>
      <c r="D151">
        <v>20</v>
      </c>
      <c r="E151">
        <v>5</v>
      </c>
      <c r="F151">
        <v>2.59903416100002</v>
      </c>
      <c r="G151">
        <v>1</v>
      </c>
      <c r="H151">
        <v>1</v>
      </c>
      <c r="I151" t="s">
        <v>1450</v>
      </c>
    </row>
    <row r="152" spans="1:9" x14ac:dyDescent="0.2">
      <c r="A152" t="s">
        <v>82</v>
      </c>
      <c r="B152">
        <v>122</v>
      </c>
      <c r="C152">
        <v>37</v>
      </c>
      <c r="D152">
        <v>16</v>
      </c>
      <c r="E152">
        <v>1</v>
      </c>
      <c r="F152">
        <v>2.6090298719999501</v>
      </c>
      <c r="G152">
        <v>1</v>
      </c>
      <c r="H152">
        <v>1</v>
      </c>
      <c r="I152" t="s">
        <v>1451</v>
      </c>
    </row>
    <row r="153" spans="1:9" x14ac:dyDescent="0.2">
      <c r="A153" t="s">
        <v>83</v>
      </c>
      <c r="B153">
        <v>123</v>
      </c>
      <c r="C153">
        <v>38</v>
      </c>
      <c r="D153">
        <v>18</v>
      </c>
      <c r="E153">
        <v>3</v>
      </c>
      <c r="F153">
        <v>2.6962274850000001</v>
      </c>
      <c r="G153">
        <v>1</v>
      </c>
      <c r="H153">
        <v>1</v>
      </c>
      <c r="I153" t="s">
        <v>1452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B36EC-8A85-2841-B173-3565F832AAA1}">
  <dimension ref="A1:I153"/>
  <sheetViews>
    <sheetView workbookViewId="0">
      <selection activeCell="A29" sqref="A29:XFD29"/>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1086</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11</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88</v>
      </c>
    </row>
    <row r="24" spans="1:9" x14ac:dyDescent="0.2">
      <c r="A24" t="s">
        <v>89</v>
      </c>
    </row>
    <row r="25" spans="1:9" x14ac:dyDescent="0.2">
      <c r="A25" t="s">
        <v>28</v>
      </c>
    </row>
    <row r="26" spans="1:9" x14ac:dyDescent="0.2">
      <c r="A26" t="s">
        <v>90</v>
      </c>
    </row>
    <row r="27" spans="1:9" x14ac:dyDescent="0.2">
      <c r="A27" t="s">
        <v>1331</v>
      </c>
    </row>
    <row r="28" spans="1:9" x14ac:dyDescent="0.2">
      <c r="A28" t="s">
        <v>15</v>
      </c>
    </row>
    <row r="29" spans="1:9" x14ac:dyDescent="0.2">
      <c r="A29" t="s">
        <v>16</v>
      </c>
    </row>
    <row r="30" spans="1:9" x14ac:dyDescent="0.2">
      <c r="A30" t="s">
        <v>1453</v>
      </c>
    </row>
    <row r="31" spans="1:9" x14ac:dyDescent="0.2">
      <c r="A31"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0.23527894599999399</v>
      </c>
      <c r="G33">
        <v>1</v>
      </c>
      <c r="H33">
        <v>1</v>
      </c>
      <c r="I33" t="s">
        <v>1454</v>
      </c>
    </row>
    <row r="34" spans="1:9" x14ac:dyDescent="0.2">
      <c r="A34" t="s">
        <v>93</v>
      </c>
      <c r="B34">
        <v>4</v>
      </c>
      <c r="C34">
        <v>1</v>
      </c>
      <c r="D34">
        <v>2</v>
      </c>
      <c r="E34">
        <v>0</v>
      </c>
      <c r="F34">
        <v>2.16311270000062E-2</v>
      </c>
      <c r="G34">
        <v>1</v>
      </c>
      <c r="H34">
        <v>1</v>
      </c>
      <c r="I34" t="s">
        <v>1333</v>
      </c>
    </row>
    <row r="35" spans="1:9" x14ac:dyDescent="0.2">
      <c r="A35" t="s">
        <v>94</v>
      </c>
      <c r="B35">
        <v>5</v>
      </c>
      <c r="C35">
        <v>1</v>
      </c>
      <c r="D35">
        <v>3</v>
      </c>
      <c r="E35">
        <v>0</v>
      </c>
      <c r="F35">
        <v>2.53535949999843E-2</v>
      </c>
      <c r="G35">
        <v>1</v>
      </c>
      <c r="H35">
        <v>1</v>
      </c>
      <c r="I35" t="s">
        <v>1455</v>
      </c>
    </row>
    <row r="36" spans="1:9" x14ac:dyDescent="0.2">
      <c r="A36" t="s">
        <v>95</v>
      </c>
      <c r="B36">
        <v>6</v>
      </c>
      <c r="C36">
        <v>1</v>
      </c>
      <c r="D36">
        <v>3</v>
      </c>
      <c r="E36">
        <v>0</v>
      </c>
      <c r="F36">
        <v>3.1450920000025903E-2</v>
      </c>
      <c r="G36">
        <v>1</v>
      </c>
      <c r="H36">
        <v>1</v>
      </c>
      <c r="I36" t="s">
        <v>1456</v>
      </c>
    </row>
    <row r="37" spans="1:9" x14ac:dyDescent="0.2">
      <c r="A37" t="s">
        <v>96</v>
      </c>
      <c r="B37">
        <v>7</v>
      </c>
      <c r="C37">
        <v>1</v>
      </c>
      <c r="D37">
        <v>3</v>
      </c>
      <c r="E37">
        <v>0</v>
      </c>
      <c r="F37">
        <v>3.31170009999937E-2</v>
      </c>
      <c r="G37">
        <v>1</v>
      </c>
      <c r="H37">
        <v>1</v>
      </c>
      <c r="I37" t="s">
        <v>1457</v>
      </c>
    </row>
    <row r="38" spans="1:9" x14ac:dyDescent="0.2">
      <c r="A38" t="s">
        <v>97</v>
      </c>
      <c r="B38">
        <v>8</v>
      </c>
      <c r="C38">
        <v>1</v>
      </c>
      <c r="D38">
        <v>3</v>
      </c>
      <c r="E38">
        <v>0</v>
      </c>
      <c r="F38">
        <v>3.4902092999999398E-2</v>
      </c>
      <c r="G38">
        <v>1</v>
      </c>
      <c r="H38">
        <v>1</v>
      </c>
      <c r="I38" t="s">
        <v>1458</v>
      </c>
    </row>
    <row r="39" spans="1:9" x14ac:dyDescent="0.2">
      <c r="A39" t="s">
        <v>98</v>
      </c>
      <c r="B39">
        <v>9</v>
      </c>
      <c r="C39">
        <v>1</v>
      </c>
      <c r="D39">
        <v>3</v>
      </c>
      <c r="E39">
        <v>0</v>
      </c>
      <c r="F39">
        <v>3.9092812000006902E-2</v>
      </c>
      <c r="G39">
        <v>1</v>
      </c>
      <c r="H39">
        <v>1</v>
      </c>
      <c r="I39" t="s">
        <v>1459</v>
      </c>
    </row>
    <row r="40" spans="1:9" x14ac:dyDescent="0.2">
      <c r="A40" t="s">
        <v>99</v>
      </c>
      <c r="B40">
        <v>10</v>
      </c>
      <c r="C40">
        <v>1</v>
      </c>
      <c r="D40">
        <v>4</v>
      </c>
      <c r="E40">
        <v>0</v>
      </c>
      <c r="F40">
        <v>4.7230273999986097E-2</v>
      </c>
      <c r="G40">
        <v>1</v>
      </c>
      <c r="H40">
        <v>1</v>
      </c>
      <c r="I40" t="s">
        <v>1460</v>
      </c>
    </row>
    <row r="41" spans="1:9" x14ac:dyDescent="0.2">
      <c r="A41" t="s">
        <v>100</v>
      </c>
      <c r="B41">
        <v>11</v>
      </c>
      <c r="C41">
        <v>1</v>
      </c>
      <c r="D41">
        <v>5</v>
      </c>
      <c r="E41">
        <v>0</v>
      </c>
      <c r="F41">
        <v>5.9523458000001001E-2</v>
      </c>
      <c r="G41">
        <v>1</v>
      </c>
      <c r="H41">
        <v>1</v>
      </c>
      <c r="I41" t="s">
        <v>1461</v>
      </c>
    </row>
    <row r="42" spans="1:9" x14ac:dyDescent="0.2">
      <c r="A42" t="s">
        <v>101</v>
      </c>
      <c r="B42">
        <v>12</v>
      </c>
      <c r="C42">
        <v>6</v>
      </c>
      <c r="D42">
        <v>3</v>
      </c>
      <c r="E42">
        <v>0</v>
      </c>
      <c r="F42">
        <v>4.9273032000002097E-2</v>
      </c>
      <c r="G42">
        <v>1</v>
      </c>
      <c r="H42">
        <v>1</v>
      </c>
      <c r="I42" t="s">
        <v>1462</v>
      </c>
    </row>
    <row r="43" spans="1:9" x14ac:dyDescent="0.2">
      <c r="A43" t="s">
        <v>102</v>
      </c>
      <c r="B43">
        <v>13</v>
      </c>
      <c r="C43">
        <v>6</v>
      </c>
      <c r="D43">
        <v>3</v>
      </c>
      <c r="E43">
        <v>0</v>
      </c>
      <c r="F43">
        <v>5.56125249999865E-2</v>
      </c>
      <c r="G43">
        <v>1</v>
      </c>
      <c r="H43">
        <v>1</v>
      </c>
      <c r="I43" t="s">
        <v>1342</v>
      </c>
    </row>
    <row r="44" spans="1:9" x14ac:dyDescent="0.2">
      <c r="A44" t="s">
        <v>103</v>
      </c>
      <c r="B44">
        <v>14</v>
      </c>
      <c r="C44">
        <v>2</v>
      </c>
      <c r="D44">
        <v>5</v>
      </c>
      <c r="E44">
        <v>0</v>
      </c>
      <c r="F44">
        <v>7.4061897000007093E-2</v>
      </c>
      <c r="G44">
        <v>1</v>
      </c>
      <c r="H44">
        <v>1</v>
      </c>
      <c r="I44" t="s">
        <v>1463</v>
      </c>
    </row>
    <row r="45" spans="1:9" x14ac:dyDescent="0.2">
      <c r="A45" t="s">
        <v>104</v>
      </c>
      <c r="B45">
        <v>15</v>
      </c>
      <c r="C45">
        <v>2</v>
      </c>
      <c r="D45">
        <v>5</v>
      </c>
      <c r="E45">
        <v>0</v>
      </c>
      <c r="F45">
        <v>7.6948401999999305E-2</v>
      </c>
      <c r="G45">
        <v>1</v>
      </c>
      <c r="H45">
        <v>1</v>
      </c>
      <c r="I45" t="s">
        <v>1464</v>
      </c>
    </row>
    <row r="46" spans="1:9" x14ac:dyDescent="0.2">
      <c r="A46" t="s">
        <v>105</v>
      </c>
      <c r="B46">
        <v>16</v>
      </c>
      <c r="C46">
        <v>1</v>
      </c>
      <c r="D46">
        <v>6</v>
      </c>
      <c r="E46">
        <v>0</v>
      </c>
      <c r="F46">
        <v>9.4246572000002901E-2</v>
      </c>
      <c r="G46">
        <v>1</v>
      </c>
      <c r="H46">
        <v>1</v>
      </c>
      <c r="I46" t="s">
        <v>1465</v>
      </c>
    </row>
    <row r="47" spans="1:9" x14ac:dyDescent="0.2">
      <c r="A47" t="s">
        <v>106</v>
      </c>
      <c r="B47">
        <v>17</v>
      </c>
      <c r="C47">
        <v>3</v>
      </c>
      <c r="D47">
        <v>5</v>
      </c>
      <c r="E47">
        <v>0</v>
      </c>
      <c r="F47">
        <v>8.8255527000001097E-2</v>
      </c>
      <c r="G47">
        <v>1</v>
      </c>
      <c r="H47">
        <v>1</v>
      </c>
      <c r="I47" t="s">
        <v>1466</v>
      </c>
    </row>
    <row r="48" spans="1:9" x14ac:dyDescent="0.2">
      <c r="A48" t="s">
        <v>107</v>
      </c>
      <c r="B48">
        <v>18</v>
      </c>
      <c r="C48">
        <v>5</v>
      </c>
      <c r="D48">
        <v>5</v>
      </c>
      <c r="E48">
        <v>0</v>
      </c>
      <c r="F48">
        <v>9.7202731000010006E-2</v>
      </c>
      <c r="G48">
        <v>1</v>
      </c>
      <c r="H48">
        <v>1</v>
      </c>
      <c r="I48" t="s">
        <v>1467</v>
      </c>
    </row>
    <row r="49" spans="1:9" x14ac:dyDescent="0.2">
      <c r="A49" t="s">
        <v>108</v>
      </c>
      <c r="B49">
        <v>19</v>
      </c>
      <c r="C49">
        <v>5</v>
      </c>
      <c r="D49">
        <v>5</v>
      </c>
      <c r="E49">
        <v>0</v>
      </c>
      <c r="F49">
        <v>0.132873905999986</v>
      </c>
      <c r="G49">
        <v>1</v>
      </c>
      <c r="H49">
        <v>1</v>
      </c>
      <c r="I49" t="s">
        <v>1468</v>
      </c>
    </row>
    <row r="50" spans="1:9" x14ac:dyDescent="0.2">
      <c r="A50" t="s">
        <v>109</v>
      </c>
      <c r="B50">
        <v>20</v>
      </c>
      <c r="C50">
        <v>3</v>
      </c>
      <c r="D50">
        <v>6</v>
      </c>
      <c r="E50">
        <v>0</v>
      </c>
      <c r="F50">
        <v>0.121586999000015</v>
      </c>
      <c r="G50">
        <v>1</v>
      </c>
      <c r="H50">
        <v>1</v>
      </c>
      <c r="I50" t="s">
        <v>1469</v>
      </c>
    </row>
    <row r="51" spans="1:9" x14ac:dyDescent="0.2">
      <c r="A51" t="s">
        <v>110</v>
      </c>
      <c r="B51">
        <v>21</v>
      </c>
      <c r="C51">
        <v>3</v>
      </c>
      <c r="D51">
        <v>6</v>
      </c>
      <c r="E51">
        <v>0</v>
      </c>
      <c r="F51">
        <v>0.11861846499999699</v>
      </c>
      <c r="G51">
        <v>1</v>
      </c>
      <c r="H51">
        <v>1</v>
      </c>
      <c r="I51" t="s">
        <v>1470</v>
      </c>
    </row>
    <row r="52" spans="1:9" x14ac:dyDescent="0.2">
      <c r="A52" t="s">
        <v>111</v>
      </c>
      <c r="B52">
        <v>22</v>
      </c>
      <c r="C52">
        <v>7</v>
      </c>
      <c r="D52">
        <v>5</v>
      </c>
      <c r="E52">
        <v>0</v>
      </c>
      <c r="F52">
        <v>0.118438306999991</v>
      </c>
      <c r="G52">
        <v>1</v>
      </c>
      <c r="H52">
        <v>1</v>
      </c>
      <c r="I52" t="s">
        <v>1471</v>
      </c>
    </row>
    <row r="53" spans="1:9" x14ac:dyDescent="0.2">
      <c r="A53" t="s">
        <v>112</v>
      </c>
      <c r="B53">
        <v>23</v>
      </c>
      <c r="C53">
        <v>2</v>
      </c>
      <c r="D53">
        <v>7</v>
      </c>
      <c r="E53">
        <v>0</v>
      </c>
      <c r="F53">
        <v>0.15511763200001299</v>
      </c>
      <c r="G53">
        <v>1</v>
      </c>
      <c r="H53">
        <v>1</v>
      </c>
      <c r="I53" t="s">
        <v>1472</v>
      </c>
    </row>
    <row r="54" spans="1:9" x14ac:dyDescent="0.2">
      <c r="A54" t="s">
        <v>113</v>
      </c>
      <c r="B54">
        <v>24</v>
      </c>
      <c r="C54">
        <v>8</v>
      </c>
      <c r="D54">
        <v>5</v>
      </c>
      <c r="E54">
        <v>0</v>
      </c>
      <c r="F54">
        <v>0.13388816299999401</v>
      </c>
      <c r="G54">
        <v>1</v>
      </c>
      <c r="H54">
        <v>1</v>
      </c>
      <c r="I54" t="s">
        <v>1473</v>
      </c>
    </row>
    <row r="55" spans="1:9" x14ac:dyDescent="0.2">
      <c r="A55" t="s">
        <v>114</v>
      </c>
      <c r="B55">
        <v>25</v>
      </c>
      <c r="C55">
        <v>8</v>
      </c>
      <c r="D55">
        <v>5</v>
      </c>
      <c r="E55">
        <v>0</v>
      </c>
      <c r="F55">
        <v>0.14756615499999201</v>
      </c>
      <c r="G55">
        <v>1</v>
      </c>
      <c r="H55">
        <v>1</v>
      </c>
      <c r="I55" t="s">
        <v>1474</v>
      </c>
    </row>
    <row r="56" spans="1:9" x14ac:dyDescent="0.2">
      <c r="A56" t="s">
        <v>115</v>
      </c>
      <c r="B56">
        <v>26</v>
      </c>
      <c r="C56">
        <v>6</v>
      </c>
      <c r="D56">
        <v>6</v>
      </c>
      <c r="E56">
        <v>0</v>
      </c>
      <c r="F56">
        <v>0.15997577799998899</v>
      </c>
      <c r="G56">
        <v>1</v>
      </c>
      <c r="H56">
        <v>1</v>
      </c>
      <c r="I56" t="s">
        <v>1475</v>
      </c>
    </row>
    <row r="57" spans="1:9" x14ac:dyDescent="0.2">
      <c r="A57" t="s">
        <v>116</v>
      </c>
      <c r="B57">
        <v>27</v>
      </c>
      <c r="C57">
        <v>6</v>
      </c>
      <c r="D57">
        <v>6</v>
      </c>
      <c r="E57">
        <v>0</v>
      </c>
      <c r="F57">
        <v>0.16661587200002201</v>
      </c>
      <c r="G57">
        <v>1</v>
      </c>
      <c r="H57">
        <v>1</v>
      </c>
      <c r="I57" t="s">
        <v>1476</v>
      </c>
    </row>
    <row r="58" spans="1:9" x14ac:dyDescent="0.2">
      <c r="A58" t="s">
        <v>117</v>
      </c>
      <c r="B58">
        <v>28</v>
      </c>
      <c r="C58">
        <v>6</v>
      </c>
      <c r="D58">
        <v>6</v>
      </c>
      <c r="E58">
        <v>0</v>
      </c>
      <c r="F58">
        <v>0.18013096399999901</v>
      </c>
      <c r="G58">
        <v>1</v>
      </c>
      <c r="H58">
        <v>1</v>
      </c>
      <c r="I58" t="s">
        <v>1477</v>
      </c>
    </row>
    <row r="59" spans="1:9" x14ac:dyDescent="0.2">
      <c r="A59" t="s">
        <v>118</v>
      </c>
      <c r="B59">
        <v>29</v>
      </c>
      <c r="C59">
        <v>6</v>
      </c>
      <c r="D59">
        <v>7</v>
      </c>
      <c r="E59">
        <v>0</v>
      </c>
      <c r="F59">
        <v>0.19607227899999199</v>
      </c>
      <c r="G59">
        <v>1</v>
      </c>
      <c r="H59">
        <v>1</v>
      </c>
      <c r="I59" t="s">
        <v>1478</v>
      </c>
    </row>
    <row r="60" spans="1:9" x14ac:dyDescent="0.2">
      <c r="A60" t="s">
        <v>119</v>
      </c>
      <c r="B60">
        <v>30</v>
      </c>
      <c r="C60">
        <v>9</v>
      </c>
      <c r="D60">
        <v>6</v>
      </c>
      <c r="E60">
        <v>0</v>
      </c>
      <c r="F60">
        <v>0.19326665399998399</v>
      </c>
      <c r="G60">
        <v>1</v>
      </c>
      <c r="H60">
        <v>1</v>
      </c>
      <c r="I60" t="s">
        <v>1479</v>
      </c>
    </row>
    <row r="61" spans="1:9" x14ac:dyDescent="0.2">
      <c r="A61" t="s">
        <v>120</v>
      </c>
      <c r="B61">
        <v>31</v>
      </c>
      <c r="C61">
        <v>9</v>
      </c>
      <c r="D61">
        <v>6</v>
      </c>
      <c r="E61">
        <v>0</v>
      </c>
      <c r="F61">
        <v>0.20086537000000201</v>
      </c>
      <c r="G61">
        <v>1</v>
      </c>
      <c r="H61">
        <v>1</v>
      </c>
      <c r="I61" t="s">
        <v>1480</v>
      </c>
    </row>
    <row r="62" spans="1:9" x14ac:dyDescent="0.2">
      <c r="A62" t="s">
        <v>121</v>
      </c>
      <c r="B62">
        <v>32</v>
      </c>
      <c r="C62">
        <v>5</v>
      </c>
      <c r="D62">
        <v>8</v>
      </c>
      <c r="E62">
        <v>0</v>
      </c>
      <c r="F62">
        <v>0.233709322999999</v>
      </c>
      <c r="G62">
        <v>1</v>
      </c>
      <c r="H62">
        <v>1</v>
      </c>
      <c r="I62" t="s">
        <v>1481</v>
      </c>
    </row>
    <row r="63" spans="1:9" x14ac:dyDescent="0.2">
      <c r="A63" t="s">
        <v>122</v>
      </c>
      <c r="B63">
        <v>33</v>
      </c>
      <c r="C63">
        <v>7</v>
      </c>
      <c r="D63">
        <v>8</v>
      </c>
      <c r="E63">
        <v>0</v>
      </c>
      <c r="F63">
        <v>0.236772480000013</v>
      </c>
      <c r="G63">
        <v>1</v>
      </c>
      <c r="H63">
        <v>1</v>
      </c>
      <c r="I63" t="s">
        <v>1482</v>
      </c>
    </row>
    <row r="64" spans="1:9" x14ac:dyDescent="0.2">
      <c r="A64" t="s">
        <v>123</v>
      </c>
      <c r="B64">
        <v>34</v>
      </c>
      <c r="C64">
        <v>17</v>
      </c>
      <c r="D64">
        <v>5</v>
      </c>
      <c r="E64">
        <v>0</v>
      </c>
      <c r="F64">
        <v>0.18469339099999599</v>
      </c>
      <c r="G64">
        <v>1</v>
      </c>
      <c r="H64">
        <v>1</v>
      </c>
      <c r="I64" t="s">
        <v>1483</v>
      </c>
    </row>
    <row r="65" spans="1:9" x14ac:dyDescent="0.2">
      <c r="A65" t="s">
        <v>124</v>
      </c>
      <c r="B65">
        <v>35</v>
      </c>
      <c r="C65">
        <v>4</v>
      </c>
      <c r="D65">
        <v>9</v>
      </c>
      <c r="E65">
        <v>0</v>
      </c>
      <c r="F65">
        <v>0.29123420299998698</v>
      </c>
      <c r="G65">
        <v>1</v>
      </c>
      <c r="H65">
        <v>1</v>
      </c>
      <c r="I65" t="s">
        <v>1484</v>
      </c>
    </row>
    <row r="66" spans="1:9" x14ac:dyDescent="0.2">
      <c r="A66" t="s">
        <v>125</v>
      </c>
      <c r="B66">
        <v>36</v>
      </c>
      <c r="C66">
        <v>4</v>
      </c>
      <c r="D66">
        <v>9</v>
      </c>
      <c r="E66">
        <v>0</v>
      </c>
      <c r="F66">
        <v>0.31088336800001998</v>
      </c>
      <c r="G66">
        <v>1</v>
      </c>
      <c r="H66">
        <v>1</v>
      </c>
      <c r="I66" t="s">
        <v>1485</v>
      </c>
    </row>
    <row r="67" spans="1:9" x14ac:dyDescent="0.2">
      <c r="A67" t="s">
        <v>126</v>
      </c>
      <c r="B67">
        <v>37</v>
      </c>
      <c r="C67">
        <v>4</v>
      </c>
      <c r="D67">
        <v>9</v>
      </c>
      <c r="E67">
        <v>0</v>
      </c>
      <c r="F67">
        <v>0.30336463000000402</v>
      </c>
      <c r="G67">
        <v>1</v>
      </c>
      <c r="H67">
        <v>1</v>
      </c>
      <c r="I67" t="s">
        <v>1486</v>
      </c>
    </row>
    <row r="68" spans="1:9" x14ac:dyDescent="0.2">
      <c r="A68" t="s">
        <v>127</v>
      </c>
      <c r="B68">
        <v>38</v>
      </c>
      <c r="C68">
        <v>4</v>
      </c>
      <c r="D68">
        <v>9</v>
      </c>
      <c r="E68">
        <v>0</v>
      </c>
      <c r="F68">
        <v>0.311931053999984</v>
      </c>
      <c r="G68">
        <v>1</v>
      </c>
      <c r="H68">
        <v>1</v>
      </c>
      <c r="I68" t="s">
        <v>1487</v>
      </c>
    </row>
    <row r="69" spans="1:9" x14ac:dyDescent="0.2">
      <c r="A69" t="s">
        <v>128</v>
      </c>
      <c r="B69">
        <v>39</v>
      </c>
      <c r="C69">
        <v>4</v>
      </c>
      <c r="D69">
        <v>9</v>
      </c>
      <c r="E69">
        <v>0</v>
      </c>
      <c r="F69">
        <v>0.338758498999993</v>
      </c>
      <c r="G69">
        <v>1</v>
      </c>
      <c r="H69">
        <v>1</v>
      </c>
      <c r="I69" t="s">
        <v>1488</v>
      </c>
    </row>
    <row r="70" spans="1:9" x14ac:dyDescent="0.2">
      <c r="A70" t="s">
        <v>129</v>
      </c>
      <c r="B70">
        <v>40</v>
      </c>
      <c r="C70">
        <v>5</v>
      </c>
      <c r="D70">
        <v>9</v>
      </c>
      <c r="E70">
        <v>0</v>
      </c>
      <c r="F70">
        <v>0.34329214999999602</v>
      </c>
      <c r="G70">
        <v>1</v>
      </c>
      <c r="H70">
        <v>1</v>
      </c>
      <c r="I70" t="s">
        <v>1489</v>
      </c>
    </row>
    <row r="71" spans="1:9" x14ac:dyDescent="0.2">
      <c r="A71" t="s">
        <v>130</v>
      </c>
      <c r="B71">
        <v>41</v>
      </c>
      <c r="C71">
        <v>2</v>
      </c>
      <c r="D71">
        <v>11</v>
      </c>
      <c r="E71">
        <v>0</v>
      </c>
      <c r="F71">
        <v>0.38941156200001997</v>
      </c>
      <c r="G71">
        <v>1</v>
      </c>
      <c r="H71">
        <v>1</v>
      </c>
      <c r="I71" t="s">
        <v>1490</v>
      </c>
    </row>
    <row r="72" spans="1:9" x14ac:dyDescent="0.2">
      <c r="A72" t="s">
        <v>131</v>
      </c>
      <c r="B72">
        <v>42</v>
      </c>
      <c r="C72">
        <v>5</v>
      </c>
      <c r="D72">
        <v>9</v>
      </c>
      <c r="E72">
        <v>0</v>
      </c>
      <c r="F72">
        <v>0.38690453199998798</v>
      </c>
      <c r="G72">
        <v>1</v>
      </c>
      <c r="H72">
        <v>1</v>
      </c>
      <c r="I72" t="s">
        <v>1491</v>
      </c>
    </row>
    <row r="73" spans="1:9" x14ac:dyDescent="0.2">
      <c r="A73" t="s">
        <v>132</v>
      </c>
      <c r="B73">
        <v>43</v>
      </c>
      <c r="C73">
        <v>6</v>
      </c>
      <c r="D73">
        <v>9</v>
      </c>
      <c r="E73">
        <v>0</v>
      </c>
      <c r="F73">
        <v>0.38353488199999197</v>
      </c>
      <c r="G73">
        <v>1</v>
      </c>
      <c r="H73">
        <v>1</v>
      </c>
      <c r="I73" t="s">
        <v>1492</v>
      </c>
    </row>
    <row r="74" spans="1:9" x14ac:dyDescent="0.2">
      <c r="A74" t="s">
        <v>133</v>
      </c>
      <c r="B74">
        <v>44</v>
      </c>
      <c r="C74">
        <v>6</v>
      </c>
      <c r="D74">
        <v>9</v>
      </c>
      <c r="E74">
        <v>0</v>
      </c>
      <c r="F74">
        <v>0.427071226999999</v>
      </c>
      <c r="G74">
        <v>1</v>
      </c>
      <c r="H74">
        <v>1</v>
      </c>
      <c r="I74" t="s">
        <v>1493</v>
      </c>
    </row>
    <row r="75" spans="1:9" x14ac:dyDescent="0.2">
      <c r="A75" t="s">
        <v>134</v>
      </c>
      <c r="B75">
        <v>45</v>
      </c>
      <c r="C75">
        <v>6</v>
      </c>
      <c r="D75">
        <v>9</v>
      </c>
      <c r="E75">
        <v>0</v>
      </c>
      <c r="F75">
        <v>0.419649543000019</v>
      </c>
      <c r="G75">
        <v>1</v>
      </c>
      <c r="H75">
        <v>1</v>
      </c>
      <c r="I75" t="s">
        <v>1494</v>
      </c>
    </row>
    <row r="76" spans="1:9" x14ac:dyDescent="0.2">
      <c r="A76" t="s">
        <v>135</v>
      </c>
      <c r="B76">
        <v>46</v>
      </c>
      <c r="C76">
        <v>7</v>
      </c>
      <c r="D76">
        <v>9</v>
      </c>
      <c r="E76">
        <v>0</v>
      </c>
      <c r="F76">
        <v>0.438540240999998</v>
      </c>
      <c r="G76">
        <v>1</v>
      </c>
      <c r="H76">
        <v>1</v>
      </c>
      <c r="I76" t="s">
        <v>1495</v>
      </c>
    </row>
    <row r="77" spans="1:9" x14ac:dyDescent="0.2">
      <c r="A77" t="s">
        <v>136</v>
      </c>
      <c r="B77">
        <v>47</v>
      </c>
      <c r="C77">
        <v>8</v>
      </c>
      <c r="D77">
        <v>9</v>
      </c>
      <c r="E77">
        <v>0</v>
      </c>
      <c r="F77">
        <v>0.44410070699998899</v>
      </c>
      <c r="G77">
        <v>1</v>
      </c>
      <c r="H77">
        <v>1</v>
      </c>
      <c r="I77" t="s">
        <v>1496</v>
      </c>
    </row>
    <row r="78" spans="1:9" x14ac:dyDescent="0.2">
      <c r="A78" t="s">
        <v>137</v>
      </c>
      <c r="B78">
        <v>48</v>
      </c>
      <c r="C78">
        <v>5</v>
      </c>
      <c r="D78">
        <v>10</v>
      </c>
      <c r="E78">
        <v>0</v>
      </c>
      <c r="F78">
        <v>0.49661073800001498</v>
      </c>
      <c r="G78">
        <v>1</v>
      </c>
      <c r="H78">
        <v>1</v>
      </c>
      <c r="I78" t="s">
        <v>1497</v>
      </c>
    </row>
    <row r="79" spans="1:9" x14ac:dyDescent="0.2">
      <c r="A79" t="s">
        <v>138</v>
      </c>
      <c r="B79">
        <v>49</v>
      </c>
      <c r="C79">
        <v>17</v>
      </c>
      <c r="D79">
        <v>7</v>
      </c>
      <c r="E79">
        <v>0</v>
      </c>
      <c r="F79">
        <v>0.39948335500000098</v>
      </c>
      <c r="G79">
        <v>1</v>
      </c>
      <c r="H79">
        <v>1</v>
      </c>
      <c r="I79" t="s">
        <v>1498</v>
      </c>
    </row>
    <row r="80" spans="1:9" x14ac:dyDescent="0.2">
      <c r="A80" t="s">
        <v>139</v>
      </c>
      <c r="B80">
        <v>50</v>
      </c>
      <c r="C80">
        <v>13</v>
      </c>
      <c r="D80">
        <v>8</v>
      </c>
      <c r="E80">
        <v>0</v>
      </c>
      <c r="F80">
        <v>0.45077800400000001</v>
      </c>
      <c r="G80">
        <v>1</v>
      </c>
      <c r="H80">
        <v>1</v>
      </c>
      <c r="I80" t="s">
        <v>1499</v>
      </c>
    </row>
    <row r="81" spans="1:9" x14ac:dyDescent="0.2">
      <c r="A81" t="s">
        <v>188</v>
      </c>
      <c r="B81">
        <v>51</v>
      </c>
      <c r="C81">
        <v>12</v>
      </c>
      <c r="D81">
        <v>9</v>
      </c>
      <c r="E81">
        <v>0</v>
      </c>
      <c r="F81">
        <v>0.50526798299998099</v>
      </c>
      <c r="G81">
        <v>1</v>
      </c>
      <c r="H81">
        <v>1</v>
      </c>
      <c r="I81" t="s">
        <v>1500</v>
      </c>
    </row>
    <row r="82" spans="1:9" x14ac:dyDescent="0.2">
      <c r="A82" t="s">
        <v>190</v>
      </c>
      <c r="B82">
        <v>52</v>
      </c>
      <c r="C82">
        <v>10</v>
      </c>
      <c r="D82">
        <v>11</v>
      </c>
      <c r="E82">
        <v>1</v>
      </c>
      <c r="F82">
        <v>0.52163923899999498</v>
      </c>
      <c r="G82">
        <v>1</v>
      </c>
      <c r="H82">
        <v>1</v>
      </c>
      <c r="I82" t="s">
        <v>1501</v>
      </c>
    </row>
    <row r="83" spans="1:9" x14ac:dyDescent="0.2">
      <c r="A83" t="s">
        <v>192</v>
      </c>
      <c r="B83">
        <v>53</v>
      </c>
      <c r="C83">
        <v>6</v>
      </c>
      <c r="D83">
        <v>11</v>
      </c>
      <c r="E83">
        <v>0</v>
      </c>
      <c r="F83">
        <v>0.58544172300000197</v>
      </c>
      <c r="G83">
        <v>1</v>
      </c>
      <c r="H83">
        <v>1</v>
      </c>
      <c r="I83" t="s">
        <v>1502</v>
      </c>
    </row>
    <row r="84" spans="1:9" x14ac:dyDescent="0.2">
      <c r="A84" t="s">
        <v>194</v>
      </c>
      <c r="B84">
        <v>54</v>
      </c>
      <c r="C84">
        <v>12</v>
      </c>
      <c r="D84">
        <v>10</v>
      </c>
      <c r="E84">
        <v>0</v>
      </c>
      <c r="F84">
        <v>0.54785282500000598</v>
      </c>
      <c r="G84">
        <v>1</v>
      </c>
      <c r="H84">
        <v>1</v>
      </c>
      <c r="I84" t="s">
        <v>1503</v>
      </c>
    </row>
    <row r="85" spans="1:9" x14ac:dyDescent="0.2">
      <c r="A85" t="s">
        <v>196</v>
      </c>
      <c r="B85">
        <v>55</v>
      </c>
      <c r="C85">
        <v>5</v>
      </c>
      <c r="D85">
        <v>12</v>
      </c>
      <c r="E85">
        <v>0</v>
      </c>
      <c r="F85">
        <v>0.63576155999999096</v>
      </c>
      <c r="G85">
        <v>1</v>
      </c>
      <c r="H85">
        <v>1</v>
      </c>
      <c r="I85" t="s">
        <v>1504</v>
      </c>
    </row>
    <row r="86" spans="1:9" x14ac:dyDescent="0.2">
      <c r="A86" t="s">
        <v>198</v>
      </c>
      <c r="B86">
        <v>56</v>
      </c>
      <c r="C86">
        <v>5</v>
      </c>
      <c r="D86">
        <v>12</v>
      </c>
      <c r="E86">
        <v>0</v>
      </c>
      <c r="F86">
        <v>0.66420541100001096</v>
      </c>
      <c r="G86">
        <v>1</v>
      </c>
      <c r="H86">
        <v>1</v>
      </c>
      <c r="I86" t="s">
        <v>1505</v>
      </c>
    </row>
    <row r="87" spans="1:9" x14ac:dyDescent="0.2">
      <c r="A87" t="s">
        <v>200</v>
      </c>
      <c r="B87">
        <v>57</v>
      </c>
      <c r="C87">
        <v>4</v>
      </c>
      <c r="D87">
        <v>13</v>
      </c>
      <c r="E87">
        <v>0</v>
      </c>
      <c r="F87">
        <v>0.68197142899998597</v>
      </c>
      <c r="G87">
        <v>1</v>
      </c>
      <c r="H87">
        <v>1</v>
      </c>
      <c r="I87" t="s">
        <v>1506</v>
      </c>
    </row>
    <row r="88" spans="1:9" x14ac:dyDescent="0.2">
      <c r="A88" t="s">
        <v>202</v>
      </c>
      <c r="B88">
        <v>58</v>
      </c>
      <c r="C88">
        <v>12</v>
      </c>
      <c r="D88">
        <v>10</v>
      </c>
      <c r="E88">
        <v>0</v>
      </c>
      <c r="F88">
        <v>0.62243101700002501</v>
      </c>
      <c r="G88">
        <v>1</v>
      </c>
      <c r="H88">
        <v>1</v>
      </c>
      <c r="I88" t="s">
        <v>1507</v>
      </c>
    </row>
    <row r="89" spans="1:9" x14ac:dyDescent="0.2">
      <c r="A89" t="s">
        <v>204</v>
      </c>
      <c r="B89">
        <v>59</v>
      </c>
      <c r="C89">
        <v>12</v>
      </c>
      <c r="D89">
        <v>10</v>
      </c>
      <c r="E89">
        <v>0</v>
      </c>
      <c r="F89">
        <v>0.64099309299999097</v>
      </c>
      <c r="G89">
        <v>1</v>
      </c>
      <c r="H89">
        <v>1</v>
      </c>
      <c r="I89" t="s">
        <v>1508</v>
      </c>
    </row>
    <row r="90" spans="1:9" x14ac:dyDescent="0.2">
      <c r="A90" t="s">
        <v>206</v>
      </c>
      <c r="B90">
        <v>60</v>
      </c>
      <c r="C90">
        <v>10</v>
      </c>
      <c r="D90">
        <v>11</v>
      </c>
      <c r="E90">
        <v>0</v>
      </c>
      <c r="F90">
        <v>0.70645486699999005</v>
      </c>
      <c r="G90">
        <v>1</v>
      </c>
      <c r="H90">
        <v>1</v>
      </c>
      <c r="I90" t="s">
        <v>1509</v>
      </c>
    </row>
    <row r="91" spans="1:9" x14ac:dyDescent="0.2">
      <c r="A91" t="s">
        <v>208</v>
      </c>
      <c r="B91">
        <v>61</v>
      </c>
      <c r="C91">
        <v>10</v>
      </c>
      <c r="D91">
        <v>11</v>
      </c>
      <c r="E91">
        <v>0</v>
      </c>
      <c r="F91">
        <v>0.71248226299999795</v>
      </c>
      <c r="G91">
        <v>1</v>
      </c>
      <c r="H91">
        <v>1</v>
      </c>
      <c r="I91" t="s">
        <v>1510</v>
      </c>
    </row>
    <row r="92" spans="1:9" x14ac:dyDescent="0.2">
      <c r="A92" t="s">
        <v>210</v>
      </c>
      <c r="B92">
        <v>62</v>
      </c>
      <c r="C92">
        <v>16</v>
      </c>
      <c r="D92">
        <v>10</v>
      </c>
      <c r="E92">
        <v>0</v>
      </c>
      <c r="F92">
        <v>0.66542996900000095</v>
      </c>
      <c r="G92">
        <v>1</v>
      </c>
      <c r="H92">
        <v>1</v>
      </c>
      <c r="I92" t="s">
        <v>1511</v>
      </c>
    </row>
    <row r="93" spans="1:9" x14ac:dyDescent="0.2">
      <c r="A93" t="s">
        <v>212</v>
      </c>
      <c r="B93">
        <v>63</v>
      </c>
      <c r="C93">
        <v>8</v>
      </c>
      <c r="D93">
        <v>13</v>
      </c>
      <c r="E93">
        <v>0</v>
      </c>
      <c r="F93">
        <v>0.77831809799999896</v>
      </c>
      <c r="G93">
        <v>1</v>
      </c>
      <c r="H93">
        <v>1</v>
      </c>
      <c r="I93" t="s">
        <v>1512</v>
      </c>
    </row>
    <row r="94" spans="1:9" x14ac:dyDescent="0.2">
      <c r="A94" t="s">
        <v>214</v>
      </c>
      <c r="B94">
        <v>64</v>
      </c>
      <c r="C94">
        <v>13</v>
      </c>
      <c r="D94">
        <v>12</v>
      </c>
      <c r="E94">
        <v>0</v>
      </c>
      <c r="F94">
        <v>0.74869237900000396</v>
      </c>
      <c r="G94">
        <v>1</v>
      </c>
      <c r="H94">
        <v>1</v>
      </c>
      <c r="I94" t="s">
        <v>1513</v>
      </c>
    </row>
    <row r="95" spans="1:9" x14ac:dyDescent="0.2">
      <c r="A95" t="s">
        <v>216</v>
      </c>
      <c r="B95">
        <v>65</v>
      </c>
      <c r="C95">
        <v>5</v>
      </c>
      <c r="D95">
        <v>14</v>
      </c>
      <c r="E95">
        <v>0</v>
      </c>
      <c r="F95">
        <v>0.98113774999998704</v>
      </c>
      <c r="G95">
        <v>1</v>
      </c>
      <c r="H95">
        <v>1</v>
      </c>
      <c r="I95" t="s">
        <v>1514</v>
      </c>
    </row>
    <row r="96" spans="1:9" x14ac:dyDescent="0.2">
      <c r="A96" t="s">
        <v>218</v>
      </c>
      <c r="B96">
        <v>66</v>
      </c>
      <c r="C96">
        <v>5</v>
      </c>
      <c r="D96">
        <v>14</v>
      </c>
      <c r="E96">
        <v>0</v>
      </c>
      <c r="F96">
        <v>1.024960128</v>
      </c>
      <c r="G96">
        <v>1</v>
      </c>
      <c r="H96">
        <v>1</v>
      </c>
      <c r="I96" t="s">
        <v>1515</v>
      </c>
    </row>
    <row r="97" spans="1:9" x14ac:dyDescent="0.2">
      <c r="A97" t="s">
        <v>220</v>
      </c>
      <c r="B97">
        <v>67</v>
      </c>
      <c r="C97">
        <v>5</v>
      </c>
      <c r="D97">
        <v>14</v>
      </c>
      <c r="E97">
        <v>0</v>
      </c>
      <c r="F97">
        <v>1.0323841790000099</v>
      </c>
      <c r="G97">
        <v>1</v>
      </c>
      <c r="H97">
        <v>1</v>
      </c>
      <c r="I97" t="s">
        <v>1516</v>
      </c>
    </row>
    <row r="98" spans="1:9" x14ac:dyDescent="0.2">
      <c r="A98" t="s">
        <v>222</v>
      </c>
      <c r="B98">
        <v>68</v>
      </c>
      <c r="C98">
        <v>5</v>
      </c>
      <c r="D98">
        <v>14</v>
      </c>
      <c r="E98">
        <v>0</v>
      </c>
      <c r="F98">
        <v>1.0504075739999901</v>
      </c>
      <c r="G98">
        <v>1</v>
      </c>
      <c r="H98">
        <v>1</v>
      </c>
      <c r="I98" t="s">
        <v>1517</v>
      </c>
    </row>
    <row r="99" spans="1:9" x14ac:dyDescent="0.2">
      <c r="A99" t="s">
        <v>224</v>
      </c>
      <c r="B99">
        <v>69</v>
      </c>
      <c r="C99">
        <v>5</v>
      </c>
      <c r="D99">
        <v>14</v>
      </c>
      <c r="E99">
        <v>0</v>
      </c>
      <c r="F99">
        <v>1.0676523149999999</v>
      </c>
      <c r="G99">
        <v>1</v>
      </c>
      <c r="H99">
        <v>1</v>
      </c>
      <c r="I99" t="s">
        <v>1518</v>
      </c>
    </row>
    <row r="100" spans="1:9" x14ac:dyDescent="0.2">
      <c r="A100" t="s">
        <v>226</v>
      </c>
      <c r="B100">
        <v>70</v>
      </c>
      <c r="C100">
        <v>5</v>
      </c>
      <c r="D100">
        <v>14</v>
      </c>
      <c r="E100">
        <v>0</v>
      </c>
      <c r="F100">
        <v>1.0906394589999799</v>
      </c>
      <c r="G100">
        <v>1</v>
      </c>
      <c r="H100">
        <v>1</v>
      </c>
      <c r="I100" t="s">
        <v>1519</v>
      </c>
    </row>
    <row r="101" spans="1:9" x14ac:dyDescent="0.2">
      <c r="A101" t="s">
        <v>228</v>
      </c>
      <c r="B101">
        <v>71</v>
      </c>
      <c r="C101">
        <v>5</v>
      </c>
      <c r="D101">
        <v>15</v>
      </c>
      <c r="E101">
        <v>0</v>
      </c>
      <c r="F101">
        <v>1.15913311900001</v>
      </c>
      <c r="G101">
        <v>1</v>
      </c>
      <c r="H101">
        <v>1</v>
      </c>
      <c r="I101" t="s">
        <v>1520</v>
      </c>
    </row>
    <row r="102" spans="1:9" x14ac:dyDescent="0.2">
      <c r="A102" t="s">
        <v>230</v>
      </c>
      <c r="B102">
        <v>72</v>
      </c>
      <c r="C102">
        <v>5</v>
      </c>
      <c r="D102">
        <v>15</v>
      </c>
      <c r="E102">
        <v>0</v>
      </c>
      <c r="F102">
        <v>1.1774161589999801</v>
      </c>
      <c r="G102">
        <v>1</v>
      </c>
      <c r="H102">
        <v>1</v>
      </c>
      <c r="I102" t="s">
        <v>1521</v>
      </c>
    </row>
    <row r="103" spans="1:9" x14ac:dyDescent="0.2">
      <c r="A103" t="s">
        <v>232</v>
      </c>
      <c r="B103">
        <v>73</v>
      </c>
      <c r="C103">
        <v>5</v>
      </c>
      <c r="D103">
        <v>15</v>
      </c>
      <c r="E103">
        <v>0</v>
      </c>
      <c r="F103">
        <v>1.21635918800001</v>
      </c>
      <c r="G103">
        <v>1</v>
      </c>
      <c r="H103">
        <v>1</v>
      </c>
      <c r="I103" t="s">
        <v>1522</v>
      </c>
    </row>
    <row r="104" spans="1:9" x14ac:dyDescent="0.2">
      <c r="A104" t="s">
        <v>234</v>
      </c>
      <c r="B104">
        <v>74</v>
      </c>
      <c r="C104">
        <v>5</v>
      </c>
      <c r="D104">
        <v>15</v>
      </c>
      <c r="E104">
        <v>0</v>
      </c>
      <c r="F104">
        <v>1.2360399199999901</v>
      </c>
      <c r="G104">
        <v>1</v>
      </c>
      <c r="H104">
        <v>1</v>
      </c>
      <c r="I104" t="s">
        <v>1523</v>
      </c>
    </row>
    <row r="105" spans="1:9" x14ac:dyDescent="0.2">
      <c r="A105" t="s">
        <v>236</v>
      </c>
      <c r="B105">
        <v>75</v>
      </c>
      <c r="C105">
        <v>5</v>
      </c>
      <c r="D105">
        <v>15</v>
      </c>
      <c r="E105">
        <v>0</v>
      </c>
      <c r="F105">
        <v>1.28616919399999</v>
      </c>
      <c r="G105">
        <v>1</v>
      </c>
      <c r="H105">
        <v>1</v>
      </c>
      <c r="I105" t="s">
        <v>1524</v>
      </c>
    </row>
    <row r="106" spans="1:9" x14ac:dyDescent="0.2">
      <c r="A106" t="s">
        <v>238</v>
      </c>
      <c r="B106">
        <v>76</v>
      </c>
      <c r="C106">
        <v>5</v>
      </c>
      <c r="D106">
        <v>15</v>
      </c>
      <c r="E106">
        <v>0</v>
      </c>
      <c r="F106">
        <v>1.32557772699999</v>
      </c>
      <c r="G106">
        <v>1</v>
      </c>
      <c r="H106">
        <v>1</v>
      </c>
      <c r="I106" t="s">
        <v>1525</v>
      </c>
    </row>
    <row r="107" spans="1:9" x14ac:dyDescent="0.2">
      <c r="A107" t="s">
        <v>240</v>
      </c>
      <c r="B107">
        <v>77</v>
      </c>
      <c r="C107">
        <v>5</v>
      </c>
      <c r="D107">
        <v>16</v>
      </c>
      <c r="E107">
        <v>1</v>
      </c>
      <c r="F107">
        <v>1.3611741799999999</v>
      </c>
      <c r="G107">
        <v>1</v>
      </c>
      <c r="H107">
        <v>1</v>
      </c>
      <c r="I107" t="s">
        <v>1526</v>
      </c>
    </row>
    <row r="108" spans="1:9" x14ac:dyDescent="0.2">
      <c r="A108" t="s">
        <v>36</v>
      </c>
      <c r="B108">
        <v>78</v>
      </c>
      <c r="C108">
        <v>15</v>
      </c>
      <c r="D108">
        <v>13</v>
      </c>
      <c r="E108">
        <v>1</v>
      </c>
      <c r="F108">
        <v>1.2357605789999799</v>
      </c>
      <c r="G108">
        <v>1</v>
      </c>
      <c r="H108">
        <v>1</v>
      </c>
      <c r="I108" t="s">
        <v>1527</v>
      </c>
    </row>
    <row r="109" spans="1:9" x14ac:dyDescent="0.2">
      <c r="A109" t="s">
        <v>37</v>
      </c>
      <c r="B109">
        <v>79</v>
      </c>
      <c r="C109">
        <v>14</v>
      </c>
      <c r="D109">
        <v>14</v>
      </c>
      <c r="E109">
        <v>1</v>
      </c>
      <c r="F109">
        <v>1.2930167480000101</v>
      </c>
      <c r="G109">
        <v>1</v>
      </c>
      <c r="H109">
        <v>1</v>
      </c>
      <c r="I109" t="s">
        <v>1528</v>
      </c>
    </row>
    <row r="110" spans="1:9" x14ac:dyDescent="0.2">
      <c r="A110" t="s">
        <v>38</v>
      </c>
      <c r="B110">
        <v>80</v>
      </c>
      <c r="C110">
        <v>7</v>
      </c>
      <c r="D110">
        <v>17</v>
      </c>
      <c r="E110">
        <v>2</v>
      </c>
      <c r="F110">
        <v>1.42782391399998</v>
      </c>
      <c r="G110">
        <v>1</v>
      </c>
      <c r="H110">
        <v>1</v>
      </c>
      <c r="I110" t="s">
        <v>1529</v>
      </c>
    </row>
    <row r="111" spans="1:9" x14ac:dyDescent="0.2">
      <c r="A111" t="s">
        <v>39</v>
      </c>
      <c r="B111">
        <v>81</v>
      </c>
      <c r="C111">
        <v>11</v>
      </c>
      <c r="D111">
        <v>15</v>
      </c>
      <c r="E111">
        <v>0</v>
      </c>
      <c r="F111">
        <v>1.401735277</v>
      </c>
      <c r="G111">
        <v>1</v>
      </c>
      <c r="H111">
        <v>1</v>
      </c>
      <c r="I111" t="s">
        <v>1530</v>
      </c>
    </row>
    <row r="112" spans="1:9" x14ac:dyDescent="0.2">
      <c r="A112" t="s">
        <v>40</v>
      </c>
      <c r="B112">
        <v>82</v>
      </c>
      <c r="C112">
        <v>7</v>
      </c>
      <c r="D112">
        <v>18</v>
      </c>
      <c r="E112">
        <v>2</v>
      </c>
      <c r="F112">
        <v>1.510934512</v>
      </c>
      <c r="G112">
        <v>1</v>
      </c>
      <c r="H112">
        <v>1</v>
      </c>
      <c r="I112" t="s">
        <v>1531</v>
      </c>
    </row>
    <row r="113" spans="1:9" x14ac:dyDescent="0.2">
      <c r="A113" t="s">
        <v>41</v>
      </c>
      <c r="B113">
        <v>83</v>
      </c>
      <c r="C113">
        <v>13</v>
      </c>
      <c r="D113">
        <v>15</v>
      </c>
      <c r="E113">
        <v>0</v>
      </c>
      <c r="F113">
        <v>1.4570716859999999</v>
      </c>
      <c r="G113">
        <v>1</v>
      </c>
      <c r="H113">
        <v>1</v>
      </c>
      <c r="I113" t="s">
        <v>1532</v>
      </c>
    </row>
    <row r="114" spans="1:9" x14ac:dyDescent="0.2">
      <c r="A114" t="s">
        <v>42</v>
      </c>
      <c r="B114">
        <v>84</v>
      </c>
      <c r="C114">
        <v>4</v>
      </c>
      <c r="D114">
        <v>18</v>
      </c>
      <c r="E114">
        <v>0</v>
      </c>
      <c r="F114">
        <v>1.5884293439999899</v>
      </c>
      <c r="G114">
        <v>1</v>
      </c>
      <c r="H114">
        <v>1</v>
      </c>
      <c r="I114" t="s">
        <v>1533</v>
      </c>
    </row>
    <row r="115" spans="1:9" x14ac:dyDescent="0.2">
      <c r="A115" t="s">
        <v>43</v>
      </c>
      <c r="B115">
        <v>85</v>
      </c>
      <c r="C115">
        <v>11</v>
      </c>
      <c r="D115">
        <v>17</v>
      </c>
      <c r="E115">
        <v>0</v>
      </c>
      <c r="F115">
        <v>1.5682008329999899</v>
      </c>
      <c r="G115">
        <v>1</v>
      </c>
      <c r="H115">
        <v>1</v>
      </c>
      <c r="I115" t="s">
        <v>1534</v>
      </c>
    </row>
    <row r="116" spans="1:9" x14ac:dyDescent="0.2">
      <c r="A116" t="s">
        <v>44</v>
      </c>
      <c r="B116">
        <v>86</v>
      </c>
      <c r="C116">
        <v>4</v>
      </c>
      <c r="D116">
        <v>19</v>
      </c>
      <c r="E116">
        <v>0</v>
      </c>
      <c r="F116">
        <v>1.7155417210000199</v>
      </c>
      <c r="G116">
        <v>1</v>
      </c>
      <c r="H116">
        <v>1</v>
      </c>
      <c r="I116" t="s">
        <v>1535</v>
      </c>
    </row>
    <row r="117" spans="1:9" x14ac:dyDescent="0.2">
      <c r="A117" t="s">
        <v>45</v>
      </c>
      <c r="B117">
        <v>87</v>
      </c>
      <c r="C117">
        <v>5</v>
      </c>
      <c r="D117">
        <v>19</v>
      </c>
      <c r="E117">
        <v>0</v>
      </c>
      <c r="F117">
        <v>1.72328194599998</v>
      </c>
      <c r="G117">
        <v>1</v>
      </c>
      <c r="H117">
        <v>1</v>
      </c>
      <c r="I117" t="s">
        <v>1536</v>
      </c>
    </row>
    <row r="118" spans="1:9" x14ac:dyDescent="0.2">
      <c r="A118" t="s">
        <v>46</v>
      </c>
      <c r="B118">
        <v>88</v>
      </c>
      <c r="C118">
        <v>5</v>
      </c>
      <c r="D118">
        <v>19</v>
      </c>
      <c r="E118">
        <v>0</v>
      </c>
      <c r="F118">
        <v>1.760433363</v>
      </c>
      <c r="G118">
        <v>1</v>
      </c>
      <c r="H118">
        <v>1</v>
      </c>
      <c r="I118" t="s">
        <v>1537</v>
      </c>
    </row>
    <row r="119" spans="1:9" x14ac:dyDescent="0.2">
      <c r="A119" t="s">
        <v>47</v>
      </c>
      <c r="B119">
        <v>89</v>
      </c>
      <c r="C119">
        <v>3</v>
      </c>
      <c r="D119">
        <v>19</v>
      </c>
      <c r="E119">
        <v>0</v>
      </c>
      <c r="F119">
        <v>1.8643926709999901</v>
      </c>
      <c r="G119">
        <v>1</v>
      </c>
      <c r="H119">
        <v>1</v>
      </c>
      <c r="I119" t="s">
        <v>1538</v>
      </c>
    </row>
    <row r="120" spans="1:9" x14ac:dyDescent="0.2">
      <c r="A120" t="s">
        <v>48</v>
      </c>
      <c r="B120">
        <v>90</v>
      </c>
      <c r="C120">
        <v>3</v>
      </c>
      <c r="D120">
        <v>19</v>
      </c>
      <c r="E120">
        <v>0</v>
      </c>
      <c r="F120">
        <v>1.8647219720000101</v>
      </c>
      <c r="G120">
        <v>1</v>
      </c>
      <c r="H120">
        <v>1</v>
      </c>
      <c r="I120" t="s">
        <v>1539</v>
      </c>
    </row>
    <row r="121" spans="1:9" x14ac:dyDescent="0.2">
      <c r="A121" t="s">
        <v>49</v>
      </c>
      <c r="B121">
        <v>91</v>
      </c>
      <c r="C121">
        <v>4</v>
      </c>
      <c r="D121">
        <v>19</v>
      </c>
      <c r="E121">
        <v>0</v>
      </c>
      <c r="F121">
        <v>1.82447133599998</v>
      </c>
      <c r="G121">
        <v>1</v>
      </c>
      <c r="H121">
        <v>1</v>
      </c>
      <c r="I121" t="s">
        <v>1540</v>
      </c>
    </row>
    <row r="122" spans="1:9" x14ac:dyDescent="0.2">
      <c r="A122" t="s">
        <v>50</v>
      </c>
      <c r="B122">
        <v>92</v>
      </c>
      <c r="C122">
        <v>3</v>
      </c>
      <c r="D122">
        <v>21</v>
      </c>
      <c r="E122">
        <v>1</v>
      </c>
      <c r="F122">
        <v>1.9718593100000099</v>
      </c>
      <c r="G122">
        <v>1</v>
      </c>
      <c r="H122">
        <v>1</v>
      </c>
      <c r="I122" t="s">
        <v>1541</v>
      </c>
    </row>
    <row r="123" spans="1:9" x14ac:dyDescent="0.2">
      <c r="A123" t="s">
        <v>51</v>
      </c>
      <c r="B123">
        <v>93</v>
      </c>
      <c r="C123">
        <v>4</v>
      </c>
      <c r="D123">
        <v>20</v>
      </c>
      <c r="E123">
        <v>0</v>
      </c>
      <c r="F123">
        <v>1.9695815329999899</v>
      </c>
      <c r="G123">
        <v>1</v>
      </c>
      <c r="H123">
        <v>1</v>
      </c>
      <c r="I123" t="s">
        <v>1542</v>
      </c>
    </row>
    <row r="124" spans="1:9" x14ac:dyDescent="0.2">
      <c r="A124" t="s">
        <v>52</v>
      </c>
      <c r="B124">
        <v>94</v>
      </c>
      <c r="C124">
        <v>4</v>
      </c>
      <c r="D124">
        <v>20</v>
      </c>
      <c r="E124">
        <v>0</v>
      </c>
      <c r="F124">
        <v>1.996663568</v>
      </c>
      <c r="G124">
        <v>1</v>
      </c>
      <c r="H124">
        <v>1</v>
      </c>
      <c r="I124" t="s">
        <v>1543</v>
      </c>
    </row>
    <row r="125" spans="1:9" x14ac:dyDescent="0.2">
      <c r="A125" t="s">
        <v>53</v>
      </c>
      <c r="B125">
        <v>95</v>
      </c>
      <c r="C125">
        <v>5</v>
      </c>
      <c r="D125">
        <v>19</v>
      </c>
      <c r="E125">
        <v>0</v>
      </c>
      <c r="F125">
        <v>1.8931161380000101</v>
      </c>
      <c r="G125">
        <v>1</v>
      </c>
      <c r="H125">
        <v>1</v>
      </c>
      <c r="I125" t="s">
        <v>1544</v>
      </c>
    </row>
    <row r="126" spans="1:9" x14ac:dyDescent="0.2">
      <c r="A126" t="s">
        <v>54</v>
      </c>
      <c r="B126">
        <v>96</v>
      </c>
      <c r="C126">
        <v>27</v>
      </c>
      <c r="D126">
        <v>14</v>
      </c>
      <c r="E126">
        <v>0</v>
      </c>
      <c r="F126">
        <v>1.7621587559999901</v>
      </c>
      <c r="G126">
        <v>1</v>
      </c>
      <c r="H126">
        <v>1</v>
      </c>
      <c r="I126" t="s">
        <v>1545</v>
      </c>
    </row>
    <row r="127" spans="1:9" x14ac:dyDescent="0.2">
      <c r="A127" t="s">
        <v>55</v>
      </c>
      <c r="B127">
        <v>97</v>
      </c>
      <c r="C127">
        <v>5</v>
      </c>
      <c r="D127">
        <v>19</v>
      </c>
      <c r="E127">
        <v>0</v>
      </c>
      <c r="F127">
        <v>1.9514011789999799</v>
      </c>
      <c r="G127">
        <v>1</v>
      </c>
      <c r="H127">
        <v>1</v>
      </c>
      <c r="I127" t="s">
        <v>1546</v>
      </c>
    </row>
    <row r="128" spans="1:9" x14ac:dyDescent="0.2">
      <c r="A128" t="s">
        <v>56</v>
      </c>
      <c r="B128">
        <v>98</v>
      </c>
      <c r="C128">
        <v>2</v>
      </c>
      <c r="D128">
        <v>21</v>
      </c>
      <c r="E128">
        <v>0</v>
      </c>
      <c r="F128">
        <v>2.10921907900001</v>
      </c>
      <c r="G128">
        <v>1</v>
      </c>
      <c r="H128">
        <v>1</v>
      </c>
      <c r="I128" t="s">
        <v>1547</v>
      </c>
    </row>
    <row r="129" spans="1:9" x14ac:dyDescent="0.2">
      <c r="A129" t="s">
        <v>57</v>
      </c>
      <c r="B129">
        <v>99</v>
      </c>
      <c r="C129">
        <v>3</v>
      </c>
      <c r="D129">
        <v>21</v>
      </c>
      <c r="E129">
        <v>0</v>
      </c>
      <c r="F129">
        <v>2.1266173889999802</v>
      </c>
      <c r="G129">
        <v>1</v>
      </c>
      <c r="H129">
        <v>1</v>
      </c>
      <c r="I129" t="s">
        <v>1548</v>
      </c>
    </row>
    <row r="130" spans="1:9" x14ac:dyDescent="0.2">
      <c r="A130" t="s">
        <v>58</v>
      </c>
      <c r="B130">
        <v>100</v>
      </c>
      <c r="C130">
        <v>4</v>
      </c>
      <c r="D130">
        <v>20</v>
      </c>
      <c r="E130">
        <v>0</v>
      </c>
      <c r="F130">
        <v>2.1201764440000002</v>
      </c>
      <c r="G130">
        <v>1</v>
      </c>
      <c r="H130">
        <v>1</v>
      </c>
      <c r="I130" t="s">
        <v>1549</v>
      </c>
    </row>
    <row r="131" spans="1:9" x14ac:dyDescent="0.2">
      <c r="A131" t="s">
        <v>59</v>
      </c>
      <c r="B131">
        <v>101</v>
      </c>
      <c r="C131">
        <v>4</v>
      </c>
      <c r="D131">
        <v>20</v>
      </c>
      <c r="E131">
        <v>0</v>
      </c>
      <c r="F131">
        <v>2.1329861350000101</v>
      </c>
      <c r="G131">
        <v>1</v>
      </c>
      <c r="H131">
        <v>1</v>
      </c>
      <c r="I131" t="s">
        <v>1550</v>
      </c>
    </row>
    <row r="132" spans="1:9" x14ac:dyDescent="0.2">
      <c r="A132" t="s">
        <v>60</v>
      </c>
      <c r="B132">
        <v>102</v>
      </c>
      <c r="C132">
        <v>17</v>
      </c>
      <c r="D132">
        <v>18</v>
      </c>
      <c r="E132">
        <v>1</v>
      </c>
      <c r="F132">
        <v>2.1490300999999699</v>
      </c>
      <c r="G132">
        <v>1</v>
      </c>
      <c r="H132">
        <v>1</v>
      </c>
      <c r="I132" t="s">
        <v>1551</v>
      </c>
    </row>
    <row r="133" spans="1:9" x14ac:dyDescent="0.2">
      <c r="A133" t="s">
        <v>61</v>
      </c>
      <c r="B133">
        <v>103</v>
      </c>
      <c r="C133">
        <v>18</v>
      </c>
      <c r="D133">
        <v>19</v>
      </c>
      <c r="E133">
        <v>2</v>
      </c>
      <c r="F133">
        <v>2.176885542</v>
      </c>
      <c r="G133">
        <v>1</v>
      </c>
      <c r="H133">
        <v>1</v>
      </c>
      <c r="I133" t="s">
        <v>1552</v>
      </c>
    </row>
    <row r="134" spans="1:9" x14ac:dyDescent="0.2">
      <c r="A134" t="s">
        <v>62</v>
      </c>
      <c r="B134">
        <v>104</v>
      </c>
      <c r="C134">
        <v>12</v>
      </c>
      <c r="D134">
        <v>22</v>
      </c>
      <c r="E134">
        <v>3</v>
      </c>
      <c r="F134">
        <v>2.3468667269999899</v>
      </c>
      <c r="G134">
        <v>1</v>
      </c>
      <c r="H134">
        <v>1</v>
      </c>
      <c r="I134" t="s">
        <v>1553</v>
      </c>
    </row>
    <row r="135" spans="1:9" x14ac:dyDescent="0.2">
      <c r="A135" t="s">
        <v>63</v>
      </c>
      <c r="B135">
        <v>105</v>
      </c>
      <c r="C135">
        <v>8</v>
      </c>
      <c r="D135">
        <v>24</v>
      </c>
      <c r="E135">
        <v>4</v>
      </c>
      <c r="F135">
        <v>2.4679286410000101</v>
      </c>
      <c r="G135">
        <v>1</v>
      </c>
      <c r="H135">
        <v>1</v>
      </c>
      <c r="I135" t="s">
        <v>1554</v>
      </c>
    </row>
    <row r="136" spans="1:9" x14ac:dyDescent="0.2">
      <c r="A136" t="s">
        <v>65</v>
      </c>
      <c r="B136">
        <v>106</v>
      </c>
      <c r="C136">
        <v>23</v>
      </c>
      <c r="D136">
        <v>19</v>
      </c>
      <c r="E136">
        <v>3</v>
      </c>
      <c r="F136">
        <v>2.2259023279999801</v>
      </c>
      <c r="G136">
        <v>1</v>
      </c>
      <c r="H136">
        <v>1</v>
      </c>
      <c r="I136" t="s">
        <v>1555</v>
      </c>
    </row>
    <row r="137" spans="1:9" x14ac:dyDescent="0.2">
      <c r="A137" t="s">
        <v>66</v>
      </c>
      <c r="B137">
        <v>107</v>
      </c>
      <c r="C137">
        <v>10</v>
      </c>
      <c r="D137">
        <v>23</v>
      </c>
      <c r="E137">
        <v>3</v>
      </c>
      <c r="F137">
        <v>2.46367242799999</v>
      </c>
      <c r="G137">
        <v>1</v>
      </c>
      <c r="H137">
        <v>1</v>
      </c>
      <c r="I137" t="s">
        <v>1556</v>
      </c>
    </row>
    <row r="138" spans="1:9" x14ac:dyDescent="0.2">
      <c r="A138" t="s">
        <v>67</v>
      </c>
      <c r="B138">
        <v>108</v>
      </c>
      <c r="C138">
        <v>36</v>
      </c>
      <c r="D138">
        <v>16</v>
      </c>
      <c r="E138">
        <v>3</v>
      </c>
      <c r="F138">
        <v>1.97729943800001</v>
      </c>
      <c r="G138">
        <v>1</v>
      </c>
      <c r="H138">
        <v>1</v>
      </c>
      <c r="I138" t="s">
        <v>1557</v>
      </c>
    </row>
    <row r="139" spans="1:9" x14ac:dyDescent="0.2">
      <c r="A139" t="s">
        <v>68</v>
      </c>
      <c r="B139">
        <v>109</v>
      </c>
      <c r="C139">
        <v>31</v>
      </c>
      <c r="D139">
        <v>16</v>
      </c>
      <c r="E139">
        <v>2</v>
      </c>
      <c r="F139">
        <v>2.1257850629999901</v>
      </c>
      <c r="G139">
        <v>1</v>
      </c>
      <c r="H139">
        <v>1</v>
      </c>
      <c r="I139" t="s">
        <v>1558</v>
      </c>
    </row>
    <row r="140" spans="1:9" x14ac:dyDescent="0.2">
      <c r="A140" t="s">
        <v>69</v>
      </c>
      <c r="B140">
        <v>110</v>
      </c>
      <c r="C140">
        <v>32</v>
      </c>
      <c r="D140">
        <v>18</v>
      </c>
      <c r="E140">
        <v>4</v>
      </c>
      <c r="F140">
        <v>2.1818260759999899</v>
      </c>
      <c r="G140">
        <v>1</v>
      </c>
      <c r="H140">
        <v>1</v>
      </c>
      <c r="I140" t="s">
        <v>1559</v>
      </c>
    </row>
    <row r="141" spans="1:9" x14ac:dyDescent="0.2">
      <c r="A141" t="s">
        <v>70</v>
      </c>
      <c r="B141">
        <v>111</v>
      </c>
      <c r="C141">
        <v>33</v>
      </c>
      <c r="D141">
        <v>17</v>
      </c>
      <c r="E141">
        <v>3</v>
      </c>
      <c r="F141">
        <v>2.2226123800000099</v>
      </c>
      <c r="G141">
        <v>1</v>
      </c>
      <c r="H141">
        <v>1</v>
      </c>
      <c r="I141" t="s">
        <v>1560</v>
      </c>
    </row>
    <row r="142" spans="1:9" x14ac:dyDescent="0.2">
      <c r="A142" t="s">
        <v>71</v>
      </c>
      <c r="B142">
        <v>112</v>
      </c>
      <c r="C142">
        <v>16</v>
      </c>
      <c r="D142">
        <v>20</v>
      </c>
      <c r="E142">
        <v>1</v>
      </c>
      <c r="F142">
        <v>2.5953299529999998</v>
      </c>
      <c r="G142">
        <v>1</v>
      </c>
      <c r="H142">
        <v>1</v>
      </c>
      <c r="I142" t="s">
        <v>1561</v>
      </c>
    </row>
    <row r="143" spans="1:9" x14ac:dyDescent="0.2">
      <c r="A143" t="s">
        <v>72</v>
      </c>
      <c r="B143">
        <v>113</v>
      </c>
      <c r="C143">
        <v>34</v>
      </c>
      <c r="D143">
        <v>16</v>
      </c>
      <c r="E143">
        <v>2</v>
      </c>
      <c r="F143">
        <v>2.2489271499999801</v>
      </c>
      <c r="G143">
        <v>1</v>
      </c>
      <c r="H143">
        <v>1</v>
      </c>
      <c r="I143" t="s">
        <v>1562</v>
      </c>
    </row>
    <row r="144" spans="1:9" x14ac:dyDescent="0.2">
      <c r="A144" t="s">
        <v>73</v>
      </c>
      <c r="B144">
        <v>114</v>
      </c>
      <c r="C144">
        <v>36</v>
      </c>
      <c r="D144">
        <v>14</v>
      </c>
      <c r="E144">
        <v>0</v>
      </c>
      <c r="F144">
        <v>2.23515111899999</v>
      </c>
      <c r="G144">
        <v>1</v>
      </c>
      <c r="H144">
        <v>1</v>
      </c>
      <c r="I144" t="s">
        <v>1563</v>
      </c>
    </row>
    <row r="145" spans="1:9" x14ac:dyDescent="0.2">
      <c r="A145" t="s">
        <v>75</v>
      </c>
      <c r="B145">
        <v>115</v>
      </c>
      <c r="C145">
        <v>1</v>
      </c>
      <c r="D145">
        <v>25</v>
      </c>
      <c r="E145">
        <v>0</v>
      </c>
      <c r="F145">
        <v>2.8726011540000198</v>
      </c>
      <c r="G145">
        <v>1</v>
      </c>
      <c r="H145">
        <v>1</v>
      </c>
      <c r="I145" t="s">
        <v>1564</v>
      </c>
    </row>
    <row r="146" spans="1:9" x14ac:dyDescent="0.2">
      <c r="A146" t="s">
        <v>76</v>
      </c>
      <c r="B146">
        <v>116</v>
      </c>
      <c r="C146">
        <v>2</v>
      </c>
      <c r="D146">
        <v>25</v>
      </c>
      <c r="E146">
        <v>1</v>
      </c>
      <c r="F146">
        <v>2.8611403639999899</v>
      </c>
      <c r="G146">
        <v>1</v>
      </c>
      <c r="H146">
        <v>1</v>
      </c>
      <c r="I146" t="s">
        <v>1565</v>
      </c>
    </row>
    <row r="147" spans="1:9" x14ac:dyDescent="0.2">
      <c r="A147" t="s">
        <v>77</v>
      </c>
      <c r="B147">
        <v>117</v>
      </c>
      <c r="C147">
        <v>2</v>
      </c>
      <c r="D147">
        <v>25</v>
      </c>
      <c r="E147">
        <v>1</v>
      </c>
      <c r="F147">
        <v>2.86395360599996</v>
      </c>
      <c r="G147">
        <v>1</v>
      </c>
      <c r="H147">
        <v>1</v>
      </c>
      <c r="I147" t="s">
        <v>1566</v>
      </c>
    </row>
    <row r="148" spans="1:9" x14ac:dyDescent="0.2">
      <c r="A148" t="s">
        <v>78</v>
      </c>
      <c r="B148">
        <v>118</v>
      </c>
      <c r="C148">
        <v>1</v>
      </c>
      <c r="D148">
        <v>25</v>
      </c>
      <c r="E148">
        <v>0</v>
      </c>
      <c r="F148">
        <v>2.916726111</v>
      </c>
      <c r="G148">
        <v>1</v>
      </c>
      <c r="H148">
        <v>1</v>
      </c>
      <c r="I148" t="s">
        <v>1567</v>
      </c>
    </row>
    <row r="149" spans="1:9" x14ac:dyDescent="0.2">
      <c r="A149" t="s">
        <v>79</v>
      </c>
      <c r="B149">
        <v>119</v>
      </c>
      <c r="C149">
        <v>39</v>
      </c>
      <c r="D149">
        <v>17</v>
      </c>
      <c r="E149">
        <v>3</v>
      </c>
      <c r="F149">
        <v>2.39739216700002</v>
      </c>
      <c r="G149">
        <v>1</v>
      </c>
      <c r="H149">
        <v>1</v>
      </c>
      <c r="I149" t="s">
        <v>1568</v>
      </c>
    </row>
    <row r="150" spans="1:9" x14ac:dyDescent="0.2">
      <c r="A150" t="s">
        <v>80</v>
      </c>
      <c r="B150">
        <v>120</v>
      </c>
      <c r="C150">
        <v>40</v>
      </c>
      <c r="D150">
        <v>18</v>
      </c>
      <c r="E150">
        <v>4</v>
      </c>
      <c r="F150">
        <v>2.4267747649999998</v>
      </c>
      <c r="G150">
        <v>1</v>
      </c>
      <c r="H150">
        <v>1</v>
      </c>
      <c r="I150" t="s">
        <v>1569</v>
      </c>
    </row>
    <row r="151" spans="1:9" x14ac:dyDescent="0.2">
      <c r="A151" t="s">
        <v>81</v>
      </c>
      <c r="B151">
        <v>121</v>
      </c>
      <c r="C151">
        <v>36</v>
      </c>
      <c r="D151">
        <v>19</v>
      </c>
      <c r="E151">
        <v>4</v>
      </c>
      <c r="F151">
        <v>2.595181867</v>
      </c>
      <c r="G151">
        <v>1</v>
      </c>
      <c r="H151">
        <v>1</v>
      </c>
      <c r="I151" t="s">
        <v>1570</v>
      </c>
    </row>
    <row r="152" spans="1:9" x14ac:dyDescent="0.2">
      <c r="A152" t="s">
        <v>82</v>
      </c>
      <c r="B152">
        <v>122</v>
      </c>
      <c r="C152">
        <v>37</v>
      </c>
      <c r="D152">
        <v>18</v>
      </c>
      <c r="E152">
        <v>3</v>
      </c>
      <c r="F152">
        <v>2.6466466029999598</v>
      </c>
      <c r="G152">
        <v>1</v>
      </c>
      <c r="H152">
        <v>1</v>
      </c>
      <c r="I152" t="s">
        <v>1571</v>
      </c>
    </row>
    <row r="153" spans="1:9" x14ac:dyDescent="0.2">
      <c r="A153" t="s">
        <v>83</v>
      </c>
      <c r="B153">
        <v>123</v>
      </c>
      <c r="C153">
        <v>38</v>
      </c>
      <c r="D153">
        <v>18</v>
      </c>
      <c r="E153">
        <v>3</v>
      </c>
      <c r="F153">
        <v>2.68450274100001</v>
      </c>
      <c r="G153">
        <v>1</v>
      </c>
      <c r="H153">
        <v>1</v>
      </c>
      <c r="I153" t="s">
        <v>1572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3986-1EFF-654A-A611-DCB84AA0D9EA}">
  <dimension ref="A1:I153"/>
  <sheetViews>
    <sheetView workbookViewId="0">
      <selection activeCell="A29" sqref="A29:XFD29"/>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10</v>
      </c>
    </row>
    <row r="17" spans="1:9" x14ac:dyDescent="0.2">
      <c r="A17" t="s">
        <v>1573</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88</v>
      </c>
    </row>
    <row r="24" spans="1:9" x14ac:dyDescent="0.2">
      <c r="A24" t="s">
        <v>89</v>
      </c>
    </row>
    <row r="25" spans="1:9" x14ac:dyDescent="0.2">
      <c r="A25" t="s">
        <v>28</v>
      </c>
    </row>
    <row r="26" spans="1:9" x14ac:dyDescent="0.2">
      <c r="A26" t="s">
        <v>90</v>
      </c>
    </row>
    <row r="27" spans="1:9" x14ac:dyDescent="0.2">
      <c r="A27" t="s">
        <v>1331</v>
      </c>
    </row>
    <row r="28" spans="1:9" x14ac:dyDescent="0.2">
      <c r="A28" t="s">
        <v>15</v>
      </c>
    </row>
    <row r="29" spans="1:9" x14ac:dyDescent="0.2">
      <c r="A29" t="s">
        <v>16</v>
      </c>
    </row>
    <row r="30" spans="1:9" x14ac:dyDescent="0.2">
      <c r="A30" t="s">
        <v>1574</v>
      </c>
    </row>
    <row r="31" spans="1:9" x14ac:dyDescent="0.2">
      <c r="A31"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0.70681783370673601</v>
      </c>
      <c r="G33">
        <v>10000</v>
      </c>
      <c r="H33">
        <v>10000</v>
      </c>
      <c r="I33" t="s">
        <v>765</v>
      </c>
    </row>
    <row r="34" spans="1:9" x14ac:dyDescent="0.2">
      <c r="A34" t="s">
        <v>93</v>
      </c>
      <c r="B34">
        <v>4</v>
      </c>
      <c r="C34">
        <v>1</v>
      </c>
      <c r="D34">
        <v>2</v>
      </c>
      <c r="E34">
        <v>0</v>
      </c>
      <c r="F34">
        <v>0.78430193848907903</v>
      </c>
      <c r="G34">
        <v>10000</v>
      </c>
      <c r="H34">
        <v>10000</v>
      </c>
      <c r="I34" t="s">
        <v>766</v>
      </c>
    </row>
    <row r="35" spans="1:9" x14ac:dyDescent="0.2">
      <c r="A35" t="s">
        <v>94</v>
      </c>
      <c r="B35">
        <v>5</v>
      </c>
      <c r="C35">
        <v>1</v>
      </c>
      <c r="D35">
        <v>3</v>
      </c>
      <c r="E35">
        <v>0</v>
      </c>
      <c r="F35">
        <v>0.87861565314233303</v>
      </c>
      <c r="G35">
        <v>10000</v>
      </c>
      <c r="H35">
        <v>10000</v>
      </c>
      <c r="I35" t="s">
        <v>767</v>
      </c>
    </row>
    <row r="36" spans="1:9" x14ac:dyDescent="0.2">
      <c r="A36" t="s">
        <v>95</v>
      </c>
      <c r="B36">
        <v>6</v>
      </c>
      <c r="C36">
        <v>1</v>
      </c>
      <c r="D36">
        <v>3</v>
      </c>
      <c r="E36">
        <v>0</v>
      </c>
      <c r="F36">
        <v>0.925990546122193</v>
      </c>
      <c r="G36">
        <v>10000</v>
      </c>
      <c r="H36">
        <v>10000</v>
      </c>
      <c r="I36" t="s">
        <v>767</v>
      </c>
    </row>
    <row r="37" spans="1:9" x14ac:dyDescent="0.2">
      <c r="A37" t="s">
        <v>96</v>
      </c>
      <c r="B37">
        <v>7</v>
      </c>
      <c r="C37">
        <v>1</v>
      </c>
      <c r="D37">
        <v>3</v>
      </c>
      <c r="E37">
        <v>0</v>
      </c>
      <c r="F37">
        <v>0.96644267439842202</v>
      </c>
      <c r="G37">
        <v>10000</v>
      </c>
      <c r="H37">
        <v>10000</v>
      </c>
      <c r="I37" t="s">
        <v>768</v>
      </c>
    </row>
    <row r="38" spans="1:9" x14ac:dyDescent="0.2">
      <c r="A38" t="s">
        <v>97</v>
      </c>
      <c r="B38">
        <v>8</v>
      </c>
      <c r="C38">
        <v>1</v>
      </c>
      <c r="D38">
        <v>3</v>
      </c>
      <c r="E38">
        <v>0</v>
      </c>
      <c r="F38">
        <v>1.01208055391907</v>
      </c>
      <c r="G38">
        <v>10000</v>
      </c>
      <c r="H38">
        <v>10000</v>
      </c>
      <c r="I38" t="s">
        <v>767</v>
      </c>
    </row>
    <row r="39" spans="1:9" x14ac:dyDescent="0.2">
      <c r="A39" t="s">
        <v>98</v>
      </c>
      <c r="B39">
        <v>9</v>
      </c>
      <c r="C39">
        <v>1</v>
      </c>
      <c r="D39">
        <v>3</v>
      </c>
      <c r="E39">
        <v>0</v>
      </c>
      <c r="F39">
        <v>1.0604300554841699</v>
      </c>
      <c r="G39">
        <v>10000</v>
      </c>
      <c r="H39">
        <v>10000</v>
      </c>
      <c r="I39" t="s">
        <v>767</v>
      </c>
    </row>
    <row r="40" spans="1:9" x14ac:dyDescent="0.2">
      <c r="A40" t="s">
        <v>99</v>
      </c>
      <c r="B40">
        <v>10</v>
      </c>
      <c r="C40">
        <v>1</v>
      </c>
      <c r="D40">
        <v>4</v>
      </c>
      <c r="E40">
        <v>0</v>
      </c>
      <c r="F40">
        <v>1.10611871257424</v>
      </c>
      <c r="G40">
        <v>9918</v>
      </c>
      <c r="H40">
        <v>10000</v>
      </c>
      <c r="I40" t="s">
        <v>1575</v>
      </c>
    </row>
    <row r="41" spans="1:9" x14ac:dyDescent="0.2">
      <c r="A41" t="s">
        <v>100</v>
      </c>
      <c r="B41">
        <v>11</v>
      </c>
      <c r="C41">
        <v>1</v>
      </c>
      <c r="D41">
        <v>5</v>
      </c>
      <c r="E41">
        <v>0</v>
      </c>
      <c r="F41">
        <v>1.35096530802547</v>
      </c>
      <c r="G41">
        <v>9999</v>
      </c>
      <c r="H41">
        <v>10000</v>
      </c>
      <c r="I41" t="s">
        <v>1576</v>
      </c>
    </row>
    <row r="42" spans="1:9" x14ac:dyDescent="0.2">
      <c r="A42" t="s">
        <v>101</v>
      </c>
      <c r="B42">
        <v>12</v>
      </c>
      <c r="C42">
        <v>6</v>
      </c>
      <c r="D42">
        <v>3</v>
      </c>
      <c r="E42">
        <v>0</v>
      </c>
      <c r="F42">
        <v>1.39098035637289</v>
      </c>
      <c r="G42">
        <v>9997</v>
      </c>
      <c r="H42">
        <v>10000</v>
      </c>
      <c r="I42" t="s">
        <v>1577</v>
      </c>
    </row>
    <row r="43" spans="1:9" x14ac:dyDescent="0.2">
      <c r="A43" t="s">
        <v>102</v>
      </c>
      <c r="B43">
        <v>13</v>
      </c>
      <c r="C43">
        <v>6</v>
      </c>
      <c r="D43">
        <v>3</v>
      </c>
      <c r="E43">
        <v>0</v>
      </c>
      <c r="F43">
        <v>1.46362229809165</v>
      </c>
      <c r="G43">
        <v>9998</v>
      </c>
      <c r="H43">
        <v>10000</v>
      </c>
      <c r="I43" t="s">
        <v>1578</v>
      </c>
    </row>
    <row r="44" spans="1:9" x14ac:dyDescent="0.2">
      <c r="A44" t="s">
        <v>103</v>
      </c>
      <c r="B44">
        <v>14</v>
      </c>
      <c r="C44">
        <v>2</v>
      </c>
      <c r="D44">
        <v>5</v>
      </c>
      <c r="E44">
        <v>0</v>
      </c>
      <c r="F44">
        <v>1.4150656573474401</v>
      </c>
      <c r="G44">
        <v>9833</v>
      </c>
      <c r="H44">
        <v>10000</v>
      </c>
      <c r="I44" t="s">
        <v>1579</v>
      </c>
    </row>
    <row r="45" spans="1:9" x14ac:dyDescent="0.2">
      <c r="A45" t="s">
        <v>104</v>
      </c>
      <c r="B45">
        <v>15</v>
      </c>
      <c r="C45">
        <v>2</v>
      </c>
      <c r="D45">
        <v>5</v>
      </c>
      <c r="E45">
        <v>0</v>
      </c>
      <c r="F45">
        <v>1.4701292216777799</v>
      </c>
      <c r="G45">
        <v>9859</v>
      </c>
      <c r="H45">
        <v>10000</v>
      </c>
      <c r="I45" t="s">
        <v>1580</v>
      </c>
    </row>
    <row r="46" spans="1:9" x14ac:dyDescent="0.2">
      <c r="A46" t="s">
        <v>105</v>
      </c>
      <c r="B46">
        <v>16</v>
      </c>
      <c r="C46">
        <v>1</v>
      </c>
      <c r="D46">
        <v>6</v>
      </c>
      <c r="E46">
        <v>0</v>
      </c>
      <c r="F46">
        <v>1.55995280761271</v>
      </c>
      <c r="G46">
        <v>9949</v>
      </c>
      <c r="H46">
        <v>10000</v>
      </c>
      <c r="I46" t="s">
        <v>1581</v>
      </c>
    </row>
    <row r="47" spans="1:9" x14ac:dyDescent="0.2">
      <c r="A47" t="s">
        <v>106</v>
      </c>
      <c r="B47">
        <v>17</v>
      </c>
      <c r="C47">
        <v>3</v>
      </c>
      <c r="D47">
        <v>5</v>
      </c>
      <c r="E47">
        <v>0</v>
      </c>
      <c r="F47">
        <v>1.6377809923142099</v>
      </c>
      <c r="G47">
        <v>9977</v>
      </c>
      <c r="H47">
        <v>10000</v>
      </c>
      <c r="I47" t="s">
        <v>1582</v>
      </c>
    </row>
    <row r="48" spans="1:9" x14ac:dyDescent="0.2">
      <c r="A48" t="s">
        <v>107</v>
      </c>
      <c r="B48">
        <v>18</v>
      </c>
      <c r="C48">
        <v>5</v>
      </c>
      <c r="D48">
        <v>5</v>
      </c>
      <c r="E48">
        <v>0</v>
      </c>
      <c r="F48">
        <v>1.8421019008383099</v>
      </c>
      <c r="G48">
        <v>9965</v>
      </c>
      <c r="H48">
        <v>10000</v>
      </c>
      <c r="I48" t="s">
        <v>1583</v>
      </c>
    </row>
    <row r="49" spans="1:9" x14ac:dyDescent="0.2">
      <c r="A49" t="s">
        <v>108</v>
      </c>
      <c r="B49">
        <v>19</v>
      </c>
      <c r="C49">
        <v>5</v>
      </c>
      <c r="D49">
        <v>5</v>
      </c>
      <c r="E49">
        <v>0</v>
      </c>
      <c r="F49">
        <v>1.96360091026872</v>
      </c>
      <c r="G49">
        <v>9952</v>
      </c>
      <c r="H49">
        <v>10000</v>
      </c>
      <c r="I49" t="s">
        <v>1584</v>
      </c>
    </row>
    <row r="50" spans="1:9" x14ac:dyDescent="0.2">
      <c r="A50" t="s">
        <v>109</v>
      </c>
      <c r="B50">
        <v>20</v>
      </c>
      <c r="C50">
        <v>3</v>
      </c>
      <c r="D50">
        <v>6</v>
      </c>
      <c r="E50">
        <v>0</v>
      </c>
      <c r="F50">
        <v>1.91276640817523</v>
      </c>
      <c r="G50">
        <v>9622</v>
      </c>
      <c r="H50">
        <v>10000</v>
      </c>
      <c r="I50" t="s">
        <v>1585</v>
      </c>
    </row>
    <row r="51" spans="1:9" x14ac:dyDescent="0.2">
      <c r="A51" t="s">
        <v>110</v>
      </c>
      <c r="B51">
        <v>21</v>
      </c>
      <c r="C51">
        <v>3</v>
      </c>
      <c r="D51">
        <v>6</v>
      </c>
      <c r="E51">
        <v>0</v>
      </c>
      <c r="F51">
        <v>1.9910063771530899</v>
      </c>
      <c r="G51">
        <v>9575</v>
      </c>
      <c r="H51">
        <v>10000</v>
      </c>
      <c r="I51" t="s">
        <v>1586</v>
      </c>
    </row>
    <row r="52" spans="1:9" x14ac:dyDescent="0.2">
      <c r="A52" t="s">
        <v>111</v>
      </c>
      <c r="B52">
        <v>22</v>
      </c>
      <c r="C52">
        <v>7</v>
      </c>
      <c r="D52">
        <v>5</v>
      </c>
      <c r="E52">
        <v>0</v>
      </c>
      <c r="F52">
        <v>2.2101005632430302</v>
      </c>
      <c r="G52">
        <v>9547</v>
      </c>
      <c r="H52">
        <v>10000</v>
      </c>
      <c r="I52" t="s">
        <v>1587</v>
      </c>
    </row>
    <row r="53" spans="1:9" x14ac:dyDescent="0.2">
      <c r="A53" t="s">
        <v>112</v>
      </c>
      <c r="B53">
        <v>23</v>
      </c>
      <c r="C53">
        <v>2</v>
      </c>
      <c r="D53">
        <v>7</v>
      </c>
      <c r="E53">
        <v>0</v>
      </c>
      <c r="F53">
        <v>2.2161685256287398</v>
      </c>
      <c r="G53">
        <v>8340</v>
      </c>
      <c r="H53">
        <v>10000</v>
      </c>
      <c r="I53" t="s">
        <v>1588</v>
      </c>
    </row>
    <row r="54" spans="1:9" x14ac:dyDescent="0.2">
      <c r="A54" t="s">
        <v>113</v>
      </c>
      <c r="B54">
        <v>24</v>
      </c>
      <c r="C54">
        <v>8</v>
      </c>
      <c r="D54">
        <v>5</v>
      </c>
      <c r="E54">
        <v>0</v>
      </c>
      <c r="F54">
        <v>2.45920024998486</v>
      </c>
      <c r="G54">
        <v>4145</v>
      </c>
      <c r="H54">
        <v>10000</v>
      </c>
      <c r="I54" t="s">
        <v>1589</v>
      </c>
    </row>
    <row r="55" spans="1:9" x14ac:dyDescent="0.2">
      <c r="A55" t="s">
        <v>114</v>
      </c>
      <c r="B55">
        <v>25</v>
      </c>
      <c r="C55">
        <v>8</v>
      </c>
      <c r="D55">
        <v>5</v>
      </c>
      <c r="E55">
        <v>0</v>
      </c>
      <c r="F55">
        <v>2.59062330145388</v>
      </c>
      <c r="G55">
        <v>4106</v>
      </c>
      <c r="H55">
        <v>10000</v>
      </c>
      <c r="I55" t="s">
        <v>1590</v>
      </c>
    </row>
    <row r="56" spans="1:9" x14ac:dyDescent="0.2">
      <c r="A56" t="s">
        <v>115</v>
      </c>
      <c r="B56">
        <v>26</v>
      </c>
      <c r="C56">
        <v>6</v>
      </c>
      <c r="D56">
        <v>6</v>
      </c>
      <c r="E56">
        <v>0</v>
      </c>
      <c r="F56">
        <v>2.5473179770633498</v>
      </c>
      <c r="G56">
        <v>6555</v>
      </c>
      <c r="H56">
        <v>10000</v>
      </c>
      <c r="I56" t="s">
        <v>1591</v>
      </c>
    </row>
    <row r="57" spans="1:9" x14ac:dyDescent="0.2">
      <c r="A57" t="s">
        <v>116</v>
      </c>
      <c r="B57">
        <v>27</v>
      </c>
      <c r="C57">
        <v>6</v>
      </c>
      <c r="D57">
        <v>6</v>
      </c>
      <c r="E57">
        <v>0</v>
      </c>
      <c r="F57">
        <v>2.6249565659090801</v>
      </c>
      <c r="G57">
        <v>6579</v>
      </c>
      <c r="H57">
        <v>10000</v>
      </c>
      <c r="I57" t="s">
        <v>1592</v>
      </c>
    </row>
    <row r="58" spans="1:9" x14ac:dyDescent="0.2">
      <c r="A58" t="s">
        <v>117</v>
      </c>
      <c r="B58">
        <v>28</v>
      </c>
      <c r="C58">
        <v>6</v>
      </c>
      <c r="D58">
        <v>6</v>
      </c>
      <c r="E58">
        <v>0</v>
      </c>
      <c r="F58">
        <v>2.7016914654523099</v>
      </c>
      <c r="G58">
        <v>6627</v>
      </c>
      <c r="H58">
        <v>10000</v>
      </c>
      <c r="I58" t="s">
        <v>1593</v>
      </c>
    </row>
    <row r="59" spans="1:9" x14ac:dyDescent="0.2">
      <c r="A59" t="s">
        <v>118</v>
      </c>
      <c r="B59">
        <v>29</v>
      </c>
      <c r="C59">
        <v>6</v>
      </c>
      <c r="D59">
        <v>7</v>
      </c>
      <c r="E59">
        <v>0</v>
      </c>
      <c r="F59">
        <v>3.04800565075129</v>
      </c>
      <c r="G59">
        <v>6417</v>
      </c>
      <c r="H59">
        <v>10000</v>
      </c>
      <c r="I59" t="s">
        <v>1594</v>
      </c>
    </row>
    <row r="60" spans="1:9" x14ac:dyDescent="0.2">
      <c r="A60" t="s">
        <v>119</v>
      </c>
      <c r="B60">
        <v>30</v>
      </c>
      <c r="C60">
        <v>9</v>
      </c>
      <c r="D60">
        <v>6</v>
      </c>
      <c r="E60">
        <v>0</v>
      </c>
      <c r="F60">
        <v>3.3440236235037402</v>
      </c>
      <c r="G60">
        <v>4982</v>
      </c>
      <c r="H60">
        <v>10000</v>
      </c>
      <c r="I60" t="s">
        <v>1595</v>
      </c>
    </row>
    <row r="61" spans="1:9" x14ac:dyDescent="0.2">
      <c r="A61" t="s">
        <v>120</v>
      </c>
      <c r="B61">
        <v>31</v>
      </c>
      <c r="C61">
        <v>9</v>
      </c>
      <c r="D61">
        <v>6</v>
      </c>
      <c r="E61">
        <v>0</v>
      </c>
      <c r="F61">
        <v>3.46137440297752</v>
      </c>
      <c r="G61">
        <v>5021</v>
      </c>
      <c r="H61">
        <v>10000</v>
      </c>
      <c r="I61" t="s">
        <v>1596</v>
      </c>
    </row>
    <row r="62" spans="1:9" x14ac:dyDescent="0.2">
      <c r="A62" t="s">
        <v>121</v>
      </c>
      <c r="B62">
        <v>32</v>
      </c>
      <c r="C62">
        <v>5</v>
      </c>
      <c r="D62">
        <v>8</v>
      </c>
      <c r="E62">
        <v>0</v>
      </c>
      <c r="F62">
        <v>3.25455523654818</v>
      </c>
      <c r="G62">
        <v>7386</v>
      </c>
      <c r="H62">
        <v>10000</v>
      </c>
      <c r="I62" t="s">
        <v>1597</v>
      </c>
    </row>
    <row r="63" spans="1:9" x14ac:dyDescent="0.2">
      <c r="A63" t="s">
        <v>122</v>
      </c>
      <c r="B63">
        <v>33</v>
      </c>
      <c r="C63">
        <v>7</v>
      </c>
      <c r="D63">
        <v>8</v>
      </c>
      <c r="E63">
        <v>0</v>
      </c>
      <c r="F63">
        <v>3.7177186645567399</v>
      </c>
      <c r="G63">
        <v>6325</v>
      </c>
      <c r="H63">
        <v>10000</v>
      </c>
      <c r="I63" t="s">
        <v>1598</v>
      </c>
    </row>
    <row r="64" spans="1:9" x14ac:dyDescent="0.2">
      <c r="A64" t="s">
        <v>123</v>
      </c>
      <c r="B64">
        <v>34</v>
      </c>
      <c r="C64">
        <v>17</v>
      </c>
      <c r="D64">
        <v>5</v>
      </c>
      <c r="E64">
        <v>0</v>
      </c>
      <c r="F64">
        <v>4.79418160021305</v>
      </c>
      <c r="G64">
        <v>5773</v>
      </c>
      <c r="H64">
        <v>10000</v>
      </c>
      <c r="I64" t="s">
        <v>1599</v>
      </c>
    </row>
    <row r="65" spans="1:9" x14ac:dyDescent="0.2">
      <c r="A65" t="s">
        <v>124</v>
      </c>
      <c r="B65">
        <v>35</v>
      </c>
      <c r="C65">
        <v>4</v>
      </c>
      <c r="D65">
        <v>9</v>
      </c>
      <c r="E65">
        <v>0</v>
      </c>
      <c r="F65">
        <v>3.7949199043214299</v>
      </c>
      <c r="G65">
        <v>3495</v>
      </c>
      <c r="H65">
        <v>10000</v>
      </c>
      <c r="I65" t="s">
        <v>1600</v>
      </c>
    </row>
    <row r="66" spans="1:9" x14ac:dyDescent="0.2">
      <c r="A66" t="s">
        <v>125</v>
      </c>
      <c r="B66">
        <v>36</v>
      </c>
      <c r="C66">
        <v>4</v>
      </c>
      <c r="D66">
        <v>9</v>
      </c>
      <c r="E66">
        <v>0</v>
      </c>
      <c r="F66">
        <v>3.9119157930836002</v>
      </c>
      <c r="G66">
        <v>3460</v>
      </c>
      <c r="H66">
        <v>10000</v>
      </c>
      <c r="I66" t="s">
        <v>1601</v>
      </c>
    </row>
    <row r="67" spans="1:9" x14ac:dyDescent="0.2">
      <c r="A67" t="s">
        <v>126</v>
      </c>
      <c r="B67">
        <v>37</v>
      </c>
      <c r="C67">
        <v>4</v>
      </c>
      <c r="D67">
        <v>9</v>
      </c>
      <c r="E67">
        <v>0</v>
      </c>
      <c r="F67">
        <v>4.0659678522497398</v>
      </c>
      <c r="G67">
        <v>3565</v>
      </c>
      <c r="H67">
        <v>10000</v>
      </c>
      <c r="I67" t="s">
        <v>1602</v>
      </c>
    </row>
    <row r="68" spans="1:9" x14ac:dyDescent="0.2">
      <c r="A68" t="s">
        <v>127</v>
      </c>
      <c r="B68">
        <v>38</v>
      </c>
      <c r="C68">
        <v>4</v>
      </c>
      <c r="D68">
        <v>9</v>
      </c>
      <c r="E68">
        <v>0</v>
      </c>
      <c r="F68">
        <v>4.1237437818199396</v>
      </c>
      <c r="G68">
        <v>3477</v>
      </c>
      <c r="H68">
        <v>10000</v>
      </c>
      <c r="I68" t="s">
        <v>1603</v>
      </c>
    </row>
    <row r="69" spans="1:9" x14ac:dyDescent="0.2">
      <c r="A69" t="s">
        <v>128</v>
      </c>
      <c r="B69">
        <v>39</v>
      </c>
      <c r="C69">
        <v>4</v>
      </c>
      <c r="D69">
        <v>9</v>
      </c>
      <c r="E69">
        <v>0</v>
      </c>
      <c r="F69">
        <v>4.5644672447815502</v>
      </c>
      <c r="G69">
        <v>1531</v>
      </c>
      <c r="H69">
        <v>10000</v>
      </c>
      <c r="I69" t="s">
        <v>1604</v>
      </c>
    </row>
    <row r="70" spans="1:9" x14ac:dyDescent="0.2">
      <c r="A70" t="s">
        <v>129</v>
      </c>
      <c r="B70">
        <v>40</v>
      </c>
      <c r="C70">
        <v>5</v>
      </c>
      <c r="D70">
        <v>9</v>
      </c>
      <c r="E70">
        <v>0</v>
      </c>
      <c r="F70">
        <v>4.6559082465246302</v>
      </c>
      <c r="G70">
        <v>2833</v>
      </c>
      <c r="H70">
        <v>10000</v>
      </c>
      <c r="I70" t="s">
        <v>1605</v>
      </c>
    </row>
    <row r="71" spans="1:9" x14ac:dyDescent="0.2">
      <c r="A71" t="s">
        <v>130</v>
      </c>
      <c r="B71">
        <v>41</v>
      </c>
      <c r="C71">
        <v>2</v>
      </c>
      <c r="D71">
        <v>11</v>
      </c>
      <c r="E71">
        <v>0</v>
      </c>
      <c r="F71">
        <v>5.0129369879141397</v>
      </c>
      <c r="G71">
        <v>2674</v>
      </c>
      <c r="H71">
        <v>10000</v>
      </c>
      <c r="I71" t="s">
        <v>1606</v>
      </c>
    </row>
    <row r="72" spans="1:9" x14ac:dyDescent="0.2">
      <c r="A72" t="s">
        <v>131</v>
      </c>
      <c r="B72">
        <v>42</v>
      </c>
      <c r="C72">
        <v>5</v>
      </c>
      <c r="D72">
        <v>9</v>
      </c>
      <c r="E72">
        <v>0</v>
      </c>
      <c r="F72">
        <v>5.5233022272586796</v>
      </c>
      <c r="G72">
        <v>449</v>
      </c>
      <c r="H72">
        <v>10000</v>
      </c>
      <c r="I72" t="s">
        <v>1607</v>
      </c>
    </row>
    <row r="73" spans="1:9" x14ac:dyDescent="0.2">
      <c r="A73" t="s">
        <v>132</v>
      </c>
      <c r="B73">
        <v>43</v>
      </c>
      <c r="C73">
        <v>6</v>
      </c>
      <c r="D73">
        <v>9</v>
      </c>
      <c r="E73">
        <v>0</v>
      </c>
      <c r="F73">
        <v>5.4924086844548503</v>
      </c>
      <c r="G73">
        <v>565</v>
      </c>
      <c r="H73">
        <v>10000</v>
      </c>
      <c r="I73" t="s">
        <v>1608</v>
      </c>
    </row>
    <row r="74" spans="1:9" x14ac:dyDescent="0.2">
      <c r="A74" t="s">
        <v>133</v>
      </c>
      <c r="B74">
        <v>44</v>
      </c>
      <c r="C74">
        <v>6</v>
      </c>
      <c r="D74">
        <v>9</v>
      </c>
      <c r="E74">
        <v>0</v>
      </c>
      <c r="F74">
        <v>5.8337752567604104</v>
      </c>
      <c r="G74">
        <v>370</v>
      </c>
      <c r="H74">
        <v>10000</v>
      </c>
      <c r="I74" t="s">
        <v>1609</v>
      </c>
    </row>
    <row r="75" spans="1:9" x14ac:dyDescent="0.2">
      <c r="A75" t="s">
        <v>134</v>
      </c>
      <c r="B75">
        <v>45</v>
      </c>
      <c r="C75">
        <v>6</v>
      </c>
      <c r="D75">
        <v>9</v>
      </c>
      <c r="E75">
        <v>0</v>
      </c>
      <c r="F75">
        <v>6.1029913695529103</v>
      </c>
      <c r="G75">
        <v>380</v>
      </c>
      <c r="H75">
        <v>10000</v>
      </c>
      <c r="I75" t="s">
        <v>1610</v>
      </c>
    </row>
    <row r="76" spans="1:9" x14ac:dyDescent="0.2">
      <c r="A76" t="s">
        <v>135</v>
      </c>
      <c r="B76">
        <v>46</v>
      </c>
      <c r="C76">
        <v>7</v>
      </c>
      <c r="D76">
        <v>9</v>
      </c>
      <c r="E76">
        <v>0</v>
      </c>
      <c r="F76">
        <v>6.5362419513985497</v>
      </c>
      <c r="G76">
        <v>165</v>
      </c>
      <c r="H76">
        <v>10000</v>
      </c>
      <c r="I76" t="s">
        <v>1611</v>
      </c>
    </row>
    <row r="77" spans="1:9" x14ac:dyDescent="0.2">
      <c r="A77" t="s">
        <v>136</v>
      </c>
      <c r="B77">
        <v>47</v>
      </c>
      <c r="C77">
        <v>8</v>
      </c>
      <c r="D77">
        <v>9</v>
      </c>
      <c r="E77">
        <v>0</v>
      </c>
      <c r="F77">
        <v>6.7831496391445398</v>
      </c>
      <c r="G77">
        <v>282</v>
      </c>
      <c r="H77">
        <v>10000</v>
      </c>
      <c r="I77" t="s">
        <v>1612</v>
      </c>
    </row>
    <row r="78" spans="1:9" x14ac:dyDescent="0.2">
      <c r="A78" t="s">
        <v>137</v>
      </c>
      <c r="B78">
        <v>48</v>
      </c>
      <c r="C78">
        <v>5</v>
      </c>
      <c r="D78">
        <v>10</v>
      </c>
      <c r="E78">
        <v>0</v>
      </c>
      <c r="F78">
        <v>6.6788145499303901</v>
      </c>
      <c r="G78">
        <v>151</v>
      </c>
      <c r="H78">
        <v>10000</v>
      </c>
      <c r="I78" t="s">
        <v>1613</v>
      </c>
    </row>
    <row r="79" spans="1:9" x14ac:dyDescent="0.2">
      <c r="A79" t="s">
        <v>138</v>
      </c>
      <c r="B79">
        <v>49</v>
      </c>
      <c r="C79">
        <v>17</v>
      </c>
      <c r="D79">
        <v>7</v>
      </c>
      <c r="E79">
        <v>0</v>
      </c>
      <c r="F79">
        <v>9.1417974922806007</v>
      </c>
      <c r="G79">
        <v>53</v>
      </c>
      <c r="H79">
        <v>10000</v>
      </c>
      <c r="I79" t="s">
        <v>1614</v>
      </c>
    </row>
    <row r="80" spans="1:9" x14ac:dyDescent="0.2">
      <c r="A80" t="s">
        <v>139</v>
      </c>
      <c r="B80">
        <v>50</v>
      </c>
      <c r="C80">
        <v>13</v>
      </c>
      <c r="D80">
        <v>8</v>
      </c>
      <c r="E80">
        <v>0</v>
      </c>
      <c r="F80">
        <v>8.6160411788150597</v>
      </c>
      <c r="G80">
        <v>29</v>
      </c>
      <c r="H80">
        <v>10000</v>
      </c>
      <c r="I80" t="s">
        <v>1615</v>
      </c>
    </row>
    <row r="81" spans="1:9" x14ac:dyDescent="0.2">
      <c r="A81" t="s">
        <v>188</v>
      </c>
      <c r="B81">
        <v>51</v>
      </c>
      <c r="C81">
        <v>12</v>
      </c>
      <c r="D81">
        <v>9</v>
      </c>
      <c r="E81">
        <v>0</v>
      </c>
      <c r="F81">
        <v>8.7929639676585793</v>
      </c>
      <c r="G81">
        <v>146</v>
      </c>
      <c r="H81">
        <v>10000</v>
      </c>
      <c r="I81" t="s">
        <v>1616</v>
      </c>
    </row>
    <row r="82" spans="1:9" x14ac:dyDescent="0.2">
      <c r="A82" t="s">
        <v>190</v>
      </c>
      <c r="B82">
        <v>52</v>
      </c>
      <c r="C82">
        <v>10</v>
      </c>
      <c r="D82">
        <v>11</v>
      </c>
      <c r="E82">
        <v>1</v>
      </c>
      <c r="F82">
        <v>8.7532663866877503</v>
      </c>
      <c r="G82">
        <v>1848</v>
      </c>
      <c r="H82">
        <v>10000</v>
      </c>
      <c r="I82" t="s">
        <v>1617</v>
      </c>
    </row>
    <row r="83" spans="1:9" x14ac:dyDescent="0.2">
      <c r="A83" t="s">
        <v>192</v>
      </c>
      <c r="B83">
        <v>53</v>
      </c>
      <c r="C83">
        <v>6</v>
      </c>
      <c r="D83">
        <v>11</v>
      </c>
      <c r="E83">
        <v>0</v>
      </c>
      <c r="F83">
        <v>8.5183719564229197</v>
      </c>
      <c r="G83">
        <v>91</v>
      </c>
      <c r="H83">
        <v>10000</v>
      </c>
      <c r="I83" t="s">
        <v>1618</v>
      </c>
    </row>
    <row r="84" spans="1:9" x14ac:dyDescent="0.2">
      <c r="A84" t="s">
        <v>194</v>
      </c>
      <c r="B84">
        <v>54</v>
      </c>
      <c r="C84">
        <v>12</v>
      </c>
      <c r="D84">
        <v>10</v>
      </c>
      <c r="E84">
        <v>0</v>
      </c>
      <c r="F84">
        <v>9.6827484117820806</v>
      </c>
      <c r="G84">
        <v>235</v>
      </c>
      <c r="H84">
        <v>10000</v>
      </c>
      <c r="I84" t="s">
        <v>1619</v>
      </c>
    </row>
    <row r="85" spans="1:9" x14ac:dyDescent="0.2">
      <c r="A85" t="s">
        <v>196</v>
      </c>
      <c r="B85">
        <v>55</v>
      </c>
      <c r="C85">
        <v>5</v>
      </c>
      <c r="D85">
        <v>12</v>
      </c>
      <c r="E85">
        <v>0</v>
      </c>
      <c r="F85">
        <v>8.8034352287650108</v>
      </c>
      <c r="G85">
        <v>40</v>
      </c>
      <c r="H85">
        <v>10000</v>
      </c>
      <c r="I85" t="s">
        <v>1620</v>
      </c>
    </row>
    <row r="86" spans="1:9" x14ac:dyDescent="0.2">
      <c r="A86" t="s">
        <v>198</v>
      </c>
      <c r="B86">
        <v>56</v>
      </c>
      <c r="C86">
        <v>5</v>
      </c>
      <c r="D86">
        <v>12</v>
      </c>
      <c r="E86">
        <v>0</v>
      </c>
      <c r="F86">
        <v>8.9443791359662992</v>
      </c>
      <c r="G86">
        <v>63</v>
      </c>
      <c r="H86">
        <v>10000</v>
      </c>
      <c r="I86" t="s">
        <v>1621</v>
      </c>
    </row>
    <row r="87" spans="1:9" x14ac:dyDescent="0.2">
      <c r="A87" t="s">
        <v>200</v>
      </c>
      <c r="B87">
        <v>57</v>
      </c>
      <c r="C87">
        <v>4</v>
      </c>
      <c r="D87">
        <v>13</v>
      </c>
      <c r="E87">
        <v>0</v>
      </c>
      <c r="F87">
        <v>9.3277538195252401</v>
      </c>
      <c r="G87">
        <v>67</v>
      </c>
      <c r="H87">
        <v>10000</v>
      </c>
      <c r="I87" t="s">
        <v>1622</v>
      </c>
    </row>
    <row r="88" spans="1:9" x14ac:dyDescent="0.2">
      <c r="A88" t="s">
        <v>202</v>
      </c>
      <c r="B88">
        <v>58</v>
      </c>
      <c r="C88">
        <v>12</v>
      </c>
      <c r="D88">
        <v>10</v>
      </c>
      <c r="E88">
        <v>0</v>
      </c>
      <c r="F88">
        <v>11.217516915872601</v>
      </c>
      <c r="G88">
        <v>40</v>
      </c>
      <c r="H88">
        <v>10000</v>
      </c>
      <c r="I88" t="s">
        <v>1623</v>
      </c>
    </row>
    <row r="89" spans="1:9" x14ac:dyDescent="0.2">
      <c r="A89" t="s">
        <v>204</v>
      </c>
      <c r="B89">
        <v>59</v>
      </c>
      <c r="C89">
        <v>12</v>
      </c>
      <c r="D89">
        <v>10</v>
      </c>
      <c r="E89">
        <v>0</v>
      </c>
      <c r="F89">
        <v>11.602198132313699</v>
      </c>
      <c r="G89">
        <v>26</v>
      </c>
      <c r="H89">
        <v>10000</v>
      </c>
      <c r="I89" t="s">
        <v>1624</v>
      </c>
    </row>
    <row r="90" spans="1:9" x14ac:dyDescent="0.2">
      <c r="A90" t="s">
        <v>206</v>
      </c>
      <c r="B90">
        <v>60</v>
      </c>
      <c r="C90">
        <v>10</v>
      </c>
      <c r="D90">
        <v>11</v>
      </c>
      <c r="E90">
        <v>0</v>
      </c>
      <c r="F90">
        <v>11.5290086539462</v>
      </c>
      <c r="G90">
        <v>20</v>
      </c>
      <c r="H90">
        <v>10000</v>
      </c>
      <c r="I90" t="s">
        <v>1625</v>
      </c>
    </row>
    <row r="91" spans="1:9" x14ac:dyDescent="0.2">
      <c r="A91" t="s">
        <v>208</v>
      </c>
      <c r="B91">
        <v>61</v>
      </c>
      <c r="C91">
        <v>10</v>
      </c>
      <c r="D91">
        <v>11</v>
      </c>
      <c r="E91">
        <v>0</v>
      </c>
      <c r="F91">
        <v>12.0007369304075</v>
      </c>
      <c r="G91">
        <v>32</v>
      </c>
      <c r="H91">
        <v>10000</v>
      </c>
      <c r="I91" t="s">
        <v>1626</v>
      </c>
    </row>
    <row r="92" spans="1:9" x14ac:dyDescent="0.2">
      <c r="A92" t="s">
        <v>210</v>
      </c>
      <c r="B92">
        <v>62</v>
      </c>
      <c r="C92">
        <v>16</v>
      </c>
      <c r="D92">
        <v>10</v>
      </c>
      <c r="E92">
        <v>0</v>
      </c>
      <c r="F92">
        <v>14.2005666354671</v>
      </c>
      <c r="G92">
        <v>14</v>
      </c>
      <c r="H92">
        <v>10000</v>
      </c>
      <c r="I92" t="s">
        <v>1627</v>
      </c>
    </row>
    <row r="93" spans="1:9" x14ac:dyDescent="0.2">
      <c r="A93" t="s">
        <v>212</v>
      </c>
      <c r="B93">
        <v>63</v>
      </c>
      <c r="C93">
        <v>8</v>
      </c>
      <c r="D93">
        <v>13</v>
      </c>
      <c r="E93">
        <v>0</v>
      </c>
      <c r="F93">
        <v>12.6150349350646</v>
      </c>
      <c r="G93">
        <v>20</v>
      </c>
      <c r="H93">
        <v>10000</v>
      </c>
      <c r="I93" t="s">
        <v>1628</v>
      </c>
    </row>
    <row r="94" spans="1:9" x14ac:dyDescent="0.2">
      <c r="A94" t="s">
        <v>214</v>
      </c>
      <c r="B94">
        <v>64</v>
      </c>
      <c r="C94">
        <v>13</v>
      </c>
      <c r="D94">
        <v>12</v>
      </c>
      <c r="E94">
        <v>0</v>
      </c>
      <c r="F94">
        <v>13.807979959994499</v>
      </c>
      <c r="G94">
        <v>39</v>
      </c>
      <c r="H94">
        <v>10000</v>
      </c>
      <c r="I94" t="s">
        <v>1629</v>
      </c>
    </row>
    <row r="95" spans="1:9" x14ac:dyDescent="0.2">
      <c r="A95" t="s">
        <v>216</v>
      </c>
      <c r="B95">
        <v>65</v>
      </c>
      <c r="C95">
        <v>5</v>
      </c>
      <c r="D95">
        <v>14</v>
      </c>
      <c r="E95">
        <v>0</v>
      </c>
      <c r="F95">
        <v>12.5847829431295</v>
      </c>
      <c r="G95">
        <v>15</v>
      </c>
      <c r="H95">
        <v>10000</v>
      </c>
      <c r="I95" t="s">
        <v>1630</v>
      </c>
    </row>
    <row r="96" spans="1:9" x14ac:dyDescent="0.2">
      <c r="A96" t="s">
        <v>218</v>
      </c>
      <c r="B96">
        <v>66</v>
      </c>
      <c r="C96">
        <v>5</v>
      </c>
      <c r="D96">
        <v>14</v>
      </c>
      <c r="E96">
        <v>0</v>
      </c>
      <c r="F96">
        <v>12.959105256944801</v>
      </c>
      <c r="G96">
        <v>20</v>
      </c>
      <c r="H96">
        <v>10000</v>
      </c>
      <c r="I96" t="s">
        <v>1631</v>
      </c>
    </row>
    <row r="97" spans="1:9" x14ac:dyDescent="0.2">
      <c r="A97" t="s">
        <v>220</v>
      </c>
      <c r="B97">
        <v>67</v>
      </c>
      <c r="C97">
        <v>5</v>
      </c>
      <c r="D97">
        <v>14</v>
      </c>
      <c r="E97">
        <v>0</v>
      </c>
      <c r="F97">
        <v>13.1420064577832</v>
      </c>
      <c r="G97">
        <v>12</v>
      </c>
      <c r="H97">
        <v>10000</v>
      </c>
      <c r="I97" t="s">
        <v>1632</v>
      </c>
    </row>
    <row r="98" spans="1:9" x14ac:dyDescent="0.2">
      <c r="A98" t="s">
        <v>222</v>
      </c>
      <c r="B98">
        <v>68</v>
      </c>
      <c r="C98">
        <v>5</v>
      </c>
      <c r="D98">
        <v>14</v>
      </c>
      <c r="E98">
        <v>0</v>
      </c>
      <c r="F98">
        <v>13.8245235057547</v>
      </c>
      <c r="G98">
        <v>10</v>
      </c>
      <c r="H98">
        <v>10000</v>
      </c>
      <c r="I98" t="s">
        <v>1633</v>
      </c>
    </row>
    <row r="99" spans="1:9" x14ac:dyDescent="0.2">
      <c r="A99" t="s">
        <v>224</v>
      </c>
      <c r="B99">
        <v>69</v>
      </c>
      <c r="C99">
        <v>5</v>
      </c>
      <c r="D99">
        <v>14</v>
      </c>
      <c r="E99">
        <v>0</v>
      </c>
      <c r="F99">
        <v>14.491436288692</v>
      </c>
      <c r="G99">
        <v>5</v>
      </c>
      <c r="H99">
        <v>10000</v>
      </c>
      <c r="I99" t="s">
        <v>1634</v>
      </c>
    </row>
    <row r="100" spans="1:9" x14ac:dyDescent="0.2">
      <c r="A100" t="s">
        <v>226</v>
      </c>
      <c r="B100">
        <v>70</v>
      </c>
      <c r="C100">
        <v>5</v>
      </c>
      <c r="D100">
        <v>14</v>
      </c>
      <c r="E100">
        <v>0</v>
      </c>
      <c r="F100">
        <v>14.5140461623668</v>
      </c>
      <c r="G100">
        <v>7</v>
      </c>
      <c r="H100">
        <v>10000</v>
      </c>
      <c r="I100" t="s">
        <v>1635</v>
      </c>
    </row>
    <row r="101" spans="1:9" x14ac:dyDescent="0.2">
      <c r="A101" t="s">
        <v>228</v>
      </c>
      <c r="B101">
        <v>71</v>
      </c>
      <c r="C101">
        <v>5</v>
      </c>
      <c r="D101">
        <v>15</v>
      </c>
      <c r="E101">
        <v>0</v>
      </c>
      <c r="F101">
        <v>15.152152506634501</v>
      </c>
      <c r="G101">
        <v>5</v>
      </c>
      <c r="H101">
        <v>10000</v>
      </c>
      <c r="I101" t="s">
        <v>1636</v>
      </c>
    </row>
    <row r="102" spans="1:9" x14ac:dyDescent="0.2">
      <c r="A102" t="s">
        <v>230</v>
      </c>
      <c r="B102">
        <v>72</v>
      </c>
      <c r="C102">
        <v>5</v>
      </c>
      <c r="D102">
        <v>15</v>
      </c>
      <c r="E102">
        <v>0</v>
      </c>
      <c r="F102">
        <v>15.434922587126399</v>
      </c>
      <c r="G102">
        <v>4</v>
      </c>
      <c r="H102">
        <v>10000</v>
      </c>
      <c r="I102" t="s">
        <v>1637</v>
      </c>
    </row>
    <row r="103" spans="1:9" x14ac:dyDescent="0.2">
      <c r="A103" t="s">
        <v>232</v>
      </c>
      <c r="B103">
        <v>73</v>
      </c>
      <c r="C103">
        <v>5</v>
      </c>
      <c r="D103">
        <v>15</v>
      </c>
      <c r="E103">
        <v>0</v>
      </c>
      <c r="F103">
        <v>16.079069863073499</v>
      </c>
      <c r="G103">
        <v>3</v>
      </c>
      <c r="H103">
        <v>10000</v>
      </c>
      <c r="I103" t="s">
        <v>1638</v>
      </c>
    </row>
    <row r="104" spans="1:9" x14ac:dyDescent="0.2">
      <c r="A104" t="s">
        <v>234</v>
      </c>
      <c r="B104">
        <v>74</v>
      </c>
      <c r="C104">
        <v>5</v>
      </c>
      <c r="D104">
        <v>15</v>
      </c>
      <c r="E104">
        <v>0</v>
      </c>
      <c r="F104">
        <v>17.0949971051886</v>
      </c>
      <c r="G104">
        <v>6</v>
      </c>
      <c r="H104">
        <v>10000</v>
      </c>
      <c r="I104" t="s">
        <v>1639</v>
      </c>
    </row>
    <row r="105" spans="1:9" x14ac:dyDescent="0.2">
      <c r="A105" t="s">
        <v>236</v>
      </c>
      <c r="B105">
        <v>75</v>
      </c>
      <c r="C105">
        <v>5</v>
      </c>
      <c r="D105">
        <v>15</v>
      </c>
      <c r="E105">
        <v>0</v>
      </c>
      <c r="F105">
        <v>16.635657905600901</v>
      </c>
      <c r="G105">
        <v>1</v>
      </c>
      <c r="H105">
        <v>10000</v>
      </c>
      <c r="I105" t="s">
        <v>1640</v>
      </c>
    </row>
    <row r="106" spans="1:9" x14ac:dyDescent="0.2">
      <c r="A106" t="s">
        <v>238</v>
      </c>
      <c r="B106">
        <v>76</v>
      </c>
      <c r="C106">
        <v>5</v>
      </c>
      <c r="D106">
        <v>15</v>
      </c>
      <c r="E106">
        <v>0</v>
      </c>
      <c r="F106">
        <v>17.6788370190188</v>
      </c>
      <c r="G106">
        <v>1</v>
      </c>
      <c r="H106">
        <v>10000</v>
      </c>
      <c r="I106" t="s">
        <v>1641</v>
      </c>
    </row>
    <row r="107" spans="1:9" x14ac:dyDescent="0.2">
      <c r="A107" t="s">
        <v>240</v>
      </c>
      <c r="B107">
        <v>77</v>
      </c>
      <c r="C107">
        <v>5</v>
      </c>
      <c r="D107">
        <v>15</v>
      </c>
      <c r="E107">
        <v>0</v>
      </c>
      <c r="F107">
        <v>17.980916859581999</v>
      </c>
      <c r="G107">
        <v>2</v>
      </c>
      <c r="H107">
        <v>10000</v>
      </c>
      <c r="I107" t="s">
        <v>1642</v>
      </c>
    </row>
    <row r="108" spans="1:9" x14ac:dyDescent="0.2">
      <c r="A108" t="s">
        <v>36</v>
      </c>
      <c r="B108">
        <v>78</v>
      </c>
      <c r="C108">
        <v>15</v>
      </c>
      <c r="D108">
        <v>13</v>
      </c>
      <c r="E108">
        <v>1</v>
      </c>
      <c r="F108">
        <v>22.1253963569179</v>
      </c>
      <c r="G108">
        <v>2</v>
      </c>
      <c r="H108">
        <v>10000</v>
      </c>
      <c r="I108" t="s">
        <v>1643</v>
      </c>
    </row>
    <row r="109" spans="1:9" x14ac:dyDescent="0.2">
      <c r="A109" t="s">
        <v>37</v>
      </c>
      <c r="B109">
        <v>79</v>
      </c>
      <c r="C109">
        <v>14</v>
      </c>
      <c r="D109">
        <v>14</v>
      </c>
      <c r="E109">
        <v>1</v>
      </c>
      <c r="F109">
        <v>22.2454480482265</v>
      </c>
      <c r="G109">
        <v>2</v>
      </c>
      <c r="H109">
        <v>10000</v>
      </c>
      <c r="I109" t="s">
        <v>1644</v>
      </c>
    </row>
    <row r="110" spans="1:9" x14ac:dyDescent="0.2">
      <c r="A110" t="s">
        <v>38</v>
      </c>
      <c r="B110">
        <v>80</v>
      </c>
      <c r="C110">
        <v>7</v>
      </c>
      <c r="D110">
        <v>15</v>
      </c>
      <c r="E110">
        <v>0</v>
      </c>
      <c r="F110">
        <v>19.787804175168201</v>
      </c>
      <c r="G110">
        <v>1</v>
      </c>
      <c r="H110">
        <v>10000</v>
      </c>
      <c r="I110" t="s">
        <v>1645</v>
      </c>
    </row>
    <row r="111" spans="1:9" x14ac:dyDescent="0.2">
      <c r="A111" t="s">
        <v>39</v>
      </c>
      <c r="B111">
        <v>81</v>
      </c>
      <c r="C111">
        <v>11</v>
      </c>
      <c r="D111">
        <v>15</v>
      </c>
      <c r="E111">
        <v>0</v>
      </c>
      <c r="F111">
        <v>22.828905287198701</v>
      </c>
      <c r="G111">
        <v>1</v>
      </c>
      <c r="H111">
        <v>10000</v>
      </c>
      <c r="I111" t="s">
        <v>1646</v>
      </c>
    </row>
    <row r="112" spans="1:9" x14ac:dyDescent="0.2">
      <c r="A112" t="s">
        <v>40</v>
      </c>
      <c r="B112">
        <v>82</v>
      </c>
      <c r="C112">
        <v>7</v>
      </c>
      <c r="D112">
        <v>17</v>
      </c>
      <c r="E112">
        <v>1</v>
      </c>
      <c r="F112">
        <v>22.2591338604688</v>
      </c>
      <c r="G112">
        <v>1</v>
      </c>
      <c r="H112">
        <v>10000</v>
      </c>
      <c r="I112" t="s">
        <v>1647</v>
      </c>
    </row>
    <row r="113" spans="1:9" x14ac:dyDescent="0.2">
      <c r="A113" t="s">
        <v>41</v>
      </c>
      <c r="B113">
        <v>83</v>
      </c>
      <c r="C113">
        <v>13</v>
      </c>
      <c r="D113">
        <v>15</v>
      </c>
      <c r="E113">
        <v>0</v>
      </c>
      <c r="F113">
        <v>24.959817050956101</v>
      </c>
      <c r="G113">
        <v>1</v>
      </c>
      <c r="H113">
        <v>10000</v>
      </c>
      <c r="I113" t="s">
        <v>1648</v>
      </c>
    </row>
    <row r="114" spans="1:9" x14ac:dyDescent="0.2">
      <c r="A114" t="s">
        <v>42</v>
      </c>
      <c r="B114">
        <v>84</v>
      </c>
      <c r="C114">
        <v>4</v>
      </c>
      <c r="D114">
        <v>19</v>
      </c>
      <c r="E114">
        <v>1</v>
      </c>
      <c r="F114">
        <v>21.0982412844896</v>
      </c>
      <c r="G114">
        <v>11</v>
      </c>
      <c r="H114">
        <v>10000</v>
      </c>
      <c r="I114" t="s">
        <v>1649</v>
      </c>
    </row>
    <row r="115" spans="1:9" x14ac:dyDescent="0.2">
      <c r="A115" t="s">
        <v>43</v>
      </c>
      <c r="B115">
        <v>85</v>
      </c>
      <c r="C115">
        <v>11</v>
      </c>
      <c r="D115">
        <v>17</v>
      </c>
      <c r="E115">
        <v>0</v>
      </c>
      <c r="F115">
        <v>25.900360810570401</v>
      </c>
      <c r="G115">
        <v>4</v>
      </c>
      <c r="H115">
        <v>10000</v>
      </c>
      <c r="I115" t="s">
        <v>1650</v>
      </c>
    </row>
    <row r="116" spans="1:9" x14ac:dyDescent="0.2">
      <c r="A116" t="s">
        <v>44</v>
      </c>
      <c r="B116">
        <v>86</v>
      </c>
      <c r="C116">
        <v>4</v>
      </c>
      <c r="D116">
        <v>19</v>
      </c>
      <c r="E116">
        <v>0</v>
      </c>
      <c r="F116">
        <v>21.434186817146799</v>
      </c>
      <c r="G116">
        <v>1</v>
      </c>
      <c r="H116">
        <v>10000</v>
      </c>
      <c r="I116" t="s">
        <v>1651</v>
      </c>
    </row>
    <row r="117" spans="1:9" x14ac:dyDescent="0.2">
      <c r="A117" t="s">
        <v>45</v>
      </c>
      <c r="B117">
        <v>87</v>
      </c>
      <c r="C117">
        <v>5</v>
      </c>
      <c r="D117">
        <v>19</v>
      </c>
      <c r="E117">
        <v>0</v>
      </c>
      <c r="F117">
        <v>22.9876644350588</v>
      </c>
      <c r="G117">
        <v>3</v>
      </c>
      <c r="H117">
        <v>10000</v>
      </c>
      <c r="I117" t="s">
        <v>1652</v>
      </c>
    </row>
    <row r="118" spans="1:9" x14ac:dyDescent="0.2">
      <c r="A118" t="s">
        <v>46</v>
      </c>
      <c r="B118">
        <v>88</v>
      </c>
      <c r="C118">
        <v>5</v>
      </c>
      <c r="D118">
        <v>19</v>
      </c>
      <c r="E118">
        <v>0</v>
      </c>
      <c r="F118">
        <v>22.502783395349901</v>
      </c>
      <c r="G118">
        <v>2</v>
      </c>
      <c r="H118">
        <v>10000</v>
      </c>
      <c r="I118" t="s">
        <v>1653</v>
      </c>
    </row>
    <row r="119" spans="1:9" x14ac:dyDescent="0.2">
      <c r="A119" t="s">
        <v>47</v>
      </c>
      <c r="B119">
        <v>89</v>
      </c>
      <c r="C119">
        <v>3</v>
      </c>
      <c r="D119">
        <v>19</v>
      </c>
      <c r="E119">
        <v>0</v>
      </c>
      <c r="F119">
        <v>23.078592834994101</v>
      </c>
      <c r="G119">
        <v>1</v>
      </c>
      <c r="H119">
        <v>10000</v>
      </c>
      <c r="I119" t="s">
        <v>1654</v>
      </c>
    </row>
    <row r="120" spans="1:9" x14ac:dyDescent="0.2">
      <c r="A120" t="s">
        <v>48</v>
      </c>
      <c r="B120">
        <v>90</v>
      </c>
      <c r="C120">
        <v>3</v>
      </c>
      <c r="D120">
        <v>20</v>
      </c>
      <c r="E120">
        <v>1</v>
      </c>
      <c r="F120">
        <v>24.583282134495601</v>
      </c>
      <c r="G120">
        <v>4</v>
      </c>
      <c r="H120">
        <v>10000</v>
      </c>
      <c r="I120" t="s">
        <v>1655</v>
      </c>
    </row>
    <row r="121" spans="1:9" x14ac:dyDescent="0.2">
      <c r="A121" t="s">
        <v>49</v>
      </c>
      <c r="B121">
        <v>91</v>
      </c>
      <c r="C121">
        <v>4</v>
      </c>
      <c r="D121">
        <v>19</v>
      </c>
      <c r="E121">
        <v>0</v>
      </c>
      <c r="F121">
        <v>23.052794057875801</v>
      </c>
      <c r="G121">
        <v>3</v>
      </c>
      <c r="H121">
        <v>10000</v>
      </c>
      <c r="I121" t="s">
        <v>1656</v>
      </c>
    </row>
    <row r="122" spans="1:9" x14ac:dyDescent="0.2">
      <c r="A122" t="s">
        <v>50</v>
      </c>
      <c r="B122">
        <v>92</v>
      </c>
      <c r="C122">
        <v>3</v>
      </c>
      <c r="D122">
        <v>20</v>
      </c>
      <c r="E122">
        <v>0</v>
      </c>
      <c r="F122">
        <v>25.721898571588099</v>
      </c>
      <c r="G122">
        <v>1</v>
      </c>
      <c r="H122">
        <v>10000</v>
      </c>
      <c r="I122" t="s">
        <v>1657</v>
      </c>
    </row>
    <row r="123" spans="1:9" x14ac:dyDescent="0.2">
      <c r="A123" t="s">
        <v>51</v>
      </c>
      <c r="B123">
        <v>93</v>
      </c>
      <c r="C123">
        <v>4</v>
      </c>
      <c r="D123">
        <v>20</v>
      </c>
      <c r="E123">
        <v>0</v>
      </c>
      <c r="F123">
        <v>26.259169292636201</v>
      </c>
      <c r="G123">
        <v>1</v>
      </c>
      <c r="H123">
        <v>10000</v>
      </c>
      <c r="I123" t="s">
        <v>1658</v>
      </c>
    </row>
    <row r="124" spans="1:9" x14ac:dyDescent="0.2">
      <c r="A124" t="s">
        <v>52</v>
      </c>
      <c r="B124">
        <v>94</v>
      </c>
      <c r="C124">
        <v>4</v>
      </c>
      <c r="D124">
        <v>20</v>
      </c>
      <c r="E124">
        <v>0</v>
      </c>
      <c r="F124">
        <v>31.957017469219799</v>
      </c>
      <c r="G124">
        <v>3</v>
      </c>
      <c r="H124">
        <v>10000</v>
      </c>
      <c r="I124" t="s">
        <v>1659</v>
      </c>
    </row>
    <row r="125" spans="1:9" x14ac:dyDescent="0.2">
      <c r="A125" t="s">
        <v>53</v>
      </c>
      <c r="B125">
        <v>95</v>
      </c>
      <c r="C125">
        <v>5</v>
      </c>
      <c r="D125">
        <v>19</v>
      </c>
      <c r="E125">
        <v>0</v>
      </c>
      <c r="F125">
        <v>24.6688368190079</v>
      </c>
      <c r="G125">
        <v>1</v>
      </c>
      <c r="H125">
        <v>10000</v>
      </c>
      <c r="I125" t="s">
        <v>1660</v>
      </c>
    </row>
    <row r="126" spans="1:9" x14ac:dyDescent="0.2">
      <c r="A126" t="s">
        <v>54</v>
      </c>
      <c r="B126">
        <v>96</v>
      </c>
      <c r="C126">
        <v>27</v>
      </c>
      <c r="D126">
        <v>14</v>
      </c>
      <c r="E126">
        <v>0</v>
      </c>
      <c r="F126">
        <v>40.733940077945498</v>
      </c>
      <c r="G126">
        <v>1</v>
      </c>
      <c r="H126">
        <v>10000</v>
      </c>
      <c r="I126" t="s">
        <v>1661</v>
      </c>
    </row>
    <row r="127" spans="1:9" x14ac:dyDescent="0.2">
      <c r="A127" t="s">
        <v>55</v>
      </c>
      <c r="B127">
        <v>97</v>
      </c>
      <c r="C127">
        <v>5</v>
      </c>
      <c r="D127">
        <v>19</v>
      </c>
      <c r="E127">
        <v>0</v>
      </c>
      <c r="F127">
        <v>25.677056271582799</v>
      </c>
      <c r="G127">
        <v>1</v>
      </c>
      <c r="H127">
        <v>10000</v>
      </c>
      <c r="I127" t="s">
        <v>1662</v>
      </c>
    </row>
    <row r="128" spans="1:9" x14ac:dyDescent="0.2">
      <c r="A128" t="s">
        <v>56</v>
      </c>
      <c r="B128">
        <v>98</v>
      </c>
      <c r="C128">
        <v>2</v>
      </c>
      <c r="D128">
        <v>21</v>
      </c>
      <c r="E128">
        <v>0</v>
      </c>
      <c r="F128">
        <v>27.381464218720701</v>
      </c>
      <c r="G128">
        <v>3</v>
      </c>
      <c r="H128">
        <v>10000</v>
      </c>
      <c r="I128" t="s">
        <v>1663</v>
      </c>
    </row>
    <row r="129" spans="1:9" x14ac:dyDescent="0.2">
      <c r="A129" t="s">
        <v>57</v>
      </c>
      <c r="B129">
        <v>99</v>
      </c>
      <c r="C129">
        <v>3</v>
      </c>
      <c r="D129">
        <v>21</v>
      </c>
      <c r="E129">
        <v>0</v>
      </c>
      <c r="F129">
        <v>27.632257958874099</v>
      </c>
      <c r="G129">
        <v>4</v>
      </c>
      <c r="H129">
        <v>10000</v>
      </c>
      <c r="I129" t="s">
        <v>1664</v>
      </c>
    </row>
    <row r="130" spans="1:9" x14ac:dyDescent="0.2">
      <c r="A130" t="s">
        <v>58</v>
      </c>
      <c r="B130">
        <v>100</v>
      </c>
      <c r="C130">
        <v>4</v>
      </c>
      <c r="D130">
        <v>20</v>
      </c>
      <c r="E130">
        <v>0</v>
      </c>
      <c r="F130">
        <v>27.493669372051901</v>
      </c>
      <c r="G130">
        <v>1</v>
      </c>
      <c r="H130">
        <v>10000</v>
      </c>
      <c r="I130" t="s">
        <v>1665</v>
      </c>
    </row>
    <row r="131" spans="1:9" x14ac:dyDescent="0.2">
      <c r="A131" t="s">
        <v>59</v>
      </c>
      <c r="B131">
        <v>101</v>
      </c>
      <c r="C131">
        <v>4</v>
      </c>
      <c r="D131">
        <v>20</v>
      </c>
      <c r="E131">
        <v>0</v>
      </c>
      <c r="F131">
        <v>28.688521561212799</v>
      </c>
      <c r="G131">
        <v>1</v>
      </c>
      <c r="H131">
        <v>10000</v>
      </c>
      <c r="I131" t="s">
        <v>1666</v>
      </c>
    </row>
    <row r="132" spans="1:9" x14ac:dyDescent="0.2">
      <c r="A132" t="s">
        <v>60</v>
      </c>
      <c r="B132">
        <v>102</v>
      </c>
      <c r="C132">
        <v>17</v>
      </c>
      <c r="D132">
        <v>19</v>
      </c>
      <c r="E132">
        <v>2</v>
      </c>
      <c r="F132">
        <v>40.096775320358503</v>
      </c>
      <c r="G132">
        <v>1</v>
      </c>
      <c r="H132">
        <v>10000</v>
      </c>
      <c r="I132" t="s">
        <v>1667</v>
      </c>
    </row>
    <row r="133" spans="1:9" x14ac:dyDescent="0.2">
      <c r="A133" t="s">
        <v>61</v>
      </c>
      <c r="B133">
        <v>103</v>
      </c>
      <c r="C133">
        <v>18</v>
      </c>
      <c r="D133">
        <v>19</v>
      </c>
      <c r="E133">
        <v>2</v>
      </c>
      <c r="F133">
        <v>42.797464136034201</v>
      </c>
      <c r="G133">
        <v>1</v>
      </c>
      <c r="H133">
        <v>10000</v>
      </c>
      <c r="I133" t="s">
        <v>1668</v>
      </c>
    </row>
    <row r="134" spans="1:9" x14ac:dyDescent="0.2">
      <c r="A134" t="s">
        <v>62</v>
      </c>
      <c r="B134">
        <v>104</v>
      </c>
      <c r="C134">
        <v>12</v>
      </c>
      <c r="D134">
        <v>22</v>
      </c>
      <c r="E134">
        <v>3</v>
      </c>
      <c r="F134">
        <v>39.1119107361882</v>
      </c>
      <c r="G134">
        <v>2</v>
      </c>
      <c r="H134">
        <v>10000</v>
      </c>
      <c r="I134" t="s">
        <v>1669</v>
      </c>
    </row>
    <row r="135" spans="1:9" x14ac:dyDescent="0.2">
      <c r="A135" t="s">
        <v>63</v>
      </c>
      <c r="B135">
        <v>105</v>
      </c>
      <c r="C135">
        <v>8</v>
      </c>
      <c r="D135">
        <v>22</v>
      </c>
      <c r="E135">
        <v>2</v>
      </c>
      <c r="F135">
        <v>38.236877802759402</v>
      </c>
      <c r="G135">
        <v>1</v>
      </c>
      <c r="H135">
        <v>10000</v>
      </c>
      <c r="I135" t="s">
        <v>1670</v>
      </c>
    </row>
    <row r="136" spans="1:9" x14ac:dyDescent="0.2">
      <c r="A136" t="s">
        <v>65</v>
      </c>
      <c r="B136">
        <v>106</v>
      </c>
      <c r="C136">
        <v>23</v>
      </c>
      <c r="D136">
        <v>16</v>
      </c>
      <c r="E136">
        <v>0</v>
      </c>
      <c r="F136">
        <v>48.565525790676404</v>
      </c>
      <c r="G136">
        <v>1</v>
      </c>
      <c r="H136">
        <v>10000</v>
      </c>
      <c r="I136" t="s">
        <v>1671</v>
      </c>
    </row>
    <row r="137" spans="1:9" x14ac:dyDescent="0.2">
      <c r="A137" t="s">
        <v>66</v>
      </c>
      <c r="B137">
        <v>107</v>
      </c>
      <c r="C137">
        <v>10</v>
      </c>
      <c r="D137">
        <v>21</v>
      </c>
      <c r="E137">
        <v>1</v>
      </c>
      <c r="F137">
        <v>39.440682110376599</v>
      </c>
      <c r="G137">
        <v>1</v>
      </c>
      <c r="H137">
        <v>10000</v>
      </c>
      <c r="I137" t="s">
        <v>1672</v>
      </c>
    </row>
    <row r="138" spans="1:9" x14ac:dyDescent="0.2">
      <c r="A138" t="s">
        <v>67</v>
      </c>
      <c r="B138">
        <v>108</v>
      </c>
      <c r="C138">
        <v>36</v>
      </c>
      <c r="D138">
        <v>15</v>
      </c>
      <c r="E138">
        <v>2</v>
      </c>
      <c r="F138">
        <v>63.924157301895299</v>
      </c>
      <c r="G138">
        <v>1</v>
      </c>
      <c r="H138">
        <v>10000</v>
      </c>
      <c r="I138" t="s">
        <v>1673</v>
      </c>
    </row>
    <row r="139" spans="1:9" x14ac:dyDescent="0.2">
      <c r="A139" t="s">
        <v>68</v>
      </c>
      <c r="B139">
        <v>109</v>
      </c>
      <c r="C139">
        <v>31</v>
      </c>
      <c r="D139">
        <v>16</v>
      </c>
      <c r="E139">
        <v>2</v>
      </c>
      <c r="F139">
        <v>59.182905416935597</v>
      </c>
      <c r="G139">
        <v>1</v>
      </c>
      <c r="H139">
        <v>10000</v>
      </c>
      <c r="I139" t="s">
        <v>1674</v>
      </c>
    </row>
    <row r="140" spans="1:9" x14ac:dyDescent="0.2">
      <c r="A140" t="s">
        <v>69</v>
      </c>
      <c r="B140">
        <v>110</v>
      </c>
      <c r="C140">
        <v>32</v>
      </c>
      <c r="D140">
        <v>18</v>
      </c>
      <c r="E140">
        <v>4</v>
      </c>
      <c r="F140">
        <v>62.2542822295799</v>
      </c>
      <c r="G140">
        <v>3</v>
      </c>
      <c r="H140">
        <v>10000</v>
      </c>
      <c r="I140" t="s">
        <v>1675</v>
      </c>
    </row>
    <row r="141" spans="1:9" x14ac:dyDescent="0.2">
      <c r="A141" t="s">
        <v>70</v>
      </c>
      <c r="B141">
        <v>111</v>
      </c>
      <c r="C141">
        <v>33</v>
      </c>
      <c r="D141">
        <v>17</v>
      </c>
      <c r="E141">
        <v>3</v>
      </c>
      <c r="F141">
        <v>64.320835534483194</v>
      </c>
      <c r="G141">
        <v>1</v>
      </c>
      <c r="H141">
        <v>10000</v>
      </c>
      <c r="I141" t="s">
        <v>1676</v>
      </c>
    </row>
    <row r="142" spans="1:9" x14ac:dyDescent="0.2">
      <c r="A142" t="s">
        <v>71</v>
      </c>
      <c r="B142">
        <v>112</v>
      </c>
      <c r="C142">
        <v>16</v>
      </c>
      <c r="D142">
        <v>22</v>
      </c>
      <c r="E142">
        <v>3</v>
      </c>
      <c r="F142">
        <v>45.4942300496622</v>
      </c>
      <c r="G142">
        <v>4</v>
      </c>
      <c r="H142">
        <v>10000</v>
      </c>
      <c r="I142" t="s">
        <v>1677</v>
      </c>
    </row>
    <row r="143" spans="1:9" x14ac:dyDescent="0.2">
      <c r="A143" t="s">
        <v>72</v>
      </c>
      <c r="B143">
        <v>113</v>
      </c>
      <c r="C143">
        <v>34</v>
      </c>
      <c r="D143">
        <v>14</v>
      </c>
      <c r="E143">
        <v>0</v>
      </c>
      <c r="F143">
        <v>68.364090914838002</v>
      </c>
      <c r="G143">
        <v>1</v>
      </c>
      <c r="H143">
        <v>10000</v>
      </c>
      <c r="I143" t="s">
        <v>1678</v>
      </c>
    </row>
    <row r="144" spans="1:9" x14ac:dyDescent="0.2">
      <c r="A144" t="s">
        <v>73</v>
      </c>
      <c r="B144">
        <v>114</v>
      </c>
      <c r="C144">
        <v>36</v>
      </c>
      <c r="D144">
        <v>16</v>
      </c>
      <c r="E144">
        <v>2</v>
      </c>
      <c r="F144">
        <v>71.897741053253398</v>
      </c>
      <c r="G144">
        <v>3</v>
      </c>
      <c r="H144">
        <v>10000</v>
      </c>
      <c r="I144" t="s">
        <v>1679</v>
      </c>
    </row>
    <row r="145" spans="1:9" x14ac:dyDescent="0.2">
      <c r="A145" t="s">
        <v>75</v>
      </c>
      <c r="B145">
        <v>115</v>
      </c>
      <c r="C145">
        <v>1</v>
      </c>
      <c r="D145">
        <v>25</v>
      </c>
      <c r="E145">
        <v>0</v>
      </c>
      <c r="F145">
        <v>38.0204589609056</v>
      </c>
      <c r="G145">
        <v>1</v>
      </c>
      <c r="H145">
        <v>10000</v>
      </c>
      <c r="I145" t="s">
        <v>1680</v>
      </c>
    </row>
    <row r="146" spans="1:9" x14ac:dyDescent="0.2">
      <c r="A146" t="s">
        <v>76</v>
      </c>
      <c r="B146">
        <v>116</v>
      </c>
      <c r="C146">
        <v>2</v>
      </c>
      <c r="D146">
        <v>24</v>
      </c>
      <c r="E146">
        <v>0</v>
      </c>
      <c r="F146">
        <v>38.724542151205199</v>
      </c>
      <c r="G146">
        <v>2</v>
      </c>
      <c r="H146">
        <v>10000</v>
      </c>
      <c r="I146" t="s">
        <v>1681</v>
      </c>
    </row>
    <row r="147" spans="1:9" x14ac:dyDescent="0.2">
      <c r="A147" t="s">
        <v>77</v>
      </c>
      <c r="B147">
        <v>117</v>
      </c>
      <c r="C147">
        <v>2</v>
      </c>
      <c r="D147">
        <v>24</v>
      </c>
      <c r="E147">
        <v>0</v>
      </c>
      <c r="F147">
        <v>38.6070628734305</v>
      </c>
      <c r="G147">
        <v>1</v>
      </c>
      <c r="H147">
        <v>10000</v>
      </c>
      <c r="I147" t="s">
        <v>1682</v>
      </c>
    </row>
    <row r="148" spans="1:9" x14ac:dyDescent="0.2">
      <c r="A148" t="s">
        <v>78</v>
      </c>
      <c r="B148">
        <v>118</v>
      </c>
      <c r="C148">
        <v>1</v>
      </c>
      <c r="D148">
        <v>25</v>
      </c>
      <c r="E148">
        <v>0</v>
      </c>
      <c r="F148">
        <v>39.113694815896402</v>
      </c>
      <c r="G148">
        <v>3</v>
      </c>
      <c r="H148">
        <v>10000</v>
      </c>
      <c r="I148" t="s">
        <v>1683</v>
      </c>
    </row>
    <row r="149" spans="1:9" x14ac:dyDescent="0.2">
      <c r="A149" t="s">
        <v>79</v>
      </c>
      <c r="B149">
        <v>119</v>
      </c>
      <c r="C149">
        <v>39</v>
      </c>
      <c r="D149">
        <v>18</v>
      </c>
      <c r="E149">
        <v>4</v>
      </c>
      <c r="F149">
        <v>82.116294632665799</v>
      </c>
      <c r="G149">
        <v>3</v>
      </c>
      <c r="H149">
        <v>10000</v>
      </c>
      <c r="I149" t="s">
        <v>1684</v>
      </c>
    </row>
    <row r="150" spans="1:9" x14ac:dyDescent="0.2">
      <c r="A150" t="s">
        <v>80</v>
      </c>
      <c r="B150">
        <v>120</v>
      </c>
      <c r="C150">
        <v>40</v>
      </c>
      <c r="D150">
        <v>18</v>
      </c>
      <c r="E150">
        <v>4</v>
      </c>
      <c r="F150">
        <v>85.196812337264404</v>
      </c>
      <c r="G150">
        <v>4</v>
      </c>
      <c r="H150">
        <v>10000</v>
      </c>
      <c r="I150" t="s">
        <v>1685</v>
      </c>
    </row>
    <row r="151" spans="1:9" x14ac:dyDescent="0.2">
      <c r="A151" t="s">
        <v>81</v>
      </c>
      <c r="B151">
        <v>121</v>
      </c>
      <c r="C151">
        <v>36</v>
      </c>
      <c r="D151">
        <v>18</v>
      </c>
      <c r="E151">
        <v>3</v>
      </c>
      <c r="F151">
        <v>81.469203522428799</v>
      </c>
      <c r="G151">
        <v>1</v>
      </c>
      <c r="H151">
        <v>10000</v>
      </c>
      <c r="I151" t="s">
        <v>1686</v>
      </c>
    </row>
    <row r="152" spans="1:9" x14ac:dyDescent="0.2">
      <c r="A152" t="s">
        <v>82</v>
      </c>
      <c r="B152">
        <v>122</v>
      </c>
      <c r="C152">
        <v>37</v>
      </c>
      <c r="D152">
        <v>18</v>
      </c>
      <c r="E152">
        <v>3</v>
      </c>
      <c r="F152">
        <v>84.153158336877794</v>
      </c>
      <c r="G152">
        <v>1</v>
      </c>
      <c r="H152">
        <v>10000</v>
      </c>
      <c r="I152" t="s">
        <v>1687</v>
      </c>
    </row>
    <row r="153" spans="1:9" x14ac:dyDescent="0.2">
      <c r="A153" t="s">
        <v>83</v>
      </c>
      <c r="B153">
        <v>123</v>
      </c>
      <c r="C153">
        <v>38</v>
      </c>
      <c r="D153">
        <v>18</v>
      </c>
      <c r="E153">
        <v>3</v>
      </c>
      <c r="F153">
        <v>86.826320976018906</v>
      </c>
      <c r="G153">
        <v>1</v>
      </c>
      <c r="H153">
        <v>10000</v>
      </c>
      <c r="I153" t="s">
        <v>1688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E25F0-4998-A241-ADD2-F3751160E03A}">
  <dimension ref="A1:I153"/>
  <sheetViews>
    <sheetView workbookViewId="0">
      <selection activeCell="A29" sqref="A29:XFD29"/>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35</v>
      </c>
    </row>
    <row r="17" spans="1:9" x14ac:dyDescent="0.2">
      <c r="A17" t="s">
        <v>1573</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88</v>
      </c>
    </row>
    <row r="24" spans="1:9" x14ac:dyDescent="0.2">
      <c r="A24" t="s">
        <v>89</v>
      </c>
    </row>
    <row r="25" spans="1:9" x14ac:dyDescent="0.2">
      <c r="A25" t="s">
        <v>28</v>
      </c>
    </row>
    <row r="26" spans="1:9" x14ac:dyDescent="0.2">
      <c r="A26" t="s">
        <v>90</v>
      </c>
    </row>
    <row r="27" spans="1:9" x14ac:dyDescent="0.2">
      <c r="A27" t="s">
        <v>1331</v>
      </c>
    </row>
    <row r="28" spans="1:9" x14ac:dyDescent="0.2">
      <c r="A28" t="s">
        <v>15</v>
      </c>
    </row>
    <row r="29" spans="1:9" x14ac:dyDescent="0.2">
      <c r="A29" t="s">
        <v>16</v>
      </c>
    </row>
    <row r="30" spans="1:9" x14ac:dyDescent="0.2">
      <c r="A30" t="s">
        <v>1689</v>
      </c>
    </row>
    <row r="31" spans="1:9" x14ac:dyDescent="0.2">
      <c r="A31"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0.65199386794119996</v>
      </c>
      <c r="G33">
        <v>10000</v>
      </c>
      <c r="H33">
        <v>10000</v>
      </c>
      <c r="I33" t="s">
        <v>646</v>
      </c>
    </row>
    <row r="34" spans="1:9" x14ac:dyDescent="0.2">
      <c r="A34" t="s">
        <v>93</v>
      </c>
      <c r="B34">
        <v>4</v>
      </c>
      <c r="C34">
        <v>1</v>
      </c>
      <c r="D34">
        <v>2</v>
      </c>
      <c r="E34">
        <v>0</v>
      </c>
      <c r="F34">
        <v>0.70980944298207704</v>
      </c>
      <c r="G34">
        <v>10000</v>
      </c>
      <c r="H34">
        <v>10000</v>
      </c>
      <c r="I34" t="s">
        <v>647</v>
      </c>
    </row>
    <row r="35" spans="1:9" x14ac:dyDescent="0.2">
      <c r="A35" t="s">
        <v>94</v>
      </c>
      <c r="B35">
        <v>5</v>
      </c>
      <c r="C35">
        <v>1</v>
      </c>
      <c r="D35">
        <v>3</v>
      </c>
      <c r="E35">
        <v>0</v>
      </c>
      <c r="F35">
        <v>0.77438801620155495</v>
      </c>
      <c r="G35">
        <v>10000</v>
      </c>
      <c r="H35">
        <v>10000</v>
      </c>
      <c r="I35" t="s">
        <v>648</v>
      </c>
    </row>
    <row r="36" spans="1:9" x14ac:dyDescent="0.2">
      <c r="A36" t="s">
        <v>95</v>
      </c>
      <c r="B36">
        <v>6</v>
      </c>
      <c r="C36">
        <v>1</v>
      </c>
      <c r="D36">
        <v>3</v>
      </c>
      <c r="E36">
        <v>0</v>
      </c>
      <c r="F36">
        <v>0.80920891091227498</v>
      </c>
      <c r="G36">
        <v>10000</v>
      </c>
      <c r="H36">
        <v>10000</v>
      </c>
      <c r="I36" t="s">
        <v>648</v>
      </c>
    </row>
    <row r="37" spans="1:9" x14ac:dyDescent="0.2">
      <c r="A37" t="s">
        <v>96</v>
      </c>
      <c r="B37">
        <v>7</v>
      </c>
      <c r="C37">
        <v>1</v>
      </c>
      <c r="D37">
        <v>3</v>
      </c>
      <c r="E37">
        <v>0</v>
      </c>
      <c r="F37">
        <v>0.84276724327355601</v>
      </c>
      <c r="G37">
        <v>10000</v>
      </c>
      <c r="H37">
        <v>10000</v>
      </c>
      <c r="I37" t="s">
        <v>649</v>
      </c>
    </row>
    <row r="38" spans="1:9" x14ac:dyDescent="0.2">
      <c r="A38" t="s">
        <v>97</v>
      </c>
      <c r="B38">
        <v>8</v>
      </c>
      <c r="C38">
        <v>1</v>
      </c>
      <c r="D38">
        <v>3</v>
      </c>
      <c r="E38">
        <v>0</v>
      </c>
      <c r="F38">
        <v>0.85140953864902202</v>
      </c>
      <c r="G38">
        <v>10000</v>
      </c>
      <c r="H38">
        <v>10000</v>
      </c>
      <c r="I38" t="s">
        <v>648</v>
      </c>
    </row>
    <row r="39" spans="1:9" x14ac:dyDescent="0.2">
      <c r="A39" t="s">
        <v>98</v>
      </c>
      <c r="B39">
        <v>9</v>
      </c>
      <c r="C39">
        <v>1</v>
      </c>
      <c r="D39">
        <v>3</v>
      </c>
      <c r="E39">
        <v>0</v>
      </c>
      <c r="F39">
        <v>0.87966546416282598</v>
      </c>
      <c r="G39">
        <v>10000</v>
      </c>
      <c r="H39">
        <v>10000</v>
      </c>
      <c r="I39" t="s">
        <v>648</v>
      </c>
    </row>
    <row r="40" spans="1:9" x14ac:dyDescent="0.2">
      <c r="A40" t="s">
        <v>99</v>
      </c>
      <c r="B40">
        <v>10</v>
      </c>
      <c r="C40">
        <v>1</v>
      </c>
      <c r="D40">
        <v>4</v>
      </c>
      <c r="E40">
        <v>0</v>
      </c>
      <c r="F40">
        <v>0.84939963556826104</v>
      </c>
      <c r="G40">
        <v>9904</v>
      </c>
      <c r="H40">
        <v>10000</v>
      </c>
      <c r="I40" t="s">
        <v>1690</v>
      </c>
    </row>
    <row r="41" spans="1:9" x14ac:dyDescent="0.2">
      <c r="A41" t="s">
        <v>100</v>
      </c>
      <c r="B41">
        <v>11</v>
      </c>
      <c r="C41">
        <v>1</v>
      </c>
      <c r="D41">
        <v>5</v>
      </c>
      <c r="E41">
        <v>0</v>
      </c>
      <c r="F41">
        <v>1.0396352941170299</v>
      </c>
      <c r="G41">
        <v>10000</v>
      </c>
      <c r="H41">
        <v>10000</v>
      </c>
      <c r="I41" t="s">
        <v>651</v>
      </c>
    </row>
    <row r="42" spans="1:9" x14ac:dyDescent="0.2">
      <c r="A42" t="s">
        <v>101</v>
      </c>
      <c r="B42">
        <v>12</v>
      </c>
      <c r="C42">
        <v>6</v>
      </c>
      <c r="D42">
        <v>3</v>
      </c>
      <c r="E42">
        <v>0</v>
      </c>
      <c r="F42">
        <v>1.0511007085442501</v>
      </c>
      <c r="G42">
        <v>9999</v>
      </c>
      <c r="H42">
        <v>10000</v>
      </c>
      <c r="I42" t="s">
        <v>1691</v>
      </c>
    </row>
    <row r="43" spans="1:9" x14ac:dyDescent="0.2">
      <c r="A43" t="s">
        <v>102</v>
      </c>
      <c r="B43">
        <v>13</v>
      </c>
      <c r="C43">
        <v>6</v>
      </c>
      <c r="D43">
        <v>3</v>
      </c>
      <c r="E43">
        <v>0</v>
      </c>
      <c r="F43">
        <v>1.08222666475921</v>
      </c>
      <c r="G43">
        <v>9999</v>
      </c>
      <c r="H43">
        <v>10000</v>
      </c>
      <c r="I43" t="s">
        <v>1692</v>
      </c>
    </row>
    <row r="44" spans="1:9" x14ac:dyDescent="0.2">
      <c r="A44" t="s">
        <v>103</v>
      </c>
      <c r="B44">
        <v>14</v>
      </c>
      <c r="C44">
        <v>2</v>
      </c>
      <c r="D44">
        <v>5</v>
      </c>
      <c r="E44">
        <v>0</v>
      </c>
      <c r="F44">
        <v>1.0216681938618399</v>
      </c>
      <c r="G44">
        <v>9946</v>
      </c>
      <c r="H44">
        <v>10000</v>
      </c>
      <c r="I44" t="s">
        <v>1693</v>
      </c>
    </row>
    <row r="45" spans="1:9" x14ac:dyDescent="0.2">
      <c r="A45" t="s">
        <v>104</v>
      </c>
      <c r="B45">
        <v>15</v>
      </c>
      <c r="C45">
        <v>2</v>
      </c>
      <c r="D45">
        <v>5</v>
      </c>
      <c r="E45">
        <v>0</v>
      </c>
      <c r="F45">
        <v>1.05032065510749</v>
      </c>
      <c r="G45">
        <v>9950</v>
      </c>
      <c r="H45">
        <v>10000</v>
      </c>
      <c r="I45" t="s">
        <v>1694</v>
      </c>
    </row>
    <row r="46" spans="1:9" x14ac:dyDescent="0.2">
      <c r="A46" t="s">
        <v>105</v>
      </c>
      <c r="B46">
        <v>16</v>
      </c>
      <c r="C46">
        <v>1</v>
      </c>
      <c r="D46">
        <v>6</v>
      </c>
      <c r="E46">
        <v>0</v>
      </c>
      <c r="F46">
        <v>1.07341031450778</v>
      </c>
      <c r="G46">
        <v>9936</v>
      </c>
      <c r="H46">
        <v>10000</v>
      </c>
      <c r="I46" t="s">
        <v>1695</v>
      </c>
    </row>
    <row r="47" spans="1:9" x14ac:dyDescent="0.2">
      <c r="A47" t="s">
        <v>106</v>
      </c>
      <c r="B47">
        <v>17</v>
      </c>
      <c r="C47">
        <v>3</v>
      </c>
      <c r="D47">
        <v>5</v>
      </c>
      <c r="E47">
        <v>0</v>
      </c>
      <c r="F47">
        <v>1.1281520565971701</v>
      </c>
      <c r="G47">
        <v>9954</v>
      </c>
      <c r="H47">
        <v>10000</v>
      </c>
      <c r="I47" t="s">
        <v>1696</v>
      </c>
    </row>
    <row r="48" spans="1:9" x14ac:dyDescent="0.2">
      <c r="A48" t="s">
        <v>107</v>
      </c>
      <c r="B48">
        <v>18</v>
      </c>
      <c r="C48">
        <v>5</v>
      </c>
      <c r="D48">
        <v>5</v>
      </c>
      <c r="E48">
        <v>0</v>
      </c>
      <c r="F48">
        <v>1.2289504315704101</v>
      </c>
      <c r="G48">
        <v>9953</v>
      </c>
      <c r="H48">
        <v>10000</v>
      </c>
      <c r="I48" t="s">
        <v>1697</v>
      </c>
    </row>
    <row r="49" spans="1:9" x14ac:dyDescent="0.2">
      <c r="A49" t="s">
        <v>108</v>
      </c>
      <c r="B49">
        <v>19</v>
      </c>
      <c r="C49">
        <v>5</v>
      </c>
      <c r="D49">
        <v>5</v>
      </c>
      <c r="E49">
        <v>0</v>
      </c>
      <c r="F49">
        <v>1.25417271442711</v>
      </c>
      <c r="G49">
        <v>9952</v>
      </c>
      <c r="H49">
        <v>10000</v>
      </c>
      <c r="I49" t="s">
        <v>1698</v>
      </c>
    </row>
    <row r="50" spans="1:9" x14ac:dyDescent="0.2">
      <c r="A50" t="s">
        <v>109</v>
      </c>
      <c r="B50">
        <v>20</v>
      </c>
      <c r="C50">
        <v>3</v>
      </c>
      <c r="D50">
        <v>6</v>
      </c>
      <c r="E50">
        <v>0</v>
      </c>
      <c r="F50">
        <v>1.2320675048977101</v>
      </c>
      <c r="G50">
        <v>9618</v>
      </c>
      <c r="H50">
        <v>10000</v>
      </c>
      <c r="I50" t="s">
        <v>1699</v>
      </c>
    </row>
    <row r="51" spans="1:9" x14ac:dyDescent="0.2">
      <c r="A51" t="s">
        <v>110</v>
      </c>
      <c r="B51">
        <v>21</v>
      </c>
      <c r="C51">
        <v>3</v>
      </c>
      <c r="D51">
        <v>6</v>
      </c>
      <c r="E51">
        <v>0</v>
      </c>
      <c r="F51">
        <v>1.25408958736807</v>
      </c>
      <c r="G51">
        <v>9610</v>
      </c>
      <c r="H51">
        <v>10000</v>
      </c>
      <c r="I51" t="s">
        <v>1700</v>
      </c>
    </row>
    <row r="52" spans="1:9" x14ac:dyDescent="0.2">
      <c r="A52" t="s">
        <v>111</v>
      </c>
      <c r="B52">
        <v>22</v>
      </c>
      <c r="C52">
        <v>7</v>
      </c>
      <c r="D52">
        <v>5</v>
      </c>
      <c r="E52">
        <v>0</v>
      </c>
      <c r="F52">
        <v>1.4012319231405801</v>
      </c>
      <c r="G52">
        <v>9850</v>
      </c>
      <c r="H52">
        <v>10000</v>
      </c>
      <c r="I52" t="s">
        <v>1701</v>
      </c>
    </row>
    <row r="53" spans="1:9" x14ac:dyDescent="0.2">
      <c r="A53" t="s">
        <v>112</v>
      </c>
      <c r="B53">
        <v>23</v>
      </c>
      <c r="C53">
        <v>2</v>
      </c>
      <c r="D53">
        <v>7</v>
      </c>
      <c r="E53">
        <v>0</v>
      </c>
      <c r="F53">
        <v>1.31739287637174</v>
      </c>
      <c r="G53">
        <v>8667</v>
      </c>
      <c r="H53">
        <v>10000</v>
      </c>
      <c r="I53" t="s">
        <v>1702</v>
      </c>
    </row>
    <row r="54" spans="1:9" x14ac:dyDescent="0.2">
      <c r="A54" t="s">
        <v>113</v>
      </c>
      <c r="B54">
        <v>24</v>
      </c>
      <c r="C54">
        <v>8</v>
      </c>
      <c r="D54">
        <v>5</v>
      </c>
      <c r="E54">
        <v>0</v>
      </c>
      <c r="F54">
        <v>1.5356000876054099</v>
      </c>
      <c r="G54">
        <v>4063</v>
      </c>
      <c r="H54">
        <v>10000</v>
      </c>
      <c r="I54" t="s">
        <v>1703</v>
      </c>
    </row>
    <row r="55" spans="1:9" x14ac:dyDescent="0.2">
      <c r="A55" t="s">
        <v>114</v>
      </c>
      <c r="B55">
        <v>25</v>
      </c>
      <c r="C55">
        <v>8</v>
      </c>
      <c r="D55">
        <v>5</v>
      </c>
      <c r="E55">
        <v>0</v>
      </c>
      <c r="F55">
        <v>1.58848895039409</v>
      </c>
      <c r="G55">
        <v>3990</v>
      </c>
      <c r="H55">
        <v>10000</v>
      </c>
      <c r="I55" t="s">
        <v>1704</v>
      </c>
    </row>
    <row r="56" spans="1:9" x14ac:dyDescent="0.2">
      <c r="A56" t="s">
        <v>115</v>
      </c>
      <c r="B56">
        <v>26</v>
      </c>
      <c r="C56">
        <v>6</v>
      </c>
      <c r="D56">
        <v>6</v>
      </c>
      <c r="E56">
        <v>0</v>
      </c>
      <c r="F56">
        <v>1.52103350125253</v>
      </c>
      <c r="G56">
        <v>6595</v>
      </c>
      <c r="H56">
        <v>10000</v>
      </c>
      <c r="I56" t="s">
        <v>1705</v>
      </c>
    </row>
    <row r="57" spans="1:9" x14ac:dyDescent="0.2">
      <c r="A57" t="s">
        <v>116</v>
      </c>
      <c r="B57">
        <v>27</v>
      </c>
      <c r="C57">
        <v>6</v>
      </c>
      <c r="D57">
        <v>6</v>
      </c>
      <c r="E57">
        <v>0</v>
      </c>
      <c r="F57">
        <v>1.5750501528382299</v>
      </c>
      <c r="G57">
        <v>6709</v>
      </c>
      <c r="H57">
        <v>10000</v>
      </c>
      <c r="I57" t="s">
        <v>1706</v>
      </c>
    </row>
    <row r="58" spans="1:9" x14ac:dyDescent="0.2">
      <c r="A58" t="s">
        <v>117</v>
      </c>
      <c r="B58">
        <v>28</v>
      </c>
      <c r="C58">
        <v>6</v>
      </c>
      <c r="D58">
        <v>6</v>
      </c>
      <c r="E58">
        <v>0</v>
      </c>
      <c r="F58">
        <v>1.59753877297043</v>
      </c>
      <c r="G58">
        <v>6746</v>
      </c>
      <c r="H58">
        <v>10000</v>
      </c>
      <c r="I58" t="s">
        <v>1707</v>
      </c>
    </row>
    <row r="59" spans="1:9" x14ac:dyDescent="0.2">
      <c r="A59" t="s">
        <v>118</v>
      </c>
      <c r="B59">
        <v>29</v>
      </c>
      <c r="C59">
        <v>6</v>
      </c>
      <c r="D59">
        <v>7</v>
      </c>
      <c r="E59">
        <v>0</v>
      </c>
      <c r="F59">
        <v>1.69737523514777</v>
      </c>
      <c r="G59">
        <v>6938</v>
      </c>
      <c r="H59">
        <v>10000</v>
      </c>
      <c r="I59" t="s">
        <v>1708</v>
      </c>
    </row>
    <row r="60" spans="1:9" x14ac:dyDescent="0.2">
      <c r="A60" t="s">
        <v>119</v>
      </c>
      <c r="B60">
        <v>30</v>
      </c>
      <c r="C60">
        <v>9</v>
      </c>
      <c r="D60">
        <v>6</v>
      </c>
      <c r="E60">
        <v>0</v>
      </c>
      <c r="F60">
        <v>1.87973065767437</v>
      </c>
      <c r="G60">
        <v>6028</v>
      </c>
      <c r="H60">
        <v>10000</v>
      </c>
      <c r="I60" t="s">
        <v>1709</v>
      </c>
    </row>
    <row r="61" spans="1:9" x14ac:dyDescent="0.2">
      <c r="A61" t="s">
        <v>120</v>
      </c>
      <c r="B61">
        <v>31</v>
      </c>
      <c r="C61">
        <v>9</v>
      </c>
      <c r="D61">
        <v>6</v>
      </c>
      <c r="E61">
        <v>0</v>
      </c>
      <c r="F61">
        <v>1.91757397167384</v>
      </c>
      <c r="G61">
        <v>5989</v>
      </c>
      <c r="H61">
        <v>10000</v>
      </c>
      <c r="I61" t="s">
        <v>1710</v>
      </c>
    </row>
    <row r="62" spans="1:9" x14ac:dyDescent="0.2">
      <c r="A62" t="s">
        <v>121</v>
      </c>
      <c r="B62">
        <v>32</v>
      </c>
      <c r="C62">
        <v>5</v>
      </c>
      <c r="D62">
        <v>8</v>
      </c>
      <c r="E62">
        <v>0</v>
      </c>
      <c r="F62">
        <v>1.7506071375682899</v>
      </c>
      <c r="G62">
        <v>6699</v>
      </c>
      <c r="H62">
        <v>10000</v>
      </c>
      <c r="I62" t="s">
        <v>1711</v>
      </c>
    </row>
    <row r="63" spans="1:9" x14ac:dyDescent="0.2">
      <c r="A63" t="s">
        <v>122</v>
      </c>
      <c r="B63">
        <v>33</v>
      </c>
      <c r="C63">
        <v>7</v>
      </c>
      <c r="D63">
        <v>8</v>
      </c>
      <c r="E63">
        <v>0</v>
      </c>
      <c r="F63">
        <v>1.9519811663776601</v>
      </c>
      <c r="G63">
        <v>5919</v>
      </c>
      <c r="H63">
        <v>10000</v>
      </c>
      <c r="I63" t="s">
        <v>1712</v>
      </c>
    </row>
    <row r="64" spans="1:9" x14ac:dyDescent="0.2">
      <c r="A64" t="s">
        <v>123</v>
      </c>
      <c r="B64">
        <v>34</v>
      </c>
      <c r="C64">
        <v>17</v>
      </c>
      <c r="D64">
        <v>5</v>
      </c>
      <c r="E64">
        <v>0</v>
      </c>
      <c r="F64">
        <v>2.8514463724568402</v>
      </c>
      <c r="G64">
        <v>4130</v>
      </c>
      <c r="H64">
        <v>10000</v>
      </c>
      <c r="I64" t="s">
        <v>1713</v>
      </c>
    </row>
    <row r="65" spans="1:9" x14ac:dyDescent="0.2">
      <c r="A65" t="s">
        <v>124</v>
      </c>
      <c r="B65">
        <v>35</v>
      </c>
      <c r="C65">
        <v>4</v>
      </c>
      <c r="D65">
        <v>9</v>
      </c>
      <c r="E65">
        <v>0</v>
      </c>
      <c r="F65">
        <v>1.9065315518528201</v>
      </c>
      <c r="G65">
        <v>4187</v>
      </c>
      <c r="H65">
        <v>10000</v>
      </c>
      <c r="I65" t="s">
        <v>1714</v>
      </c>
    </row>
    <row r="66" spans="1:9" x14ac:dyDescent="0.2">
      <c r="A66" t="s">
        <v>125</v>
      </c>
      <c r="B66">
        <v>36</v>
      </c>
      <c r="C66">
        <v>4</v>
      </c>
      <c r="D66">
        <v>9</v>
      </c>
      <c r="E66">
        <v>0</v>
      </c>
      <c r="F66">
        <v>1.93568467907607</v>
      </c>
      <c r="G66">
        <v>4251</v>
      </c>
      <c r="H66">
        <v>10000</v>
      </c>
      <c r="I66" t="s">
        <v>1715</v>
      </c>
    </row>
    <row r="67" spans="1:9" x14ac:dyDescent="0.2">
      <c r="A67" t="s">
        <v>126</v>
      </c>
      <c r="B67">
        <v>37</v>
      </c>
      <c r="C67">
        <v>4</v>
      </c>
      <c r="D67">
        <v>9</v>
      </c>
      <c r="E67">
        <v>0</v>
      </c>
      <c r="F67">
        <v>2.0048807347193298</v>
      </c>
      <c r="G67">
        <v>4300</v>
      </c>
      <c r="H67">
        <v>10000</v>
      </c>
      <c r="I67" t="s">
        <v>1716</v>
      </c>
    </row>
    <row r="68" spans="1:9" x14ac:dyDescent="0.2">
      <c r="A68" t="s">
        <v>127</v>
      </c>
      <c r="B68">
        <v>38</v>
      </c>
      <c r="C68">
        <v>4</v>
      </c>
      <c r="D68">
        <v>9</v>
      </c>
      <c r="E68">
        <v>0</v>
      </c>
      <c r="F68">
        <v>2.0241497894749001</v>
      </c>
      <c r="G68">
        <v>4230</v>
      </c>
      <c r="H68">
        <v>10000</v>
      </c>
      <c r="I68" t="s">
        <v>1717</v>
      </c>
    </row>
    <row r="69" spans="1:9" x14ac:dyDescent="0.2">
      <c r="A69" t="s">
        <v>128</v>
      </c>
      <c r="B69">
        <v>39</v>
      </c>
      <c r="C69">
        <v>4</v>
      </c>
      <c r="D69">
        <v>9</v>
      </c>
      <c r="E69">
        <v>0</v>
      </c>
      <c r="F69">
        <v>2.16384073905646</v>
      </c>
      <c r="G69">
        <v>1856</v>
      </c>
      <c r="H69">
        <v>10000</v>
      </c>
      <c r="I69" t="s">
        <v>1718</v>
      </c>
    </row>
    <row r="70" spans="1:9" x14ac:dyDescent="0.2">
      <c r="A70" t="s">
        <v>129</v>
      </c>
      <c r="B70">
        <v>40</v>
      </c>
      <c r="C70">
        <v>5</v>
      </c>
      <c r="D70">
        <v>9</v>
      </c>
      <c r="E70">
        <v>0</v>
      </c>
      <c r="F70">
        <v>2.2582030771300099</v>
      </c>
      <c r="G70">
        <v>3538</v>
      </c>
      <c r="H70">
        <v>10000</v>
      </c>
      <c r="I70" t="s">
        <v>1719</v>
      </c>
    </row>
    <row r="71" spans="1:9" x14ac:dyDescent="0.2">
      <c r="A71" t="s">
        <v>130</v>
      </c>
      <c r="B71">
        <v>41</v>
      </c>
      <c r="C71">
        <v>2</v>
      </c>
      <c r="D71">
        <v>11</v>
      </c>
      <c r="E71">
        <v>0</v>
      </c>
      <c r="F71">
        <v>2.1658771317452099</v>
      </c>
      <c r="G71">
        <v>2351</v>
      </c>
      <c r="H71">
        <v>10000</v>
      </c>
      <c r="I71" t="s">
        <v>1720</v>
      </c>
    </row>
    <row r="72" spans="1:9" x14ac:dyDescent="0.2">
      <c r="A72" t="s">
        <v>131</v>
      </c>
      <c r="B72">
        <v>42</v>
      </c>
      <c r="C72">
        <v>5</v>
      </c>
      <c r="D72">
        <v>9</v>
      </c>
      <c r="E72">
        <v>0</v>
      </c>
      <c r="F72">
        <v>2.4523560171946799</v>
      </c>
      <c r="G72">
        <v>722</v>
      </c>
      <c r="H72">
        <v>10000</v>
      </c>
      <c r="I72" t="s">
        <v>1721</v>
      </c>
    </row>
    <row r="73" spans="1:9" x14ac:dyDescent="0.2">
      <c r="A73" t="s">
        <v>132</v>
      </c>
      <c r="B73">
        <v>43</v>
      </c>
      <c r="C73">
        <v>6</v>
      </c>
      <c r="D73">
        <v>9</v>
      </c>
      <c r="E73">
        <v>0</v>
      </c>
      <c r="F73">
        <v>2.6039365725591699</v>
      </c>
      <c r="G73">
        <v>899</v>
      </c>
      <c r="H73">
        <v>10000</v>
      </c>
      <c r="I73" t="s">
        <v>1722</v>
      </c>
    </row>
    <row r="74" spans="1:9" x14ac:dyDescent="0.2">
      <c r="A74" t="s">
        <v>133</v>
      </c>
      <c r="B74">
        <v>44</v>
      </c>
      <c r="C74">
        <v>6</v>
      </c>
      <c r="D74">
        <v>9</v>
      </c>
      <c r="E74">
        <v>0</v>
      </c>
      <c r="F74">
        <v>2.6688680183142401</v>
      </c>
      <c r="G74">
        <v>414</v>
      </c>
      <c r="H74">
        <v>10000</v>
      </c>
      <c r="I74" t="s">
        <v>1723</v>
      </c>
    </row>
    <row r="75" spans="1:9" x14ac:dyDescent="0.2">
      <c r="A75" t="s">
        <v>134</v>
      </c>
      <c r="B75">
        <v>45</v>
      </c>
      <c r="C75">
        <v>6</v>
      </c>
      <c r="D75">
        <v>9</v>
      </c>
      <c r="E75">
        <v>0</v>
      </c>
      <c r="F75">
        <v>2.75458288472145</v>
      </c>
      <c r="G75">
        <v>399</v>
      </c>
      <c r="H75">
        <v>10000</v>
      </c>
      <c r="I75" t="s">
        <v>1724</v>
      </c>
    </row>
    <row r="76" spans="1:9" x14ac:dyDescent="0.2">
      <c r="A76" t="s">
        <v>135</v>
      </c>
      <c r="B76">
        <v>46</v>
      </c>
      <c r="C76">
        <v>7</v>
      </c>
      <c r="D76">
        <v>9</v>
      </c>
      <c r="E76">
        <v>0</v>
      </c>
      <c r="F76">
        <v>2.9543514801189299</v>
      </c>
      <c r="G76">
        <v>129</v>
      </c>
      <c r="H76">
        <v>10000</v>
      </c>
      <c r="I76" t="s">
        <v>1725</v>
      </c>
    </row>
    <row r="77" spans="1:9" x14ac:dyDescent="0.2">
      <c r="A77" t="s">
        <v>136</v>
      </c>
      <c r="B77">
        <v>47</v>
      </c>
      <c r="C77">
        <v>8</v>
      </c>
      <c r="D77">
        <v>9</v>
      </c>
      <c r="E77">
        <v>0</v>
      </c>
      <c r="F77">
        <v>3.15708174556493</v>
      </c>
      <c r="G77">
        <v>172</v>
      </c>
      <c r="H77">
        <v>10000</v>
      </c>
      <c r="I77" t="s">
        <v>1726</v>
      </c>
    </row>
    <row r="78" spans="1:9" x14ac:dyDescent="0.2">
      <c r="A78" t="s">
        <v>137</v>
      </c>
      <c r="B78">
        <v>48</v>
      </c>
      <c r="C78">
        <v>5</v>
      </c>
      <c r="D78">
        <v>10</v>
      </c>
      <c r="E78">
        <v>0</v>
      </c>
      <c r="F78">
        <v>2.8410761225968599</v>
      </c>
      <c r="G78">
        <v>80</v>
      </c>
      <c r="H78">
        <v>10000</v>
      </c>
      <c r="I78" t="s">
        <v>1727</v>
      </c>
    </row>
    <row r="79" spans="1:9" x14ac:dyDescent="0.2">
      <c r="A79" t="s">
        <v>138</v>
      </c>
      <c r="B79">
        <v>49</v>
      </c>
      <c r="C79">
        <v>17</v>
      </c>
      <c r="D79">
        <v>7</v>
      </c>
      <c r="E79">
        <v>0</v>
      </c>
      <c r="F79">
        <v>4.6125200260430503</v>
      </c>
      <c r="G79">
        <v>288</v>
      </c>
      <c r="H79">
        <v>10000</v>
      </c>
      <c r="I79" t="s">
        <v>1728</v>
      </c>
    </row>
    <row r="80" spans="1:9" x14ac:dyDescent="0.2">
      <c r="A80" t="s">
        <v>139</v>
      </c>
      <c r="B80">
        <v>50</v>
      </c>
      <c r="C80">
        <v>13</v>
      </c>
      <c r="D80">
        <v>8</v>
      </c>
      <c r="E80">
        <v>0</v>
      </c>
      <c r="F80">
        <v>4.0561342258006299</v>
      </c>
      <c r="G80">
        <v>5</v>
      </c>
      <c r="H80">
        <v>10000</v>
      </c>
      <c r="I80" t="s">
        <v>1729</v>
      </c>
    </row>
    <row r="81" spans="1:9" x14ac:dyDescent="0.2">
      <c r="A81" t="s">
        <v>188</v>
      </c>
      <c r="B81">
        <v>51</v>
      </c>
      <c r="C81">
        <v>12</v>
      </c>
      <c r="D81">
        <v>9</v>
      </c>
      <c r="E81">
        <v>0</v>
      </c>
      <c r="F81">
        <v>4.0646354891359797</v>
      </c>
      <c r="G81">
        <v>175</v>
      </c>
      <c r="H81">
        <v>10000</v>
      </c>
      <c r="I81" t="s">
        <v>1730</v>
      </c>
    </row>
    <row r="82" spans="1:9" x14ac:dyDescent="0.2">
      <c r="A82" t="s">
        <v>190</v>
      </c>
      <c r="B82">
        <v>52</v>
      </c>
      <c r="C82">
        <v>10</v>
      </c>
      <c r="D82">
        <v>11</v>
      </c>
      <c r="E82">
        <v>1</v>
      </c>
      <c r="F82">
        <v>3.9285795232281</v>
      </c>
      <c r="G82">
        <v>1835</v>
      </c>
      <c r="H82">
        <v>10000</v>
      </c>
      <c r="I82" t="s">
        <v>1731</v>
      </c>
    </row>
    <row r="83" spans="1:9" x14ac:dyDescent="0.2">
      <c r="A83" t="s">
        <v>192</v>
      </c>
      <c r="B83">
        <v>53</v>
      </c>
      <c r="C83">
        <v>6</v>
      </c>
      <c r="D83">
        <v>11</v>
      </c>
      <c r="E83">
        <v>0</v>
      </c>
      <c r="F83">
        <v>3.4884645380079702</v>
      </c>
      <c r="G83">
        <v>82</v>
      </c>
      <c r="H83">
        <v>10000</v>
      </c>
      <c r="I83" t="s">
        <v>1732</v>
      </c>
    </row>
    <row r="84" spans="1:9" x14ac:dyDescent="0.2">
      <c r="A84" t="s">
        <v>194</v>
      </c>
      <c r="B84">
        <v>54</v>
      </c>
      <c r="C84">
        <v>12</v>
      </c>
      <c r="D84">
        <v>10</v>
      </c>
      <c r="E84">
        <v>0</v>
      </c>
      <c r="F84">
        <v>4.5248769093304801</v>
      </c>
      <c r="G84">
        <v>205</v>
      </c>
      <c r="H84">
        <v>10000</v>
      </c>
      <c r="I84" t="s">
        <v>1733</v>
      </c>
    </row>
    <row r="85" spans="1:9" x14ac:dyDescent="0.2">
      <c r="A85" t="s">
        <v>196</v>
      </c>
      <c r="B85">
        <v>55</v>
      </c>
      <c r="C85">
        <v>5</v>
      </c>
      <c r="D85">
        <v>12</v>
      </c>
      <c r="E85">
        <v>0</v>
      </c>
      <c r="F85">
        <v>3.5312823085114302</v>
      </c>
      <c r="G85">
        <v>24</v>
      </c>
      <c r="H85">
        <v>10000</v>
      </c>
      <c r="I85" t="s">
        <v>1734</v>
      </c>
    </row>
    <row r="86" spans="1:9" x14ac:dyDescent="0.2">
      <c r="A86" t="s">
        <v>198</v>
      </c>
      <c r="B86">
        <v>56</v>
      </c>
      <c r="C86">
        <v>5</v>
      </c>
      <c r="D86">
        <v>12</v>
      </c>
      <c r="E86">
        <v>0</v>
      </c>
      <c r="F86">
        <v>3.5931192887946901</v>
      </c>
      <c r="G86">
        <v>40</v>
      </c>
      <c r="H86">
        <v>10000</v>
      </c>
      <c r="I86" t="s">
        <v>1735</v>
      </c>
    </row>
    <row r="87" spans="1:9" x14ac:dyDescent="0.2">
      <c r="A87" t="s">
        <v>200</v>
      </c>
      <c r="B87">
        <v>57</v>
      </c>
      <c r="C87">
        <v>4</v>
      </c>
      <c r="D87">
        <v>13</v>
      </c>
      <c r="E87">
        <v>0</v>
      </c>
      <c r="F87">
        <v>3.5937514640390802</v>
      </c>
      <c r="G87">
        <v>33</v>
      </c>
      <c r="H87">
        <v>10000</v>
      </c>
      <c r="I87" t="s">
        <v>1736</v>
      </c>
    </row>
    <row r="88" spans="1:9" x14ac:dyDescent="0.2">
      <c r="A88" t="s">
        <v>202</v>
      </c>
      <c r="B88">
        <v>58</v>
      </c>
      <c r="C88">
        <v>12</v>
      </c>
      <c r="D88">
        <v>10</v>
      </c>
      <c r="E88">
        <v>0</v>
      </c>
      <c r="F88">
        <v>5.0692704981192902</v>
      </c>
      <c r="G88">
        <v>37</v>
      </c>
      <c r="H88">
        <v>10000</v>
      </c>
      <c r="I88" t="s">
        <v>1737</v>
      </c>
    </row>
    <row r="89" spans="1:9" x14ac:dyDescent="0.2">
      <c r="A89" t="s">
        <v>204</v>
      </c>
      <c r="B89">
        <v>59</v>
      </c>
      <c r="C89">
        <v>12</v>
      </c>
      <c r="D89">
        <v>10</v>
      </c>
      <c r="E89">
        <v>0</v>
      </c>
      <c r="F89">
        <v>5.2144185025244898</v>
      </c>
      <c r="G89">
        <v>19</v>
      </c>
      <c r="H89">
        <v>10000</v>
      </c>
      <c r="I89" t="s">
        <v>1738</v>
      </c>
    </row>
    <row r="90" spans="1:9" x14ac:dyDescent="0.2">
      <c r="A90" t="s">
        <v>206</v>
      </c>
      <c r="B90">
        <v>60</v>
      </c>
      <c r="C90">
        <v>10</v>
      </c>
      <c r="D90">
        <v>11</v>
      </c>
      <c r="E90">
        <v>0</v>
      </c>
      <c r="F90">
        <v>4.9048233292996803</v>
      </c>
      <c r="G90">
        <v>31</v>
      </c>
      <c r="H90">
        <v>10000</v>
      </c>
      <c r="I90" t="s">
        <v>1739</v>
      </c>
    </row>
    <row r="91" spans="1:9" x14ac:dyDescent="0.2">
      <c r="A91" t="s">
        <v>208</v>
      </c>
      <c r="B91">
        <v>61</v>
      </c>
      <c r="C91">
        <v>10</v>
      </c>
      <c r="D91">
        <v>11</v>
      </c>
      <c r="E91">
        <v>0</v>
      </c>
      <c r="F91">
        <v>5.1710791299119503</v>
      </c>
      <c r="G91">
        <v>25</v>
      </c>
      <c r="H91">
        <v>10000</v>
      </c>
      <c r="I91" t="s">
        <v>1740</v>
      </c>
    </row>
    <row r="92" spans="1:9" x14ac:dyDescent="0.2">
      <c r="A92" t="s">
        <v>210</v>
      </c>
      <c r="B92">
        <v>62</v>
      </c>
      <c r="C92">
        <v>16</v>
      </c>
      <c r="D92">
        <v>10</v>
      </c>
      <c r="E92">
        <v>0</v>
      </c>
      <c r="F92">
        <v>6.6603798195719701</v>
      </c>
      <c r="G92">
        <v>45</v>
      </c>
      <c r="H92">
        <v>10000</v>
      </c>
      <c r="I92" t="s">
        <v>1741</v>
      </c>
    </row>
    <row r="93" spans="1:9" x14ac:dyDescent="0.2">
      <c r="A93" t="s">
        <v>212</v>
      </c>
      <c r="B93">
        <v>63</v>
      </c>
      <c r="C93">
        <v>8</v>
      </c>
      <c r="D93">
        <v>13</v>
      </c>
      <c r="E93">
        <v>0</v>
      </c>
      <c r="F93">
        <v>5.0184999881312198</v>
      </c>
      <c r="G93">
        <v>5</v>
      </c>
      <c r="H93">
        <v>10000</v>
      </c>
      <c r="I93" t="s">
        <v>1742</v>
      </c>
    </row>
    <row r="94" spans="1:9" x14ac:dyDescent="0.2">
      <c r="A94" t="s">
        <v>214</v>
      </c>
      <c r="B94">
        <v>64</v>
      </c>
      <c r="C94">
        <v>13</v>
      </c>
      <c r="D94">
        <v>12</v>
      </c>
      <c r="E94">
        <v>0</v>
      </c>
      <c r="F94">
        <v>6.0772825675085098</v>
      </c>
      <c r="G94">
        <v>94</v>
      </c>
      <c r="H94">
        <v>10000</v>
      </c>
      <c r="I94" t="s">
        <v>1743</v>
      </c>
    </row>
    <row r="95" spans="1:9" x14ac:dyDescent="0.2">
      <c r="A95" t="s">
        <v>216</v>
      </c>
      <c r="B95">
        <v>65</v>
      </c>
      <c r="C95">
        <v>5</v>
      </c>
      <c r="D95">
        <v>14</v>
      </c>
      <c r="E95">
        <v>0</v>
      </c>
      <c r="F95">
        <v>4.6300216130912304</v>
      </c>
      <c r="G95">
        <v>27</v>
      </c>
      <c r="H95">
        <v>10000</v>
      </c>
      <c r="I95" t="s">
        <v>1744</v>
      </c>
    </row>
    <row r="96" spans="1:9" x14ac:dyDescent="0.2">
      <c r="A96" t="s">
        <v>218</v>
      </c>
      <c r="B96">
        <v>66</v>
      </c>
      <c r="C96">
        <v>5</v>
      </c>
      <c r="D96">
        <v>14</v>
      </c>
      <c r="E96">
        <v>0</v>
      </c>
      <c r="F96">
        <v>4.6997792711481399</v>
      </c>
      <c r="G96">
        <v>29</v>
      </c>
      <c r="H96">
        <v>10000</v>
      </c>
      <c r="I96" t="s">
        <v>1745</v>
      </c>
    </row>
    <row r="97" spans="1:9" x14ac:dyDescent="0.2">
      <c r="A97" t="s">
        <v>220</v>
      </c>
      <c r="B97">
        <v>67</v>
      </c>
      <c r="C97">
        <v>5</v>
      </c>
      <c r="D97">
        <v>14</v>
      </c>
      <c r="E97">
        <v>0</v>
      </c>
      <c r="F97">
        <v>4.9488296303898096</v>
      </c>
      <c r="G97">
        <v>5</v>
      </c>
      <c r="H97">
        <v>10000</v>
      </c>
      <c r="I97" t="s">
        <v>1746</v>
      </c>
    </row>
    <row r="98" spans="1:9" x14ac:dyDescent="0.2">
      <c r="A98" t="s">
        <v>222</v>
      </c>
      <c r="B98">
        <v>68</v>
      </c>
      <c r="C98">
        <v>5</v>
      </c>
      <c r="D98">
        <v>14</v>
      </c>
      <c r="E98">
        <v>0</v>
      </c>
      <c r="F98">
        <v>4.9380410332232696</v>
      </c>
      <c r="G98">
        <v>6</v>
      </c>
      <c r="H98">
        <v>10000</v>
      </c>
      <c r="I98" t="s">
        <v>1747</v>
      </c>
    </row>
    <row r="99" spans="1:9" x14ac:dyDescent="0.2">
      <c r="A99" t="s">
        <v>224</v>
      </c>
      <c r="B99">
        <v>69</v>
      </c>
      <c r="C99">
        <v>5</v>
      </c>
      <c r="D99">
        <v>14</v>
      </c>
      <c r="E99">
        <v>0</v>
      </c>
      <c r="F99">
        <v>5.0730043426156</v>
      </c>
      <c r="G99">
        <v>7</v>
      </c>
      <c r="H99">
        <v>10000</v>
      </c>
      <c r="I99" t="s">
        <v>1748</v>
      </c>
    </row>
    <row r="100" spans="1:9" x14ac:dyDescent="0.2">
      <c r="A100" t="s">
        <v>226</v>
      </c>
      <c r="B100">
        <v>70</v>
      </c>
      <c r="C100">
        <v>5</v>
      </c>
      <c r="D100">
        <v>14</v>
      </c>
      <c r="E100">
        <v>0</v>
      </c>
      <c r="F100">
        <v>5.1223042774945498</v>
      </c>
      <c r="G100">
        <v>3</v>
      </c>
      <c r="H100">
        <v>10000</v>
      </c>
      <c r="I100" t="s">
        <v>1749</v>
      </c>
    </row>
    <row r="101" spans="1:9" x14ac:dyDescent="0.2">
      <c r="A101" t="s">
        <v>228</v>
      </c>
      <c r="B101">
        <v>71</v>
      </c>
      <c r="C101">
        <v>5</v>
      </c>
      <c r="D101">
        <v>15</v>
      </c>
      <c r="E101">
        <v>0</v>
      </c>
      <c r="F101">
        <v>5.4258274240419198</v>
      </c>
      <c r="G101">
        <v>5</v>
      </c>
      <c r="H101">
        <v>10000</v>
      </c>
      <c r="I101" t="s">
        <v>1750</v>
      </c>
    </row>
    <row r="102" spans="1:9" x14ac:dyDescent="0.2">
      <c r="A102" t="s">
        <v>230</v>
      </c>
      <c r="B102">
        <v>72</v>
      </c>
      <c r="C102">
        <v>5</v>
      </c>
      <c r="D102">
        <v>15</v>
      </c>
      <c r="E102">
        <v>0</v>
      </c>
      <c r="F102">
        <v>5.4250850845128298</v>
      </c>
      <c r="G102">
        <v>4</v>
      </c>
      <c r="H102">
        <v>10000</v>
      </c>
      <c r="I102" t="s">
        <v>1751</v>
      </c>
    </row>
    <row r="103" spans="1:9" x14ac:dyDescent="0.2">
      <c r="A103" t="s">
        <v>232</v>
      </c>
      <c r="B103">
        <v>73</v>
      </c>
      <c r="C103">
        <v>5</v>
      </c>
      <c r="D103">
        <v>15</v>
      </c>
      <c r="E103">
        <v>0</v>
      </c>
      <c r="F103">
        <v>5.6674264622852197</v>
      </c>
      <c r="G103">
        <v>2</v>
      </c>
      <c r="H103">
        <v>10000</v>
      </c>
      <c r="I103" t="s">
        <v>1752</v>
      </c>
    </row>
    <row r="104" spans="1:9" x14ac:dyDescent="0.2">
      <c r="A104" t="s">
        <v>234</v>
      </c>
      <c r="B104">
        <v>74</v>
      </c>
      <c r="C104">
        <v>5</v>
      </c>
      <c r="D104">
        <v>15</v>
      </c>
      <c r="E104">
        <v>0</v>
      </c>
      <c r="F104">
        <v>5.72506760712713</v>
      </c>
      <c r="G104">
        <v>3</v>
      </c>
      <c r="H104">
        <v>10000</v>
      </c>
      <c r="I104" t="s">
        <v>1753</v>
      </c>
    </row>
    <row r="105" spans="1:9" x14ac:dyDescent="0.2">
      <c r="A105" t="s">
        <v>236</v>
      </c>
      <c r="B105">
        <v>75</v>
      </c>
      <c r="C105">
        <v>5</v>
      </c>
      <c r="D105">
        <v>15</v>
      </c>
      <c r="E105">
        <v>0</v>
      </c>
      <c r="F105">
        <v>5.9920970275998098</v>
      </c>
      <c r="G105">
        <v>3</v>
      </c>
      <c r="H105">
        <v>10000</v>
      </c>
      <c r="I105" t="s">
        <v>1754</v>
      </c>
    </row>
    <row r="106" spans="1:9" x14ac:dyDescent="0.2">
      <c r="A106" t="s">
        <v>238</v>
      </c>
      <c r="B106">
        <v>76</v>
      </c>
      <c r="C106">
        <v>5</v>
      </c>
      <c r="D106">
        <v>15</v>
      </c>
      <c r="E106">
        <v>0</v>
      </c>
      <c r="F106">
        <v>6.1548779672011698</v>
      </c>
      <c r="G106">
        <v>2</v>
      </c>
      <c r="H106">
        <v>10000</v>
      </c>
      <c r="I106" t="s">
        <v>1755</v>
      </c>
    </row>
    <row r="107" spans="1:9" x14ac:dyDescent="0.2">
      <c r="A107" t="s">
        <v>240</v>
      </c>
      <c r="B107">
        <v>77</v>
      </c>
      <c r="C107">
        <v>5</v>
      </c>
      <c r="D107">
        <v>16</v>
      </c>
      <c r="E107">
        <v>1</v>
      </c>
      <c r="F107">
        <v>6.2624734034761698</v>
      </c>
      <c r="G107">
        <v>1</v>
      </c>
      <c r="H107">
        <v>10000</v>
      </c>
      <c r="I107" t="s">
        <v>1756</v>
      </c>
    </row>
    <row r="108" spans="1:9" x14ac:dyDescent="0.2">
      <c r="A108" t="s">
        <v>36</v>
      </c>
      <c r="B108">
        <v>78</v>
      </c>
      <c r="C108">
        <v>15</v>
      </c>
      <c r="D108">
        <v>13</v>
      </c>
      <c r="E108">
        <v>1</v>
      </c>
      <c r="F108">
        <v>9.4647333184257096</v>
      </c>
      <c r="G108">
        <v>2</v>
      </c>
      <c r="H108">
        <v>10000</v>
      </c>
      <c r="I108" t="s">
        <v>1757</v>
      </c>
    </row>
    <row r="109" spans="1:9" x14ac:dyDescent="0.2">
      <c r="A109" t="s">
        <v>37</v>
      </c>
      <c r="B109">
        <v>79</v>
      </c>
      <c r="C109">
        <v>14</v>
      </c>
      <c r="D109">
        <v>14</v>
      </c>
      <c r="E109">
        <v>1</v>
      </c>
      <c r="F109">
        <v>9.3706066571175999</v>
      </c>
      <c r="G109">
        <v>5</v>
      </c>
      <c r="H109">
        <v>10000</v>
      </c>
      <c r="I109" t="s">
        <v>1758</v>
      </c>
    </row>
    <row r="110" spans="1:9" x14ac:dyDescent="0.2">
      <c r="A110" t="s">
        <v>38</v>
      </c>
      <c r="B110">
        <v>80</v>
      </c>
      <c r="C110">
        <v>7</v>
      </c>
      <c r="D110">
        <v>16</v>
      </c>
      <c r="E110">
        <v>1</v>
      </c>
      <c r="F110">
        <v>7.0104338806122497</v>
      </c>
      <c r="G110">
        <v>2</v>
      </c>
      <c r="H110">
        <v>10000</v>
      </c>
      <c r="I110" t="s">
        <v>1759</v>
      </c>
    </row>
    <row r="111" spans="1:9" x14ac:dyDescent="0.2">
      <c r="A111" t="s">
        <v>39</v>
      </c>
      <c r="B111">
        <v>81</v>
      </c>
      <c r="C111">
        <v>11</v>
      </c>
      <c r="D111">
        <v>16</v>
      </c>
      <c r="E111">
        <v>1</v>
      </c>
      <c r="F111">
        <v>8.6187794441357202</v>
      </c>
      <c r="G111">
        <v>5</v>
      </c>
      <c r="H111">
        <v>10000</v>
      </c>
      <c r="I111" t="s">
        <v>1760</v>
      </c>
    </row>
    <row r="112" spans="1:9" x14ac:dyDescent="0.2">
      <c r="A112" t="s">
        <v>40</v>
      </c>
      <c r="B112">
        <v>82</v>
      </c>
      <c r="C112">
        <v>7</v>
      </c>
      <c r="D112">
        <v>17</v>
      </c>
      <c r="E112">
        <v>1</v>
      </c>
      <c r="F112">
        <v>7.5070033855736202</v>
      </c>
      <c r="G112">
        <v>2</v>
      </c>
      <c r="H112">
        <v>10000</v>
      </c>
      <c r="I112" t="s">
        <v>1761</v>
      </c>
    </row>
    <row r="113" spans="1:9" x14ac:dyDescent="0.2">
      <c r="A113" t="s">
        <v>41</v>
      </c>
      <c r="B113">
        <v>83</v>
      </c>
      <c r="C113">
        <v>13</v>
      </c>
      <c r="D113">
        <v>15</v>
      </c>
      <c r="E113">
        <v>0</v>
      </c>
      <c r="F113">
        <v>9.7175440071150607</v>
      </c>
      <c r="G113">
        <v>2</v>
      </c>
      <c r="H113">
        <v>10000</v>
      </c>
      <c r="I113" t="s">
        <v>1762</v>
      </c>
    </row>
    <row r="114" spans="1:9" x14ac:dyDescent="0.2">
      <c r="A114" t="s">
        <v>42</v>
      </c>
      <c r="B114">
        <v>84</v>
      </c>
      <c r="C114">
        <v>4</v>
      </c>
      <c r="D114">
        <v>18</v>
      </c>
      <c r="E114">
        <v>0</v>
      </c>
      <c r="F114">
        <v>6.7500439938157797</v>
      </c>
      <c r="G114">
        <v>2</v>
      </c>
      <c r="H114">
        <v>10000</v>
      </c>
      <c r="I114" t="s">
        <v>1763</v>
      </c>
    </row>
    <row r="115" spans="1:9" x14ac:dyDescent="0.2">
      <c r="A115" t="s">
        <v>43</v>
      </c>
      <c r="B115">
        <v>85</v>
      </c>
      <c r="C115">
        <v>11</v>
      </c>
      <c r="D115">
        <v>17</v>
      </c>
      <c r="E115">
        <v>0</v>
      </c>
      <c r="F115">
        <v>9.6846710052341205</v>
      </c>
      <c r="G115">
        <v>5</v>
      </c>
      <c r="H115">
        <v>10000</v>
      </c>
      <c r="I115" t="s">
        <v>1764</v>
      </c>
    </row>
    <row r="116" spans="1:9" x14ac:dyDescent="0.2">
      <c r="A116" t="s">
        <v>44</v>
      </c>
      <c r="B116">
        <v>86</v>
      </c>
      <c r="C116">
        <v>4</v>
      </c>
      <c r="D116">
        <v>20</v>
      </c>
      <c r="E116">
        <v>1</v>
      </c>
      <c r="F116">
        <v>7.41056121792644</v>
      </c>
      <c r="G116">
        <v>3</v>
      </c>
      <c r="H116">
        <v>10000</v>
      </c>
      <c r="I116" t="s">
        <v>1765</v>
      </c>
    </row>
    <row r="117" spans="1:9" x14ac:dyDescent="0.2">
      <c r="A117" t="s">
        <v>45</v>
      </c>
      <c r="B117">
        <v>87</v>
      </c>
      <c r="C117">
        <v>5</v>
      </c>
      <c r="D117">
        <v>19</v>
      </c>
      <c r="E117">
        <v>0</v>
      </c>
      <c r="F117">
        <v>7.9495646916329799</v>
      </c>
      <c r="G117">
        <v>2</v>
      </c>
      <c r="H117">
        <v>10000</v>
      </c>
      <c r="I117" t="s">
        <v>1766</v>
      </c>
    </row>
    <row r="118" spans="1:9" x14ac:dyDescent="0.2">
      <c r="A118" t="s">
        <v>46</v>
      </c>
      <c r="B118">
        <v>88</v>
      </c>
      <c r="C118">
        <v>5</v>
      </c>
      <c r="D118">
        <v>20</v>
      </c>
      <c r="E118">
        <v>1</v>
      </c>
      <c r="F118">
        <v>7.7086627893149799</v>
      </c>
      <c r="G118">
        <v>7</v>
      </c>
      <c r="H118">
        <v>10000</v>
      </c>
      <c r="I118" t="s">
        <v>1767</v>
      </c>
    </row>
    <row r="119" spans="1:9" x14ac:dyDescent="0.2">
      <c r="A119" t="s">
        <v>47</v>
      </c>
      <c r="B119">
        <v>89</v>
      </c>
      <c r="C119">
        <v>3</v>
      </c>
      <c r="D119">
        <v>19</v>
      </c>
      <c r="E119">
        <v>0</v>
      </c>
      <c r="F119">
        <v>7.4708780562505099</v>
      </c>
      <c r="G119">
        <v>1</v>
      </c>
      <c r="H119">
        <v>10000</v>
      </c>
      <c r="I119" t="s">
        <v>1768</v>
      </c>
    </row>
    <row r="120" spans="1:9" x14ac:dyDescent="0.2">
      <c r="A120" t="s">
        <v>48</v>
      </c>
      <c r="B120">
        <v>90</v>
      </c>
      <c r="C120">
        <v>3</v>
      </c>
      <c r="D120">
        <v>19</v>
      </c>
      <c r="E120">
        <v>0</v>
      </c>
      <c r="F120">
        <v>7.6186451641842696</v>
      </c>
      <c r="G120">
        <v>3</v>
      </c>
      <c r="H120">
        <v>10000</v>
      </c>
      <c r="I120" t="s">
        <v>1769</v>
      </c>
    </row>
    <row r="121" spans="1:9" x14ac:dyDescent="0.2">
      <c r="A121" t="s">
        <v>49</v>
      </c>
      <c r="B121">
        <v>91</v>
      </c>
      <c r="C121">
        <v>4</v>
      </c>
      <c r="D121">
        <v>20</v>
      </c>
      <c r="E121">
        <v>1</v>
      </c>
      <c r="F121">
        <v>7.9187845569103903</v>
      </c>
      <c r="G121">
        <v>7</v>
      </c>
      <c r="H121">
        <v>10000</v>
      </c>
      <c r="I121" t="s">
        <v>1770</v>
      </c>
    </row>
    <row r="122" spans="1:9" x14ac:dyDescent="0.2">
      <c r="A122" t="s">
        <v>50</v>
      </c>
      <c r="B122">
        <v>92</v>
      </c>
      <c r="C122">
        <v>3</v>
      </c>
      <c r="D122">
        <v>20</v>
      </c>
      <c r="E122">
        <v>0</v>
      </c>
      <c r="F122">
        <v>7.9310507420450396</v>
      </c>
      <c r="G122">
        <v>6</v>
      </c>
      <c r="H122">
        <v>10000</v>
      </c>
      <c r="I122" t="s">
        <v>1771</v>
      </c>
    </row>
    <row r="123" spans="1:9" x14ac:dyDescent="0.2">
      <c r="A123" t="s">
        <v>51</v>
      </c>
      <c r="B123">
        <v>93</v>
      </c>
      <c r="C123">
        <v>4</v>
      </c>
      <c r="D123">
        <v>20</v>
      </c>
      <c r="E123">
        <v>0</v>
      </c>
      <c r="F123">
        <v>8.3946053246036101</v>
      </c>
      <c r="G123">
        <v>1</v>
      </c>
      <c r="H123">
        <v>10000</v>
      </c>
      <c r="I123" t="s">
        <v>1772</v>
      </c>
    </row>
    <row r="124" spans="1:9" x14ac:dyDescent="0.2">
      <c r="A124" t="s">
        <v>52</v>
      </c>
      <c r="B124">
        <v>94</v>
      </c>
      <c r="C124">
        <v>4</v>
      </c>
      <c r="D124">
        <v>20</v>
      </c>
      <c r="E124">
        <v>0</v>
      </c>
      <c r="F124">
        <v>8.4535241462290198</v>
      </c>
      <c r="G124">
        <v>3</v>
      </c>
      <c r="H124">
        <v>10000</v>
      </c>
      <c r="I124" t="s">
        <v>1773</v>
      </c>
    </row>
    <row r="125" spans="1:9" x14ac:dyDescent="0.2">
      <c r="A125" t="s">
        <v>53</v>
      </c>
      <c r="B125">
        <v>95</v>
      </c>
      <c r="C125">
        <v>5</v>
      </c>
      <c r="D125">
        <v>20</v>
      </c>
      <c r="E125">
        <v>1</v>
      </c>
      <c r="F125">
        <v>8.6764428196474892</v>
      </c>
      <c r="G125">
        <v>9</v>
      </c>
      <c r="H125">
        <v>10000</v>
      </c>
      <c r="I125" t="s">
        <v>1774</v>
      </c>
    </row>
    <row r="126" spans="1:9" x14ac:dyDescent="0.2">
      <c r="A126" t="s">
        <v>54</v>
      </c>
      <c r="B126">
        <v>96</v>
      </c>
      <c r="C126">
        <v>27</v>
      </c>
      <c r="D126">
        <v>14</v>
      </c>
      <c r="E126">
        <v>0</v>
      </c>
      <c r="F126">
        <v>20.018785525113302</v>
      </c>
      <c r="G126">
        <v>2</v>
      </c>
      <c r="H126">
        <v>10000</v>
      </c>
      <c r="I126" t="s">
        <v>1775</v>
      </c>
    </row>
    <row r="127" spans="1:9" x14ac:dyDescent="0.2">
      <c r="A127" t="s">
        <v>55</v>
      </c>
      <c r="B127">
        <v>97</v>
      </c>
      <c r="C127">
        <v>5</v>
      </c>
      <c r="D127">
        <v>19</v>
      </c>
      <c r="E127">
        <v>0</v>
      </c>
      <c r="F127">
        <v>8.6852466547861695</v>
      </c>
      <c r="G127">
        <v>5</v>
      </c>
      <c r="H127">
        <v>10000</v>
      </c>
      <c r="I127" t="s">
        <v>1776</v>
      </c>
    </row>
    <row r="128" spans="1:9" x14ac:dyDescent="0.2">
      <c r="A128" t="s">
        <v>56</v>
      </c>
      <c r="B128">
        <v>98</v>
      </c>
      <c r="C128">
        <v>2</v>
      </c>
      <c r="D128">
        <v>21</v>
      </c>
      <c r="E128">
        <v>0</v>
      </c>
      <c r="F128">
        <v>8.0580519214272499</v>
      </c>
      <c r="G128">
        <v>5</v>
      </c>
      <c r="H128">
        <v>10000</v>
      </c>
      <c r="I128" t="s">
        <v>1777</v>
      </c>
    </row>
    <row r="129" spans="1:9" x14ac:dyDescent="0.2">
      <c r="A129" t="s">
        <v>57</v>
      </c>
      <c r="B129">
        <v>99</v>
      </c>
      <c r="C129">
        <v>3</v>
      </c>
      <c r="D129">
        <v>21</v>
      </c>
      <c r="E129">
        <v>0</v>
      </c>
      <c r="F129">
        <v>8.6895020119845796</v>
      </c>
      <c r="G129">
        <v>22</v>
      </c>
      <c r="H129">
        <v>10000</v>
      </c>
      <c r="I129" t="s">
        <v>1778</v>
      </c>
    </row>
    <row r="130" spans="1:9" x14ac:dyDescent="0.2">
      <c r="A130" t="s">
        <v>58</v>
      </c>
      <c r="B130">
        <v>100</v>
      </c>
      <c r="C130">
        <v>4</v>
      </c>
      <c r="D130">
        <v>20</v>
      </c>
      <c r="E130">
        <v>0</v>
      </c>
      <c r="F130">
        <v>8.9638211047276801</v>
      </c>
      <c r="G130">
        <v>8</v>
      </c>
      <c r="H130">
        <v>10000</v>
      </c>
      <c r="I130" t="s">
        <v>1779</v>
      </c>
    </row>
    <row r="131" spans="1:9" x14ac:dyDescent="0.2">
      <c r="A131" t="s">
        <v>59</v>
      </c>
      <c r="B131">
        <v>101</v>
      </c>
      <c r="C131">
        <v>4</v>
      </c>
      <c r="D131">
        <v>20</v>
      </c>
      <c r="E131">
        <v>0</v>
      </c>
      <c r="F131">
        <v>9.2263325257226807</v>
      </c>
      <c r="G131">
        <v>6</v>
      </c>
      <c r="H131">
        <v>10000</v>
      </c>
      <c r="I131" t="s">
        <v>1780</v>
      </c>
    </row>
    <row r="132" spans="1:9" x14ac:dyDescent="0.2">
      <c r="A132" t="s">
        <v>60</v>
      </c>
      <c r="B132">
        <v>102</v>
      </c>
      <c r="C132">
        <v>17</v>
      </c>
      <c r="D132">
        <v>20</v>
      </c>
      <c r="E132">
        <v>3</v>
      </c>
      <c r="F132">
        <v>16.765488771721699</v>
      </c>
      <c r="G132">
        <v>3</v>
      </c>
      <c r="H132">
        <v>10000</v>
      </c>
      <c r="I132" t="s">
        <v>1781</v>
      </c>
    </row>
    <row r="133" spans="1:9" x14ac:dyDescent="0.2">
      <c r="A133" t="s">
        <v>61</v>
      </c>
      <c r="B133">
        <v>103</v>
      </c>
      <c r="C133">
        <v>18</v>
      </c>
      <c r="D133">
        <v>20</v>
      </c>
      <c r="E133">
        <v>3</v>
      </c>
      <c r="F133">
        <v>17.911991900764399</v>
      </c>
      <c r="G133">
        <v>6</v>
      </c>
      <c r="H133">
        <v>10000</v>
      </c>
      <c r="I133" t="s">
        <v>1782</v>
      </c>
    </row>
    <row r="134" spans="1:9" x14ac:dyDescent="0.2">
      <c r="A134" t="s">
        <v>62</v>
      </c>
      <c r="B134">
        <v>104</v>
      </c>
      <c r="C134">
        <v>12</v>
      </c>
      <c r="D134">
        <v>20</v>
      </c>
      <c r="E134">
        <v>1</v>
      </c>
      <c r="F134">
        <v>14.8479721890762</v>
      </c>
      <c r="G134">
        <v>1</v>
      </c>
      <c r="H134">
        <v>10000</v>
      </c>
      <c r="I134" t="s">
        <v>1783</v>
      </c>
    </row>
    <row r="135" spans="1:9" x14ac:dyDescent="0.2">
      <c r="A135" t="s">
        <v>63</v>
      </c>
      <c r="B135">
        <v>105</v>
      </c>
      <c r="C135">
        <v>8</v>
      </c>
      <c r="D135">
        <v>25</v>
      </c>
      <c r="E135">
        <v>5</v>
      </c>
      <c r="F135">
        <v>13.134624902158899</v>
      </c>
      <c r="G135">
        <v>5</v>
      </c>
      <c r="H135">
        <v>10000</v>
      </c>
      <c r="I135" t="s">
        <v>1784</v>
      </c>
    </row>
    <row r="136" spans="1:9" x14ac:dyDescent="0.2">
      <c r="A136" t="s">
        <v>65</v>
      </c>
      <c r="B136">
        <v>106</v>
      </c>
      <c r="C136">
        <v>23</v>
      </c>
      <c r="D136">
        <v>16</v>
      </c>
      <c r="E136">
        <v>0</v>
      </c>
      <c r="F136">
        <v>21.987741251476098</v>
      </c>
      <c r="G136">
        <v>2</v>
      </c>
      <c r="H136">
        <v>10000</v>
      </c>
      <c r="I136" t="s">
        <v>1785</v>
      </c>
    </row>
    <row r="137" spans="1:9" x14ac:dyDescent="0.2">
      <c r="A137" t="s">
        <v>66</v>
      </c>
      <c r="B137">
        <v>107</v>
      </c>
      <c r="C137">
        <v>10</v>
      </c>
      <c r="D137">
        <v>24</v>
      </c>
      <c r="E137">
        <v>4</v>
      </c>
      <c r="F137">
        <v>14.2678005071356</v>
      </c>
      <c r="G137">
        <v>2</v>
      </c>
      <c r="H137">
        <v>10000</v>
      </c>
      <c r="I137" t="s">
        <v>1786</v>
      </c>
    </row>
    <row r="138" spans="1:9" x14ac:dyDescent="0.2">
      <c r="A138" t="s">
        <v>67</v>
      </c>
      <c r="B138">
        <v>108</v>
      </c>
      <c r="C138">
        <v>36</v>
      </c>
      <c r="D138">
        <v>15</v>
      </c>
      <c r="E138">
        <v>2</v>
      </c>
      <c r="F138">
        <v>33.310506070964003</v>
      </c>
      <c r="G138">
        <v>1</v>
      </c>
      <c r="H138">
        <v>10000</v>
      </c>
      <c r="I138" t="s">
        <v>1787</v>
      </c>
    </row>
    <row r="139" spans="1:9" x14ac:dyDescent="0.2">
      <c r="A139" t="s">
        <v>68</v>
      </c>
      <c r="B139">
        <v>109</v>
      </c>
      <c r="C139">
        <v>31</v>
      </c>
      <c r="D139">
        <v>18</v>
      </c>
      <c r="E139">
        <v>4</v>
      </c>
      <c r="F139">
        <v>29.7436565430834</v>
      </c>
      <c r="G139">
        <v>3</v>
      </c>
      <c r="H139">
        <v>10000</v>
      </c>
      <c r="I139" t="s">
        <v>1788</v>
      </c>
    </row>
    <row r="140" spans="1:9" x14ac:dyDescent="0.2">
      <c r="A140" t="s">
        <v>69</v>
      </c>
      <c r="B140">
        <v>110</v>
      </c>
      <c r="C140">
        <v>32</v>
      </c>
      <c r="D140">
        <v>18</v>
      </c>
      <c r="E140">
        <v>4</v>
      </c>
      <c r="F140">
        <v>30.677307594567498</v>
      </c>
      <c r="G140">
        <v>3</v>
      </c>
      <c r="H140">
        <v>10000</v>
      </c>
      <c r="I140" t="s">
        <v>1789</v>
      </c>
    </row>
    <row r="141" spans="1:9" x14ac:dyDescent="0.2">
      <c r="A141" t="s">
        <v>70</v>
      </c>
      <c r="B141">
        <v>111</v>
      </c>
      <c r="C141">
        <v>33</v>
      </c>
      <c r="D141">
        <v>16</v>
      </c>
      <c r="E141">
        <v>2</v>
      </c>
      <c r="F141">
        <v>32.006593022495501</v>
      </c>
      <c r="G141">
        <v>2</v>
      </c>
      <c r="H141">
        <v>10000</v>
      </c>
      <c r="I141" t="s">
        <v>1790</v>
      </c>
    </row>
    <row r="142" spans="1:9" x14ac:dyDescent="0.2">
      <c r="A142" t="s">
        <v>71</v>
      </c>
      <c r="B142">
        <v>112</v>
      </c>
      <c r="C142">
        <v>16</v>
      </c>
      <c r="D142">
        <v>20</v>
      </c>
      <c r="E142">
        <v>1</v>
      </c>
      <c r="F142">
        <v>18.640153504908</v>
      </c>
      <c r="G142">
        <v>1</v>
      </c>
      <c r="H142">
        <v>10000</v>
      </c>
      <c r="I142" t="s">
        <v>1791</v>
      </c>
    </row>
    <row r="143" spans="1:9" x14ac:dyDescent="0.2">
      <c r="A143" t="s">
        <v>72</v>
      </c>
      <c r="B143">
        <v>113</v>
      </c>
      <c r="C143">
        <v>34</v>
      </c>
      <c r="D143">
        <v>14</v>
      </c>
      <c r="E143">
        <v>0</v>
      </c>
      <c r="F143">
        <v>33.844674034044097</v>
      </c>
      <c r="G143">
        <v>7</v>
      </c>
      <c r="H143">
        <v>10000</v>
      </c>
      <c r="I143" t="s">
        <v>1792</v>
      </c>
    </row>
    <row r="144" spans="1:9" x14ac:dyDescent="0.2">
      <c r="A144" t="s">
        <v>73</v>
      </c>
      <c r="B144">
        <v>114</v>
      </c>
      <c r="C144">
        <v>36</v>
      </c>
      <c r="D144">
        <v>14</v>
      </c>
      <c r="E144">
        <v>0</v>
      </c>
      <c r="F144">
        <v>35.902137626893797</v>
      </c>
      <c r="G144">
        <v>19</v>
      </c>
      <c r="H144">
        <v>10000</v>
      </c>
      <c r="I144" t="s">
        <v>1793</v>
      </c>
    </row>
    <row r="145" spans="1:9" x14ac:dyDescent="0.2">
      <c r="A145" t="s">
        <v>75</v>
      </c>
      <c r="B145">
        <v>115</v>
      </c>
      <c r="C145">
        <v>1</v>
      </c>
      <c r="D145">
        <v>25</v>
      </c>
      <c r="E145">
        <v>0</v>
      </c>
      <c r="F145">
        <v>10.847827332094299</v>
      </c>
      <c r="G145">
        <v>2</v>
      </c>
      <c r="H145">
        <v>10000</v>
      </c>
      <c r="I145" t="s">
        <v>1794</v>
      </c>
    </row>
    <row r="146" spans="1:9" x14ac:dyDescent="0.2">
      <c r="A146" t="s">
        <v>76</v>
      </c>
      <c r="B146">
        <v>116</v>
      </c>
      <c r="C146">
        <v>2</v>
      </c>
      <c r="D146">
        <v>24</v>
      </c>
      <c r="E146">
        <v>0</v>
      </c>
      <c r="F146">
        <v>11.51866467949</v>
      </c>
      <c r="G146">
        <v>1</v>
      </c>
      <c r="H146">
        <v>10000</v>
      </c>
      <c r="I146" t="s">
        <v>1795</v>
      </c>
    </row>
    <row r="147" spans="1:9" x14ac:dyDescent="0.2">
      <c r="A147" t="s">
        <v>77</v>
      </c>
      <c r="B147">
        <v>117</v>
      </c>
      <c r="C147">
        <v>2</v>
      </c>
      <c r="D147">
        <v>25</v>
      </c>
      <c r="E147">
        <v>1</v>
      </c>
      <c r="F147">
        <v>11.448223536834099</v>
      </c>
      <c r="G147">
        <v>1</v>
      </c>
      <c r="H147">
        <v>10000</v>
      </c>
      <c r="I147" t="s">
        <v>1796</v>
      </c>
    </row>
    <row r="148" spans="1:9" x14ac:dyDescent="0.2">
      <c r="A148" t="s">
        <v>78</v>
      </c>
      <c r="B148">
        <v>118</v>
      </c>
      <c r="C148">
        <v>1</v>
      </c>
      <c r="D148">
        <v>27</v>
      </c>
      <c r="E148">
        <v>2</v>
      </c>
      <c r="F148">
        <v>11.008984076790499</v>
      </c>
      <c r="G148">
        <v>3</v>
      </c>
      <c r="H148">
        <v>10000</v>
      </c>
      <c r="I148" t="s">
        <v>1797</v>
      </c>
    </row>
    <row r="149" spans="1:9" x14ac:dyDescent="0.2">
      <c r="A149" t="s">
        <v>79</v>
      </c>
      <c r="B149">
        <v>119</v>
      </c>
      <c r="C149">
        <v>39</v>
      </c>
      <c r="D149">
        <v>17</v>
      </c>
      <c r="E149">
        <v>3</v>
      </c>
      <c r="F149">
        <v>42.125704216770799</v>
      </c>
      <c r="G149">
        <v>18</v>
      </c>
      <c r="H149">
        <v>10000</v>
      </c>
      <c r="I149" t="s">
        <v>1798</v>
      </c>
    </row>
    <row r="150" spans="1:9" x14ac:dyDescent="0.2">
      <c r="A150" t="s">
        <v>80</v>
      </c>
      <c r="B150">
        <v>120</v>
      </c>
      <c r="C150">
        <v>40</v>
      </c>
      <c r="D150">
        <v>14</v>
      </c>
      <c r="E150">
        <v>0</v>
      </c>
      <c r="F150">
        <v>44.430464079603503</v>
      </c>
      <c r="G150">
        <v>4</v>
      </c>
      <c r="H150">
        <v>10000</v>
      </c>
      <c r="I150" t="s">
        <v>1799</v>
      </c>
    </row>
    <row r="151" spans="1:9" x14ac:dyDescent="0.2">
      <c r="A151" t="s">
        <v>81</v>
      </c>
      <c r="B151">
        <v>121</v>
      </c>
      <c r="C151">
        <v>36</v>
      </c>
      <c r="D151">
        <v>18</v>
      </c>
      <c r="E151">
        <v>3</v>
      </c>
      <c r="F151">
        <v>46.052085663191903</v>
      </c>
      <c r="G151">
        <v>13</v>
      </c>
      <c r="H151">
        <v>10000</v>
      </c>
      <c r="I151" t="s">
        <v>1800</v>
      </c>
    </row>
    <row r="152" spans="1:9" x14ac:dyDescent="0.2">
      <c r="A152" t="s">
        <v>82</v>
      </c>
      <c r="B152">
        <v>122</v>
      </c>
      <c r="C152">
        <v>37</v>
      </c>
      <c r="D152">
        <v>18</v>
      </c>
      <c r="E152">
        <v>3</v>
      </c>
      <c r="F152">
        <v>42.177384930662797</v>
      </c>
      <c r="G152">
        <v>21</v>
      </c>
      <c r="H152">
        <v>10000</v>
      </c>
      <c r="I152" t="s">
        <v>1801</v>
      </c>
    </row>
    <row r="153" spans="1:9" x14ac:dyDescent="0.2">
      <c r="A153" t="s">
        <v>83</v>
      </c>
      <c r="B153">
        <v>123</v>
      </c>
      <c r="C153">
        <v>38</v>
      </c>
      <c r="D153">
        <v>17</v>
      </c>
      <c r="E153">
        <v>2</v>
      </c>
      <c r="F153">
        <v>43.6898910161107</v>
      </c>
      <c r="G153">
        <v>1</v>
      </c>
      <c r="H153">
        <v>10000</v>
      </c>
      <c r="I153" t="s">
        <v>1802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6FB4-8AC0-2F4A-B2BA-11D4CF422E8D}">
  <dimension ref="A1:I153"/>
  <sheetViews>
    <sheetView workbookViewId="0">
      <selection activeCell="E1" sqref="E1"/>
    </sheetView>
  </sheetViews>
  <sheetFormatPr baseColWidth="10" defaultRowHeight="16" x14ac:dyDescent="0.2"/>
  <sheetData>
    <row r="1" spans="1:1" x14ac:dyDescent="0.2">
      <c r="A1" t="s">
        <v>0</v>
      </c>
    </row>
    <row r="2" spans="1:1" x14ac:dyDescent="0.2">
      <c r="A2" t="s">
        <v>1</v>
      </c>
    </row>
    <row r="3" spans="1:1" x14ac:dyDescent="0.2">
      <c r="A3" t="s">
        <v>84</v>
      </c>
    </row>
    <row r="4" spans="1:1" x14ac:dyDescent="0.2">
      <c r="A4" t="s">
        <v>32</v>
      </c>
    </row>
    <row r="5" spans="1:1" x14ac:dyDescent="0.2">
      <c r="A5" t="s">
        <v>33</v>
      </c>
    </row>
    <row r="6" spans="1:1" x14ac:dyDescent="0.2">
      <c r="A6" t="s">
        <v>525</v>
      </c>
    </row>
    <row r="7" spans="1:1" x14ac:dyDescent="0.2">
      <c r="A7" t="s">
        <v>3</v>
      </c>
    </row>
    <row r="8" spans="1:1" x14ac:dyDescent="0.2">
      <c r="A8" t="s">
        <v>4</v>
      </c>
    </row>
    <row r="9" spans="1:1" x14ac:dyDescent="0.2">
      <c r="A9" t="s">
        <v>86</v>
      </c>
    </row>
    <row r="10" spans="1:1" x14ac:dyDescent="0.2">
      <c r="A10" t="s">
        <v>34</v>
      </c>
    </row>
    <row r="11" spans="1:1" x14ac:dyDescent="0.2">
      <c r="A11" t="s">
        <v>5</v>
      </c>
    </row>
    <row r="12" spans="1:1" x14ac:dyDescent="0.2">
      <c r="A12" t="s">
        <v>6</v>
      </c>
    </row>
    <row r="13" spans="1:1" x14ac:dyDescent="0.2">
      <c r="A13" t="s">
        <v>7</v>
      </c>
    </row>
    <row r="14" spans="1:1" x14ac:dyDescent="0.2">
      <c r="A14" t="s">
        <v>8</v>
      </c>
    </row>
    <row r="15" spans="1:1" x14ac:dyDescent="0.2">
      <c r="A15" t="s">
        <v>9</v>
      </c>
    </row>
    <row r="16" spans="1:1" x14ac:dyDescent="0.2">
      <c r="A16" t="s">
        <v>64</v>
      </c>
    </row>
    <row r="17" spans="1:9" x14ac:dyDescent="0.2">
      <c r="A17" t="s">
        <v>1573</v>
      </c>
    </row>
    <row r="18" spans="1:9" x14ac:dyDescent="0.2">
      <c r="A18" t="s">
        <v>12</v>
      </c>
    </row>
    <row r="19" spans="1:9" x14ac:dyDescent="0.2">
      <c r="A19" t="s">
        <v>13</v>
      </c>
    </row>
    <row r="20" spans="1:9" x14ac:dyDescent="0.2">
      <c r="A20" t="s">
        <v>27</v>
      </c>
    </row>
    <row r="21" spans="1:9" x14ac:dyDescent="0.2">
      <c r="A21" t="s">
        <v>14</v>
      </c>
    </row>
    <row r="22" spans="1:9" x14ac:dyDescent="0.2">
      <c r="A22" t="s">
        <v>1050</v>
      </c>
    </row>
    <row r="23" spans="1:9" x14ac:dyDescent="0.2">
      <c r="A23" t="s">
        <v>88</v>
      </c>
    </row>
    <row r="24" spans="1:9" x14ac:dyDescent="0.2">
      <c r="A24" t="s">
        <v>89</v>
      </c>
    </row>
    <row r="25" spans="1:9" x14ac:dyDescent="0.2">
      <c r="A25" t="s">
        <v>28</v>
      </c>
    </row>
    <row r="26" spans="1:9" x14ac:dyDescent="0.2">
      <c r="A26" t="s">
        <v>90</v>
      </c>
    </row>
    <row r="27" spans="1:9" x14ac:dyDescent="0.2">
      <c r="A27" t="s">
        <v>1331</v>
      </c>
    </row>
    <row r="28" spans="1:9" x14ac:dyDescent="0.2">
      <c r="A28" t="s">
        <v>15</v>
      </c>
    </row>
    <row r="29" spans="1:9" x14ac:dyDescent="0.2">
      <c r="A29" t="s">
        <v>16</v>
      </c>
    </row>
    <row r="30" spans="1:9" x14ac:dyDescent="0.2">
      <c r="A30" t="s">
        <v>1803</v>
      </c>
    </row>
    <row r="31" spans="1:9" x14ac:dyDescent="0.2">
      <c r="A31" t="s">
        <v>17</v>
      </c>
    </row>
    <row r="32" spans="1:9" x14ac:dyDescent="0.2">
      <c r="A32" t="s">
        <v>18</v>
      </c>
      <c r="B32" t="s">
        <v>19</v>
      </c>
      <c r="C32" t="s">
        <v>20</v>
      </c>
      <c r="D32" t="s">
        <v>21</v>
      </c>
      <c r="E32" t="s">
        <v>22</v>
      </c>
      <c r="F32" t="s">
        <v>23</v>
      </c>
      <c r="G32" t="s">
        <v>24</v>
      </c>
      <c r="H32" t="s">
        <v>25</v>
      </c>
      <c r="I32" t="s">
        <v>26</v>
      </c>
    </row>
    <row r="33" spans="1:9" x14ac:dyDescent="0.2">
      <c r="A33" t="s">
        <v>92</v>
      </c>
      <c r="B33">
        <v>3</v>
      </c>
      <c r="C33">
        <v>1</v>
      </c>
      <c r="D33">
        <v>1</v>
      </c>
      <c r="E33">
        <v>0</v>
      </c>
      <c r="F33">
        <v>0.75857067294418801</v>
      </c>
      <c r="G33">
        <v>10000</v>
      </c>
      <c r="H33">
        <v>10000</v>
      </c>
      <c r="I33" t="s">
        <v>527</v>
      </c>
    </row>
    <row r="34" spans="1:9" x14ac:dyDescent="0.2">
      <c r="A34" t="s">
        <v>93</v>
      </c>
      <c r="B34">
        <v>4</v>
      </c>
      <c r="C34">
        <v>1</v>
      </c>
      <c r="D34">
        <v>2</v>
      </c>
      <c r="E34">
        <v>0</v>
      </c>
      <c r="F34">
        <v>0.88872978650033396</v>
      </c>
      <c r="G34">
        <v>10000</v>
      </c>
      <c r="H34">
        <v>10000</v>
      </c>
      <c r="I34" t="s">
        <v>528</v>
      </c>
    </row>
    <row r="35" spans="1:9" x14ac:dyDescent="0.2">
      <c r="A35" t="s">
        <v>94</v>
      </c>
      <c r="B35">
        <v>5</v>
      </c>
      <c r="C35">
        <v>1</v>
      </c>
      <c r="D35">
        <v>3</v>
      </c>
      <c r="E35">
        <v>0</v>
      </c>
      <c r="F35">
        <v>1.0443387497216401</v>
      </c>
      <c r="G35">
        <v>10000</v>
      </c>
      <c r="H35">
        <v>10000</v>
      </c>
      <c r="I35" t="s">
        <v>529</v>
      </c>
    </row>
    <row r="36" spans="1:9" x14ac:dyDescent="0.2">
      <c r="A36" t="s">
        <v>95</v>
      </c>
      <c r="B36">
        <v>6</v>
      </c>
      <c r="C36">
        <v>1</v>
      </c>
      <c r="D36">
        <v>3</v>
      </c>
      <c r="E36">
        <v>0</v>
      </c>
      <c r="F36">
        <v>1.1292516430839801</v>
      </c>
      <c r="G36">
        <v>10000</v>
      </c>
      <c r="H36">
        <v>10000</v>
      </c>
      <c r="I36" t="s">
        <v>529</v>
      </c>
    </row>
    <row r="37" spans="1:9" x14ac:dyDescent="0.2">
      <c r="A37" t="s">
        <v>96</v>
      </c>
      <c r="B37">
        <v>7</v>
      </c>
      <c r="C37">
        <v>1</v>
      </c>
      <c r="D37">
        <v>3</v>
      </c>
      <c r="E37">
        <v>0</v>
      </c>
      <c r="F37">
        <v>1.1759169511497001</v>
      </c>
      <c r="G37">
        <v>10000</v>
      </c>
      <c r="H37">
        <v>10000</v>
      </c>
      <c r="I37" t="s">
        <v>530</v>
      </c>
    </row>
    <row r="38" spans="1:9" x14ac:dyDescent="0.2">
      <c r="A38" t="s">
        <v>97</v>
      </c>
      <c r="B38">
        <v>8</v>
      </c>
      <c r="C38">
        <v>1</v>
      </c>
      <c r="D38">
        <v>3</v>
      </c>
      <c r="E38">
        <v>0</v>
      </c>
      <c r="F38">
        <v>1.2449829718098</v>
      </c>
      <c r="G38">
        <v>10000</v>
      </c>
      <c r="H38">
        <v>10000</v>
      </c>
      <c r="I38" t="s">
        <v>529</v>
      </c>
    </row>
    <row r="39" spans="1:9" x14ac:dyDescent="0.2">
      <c r="A39" t="s">
        <v>98</v>
      </c>
      <c r="B39">
        <v>9</v>
      </c>
      <c r="C39">
        <v>1</v>
      </c>
      <c r="D39">
        <v>3</v>
      </c>
      <c r="E39">
        <v>0</v>
      </c>
      <c r="F39">
        <v>1.3492576647549801</v>
      </c>
      <c r="G39">
        <v>10000</v>
      </c>
      <c r="H39">
        <v>10000</v>
      </c>
      <c r="I39" t="s">
        <v>529</v>
      </c>
    </row>
    <row r="40" spans="1:9" x14ac:dyDescent="0.2">
      <c r="A40" t="s">
        <v>99</v>
      </c>
      <c r="B40">
        <v>10</v>
      </c>
      <c r="C40">
        <v>1</v>
      </c>
      <c r="D40">
        <v>4</v>
      </c>
      <c r="E40">
        <v>0</v>
      </c>
      <c r="F40">
        <v>1.30097749922424</v>
      </c>
      <c r="G40">
        <v>9987</v>
      </c>
      <c r="H40">
        <v>10000</v>
      </c>
      <c r="I40" t="s">
        <v>1804</v>
      </c>
    </row>
    <row r="41" spans="1:9" x14ac:dyDescent="0.2">
      <c r="A41" t="s">
        <v>100</v>
      </c>
      <c r="B41">
        <v>11</v>
      </c>
      <c r="C41">
        <v>1</v>
      </c>
      <c r="D41">
        <v>5</v>
      </c>
      <c r="E41">
        <v>0</v>
      </c>
      <c r="F41">
        <v>1.78893572650849</v>
      </c>
      <c r="G41">
        <v>10000</v>
      </c>
      <c r="H41">
        <v>10000</v>
      </c>
      <c r="I41" t="s">
        <v>532</v>
      </c>
    </row>
    <row r="42" spans="1:9" x14ac:dyDescent="0.2">
      <c r="A42" t="s">
        <v>101</v>
      </c>
      <c r="B42">
        <v>12</v>
      </c>
      <c r="C42">
        <v>6</v>
      </c>
      <c r="D42">
        <v>3</v>
      </c>
      <c r="E42">
        <v>0</v>
      </c>
      <c r="F42">
        <v>1.94013579841703</v>
      </c>
      <c r="G42">
        <v>9995</v>
      </c>
      <c r="H42">
        <v>10000</v>
      </c>
      <c r="I42" t="s">
        <v>1805</v>
      </c>
    </row>
    <row r="43" spans="1:9" x14ac:dyDescent="0.2">
      <c r="A43" t="s">
        <v>102</v>
      </c>
      <c r="B43">
        <v>13</v>
      </c>
      <c r="C43">
        <v>6</v>
      </c>
      <c r="D43">
        <v>3</v>
      </c>
      <c r="E43">
        <v>0</v>
      </c>
      <c r="F43">
        <v>2.0636549582704902</v>
      </c>
      <c r="G43">
        <v>9999</v>
      </c>
      <c r="H43">
        <v>10000</v>
      </c>
      <c r="I43" t="s">
        <v>1806</v>
      </c>
    </row>
    <row r="44" spans="1:9" x14ac:dyDescent="0.2">
      <c r="A44" t="s">
        <v>103</v>
      </c>
      <c r="B44">
        <v>14</v>
      </c>
      <c r="C44">
        <v>2</v>
      </c>
      <c r="D44">
        <v>5</v>
      </c>
      <c r="E44">
        <v>0</v>
      </c>
      <c r="F44">
        <v>1.7457981063053001</v>
      </c>
      <c r="G44">
        <v>9956</v>
      </c>
      <c r="H44">
        <v>10000</v>
      </c>
      <c r="I44" t="s">
        <v>1807</v>
      </c>
    </row>
    <row r="45" spans="1:9" x14ac:dyDescent="0.2">
      <c r="A45" t="s">
        <v>104</v>
      </c>
      <c r="B45">
        <v>15</v>
      </c>
      <c r="C45">
        <v>2</v>
      </c>
      <c r="D45">
        <v>5</v>
      </c>
      <c r="E45">
        <v>0</v>
      </c>
      <c r="F45">
        <v>1.84417336340993</v>
      </c>
      <c r="G45">
        <v>9947</v>
      </c>
      <c r="H45">
        <v>10000</v>
      </c>
      <c r="I45" t="s">
        <v>1808</v>
      </c>
    </row>
    <row r="46" spans="1:9" x14ac:dyDescent="0.2">
      <c r="A46" t="s">
        <v>105</v>
      </c>
      <c r="B46">
        <v>16</v>
      </c>
      <c r="C46">
        <v>1</v>
      </c>
      <c r="D46">
        <v>6</v>
      </c>
      <c r="E46">
        <v>0</v>
      </c>
      <c r="F46">
        <v>1.9615591391920999</v>
      </c>
      <c r="G46">
        <v>9993</v>
      </c>
      <c r="H46">
        <v>10000</v>
      </c>
      <c r="I46" t="s">
        <v>1809</v>
      </c>
    </row>
    <row r="47" spans="1:9" x14ac:dyDescent="0.2">
      <c r="A47" t="s">
        <v>106</v>
      </c>
      <c r="B47">
        <v>17</v>
      </c>
      <c r="C47">
        <v>3</v>
      </c>
      <c r="D47">
        <v>5</v>
      </c>
      <c r="E47">
        <v>0</v>
      </c>
      <c r="F47">
        <v>2.1469536665827</v>
      </c>
      <c r="G47">
        <v>9998</v>
      </c>
      <c r="H47">
        <v>10000</v>
      </c>
      <c r="I47" t="s">
        <v>1810</v>
      </c>
    </row>
    <row r="48" spans="1:9" x14ac:dyDescent="0.2">
      <c r="A48" t="s">
        <v>107</v>
      </c>
      <c r="B48">
        <v>18</v>
      </c>
      <c r="C48">
        <v>5</v>
      </c>
      <c r="D48">
        <v>5</v>
      </c>
      <c r="E48">
        <v>0</v>
      </c>
      <c r="F48">
        <v>2.49897673074156</v>
      </c>
      <c r="G48">
        <v>9992</v>
      </c>
      <c r="H48">
        <v>10000</v>
      </c>
      <c r="I48" t="s">
        <v>1811</v>
      </c>
    </row>
    <row r="49" spans="1:9" x14ac:dyDescent="0.2">
      <c r="A49" t="s">
        <v>108</v>
      </c>
      <c r="B49">
        <v>19</v>
      </c>
      <c r="C49">
        <v>5</v>
      </c>
      <c r="D49">
        <v>5</v>
      </c>
      <c r="E49">
        <v>0</v>
      </c>
      <c r="F49">
        <v>2.6573010515421598</v>
      </c>
      <c r="G49">
        <v>9994</v>
      </c>
      <c r="H49">
        <v>10000</v>
      </c>
      <c r="I49" t="s">
        <v>1812</v>
      </c>
    </row>
    <row r="50" spans="1:9" x14ac:dyDescent="0.2">
      <c r="A50" t="s">
        <v>109</v>
      </c>
      <c r="B50">
        <v>20</v>
      </c>
      <c r="C50">
        <v>3</v>
      </c>
      <c r="D50">
        <v>6</v>
      </c>
      <c r="E50">
        <v>0</v>
      </c>
      <c r="F50">
        <v>2.4260447276756101</v>
      </c>
      <c r="G50">
        <v>9881</v>
      </c>
      <c r="H50">
        <v>10000</v>
      </c>
      <c r="I50" t="s">
        <v>1813</v>
      </c>
    </row>
    <row r="51" spans="1:9" x14ac:dyDescent="0.2">
      <c r="A51" t="s">
        <v>110</v>
      </c>
      <c r="B51">
        <v>21</v>
      </c>
      <c r="C51">
        <v>3</v>
      </c>
      <c r="D51">
        <v>6</v>
      </c>
      <c r="E51">
        <v>0</v>
      </c>
      <c r="F51">
        <v>2.53092702385038</v>
      </c>
      <c r="G51">
        <v>9869</v>
      </c>
      <c r="H51">
        <v>10000</v>
      </c>
      <c r="I51" t="s">
        <v>1814</v>
      </c>
    </row>
    <row r="52" spans="1:9" x14ac:dyDescent="0.2">
      <c r="A52" t="s">
        <v>111</v>
      </c>
      <c r="B52">
        <v>22</v>
      </c>
      <c r="C52">
        <v>7</v>
      </c>
      <c r="D52">
        <v>5</v>
      </c>
      <c r="E52">
        <v>0</v>
      </c>
      <c r="F52">
        <v>3.0036910241469701</v>
      </c>
      <c r="G52">
        <v>9887</v>
      </c>
      <c r="H52">
        <v>10000</v>
      </c>
      <c r="I52" t="s">
        <v>1815</v>
      </c>
    </row>
    <row r="53" spans="1:9" x14ac:dyDescent="0.2">
      <c r="A53" t="s">
        <v>112</v>
      </c>
      <c r="B53">
        <v>23</v>
      </c>
      <c r="C53">
        <v>2</v>
      </c>
      <c r="D53">
        <v>7</v>
      </c>
      <c r="E53">
        <v>0</v>
      </c>
      <c r="F53">
        <v>2.5804534880444399</v>
      </c>
      <c r="G53">
        <v>9186</v>
      </c>
      <c r="H53">
        <v>10000</v>
      </c>
      <c r="I53" t="s">
        <v>1816</v>
      </c>
    </row>
    <row r="54" spans="1:9" x14ac:dyDescent="0.2">
      <c r="A54" t="s">
        <v>113</v>
      </c>
      <c r="B54">
        <v>24</v>
      </c>
      <c r="C54">
        <v>8</v>
      </c>
      <c r="D54">
        <v>5</v>
      </c>
      <c r="E54">
        <v>0</v>
      </c>
      <c r="F54">
        <v>3.36042748205363</v>
      </c>
      <c r="G54">
        <v>5271</v>
      </c>
      <c r="H54">
        <v>10000</v>
      </c>
      <c r="I54" t="s">
        <v>1817</v>
      </c>
    </row>
    <row r="55" spans="1:9" x14ac:dyDescent="0.2">
      <c r="A55" t="s">
        <v>114</v>
      </c>
      <c r="B55">
        <v>25</v>
      </c>
      <c r="C55">
        <v>8</v>
      </c>
      <c r="D55">
        <v>5</v>
      </c>
      <c r="E55">
        <v>0</v>
      </c>
      <c r="F55">
        <v>3.5285632070153898</v>
      </c>
      <c r="G55">
        <v>5323</v>
      </c>
      <c r="H55">
        <v>10000</v>
      </c>
      <c r="I55" t="s">
        <v>1818</v>
      </c>
    </row>
    <row r="56" spans="1:9" x14ac:dyDescent="0.2">
      <c r="A56" t="s">
        <v>115</v>
      </c>
      <c r="B56">
        <v>26</v>
      </c>
      <c r="C56">
        <v>6</v>
      </c>
      <c r="D56">
        <v>6</v>
      </c>
      <c r="E56">
        <v>0</v>
      </c>
      <c r="F56">
        <v>3.3294108081609002</v>
      </c>
      <c r="G56">
        <v>7883</v>
      </c>
      <c r="H56">
        <v>10000</v>
      </c>
      <c r="I56" t="s">
        <v>1819</v>
      </c>
    </row>
    <row r="57" spans="1:9" x14ac:dyDescent="0.2">
      <c r="A57" t="s">
        <v>116</v>
      </c>
      <c r="B57">
        <v>27</v>
      </c>
      <c r="C57">
        <v>6</v>
      </c>
      <c r="D57">
        <v>6</v>
      </c>
      <c r="E57">
        <v>0</v>
      </c>
      <c r="F57">
        <v>3.4969303403049699</v>
      </c>
      <c r="G57">
        <v>7872</v>
      </c>
      <c r="H57">
        <v>10000</v>
      </c>
      <c r="I57" t="s">
        <v>1820</v>
      </c>
    </row>
    <row r="58" spans="1:9" x14ac:dyDescent="0.2">
      <c r="A58" t="s">
        <v>117</v>
      </c>
      <c r="B58">
        <v>28</v>
      </c>
      <c r="C58">
        <v>6</v>
      </c>
      <c r="D58">
        <v>6</v>
      </c>
      <c r="E58">
        <v>0</v>
      </c>
      <c r="F58">
        <v>3.62874768674373</v>
      </c>
      <c r="G58">
        <v>7797</v>
      </c>
      <c r="H58">
        <v>10000</v>
      </c>
      <c r="I58" t="s">
        <v>1821</v>
      </c>
    </row>
    <row r="59" spans="1:9" x14ac:dyDescent="0.2">
      <c r="A59" t="s">
        <v>118</v>
      </c>
      <c r="B59">
        <v>29</v>
      </c>
      <c r="C59">
        <v>6</v>
      </c>
      <c r="D59">
        <v>7</v>
      </c>
      <c r="E59">
        <v>0</v>
      </c>
      <c r="F59">
        <v>3.9601145479828102</v>
      </c>
      <c r="G59">
        <v>7715</v>
      </c>
      <c r="H59">
        <v>10000</v>
      </c>
      <c r="I59" t="s">
        <v>1822</v>
      </c>
    </row>
    <row r="60" spans="1:9" x14ac:dyDescent="0.2">
      <c r="A60" t="s">
        <v>119</v>
      </c>
      <c r="B60">
        <v>30</v>
      </c>
      <c r="C60">
        <v>9</v>
      </c>
      <c r="D60">
        <v>6</v>
      </c>
      <c r="E60">
        <v>0</v>
      </c>
      <c r="F60">
        <v>4.7052352027967501</v>
      </c>
      <c r="G60">
        <v>6347</v>
      </c>
      <c r="H60">
        <v>10000</v>
      </c>
      <c r="I60" t="s">
        <v>1823</v>
      </c>
    </row>
    <row r="61" spans="1:9" x14ac:dyDescent="0.2">
      <c r="A61" t="s">
        <v>120</v>
      </c>
      <c r="B61">
        <v>31</v>
      </c>
      <c r="C61">
        <v>9</v>
      </c>
      <c r="D61">
        <v>6</v>
      </c>
      <c r="E61">
        <v>0</v>
      </c>
      <c r="F61">
        <v>4.9558440828695796</v>
      </c>
      <c r="G61">
        <v>6365</v>
      </c>
      <c r="H61">
        <v>10000</v>
      </c>
      <c r="I61" t="s">
        <v>1824</v>
      </c>
    </row>
    <row r="62" spans="1:9" x14ac:dyDescent="0.2">
      <c r="A62" t="s">
        <v>121</v>
      </c>
      <c r="B62">
        <v>32</v>
      </c>
      <c r="C62">
        <v>5</v>
      </c>
      <c r="D62">
        <v>8</v>
      </c>
      <c r="E62">
        <v>0</v>
      </c>
      <c r="F62">
        <v>4.3309238171204898</v>
      </c>
      <c r="G62">
        <v>8448</v>
      </c>
      <c r="H62">
        <v>10000</v>
      </c>
      <c r="I62" t="s">
        <v>1825</v>
      </c>
    </row>
    <row r="63" spans="1:9" x14ac:dyDescent="0.2">
      <c r="A63" t="s">
        <v>122</v>
      </c>
      <c r="B63">
        <v>33</v>
      </c>
      <c r="C63">
        <v>7</v>
      </c>
      <c r="D63">
        <v>8</v>
      </c>
      <c r="E63">
        <v>0</v>
      </c>
      <c r="F63">
        <v>5.0782613502815304</v>
      </c>
      <c r="G63">
        <v>7545</v>
      </c>
      <c r="H63">
        <v>10000</v>
      </c>
      <c r="I63" t="s">
        <v>1826</v>
      </c>
    </row>
    <row r="64" spans="1:9" x14ac:dyDescent="0.2">
      <c r="A64" t="s">
        <v>123</v>
      </c>
      <c r="B64">
        <v>34</v>
      </c>
      <c r="C64">
        <v>17</v>
      </c>
      <c r="D64">
        <v>5</v>
      </c>
      <c r="E64">
        <v>0</v>
      </c>
      <c r="F64">
        <v>8.0383780971169401</v>
      </c>
      <c r="G64">
        <v>7137</v>
      </c>
      <c r="H64">
        <v>10000</v>
      </c>
      <c r="I64" t="s">
        <v>1827</v>
      </c>
    </row>
    <row r="65" spans="1:9" x14ac:dyDescent="0.2">
      <c r="A65" t="s">
        <v>124</v>
      </c>
      <c r="B65">
        <v>35</v>
      </c>
      <c r="C65">
        <v>4</v>
      </c>
      <c r="D65">
        <v>9</v>
      </c>
      <c r="E65">
        <v>0</v>
      </c>
      <c r="F65">
        <v>4.7945721587166101</v>
      </c>
      <c r="G65">
        <v>4728</v>
      </c>
      <c r="H65">
        <v>10000</v>
      </c>
      <c r="I65" t="s">
        <v>1828</v>
      </c>
    </row>
    <row r="66" spans="1:9" x14ac:dyDescent="0.2">
      <c r="A66" t="s">
        <v>125</v>
      </c>
      <c r="B66">
        <v>36</v>
      </c>
      <c r="C66">
        <v>4</v>
      </c>
      <c r="D66">
        <v>9</v>
      </c>
      <c r="E66">
        <v>0</v>
      </c>
      <c r="F66">
        <v>4.9169659828767101</v>
      </c>
      <c r="G66">
        <v>4573</v>
      </c>
      <c r="H66">
        <v>10000</v>
      </c>
      <c r="I66" t="s">
        <v>1829</v>
      </c>
    </row>
    <row r="67" spans="1:9" x14ac:dyDescent="0.2">
      <c r="A67" t="s">
        <v>126</v>
      </c>
      <c r="B67">
        <v>37</v>
      </c>
      <c r="C67">
        <v>4</v>
      </c>
      <c r="D67">
        <v>9</v>
      </c>
      <c r="E67">
        <v>0</v>
      </c>
      <c r="F67">
        <v>5.1026829332113204</v>
      </c>
      <c r="G67">
        <v>4575</v>
      </c>
      <c r="H67">
        <v>10000</v>
      </c>
      <c r="I67" t="s">
        <v>1830</v>
      </c>
    </row>
    <row r="68" spans="1:9" x14ac:dyDescent="0.2">
      <c r="A68" t="s">
        <v>127</v>
      </c>
      <c r="B68">
        <v>38</v>
      </c>
      <c r="C68">
        <v>4</v>
      </c>
      <c r="D68">
        <v>9</v>
      </c>
      <c r="E68">
        <v>0</v>
      </c>
      <c r="F68">
        <v>5.22366262972354</v>
      </c>
      <c r="G68">
        <v>4718</v>
      </c>
      <c r="H68">
        <v>10000</v>
      </c>
      <c r="I68" t="s">
        <v>1831</v>
      </c>
    </row>
    <row r="69" spans="1:9" x14ac:dyDescent="0.2">
      <c r="A69" t="s">
        <v>128</v>
      </c>
      <c r="B69">
        <v>39</v>
      </c>
      <c r="C69">
        <v>4</v>
      </c>
      <c r="D69">
        <v>9</v>
      </c>
      <c r="E69">
        <v>0</v>
      </c>
      <c r="F69">
        <v>5.6973851220682201</v>
      </c>
      <c r="G69">
        <v>2036</v>
      </c>
      <c r="H69">
        <v>10000</v>
      </c>
      <c r="I69" t="s">
        <v>1832</v>
      </c>
    </row>
    <row r="70" spans="1:9" x14ac:dyDescent="0.2">
      <c r="A70" t="s">
        <v>129</v>
      </c>
      <c r="B70">
        <v>40</v>
      </c>
      <c r="C70">
        <v>5</v>
      </c>
      <c r="D70">
        <v>9</v>
      </c>
      <c r="E70">
        <v>0</v>
      </c>
      <c r="F70">
        <v>6.0171093139797396</v>
      </c>
      <c r="G70">
        <v>3881</v>
      </c>
      <c r="H70">
        <v>10000</v>
      </c>
      <c r="I70" t="s">
        <v>1833</v>
      </c>
    </row>
    <row r="71" spans="1:9" x14ac:dyDescent="0.2">
      <c r="A71" t="s">
        <v>130</v>
      </c>
      <c r="B71">
        <v>41</v>
      </c>
      <c r="C71">
        <v>2</v>
      </c>
      <c r="D71">
        <v>11</v>
      </c>
      <c r="E71">
        <v>0</v>
      </c>
      <c r="F71">
        <v>5.5837474865838796</v>
      </c>
      <c r="G71">
        <v>3611</v>
      </c>
      <c r="H71">
        <v>10000</v>
      </c>
      <c r="I71" t="s">
        <v>1834</v>
      </c>
    </row>
    <row r="72" spans="1:9" x14ac:dyDescent="0.2">
      <c r="A72" t="s">
        <v>131</v>
      </c>
      <c r="B72">
        <v>42</v>
      </c>
      <c r="C72">
        <v>5</v>
      </c>
      <c r="D72">
        <v>9</v>
      </c>
      <c r="E72">
        <v>0</v>
      </c>
      <c r="F72">
        <v>6.7251853710040397</v>
      </c>
      <c r="G72">
        <v>638</v>
      </c>
      <c r="H72">
        <v>10000</v>
      </c>
      <c r="I72" t="s">
        <v>1835</v>
      </c>
    </row>
    <row r="73" spans="1:9" x14ac:dyDescent="0.2">
      <c r="A73" t="s">
        <v>132</v>
      </c>
      <c r="B73">
        <v>43</v>
      </c>
      <c r="C73">
        <v>6</v>
      </c>
      <c r="D73">
        <v>9</v>
      </c>
      <c r="E73">
        <v>0</v>
      </c>
      <c r="F73">
        <v>7.2987508140504298</v>
      </c>
      <c r="G73">
        <v>834</v>
      </c>
      <c r="H73">
        <v>10000</v>
      </c>
      <c r="I73" t="s">
        <v>1836</v>
      </c>
    </row>
    <row r="74" spans="1:9" x14ac:dyDescent="0.2">
      <c r="A74" t="s">
        <v>133</v>
      </c>
      <c r="B74">
        <v>44</v>
      </c>
      <c r="C74">
        <v>6</v>
      </c>
      <c r="D74">
        <v>9</v>
      </c>
      <c r="E74">
        <v>0</v>
      </c>
      <c r="F74">
        <v>7.5929094227030802</v>
      </c>
      <c r="G74">
        <v>557</v>
      </c>
      <c r="H74">
        <v>10000</v>
      </c>
      <c r="I74" t="s">
        <v>1837</v>
      </c>
    </row>
    <row r="75" spans="1:9" x14ac:dyDescent="0.2">
      <c r="A75" t="s">
        <v>134</v>
      </c>
      <c r="B75">
        <v>45</v>
      </c>
      <c r="C75">
        <v>6</v>
      </c>
      <c r="D75">
        <v>9</v>
      </c>
      <c r="E75">
        <v>0</v>
      </c>
      <c r="F75">
        <v>7.8768608709797201</v>
      </c>
      <c r="G75">
        <v>605</v>
      </c>
      <c r="H75">
        <v>10000</v>
      </c>
      <c r="I75" t="s">
        <v>1838</v>
      </c>
    </row>
    <row r="76" spans="1:9" x14ac:dyDescent="0.2">
      <c r="A76" t="s">
        <v>135</v>
      </c>
      <c r="B76">
        <v>46</v>
      </c>
      <c r="C76">
        <v>7</v>
      </c>
      <c r="D76">
        <v>9</v>
      </c>
      <c r="E76">
        <v>0</v>
      </c>
      <c r="F76">
        <v>8.6927094040438497</v>
      </c>
      <c r="G76">
        <v>278</v>
      </c>
      <c r="H76">
        <v>10000</v>
      </c>
      <c r="I76" t="s">
        <v>1839</v>
      </c>
    </row>
    <row r="77" spans="1:9" x14ac:dyDescent="0.2">
      <c r="A77" t="s">
        <v>136</v>
      </c>
      <c r="B77">
        <v>47</v>
      </c>
      <c r="C77">
        <v>8</v>
      </c>
      <c r="D77">
        <v>9</v>
      </c>
      <c r="E77">
        <v>0</v>
      </c>
      <c r="F77">
        <v>9.4760266728699207</v>
      </c>
      <c r="G77">
        <v>434</v>
      </c>
      <c r="H77">
        <v>10000</v>
      </c>
      <c r="I77" t="s">
        <v>1840</v>
      </c>
    </row>
    <row r="78" spans="1:9" x14ac:dyDescent="0.2">
      <c r="A78" t="s">
        <v>137</v>
      </c>
      <c r="B78">
        <v>48</v>
      </c>
      <c r="C78">
        <v>5</v>
      </c>
      <c r="D78">
        <v>10</v>
      </c>
      <c r="E78">
        <v>0</v>
      </c>
      <c r="F78">
        <v>8.4116435321047902</v>
      </c>
      <c r="G78">
        <v>231</v>
      </c>
      <c r="H78">
        <v>10000</v>
      </c>
      <c r="I78" t="s">
        <v>1841</v>
      </c>
    </row>
    <row r="79" spans="1:9" x14ac:dyDescent="0.2">
      <c r="A79" t="s">
        <v>138</v>
      </c>
      <c r="B79">
        <v>49</v>
      </c>
      <c r="C79">
        <v>17</v>
      </c>
      <c r="D79">
        <v>7</v>
      </c>
      <c r="E79">
        <v>0</v>
      </c>
      <c r="F79">
        <v>14.725223368965001</v>
      </c>
      <c r="G79">
        <v>81</v>
      </c>
      <c r="H79">
        <v>10000</v>
      </c>
      <c r="I79" t="s">
        <v>1842</v>
      </c>
    </row>
    <row r="80" spans="1:9" x14ac:dyDescent="0.2">
      <c r="A80" t="s">
        <v>139</v>
      </c>
      <c r="B80">
        <v>50</v>
      </c>
      <c r="C80">
        <v>13</v>
      </c>
      <c r="D80">
        <v>8</v>
      </c>
      <c r="E80">
        <v>0</v>
      </c>
      <c r="F80">
        <v>13.333029128611001</v>
      </c>
      <c r="G80">
        <v>34</v>
      </c>
      <c r="H80">
        <v>10000</v>
      </c>
      <c r="I80" t="s">
        <v>1843</v>
      </c>
    </row>
    <row r="81" spans="1:9" x14ac:dyDescent="0.2">
      <c r="A81" t="s">
        <v>188</v>
      </c>
      <c r="B81">
        <v>51</v>
      </c>
      <c r="C81">
        <v>12</v>
      </c>
      <c r="D81">
        <v>9</v>
      </c>
      <c r="E81">
        <v>0</v>
      </c>
      <c r="F81">
        <v>13.277468125335799</v>
      </c>
      <c r="G81">
        <v>211</v>
      </c>
      <c r="H81">
        <v>10000</v>
      </c>
      <c r="I81" t="s">
        <v>1844</v>
      </c>
    </row>
    <row r="82" spans="1:9" x14ac:dyDescent="0.2">
      <c r="A82" t="s">
        <v>190</v>
      </c>
      <c r="B82">
        <v>52</v>
      </c>
      <c r="C82">
        <v>10</v>
      </c>
      <c r="D82">
        <v>11</v>
      </c>
      <c r="E82">
        <v>1</v>
      </c>
      <c r="F82">
        <v>12.839655088260701</v>
      </c>
      <c r="G82">
        <v>2688</v>
      </c>
      <c r="H82">
        <v>10000</v>
      </c>
      <c r="I82" t="s">
        <v>1845</v>
      </c>
    </row>
    <row r="83" spans="1:9" x14ac:dyDescent="0.2">
      <c r="A83" t="s">
        <v>192</v>
      </c>
      <c r="B83">
        <v>53</v>
      </c>
      <c r="C83">
        <v>6</v>
      </c>
      <c r="D83">
        <v>11</v>
      </c>
      <c r="E83">
        <v>0</v>
      </c>
      <c r="F83">
        <v>10.851976695470499</v>
      </c>
      <c r="G83">
        <v>123</v>
      </c>
      <c r="H83">
        <v>10000</v>
      </c>
      <c r="I83" t="s">
        <v>1846</v>
      </c>
    </row>
    <row r="84" spans="1:9" x14ac:dyDescent="0.2">
      <c r="A84" t="s">
        <v>194</v>
      </c>
      <c r="B84">
        <v>54</v>
      </c>
      <c r="C84">
        <v>12</v>
      </c>
      <c r="D84">
        <v>10</v>
      </c>
      <c r="E84">
        <v>0</v>
      </c>
      <c r="F84">
        <v>14.777330866083499</v>
      </c>
      <c r="G84">
        <v>353</v>
      </c>
      <c r="H84">
        <v>10000</v>
      </c>
      <c r="I84" t="s">
        <v>1847</v>
      </c>
    </row>
    <row r="85" spans="1:9" x14ac:dyDescent="0.2">
      <c r="A85" t="s">
        <v>196</v>
      </c>
      <c r="B85">
        <v>55</v>
      </c>
      <c r="C85">
        <v>5</v>
      </c>
      <c r="D85">
        <v>12</v>
      </c>
      <c r="E85">
        <v>0</v>
      </c>
      <c r="F85">
        <v>11.1348768509924</v>
      </c>
      <c r="G85">
        <v>83</v>
      </c>
      <c r="H85">
        <v>10000</v>
      </c>
      <c r="I85" t="s">
        <v>1848</v>
      </c>
    </row>
    <row r="86" spans="1:9" x14ac:dyDescent="0.2">
      <c r="A86" t="s">
        <v>198</v>
      </c>
      <c r="B86">
        <v>56</v>
      </c>
      <c r="C86">
        <v>5</v>
      </c>
      <c r="D86">
        <v>12</v>
      </c>
      <c r="E86">
        <v>0</v>
      </c>
      <c r="F86">
        <v>11.1538392473012</v>
      </c>
      <c r="G86">
        <v>117</v>
      </c>
      <c r="H86">
        <v>10000</v>
      </c>
      <c r="I86" t="s">
        <v>1849</v>
      </c>
    </row>
    <row r="87" spans="1:9" x14ac:dyDescent="0.2">
      <c r="A87" t="s">
        <v>200</v>
      </c>
      <c r="B87">
        <v>57</v>
      </c>
      <c r="C87">
        <v>4</v>
      </c>
      <c r="D87">
        <v>13</v>
      </c>
      <c r="E87">
        <v>0</v>
      </c>
      <c r="F87">
        <v>11.268855107016799</v>
      </c>
      <c r="G87">
        <v>102</v>
      </c>
      <c r="H87">
        <v>10000</v>
      </c>
      <c r="I87" t="s">
        <v>1850</v>
      </c>
    </row>
    <row r="88" spans="1:9" x14ac:dyDescent="0.2">
      <c r="A88" t="s">
        <v>202</v>
      </c>
      <c r="B88">
        <v>58</v>
      </c>
      <c r="C88">
        <v>12</v>
      </c>
      <c r="D88">
        <v>10</v>
      </c>
      <c r="E88">
        <v>0</v>
      </c>
      <c r="F88">
        <v>16.885269585065501</v>
      </c>
      <c r="G88">
        <v>74</v>
      </c>
      <c r="H88">
        <v>10000</v>
      </c>
      <c r="I88" t="s">
        <v>1851</v>
      </c>
    </row>
    <row r="89" spans="1:9" x14ac:dyDescent="0.2">
      <c r="A89" t="s">
        <v>204</v>
      </c>
      <c r="B89">
        <v>59</v>
      </c>
      <c r="C89">
        <v>12</v>
      </c>
      <c r="D89">
        <v>10</v>
      </c>
      <c r="E89">
        <v>0</v>
      </c>
      <c r="F89">
        <v>17.481670628301799</v>
      </c>
      <c r="G89">
        <v>44</v>
      </c>
      <c r="H89">
        <v>10000</v>
      </c>
      <c r="I89" t="s">
        <v>1852</v>
      </c>
    </row>
    <row r="90" spans="1:9" x14ac:dyDescent="0.2">
      <c r="A90" t="s">
        <v>206</v>
      </c>
      <c r="B90">
        <v>60</v>
      </c>
      <c r="C90">
        <v>10</v>
      </c>
      <c r="D90">
        <v>11</v>
      </c>
      <c r="E90">
        <v>0</v>
      </c>
      <c r="F90">
        <v>16.6664726771414</v>
      </c>
      <c r="G90">
        <v>40</v>
      </c>
      <c r="H90">
        <v>10000</v>
      </c>
      <c r="I90" t="s">
        <v>1853</v>
      </c>
    </row>
    <row r="91" spans="1:9" x14ac:dyDescent="0.2">
      <c r="A91" t="s">
        <v>208</v>
      </c>
      <c r="B91">
        <v>61</v>
      </c>
      <c r="C91">
        <v>10</v>
      </c>
      <c r="D91">
        <v>11</v>
      </c>
      <c r="E91">
        <v>0</v>
      </c>
      <c r="F91">
        <v>17.198673237115099</v>
      </c>
      <c r="G91">
        <v>39</v>
      </c>
      <c r="H91">
        <v>10000</v>
      </c>
      <c r="I91" t="s">
        <v>1854</v>
      </c>
    </row>
    <row r="92" spans="1:9" x14ac:dyDescent="0.2">
      <c r="A92" t="s">
        <v>210</v>
      </c>
      <c r="B92">
        <v>62</v>
      </c>
      <c r="C92">
        <v>16</v>
      </c>
      <c r="D92">
        <v>10</v>
      </c>
      <c r="E92">
        <v>0</v>
      </c>
      <c r="F92">
        <v>22.611831001937301</v>
      </c>
      <c r="G92">
        <v>34</v>
      </c>
      <c r="H92">
        <v>10000</v>
      </c>
      <c r="I92" t="s">
        <v>1855</v>
      </c>
    </row>
    <row r="93" spans="1:9" x14ac:dyDescent="0.2">
      <c r="A93" t="s">
        <v>212</v>
      </c>
      <c r="B93">
        <v>63</v>
      </c>
      <c r="C93">
        <v>8</v>
      </c>
      <c r="D93">
        <v>13</v>
      </c>
      <c r="E93">
        <v>0</v>
      </c>
      <c r="F93">
        <v>17.117663204669899</v>
      </c>
      <c r="G93">
        <v>50</v>
      </c>
      <c r="H93">
        <v>10000</v>
      </c>
      <c r="I93" t="s">
        <v>1856</v>
      </c>
    </row>
    <row r="94" spans="1:9" x14ac:dyDescent="0.2">
      <c r="A94" t="s">
        <v>214</v>
      </c>
      <c r="B94">
        <v>64</v>
      </c>
      <c r="C94">
        <v>13</v>
      </c>
      <c r="D94">
        <v>12</v>
      </c>
      <c r="E94">
        <v>0</v>
      </c>
      <c r="F94">
        <v>21.436048562638401</v>
      </c>
      <c r="G94">
        <v>78</v>
      </c>
      <c r="H94">
        <v>10000</v>
      </c>
      <c r="I94" t="s">
        <v>1857</v>
      </c>
    </row>
    <row r="95" spans="1:9" x14ac:dyDescent="0.2">
      <c r="A95" t="s">
        <v>216</v>
      </c>
      <c r="B95">
        <v>65</v>
      </c>
      <c r="C95">
        <v>5</v>
      </c>
      <c r="D95">
        <v>14</v>
      </c>
      <c r="E95">
        <v>0</v>
      </c>
      <c r="F95">
        <v>15.6740673268213</v>
      </c>
      <c r="G95">
        <v>30</v>
      </c>
      <c r="H95">
        <v>10000</v>
      </c>
      <c r="I95" t="s">
        <v>1858</v>
      </c>
    </row>
    <row r="96" spans="1:9" x14ac:dyDescent="0.2">
      <c r="A96" t="s">
        <v>218</v>
      </c>
      <c r="B96">
        <v>66</v>
      </c>
      <c r="C96">
        <v>5</v>
      </c>
      <c r="D96">
        <v>14</v>
      </c>
      <c r="E96">
        <v>0</v>
      </c>
      <c r="F96">
        <v>15.9504158860072</v>
      </c>
      <c r="G96">
        <v>31</v>
      </c>
      <c r="H96">
        <v>10000</v>
      </c>
      <c r="I96" t="s">
        <v>1859</v>
      </c>
    </row>
    <row r="97" spans="1:9" x14ac:dyDescent="0.2">
      <c r="A97" t="s">
        <v>220</v>
      </c>
      <c r="B97">
        <v>67</v>
      </c>
      <c r="C97">
        <v>5</v>
      </c>
      <c r="D97">
        <v>14</v>
      </c>
      <c r="E97">
        <v>0</v>
      </c>
      <c r="F97">
        <v>16.293243154883299</v>
      </c>
      <c r="G97">
        <v>5</v>
      </c>
      <c r="H97">
        <v>10000</v>
      </c>
      <c r="I97" t="s">
        <v>1860</v>
      </c>
    </row>
    <row r="98" spans="1:9" x14ac:dyDescent="0.2">
      <c r="A98" t="s">
        <v>222</v>
      </c>
      <c r="B98">
        <v>68</v>
      </c>
      <c r="C98">
        <v>5</v>
      </c>
      <c r="D98">
        <v>14</v>
      </c>
      <c r="E98">
        <v>0</v>
      </c>
      <c r="F98">
        <v>17.074078002013199</v>
      </c>
      <c r="G98">
        <v>6</v>
      </c>
      <c r="H98">
        <v>10000</v>
      </c>
      <c r="I98" t="s">
        <v>1861</v>
      </c>
    </row>
    <row r="99" spans="1:9" x14ac:dyDescent="0.2">
      <c r="A99" t="s">
        <v>224</v>
      </c>
      <c r="B99">
        <v>69</v>
      </c>
      <c r="C99">
        <v>5</v>
      </c>
      <c r="D99">
        <v>14</v>
      </c>
      <c r="E99">
        <v>0</v>
      </c>
      <c r="F99">
        <v>17.4746728306636</v>
      </c>
      <c r="G99">
        <v>10</v>
      </c>
      <c r="H99">
        <v>10000</v>
      </c>
      <c r="I99" t="s">
        <v>1862</v>
      </c>
    </row>
    <row r="100" spans="1:9" x14ac:dyDescent="0.2">
      <c r="A100" t="s">
        <v>226</v>
      </c>
      <c r="B100">
        <v>70</v>
      </c>
      <c r="C100">
        <v>5</v>
      </c>
      <c r="D100">
        <v>14</v>
      </c>
      <c r="E100">
        <v>0</v>
      </c>
      <c r="F100">
        <v>17.215376917272799</v>
      </c>
      <c r="G100">
        <v>10</v>
      </c>
      <c r="H100">
        <v>10000</v>
      </c>
      <c r="I100" t="s">
        <v>1863</v>
      </c>
    </row>
    <row r="101" spans="1:9" x14ac:dyDescent="0.2">
      <c r="A101" t="s">
        <v>228</v>
      </c>
      <c r="B101">
        <v>71</v>
      </c>
      <c r="C101">
        <v>5</v>
      </c>
      <c r="D101">
        <v>15</v>
      </c>
      <c r="E101">
        <v>0</v>
      </c>
      <c r="F101">
        <v>18.457959305494999</v>
      </c>
      <c r="G101">
        <v>13</v>
      </c>
      <c r="H101">
        <v>10000</v>
      </c>
      <c r="I101" t="s">
        <v>1864</v>
      </c>
    </row>
    <row r="102" spans="1:9" x14ac:dyDescent="0.2">
      <c r="A102" t="s">
        <v>230</v>
      </c>
      <c r="B102">
        <v>72</v>
      </c>
      <c r="C102">
        <v>5</v>
      </c>
      <c r="D102">
        <v>15</v>
      </c>
      <c r="E102">
        <v>0</v>
      </c>
      <c r="F102">
        <v>18.934798921458398</v>
      </c>
      <c r="G102">
        <v>6</v>
      </c>
      <c r="H102">
        <v>10000</v>
      </c>
      <c r="I102" t="s">
        <v>1865</v>
      </c>
    </row>
    <row r="103" spans="1:9" x14ac:dyDescent="0.2">
      <c r="A103" t="s">
        <v>232</v>
      </c>
      <c r="B103">
        <v>73</v>
      </c>
      <c r="C103">
        <v>5</v>
      </c>
      <c r="D103">
        <v>15</v>
      </c>
      <c r="E103">
        <v>0</v>
      </c>
      <c r="F103">
        <v>19.871976072899901</v>
      </c>
      <c r="G103">
        <v>5</v>
      </c>
      <c r="H103">
        <v>10000</v>
      </c>
      <c r="I103" t="s">
        <v>1866</v>
      </c>
    </row>
    <row r="104" spans="1:9" x14ac:dyDescent="0.2">
      <c r="A104" t="s">
        <v>234</v>
      </c>
      <c r="B104">
        <v>74</v>
      </c>
      <c r="C104">
        <v>5</v>
      </c>
      <c r="D104">
        <v>15</v>
      </c>
      <c r="E104">
        <v>0</v>
      </c>
      <c r="F104">
        <v>20.1412070365622</v>
      </c>
      <c r="G104">
        <v>12</v>
      </c>
      <c r="H104">
        <v>10000</v>
      </c>
      <c r="I104" t="s">
        <v>1867</v>
      </c>
    </row>
    <row r="105" spans="1:9" x14ac:dyDescent="0.2">
      <c r="A105" t="s">
        <v>236</v>
      </c>
      <c r="B105">
        <v>75</v>
      </c>
      <c r="C105">
        <v>5</v>
      </c>
      <c r="D105">
        <v>15</v>
      </c>
      <c r="E105">
        <v>0</v>
      </c>
      <c r="F105">
        <v>20.523743374273099</v>
      </c>
      <c r="G105">
        <v>3</v>
      </c>
      <c r="H105">
        <v>10000</v>
      </c>
      <c r="I105" t="s">
        <v>1868</v>
      </c>
    </row>
    <row r="106" spans="1:9" x14ac:dyDescent="0.2">
      <c r="A106" t="s">
        <v>238</v>
      </c>
      <c r="B106">
        <v>76</v>
      </c>
      <c r="C106">
        <v>5</v>
      </c>
      <c r="D106">
        <v>15</v>
      </c>
      <c r="E106">
        <v>0</v>
      </c>
      <c r="F106">
        <v>20.997655670158501</v>
      </c>
      <c r="G106">
        <v>3</v>
      </c>
      <c r="H106">
        <v>10000</v>
      </c>
      <c r="I106" t="s">
        <v>1869</v>
      </c>
    </row>
    <row r="107" spans="1:9" x14ac:dyDescent="0.2">
      <c r="A107" t="s">
        <v>240</v>
      </c>
      <c r="B107">
        <v>77</v>
      </c>
      <c r="C107">
        <v>5</v>
      </c>
      <c r="D107">
        <v>15</v>
      </c>
      <c r="E107">
        <v>0</v>
      </c>
      <c r="F107">
        <v>21.8328742310404</v>
      </c>
      <c r="G107">
        <v>1</v>
      </c>
      <c r="H107">
        <v>10000</v>
      </c>
      <c r="I107" t="s">
        <v>1870</v>
      </c>
    </row>
    <row r="108" spans="1:9" x14ac:dyDescent="0.2">
      <c r="A108" t="s">
        <v>36</v>
      </c>
      <c r="B108">
        <v>78</v>
      </c>
      <c r="C108">
        <v>15</v>
      </c>
      <c r="D108">
        <v>13</v>
      </c>
      <c r="E108">
        <v>1</v>
      </c>
      <c r="F108">
        <v>34.703345055691898</v>
      </c>
      <c r="G108">
        <v>3</v>
      </c>
      <c r="H108">
        <v>10000</v>
      </c>
      <c r="I108" t="s">
        <v>1871</v>
      </c>
    </row>
    <row r="109" spans="1:9" x14ac:dyDescent="0.2">
      <c r="A109" t="s">
        <v>37</v>
      </c>
      <c r="B109">
        <v>79</v>
      </c>
      <c r="C109">
        <v>14</v>
      </c>
      <c r="D109">
        <v>14</v>
      </c>
      <c r="E109">
        <v>1</v>
      </c>
      <c r="F109">
        <v>35.313773978501501</v>
      </c>
      <c r="G109">
        <v>9</v>
      </c>
      <c r="H109">
        <v>10000</v>
      </c>
      <c r="I109" t="s">
        <v>1872</v>
      </c>
    </row>
    <row r="110" spans="1:9" x14ac:dyDescent="0.2">
      <c r="A110" t="s">
        <v>38</v>
      </c>
      <c r="B110">
        <v>80</v>
      </c>
      <c r="C110">
        <v>7</v>
      </c>
      <c r="D110">
        <v>16</v>
      </c>
      <c r="E110">
        <v>1</v>
      </c>
      <c r="F110">
        <v>26.657799357548299</v>
      </c>
      <c r="G110">
        <v>1</v>
      </c>
      <c r="H110">
        <v>10000</v>
      </c>
      <c r="I110" t="s">
        <v>1873</v>
      </c>
    </row>
    <row r="111" spans="1:9" x14ac:dyDescent="0.2">
      <c r="A111" t="s">
        <v>39</v>
      </c>
      <c r="B111">
        <v>81</v>
      </c>
      <c r="C111">
        <v>11</v>
      </c>
      <c r="D111">
        <v>15</v>
      </c>
      <c r="E111">
        <v>0</v>
      </c>
      <c r="F111">
        <v>32.355218168348003</v>
      </c>
      <c r="G111">
        <v>1</v>
      </c>
      <c r="H111">
        <v>10000</v>
      </c>
      <c r="I111" t="s">
        <v>1874</v>
      </c>
    </row>
    <row r="112" spans="1:9" x14ac:dyDescent="0.2">
      <c r="A112" t="s">
        <v>40</v>
      </c>
      <c r="B112">
        <v>82</v>
      </c>
      <c r="C112">
        <v>7</v>
      </c>
      <c r="D112">
        <v>18</v>
      </c>
      <c r="E112">
        <v>2</v>
      </c>
      <c r="F112">
        <v>28.095771204680201</v>
      </c>
      <c r="G112">
        <v>11</v>
      </c>
      <c r="H112">
        <v>10000</v>
      </c>
      <c r="I112" t="s">
        <v>1875</v>
      </c>
    </row>
    <row r="113" spans="1:9" x14ac:dyDescent="0.2">
      <c r="A113" t="s">
        <v>41</v>
      </c>
      <c r="B113">
        <v>83</v>
      </c>
      <c r="C113">
        <v>13</v>
      </c>
      <c r="D113">
        <v>16</v>
      </c>
      <c r="E113">
        <v>1</v>
      </c>
      <c r="F113">
        <v>37.8148689819499</v>
      </c>
      <c r="G113">
        <v>6</v>
      </c>
      <c r="H113">
        <v>10000</v>
      </c>
      <c r="I113" t="s">
        <v>1876</v>
      </c>
    </row>
    <row r="114" spans="1:9" x14ac:dyDescent="0.2">
      <c r="A114" t="s">
        <v>42</v>
      </c>
      <c r="B114">
        <v>84</v>
      </c>
      <c r="C114">
        <v>4</v>
      </c>
      <c r="D114">
        <v>18</v>
      </c>
      <c r="E114">
        <v>0</v>
      </c>
      <c r="F114">
        <v>25.951539632864201</v>
      </c>
      <c r="G114">
        <v>8</v>
      </c>
      <c r="H114">
        <v>10000</v>
      </c>
      <c r="I114" t="s">
        <v>1877</v>
      </c>
    </row>
    <row r="115" spans="1:9" x14ac:dyDescent="0.2">
      <c r="A115" t="s">
        <v>43</v>
      </c>
      <c r="B115">
        <v>85</v>
      </c>
      <c r="C115">
        <v>11</v>
      </c>
      <c r="D115">
        <v>17</v>
      </c>
      <c r="E115">
        <v>0</v>
      </c>
      <c r="F115">
        <v>42.147834393195801</v>
      </c>
      <c r="G115">
        <v>6</v>
      </c>
      <c r="H115">
        <v>10000</v>
      </c>
      <c r="I115" t="s">
        <v>1878</v>
      </c>
    </row>
    <row r="116" spans="1:9" x14ac:dyDescent="0.2">
      <c r="A116" t="s">
        <v>44</v>
      </c>
      <c r="B116">
        <v>86</v>
      </c>
      <c r="C116">
        <v>4</v>
      </c>
      <c r="D116">
        <v>20</v>
      </c>
      <c r="E116">
        <v>1</v>
      </c>
      <c r="F116">
        <v>28.212951974943199</v>
      </c>
      <c r="G116">
        <v>14</v>
      </c>
      <c r="H116">
        <v>10000</v>
      </c>
      <c r="I116" t="s">
        <v>1879</v>
      </c>
    </row>
    <row r="117" spans="1:9" x14ac:dyDescent="0.2">
      <c r="A117" t="s">
        <v>45</v>
      </c>
      <c r="B117">
        <v>87</v>
      </c>
      <c r="C117">
        <v>5</v>
      </c>
      <c r="D117">
        <v>19</v>
      </c>
      <c r="E117">
        <v>0</v>
      </c>
      <c r="F117">
        <v>29.885869579389599</v>
      </c>
      <c r="G117">
        <v>5</v>
      </c>
      <c r="H117">
        <v>10000</v>
      </c>
      <c r="I117" t="s">
        <v>1880</v>
      </c>
    </row>
    <row r="118" spans="1:9" x14ac:dyDescent="0.2">
      <c r="A118" t="s">
        <v>46</v>
      </c>
      <c r="B118">
        <v>88</v>
      </c>
      <c r="C118">
        <v>5</v>
      </c>
      <c r="D118">
        <v>19</v>
      </c>
      <c r="E118">
        <v>0</v>
      </c>
      <c r="F118">
        <v>29.009199098683801</v>
      </c>
      <c r="G118">
        <v>6</v>
      </c>
      <c r="H118">
        <v>10000</v>
      </c>
      <c r="I118" t="s">
        <v>1881</v>
      </c>
    </row>
    <row r="119" spans="1:9" x14ac:dyDescent="0.2">
      <c r="A119" t="s">
        <v>47</v>
      </c>
      <c r="B119">
        <v>89</v>
      </c>
      <c r="C119">
        <v>3</v>
      </c>
      <c r="D119">
        <v>19</v>
      </c>
      <c r="E119">
        <v>0</v>
      </c>
      <c r="F119">
        <v>28.4944555088877</v>
      </c>
      <c r="G119">
        <v>3</v>
      </c>
      <c r="H119">
        <v>10000</v>
      </c>
      <c r="I119" t="s">
        <v>1882</v>
      </c>
    </row>
    <row r="120" spans="1:9" x14ac:dyDescent="0.2">
      <c r="A120" t="s">
        <v>48</v>
      </c>
      <c r="B120">
        <v>90</v>
      </c>
      <c r="C120">
        <v>3</v>
      </c>
      <c r="D120">
        <v>19</v>
      </c>
      <c r="E120">
        <v>0</v>
      </c>
      <c r="F120">
        <v>28.271976009942499</v>
      </c>
      <c r="G120">
        <v>5</v>
      </c>
      <c r="H120">
        <v>10000</v>
      </c>
      <c r="I120" t="s">
        <v>1883</v>
      </c>
    </row>
    <row r="121" spans="1:9" x14ac:dyDescent="0.2">
      <c r="A121" t="s">
        <v>49</v>
      </c>
      <c r="B121">
        <v>91</v>
      </c>
      <c r="C121">
        <v>4</v>
      </c>
      <c r="D121">
        <v>19</v>
      </c>
      <c r="E121">
        <v>0</v>
      </c>
      <c r="F121">
        <v>29.898347339592799</v>
      </c>
      <c r="G121">
        <v>2</v>
      </c>
      <c r="H121">
        <v>10000</v>
      </c>
      <c r="I121" t="s">
        <v>1884</v>
      </c>
    </row>
    <row r="122" spans="1:9" x14ac:dyDescent="0.2">
      <c r="A122" t="s">
        <v>50</v>
      </c>
      <c r="B122">
        <v>92</v>
      </c>
      <c r="C122">
        <v>3</v>
      </c>
      <c r="D122">
        <v>20</v>
      </c>
      <c r="E122">
        <v>0</v>
      </c>
      <c r="F122">
        <v>31.0181251568719</v>
      </c>
      <c r="G122">
        <v>3</v>
      </c>
      <c r="H122">
        <v>10000</v>
      </c>
      <c r="I122" t="s">
        <v>1885</v>
      </c>
    </row>
    <row r="123" spans="1:9" x14ac:dyDescent="0.2">
      <c r="A123" t="s">
        <v>51</v>
      </c>
      <c r="B123">
        <v>93</v>
      </c>
      <c r="C123">
        <v>4</v>
      </c>
      <c r="D123">
        <v>20</v>
      </c>
      <c r="E123">
        <v>0</v>
      </c>
      <c r="F123">
        <v>33.6095565091818</v>
      </c>
      <c r="G123">
        <v>5</v>
      </c>
      <c r="H123">
        <v>10000</v>
      </c>
      <c r="I123" t="s">
        <v>1886</v>
      </c>
    </row>
    <row r="124" spans="1:9" x14ac:dyDescent="0.2">
      <c r="A124" t="s">
        <v>52</v>
      </c>
      <c r="B124">
        <v>94</v>
      </c>
      <c r="C124">
        <v>4</v>
      </c>
      <c r="D124">
        <v>21</v>
      </c>
      <c r="E124">
        <v>1</v>
      </c>
      <c r="F124">
        <v>33.323461254127302</v>
      </c>
      <c r="G124">
        <v>15</v>
      </c>
      <c r="H124">
        <v>10000</v>
      </c>
      <c r="I124" t="s">
        <v>1887</v>
      </c>
    </row>
    <row r="125" spans="1:9" x14ac:dyDescent="0.2">
      <c r="A125" t="s">
        <v>53</v>
      </c>
      <c r="B125">
        <v>95</v>
      </c>
      <c r="C125">
        <v>5</v>
      </c>
      <c r="D125">
        <v>19</v>
      </c>
      <c r="E125">
        <v>0</v>
      </c>
      <c r="F125">
        <v>33.206304507330003</v>
      </c>
      <c r="G125">
        <v>8</v>
      </c>
      <c r="H125">
        <v>10000</v>
      </c>
      <c r="I125" t="s">
        <v>1888</v>
      </c>
    </row>
    <row r="126" spans="1:9" x14ac:dyDescent="0.2">
      <c r="A126" t="s">
        <v>54</v>
      </c>
      <c r="B126">
        <v>96</v>
      </c>
      <c r="C126">
        <v>27</v>
      </c>
      <c r="D126">
        <v>14</v>
      </c>
      <c r="E126">
        <v>0</v>
      </c>
      <c r="F126">
        <v>72.868492560461107</v>
      </c>
      <c r="G126">
        <v>5</v>
      </c>
      <c r="H126">
        <v>10000</v>
      </c>
      <c r="I126" t="s">
        <v>1889</v>
      </c>
    </row>
    <row r="127" spans="1:9" x14ac:dyDescent="0.2">
      <c r="A127" t="s">
        <v>55</v>
      </c>
      <c r="B127">
        <v>97</v>
      </c>
      <c r="C127">
        <v>5</v>
      </c>
      <c r="D127">
        <v>19</v>
      </c>
      <c r="E127">
        <v>0</v>
      </c>
      <c r="F127">
        <v>33.233304226770997</v>
      </c>
      <c r="G127">
        <v>3</v>
      </c>
      <c r="H127">
        <v>10000</v>
      </c>
      <c r="I127" t="s">
        <v>1890</v>
      </c>
    </row>
    <row r="128" spans="1:9" x14ac:dyDescent="0.2">
      <c r="A128" t="s">
        <v>56</v>
      </c>
      <c r="B128">
        <v>98</v>
      </c>
      <c r="C128">
        <v>2</v>
      </c>
      <c r="D128">
        <v>21</v>
      </c>
      <c r="E128">
        <v>0</v>
      </c>
      <c r="F128">
        <v>31.2541510639712</v>
      </c>
      <c r="G128">
        <v>10</v>
      </c>
      <c r="H128">
        <v>10000</v>
      </c>
      <c r="I128" t="s">
        <v>1891</v>
      </c>
    </row>
    <row r="129" spans="1:9" x14ac:dyDescent="0.2">
      <c r="A129" t="s">
        <v>57</v>
      </c>
      <c r="B129">
        <v>99</v>
      </c>
      <c r="C129">
        <v>3</v>
      </c>
      <c r="D129">
        <v>21</v>
      </c>
      <c r="E129">
        <v>0</v>
      </c>
      <c r="F129">
        <v>34.294847950339303</v>
      </c>
      <c r="G129">
        <v>10</v>
      </c>
      <c r="H129">
        <v>10000</v>
      </c>
      <c r="I129" t="s">
        <v>1892</v>
      </c>
    </row>
    <row r="130" spans="1:9" x14ac:dyDescent="0.2">
      <c r="A130" t="s">
        <v>58</v>
      </c>
      <c r="B130">
        <v>100</v>
      </c>
      <c r="C130">
        <v>4</v>
      </c>
      <c r="D130">
        <v>20</v>
      </c>
      <c r="E130">
        <v>0</v>
      </c>
      <c r="F130">
        <v>35.073844480328198</v>
      </c>
      <c r="G130">
        <v>3</v>
      </c>
      <c r="H130">
        <v>10000</v>
      </c>
      <c r="I130" t="s">
        <v>1893</v>
      </c>
    </row>
    <row r="131" spans="1:9" x14ac:dyDescent="0.2">
      <c r="A131" t="s">
        <v>59</v>
      </c>
      <c r="B131">
        <v>101</v>
      </c>
      <c r="C131">
        <v>4</v>
      </c>
      <c r="D131">
        <v>20</v>
      </c>
      <c r="E131">
        <v>0</v>
      </c>
      <c r="F131">
        <v>36.169483493082197</v>
      </c>
      <c r="G131">
        <v>1</v>
      </c>
      <c r="H131">
        <v>10000</v>
      </c>
      <c r="I131" t="s">
        <v>1894</v>
      </c>
    </row>
    <row r="132" spans="1:9" x14ac:dyDescent="0.2">
      <c r="A132" t="s">
        <v>60</v>
      </c>
      <c r="B132">
        <v>102</v>
      </c>
      <c r="C132">
        <v>17</v>
      </c>
      <c r="D132">
        <v>18</v>
      </c>
      <c r="E132">
        <v>1</v>
      </c>
      <c r="F132">
        <v>63.981425541453</v>
      </c>
      <c r="G132">
        <v>2</v>
      </c>
      <c r="H132">
        <v>10000</v>
      </c>
      <c r="I132" t="s">
        <v>1895</v>
      </c>
    </row>
    <row r="133" spans="1:9" x14ac:dyDescent="0.2">
      <c r="A133" t="s">
        <v>61</v>
      </c>
      <c r="B133">
        <v>103</v>
      </c>
      <c r="C133">
        <v>18</v>
      </c>
      <c r="D133">
        <v>18</v>
      </c>
      <c r="E133">
        <v>1</v>
      </c>
      <c r="F133">
        <v>67.381224003620403</v>
      </c>
      <c r="G133">
        <v>1</v>
      </c>
      <c r="H133">
        <v>10000</v>
      </c>
      <c r="I133" t="s">
        <v>1896</v>
      </c>
    </row>
    <row r="134" spans="1:9" x14ac:dyDescent="0.2">
      <c r="A134" t="s">
        <v>62</v>
      </c>
      <c r="B134">
        <v>104</v>
      </c>
      <c r="C134">
        <v>12</v>
      </c>
      <c r="D134">
        <v>22</v>
      </c>
      <c r="E134">
        <v>3</v>
      </c>
      <c r="F134">
        <v>55.216782126575701</v>
      </c>
      <c r="G134">
        <v>3</v>
      </c>
      <c r="H134">
        <v>10000</v>
      </c>
      <c r="I134" t="s">
        <v>1897</v>
      </c>
    </row>
    <row r="135" spans="1:9" x14ac:dyDescent="0.2">
      <c r="A135" t="s">
        <v>63</v>
      </c>
      <c r="B135">
        <v>105</v>
      </c>
      <c r="C135">
        <v>8</v>
      </c>
      <c r="D135">
        <v>24</v>
      </c>
      <c r="E135">
        <v>4</v>
      </c>
      <c r="F135">
        <v>48.460439843125599</v>
      </c>
      <c r="G135">
        <v>4</v>
      </c>
      <c r="H135">
        <v>10000</v>
      </c>
      <c r="I135" t="s">
        <v>1898</v>
      </c>
    </row>
    <row r="136" spans="1:9" x14ac:dyDescent="0.2">
      <c r="A136" t="s">
        <v>65</v>
      </c>
      <c r="B136">
        <v>106</v>
      </c>
      <c r="C136">
        <v>23</v>
      </c>
      <c r="D136">
        <v>16</v>
      </c>
      <c r="E136">
        <v>0</v>
      </c>
      <c r="F136">
        <v>82.422588855028096</v>
      </c>
      <c r="G136">
        <v>1</v>
      </c>
      <c r="H136">
        <v>10000</v>
      </c>
      <c r="I136" t="s">
        <v>1899</v>
      </c>
    </row>
    <row r="137" spans="1:9" x14ac:dyDescent="0.2">
      <c r="A137" t="s">
        <v>66</v>
      </c>
      <c r="B137">
        <v>107</v>
      </c>
      <c r="C137">
        <v>10</v>
      </c>
      <c r="D137">
        <v>22</v>
      </c>
      <c r="E137">
        <v>2</v>
      </c>
      <c r="F137">
        <v>54.282792000100002</v>
      </c>
      <c r="G137">
        <v>1</v>
      </c>
      <c r="H137">
        <v>10000</v>
      </c>
      <c r="I137" t="s">
        <v>1900</v>
      </c>
    </row>
    <row r="138" spans="1:9" x14ac:dyDescent="0.2">
      <c r="A138" t="s">
        <v>67</v>
      </c>
      <c r="B138">
        <v>108</v>
      </c>
      <c r="C138">
        <v>36</v>
      </c>
      <c r="D138">
        <v>15</v>
      </c>
      <c r="E138">
        <v>2</v>
      </c>
      <c r="F138">
        <v>119.486624009907</v>
      </c>
      <c r="G138">
        <v>1</v>
      </c>
      <c r="H138">
        <v>10000</v>
      </c>
      <c r="I138" t="s">
        <v>1901</v>
      </c>
    </row>
    <row r="139" spans="1:9" x14ac:dyDescent="0.2">
      <c r="A139" t="s">
        <v>68</v>
      </c>
      <c r="B139">
        <v>109</v>
      </c>
      <c r="C139">
        <v>31</v>
      </c>
      <c r="D139">
        <v>17</v>
      </c>
      <c r="E139">
        <v>3</v>
      </c>
      <c r="F139">
        <v>108.654852183535</v>
      </c>
      <c r="G139">
        <v>2</v>
      </c>
      <c r="H139">
        <v>10000</v>
      </c>
      <c r="I139" t="s">
        <v>1902</v>
      </c>
    </row>
    <row r="140" spans="1:9" x14ac:dyDescent="0.2">
      <c r="A140" t="s">
        <v>69</v>
      </c>
      <c r="B140">
        <v>110</v>
      </c>
      <c r="C140">
        <v>32</v>
      </c>
      <c r="D140">
        <v>16</v>
      </c>
      <c r="E140">
        <v>2</v>
      </c>
      <c r="F140">
        <v>111.75845106691099</v>
      </c>
      <c r="G140">
        <v>1</v>
      </c>
      <c r="H140">
        <v>10000</v>
      </c>
      <c r="I140" t="s">
        <v>1903</v>
      </c>
    </row>
    <row r="141" spans="1:9" x14ac:dyDescent="0.2">
      <c r="A141" t="s">
        <v>70</v>
      </c>
      <c r="B141">
        <v>111</v>
      </c>
      <c r="C141">
        <v>33</v>
      </c>
      <c r="D141">
        <v>17</v>
      </c>
      <c r="E141">
        <v>3</v>
      </c>
      <c r="F141">
        <v>116.47551783826199</v>
      </c>
      <c r="G141">
        <v>1</v>
      </c>
      <c r="H141">
        <v>10000</v>
      </c>
      <c r="I141" t="s">
        <v>1904</v>
      </c>
    </row>
    <row r="142" spans="1:9" x14ac:dyDescent="0.2">
      <c r="A142" t="s">
        <v>71</v>
      </c>
      <c r="B142">
        <v>112</v>
      </c>
      <c r="C142">
        <v>16</v>
      </c>
      <c r="D142">
        <v>19</v>
      </c>
      <c r="E142">
        <v>0</v>
      </c>
      <c r="F142">
        <v>70.640931624919105</v>
      </c>
      <c r="G142">
        <v>1</v>
      </c>
      <c r="H142">
        <v>10000</v>
      </c>
      <c r="I142" t="s">
        <v>1905</v>
      </c>
    </row>
    <row r="143" spans="1:9" x14ac:dyDescent="0.2">
      <c r="A143" t="s">
        <v>72</v>
      </c>
      <c r="B143">
        <v>113</v>
      </c>
      <c r="C143">
        <v>34</v>
      </c>
      <c r="D143">
        <v>14</v>
      </c>
      <c r="E143">
        <v>0</v>
      </c>
      <c r="F143">
        <v>123.899305730126</v>
      </c>
      <c r="G143">
        <v>1</v>
      </c>
      <c r="H143">
        <v>10000</v>
      </c>
      <c r="I143" t="s">
        <v>1906</v>
      </c>
    </row>
    <row r="144" spans="1:9" x14ac:dyDescent="0.2">
      <c r="A144" t="s">
        <v>73</v>
      </c>
      <c r="B144">
        <v>114</v>
      </c>
      <c r="C144">
        <v>36</v>
      </c>
      <c r="D144">
        <v>14</v>
      </c>
      <c r="E144">
        <v>0</v>
      </c>
      <c r="F144">
        <v>132.76283689774499</v>
      </c>
      <c r="G144">
        <v>2</v>
      </c>
      <c r="H144">
        <v>10000</v>
      </c>
      <c r="I144" t="s">
        <v>1907</v>
      </c>
    </row>
    <row r="145" spans="1:9" x14ac:dyDescent="0.2">
      <c r="A145" t="s">
        <v>75</v>
      </c>
      <c r="B145">
        <v>115</v>
      </c>
      <c r="C145">
        <v>1</v>
      </c>
      <c r="D145">
        <v>25</v>
      </c>
      <c r="E145">
        <v>0</v>
      </c>
      <c r="F145">
        <v>39.485786100849502</v>
      </c>
      <c r="G145">
        <v>4</v>
      </c>
      <c r="H145">
        <v>10000</v>
      </c>
      <c r="I145" t="s">
        <v>1908</v>
      </c>
    </row>
    <row r="146" spans="1:9" x14ac:dyDescent="0.2">
      <c r="A146" t="s">
        <v>76</v>
      </c>
      <c r="B146">
        <v>116</v>
      </c>
      <c r="C146">
        <v>2</v>
      </c>
      <c r="D146">
        <v>24</v>
      </c>
      <c r="E146">
        <v>0</v>
      </c>
      <c r="F146">
        <v>41.804101738147402</v>
      </c>
      <c r="G146">
        <v>1</v>
      </c>
      <c r="H146">
        <v>10000</v>
      </c>
      <c r="I146" t="s">
        <v>1909</v>
      </c>
    </row>
    <row r="147" spans="1:9" x14ac:dyDescent="0.2">
      <c r="A147" t="s">
        <v>77</v>
      </c>
      <c r="B147">
        <v>117</v>
      </c>
      <c r="C147">
        <v>2</v>
      </c>
      <c r="D147">
        <v>24</v>
      </c>
      <c r="E147">
        <v>0</v>
      </c>
      <c r="F147">
        <v>41.448925143107701</v>
      </c>
      <c r="G147">
        <v>3</v>
      </c>
      <c r="H147">
        <v>10000</v>
      </c>
      <c r="I147" t="s">
        <v>1910</v>
      </c>
    </row>
    <row r="148" spans="1:9" x14ac:dyDescent="0.2">
      <c r="A148" t="s">
        <v>78</v>
      </c>
      <c r="B148">
        <v>118</v>
      </c>
      <c r="C148">
        <v>1</v>
      </c>
      <c r="D148">
        <v>25</v>
      </c>
      <c r="E148">
        <v>0</v>
      </c>
      <c r="F148">
        <v>39.6902611805126</v>
      </c>
      <c r="G148">
        <v>3</v>
      </c>
      <c r="H148">
        <v>10000</v>
      </c>
      <c r="I148" t="s">
        <v>1911</v>
      </c>
    </row>
    <row r="149" spans="1:9" x14ac:dyDescent="0.2">
      <c r="A149" t="s">
        <v>79</v>
      </c>
      <c r="B149">
        <v>119</v>
      </c>
      <c r="C149">
        <v>39</v>
      </c>
      <c r="D149">
        <v>18</v>
      </c>
      <c r="E149">
        <v>4</v>
      </c>
      <c r="F149">
        <v>155.113101872615</v>
      </c>
      <c r="G149">
        <v>5</v>
      </c>
      <c r="H149">
        <v>10000</v>
      </c>
      <c r="I149" t="s">
        <v>1912</v>
      </c>
    </row>
    <row r="150" spans="1:9" x14ac:dyDescent="0.2">
      <c r="A150" t="s">
        <v>80</v>
      </c>
      <c r="B150">
        <v>120</v>
      </c>
      <c r="C150">
        <v>40</v>
      </c>
      <c r="D150">
        <v>16</v>
      </c>
      <c r="E150">
        <v>2</v>
      </c>
      <c r="F150">
        <v>159.72101758047901</v>
      </c>
      <c r="G150">
        <v>3</v>
      </c>
      <c r="H150">
        <v>10000</v>
      </c>
      <c r="I150" t="s">
        <v>1913</v>
      </c>
    </row>
    <row r="151" spans="1:9" x14ac:dyDescent="0.2">
      <c r="A151" t="s">
        <v>81</v>
      </c>
      <c r="B151">
        <v>121</v>
      </c>
      <c r="C151">
        <v>36</v>
      </c>
      <c r="D151">
        <v>17</v>
      </c>
      <c r="E151">
        <v>2</v>
      </c>
      <c r="F151">
        <v>151.677466407418</v>
      </c>
      <c r="G151">
        <v>1</v>
      </c>
      <c r="H151">
        <v>10000</v>
      </c>
      <c r="I151" t="s">
        <v>1914</v>
      </c>
    </row>
    <row r="152" spans="1:9" x14ac:dyDescent="0.2">
      <c r="A152" t="s">
        <v>82</v>
      </c>
      <c r="B152">
        <v>122</v>
      </c>
      <c r="C152">
        <v>37</v>
      </c>
      <c r="D152">
        <v>19</v>
      </c>
      <c r="E152">
        <v>4</v>
      </c>
      <c r="F152">
        <v>154.68395542167099</v>
      </c>
      <c r="G152">
        <v>5</v>
      </c>
      <c r="H152">
        <v>10000</v>
      </c>
      <c r="I152" t="s">
        <v>1915</v>
      </c>
    </row>
    <row r="153" spans="1:9" x14ac:dyDescent="0.2">
      <c r="A153" t="s">
        <v>83</v>
      </c>
      <c r="B153">
        <v>123</v>
      </c>
      <c r="C153">
        <v>38</v>
      </c>
      <c r="D153">
        <v>18</v>
      </c>
      <c r="E153">
        <v>3</v>
      </c>
      <c r="F153">
        <v>159.927589163184</v>
      </c>
      <c r="G153">
        <v>3</v>
      </c>
      <c r="H153">
        <v>10000</v>
      </c>
      <c r="I153" t="s">
        <v>1916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analysis</vt:lpstr>
      <vt:lpstr>charts</vt:lpstr>
      <vt:lpstr>magma</vt: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Webster</dc:creator>
  <cp:lastModifiedBy>Mark Webster</cp:lastModifiedBy>
  <dcterms:created xsi:type="dcterms:W3CDTF">2026-02-11T20:08:38Z</dcterms:created>
  <dcterms:modified xsi:type="dcterms:W3CDTF">2026-02-24T11:15:57Z</dcterms:modified>
</cp:coreProperties>
</file>