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webster/Dropbox/QuantumComputing/QEC Projects/distance benchmarking/results 20251223/"/>
    </mc:Choice>
  </mc:AlternateContent>
  <xr:revisionPtr revIDLastSave="0" documentId="13_ncr:1_{551BC734-FA88-4B49-9C19-0B5291ED62AD}" xr6:coauthVersionLast="47" xr6:coauthVersionMax="47" xr10:uidLastSave="{00000000-0000-0000-0000-000000000000}"/>
  <bookViews>
    <workbookView xWindow="0" yWindow="740" windowWidth="29400" windowHeight="17340" xr2:uid="{32586610-BA44-F241-B5A8-458A3580A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" i="1" l="1"/>
  <c r="S39" i="1"/>
  <c r="R39" i="1"/>
  <c r="S38" i="1"/>
  <c r="R38" i="1"/>
  <c r="S37" i="1"/>
  <c r="R37" i="1"/>
  <c r="S36" i="1"/>
  <c r="R36" i="1"/>
  <c r="S35" i="1"/>
  <c r="R35" i="1"/>
  <c r="S34" i="1"/>
  <c r="R34" i="1"/>
  <c r="S32" i="1"/>
  <c r="R32" i="1"/>
  <c r="S31" i="1"/>
  <c r="R31" i="1"/>
  <c r="S30" i="1"/>
  <c r="R30" i="1"/>
  <c r="S29" i="1"/>
  <c r="R29" i="1"/>
  <c r="S28" i="1"/>
  <c r="R28" i="1"/>
  <c r="S27" i="1"/>
  <c r="R27" i="1"/>
  <c r="S25" i="1"/>
  <c r="R25" i="1"/>
  <c r="S24" i="1"/>
  <c r="R24" i="1"/>
  <c r="S23" i="1"/>
  <c r="R23" i="1"/>
  <c r="S22" i="1"/>
  <c r="R22" i="1"/>
  <c r="S21" i="1"/>
  <c r="R21" i="1"/>
  <c r="S19" i="1"/>
  <c r="R19" i="1"/>
  <c r="S18" i="1"/>
  <c r="R18" i="1"/>
  <c r="S17" i="1"/>
  <c r="R17" i="1"/>
  <c r="S16" i="1"/>
  <c r="R16" i="1"/>
  <c r="S15" i="1"/>
  <c r="R15" i="1"/>
  <c r="L14" i="1"/>
  <c r="L20" i="1"/>
  <c r="L26" i="1"/>
  <c r="L33" i="1"/>
  <c r="S13" i="1"/>
  <c r="R13" i="1"/>
  <c r="R12" i="1"/>
  <c r="J41" i="1"/>
  <c r="I41" i="1"/>
  <c r="H41" i="1"/>
  <c r="G41" i="1"/>
  <c r="F41" i="1"/>
  <c r="E41" i="1"/>
  <c r="D41" i="1"/>
  <c r="C41" i="1"/>
  <c r="J39" i="1"/>
  <c r="I39" i="1"/>
  <c r="J32" i="1"/>
  <c r="I32" i="1"/>
  <c r="I34" i="1"/>
  <c r="J34" i="1"/>
  <c r="I35" i="1"/>
  <c r="J35" i="1"/>
  <c r="I36" i="1"/>
  <c r="J36" i="1"/>
  <c r="Q34" i="1"/>
  <c r="J38" i="1"/>
  <c r="I38" i="1"/>
  <c r="J37" i="1"/>
  <c r="I37" i="1"/>
  <c r="Q37" i="1" s="1"/>
  <c r="J31" i="1"/>
  <c r="I31" i="1"/>
  <c r="J30" i="1"/>
  <c r="I30" i="1"/>
  <c r="Q30" i="1" s="1"/>
  <c r="J29" i="1"/>
  <c r="I29" i="1"/>
  <c r="J28" i="1"/>
  <c r="I28" i="1"/>
  <c r="J27" i="1"/>
  <c r="I27" i="1"/>
  <c r="J25" i="1"/>
  <c r="I25" i="1"/>
  <c r="J24" i="1"/>
  <c r="I24" i="1"/>
  <c r="Q24" i="1" s="1"/>
  <c r="J23" i="1"/>
  <c r="I23" i="1"/>
  <c r="Q23" i="1" s="1"/>
  <c r="J22" i="1"/>
  <c r="I22" i="1"/>
  <c r="Q22" i="1" s="1"/>
  <c r="J21" i="1"/>
  <c r="I21" i="1"/>
  <c r="J19" i="1"/>
  <c r="I19" i="1"/>
  <c r="J18" i="1"/>
  <c r="I18" i="1"/>
  <c r="J17" i="1"/>
  <c r="I17" i="1"/>
  <c r="J16" i="1"/>
  <c r="I16" i="1"/>
  <c r="J15" i="1"/>
  <c r="I15" i="1"/>
  <c r="Q39" i="1"/>
  <c r="P39" i="1"/>
  <c r="Q38" i="1"/>
  <c r="P38" i="1"/>
  <c r="P37" i="1"/>
  <c r="Q36" i="1"/>
  <c r="P36" i="1"/>
  <c r="Q35" i="1"/>
  <c r="P35" i="1"/>
  <c r="P34" i="1"/>
  <c r="Q32" i="1"/>
  <c r="P32" i="1"/>
  <c r="P31" i="1"/>
  <c r="P30" i="1"/>
  <c r="Q29" i="1"/>
  <c r="P29" i="1"/>
  <c r="Q28" i="1"/>
  <c r="P28" i="1"/>
  <c r="Q27" i="1"/>
  <c r="P27" i="1"/>
  <c r="Q25" i="1"/>
  <c r="P25" i="1"/>
  <c r="P24" i="1"/>
  <c r="P23" i="1"/>
  <c r="P22" i="1"/>
  <c r="Q21" i="1"/>
  <c r="P21" i="1"/>
  <c r="Q19" i="1"/>
  <c r="P19" i="1"/>
  <c r="Q18" i="1"/>
  <c r="P18" i="1"/>
  <c r="Q17" i="1"/>
  <c r="P17" i="1"/>
  <c r="Q16" i="1"/>
  <c r="P16" i="1"/>
  <c r="Q15" i="1"/>
  <c r="P15" i="1"/>
  <c r="Q13" i="1"/>
  <c r="P13" i="1"/>
  <c r="P12" i="1"/>
  <c r="N12" i="1"/>
  <c r="O13" i="1"/>
  <c r="N13" i="1"/>
  <c r="M13" i="1"/>
  <c r="L13" i="1"/>
  <c r="V13" i="1"/>
  <c r="L15" i="1"/>
  <c r="O39" i="1" l="1"/>
  <c r="N39" i="1"/>
  <c r="M39" i="1"/>
  <c r="L39" i="1"/>
  <c r="O38" i="1"/>
  <c r="N38" i="1"/>
  <c r="M38" i="1"/>
  <c r="L38" i="1"/>
  <c r="L31" i="1"/>
  <c r="M31" i="1"/>
  <c r="N31" i="1"/>
  <c r="O31" i="1"/>
  <c r="L32" i="1"/>
  <c r="M32" i="1"/>
  <c r="N32" i="1"/>
  <c r="O32" i="1"/>
  <c r="O37" i="1"/>
  <c r="N37" i="1"/>
  <c r="M37" i="1"/>
  <c r="L37" i="1"/>
  <c r="O36" i="1"/>
  <c r="N36" i="1"/>
  <c r="M36" i="1"/>
  <c r="L36" i="1"/>
  <c r="O35" i="1"/>
  <c r="N35" i="1"/>
  <c r="M35" i="1"/>
  <c r="L35" i="1"/>
  <c r="O34" i="1"/>
  <c r="N34" i="1"/>
  <c r="M34" i="1"/>
  <c r="L34" i="1"/>
  <c r="O30" i="1"/>
  <c r="N30" i="1"/>
  <c r="M30" i="1"/>
  <c r="L30" i="1"/>
  <c r="O29" i="1"/>
  <c r="N29" i="1"/>
  <c r="M29" i="1"/>
  <c r="L29" i="1"/>
  <c r="O28" i="1"/>
  <c r="N28" i="1"/>
  <c r="M28" i="1"/>
  <c r="L28" i="1"/>
  <c r="O27" i="1"/>
  <c r="N27" i="1"/>
  <c r="M27" i="1"/>
  <c r="L27" i="1"/>
  <c r="O25" i="1"/>
  <c r="N25" i="1"/>
  <c r="M25" i="1"/>
  <c r="L25" i="1"/>
  <c r="O24" i="1"/>
  <c r="N24" i="1"/>
  <c r="M24" i="1"/>
  <c r="L24" i="1"/>
  <c r="O23" i="1"/>
  <c r="N23" i="1"/>
  <c r="M23" i="1"/>
  <c r="L23" i="1"/>
  <c r="O22" i="1"/>
  <c r="N22" i="1"/>
  <c r="M22" i="1"/>
  <c r="L22" i="1"/>
  <c r="O21" i="1"/>
  <c r="N21" i="1"/>
  <c r="M21" i="1"/>
  <c r="L21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M15" i="1"/>
  <c r="N15" i="1"/>
  <c r="O15" i="1"/>
</calcChain>
</file>

<file path=xl/sharedStrings.xml><?xml version="1.0" encoding="utf-8"?>
<sst xmlns="http://schemas.openxmlformats.org/spreadsheetml/2006/main" count="47" uniqueCount="23">
  <si>
    <t>n</t>
  </si>
  <si>
    <t>Errors</t>
  </si>
  <si>
    <t>Detectors</t>
  </si>
  <si>
    <t>Surface Code</t>
  </si>
  <si>
    <t>Colour Code - Midout</t>
  </si>
  <si>
    <t>Colour Code - Superdense</t>
  </si>
  <si>
    <t>Bivariate Bicycle Code</t>
  </si>
  <si>
    <t>#,##0</t>
  </si>
  <si>
    <t>\hline</t>
  </si>
  <si>
    <t>\begin{center}</t>
  </si>
  <si>
    <t>r|</t>
  </si>
  <si>
    <t>\begin{tabular}{ |r|</t>
  </si>
  <si>
    <t>r|}</t>
  </si>
  <si>
    <t>\end{tabular}</t>
  </si>
  <si>
    <t>\end{center}</t>
  </si>
  <si>
    <t>&amp;</t>
  </si>
  <si>
    <t>\\</t>
  </si>
  <si>
    <t>k</t>
  </si>
  <si>
    <t>Old Filter</t>
  </si>
  <si>
    <t>Unfiltered</t>
  </si>
  <si>
    <t>Filtered</t>
  </si>
  <si>
    <t>Decrease</t>
  </si>
  <si>
    <t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</si>
</sst>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quotePrefix="1"/>
    <xf numFmtId="0" fontId="1" fillId="0" borderId="0" xfId="1"/>
    <xf numFmtId="0" fontId="0" fillId="0" borderId="1" xfId="0" applyBorder="1"/>
    <xf numFmtId="3" fontId="0" fillId="0" borderId="1" xfId="0" applyNumberFormat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164" fontId="0" fillId="0" borderId="0" xfId="0" applyNumberFormat="1"/>
    <xf numFmtId="164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826C-079B-F246-9F32-0AB8B7CBBB27}">
  <dimension ref="A8:V41"/>
  <sheetViews>
    <sheetView tabSelected="1" topLeftCell="A5" workbookViewId="0">
      <selection activeCell="G9" sqref="G9"/>
    </sheetView>
  </sheetViews>
  <sheetFormatPr baseColWidth="10" defaultRowHeight="16" x14ac:dyDescent="0.2"/>
  <cols>
    <col min="1" max="1" width="4.1640625" bestFit="1" customWidth="1"/>
    <col min="2" max="2" width="3.1640625" bestFit="1" customWidth="1"/>
    <col min="3" max="3" width="7.1640625" bestFit="1" customWidth="1"/>
    <col min="4" max="4" width="9.5" bestFit="1" customWidth="1"/>
    <col min="5" max="5" width="6.1640625" bestFit="1" customWidth="1"/>
    <col min="6" max="6" width="9.5" bestFit="1" customWidth="1"/>
    <col min="7" max="7" width="6.1640625" bestFit="1" customWidth="1"/>
    <col min="8" max="8" width="9.5" bestFit="1" customWidth="1"/>
    <col min="15" max="18" width="11.1640625" customWidth="1"/>
  </cols>
  <sheetData>
    <row r="8" spans="1:22" x14ac:dyDescent="0.2">
      <c r="C8" s="1" t="s">
        <v>7</v>
      </c>
      <c r="G8" s="1"/>
      <c r="H8" s="1"/>
      <c r="I8" s="1"/>
      <c r="J8" s="1"/>
    </row>
    <row r="9" spans="1:22" x14ac:dyDescent="0.2">
      <c r="C9" s="1" t="s">
        <v>22</v>
      </c>
    </row>
    <row r="10" spans="1:22" x14ac:dyDescent="0.2">
      <c r="L10" t="s">
        <v>9</v>
      </c>
    </row>
    <row r="11" spans="1:22" x14ac:dyDescent="0.2">
      <c r="L11" t="s">
        <v>11</v>
      </c>
      <c r="M11" t="s">
        <v>10</v>
      </c>
      <c r="N11" t="s">
        <v>10</v>
      </c>
      <c r="O11" t="s">
        <v>10</v>
      </c>
      <c r="P11" t="s">
        <v>10</v>
      </c>
      <c r="Q11" t="s">
        <v>10</v>
      </c>
      <c r="R11" t="s">
        <v>10</v>
      </c>
      <c r="S11" t="s">
        <v>12</v>
      </c>
      <c r="T11" t="s">
        <v>8</v>
      </c>
    </row>
    <row r="12" spans="1:22" ht="17" customHeight="1" x14ac:dyDescent="0.2">
      <c r="A12" s="12"/>
      <c r="B12" s="13"/>
      <c r="C12" s="6" t="s">
        <v>19</v>
      </c>
      <c r="D12" s="7"/>
      <c r="E12" s="6" t="s">
        <v>18</v>
      </c>
      <c r="F12" s="7"/>
      <c r="G12" s="6" t="s">
        <v>20</v>
      </c>
      <c r="H12" s="7"/>
      <c r="I12" s="6" t="s">
        <v>21</v>
      </c>
      <c r="J12" s="7"/>
      <c r="L12" s="1" t="s">
        <v>15</v>
      </c>
      <c r="M12" t="s">
        <v>15</v>
      </c>
      <c r="N12" t="str">
        <f>"\multicolumn{2}{l|}{\textbf{"&amp;C12&amp;"}}"</f>
        <v>\multicolumn{2}{l|}{\textbf{Unfiltered}}</v>
      </c>
      <c r="O12" t="s">
        <v>15</v>
      </c>
      <c r="P12" t="str">
        <f>"\multicolumn{2}{l|}{\textbf{"&amp;G12&amp;"}}"</f>
        <v>\multicolumn{2}{l|}{\textbf{Filtered}}</v>
      </c>
      <c r="Q12" s="2" t="s">
        <v>15</v>
      </c>
      <c r="R12" t="str">
        <f>"\multicolumn{2}{l|}{\textbf{"&amp;I12&amp;"}}"</f>
        <v>\multicolumn{2}{l|}{\textbf{Decrease}}</v>
      </c>
      <c r="S12" s="2" t="s">
        <v>16</v>
      </c>
      <c r="T12" t="s">
        <v>8</v>
      </c>
    </row>
    <row r="13" spans="1:22" x14ac:dyDescent="0.2">
      <c r="A13" s="5" t="s">
        <v>0</v>
      </c>
      <c r="B13" s="5" t="s">
        <v>17</v>
      </c>
      <c r="C13" s="5" t="s">
        <v>1</v>
      </c>
      <c r="D13" s="5" t="s">
        <v>2</v>
      </c>
      <c r="E13" s="5" t="s">
        <v>1</v>
      </c>
      <c r="F13" s="5" t="s">
        <v>2</v>
      </c>
      <c r="G13" s="5" t="s">
        <v>1</v>
      </c>
      <c r="H13" s="5" t="s">
        <v>2</v>
      </c>
      <c r="I13" s="5" t="s">
        <v>1</v>
      </c>
      <c r="J13" s="5" t="s">
        <v>2</v>
      </c>
      <c r="L13" t="str">
        <f>"\textbf{"&amp;A13&amp;"}"&amp;IF(B13="","\\","&amp;")</f>
        <v>\textbf{n}&amp;</v>
      </c>
      <c r="M13" t="str">
        <f>"\textbf{"&amp;B13&amp;"}"&amp;IF(C13="","\\","&amp;")</f>
        <v>\textbf{k}&amp;</v>
      </c>
      <c r="N13" t="str">
        <f>"\textbf{"&amp;C13&amp;"}"&amp;IF(D13="","\\","&amp;")</f>
        <v>\textbf{Errors}&amp;</v>
      </c>
      <c r="O13" t="str">
        <f>"\textbf{"&amp;D13&amp;"}"&amp;IF(E13="","\\","&amp;")</f>
        <v>\textbf{Detectors}&amp;</v>
      </c>
      <c r="P13" t="str">
        <f>"\textbf{"&amp;G13&amp;"}"&amp;IF(H13="","\\","&amp;")</f>
        <v>\textbf{Errors}&amp;</v>
      </c>
      <c r="Q13" t="str">
        <f>"\textbf{"&amp;H13&amp;"}"&amp;IF(I13="","\\","&amp;")</f>
        <v>\textbf{Detectors}&amp;</v>
      </c>
      <c r="R13" t="str">
        <f>"\textbf{"&amp;I13&amp;"}"&amp;IF(J13="","\\","&amp;")</f>
        <v>\textbf{Errors}&amp;</v>
      </c>
      <c r="S13" t="str">
        <f>"\textbf{"&amp;J13&amp;"}"&amp;IF(K13="","\\","&amp;")</f>
        <v>\textbf{Detectors}\\</v>
      </c>
      <c r="T13" t="s">
        <v>8</v>
      </c>
      <c r="V13" t="str">
        <f>IF(B13="","\\","&amp;")</f>
        <v>&amp;</v>
      </c>
    </row>
    <row r="14" spans="1:22" ht="16" customHeight="1" x14ac:dyDescent="0.2">
      <c r="A14" s="8" t="s">
        <v>3</v>
      </c>
      <c r="B14" s="9"/>
      <c r="C14" s="9"/>
      <c r="D14" s="9"/>
      <c r="E14" s="9"/>
      <c r="F14" s="9"/>
      <c r="G14" s="9"/>
      <c r="H14" s="10"/>
      <c r="L14" t="str">
        <f>"\multicolumn{8}{|c|}{\textbf{"&amp;A14&amp;"}}\\"</f>
        <v>\multicolumn{8}{|c|}{\textbf{Surface Code}}\\</v>
      </c>
      <c r="T14" t="s">
        <v>8</v>
      </c>
    </row>
    <row r="15" spans="1:22" x14ac:dyDescent="0.2">
      <c r="A15" s="3">
        <v>17</v>
      </c>
      <c r="B15" s="3">
        <v>1</v>
      </c>
      <c r="C15" s="3">
        <v>221</v>
      </c>
      <c r="D15" s="3">
        <v>24</v>
      </c>
      <c r="E15" s="3">
        <v>78</v>
      </c>
      <c r="F15" s="3">
        <v>24</v>
      </c>
      <c r="G15" s="3">
        <v>55</v>
      </c>
      <c r="H15" s="3">
        <v>16</v>
      </c>
      <c r="I15" s="14">
        <f>(C15-G15)/C15</f>
        <v>0.75113122171945701</v>
      </c>
      <c r="J15" s="14">
        <f t="shared" ref="J15:J19" si="0">(D15-H15)/D15</f>
        <v>0.33333333333333331</v>
      </c>
      <c r="L15" t="str">
        <f t="shared" ref="L15:O19" si="1">TEXT(A15,$C$8)&amp;IF(B15,"&amp;","\\")</f>
        <v>17&amp;</v>
      </c>
      <c r="M15" t="str">
        <f t="shared" si="1"/>
        <v>1&amp;</v>
      </c>
      <c r="N15" t="str">
        <f t="shared" si="1"/>
        <v>221&amp;</v>
      </c>
      <c r="O15" t="str">
        <f t="shared" si="1"/>
        <v>24&amp;</v>
      </c>
      <c r="P15" t="str">
        <f>TEXT(G15,$C$8)&amp;IF(H15,"&amp;","\\")</f>
        <v>55&amp;</v>
      </c>
      <c r="Q15" t="str">
        <f>TEXT(H15,$C$8)&amp;IF(I15,"&amp;","\\")</f>
        <v>16&amp;</v>
      </c>
      <c r="R15" s="14" t="str">
        <f>SUBSTITUTE(TEXT(I15,$C$9),"%","\%")&amp;IF(J15,"&amp;","\\")</f>
        <v>75.1\%&amp;</v>
      </c>
      <c r="S15" s="14" t="str">
        <f t="shared" ref="S15:S19" si="2">SUBSTITUTE(TEXT(J15,$C$9),"%","\%")&amp;IF(K15,"&amp;","\\")</f>
        <v>33.3\%\\</v>
      </c>
    </row>
    <row r="16" spans="1:22" x14ac:dyDescent="0.2">
      <c r="A16" s="3">
        <v>49</v>
      </c>
      <c r="B16" s="3">
        <v>1</v>
      </c>
      <c r="C16" s="3">
        <v>1679</v>
      </c>
      <c r="D16" s="3">
        <v>120</v>
      </c>
      <c r="E16" s="3">
        <v>502</v>
      </c>
      <c r="F16" s="3">
        <v>120</v>
      </c>
      <c r="G16" s="3">
        <v>385</v>
      </c>
      <c r="H16" s="3">
        <v>72</v>
      </c>
      <c r="I16" s="14">
        <f t="shared" ref="I16:I19" si="3">(C16-G16)/C16</f>
        <v>0.77069684335914235</v>
      </c>
      <c r="J16" s="14">
        <f t="shared" si="0"/>
        <v>0.4</v>
      </c>
      <c r="L16" t="str">
        <f t="shared" si="1"/>
        <v>49&amp;</v>
      </c>
      <c r="M16" t="str">
        <f t="shared" si="1"/>
        <v>1&amp;</v>
      </c>
      <c r="N16" t="str">
        <f t="shared" si="1"/>
        <v>1,679&amp;</v>
      </c>
      <c r="O16" t="str">
        <f t="shared" si="1"/>
        <v>120&amp;</v>
      </c>
      <c r="P16" t="str">
        <f>TEXT(G16,$C$8)&amp;IF(H16,"&amp;","\\")</f>
        <v>385&amp;</v>
      </c>
      <c r="Q16" t="str">
        <f>TEXT(H16,$C$8)&amp;IF(I16,"&amp;","\\")</f>
        <v>72&amp;</v>
      </c>
      <c r="R16" s="14" t="str">
        <f t="shared" ref="R16:R19" si="4">SUBSTITUTE(TEXT(I16,$C$9),"%","\%")&amp;IF(J16,"&amp;","\\")</f>
        <v>77.1\%&amp;</v>
      </c>
      <c r="S16" s="14" t="str">
        <f t="shared" si="2"/>
        <v>40.0\%\\</v>
      </c>
    </row>
    <row r="17" spans="1:20" x14ac:dyDescent="0.2">
      <c r="A17" s="3">
        <v>97</v>
      </c>
      <c r="B17" s="3">
        <v>1</v>
      </c>
      <c r="C17" s="3">
        <v>5473</v>
      </c>
      <c r="D17" s="3">
        <v>336</v>
      </c>
      <c r="E17" s="3">
        <v>1558</v>
      </c>
      <c r="F17" s="3">
        <v>336</v>
      </c>
      <c r="G17" s="3">
        <v>1141</v>
      </c>
      <c r="H17" s="3">
        <v>192</v>
      </c>
      <c r="I17" s="14">
        <f t="shared" si="3"/>
        <v>0.79152201717522386</v>
      </c>
      <c r="J17" s="14">
        <f t="shared" si="0"/>
        <v>0.42857142857142855</v>
      </c>
      <c r="L17" t="str">
        <f t="shared" si="1"/>
        <v>97&amp;</v>
      </c>
      <c r="M17" t="str">
        <f t="shared" si="1"/>
        <v>1&amp;</v>
      </c>
      <c r="N17" t="str">
        <f t="shared" si="1"/>
        <v>5,473&amp;</v>
      </c>
      <c r="O17" t="str">
        <f t="shared" si="1"/>
        <v>336&amp;</v>
      </c>
      <c r="P17" t="str">
        <f>TEXT(G17,$C$8)&amp;IF(H17,"&amp;","\\")</f>
        <v>1,141&amp;</v>
      </c>
      <c r="Q17" t="str">
        <f>TEXT(H17,$C$8)&amp;IF(I17,"&amp;","\\")</f>
        <v>192&amp;</v>
      </c>
      <c r="R17" s="14" t="str">
        <f t="shared" si="4"/>
        <v>79.2\%&amp;</v>
      </c>
      <c r="S17" s="14" t="str">
        <f t="shared" si="2"/>
        <v>42.9\%\\</v>
      </c>
    </row>
    <row r="18" spans="1:20" x14ac:dyDescent="0.2">
      <c r="A18" s="3">
        <v>161</v>
      </c>
      <c r="B18" s="3">
        <v>1</v>
      </c>
      <c r="C18" s="3">
        <v>12707</v>
      </c>
      <c r="D18" s="3">
        <v>720</v>
      </c>
      <c r="E18" s="3">
        <v>3534</v>
      </c>
      <c r="F18" s="3">
        <v>720</v>
      </c>
      <c r="G18" s="3">
        <v>2529</v>
      </c>
      <c r="H18" s="3">
        <v>400</v>
      </c>
      <c r="I18" s="14">
        <f t="shared" si="3"/>
        <v>0.80097584008814038</v>
      </c>
      <c r="J18" s="14">
        <f t="shared" si="0"/>
        <v>0.44444444444444442</v>
      </c>
      <c r="L18" t="str">
        <f t="shared" si="1"/>
        <v>161&amp;</v>
      </c>
      <c r="M18" t="str">
        <f t="shared" si="1"/>
        <v>1&amp;</v>
      </c>
      <c r="N18" t="str">
        <f t="shared" si="1"/>
        <v>12,707&amp;</v>
      </c>
      <c r="O18" t="str">
        <f t="shared" si="1"/>
        <v>720&amp;</v>
      </c>
      <c r="P18" t="str">
        <f>TEXT(G18,$C$8)&amp;IF(H18,"&amp;","\\")</f>
        <v>2,529&amp;</v>
      </c>
      <c r="Q18" t="str">
        <f>TEXT(H18,$C$8)&amp;IF(I18,"&amp;","\\")</f>
        <v>400&amp;</v>
      </c>
      <c r="R18" s="14" t="str">
        <f t="shared" si="4"/>
        <v>80.1\%&amp;</v>
      </c>
      <c r="S18" s="14" t="str">
        <f t="shared" si="2"/>
        <v>44.4\%\\</v>
      </c>
    </row>
    <row r="19" spans="1:20" x14ac:dyDescent="0.2">
      <c r="A19" s="3">
        <v>241</v>
      </c>
      <c r="B19" s="3">
        <v>1</v>
      </c>
      <c r="C19" s="3">
        <v>24485</v>
      </c>
      <c r="D19" s="3">
        <v>1320</v>
      </c>
      <c r="E19" s="4">
        <v>6718</v>
      </c>
      <c r="F19" s="3">
        <v>1320</v>
      </c>
      <c r="G19" s="3">
        <v>4741</v>
      </c>
      <c r="H19" s="3">
        <v>720</v>
      </c>
      <c r="I19" s="14">
        <f t="shared" si="3"/>
        <v>0.8063712477026751</v>
      </c>
      <c r="J19" s="14">
        <f t="shared" si="0"/>
        <v>0.45454545454545453</v>
      </c>
      <c r="L19" t="str">
        <f t="shared" si="1"/>
        <v>241&amp;</v>
      </c>
      <c r="M19" t="str">
        <f t="shared" si="1"/>
        <v>1&amp;</v>
      </c>
      <c r="N19" t="str">
        <f t="shared" si="1"/>
        <v>24,485&amp;</v>
      </c>
      <c r="O19" t="str">
        <f t="shared" si="1"/>
        <v>1,320&amp;</v>
      </c>
      <c r="P19" t="str">
        <f>TEXT(G19,$C$8)&amp;IF(H19,"&amp;","\\")</f>
        <v>4,741&amp;</v>
      </c>
      <c r="Q19" t="str">
        <f>TEXT(H19,$C$8)&amp;IF(I19,"&amp;","\\")</f>
        <v>720&amp;</v>
      </c>
      <c r="R19" s="14" t="str">
        <f t="shared" si="4"/>
        <v>80.6\%&amp;</v>
      </c>
      <c r="S19" s="14" t="str">
        <f t="shared" si="2"/>
        <v>45.5\%\\</v>
      </c>
      <c r="T19" t="s">
        <v>8</v>
      </c>
    </row>
    <row r="20" spans="1:20" x14ac:dyDescent="0.2">
      <c r="A20" s="6" t="s">
        <v>4</v>
      </c>
      <c r="B20" s="11"/>
      <c r="C20" s="11"/>
      <c r="D20" s="11"/>
      <c r="E20" s="11"/>
      <c r="F20" s="11"/>
      <c r="G20" s="11"/>
      <c r="H20" s="7"/>
      <c r="I20" s="14"/>
      <c r="J20" s="14"/>
      <c r="L20" t="str">
        <f>"\multicolumn{8}{|c|}{\textbf{"&amp;A20&amp;"}}\\"</f>
        <v>\multicolumn{8}{|c|}{\textbf{Colour Code - Midout}}\\</v>
      </c>
      <c r="R20" s="14"/>
      <c r="S20" s="14"/>
      <c r="T20" t="s">
        <v>8</v>
      </c>
    </row>
    <row r="21" spans="1:20" x14ac:dyDescent="0.2">
      <c r="A21" s="3">
        <v>9</v>
      </c>
      <c r="B21" s="3">
        <v>1</v>
      </c>
      <c r="C21" s="3">
        <v>143</v>
      </c>
      <c r="D21" s="3">
        <v>12</v>
      </c>
      <c r="E21" s="3">
        <v>33</v>
      </c>
      <c r="F21" s="3">
        <v>8</v>
      </c>
      <c r="G21" s="3">
        <v>33</v>
      </c>
      <c r="H21" s="3">
        <v>8</v>
      </c>
      <c r="I21" s="14">
        <f t="shared" ref="I21:I25" si="5">(C21-G21)/C21</f>
        <v>0.76923076923076927</v>
      </c>
      <c r="J21" s="14">
        <f t="shared" ref="J21:J25" si="6">(D21-H21)/D21</f>
        <v>0.33333333333333331</v>
      </c>
      <c r="L21" t="str">
        <f t="shared" ref="L21:O25" si="7">TEXT(A21,$C$8)&amp;IF(B21,"&amp;","\\")</f>
        <v>9&amp;</v>
      </c>
      <c r="M21" t="str">
        <f t="shared" si="7"/>
        <v>1&amp;</v>
      </c>
      <c r="N21" t="str">
        <f t="shared" si="7"/>
        <v>143&amp;</v>
      </c>
      <c r="O21" t="str">
        <f t="shared" si="7"/>
        <v>12&amp;</v>
      </c>
      <c r="P21" t="str">
        <f>TEXT(G21,$C$8)&amp;IF(H21,"&amp;","\\")</f>
        <v>33&amp;</v>
      </c>
      <c r="Q21" t="str">
        <f>TEXT(H21,$C$8)&amp;IF(I21,"&amp;","\\")</f>
        <v>8&amp;</v>
      </c>
      <c r="R21" s="14" t="str">
        <f t="shared" ref="R21:R25" si="8">SUBSTITUTE(TEXT(I21,$C$9),"%","\%")&amp;IF(J21,"&amp;","\\")</f>
        <v>76.9\%&amp;</v>
      </c>
      <c r="S21" s="14" t="str">
        <f t="shared" ref="S21:S25" si="9">SUBSTITUTE(TEXT(J21,$C$9),"%","\%")&amp;IF(K21,"&amp;","\\")</f>
        <v>33.3\%\\</v>
      </c>
    </row>
    <row r="22" spans="1:20" x14ac:dyDescent="0.2">
      <c r="A22" s="3">
        <v>23</v>
      </c>
      <c r="B22" s="3">
        <v>1</v>
      </c>
      <c r="C22" s="3">
        <v>1028</v>
      </c>
      <c r="D22" s="3">
        <v>55</v>
      </c>
      <c r="E22" s="3">
        <v>171</v>
      </c>
      <c r="F22" s="3">
        <v>33</v>
      </c>
      <c r="G22" s="3">
        <v>171</v>
      </c>
      <c r="H22" s="3">
        <v>33</v>
      </c>
      <c r="I22" s="14">
        <f t="shared" si="5"/>
        <v>0.83365758754863817</v>
      </c>
      <c r="J22" s="14">
        <f t="shared" si="6"/>
        <v>0.4</v>
      </c>
      <c r="L22" t="str">
        <f t="shared" si="7"/>
        <v>23&amp;</v>
      </c>
      <c r="M22" t="str">
        <f t="shared" si="7"/>
        <v>1&amp;</v>
      </c>
      <c r="N22" t="str">
        <f t="shared" si="7"/>
        <v>1,028&amp;</v>
      </c>
      <c r="O22" t="str">
        <f t="shared" si="7"/>
        <v>55&amp;</v>
      </c>
      <c r="P22" t="str">
        <f>TEXT(G22,$C$8)&amp;IF(H22,"&amp;","\\")</f>
        <v>171&amp;</v>
      </c>
      <c r="Q22" t="str">
        <f>TEXT(H22,$C$8)&amp;IF(I22,"&amp;","\\")</f>
        <v>33&amp;</v>
      </c>
      <c r="R22" s="14" t="str">
        <f t="shared" si="8"/>
        <v>83.4\%&amp;</v>
      </c>
      <c r="S22" s="14" t="str">
        <f t="shared" si="9"/>
        <v>40.0\%\\</v>
      </c>
    </row>
    <row r="23" spans="1:20" x14ac:dyDescent="0.2">
      <c r="A23" s="3">
        <v>43</v>
      </c>
      <c r="B23" s="3">
        <v>1</v>
      </c>
      <c r="C23" s="3">
        <v>3186</v>
      </c>
      <c r="D23" s="3">
        <v>147</v>
      </c>
      <c r="E23" s="3">
        <v>475</v>
      </c>
      <c r="F23" s="3">
        <v>84</v>
      </c>
      <c r="G23" s="3">
        <v>475</v>
      </c>
      <c r="H23" s="3">
        <v>84</v>
      </c>
      <c r="I23" s="14">
        <f t="shared" si="5"/>
        <v>0.85091023226616447</v>
      </c>
      <c r="J23" s="14">
        <f t="shared" si="6"/>
        <v>0.42857142857142855</v>
      </c>
      <c r="L23" t="str">
        <f t="shared" si="7"/>
        <v>43&amp;</v>
      </c>
      <c r="M23" t="str">
        <f t="shared" si="7"/>
        <v>1&amp;</v>
      </c>
      <c r="N23" t="str">
        <f t="shared" si="7"/>
        <v>3,186&amp;</v>
      </c>
      <c r="O23" t="str">
        <f t="shared" si="7"/>
        <v>147&amp;</v>
      </c>
      <c r="P23" t="str">
        <f>TEXT(G23,$C$8)&amp;IF(H23,"&amp;","\\")</f>
        <v>475&amp;</v>
      </c>
      <c r="Q23" t="str">
        <f>TEXT(H23,$C$8)&amp;IF(I23,"&amp;","\\")</f>
        <v>84&amp;</v>
      </c>
      <c r="R23" s="14" t="str">
        <f t="shared" si="8"/>
        <v>85.1\%&amp;</v>
      </c>
      <c r="S23" s="14" t="str">
        <f t="shared" si="9"/>
        <v>42.9\%\\</v>
      </c>
    </row>
    <row r="24" spans="1:20" x14ac:dyDescent="0.2">
      <c r="A24" s="3">
        <v>69</v>
      </c>
      <c r="B24" s="3">
        <v>1</v>
      </c>
      <c r="C24" s="3">
        <v>7197</v>
      </c>
      <c r="D24" s="3">
        <v>306</v>
      </c>
      <c r="E24" s="3">
        <v>1041</v>
      </c>
      <c r="F24" s="3">
        <v>170</v>
      </c>
      <c r="G24" s="3">
        <v>1320</v>
      </c>
      <c r="H24" s="3">
        <v>170</v>
      </c>
      <c r="I24" s="14">
        <f t="shared" si="5"/>
        <v>0.81659024593580654</v>
      </c>
      <c r="J24" s="14">
        <f t="shared" si="6"/>
        <v>0.44444444444444442</v>
      </c>
      <c r="L24" t="str">
        <f t="shared" si="7"/>
        <v>69&amp;</v>
      </c>
      <c r="M24" t="str">
        <f t="shared" si="7"/>
        <v>1&amp;</v>
      </c>
      <c r="N24" t="str">
        <f t="shared" si="7"/>
        <v>7,197&amp;</v>
      </c>
      <c r="O24" t="str">
        <f t="shared" si="7"/>
        <v>306&amp;</v>
      </c>
      <c r="P24" t="str">
        <f>TEXT(G24,$C$8)&amp;IF(H24,"&amp;","\\")</f>
        <v>1,320&amp;</v>
      </c>
      <c r="Q24" t="str">
        <f>TEXT(H24,$C$8)&amp;IF(I24,"&amp;","\\")</f>
        <v>170&amp;</v>
      </c>
      <c r="R24" s="14" t="str">
        <f t="shared" si="8"/>
        <v>81.7\%&amp;</v>
      </c>
      <c r="S24" s="14" t="str">
        <f t="shared" si="9"/>
        <v>44.4\%\\</v>
      </c>
    </row>
    <row r="25" spans="1:20" x14ac:dyDescent="0.2">
      <c r="A25" s="3">
        <v>101</v>
      </c>
      <c r="B25" s="3">
        <v>1</v>
      </c>
      <c r="C25" s="3">
        <v>13597</v>
      </c>
      <c r="D25" s="3">
        <v>550</v>
      </c>
      <c r="E25" s="3">
        <v>1907</v>
      </c>
      <c r="F25" s="3">
        <v>300</v>
      </c>
      <c r="G25" s="3">
        <v>2459</v>
      </c>
      <c r="H25" s="3">
        <v>300</v>
      </c>
      <c r="I25" s="14">
        <f t="shared" si="5"/>
        <v>0.81915128337133192</v>
      </c>
      <c r="J25" s="14">
        <f t="shared" si="6"/>
        <v>0.45454545454545453</v>
      </c>
      <c r="L25" t="str">
        <f t="shared" si="7"/>
        <v>101&amp;</v>
      </c>
      <c r="M25" t="str">
        <f t="shared" si="7"/>
        <v>1&amp;</v>
      </c>
      <c r="N25" t="str">
        <f t="shared" si="7"/>
        <v>13,597&amp;</v>
      </c>
      <c r="O25" t="str">
        <f t="shared" si="7"/>
        <v>550&amp;</v>
      </c>
      <c r="P25" t="str">
        <f>TEXT(G25,$C$8)&amp;IF(H25,"&amp;","\\")</f>
        <v>2,459&amp;</v>
      </c>
      <c r="Q25" t="str">
        <f>TEXT(H25,$C$8)&amp;IF(I25,"&amp;","\\")</f>
        <v>300&amp;</v>
      </c>
      <c r="R25" s="14" t="str">
        <f t="shared" si="8"/>
        <v>81.9\%&amp;</v>
      </c>
      <c r="S25" s="14" t="str">
        <f t="shared" si="9"/>
        <v>45.5\%\\</v>
      </c>
      <c r="T25" t="s">
        <v>8</v>
      </c>
    </row>
    <row r="26" spans="1:20" x14ac:dyDescent="0.2">
      <c r="A26" s="6" t="s">
        <v>5</v>
      </c>
      <c r="B26" s="11"/>
      <c r="C26" s="11"/>
      <c r="D26" s="11"/>
      <c r="E26" s="11"/>
      <c r="F26" s="11"/>
      <c r="G26" s="11"/>
      <c r="H26" s="7"/>
      <c r="I26" s="15"/>
      <c r="J26" s="15"/>
      <c r="L26" t="str">
        <f>"\multicolumn{8}{|c|}{\textbf{"&amp;A26&amp;"}}\\"</f>
        <v>\multicolumn{8}{|c|}{\textbf{Colour Code - Superdense}}\\</v>
      </c>
      <c r="R26" s="14"/>
      <c r="S26" s="14"/>
      <c r="T26" t="s">
        <v>8</v>
      </c>
    </row>
    <row r="27" spans="1:20" x14ac:dyDescent="0.2">
      <c r="A27" s="3">
        <v>13</v>
      </c>
      <c r="B27" s="3">
        <v>1</v>
      </c>
      <c r="C27" s="3">
        <v>358</v>
      </c>
      <c r="D27" s="3">
        <v>18</v>
      </c>
      <c r="E27" s="3">
        <v>70</v>
      </c>
      <c r="F27" s="3">
        <v>12</v>
      </c>
      <c r="G27" s="3">
        <v>70</v>
      </c>
      <c r="H27" s="3">
        <v>12</v>
      </c>
      <c r="I27" s="14">
        <f t="shared" ref="I27:I36" si="10">(C27-G27)/C27</f>
        <v>0.8044692737430168</v>
      </c>
      <c r="J27" s="14">
        <f t="shared" ref="J27:J36" si="11">(D27-H27)/D27</f>
        <v>0.33333333333333331</v>
      </c>
      <c r="L27" t="str">
        <f t="shared" ref="L27:O32" si="12">TEXT(A27,$C$8)&amp;IF(B27,"&amp;","\\")</f>
        <v>13&amp;</v>
      </c>
      <c r="M27" t="str">
        <f t="shared" si="12"/>
        <v>1&amp;</v>
      </c>
      <c r="N27" t="str">
        <f t="shared" si="12"/>
        <v>358&amp;</v>
      </c>
      <c r="O27" t="str">
        <f t="shared" si="12"/>
        <v>18&amp;</v>
      </c>
      <c r="P27" t="str">
        <f>TEXT(G27,$C$8)&amp;IF(H27,"&amp;","\\")</f>
        <v>70&amp;</v>
      </c>
      <c r="Q27" t="str">
        <f>TEXT(H27,$C$8)&amp;IF(I27,"&amp;","\\")</f>
        <v>12&amp;</v>
      </c>
      <c r="R27" s="14" t="str">
        <f t="shared" ref="R27:R32" si="13">SUBSTITUTE(TEXT(I27,$C$9),"%","\%")&amp;IF(J27,"&amp;","\\")</f>
        <v>80.4\%&amp;</v>
      </c>
      <c r="S27" s="14" t="str">
        <f t="shared" ref="S27:S32" si="14">SUBSTITUTE(TEXT(J27,$C$9),"%","\%")&amp;IF(K27,"&amp;","\\")</f>
        <v>33.3\%\\</v>
      </c>
    </row>
    <row r="28" spans="1:20" x14ac:dyDescent="0.2">
      <c r="A28" s="3">
        <v>37</v>
      </c>
      <c r="B28" s="3">
        <v>1</v>
      </c>
      <c r="C28" s="3">
        <v>2788</v>
      </c>
      <c r="D28" s="3">
        <v>90</v>
      </c>
      <c r="E28" s="3">
        <v>414</v>
      </c>
      <c r="F28" s="3">
        <v>54</v>
      </c>
      <c r="G28" s="3">
        <v>471</v>
      </c>
      <c r="H28" s="3">
        <v>54</v>
      </c>
      <c r="I28" s="14">
        <f t="shared" si="10"/>
        <v>0.83106169296987087</v>
      </c>
      <c r="J28" s="14">
        <f t="shared" si="11"/>
        <v>0.4</v>
      </c>
      <c r="L28" t="str">
        <f t="shared" si="12"/>
        <v>37&amp;</v>
      </c>
      <c r="M28" t="str">
        <f t="shared" si="12"/>
        <v>1&amp;</v>
      </c>
      <c r="N28" t="str">
        <f t="shared" si="12"/>
        <v>2,788&amp;</v>
      </c>
      <c r="O28" t="str">
        <f t="shared" si="12"/>
        <v>90&amp;</v>
      </c>
      <c r="P28" t="str">
        <f>TEXT(G28,$C$8)&amp;IF(H28,"&amp;","\\")</f>
        <v>471&amp;</v>
      </c>
      <c r="Q28" t="str">
        <f>TEXT(H28,$C$8)&amp;IF(I28,"&amp;","\\")</f>
        <v>54&amp;</v>
      </c>
      <c r="R28" s="14" t="str">
        <f t="shared" si="13"/>
        <v>83.1\%&amp;</v>
      </c>
      <c r="S28" s="14" t="str">
        <f t="shared" si="14"/>
        <v>40.0\%\\</v>
      </c>
    </row>
    <row r="29" spans="1:20" x14ac:dyDescent="0.2">
      <c r="A29" s="3">
        <v>73</v>
      </c>
      <c r="B29" s="3">
        <v>1</v>
      </c>
      <c r="C29" s="3">
        <v>9143</v>
      </c>
      <c r="D29" s="3">
        <v>252</v>
      </c>
      <c r="E29" s="3">
        <v>1248</v>
      </c>
      <c r="F29" s="3">
        <v>144</v>
      </c>
      <c r="G29" s="3">
        <v>1433</v>
      </c>
      <c r="H29" s="3">
        <v>144</v>
      </c>
      <c r="I29" s="14">
        <f t="shared" si="10"/>
        <v>0.84326807393634473</v>
      </c>
      <c r="J29" s="14">
        <f t="shared" si="11"/>
        <v>0.42857142857142855</v>
      </c>
      <c r="L29" t="str">
        <f t="shared" si="12"/>
        <v>73&amp;</v>
      </c>
      <c r="M29" t="str">
        <f t="shared" si="12"/>
        <v>1&amp;</v>
      </c>
      <c r="N29" t="str">
        <f t="shared" si="12"/>
        <v>9,143&amp;</v>
      </c>
      <c r="O29" t="str">
        <f t="shared" si="12"/>
        <v>252&amp;</v>
      </c>
      <c r="P29" t="str">
        <f>TEXT(G29,$C$8)&amp;IF(H29,"&amp;","\\")</f>
        <v>1,433&amp;</v>
      </c>
      <c r="Q29" t="str">
        <f>TEXT(H29,$C$8)&amp;IF(I29,"&amp;","\\")</f>
        <v>144&amp;</v>
      </c>
      <c r="R29" s="14" t="str">
        <f t="shared" si="13"/>
        <v>84.3\%&amp;</v>
      </c>
      <c r="S29" s="14" t="str">
        <f t="shared" si="14"/>
        <v>42.9\%\\</v>
      </c>
    </row>
    <row r="30" spans="1:20" x14ac:dyDescent="0.2">
      <c r="A30" s="3">
        <v>121</v>
      </c>
      <c r="B30" s="3">
        <v>1</v>
      </c>
      <c r="C30" s="3">
        <v>21277</v>
      </c>
      <c r="D30" s="3">
        <v>540</v>
      </c>
      <c r="E30" s="3">
        <v>2788</v>
      </c>
      <c r="F30" s="3">
        <v>300</v>
      </c>
      <c r="G30" s="3">
        <v>3215</v>
      </c>
      <c r="H30" s="3">
        <v>300</v>
      </c>
      <c r="I30" s="14">
        <f t="shared" si="10"/>
        <v>0.8488978709404521</v>
      </c>
      <c r="J30" s="14">
        <f t="shared" si="11"/>
        <v>0.44444444444444442</v>
      </c>
      <c r="L30" t="str">
        <f t="shared" si="12"/>
        <v>121&amp;</v>
      </c>
      <c r="M30" t="str">
        <f t="shared" si="12"/>
        <v>1&amp;</v>
      </c>
      <c r="N30" t="str">
        <f t="shared" si="12"/>
        <v>21,277&amp;</v>
      </c>
      <c r="O30" t="str">
        <f t="shared" si="12"/>
        <v>540&amp;</v>
      </c>
      <c r="P30" t="str">
        <f>TEXT(G30,$C$8)&amp;IF(H30,"&amp;","\\")</f>
        <v>3,215&amp;</v>
      </c>
      <c r="Q30" t="str">
        <f>TEXT(H30,$C$8)&amp;IF(I30,"&amp;","\\")</f>
        <v>300&amp;</v>
      </c>
      <c r="R30" s="14" t="str">
        <f t="shared" si="13"/>
        <v>84.9\%&amp;</v>
      </c>
      <c r="S30" s="14" t="str">
        <f t="shared" si="14"/>
        <v>44.4\%\\</v>
      </c>
    </row>
    <row r="31" spans="1:20" x14ac:dyDescent="0.2">
      <c r="A31" s="3">
        <v>169</v>
      </c>
      <c r="B31" s="3">
        <v>1</v>
      </c>
      <c r="C31" s="3">
        <v>169</v>
      </c>
      <c r="D31" s="3">
        <v>168</v>
      </c>
      <c r="E31" s="3">
        <v>169</v>
      </c>
      <c r="F31" s="3">
        <v>84</v>
      </c>
      <c r="G31" s="3">
        <v>169</v>
      </c>
      <c r="H31" s="3">
        <v>84</v>
      </c>
      <c r="I31" s="14">
        <f t="shared" si="10"/>
        <v>0</v>
      </c>
      <c r="J31" s="14">
        <f t="shared" si="11"/>
        <v>0.5</v>
      </c>
      <c r="L31" t="str">
        <f t="shared" si="12"/>
        <v>169&amp;</v>
      </c>
      <c r="M31" t="str">
        <f t="shared" si="12"/>
        <v>1&amp;</v>
      </c>
      <c r="N31" t="str">
        <f t="shared" si="12"/>
        <v>169&amp;</v>
      </c>
      <c r="O31" t="str">
        <f t="shared" si="12"/>
        <v>168&amp;</v>
      </c>
      <c r="P31" t="str">
        <f>TEXT(G31,$C$8)&amp;IF(H31,"&amp;","\\")</f>
        <v>169&amp;</v>
      </c>
      <c r="Q31" t="str">
        <f>TEXT(H31,$C$8)&amp;IF(I31,"&amp;","\\")</f>
        <v>84\\</v>
      </c>
      <c r="R31" s="14" t="str">
        <f t="shared" si="13"/>
        <v>0.0\%&amp;</v>
      </c>
      <c r="S31" s="14" t="str">
        <f t="shared" si="14"/>
        <v>50.0\%\\</v>
      </c>
    </row>
    <row r="32" spans="1:20" x14ac:dyDescent="0.2">
      <c r="A32" s="3">
        <v>181</v>
      </c>
      <c r="B32" s="3">
        <v>1</v>
      </c>
      <c r="C32" s="3">
        <v>41044</v>
      </c>
      <c r="D32" s="3">
        <v>990</v>
      </c>
      <c r="E32" s="3">
        <v>5250</v>
      </c>
      <c r="F32" s="3">
        <v>540</v>
      </c>
      <c r="G32" s="3">
        <v>6069</v>
      </c>
      <c r="H32" s="3">
        <v>540</v>
      </c>
      <c r="I32" s="14">
        <f t="shared" ref="I32" si="15">(C32-G32)/C32</f>
        <v>0.85213429490303094</v>
      </c>
      <c r="J32" s="14">
        <f t="shared" ref="J32" si="16">(D32-H32)/D32</f>
        <v>0.45454545454545453</v>
      </c>
      <c r="L32" t="str">
        <f t="shared" si="12"/>
        <v>181&amp;</v>
      </c>
      <c r="M32" t="str">
        <f t="shared" si="12"/>
        <v>1&amp;</v>
      </c>
      <c r="N32" t="str">
        <f t="shared" si="12"/>
        <v>41,044&amp;</v>
      </c>
      <c r="O32" t="str">
        <f t="shared" si="12"/>
        <v>990&amp;</v>
      </c>
      <c r="P32" t="str">
        <f>TEXT(G32,$C$8)&amp;IF(H32,"&amp;","\\")</f>
        <v>6,069&amp;</v>
      </c>
      <c r="Q32" t="str">
        <f>TEXT(H32,$C$8)&amp;IF(I32,"&amp;","\\")</f>
        <v>540&amp;</v>
      </c>
      <c r="R32" s="14" t="str">
        <f t="shared" si="13"/>
        <v>85.2\%&amp;</v>
      </c>
      <c r="S32" s="14" t="str">
        <f t="shared" si="14"/>
        <v>45.5\%\\</v>
      </c>
      <c r="T32" t="s">
        <v>8</v>
      </c>
    </row>
    <row r="33" spans="1:20" x14ac:dyDescent="0.2">
      <c r="A33" s="6" t="s">
        <v>6</v>
      </c>
      <c r="B33" s="11"/>
      <c r="C33" s="11"/>
      <c r="D33" s="11"/>
      <c r="E33" s="11"/>
      <c r="F33" s="11"/>
      <c r="G33" s="11"/>
      <c r="H33" s="7"/>
      <c r="I33" s="15"/>
      <c r="J33" s="15"/>
      <c r="L33" t="str">
        <f>"\multicolumn{8}{|c|}{\textbf{"&amp;A33&amp;"}}\\"</f>
        <v>\multicolumn{8}{|c|}{\textbf{Bivariate Bicycle Code}}\\</v>
      </c>
      <c r="R33" s="14"/>
      <c r="S33" s="14"/>
      <c r="T33" t="s">
        <v>8</v>
      </c>
    </row>
    <row r="34" spans="1:20" x14ac:dyDescent="0.2">
      <c r="A34" s="3">
        <v>144</v>
      </c>
      <c r="B34" s="3">
        <v>12</v>
      </c>
      <c r="C34" s="3">
        <v>16164</v>
      </c>
      <c r="D34" s="3">
        <v>432</v>
      </c>
      <c r="E34" s="3">
        <v>4032</v>
      </c>
      <c r="F34" s="3">
        <v>432</v>
      </c>
      <c r="G34" s="3">
        <v>2592</v>
      </c>
      <c r="H34" s="3">
        <v>252</v>
      </c>
      <c r="I34" s="14">
        <f t="shared" ref="I34:I39" si="17">(C34-G34)/C34</f>
        <v>0.83964365256124718</v>
      </c>
      <c r="J34" s="14">
        <f t="shared" ref="J34:J39" si="18">(D34-H34)/D34</f>
        <v>0.41666666666666669</v>
      </c>
      <c r="L34" t="str">
        <f t="shared" ref="L34:O39" si="19">TEXT(A34,$C$8)&amp;IF(B34,"&amp;","\\")</f>
        <v>144&amp;</v>
      </c>
      <c r="M34" t="str">
        <f t="shared" si="19"/>
        <v>12&amp;</v>
      </c>
      <c r="N34" t="str">
        <f t="shared" si="19"/>
        <v>16,164&amp;</v>
      </c>
      <c r="O34" t="str">
        <f t="shared" si="19"/>
        <v>432&amp;</v>
      </c>
      <c r="P34" t="str">
        <f>TEXT(G34,$C$8)&amp;IF(H34,"&amp;","\\")</f>
        <v>2,592&amp;</v>
      </c>
      <c r="Q34" t="str">
        <f>TEXT(H34,$C$8)&amp;IF(I34,"&amp;","\\")</f>
        <v>252&amp;</v>
      </c>
      <c r="R34" s="14" t="str">
        <f t="shared" ref="R34:R39" si="20">SUBSTITUTE(TEXT(I34,$C$9),"%","\%")&amp;IF(J34,"&amp;","\\")</f>
        <v>84.0\%&amp;</v>
      </c>
      <c r="S34" s="14" t="str">
        <f t="shared" ref="S34:S39" si="21">SUBSTITUTE(TEXT(J34,$C$9),"%","\%")&amp;IF(K34,"&amp;","\\")</f>
        <v>41.7\%\\</v>
      </c>
    </row>
    <row r="35" spans="1:20" x14ac:dyDescent="0.2">
      <c r="A35" s="3">
        <v>180</v>
      </c>
      <c r="B35" s="3">
        <v>8</v>
      </c>
      <c r="C35" s="3">
        <v>34965</v>
      </c>
      <c r="D35" s="3">
        <v>900</v>
      </c>
      <c r="E35" s="3">
        <v>8640</v>
      </c>
      <c r="F35" s="3">
        <v>900</v>
      </c>
      <c r="G35" s="3">
        <v>5400</v>
      </c>
      <c r="H35" s="3">
        <v>495</v>
      </c>
      <c r="I35" s="14">
        <f t="shared" si="17"/>
        <v>0.84555984555984554</v>
      </c>
      <c r="J35" s="14">
        <f t="shared" si="18"/>
        <v>0.45</v>
      </c>
      <c r="L35" t="str">
        <f t="shared" si="19"/>
        <v>180&amp;</v>
      </c>
      <c r="M35" t="str">
        <f t="shared" si="19"/>
        <v>8&amp;</v>
      </c>
      <c r="N35" t="str">
        <f t="shared" si="19"/>
        <v>34,965&amp;</v>
      </c>
      <c r="O35" t="str">
        <f t="shared" si="19"/>
        <v>900&amp;</v>
      </c>
      <c r="P35" t="str">
        <f>TEXT(G35,$C$8)&amp;IF(H35,"&amp;","\\")</f>
        <v>5,400&amp;</v>
      </c>
      <c r="Q35" t="str">
        <f>TEXT(H35,$C$8)&amp;IF(I35,"&amp;","\\")</f>
        <v>495&amp;</v>
      </c>
      <c r="R35" s="14" t="str">
        <f t="shared" si="20"/>
        <v>84.6\%&amp;</v>
      </c>
      <c r="S35" s="14" t="str">
        <f t="shared" si="21"/>
        <v>45.0\%\\</v>
      </c>
    </row>
    <row r="36" spans="1:20" x14ac:dyDescent="0.2">
      <c r="A36" s="3">
        <v>216</v>
      </c>
      <c r="B36" s="3">
        <v>8</v>
      </c>
      <c r="C36" s="3">
        <v>41958</v>
      </c>
      <c r="D36" s="3">
        <v>1080</v>
      </c>
      <c r="E36" s="3">
        <v>10368</v>
      </c>
      <c r="F36" s="3">
        <v>1080</v>
      </c>
      <c r="G36" s="3">
        <v>6480</v>
      </c>
      <c r="H36" s="3">
        <v>594</v>
      </c>
      <c r="I36" s="14">
        <f t="shared" si="17"/>
        <v>0.84555984555984554</v>
      </c>
      <c r="J36" s="14">
        <f t="shared" si="18"/>
        <v>0.45</v>
      </c>
      <c r="L36" t="str">
        <f t="shared" si="19"/>
        <v>216&amp;</v>
      </c>
      <c r="M36" t="str">
        <f t="shared" si="19"/>
        <v>8&amp;</v>
      </c>
      <c r="N36" t="str">
        <f t="shared" si="19"/>
        <v>41,958&amp;</v>
      </c>
      <c r="O36" t="str">
        <f t="shared" si="19"/>
        <v>1,080&amp;</v>
      </c>
      <c r="P36" t="str">
        <f>TEXT(G36,$C$8)&amp;IF(H36,"&amp;","\\")</f>
        <v>6,480&amp;</v>
      </c>
      <c r="Q36" t="str">
        <f>TEXT(H36,$C$8)&amp;IF(I36,"&amp;","\\")</f>
        <v>594&amp;</v>
      </c>
      <c r="R36" s="14" t="str">
        <f t="shared" si="20"/>
        <v>84.6\%&amp;</v>
      </c>
      <c r="S36" s="14" t="str">
        <f t="shared" si="21"/>
        <v>45.0\%\\</v>
      </c>
    </row>
    <row r="37" spans="1:20" x14ac:dyDescent="0.2">
      <c r="A37" s="3">
        <v>288</v>
      </c>
      <c r="B37" s="3">
        <v>12</v>
      </c>
      <c r="C37" s="3">
        <v>67752</v>
      </c>
      <c r="D37" s="3">
        <v>1728</v>
      </c>
      <c r="E37" s="3">
        <v>16704</v>
      </c>
      <c r="F37" s="3">
        <v>1728</v>
      </c>
      <c r="G37" s="3">
        <v>10368</v>
      </c>
      <c r="H37" s="3">
        <v>936</v>
      </c>
      <c r="I37" s="14">
        <f t="shared" si="17"/>
        <v>0.84697130712008506</v>
      </c>
      <c r="J37" s="14">
        <f t="shared" si="18"/>
        <v>0.45833333333333331</v>
      </c>
      <c r="L37" t="str">
        <f t="shared" si="19"/>
        <v>288&amp;</v>
      </c>
      <c r="M37" t="str">
        <f t="shared" si="19"/>
        <v>12&amp;</v>
      </c>
      <c r="N37" t="str">
        <f t="shared" si="19"/>
        <v>67,752&amp;</v>
      </c>
      <c r="O37" t="str">
        <f t="shared" si="19"/>
        <v>1,728&amp;</v>
      </c>
      <c r="P37" t="str">
        <f>TEXT(G37,$C$8)&amp;IF(H37,"&amp;","\\")</f>
        <v>10,368&amp;</v>
      </c>
      <c r="Q37" t="str">
        <f>TEXT(H37,$C$8)&amp;IF(I37,"&amp;","\\")</f>
        <v>936&amp;</v>
      </c>
      <c r="R37" s="14" t="str">
        <f t="shared" si="20"/>
        <v>84.7\%&amp;</v>
      </c>
      <c r="S37" s="14" t="str">
        <f t="shared" si="21"/>
        <v>45.8\%\\</v>
      </c>
    </row>
    <row r="38" spans="1:20" x14ac:dyDescent="0.2">
      <c r="A38" s="3">
        <v>576</v>
      </c>
      <c r="B38" s="3">
        <v>12</v>
      </c>
      <c r="C38" s="3">
        <v>206352</v>
      </c>
      <c r="D38" s="3">
        <v>5184</v>
      </c>
      <c r="E38" s="3">
        <v>50688</v>
      </c>
      <c r="F38" s="3">
        <v>5184</v>
      </c>
      <c r="G38" s="3">
        <v>31104</v>
      </c>
      <c r="H38" s="3">
        <v>2736</v>
      </c>
      <c r="I38" s="14">
        <f t="shared" si="17"/>
        <v>0.84926727145847869</v>
      </c>
      <c r="J38" s="14">
        <f t="shared" si="18"/>
        <v>0.47222222222222221</v>
      </c>
      <c r="L38" t="str">
        <f t="shared" si="19"/>
        <v>576&amp;</v>
      </c>
      <c r="M38" t="str">
        <f t="shared" si="19"/>
        <v>12&amp;</v>
      </c>
      <c r="N38" t="str">
        <f t="shared" si="19"/>
        <v>206,352&amp;</v>
      </c>
      <c r="O38" t="str">
        <f t="shared" si="19"/>
        <v>5,184&amp;</v>
      </c>
      <c r="P38" t="str">
        <f>TEXT(G38,$C$8)&amp;IF(H38,"&amp;","\\")</f>
        <v>31,104&amp;</v>
      </c>
      <c r="Q38" t="str">
        <f>TEXT(H38,$C$8)&amp;IF(I38,"&amp;","\\")</f>
        <v>2,736&amp;</v>
      </c>
      <c r="R38" s="14" t="str">
        <f t="shared" si="20"/>
        <v>84.9\%&amp;</v>
      </c>
      <c r="S38" s="14" t="str">
        <f t="shared" si="21"/>
        <v>47.2\%\\</v>
      </c>
    </row>
    <row r="39" spans="1:20" x14ac:dyDescent="0.2">
      <c r="A39" s="3">
        <v>720</v>
      </c>
      <c r="B39" s="3">
        <v>12</v>
      </c>
      <c r="C39" s="3">
        <v>346500</v>
      </c>
      <c r="D39" s="3">
        <v>8640</v>
      </c>
      <c r="E39" s="3">
        <v>84960</v>
      </c>
      <c r="F39" s="3">
        <v>8640</v>
      </c>
      <c r="G39" s="3">
        <v>51840</v>
      </c>
      <c r="H39" s="3">
        <v>4500</v>
      </c>
      <c r="I39" s="14">
        <f t="shared" si="17"/>
        <v>0.85038961038961036</v>
      </c>
      <c r="J39" s="14">
        <f t="shared" si="18"/>
        <v>0.47916666666666669</v>
      </c>
      <c r="L39" t="str">
        <f t="shared" si="19"/>
        <v>720&amp;</v>
      </c>
      <c r="M39" t="str">
        <f t="shared" si="19"/>
        <v>12&amp;</v>
      </c>
      <c r="N39" t="str">
        <f t="shared" si="19"/>
        <v>346,500&amp;</v>
      </c>
      <c r="O39" t="str">
        <f t="shared" si="19"/>
        <v>8,640&amp;</v>
      </c>
      <c r="P39" t="str">
        <f>TEXT(G39,$C$8)&amp;IF(H39,"&amp;","\\")</f>
        <v>51,840&amp;</v>
      </c>
      <c r="Q39" t="str">
        <f>TEXT(H39,$C$8)&amp;IF(I39,"&amp;","\\")</f>
        <v>4,500&amp;</v>
      </c>
      <c r="R39" s="14" t="str">
        <f t="shared" si="20"/>
        <v>85.0\%&amp;</v>
      </c>
      <c r="S39" s="14" t="str">
        <f t="shared" si="21"/>
        <v>47.9\%\\</v>
      </c>
      <c r="T39" t="s">
        <v>8</v>
      </c>
    </row>
    <row r="40" spans="1:20" x14ac:dyDescent="0.2">
      <c r="I40" s="14"/>
      <c r="J40" s="14"/>
      <c r="L40" t="s">
        <v>13</v>
      </c>
    </row>
    <row r="41" spans="1:20" x14ac:dyDescent="0.2">
      <c r="C41">
        <f>SUM(C15:C39)</f>
        <v>858186</v>
      </c>
      <c r="D41">
        <f>SUM(D15:D39)</f>
        <v>23612</v>
      </c>
      <c r="E41">
        <f t="shared" ref="E41:H41" si="22">SUM(E15:E39)</f>
        <v>201348</v>
      </c>
      <c r="F41">
        <f t="shared" si="22"/>
        <v>22213</v>
      </c>
      <c r="G41">
        <f t="shared" si="22"/>
        <v>132520</v>
      </c>
      <c r="H41">
        <f t="shared" si="22"/>
        <v>12642</v>
      </c>
      <c r="I41" s="14">
        <f t="shared" ref="I41" si="23">(C41-G41)/C41</f>
        <v>0.84558126093877084</v>
      </c>
      <c r="J41" s="14">
        <f t="shared" ref="J41" si="24">(D41-H41)/D41</f>
        <v>0.46459427409791632</v>
      </c>
      <c r="L41" t="s">
        <v>14</v>
      </c>
    </row>
  </sheetData>
  <sortState xmlns:xlrd2="http://schemas.microsoft.com/office/spreadsheetml/2017/richdata2" ref="A35:F39">
    <sortCondition ref="A34:A39"/>
  </sortState>
  <mergeCells count="9">
    <mergeCell ref="I12:J12"/>
    <mergeCell ref="G12:H12"/>
    <mergeCell ref="A14:H14"/>
    <mergeCell ref="A20:H20"/>
    <mergeCell ref="A26:H26"/>
    <mergeCell ref="A33:H33"/>
    <mergeCell ref="A12:B12"/>
    <mergeCell ref="C12:D12"/>
    <mergeCell ref="E12:F12"/>
  </mergeCells>
  <hyperlinks>
    <hyperlink ref="S12" r:id="rId1" xr:uid="{16050BEB-D5DB-6048-8B32-D3BA145D58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Webster</dc:creator>
  <cp:lastModifiedBy>Mark Webster</cp:lastModifiedBy>
  <dcterms:created xsi:type="dcterms:W3CDTF">2026-01-11T14:29:58Z</dcterms:created>
  <dcterms:modified xsi:type="dcterms:W3CDTF">2026-01-22T14:31:18Z</dcterms:modified>
</cp:coreProperties>
</file>