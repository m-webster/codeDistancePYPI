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QEC Projects/distance benchmarking/results 20251223/"/>
    </mc:Choice>
  </mc:AlternateContent>
  <xr:revisionPtr revIDLastSave="0" documentId="13_ncr:1_{AFC6C537-D860-EB40-B31A-215B0B038515}" xr6:coauthVersionLast="47" xr6:coauthVersionMax="47" xr10:uidLastSave="{00000000-0000-0000-0000-000000000000}"/>
  <bookViews>
    <workbookView xWindow="0" yWindow="740" windowWidth="29400" windowHeight="17340" activeTab="1" xr2:uid="{72CB1F96-868C-024E-A13B-B41B26D764B7}"/>
  </bookViews>
  <sheets>
    <sheet name="best" sheetId="1" r:id="rId1"/>
    <sheet name="alg-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Q14" i="1"/>
  <c r="P37" i="1" l="1"/>
  <c r="Q42" i="1"/>
  <c r="P42" i="1"/>
  <c r="O42" i="1"/>
  <c r="Q21" i="1"/>
  <c r="P21" i="1"/>
  <c r="O21" i="1"/>
  <c r="N4" i="2"/>
  <c r="O4" i="2"/>
  <c r="P4" i="2"/>
  <c r="Q4" i="2"/>
  <c r="R4" i="2"/>
  <c r="S4" i="2"/>
  <c r="T4" i="2"/>
  <c r="U4" i="2"/>
  <c r="S6" i="2"/>
  <c r="T6" i="2"/>
  <c r="U6" i="2"/>
  <c r="S7" i="2"/>
  <c r="T7" i="2"/>
  <c r="U7" i="2"/>
  <c r="S8" i="2"/>
  <c r="T8" i="2"/>
  <c r="U8" i="2"/>
  <c r="S9" i="2"/>
  <c r="T9" i="2"/>
  <c r="U9" i="2"/>
  <c r="S10" i="2"/>
  <c r="T10" i="2"/>
  <c r="U10" i="2"/>
  <c r="S12" i="2"/>
  <c r="T12" i="2"/>
  <c r="U12" i="2"/>
  <c r="S13" i="2"/>
  <c r="T13" i="2"/>
  <c r="U13" i="2"/>
  <c r="S14" i="2"/>
  <c r="T14" i="2"/>
  <c r="U14" i="2"/>
  <c r="S15" i="2"/>
  <c r="T15" i="2"/>
  <c r="U15" i="2"/>
  <c r="S16" i="2"/>
  <c r="T16" i="2"/>
  <c r="U16" i="2"/>
  <c r="S17" i="2"/>
  <c r="T17" i="2"/>
  <c r="U17" i="2"/>
  <c r="S18" i="2"/>
  <c r="T18" i="2"/>
  <c r="U18" i="2"/>
  <c r="L11" i="2"/>
  <c r="L5" i="2"/>
  <c r="L7" i="2"/>
  <c r="M7" i="2"/>
  <c r="N7" i="2"/>
  <c r="O7" i="2"/>
  <c r="P7" i="2"/>
  <c r="Q7" i="2"/>
  <c r="R7" i="2"/>
  <c r="L8" i="2"/>
  <c r="M8" i="2"/>
  <c r="N8" i="2"/>
  <c r="O8" i="2"/>
  <c r="P8" i="2"/>
  <c r="Q8" i="2"/>
  <c r="R8" i="2"/>
  <c r="L9" i="2"/>
  <c r="M9" i="2"/>
  <c r="N9" i="2"/>
  <c r="O9" i="2"/>
  <c r="P9" i="2"/>
  <c r="Q9" i="2"/>
  <c r="R9" i="2"/>
  <c r="L10" i="2"/>
  <c r="M10" i="2"/>
  <c r="N10" i="2"/>
  <c r="O10" i="2"/>
  <c r="P10" i="2"/>
  <c r="Q10" i="2"/>
  <c r="R10" i="2"/>
  <c r="L12" i="2"/>
  <c r="M12" i="2"/>
  <c r="N12" i="2"/>
  <c r="O12" i="2"/>
  <c r="P12" i="2"/>
  <c r="Q12" i="2"/>
  <c r="R12" i="2"/>
  <c r="L13" i="2"/>
  <c r="M13" i="2"/>
  <c r="N13" i="2"/>
  <c r="O13" i="2"/>
  <c r="P13" i="2"/>
  <c r="Q13" i="2"/>
  <c r="R13" i="2"/>
  <c r="L14" i="2"/>
  <c r="M14" i="2"/>
  <c r="N14" i="2"/>
  <c r="O14" i="2"/>
  <c r="P14" i="2"/>
  <c r="Q14" i="2"/>
  <c r="R14" i="2"/>
  <c r="L15" i="2"/>
  <c r="M15" i="2"/>
  <c r="N15" i="2"/>
  <c r="O15" i="2"/>
  <c r="P15" i="2"/>
  <c r="Q15" i="2"/>
  <c r="R15" i="2"/>
  <c r="L16" i="2"/>
  <c r="M16" i="2"/>
  <c r="N16" i="2"/>
  <c r="O16" i="2"/>
  <c r="P16" i="2"/>
  <c r="Q16" i="2"/>
  <c r="R16" i="2"/>
  <c r="L17" i="2"/>
  <c r="M17" i="2"/>
  <c r="N17" i="2"/>
  <c r="O17" i="2"/>
  <c r="P17" i="2"/>
  <c r="Q17" i="2"/>
  <c r="R17" i="2"/>
  <c r="L18" i="2"/>
  <c r="M18" i="2"/>
  <c r="N18" i="2"/>
  <c r="O18" i="2"/>
  <c r="P18" i="2"/>
  <c r="Q18" i="2"/>
  <c r="R18" i="2"/>
  <c r="M6" i="2"/>
  <c r="N6" i="2"/>
  <c r="O6" i="2"/>
  <c r="P6" i="2"/>
  <c r="Q6" i="2"/>
  <c r="R6" i="2"/>
  <c r="L6" i="2"/>
  <c r="M4" i="2"/>
  <c r="O31" i="1"/>
  <c r="O38" i="1"/>
  <c r="O17" i="1"/>
  <c r="O10" i="1"/>
  <c r="O7" i="1"/>
  <c r="Q27" i="1"/>
  <c r="Q29" i="1"/>
  <c r="Q30" i="1"/>
  <c r="Q32" i="1"/>
  <c r="Q33" i="1"/>
  <c r="Q34" i="1"/>
  <c r="Q35" i="1"/>
  <c r="Q36" i="1"/>
  <c r="Q39" i="1"/>
  <c r="Q40" i="1"/>
  <c r="Q41" i="1"/>
  <c r="Q37" i="1"/>
  <c r="Q6" i="1"/>
  <c r="Q8" i="1"/>
  <c r="Q9" i="1"/>
  <c r="Q11" i="1"/>
  <c r="Q12" i="1"/>
  <c r="Q13" i="1"/>
  <c r="Q15" i="1"/>
  <c r="Q18" i="1"/>
  <c r="Q19" i="1"/>
  <c r="Q20" i="1"/>
  <c r="Q16" i="1"/>
  <c r="O37" i="1"/>
  <c r="O41" i="1"/>
  <c r="O40" i="1"/>
  <c r="O39" i="1"/>
  <c r="O36" i="1"/>
  <c r="O35" i="1"/>
  <c r="O34" i="1"/>
  <c r="O33" i="1"/>
  <c r="O32" i="1"/>
  <c r="O30" i="1"/>
  <c r="O29" i="1"/>
  <c r="O28" i="1"/>
  <c r="P30" i="1"/>
  <c r="P9" i="1"/>
  <c r="P29" i="1"/>
  <c r="P8" i="1"/>
  <c r="P36" i="1"/>
  <c r="P15" i="1"/>
  <c r="P35" i="1"/>
  <c r="P34" i="1"/>
  <c r="P13" i="1"/>
  <c r="P33" i="1"/>
  <c r="P12" i="1"/>
  <c r="P32" i="1"/>
  <c r="P11" i="1"/>
  <c r="P16" i="1"/>
  <c r="P41" i="1"/>
  <c r="P20" i="1"/>
  <c r="P40" i="1"/>
  <c r="P19" i="1"/>
  <c r="P39" i="1"/>
  <c r="P18" i="1"/>
  <c r="O16" i="1" l="1"/>
  <c r="O20" i="1"/>
  <c r="O19" i="1"/>
  <c r="O18" i="1"/>
  <c r="O15" i="1"/>
  <c r="O14" i="1"/>
  <c r="O13" i="1"/>
  <c r="O12" i="1"/>
  <c r="O11" i="1"/>
  <c r="O9" i="1"/>
  <c r="O8" i="1"/>
  <c r="P27" i="1"/>
  <c r="P6" i="1"/>
</calcChain>
</file>

<file path=xl/sharedStrings.xml><?xml version="1.0" encoding="utf-8"?>
<sst xmlns="http://schemas.openxmlformats.org/spreadsheetml/2006/main" count="274" uniqueCount="90">
  <si>
    <t>\begin{center}</t>
  </si>
  <si>
    <t>\hline</t>
  </si>
  <si>
    <t>&amp;</t>
  </si>
  <si>
    <t>\end{tabular}</t>
  </si>
  <si>
    <t>\end{center}</t>
  </si>
  <si>
    <t>Classical Codes</t>
  </si>
  <si>
    <t>Lifted Product GF(2)</t>
  </si>
  <si>
    <t>Quantum Codes</t>
  </si>
  <si>
    <t>Lifted Product CSS</t>
  </si>
  <si>
    <t>Bivariate Bicycle CSS</t>
  </si>
  <si>
    <t>Hyperbolic Surface CSS</t>
  </si>
  <si>
    <t>Hyperbolic Colour CSS</t>
  </si>
  <si>
    <t>Surface Code</t>
  </si>
  <si>
    <t>Quantum Syndrome Circuits</t>
  </si>
  <si>
    <t>Colour Code - Midout</t>
  </si>
  <si>
    <t>Colour Code - Superdense</t>
  </si>
  <si>
    <t>Bivariate Bicycle</t>
  </si>
  <si>
    <t>Recommendation</t>
  </si>
  <si>
    <t>Also Effective</t>
  </si>
  <si>
    <t xml:space="preserve">Magma </t>
  </si>
  <si>
    <t>MIP-SCIP</t>
  </si>
  <si>
    <t>QDistRnd</t>
  </si>
  <si>
    <t>m4riCC</t>
  </si>
  <si>
    <t>Gurobi</t>
  </si>
  <si>
    <t>QDistEvol</t>
  </si>
  <si>
    <t>Gurobi, MIP-SCIP</t>
  </si>
  <si>
    <t>Magma</t>
  </si>
  <si>
    <t>Stim GraphlikeError, Stim UndetectableError, Stim ColourCode</t>
  </si>
  <si>
    <t>Stim UndetectableError, Stim ColourCode, BP-OSD</t>
  </si>
  <si>
    <t>Gurobi, MIP-SCIP, SAT</t>
  </si>
  <si>
    <t>-</t>
  </si>
  <si>
    <t>\begin{tabular}{ |l|</t>
  </si>
  <si>
    <t>l|</t>
  </si>
  <si>
    <t>l|}</t>
  </si>
  <si>
    <t>CodeTables GF(2)</t>
  </si>
  <si>
    <t>CodeTables non-CSS</t>
  </si>
  <si>
    <t>Exact Methods</t>
  </si>
  <si>
    <t>Description</t>
  </si>
  <si>
    <t>Implementation</t>
  </si>
  <si>
    <t>Classical</t>
  </si>
  <si>
    <t>CSS</t>
  </si>
  <si>
    <t>non-CSS</t>
  </si>
  <si>
    <t>Error Models</t>
  </si>
  <si>
    <t>CLISAT</t>
  </si>
  <si>
    <t>Heuristic Methods</t>
  </si>
  <si>
    <t>m4riRW</t>
  </si>
  <si>
    <t>QDistRndMW</t>
  </si>
  <si>
    <t>BP-OSD</t>
  </si>
  <si>
    <t>GEStim</t>
  </si>
  <si>
    <t>CCStim</t>
  </si>
  <si>
    <t>UEStim</t>
  </si>
  <si>
    <t>Mixed integer programming</t>
  </si>
  <si>
    <t xml:space="preserve">Python library </t>
  </si>
  <si>
    <t>Open Source</t>
  </si>
  <si>
    <t>N</t>
  </si>
  <si>
    <t>Y</t>
  </si>
  <si>
    <t xml:space="preserve">MaxSAT Solver </t>
  </si>
  <si>
    <t>Unix binary</t>
  </si>
  <si>
    <t>Connected Cluster</t>
  </si>
  <si>
    <t>C library</t>
  </si>
  <si>
    <t>Brouwer Zimmermann</t>
  </si>
  <si>
    <t>Random Window (QDistRnd)</t>
  </si>
  <si>
    <t>QDistRnd with more options</t>
  </si>
  <si>
    <t>QDistRnd with evolutionary selection of permutations</t>
  </si>
  <si>
    <t xml:space="preserve">Syndrome decoder using LDPC package </t>
  </si>
  <si>
    <t>Stim Graphlike Error (max syndrome weight 2)</t>
  </si>
  <si>
    <t>Stim Colour Code Error (max syndrome weight 3)</t>
  </si>
  <si>
    <t>Stim Undetectable Error (increasing syndrome weight)</t>
  </si>
  <si>
    <t>Mac/Unix binary</t>
  </si>
  <si>
    <t>D</t>
  </si>
  <si>
    <t>XZ</t>
  </si>
  <si>
    <t>2,3B</t>
  </si>
  <si>
    <t>3B</t>
  </si>
  <si>
    <t>3,4B</t>
  </si>
  <si>
    <t>2B</t>
  </si>
  <si>
    <t>2,3,4B</t>
  </si>
  <si>
    <t>Q</t>
  </si>
  <si>
    <t>E</t>
  </si>
  <si>
    <t>Any</t>
  </si>
  <si>
    <t>Par</t>
  </si>
  <si>
    <t>Prob</t>
  </si>
  <si>
    <t>Quantum Tanner CSS</t>
  </si>
  <si>
    <t>MIP-SCIP, Gurobi</t>
  </si>
  <si>
    <t>QDistRnd, BP-OSD</t>
  </si>
  <si>
    <t>m4riCC,Gurobi,MIP-SCIP</t>
  </si>
  <si>
    <t>m4riCC, Magma, MIP-SCIP, SAT</t>
  </si>
  <si>
    <t>QDistEvol,BP-OSD</t>
  </si>
  <si>
    <t>QDistEvol, QDistRnd, BP-OSD</t>
  </si>
  <si>
    <t>Stim Graphlike Error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</si>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</sst>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2C54-2A71-1345-95C7-2922C6E55E1B}">
  <dimension ref="D4:Y44"/>
  <sheetViews>
    <sheetView workbookViewId="0">
      <selection activeCell="K39" sqref="K39"/>
    </sheetView>
  </sheetViews>
  <sheetFormatPr baseColWidth="10" defaultRowHeight="16" x14ac:dyDescent="0.2"/>
  <cols>
    <col min="4" max="4" width="24.1640625" bestFit="1" customWidth="1"/>
    <col min="15" max="15" width="32.1640625" bestFit="1" customWidth="1"/>
  </cols>
  <sheetData>
    <row r="4" spans="4:25" x14ac:dyDescent="0.2">
      <c r="O4" t="s">
        <v>0</v>
      </c>
    </row>
    <row r="5" spans="4:25" x14ac:dyDescent="0.2">
      <c r="O5" t="s">
        <v>31</v>
      </c>
      <c r="P5" t="s">
        <v>32</v>
      </c>
      <c r="Q5" t="s">
        <v>33</v>
      </c>
      <c r="R5" t="s">
        <v>1</v>
      </c>
      <c r="Y5" t="s">
        <v>1</v>
      </c>
    </row>
    <row r="6" spans="4:25" x14ac:dyDescent="0.2">
      <c r="E6" t="s">
        <v>17</v>
      </c>
      <c r="F6" t="s">
        <v>18</v>
      </c>
      <c r="O6" t="s">
        <v>2</v>
      </c>
      <c r="P6" t="str">
        <f>"\textbf{"&amp;E6&amp;"}"&amp;IF(F6="","\\","&amp;")</f>
        <v>\textbf{Recommendation}&amp;</v>
      </c>
      <c r="Q6" t="str">
        <f>"\textbf{"&amp;F6&amp;"}"&amp;IF(G6="","\\","&amp;")</f>
        <v>\textbf{Also Effective}\\</v>
      </c>
      <c r="R6" t="s">
        <v>1</v>
      </c>
      <c r="Y6" t="s">
        <v>1</v>
      </c>
    </row>
    <row r="7" spans="4:25" x14ac:dyDescent="0.2">
      <c r="D7" t="s">
        <v>5</v>
      </c>
      <c r="O7" t="str">
        <f>"\multicolumn{3}{|l|}{\textbf{"&amp;D7&amp;"}}\\"</f>
        <v>\multicolumn{3}{|l|}{\textbf{Classical Codes}}\\</v>
      </c>
      <c r="R7" t="s">
        <v>1</v>
      </c>
      <c r="Y7" t="s">
        <v>1</v>
      </c>
    </row>
    <row r="8" spans="4:25" x14ac:dyDescent="0.2">
      <c r="D8" t="s">
        <v>34</v>
      </c>
      <c r="E8" t="s">
        <v>19</v>
      </c>
      <c r="F8" t="s">
        <v>25</v>
      </c>
      <c r="O8" t="str">
        <f t="shared" ref="O8:O18" si="0">"\textbf{"&amp;D8&amp;"}"&amp;IF(E8="","\\","&amp;")</f>
        <v>\textbf{CodeTables GF(2)}&amp;</v>
      </c>
      <c r="P8" t="str">
        <f t="shared" ref="P8:Q9" si="1">SUBSTITUTE(TEXT(E8,E$5)&amp;IF(F8="","\\","&amp;"),"%","\%")</f>
        <v>Magma &amp;</v>
      </c>
      <c r="Q8" t="str">
        <f t="shared" si="1"/>
        <v>Gurobi, MIP-SCIP\\</v>
      </c>
    </row>
    <row r="9" spans="4:25" x14ac:dyDescent="0.2">
      <c r="D9" t="s">
        <v>6</v>
      </c>
      <c r="E9" t="s">
        <v>26</v>
      </c>
      <c r="F9" t="s">
        <v>82</v>
      </c>
      <c r="O9" t="str">
        <f t="shared" si="0"/>
        <v>\textbf{Lifted Product GF(2)}&amp;</v>
      </c>
      <c r="P9" t="str">
        <f t="shared" si="1"/>
        <v>Magma&amp;</v>
      </c>
      <c r="Q9" t="str">
        <f t="shared" si="1"/>
        <v>MIP-SCIP, Gurobi\\</v>
      </c>
      <c r="R9" t="s">
        <v>1</v>
      </c>
      <c r="Y9" t="s">
        <v>1</v>
      </c>
    </row>
    <row r="10" spans="4:25" x14ac:dyDescent="0.2">
      <c r="D10" t="s">
        <v>7</v>
      </c>
      <c r="O10" t="str">
        <f>"\multicolumn{3}{|l|}{\textbf{"&amp;D10&amp;"}}\\"</f>
        <v>\multicolumn{3}{|l|}{\textbf{Quantum Codes}}\\</v>
      </c>
      <c r="R10" t="s">
        <v>1</v>
      </c>
      <c r="Y10" t="s">
        <v>1</v>
      </c>
    </row>
    <row r="11" spans="4:25" x14ac:dyDescent="0.2">
      <c r="D11" t="s">
        <v>35</v>
      </c>
      <c r="E11" t="s">
        <v>26</v>
      </c>
      <c r="F11" t="s">
        <v>25</v>
      </c>
      <c r="O11" t="str">
        <f t="shared" si="0"/>
        <v>\textbf{CodeTables non-CSS}&amp;</v>
      </c>
      <c r="P11" t="str">
        <f t="shared" ref="P11:Q15" si="2">SUBSTITUTE(TEXT(E11,E$5)&amp;IF(F11="","\\","&amp;"),"%","\%")</f>
        <v>Magma&amp;</v>
      </c>
      <c r="Q11" t="str">
        <f t="shared" si="2"/>
        <v>Gurobi, MIP-SCIP\\</v>
      </c>
    </row>
    <row r="12" spans="4:25" x14ac:dyDescent="0.2">
      <c r="D12" t="s">
        <v>10</v>
      </c>
      <c r="E12" t="s">
        <v>22</v>
      </c>
      <c r="F12" t="s">
        <v>29</v>
      </c>
      <c r="O12" t="str">
        <f t="shared" si="0"/>
        <v>\textbf{Hyperbolic Surface CSS}&amp;</v>
      </c>
      <c r="P12" t="str">
        <f t="shared" si="2"/>
        <v>m4riCC&amp;</v>
      </c>
      <c r="Q12" t="str">
        <f t="shared" si="2"/>
        <v>Gurobi, MIP-SCIP, SAT\\</v>
      </c>
    </row>
    <row r="13" spans="4:25" x14ac:dyDescent="0.2">
      <c r="D13" t="s">
        <v>11</v>
      </c>
      <c r="E13" t="s">
        <v>22</v>
      </c>
      <c r="F13" t="s">
        <v>29</v>
      </c>
      <c r="O13" t="str">
        <f t="shared" si="0"/>
        <v>\textbf{Hyperbolic Colour CSS}&amp;</v>
      </c>
      <c r="P13" t="str">
        <f t="shared" si="2"/>
        <v>m4riCC&amp;</v>
      </c>
      <c r="Q13" t="str">
        <f t="shared" si="2"/>
        <v>Gurobi, MIP-SCIP, SAT\\</v>
      </c>
    </row>
    <row r="14" spans="4:25" x14ac:dyDescent="0.2">
      <c r="D14" t="s">
        <v>8</v>
      </c>
      <c r="E14" t="s">
        <v>22</v>
      </c>
      <c r="F14" t="s">
        <v>23</v>
      </c>
      <c r="O14" t="str">
        <f>"\textbf{"&amp;D14&amp;"}"&amp;IF(F14="","\\","&amp;")</f>
        <v>\textbf{Lifted Product CSS}&amp;</v>
      </c>
      <c r="P14" t="str">
        <f t="shared" ref="P14" si="3">SUBSTITUTE(TEXT(E14,E$5)&amp;IF(F14="","\\","&amp;"),"%","\%")</f>
        <v>m4riCC&amp;</v>
      </c>
      <c r="Q14" t="str">
        <f t="shared" ref="Q14" si="4">SUBSTITUTE(TEXT(F14,F$5)&amp;IF(G14="","\\","&amp;"),"%","\%")</f>
        <v>Gurobi\\</v>
      </c>
    </row>
    <row r="15" spans="4:25" x14ac:dyDescent="0.2">
      <c r="D15" t="s">
        <v>9</v>
      </c>
      <c r="E15" t="s">
        <v>84</v>
      </c>
      <c r="F15" s="1" t="s">
        <v>30</v>
      </c>
      <c r="O15" t="str">
        <f t="shared" si="0"/>
        <v>\textbf{Bivariate Bicycle CSS}&amp;</v>
      </c>
      <c r="P15" t="str">
        <f t="shared" si="2"/>
        <v>m4riCC,Gurobi,MIP-SCIP&amp;</v>
      </c>
      <c r="Q15" t="str">
        <f t="shared" si="2"/>
        <v>-\\</v>
      </c>
      <c r="R15" t="s">
        <v>1</v>
      </c>
      <c r="Y15" t="s">
        <v>1</v>
      </c>
    </row>
    <row r="16" spans="4:25" x14ac:dyDescent="0.2">
      <c r="D16" t="s">
        <v>81</v>
      </c>
      <c r="E16" t="s">
        <v>23</v>
      </c>
      <c r="F16" s="1" t="s">
        <v>85</v>
      </c>
      <c r="O16" t="str">
        <f>"\textbf{"&amp;D16&amp;"}"&amp;IF(E16="","\\","&amp;")</f>
        <v>\textbf{Quantum Tanner CSS}&amp;</v>
      </c>
      <c r="P16" t="str">
        <f>SUBSTITUTE(TEXT(E16,E$5)&amp;IF(F16="","\\","&amp;"),"%","\%")</f>
        <v>Gurobi&amp;</v>
      </c>
      <c r="Q16" t="str">
        <f>SUBSTITUTE(TEXT(F16,F$5)&amp;IF(G16="","\\","&amp;"),"%","\%")</f>
        <v>m4riCC, Magma, MIP-SCIP, SAT\\</v>
      </c>
      <c r="R16" t="s">
        <v>1</v>
      </c>
      <c r="Y16" t="s">
        <v>1</v>
      </c>
    </row>
    <row r="17" spans="4:25" x14ac:dyDescent="0.2">
      <c r="D17" t="s">
        <v>13</v>
      </c>
      <c r="O17" t="str">
        <f>"\multicolumn{3}{|l|}{\textbf{"&amp;D17&amp;"}}\\"</f>
        <v>\multicolumn{3}{|l|}{\textbf{Quantum Syndrome Circuits}}\\</v>
      </c>
      <c r="R17" t="s">
        <v>1</v>
      </c>
      <c r="Y17" t="s">
        <v>1</v>
      </c>
    </row>
    <row r="18" spans="4:25" x14ac:dyDescent="0.2">
      <c r="D18" t="s">
        <v>12</v>
      </c>
      <c r="E18" t="s">
        <v>22</v>
      </c>
      <c r="F18" t="s">
        <v>25</v>
      </c>
      <c r="O18" t="str">
        <f t="shared" si="0"/>
        <v>\textbf{Surface Code}&amp;</v>
      </c>
      <c r="P18" t="str">
        <f>SUBSTITUTE(TEXT(E18,E$5)&amp;IF(F18="","\\","&amp;"),"%","\%")</f>
        <v>m4riCC&amp;</v>
      </c>
      <c r="Q18" t="str">
        <f>SUBSTITUTE(TEXT(F18,F$5)&amp;IF(G18="","\\","&amp;"),"%","\%")</f>
        <v>Gurobi, MIP-SCIP\\</v>
      </c>
    </row>
    <row r="19" spans="4:25" x14ac:dyDescent="0.2">
      <c r="D19" t="s">
        <v>14</v>
      </c>
      <c r="E19" t="s">
        <v>22</v>
      </c>
      <c r="F19" t="s">
        <v>29</v>
      </c>
      <c r="O19" t="str">
        <f>"\textbf{"&amp;D19&amp;"}"&amp;IF(E19="","\\","&amp;")</f>
        <v>\textbf{Colour Code - Midout}&amp;</v>
      </c>
      <c r="P19" t="str">
        <f>SUBSTITUTE(TEXT(E19,E$5)&amp;IF(F19="","\\","&amp;"),"%","\%")</f>
        <v>m4riCC&amp;</v>
      </c>
      <c r="Q19" t="str">
        <f t="shared" ref="Q19:Q20" si="5">SUBSTITUTE(TEXT(F19,F$5)&amp;IF(G19="","\\","&amp;"),"%","\%")</f>
        <v>Gurobi, MIP-SCIP, SAT\\</v>
      </c>
    </row>
    <row r="20" spans="4:25" x14ac:dyDescent="0.2">
      <c r="D20" t="s">
        <v>15</v>
      </c>
      <c r="E20" t="s">
        <v>22</v>
      </c>
      <c r="F20" t="s">
        <v>29</v>
      </c>
      <c r="O20" t="str">
        <f>"\textbf{"&amp;D20&amp;"}"&amp;IF(E20="","\\","&amp;")</f>
        <v>\textbf{Colour Code - Superdense}&amp;</v>
      </c>
      <c r="P20" t="str">
        <f>SUBSTITUTE(TEXT(E20,E$5)&amp;IF(F20="","\\","&amp;"),"%","\%")</f>
        <v>m4riCC&amp;</v>
      </c>
      <c r="Q20" t="str">
        <f t="shared" si="5"/>
        <v>Gurobi, MIP-SCIP, SAT\\</v>
      </c>
    </row>
    <row r="21" spans="4:25" x14ac:dyDescent="0.2">
      <c r="D21" t="s">
        <v>16</v>
      </c>
      <c r="E21" t="s">
        <v>23</v>
      </c>
      <c r="F21" s="1" t="s">
        <v>30</v>
      </c>
      <c r="O21" t="str">
        <f t="shared" ref="O21" si="6">"\textbf{"&amp;D21&amp;"}"&amp;IF(E21="","\\","&amp;")</f>
        <v>\textbf{Bivariate Bicycle}&amp;</v>
      </c>
      <c r="P21" t="str">
        <f t="shared" ref="P21" si="7">SUBSTITUTE(TEXT(E21,E$5)&amp;IF(F21="","\\","&amp;"),"%","\%")</f>
        <v>Gurobi&amp;</v>
      </c>
      <c r="Q21" t="str">
        <f t="shared" ref="Q21" si="8">SUBSTITUTE(TEXT(F21,F$5)&amp;IF(G21="","\\","&amp;"),"%","\%")</f>
        <v>-\\</v>
      </c>
      <c r="R21" t="s">
        <v>1</v>
      </c>
      <c r="Y21" t="s">
        <v>1</v>
      </c>
    </row>
    <row r="22" spans="4:25" x14ac:dyDescent="0.2">
      <c r="O22" t="s">
        <v>3</v>
      </c>
    </row>
    <row r="23" spans="4:25" x14ac:dyDescent="0.2">
      <c r="O23" t="s">
        <v>4</v>
      </c>
    </row>
    <row r="25" spans="4:25" x14ac:dyDescent="0.2">
      <c r="O25" t="s">
        <v>0</v>
      </c>
    </row>
    <row r="26" spans="4:25" x14ac:dyDescent="0.2">
      <c r="O26" t="s">
        <v>31</v>
      </c>
      <c r="P26" t="s">
        <v>32</v>
      </c>
      <c r="Q26" t="s">
        <v>33</v>
      </c>
      <c r="R26" t="s">
        <v>1</v>
      </c>
    </row>
    <row r="27" spans="4:25" x14ac:dyDescent="0.2">
      <c r="E27" t="s">
        <v>17</v>
      </c>
      <c r="F27" t="s">
        <v>18</v>
      </c>
      <c r="O27" t="s">
        <v>2</v>
      </c>
      <c r="P27" t="str">
        <f>"\textbf{"&amp;E27&amp;"}"&amp;IF(F27="","\\","&amp;")</f>
        <v>\textbf{Recommendation}&amp;</v>
      </c>
      <c r="Q27" t="str">
        <f>"\textbf{"&amp;F27&amp;"}"&amp;IF(G27="","\\","&amp;")</f>
        <v>\textbf{Also Effective}\\</v>
      </c>
      <c r="R27" t="s">
        <v>1</v>
      </c>
    </row>
    <row r="28" spans="4:25" x14ac:dyDescent="0.2">
      <c r="D28" t="s">
        <v>5</v>
      </c>
      <c r="O28" t="str">
        <f>"\multicolumn{3}{|l|}{\textbf{"&amp;D28&amp;"}}\\"</f>
        <v>\multicolumn{3}{|l|}{\textbf{Classical Codes}}\\</v>
      </c>
      <c r="R28" t="s">
        <v>1</v>
      </c>
    </row>
    <row r="29" spans="4:25" x14ac:dyDescent="0.2">
      <c r="D29" t="s">
        <v>34</v>
      </c>
      <c r="E29" t="s">
        <v>24</v>
      </c>
      <c r="F29" t="s">
        <v>21</v>
      </c>
      <c r="O29" t="str">
        <f>"\textbf{"&amp;D29&amp;"}"&amp;IF(E29="","\\","&amp;")</f>
        <v>\textbf{CodeTables GF(2)}&amp;</v>
      </c>
      <c r="P29" t="str">
        <f>SUBSTITUTE(TEXT(E29,G$5)&amp;IF(F29="","\\","&amp;"),"%","\%")</f>
        <v>QDistEvol&amp;</v>
      </c>
      <c r="Q29" t="str">
        <f>SUBSTITUTE(TEXT(F29,H$5)&amp;IF(G29="","\\","&amp;"),"%","\%")</f>
        <v>QDistRnd\\</v>
      </c>
    </row>
    <row r="30" spans="4:25" x14ac:dyDescent="0.2">
      <c r="D30" t="s">
        <v>6</v>
      </c>
      <c r="E30" t="s">
        <v>24</v>
      </c>
      <c r="F30" t="s">
        <v>83</v>
      </c>
      <c r="O30" t="str">
        <f t="shared" ref="O30:O41" si="9">"\textbf{"&amp;D30&amp;"}"&amp;IF(E30="","\\","&amp;")</f>
        <v>\textbf{Lifted Product GF(2)}&amp;</v>
      </c>
      <c r="P30" t="str">
        <f>SUBSTITUTE(TEXT(E30,G$5)&amp;IF(F30="","\\","&amp;"),"%","\%")</f>
        <v>QDistEvol&amp;</v>
      </c>
      <c r="Q30" t="str">
        <f>SUBSTITUTE(TEXT(F30,H$5)&amp;IF(G30="","\\","&amp;"),"%","\%")</f>
        <v>QDistRnd, BP-OSD\\</v>
      </c>
      <c r="R30" t="s">
        <v>1</v>
      </c>
    </row>
    <row r="31" spans="4:25" x14ac:dyDescent="0.2">
      <c r="D31" t="s">
        <v>7</v>
      </c>
      <c r="O31" t="str">
        <f>"\multicolumn{3}{|l|}{\textbf{"&amp;D31&amp;"}}\\"</f>
        <v>\multicolumn{3}{|l|}{\textbf{Quantum Codes}}\\</v>
      </c>
      <c r="R31" t="s">
        <v>1</v>
      </c>
    </row>
    <row r="32" spans="4:25" x14ac:dyDescent="0.2">
      <c r="D32" t="s">
        <v>35</v>
      </c>
      <c r="E32" t="s">
        <v>21</v>
      </c>
      <c r="F32" t="s">
        <v>24</v>
      </c>
      <c r="O32" t="str">
        <f t="shared" si="9"/>
        <v>\textbf{CodeTables non-CSS}&amp;</v>
      </c>
      <c r="P32" t="str">
        <f t="shared" ref="P32:Q37" si="10">SUBSTITUTE(TEXT(E32,G$5)&amp;IF(F32="","\\","&amp;"),"%","\%")</f>
        <v>QDistRnd&amp;</v>
      </c>
      <c r="Q32" t="str">
        <f t="shared" si="10"/>
        <v>QDistEvol\\</v>
      </c>
    </row>
    <row r="33" spans="4:18" x14ac:dyDescent="0.2">
      <c r="D33" t="s">
        <v>10</v>
      </c>
      <c r="E33" t="s">
        <v>86</v>
      </c>
      <c r="F33" t="s">
        <v>27</v>
      </c>
      <c r="O33" t="str">
        <f t="shared" si="9"/>
        <v>\textbf{Hyperbolic Surface CSS}&amp;</v>
      </c>
      <c r="P33" t="str">
        <f t="shared" si="10"/>
        <v>QDistEvol,BP-OSD&amp;</v>
      </c>
      <c r="Q33" t="str">
        <f t="shared" si="10"/>
        <v>Stim GraphlikeError, Stim UndetectableError, Stim ColourCode\\</v>
      </c>
    </row>
    <row r="34" spans="4:18" x14ac:dyDescent="0.2">
      <c r="D34" t="s">
        <v>11</v>
      </c>
      <c r="E34" t="s">
        <v>86</v>
      </c>
      <c r="F34" t="s">
        <v>28</v>
      </c>
      <c r="O34" t="str">
        <f t="shared" si="9"/>
        <v>\textbf{Hyperbolic Colour CSS}&amp;</v>
      </c>
      <c r="P34" t="str">
        <f t="shared" si="10"/>
        <v>QDistEvol,BP-OSD&amp;</v>
      </c>
      <c r="Q34" t="str">
        <f t="shared" si="10"/>
        <v>Stim UndetectableError, Stim ColourCode, BP-OSD\\</v>
      </c>
    </row>
    <row r="35" spans="4:18" x14ac:dyDescent="0.2">
      <c r="D35" t="s">
        <v>8</v>
      </c>
      <c r="E35" t="s">
        <v>24</v>
      </c>
      <c r="F35" t="s">
        <v>21</v>
      </c>
      <c r="O35" t="str">
        <f t="shared" si="9"/>
        <v>\textbf{Lifted Product CSS}&amp;</v>
      </c>
      <c r="P35" t="str">
        <f t="shared" si="10"/>
        <v>QDistEvol&amp;</v>
      </c>
      <c r="Q35" t="str">
        <f t="shared" si="10"/>
        <v>QDistRnd\\</v>
      </c>
    </row>
    <row r="36" spans="4:18" x14ac:dyDescent="0.2">
      <c r="D36" t="s">
        <v>9</v>
      </c>
      <c r="E36" t="s">
        <v>24</v>
      </c>
      <c r="F36" s="1" t="s">
        <v>30</v>
      </c>
      <c r="O36" t="str">
        <f t="shared" si="9"/>
        <v>\textbf{Bivariate Bicycle CSS}&amp;</v>
      </c>
      <c r="P36" t="str">
        <f t="shared" si="10"/>
        <v>QDistEvol&amp;</v>
      </c>
      <c r="Q36" t="str">
        <f t="shared" si="10"/>
        <v>-\\</v>
      </c>
      <c r="R36" t="s">
        <v>1</v>
      </c>
    </row>
    <row r="37" spans="4:18" x14ac:dyDescent="0.2">
      <c r="D37" t="s">
        <v>81</v>
      </c>
      <c r="E37" t="s">
        <v>24</v>
      </c>
      <c r="F37" s="1" t="s">
        <v>30</v>
      </c>
      <c r="O37" t="str">
        <f>"\textbf{"&amp;D37&amp;"}"&amp;IF(E37="","\\","&amp;")</f>
        <v>\textbf{Quantum Tanner CSS}&amp;</v>
      </c>
      <c r="P37" t="str">
        <f t="shared" si="10"/>
        <v>QDistEvol&amp;</v>
      </c>
      <c r="Q37" t="str">
        <f>SUBSTITUTE(TEXT(F37,H$5)&amp;IF(G37="","\\","&amp;"),"%","\%")</f>
        <v>-\\</v>
      </c>
      <c r="R37" t="s">
        <v>1</v>
      </c>
    </row>
    <row r="38" spans="4:18" x14ac:dyDescent="0.2">
      <c r="D38" t="s">
        <v>13</v>
      </c>
      <c r="O38" t="str">
        <f>"\multicolumn{3}{|l|}{\textbf{"&amp;D38&amp;"}}\\"</f>
        <v>\multicolumn{3}{|l|}{\textbf{Quantum Syndrome Circuits}}\\</v>
      </c>
      <c r="R38" t="s">
        <v>1</v>
      </c>
    </row>
    <row r="39" spans="4:18" x14ac:dyDescent="0.2">
      <c r="D39" t="s">
        <v>12</v>
      </c>
      <c r="E39" t="s">
        <v>87</v>
      </c>
      <c r="F39" t="s">
        <v>88</v>
      </c>
      <c r="O39" t="str">
        <f t="shared" si="9"/>
        <v>\textbf{Surface Code}&amp;</v>
      </c>
      <c r="P39" t="str">
        <f t="shared" ref="P39:Q41" si="11">SUBSTITUTE(TEXT(E39,G$5)&amp;IF(F39="","\\","&amp;"),"%","\%")</f>
        <v>QDistEvol, QDistRnd, BP-OSD&amp;</v>
      </c>
      <c r="Q39" t="str">
        <f t="shared" si="11"/>
        <v>Stim Graphlike Error\\</v>
      </c>
    </row>
    <row r="40" spans="4:18" x14ac:dyDescent="0.2">
      <c r="D40" t="s">
        <v>14</v>
      </c>
      <c r="E40" t="s">
        <v>87</v>
      </c>
      <c r="F40" t="s">
        <v>88</v>
      </c>
      <c r="O40" t="str">
        <f t="shared" si="9"/>
        <v>\textbf{Colour Code - Midout}&amp;</v>
      </c>
      <c r="P40" t="str">
        <f t="shared" si="11"/>
        <v>QDistEvol, QDistRnd, BP-OSD&amp;</v>
      </c>
      <c r="Q40" t="str">
        <f t="shared" si="11"/>
        <v>Stim Graphlike Error\\</v>
      </c>
    </row>
    <row r="41" spans="4:18" x14ac:dyDescent="0.2">
      <c r="D41" t="s">
        <v>15</v>
      </c>
      <c r="E41" t="s">
        <v>87</v>
      </c>
      <c r="F41" t="s">
        <v>88</v>
      </c>
      <c r="O41" t="str">
        <f t="shared" si="9"/>
        <v>\textbf{Colour Code - Superdense}&amp;</v>
      </c>
      <c r="P41" t="str">
        <f t="shared" si="11"/>
        <v>QDistEvol, QDistRnd, BP-OSD&amp;</v>
      </c>
      <c r="Q41" t="str">
        <f t="shared" si="11"/>
        <v>Stim Graphlike Error\\</v>
      </c>
    </row>
    <row r="42" spans="4:18" x14ac:dyDescent="0.2">
      <c r="D42" t="s">
        <v>16</v>
      </c>
      <c r="E42" t="s">
        <v>24</v>
      </c>
      <c r="F42" s="1" t="s">
        <v>30</v>
      </c>
      <c r="O42" t="str">
        <f t="shared" ref="O42" si="12">"\textbf{"&amp;D42&amp;"}"&amp;IF(E42="","\\","&amp;")</f>
        <v>\textbf{Bivariate Bicycle}&amp;</v>
      </c>
      <c r="P42" t="str">
        <f t="shared" ref="P42" si="13">SUBSTITUTE(TEXT(E42,G$5)&amp;IF(F42="","\\","&amp;"),"%","\%")</f>
        <v>QDistEvol&amp;</v>
      </c>
      <c r="Q42" t="str">
        <f t="shared" ref="Q42" si="14">SUBSTITUTE(TEXT(F42,H$5)&amp;IF(G42="","\\","&amp;"),"%","\%")</f>
        <v>-\\</v>
      </c>
      <c r="R42" t="s">
        <v>1</v>
      </c>
    </row>
    <row r="43" spans="4:18" x14ac:dyDescent="0.2">
      <c r="O43" t="s">
        <v>3</v>
      </c>
    </row>
    <row r="44" spans="4:18" x14ac:dyDescent="0.2">
      <c r="O4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6BD1-D570-1545-AF88-210A8568655D}">
  <dimension ref="A2:V20"/>
  <sheetViews>
    <sheetView tabSelected="1" topLeftCell="B1" workbookViewId="0">
      <selection activeCell="J20" sqref="J20"/>
    </sheetView>
  </sheetViews>
  <sheetFormatPr baseColWidth="10" defaultRowHeight="16" x14ac:dyDescent="0.2"/>
  <cols>
    <col min="1" max="1" width="16" bestFit="1" customWidth="1"/>
    <col min="2" max="2" width="54.6640625" customWidth="1"/>
    <col min="5" max="5" width="8.6640625" bestFit="1" customWidth="1"/>
    <col min="6" max="6" width="4.5" bestFit="1" customWidth="1"/>
    <col min="7" max="7" width="8.1640625" bestFit="1" customWidth="1"/>
    <col min="21" max="21" width="20" bestFit="1" customWidth="1"/>
  </cols>
  <sheetData>
    <row r="2" spans="1:22" x14ac:dyDescent="0.2">
      <c r="L2" t="s">
        <v>0</v>
      </c>
    </row>
    <row r="3" spans="1:22" x14ac:dyDescent="0.2">
      <c r="L3" t="s">
        <v>31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33</v>
      </c>
      <c r="V3" t="s">
        <v>1</v>
      </c>
    </row>
    <row r="4" spans="1:22" x14ac:dyDescent="0.2">
      <c r="B4" t="s">
        <v>37</v>
      </c>
      <c r="C4" t="s">
        <v>38</v>
      </c>
      <c r="D4" t="s">
        <v>53</v>
      </c>
      <c r="E4" t="s">
        <v>39</v>
      </c>
      <c r="F4" t="s">
        <v>40</v>
      </c>
      <c r="G4" t="s">
        <v>41</v>
      </c>
      <c r="H4" t="s">
        <v>42</v>
      </c>
      <c r="I4" t="s">
        <v>80</v>
      </c>
      <c r="J4" t="s">
        <v>79</v>
      </c>
      <c r="L4" t="s">
        <v>2</v>
      </c>
      <c r="M4" t="str">
        <f>"\textbf{"&amp;B4&amp;"}"&amp;IF(C4="","\\","&amp;")</f>
        <v>\textbf{Description}&amp;</v>
      </c>
      <c r="N4" t="str">
        <f t="shared" ref="N4:U4" si="0">"\textbf{"&amp;C4&amp;"}"&amp;IF(D4="","\\","&amp;")</f>
        <v>\textbf{Implementation}&amp;</v>
      </c>
      <c r="O4" t="str">
        <f t="shared" si="0"/>
        <v>\textbf{Open Source}&amp;</v>
      </c>
      <c r="P4" t="str">
        <f t="shared" si="0"/>
        <v>\textbf{Classical}&amp;</v>
      </c>
      <c r="Q4" t="str">
        <f t="shared" si="0"/>
        <v>\textbf{CSS}&amp;</v>
      </c>
      <c r="R4" t="str">
        <f t="shared" si="0"/>
        <v>\textbf{non-CSS}&amp;</v>
      </c>
      <c r="S4" t="str">
        <f t="shared" si="0"/>
        <v>\textbf{Error Models}&amp;</v>
      </c>
      <c r="T4" t="str">
        <f t="shared" si="0"/>
        <v>\textbf{Prob}&amp;</v>
      </c>
      <c r="U4" t="str">
        <f t="shared" si="0"/>
        <v>\textbf{Par}\\</v>
      </c>
      <c r="V4" t="s">
        <v>1</v>
      </c>
    </row>
    <row r="5" spans="1:22" x14ac:dyDescent="0.2">
      <c r="A5" t="s">
        <v>36</v>
      </c>
      <c r="L5" t="str">
        <f>"\multicolumn{8}{|l|}{\textbf{"&amp;A5&amp;"}}\\"</f>
        <v>\multicolumn{8}{|l|}{\textbf{Exact Methods}}\\</v>
      </c>
      <c r="V5" t="s">
        <v>1</v>
      </c>
    </row>
    <row r="6" spans="1:22" x14ac:dyDescent="0.2">
      <c r="A6" t="s">
        <v>23</v>
      </c>
      <c r="B6" t="s">
        <v>51</v>
      </c>
      <c r="C6" t="s">
        <v>52</v>
      </c>
      <c r="D6" t="s">
        <v>54</v>
      </c>
      <c r="E6" t="s">
        <v>89</v>
      </c>
      <c r="F6" t="s">
        <v>55</v>
      </c>
      <c r="G6" t="s">
        <v>71</v>
      </c>
      <c r="H6" t="s">
        <v>76</v>
      </c>
      <c r="I6" t="s">
        <v>54</v>
      </c>
      <c r="J6" t="s">
        <v>54</v>
      </c>
      <c r="L6" t="str">
        <f t="shared" ref="L6:R10" si="1">A6&amp;IF(B6="","\\","&amp;")</f>
        <v>Gurobi&amp;</v>
      </c>
      <c r="M6" t="str">
        <f t="shared" si="1"/>
        <v>Mixed integer programming&amp;</v>
      </c>
      <c r="N6" t="str">
        <f t="shared" si="1"/>
        <v>Python library &amp;</v>
      </c>
      <c r="O6" t="str">
        <f t="shared" si="1"/>
        <v>N&amp;</v>
      </c>
      <c r="P6" t="str">
        <f t="shared" si="1"/>
        <v>C&amp;</v>
      </c>
      <c r="Q6" t="str">
        <f t="shared" si="1"/>
        <v>Y&amp;</v>
      </c>
      <c r="R6" t="str">
        <f t="shared" si="1"/>
        <v>2,3B&amp;</v>
      </c>
      <c r="S6" t="str">
        <f t="shared" ref="S6:U10" si="2">H6&amp;IF(I6="","\\","&amp;")</f>
        <v>Q&amp;</v>
      </c>
      <c r="T6" t="str">
        <f t="shared" si="2"/>
        <v>N&amp;</v>
      </c>
      <c r="U6" t="str">
        <f t="shared" si="2"/>
        <v>N\\</v>
      </c>
    </row>
    <row r="7" spans="1:22" x14ac:dyDescent="0.2">
      <c r="A7" t="s">
        <v>20</v>
      </c>
      <c r="B7" t="s">
        <v>51</v>
      </c>
      <c r="C7" t="s">
        <v>52</v>
      </c>
      <c r="D7" t="s">
        <v>55</v>
      </c>
      <c r="E7" t="s">
        <v>89</v>
      </c>
      <c r="F7" t="s">
        <v>55</v>
      </c>
      <c r="G7" t="s">
        <v>72</v>
      </c>
      <c r="H7" t="s">
        <v>76</v>
      </c>
      <c r="I7" t="s">
        <v>54</v>
      </c>
      <c r="J7" t="s">
        <v>54</v>
      </c>
      <c r="L7" t="str">
        <f t="shared" si="1"/>
        <v>MIP-SCIP&amp;</v>
      </c>
      <c r="M7" t="str">
        <f t="shared" si="1"/>
        <v>Mixed integer programming&amp;</v>
      </c>
      <c r="N7" t="str">
        <f t="shared" si="1"/>
        <v>Python library &amp;</v>
      </c>
      <c r="O7" t="str">
        <f t="shared" si="1"/>
        <v>Y&amp;</v>
      </c>
      <c r="P7" t="str">
        <f t="shared" si="1"/>
        <v>C&amp;</v>
      </c>
      <c r="Q7" t="str">
        <f t="shared" si="1"/>
        <v>Y&amp;</v>
      </c>
      <c r="R7" t="str">
        <f t="shared" si="1"/>
        <v>3B&amp;</v>
      </c>
      <c r="S7" t="str">
        <f t="shared" si="2"/>
        <v>Q&amp;</v>
      </c>
      <c r="T7" t="str">
        <f t="shared" si="2"/>
        <v>N&amp;</v>
      </c>
      <c r="U7" t="str">
        <f t="shared" si="2"/>
        <v>N\\</v>
      </c>
    </row>
    <row r="8" spans="1:22" x14ac:dyDescent="0.2">
      <c r="A8" t="s">
        <v>43</v>
      </c>
      <c r="B8" t="s">
        <v>56</v>
      </c>
      <c r="C8" t="s">
        <v>57</v>
      </c>
      <c r="D8" t="s">
        <v>55</v>
      </c>
      <c r="E8" t="s">
        <v>89</v>
      </c>
      <c r="F8" t="s">
        <v>55</v>
      </c>
      <c r="G8" t="s">
        <v>72</v>
      </c>
      <c r="H8" t="s">
        <v>76</v>
      </c>
      <c r="I8" t="s">
        <v>54</v>
      </c>
      <c r="J8" t="s">
        <v>54</v>
      </c>
      <c r="L8" t="str">
        <f t="shared" si="1"/>
        <v>CLISAT&amp;</v>
      </c>
      <c r="M8" t="str">
        <f t="shared" si="1"/>
        <v>MaxSAT Solver &amp;</v>
      </c>
      <c r="N8" t="str">
        <f t="shared" si="1"/>
        <v>Unix binary&amp;</v>
      </c>
      <c r="O8" t="str">
        <f t="shared" si="1"/>
        <v>Y&amp;</v>
      </c>
      <c r="P8" t="str">
        <f t="shared" si="1"/>
        <v>C&amp;</v>
      </c>
      <c r="Q8" t="str">
        <f t="shared" si="1"/>
        <v>Y&amp;</v>
      </c>
      <c r="R8" t="str">
        <f t="shared" si="1"/>
        <v>3B&amp;</v>
      </c>
      <c r="S8" t="str">
        <f t="shared" si="2"/>
        <v>Q&amp;</v>
      </c>
      <c r="T8" t="str">
        <f t="shared" si="2"/>
        <v>N&amp;</v>
      </c>
      <c r="U8" t="str">
        <f t="shared" si="2"/>
        <v>N\\</v>
      </c>
    </row>
    <row r="9" spans="1:22" x14ac:dyDescent="0.2">
      <c r="A9" t="s">
        <v>22</v>
      </c>
      <c r="B9" t="s">
        <v>58</v>
      </c>
      <c r="C9" t="s">
        <v>59</v>
      </c>
      <c r="D9" t="s">
        <v>55</v>
      </c>
      <c r="E9" t="s">
        <v>55</v>
      </c>
      <c r="F9" t="s">
        <v>55</v>
      </c>
      <c r="G9" t="s">
        <v>73</v>
      </c>
      <c r="H9" t="s">
        <v>69</v>
      </c>
      <c r="I9" t="s">
        <v>54</v>
      </c>
      <c r="J9" t="s">
        <v>54</v>
      </c>
      <c r="L9" t="str">
        <f t="shared" si="1"/>
        <v>m4riCC&amp;</v>
      </c>
      <c r="M9" t="str">
        <f t="shared" si="1"/>
        <v>Connected Cluster&amp;</v>
      </c>
      <c r="N9" t="str">
        <f t="shared" si="1"/>
        <v>C library&amp;</v>
      </c>
      <c r="O9" t="str">
        <f t="shared" si="1"/>
        <v>Y&amp;</v>
      </c>
      <c r="P9" t="str">
        <f t="shared" si="1"/>
        <v>Y&amp;</v>
      </c>
      <c r="Q9" t="str">
        <f t="shared" si="1"/>
        <v>Y&amp;</v>
      </c>
      <c r="R9" t="str">
        <f t="shared" si="1"/>
        <v>3,4B&amp;</v>
      </c>
      <c r="S9" t="str">
        <f t="shared" si="2"/>
        <v>D&amp;</v>
      </c>
      <c r="T9" t="str">
        <f t="shared" si="2"/>
        <v>N&amp;</v>
      </c>
      <c r="U9" t="str">
        <f t="shared" si="2"/>
        <v>N\\</v>
      </c>
    </row>
    <row r="10" spans="1:22" x14ac:dyDescent="0.2">
      <c r="A10" t="s">
        <v>26</v>
      </c>
      <c r="B10" t="s">
        <v>60</v>
      </c>
      <c r="C10" t="s">
        <v>68</v>
      </c>
      <c r="D10" t="s">
        <v>54</v>
      </c>
      <c r="E10" t="s">
        <v>55</v>
      </c>
      <c r="F10" t="s">
        <v>70</v>
      </c>
      <c r="G10" t="s">
        <v>74</v>
      </c>
      <c r="H10" t="s">
        <v>69</v>
      </c>
      <c r="I10" t="s">
        <v>54</v>
      </c>
      <c r="J10" t="s">
        <v>54</v>
      </c>
      <c r="L10" t="str">
        <f t="shared" si="1"/>
        <v>Magma&amp;</v>
      </c>
      <c r="M10" t="str">
        <f t="shared" si="1"/>
        <v>Brouwer Zimmermann&amp;</v>
      </c>
      <c r="N10" t="str">
        <f t="shared" si="1"/>
        <v>Mac/Unix binary&amp;</v>
      </c>
      <c r="O10" t="str">
        <f t="shared" si="1"/>
        <v>N&amp;</v>
      </c>
      <c r="P10" t="str">
        <f t="shared" si="1"/>
        <v>Y&amp;</v>
      </c>
      <c r="Q10" t="str">
        <f t="shared" si="1"/>
        <v>XZ&amp;</v>
      </c>
      <c r="R10" t="str">
        <f t="shared" si="1"/>
        <v>2B&amp;</v>
      </c>
      <c r="S10" t="str">
        <f t="shared" si="2"/>
        <v>D&amp;</v>
      </c>
      <c r="T10" t="str">
        <f t="shared" si="2"/>
        <v>N&amp;</v>
      </c>
      <c r="U10" t="str">
        <f t="shared" si="2"/>
        <v>N\\</v>
      </c>
      <c r="V10" t="s">
        <v>1</v>
      </c>
    </row>
    <row r="11" spans="1:22" x14ac:dyDescent="0.2">
      <c r="A11" t="s">
        <v>44</v>
      </c>
      <c r="L11" t="str">
        <f>"\multicolumn{8}{|l|}{\textbf{"&amp;A11&amp;"}}\\"</f>
        <v>\multicolumn{8}{|l|}{\textbf{Heuristic Methods}}\\</v>
      </c>
      <c r="V11" t="s">
        <v>1</v>
      </c>
    </row>
    <row r="12" spans="1:22" x14ac:dyDescent="0.2">
      <c r="A12" t="s">
        <v>45</v>
      </c>
      <c r="B12" t="s">
        <v>61</v>
      </c>
      <c r="C12" t="s">
        <v>59</v>
      </c>
      <c r="D12" t="s">
        <v>55</v>
      </c>
      <c r="E12" t="s">
        <v>55</v>
      </c>
      <c r="F12" t="s">
        <v>55</v>
      </c>
      <c r="G12" t="s">
        <v>73</v>
      </c>
      <c r="H12" t="s">
        <v>69</v>
      </c>
      <c r="I12" t="s">
        <v>55</v>
      </c>
      <c r="J12" t="s">
        <v>55</v>
      </c>
      <c r="L12" t="str">
        <f t="shared" ref="L12:R18" si="3">A12&amp;IF(B12="","\\","&amp;")</f>
        <v>m4riRW&amp;</v>
      </c>
      <c r="M12" t="str">
        <f t="shared" si="3"/>
        <v>Random Window (QDistRnd)&amp;</v>
      </c>
      <c r="N12" t="str">
        <f t="shared" si="3"/>
        <v>C library&amp;</v>
      </c>
      <c r="O12" t="str">
        <f t="shared" si="3"/>
        <v>Y&amp;</v>
      </c>
      <c r="P12" t="str">
        <f t="shared" si="3"/>
        <v>Y&amp;</v>
      </c>
      <c r="Q12" t="str">
        <f t="shared" si="3"/>
        <v>Y&amp;</v>
      </c>
      <c r="R12" t="str">
        <f t="shared" si="3"/>
        <v>3,4B&amp;</v>
      </c>
      <c r="S12" t="str">
        <f t="shared" ref="S12:U18" si="4">H12&amp;IF(I12="","\\","&amp;")</f>
        <v>D&amp;</v>
      </c>
      <c r="T12" t="str">
        <f t="shared" si="4"/>
        <v>Y&amp;</v>
      </c>
      <c r="U12" t="str">
        <f t="shared" si="4"/>
        <v>Y\\</v>
      </c>
    </row>
    <row r="13" spans="1:22" x14ac:dyDescent="0.2">
      <c r="A13" t="s">
        <v>46</v>
      </c>
      <c r="B13" t="s">
        <v>62</v>
      </c>
      <c r="C13" t="s">
        <v>52</v>
      </c>
      <c r="D13" t="s">
        <v>55</v>
      </c>
      <c r="E13" t="s">
        <v>55</v>
      </c>
      <c r="F13" t="s">
        <v>55</v>
      </c>
      <c r="G13" t="s">
        <v>75</v>
      </c>
      <c r="H13" t="s">
        <v>77</v>
      </c>
      <c r="I13" t="s">
        <v>55</v>
      </c>
      <c r="J13" t="s">
        <v>55</v>
      </c>
      <c r="L13" t="str">
        <f t="shared" si="3"/>
        <v>QDistRndMW&amp;</v>
      </c>
      <c r="M13" t="str">
        <f t="shared" si="3"/>
        <v>QDistRnd with more options&amp;</v>
      </c>
      <c r="N13" t="str">
        <f t="shared" si="3"/>
        <v>Python library &amp;</v>
      </c>
      <c r="O13" t="str">
        <f t="shared" si="3"/>
        <v>Y&amp;</v>
      </c>
      <c r="P13" t="str">
        <f t="shared" si="3"/>
        <v>Y&amp;</v>
      </c>
      <c r="Q13" t="str">
        <f t="shared" si="3"/>
        <v>Y&amp;</v>
      </c>
      <c r="R13" t="str">
        <f t="shared" si="3"/>
        <v>2,3,4B&amp;</v>
      </c>
      <c r="S13" t="str">
        <f t="shared" si="4"/>
        <v>E&amp;</v>
      </c>
      <c r="T13" t="str">
        <f t="shared" si="4"/>
        <v>Y&amp;</v>
      </c>
      <c r="U13" t="str">
        <f t="shared" si="4"/>
        <v>Y\\</v>
      </c>
    </row>
    <row r="14" spans="1:22" x14ac:dyDescent="0.2">
      <c r="A14" t="s">
        <v>24</v>
      </c>
      <c r="B14" t="s">
        <v>63</v>
      </c>
      <c r="C14" t="s">
        <v>52</v>
      </c>
      <c r="D14" t="s">
        <v>55</v>
      </c>
      <c r="E14" t="s">
        <v>55</v>
      </c>
      <c r="F14" t="s">
        <v>55</v>
      </c>
      <c r="G14" t="s">
        <v>75</v>
      </c>
      <c r="H14" t="s">
        <v>77</v>
      </c>
      <c r="I14" t="s">
        <v>55</v>
      </c>
      <c r="J14" t="s">
        <v>54</v>
      </c>
      <c r="L14" t="str">
        <f t="shared" si="3"/>
        <v>QDistEvol&amp;</v>
      </c>
      <c r="M14" t="str">
        <f t="shared" si="3"/>
        <v>QDistRnd with evolutionary selection of permutations&amp;</v>
      </c>
      <c r="N14" t="str">
        <f t="shared" si="3"/>
        <v>Python library &amp;</v>
      </c>
      <c r="O14" t="str">
        <f t="shared" si="3"/>
        <v>Y&amp;</v>
      </c>
      <c r="P14" t="str">
        <f t="shared" si="3"/>
        <v>Y&amp;</v>
      </c>
      <c r="Q14" t="str">
        <f t="shared" si="3"/>
        <v>Y&amp;</v>
      </c>
      <c r="R14" t="str">
        <f t="shared" si="3"/>
        <v>2,3,4B&amp;</v>
      </c>
      <c r="S14" t="str">
        <f t="shared" si="4"/>
        <v>E&amp;</v>
      </c>
      <c r="T14" t="str">
        <f t="shared" si="4"/>
        <v>Y&amp;</v>
      </c>
      <c r="U14" t="str">
        <f t="shared" si="4"/>
        <v>N\\</v>
      </c>
    </row>
    <row r="15" spans="1:22" x14ac:dyDescent="0.2">
      <c r="A15" t="s">
        <v>47</v>
      </c>
      <c r="B15" t="s">
        <v>64</v>
      </c>
      <c r="C15" t="s">
        <v>52</v>
      </c>
      <c r="D15" t="s">
        <v>55</v>
      </c>
      <c r="E15" t="s">
        <v>89</v>
      </c>
      <c r="F15" t="s">
        <v>55</v>
      </c>
      <c r="G15" t="s">
        <v>72</v>
      </c>
      <c r="H15" t="s">
        <v>78</v>
      </c>
      <c r="I15" t="s">
        <v>55</v>
      </c>
      <c r="J15" t="s">
        <v>55</v>
      </c>
      <c r="L15" t="str">
        <f t="shared" si="3"/>
        <v>BP-OSD&amp;</v>
      </c>
      <c r="M15" t="str">
        <f t="shared" si="3"/>
        <v>Syndrome decoder using LDPC package &amp;</v>
      </c>
      <c r="N15" t="str">
        <f t="shared" si="3"/>
        <v>Python library &amp;</v>
      </c>
      <c r="O15" t="str">
        <f t="shared" si="3"/>
        <v>Y&amp;</v>
      </c>
      <c r="P15" t="str">
        <f t="shared" si="3"/>
        <v>C&amp;</v>
      </c>
      <c r="Q15" t="str">
        <f t="shared" si="3"/>
        <v>Y&amp;</v>
      </c>
      <c r="R15" t="str">
        <f t="shared" si="3"/>
        <v>3B&amp;</v>
      </c>
      <c r="S15" t="str">
        <f t="shared" si="4"/>
        <v>Any&amp;</v>
      </c>
      <c r="T15" t="str">
        <f t="shared" si="4"/>
        <v>Y&amp;</v>
      </c>
      <c r="U15" t="str">
        <f t="shared" si="4"/>
        <v>Y\\</v>
      </c>
    </row>
    <row r="16" spans="1:22" x14ac:dyDescent="0.2">
      <c r="A16" t="s">
        <v>48</v>
      </c>
      <c r="B16" t="s">
        <v>65</v>
      </c>
      <c r="C16" t="s">
        <v>52</v>
      </c>
      <c r="D16" t="s">
        <v>55</v>
      </c>
      <c r="E16" t="s">
        <v>89</v>
      </c>
      <c r="F16" t="s">
        <v>55</v>
      </c>
      <c r="G16" t="s">
        <v>72</v>
      </c>
      <c r="H16" t="s">
        <v>69</v>
      </c>
      <c r="I16" t="s">
        <v>54</v>
      </c>
      <c r="J16" t="s">
        <v>54</v>
      </c>
      <c r="L16" t="str">
        <f t="shared" si="3"/>
        <v>GEStim&amp;</v>
      </c>
      <c r="M16" t="str">
        <f t="shared" si="3"/>
        <v>Stim Graphlike Error (max syndrome weight 2)&amp;</v>
      </c>
      <c r="N16" t="str">
        <f t="shared" si="3"/>
        <v>Python library &amp;</v>
      </c>
      <c r="O16" t="str">
        <f t="shared" si="3"/>
        <v>Y&amp;</v>
      </c>
      <c r="P16" t="str">
        <f t="shared" si="3"/>
        <v>C&amp;</v>
      </c>
      <c r="Q16" t="str">
        <f t="shared" si="3"/>
        <v>Y&amp;</v>
      </c>
      <c r="R16" t="str">
        <f t="shared" si="3"/>
        <v>3B&amp;</v>
      </c>
      <c r="S16" t="str">
        <f t="shared" si="4"/>
        <v>D&amp;</v>
      </c>
      <c r="T16" t="str">
        <f t="shared" si="4"/>
        <v>N&amp;</v>
      </c>
      <c r="U16" t="str">
        <f t="shared" si="4"/>
        <v>N\\</v>
      </c>
    </row>
    <row r="17" spans="1:22" x14ac:dyDescent="0.2">
      <c r="A17" t="s">
        <v>49</v>
      </c>
      <c r="B17" t="s">
        <v>66</v>
      </c>
      <c r="C17" t="s">
        <v>52</v>
      </c>
      <c r="D17" t="s">
        <v>55</v>
      </c>
      <c r="E17" t="s">
        <v>89</v>
      </c>
      <c r="F17" t="s">
        <v>55</v>
      </c>
      <c r="G17" t="s">
        <v>72</v>
      </c>
      <c r="H17" t="s">
        <v>69</v>
      </c>
      <c r="I17" t="s">
        <v>54</v>
      </c>
      <c r="J17" t="s">
        <v>54</v>
      </c>
      <c r="L17" t="str">
        <f t="shared" si="3"/>
        <v>CCStim&amp;</v>
      </c>
      <c r="M17" t="str">
        <f t="shared" si="3"/>
        <v>Stim Colour Code Error (max syndrome weight 3)&amp;</v>
      </c>
      <c r="N17" t="str">
        <f t="shared" si="3"/>
        <v>Python library &amp;</v>
      </c>
      <c r="O17" t="str">
        <f t="shared" si="3"/>
        <v>Y&amp;</v>
      </c>
      <c r="P17" t="str">
        <f t="shared" si="3"/>
        <v>C&amp;</v>
      </c>
      <c r="Q17" t="str">
        <f t="shared" si="3"/>
        <v>Y&amp;</v>
      </c>
      <c r="R17" t="str">
        <f t="shared" si="3"/>
        <v>3B&amp;</v>
      </c>
      <c r="S17" t="str">
        <f t="shared" si="4"/>
        <v>D&amp;</v>
      </c>
      <c r="T17" t="str">
        <f t="shared" si="4"/>
        <v>N&amp;</v>
      </c>
      <c r="U17" t="str">
        <f t="shared" si="4"/>
        <v>N\\</v>
      </c>
    </row>
    <row r="18" spans="1:22" x14ac:dyDescent="0.2">
      <c r="A18" t="s">
        <v>50</v>
      </c>
      <c r="B18" t="s">
        <v>67</v>
      </c>
      <c r="C18" t="s">
        <v>52</v>
      </c>
      <c r="D18" t="s">
        <v>55</v>
      </c>
      <c r="E18" t="s">
        <v>89</v>
      </c>
      <c r="F18" t="s">
        <v>55</v>
      </c>
      <c r="G18" t="s">
        <v>72</v>
      </c>
      <c r="H18" t="s">
        <v>69</v>
      </c>
      <c r="I18" t="s">
        <v>54</v>
      </c>
      <c r="J18" t="s">
        <v>54</v>
      </c>
      <c r="L18" t="str">
        <f t="shared" si="3"/>
        <v>UEStim&amp;</v>
      </c>
      <c r="M18" t="str">
        <f t="shared" si="3"/>
        <v>Stim Undetectable Error (increasing syndrome weight)&amp;</v>
      </c>
      <c r="N18" t="str">
        <f t="shared" si="3"/>
        <v>Python library &amp;</v>
      </c>
      <c r="O18" t="str">
        <f t="shared" si="3"/>
        <v>Y&amp;</v>
      </c>
      <c r="P18" t="str">
        <f t="shared" si="3"/>
        <v>C&amp;</v>
      </c>
      <c r="Q18" t="str">
        <f t="shared" si="3"/>
        <v>Y&amp;</v>
      </c>
      <c r="R18" t="str">
        <f t="shared" si="3"/>
        <v>3B&amp;</v>
      </c>
      <c r="S18" t="str">
        <f t="shared" si="4"/>
        <v>D&amp;</v>
      </c>
      <c r="T18" t="str">
        <f t="shared" si="4"/>
        <v>N&amp;</v>
      </c>
      <c r="U18" t="str">
        <f t="shared" si="4"/>
        <v>N\\</v>
      </c>
      <c r="V18" t="s">
        <v>1</v>
      </c>
    </row>
    <row r="19" spans="1:22" x14ac:dyDescent="0.2">
      <c r="L19" t="s">
        <v>3</v>
      </c>
    </row>
    <row r="20" spans="1:22" x14ac:dyDescent="0.2">
      <c r="L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alg-summary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2026-01-11T18:17:45Z</dcterms:created>
  <dcterms:modified xsi:type="dcterms:W3CDTF">2026-02-27T10:59:50Z</dcterms:modified>
</cp:coreProperties>
</file>