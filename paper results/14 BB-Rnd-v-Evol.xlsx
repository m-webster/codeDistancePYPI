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markwebster/Dropbox/QuantumComputing/QEC Projects/distance benchmarking/results 20251223/"/>
    </mc:Choice>
  </mc:AlternateContent>
  <xr:revisionPtr revIDLastSave="0" documentId="13_ncr:1_{E24A472C-7F84-2049-A58C-F89153B59340}" xr6:coauthVersionLast="47" xr6:coauthVersionMax="47" xr10:uidLastSave="{00000000-0000-0000-0000-000000000000}"/>
  <bookViews>
    <workbookView xWindow="140" yWindow="900" windowWidth="14480" windowHeight="17040" xr2:uid="{C7E46019-E7E4-5948-A584-5DB6A2802E81}"/>
  </bookViews>
  <sheets>
    <sheet name="analysis-all" sheetId="6" r:id="rId1"/>
    <sheet name="analysis-756" sheetId="9" r:id="rId2"/>
    <sheet name="m4ri_RW_all" sheetId="2" r:id="rId3"/>
    <sheet name="QDistRndMW_all" sheetId="7" r:id="rId4"/>
    <sheet name="QDistEvol_all_20260215" sheetId="1" r:id="rId5"/>
    <sheet name="QDistEvol_all" sheetId="16" r:id="rId6"/>
    <sheet name="m4ri_RW_mac" sheetId="11" r:id="rId7"/>
    <sheet name="QDistRndMW_mac" sheetId="12" r:id="rId8"/>
    <sheet name="QDistEvol_mac" sheetId="13" r:id="rId9"/>
    <sheet name="QDistRnd_756_20251225" sheetId="3" r:id="rId10"/>
    <sheet name="QDistRnd_756" sheetId="15" r:id="rId11"/>
    <sheet name="QDistEvol_756_20251225" sheetId="4" r:id="rId12"/>
    <sheet name="QDistEvol_756" sheetId="14" r:id="rId13"/>
    <sheet name="m4riRW_756" sheetId="10"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5" i="6" l="1"/>
  <c r="H135" i="15"/>
  <c r="H134" i="15"/>
  <c r="J134" i="15"/>
  <c r="J131" i="15"/>
  <c r="J130" i="15"/>
  <c r="J129" i="15"/>
  <c r="J128" i="15"/>
  <c r="J127" i="15"/>
  <c r="J126" i="15"/>
  <c r="J125" i="15"/>
  <c r="J124" i="15"/>
  <c r="J123" i="15"/>
  <c r="J122" i="15"/>
  <c r="J121" i="15"/>
  <c r="J120" i="15"/>
  <c r="J119" i="15"/>
  <c r="J118" i="15"/>
  <c r="J117" i="15"/>
  <c r="J116" i="15"/>
  <c r="J115" i="15"/>
  <c r="J114" i="15"/>
  <c r="J113" i="15"/>
  <c r="J112" i="15"/>
  <c r="J111" i="15"/>
  <c r="J110" i="15"/>
  <c r="J109" i="15"/>
  <c r="J108" i="15"/>
  <c r="J107" i="15"/>
  <c r="J106" i="15"/>
  <c r="J105" i="15"/>
  <c r="J104" i="15"/>
  <c r="J103" i="15"/>
  <c r="J102" i="15"/>
  <c r="J101" i="15"/>
  <c r="J100" i="15"/>
  <c r="J99" i="15"/>
  <c r="J98" i="15"/>
  <c r="J97" i="15"/>
  <c r="J96" i="15"/>
  <c r="J95" i="15"/>
  <c r="J94" i="15"/>
  <c r="J93" i="15"/>
  <c r="J92" i="15"/>
  <c r="J91" i="15"/>
  <c r="J90" i="15"/>
  <c r="J89" i="15"/>
  <c r="J88" i="15"/>
  <c r="J87" i="15"/>
  <c r="J86" i="15"/>
  <c r="J85" i="15"/>
  <c r="J84" i="15"/>
  <c r="J83" i="15"/>
  <c r="J82" i="15"/>
  <c r="J81" i="15"/>
  <c r="J80" i="15"/>
  <c r="J79" i="15"/>
  <c r="J78" i="15"/>
  <c r="J77" i="15"/>
  <c r="J76" i="15"/>
  <c r="J75" i="15"/>
  <c r="J74" i="15"/>
  <c r="J73" i="15"/>
  <c r="J72" i="15"/>
  <c r="J71" i="15"/>
  <c r="J70" i="15"/>
  <c r="J69" i="15"/>
  <c r="J68" i="15"/>
  <c r="J67" i="15"/>
  <c r="J66" i="15"/>
  <c r="J65" i="15"/>
  <c r="J64" i="15"/>
  <c r="J63" i="15"/>
  <c r="J62" i="15"/>
  <c r="J61" i="15"/>
  <c r="J60" i="15"/>
  <c r="J59" i="15"/>
  <c r="J58" i="15"/>
  <c r="J57" i="15"/>
  <c r="J56" i="15"/>
  <c r="J55" i="15"/>
  <c r="J54" i="15"/>
  <c r="J53" i="15"/>
  <c r="J52" i="15"/>
  <c r="J51" i="15"/>
  <c r="J50" i="15"/>
  <c r="J49" i="15"/>
  <c r="J48" i="15"/>
  <c r="J47" i="15"/>
  <c r="J46" i="15"/>
  <c r="J45" i="15"/>
  <c r="J44" i="15"/>
  <c r="J43" i="15"/>
  <c r="J42" i="15"/>
  <c r="J41" i="15"/>
  <c r="J40" i="15"/>
  <c r="J39" i="15"/>
  <c r="J38" i="15"/>
  <c r="J37" i="15"/>
  <c r="J36" i="15"/>
  <c r="J35" i="15"/>
  <c r="J34" i="15"/>
  <c r="J33" i="15"/>
  <c r="J32" i="15"/>
  <c r="N44" i="13"/>
  <c r="M44" i="13"/>
  <c r="K44" i="13"/>
  <c r="L44" i="13" s="1"/>
  <c r="M43" i="13"/>
  <c r="N43" i="13" s="1"/>
  <c r="K43" i="13"/>
  <c r="L43" i="13" s="1"/>
  <c r="N42" i="13"/>
  <c r="M42" i="13"/>
  <c r="K42" i="13"/>
  <c r="L42" i="13" s="1"/>
  <c r="M41" i="13"/>
  <c r="N41" i="13" s="1"/>
  <c r="K41" i="13"/>
  <c r="L41" i="13" s="1"/>
  <c r="M40" i="13"/>
  <c r="N40" i="13" s="1"/>
  <c r="K40" i="13"/>
  <c r="L40" i="13" s="1"/>
  <c r="M39" i="13"/>
  <c r="N39" i="13" s="1"/>
  <c r="K39" i="13"/>
  <c r="L39" i="13" s="1"/>
  <c r="M38" i="13"/>
  <c r="N38" i="13" s="1"/>
  <c r="K38" i="13"/>
  <c r="L38" i="13" s="1"/>
  <c r="M37" i="13"/>
  <c r="N37" i="13" s="1"/>
  <c r="K37" i="13"/>
  <c r="L37" i="13" s="1"/>
  <c r="M36" i="13"/>
  <c r="N36" i="13" s="1"/>
  <c r="K36" i="13"/>
  <c r="L36" i="13" s="1"/>
  <c r="M35" i="13"/>
  <c r="N35" i="13" s="1"/>
  <c r="K35" i="13"/>
  <c r="L35" i="13" s="1"/>
  <c r="M34" i="13"/>
  <c r="N34" i="13" s="1"/>
  <c r="K34" i="13"/>
  <c r="L34" i="13" s="1"/>
  <c r="M33" i="13"/>
  <c r="N33" i="13" s="1"/>
  <c r="K33" i="13"/>
  <c r="L33" i="13" s="1"/>
  <c r="M32" i="13"/>
  <c r="N32" i="13" s="1"/>
  <c r="K32" i="13"/>
  <c r="L32" i="13" s="1"/>
  <c r="M31" i="13"/>
  <c r="N31" i="13" s="1"/>
  <c r="K31" i="13"/>
  <c r="L31" i="13" s="1"/>
  <c r="M30" i="13"/>
  <c r="N30" i="13" s="1"/>
  <c r="K30" i="13"/>
  <c r="L30" i="13" s="1"/>
  <c r="M29" i="13"/>
  <c r="N29" i="13" s="1"/>
  <c r="K29" i="13"/>
  <c r="L29" i="13" s="1"/>
  <c r="M28" i="13"/>
  <c r="N28" i="13" s="1"/>
  <c r="K28" i="13"/>
  <c r="L28" i="13" s="1"/>
  <c r="M27" i="13"/>
  <c r="N27" i="13" s="1"/>
  <c r="K27" i="13"/>
  <c r="L27" i="13" s="1"/>
  <c r="M26" i="13"/>
  <c r="N26" i="13" s="1"/>
  <c r="K26" i="13"/>
  <c r="L26" i="13" s="1"/>
  <c r="M25" i="13"/>
  <c r="N25" i="13" s="1"/>
  <c r="K25" i="13"/>
  <c r="L25" i="13" s="1"/>
  <c r="AA67" i="9"/>
  <c r="Z67" i="9"/>
  <c r="Y67" i="9"/>
  <c r="W67" i="9"/>
  <c r="V67" i="9"/>
  <c r="U67" i="9"/>
  <c r="S67" i="9"/>
  <c r="R67" i="9"/>
  <c r="Q67" i="9"/>
  <c r="O67" i="9"/>
  <c r="N67" i="9"/>
  <c r="M67" i="9"/>
  <c r="J67" i="9"/>
  <c r="K67" i="9"/>
  <c r="I67" i="9"/>
  <c r="W65" i="9"/>
  <c r="V65" i="9"/>
  <c r="R65" i="9"/>
  <c r="S65" i="9" s="1"/>
  <c r="T65" i="9" s="1"/>
  <c r="N65" i="9"/>
  <c r="O65" i="9" s="1"/>
  <c r="P65" i="9" s="1"/>
  <c r="G65" i="9"/>
  <c r="H65" i="9" s="1"/>
  <c r="I65" i="9" s="1"/>
  <c r="J65" i="9" s="1"/>
  <c r="F65" i="9"/>
  <c r="B167" i="9"/>
  <c r="A167" i="9"/>
  <c r="B166" i="9"/>
  <c r="A166" i="9"/>
  <c r="B165" i="9"/>
  <c r="A165" i="9"/>
  <c r="B164" i="9"/>
  <c r="A164" i="9"/>
  <c r="B163" i="9"/>
  <c r="A163" i="9"/>
  <c r="B162" i="9"/>
  <c r="A162" i="9"/>
  <c r="B161" i="9"/>
  <c r="A161" i="9"/>
  <c r="B160" i="9"/>
  <c r="A160" i="9"/>
  <c r="B159" i="9"/>
  <c r="A159" i="9"/>
  <c r="B158" i="9"/>
  <c r="A158" i="9"/>
  <c r="B157" i="9"/>
  <c r="A157" i="9"/>
  <c r="B156" i="9"/>
  <c r="A156" i="9"/>
  <c r="B155" i="9"/>
  <c r="A155" i="9"/>
  <c r="B154" i="9"/>
  <c r="A154" i="9"/>
  <c r="B153" i="9"/>
  <c r="A153" i="9"/>
  <c r="B152" i="9"/>
  <c r="A152" i="9"/>
  <c r="B151" i="9"/>
  <c r="A151" i="9"/>
  <c r="B150" i="9"/>
  <c r="A150" i="9"/>
  <c r="B149" i="9"/>
  <c r="A149" i="9"/>
  <c r="B148" i="9"/>
  <c r="A148" i="9"/>
  <c r="B147" i="9"/>
  <c r="A147" i="9"/>
  <c r="B146" i="9"/>
  <c r="A146" i="9"/>
  <c r="B145" i="9"/>
  <c r="A145" i="9"/>
  <c r="B144" i="9"/>
  <c r="A144" i="9"/>
  <c r="B143" i="9"/>
  <c r="A143" i="9"/>
  <c r="B142" i="9"/>
  <c r="A142" i="9"/>
  <c r="B141" i="9"/>
  <c r="A141" i="9"/>
  <c r="B140" i="9"/>
  <c r="A140" i="9"/>
  <c r="B139" i="9"/>
  <c r="A139" i="9"/>
  <c r="B138" i="9"/>
  <c r="A138" i="9"/>
  <c r="B137" i="9"/>
  <c r="A137" i="9"/>
  <c r="B136" i="9"/>
  <c r="A136" i="9"/>
  <c r="B135" i="9"/>
  <c r="A135" i="9"/>
  <c r="B134" i="9"/>
  <c r="A134" i="9"/>
  <c r="B133" i="9"/>
  <c r="A133" i="9"/>
  <c r="B132" i="9"/>
  <c r="A132" i="9"/>
  <c r="B131" i="9"/>
  <c r="A131" i="9"/>
  <c r="B130" i="9"/>
  <c r="A130" i="9"/>
  <c r="B129" i="9"/>
  <c r="A129" i="9"/>
  <c r="B128" i="9"/>
  <c r="A128" i="9"/>
  <c r="B127" i="9"/>
  <c r="A127" i="9"/>
  <c r="B126" i="9"/>
  <c r="A126" i="9"/>
  <c r="B125" i="9"/>
  <c r="A125" i="9"/>
  <c r="B124" i="9"/>
  <c r="A124" i="9"/>
  <c r="B123" i="9"/>
  <c r="A123" i="9"/>
  <c r="B122" i="9"/>
  <c r="A122" i="9"/>
  <c r="B121" i="9"/>
  <c r="A121" i="9"/>
  <c r="B120" i="9"/>
  <c r="A120" i="9"/>
  <c r="B119" i="9"/>
  <c r="A119" i="9"/>
  <c r="B118" i="9"/>
  <c r="A118" i="9"/>
  <c r="B117" i="9"/>
  <c r="A117" i="9"/>
  <c r="B116" i="9"/>
  <c r="A116" i="9"/>
  <c r="B115" i="9"/>
  <c r="A115" i="9"/>
  <c r="B114" i="9"/>
  <c r="A114" i="9"/>
  <c r="B113" i="9"/>
  <c r="A113" i="9"/>
  <c r="B112" i="9"/>
  <c r="A112" i="9"/>
  <c r="B111" i="9"/>
  <c r="A111" i="9"/>
  <c r="B110" i="9"/>
  <c r="A110" i="9"/>
  <c r="B109" i="9"/>
  <c r="A109" i="9"/>
  <c r="B108" i="9"/>
  <c r="A108" i="9"/>
  <c r="B107" i="9"/>
  <c r="A107" i="9"/>
  <c r="B106" i="9"/>
  <c r="A106" i="9"/>
  <c r="B105" i="9"/>
  <c r="A105" i="9"/>
  <c r="B104" i="9"/>
  <c r="A104" i="9"/>
  <c r="B103" i="9"/>
  <c r="A103" i="9"/>
  <c r="B102" i="9"/>
  <c r="A102" i="9"/>
  <c r="B101" i="9"/>
  <c r="A101" i="9"/>
  <c r="B100" i="9"/>
  <c r="A100" i="9"/>
  <c r="B99" i="9"/>
  <c r="A99" i="9"/>
  <c r="B98" i="9"/>
  <c r="A98" i="9"/>
  <c r="B97" i="9"/>
  <c r="A97" i="9"/>
  <c r="B96" i="9"/>
  <c r="A96" i="9"/>
  <c r="B95" i="9"/>
  <c r="A95" i="9"/>
  <c r="B94" i="9"/>
  <c r="A94" i="9"/>
  <c r="B93" i="9"/>
  <c r="A93" i="9"/>
  <c r="B92" i="9"/>
  <c r="A92" i="9"/>
  <c r="B91" i="9"/>
  <c r="A91" i="9"/>
  <c r="B90" i="9"/>
  <c r="A90" i="9"/>
  <c r="B89" i="9"/>
  <c r="A89" i="9"/>
  <c r="B88" i="9"/>
  <c r="A88" i="9"/>
  <c r="B87" i="9"/>
  <c r="A87" i="9"/>
  <c r="B86" i="9"/>
  <c r="A86" i="9"/>
  <c r="B85" i="9"/>
  <c r="A85" i="9"/>
  <c r="B84" i="9"/>
  <c r="A84" i="9"/>
  <c r="B83" i="9"/>
  <c r="A83" i="9"/>
  <c r="B82" i="9"/>
  <c r="A82" i="9"/>
  <c r="B81" i="9"/>
  <c r="A81" i="9"/>
  <c r="B80" i="9"/>
  <c r="A80" i="9"/>
  <c r="B79" i="9"/>
  <c r="A79" i="9"/>
  <c r="B78" i="9"/>
  <c r="A78" i="9"/>
  <c r="B77" i="9"/>
  <c r="A77" i="9"/>
  <c r="B76" i="9"/>
  <c r="A76" i="9"/>
  <c r="B75" i="9"/>
  <c r="A75" i="9"/>
  <c r="B74" i="9"/>
  <c r="A74" i="9"/>
  <c r="B73" i="9"/>
  <c r="A73" i="9"/>
  <c r="B72" i="9"/>
  <c r="A72" i="9"/>
  <c r="B71" i="9"/>
  <c r="A71" i="9"/>
  <c r="B70" i="9"/>
  <c r="A70" i="9"/>
  <c r="B69" i="9"/>
  <c r="A69" i="9"/>
  <c r="B68" i="9"/>
  <c r="A68" i="9"/>
  <c r="BW67" i="9"/>
  <c r="CN67" i="9" s="1"/>
  <c r="BV67" i="9"/>
  <c r="CM67" i="9" s="1"/>
  <c r="DD67" i="9" s="1"/>
  <c r="B65" i="9"/>
  <c r="A55" i="9"/>
  <c r="A54" i="9"/>
  <c r="A53" i="9"/>
  <c r="A52" i="9"/>
  <c r="A51" i="9"/>
  <c r="A50" i="9"/>
  <c r="A49" i="9"/>
  <c r="A48" i="9"/>
  <c r="A47" i="9"/>
  <c r="A46" i="9"/>
  <c r="D45" i="9"/>
  <c r="C45" i="9" s="1"/>
  <c r="B45" i="9" s="1"/>
  <c r="A45" i="9"/>
  <c r="FX38" i="9"/>
  <c r="FX37" i="9"/>
  <c r="FX36" i="9"/>
  <c r="FX35" i="9"/>
  <c r="FX34" i="9"/>
  <c r="B3" i="9"/>
  <c r="A1" i="9" a="1"/>
  <c r="A1" i="9" s="1"/>
  <c r="AO67" i="6"/>
  <c r="AN67" i="6"/>
  <c r="AM67" i="6"/>
  <c r="X67" i="6"/>
  <c r="BF67" i="6" s="1"/>
  <c r="BW67" i="6" s="1"/>
  <c r="CN67" i="6" s="1"/>
  <c r="DE67" i="6" s="1"/>
  <c r="DV67" i="6" s="1"/>
  <c r="EM67" i="6" s="1"/>
  <c r="FD67" i="6" s="1"/>
  <c r="W67" i="6"/>
  <c r="BE67" i="6" s="1"/>
  <c r="BV67" i="6" s="1"/>
  <c r="CM67" i="6" s="1"/>
  <c r="DD67" i="6" s="1"/>
  <c r="DU67" i="6" s="1"/>
  <c r="EL67" i="6" s="1"/>
  <c r="FC67" i="6" s="1"/>
  <c r="V67" i="6"/>
  <c r="BD67" i="6" s="1"/>
  <c r="BU67" i="6" s="1"/>
  <c r="CL67" i="6" s="1"/>
  <c r="DC67" i="6" s="1"/>
  <c r="DT67" i="6" s="1"/>
  <c r="EK67" i="6" s="1"/>
  <c r="FB67" i="6" s="1"/>
  <c r="A55" i="6"/>
  <c r="A54" i="6"/>
  <c r="A53" i="6"/>
  <c r="A52" i="6"/>
  <c r="A51" i="6"/>
  <c r="A50" i="6"/>
  <c r="A49" i="6"/>
  <c r="A48" i="6"/>
  <c r="A47" i="6"/>
  <c r="A46" i="6"/>
  <c r="D45" i="6"/>
  <c r="A45" i="6"/>
  <c r="FX38" i="6"/>
  <c r="FX37" i="6"/>
  <c r="FX36" i="6"/>
  <c r="FX35" i="6"/>
  <c r="FX34" i="6"/>
  <c r="A1" i="6" a="1"/>
  <c r="A1" i="6" s="1"/>
  <c r="J127" i="3"/>
  <c r="J126" i="3"/>
  <c r="J125" i="3"/>
  <c r="J124" i="3"/>
  <c r="J123" i="3"/>
  <c r="J122" i="3"/>
  <c r="J121" i="3"/>
  <c r="J120" i="3"/>
  <c r="J119" i="3"/>
  <c r="J118" i="3"/>
  <c r="J117" i="3"/>
  <c r="J116" i="3"/>
  <c r="J115" i="3"/>
  <c r="J114" i="3"/>
  <c r="J113" i="3"/>
  <c r="J112" i="3"/>
  <c r="J111" i="3"/>
  <c r="J110" i="3"/>
  <c r="J109" i="3"/>
  <c r="J108" i="3"/>
  <c r="J107" i="3"/>
  <c r="J106" i="3"/>
  <c r="J105" i="3"/>
  <c r="J104" i="3"/>
  <c r="J103" i="3"/>
  <c r="J102" i="3"/>
  <c r="J101" i="3"/>
  <c r="J100" i="3"/>
  <c r="J99" i="3"/>
  <c r="J98" i="3"/>
  <c r="J97" i="3"/>
  <c r="J96" i="3"/>
  <c r="J95" i="3"/>
  <c r="J94" i="3"/>
  <c r="J93" i="3"/>
  <c r="J92" i="3"/>
  <c r="J91" i="3"/>
  <c r="J90" i="3"/>
  <c r="J89" i="3"/>
  <c r="J88" i="3"/>
  <c r="J87" i="3"/>
  <c r="J86" i="3"/>
  <c r="J85" i="3"/>
  <c r="J84" i="3"/>
  <c r="J83" i="3"/>
  <c r="J82" i="3"/>
  <c r="J81" i="3"/>
  <c r="J80" i="3"/>
  <c r="J79" i="3"/>
  <c r="J78" i="3"/>
  <c r="J77" i="3"/>
  <c r="J76" i="3"/>
  <c r="J75" i="3"/>
  <c r="J74" i="3"/>
  <c r="J73" i="3"/>
  <c r="J72" i="3"/>
  <c r="J71" i="3"/>
  <c r="J70" i="3"/>
  <c r="J69" i="3"/>
  <c r="J68" i="3"/>
  <c r="J67" i="3"/>
  <c r="J66" i="3"/>
  <c r="J65" i="3"/>
  <c r="J64" i="3"/>
  <c r="J63" i="3"/>
  <c r="J62" i="3"/>
  <c r="J61" i="3"/>
  <c r="J60" i="3"/>
  <c r="J59" i="3"/>
  <c r="J58" i="3"/>
  <c r="J57" i="3"/>
  <c r="J56" i="3"/>
  <c r="J55" i="3"/>
  <c r="J54" i="3"/>
  <c r="J53" i="3"/>
  <c r="J52" i="3"/>
  <c r="J51" i="3"/>
  <c r="J50" i="3"/>
  <c r="J49" i="3"/>
  <c r="J48" i="3"/>
  <c r="J47" i="3"/>
  <c r="J46" i="3"/>
  <c r="J45" i="3"/>
  <c r="J44" i="3"/>
  <c r="J43" i="3"/>
  <c r="J42" i="3"/>
  <c r="J41" i="3"/>
  <c r="J40" i="3"/>
  <c r="J39" i="3"/>
  <c r="J38" i="3"/>
  <c r="J37" i="3"/>
  <c r="J36" i="3"/>
  <c r="J35" i="3"/>
  <c r="J34" i="3"/>
  <c r="J33" i="3"/>
  <c r="J32" i="3"/>
  <c r="J31" i="3"/>
  <c r="J30" i="3"/>
  <c r="J29" i="3"/>
  <c r="J28" i="3"/>
  <c r="L5" i="3" s="1"/>
  <c r="L10" i="3"/>
  <c r="L6" i="3"/>
  <c r="J127" i="4"/>
  <c r="J126" i="4"/>
  <c r="J125" i="4"/>
  <c r="J124" i="4"/>
  <c r="J123" i="4"/>
  <c r="J122" i="4"/>
  <c r="J121" i="4"/>
  <c r="J120" i="4"/>
  <c r="J119" i="4"/>
  <c r="J118" i="4"/>
  <c r="J117" i="4"/>
  <c r="J116" i="4"/>
  <c r="J115" i="4"/>
  <c r="J114" i="4"/>
  <c r="J113" i="4"/>
  <c r="J112" i="4"/>
  <c r="J111" i="4"/>
  <c r="J110" i="4"/>
  <c r="J109" i="4"/>
  <c r="J108" i="4"/>
  <c r="J107" i="4"/>
  <c r="J106" i="4"/>
  <c r="J105" i="4"/>
  <c r="J104" i="4"/>
  <c r="J103" i="4"/>
  <c r="J102" i="4"/>
  <c r="J101" i="4"/>
  <c r="J100" i="4"/>
  <c r="J99" i="4"/>
  <c r="J98" i="4"/>
  <c r="J97" i="4"/>
  <c r="J96" i="4"/>
  <c r="J95" i="4"/>
  <c r="J94" i="4"/>
  <c r="J93" i="4"/>
  <c r="J92" i="4"/>
  <c r="J91" i="4"/>
  <c r="J90" i="4"/>
  <c r="J89" i="4"/>
  <c r="J88" i="4"/>
  <c r="J87" i="4"/>
  <c r="J86" i="4"/>
  <c r="J85" i="4"/>
  <c r="J84" i="4"/>
  <c r="J83" i="4"/>
  <c r="J82" i="4"/>
  <c r="J81" i="4"/>
  <c r="J80" i="4"/>
  <c r="J79" i="4"/>
  <c r="J78" i="4"/>
  <c r="J77" i="4"/>
  <c r="J76" i="4"/>
  <c r="J75" i="4"/>
  <c r="J74" i="4"/>
  <c r="J73" i="4"/>
  <c r="J72" i="4"/>
  <c r="J71" i="4"/>
  <c r="J70" i="4"/>
  <c r="J69" i="4"/>
  <c r="J68" i="4"/>
  <c r="J67" i="4"/>
  <c r="J66" i="4"/>
  <c r="J65" i="4"/>
  <c r="J64" i="4"/>
  <c r="J63" i="4"/>
  <c r="J62" i="4"/>
  <c r="J61" i="4"/>
  <c r="J60" i="4"/>
  <c r="J59" i="4"/>
  <c r="J58" i="4"/>
  <c r="J57" i="4"/>
  <c r="J56" i="4"/>
  <c r="J55" i="4"/>
  <c r="J54" i="4"/>
  <c r="J53" i="4"/>
  <c r="J52" i="4"/>
  <c r="J51" i="4"/>
  <c r="J50" i="4"/>
  <c r="J49" i="4"/>
  <c r="J48" i="4"/>
  <c r="J47" i="4"/>
  <c r="J46" i="4"/>
  <c r="J45" i="4"/>
  <c r="J44" i="4"/>
  <c r="J43" i="4"/>
  <c r="J42" i="4"/>
  <c r="J41" i="4"/>
  <c r="J40" i="4"/>
  <c r="J39" i="4"/>
  <c r="J38" i="4"/>
  <c r="J37" i="4"/>
  <c r="J36" i="4"/>
  <c r="J35" i="4"/>
  <c r="J34" i="4"/>
  <c r="J33" i="4"/>
  <c r="J32" i="4"/>
  <c r="J31" i="4"/>
  <c r="J30" i="4"/>
  <c r="J29" i="4"/>
  <c r="L5" i="4" s="1"/>
  <c r="J28" i="4"/>
  <c r="L9" i="4" s="1"/>
  <c r="L10" i="4"/>
  <c r="L6" i="4"/>
  <c r="F115" i="9" a="1"/>
  <c r="R120" i="9" a="1"/>
  <c r="R146" i="9" a="1"/>
  <c r="W98" i="9" a="1"/>
  <c r="F112" i="9" a="1"/>
  <c r="N148" i="9" a="1"/>
  <c r="S159" i="9" a="1"/>
  <c r="R85" i="9" a="1"/>
  <c r="F146" i="9" a="1"/>
  <c r="R143" i="9" a="1"/>
  <c r="F120" i="9" a="1"/>
  <c r="W82" i="9" a="1"/>
  <c r="S76" i="9" a="1"/>
  <c r="W131" i="9" a="1"/>
  <c r="V122" i="9" a="1"/>
  <c r="R87" i="9" a="1"/>
  <c r="O110" i="9" a="1"/>
  <c r="G77" i="9" a="1"/>
  <c r="S92" i="9" a="1"/>
  <c r="R125" i="9" a="1"/>
  <c r="G146" i="9" a="1"/>
  <c r="F80" i="9" a="1"/>
  <c r="W132" i="9" a="1"/>
  <c r="V114" i="9" a="1"/>
  <c r="V91" i="9" a="1"/>
  <c r="S123" i="9" a="1"/>
  <c r="R135" i="9" a="1"/>
  <c r="O91" i="9" a="1"/>
  <c r="O78" i="9" a="1"/>
  <c r="S120" i="9" a="1"/>
  <c r="W123" i="9" a="1"/>
  <c r="F79" i="9" a="1"/>
  <c r="R123" i="9" a="1"/>
  <c r="N95" i="9" a="1"/>
  <c r="V98" i="9" a="1"/>
  <c r="O102" i="9" a="1"/>
  <c r="O134" i="9" a="1"/>
  <c r="N147" i="9" a="1"/>
  <c r="S103" i="9" a="1"/>
  <c r="O152" i="9" a="1"/>
  <c r="V82" i="9" a="1"/>
  <c r="N119" i="9" a="1"/>
  <c r="O79" i="9" a="1"/>
  <c r="N84" i="9" a="1"/>
  <c r="N150" i="9" a="1"/>
  <c r="R144" i="9" a="1"/>
  <c r="V134" i="9" a="1"/>
  <c r="N143" i="9" a="1"/>
  <c r="S164" i="9" a="1"/>
  <c r="V110" i="9" a="1"/>
  <c r="S109" i="9" a="1"/>
  <c r="V85" i="9" a="1"/>
  <c r="W101" i="9" a="1"/>
  <c r="G135" i="9" a="1"/>
  <c r="O140" i="9" a="1"/>
  <c r="V162" i="9" a="1"/>
  <c r="N90" i="9" a="1"/>
  <c r="W136" i="9" a="1"/>
  <c r="N71" i="9" a="1"/>
  <c r="S132" i="9" a="1"/>
  <c r="R71" i="9" a="1"/>
  <c r="R157" i="9" a="1"/>
  <c r="S110" i="9" a="1"/>
  <c r="V77" i="9" a="1"/>
  <c r="S129" i="9" a="1"/>
  <c r="S100" i="9" a="1"/>
  <c r="V135" i="9" a="1"/>
  <c r="V100" i="9" a="1"/>
  <c r="O122" i="9" a="1"/>
  <c r="O136" i="9" a="1"/>
  <c r="N145" i="9" a="1"/>
  <c r="W147" i="9" a="1"/>
  <c r="S78" i="9" a="1"/>
  <c r="W116" i="9" a="1"/>
  <c r="V145" i="9" a="1"/>
  <c r="N78" i="9" a="1"/>
  <c r="O148" i="9" a="1"/>
  <c r="N160" i="9" a="1"/>
  <c r="S102" i="9" a="1"/>
  <c r="G101" i="9" a="1"/>
  <c r="F101" i="9" a="1"/>
  <c r="G116" i="9" a="1"/>
  <c r="R78" i="9" a="1"/>
  <c r="V163" i="9" a="1"/>
  <c r="S95" i="9" a="1"/>
  <c r="W99" i="9" a="1"/>
  <c r="N158" i="9" a="1"/>
  <c r="V117" i="9" a="1"/>
  <c r="F74" i="9" a="1"/>
  <c r="W96" i="9" a="1"/>
  <c r="G139" i="9" a="1"/>
  <c r="O76" i="9" a="1"/>
  <c r="R142" i="9" a="1"/>
  <c r="V157" i="9" a="1"/>
  <c r="S146" i="9" a="1"/>
  <c r="O93" i="9" a="1"/>
  <c r="S118" i="9" a="1"/>
  <c r="F154" i="9" a="1"/>
  <c r="W77" i="9" a="1"/>
  <c r="V120" i="9" a="1"/>
  <c r="S119" i="9" a="1"/>
  <c r="O135" i="9" a="1"/>
  <c r="W78" i="9" a="1"/>
  <c r="V105" i="9" a="1"/>
  <c r="V133" i="9" a="1"/>
  <c r="G152" i="9" a="1"/>
  <c r="N162" i="9" a="1"/>
  <c r="N127" i="9" a="1"/>
  <c r="F105" i="9" a="1"/>
  <c r="N70" i="9" a="1"/>
  <c r="S107" i="9" a="1"/>
  <c r="S151" i="9" a="1"/>
  <c r="S113" i="9" a="1"/>
  <c r="R68" i="9" a="1"/>
  <c r="N112" i="9" a="1"/>
  <c r="G68" i="9" a="1"/>
  <c r="S152" i="9" a="1"/>
  <c r="G91" i="9" a="1"/>
  <c r="O74" i="9" a="1"/>
  <c r="W124" i="9" a="1"/>
  <c r="G120" i="9" a="1"/>
  <c r="N105" i="9" a="1"/>
  <c r="V132" i="9" a="1"/>
  <c r="F144" i="9" a="1"/>
  <c r="O120" i="9" a="1"/>
  <c r="O160" i="9" a="1"/>
  <c r="G74" i="9" a="1"/>
  <c r="O115" i="9" a="1"/>
  <c r="O98" i="9" a="1"/>
  <c r="G121" i="9" a="1"/>
  <c r="V116" i="9" a="1"/>
  <c r="S90" i="9" a="1"/>
  <c r="G131" i="9" a="1"/>
  <c r="S108" i="9" a="1"/>
  <c r="F106" i="9" a="1"/>
  <c r="G118" i="9" a="1"/>
  <c r="O149" i="9" a="1"/>
  <c r="R114" i="9" a="1"/>
  <c r="R113" i="9" a="1"/>
  <c r="N77" i="9" a="1"/>
  <c r="G93" i="9" a="1"/>
  <c r="S96" i="9" a="1"/>
  <c r="O161" i="9" a="1"/>
  <c r="R137" i="9" a="1"/>
  <c r="R76" i="9" a="1"/>
  <c r="S84" i="9" a="1"/>
  <c r="O108" i="9" a="1"/>
  <c r="S94" i="9" a="1"/>
  <c r="N117" i="9" a="1"/>
  <c r="W76" i="9" a="1"/>
  <c r="S116" i="9" a="1"/>
  <c r="W118" i="9" a="1"/>
  <c r="V68" i="9" a="1"/>
  <c r="O150" i="9" a="1"/>
  <c r="R145" i="9" a="1"/>
  <c r="N109" i="9" a="1"/>
  <c r="V146" i="9" a="1"/>
  <c r="V126" i="9" a="1"/>
  <c r="V166" i="9" a="1"/>
  <c r="N125" i="9" a="1"/>
  <c r="F100" i="9" a="1"/>
  <c r="G102" i="9" a="1"/>
  <c r="R153" i="9" a="1"/>
  <c r="O95" i="9" a="1"/>
  <c r="W163" i="9" a="1"/>
  <c r="R99" i="9" a="1"/>
  <c r="R96" i="9" a="1"/>
  <c r="F110" i="9" a="1"/>
  <c r="G145" i="9" a="1"/>
  <c r="N114" i="9" a="1"/>
  <c r="O104" i="9" a="1"/>
  <c r="G90" i="9" a="1"/>
  <c r="O84" i="9" a="1"/>
  <c r="W87" i="9" a="1"/>
  <c r="W129" i="9" a="1"/>
  <c r="R136" i="9" a="1"/>
  <c r="V96" i="9" a="1"/>
  <c r="V111" i="9" a="1"/>
  <c r="F135" i="9" a="1"/>
  <c r="W142" i="9" a="1"/>
  <c r="F150" i="9" a="1"/>
  <c r="R154" i="9" a="1"/>
  <c r="F81" i="9" a="1"/>
  <c r="G95" i="9" a="1"/>
  <c r="V136" i="9" a="1"/>
  <c r="O87" i="9" a="1"/>
  <c r="N135" i="9" a="1"/>
  <c r="S138" i="9" a="1"/>
  <c r="O80" i="9" a="1"/>
  <c r="S75" i="9" a="1"/>
  <c r="F78" i="9" a="1"/>
  <c r="W88" i="9" a="1"/>
  <c r="W104" i="9" a="1"/>
  <c r="V142" i="9" a="1"/>
  <c r="R161" i="9" a="1"/>
  <c r="G107" i="9" a="1"/>
  <c r="S167" i="9" a="1"/>
  <c r="W84" i="9" a="1"/>
  <c r="G123" i="9" a="1"/>
  <c r="G162" i="9" a="1"/>
  <c r="R108" i="9" a="1"/>
  <c r="W156" i="9" a="1"/>
  <c r="F82" i="9" a="1"/>
  <c r="G157" i="9" a="1"/>
  <c r="G72" i="9" a="1"/>
  <c r="O81" i="9" a="1"/>
  <c r="N165" i="9" a="1"/>
  <c r="N80" i="9" a="1"/>
  <c r="N93" i="9" a="1"/>
  <c r="F104" i="9" a="1"/>
  <c r="F156" i="9" a="1"/>
  <c r="N82" i="9" a="1"/>
  <c r="W85" i="9" a="1"/>
  <c r="F163" i="9" a="1"/>
  <c r="O73" i="9" a="1"/>
  <c r="G69" i="9" a="1"/>
  <c r="S128" i="9" a="1"/>
  <c r="W159" i="9" a="1"/>
  <c r="N91" i="9" a="1"/>
  <c r="S155" i="9" a="1"/>
  <c r="N118" i="9" a="1"/>
  <c r="W152" i="9" a="1"/>
  <c r="R131" i="9" a="1"/>
  <c r="S87" i="9" a="1"/>
  <c r="W135" i="9" a="1"/>
  <c r="R69" i="9" a="1"/>
  <c r="V109" i="9" a="1"/>
  <c r="W122" i="9" a="1"/>
  <c r="O100" i="9" a="1"/>
  <c r="S99" i="9" a="1"/>
  <c r="V167" i="9" a="1"/>
  <c r="S133" i="9" a="1"/>
  <c r="R119" i="9" a="1"/>
  <c r="G155" i="9" a="1"/>
  <c r="V156" i="9" a="1"/>
  <c r="W81" i="9" a="1"/>
  <c r="W90" i="9" a="1"/>
  <c r="V127" i="9" a="1"/>
  <c r="S134" i="9" a="1"/>
  <c r="S101" i="9" a="1"/>
  <c r="W106" i="9" a="1"/>
  <c r="O127" i="9" a="1"/>
  <c r="R112" i="9" a="1"/>
  <c r="G163" i="9" a="1"/>
  <c r="W164" i="9" a="1"/>
  <c r="G114" i="9" a="1"/>
  <c r="G144" i="9" a="1"/>
  <c r="V158" i="9" a="1"/>
  <c r="S77" i="9" a="1"/>
  <c r="W108" i="9" a="1"/>
  <c r="S145" i="9" a="1"/>
  <c r="R105" i="9" a="1"/>
  <c r="V89" i="9" a="1"/>
  <c r="N94" i="9" a="1"/>
  <c r="G80" i="9" a="1"/>
  <c r="G127" i="9" a="1"/>
  <c r="O85" i="9" a="1"/>
  <c r="W133" i="9" a="1"/>
  <c r="O68" i="9" a="1"/>
  <c r="W83" i="9" a="1"/>
  <c r="N100" i="9" a="1"/>
  <c r="N87" i="9" a="1"/>
  <c r="O163" i="9" a="1"/>
  <c r="W128" i="9" a="1"/>
  <c r="G82" i="9" a="1"/>
  <c r="V148" i="9" a="1"/>
  <c r="F86" i="9" a="1"/>
  <c r="W70" i="9" a="1"/>
  <c r="G161" i="9" a="1"/>
  <c r="V79" i="9" a="1"/>
  <c r="G98" i="9" a="1"/>
  <c r="F99" i="9" a="1"/>
  <c r="N126" i="9" a="1"/>
  <c r="V155" i="9" a="1"/>
  <c r="W130" i="9" a="1"/>
  <c r="O157" i="9" a="1"/>
  <c r="O83" i="9" a="1"/>
  <c r="F166" i="9" a="1"/>
  <c r="N116" i="9" a="1"/>
  <c r="S89" i="9" a="1"/>
  <c r="F88" i="9" a="1"/>
  <c r="O121" i="9" a="1"/>
  <c r="N102" i="9" a="1"/>
  <c r="F155" i="9" a="1"/>
  <c r="O92" i="9" a="1"/>
  <c r="G103" i="9" a="1"/>
  <c r="F76" i="9" a="1"/>
  <c r="R92" i="9" a="1"/>
  <c r="W137" i="9" a="1"/>
  <c r="G149" i="9" a="1"/>
  <c r="V150" i="9" a="1"/>
  <c r="G126" i="9" a="1"/>
  <c r="F72" i="9" a="1"/>
  <c r="S150" i="9" a="1"/>
  <c r="N98" i="9" a="1"/>
  <c r="F132" i="9" a="1"/>
  <c r="R84" i="9" a="1"/>
  <c r="N104" i="9" a="1"/>
  <c r="N129" i="9" a="1"/>
  <c r="V108" i="9" a="1"/>
  <c r="S143" i="9" a="1"/>
  <c r="S98" i="9" a="1"/>
  <c r="N155" i="9" a="1"/>
  <c r="F92" i="9" a="1"/>
  <c r="R130" i="9" a="1"/>
  <c r="F158" i="9" a="1"/>
  <c r="N139" i="9" a="1"/>
  <c r="V130" i="9" a="1"/>
  <c r="F96" i="9" a="1"/>
  <c r="W148" i="9" a="1"/>
  <c r="G89" i="9" a="1"/>
  <c r="F136" i="9" a="1"/>
  <c r="V73" i="9" a="1"/>
  <c r="G140" i="9" a="1"/>
  <c r="V153" i="9" a="1"/>
  <c r="O107" i="9" a="1"/>
  <c r="R104" i="9" a="1"/>
  <c r="G100" i="9" a="1"/>
  <c r="R147" i="9" a="1"/>
  <c r="N138" i="9" a="1"/>
  <c r="F152" i="9" a="1"/>
  <c r="F159" i="9" a="1"/>
  <c r="O69" i="9" a="1"/>
  <c r="F95" i="9" a="1"/>
  <c r="R133" i="9" a="1"/>
  <c r="O96" i="9" a="1"/>
  <c r="O166" i="9" a="1"/>
  <c r="N151" i="9" a="1"/>
  <c r="S160" i="9" a="1"/>
  <c r="G83" i="9" a="1"/>
  <c r="F107" i="9" a="1"/>
  <c r="G166" i="9" a="1"/>
  <c r="O118" i="9" a="1"/>
  <c r="F114" i="9" a="1"/>
  <c r="W72" i="9" a="1"/>
  <c r="O128" i="9" a="1"/>
  <c r="F118" i="9" a="1"/>
  <c r="S141" i="9" a="1"/>
  <c r="V141" i="9" a="1"/>
  <c r="V152" i="9" a="1"/>
  <c r="N166" i="9" a="1"/>
  <c r="N83" i="9" a="1"/>
  <c r="V112" i="9" a="1"/>
  <c r="R77" i="9" a="1"/>
  <c r="V151" i="9" a="1"/>
  <c r="F122" i="9" a="1"/>
  <c r="R151" i="9" a="1"/>
  <c r="S162" i="9" a="1"/>
  <c r="S153" i="9" a="1"/>
  <c r="V99" i="9" a="1"/>
  <c r="V90" i="9" a="1"/>
  <c r="F109" i="9" a="1"/>
  <c r="F91" i="9" a="1"/>
  <c r="R111" i="9" a="1"/>
  <c r="O105" i="9" a="1"/>
  <c r="F121" i="9" a="1"/>
  <c r="R160" i="9" a="1"/>
  <c r="V115" i="9" a="1"/>
  <c r="N128" i="9" a="1"/>
  <c r="S81" i="9" a="1"/>
  <c r="G128" i="9" a="1"/>
  <c r="R83" i="9" a="1"/>
  <c r="R102" i="9" a="1"/>
  <c r="S130" i="9" a="1"/>
  <c r="S80" i="9" a="1"/>
  <c r="F128" i="9" a="1"/>
  <c r="G158" i="9" a="1"/>
  <c r="V74" i="9" a="1"/>
  <c r="F141" i="9" a="1"/>
  <c r="F160" i="9" a="1"/>
  <c r="W134" i="9" a="1"/>
  <c r="N134" i="9" a="1"/>
  <c r="G156" i="9" a="1"/>
  <c r="S106" i="9" a="1"/>
  <c r="V143" i="9" a="1"/>
  <c r="R141" i="9" a="1"/>
  <c r="V72" i="9" a="1"/>
  <c r="F137" i="9" a="1"/>
  <c r="V103" i="9" a="1"/>
  <c r="W155" i="9" a="1"/>
  <c r="R158" i="9" a="1"/>
  <c r="W154" i="9" a="1"/>
  <c r="G87" i="9" a="1"/>
  <c r="G142" i="9" a="1"/>
  <c r="R167" i="9" a="1"/>
  <c r="F87" i="9" a="1"/>
  <c r="W160" i="9" a="1"/>
  <c r="W140" i="9" a="1"/>
  <c r="W80" i="9" a="1"/>
  <c r="F116" i="9" a="1"/>
  <c r="S91" i="9" a="1"/>
  <c r="W157" i="9" a="1"/>
  <c r="V125" i="9" a="1"/>
  <c r="N159" i="9" a="1"/>
  <c r="G159" i="9" a="1"/>
  <c r="G124" i="9" a="1"/>
  <c r="R163" i="9" a="1"/>
  <c r="V165" i="9" a="1"/>
  <c r="N110" i="9" a="1"/>
  <c r="N152" i="9" a="1"/>
  <c r="F68" i="9" a="1"/>
  <c r="V147" i="9" a="1"/>
  <c r="V78" i="9" a="1"/>
  <c r="V144" i="9" a="1"/>
  <c r="V131" i="9" a="1"/>
  <c r="W69" i="9" a="1"/>
  <c r="V93" i="9" a="1"/>
  <c r="V107" i="9" a="1"/>
  <c r="N157" i="9" a="1"/>
  <c r="R122" i="9" a="1"/>
  <c r="O151" i="9" a="1"/>
  <c r="V129" i="9" a="1"/>
  <c r="G136" i="9" a="1"/>
  <c r="O119" i="9" a="1"/>
  <c r="V123" i="9" a="1"/>
  <c r="W105" i="9" a="1"/>
  <c r="G78" i="9" a="1"/>
  <c r="O137" i="9" a="1"/>
  <c r="O99" i="9" a="1"/>
  <c r="W139" i="9" a="1"/>
  <c r="W94" i="9" a="1"/>
  <c r="S163" i="9" a="1"/>
  <c r="R89" i="9" a="1"/>
  <c r="N141" i="9" a="1"/>
  <c r="R121" i="9" a="1"/>
  <c r="R139" i="9" a="1"/>
  <c r="F167" i="9" a="1"/>
  <c r="F143" i="9" a="1"/>
  <c r="W112" i="9" a="1"/>
  <c r="R116" i="9" a="1"/>
  <c r="F113" i="9" a="1"/>
  <c r="G130" i="9" a="1"/>
  <c r="G85" i="9" a="1"/>
  <c r="F97" i="9" a="1"/>
  <c r="R73" i="9" a="1"/>
  <c r="S157" i="9" a="1"/>
  <c r="V160" i="9" a="1"/>
  <c r="N131" i="9" a="1"/>
  <c r="W110" i="9" a="1"/>
  <c r="W117" i="9" a="1"/>
  <c r="G92" i="9" a="1"/>
  <c r="F108" i="9" a="1"/>
  <c r="O141" i="9" a="1"/>
  <c r="F129" i="9" a="1"/>
  <c r="W120" i="9" a="1"/>
  <c r="S121" i="9" a="1"/>
  <c r="N156" i="9" a="1"/>
  <c r="O147" i="9" a="1"/>
  <c r="G154" i="9" a="1"/>
  <c r="W127" i="9" a="1"/>
  <c r="N99" i="9" a="1"/>
  <c r="R90" i="9" a="1"/>
  <c r="S88" i="9" a="1"/>
  <c r="N88" i="9" a="1"/>
  <c r="O111" i="9" a="1"/>
  <c r="G151" i="9" a="1"/>
  <c r="G148" i="9" a="1"/>
  <c r="F85" i="9" a="1"/>
  <c r="W144" i="9" a="1"/>
  <c r="V94" i="9" a="1"/>
  <c r="W97" i="9" a="1"/>
  <c r="G132" i="9" a="1"/>
  <c r="R107" i="9" a="1"/>
  <c r="V161" i="9" a="1"/>
  <c r="F142" i="9" a="1"/>
  <c r="O82" i="9" a="1"/>
  <c r="V84" i="9" a="1"/>
  <c r="F90" i="9" a="1"/>
  <c r="R164" i="9" a="1"/>
  <c r="S112" i="9" a="1"/>
  <c r="R162" i="9" a="1"/>
  <c r="W109" i="9" a="1"/>
  <c r="R110" i="9" a="1"/>
  <c r="F162" i="9" a="1"/>
  <c r="N96" i="9" a="1"/>
  <c r="O97" i="9" a="1"/>
  <c r="V104" i="9" a="1"/>
  <c r="N106" i="9" a="1"/>
  <c r="O138" i="9" a="1"/>
  <c r="W151" i="9" a="1"/>
  <c r="R80" i="9" a="1"/>
  <c r="W146" i="9" a="1"/>
  <c r="V138" i="9" a="1"/>
  <c r="G153" i="9" a="1"/>
  <c r="W93" i="9" a="1"/>
  <c r="V124" i="9" a="1"/>
  <c r="N146" i="9" a="1"/>
  <c r="N86" i="9" a="1"/>
  <c r="R152" i="9" a="1"/>
  <c r="F165" i="9" a="1"/>
  <c r="N108" i="9" a="1"/>
  <c r="G112" i="9" a="1"/>
  <c r="S137" i="9" a="1"/>
  <c r="R165" i="9" a="1"/>
  <c r="S166" i="9" a="1"/>
  <c r="O106" i="9" a="1"/>
  <c r="R129" i="9" a="1"/>
  <c r="V139" i="9" a="1"/>
  <c r="N81" i="9" a="1"/>
  <c r="G76" i="9" a="1"/>
  <c r="R150" i="9" a="1"/>
  <c r="W89" i="9" a="1"/>
  <c r="V154" i="9" a="1"/>
  <c r="W74" i="9" a="1"/>
  <c r="O125" i="9" a="1"/>
  <c r="V106" i="9" a="1"/>
  <c r="R88" i="9" a="1"/>
  <c r="O90" i="9" a="1"/>
  <c r="F151" i="9" a="1"/>
  <c r="N115" i="9" a="1"/>
  <c r="N76" i="9" a="1"/>
  <c r="N122" i="9" a="1"/>
  <c r="G110" i="9" a="1"/>
  <c r="S161" i="9" a="1"/>
  <c r="F98" i="9" a="1"/>
  <c r="W167" i="9" a="1"/>
  <c r="O142" i="9" a="1"/>
  <c r="O123" i="9" a="1"/>
  <c r="N120" i="9" a="1"/>
  <c r="O156" i="9" a="1"/>
  <c r="W162" i="9" a="1"/>
  <c r="G122" i="9" a="1"/>
  <c r="W158" i="9" a="1"/>
  <c r="S86" i="9" a="1"/>
  <c r="G134" i="9" a="1"/>
  <c r="S139" i="9" a="1"/>
  <c r="S114" i="9" a="1"/>
  <c r="F69" i="9" a="1"/>
  <c r="R91" i="9" a="1"/>
  <c r="V140" i="9" a="1"/>
  <c r="W111" i="9" a="1"/>
  <c r="O101" i="9" a="1"/>
  <c r="R100" i="9" a="1"/>
  <c r="N123" i="9" a="1"/>
  <c r="O113" i="9" a="1"/>
  <c r="S71" i="9" a="1"/>
  <c r="S140" i="9" a="1"/>
  <c r="O114" i="9" a="1"/>
  <c r="S82" i="9" a="1"/>
  <c r="S70" i="9" a="1"/>
  <c r="F71" i="9" a="1"/>
  <c r="R140" i="9" a="1"/>
  <c r="W86" i="9" a="1"/>
  <c r="F77" i="9" a="1"/>
  <c r="W107" i="9" a="1"/>
  <c r="O131" i="9" a="1"/>
  <c r="G79" i="9" a="1"/>
  <c r="O139" i="9" a="1"/>
  <c r="O167" i="9" a="1"/>
  <c r="W79" i="9" a="1"/>
  <c r="V70" i="9" a="1"/>
  <c r="O164" i="9" a="1"/>
  <c r="R156" i="9" a="1"/>
  <c r="N79" i="9" a="1"/>
  <c r="W68" i="9" a="1"/>
  <c r="V121" i="9" a="1"/>
  <c r="W100" i="9" a="1"/>
  <c r="V71" i="9" a="1"/>
  <c r="S85" i="9" a="1"/>
  <c r="F153" i="9" a="1"/>
  <c r="R97" i="9" a="1"/>
  <c r="R109" i="9" a="1"/>
  <c r="F140" i="9" a="1"/>
  <c r="R149" i="9" a="1"/>
  <c r="N153" i="9" a="1"/>
  <c r="W115" i="9" a="1"/>
  <c r="V118" i="9" a="1"/>
  <c r="R115" i="9" a="1"/>
  <c r="G125" i="9" a="1"/>
  <c r="N167" i="9" a="1"/>
  <c r="F145" i="9" a="1"/>
  <c r="V102" i="9" a="1"/>
  <c r="S124" i="9" a="1"/>
  <c r="N85" i="9" a="1"/>
  <c r="S154" i="9" a="1"/>
  <c r="S93" i="9" a="1"/>
  <c r="O109" i="9" a="1"/>
  <c r="F148" i="9" a="1"/>
  <c r="W166" i="9" a="1"/>
  <c r="G70" i="9" a="1"/>
  <c r="G143" i="9" a="1"/>
  <c r="G164" i="9" a="1"/>
  <c r="W150" i="9" a="1"/>
  <c r="S79" i="9" a="1"/>
  <c r="O116" i="9" a="1"/>
  <c r="S158" i="9" a="1"/>
  <c r="V149" i="9" a="1"/>
  <c r="G138" i="9" a="1"/>
  <c r="G147" i="9" a="1"/>
  <c r="R95" i="9" a="1"/>
  <c r="F73" i="9" a="1"/>
  <c r="G88" i="9" a="1"/>
  <c r="O94" i="9" a="1"/>
  <c r="V95" i="9" a="1"/>
  <c r="O126" i="9" a="1"/>
  <c r="F131" i="9" a="1"/>
  <c r="N130" i="9" a="1"/>
  <c r="R81" i="9" a="1"/>
  <c r="N154" i="9" a="1"/>
  <c r="G84" i="9" a="1"/>
  <c r="G109" i="9" a="1"/>
  <c r="F70" i="9" a="1"/>
  <c r="R72" i="9" a="1"/>
  <c r="R98" i="9" a="1"/>
  <c r="F75" i="9" a="1"/>
  <c r="G133" i="9" a="1"/>
  <c r="F147" i="9" a="1"/>
  <c r="R86" i="9" a="1"/>
  <c r="G141" i="9" a="1"/>
  <c r="G113" i="9" a="1"/>
  <c r="N161" i="9" a="1"/>
  <c r="R94" i="9" a="1"/>
  <c r="R74" i="9" a="1"/>
  <c r="F127" i="9" a="1"/>
  <c r="O145" i="9" a="1"/>
  <c r="G167" i="9" a="1"/>
  <c r="S111" i="9" a="1"/>
  <c r="N121" i="9" a="1"/>
  <c r="N69" i="9" a="1"/>
  <c r="G119" i="9" a="1"/>
  <c r="G75" i="9" a="1"/>
  <c r="R159" i="9" a="1"/>
  <c r="R124" i="9" a="1"/>
  <c r="V101" i="9" a="1"/>
  <c r="G86" i="9" a="1"/>
  <c r="V159" i="9" a="1"/>
  <c r="S105" i="9" a="1"/>
  <c r="S135" i="9" a="1"/>
  <c r="G137" i="9" a="1"/>
  <c r="S136" i="9" a="1"/>
  <c r="N113" i="9" a="1"/>
  <c r="O159" i="9" a="1"/>
  <c r="G117" i="9" a="1"/>
  <c r="F130" i="9" a="1"/>
  <c r="N164" i="9" a="1"/>
  <c r="F102" i="9" a="1"/>
  <c r="O165" i="9" a="1"/>
  <c r="W95" i="9" a="1"/>
  <c r="S131" i="9" a="1"/>
  <c r="G99" i="9" a="1"/>
  <c r="F117" i="9" a="1"/>
  <c r="S156" i="9" a="1"/>
  <c r="R93" i="9" a="1"/>
  <c r="F123" i="9" a="1"/>
  <c r="V83" i="9" a="1"/>
  <c r="W145" i="9" a="1"/>
  <c r="F157" i="9" a="1"/>
  <c r="V137" i="9" a="1"/>
  <c r="O117" i="9" a="1"/>
  <c r="N101" i="9" a="1"/>
  <c r="W161" i="9" a="1"/>
  <c r="N133" i="9" a="1"/>
  <c r="N89" i="9" a="1"/>
  <c r="N92" i="9" a="1"/>
  <c r="V128" i="9" a="1"/>
  <c r="O146" i="9" a="1"/>
  <c r="S122" i="9" a="1"/>
  <c r="S69" i="9" a="1"/>
  <c r="W91" i="9" a="1"/>
  <c r="O162" i="9" a="1"/>
  <c r="O86" i="9" a="1"/>
  <c r="F125" i="9" a="1"/>
  <c r="F124" i="9" a="1"/>
  <c r="O124" i="9" a="1"/>
  <c r="N74" i="9" a="1"/>
  <c r="F139" i="9" a="1"/>
  <c r="S126" i="9" a="1"/>
  <c r="F149" i="9" a="1"/>
  <c r="G108" i="9" a="1"/>
  <c r="N111" i="9" a="1"/>
  <c r="N163" i="9" a="1"/>
  <c r="V88" i="9" a="1"/>
  <c r="V76" i="9" a="1"/>
  <c r="F126" i="9" a="1"/>
  <c r="O72" i="9" a="1"/>
  <c r="O88" i="9" a="1"/>
  <c r="W126" i="9" a="1"/>
  <c r="F134" i="9" a="1"/>
  <c r="R75" i="9" a="1"/>
  <c r="V97" i="9" a="1"/>
  <c r="S117" i="9" a="1"/>
  <c r="O71" i="9" a="1"/>
  <c r="G150" i="9" a="1"/>
  <c r="N149" i="9" a="1"/>
  <c r="O103" i="9" a="1"/>
  <c r="N137" i="9" a="1"/>
  <c r="W75" i="9" a="1"/>
  <c r="S127" i="9" a="1"/>
  <c r="G73" i="9" a="1"/>
  <c r="R148" i="9" a="1"/>
  <c r="W114" i="9" a="1"/>
  <c r="R132" i="9" a="1"/>
  <c r="W113" i="9" a="1"/>
  <c r="N75" i="9" a="1"/>
  <c r="W149" i="9" a="1"/>
  <c r="O154" i="9" a="1"/>
  <c r="W119" i="9" a="1"/>
  <c r="G165" i="9" a="1"/>
  <c r="S83" i="9" a="1"/>
  <c r="V75" i="9" a="1"/>
  <c r="W102" i="9" a="1"/>
  <c r="R134" i="9" a="1"/>
  <c r="O112" i="9" a="1"/>
  <c r="W71" i="9" a="1"/>
  <c r="N107" i="9" a="1"/>
  <c r="F133" i="9" a="1"/>
  <c r="F119" i="9" a="1"/>
  <c r="R101" i="9" a="1"/>
  <c r="V81" i="9" a="1"/>
  <c r="F83" i="9" a="1"/>
  <c r="O70" i="9" a="1"/>
  <c r="W121" i="9" a="1"/>
  <c r="O144" i="9" a="1"/>
  <c r="G104" i="9" a="1"/>
  <c r="G111" i="9" a="1"/>
  <c r="R138" i="9" a="1"/>
  <c r="W153" i="9" a="1"/>
  <c r="V86" i="9" a="1"/>
  <c r="R128" i="9" a="1"/>
  <c r="F93" i="9" a="1"/>
  <c r="G129" i="9" a="1"/>
  <c r="G105" i="9" a="1"/>
  <c r="F94" i="9" a="1"/>
  <c r="S142" i="9" a="1"/>
  <c r="R70" i="9" a="1"/>
  <c r="S148" i="9" a="1"/>
  <c r="N140" i="9" a="1"/>
  <c r="S115" i="9" a="1"/>
  <c r="W141" i="9" a="1"/>
  <c r="G81" i="9" a="1"/>
  <c r="R118" i="9" a="1"/>
  <c r="F103" i="9" a="1"/>
  <c r="W165" i="9" a="1"/>
  <c r="N68" i="9" a="1"/>
  <c r="F161" i="9" a="1"/>
  <c r="S74" i="9" a="1"/>
  <c r="R117" i="9" a="1"/>
  <c r="S147" i="9" a="1"/>
  <c r="G106" i="9" a="1"/>
  <c r="R155" i="9" a="1"/>
  <c r="R126" i="9" a="1"/>
  <c r="V113" i="9" a="1"/>
  <c r="V87" i="9" a="1"/>
  <c r="R82" i="9" a="1"/>
  <c r="O158" i="9" a="1"/>
  <c r="S97" i="9" a="1"/>
  <c r="R106" i="9" a="1"/>
  <c r="S104" i="9" a="1"/>
  <c r="F164" i="9" a="1"/>
  <c r="G115" i="9" a="1"/>
  <c r="G94" i="9" a="1"/>
  <c r="F111" i="9" a="1"/>
  <c r="N144" i="9" a="1"/>
  <c r="O133" i="9" a="1"/>
  <c r="N132" i="9" a="1"/>
  <c r="N103" i="9" a="1"/>
  <c r="O89" i="9" a="1"/>
  <c r="O75" i="9" a="1"/>
  <c r="N72" i="9" a="1"/>
  <c r="R166" i="9" a="1"/>
  <c r="V119" i="9" a="1"/>
  <c r="N142" i="9" a="1"/>
  <c r="R79" i="9" a="1"/>
  <c r="V80" i="9" a="1"/>
  <c r="N97" i="9" a="1"/>
  <c r="G97" i="9" a="1"/>
  <c r="R127" i="9" a="1"/>
  <c r="S68" i="9" a="1"/>
  <c r="O153" i="9" a="1"/>
  <c r="O77" i="9" a="1"/>
  <c r="G71" i="9" a="1"/>
  <c r="F138" i="9" a="1"/>
  <c r="S144" i="9" a="1"/>
  <c r="O143" i="9" a="1"/>
  <c r="S149" i="9" a="1"/>
  <c r="V69" i="9" a="1"/>
  <c r="O130" i="9" a="1"/>
  <c r="N73" i="9" a="1"/>
  <c r="S72" i="9" a="1"/>
  <c r="V92" i="9" a="1"/>
  <c r="F84" i="9" a="1"/>
  <c r="N136" i="9" a="1"/>
  <c r="V164" i="9" a="1"/>
  <c r="W73" i="9" a="1"/>
  <c r="W92" i="9" a="1"/>
  <c r="O129" i="9" a="1"/>
  <c r="S73" i="9" a="1"/>
  <c r="S125" i="9" a="1"/>
  <c r="S165" i="9" a="1"/>
  <c r="W143" i="9" a="1"/>
  <c r="O155" i="9" a="1"/>
  <c r="W125" i="9" a="1"/>
  <c r="G96" i="9" a="1"/>
  <c r="O132" i="9" a="1"/>
  <c r="W103" i="9" a="1"/>
  <c r="N124" i="9" a="1"/>
  <c r="R103" i="9" a="1"/>
  <c r="F89" i="9" a="1"/>
  <c r="G160" i="9" a="1"/>
  <c r="W138" i="9" a="1"/>
  <c r="V72" i="9" l="1"/>
  <c r="V96" i="9"/>
  <c r="V112" i="9"/>
  <c r="V128" i="9"/>
  <c r="V144" i="9"/>
  <c r="V148" i="9"/>
  <c r="V152" i="9"/>
  <c r="V156" i="9"/>
  <c r="V160" i="9"/>
  <c r="V164" i="9"/>
  <c r="V165" i="9"/>
  <c r="V88" i="9"/>
  <c r="V68" i="9"/>
  <c r="V84" i="9"/>
  <c r="V100" i="9"/>
  <c r="V116" i="9"/>
  <c r="V136" i="9"/>
  <c r="V73" i="9"/>
  <c r="V85" i="9"/>
  <c r="V97" i="9"/>
  <c r="V109" i="9"/>
  <c r="V121" i="9"/>
  <c r="V133" i="9"/>
  <c r="V145" i="9"/>
  <c r="V153" i="9"/>
  <c r="V70" i="9"/>
  <c r="V82" i="9"/>
  <c r="V94" i="9"/>
  <c r="V102" i="9"/>
  <c r="V114" i="9"/>
  <c r="V122" i="9"/>
  <c r="V126" i="9"/>
  <c r="V130" i="9"/>
  <c r="V134" i="9"/>
  <c r="V138" i="9"/>
  <c r="V142" i="9"/>
  <c r="V146" i="9"/>
  <c r="V150" i="9"/>
  <c r="V154" i="9"/>
  <c r="V158" i="9"/>
  <c r="V162" i="9"/>
  <c r="V166" i="9"/>
  <c r="V80" i="9"/>
  <c r="V104" i="9"/>
  <c r="V120" i="9"/>
  <c r="V132" i="9"/>
  <c r="V69" i="9"/>
  <c r="V81" i="9"/>
  <c r="V93" i="9"/>
  <c r="V105" i="9"/>
  <c r="V117" i="9"/>
  <c r="V129" i="9"/>
  <c r="V141" i="9"/>
  <c r="V157" i="9"/>
  <c r="V74" i="9"/>
  <c r="V86" i="9"/>
  <c r="V98" i="9"/>
  <c r="V110" i="9"/>
  <c r="V71" i="9"/>
  <c r="V79" i="9"/>
  <c r="V87" i="9"/>
  <c r="V95" i="9"/>
  <c r="V103" i="9"/>
  <c r="V115" i="9"/>
  <c r="V123" i="9"/>
  <c r="V131" i="9"/>
  <c r="V139" i="9"/>
  <c r="V147" i="9"/>
  <c r="V155" i="9"/>
  <c r="V167" i="9"/>
  <c r="V76" i="9"/>
  <c r="V92" i="9"/>
  <c r="V108" i="9"/>
  <c r="V124" i="9"/>
  <c r="V140" i="9"/>
  <c r="V77" i="9"/>
  <c r="V89" i="9"/>
  <c r="V101" i="9"/>
  <c r="V113" i="9"/>
  <c r="V125" i="9"/>
  <c r="V137" i="9"/>
  <c r="V149" i="9"/>
  <c r="V161" i="9"/>
  <c r="V78" i="9"/>
  <c r="V90" i="9"/>
  <c r="V106" i="9"/>
  <c r="V118" i="9"/>
  <c r="V75" i="9"/>
  <c r="V83" i="9"/>
  <c r="V91" i="9"/>
  <c r="V99" i="9"/>
  <c r="V107" i="9"/>
  <c r="V111" i="9"/>
  <c r="V119" i="9"/>
  <c r="V127" i="9"/>
  <c r="V135" i="9"/>
  <c r="V143" i="9"/>
  <c r="V151" i="9"/>
  <c r="V159" i="9"/>
  <c r="V163" i="9"/>
  <c r="R76" i="9"/>
  <c r="R96" i="9"/>
  <c r="R116" i="9"/>
  <c r="R128" i="9"/>
  <c r="R136" i="9"/>
  <c r="R140" i="9"/>
  <c r="R144" i="9"/>
  <c r="R148" i="9"/>
  <c r="R152" i="9"/>
  <c r="R156" i="9"/>
  <c r="R160" i="9"/>
  <c r="R164" i="9"/>
  <c r="R162" i="9"/>
  <c r="R68" i="9"/>
  <c r="R80" i="9"/>
  <c r="R92" i="9"/>
  <c r="R108" i="9"/>
  <c r="R124" i="9"/>
  <c r="R73" i="9"/>
  <c r="R85" i="9"/>
  <c r="R97" i="9"/>
  <c r="R109" i="9"/>
  <c r="R121" i="9"/>
  <c r="R133" i="9"/>
  <c r="R145" i="9"/>
  <c r="R165" i="9"/>
  <c r="R74" i="9"/>
  <c r="R86" i="9"/>
  <c r="R98" i="9"/>
  <c r="R110" i="9"/>
  <c r="R114" i="9"/>
  <c r="R118" i="9"/>
  <c r="R122" i="9"/>
  <c r="R126" i="9"/>
  <c r="R130" i="9"/>
  <c r="R134" i="9"/>
  <c r="R138" i="9"/>
  <c r="R142" i="9"/>
  <c r="R146" i="9"/>
  <c r="R150" i="9"/>
  <c r="R154" i="9"/>
  <c r="R158" i="9"/>
  <c r="R166" i="9"/>
  <c r="R84" i="9"/>
  <c r="R100" i="9"/>
  <c r="R112" i="9"/>
  <c r="R132" i="9"/>
  <c r="R77" i="9"/>
  <c r="R89" i="9"/>
  <c r="R101" i="9"/>
  <c r="R113" i="9"/>
  <c r="R125" i="9"/>
  <c r="R137" i="9"/>
  <c r="R149" i="9"/>
  <c r="R161" i="9"/>
  <c r="R70" i="9"/>
  <c r="R82" i="9"/>
  <c r="R94" i="9"/>
  <c r="R106" i="9"/>
  <c r="R75" i="9"/>
  <c r="R83" i="9"/>
  <c r="R95" i="9"/>
  <c r="R103" i="9"/>
  <c r="R111" i="9"/>
  <c r="R119" i="9"/>
  <c r="R127" i="9"/>
  <c r="R135" i="9"/>
  <c r="R143" i="9"/>
  <c r="R155" i="9"/>
  <c r="R167" i="9"/>
  <c r="R72" i="9"/>
  <c r="R88" i="9"/>
  <c r="R104" i="9"/>
  <c r="R120" i="9"/>
  <c r="R69" i="9"/>
  <c r="R81" i="9"/>
  <c r="R93" i="9"/>
  <c r="R105" i="9"/>
  <c r="R117" i="9"/>
  <c r="R129" i="9"/>
  <c r="R141" i="9"/>
  <c r="R153" i="9"/>
  <c r="R157" i="9"/>
  <c r="R78" i="9"/>
  <c r="R90" i="9"/>
  <c r="R102" i="9"/>
  <c r="R71" i="9"/>
  <c r="R79" i="9"/>
  <c r="R87" i="9"/>
  <c r="R91" i="9"/>
  <c r="R99" i="9"/>
  <c r="R107" i="9"/>
  <c r="R115" i="9"/>
  <c r="R123" i="9"/>
  <c r="R131" i="9"/>
  <c r="R139" i="9"/>
  <c r="R147" i="9"/>
  <c r="R151" i="9"/>
  <c r="R159" i="9"/>
  <c r="R163" i="9"/>
  <c r="N81" i="9"/>
  <c r="N68" i="9"/>
  <c r="N72" i="9"/>
  <c r="N76" i="9"/>
  <c r="N80" i="9"/>
  <c r="N84" i="9"/>
  <c r="N88" i="9"/>
  <c r="N92" i="9"/>
  <c r="N96" i="9"/>
  <c r="N100" i="9"/>
  <c r="N104" i="9"/>
  <c r="N108" i="9"/>
  <c r="N112" i="9"/>
  <c r="N116" i="9"/>
  <c r="N120" i="9"/>
  <c r="N124" i="9"/>
  <c r="N128" i="9"/>
  <c r="N132" i="9"/>
  <c r="N136" i="9"/>
  <c r="N140" i="9"/>
  <c r="N144" i="9"/>
  <c r="N148" i="9"/>
  <c r="N152" i="9"/>
  <c r="N156" i="9"/>
  <c r="N160" i="9"/>
  <c r="N164" i="9"/>
  <c r="N77" i="9"/>
  <c r="N89" i="9"/>
  <c r="N101" i="9"/>
  <c r="N113" i="9"/>
  <c r="N125" i="9"/>
  <c r="N137" i="9"/>
  <c r="N149" i="9"/>
  <c r="N161" i="9"/>
  <c r="N70" i="9"/>
  <c r="N82" i="9"/>
  <c r="N94" i="9"/>
  <c r="N106" i="9"/>
  <c r="N114" i="9"/>
  <c r="N118" i="9"/>
  <c r="N122" i="9"/>
  <c r="N126" i="9"/>
  <c r="N130" i="9"/>
  <c r="N134" i="9"/>
  <c r="N138" i="9"/>
  <c r="N142" i="9"/>
  <c r="N146" i="9"/>
  <c r="N150" i="9"/>
  <c r="N154" i="9"/>
  <c r="N158" i="9"/>
  <c r="N162" i="9"/>
  <c r="N166" i="9"/>
  <c r="N73" i="9"/>
  <c r="N93" i="9"/>
  <c r="N105" i="9"/>
  <c r="N117" i="9"/>
  <c r="N129" i="9"/>
  <c r="N141" i="9"/>
  <c r="N153" i="9"/>
  <c r="N165" i="9"/>
  <c r="N78" i="9"/>
  <c r="N90" i="9"/>
  <c r="N102" i="9"/>
  <c r="N71" i="9"/>
  <c r="N79" i="9"/>
  <c r="N87" i="9"/>
  <c r="N95" i="9"/>
  <c r="N103" i="9"/>
  <c r="N111" i="9"/>
  <c r="N123" i="9"/>
  <c r="N131" i="9"/>
  <c r="N139" i="9"/>
  <c r="N147" i="9"/>
  <c r="N155" i="9"/>
  <c r="N167" i="9"/>
  <c r="N69" i="9"/>
  <c r="N85" i="9"/>
  <c r="N97" i="9"/>
  <c r="N109" i="9"/>
  <c r="N121" i="9"/>
  <c r="N133" i="9"/>
  <c r="N145" i="9"/>
  <c r="N157" i="9"/>
  <c r="N74" i="9"/>
  <c r="N86" i="9"/>
  <c r="N98" i="9"/>
  <c r="N110" i="9"/>
  <c r="N75" i="9"/>
  <c r="N83" i="9"/>
  <c r="N91" i="9"/>
  <c r="N99" i="9"/>
  <c r="N107" i="9"/>
  <c r="N115" i="9"/>
  <c r="N119" i="9"/>
  <c r="N127" i="9"/>
  <c r="N135" i="9"/>
  <c r="N143" i="9"/>
  <c r="N151" i="9"/>
  <c r="N159" i="9"/>
  <c r="N163" i="9"/>
  <c r="F72" i="9"/>
  <c r="F84" i="9"/>
  <c r="F96" i="9"/>
  <c r="F108" i="9"/>
  <c r="F120" i="9"/>
  <c r="F132" i="9"/>
  <c r="F144" i="9"/>
  <c r="F156" i="9"/>
  <c r="F160" i="9"/>
  <c r="F164" i="9"/>
  <c r="F76" i="9"/>
  <c r="F88" i="9"/>
  <c r="F100" i="9"/>
  <c r="F112" i="9"/>
  <c r="F124" i="9"/>
  <c r="F136" i="9"/>
  <c r="F148" i="9"/>
  <c r="F69" i="9"/>
  <c r="F77" i="9"/>
  <c r="F85" i="9"/>
  <c r="F93" i="9"/>
  <c r="F101" i="9"/>
  <c r="F109" i="9"/>
  <c r="F117" i="9"/>
  <c r="F125" i="9"/>
  <c r="F133" i="9"/>
  <c r="F141" i="9"/>
  <c r="F149" i="9"/>
  <c r="F157" i="9"/>
  <c r="F165" i="9"/>
  <c r="F74" i="9"/>
  <c r="F86" i="9"/>
  <c r="F94" i="9"/>
  <c r="F106" i="9"/>
  <c r="F114" i="9"/>
  <c r="F126" i="9"/>
  <c r="F134" i="9"/>
  <c r="F142" i="9"/>
  <c r="F146" i="9"/>
  <c r="F154" i="9"/>
  <c r="F158" i="9"/>
  <c r="F162" i="9"/>
  <c r="F166" i="9"/>
  <c r="F78" i="9"/>
  <c r="F90" i="9"/>
  <c r="F102" i="9"/>
  <c r="F110" i="9"/>
  <c r="F118" i="9"/>
  <c r="F122" i="9"/>
  <c r="F130" i="9"/>
  <c r="F138" i="9"/>
  <c r="F150" i="9"/>
  <c r="F71" i="9"/>
  <c r="F75" i="9"/>
  <c r="F79" i="9"/>
  <c r="F83" i="9"/>
  <c r="F87" i="9"/>
  <c r="F91" i="9"/>
  <c r="F95" i="9"/>
  <c r="F99" i="9"/>
  <c r="F103" i="9"/>
  <c r="F107" i="9"/>
  <c r="F111" i="9"/>
  <c r="F115" i="9"/>
  <c r="F119" i="9"/>
  <c r="F123" i="9"/>
  <c r="F127" i="9"/>
  <c r="F131" i="9"/>
  <c r="F135" i="9"/>
  <c r="F139" i="9"/>
  <c r="F143" i="9"/>
  <c r="F147" i="9"/>
  <c r="F151" i="9"/>
  <c r="F155" i="9"/>
  <c r="F159" i="9"/>
  <c r="F167" i="9"/>
  <c r="F68" i="9"/>
  <c r="F80" i="9"/>
  <c r="F92" i="9"/>
  <c r="F104" i="9"/>
  <c r="F116" i="9"/>
  <c r="F128" i="9"/>
  <c r="F140" i="9"/>
  <c r="F152" i="9"/>
  <c r="F73" i="9"/>
  <c r="F81" i="9"/>
  <c r="F89" i="9"/>
  <c r="F97" i="9"/>
  <c r="F105" i="9"/>
  <c r="F113" i="9"/>
  <c r="F121" i="9"/>
  <c r="F129" i="9"/>
  <c r="F137" i="9"/>
  <c r="F145" i="9"/>
  <c r="F153" i="9"/>
  <c r="F161" i="9"/>
  <c r="F70" i="9"/>
  <c r="F82" i="9"/>
  <c r="F98" i="9"/>
  <c r="F163" i="9"/>
  <c r="W156" i="9"/>
  <c r="W144" i="9"/>
  <c r="W128" i="9"/>
  <c r="W112" i="9"/>
  <c r="W100" i="9"/>
  <c r="W76" i="9"/>
  <c r="W155" i="9"/>
  <c r="W139" i="9"/>
  <c r="W115" i="9"/>
  <c r="W99" i="9"/>
  <c r="W83" i="9"/>
  <c r="W161" i="9"/>
  <c r="W153" i="9"/>
  <c r="W141" i="9"/>
  <c r="W113" i="9"/>
  <c r="W71" i="9"/>
  <c r="W164" i="9"/>
  <c r="W148" i="9"/>
  <c r="W132" i="9"/>
  <c r="W116" i="9"/>
  <c r="W96" i="9"/>
  <c r="W80" i="9"/>
  <c r="W159" i="9"/>
  <c r="W143" i="9"/>
  <c r="W127" i="9"/>
  <c r="W107" i="9"/>
  <c r="W91" i="9"/>
  <c r="W75" i="9"/>
  <c r="W162" i="9"/>
  <c r="W154" i="9"/>
  <c r="W142" i="9"/>
  <c r="W134" i="9"/>
  <c r="W126" i="9"/>
  <c r="W118" i="9"/>
  <c r="W110" i="9"/>
  <c r="W98" i="9"/>
  <c r="W90" i="9"/>
  <c r="W82" i="9"/>
  <c r="W70" i="9"/>
  <c r="W152" i="9"/>
  <c r="W136" i="9"/>
  <c r="W120" i="9"/>
  <c r="W104" i="9"/>
  <c r="W88" i="9"/>
  <c r="W72" i="9"/>
  <c r="W167" i="9"/>
  <c r="W151" i="9"/>
  <c r="W135" i="9"/>
  <c r="W119" i="9"/>
  <c r="W103" i="9"/>
  <c r="W95" i="9"/>
  <c r="W79" i="9"/>
  <c r="W166" i="9"/>
  <c r="W158" i="9"/>
  <c r="W150" i="9"/>
  <c r="W146" i="9"/>
  <c r="W138" i="9"/>
  <c r="W130" i="9"/>
  <c r="W122" i="9"/>
  <c r="W114" i="9"/>
  <c r="W106" i="9"/>
  <c r="W102" i="9"/>
  <c r="W94" i="9"/>
  <c r="W86" i="9"/>
  <c r="W78" i="9"/>
  <c r="W74" i="9"/>
  <c r="W160" i="9"/>
  <c r="W140" i="9"/>
  <c r="W124" i="9"/>
  <c r="W108" i="9"/>
  <c r="W92" i="9"/>
  <c r="W84" i="9"/>
  <c r="W163" i="9"/>
  <c r="W147" i="9"/>
  <c r="W131" i="9"/>
  <c r="W123" i="9"/>
  <c r="W111" i="9"/>
  <c r="W87" i="9"/>
  <c r="W165" i="9"/>
  <c r="W157" i="9"/>
  <c r="W149" i="9"/>
  <c r="W145" i="9"/>
  <c r="W137" i="9"/>
  <c r="W133" i="9"/>
  <c r="W129" i="9"/>
  <c r="W125" i="9"/>
  <c r="W121" i="9"/>
  <c r="W117" i="9"/>
  <c r="W109" i="9"/>
  <c r="W105" i="9"/>
  <c r="W101" i="9"/>
  <c r="W97" i="9"/>
  <c r="W93" i="9"/>
  <c r="W89" i="9"/>
  <c r="W85" i="9"/>
  <c r="W81" i="9"/>
  <c r="W77" i="9"/>
  <c r="W73" i="9"/>
  <c r="W69" i="9"/>
  <c r="W68" i="9"/>
  <c r="S160" i="9"/>
  <c r="S144" i="9"/>
  <c r="S128" i="9"/>
  <c r="S112" i="9"/>
  <c r="S100" i="9"/>
  <c r="S76" i="9"/>
  <c r="S155" i="9"/>
  <c r="S139" i="9"/>
  <c r="S123" i="9"/>
  <c r="S107" i="9"/>
  <c r="S79" i="9"/>
  <c r="S161" i="9"/>
  <c r="S137" i="9"/>
  <c r="S164" i="9"/>
  <c r="S148" i="9"/>
  <c r="S132" i="9"/>
  <c r="S116" i="9"/>
  <c r="S96" i="9"/>
  <c r="S80" i="9"/>
  <c r="S167" i="9"/>
  <c r="S151" i="9"/>
  <c r="S135" i="9"/>
  <c r="S119" i="9"/>
  <c r="S99" i="9"/>
  <c r="S91" i="9"/>
  <c r="S75" i="9"/>
  <c r="S162" i="9"/>
  <c r="S154" i="9"/>
  <c r="S138" i="9"/>
  <c r="S70" i="9"/>
  <c r="S152" i="9"/>
  <c r="S136" i="9"/>
  <c r="S120" i="9"/>
  <c r="S104" i="9"/>
  <c r="S88" i="9"/>
  <c r="S72" i="9"/>
  <c r="S159" i="9"/>
  <c r="S143" i="9"/>
  <c r="S127" i="9"/>
  <c r="S111" i="9"/>
  <c r="S95" i="9"/>
  <c r="S83" i="9"/>
  <c r="S71" i="9"/>
  <c r="S166" i="9"/>
  <c r="S158" i="9"/>
  <c r="S150" i="9"/>
  <c r="S146" i="9"/>
  <c r="S142" i="9"/>
  <c r="S134" i="9"/>
  <c r="S130" i="9"/>
  <c r="S126" i="9"/>
  <c r="S122" i="9"/>
  <c r="S118" i="9"/>
  <c r="S114" i="9"/>
  <c r="S110" i="9"/>
  <c r="S106" i="9"/>
  <c r="S102" i="9"/>
  <c r="S98" i="9"/>
  <c r="S94" i="9"/>
  <c r="S90" i="9"/>
  <c r="S86" i="9"/>
  <c r="S82" i="9"/>
  <c r="S78" i="9"/>
  <c r="S74" i="9"/>
  <c r="S156" i="9"/>
  <c r="S140" i="9"/>
  <c r="S124" i="9"/>
  <c r="S108" i="9"/>
  <c r="S92" i="9"/>
  <c r="S84" i="9"/>
  <c r="S163" i="9"/>
  <c r="S147" i="9"/>
  <c r="S131" i="9"/>
  <c r="S115" i="9"/>
  <c r="S103" i="9"/>
  <c r="S87" i="9"/>
  <c r="S165" i="9"/>
  <c r="S157" i="9"/>
  <c r="S153" i="9"/>
  <c r="S149" i="9"/>
  <c r="S145" i="9"/>
  <c r="S141" i="9"/>
  <c r="S133" i="9"/>
  <c r="S129" i="9"/>
  <c r="S125" i="9"/>
  <c r="S121" i="9"/>
  <c r="S117" i="9"/>
  <c r="S113" i="9"/>
  <c r="S109" i="9"/>
  <c r="S105" i="9"/>
  <c r="S101" i="9"/>
  <c r="S97" i="9"/>
  <c r="S93" i="9"/>
  <c r="S89" i="9"/>
  <c r="S85" i="9"/>
  <c r="S81" i="9"/>
  <c r="S77" i="9"/>
  <c r="S73" i="9"/>
  <c r="S69" i="9"/>
  <c r="S68" i="9"/>
  <c r="O160" i="9"/>
  <c r="O136" i="9"/>
  <c r="O120" i="9"/>
  <c r="O100" i="9"/>
  <c r="O84" i="9"/>
  <c r="O139" i="9"/>
  <c r="O71" i="9"/>
  <c r="O164" i="9"/>
  <c r="O148" i="9"/>
  <c r="O132" i="9"/>
  <c r="O116" i="9"/>
  <c r="O104" i="9"/>
  <c r="O88" i="9"/>
  <c r="O72" i="9"/>
  <c r="O159" i="9"/>
  <c r="O143" i="9"/>
  <c r="O127" i="9"/>
  <c r="O115" i="9"/>
  <c r="O107" i="9"/>
  <c r="O99" i="9"/>
  <c r="O91" i="9"/>
  <c r="O87" i="9"/>
  <c r="O79" i="9"/>
  <c r="O166" i="9"/>
  <c r="O154" i="9"/>
  <c r="O146" i="9"/>
  <c r="O138" i="9"/>
  <c r="O130" i="9"/>
  <c r="O122" i="9"/>
  <c r="O110" i="9"/>
  <c r="O102" i="9"/>
  <c r="O94" i="9"/>
  <c r="O90" i="9"/>
  <c r="O82" i="9"/>
  <c r="O70" i="9"/>
  <c r="O152" i="9"/>
  <c r="O140" i="9"/>
  <c r="O124" i="9"/>
  <c r="O108" i="9"/>
  <c r="O92" i="9"/>
  <c r="O76" i="9"/>
  <c r="O167" i="9"/>
  <c r="O155" i="9"/>
  <c r="O147" i="9"/>
  <c r="O131" i="9"/>
  <c r="O123" i="9"/>
  <c r="O111" i="9"/>
  <c r="O103" i="9"/>
  <c r="O95" i="9"/>
  <c r="O83" i="9"/>
  <c r="O75" i="9"/>
  <c r="O162" i="9"/>
  <c r="O158" i="9"/>
  <c r="O150" i="9"/>
  <c r="O142" i="9"/>
  <c r="O134" i="9"/>
  <c r="O126" i="9"/>
  <c r="O118" i="9"/>
  <c r="O114" i="9"/>
  <c r="O106" i="9"/>
  <c r="O98" i="9"/>
  <c r="O86" i="9"/>
  <c r="O78" i="9"/>
  <c r="O74" i="9"/>
  <c r="O156" i="9"/>
  <c r="O144" i="9"/>
  <c r="O128" i="9"/>
  <c r="O112" i="9"/>
  <c r="O96" i="9"/>
  <c r="O80" i="9"/>
  <c r="O163" i="9"/>
  <c r="O151" i="9"/>
  <c r="O135" i="9"/>
  <c r="O119" i="9"/>
  <c r="O165" i="9"/>
  <c r="O161" i="9"/>
  <c r="O157" i="9"/>
  <c r="O153" i="9"/>
  <c r="O149" i="9"/>
  <c r="O145" i="9"/>
  <c r="O141" i="9"/>
  <c r="O137" i="9"/>
  <c r="O133" i="9"/>
  <c r="O129" i="9"/>
  <c r="O125" i="9"/>
  <c r="O121" i="9"/>
  <c r="O117" i="9"/>
  <c r="O113" i="9"/>
  <c r="O109" i="9"/>
  <c r="O105" i="9"/>
  <c r="O101" i="9"/>
  <c r="O97" i="9"/>
  <c r="O93" i="9"/>
  <c r="O89" i="9"/>
  <c r="O85" i="9"/>
  <c r="O81" i="9"/>
  <c r="O77" i="9"/>
  <c r="O73" i="9"/>
  <c r="O69" i="9"/>
  <c r="O68" i="9"/>
  <c r="G164" i="9"/>
  <c r="G148" i="9"/>
  <c r="G132" i="9"/>
  <c r="G116" i="9"/>
  <c r="G96" i="9"/>
  <c r="G80" i="9"/>
  <c r="G163" i="9"/>
  <c r="G147" i="9"/>
  <c r="G131" i="9"/>
  <c r="G107" i="9"/>
  <c r="G161" i="9"/>
  <c r="G137" i="9"/>
  <c r="G160" i="9"/>
  <c r="G144" i="9"/>
  <c r="G128" i="9"/>
  <c r="G108" i="9"/>
  <c r="G88" i="9"/>
  <c r="G72" i="9"/>
  <c r="G155" i="9"/>
  <c r="G139" i="9"/>
  <c r="G123" i="9"/>
  <c r="G111" i="9"/>
  <c r="G99" i="9"/>
  <c r="G91" i="9"/>
  <c r="G83" i="9"/>
  <c r="G71" i="9"/>
  <c r="G162" i="9"/>
  <c r="G154" i="9"/>
  <c r="G146" i="9"/>
  <c r="G134" i="9"/>
  <c r="G126" i="9"/>
  <c r="G114" i="9"/>
  <c r="G106" i="9"/>
  <c r="G94" i="9"/>
  <c r="G90" i="9"/>
  <c r="G82" i="9"/>
  <c r="G70" i="9"/>
  <c r="G152" i="9"/>
  <c r="G136" i="9"/>
  <c r="G120" i="9"/>
  <c r="G104" i="9"/>
  <c r="G92" i="9"/>
  <c r="G76" i="9"/>
  <c r="G167" i="9"/>
  <c r="G151" i="9"/>
  <c r="G135" i="9"/>
  <c r="G119" i="9"/>
  <c r="G103" i="9"/>
  <c r="G95" i="9"/>
  <c r="G87" i="9"/>
  <c r="G79" i="9"/>
  <c r="G75" i="9"/>
  <c r="G166" i="9"/>
  <c r="G158" i="9"/>
  <c r="G150" i="9"/>
  <c r="G142" i="9"/>
  <c r="G138" i="9"/>
  <c r="G130" i="9"/>
  <c r="G122" i="9"/>
  <c r="G118" i="9"/>
  <c r="G110" i="9"/>
  <c r="G102" i="9"/>
  <c r="G98" i="9"/>
  <c r="G86" i="9"/>
  <c r="G78" i="9"/>
  <c r="G74" i="9"/>
  <c r="G156" i="9"/>
  <c r="G140" i="9"/>
  <c r="G124" i="9"/>
  <c r="G112" i="9"/>
  <c r="G100" i="9"/>
  <c r="G84" i="9"/>
  <c r="G159" i="9"/>
  <c r="G143" i="9"/>
  <c r="G127" i="9"/>
  <c r="G115" i="9"/>
  <c r="G165" i="9"/>
  <c r="G157" i="9"/>
  <c r="G153" i="9"/>
  <c r="G149" i="9"/>
  <c r="G145" i="9"/>
  <c r="G141" i="9"/>
  <c r="G133" i="9"/>
  <c r="G129" i="9"/>
  <c r="G125" i="9"/>
  <c r="G121" i="9"/>
  <c r="G117" i="9"/>
  <c r="G113" i="9"/>
  <c r="G109" i="9"/>
  <c r="G105" i="9"/>
  <c r="G101" i="9"/>
  <c r="G97" i="9"/>
  <c r="G93" i="9"/>
  <c r="G89" i="9"/>
  <c r="G85" i="9"/>
  <c r="G81" i="9"/>
  <c r="G77" i="9"/>
  <c r="G73" i="9"/>
  <c r="G69" i="9"/>
  <c r="G68" i="9"/>
  <c r="K65" i="9"/>
  <c r="L65" i="9" s="1"/>
  <c r="DE67" i="9"/>
  <c r="DU67" i="9"/>
  <c r="EL67" i="9" s="1"/>
  <c r="BU67" i="9"/>
  <c r="CL67" i="9" s="1"/>
  <c r="C45" i="6"/>
  <c r="B45" i="6" s="1"/>
  <c r="L7" i="3"/>
  <c r="L11" i="4"/>
  <c r="L9" i="3"/>
  <c r="L11" i="3" s="1"/>
  <c r="L7" i="4"/>
  <c r="DC67" i="9" l="1"/>
  <c r="FC67" i="9"/>
  <c r="DV67" i="9"/>
  <c r="EM67" i="9" s="1"/>
  <c r="D3" i="9" l="1"/>
  <c r="F3" i="9"/>
  <c r="FD67" i="9"/>
  <c r="DT67" i="9"/>
  <c r="EK67" i="9" s="1"/>
  <c r="B4" i="9"/>
  <c r="D4" i="9" s="1"/>
  <c r="FB67" i="9" l="1"/>
  <c r="DD74" i="9" a="1"/>
  <c r="DD76" i="9" a="1"/>
  <c r="DD76" i="9" l="1"/>
  <c r="DD74" i="9"/>
  <c r="BV74" i="9"/>
  <c r="CM74" i="9" s="1"/>
  <c r="DU74" i="9" s="1" a="1"/>
  <c r="DU74" i="9" s="1"/>
  <c r="BV76" i="9"/>
  <c r="CM76" i="9" s="1"/>
  <c r="DU76" i="9" s="1" a="1"/>
  <c r="BV80" i="9"/>
  <c r="CM80" i="9" s="1"/>
  <c r="BV77" i="9"/>
  <c r="CM77" i="9" s="1"/>
  <c r="BV81" i="9"/>
  <c r="CM81" i="9" s="1"/>
  <c r="BV75" i="9"/>
  <c r="CM75" i="9" s="1"/>
  <c r="BV85" i="9"/>
  <c r="CM85" i="9" s="1"/>
  <c r="BV84" i="9"/>
  <c r="CM84" i="9" s="1"/>
  <c r="BV79" i="9"/>
  <c r="CM79" i="9" s="1"/>
  <c r="BV83" i="9"/>
  <c r="CM83" i="9" s="1"/>
  <c r="BU76" i="9"/>
  <c r="CL76" i="9" s="1"/>
  <c r="BU74" i="9"/>
  <c r="CL74" i="9" s="1"/>
  <c r="BW74" i="9"/>
  <c r="CN74" i="9" s="1"/>
  <c r="BW76" i="9"/>
  <c r="CN76" i="9" s="1"/>
  <c r="DD87" i="9" a="1"/>
  <c r="DD82" i="9" a="1"/>
  <c r="DD86" i="9" a="1"/>
  <c r="DD78" i="9" a="1"/>
  <c r="DC74" i="9" a="1"/>
  <c r="DE74" i="9" a="1"/>
  <c r="DC76" i="9" a="1"/>
  <c r="DE76" i="9" a="1"/>
  <c r="A70" i="6" a="1"/>
  <c r="E152" i="9" a="1"/>
  <c r="E70" i="9" a="1"/>
  <c r="U133" i="9" a="1"/>
  <c r="Q68" i="9" a="1"/>
  <c r="E102" i="9" a="1"/>
  <c r="U104" i="9" a="1"/>
  <c r="M164" i="9" a="1"/>
  <c r="E69" i="9" a="1"/>
  <c r="Q123" i="9" a="1"/>
  <c r="M126" i="9" a="1"/>
  <c r="B73" i="6" a="1"/>
  <c r="Q162" i="9" a="1"/>
  <c r="E111" i="9" a="1"/>
  <c r="E144" i="9" a="1"/>
  <c r="Q167" i="9" a="1"/>
  <c r="M162" i="9" a="1"/>
  <c r="Q156" i="9" a="1"/>
  <c r="M103" i="9" a="1"/>
  <c r="E165" i="9" a="1"/>
  <c r="B77" i="6" a="1"/>
  <c r="Q116" i="9" a="1"/>
  <c r="E117" i="9" a="1"/>
  <c r="U126" i="9" a="1"/>
  <c r="B82" i="6" a="1"/>
  <c r="Q152" i="9" a="1"/>
  <c r="M94" i="9" a="1"/>
  <c r="E82" i="9" a="1"/>
  <c r="M147" i="9" a="1"/>
  <c r="A86" i="6" a="1"/>
  <c r="Q143" i="9" a="1"/>
  <c r="Q161" i="9" a="1"/>
  <c r="M159" i="9" a="1"/>
  <c r="Q154" i="9" a="1"/>
  <c r="A76" i="6" a="1"/>
  <c r="M91" i="9" a="1"/>
  <c r="B84" i="6" a="1"/>
  <c r="A81" i="6" a="1"/>
  <c r="U154" i="9" a="1"/>
  <c r="M135" i="9" a="1"/>
  <c r="Q69" i="9" a="1"/>
  <c r="E141" i="9" a="1"/>
  <c r="M142" i="9" a="1"/>
  <c r="E138" i="9" a="1"/>
  <c r="E129" i="9" a="1"/>
  <c r="Q121" i="9" a="1"/>
  <c r="E83" i="9" a="1"/>
  <c r="M130" i="9" a="1"/>
  <c r="Q99" i="9" a="1"/>
  <c r="M97" i="9" a="1"/>
  <c r="U127" i="9" a="1"/>
  <c r="M138" i="9" a="1"/>
  <c r="U147" i="9" a="1"/>
  <c r="M76" i="9" a="1"/>
  <c r="M124" i="9" a="1"/>
  <c r="U70" i="9" a="1"/>
  <c r="B70" i="6" a="1"/>
  <c r="M80" i="9" a="1"/>
  <c r="M129" i="9" a="1"/>
  <c r="E159" i="9" a="1"/>
  <c r="E110" i="9" a="1"/>
  <c r="Q100" i="9" a="1"/>
  <c r="E74" i="9" a="1"/>
  <c r="M158" i="9" a="1"/>
  <c r="U110" i="9" a="1"/>
  <c r="E104" i="9" a="1"/>
  <c r="Q144" i="9" a="1"/>
  <c r="Q83" i="9" a="1"/>
  <c r="E139" i="9" a="1"/>
  <c r="Q94" i="9" a="1"/>
  <c r="Q92" i="9" a="1"/>
  <c r="Q76" i="9" a="1"/>
  <c r="E109" i="9" a="1"/>
  <c r="U89" i="9" a="1"/>
  <c r="Q138" i="9" a="1"/>
  <c r="U157" i="9" a="1"/>
  <c r="U153" i="9" a="1"/>
  <c r="E71" i="9" a="1"/>
  <c r="Q72" i="9" a="1"/>
  <c r="E154" i="9" a="1"/>
  <c r="E79" i="9" a="1"/>
  <c r="M109" i="9" a="1"/>
  <c r="Q113" i="9" a="1"/>
  <c r="E87" i="9" a="1"/>
  <c r="M119" i="9" a="1"/>
  <c r="U115" i="9" a="1"/>
  <c r="Q91" i="9" a="1"/>
  <c r="Q122" i="9" a="1"/>
  <c r="Q125" i="9" a="1"/>
  <c r="U149" i="9" a="1"/>
  <c r="M72" i="9" a="1"/>
  <c r="E101" i="9" a="1"/>
  <c r="U132" i="9" a="1"/>
  <c r="Q127" i="9" a="1"/>
  <c r="E92" i="9" a="1"/>
  <c r="E90" i="9" a="1"/>
  <c r="M167" i="9" a="1"/>
  <c r="M140" i="9" a="1"/>
  <c r="M157" i="9" a="1"/>
  <c r="E98" i="9" a="1"/>
  <c r="U81" i="9" a="1"/>
  <c r="U87" i="9" a="1"/>
  <c r="M166" i="9" a="1"/>
  <c r="M155" i="9" a="1"/>
  <c r="Q132" i="9" a="1"/>
  <c r="M99" i="9" a="1"/>
  <c r="Q73" i="9" a="1"/>
  <c r="B83" i="6" a="1"/>
  <c r="E88" i="9" a="1"/>
  <c r="U88" i="9" a="1"/>
  <c r="Q104" i="9" a="1"/>
  <c r="Q70" i="9" a="1"/>
  <c r="Q115" i="9" a="1"/>
  <c r="B69" i="6" a="1"/>
  <c r="E145" i="9" a="1"/>
  <c r="M133" i="9" a="1"/>
  <c r="U101" i="9" a="1"/>
  <c r="Q146" i="9" a="1"/>
  <c r="Q163" i="9" a="1"/>
  <c r="U100" i="9" a="1"/>
  <c r="Q102" i="9" a="1"/>
  <c r="M79" i="9" a="1"/>
  <c r="Q160" i="9" a="1"/>
  <c r="Q129" i="9" a="1"/>
  <c r="M105" i="9" a="1"/>
  <c r="Q93" i="9" a="1"/>
  <c r="Q164" i="9" a="1"/>
  <c r="Q140" i="9" a="1"/>
  <c r="M107" i="9" a="1"/>
  <c r="U74" i="9" a="1"/>
  <c r="M137" i="9" a="1"/>
  <c r="B86" i="6" a="1"/>
  <c r="E113" i="9" a="1"/>
  <c r="U94" i="9" a="1"/>
  <c r="M85" i="9" a="1"/>
  <c r="E75" i="9" a="1"/>
  <c r="M83" i="9" a="1"/>
  <c r="M154" i="9" a="1"/>
  <c r="E105" i="9" a="1"/>
  <c r="U146" i="9" a="1"/>
  <c r="M153" i="9" a="1"/>
  <c r="Q97" i="9" a="1"/>
  <c r="M102" i="9" a="1"/>
  <c r="U150" i="9" a="1"/>
  <c r="E143" i="9" a="1"/>
  <c r="E124" i="9" a="1"/>
  <c r="U112" i="9" a="1"/>
  <c r="A73" i="6" a="1"/>
  <c r="Q117" i="9" a="1"/>
  <c r="U93" i="9" a="1"/>
  <c r="E133" i="9" a="1"/>
  <c r="E107" i="9" a="1"/>
  <c r="M77" i="9" a="1"/>
  <c r="E80" i="9" a="1"/>
  <c r="U125" i="9" a="1"/>
  <c r="U124" i="9" a="1"/>
  <c r="Q88" i="9" a="1"/>
  <c r="Q148" i="9" a="1"/>
  <c r="E161" i="9" a="1"/>
  <c r="Q98" i="9" a="1"/>
  <c r="U95" i="9" a="1"/>
  <c r="M86" i="9" a="1"/>
  <c r="M150" i="9" a="1"/>
  <c r="M70" i="9" a="1"/>
  <c r="U140" i="9" a="1"/>
  <c r="M122" i="9" a="1"/>
  <c r="Q89" i="9" a="1"/>
  <c r="Q131" i="9" a="1"/>
  <c r="U161" i="9" a="1"/>
  <c r="U151" i="9" a="1"/>
  <c r="M152" i="9" a="1"/>
  <c r="E125" i="9" a="1"/>
  <c r="M131" i="9" a="1"/>
  <c r="U84" i="9" a="1"/>
  <c r="E155" i="9" a="1"/>
  <c r="Q81" i="9" a="1"/>
  <c r="U71" i="9" a="1"/>
  <c r="B81" i="6" a="1"/>
  <c r="M128" i="9" a="1"/>
  <c r="E94" i="9" a="1"/>
  <c r="U130" i="9" a="1"/>
  <c r="U117" i="9" a="1"/>
  <c r="B68" i="6" a="1"/>
  <c r="U98" i="9" a="1"/>
  <c r="Q166" i="9" a="1"/>
  <c r="A87" i="6" a="1"/>
  <c r="E78" i="9" a="1"/>
  <c r="E147" i="9" a="1"/>
  <c r="A72" i="6" a="1"/>
  <c r="Q155" i="9" a="1"/>
  <c r="U111" i="9" a="1"/>
  <c r="U166" i="9" a="1"/>
  <c r="U92" i="9" a="1"/>
  <c r="E120" i="9" a="1"/>
  <c r="A85" i="6" a="1"/>
  <c r="Q111" i="9" a="1"/>
  <c r="Q153" i="9" a="1"/>
  <c r="E95" i="9" a="1"/>
  <c r="M110" i="9" a="1"/>
  <c r="Q107" i="9" a="1"/>
  <c r="A83" i="6" a="1"/>
  <c r="A68" i="6" a="1"/>
  <c r="E119" i="9" a="1"/>
  <c r="E153" i="9" a="1"/>
  <c r="M151" i="9" a="1"/>
  <c r="Q112" i="9" a="1"/>
  <c r="M134" i="9" a="1"/>
  <c r="E103" i="9" a="1"/>
  <c r="M71" i="9" a="1"/>
  <c r="U108" i="9" a="1"/>
  <c r="E93" i="9" a="1"/>
  <c r="E142" i="9" a="1"/>
  <c r="U113" i="9" a="1"/>
  <c r="Q106" i="9" a="1"/>
  <c r="U143" i="9" a="1"/>
  <c r="U73" i="9" a="1"/>
  <c r="A79" i="6" a="1"/>
  <c r="U137" i="9" a="1"/>
  <c r="Q134" i="9" a="1"/>
  <c r="U156" i="9" a="1"/>
  <c r="E132" i="9" a="1"/>
  <c r="E85" i="9" a="1"/>
  <c r="M163" i="9" a="1"/>
  <c r="Q135" i="9" a="1"/>
  <c r="M121" i="9" a="1"/>
  <c r="U105" i="9" a="1"/>
  <c r="Q85" i="9" a="1"/>
  <c r="Q136" i="9" a="1"/>
  <c r="Q124" i="9" a="1"/>
  <c r="M136" i="9" a="1"/>
  <c r="U131" i="9" a="1"/>
  <c r="U122" i="9" a="1"/>
  <c r="B71" i="6" a="1"/>
  <c r="M104" i="9" a="1"/>
  <c r="E135" i="9" a="1"/>
  <c r="U79" i="9" a="1"/>
  <c r="M81" i="9" a="1"/>
  <c r="Q79" i="9" a="1"/>
  <c r="U128" i="9" a="1"/>
  <c r="M82" i="9" a="1"/>
  <c r="Q74" i="9" a="1"/>
  <c r="E68" i="9" a="1"/>
  <c r="E84" i="9" a="1"/>
  <c r="E166" i="9" a="1"/>
  <c r="U152" i="9" a="1"/>
  <c r="Q165" i="9" a="1"/>
  <c r="E81" i="9" a="1"/>
  <c r="B80" i="6" a="1"/>
  <c r="U165" i="9" a="1"/>
  <c r="M145" i="9" a="1"/>
  <c r="B74" i="6" a="1"/>
  <c r="Q103" i="9" a="1"/>
  <c r="B87" i="6" a="1"/>
  <c r="E131" i="9" a="1"/>
  <c r="Q159" i="9" a="1"/>
  <c r="U77" i="9" a="1"/>
  <c r="E151" i="9" a="1"/>
  <c r="E136" i="9" a="1"/>
  <c r="M149" i="9" a="1"/>
  <c r="Q157" i="9" a="1"/>
  <c r="U68" i="9" a="1"/>
  <c r="A74" i="6" a="1"/>
  <c r="M87" i="9" a="1"/>
  <c r="E99" i="9" a="1"/>
  <c r="U135" i="9" a="1"/>
  <c r="E89" i="9" a="1"/>
  <c r="Q78" i="9" a="1"/>
  <c r="U118" i="9" a="1"/>
  <c r="U83" i="9" a="1"/>
  <c r="E156" i="9" a="1"/>
  <c r="M92" i="9" a="1"/>
  <c r="U97" i="9" a="1"/>
  <c r="U107" i="9" a="1"/>
  <c r="U69" i="9" a="1"/>
  <c r="Q142" i="9" a="1"/>
  <c r="M132" i="9" a="1"/>
  <c r="M144" i="9" a="1"/>
  <c r="M108" i="9" a="1"/>
  <c r="E150" i="9" a="1"/>
  <c r="Q77" i="9" a="1"/>
  <c r="Q82" i="9" a="1"/>
  <c r="E134" i="9" a="1"/>
  <c r="Q119" i="9" a="1"/>
  <c r="A69" i="6" a="1"/>
  <c r="U99" i="9" a="1"/>
  <c r="M112" i="9" a="1"/>
  <c r="E122" i="9" a="1"/>
  <c r="M100" i="9" a="1"/>
  <c r="U96" i="9" a="1"/>
  <c r="U114" i="9" a="1"/>
  <c r="Q118" i="9" a="1"/>
  <c r="E118" i="9" a="1"/>
  <c r="B78" i="6" a="1"/>
  <c r="E157" i="9" a="1"/>
  <c r="M93" i="9" a="1"/>
  <c r="M101" i="9" a="1"/>
  <c r="U119" i="9" a="1"/>
  <c r="E128" i="9" a="1"/>
  <c r="E140" i="9" a="1"/>
  <c r="U129" i="9" a="1"/>
  <c r="A82" i="6" a="1"/>
  <c r="M78" i="9" a="1"/>
  <c r="U162" i="9" a="1"/>
  <c r="Q108" i="9" a="1"/>
  <c r="U91" i="9" a="1"/>
  <c r="Q90" i="9" a="1"/>
  <c r="M160" i="9" a="1"/>
  <c r="E112" i="9" a="1"/>
  <c r="M116" i="9" a="1"/>
  <c r="B79" i="6" a="1"/>
  <c r="E127" i="9" a="1"/>
  <c r="M161" i="9" a="1"/>
  <c r="M113" i="9" a="1"/>
  <c r="B72" i="6" a="1"/>
  <c r="M115" i="9" a="1"/>
  <c r="U136" i="9" a="1"/>
  <c r="A80" i="6" a="1"/>
  <c r="M96" i="9" a="1"/>
  <c r="E158" i="9" a="1"/>
  <c r="E97" i="9" a="1"/>
  <c r="Q158" i="9" a="1"/>
  <c r="E86" i="9" a="1"/>
  <c r="Q126" i="9" a="1"/>
  <c r="U85" i="9" a="1"/>
  <c r="U86" i="9" a="1"/>
  <c r="E162" i="9" a="1"/>
  <c r="U163" i="9" a="1"/>
  <c r="M120" i="9" a="1"/>
  <c r="U78" i="9" a="1"/>
  <c r="U145" i="9" a="1"/>
  <c r="U155" i="9" a="1"/>
  <c r="Q95" i="9" a="1"/>
  <c r="A78" i="6" a="1"/>
  <c r="Q105" i="9" a="1"/>
  <c r="E114" i="9" a="1"/>
  <c r="B85" i="6" a="1"/>
  <c r="U159" i="9" a="1"/>
  <c r="E115" i="9" a="1"/>
  <c r="M118" i="9" a="1"/>
  <c r="U134" i="9" a="1"/>
  <c r="Q110" i="9" a="1"/>
  <c r="M90" i="9" a="1"/>
  <c r="U160" i="9" a="1"/>
  <c r="U106" i="9" a="1"/>
  <c r="Q128" i="9" a="1"/>
  <c r="M123" i="9" a="1"/>
  <c r="A77" i="6" a="1"/>
  <c r="U76" i="9" a="1"/>
  <c r="E160" i="9" a="1"/>
  <c r="U164" i="9" a="1"/>
  <c r="U80" i="9" a="1"/>
  <c r="Q80" i="9" a="1"/>
  <c r="U116" i="9" a="1"/>
  <c r="U138" i="9" a="1"/>
  <c r="Q150" i="9" a="1"/>
  <c r="U148" i="9" a="1"/>
  <c r="M111" i="9" a="1"/>
  <c r="M165" i="9" a="1"/>
  <c r="Q86" i="9" a="1"/>
  <c r="M75" i="9" a="1"/>
  <c r="M114" i="9" a="1"/>
  <c r="M84" i="9" a="1"/>
  <c r="Q141" i="9" a="1"/>
  <c r="E126" i="9" a="1"/>
  <c r="U142" i="9" a="1"/>
  <c r="Q71" i="9" a="1"/>
  <c r="E116" i="9" a="1"/>
  <c r="M74" i="9" a="1"/>
  <c r="Q120" i="9" a="1"/>
  <c r="E164" i="9" a="1"/>
  <c r="Q151" i="9" a="1"/>
  <c r="Q101" i="9" a="1"/>
  <c r="U72" i="9" a="1"/>
  <c r="Q139" i="9" a="1"/>
  <c r="A84" i="6" a="1"/>
  <c r="Q145" i="9" a="1"/>
  <c r="M127" i="9" a="1"/>
  <c r="M73" i="9" a="1"/>
  <c r="M89" i="9" a="1"/>
  <c r="U75" i="9" a="1"/>
  <c r="E146" i="9" a="1"/>
  <c r="E76" i="9" a="1"/>
  <c r="M106" i="9" a="1"/>
  <c r="E130" i="9" a="1"/>
  <c r="M143" i="9" a="1"/>
  <c r="Q96" i="9" a="1"/>
  <c r="E91" i="9" a="1"/>
  <c r="U139" i="9" a="1"/>
  <c r="M69" i="9" a="1"/>
  <c r="B76" i="6" a="1"/>
  <c r="U102" i="9" a="1"/>
  <c r="E106" i="9" a="1"/>
  <c r="M98" i="9" a="1"/>
  <c r="Q75" i="9" a="1"/>
  <c r="U82" i="9" a="1"/>
  <c r="U141" i="9" a="1"/>
  <c r="M125" i="9" a="1"/>
  <c r="Q130" i="9" a="1"/>
  <c r="Q84" i="9" a="1"/>
  <c r="Q109" i="9" a="1"/>
  <c r="A75" i="6" a="1"/>
  <c r="M148" i="9" a="1"/>
  <c r="E148" i="9" a="1"/>
  <c r="E73" i="9" a="1"/>
  <c r="A71" i="6" a="1"/>
  <c r="M95" i="9" a="1"/>
  <c r="Q149" i="9" a="1"/>
  <c r="M139" i="9" a="1"/>
  <c r="E149" i="9" a="1"/>
  <c r="M68" i="9" a="1"/>
  <c r="M88" i="9" a="1"/>
  <c r="U109" i="9" a="1"/>
  <c r="M146" i="9" a="1"/>
  <c r="U167" i="9" a="1"/>
  <c r="U123" i="9" a="1"/>
  <c r="M141" i="9" a="1"/>
  <c r="M156" i="9" a="1"/>
  <c r="Q87" i="9" a="1"/>
  <c r="Q114" i="9" a="1"/>
  <c r="Q147" i="9" a="1"/>
  <c r="E167" i="9" a="1"/>
  <c r="E137" i="9" a="1"/>
  <c r="E72" i="9" a="1"/>
  <c r="U103" i="9" a="1"/>
  <c r="U90" i="9" a="1"/>
  <c r="U120" i="9" a="1"/>
  <c r="U158" i="9" a="1"/>
  <c r="E121" i="9" a="1"/>
  <c r="Q133" i="9" a="1"/>
  <c r="M117" i="9" a="1"/>
  <c r="U121" i="9" a="1"/>
  <c r="E77" i="9" a="1"/>
  <c r="E123" i="9" a="1"/>
  <c r="E163" i="9" a="1"/>
  <c r="E100" i="9" a="1"/>
  <c r="B75" i="6" a="1"/>
  <c r="U144" i="9" a="1"/>
  <c r="E96" i="9" a="1"/>
  <c r="Q137" i="9" a="1"/>
  <c r="E108" i="9" a="1"/>
  <c r="J159" i="9" l="1"/>
  <c r="Q92" i="9"/>
  <c r="K113" i="9"/>
  <c r="AA113" i="9" s="1"/>
  <c r="J106" i="9"/>
  <c r="Z106" i="9" s="1"/>
  <c r="J143" i="9"/>
  <c r="Z143" i="9" s="1"/>
  <c r="Q120" i="9"/>
  <c r="E68" i="9"/>
  <c r="I68" i="9" s="1"/>
  <c r="Y68" i="9" s="1"/>
  <c r="B83" i="6"/>
  <c r="Q99" i="9"/>
  <c r="U159" i="9"/>
  <c r="J155" i="9"/>
  <c r="J114" i="9"/>
  <c r="Z114" i="9" s="1"/>
  <c r="U158" i="9"/>
  <c r="U106" i="9"/>
  <c r="U74" i="9"/>
  <c r="K129" i="9"/>
  <c r="AA129" i="9" s="1"/>
  <c r="K145" i="9"/>
  <c r="AA145" i="9" s="1"/>
  <c r="U104" i="9"/>
  <c r="M95" i="9"/>
  <c r="J102" i="9"/>
  <c r="Z102" i="9" s="1"/>
  <c r="U126" i="9"/>
  <c r="K106" i="9"/>
  <c r="AA106" i="9" s="1"/>
  <c r="K102" i="9"/>
  <c r="K99" i="9"/>
  <c r="AA99" i="9" s="1"/>
  <c r="E126" i="9"/>
  <c r="I126" i="9" s="1"/>
  <c r="Y126" i="9" s="1"/>
  <c r="M113" i="9"/>
  <c r="J110" i="9"/>
  <c r="Z110" i="9" s="1"/>
  <c r="M78" i="9"/>
  <c r="M163" i="9"/>
  <c r="Q69" i="9"/>
  <c r="M152" i="9"/>
  <c r="K123" i="9"/>
  <c r="AA123" i="9" s="1"/>
  <c r="U78" i="9"/>
  <c r="Q115" i="9"/>
  <c r="Q152" i="9"/>
  <c r="K83" i="9"/>
  <c r="AA83" i="9" s="1"/>
  <c r="J96" i="9"/>
  <c r="Z96" i="9" s="1"/>
  <c r="J107" i="9"/>
  <c r="Z107" i="9" s="1"/>
  <c r="J72" i="9"/>
  <c r="Z72" i="9" s="1"/>
  <c r="E71" i="9"/>
  <c r="I71" i="9" s="1"/>
  <c r="Y71" i="9" s="1"/>
  <c r="J91" i="9"/>
  <c r="Z91" i="9" s="1"/>
  <c r="Q163" i="9"/>
  <c r="Q157" i="9"/>
  <c r="J89" i="9"/>
  <c r="Z89" i="9" s="1"/>
  <c r="B69" i="6"/>
  <c r="E165" i="9"/>
  <c r="I165" i="9" s="1"/>
  <c r="Y165" i="9" s="1"/>
  <c r="Q145" i="9"/>
  <c r="U144" i="9"/>
  <c r="U80" i="9"/>
  <c r="K70" i="9"/>
  <c r="AA70" i="9" s="1"/>
  <c r="E167" i="9"/>
  <c r="I167" i="9" s="1"/>
  <c r="Y167" i="9" s="1"/>
  <c r="B86" i="6"/>
  <c r="Q122" i="9"/>
  <c r="J152" i="9"/>
  <c r="Z152" i="9" s="1"/>
  <c r="J163" i="9"/>
  <c r="Z163" i="9" s="1"/>
  <c r="M145" i="9"/>
  <c r="U115" i="9"/>
  <c r="A81" i="6"/>
  <c r="K87" i="9"/>
  <c r="AA87" i="9" s="1"/>
  <c r="K155" i="9"/>
  <c r="E141" i="9"/>
  <c r="I141" i="9" s="1"/>
  <c r="Y141" i="9" s="1"/>
  <c r="B76" i="6"/>
  <c r="E145" i="9"/>
  <c r="I145" i="9" s="1"/>
  <c r="Y145" i="9" s="1"/>
  <c r="B73" i="6"/>
  <c r="E110" i="9"/>
  <c r="I110" i="9" s="1"/>
  <c r="Y110" i="9" s="1"/>
  <c r="J123" i="9"/>
  <c r="Z123" i="9" s="1"/>
  <c r="E104" i="9"/>
  <c r="I104" i="9" s="1"/>
  <c r="Y104" i="9" s="1"/>
  <c r="E90" i="9"/>
  <c r="I90" i="9" s="1"/>
  <c r="Y90" i="9" s="1"/>
  <c r="U124" i="9"/>
  <c r="Q91" i="9"/>
  <c r="K122" i="9"/>
  <c r="AA122" i="9" s="1"/>
  <c r="U150" i="9"/>
  <c r="Q97" i="9"/>
  <c r="K115" i="9"/>
  <c r="AA115" i="9" s="1"/>
  <c r="Q87" i="9"/>
  <c r="J73" i="9"/>
  <c r="Z73" i="9" s="1"/>
  <c r="U69" i="9"/>
  <c r="J86" i="9"/>
  <c r="Z86" i="9" s="1"/>
  <c r="K90" i="9"/>
  <c r="K127" i="9"/>
  <c r="AA127" i="9" s="1"/>
  <c r="K88" i="9"/>
  <c r="AA88" i="9" s="1"/>
  <c r="M149" i="9"/>
  <c r="K125" i="9"/>
  <c r="AA125" i="9" s="1"/>
  <c r="K144" i="9"/>
  <c r="AA144" i="9" s="1"/>
  <c r="E93" i="9"/>
  <c r="I93" i="9" s="1"/>
  <c r="Y93" i="9" s="1"/>
  <c r="J146" i="9"/>
  <c r="Z146" i="9" s="1"/>
  <c r="Q81" i="9"/>
  <c r="U87" i="9"/>
  <c r="K134" i="9"/>
  <c r="AA134" i="9" s="1"/>
  <c r="Q129" i="9"/>
  <c r="Q144" i="9"/>
  <c r="J90" i="9"/>
  <c r="Z90" i="9" s="1"/>
  <c r="U88" i="9"/>
  <c r="Q151" i="9"/>
  <c r="Q133" i="9"/>
  <c r="J101" i="9"/>
  <c r="Z101" i="9" s="1"/>
  <c r="Q160" i="9"/>
  <c r="E105" i="9"/>
  <c r="I105" i="9" s="1"/>
  <c r="Y105" i="9" s="1"/>
  <c r="U155" i="9"/>
  <c r="E113" i="9"/>
  <c r="I113" i="9" s="1"/>
  <c r="Y113" i="9" s="1"/>
  <c r="M118" i="9"/>
  <c r="Q153" i="9"/>
  <c r="E131" i="9"/>
  <c r="I131" i="9" s="1"/>
  <c r="Y131" i="9" s="1"/>
  <c r="K95" i="9"/>
  <c r="AA95" i="9" s="1"/>
  <c r="M123" i="9"/>
  <c r="Q88" i="9"/>
  <c r="E159" i="9"/>
  <c r="I159" i="9" s="1"/>
  <c r="Y159" i="9" s="1"/>
  <c r="M146" i="9"/>
  <c r="E101" i="9"/>
  <c r="I101" i="9" s="1"/>
  <c r="Y101" i="9" s="1"/>
  <c r="E80" i="9"/>
  <c r="I80" i="9" s="1"/>
  <c r="Y80" i="9" s="1"/>
  <c r="J167" i="9"/>
  <c r="Z167" i="9" s="1"/>
  <c r="J138" i="9"/>
  <c r="Z138" i="9" s="1"/>
  <c r="J154" i="9"/>
  <c r="Z154" i="9" s="1"/>
  <c r="E70" i="9"/>
  <c r="I70" i="9" s="1"/>
  <c r="Y70" i="9" s="1"/>
  <c r="M143" i="9"/>
  <c r="J93" i="9"/>
  <c r="Z93" i="9" s="1"/>
  <c r="E121" i="9"/>
  <c r="I121" i="9" s="1"/>
  <c r="Y121" i="9" s="1"/>
  <c r="B79" i="6"/>
  <c r="M128" i="9"/>
  <c r="K162" i="9"/>
  <c r="AA162" i="9" s="1"/>
  <c r="K142" i="9"/>
  <c r="AA142" i="9" s="1"/>
  <c r="E72" i="9"/>
  <c r="Q96" i="9"/>
  <c r="J126" i="9"/>
  <c r="Z126" i="9" s="1"/>
  <c r="J142" i="9"/>
  <c r="Z142" i="9" s="1"/>
  <c r="Q118" i="9"/>
  <c r="A69" i="6"/>
  <c r="U71" i="9"/>
  <c r="M157" i="9"/>
  <c r="U94" i="9"/>
  <c r="K107" i="9"/>
  <c r="AA107" i="9" s="1"/>
  <c r="Q137" i="9"/>
  <c r="Q83" i="9"/>
  <c r="J87" i="9"/>
  <c r="Z87" i="9" s="1"/>
  <c r="K141" i="9"/>
  <c r="AA141" i="9" s="1"/>
  <c r="J165" i="9"/>
  <c r="Z165" i="9" s="1"/>
  <c r="Q85" i="9"/>
  <c r="J130" i="9"/>
  <c r="Z130" i="9" s="1"/>
  <c r="Q119" i="9"/>
  <c r="M144" i="9"/>
  <c r="E94" i="9"/>
  <c r="I94" i="9" s="1"/>
  <c r="U130" i="9"/>
  <c r="B80" i="6"/>
  <c r="E125" i="9"/>
  <c r="I125" i="9" s="1"/>
  <c r="Y125" i="9" s="1"/>
  <c r="K94" i="9"/>
  <c r="AA94" i="9" s="1"/>
  <c r="K109" i="9"/>
  <c r="AA109" i="9" s="1"/>
  <c r="E91" i="9"/>
  <c r="I91" i="9" s="1"/>
  <c r="Y91" i="9" s="1"/>
  <c r="M166" i="9"/>
  <c r="Q90" i="9"/>
  <c r="U131" i="9"/>
  <c r="M97" i="9"/>
  <c r="A85" i="6"/>
  <c r="U92" i="9"/>
  <c r="E77" i="9"/>
  <c r="I77" i="9" s="1"/>
  <c r="Y77" i="9" s="1"/>
  <c r="E88" i="9"/>
  <c r="I88" i="9" s="1"/>
  <c r="Y88" i="9" s="1"/>
  <c r="E130" i="9"/>
  <c r="I130" i="9" s="1"/>
  <c r="Y130" i="9" s="1"/>
  <c r="K149" i="9"/>
  <c r="AA149" i="9" s="1"/>
  <c r="K97" i="9"/>
  <c r="AA97" i="9" s="1"/>
  <c r="M127" i="9"/>
  <c r="M134" i="9"/>
  <c r="Q156" i="9"/>
  <c r="M167" i="9"/>
  <c r="M119" i="9"/>
  <c r="U75" i="9"/>
  <c r="K139" i="9"/>
  <c r="AA139" i="9" s="1"/>
  <c r="K96" i="9"/>
  <c r="AA96" i="9" s="1"/>
  <c r="U157" i="9"/>
  <c r="K146" i="9"/>
  <c r="AA146" i="9" s="1"/>
  <c r="M162" i="9"/>
  <c r="M161" i="9"/>
  <c r="M101" i="9"/>
  <c r="M83" i="9"/>
  <c r="E82" i="9"/>
  <c r="I82" i="9" s="1"/>
  <c r="Y82" i="9" s="1"/>
  <c r="E124" i="9"/>
  <c r="I124" i="9" s="1"/>
  <c r="Y124" i="9" s="1"/>
  <c r="U154" i="9"/>
  <c r="Q140" i="9"/>
  <c r="K119" i="9"/>
  <c r="AA119" i="9" s="1"/>
  <c r="J145" i="9"/>
  <c r="Z145" i="9" s="1"/>
  <c r="Q114" i="9"/>
  <c r="E85" i="9"/>
  <c r="I85" i="9" s="1"/>
  <c r="Y85" i="9" s="1"/>
  <c r="K77" i="9"/>
  <c r="AA77" i="9" s="1"/>
  <c r="M75" i="9"/>
  <c r="K75" i="9"/>
  <c r="AA75" i="9" s="1"/>
  <c r="M87" i="9"/>
  <c r="Q155" i="9"/>
  <c r="Q70" i="9"/>
  <c r="Q128" i="9"/>
  <c r="A80" i="6"/>
  <c r="U122" i="9"/>
  <c r="K117" i="9"/>
  <c r="AA117" i="9" s="1"/>
  <c r="M109" i="9"/>
  <c r="J113" i="9"/>
  <c r="Z113" i="9" s="1"/>
  <c r="M115" i="9"/>
  <c r="U123" i="9"/>
  <c r="J139" i="9"/>
  <c r="Z139" i="9" s="1"/>
  <c r="M112" i="9"/>
  <c r="Q93" i="9"/>
  <c r="E103" i="9"/>
  <c r="I103" i="9" s="1"/>
  <c r="Y103" i="9" s="1"/>
  <c r="J94" i="9"/>
  <c r="Z94" i="9" s="1"/>
  <c r="M120" i="9"/>
  <c r="B74" i="6"/>
  <c r="E112" i="9"/>
  <c r="I112" i="9" s="1"/>
  <c r="Y112" i="9" s="1"/>
  <c r="U83" i="9"/>
  <c r="M114" i="9"/>
  <c r="J131" i="9"/>
  <c r="Z131" i="9" s="1"/>
  <c r="M74" i="9"/>
  <c r="Q80" i="9"/>
  <c r="Q101" i="9"/>
  <c r="M111" i="9"/>
  <c r="J129" i="9"/>
  <c r="Z129" i="9" s="1"/>
  <c r="B84" i="6"/>
  <c r="Q75" i="9"/>
  <c r="Q138" i="9"/>
  <c r="K120" i="9"/>
  <c r="AA120" i="9" s="1"/>
  <c r="E89" i="9"/>
  <c r="I89" i="9" s="1"/>
  <c r="Y89" i="9" s="1"/>
  <c r="E135" i="9"/>
  <c r="I135" i="9" s="1"/>
  <c r="Y135" i="9" s="1"/>
  <c r="J104" i="9"/>
  <c r="Z104" i="9" s="1"/>
  <c r="M68" i="9"/>
  <c r="Q147" i="9"/>
  <c r="U128" i="9"/>
  <c r="A84" i="6"/>
  <c r="K91" i="9"/>
  <c r="AA91" i="9" s="1"/>
  <c r="E152" i="9"/>
  <c r="I152" i="9" s="1"/>
  <c r="Y152" i="9" s="1"/>
  <c r="E87" i="9"/>
  <c r="I87" i="9" s="1"/>
  <c r="Y87" i="9" s="1"/>
  <c r="M137" i="9"/>
  <c r="K163" i="9"/>
  <c r="AA163" i="9" s="1"/>
  <c r="U151" i="9"/>
  <c r="J83" i="9"/>
  <c r="Z83" i="9" s="1"/>
  <c r="K159" i="9"/>
  <c r="K89" i="9"/>
  <c r="AA89" i="9" s="1"/>
  <c r="A76" i="6"/>
  <c r="J125" i="9"/>
  <c r="Z125" i="9" s="1"/>
  <c r="J105" i="9"/>
  <c r="Z105" i="9" s="1"/>
  <c r="J69" i="9"/>
  <c r="Z69" i="9" s="1"/>
  <c r="K164" i="9"/>
  <c r="AA164" i="9" s="1"/>
  <c r="J98" i="9"/>
  <c r="Z98" i="9" s="1"/>
  <c r="Q134" i="9"/>
  <c r="Q102" i="9"/>
  <c r="U152" i="9"/>
  <c r="Q162" i="9"/>
  <c r="J149" i="9"/>
  <c r="Z149" i="9" s="1"/>
  <c r="U82" i="9"/>
  <c r="Q73" i="9"/>
  <c r="M89" i="9"/>
  <c r="E137" i="9"/>
  <c r="I137" i="9" s="1"/>
  <c r="Y137" i="9" s="1"/>
  <c r="U165" i="9"/>
  <c r="E81" i="9"/>
  <c r="I81" i="9" s="1"/>
  <c r="J132" i="9"/>
  <c r="Z132" i="9" s="1"/>
  <c r="J95" i="9"/>
  <c r="Z95" i="9" s="1"/>
  <c r="Q131" i="9"/>
  <c r="K132" i="9"/>
  <c r="AA132" i="9" s="1"/>
  <c r="U72" i="9"/>
  <c r="U137" i="9"/>
  <c r="J151" i="9"/>
  <c r="Z151" i="9" s="1"/>
  <c r="J148" i="9"/>
  <c r="Z148" i="9" s="1"/>
  <c r="K98" i="9"/>
  <c r="AA98" i="9" s="1"/>
  <c r="M133" i="9"/>
  <c r="J115" i="9"/>
  <c r="Z115" i="9" s="1"/>
  <c r="Q141" i="9"/>
  <c r="U114" i="9"/>
  <c r="U147" i="9"/>
  <c r="Q79" i="9"/>
  <c r="U112" i="9"/>
  <c r="J121" i="9"/>
  <c r="Z121" i="9" s="1"/>
  <c r="M82" i="9"/>
  <c r="A71" i="6"/>
  <c r="K128" i="9"/>
  <c r="AA128" i="9" s="1"/>
  <c r="E109" i="9"/>
  <c r="I109" i="9" s="1"/>
  <c r="Y109" i="9" s="1"/>
  <c r="K104" i="9"/>
  <c r="AA104" i="9" s="1"/>
  <c r="E154" i="9"/>
  <c r="I154" i="9" s="1"/>
  <c r="Y154" i="9" s="1"/>
  <c r="U132" i="9"/>
  <c r="B72" i="6"/>
  <c r="K103" i="9"/>
  <c r="AA103" i="9" s="1"/>
  <c r="J157" i="9"/>
  <c r="Z157" i="9" s="1"/>
  <c r="U117" i="9"/>
  <c r="E99" i="9"/>
  <c r="I99" i="9" s="1"/>
  <c r="Y99" i="9" s="1"/>
  <c r="M122" i="9"/>
  <c r="K150" i="9"/>
  <c r="AA150" i="9" s="1"/>
  <c r="M81" i="9"/>
  <c r="E164" i="9"/>
  <c r="I164" i="9" s="1"/>
  <c r="Y164" i="9" s="1"/>
  <c r="K111" i="9"/>
  <c r="AA111" i="9" s="1"/>
  <c r="M105" i="9"/>
  <c r="U113" i="9"/>
  <c r="E107" i="9"/>
  <c r="I107" i="9" s="1"/>
  <c r="Y107" i="9" s="1"/>
  <c r="E76" i="9"/>
  <c r="E96" i="9"/>
  <c r="I96" i="9" s="1"/>
  <c r="Y96" i="9" s="1"/>
  <c r="U98" i="9"/>
  <c r="B68" i="6"/>
  <c r="E97" i="9"/>
  <c r="I97" i="9" s="1"/>
  <c r="Y97" i="9" s="1"/>
  <c r="Q124" i="9"/>
  <c r="M142" i="9"/>
  <c r="Q121" i="9"/>
  <c r="U136" i="9"/>
  <c r="M94" i="9"/>
  <c r="Q161" i="9"/>
  <c r="U135" i="9"/>
  <c r="M155" i="9"/>
  <c r="Q106" i="9"/>
  <c r="E147" i="9"/>
  <c r="I147" i="9" s="1"/>
  <c r="Y147" i="9" s="1"/>
  <c r="J147" i="9"/>
  <c r="Z147" i="9" s="1"/>
  <c r="E144" i="9"/>
  <c r="I144" i="9" s="1"/>
  <c r="Y144" i="9" s="1"/>
  <c r="E134" i="9"/>
  <c r="I134" i="9" s="1"/>
  <c r="Y134" i="9" s="1"/>
  <c r="Q116" i="9"/>
  <c r="E166" i="9"/>
  <c r="I166" i="9" s="1"/>
  <c r="Y166" i="9" s="1"/>
  <c r="K116" i="9"/>
  <c r="AA116" i="9" s="1"/>
  <c r="Q164" i="9"/>
  <c r="K80" i="9"/>
  <c r="AA80" i="9" s="1"/>
  <c r="U149" i="9"/>
  <c r="K137" i="9"/>
  <c r="AA137" i="9" s="1"/>
  <c r="J75" i="9"/>
  <c r="Z75" i="9" s="1"/>
  <c r="J128" i="9"/>
  <c r="Z128" i="9" s="1"/>
  <c r="U110" i="9"/>
  <c r="A86" i="6"/>
  <c r="M76" i="9"/>
  <c r="K78" i="9"/>
  <c r="AA78" i="9" s="1"/>
  <c r="E146" i="9"/>
  <c r="I146" i="9" s="1"/>
  <c r="Y146" i="9" s="1"/>
  <c r="E123" i="9"/>
  <c r="I123" i="9" s="1"/>
  <c r="Y123" i="9" s="1"/>
  <c r="Q135" i="9"/>
  <c r="U73" i="9"/>
  <c r="K158" i="9"/>
  <c r="AA158" i="9" s="1"/>
  <c r="E143" i="9"/>
  <c r="I143" i="9" s="1"/>
  <c r="Y143" i="9" s="1"/>
  <c r="J120" i="9"/>
  <c r="Z120" i="9" s="1"/>
  <c r="U167" i="9"/>
  <c r="M85" i="9"/>
  <c r="J77" i="9"/>
  <c r="Z77" i="9" s="1"/>
  <c r="B85" i="6"/>
  <c r="E111" i="9"/>
  <c r="I111" i="9" s="1"/>
  <c r="Y111" i="9" s="1"/>
  <c r="M156" i="9"/>
  <c r="U93" i="9"/>
  <c r="J119" i="9"/>
  <c r="Z119" i="9" s="1"/>
  <c r="Q89" i="9"/>
  <c r="J124" i="9"/>
  <c r="Z124" i="9" s="1"/>
  <c r="K130" i="9"/>
  <c r="U140" i="9"/>
  <c r="J160" i="9"/>
  <c r="Z160" i="9" s="1"/>
  <c r="E79" i="9"/>
  <c r="I79" i="9" s="1"/>
  <c r="Y79" i="9" s="1"/>
  <c r="U107" i="9"/>
  <c r="E161" i="9"/>
  <c r="I161" i="9" s="1"/>
  <c r="Y161" i="9" s="1"/>
  <c r="U141" i="9"/>
  <c r="Q109" i="9"/>
  <c r="M96" i="9"/>
  <c r="U79" i="9"/>
  <c r="M73" i="9"/>
  <c r="U76" i="9"/>
  <c r="Q146" i="9"/>
  <c r="Q117" i="9"/>
  <c r="U84" i="9"/>
  <c r="K138" i="9"/>
  <c r="AA138" i="9" s="1"/>
  <c r="B78" i="6"/>
  <c r="Q105" i="9"/>
  <c r="J134" i="9"/>
  <c r="Z134" i="9" s="1"/>
  <c r="E119" i="9"/>
  <c r="I119" i="9" s="1"/>
  <c r="Y119" i="9" s="1"/>
  <c r="M160" i="9"/>
  <c r="M158" i="9"/>
  <c r="Q113" i="9"/>
  <c r="Q159" i="9"/>
  <c r="J80" i="9"/>
  <c r="Z80" i="9" s="1"/>
  <c r="U146" i="9"/>
  <c r="U102" i="9"/>
  <c r="Q154" i="9"/>
  <c r="J158" i="9"/>
  <c r="Z158" i="9" s="1"/>
  <c r="K151" i="9"/>
  <c r="AA151" i="9" s="1"/>
  <c r="Q111" i="9"/>
  <c r="Q110" i="9"/>
  <c r="J127" i="9"/>
  <c r="Z127" i="9" s="1"/>
  <c r="M126" i="9"/>
  <c r="K133" i="9"/>
  <c r="AA133" i="9" s="1"/>
  <c r="M129" i="9"/>
  <c r="U108" i="9"/>
  <c r="Q123" i="9"/>
  <c r="J78" i="9"/>
  <c r="Z78" i="9" s="1"/>
  <c r="U121" i="9"/>
  <c r="M91" i="9"/>
  <c r="A82" i="6"/>
  <c r="Q98" i="9"/>
  <c r="A87" i="6"/>
  <c r="Q104" i="9"/>
  <c r="Q94" i="9"/>
  <c r="E136" i="9"/>
  <c r="I136" i="9" s="1"/>
  <c r="Y136" i="9" s="1"/>
  <c r="K118" i="9"/>
  <c r="AA118" i="9" s="1"/>
  <c r="K131" i="9"/>
  <c r="AA131" i="9" s="1"/>
  <c r="U139" i="9"/>
  <c r="E83" i="9"/>
  <c r="I83" i="9" s="1"/>
  <c r="Y83" i="9" s="1"/>
  <c r="Q76" i="9"/>
  <c r="E102" i="9"/>
  <c r="I102" i="9" s="1"/>
  <c r="Y102" i="9" s="1"/>
  <c r="K160" i="9"/>
  <c r="AA160" i="9" s="1"/>
  <c r="J84" i="9"/>
  <c r="Z84" i="9" s="1"/>
  <c r="U163" i="9"/>
  <c r="B82" i="6"/>
  <c r="J166" i="9"/>
  <c r="Z166" i="9" s="1"/>
  <c r="Q84" i="9"/>
  <c r="U160" i="9"/>
  <c r="E148" i="9"/>
  <c r="I148" i="9" s="1"/>
  <c r="Y148" i="9" s="1"/>
  <c r="K71" i="9"/>
  <c r="E115" i="9"/>
  <c r="I115" i="9" s="1"/>
  <c r="Y115" i="9" s="1"/>
  <c r="K108" i="9"/>
  <c r="AA108" i="9" s="1"/>
  <c r="U105" i="9"/>
  <c r="E150" i="9"/>
  <c r="I150" i="9" s="1"/>
  <c r="Y150" i="9" s="1"/>
  <c r="A72" i="6"/>
  <c r="U89" i="9"/>
  <c r="Q139" i="9"/>
  <c r="M77" i="9"/>
  <c r="E116" i="9"/>
  <c r="I116" i="9" s="1"/>
  <c r="Y116" i="9" s="1"/>
  <c r="U118" i="9"/>
  <c r="J153" i="9"/>
  <c r="Z153" i="9" s="1"/>
  <c r="M140" i="9"/>
  <c r="J100" i="9"/>
  <c r="Z100" i="9" s="1"/>
  <c r="M136" i="9"/>
  <c r="Q143" i="9"/>
  <c r="A83" i="6"/>
  <c r="J162" i="9"/>
  <c r="Z162" i="9" s="1"/>
  <c r="A74" i="6"/>
  <c r="M131" i="9"/>
  <c r="U90" i="9"/>
  <c r="M102" i="9"/>
  <c r="M110" i="9"/>
  <c r="J141" i="9"/>
  <c r="Z141" i="9" s="1"/>
  <c r="Q158" i="9"/>
  <c r="Q167" i="9"/>
  <c r="M92" i="9"/>
  <c r="K165" i="9"/>
  <c r="AA165" i="9" s="1"/>
  <c r="U133" i="9"/>
  <c r="K148" i="9"/>
  <c r="AA148" i="9" s="1"/>
  <c r="M99" i="9"/>
  <c r="E162" i="9"/>
  <c r="I162" i="9" s="1"/>
  <c r="Y162" i="9" s="1"/>
  <c r="U142" i="9"/>
  <c r="E160" i="9"/>
  <c r="I160" i="9" s="1"/>
  <c r="Y160" i="9" s="1"/>
  <c r="A77" i="6"/>
  <c r="U103" i="9"/>
  <c r="Q125" i="9"/>
  <c r="K147" i="9"/>
  <c r="AA147" i="9" s="1"/>
  <c r="J135" i="9"/>
  <c r="Z135" i="9" s="1"/>
  <c r="U156" i="9"/>
  <c r="U81" i="9"/>
  <c r="Q142" i="9"/>
  <c r="U162" i="9"/>
  <c r="M132" i="9"/>
  <c r="E138" i="9"/>
  <c r="I138" i="9" s="1"/>
  <c r="Y138" i="9" s="1"/>
  <c r="U86" i="9"/>
  <c r="J103" i="9"/>
  <c r="Z103" i="9" s="1"/>
  <c r="J70" i="9"/>
  <c r="Z70" i="9" s="1"/>
  <c r="E114" i="9"/>
  <c r="I114" i="9" s="1"/>
  <c r="Y114" i="9" s="1"/>
  <c r="U99" i="9"/>
  <c r="U109" i="9"/>
  <c r="M125" i="9"/>
  <c r="E117" i="9"/>
  <c r="I117" i="9" s="1"/>
  <c r="Y117" i="9" s="1"/>
  <c r="Q126" i="9"/>
  <c r="U148" i="9"/>
  <c r="E133" i="9"/>
  <c r="I133" i="9" s="1"/>
  <c r="Y133" i="9" s="1"/>
  <c r="M80" i="9"/>
  <c r="E74" i="9"/>
  <c r="E92" i="9"/>
  <c r="I92" i="9" s="1"/>
  <c r="Y92" i="9" s="1"/>
  <c r="U101" i="9"/>
  <c r="Q82" i="9"/>
  <c r="E95" i="9"/>
  <c r="I95" i="9" s="1"/>
  <c r="Y95" i="9" s="1"/>
  <c r="E139" i="9"/>
  <c r="I139" i="9" s="1"/>
  <c r="Y139" i="9" s="1"/>
  <c r="K105" i="9"/>
  <c r="AA105" i="9" s="1"/>
  <c r="B71" i="6"/>
  <c r="Q148" i="9"/>
  <c r="E142" i="9"/>
  <c r="I142" i="9" s="1"/>
  <c r="Y142" i="9" s="1"/>
  <c r="B75" i="6"/>
  <c r="K72" i="9"/>
  <c r="AA72" i="9" s="1"/>
  <c r="E157" i="9"/>
  <c r="I157" i="9" s="1"/>
  <c r="Y157" i="9" s="1"/>
  <c r="E106" i="9"/>
  <c r="I106" i="9" s="1"/>
  <c r="Y106" i="9" s="1"/>
  <c r="E151" i="9"/>
  <c r="I151" i="9" s="1"/>
  <c r="Y151" i="9" s="1"/>
  <c r="U97" i="9"/>
  <c r="Q132" i="9"/>
  <c r="J88" i="9"/>
  <c r="Z88" i="9" s="1"/>
  <c r="M106" i="9"/>
  <c r="A79" i="6"/>
  <c r="U129" i="9"/>
  <c r="M107" i="9"/>
  <c r="J150" i="9"/>
  <c r="Z150" i="9" s="1"/>
  <c r="J156" i="9"/>
  <c r="Z156" i="9" s="1"/>
  <c r="M98" i="9"/>
  <c r="K110" i="9"/>
  <c r="AA110" i="9" s="1"/>
  <c r="U96" i="9"/>
  <c r="M141" i="9"/>
  <c r="U95" i="9"/>
  <c r="J137" i="9"/>
  <c r="Z137" i="9" s="1"/>
  <c r="U111" i="9"/>
  <c r="J68" i="9"/>
  <c r="Z68" i="9" s="1"/>
  <c r="U91" i="9"/>
  <c r="Q130" i="9"/>
  <c r="K92" i="9"/>
  <c r="AA92" i="9" s="1"/>
  <c r="K112" i="9"/>
  <c r="AA112" i="9" s="1"/>
  <c r="E132" i="9"/>
  <c r="I132" i="9" s="1"/>
  <c r="Y132" i="9" s="1"/>
  <c r="J79" i="9"/>
  <c r="Z79" i="9" s="1"/>
  <c r="E78" i="9"/>
  <c r="I78" i="9" s="1"/>
  <c r="Y78" i="9" s="1"/>
  <c r="M116" i="9"/>
  <c r="E69" i="9"/>
  <c r="I69" i="9" s="1"/>
  <c r="Y69" i="9" s="1"/>
  <c r="Q74" i="9"/>
  <c r="J85" i="9"/>
  <c r="Z85" i="9" s="1"/>
  <c r="E100" i="9"/>
  <c r="I100" i="9" s="1"/>
  <c r="Y100" i="9" s="1"/>
  <c r="Q149" i="9"/>
  <c r="J144" i="9"/>
  <c r="Z144" i="9" s="1"/>
  <c r="Q95" i="9"/>
  <c r="U134" i="9"/>
  <c r="M151" i="9"/>
  <c r="M108" i="9"/>
  <c r="U77" i="9"/>
  <c r="M121" i="9"/>
  <c r="M88" i="9"/>
  <c r="M69" i="9"/>
  <c r="M86" i="9"/>
  <c r="U116" i="9"/>
  <c r="Q112" i="9"/>
  <c r="E128" i="9"/>
  <c r="I128" i="9" s="1"/>
  <c r="Y128" i="9" s="1"/>
  <c r="K84" i="9"/>
  <c r="AA84" i="9" s="1"/>
  <c r="U120" i="9"/>
  <c r="E127" i="9"/>
  <c r="I127" i="9" s="1"/>
  <c r="Y127" i="9" s="1"/>
  <c r="Q78" i="9"/>
  <c r="E149" i="9"/>
  <c r="I149" i="9" s="1"/>
  <c r="Y149" i="9" s="1"/>
  <c r="A73" i="6"/>
  <c r="U100" i="9"/>
  <c r="Q72" i="9"/>
  <c r="J109" i="9"/>
  <c r="Z109" i="9" s="1"/>
  <c r="K100" i="9"/>
  <c r="AA100" i="9" s="1"/>
  <c r="K140" i="9"/>
  <c r="AA140" i="9" s="1"/>
  <c r="E158" i="9"/>
  <c r="I158" i="9" s="1"/>
  <c r="Y158" i="9" s="1"/>
  <c r="K101" i="9"/>
  <c r="AA101" i="9" s="1"/>
  <c r="M135" i="9"/>
  <c r="U125" i="9"/>
  <c r="M117" i="9"/>
  <c r="J116" i="9"/>
  <c r="Z116" i="9" s="1"/>
  <c r="M148" i="9"/>
  <c r="E118" i="9"/>
  <c r="I118" i="9" s="1"/>
  <c r="Y118" i="9" s="1"/>
  <c r="K153" i="9"/>
  <c r="AA153" i="9" s="1"/>
  <c r="U166" i="9"/>
  <c r="Q100" i="9"/>
  <c r="M79" i="9"/>
  <c r="E86" i="9"/>
  <c r="I86" i="9" s="1"/>
  <c r="Y86" i="9" s="1"/>
  <c r="E122" i="9"/>
  <c r="I122" i="9" s="1"/>
  <c r="Y122" i="9" s="1"/>
  <c r="U119" i="9"/>
  <c r="M72" i="9"/>
  <c r="K136" i="9"/>
  <c r="AA136" i="9" s="1"/>
  <c r="E156" i="9"/>
  <c r="I156" i="9" s="1"/>
  <c r="M159" i="9"/>
  <c r="E153" i="9"/>
  <c r="I153" i="9" s="1"/>
  <c r="Y153" i="9" s="1"/>
  <c r="J112" i="9"/>
  <c r="Z112" i="9" s="1"/>
  <c r="E140" i="9"/>
  <c r="I140" i="9" s="1"/>
  <c r="Y140" i="9" s="1"/>
  <c r="U68" i="9"/>
  <c r="M164" i="9"/>
  <c r="B81" i="6"/>
  <c r="U161" i="9"/>
  <c r="J164" i="9"/>
  <c r="Z164" i="9" s="1"/>
  <c r="M103" i="9"/>
  <c r="E108" i="9"/>
  <c r="I108" i="9" s="1"/>
  <c r="Y108" i="9" s="1"/>
  <c r="J136" i="9"/>
  <c r="Z136" i="9" s="1"/>
  <c r="K161" i="9"/>
  <c r="AA161" i="9" s="1"/>
  <c r="M124" i="9"/>
  <c r="U85" i="9"/>
  <c r="A68" i="6"/>
  <c r="M153" i="9"/>
  <c r="M71" i="9"/>
  <c r="Q165" i="9"/>
  <c r="Q150" i="9"/>
  <c r="K157" i="9"/>
  <c r="AA157" i="9" s="1"/>
  <c r="Q136" i="9"/>
  <c r="Q108" i="9"/>
  <c r="M100" i="9"/>
  <c r="K126" i="9"/>
  <c r="AA126" i="9" s="1"/>
  <c r="M150" i="9"/>
  <c r="J99" i="9"/>
  <c r="Z99" i="9" s="1"/>
  <c r="B87" i="6"/>
  <c r="E75" i="9"/>
  <c r="I75" i="9" s="1"/>
  <c r="Y75" i="9" s="1"/>
  <c r="K135" i="9"/>
  <c r="AA135" i="9" s="1"/>
  <c r="M147" i="9"/>
  <c r="E120" i="9"/>
  <c r="I120" i="9" s="1"/>
  <c r="Y120" i="9" s="1"/>
  <c r="B70" i="6"/>
  <c r="J92" i="9"/>
  <c r="Z92" i="9" s="1"/>
  <c r="M104" i="9"/>
  <c r="M84" i="9"/>
  <c r="Q166" i="9"/>
  <c r="M90" i="9"/>
  <c r="K114" i="9"/>
  <c r="AA114" i="9" s="1"/>
  <c r="A78" i="6"/>
  <c r="M138" i="9"/>
  <c r="E163" i="9"/>
  <c r="I163" i="9" s="1"/>
  <c r="Y163" i="9" s="1"/>
  <c r="K143" i="9"/>
  <c r="AA143" i="9" s="1"/>
  <c r="J133" i="9"/>
  <c r="Z133" i="9" s="1"/>
  <c r="J122" i="9"/>
  <c r="Z122" i="9" s="1"/>
  <c r="K166" i="9"/>
  <c r="AA166" i="9" s="1"/>
  <c r="M139" i="9"/>
  <c r="J117" i="9"/>
  <c r="Z117" i="9" s="1"/>
  <c r="E84" i="9"/>
  <c r="I84" i="9" s="1"/>
  <c r="Y84" i="9" s="1"/>
  <c r="U153" i="9"/>
  <c r="Q103" i="9"/>
  <c r="K93" i="9"/>
  <c r="AA93" i="9" s="1"/>
  <c r="J81" i="9"/>
  <c r="Z81" i="9" s="1"/>
  <c r="K152" i="9"/>
  <c r="AA152" i="9" s="1"/>
  <c r="M154" i="9"/>
  <c r="J71" i="9"/>
  <c r="Z71" i="9" s="1"/>
  <c r="M130" i="9"/>
  <c r="U70" i="9"/>
  <c r="K121" i="9"/>
  <c r="AA121" i="9" s="1"/>
  <c r="J108" i="9"/>
  <c r="Z108" i="9" s="1"/>
  <c r="J118" i="9"/>
  <c r="Z118" i="9" s="1"/>
  <c r="U143" i="9"/>
  <c r="J111" i="9"/>
  <c r="Z111" i="9" s="1"/>
  <c r="Q77" i="9"/>
  <c r="M165" i="9"/>
  <c r="E155" i="9"/>
  <c r="I155" i="9" s="1"/>
  <c r="Y155" i="9" s="1"/>
  <c r="K154" i="9"/>
  <c r="AA154" i="9" s="1"/>
  <c r="J161" i="9"/>
  <c r="Z161" i="9" s="1"/>
  <c r="Q71" i="9"/>
  <c r="E98" i="9"/>
  <c r="I98" i="9" s="1"/>
  <c r="Y98" i="9" s="1"/>
  <c r="E73" i="9"/>
  <c r="I73" i="9" s="1"/>
  <c r="Y73" i="9" s="1"/>
  <c r="E129" i="9"/>
  <c r="I129" i="9" s="1"/>
  <c r="M93" i="9"/>
  <c r="U145" i="9"/>
  <c r="M70" i="9"/>
  <c r="U127" i="9"/>
  <c r="Q127" i="9"/>
  <c r="J140" i="9"/>
  <c r="Z140" i="9" s="1"/>
  <c r="U164" i="9"/>
  <c r="K167" i="9"/>
  <c r="AA167" i="9" s="1"/>
  <c r="Q86" i="9"/>
  <c r="Q107" i="9"/>
  <c r="K124" i="9"/>
  <c r="U138" i="9"/>
  <c r="A75" i="6"/>
  <c r="J97" i="9"/>
  <c r="Z97" i="9" s="1"/>
  <c r="K156" i="9"/>
  <c r="AA156" i="9" s="1"/>
  <c r="B77" i="6"/>
  <c r="Q68" i="9"/>
  <c r="A70" i="6"/>
  <c r="K85" i="9"/>
  <c r="AA85" i="9" s="1"/>
  <c r="K86" i="9"/>
  <c r="AA86" i="9" s="1"/>
  <c r="K79" i="9"/>
  <c r="AA79" i="9" s="1"/>
  <c r="K73" i="9"/>
  <c r="AA73" i="9" s="1"/>
  <c r="DD78" i="9"/>
  <c r="DD86" i="9"/>
  <c r="DD82" i="9"/>
  <c r="DU76" i="9"/>
  <c r="DD87" i="9"/>
  <c r="BV82" i="9"/>
  <c r="CM82" i="9" s="1"/>
  <c r="DU82" i="9" s="1" a="1"/>
  <c r="DU82" i="9" s="1"/>
  <c r="BV87" i="9"/>
  <c r="CM87" i="9" s="1"/>
  <c r="DU87" i="9" s="1" a="1"/>
  <c r="DU87" i="9" s="1"/>
  <c r="BV86" i="9"/>
  <c r="CM86" i="9" s="1"/>
  <c r="DU86" i="9" s="1" a="1"/>
  <c r="DU86" i="9" s="1"/>
  <c r="DU79" i="9" a="1"/>
  <c r="DU79" i="9" s="1"/>
  <c r="DU80" i="9" a="1"/>
  <c r="DU80" i="9" s="1"/>
  <c r="DU84" i="9" a="1"/>
  <c r="DU84" i="9" s="1"/>
  <c r="DU85" i="9" a="1"/>
  <c r="DU85" i="9" s="1"/>
  <c r="DU75" i="9" a="1"/>
  <c r="DU75" i="9" s="1"/>
  <c r="DU83" i="9" a="1"/>
  <c r="DU83" i="9" s="1"/>
  <c r="BV78" i="9"/>
  <c r="CM78" i="9" s="1"/>
  <c r="DU81" i="9" a="1"/>
  <c r="DU81" i="9" s="1"/>
  <c r="DU77" i="9" a="1"/>
  <c r="DU77" i="9" s="1"/>
  <c r="DE76" i="9"/>
  <c r="DC76" i="9"/>
  <c r="DE74" i="9"/>
  <c r="DC74" i="9"/>
  <c r="BU72" i="9"/>
  <c r="CL72" i="9" s="1"/>
  <c r="BU70" i="9"/>
  <c r="CL70" i="9" s="1"/>
  <c r="BW81" i="9"/>
  <c r="CN81" i="9" s="1"/>
  <c r="BW78" i="9"/>
  <c r="CN78" i="9" s="1"/>
  <c r="BW75" i="9"/>
  <c r="CN75" i="9" s="1"/>
  <c r="BW70" i="9"/>
  <c r="CN70" i="9" s="1"/>
  <c r="BU87" i="9"/>
  <c r="CL87" i="9" s="1"/>
  <c r="BU84" i="9"/>
  <c r="CL84" i="9" s="1"/>
  <c r="BU86" i="9"/>
  <c r="CL86" i="9" s="1"/>
  <c r="BU83" i="9"/>
  <c r="CL83" i="9" s="1"/>
  <c r="BW80" i="9"/>
  <c r="CN80" i="9" s="1"/>
  <c r="BU85" i="9"/>
  <c r="CL85" i="9" s="1"/>
  <c r="BU71" i="9"/>
  <c r="CL71" i="9" s="1"/>
  <c r="BW85" i="9"/>
  <c r="CN85" i="9" s="1"/>
  <c r="BW72" i="9"/>
  <c r="CN72" i="9" s="1"/>
  <c r="BW83" i="9"/>
  <c r="CN83" i="9" s="1"/>
  <c r="BW84" i="9"/>
  <c r="CN84" i="9" s="1"/>
  <c r="BU69" i="9"/>
  <c r="CL69" i="9" s="1"/>
  <c r="BU77" i="9"/>
  <c r="CL77" i="9" s="1"/>
  <c r="BW73" i="9"/>
  <c r="CN73" i="9" s="1"/>
  <c r="BV72" i="9"/>
  <c r="CM72" i="9" s="1"/>
  <c r="BV71" i="9"/>
  <c r="CM71" i="9" s="1"/>
  <c r="BW71" i="9"/>
  <c r="CN71" i="9" s="1"/>
  <c r="BV69" i="9"/>
  <c r="CM69" i="9" s="1"/>
  <c r="BU80" i="9"/>
  <c r="CL80" i="9" s="1"/>
  <c r="BW69" i="9"/>
  <c r="CN69" i="9" s="1"/>
  <c r="BW77" i="9"/>
  <c r="CN77" i="9" s="1"/>
  <c r="DT74" i="9" a="1"/>
  <c r="DT74" i="9" s="1"/>
  <c r="BU75" i="9"/>
  <c r="CL75" i="9" s="1"/>
  <c r="BU79" i="9"/>
  <c r="CL79" i="9" s="1"/>
  <c r="BV70" i="9"/>
  <c r="CM70" i="9" s="1"/>
  <c r="BU81" i="9"/>
  <c r="CL81" i="9" s="1"/>
  <c r="BW87" i="9"/>
  <c r="CN87" i="9" s="1"/>
  <c r="BU73" i="9"/>
  <c r="CL73" i="9" s="1"/>
  <c r="BV73" i="9"/>
  <c r="CM73" i="9" s="1"/>
  <c r="BW79" i="9"/>
  <c r="CN79" i="9" s="1"/>
  <c r="BW82" i="9"/>
  <c r="CN82" i="9" s="1"/>
  <c r="BU82" i="9"/>
  <c r="CL82" i="9" s="1"/>
  <c r="BW86" i="9"/>
  <c r="CN86" i="9" s="1"/>
  <c r="BU78" i="9"/>
  <c r="CL78" i="9" s="1"/>
  <c r="B3" i="6"/>
  <c r="DD81" i="9" a="1"/>
  <c r="DD75" i="9" a="1"/>
  <c r="DD85" i="9" a="1"/>
  <c r="DD79" i="9" a="1"/>
  <c r="DD84" i="9" a="1"/>
  <c r="DD77" i="9" a="1"/>
  <c r="DD80" i="9" a="1"/>
  <c r="DD83" i="9" a="1"/>
  <c r="DC83" i="9" a="1"/>
  <c r="DE77" i="9" a="1"/>
  <c r="DD70" i="9" a="1"/>
  <c r="DE86" i="9" a="1"/>
  <c r="DC75" i="9" a="1"/>
  <c r="DE78" i="9" a="1"/>
  <c r="DC84" i="9" a="1"/>
  <c r="DE80" i="9" a="1"/>
  <c r="DE84" i="9" a="1"/>
  <c r="DE71" i="9" a="1"/>
  <c r="DD73" i="9" a="1"/>
  <c r="DC78" i="9" a="1"/>
  <c r="DE75" i="9" a="1"/>
  <c r="DC86" i="9" a="1"/>
  <c r="DC85" i="9" a="1"/>
  <c r="DE72" i="9" a="1"/>
  <c r="DE87" i="9" a="1"/>
  <c r="DE82" i="9" a="1"/>
  <c r="DC70" i="9" a="1"/>
  <c r="DE70" i="9" a="1"/>
  <c r="DD72" i="9" a="1"/>
  <c r="DC80" i="9" a="1"/>
  <c r="DT76" i="9" a="1"/>
  <c r="DE81" i="9" a="1"/>
  <c r="DC71" i="9" a="1"/>
  <c r="DC77" i="9" a="1"/>
  <c r="DD71" i="9" a="1"/>
  <c r="DE69" i="9" a="1"/>
  <c r="DC73" i="9" a="1"/>
  <c r="DC82" i="9" a="1"/>
  <c r="DC87" i="9" a="1"/>
  <c r="DE85" i="9" a="1"/>
  <c r="DE83" i="9" a="1"/>
  <c r="DE73" i="9" a="1"/>
  <c r="DC79" i="9" a="1"/>
  <c r="DC81" i="9" a="1"/>
  <c r="DE79" i="9" a="1"/>
  <c r="DV76" i="9" a="1"/>
  <c r="DC69" i="9" a="1"/>
  <c r="DV74" i="9" a="1"/>
  <c r="DD69" i="9" a="1"/>
  <c r="DC72" i="9" a="1"/>
  <c r="EM87" i="9" a="1"/>
  <c r="EM78" i="9" a="1"/>
  <c r="EM69" i="9" a="1"/>
  <c r="EM70" i="9" a="1"/>
  <c r="EM79" i="9" a="1"/>
  <c r="EL81" i="9" a="1"/>
  <c r="EM83" i="9" a="1"/>
  <c r="FC73" i="9" a="1"/>
  <c r="EL71" i="9" a="1"/>
  <c r="FD78" i="9" a="1"/>
  <c r="FD79" i="9" a="1"/>
  <c r="EL78" i="9" a="1"/>
  <c r="FC84" i="9" a="1"/>
  <c r="FC85" i="9" a="1"/>
  <c r="FB71" i="9" a="1"/>
  <c r="EL80" i="9" a="1"/>
  <c r="EL73" i="9" a="1"/>
  <c r="EM71" i="9" a="1"/>
  <c r="E77" i="6"/>
  <c r="EL84" i="9" a="1"/>
  <c r="FC71" i="9" a="1"/>
  <c r="F71" i="6"/>
  <c r="EM72" i="9" a="1"/>
  <c r="EL87" i="9" a="1"/>
  <c r="FC81" i="9" a="1"/>
  <c r="FD75" i="9" a="1"/>
  <c r="FC86" i="9" a="1"/>
  <c r="FD73" i="9" a="1"/>
  <c r="FD72" i="9" a="1"/>
  <c r="EL72" i="9" a="1"/>
  <c r="FD77" i="9" a="1"/>
  <c r="FB69" i="9" a="1"/>
  <c r="FC68" i="9" a="1"/>
  <c r="G77" i="6"/>
  <c r="FC70" i="9" a="1"/>
  <c r="FB84" i="9" a="1"/>
  <c r="EM73" i="9" a="1"/>
  <c r="FC79" i="9" a="1"/>
  <c r="EL85" i="9" a="1"/>
  <c r="FD71" i="9" a="1"/>
  <c r="FC83" i="9" a="1"/>
  <c r="EL70" i="9" a="1"/>
  <c r="EL77" i="9" a="1"/>
  <c r="FD74" i="9" a="1"/>
  <c r="FB81" i="9" a="1"/>
  <c r="FC78" i="9" a="1"/>
  <c r="EL75" i="9" a="1"/>
  <c r="E68" i="6"/>
  <c r="FB70" i="9" a="1"/>
  <c r="FD85" i="9" a="1"/>
  <c r="EM80" i="9" a="1"/>
  <c r="FB77" i="9" a="1"/>
  <c r="FC69" i="9" a="1"/>
  <c r="EM82" i="9" a="1"/>
  <c r="EM84" i="9" a="1"/>
  <c r="F77" i="6"/>
  <c r="EL86" i="9" a="1"/>
  <c r="EK72" i="9" a="1"/>
  <c r="FC72" i="9" a="1"/>
  <c r="EM75" i="9" a="1"/>
  <c r="EK71" i="9" a="1"/>
  <c r="EK70" i="9" a="1"/>
  <c r="EM85" i="9" a="1"/>
  <c r="FD80" i="9" a="1"/>
  <c r="EL69" i="9" a="1"/>
  <c r="FC87" i="9" a="1"/>
  <c r="E76" i="6"/>
  <c r="FD86" i="9" a="1"/>
  <c r="FC80" i="9" a="1"/>
  <c r="FD87" i="9" a="1"/>
  <c r="FC75" i="9" a="1"/>
  <c r="FD84" i="9" a="1"/>
  <c r="FB87" i="9" a="1"/>
  <c r="EM81" i="9" a="1"/>
  <c r="EK78" i="9" a="1"/>
  <c r="FD83" i="9" a="1"/>
  <c r="EM77" i="9" a="1"/>
  <c r="F80" i="6"/>
  <c r="EK81" i="9" a="1"/>
  <c r="EL83" i="9" a="1"/>
  <c r="EK77" i="9" a="1"/>
  <c r="EK87" i="9" a="1"/>
  <c r="G71" i="6"/>
  <c r="EM86" i="9" a="1"/>
  <c r="FB78" i="9" a="1"/>
  <c r="F84" i="6"/>
  <c r="EL79" i="9" a="1"/>
  <c r="FD70" i="9" a="1"/>
  <c r="EL82" i="9" a="1"/>
  <c r="FC77" i="9" a="1"/>
  <c r="F87" i="6"/>
  <c r="F85" i="6"/>
  <c r="G69" i="6"/>
  <c r="E79" i="6"/>
  <c r="Z155" i="9" l="1"/>
  <c r="Z159" i="9"/>
  <c r="Y129" i="9"/>
  <c r="AA155" i="9"/>
  <c r="AA159" i="9"/>
  <c r="D7" i="9"/>
  <c r="D46" i="9" s="1"/>
  <c r="Y81" i="9"/>
  <c r="D14" i="9"/>
  <c r="D53" i="9" s="1"/>
  <c r="D3" i="6"/>
  <c r="C14" i="9"/>
  <c r="C11" i="9"/>
  <c r="D11" i="9"/>
  <c r="D50" i="9" s="1"/>
  <c r="B7" i="9"/>
  <c r="B14" i="9"/>
  <c r="F3" i="6"/>
  <c r="Y156" i="9"/>
  <c r="AA71" i="9"/>
  <c r="C7" i="9"/>
  <c r="AA124" i="9"/>
  <c r="EL84" i="9"/>
  <c r="EL79" i="9"/>
  <c r="EL75" i="9"/>
  <c r="EL77" i="9"/>
  <c r="EL83" i="9"/>
  <c r="EL81" i="9"/>
  <c r="EL85" i="9"/>
  <c r="EL80" i="9"/>
  <c r="I74" i="9"/>
  <c r="Y74" i="9" s="1"/>
  <c r="AA130" i="9"/>
  <c r="I76" i="9"/>
  <c r="Y76" i="9" s="1"/>
  <c r="K74" i="9"/>
  <c r="AA74" i="9" s="1"/>
  <c r="AA102" i="9"/>
  <c r="K76" i="9"/>
  <c r="AA76" i="9" s="1"/>
  <c r="J76" i="9"/>
  <c r="Z76" i="9" s="1"/>
  <c r="K68" i="9"/>
  <c r="AA68" i="9" s="1"/>
  <c r="K82" i="9"/>
  <c r="AA82" i="9" s="1"/>
  <c r="K69" i="9"/>
  <c r="AA69" i="9" s="1"/>
  <c r="J82" i="9"/>
  <c r="Z82" i="9" s="1"/>
  <c r="K81" i="9"/>
  <c r="AA81" i="9" s="1"/>
  <c r="Y94" i="9"/>
  <c r="I72" i="9"/>
  <c r="Y72" i="9" s="1"/>
  <c r="AA90" i="9"/>
  <c r="J74" i="9"/>
  <c r="Z74" i="9" s="1"/>
  <c r="FB84" i="9"/>
  <c r="FB70" i="9"/>
  <c r="FD80" i="9"/>
  <c r="FC79" i="9"/>
  <c r="FC72" i="9"/>
  <c r="FB87" i="9"/>
  <c r="FC78" i="9"/>
  <c r="FD85" i="9"/>
  <c r="FD77" i="9"/>
  <c r="FD73" i="9"/>
  <c r="FC81" i="9"/>
  <c r="FD86" i="9"/>
  <c r="FD87" i="9"/>
  <c r="FC69" i="9"/>
  <c r="FB78" i="9"/>
  <c r="FC77" i="9"/>
  <c r="FC84" i="9"/>
  <c r="FD70" i="9"/>
  <c r="FC87" i="9"/>
  <c r="FD75" i="9"/>
  <c r="FC86" i="9"/>
  <c r="FC71" i="9"/>
  <c r="FC70" i="9"/>
  <c r="FB77" i="9"/>
  <c r="FC80" i="9"/>
  <c r="FD72" i="9"/>
  <c r="FB69" i="9"/>
  <c r="FB71" i="9"/>
  <c r="FD71" i="9"/>
  <c r="FC75" i="9"/>
  <c r="FD78" i="9"/>
  <c r="FD84" i="9"/>
  <c r="FD79" i="9"/>
  <c r="FD83" i="9"/>
  <c r="FC68" i="9"/>
  <c r="FC85" i="9"/>
  <c r="FD74" i="9"/>
  <c r="FC73" i="9"/>
  <c r="FB81" i="9"/>
  <c r="FC83" i="9"/>
  <c r="DD83" i="9"/>
  <c r="DD80" i="9"/>
  <c r="DD77" i="9"/>
  <c r="DD84" i="9"/>
  <c r="DD79" i="9"/>
  <c r="DD85" i="9"/>
  <c r="DD75" i="9"/>
  <c r="DD81" i="9"/>
  <c r="EL82" i="9"/>
  <c r="EL86" i="9"/>
  <c r="EL87" i="9"/>
  <c r="EL78" i="9"/>
  <c r="DU78" i="9" a="1"/>
  <c r="DU78" i="9" s="1"/>
  <c r="DC72" i="9"/>
  <c r="EK81" i="9"/>
  <c r="DD69" i="9"/>
  <c r="DV74" i="9"/>
  <c r="DC69" i="9"/>
  <c r="DV76" i="9"/>
  <c r="EK78" i="9"/>
  <c r="DE79" i="9"/>
  <c r="DC81" i="9"/>
  <c r="EL69" i="9"/>
  <c r="EM80" i="9"/>
  <c r="DC79" i="9"/>
  <c r="EM69" i="9"/>
  <c r="EL71" i="9"/>
  <c r="DE73" i="9"/>
  <c r="DE83" i="9"/>
  <c r="DE85" i="9"/>
  <c r="DC87" i="9"/>
  <c r="EM81" i="9"/>
  <c r="DC82" i="9"/>
  <c r="DC73" i="9"/>
  <c r="DE69" i="9"/>
  <c r="DD71" i="9"/>
  <c r="DC77" i="9"/>
  <c r="EM83" i="9"/>
  <c r="DC71" i="9"/>
  <c r="EM70" i="9"/>
  <c r="DE81" i="9"/>
  <c r="DT76" i="9"/>
  <c r="EM82" i="9"/>
  <c r="EM87" i="9"/>
  <c r="DC80" i="9"/>
  <c r="DD72" i="9"/>
  <c r="EK77" i="9"/>
  <c r="EM72" i="9"/>
  <c r="EK71" i="9"/>
  <c r="DE70" i="9"/>
  <c r="DC70" i="9"/>
  <c r="EM79" i="9"/>
  <c r="EM84" i="9"/>
  <c r="DE82" i="9"/>
  <c r="DE87" i="9"/>
  <c r="EL72" i="9"/>
  <c r="DE72" i="9"/>
  <c r="DC85" i="9"/>
  <c r="DC86" i="9"/>
  <c r="DE75" i="9"/>
  <c r="EK70" i="9"/>
  <c r="DC78" i="9"/>
  <c r="EM75" i="9"/>
  <c r="EK72" i="9"/>
  <c r="EM86" i="9"/>
  <c r="DD73" i="9"/>
  <c r="EL70" i="9"/>
  <c r="EM77" i="9"/>
  <c r="DE71" i="9"/>
  <c r="DE84" i="9"/>
  <c r="DE80" i="9"/>
  <c r="DC84" i="9"/>
  <c r="DE78" i="9"/>
  <c r="DC75" i="9"/>
  <c r="DE86" i="9"/>
  <c r="EL73" i="9"/>
  <c r="DD70" i="9"/>
  <c r="DE77" i="9"/>
  <c r="EM71" i="9"/>
  <c r="EM73" i="9"/>
  <c r="EM85" i="9"/>
  <c r="DC83" i="9"/>
  <c r="EK87" i="9"/>
  <c r="EM78" i="9"/>
  <c r="DT81" i="9" a="1"/>
  <c r="DT81" i="9" s="1"/>
  <c r="DT86" i="9" a="1"/>
  <c r="DT86" i="9" s="1"/>
  <c r="DT78" i="9" a="1"/>
  <c r="DT78" i="9" s="1"/>
  <c r="DT82" i="9" a="1"/>
  <c r="DT82" i="9" s="1"/>
  <c r="DT83" i="9" a="1"/>
  <c r="DT83" i="9" s="1"/>
  <c r="DT79" i="9" a="1"/>
  <c r="DT79" i="9" s="1"/>
  <c r="DT77" i="9" a="1"/>
  <c r="DT77" i="9" s="1"/>
  <c r="BV68" i="9"/>
  <c r="CM68" i="9" s="1"/>
  <c r="DT84" i="9" a="1"/>
  <c r="DT84" i="9" s="1"/>
  <c r="DT80" i="9" a="1"/>
  <c r="DT80" i="9" s="1"/>
  <c r="BW68" i="9"/>
  <c r="CN68" i="9" s="1"/>
  <c r="BU68" i="9"/>
  <c r="CL68" i="9" s="1"/>
  <c r="DT85" i="9" a="1"/>
  <c r="DT85" i="9" s="1"/>
  <c r="DT87" i="9" a="1"/>
  <c r="DT87" i="9" s="1"/>
  <c r="DV69" i="9" a="1"/>
  <c r="DV82" i="9" a="1"/>
  <c r="DT69" i="9" a="1"/>
  <c r="DE68" i="9" a="1"/>
  <c r="DV71" i="9" a="1"/>
  <c r="DV79" i="9" a="1"/>
  <c r="DV81" i="9" a="1"/>
  <c r="DV84" i="9" a="1"/>
  <c r="DV75" i="9" a="1"/>
  <c r="DU70" i="9" a="1"/>
  <c r="DV78" i="9" a="1"/>
  <c r="DU71" i="9" a="1"/>
  <c r="DD68" i="9" a="1"/>
  <c r="DU69" i="9" a="1"/>
  <c r="DT72" i="9" a="1"/>
  <c r="DC68" i="9" a="1"/>
  <c r="DV85" i="9" a="1"/>
  <c r="DV87" i="9" a="1"/>
  <c r="DV73" i="9" a="1"/>
  <c r="DV80" i="9" a="1"/>
  <c r="DV83" i="9" a="1"/>
  <c r="DV72" i="9" a="1"/>
  <c r="DT75" i="9" a="1"/>
  <c r="DV86" i="9" a="1"/>
  <c r="DT71" i="9" a="1"/>
  <c r="DT73" i="9" a="1"/>
  <c r="DV70" i="9" a="1"/>
  <c r="DU72" i="9" a="1"/>
  <c r="DV77" i="9" a="1"/>
  <c r="DU73" i="9" a="1"/>
  <c r="DT70" i="9" a="1"/>
  <c r="E85" i="6"/>
  <c r="E80" i="6"/>
  <c r="FD77" i="6" a="1"/>
  <c r="EK68" i="9" a="1"/>
  <c r="F79" i="6"/>
  <c r="F70" i="6"/>
  <c r="F78" i="6"/>
  <c r="V79" i="6" a="1"/>
  <c r="EK69" i="9" a="1"/>
  <c r="EK79" i="9" a="1"/>
  <c r="FB76" i="9" a="1"/>
  <c r="FD82" i="9" a="1"/>
  <c r="FB79" i="6" a="1"/>
  <c r="W71" i="6" a="1"/>
  <c r="F75" i="6"/>
  <c r="F68" i="6"/>
  <c r="E78" i="6"/>
  <c r="FB77" i="6" a="1"/>
  <c r="G75" i="6"/>
  <c r="FD69" i="6" a="1"/>
  <c r="FD68" i="9" a="1"/>
  <c r="E86" i="6"/>
  <c r="FD71" i="6" a="1"/>
  <c r="E74" i="6"/>
  <c r="G70" i="6"/>
  <c r="FB86" i="9" a="1"/>
  <c r="F82" i="6"/>
  <c r="E72" i="6"/>
  <c r="FD69" i="9" a="1"/>
  <c r="FB85" i="9" a="1"/>
  <c r="G73" i="6"/>
  <c r="E69" i="6"/>
  <c r="E87" i="6"/>
  <c r="EL76" i="9" a="1"/>
  <c r="EK75" i="9" a="1"/>
  <c r="W85" i="6" a="1"/>
  <c r="F74" i="6"/>
  <c r="FC76" i="9" a="1"/>
  <c r="EK86" i="9" a="1"/>
  <c r="G85" i="6"/>
  <c r="FB68" i="9" a="1"/>
  <c r="EK80" i="9" a="1"/>
  <c r="E83" i="6"/>
  <c r="X77" i="6" a="1"/>
  <c r="G79" i="6"/>
  <c r="G83" i="6"/>
  <c r="E82" i="6"/>
  <c r="W80" i="6" a="1"/>
  <c r="G81" i="6"/>
  <c r="G86" i="6"/>
  <c r="G68" i="6"/>
  <c r="G76" i="6"/>
  <c r="EK85" i="9" a="1"/>
  <c r="E70" i="6"/>
  <c r="FC85" i="6" a="1"/>
  <c r="G72" i="6"/>
  <c r="EM68" i="9" a="1"/>
  <c r="FC77" i="6" a="1"/>
  <c r="FB79" i="9" a="1"/>
  <c r="FB68" i="6" a="1"/>
  <c r="F69" i="6"/>
  <c r="EK83" i="9" a="1"/>
  <c r="E81" i="6"/>
  <c r="F86" i="6"/>
  <c r="FC71" i="6" a="1"/>
  <c r="F73" i="6"/>
  <c r="G84" i="6"/>
  <c r="FB73" i="9" a="1"/>
  <c r="G74" i="6"/>
  <c r="FB75" i="9" a="1"/>
  <c r="V68" i="6" a="1"/>
  <c r="FB83" i="9" a="1"/>
  <c r="X71" i="6" a="1"/>
  <c r="X69" i="6" a="1"/>
  <c r="EM76" i="9" a="1"/>
  <c r="FD76" i="9" a="1"/>
  <c r="FC82" i="9" a="1"/>
  <c r="EL74" i="9" a="1"/>
  <c r="E71" i="6"/>
  <c r="FB74" i="9" a="1"/>
  <c r="W77" i="6" a="1"/>
  <c r="E75" i="6"/>
  <c r="FC74" i="9" a="1"/>
  <c r="FC80" i="6" a="1"/>
  <c r="EK76" i="9" a="1"/>
  <c r="W87" i="6" a="1"/>
  <c r="G87" i="6"/>
  <c r="FB82" i="9" a="1"/>
  <c r="FB80" i="9" a="1"/>
  <c r="FD81" i="9" a="1"/>
  <c r="G78" i="6"/>
  <c r="FC84" i="6" a="1"/>
  <c r="G82" i="6"/>
  <c r="FB72" i="9" a="1"/>
  <c r="W84" i="6" a="1"/>
  <c r="F76" i="6"/>
  <c r="E84" i="6"/>
  <c r="FB76" i="6" a="1"/>
  <c r="EL68" i="9" a="1"/>
  <c r="E73" i="6"/>
  <c r="EK84" i="9" a="1"/>
  <c r="F81" i="6"/>
  <c r="F72" i="6"/>
  <c r="EK73" i="9" a="1"/>
  <c r="F83" i="6"/>
  <c r="V77" i="6" a="1"/>
  <c r="FC87" i="6" a="1"/>
  <c r="EK82" i="9" a="1"/>
  <c r="G80" i="6"/>
  <c r="EM74" i="9" a="1"/>
  <c r="V76" i="6" a="1"/>
  <c r="EK74" i="9" a="1"/>
  <c r="FB83" i="9" l="1"/>
  <c r="FB68" i="9"/>
  <c r="EK79" i="9"/>
  <c r="FB73" i="9"/>
  <c r="EK83" i="9"/>
  <c r="EK84" i="9"/>
  <c r="EK85" i="9"/>
  <c r="FB75" i="9"/>
  <c r="FB86" i="9"/>
  <c r="FB85" i="9"/>
  <c r="FB82" i="9"/>
  <c r="EK82" i="9"/>
  <c r="EK86" i="9"/>
  <c r="FB79" i="9"/>
  <c r="EK75" i="9"/>
  <c r="EK69" i="9"/>
  <c r="EK73" i="9"/>
  <c r="EK80" i="9"/>
  <c r="FB80" i="9"/>
  <c r="C46" i="9"/>
  <c r="B46" i="9" s="1"/>
  <c r="C53" i="9"/>
  <c r="C12" i="9"/>
  <c r="D8" i="9"/>
  <c r="D47" i="9" s="1"/>
  <c r="C50" i="9"/>
  <c r="B50" i="9" s="1"/>
  <c r="D15" i="9"/>
  <c r="D54" i="9" s="1"/>
  <c r="C10" i="9"/>
  <c r="C8" i="9"/>
  <c r="D12" i="9"/>
  <c r="D51" i="9" s="1"/>
  <c r="B8" i="9"/>
  <c r="B9" i="9" s="1"/>
  <c r="FC74" i="9"/>
  <c r="FD81" i="9"/>
  <c r="FD76" i="9"/>
  <c r="FB76" i="9"/>
  <c r="FB74" i="9"/>
  <c r="EL74" i="9"/>
  <c r="FD69" i="9"/>
  <c r="EK76" i="9"/>
  <c r="FD82" i="9"/>
  <c r="EM76" i="9"/>
  <c r="EK74" i="9"/>
  <c r="FC82" i="9"/>
  <c r="FD68" i="9"/>
  <c r="W77" i="6"/>
  <c r="BE77" i="6" s="1"/>
  <c r="BV77" i="6" s="1"/>
  <c r="FC77" i="6"/>
  <c r="FB72" i="9"/>
  <c r="FC76" i="9"/>
  <c r="EM74" i="9"/>
  <c r="EL76" i="9"/>
  <c r="D10" i="9"/>
  <c r="D49" i="9" s="1"/>
  <c r="B10" i="9"/>
  <c r="FC80" i="6"/>
  <c r="W87" i="6"/>
  <c r="BE87" i="6" s="1"/>
  <c r="X69" i="6"/>
  <c r="BF69" i="6" s="1"/>
  <c r="BW69" i="6" s="1"/>
  <c r="FC84" i="6"/>
  <c r="FD77" i="6"/>
  <c r="FC85" i="6"/>
  <c r="W84" i="6"/>
  <c r="BE84" i="6" s="1"/>
  <c r="BV84" i="6" s="1"/>
  <c r="X77" i="6"/>
  <c r="BF77" i="6" s="1"/>
  <c r="BW77" i="6" s="1"/>
  <c r="W80" i="6"/>
  <c r="BE80" i="6" s="1"/>
  <c r="W85" i="6"/>
  <c r="BE85" i="6" s="1"/>
  <c r="FB76" i="6"/>
  <c r="FD71" i="6"/>
  <c r="V79" i="6"/>
  <c r="W71" i="6"/>
  <c r="BE71" i="6" s="1"/>
  <c r="V76" i="6"/>
  <c r="FB68" i="6"/>
  <c r="X71" i="6"/>
  <c r="BF71" i="6" s="1"/>
  <c r="FB79" i="6"/>
  <c r="FC71" i="6"/>
  <c r="FC87" i="6"/>
  <c r="V68" i="6"/>
  <c r="FD69" i="6"/>
  <c r="FB77" i="6"/>
  <c r="V77" i="6"/>
  <c r="DT70" i="9"/>
  <c r="DU73" i="9"/>
  <c r="DV77" i="9"/>
  <c r="DU72" i="9"/>
  <c r="EL68" i="9"/>
  <c r="DV70" i="9"/>
  <c r="DT73" i="9"/>
  <c r="DT71" i="9"/>
  <c r="DV86" i="9"/>
  <c r="DT75" i="9"/>
  <c r="DV72" i="9"/>
  <c r="DV83" i="9"/>
  <c r="DV80" i="9"/>
  <c r="DV73" i="9"/>
  <c r="DV87" i="9"/>
  <c r="DV85" i="9"/>
  <c r="DC68" i="9"/>
  <c r="DT72" i="9"/>
  <c r="DU69" i="9"/>
  <c r="DD68" i="9"/>
  <c r="DU71" i="9"/>
  <c r="DV78" i="9"/>
  <c r="DU70" i="9"/>
  <c r="EK68" i="9"/>
  <c r="DV75" i="9"/>
  <c r="DV84" i="9"/>
  <c r="DV81" i="9"/>
  <c r="EM68" i="9"/>
  <c r="DV79" i="9"/>
  <c r="DV71" i="9"/>
  <c r="DE68" i="9"/>
  <c r="DT69" i="9"/>
  <c r="DV82" i="9"/>
  <c r="DV69" i="9"/>
  <c r="DT68" i="9" a="1"/>
  <c r="DV68" i="9" a="1"/>
  <c r="DU68" i="9" a="1"/>
  <c r="FB87" i="6" a="1"/>
  <c r="FC73" i="6" a="1"/>
  <c r="FB74" i="6" a="1"/>
  <c r="X73" i="6" a="1"/>
  <c r="FB80" i="6" a="1"/>
  <c r="X74" i="6" a="1"/>
  <c r="FD84" i="6" a="1"/>
  <c r="FC78" i="6" a="1"/>
  <c r="FC69" i="6" a="1"/>
  <c r="W78" i="6" a="1"/>
  <c r="X80" i="6" a="1"/>
  <c r="FD79" i="6" a="1"/>
  <c r="W73" i="6" a="1"/>
  <c r="FD81" i="6" a="1"/>
  <c r="FC86" i="6" a="1"/>
  <c r="X75" i="6" a="1"/>
  <c r="V74" i="6" a="1"/>
  <c r="X70" i="6" a="1"/>
  <c r="FB69" i="6" a="1"/>
  <c r="FB83" i="6" a="1"/>
  <c r="FD70" i="6" a="1"/>
  <c r="V75" i="6" a="1"/>
  <c r="W86" i="6" a="1"/>
  <c r="FB72" i="6" a="1"/>
  <c r="V82" i="6" a="1"/>
  <c r="FD73" i="6" a="1"/>
  <c r="FC75" i="6" a="1"/>
  <c r="V70" i="6" a="1"/>
  <c r="W72" i="6" a="1"/>
  <c r="FC83" i="6" a="1"/>
  <c r="W70" i="6" a="1"/>
  <c r="FB70" i="6" a="1"/>
  <c r="FD86" i="6" a="1"/>
  <c r="FB86" i="6" a="1"/>
  <c r="FD72" i="6" a="1"/>
  <c r="FC74" i="6" a="1"/>
  <c r="X83" i="6" a="1"/>
  <c r="FD78" i="6" a="1"/>
  <c r="FD85" i="6" a="1"/>
  <c r="V84" i="6" a="1"/>
  <c r="X87" i="6" a="1"/>
  <c r="V86" i="6" a="1"/>
  <c r="V87" i="6" a="1"/>
  <c r="X85" i="6" a="1"/>
  <c r="X84" i="6" a="1"/>
  <c r="V85" i="6" a="1"/>
  <c r="W83" i="6" a="1"/>
  <c r="W74" i="6" a="1"/>
  <c r="X86" i="6" a="1"/>
  <c r="X81" i="6" a="1"/>
  <c r="V83" i="6" a="1"/>
  <c r="V73" i="6" a="1"/>
  <c r="V81" i="6" a="1"/>
  <c r="FB81" i="6" a="1"/>
  <c r="X76" i="6" a="1"/>
  <c r="X72" i="6" a="1"/>
  <c r="FB71" i="6" a="1"/>
  <c r="X82" i="6" a="1"/>
  <c r="V69" i="6" a="1"/>
  <c r="FC79" i="6" a="1"/>
  <c r="FD80" i="6" a="1"/>
  <c r="V72" i="6" a="1"/>
  <c r="W76" i="6" a="1"/>
  <c r="FC72" i="6" a="1"/>
  <c r="FB84" i="6" a="1"/>
  <c r="V78" i="6" a="1"/>
  <c r="FB78" i="6" a="1"/>
  <c r="FB75" i="6" a="1"/>
  <c r="V71" i="6" a="1"/>
  <c r="X79" i="6" a="1"/>
  <c r="FB85" i="6" a="1"/>
  <c r="W68" i="6" a="1"/>
  <c r="FD74" i="6" a="1"/>
  <c r="FD87" i="6" a="1"/>
  <c r="FC68" i="6" a="1"/>
  <c r="FB82" i="6" a="1"/>
  <c r="FC81" i="6" a="1"/>
  <c r="FC70" i="6" a="1"/>
  <c r="FD76" i="6" a="1"/>
  <c r="W79" i="6" a="1"/>
  <c r="W69" i="6" a="1"/>
  <c r="X68" i="6" a="1"/>
  <c r="FD68" i="6" a="1"/>
  <c r="FD82" i="6" a="1"/>
  <c r="W81" i="6" a="1"/>
  <c r="FB73" i="6" a="1"/>
  <c r="FD83" i="6" a="1"/>
  <c r="X78" i="6" a="1"/>
  <c r="V80" i="6" a="1"/>
  <c r="W75" i="6" a="1"/>
  <c r="FD75" i="6" a="1"/>
  <c r="W82" i="6" a="1"/>
  <c r="FC82" i="6" a="1"/>
  <c r="FC76" i="6" a="1"/>
  <c r="FB85" i="6" l="1"/>
  <c r="V85" i="6"/>
  <c r="V87" i="6"/>
  <c r="FB87" i="6"/>
  <c r="X80" i="6"/>
  <c r="BF80" i="6" s="1"/>
  <c r="BW80" i="6" s="1"/>
  <c r="FD80" i="6"/>
  <c r="FB80" i="6"/>
  <c r="FD68" i="6"/>
  <c r="FC68" i="6"/>
  <c r="V80" i="6"/>
  <c r="BD80" i="6" s="1"/>
  <c r="BU80" i="6" s="1"/>
  <c r="X68" i="6"/>
  <c r="BF68" i="6" s="1"/>
  <c r="BW68" i="6" s="1"/>
  <c r="W68" i="6"/>
  <c r="BE68" i="6" s="1"/>
  <c r="FC69" i="6"/>
  <c r="W69" i="6"/>
  <c r="BE69" i="6" s="1"/>
  <c r="BV69" i="6" s="1"/>
  <c r="V71" i="6"/>
  <c r="BD71" i="6" s="1"/>
  <c r="BU71" i="6" s="1"/>
  <c r="FB71" i="6"/>
  <c r="FD87" i="6"/>
  <c r="V69" i="6"/>
  <c r="BD69" i="6" s="1"/>
  <c r="X87" i="6"/>
  <c r="BF87" i="6" s="1"/>
  <c r="BW87" i="6" s="1"/>
  <c r="FB69" i="6"/>
  <c r="C47" i="9"/>
  <c r="B47" i="9" s="1"/>
  <c r="FC79" i="6"/>
  <c r="W79" i="6"/>
  <c r="BE79" i="6" s="1"/>
  <c r="BV79" i="6" s="1"/>
  <c r="FD85" i="6"/>
  <c r="X85" i="6"/>
  <c r="BF85" i="6" s="1"/>
  <c r="BW85" i="6" s="1"/>
  <c r="FD79" i="6"/>
  <c r="X79" i="6"/>
  <c r="BF79" i="6" s="1"/>
  <c r="C51" i="9"/>
  <c r="B51" i="9" s="1"/>
  <c r="C49" i="9"/>
  <c r="B49" i="9" s="1"/>
  <c r="D16" i="9"/>
  <c r="D55" i="9" s="1"/>
  <c r="D9" i="9"/>
  <c r="D48" i="9" s="1"/>
  <c r="D13" i="9"/>
  <c r="D52" i="9" s="1"/>
  <c r="FC76" i="6"/>
  <c r="W73" i="6"/>
  <c r="BE73" i="6" s="1"/>
  <c r="FD76" i="6"/>
  <c r="FB84" i="6"/>
  <c r="X74" i="6"/>
  <c r="BF74" i="6" s="1"/>
  <c r="BW74" i="6" s="1"/>
  <c r="FD72" i="6"/>
  <c r="V74" i="6"/>
  <c r="FC74" i="6"/>
  <c r="X81" i="6"/>
  <c r="BF81" i="6" s="1"/>
  <c r="FD70" i="6"/>
  <c r="FB70" i="6"/>
  <c r="FC83" i="6"/>
  <c r="FD74" i="6"/>
  <c r="X72" i="6"/>
  <c r="BF72" i="6" s="1"/>
  <c r="FB73" i="6"/>
  <c r="FC73" i="6"/>
  <c r="FD81" i="6"/>
  <c r="X70" i="6"/>
  <c r="BF70" i="6" s="1"/>
  <c r="BW70" i="6" s="1"/>
  <c r="FC70" i="6"/>
  <c r="V70" i="6"/>
  <c r="X76" i="6"/>
  <c r="BF76" i="6" s="1"/>
  <c r="V78" i="6"/>
  <c r="W76" i="6"/>
  <c r="BE76" i="6" s="1"/>
  <c r="V82" i="6"/>
  <c r="FD78" i="6"/>
  <c r="FD82" i="6"/>
  <c r="FC82" i="6"/>
  <c r="FB78" i="6"/>
  <c r="FC81" i="6"/>
  <c r="FD86" i="6"/>
  <c r="FC72" i="6"/>
  <c r="V72" i="6"/>
  <c r="FB82" i="6"/>
  <c r="X78" i="6"/>
  <c r="BF78" i="6" s="1"/>
  <c r="BW78" i="6" s="1"/>
  <c r="X82" i="6"/>
  <c r="BF82" i="6" s="1"/>
  <c r="W82" i="6"/>
  <c r="BE82" i="6" s="1"/>
  <c r="V86" i="6"/>
  <c r="W81" i="6"/>
  <c r="BE81" i="6" s="1"/>
  <c r="FB81" i="6"/>
  <c r="X86" i="6"/>
  <c r="BF86" i="6" s="1"/>
  <c r="W72" i="6"/>
  <c r="BE72" i="6" s="1"/>
  <c r="FB72" i="6"/>
  <c r="FB86" i="6"/>
  <c r="V81" i="6"/>
  <c r="V83" i="6"/>
  <c r="FD84" i="6"/>
  <c r="W70" i="6"/>
  <c r="BE70" i="6" s="1"/>
  <c r="FC78" i="6"/>
  <c r="X75" i="6"/>
  <c r="BF75" i="6" s="1"/>
  <c r="W75" i="6"/>
  <c r="BE75" i="6" s="1"/>
  <c r="FD73" i="6"/>
  <c r="FD83" i="6"/>
  <c r="W86" i="6"/>
  <c r="BE86" i="6" s="1"/>
  <c r="FB83" i="6"/>
  <c r="X84" i="6"/>
  <c r="BF84" i="6" s="1"/>
  <c r="FB75" i="6"/>
  <c r="V73" i="6"/>
  <c r="V84" i="6"/>
  <c r="BD84" i="6" s="1"/>
  <c r="W78" i="6"/>
  <c r="BE78" i="6" s="1"/>
  <c r="FD75" i="6"/>
  <c r="FB74" i="6"/>
  <c r="W74" i="6"/>
  <c r="BE74" i="6" s="1"/>
  <c r="FC75" i="6"/>
  <c r="X73" i="6"/>
  <c r="BF73" i="6" s="1"/>
  <c r="X83" i="6"/>
  <c r="BF83" i="6" s="1"/>
  <c r="FC86" i="6"/>
  <c r="W83" i="6"/>
  <c r="BE83" i="6" s="1"/>
  <c r="V75" i="6"/>
  <c r="BD85" i="6"/>
  <c r="BU85" i="6" s="1"/>
  <c r="BD77" i="6"/>
  <c r="BU77" i="6" s="1"/>
  <c r="C77" i="6"/>
  <c r="CM77" i="6" s="1"/>
  <c r="BD87" i="6"/>
  <c r="BU87" i="6" s="1"/>
  <c r="BD76" i="6"/>
  <c r="BU76" i="6" s="1"/>
  <c r="BD79" i="6"/>
  <c r="BU79" i="6" s="1"/>
  <c r="BD68" i="6"/>
  <c r="BU68" i="6" s="1"/>
  <c r="BV85" i="6"/>
  <c r="BV71" i="6"/>
  <c r="BV87" i="6"/>
  <c r="BV80" i="6"/>
  <c r="BV68" i="6"/>
  <c r="BW71" i="6"/>
  <c r="C9" i="9"/>
  <c r="DU68" i="9"/>
  <c r="DV68" i="9"/>
  <c r="DT68" i="9"/>
  <c r="C16" i="9"/>
  <c r="C13" i="9"/>
  <c r="B15" i="6"/>
  <c r="N15" i="6"/>
  <c r="DD85" i="6" a="1"/>
  <c r="DD71" i="6" a="1"/>
  <c r="DD84" i="6" a="1"/>
  <c r="DD77" i="6" a="1"/>
  <c r="DD69" i="6" a="1"/>
  <c r="DD80" i="6" a="1"/>
  <c r="DC69" i="6" a="1"/>
  <c r="DD87" i="6" a="1"/>
  <c r="DE70" i="6" a="1"/>
  <c r="DE78" i="6" a="1"/>
  <c r="DE71" i="6" a="1"/>
  <c r="DE69" i="6" a="1"/>
  <c r="EL77" i="6" a="1"/>
  <c r="DE77" i="6" a="1"/>
  <c r="DD68" i="6" a="1"/>
  <c r="C80" i="6" l="1"/>
  <c r="CN80" i="6" s="1"/>
  <c r="C71" i="6"/>
  <c r="CM71" i="6" s="1"/>
  <c r="DD84" i="6"/>
  <c r="AN84" i="6" s="1"/>
  <c r="C68" i="6"/>
  <c r="CN68" i="6" s="1"/>
  <c r="C69" i="6"/>
  <c r="CM69" i="6" s="1"/>
  <c r="DE77" i="6"/>
  <c r="AO77" i="6" s="1"/>
  <c r="DE69" i="6"/>
  <c r="AO69" i="6" s="1"/>
  <c r="DD77" i="6"/>
  <c r="AN77" i="6" s="1"/>
  <c r="C87" i="6"/>
  <c r="CN87" i="6" s="1"/>
  <c r="C85" i="6"/>
  <c r="CL85" i="6" s="1"/>
  <c r="DT85" i="6" s="1" a="1"/>
  <c r="DD69" i="6"/>
  <c r="AN69" i="6" s="1"/>
  <c r="BW79" i="6"/>
  <c r="C79" i="6"/>
  <c r="CL77" i="6"/>
  <c r="C7" i="6"/>
  <c r="D11" i="6"/>
  <c r="D50" i="6" s="1"/>
  <c r="C11" i="6"/>
  <c r="BW73" i="6"/>
  <c r="BV76" i="6"/>
  <c r="BW72" i="6"/>
  <c r="BW76" i="6"/>
  <c r="C76" i="6"/>
  <c r="C75" i="6"/>
  <c r="BD75" i="6"/>
  <c r="C81" i="6"/>
  <c r="BD81" i="6"/>
  <c r="BV82" i="6"/>
  <c r="BD70" i="6"/>
  <c r="C70" i="6"/>
  <c r="CN70" i="6" s="1"/>
  <c r="BW84" i="6"/>
  <c r="CM80" i="6"/>
  <c r="DU80" i="6" s="1" a="1"/>
  <c r="BV83" i="6"/>
  <c r="BV78" i="6"/>
  <c r="BW82" i="6"/>
  <c r="BW86" i="6"/>
  <c r="BV74" i="6"/>
  <c r="C78" i="6"/>
  <c r="CN78" i="6" s="1"/>
  <c r="BD78" i="6"/>
  <c r="BV86" i="6"/>
  <c r="BD83" i="6"/>
  <c r="C83" i="6"/>
  <c r="BD86" i="6"/>
  <c r="C86" i="6"/>
  <c r="D7" i="6"/>
  <c r="D46" i="6" s="1"/>
  <c r="BU84" i="6"/>
  <c r="BV75" i="6"/>
  <c r="BV73" i="6"/>
  <c r="C72" i="6"/>
  <c r="BD72" i="6"/>
  <c r="C82" i="6"/>
  <c r="BD82" i="6"/>
  <c r="CL80" i="6"/>
  <c r="DT80" i="6" s="1" a="1"/>
  <c r="BV70" i="6"/>
  <c r="BD74" i="6"/>
  <c r="C74" i="6"/>
  <c r="CN74" i="6" s="1"/>
  <c r="BV81" i="6"/>
  <c r="CN71" i="6"/>
  <c r="C84" i="6"/>
  <c r="CM84" i="6" s="1"/>
  <c r="DU84" i="6" s="1" a="1"/>
  <c r="BW83" i="6"/>
  <c r="C73" i="6"/>
  <c r="BD73" i="6"/>
  <c r="BW75" i="6"/>
  <c r="BV72" i="6"/>
  <c r="BW81" i="6"/>
  <c r="EL77" i="6"/>
  <c r="DC69" i="6"/>
  <c r="AM69" i="6" s="1"/>
  <c r="CN77" i="6"/>
  <c r="BU69" i="6"/>
  <c r="DD85" i="6"/>
  <c r="AN85" i="6" s="1"/>
  <c r="DE78" i="6"/>
  <c r="AO78" i="6" s="1"/>
  <c r="DD87" i="6"/>
  <c r="AN87" i="6" s="1"/>
  <c r="DE70" i="6"/>
  <c r="AO70" i="6" s="1"/>
  <c r="DD80" i="6"/>
  <c r="AN80" i="6" s="1"/>
  <c r="DE71" i="6"/>
  <c r="AO71" i="6" s="1"/>
  <c r="DD68" i="6"/>
  <c r="AN68" i="6" s="1"/>
  <c r="DD71" i="6"/>
  <c r="AN71" i="6" s="1"/>
  <c r="C52" i="9"/>
  <c r="B52" i="9" s="1"/>
  <c r="C55" i="9"/>
  <c r="B55" i="9" s="1"/>
  <c r="C48" i="9"/>
  <c r="B48" i="9" s="1"/>
  <c r="B53" i="9"/>
  <c r="C15" i="9"/>
  <c r="DU77" i="6" a="1"/>
  <c r="DE80" i="6" a="1"/>
  <c r="DC84" i="6" a="1"/>
  <c r="EM70" i="6" a="1"/>
  <c r="DC76" i="6" a="1"/>
  <c r="EM77" i="6" a="1"/>
  <c r="DD74" i="6" a="1"/>
  <c r="DU69" i="6" a="1"/>
  <c r="DC77" i="6" a="1"/>
  <c r="DV80" i="6" a="1"/>
  <c r="DD82" i="6" a="1"/>
  <c r="EM87" i="6" a="1"/>
  <c r="DV87" i="6" a="1"/>
  <c r="EK77" i="6" a="1"/>
  <c r="DD72" i="6" a="1"/>
  <c r="EM80" i="6" a="1"/>
  <c r="DD81" i="6" a="1"/>
  <c r="DD83" i="6" a="1"/>
  <c r="DC71" i="6" a="1"/>
  <c r="DE79" i="6" a="1"/>
  <c r="EL84" i="6" a="1"/>
  <c r="DC79" i="6" a="1"/>
  <c r="EL71" i="6" a="1"/>
  <c r="DE82" i="6" a="1"/>
  <c r="EM78" i="6" a="1"/>
  <c r="EK85" i="6" a="1"/>
  <c r="DD76" i="6" a="1"/>
  <c r="DC68" i="6" a="1"/>
  <c r="DD75" i="6" a="1"/>
  <c r="DE83" i="6" a="1"/>
  <c r="DC85" i="6" a="1"/>
  <c r="EL69" i="6" a="1"/>
  <c r="DE74" i="6" a="1"/>
  <c r="DD73" i="6" a="1"/>
  <c r="DE73" i="6" a="1"/>
  <c r="DE86" i="6" a="1"/>
  <c r="DE72" i="6" a="1"/>
  <c r="EK80" i="6" a="1"/>
  <c r="EM71" i="6" a="1"/>
  <c r="DE87" i="6" a="1"/>
  <c r="DE81" i="6" a="1"/>
  <c r="EL80" i="6" a="1"/>
  <c r="DE84" i="6" a="1"/>
  <c r="DE68" i="6" a="1"/>
  <c r="EM74" i="6" a="1"/>
  <c r="EM68" i="6" a="1"/>
  <c r="DE75" i="6" a="1"/>
  <c r="DC87" i="6" a="1"/>
  <c r="DD70" i="6" a="1"/>
  <c r="DD86" i="6" a="1"/>
  <c r="DC80" i="6" a="1"/>
  <c r="DE76" i="6" a="1"/>
  <c r="DE85" i="6" a="1"/>
  <c r="DD79" i="6" a="1"/>
  <c r="DD78" i="6" a="1"/>
  <c r="DU71" i="6" a="1"/>
  <c r="DV77" i="6" a="1"/>
  <c r="DV68" i="6" a="1"/>
  <c r="DC77" i="6" l="1"/>
  <c r="AM77" i="6" s="1"/>
  <c r="DE80" i="6"/>
  <c r="AO80" i="6" s="1"/>
  <c r="CL71" i="6"/>
  <c r="CM68" i="6"/>
  <c r="CL68" i="6"/>
  <c r="EM80" i="6"/>
  <c r="DV80" i="6"/>
  <c r="DC85" i="6"/>
  <c r="AM85" i="6" s="1"/>
  <c r="DE68" i="6"/>
  <c r="AO68" i="6" s="1"/>
  <c r="DE85" i="6"/>
  <c r="AO85" i="6" s="1"/>
  <c r="CL69" i="6"/>
  <c r="CN69" i="6"/>
  <c r="DT85" i="6"/>
  <c r="DU84" i="6"/>
  <c r="EL69" i="6"/>
  <c r="DU69" i="6"/>
  <c r="CN79" i="6"/>
  <c r="DE87" i="6"/>
  <c r="AO87" i="6" s="1"/>
  <c r="DD79" i="6"/>
  <c r="AN79" i="6" s="1"/>
  <c r="CL87" i="6"/>
  <c r="CM87" i="6"/>
  <c r="CM85" i="6"/>
  <c r="DU85" i="6" s="1" a="1"/>
  <c r="CN85" i="6"/>
  <c r="DT80" i="6"/>
  <c r="DU80" i="6"/>
  <c r="DU77" i="6"/>
  <c r="C46" i="6"/>
  <c r="CM79" i="6"/>
  <c r="CL79" i="6"/>
  <c r="DE79" i="6"/>
  <c r="AO79" i="6" s="1"/>
  <c r="DC76" i="6"/>
  <c r="AM76" i="6" s="1"/>
  <c r="DC87" i="6"/>
  <c r="AM87" i="6" s="1"/>
  <c r="CN76" i="6"/>
  <c r="CM72" i="6"/>
  <c r="C50" i="6"/>
  <c r="B50" i="6" s="1"/>
  <c r="EL71" i="6"/>
  <c r="EK77" i="6"/>
  <c r="CL76" i="6"/>
  <c r="CM70" i="6"/>
  <c r="CN72" i="6"/>
  <c r="CN75" i="6"/>
  <c r="CM73" i="6"/>
  <c r="CM86" i="6"/>
  <c r="CN82" i="6"/>
  <c r="B4" i="6"/>
  <c r="D4" i="6" s="1"/>
  <c r="C10" i="6" s="1"/>
  <c r="CM78" i="6"/>
  <c r="CM76" i="6"/>
  <c r="EM87" i="6"/>
  <c r="B7" i="6"/>
  <c r="CN84" i="6"/>
  <c r="CM74" i="6"/>
  <c r="EM70" i="6"/>
  <c r="EM71" i="6"/>
  <c r="DC79" i="6"/>
  <c r="AM79" i="6" s="1"/>
  <c r="DC68" i="6"/>
  <c r="AM68" i="6" s="1"/>
  <c r="EL84" i="6"/>
  <c r="DE82" i="6"/>
  <c r="AO82" i="6" s="1"/>
  <c r="DC71" i="6"/>
  <c r="AM71" i="6" s="1"/>
  <c r="DD81" i="6"/>
  <c r="AN81" i="6" s="1"/>
  <c r="DC84" i="6"/>
  <c r="AM84" i="6" s="1"/>
  <c r="DD86" i="6"/>
  <c r="AN86" i="6" s="1"/>
  <c r="EK85" i="6"/>
  <c r="DE76" i="6"/>
  <c r="AO76" i="6" s="1"/>
  <c r="DD73" i="6"/>
  <c r="AN73" i="6" s="1"/>
  <c r="EK80" i="6"/>
  <c r="DD75" i="6"/>
  <c r="AN75" i="6" s="1"/>
  <c r="DD76" i="6"/>
  <c r="AN76" i="6" s="1"/>
  <c r="DE81" i="6"/>
  <c r="AO81" i="6" s="1"/>
  <c r="DE83" i="6"/>
  <c r="AO83" i="6" s="1"/>
  <c r="DE86" i="6"/>
  <c r="AO86" i="6" s="1"/>
  <c r="EL80" i="6"/>
  <c r="DD72" i="6"/>
  <c r="AN72" i="6" s="1"/>
  <c r="DD70" i="6"/>
  <c r="AN70" i="6" s="1"/>
  <c r="DD74" i="6"/>
  <c r="AN74" i="6" s="1"/>
  <c r="DE84" i="6"/>
  <c r="AO84" i="6" s="1"/>
  <c r="DE75" i="6"/>
  <c r="AO75" i="6" s="1"/>
  <c r="EM78" i="6"/>
  <c r="DD78" i="6"/>
  <c r="AN78" i="6" s="1"/>
  <c r="DC80" i="6"/>
  <c r="AM80" i="6" s="1"/>
  <c r="DD83" i="6"/>
  <c r="AN83" i="6" s="1"/>
  <c r="DE73" i="6"/>
  <c r="AO73" i="6" s="1"/>
  <c r="EM74" i="6"/>
  <c r="DE74" i="6"/>
  <c r="AO74" i="6" s="1"/>
  <c r="DD82" i="6"/>
  <c r="AN82" i="6" s="1"/>
  <c r="DE72" i="6"/>
  <c r="AO72" i="6" s="1"/>
  <c r="BU86" i="6"/>
  <c r="CL86" i="6" s="1"/>
  <c r="BU74" i="6"/>
  <c r="CL74" i="6" s="1"/>
  <c r="BU81" i="6"/>
  <c r="CL81" i="6" s="1"/>
  <c r="CM83" i="6"/>
  <c r="BU70" i="6"/>
  <c r="CL70" i="6" s="1"/>
  <c r="CN73" i="6"/>
  <c r="BU83" i="6"/>
  <c r="CL83" i="6" s="1"/>
  <c r="BU73" i="6"/>
  <c r="CL73" i="6" s="1"/>
  <c r="CM81" i="6"/>
  <c r="BU72" i="6"/>
  <c r="CL72" i="6" s="1"/>
  <c r="CL84" i="6"/>
  <c r="BU78" i="6"/>
  <c r="CL78" i="6" s="1"/>
  <c r="CM82" i="6"/>
  <c r="BU75" i="6"/>
  <c r="CL75" i="6" s="1"/>
  <c r="BU82" i="6"/>
  <c r="CL82" i="6" s="1"/>
  <c r="CM75" i="6"/>
  <c r="CN81" i="6"/>
  <c r="CN83" i="6"/>
  <c r="CN86" i="6"/>
  <c r="EM77" i="6"/>
  <c r="DV77" i="6"/>
  <c r="EM68" i="6"/>
  <c r="DV68" i="6"/>
  <c r="DU71" i="6"/>
  <c r="DV87" i="6"/>
  <c r="C54" i="9"/>
  <c r="B54" i="9" s="1"/>
  <c r="B16" i="6"/>
  <c r="N16" i="6"/>
  <c r="DT77" i="6" a="1"/>
  <c r="DU78" i="6" a="1"/>
  <c r="DU79" i="6" a="1"/>
  <c r="DT79" i="6" a="1"/>
  <c r="DU74" i="6" a="1"/>
  <c r="DC83" i="6" a="1"/>
  <c r="EM86" i="6" a="1"/>
  <c r="DU72" i="6" a="1"/>
  <c r="EL73" i="6" a="1"/>
  <c r="DV78" i="6" a="1"/>
  <c r="DC70" i="6" a="1"/>
  <c r="EL85" i="6" a="1"/>
  <c r="EL75" i="6" a="1"/>
  <c r="EM79" i="6" a="1"/>
  <c r="EL76" i="6" a="1"/>
  <c r="DV74" i="6" a="1"/>
  <c r="EL79" i="6" a="1"/>
  <c r="DU76" i="6" a="1"/>
  <c r="EL72" i="6" a="1"/>
  <c r="EK72" i="6" a="1"/>
  <c r="EL78" i="6" a="1"/>
  <c r="DC75" i="6" a="1"/>
  <c r="DV70" i="6" a="1"/>
  <c r="DV79" i="6" a="1"/>
  <c r="EL86" i="6" a="1"/>
  <c r="EK69" i="6" a="1"/>
  <c r="EL70" i="6" a="1"/>
  <c r="DC82" i="6" a="1"/>
  <c r="DC81" i="6" a="1"/>
  <c r="EM76" i="6" a="1"/>
  <c r="EK81" i="6" a="1"/>
  <c r="EM84" i="6" a="1"/>
  <c r="EK78" i="6" a="1"/>
  <c r="EM83" i="6" a="1"/>
  <c r="DV84" i="6" a="1"/>
  <c r="EK68" i="6" a="1"/>
  <c r="DV71" i="6" a="1"/>
  <c r="EK70" i="6" a="1"/>
  <c r="EL74" i="6" a="1"/>
  <c r="EM82" i="6" a="1"/>
  <c r="EK87" i="6" a="1"/>
  <c r="DU73" i="6" a="1"/>
  <c r="EM85" i="6" a="1"/>
  <c r="EK71" i="6" a="1"/>
  <c r="EK83" i="6" a="1"/>
  <c r="EK73" i="6" a="1"/>
  <c r="DV76" i="6" a="1"/>
  <c r="EL81" i="6" a="1"/>
  <c r="DC86" i="6" a="1"/>
  <c r="EM69" i="6" a="1"/>
  <c r="DC78" i="6" a="1"/>
  <c r="DU68" i="6" a="1"/>
  <c r="DV75" i="6" a="1"/>
  <c r="EL83" i="6" a="1"/>
  <c r="EK74" i="6" a="1"/>
  <c r="EL68" i="6" a="1"/>
  <c r="DC74" i="6" a="1"/>
  <c r="EM73" i="6" a="1"/>
  <c r="EM75" i="6" a="1"/>
  <c r="EK82" i="6" a="1"/>
  <c r="EM72" i="6" a="1"/>
  <c r="EK76" i="6" a="1"/>
  <c r="DC72" i="6" a="1"/>
  <c r="EK86" i="6" a="1"/>
  <c r="EM81" i="6" a="1"/>
  <c r="EK75" i="6" a="1"/>
  <c r="DC73" i="6" a="1"/>
  <c r="EK84" i="6" a="1"/>
  <c r="DT71" i="6" a="1"/>
  <c r="DT68" i="6" a="1"/>
  <c r="EK79" i="6" a="1"/>
  <c r="EL87" i="6" a="1"/>
  <c r="EL82" i="6" a="1"/>
  <c r="DV72" i="6" a="1"/>
  <c r="DU70" i="6" a="1"/>
  <c r="DV82" i="6" a="1"/>
  <c r="DT76" i="6" a="1"/>
  <c r="EK71" i="6" l="1"/>
  <c r="EL68" i="6"/>
  <c r="EK68" i="6"/>
  <c r="EM69" i="6"/>
  <c r="EK69" i="6"/>
  <c r="DU79" i="6"/>
  <c r="DU85" i="6"/>
  <c r="DT79" i="6"/>
  <c r="EM79" i="6"/>
  <c r="DV79" i="6"/>
  <c r="B46" i="6"/>
  <c r="EM85" i="6"/>
  <c r="EK87" i="6"/>
  <c r="EL87" i="6"/>
  <c r="EL85" i="6"/>
  <c r="DU74" i="6"/>
  <c r="DT77" i="6"/>
  <c r="EK79" i="6"/>
  <c r="EL79" i="6"/>
  <c r="EL72" i="6"/>
  <c r="EM76" i="6"/>
  <c r="EL70" i="6"/>
  <c r="DT76" i="6"/>
  <c r="EK76" i="6"/>
  <c r="B10" i="6"/>
  <c r="EM82" i="6"/>
  <c r="EL78" i="6"/>
  <c r="EL86" i="6"/>
  <c r="EL73" i="6"/>
  <c r="EM75" i="6"/>
  <c r="EM72" i="6"/>
  <c r="EL76" i="6"/>
  <c r="D10" i="6"/>
  <c r="D49" i="6" s="1"/>
  <c r="C49" i="6" s="1"/>
  <c r="B49" i="6" s="1"/>
  <c r="EL74" i="6"/>
  <c r="EM84" i="6"/>
  <c r="EL82" i="6"/>
  <c r="DC74" i="6"/>
  <c r="AM74" i="6" s="1"/>
  <c r="DV74" i="6"/>
  <c r="DV76" i="6"/>
  <c r="DU70" i="6"/>
  <c r="EL81" i="6"/>
  <c r="DV75" i="6"/>
  <c r="EK81" i="6"/>
  <c r="DV82" i="6"/>
  <c r="EL75" i="6"/>
  <c r="EM73" i="6"/>
  <c r="DC82" i="6"/>
  <c r="AM82" i="6" s="1"/>
  <c r="DC70" i="6"/>
  <c r="EM83" i="6"/>
  <c r="DC73" i="6"/>
  <c r="AM73" i="6" s="1"/>
  <c r="DU73" i="6"/>
  <c r="EM81" i="6"/>
  <c r="EK73" i="6"/>
  <c r="EK86" i="6"/>
  <c r="EK82" i="6"/>
  <c r="DC78" i="6"/>
  <c r="AM78" i="6" s="1"/>
  <c r="EK70" i="6"/>
  <c r="EK74" i="6"/>
  <c r="EK78" i="6"/>
  <c r="EL83" i="6"/>
  <c r="DV70" i="6"/>
  <c r="EK84" i="6"/>
  <c r="DT71" i="6"/>
  <c r="EK75" i="6"/>
  <c r="DC72" i="6"/>
  <c r="AM72" i="6" s="1"/>
  <c r="DC83" i="6"/>
  <c r="AM83" i="6" s="1"/>
  <c r="DV72" i="6"/>
  <c r="DT68" i="6"/>
  <c r="DC86" i="6"/>
  <c r="AM86" i="6" s="1"/>
  <c r="DU76" i="6"/>
  <c r="DU78" i="6"/>
  <c r="DU72" i="6"/>
  <c r="DC75" i="6"/>
  <c r="AM75" i="6" s="1"/>
  <c r="DU68" i="6"/>
  <c r="EM86" i="6"/>
  <c r="DV71" i="6"/>
  <c r="DV78" i="6"/>
  <c r="EK72" i="6"/>
  <c r="EK83" i="6"/>
  <c r="DC81" i="6"/>
  <c r="AM81" i="6" s="1"/>
  <c r="DV84" i="6"/>
  <c r="C8" i="6"/>
  <c r="B8" i="6"/>
  <c r="B9" i="6" s="1"/>
  <c r="D14" i="6"/>
  <c r="D15" i="6" s="1"/>
  <c r="D54" i="6" s="1"/>
  <c r="C14" i="6"/>
  <c r="C15" i="6" s="1"/>
  <c r="D8" i="6"/>
  <c r="DT83" i="6" a="1"/>
  <c r="DT86" i="6" a="1"/>
  <c r="DU83" i="6" a="1"/>
  <c r="DT87" i="6" a="1"/>
  <c r="DU87" i="6" a="1"/>
  <c r="DT84" i="6" a="1"/>
  <c r="DU86" i="6" a="1"/>
  <c r="DT81" i="6" a="1"/>
  <c r="DU81" i="6" a="1"/>
  <c r="DT82" i="6" a="1"/>
  <c r="DU82" i="6" a="1"/>
  <c r="DT78" i="6" a="1"/>
  <c r="DT74" i="6" a="1"/>
  <c r="DT75" i="6" a="1"/>
  <c r="DV81" i="6" a="1"/>
  <c r="DT70" i="6" a="1"/>
  <c r="DV73" i="6" a="1"/>
  <c r="DT73" i="6" a="1"/>
  <c r="DV69" i="6" a="1"/>
  <c r="DV86" i="6" a="1"/>
  <c r="DT69" i="6" a="1"/>
  <c r="DU75" i="6" a="1"/>
  <c r="DV83" i="6" a="1"/>
  <c r="DT72" i="6" a="1"/>
  <c r="DV85" i="6" a="1"/>
  <c r="DV69" i="6" l="1"/>
  <c r="DT69" i="6"/>
  <c r="DU86" i="6"/>
  <c r="DT84" i="6"/>
  <c r="DU82" i="6"/>
  <c r="DU87" i="6"/>
  <c r="DT82" i="6"/>
  <c r="DT87" i="6"/>
  <c r="DT86" i="6"/>
  <c r="DT83" i="6"/>
  <c r="DV85" i="6"/>
  <c r="DU81" i="6"/>
  <c r="DT74" i="6"/>
  <c r="DT81" i="6"/>
  <c r="DU83" i="6"/>
  <c r="DT78" i="6"/>
  <c r="C12" i="6"/>
  <c r="C13" i="6" s="1"/>
  <c r="C54" i="6"/>
  <c r="B54" i="6" s="1"/>
  <c r="D12" i="6"/>
  <c r="D16" i="6" s="1"/>
  <c r="D55" i="6" s="1"/>
  <c r="D53" i="6"/>
  <c r="C53" i="6" s="1"/>
  <c r="B53" i="6" s="1"/>
  <c r="DV81" i="6"/>
  <c r="DT72" i="6"/>
  <c r="DV83" i="6"/>
  <c r="DU75" i="6"/>
  <c r="DV86" i="6"/>
  <c r="DV73" i="6"/>
  <c r="DT70" i="6"/>
  <c r="DT75" i="6"/>
  <c r="DT73" i="6"/>
  <c r="C9" i="6"/>
  <c r="AM70" i="6"/>
  <c r="B14" i="6"/>
  <c r="D47" i="6"/>
  <c r="C47" i="6" s="1"/>
  <c r="B47" i="6" s="1"/>
  <c r="D9" i="6"/>
  <c r="D48" i="6" s="1"/>
  <c r="C16" i="6" l="1"/>
  <c r="C48" i="6"/>
  <c r="B48" i="6" s="1"/>
  <c r="D13" i="6"/>
  <c r="D52" i="6" s="1"/>
  <c r="C52" i="6" s="1"/>
  <c r="B52" i="6" s="1"/>
  <c r="D51" i="6"/>
  <c r="C51" i="6" s="1"/>
  <c r="B51" i="6" s="1"/>
  <c r="C55" i="6"/>
  <c r="B55"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<sst xmlns="http://schemas.openxmlformats.org/spreadsheetml/2006/main" count="1901" uniqueCount="807">
  <si>
    <t>runMode: serial</t>
  </si>
  <si>
    <t>maxCount: 10000</t>
  </si>
  <si>
    <t>dataset: bivariate_bicycle</t>
  </si>
  <si>
    <t xml:space="preserve">datafile: </t>
  </si>
  <si>
    <t>method: QDistEvol</t>
  </si>
  <si>
    <t>ignoreTrivialCodes: 1</t>
  </si>
  <si>
    <t>resume: 0</t>
  </si>
  <si>
    <t>iterCount: 50000</t>
  </si>
  <si>
    <t>maxTime: 28800</t>
  </si>
  <si>
    <t>nThreads: 1</t>
  </si>
  <si>
    <t>verbose: False</t>
  </si>
  <si>
    <t>maxErr: -1</t>
  </si>
  <si>
    <t>filterCircuit: 1</t>
  </si>
  <si>
    <t>PauliProductType: X</t>
  </si>
  <si>
    <t>SingleQubitPauliErrors: 1</t>
  </si>
  <si>
    <t>fourBlock: 1</t>
  </si>
  <si>
    <t>HL: 0</t>
  </si>
  <si>
    <t>popSize: 100</t>
  </si>
  <si>
    <t>offspring: 10</t>
  </si>
  <si>
    <t>CCstart: 1</t>
  </si>
  <si>
    <t>addStabs: 0</t>
  </si>
  <si>
    <t>outfile: /Users/markwebster/Dropbox/QuantumComputing/dev/codeDistance/results/bivariate_bicycle-QDistEvol-20251224_110001.806327_85062422.txt</t>
  </si>
  <si>
    <t>#########################################</t>
  </si>
  <si>
    <t>name</t>
  </si>
  <si>
    <t>n</t>
  </si>
  <si>
    <t>k</t>
  </si>
  <si>
    <t>d</t>
  </si>
  <si>
    <t>delta d</t>
  </si>
  <si>
    <t>Time</t>
  </si>
  <si>
    <t>R</t>
  </si>
  <si>
    <t>T</t>
  </si>
  <si>
    <t>Progress</t>
  </si>
  <si>
    <t>[[72,12,6]]</t>
  </si>
  <si>
    <t>Gen:0 Trial:0 w:6; pErr:0.0000, weight 6 CW found:185</t>
  </si>
  <si>
    <t>[[90,8,10]]</t>
  </si>
  <si>
    <t>Gen:0 Trial:0 w:10; pErr:0.0000, weight 10 CW found:675</t>
  </si>
  <si>
    <t>[[108,8,10]]</t>
  </si>
  <si>
    <t>Gen:0 Trial:0 w:14; Trial:1 w:12; Trial:2 w:10; pErr:0.0000, weight 10 CW found:1180</t>
  </si>
  <si>
    <t>[[144,12,12]]</t>
  </si>
  <si>
    <t>Gen:0 Trial:0 w:12; pErr:0.0000, weight 12 CW found:1870</t>
  </si>
  <si>
    <t>[[288,12,18]]</t>
  </si>
  <si>
    <t>Gen:0 Trial:0 w:40; Trial:1 w:36; Trial:2 w:28; Trial:8 w:26; Trial:12 w:24; Trial:46 w:22; Trial:60 w:18; pErr:0.0008, weight 18 CW found:11225</t>
  </si>
  <si>
    <t>[[360,12,24]]</t>
  </si>
  <si>
    <t>Gen:0 Trial:0 w:36; Trial:5 w:28; Trial:26 w:26; Gen:2 Trial:239 w:24; pErr:0.0311, weight 24 CW found:23456</t>
  </si>
  <si>
    <t>[[756,16,34]]</t>
  </si>
  <si>
    <t>Gen:0 Trial:0 w:108; Trial:1 w:98; Trial:2 w:94; Trial:4 w:78; Trial:27 w:48; Gen:1 Trial:170 w:46; Gen:2 Trial:200 w:42; Gen:3 Trial:311 w:40; Gen:9 Trial:975 w:38; Gen:44 Trial:4427 w:34; pErr:0.1736, weight 34 CW found:30512</t>
  </si>
  <si>
    <t>[[216,8,10]]</t>
  </si>
  <si>
    <t>Gen:0 Trial:0 w:10; pErr:0.0000, weight 10 CW found:1025</t>
  </si>
  <si>
    <t>[[576,8,24]]</t>
  </si>
  <si>
    <t>Gen:0 Trial:0 w:72; Trial:1 w:38; Trial:50 w:36; Trial:62 w:34; Gen:1 Trial:165 w:32; Trial:173 w:28; Gen:18 Trial:1810 w:26; Gen:33 Trial:3322 w:24; pErr:0.0307, weight 24 CW found:16565</t>
  </si>
  <si>
    <t>[[864,4,40]]</t>
  </si>
  <si>
    <t>Gen:0 Trial:0 w:132; Trial:3 w:124; Trial:7 w:112; Trial:34 w:110; Trial:37 w:98; Trial:76 w:88; Gen:1 Trial:120 w:78; Gen:5 Trial:550 w:70; Gen:6 Trial:630 w:68; Gen:10 Trial:1054 w:64; Gen:11 Trial:1136 w:54; Gen:17 Trial:1798 w:52; Gen:18 Trial:1861 w:50; Gen:20 Trial:2062 w:48; Gen:31 Trial:3164 w:46; Gen:230 Trial:23027 w:44; Gen:240 Trial:24017 w:42; Gen:443 Trial:44317 w:40; pErr:0.2183, weight 40 CW found:4365</t>
  </si>
  <si>
    <t>[[648,4,32]]</t>
  </si>
  <si>
    <t>Gen:0 Trial:0 w:98; Trial:1 w:90; Trial:2 w:86; Trial:6 w:76; Trial:39 w:66; Trial:74 w:64; Trial:81 w:52; Gen:1 Trial:180 w:48; Gen:2 Trial:230 w:38; Gen:5 Trial:581 w:36; Gen:11 Trial:1150 w:34; Gen:216 Trial:21600 w:32; pErr:0.1283, weight 32 CW found:16363</t>
  </si>
  <si>
    <t>[[1080,4,56]]</t>
  </si>
  <si>
    <t>Gen:0 Trial:0 w:186; Trial:1 w:146; Trial:3 w:140; Trial:44 w:134; Trial:71 w:116; Gen:1 Trial:100 w:108; Trial:182 w:102; Gen:3 Trial:300 w:92; Gen:4 Trial:400 w:90; Trial:451 w:86; Gen:5 Trial:512 w:84; Gen:7 Trial:793 w:82; Gen:8 Trial:836 w:78; Gen:18 Trial:1829 w:76; Gen:19 Trial:1900 w:74; Gen:21 Trial:2191 w:70; Gen:24 Trial:2423 w:68; Gen:25 Trial:2529 w:66; Gen:27 Trial:2748 w:64; Trial:2765 w:62; Gen:30 Trial:3023 w:60; Gen:31 Trial:3171 w:56; Gen:142 Trial:14292 w:54; pErr:0.2699, weight 54 CW found:32309</t>
  </si>
  <si>
    <t>[[1296,4,50]]</t>
  </si>
  <si>
    <t>Gen:0 Trial:0 w:214; Trial:1 w:196; Trial:10 w:192; Trial:36 w:190; Trial:38 w:188; Trial:44 w:186; Trial:50 w:184; Trial:62 w:176; Trial:75 w:164; Gen:1 Trial:117 w:154; Gen:2 Trial:284 w:138; Gen:5 Trial:573 w:132; Gen:8 Trial:860 w:130; Gen:11 Trial:1107 w:114; Trial:1144 w:112; Gen:14 Trial:1483 w:110; Gen:15 Trial:1570 w:88; Gen:16 Trial:1610 w:80; Gen:17 Trial:1710 w:76; Gen:18 Trial:1880 w:74; Gen:20 Trial:2015 w:72; Trial:2066 w:68; Gen:21 Trial:2111 w:66; Gen:25 Trial:2584 w:60; Gen:31 Trial:3140 w:56; Gen:37 Trial:3737 w:54; Gen:46 Trial:4674 w:52; Gen:66 Trial:6636 w:50; Gen:68 Trial:6840 w:48; pErr:0.2484, weight 48 CW found:35475</t>
  </si>
  <si>
    <t>[[1152,4,42]]</t>
  </si>
  <si>
    <t>Gen:0 Trial:0 w:198; Trial:2 w:176; Trial:6 w:174; Trial:10 w:142; Trial:88 w:122; Gen:4 Trial:425 w:80; Gen:5 Trial:550 w:76; Gen:6 Trial:619 w:70; Trial:629 w:68; Gen:7 Trial:740 w:60; Gen:8 Trial:866 w:50; Gen:10 Trial:1001 w:48; Gen:12 Trial:1233 w:46; Gen:13 Trial:1307 w:44; Trial:1315 w:40; Gen:19 Trial:1985 w:36; pErr:0.1947, weight 36 CW found:32941</t>
  </si>
  <si>
    <t>[[1728,4,64]]</t>
  </si>
  <si>
    <t>Gen:0 Trial:0 w:282; Trial:2 w:280; Trial:4 w:278; Trial:9 w:264; Trial:17 w:262; Trial:28 w:254; Trial:42 w:250; Trial:88 w:244; Gen:1 Trial:104 w:214; Gen:3 Trial:324 w:190; Gen:6 Trial:652 w:172; Trial:690 w:170; Gen:7 Trial:711 w:162; Trial:770 w:142; Gen:9 Trial:992 w:130; Gen:10 Trial:1080 w:122; Gen:12 Trial:1272 w:118; Gen:15 Trial:1513 w:108; Gen:22 Trial:2254 w:106; Gen:25 Trial:2532 w:104; Trial:2550 w:100; Gen:28 Trial:2893 w:96; Gen:30 Trial:3082 w:94; Gen:31 Trial:3140 w:92; Gen:33 Trial:3303 w:90; Gen:42 Trial:4246 w:88; Gen:50 Trial:5043 w:86; Gen:60 Trial:6014 w:84; Gen:67 Trial:6722 w:82; Gen:78 Trial:7849 w:80; Gen:93 Trial:9312 w:78; Gen:124 Trial:12465 w:74; Gen:139 Trial:13972 w:72; Gen:142 Trial:14254 w:70; Gen:199 Trial:19960 w:68; Gen:221 Trial:22169 w:66; Gen:255 Trial:25555 w:64; pErr:0.2961, weight 64 CW found:24091</t>
  </si>
  <si>
    <t>[[2016,8,54]]</t>
  </si>
  <si>
    <t>Gen:0 Trial:0 w:146; Trial:1 w:144; Trial:3 w:132; Trial:10 w:108; Trial:95 w:106; Gen:1 Trial:101 w:104; Trial:103 w:96; Gen:2 Trial:210 w:92; Trial:245 w:90; Gen:3 Trial:335 w:88; Gen:4 Trial:481 w:82; Trial:490 w:80; Gen:5 Trial:571 w:76; Gen:8 Trial:886 w:66; Gen:13 Trial:1390 w:64; Gen:14 Trial:1410 w:62; Gen:16 Trial:1607 w:60; Gen:19 Trial:1932 w:58; Gen:40 Trial:4089 w:56; Gen:52 Trial:5245 w:54; pErr:0.2677, weight 54 CW found:42445</t>
  </si>
  <si>
    <t>[[2160,8,64]]</t>
  </si>
  <si>
    <t>Gen:0 Trial:0 w:304; Gen:1 Trial:124 w:302; Trial:128 w:290; Trial:130 w:282; Gen:2 Trial:223 w:254; Gen:3 Trial:333 w:228; Gen:4 Trial:439 w:226; Gen:5 Trial:512 w:214; Gen:6 Trial:601 w:200; Trial:614 w:186; Trial:620 w:160; Gen:8 Trial:891 w:154; Gen:9 Trial:902 w:150; Gen:10 Trial:1064 w:132; Gen:11 Trial:1130 w:128; Gen:20 Trial:2030 w:118; Gen:21 Trial:2113 w:114; Trial:2149 w:110; Gen:24 Trial:2443 w:108; Gen:25 Trial:2544 w:102; Gen:28 Trial:2813 w:100; Gen:29 Trial:2900 w:98; Trial:2930 w:96; Gen:30 Trial:3093 w:90; Gen:34 Trial:3421 w:84; Gen:37 Trial:3700 w:80; Gen:38 Trial:3803 w:78; Gen:39 Trial:3932 w:76; Gen:41 Trial:4139 w:74; Trial:4142 w:72; Gen:61 Trial:6164 w:68; Gen:72 Trial:7208 w:66; Gen:190 Trial:19001 w:64; pErr:0.2963, weight 64 CW found:29827</t>
  </si>
  <si>
    <t>method: dist_m4ri_RW</t>
  </si>
  <si>
    <t>outfile: /Users/markwebster/Dropbox/QuantumComputing/dev/codeDistance/results/bivariate_bicycle-dist_m4ri_RW-20251224_163050.654601_85062422.txt</t>
  </si>
  <si>
    <t># step=0 row=0 minW=73 found cw of W=8: [1 2 17 33 38 43 58 68]\n# step=0 row=4 minW=8 found cw of W=6: [8 9 10 11 28 30]\n# round=1000 of 50000 minW=6\n# round=2000 of 50000 minW=6\n# round=3000 of 50000 minW=6\n# round=4000 of 50000 minW=6\n# round=5000 of 50000 minW=6\n# round=6000 of 50000 minW=6\n# round=7000 of 50000 minW=6\n# round=8000 of 50000 minW=6\n# round=9000 of 50000 minW=6\n# round=10000 of 50000 minW=6\n# round=11000 of 50000 minW=6\n# round=12000 of 50000 minW=6\n# round=13000 of 50000 minW=6\n# round=14000 of 50000 minW=6\n# round=15000 of 50000 minW=6\n# round=16000 of 50000 minW=6\n# round=17000 of 50000 minW=6\n# round=18000 of 50000 minW=6\n# round=19000 of 50000 minW=6\n# round=20000 of 50000 minW=6\n# round=21000 of 50000 minW=6\n# round=22000 of 50000 minW=6\n# round=23000 of 50000 minW=6\n# round=24000 of 50000 minW=6\n# round=25000 of 50000 minW=6\n# round=26000 of 50000 minW=6\n# round=27000 of 50000 minW=6\n# round=28000 of 50000 minW=6\n# round=29000 of 50000 minW=6\n# round=30000 of 50000 minW=6\n# round=31000 of 50000 minW=6\n# round=32000 of 50000 minW=6\n# round=33000 of 50000 minW=6\n# round=34000 of 50000 minW=6\n# round=35000 of 50000 minW=6\n# round=36000 of 50000 minW=6\n# round=37000 of 50000 minW=6\n# round=38000 of 50000 minW=6\n# round=39000 of 50000 minW=6\n# round=40000 of 50000 minW=6\n# round=41000 of 50000 minW=6\n# round=42000 of 50000 minW=6\n# round=43000 of 50000 minW=6\n# round=44000 of 50000 minW=6\n# round=45000 of 50000 minW=6\n# round=46000 of 50000 minW=6\n# round=47000 of 50000 minW=6\n# round=48000 of 50000 minW=6\n# round=49000 of 50000 minW=6\n# round=50000 of 50000 minW=6\nRW algorithm upper bound for the distance d=6\n</t>
  </si>
  <si>
    <t># step=0 row=0 minW=91 found cw of W=20: [1 2 3 14 16 18 21 23 28 35 40 44 45 67 74 81 83 87 89 90]\n# step=0 row=2 minW=20 found cw of W=14: [6 12 21 23 46 54 56 61 67 69 70 75 84 86]\n# step=0 row=8 minW=14 found cw of W=10: [14 15 16 35 54 59 69 75 81 83]\n# round=1000 of 50000 minW=10\n# round=2000 of 50000 minW=10\n# round=3000 of 50000 minW=10\n# round=4000 of 50000 minW=10\n# round=5000 of 50000 minW=10\n# round=6000 of 50000 minW=10\n# round=7000 of 50000 minW=10\n# round=8000 of 50000 minW=10\n# round=9000 of 50000 minW=10\n# round=10000 of 50000 minW=10\n# round=11000 of 50000 minW=10\n# round=12000 of 50000 minW=10\n# round=13000 of 50000 minW=10\n# round=14000 of 50000 minW=10\n# round=15000 of 50000 minW=10\n# round=16000 of 50000 minW=10\n# round=17000 of 50000 minW=10\n# round=18000 of 50000 minW=10\n# round=19000 of 50000 minW=10\n# round=20000 of 50000 minW=10\n# round=21000 of 50000 minW=10\n# round=22000 of 50000 minW=10\n# round=23000 of 50000 minW=10\n# round=24000 of 50000 minW=10\n# round=25000 of 50000 minW=10\n# round=26000 of 50000 minW=10\n# round=27000 of 50000 minW=10\n# round=28000 of 50000 minW=10\n# round=29000 of 50000 minW=10\n# round=30000 of 50000 minW=10\n# round=31000 of 50000 minW=10\n# round=32000 of 50000 minW=10\n# round=33000 of 50000 minW=10\n# round=34000 of 50000 minW=10\n# round=35000 of 50000 minW=10\n# round=36000 of 50000 minW=10\n# round=37000 of 50000 minW=10\n# round=38000 of 50000 minW=10\n# round=39000 of 50000 minW=10\n# round=40000 of 50000 minW=10\n# round=41000 of 50000 minW=10\n# round=42000 of 50000 minW=10\n# round=43000 of 50000 minW=10\n# round=44000 of 50000 minW=10\n# round=45000 of 50000 minW=10\n# round=46000 of 50000 minW=10\n# round=47000 of 50000 minW=10\n# round=48000 of 50000 minW=10\n# round=49000 of 50000 minW=10\n# round=50000 of 50000 minW=10\nRW algorithm upper bound for the distance d=10\n</t>
  </si>
  <si>
    <t># step=0 row=0 minW=109 found cw of W=28: [1 4 5 6 9 10 17 19 23 24 29 30 33 36 42 50 51 52 56 57 62 66 67 78 93 95 97 104]\n# step=0 row=1 minW=28 found cw of W=12: [1 3 7 8 9 10 56 58 62 66 103 105]\n# step=6 row=17 minW=12 found cw of W=10: [14 15 29 36 45 53 56 71 94 103]\n# round=1000 of 50000 minW=10\n# round=2000 of 50000 minW=10\n# round=3000 of 50000 minW=10\n# round=4000 of 50000 minW=10\n# round=5000 of 50000 minW=10\n# round=6000 of 50000 minW=10\n# round=7000 of 50000 minW=10\n# round=8000 of 50000 minW=10\n# round=9000 of 50000 minW=10\n# round=10000 of 50000 minW=10\n# round=11000 of 50000 minW=10\n# round=12000 of 50000 minW=10\n# round=13000 of 50000 minW=10\n# round=14000 of 50000 minW=10\n# round=15000 of 50000 minW=10\n# round=16000 of 50000 minW=10\n# round=17000 of 50000 minW=10\n# round=18000 of 50000 minW=10\n# round=19000 of 50000 minW=10\n# round=20000 of 50000 minW=10\n# round=21000 of 50000 minW=10\n# round=22000 of 50000 minW=10\n# round=23000 of 50000 minW=10\n# round=24000 of 50000 minW=10\n# round=25000 of 50000 minW=10\n# round=26000 of 50000 minW=10\n# round=27000 of 50000 minW=10\n# round=28000 of 50000 minW=10\n# round=29000 of 50000 minW=10\n# round=30000 of 50000 minW=10\n# round=31000 of 50000 minW=10\n# round=32000 of 50000 minW=10\n# round=33000 of 50000 minW=10\n# round=34000 of 50000 minW=10\n# round=35000 of 50000 minW=10\n# round=36000 of 50000 minW=10\n# round=37000 of 50000 minW=10\n# round=38000 of 50000 minW=10\n# round=39000 of 50000 minW=10\n# round=40000 of 50000 minW=10\n# round=41000 of 50000 minW=10\n# round=42000 of 50000 minW=10\n# round=43000 of 50000 minW=10\n# round=44000 of 50000 minW=10\n# round=45000 of 50000 minW=10\n# round=46000 of 50000 minW=10\n# round=47000 of 50000 minW=10\n# round=48000 of 50000 minW=10\n# round=49000 of 50000 minW=10\n# round=50000 of 50000 minW=10\nRW algorithm upper bound for the distance d=10\n</t>
  </si>
  <si>
    <t># step=0 row=0 minW=145 found cw of W=30: [1 2 8 16 18 20 21 22 27 30 39 43 52 59 66 73 77 78 85 89 93 95 104 112 113 125 135 139 140 142]\n# step=0 row=1 minW=30 found cw of W=22: [1 3 16 22 30 39 52 56 70 73 74 76 77 90 98 112 134 135 136 140 142 144]\n# step=0 row=4 minW=22 found cw of W=14: [6 21 22 30 31 39 54 55 70 74 81 97 113 137]\n# step=1 row=19 minW=14 found cw of W=12: [17 18 33 34 35 67 100 106 109 112 115 124]\n# round=1000 of 50000 minW=12\n# round=2000 of 50000 minW=12\n# round=3000 of 50000 minW=12\n# round=4000 of 50000 minW=12\n# round=5000 of 50000 minW=12\n# round=6000 of 50000 minW=12\n# round=7000 of 50000 minW=12\n# round=8000 of 50000 minW=12\n# round=9000 of 50000 minW=12\n# round=10000 of 50000 minW=12\n# round=11000 of 50000 minW=12\n# round=12000 of 50000 minW=12\n# round=13000 of 50000 minW=12\n# round=14000 of 50000 minW=12\n# round=15000 of 50000 minW=12\n# round=16000 of 50000 minW=12\n# round=17000 of 50000 minW=12\n# round=18000 of 50000 minW=12\n# round=19000 of 50000 minW=12\n# round=20000 of 50000 minW=12\n# round=21000 of 50000 minW=12\n# round=22000 of 50000 minW=12\n# round=23000 of 50000 minW=12\n# round=24000 of 50000 minW=12\n# round=25000 of 50000 minW=12\n# round=26000 of 50000 minW=12\n# round=27000 of 50000 minW=12\n# round=28000 of 50000 minW=12\n# round=29000 of 50000 minW=12\n# round=30000 of 50000 minW=12\n# round=31000 of 50000 minW=12\n# round=32000 of 50000 minW=12\n# round=33000 of 50000 minW=12\n# round=34000 of 50000 minW=12\n# round=35000 of 50000 minW=12\n# round=36000 of 50000 minW=12\n# round=37000 of 50000 minW=12\n# round=38000 of 50000 minW=12\n# round=39000 of 50000 minW=12\n# round=40000 of 50000 minW=12\n# round=41000 of 50000 minW=12\n# round=42000 of 50000 minW=12\n# round=43000 of 50000 minW=12\n# round=44000 of 50000 minW=12\n# round=45000 of 50000 minW=12\n# round=46000 of 50000 minW=12\n# round=47000 of 50000 minW=12\n# round=48000 of 50000 minW=12\n# round=49000 of 50000 minW=12\n# round=50000 of 50000 minW=12\nRW algorithm upper bound for the distance d=12\n</t>
  </si>
  <si>
    <t># step=0 row=0 minW=289 found cw of W=62: [2 3 5 8 9 11 12 14 16 23 35 51 54 55 62 64 68 69 73 78 84 88 89 92 94 102 112 113 114 115 118 122 126 129 133 147 149 156 159 161 162 172 176 186 188 193 194 197 198 206 207 216 217 239 247 250 251 253 259 263 272 279]\n# step=0 row=1 minW=62 found cw of W=50: [1 2 4 6 16 23 28 38 62 65 69 73 79 84 99 102 118 123 128 129 144 147 152 153 154 155 156 161 164 172 185 193 206 218 226 234 239 240 247 251 259 263 265 271 276 278 279 282 283 288]\n# step=0 row=7 minW=50 found cw of W=42: [5 12 20 21 29 32 38 39 44 50 55 66 79 92 100 107 110 113 129 133 136 138 149 152 153 155 162 181 183 186 198 202 207 212 221 240 253 258 266 278 281 283]\n# step=0 row=8 minW=42 found cw of W=38: [1 6 7 11 22 68 97 114 115 123 126 128 133 136 147 152 155 156 162 164 185 188 197 206 234 239 247 251 258 259 263 265 271 272 279 281 282 288]\n# step=0 row=82 minW=38 found cw of W=34: [6 7 11 68 97 114 115 123 126 128 136 147 152 155 156 164 167 185 188 197 206 234 239 247 251 258 259 263 271 272 279 281 282 288]\n# step=1 row=13 minW=34 found cw of W=30: [16 27 37 42 43 50 51 55 57 61 66 68 78 92 97 143 147 148 165 168 174 175 177 183 196 209 218 232 258 279]\n# step=1 row=50 minW=30 found cw of W=28: [14 20 36 54 57 69 77 95 98 111 129 144 148 154 168 169 175 180 196 197 208 217 223 244 265 271 283 284]\n# step=2 row=94 minW=28 found cw of W=24: [15 45 135 146 156 157 167 169 190 206 218 230 239 242 254 260 263 266 267 272 278 279 281 287]\n# step=5 row=140 minW=24 found cw of W=20: [4 8 37 38 78 79 83 84 118 119 153 156 249 252 261 264 270 276 279 288]\n# step=31 row=20 minW=20 found cw of W=18: [3 5 7 9 37 38 39 41 43 44 46 48 79 83 112 113 117 120]\n# round=1000 of 50000 minW=18\n# round=2000 of 50000 minW=18\n# round=3000 of 50000 minW=18\n# round=4000 of 50000 minW=18\n# round=5000 of 50000 minW=18\n# round=6000 of 50000 minW=18\n# round=7000 of 50000 minW=18\n# round=8000 of 50000 minW=18\n# round=9000 of 50000 minW=18\n# round=10000 of 50000 minW=18\n# round=11000 of 50000 minW=18\n# round=12000 of 50000 minW=18\n# round=13000 of 50000 minW=18\n# round=14000 of 50000 minW=18\n# round=15000 of 50000 minW=18\n# round=16000 of 50000 minW=18\n# round=17000 of 50000 minW=18\n# round=18000 of 50000 minW=18\n# round=19000 of 50000 minW=18\n# round=20000 of 50000 minW=18\n# round=21000 of 50000 minW=18\n# round=22000 of 50000 minW=18\n# round=23000 of 50000 minW=18\n# round=24000 of 50000 minW=18\n# round=25000 of 50000 minW=18\n# round=26000 of 50000 minW=18\n# round=27000 of 50000 minW=18\n# round=28000 of 50000 minW=18\n# round=29000 of 50000 minW=18\n# round=30000 of 50000 minW=18\n# round=31000 of 50000 minW=18\n# round=32000 of 50000 minW=18\n# round=33000 of 50000 minW=18\n# round=34000 of 50000 minW=18\n# round=35000 of 50000 minW=18\n# round=36000 of 50000 minW=18\n# round=37000 of 50000 minW=18\n# round=38000 of 50000 minW=18\n# round=39000 of 50000 minW=18\n# round=40000 of 50000 minW=18\n# round=41000 of 50000 minW=18\n# round=42000 of 50000 minW=18\n# round=43000 of 50000 minW=18\n# round=44000 of 50000 minW=18\n# round=45000 of 50000 minW=18\n# round=46000 of 50000 minW=18\n# round=47000 of 50000 minW=18\n# round=48000 of 50000 minW=18\n# round=49000 of 50000 minW=18\n# round=50000 of 50000 minW=18\nRW algorithm upper bound for the distance d=18\n</t>
  </si>
  <si>
    <t># step=0 row=0 minW=361 found cw of W=54: [2 3 4 20 29 40 41 73 83 89 93 94 104 105 115 116 119 125 142 150 152 155 168 184 201 206 211 212 221 222 228 238 243 254 264 265 273 274 278 292 296 305 307 312 313 319 324 325 331 336 339 345 351 357]\n# step=0 row=2 minW=54 found cw of W=40: [6 7 8 14 29 36 73 81 82 86 89 113 119 131 135 142 151 160 181 190 195 196 202 208 214 215 222 228 241 243 262 267 274 276 280 297 303 309 312 341]\n# step=0 row=179 minW=40 found cw of W=34: [6 60 66 71 79 86 97 112 131 138 151 152 155 156 181 187 193 215 241 247 252 254 260 267 273 279 307 309 313 314 341 342 346 347]\n# step=14 row=25 minW=34 found cw of W=32: [1 12 17 27 47 48 52 54 68 75 107 134 165 182 188 194 200 202 203 223 228 230 234 261 283 320 336 346 350 351 353 355]\n# step=14 row=36 minW=32 found cw of W=30: [1 12 17 27 47 52 54 68 69 107 134 165 182 188 194 200 202 203 224 228 230 234 261 283 320 336 346 350 353 355]\n# step=15 row=155 minW=30 found cw of W=24: [11 48 57 64 69 74 109 137 138 186 203 207 213 223 230 234 239 245 251 257 263 291 324 345]\n# round=1000 of 50000 minW=24\n# round=2000 of 50000 minW=24\n# round=3000 of 50000 minW=24\n# round=4000 of 50000 minW=24\n# round=5000 of 50000 minW=24\n# round=6000 of 50000 minW=24\n# round=7000 of 50000 minW=24\n# round=8000 of 50000 minW=24\n# round=9000 of 50000 minW=24\n# round=10000 of 50000 minW=24\n# round=11000 of 50000 minW=24\n# round=12000 of 50000 minW=24\n# round=13000 of 50000 minW=24\n# round=14000 of 50000 minW=24\n# round=15000 of 50000 minW=24\n# round=16000 of 50000 minW=24\n# round=17000 of 50000 minW=24\n# round=18000 of 50000 minW=24\n# round=19000 of 50000 minW=24\n# round=20000 of 50000 minW=24\n# round=21000 of 50000 minW=24\n# round=22000 of 50000 minW=24\n# round=23000 of 50000 minW=24\n# round=24000 of 50000 minW=24\n# round=25000 of 50000 minW=24\n# round=26000 of 50000 minW=24\n# round=27000 of 50000 minW=24\n# round=28000 of 50000 minW=24\n# round=29000 of 50000 minW=24\n# round=30000 of 50000 minW=24\n# round=31000 of 50000 minW=24\n# round=32000 of 50000 minW=24\n# round=33000 of 50000 minW=24\n# round=34000 of 50000 minW=24\n# round=35000 of 50000 minW=24\n# round=36000 of 50000 minW=24\n# round=37000 of 50000 minW=24\n# round=38000 of 50000 minW=24\n# round=39000 of 50000 minW=24\n# round=40000 of 50000 minW=24\n# round=41000 of 50000 minW=24\n# round=42000 of 50000 minW=24\n# round=43000 of 50000 minW=24\n# round=44000 of 50000 minW=24\n# round=45000 of 50000 minW=24\n# round=46000 of 50000 minW=24\n# round=47000 of 50000 minW=24\n# round=48000 of 50000 minW=24\n# round=49000 of 50000 minW=24\n# round=50000 of 50000 minW=24\nRW algorithm upper bound for the distance d=24\n</t>
  </si>
  <si>
    <t># step=0 row=0 minW=757 found cw of W=158: [4 6 7 22 27 37 42 47 52 60 66 72 75 82 85 91 96 103 110 117 119 129 136 137 142 145 147 151 152 159 162 163 164 166 168 172 174 175 179 180 184 185 187 191 192 193 198 203 205 206 208 215 216 217 222 229 232 235 237 248 250 253 262 268 272 274 279 294 303 314 324 325 336 338 351 352 353 358 360 366 376 377 384 390 391 406 407 415 418 425 426 428 432 433 438 441 447 450 456 459 462 463 467 470 481 490 493 494 495 508 511 512 514 520 524 528 537 549 550 552 558 559 561 564 565 578 585 587 593 594 600 603 605 606 607 614 617 626 634 637 641 648 654 655 656 665 675 681 690 692 696 714 719 725 729 734 741 747]\n# step=0 row=1 minW=158 found cw of W=136: [2 5 6 7 9 10 17 19 22 27 33 37 52 54 60 67 68 75 78 82 96 101 111 117 137 141 142 145 146 151 153 156 168 173 179 185 186 192 193 196 200 205 206 208 211 213 216 217 223 230 232 237 253 262 264 268 272 279 294 299 324 325 328 330 331 333 341 356 358 360 361 366 386 392 415 418 428 432 440 441 447 452 456 459 466 469 470 479 481 489 493 495 496 501 508 511 520 524 528 545 549 577 578 593 594 606 618 619 629 641 643 646 648 652 654 655 656 665 670 672 678 683 684 692 693 696 701 704 706 711 714 731 737 741 750 755]\n# step=0 row=3 minW=136 found cw of W=122: [11 15 22 25 27 36 52 75 79 85 87 101 117 118 119 120 136 141 142 145 146 156 160 161 162 164 166 170 172 173 175 179 180 186 196 200 205 206 208 210 211 213 215 216 230 232 248 254 257 262 264 266 274 278 285 292 294 310 314 324 327 329 336 341 353 356 360 361 384 399 406 408 409 418 448 450 451 458 459 463 466 479 489 495 508 509 514 524 528 539 549 552 553 578 582 603 605 614 619 637 641 652 656 665 687 692 693 694 699 704 707 709 711 714 725 732 738 741 747 748 750 755]\n# step=0 row=41 minW=122 found cw of W=116: [2 6 9 10 15 17 22 27 33 37 42 63 76 79 82 85 111 118 120 123 125 129 136 141 147 152 153 159 160 164 168 174 175 179 180 186 196 203 208 213 217 223 235 237 253 262 272 278 279 285 294 303 324 325 329 331 333 338 352 356 366 377 386 391 405 407 408 415 426 428 432 440 441 448 456 462 463 466 470 476 490 495 501 509 511 514 545 547 550 553 558 562 564 566 582 587 618 619 626 637 641 646 652 654 656 667 670 681 690 693 708 725 731 734 737 755]\n# step=0 row=95 minW=116 found cw of W=98: [19 25 37 52 63 66 72 75 79 85 87 91 96 109 110 118 120 125 129 130 136 137 142 151 153 164 173 174 175 180 184 191 194 197 215 217 223 230 241 252 262 268 272 274 279 281 324 330 341 358 360 366 392 408 409 415 418 428 452 459 462 463 469 470 494 505 509 511 514 524 537 547 550 553 558 564 569 606 614 616 617 618 643 646 654 655 656 683 684 690 692 696 701 706 732 738 741 750]\n# step=2 row=64 minW=98 found cw of W=94: [32 47 59 63 67 68 76 81 88 112 122 132 146 163 164 165 166 170 171 172 178 204 206 211 215 218 221 228 234 253 263 278 288 308 319 335 343 349 353 360 363 364 367 379 388 390 392 396 399 411 415 426 429 452 460 465 475 486 492 496 499 503 505 535 543 549 556 576 579 595 597 600 605 631 641 646 648 650 651 658 662 664 669 687 693 696 698 703 707 710 717 727 740 747]\n# step=2 row=219 minW=94 found cw of W=92: [32 47 59 67 68 76 81 88 122 132 146 153 163 164 165 166 170 171 172 178 204 206 211 215 218 221 228 234 253 263 278 288 308 319 335 343 349 353 360 363 364 367 379 388 390 392 396 399 411 415 426 429 441 452 460 465 475 486 492 499 505 535 543 549 556 576 579 595 597 600 605 631 641 646 648 650 651 658 662 664 669 687 693 696 698 703 707 710 717 727 740 747]\n# step=12 row=191 minW=92 found cw of W=90: [2 5 9 12 17 18 46 54 56 57 108 111 112 117 145 152 178 179 208 215 217 234 242 250 258 272 284 288 297 304 308 318 324 325 327 333 334 335 359 367 368 370 379 381 383 389 398 424 440 446 448 465 471 476 488 489 496 525 530 536 544 550 551 552 561 566 585 593 595 599 626 636 637 640 649 651 657 672 691 696 698 702 710 711 713 717 718 721 727 737]\n# step=12 row=219 minW=90 found cw of W=80: [8 11 17 46 54 57 88 108 111 123 132 137 145 153 158 181 202 208 215 233 234 242 258 265 278 284 297 304 308 312 328 333 335 348 355 367 370 379 383 384 386 389 398 422 424 425 441 446 448 465 471 488 489 495 501 512 521 530 545 550 551 565 572 599 600 602 636 637 640 642 643 651 685 687 713 717 726 727 732 754]\n# step=47 row=30 minW=80 found cw of W=74: [9 23 36 50 51 59 64 71 73 80 94 100 105 107 110 115 128 136 141 151 175 190 246 265 267 281 301 309 315 316 325 343 345 356 373 396 398 407 411 414 417 422 429 437 445 463 465 471 473 485 486 492 494 499 501 507 520 527 533 540 541 575 594 610 617 631 645 665 668 689 693 707 748 751]\n# step=47 row=63 minW=74 found cw of W=68: [9 23 36 50 51 64 71 73 80 94 105 107 110 115 126 128 136 141 151 175 246 265 267 281 301 309 315 316 325 343 345 356 373 396 398 407 411 414 417 422 429 445 463 465 471 473 478 485 486 494 501 507 520 527 541 575 594 610 617 631 645 665 668 689 693 707 748 751]\n# step=80 row=14 minW=68 found cw of W=66: [27 28 34 35 78 79 81 90 106 127 133 136 140 160 161 170 171 172 176 177 182 189 197 209 216 219 227 234 239 250 280 289 295 316 321 350 351 365 459 460 484 508 509 519 521 528 533 538 548 554 555 562 566 568 569 570 574 577 583 593 630 632 645 664 749 756]\n# step=180 row=1 minW=66 found cw of W=60: [2 8 13 22 23 38 41 45 52 57 64 68 69 89 111 117 124 152 167 208 214 269 311 313 324 326 361 372 375 380 381 386 391 400 401 414 415 421 427 440 441 455 468 482 495 501 505 546 551 558 586 591 635 640 676 681 702 704 744 750]\n# step=189 row=276 minW=60 found cw of W=56: [4 24 35 38 47 75 86 91 93 100 107 137 142 146 153 186 197 201 210 221 238 252 256 259 263 271 276 283 289 293 296 327 331 333 358 363 374 388 389 395 429 430 480 526 559 588 599 632 643 666 685 704 715 726 741 756]\n# step=755 row=320 minW=56 found cw of W=50: [2 29 34 43 89 118 119 125 132 139 144 167 187 188 194 208 215 218 242 280 284 328 331 335 339 342 387 393 407 412 428 435 436 451 461 462 476 496 517 526 547 559 561 572 600 626 641 682 709 716]\n# step=817 row=90 minW=50 found cw of W=48: [25 32 39 44 99 106 128 140 189 203 230 234 271 278 326 348 368 388 389 397 414 437 438 463 472 478 506 512 518 532 539 553 588 596 612 636 637 652 661 678 685 702 710 718 719 742 746 752]\n# step=817 row=278 minW=48 found cw of W=46: [25 32 39 44 99 106 128 203 234 271 278 326 348 368 388 389 397 414 437 438 463 472 478 506 512 532 539 553 562 573 588 596 612 636 637 652 661 678 685 702 710 718 719 742 746 752]\n# round=1000 of 50000 minW=46\n# round=2000 of 50000 minW=46\n# round=3000 of 50000 minW=46\n# round=4000 of 50000 minW=46\n# round=5000 of 50000 minW=46\n# step=5149 row=50 minW=46 found cw of W=44: [1 32 40 46 47 96 101 107 108 116 121 176 211 231 252 289 320 356 379 399 405 425 440 446 459 466 473 485 494 499 508 548 563 584 597 638 644 693 698 722 728 729 747 753]\n# step=5149 row=232 minW=44 found cw of W=42: [1 32 46 101 108 116 121 130 137 176 211 231 252 289 320 356 379 399 405 418 440 446 459 466 469 485 494 499 508 548 563 584 597 638 644 693 698 722 728 729 747 753]\n# round=6000 of 50000 minW=42\n# round=7000 of 50000 minW=42\n# round=8000 of 50000 minW=42\n# round=9000 of 50000 minW=42\n# round=10000 of 50000 minW=42\n# round=11000 of 50000 minW=42\n# round=12000 of 50000 minW=42\n# round=13000 of 50000 minW=42\n# round=14000 of 50000 minW=42\n# round=15000 of 50000 minW=42\n# round=16000 of 50000 minW=42\n# round=17000 of 50000 minW=42\n# round=18000 of 50000 minW=42\n# round=19000 of 50000 minW=42\n# round=20000 of 50000 minW=42\n# round=21000 of 50000 minW=42\n# round=22000 of 50000 minW=42\n# round=23000 of 50000 minW=42\n# round=24000 of 50000 minW=42\n# round=25000 of 50000 minW=42\n# round=26000 of 50000 minW=42\n# step=26107 row=362 minW=42 found cw of W=40: [8 49 88 90 127 131 132 143 194 221 224 272 276 286 327 330 331 334 338 341 378 392 407 448 466 471 509 512 515 556 560 567 571 620 646 669 695 710 744 756]\n# round=27000 of 50000 minW=40\n# round=28000 of 50000 minW=40\n# round=29000 of 50000 minW=40\n# round=30000 of 50000 minW=40\n# round=31000 of 50000 minW=40\n# round=32000 of 50000 minW=40\n# round=33000 of 50000 minW=40\n# round=34000 of 50000 minW=40\n# round=35000 of 50000 minW=40\n# round=36000 of 50000 minW=40\n# round=37000 of 50000 minW=40\n# round=38000 of 50000 minW=40\n# step=38380 row=79 minW=40 found cw of W=36: [89 114 133 140 144 163 169 176 181 220 224 275 279 282 286 292 347 354 382 402 423 451 467 513 516 557 565 596 621 647 655 663 686 696 711 737]\n# round=39000 of 50000 minW=36\n# round=40000 of 50000 minW=36\n# round=41000 of 50000 minW=36\n# round=42000 of 50000 minW=36\n# round=43000 of 50000 minW=36\n# round=44000 of 50000 minW=36\n# round=45000 of 50000 minW=36\n# round=46000 of 50000 minW=36\n# round=47000 of 50000 minW=36\n# round=48000 of 50000 minW=36\n# round=49000 of 50000 minW=36\n# round=50000 of 50000 minW=36\nRW algorithm upper bound for the distance d=36\n</t>
  </si>
  <si>
    <t># step=0 row=0 minW=217 found cw of W=12: [2 24 32 38 46 96 116 128 152 160 188 196]\n# step=1 row=20 minW=12 found cw of W=10: [33 37 83 97 105 129 131 151 167 203]\n# round=1000 of 50000 minW=10\n# round=2000 of 50000 minW=10\n# round=3000 of 50000 minW=10\n# round=4000 of 50000 minW=10\n# round=5000 of 50000 minW=10\n# round=6000 of 50000 minW=10\n# round=7000 of 50000 minW=10\n# round=8000 of 50000 minW=10\n# round=9000 of 50000 minW=10\n# round=10000 of 50000 minW=10\n# round=11000 of 50000 minW=10\n# round=12000 of 50000 minW=10\n# round=13000 of 50000 minW=10\n# round=14000 of 50000 minW=10\n# round=15000 of 50000 minW=10\n# round=16000 of 50000 minW=10\n# round=17000 of 50000 minW=10\n# round=18000 of 50000 minW=10\n# round=19000 of 50000 minW=10\n# round=20000 of 50000 minW=10\n# round=21000 of 50000 minW=10\n# round=22000 of 50000 minW=10\n# round=23000 of 50000 minW=10\n# round=24000 of 50000 minW=10\n# round=25000 of 50000 minW=10\n# round=26000 of 50000 minW=10\n# round=27000 of 50000 minW=10\n# round=28000 of 50000 minW=10\n# round=29000 of 50000 minW=10\n# round=30000 of 50000 minW=10\n# round=31000 of 50000 minW=10\n# round=32000 of 50000 minW=10\n# round=33000 of 50000 minW=10\n# round=34000 of 50000 minW=10\n# round=35000 of 50000 minW=10\n# round=36000 of 50000 minW=10\n# round=37000 of 50000 minW=10\n# round=38000 of 50000 minW=10\n# round=39000 of 50000 minW=10\n# round=40000 of 50000 minW=10\n# round=41000 of 50000 minW=10\n# round=42000 of 50000 minW=10\n# round=43000 of 50000 minW=10\n# round=44000 of 50000 minW=10\n# round=45000 of 50000 minW=10\n# round=46000 of 50000 minW=10\n# round=47000 of 50000 minW=10\n# round=48000 of 50000 minW=10\n# round=49000 of 50000 minW=10\n# round=50000 of 50000 minW=10\nRW algorithm upper bound for the distance d=10\n</t>
  </si>
  <si>
    <t># step=0 row=0 minW=577 found cw of W=108: [3 5 6 8 10 15 18 20 27 31 35 43 57 61 63 72 78 85 95 98 102 103 109 120 123 124 127 128 131 137 144 152 157 171 178 182 193 201 204 208 210 211 212 216 218 220 229 235 240 244 262 265 285 289 290 294 296 301 307 309 312 314 336 339 352 359 363 364 368 373 376 385 386 387 388 399 400 404 409 414 424 431 434 445 460 465 469 473 480 483 497 502 504 505 508 511 512 527 531 534 548 549 553 559 561 563 567 571]\n# step=0 row=7 minW=108 found cw of W=92: [2 4 5 6 10 17 18 25 31 34 35 38 45 56 57 58 61 62 63 77 78 85 95 104 107 110 114 118 123 132 137 146 156 169 175 178 181 193 194 207 211 212 214 220 231 240 258 277 285 294 295 296 301 309 312 323 336 345 352 353 359 373 376 388 399 409 419 427 433 434 444 451 455 458 462 465 480 483 493 504 508 511 512 521 527 535 537 546 548 561 567 570]\n# step=0 row=53 minW=92 found cw of W=86: [6 9 10 27 31 56 57 58 78 79 86 97 98 103 110 114 123 127 128 131 137 146 148 152 156 157 165 171 176 181 193 197 199 205 213 216 217 218 229 235 237 258 271 276 283 290 323 351 359 365 368 373 385 386 388 389 398 405 411 416 433 437 445 458 462 475 483 484 487 488 490 499 505 509 512 514 534 547 549 554 559 561 563 567 571 574]\n# step=0 row=101 minW=86 found cw of W=42: [8 25 28 35 45 56 63 72 123 157 178 181 191 197 201 205 231 289 295 323 359 369 373 393 414 417 428 431 437 445 455 458 462 465 469 478 508 512 553 563 567 570]\n# step=15 row=2 minW=42 found cw of W=32: [3 50 71 74 88 98 105 159 163 237 271 290 297 321 341 348 351 365 379 389 396 409 436 477 487 490 497 500 521 545 548 569]\n# step=25 row=231 minW=32 found cw of W=30: [1 19 23 59 63 90 94 97 99 115 119 137 197 213 219 239 276 306 312 337 344 437 455 459 461 493 500 517 563 567]\n# step=108 row=182 minW=30 found cw of W=28: [58 62 66 70 160 168 200 216 244 260 338 344 352 354 362 368 376 378 392 408 416 432 483 491 493 501 531 547]\n# step=535 row=2 minW=28 found cw of W=24: [2 6 8 10 14 18 22 24 72 100 108 194 198 210 214 339 349 403 488 498 512 522 552 576]\n# round=1000 of 50000 minW=24\n# round=2000 of 50000 minW=24\n# round=3000 of 50000 minW=24\n# round=4000 of 50000 minW=24\n# round=5000 of 50000 minW=24\n# round=6000 of 50000 minW=24\n# round=7000 of 50000 minW=24\n# round=8000 of 50000 minW=24\n# round=9000 of 50000 minW=24\n# round=10000 of 50000 minW=24\n# round=11000 of 50000 minW=24\n# round=12000 of 50000 minW=24\n# round=13000 of 50000 minW=24\n# round=14000 of 50000 minW=24\n# round=15000 of 50000 minW=24\n# round=16000 of 50000 minW=24\n# round=17000 of 50000 minW=24\n# round=18000 of 50000 minW=24\n# round=19000 of 50000 minW=24\n# round=20000 of 50000 minW=24\n# round=21000 of 50000 minW=24\n# round=22000 of 50000 minW=24\n# round=23000 of 50000 minW=24\n# round=24000 of 50000 minW=24\n# round=25000 of 50000 minW=24\n# round=26000 of 50000 minW=24\n# round=27000 of 50000 minW=24\n# round=28000 of 50000 minW=24\n# round=29000 of 50000 minW=24\n# round=30000 of 50000 minW=24\n# round=31000 of 50000 minW=24\n# round=32000 of 50000 minW=24\n# round=33000 of 50000 minW=24\n# round=34000 of 50000 minW=24\n# round=35000 of 50000 minW=24\n# round=36000 of 50000 minW=24\n# round=37000 of 50000 minW=24\n# round=38000 of 50000 minW=24\n# round=39000 of 50000 minW=24\n# round=40000 of 50000 minW=24\n# round=41000 of 50000 minW=24\n# round=42000 of 50000 minW=24\n# round=43000 of 50000 minW=24\n# round=44000 of 50000 minW=24\n# round=45000 of 50000 minW=24\n# round=46000 of 50000 minW=24\n# round=47000 of 50000 minW=24\n# round=48000 of 50000 minW=24\n# round=49000 of 50000 minW=24\n# round=50000 of 50000 minW=24\nRW algorithm upper bound for the distance d=24\n</t>
  </si>
  <si>
    <t># step=0 row=0 minW=865 found cw of W=152: [1 2 16 19 25 31 33 35 36 39 49 53 60 71 73 74 100 104 113 123 124 138 142 146 157 166 169 173 187 189 192 196 216 217 227 228 230 238 239 240 247 264 281 287 289 311 318 323 329 331 335 336 340 341 342 353 358 363 376 380 381 397 400 402 404 406 414 416 421 424 428 437 445 450 455 459 477 480 481 491 492 497 500 502 504 506 517 520 538 539 548 562 566 571 572 579 587 590 592 594 609 613 615 621 623 628 641 649 661 666 673 676 685 704 710 712 719 728 730 733 736 739 744 746 747 749 753 758 768 770 775 781 789 793 798 800 817 820 824 825 826 828 829 830 833 834 836 846 851 854 858 861]\n# step=0 row=10 minW=152 found cw of W=130: [19 20 22 23 25 31 33 35 46 49 58 60 78 102 107 115 126 130 142 160 162 166 169 180 189 190 198 211 214 225 237 247 256 266 271 285 289 297 299 307 309 310 311 320 323 333 335 336 338 339 340 342 363 380 382 398 400 406 414 416 421 434 449 455 459 468 469 470 477 478 485 491 494 497 520 523 525 526 539 548 561 566 572 574 576 579 587 592 595 610 615 619 632 649 659 661 673 686 695 704 713 719 726 728 730 733 744 749 762 768 785 790 793 809 819 820 822 824 826 827 830 833 839 844 845 846 851 854 855 858]\n# step=1 row=94 minW=130 found cw of W=118: [3 26 28 32 34 40 59 64 69 70 77 92 95 100 111 114 126 128 149 169 178 179 180 181 183 191 197 200 207 210 217 221 231 242 244 250 255 256 279 304 305 306 308 326 336 342 345 349 353 357 375 376 384 391 398 437 440 442 449 451 452 459 460 463 471 479 485 487 515 530 551 553 559 570 581 583 588 596 606 612 622 633 641 642 647 660 663 667 672 678 690 698 702 704 708 713 714 719 723 724 727 753 769 772 776 785 786 790 796 798 810 822 830 832 834 848 857 863]\n# step=27 row=147 minW=118 found cw of W=112: [6 15 26 30 41 42 60 62 71 79 88 91 93 96 117 124 131 159 162 165 180 193 201 204 216 220 223 224 225 226 229 244 249 259 280 297 306 308 309 326 328 335 343 358 404 411 418 420 426 427 432 445 456 458 463 466 468 472 483 488 507 525 527 537 539 545 549 552 559 565 577 579 595 601 616 623 637 641 643 648 650 656 666 670 673 697 709 712 717 718 720 721 726 730 744 745 748 753 755 768 775 776 789 797 808 813 814 819 824 827 849 859]\n# step=31 row=145 minW=112 found cw of W=102: [16 20 22 26 27 29 42 46 50 54 56 59 67 80 82 84 88 90 95 104 134 135 153 157 163 164 170 183 185 187 191 198 221 255 260 277 281 285 287 294 297 303 321 330 363 365 371 384 394 397 404 426 430 431 437 456 469 475 477 479 481 484 488 505 509 516 552 563 565 571 575 578 585 597 603 605 609 616 618 670 678 687 689 704 708 717 747 749 751 762 766 770 777 779 783 802 804 811 819 849 850 852]\n# step=121 row=157 minW=102 found cw of W=92: [4 7 26 37 42 63 67 88 107 109 111 131 133 139 141 143 146 156 222 245 256 293 298 306 312 317 336 338 345 351 355 357 369 403 405 421 424 434 436 457 461 466 470 472 483 490 492 497 510 521 523 524 526 541 544 545 546 564 568 573 579 584 592 594 595 599 605 609 615 617 620 635 639 657 666 680 686 706 711 747 757 773 775 777 808 818 827 834 836 844 846 848]\n# step=999 row=1 minW=92 found cw of W=88: [6 8 13 25 29 31 33 49 62 63 64 66 72 100 106 109 118 132 134 140 143 158 198 207 216 228 231 235 252 271 293 314 327 331 333 348 350 363 371 374 376 383 393 395 398 421 429 431 448 456 458 478 482 506 516 517 529 544 546 553 555 566 568 579 581 589 602 613 621 624 660 675 681 683 688 713 731 735 745 756 795 824 829 833 842 846 848 854]\n# step=999 row=234 minW=88 found cw of W=86: [6 13 25 29 31 33 49 62 63 64 66 72 100 106 109 118 132 134 140 143 158 198 207 216 228 231 235 252 271 293 314 327 331 348 350 363 369 371 374 376 383 393 395 398 421 429 431 448 454 458 478 482 506 516 517 529 544 546 553 555 566 568 579 581 589 602 613 624 660 675 681 683 688 713 731 735 745 756 795 824 829 833 842 846 848 854]\n# round=1000 of 50000 minW=86\n# step=1164 row=185 minW=86 found cw of W=76: [5 7 28 45 47 54 60 71 105 114 156 158 163 167 195 197 210 225 231 233 234 236 244 246 248 257 259 270 315 319 321 325 327 330 334 336 390 392 394 401 415 426 430 460 475 481 483 496 531 538 562 574 577 579 582 602 610 645 646 667 678 680 713 717 725 729 749 778 784 788 810 823 840 846 856 859]\n# round=2000 of 50000 minW=76\n# round=3000 of 50000 minW=76\n# round=4000 of 50000 minW=76\n# round=5000 of 50000 minW=76\n# step=5284 row=343 minW=76 found cw of W=74: [10 17 49 55 64 77 83 94 107 126 131 135 139 141 145 147 160 175 214 220 229 246 248 259 280 282 293 298 300 308 325 333 348 357 359 362 364 369 396 415 423 425 427 456 481 514 538 547 550 565 568 572 574 596 601 602 624 626 630 637 656 662 666 672 673 675 694 744 767 779 812 815 827 859]\n# round=6000 of 50000 minW=74\n# step=6315 row=207 minW=74 found cw of W=64: [25 30 43 60 64 84 90 92 94 98 101 118 139 150 152 167 182 184 216 223 244 261 265 278 306 308 310 312 319 330 332 336 351 366 368 370 383 398 400 409 432 457 470 472 487 506 508 517 530 547 564 581 607 671 673 697 703 709 714 761 776 784 795 836]\n# round=7000 of 50000 minW=64\n# round=8000 of 50000 minW=64\n# round=9000 of 50000 minW=64\n# round=10000 of 50000 minW=64\n# round=11000 of 50000 minW=64\n# round=12000 of 50000 minW=64\n# round=13000 of 50000 minW=64\n# round=14000 of 50000 minW=64\n# round=15000 of 50000 minW=64\n# round=16000 of 50000 minW=64\n# round=17000 of 50000 minW=64\n# round=18000 of 50000 minW=64\n# round=19000 of 50000 minW=64\n# round=20000 of 50000 minW=64\n# round=21000 of 50000 minW=64\n# round=22000 of 50000 minW=64\n# round=23000 of 50000 minW=64\n# round=24000 of 50000 minW=64\n# round=25000 of 50000 minW=64\n# round=26000 of 50000 minW=64\n# round=27000 of 50000 minW=64\n# round=28000 of 50000 minW=64\n# round=29000 of 50000 minW=64\n# round=30000 of 50000 minW=64\n# round=31000 of 50000 minW=64\n# round=32000 of 50000 minW=64\n# round=33000 of 50000 minW=64\n# round=34000 of 50000 minW=64\n# round=35000 of 50000 minW=64\n# round=36000 of 50000 minW=64\n# round=37000 of 50000 minW=64\n# round=38000 of 50000 minW=64\n# round=39000 of 50000 minW=64\n# round=40000 of 50000 minW=64\n# round=41000 of 50000 minW=64\n# round=42000 of 50000 minW=64\n# round=43000 of 50000 minW=64\n# step=43813 row=156 minW=64 found cw of W=62: [7 13 24 26 43 50 73 88 99 105 107 116 118 127 139 141 143 157 180 195 229 231 234 240 253 272 278 280 304 308 319 330 332 334 349 351 424 426 428 430 483 509 562 590 592 603 605 607 620 626 637 680 682 712 746 750 757 759 763 770 847 853]\n# round=44000 of 50000 minW=62\n# round=45000 of 50000 minW=62\n# round=46000 of 50000 minW=62\n# round=47000 of 50000 minW=62\n# round=48000 of 50000 minW=62\n# round=49000 of 50000 minW=62\n# round=50000 of 50000 minW=62\nRW algorithm upper bound for the distance d=62\n</t>
  </si>
  <si>
    <t># step=0 row=0 minW=649 found cw of W=144: [2 3 7 9 11 17 18 25 29 35 36 38 40 41 46 55 67 74 81 82 89 95 99 100 101 105 108 114 118 123 126 149 150 154 159 161 166 182 186 191 192 194 200 201 202 207 210 218 221 229 233 234 239 240 251 253 254 256 259 263 270 274 288 300 301 304 306 316 317 319 323 347 348 349 354 355 356 365 366 369 373 374 375 379 390 391 399 407 415 416 420 423 426 427 428 430 432 450 452 454 459 465 470 471 485 496 503 511 512 515 516 518 520 521 525 526 527 541 547 549 552 559 562 563 579 583 589 598 600 601 604 606 611 613 614 618 620 625 633 637 638 642 643 646]\n# step=0 row=2 minW=144 found cw of W=138: [2 5 7 14 17 18 19 22 35 36 38 39 40 41 46 48 74 78 81 82 86 89 94 95 97 101 102 104 105 106 111 114 123 147 148 150 154 155 159 165 178 186 192 194 195 199 201 210 217 220 221 226 229 232 238 239 240 248 249 251 253 254 256 275 276 281 284 291 293 300 307 310 314 315 316 319 340 345 346 354 355 371 374 375 376 378 379 388 391 400 411 415 416 420 423 426 427 429 430 432 437 462 465 479 481 498 515 518 527 528 541 546 547 549 552 554 562 575 578 579 580 583 590 595 601 604 607 619 620 625 626 628 641 642 643 645 646 647]\n# step=0 row=3 minW=138 found cw of W=118: [6 7 9 13 14 18 19 29 31 35 38 40 48 65 67 74 78 81 82 90 94 95 104 106 108 111 125 126 147 154 156 159 165 178 188 191 199 200 210 217 220 224 226 234 239 253 255 256 276 280 281 295 300 301 304 307 310 314 315 323 340 343 349 355 356 360 365 371 373 376 378 380 388 390 395 416 420 423 427 429 430 432 437 450 454 471 481 485 502 515 516 521 527 528 543 546 549 562 563 568 575 580 583 585 590 595 598 601 604 613 614 618 619 621 624 625 626 637]\n# step=0 row=10 minW=118 found cw of W=104: [7 14 22 24 29 35 38 40 41 48 50 59 65 66 67 68 78 82 99 100 104 106 111 125 147 148 149 150 154 155 166 176 191 194 200 202 207 209 217 218 220 224 234 248 251 255 256 265 275 280 298 301 307 314 326 330 345 347 349 360 366 369 375 378 379 380 395 399 426 432 454 462 465 471 496 500 511 512 515 521 525 528 541 543 546 547 552 554 562 568 573 574 585 611 613 614 619 621 624 626 638 642 645 647]\n# step=0 row=23 minW=104 found cw of W=100: [2 11 17 18 31 36 40 49 50 55 59 62 66 67 68 74 81 90 94 97 102 105 114 123 148 149 166 176 186 188 191 194 200 201 202 215 217 221 233 238 249 251 253 264 265 275 300 306 310 324 330 340 343 347 348 356 364 371 372 373 379 399 411 415 420 423 427 428 465 471 479 503 511 518 520 521 525 526 549 554 559 562 570 573 580 583 590 600 601 604 606 618 619 621 625 628 633 636 642 643]\n# step=0 row=124 minW=100 found cw of W=96: [2 17 29 36 39 46 50 55 62 65 67 82 94 99 100 105 123 155 156 159 166 194 207 209 215 217 218 221 226 229 232 233 238 244 249 257 264 265 274 275 280 288 307 317 324 326 340 347 348 356 360 364 369 371 375 376 379 380 388 390 399 400 411 416 423 427 428 430 451 479 485 496 498 502 516 517 521 532 549 554 562 568 572 580 590 601 604 619 621 624 625 626 636 642 643 647]\n# step=0 row=127 minW=96 found cw of W=78: [9 29 36 40 46 55 62 68 78 82 89 104 105 114 118 125 126 149 165 176 194 209 215 224 239 240 244 251 266 275 281 291 304 307 317 319 324 340 355 364 365 371 375 376 379 390 426 429 452 454 465 479 481 500 515 516 518 526 527 532 546 552 554 563 573 574 578 579 589 590 600 620 636 637 641 642 643 647]\n# step=5 row=72 minW=78 found cw of W=56: [24 44 46 47 51 54 71 75 86 98 127 150 152 162 168 223 227 242 259 261 262 264 268 279 316 330 333 337 363 367 369 370 385 389 404 415 422 428 457 468 478 479 483 493 550 553 557 565 572 583 594 605 609 619 620 636]\n# step=5 row=214 minW=56 found cw of W=52: [44 46 47 51 54 71 75 86 127 152 162 168 223 227 242 259 261 262 264 268 279 316 330 333 337 363 367 369 370 385 389 404 415 421 422 457 468 478 479 483 493 550 553 557 565 572 583 594 605 609 619 620]\n# step=218 row=137 minW=52 found cw of W=46: [33 37 41 45 46 48 52 111 115 122 148 154 155 159 162 167 260 276 313 329 334 349 356 362 373 386 393 408 419 423 425 432 441 467 475 493 497 519 523 534 545 556 597 608 623 630]\n# round=1000 of 50000 minW=46\n# step=1199 row=94 minW=46 found cw of W=40: [3 63 64 103 172 173 179 201 205 212 229 271 279 282 286 296 316 332 352 354 367 404 406 426 443 458 468 500 524 530 552 565 567 594 598 602 605 626 639 641]\n# round=2000 of 50000 minW=40\n# round=3000 of 50000 minW=40\n# round=4000 of 50000 minW=40\n# round=5000 of 50000 minW=40\n# round=6000 of 50000 minW=40\n# round=7000 of 50000 minW=40\n# round=8000 of 50000 minW=40\n# round=9000 of 50000 minW=40\n# round=10000 of 50000 minW=40\n# round=11000 of 50000 minW=40\n# round=12000 of 50000 minW=40\n# round=13000 of 50000 minW=40\n# round=14000 of 50000 minW=40\n# round=15000 of 50000 minW=40\n# round=16000 of 50000 minW=40\n# round=17000 of 50000 minW=40\n# round=18000 of 50000 minW=40\n# round=19000 of 50000 minW=40\n# round=20000 of 50000 minW=40\n# round=21000 of 50000 minW=40\n# round=22000 of 50000 minW=40\n# step=22450 row=309 minW=40 found cw of W=38: [2 37 38 45 49 70 72 94 105 109 161 253 259 292 325 332 339 341 343 372 382 413 430 434 465 502 504 506 513 541 556 558 576 587 591 615 628 639]\n# round=23000 of 50000 minW=38\n# round=24000 of 50000 minW=38\n# round=25000 of 50000 minW=38\n# round=26000 of 50000 minW=38\n# round=27000 of 50000 minW=38\n# round=28000 of 50000 minW=38\n# round=29000 of 50000 minW=38\n# round=30000 of 50000 minW=38\n# round=31000 of 50000 minW=38\n# round=32000 of 50000 minW=38\n# step=32910 row=253 minW=38 found cw of W=36: [19 30 31 37 100 129 137 140 154 189 196 213 226 235 237 245 246 263 265 351 389 423 427 434 463 484 504 508 514 515 525 549 586 588 639 640]\n# step=32910 row=260 minW=36 found cw of W=34: [19 30 31 37 100 129 137 139 140 154 189 196 226 235 237 245 246 263 351 389 423 434 463 484 504 508 514 515 536 549 586 588 639 640]\n# round=33000 of 50000 minW=34\n# round=34000 of 50000 minW=34\n# round=35000 of 50000 minW=34\n# round=36000 of 50000 minW=34\n# round=37000 of 50000 minW=34\n# round=38000 of 50000 minW=34\n# round=39000 of 50000 minW=34\n# round=40000 of 50000 minW=34\n# round=41000 of 50000 minW=34\n# round=42000 of 50000 minW=34\n# round=43000 of 50000 minW=34\n# round=44000 of 50000 minW=34\n# round=45000 of 50000 minW=34\n# round=46000 of 50000 minW=34\n# round=47000 of 50000 minW=34\n# round=48000 of 50000 minW=34\n# round=49000 of 50000 minW=34\n# round=50000 of 50000 minW=34\nRW algorithm upper bound for the distance d=34\n</t>
  </si>
  <si>
    <t>[[1080,4,54]]</t>
  </si>
  <si>
    <t># step=0 row=0 minW=1081 found cw of W=224: [3 7 10 13 14 15 35 36 37 38 41 46 47 52 53 54 56 61 68 72 76 77 82 83 87 88 91 92 105 106 111 122 123 125 139 140 145 148 153 161 171 172 187 188 195 196 206 213 216 222 226 227 231 236 237 249 250 258 275 280 286 297 298 299 301 311 312 318 319 321 331 350 355 357 363 370 372 388 389 391 398 399 400 401 409 412 415 417 420 429 434 437 439 449 452 457 458 462 483 488 489 494 501 502 505 506 508 520 523 525 529 530 532 544 545 547 553 557 562 580 583 595 599 603 610 613 615 617 625 627 644 645 648 650 651 659 661 665 669 676 682 693 695 702 706 710 720 723 725 728 734 738 743 745 750 755 762 765 772 773 774 777 785 788 794 797 806 807 817 818 824 829 835 836 837 843 845 846 847 849 851 852 854 860 866 867 878 883 888 889 898 901 903 906 908 914 919 921 922 928 936 947 954 956 965 968 970 977 980 987 995 997 1000 1002 1003 1010 1013 1021 1027 1038 1039 1061 1073 1075]\n# step=0 row=1 minW=224 found cw of W=214: [4 10 13 15 44 46 47 54 60 61 68 72 76 80 82 83 84 87 88 93 94 101 106 108 121 123 133 148 151 152 153 161 171 172 180 204 206 213 214 215 222 223 224 227 230 236 246 247 249 250 258 275 278 281 291 298 299 300 304 308 311 313 318 349 350 363 372 373 377 379 391 400 407 413 414 417 421 428 429 434 437 438 441 449 451 452 457 464 470 471 473 475 476 482 483 488 489 506 507 510 520 523 525 529 530 532 544 554 561 562 574 577 579 580 582 585 594 595 599 602 605 608 610 613 615 619 621 625 627 645 648 650 651 656 669 674 677 682 693 694 695 697 706 710 720 726 739 743 745 750 751 755 765 766 773 777 788 794 797 801 803 805 806 807 817 824 826 831 837 840 842 843 846 848 849 850 859 861 866 867 873 876 878 881 888 889 896 908 922 927 949 956 961 968 970 971 977 984 987 992 995 1000 1002 1008 1010 1016 1027 1028 1045 1061 1066 1073 1075 1078]\n# step=0 row=2 minW=214 found cw of W=196: [5 6 7 10 13 14 15 29 35 37 38 46 47 48 52 54 60 61 68 70 72 77 81 89 94 111 121 122 123 125 133 140 143 153 154 172 174 187 196 198 213 216 223 227 228 237 246 247 280 286 292 298 299 300 301 311 312 316 320 329 347 372 373 377 379 388 389 391 392 394 401 403 404 413 414 417 428 437 446 447 451 452 462 473 475 489 490 500 502 505 507 525 544 545 547 549 554 556 557 561 562 572 574 577 582 585 586 595 598 599 603 605 608 610 613 615 617 619 620 625 629 644 648 650 651 654 656 659 661 663 669 693 694 695 702 715 716 734 737 739 749 750 751 765 788 806 807 821 824 825 835 836 837 838 844 845 846 847 848 859 860 867 873 876 878 880 888 890 892 901 914 917 919 927 928 935 936 939 944 956 962 970 977 989 992 994 996 997 1002 1013 1015 1021 1022 1028 1037 1051]\n# step=0 row=4 minW=196 found cw of W=188: [9 10 13 29 35 36 37 38 52 53 61 72 77 81 82 83 91 92 93 94 101 105 106 121 123 125 139 141 143 148 151 152 175 180 188 195 204 208 213 214 221 223 226 231 244 247 265 292 299 300 313 328 349 363 373 377 379 389 391 392 400 409 413 417 429 437 441 446 447 448 449 451 464 483 488 489 490 500 502 506 507 517 520 523 529 530 532 544 547 557 561 562 572 580 599 603 610 613 625 627 629 645 648 650 654 659 665 670 674 676 677 682 693 694 697 702 704 706 715 716 725 737 738 739 749 750 751 752 762 766 770 773 789 801 803 804 825 826 831 837 840 843 844 846 847 860 865 866 867 873 876 883 888 889 892 898 906 909 917 921 922 927 928 939 940 942 944 949 961 962 963 965 996 1000 1015 1021 1022 1027 1029 1037 1038 1050 1051 1061 1071 1074 1075 1078]\n# step=0 row=11 minW=188 found cw of W=182: [7 14 15 25 35 36 46 47 48 50 54 60 68 72 76 77 81 87 88 89 92 93 94 101 105 111 121 123 133 139 153 154 161 171 172 174 175 180 188 204 221 222 227 228 237 244 246 247 265 278 280 291 298 301 311 313 318 319 320 321 328 331 349 372 378 391 394 400 409 413 414 417 434 437 438 439 446 447 448 451 452 457 458 475 477 483 488 490 500 525 532 544 554 574 577 579 580 586 599 602 603 608 615 617 618 621 625 654 659 663 665 669 677 693 702 720 725 728 734 737 738 739 743 745 749 751 752 766 770 773 774 794 803 805 806 807 817 818 826 837 840 842 843 844 845 847 848 860 861 878 883 903 906 914 917 927 928 940 942 949 954 963 965 968 977 989 994 996 1000 1016 1029 1037 1038 1045 1050 1051 1062 1066 1071 1073 1074 1075]\n# step=0 row=12 minW=182 found cw of W=174: [13 14 15 26 36 41 44 46 47 52 54 70 72 77 81 89 91 93 95 99 121 122 123 125 143 145 148 154 171 172 180 188 195 204 205 206 222 228 231 246 265 278 280 292 301 308 312 316 321 328 331 343 357 363 377 378 413 414 415 417 428 429 434 437 438 446 452 457 458 464 465 477 500 502 506 508 514 520 525 529 530 544 545 562 572 574 577 585 586 594 595 599 603 608 613 615 617 618 620 625 627 645 650 651 663 669 693 695 699 716 720 723 737 739 743 745 749 750 762 773 777 789 794 800 801 803 807 817 818 823 824 825 826 837 838 845 846 848 850 854 860 866 867 870 873 878 889 892 896 898 903 908 914 919 921 928 936 939 942 954 980 989 996 997 1003 1015 1021 1022 1027 1028 1037 1061 1066 1078]\n# step=0 row=42 minW=174 found cw of W=164: [10 15 36 37 46 48 50 52 60 70 72 80 82 83 87 88 92 93 95 102 105 106 122 123 125 133 141 143 151 152 153 161 172 174 196 198 215 226 228 236 247 249 250 258 275 280 286 292 301 311 312 319 320 328 347 372 389 391 392 394 412 415 417 420 421 428 439 441 449 452 465 477 494 500 520 523 525 556 577 580 585 587 595 598 599 603 608 610 615 618 620 629 656 661 669 674 677 682 695 697 706 715 716 728 738 749 752 755 762 765 766 772 777 785 788 789 801 806 807 821 825 835 836 838 843 844 847 848 849 860 878 892 896 901 903 908 921 922 928 936 939 940 954 956 961 962 963 968 971 994 995 996 997 1002 1016 1028 1029 1038 1039 1051 1061 1073 1075 1078]\n# step=0 row=102 minW=164 found cw of W=154: [7 10 15 38 47 48 52 53 60 72 76 81 101 111 122 125 133 139 140 141 143 195 196 199 205 208 214 216 224 226 227 231 237 246 273 278 291 298 312 316 318 319 328 329 349 350 363 372 388 391 400 401 403 404 409 412 413 420 428 437 451 452 462 476 477 483 488 490 494 505 506 514 517 529 530 532 545 547 549 554 556 557 572 583 587 599 610 615 627 644 651 659 665 670 676 677 693 695 700 704 710 715 725 728 734 739 749 751 765 772 773 774 777 788 789 797 800 801 804 824 831 838 846 847 860 866 873 878 883 889 890 898 906 908 921 935 939 940 942 944 949 954 962 965 987 991 1000 1010 1015 1016 1027 1028 1066 1078]\n# step=11 row=47 minW=154 found cw of W=136: [2 5 8 19 31 41 45 88 89 90 93 103 104 105 109 110 133 139 140 145 150 152 162 174 182 184 191 206 209 213 214 236 256 258 288 305 309 317 339 340 341 342 345 351 393 396 409 421 424 429 431 432 440 443 456 468 469 482 498 506 507 516 528 534 535 566 568 594 602 607 617 618 624 629 631 641 647 657 669 674 678 683 688 696 697 706 711 729 731 741 742 750 754 755 768 785 791 831 832 835 857 871 879 887 888 894 902 904 917 920 937 941 942 945 951 955 957 959 969 970 971 973 979 990 993 996 1002 1004 1006 1017 1019 1029 1040 1042 1053 1074]\n# step=64 row=74 minW=136 found cw of W=130: [7 27 57 59 68 92 101 130 147 173 175 188 192 205 210 219 221 242 262 279 289 290 291 299 320 322 346 347 349 356 363 365 366 372 379 383 384 395 398 407 410 415 421 430 431 432 436 446 449 462 463 464 466 481 483 492 494 495 496 522 534 541 545 576 581 582 593 596 604 618 619 622 644 668 671 684 688 692 693 702 730 766 768 769 774 781 782 792 796 818 829 833 835 845 852 858 859 870 876 893 899 904 907 921 922 928 931 935 943 945 948 956 959 972 979 984 988 993 1006 1014 1015 1018 1019 1021 1043 1048 1066 1069 1074 1075]\n# step=160 row=204 minW=130 found cw of W=116: [2 3 20 23 42 46 69 71 76 92 109 110 127 159 173 190 219 231 235 247 249 261 272 286 293 297 305 316 332 334 343 344 367 369 370 407 408 429 447 452 458 459 468 471 474 490 509 510 518 524 532 538 543 558 568 570 573 592 601 607 619 620 642 646 654 655 656 665 676 678 693 694 731 739 744 746 747 770 782 794 799 808 810 812 816 842 858 869 872 895 905 918 919 942 956 965 978 985 986 991 992 1008 1009 1010 1017 1028 1032 1039 1044 1045 1055 1058 1070 1071 1074 1075]\n# step=279 row=73 minW=116 found cw of W=110: [4 15 19 46 57 58 66 93 119 121 129 130 143 144 150 151 155 174 209 216 219 220 224 232 255 279 292 306 315 325 326 327 343 347 366 370 383 395 400 405 406 419 420 444 470 471 474 493 495 498 520 525 536 539 542 555 579 581 592 603 604 622 639 645 666 677 678 681 700 705 728 742 753 782 795 805 806 809 811 812 843 855 856 869 879 885 893 896 903 920 941 943 945 948 954 970 971 977 993 1000 1005 1006 1044 1045 1047 1055 1056 1059 1072 1074]\n# step=279 row=468 minW=110 found cw of W=108: [4 15 19 46 57 58 66 93 119 121 129 130 143 150 151 155 174 209 216 219 220 224 232 255 279 292 306 315 325 326 327 343 347 366 370 383 391 395 400 405 406 419 420 470 471 474 493 495 498 520 525 536 539 542 555 579 581 592 603 604 622 639 645 666 677 678 681 700 705 728 742 753 782 795 805 806 809 811 812 843 855 856 869 879 885 893 896 903 920 940 943 945 948 954 970 971 977 993 1000 1005 1006 1045 1047 1055 1056 1059 1072 1074]\n# step=741 row=399 minW=108 found cw of W=106: [8 23 32 33 46 47 100 110 113 121 122 124 136 137 159 176 182 183 187 201 211 227 228 245 246 250 271 272 273 274 275 276 315 325 326 348 374 379 388 401 411 413 414 417 418 423 424 438 464 478 503 504 512 528 542 558 563 583 587 588 600 606 610 625 646 673 686 695 708 723 739 748 750 759 771 773 775 777 778 783 797 798 824 840 844 847 865 900 907 908 909 925 926 927 934 949 951 998 1014 1016 1021 1038 1039 1060 1074 1078]\n# round=1000 of 50000 minW=106\n# step=1054 row=373 minW=106 found cw of W=94: [7 8 10 23 72 76 86 87 94 111 134 147 158 182 197 221 249 260 261 273 297 298 299 309 323 333 335 351 353 375 376 412 423 424 447 461 472 473 478 512 513 545 582 598 607 610 622 624 647 660 668 684 693 694 695 708 709 734 748 756 770 772 793 798 800 819 820 821 822 835 838 859 871 887 920 921 922 923 943 944 945 947 968 970 971 976 987 994 1033 1047 1049 1072 1076 1077]\n# step=1147 row=387 minW=94 found cw of W=78: [6 66 105 107 120 128 131 147 148 172 209 217 218 221 234 244 255 258 296 305 308 318 321 332 359 369 370 386 391 408 432 455 456 473 520 521 522 536 569 581 592 603 604 616 654 655 657 666 668 681 692 729 730 743 746 751 752 768 791 793 808 814 815 831 858 881 882 896 904 906 917 981 992 993 1046 1054 1071 1072]\n# round=2000 of 50000 minW=78\n# round=3000 of 50000 minW=78\n# round=4000 of 50000 minW=78\n# round=5000 of 50000 minW=78\n# round=6000 of 50000 minW=78\n# round=7000 of 50000 minW=78\n# round=8000 of 50000 minW=78\n# round=9000 of 50000 minW=78\n# round=10000 of 50000 minW=78\n# round=11000 of 50000 minW=78\n# round=12000 of 50000 minW=78\n# round=13000 of 50000 minW=78\n# round=14000 of 50000 minW=78\n# round=15000 of 50000 minW=78\n# round=16000 of 50000 minW=78\n# round=17000 of 50000 minW=78\n# round=18000 of 50000 minW=78\n# round=19000 of 50000 minW=78\n# round=20000 of 50000 minW=78\n# round=21000 of 50000 minW=78\n# round=22000 of 50000 minW=78\n# round=23000 of 50000 minW=78\n# round=24000 of 50000 minW=78\n# round=25000 of 50000 minW=78\n# round=26000 of 50000 minW=78\n# round=27000 of 50000 minW=78\n# round=28000 of 50000 minW=78\n# round=29000 of 50000 minW=78\n# round=30000 of 50000 minW=78\n# round=31000 of 50000 minW=78\n# round=32000 of 50000 minW=78\n# round=33000 of 50000 minW=78\n# round=34000 of 50000 minW=78\n# round=35000 of 50000 minW=78\n# round=36000 of 50000 minW=78\n# round=37000 of 50000 minW=78\n# round=38000 of 50000 minW=78\n# round=39000 of 50000 minW=78\n# round=40000 of 50000 minW=78\n# round=41000 of 50000 minW=78\n# round=42000 of 50000 minW=78\n# round=43000 of 50000 minW=78\n# round=44000 of 50000 minW=78\n# round=45000 of 50000 minW=78\n# round=46000 of 50000 minW=78\n# round=47000 of 50000 minW=78\n# round=48000 of 50000 minW=78\n# round=49000 of 50000 minW=78\n# round=50000 of 50000 minW=78\nRW algorithm upper bound for the distance d=78\n</t>
  </si>
  <si>
    <t>[[1296,4,48]]</t>
  </si>
  <si>
    <t># step=0 row=2 minW=1297 found cw of W=262: [1 6 15 19 21 22 25 29 32 38 61 66 77 80 81 85 88 92 94 96 102 108 110 111 119 120 127 135 136 137 139 145 148 150 153 154 159 165 166 176 180 183 198 209 210 217 221 243 256 258 266 268 271 272 276 277 284 286 292 293 298 306 308 315 316 326 328 331 341 346 362 368 370 382 387 405 409 415 421 426 428 429 430 431 432 437 438 441 456 469 475 482 484 495 498 499 501 502 503 509 511 515 516 517 520 521 525 526 531 534 536 549 554 558 572 582 585 591 608 620 624 627 628 637 638 641 644 648 654 655 656 663 678 680 687 700 716 717 720 723 724 729 742 744 746 749 758 759 760 762 763 765 770 779 782 784 790 794 801 802 805 806 813 815 816 817 821 822 826 828 830 850 851 858 861 865 867 873 874 878 884 903 910 924 941 943 960 967 972 975 976 983 992 996 997 1005 1006 1019 1025 1035 1047 1049 1050 1052 1058 1060 1066 1070 1079 1086 1092 1094 1095 1097 1098 1102 1104 1106 1110 1114 1117 1118 1119 1127 1132 1139 1140 1150 1152 1168 1172 1177 1181 1183 1185 1191 1202 1208 1210 1211 1215 1216 1218 1233 1235 1236 1239 1241 1242 1244 1246 1259 1264 1266 1276 1279 1280 1285 1289 1292 1293 1295]\n# step=0 row=4 minW=262 found cw of W=232: [2 8 15 23 26 38 41 47 59 61 66 75 83 85 90 92 94 96 98 100 106 111 119 120 122 126 127 134 136 137 145 148 154 159 166 172 182 186 199 203 209 211 217 227 234 237 243 254 262 267 268 272 276 277 282 291 293 298 299 322 326 327 329 341 348 356 359 364 370 372 376 388 390 391 415 421 428 433 438 441 447 448 456 463 464 482 486 493 499 501 502 515 516 518 531 549 552 554 555 558 560 568 572 576 582 614 620 628 631 634 638 644 653 654 656 657 659 670 678 679 681 688 707 712 716 717 728 729 731 737 742 744 758 762 763 765 770 777 790 805 806 808 810 813 816 820 822 826 830 840 846 848 851 866 867 873 874 879 884 892 899 903 905 925 926 941 942 943 954 956 960 980 981 982 984 986 1004 1013 1019 1022 1025 1030 1033 1042 1047 1049 1050 1058 1077 1079 1084 1086 1092 1095 1101 1102 1104 1105 1106 1114 1118 1119 1127 1128 1136 1139 1143 1150 1159 1166 1168 1172 1181 1183 1191 1193 1211 1216 1227 1231 1236 1241 1244 1246 1265 1266 1276 1277 1279 1290 1293 1295]\n# step=0 row=104 minW=232 found cw of W=230: [2 15 23 26 38 41 47 59 61 66 75 83 85 90 92 94 96 98 100 106 111 119 120 122 126 127 134 136 137 145 148 154 159 166 172 182 186 199 203 209 211 216 217 227 234 237 243 254 262 267 268 272 276 277 282 291 293 296 298 299 322 326 327 329 341 348 356 359 364 370 372 376 388 390 391 415 421 428 433 438 441 447 448 456 463 464 482 486 493 499 501 502 516 518 531 549 552 554 555 558 560 568 572 582 614 620 628 634 638 644 653 654 656 657 659 670 678 679 681 688 707 712 716 717 729 731 737 742 744 758 762 763 765 770 777 790 805 806 808 810 813 816 820 822 826 830 840 846 848 851 866 867 873 874 879 884 892 899 903 905 925 926 941 942 943 954 956 960 980 981 982 984 986 1004 1013 1019 1022 1025 1030 1033 1042 1047 1049 1050 1058 1077 1079 1084 1086 1092 1095 1101 1102 1104 1105 1106 1114 1118 1119 1127 1128 1136 1139 1143 1150 1159 1166 1168 1180 1181 1183 1191 1193 1211 1216 1227 1231 1236 1241 1244 1246 1265 1266 1276 1277 1279 1288 1290 1293 1295]\n# step=0 row=167 minW=230 found cw of W=220: [15 18 22 45 47 53 65 66 77 80 81 84 120 122 137 145 169 173 180 183 189 197 200 203 210 211 217 221 224 226 236 237 242 254 267 268 270 276 277 283 291 293 294 296 299 305 315 323 326 336 341 346 350 354 356 364 370 371 405 409 411 415 421 426 429 430 431 441 443 448 452 463 469 475 482 486 493 495 502 503 508 511 516 517 525 526 531 542 550 555 558 560 568 589 591 620 628 634 637 638 641 643 644 648 653 655 669 679 680 687 688 691 723 725 737 746 752 758 760 770 779 784 786 794 801 805 821 830 846 851 855 858 861 862 866 867 874 878 893 899 901 905 926 934 941 942 945 952 954 956 960 961 966 972 986 987 992 997 1001 1002 1004 1005 1011 1013 1015 1017 1026 1030 1037 1040 1047 1052 1058 1066 1070 1075 1077 1084 1086 1097 1098 1101 1102 1105 1106 1118 1127 1130 1139 1140 1156 1159 1166 1174 1181 1183 1186 1193 1211 1215 1216 1222 1224 1227 1231 1236 1238 1239 1241 1246 1247 1249 1254 1276 1285 1288 1289 1290 1293 1295]\n# step=0 row=322 minW=220 found cw of W=214: [15 18 22 45 47 53 65 77 80 81 84 120 122 137 145 169 173 180 183 189 197 200 203 210 211 217 221 224 226 236 237 242 254 267 268 270 276 277 283 291 294 296 299 305 315 323 326 336 341 346 350 356 364 370 371 405 409 411 415 421 426 429 430 431 441 443 448 452 463 469 475 482 486 493 495 502 503 508 511 516 517 525 526 531 542 550 555 558 560 568 589 591 620 634 637 638 641 643 644 648 653 655 662 669 670 679 680 687 688 691 723 737 746 752 758 760 770 779 784 794 801 805 821 830 846 851 855 858 861 862 866 867 874 878 893 899 901 905 926 934 941 942 945 952 954 956 960 961 966 972 986 987 992 997 1001 1002 1004 1005 1011 1013 1015 1017 1026 1030 1037 1040 1047 1052 1058 1066 1070 1075 1077 1084 1086 1097 1098 1101 1102 1105 1106 1118 1127 1130 1139 1140 1156 1159 1166 1174 1181 1183 1186 1193 1211 1215 1216 1222 1224 1227 1231 1236 1238 1239 1241 1246 1247 1249 1254 1276 1288 1289 1290 1295]\n# step=2 row=13 minW=214 found cw of W=204: [4 15 17 19 20 24 38 39 40 49 60 65 72 85 88 90 98 104 119 121 123 126 127 128 135 143 148 161 162 163 171 198 206 212 237 239 250 264 265 272 274 283 287 290 297 299 304 316 322 323 324 331 355 356 357 358 363 364 370 372 375 379 384 390 400 403 404 411 415 420 423 424 431 432 435 442 446 447 449 479 488 491 494 497 501 503 508 516 519 520 530 551 552 570 579 581 584 585 588 592 596 600 606 610 617 623 624 625 635 667 669 672 679 682 686 695 696 697 722 725 727 739 753 757 760 765 769 770 774 780 784 788 791 805 810 816 817 835 842 843 855 867 868 879 881 894 901 907 912 919 922 931 932 952 953 954 955 961 962 967 976 988 996 1011 1017 1020 1027 1036 1040 1041 1057 1067 1068 1074 1077 1080 1083 1087 1097 1105 1107 1109 1111 1126 1130 1134 1135 1144 1184 1199 1207 1208 1216 1223 1227 1229 1231 1238 1256 1261 1263 1266 1267 1268]\n# step=3 row=0 minW=204 found cw of W=202: [3 11 19 31 38 39 47 56 58 64 78 82 94 96 107 108 121 131 150 156 157 163 181 185 202 209 210 211 226 233 245 256 259 264 265 272 274 287 299 304 318 319 365 366 368 380 383 389 396 398 399 400 403 407 408 411 418 423 428 429 442 446 448 468 473 475 476 483 489 499 507 519 523 524 535 537 546 552 558 560 561 562 581 591 594 595 605 606 607 617 619 624 631 632 640 643 653 667 691 696 698 702 715 725 727 735 736 740 743 747 761 764 776 784 792 798 807 815 817 821 825 841 852 853 855 859 863 876 877 880 888 890 898 901 903 905 911 914 923 930 935 936 941 945 954 955 959 968 969 978 979 984 990 993 994 1006 1007 1011 1012 1022 1023 1028 1030 1033 1039 1049 1050 1052 1074 1075 1100 1103 1107 1113 1118 1133 1138 1148 1149 1154 1165 1190 1201 1209 1213 1218 1219 1234 1235 1246 1249 1250 1257 1259 1267 1271 1275 1276 1280 1290 1294 1295]\n# step=3 row=299 minW=202 found cw of W=194: [4 11 16 19 27 45 53 58 75 79 85 90 97 103 117 121 123 130 138 149 156 181 191 193 201 210 218 226 233 234 239 259 263 265 271 276 299 302 304 307 309 311 342 354 357 366 368 374 382 383 387 389 397 400 403 408 418 421 423 428 429 432 440 441 442 445 449 473 476 484 489 508 517 520 521 524 525 528 537 547 555 564 565 566 572 574 580 584 594 605 611 616 619 624 636 641 647 649 656 657 662 668 670 673 691 708 712 715 721 724 736 740 742 743 747 749 755 764 772 792 806 814 817 819 821 825 835 838 852 855 860 869 890 891 901 905 906 930 936 945 956 968 979 984 993 998 1005 1009 1011 1012 1028 1030 1033 1049 1053 1061 1072 1073 1075 1078 1085 1086 1087 1100 1103 1107 1113 1118 1125 1132 1133 1138 1148 1154 1179 1187 1190 1201 1204 1212 1215 1218 1220 1232 1241 1250 1255 1257 1259 1268 1275 1280 1281 1294]\n# step=20 row=34 minW=194 found cw of W=190: [1 7 15 23 24 50 56 61 62 63 65 67 68 72 76 81 86 113 125 130 133 144 150 155 156 160 175 209 234 237 249 252 263 271 272 284 289 295 315 319 322 328 329 336 347 352 353 355 371 372 379 398 399 406 416 421 426 434 449 457 479 485 495 496 504 505 511 537 545 548 556 558 564 567 576 587 593 595 597 601 618 624 626 628 636 637 644 652 660 661 663 666 668 671 673 677 689 693 701 702 719 721 723 726 727 734 736 737 743 744 760 770 773 778 779 786 796 806 808 825 826 830 838 850 862 863 873 881 888 897 898 905 915 931 934 943 952 960 966 972 976 977 990 991 1014 1017 1028 1032 1042 1045 1049 1053 1060 1071 1072 1073 1081 1083 1085 1096 1100 1114 1119 1125 1133 1136 1138 1145 1146 1150 1162 1168 1186 1196 1197 1201 1222 1224 1228 1240 1241 1250 1257 1258 1279 1281 1283 1286 1291 1294]\n# step=36 row=24 minW=190 found cw of W=174: [2 3 26 28 33 48 50 55 58 63 70 74 75 87 113 120 153 159 161 166 169 174 179 184 192 197 205 211 213 217 223 230 242 244 252 253 254 267 285 307 327 329 330 335 341 345 354 361 362 364 370 383 401 409 441 443 453 480 494 501 502 505 512 526 567 569 572 573 575 582 588 602 604 611 612 613 619 623 629 634 641 651 658 662 665 666 670 680 683 684 685 701 707 712 713 719 723 737 762 770 773 777 785 793 795 802 809 815 824 833 834 841 849 855 857 863 871 881 885 891 904 918 927 933 934 945 949 950 953 959 964 979 986 993 994 995 996 1002 1004 1007 1011 1014 1025 1027 1030 1055 1058 1074 1075 1082 1106 1130 1144 1151 1168 1177 1190 1198 1201 1220 1222 1226 1232 1241 1251 1271 1272 1277 1278 1280 1284 1287 1288 1291]\n# step=68 row=561 minW=174 found cw of W=172: [1 3 5 7 8 9 11 15 19 33 41 43 56 62 70 77 87 89 96 99 102 107 108 119 121 125 135 140 141 157 158 163 165 166 184 188 190 201 227 229 235 237 242 248 274 287 289 291 297 300 305 306 313 318 319 337 345 357 358 399 405 406 407 412 419 420 424 427 429 439 457 461 465 466 472 498 500 507 529 536 542 545 554 561 588 602 611 617 619 620 628 639 645 646 652 660 664 666 670 673 675 685 689 695 706 719 723 727 736 770 776 789 807 809 824 830 845 847 861 869 872 877 886 891 899 930 931 947 953 955 957 963 968 969 973 977 983 1001 1026 1053 1062 1064 1069 1071 1072 1078 1083 1095 1097 1104 1119 1121 1127 1129 1144 1154 1160 1179 1182 1187 1206 1215 1219 1220 1232 1245 1259 1267 1274 1275 1277 1288]\n# step=91 row=18 minW=172 found cw of W=164: [19 29 37 40 42 45 48 59 62 70 80 82 106 135 146 147 148 153 154 158 162 164 165 170 177 178 183 185 190 206 210 216 238 270 272 280 286 290 291 294 301 307 318 366 368 372 377 380 388 402 406 415 418 423 435 445 450 453 457 458 463 465 475 476 496 503 518 528 529 536 537 543 546 551 553 561 579 590 591 616 642 651 698 699 710 719 723 724 741 744 745 749 765 767 769 781 784 792 798 800 809 812 813 817 822 825 834 838 839 845 855 870 878 900 906 910 923 925 931 934 939 958 961 972 986 997 1012 1015 1022 1029 1032 1033 1034 1042 1046 1062 1072 1076 1084 1100 1101 1102 1105 1116 1124 1127 1135 1138 1140 1145 1158 1166 1170 1175 1183 1186 1198 1202 1213 1227 1241 1257 1266 1285]\n# step=170 row=578 minW=164 found cw of W=150: [22 39 43 58 69 79 104 107 113 124 172 182 183 195 202 205 210 228 229 244 248 252 285 291 318 331 335 336 340 346 351 364 372 377 380 385 392 407 439 445 447 460 471 484 488 493 501 504 516 531 538 540 542 556 587 592 593 594 606 608 617 624 631 632 647 654 662 666 679 680 689 696 708 720 745 775 778 801 814 820 823 824 832 840 845 847 848 860 861 870 877 878 881 892 901 902 903 914 922 923 924 931 933 939 940 947 954 955 968 973 974 988 989 996 1005 1033 1035 1038 1060 1064 1088 1102 1110 1116 1122 1128 1135 1158 1159 1160 1167 1169 1174 1183 1191 1207 1208 1213 1232 1236 1257 1258 1259 1261 1267 1274 1284 1285 1289 1293]\n# step=291 row=286 minW=150 found cw of W=120: [12 14 18 20 22 43 44 65 72 79 115 136 138 159 160 161 173 176 186 214 224 232 236 239 240 245 254 261 264 273 290 306 325 340 356 386 422 436 439 466 474 494 505 513 542 554 562 570 571 586 597 603 610 611 613 614 622 625 668 669 684 686 694 732 744 760 763 769 772 774 777 780 791 810 824 826 832 849 866 868 869 880 894 902 904 906 911 918 965 984 990 1018 1042 1045 1057 1067 1071 1090 1092 1095 1109 1112 1117 1120 1134 1159 1167 1193 1200 1215 1218 1225 1226 1253 1270 1271 1278 1282 1290 1294]\n# round=1000 of 50000 minW=120\n# round=2000 of 50000 minW=120\n# round=3000 of 50000 minW=120\n# round=4000 of 50000 minW=120\n# round=5000 of 50000 minW=120\n# round=6000 of 50000 minW=120\n# round=7000 of 50000 minW=120\n# round=8000 of 50000 minW=120\n# round=9000 of 50000 minW=120\n# round=10000 of 50000 minW=120\n# round=11000 of 50000 minW=120\n# round=12000 of 50000 minW=120\n# round=13000 of 50000 minW=120\n# round=14000 of 50000 minW=120\n# round=15000 of 50000 minW=120\n# round=16000 of 50000 minW=120\n# round=17000 of 50000 minW=120\n# step=17934 row=558 minW=120 found cw of W=104: [8 14 32 43 46 52 53 61 66 78 132 137 138 153 154 157 177 187 202 210 214 263 265 273 277 278 290 296 302 306 311 324 334 348 356 374 392 398 406 436 445 488 498 522 536 561 574 598 599 631 646 650 652 656 661 665 675 703 708 710 713 733 738 742 761 763 766 814 819 852 906 907 920 929 949 968 971 978 985 988 991 993 996 1001 1021 1022 1031 1044 1077 1112 1117 1132 1145 1170 1178 1217 1218 1227 1228 1262 1275 1284 1289 1296]\n# step=17934 row=620 minW=104 found cw of W=98: [8 32 43 46 52 53 61 66 78 132 137 138 154 157 177 187 202 210 263 265 273 277 278 290 296 306 311 324 334 348 356 374 392 398 406 436 445 498 522 536 561 598 599 631 637 646 650 652 656 661 665 675 703 708 710 713 733 734 738 742 761 763 766 814 819 852 906 907 920 929 949 968 971 978 985 988 991 993 996 1001 1021 1022 1031 1044 1077 1112 1132 1217 1218 1227 1228 1233 1262 1266 1275 1284 1289 1296]\n# round=18000 of 50000 minW=98\n# round=19000 of 50000 minW=98\n# round=20000 of 50000 minW=98\n# round=21000 of 50000 minW=98\n# round=22000 of 50000 minW=98\n# round=23000 of 50000 minW=98\n# round=24000 of 50000 minW=98\n# round=25000 of 50000 minW=98\n# round=26000 of 50000 minW=98\n# round=27000 of 50000 minW=98\n# round=28000 of 50000 minW=98\n# round=29000 of 50000 minW=98\n# round=30000 of 50000 minW=98\n# round=31000 of 50000 minW=98\n# round=32000 of 50000 minW=98\n# round=33000 of 50000 minW=98\n# round=34000 of 50000 minW=98\n# round=35000 of 50000 minW=98\n# round=36000 of 50000 minW=98\n# round=37000 of 50000 minW=98\n# round=38000 of 50000 minW=98\n# round=39000 of 50000 minW=98\n# round=40000 of 50000 minW=98\n# round=41000 of 50000 minW=98\n# round=42000 of 50000 minW=98\n# round=43000 of 50000 minW=98\n# round=44000 of 50000 minW=98\n# round=45000 of 50000 minW=98\n# round=46000 of 50000 minW=98\n# round=47000 of 50000 minW=98\n# round=48000 of 50000 minW=98\n# round=49000 of 50000 minW=98\n# round=50000 of 50000 minW=98\nRW algorithm upper bound for the distance d=98\n</t>
  </si>
  <si>
    <t>[[1152,4,36]]</t>
  </si>
  <si>
    <t># step=0 row=0 minW=1153 found cw of W=232: [1 2 3 4 11 18 23 31 35 36 42 48 71 75 92 94 96 97 98 99 100 104 105 112 113 123 133 134 137 142 153 163 166 170 179 182 188 197 199 209 213 216 217 225 231 241 246 258 260 261 264 266 268 272 276 281 287 289 296 298 303 305 321 322 323 334 340 348 351 356 357 365 370 379 380 383 385 389 390 394 403 404 408 411 412 419 420 428 447 458 459 461 464 466 468 475 477 480 481 485 488 494 495 502 510 515 521 522 524 533 536 546 550 553 559 577 591 593 600 604 607 610 611 613 614 617 622 635 649 657 658 659 669 672 677 679 682 688 691 696 700 710 718 724 727 732 746 757 762 763 765 769 775 789 800 801 817 820 822 826 830 833 834 835 836 837 843 846 852 855 860 871 874 890 891 894 896 898 910 912 913 914 918 928 930 931 932 933 936 949 958 959 963 970 971 982 984 990 1000 1003 1004 1010 1016 1022 1024 1025 1026 1029 1040 1049 1051 1055 1064 1066 1069 1073 1079 1081 1091 1092 1094 1095 1097 1106 1113 1117 1118 1121 1125 1130 1133 1152]\n# step=0 row=1 minW=232 found cw of W=224: [3 5 8 21 46 48 68 71 73 76 79 94 98 100 103 105 112 117 118 125 134 137 142 150 158 160 161 170 182 186 188 191 194 197 198 204 212 213 224 225 232 241 246 258 260 261 264 268 274 281 288 291 296 298 303 317 322 323 325 328 331 334 341 346 348 349 356 362 363 365 385 389 392 395 397 403 408 411 412 420 429 435 439 442 446 458 459 462 464 466 468 471 476 477 478 480 481 485 488 491 494 498 503 504 507 524 527 532 535 536 556 559 565 572 587 591 593 594 608 613 626 629 630 632 635 638 645 649 659 672 673 675 680 688 692 696 710 712 724 725 731 732 733 743 747 748 769 773 789 790 794 800 807 813 817 820 822 826 828 830 833 835 836 843 846 852 860 862 868 871 874 882 886 891 894 897 898 900 908 912 913 916 931 934 935 937 956 959 963 971 975 978 984 986 990 1002 1004 1009 1011 1021 1025 1026 1029 1031 1046 1055 1056 1064 1069 1071 1076 1078 1081 1091 1095 1099 1102 1115 1129 1130 1133 1141 1145 1152]\n# step=0 row=8 minW=224 found cw of W=218: [1 11 19 23 30 31 35 36 38 40 47 48 73 75 83 87 94 96 103 104 105 116 117 118 137 142 150 161 166 177 179 181 186 187 197 198 199 209 210 212 213 214 216 224 225 231 232 241 261 266 268 272 276 277 287 296 303 305 306 310 328 340 346 351 353 356 357 362 363 380 383 385 390 392 397 404 406 409 419 420 424 428 429 446 447 461 471 475 478 484 488 494 497 498 502 503 507 508 510 515 520 521 522 527 533 535 536 537 550 553 556 572 591 592 593 600 601 604 607 608 610 614 635 662 669 672 675 679 688 700 710 713 727 732 735 741 743 748 751 753 754 756 757 763 765 769 788 790 794 800 801 804 820 822 827 828 830 834 835 843 846 855 860 862 868 874 886 890 894 897 900 910 914 918 929 932 935 936 937 949 952 958 963 970 982 984 1000 1002 1003 1009 1011 1016 1021 1022 1024 1026 1029 1031 1040 1043 1046 1055 1056 1073 1078 1079 1080 1091 1092 1094 1097 1102 1106 1118 1122 1124 1133 1151]\n# step=0 row=11 minW=218 found cw of W=212: [1 4 10 11 18 24 31 36 38 39 46 73 75 76 84 87 92 94 96 98 103 104 112 117 123 125 133 134 142 153 154 156 158 161 163 179 191 192 206 212 213 214 216 225 227 228 232 241 249 261 264 266 272 276 281 289 296 298 303 306 321 323 340 341 346 349 351 353 357 362 363 371 380 385 390 393 394 397 419 428 429 435 439 442 447 462 464 466 471 476 477 484 488 493 494 498 502 504 520 521 524 527 532 533 535 536 537 546 551 552 556 572 583 587 594 599 601 604 605 608 609 619 622 632 635 649 657 658 661 669 675 677 680 684 700 710 712 718 726 731 747 753 754 757 765 788 790 794 800 804 805 826 827 828 834 835 836 846 852 855 862 868 871 874 886 894 896 900 908 910 914 916 918 928 930 932 934 937 956 965 968 970 978 982 984 990 1000 1003 1010 1011 1016 1020 1021 1022 1024 1029 1043 1056 1063 1081 1085 1091 1095 1099 1102 1113 1115 1118 1122 1129 1133 1145]\n# step=0 row=54 minW=212 found cw of W=200: [3 4 6 16 18 30 38 40 42 48 71 79 84 90 92 100 101 113 116 123 125 133 134 137 142 153 154 158 163 175 179 182 186 188 191 192 198 206 210 212 213 214 225 227 228 231 246 249 260 268 272 277 291 296 301 305 306 310 323 334 340 341 348 351 356 365 371 380 393 404 406 408 411 412 419 428 439 458 461 462 468 475 477 480 481 484 485 488 495 502 503 504 530 532 537 550 552 553 559 577 591 593 604 605 607 608 609 614 617 619 622 626 630 632 654 657 659 673 688 692 712 718 724 726 731 741 748 751 753 757 762 765 773 775 789 790 800 801 817 822 828 830 837 843 846 852 862 886 890 891 894 897 903 908 914 915 916 925 928 931 933 949 956 959 965 968 970 991 1000 1002 1003 1004 1005 1020 1025 1026 1040 1046 1049 1064 1066 1069 1073 1079 1085 1087 1092 1094 1099 1102 1106 1113 1115 1121 1122 1124 1129 1130 1133 1145]\n# step=0 row=63 minW=200 found cw of W=192: [6 16 30 31 35 40 42 47 48 68 71 73 83 90 94 97 105 112 115 116 150 153 154 160 161 163 179 186 199 206 209 210 213 214 216 224 225 227 228 231 264 266 268 281 287 289 291 303 305 310 321 322 323 341 356 363 370 371 379 380 385 389 390 393 394 395 403 404 406 411 419 420 429 439 446 462 464 466 468 476 477 484 488 493 494 499 504 515 522 527 532 533 550 567 577 591 598 601 604 608 609 611 617 622 626 630 632 635 643 645 658 659 672 673 674 675 677 679 682 684 691 700 710 712 731 743 746 753 754 763 769 773 775 788 789 800 811 820 830 834 837 843 855 868 871 874 879 890 896 897 898 908 913 914 915 916 928 933 936 949 956 959 963 968 971 984 994 1002 1011 1016 1020 1029 1050 1069 1073 1074 1076 1078 1080 1081 1092 1095 1097 1102 1113 1117 1118 1124 1125 1129 1145 1152]\n# step=0 row=77 minW=192 found cw of W=184: [3 8 16 21 36 38 42 46 68 71 84 90 94 99 100 123 125 133 134 142 143 158 177 187 188 191 198 213 214 218 225 228 231 261 268 274 277 288 289 291 296 301 305 306 310 317 325 328 331 341 348 349 353 356 362 363 365 380 385 390 392 394 397 403 406 412 439 459 461 464 466 471 475 476 477 480 481 485 488 491 495 498 504 530 535 537 554 556 559 565 572 577 587 591 593 598 604 605 608 610 611 617 626 627 629 632 635 638 643 645 647 659 673 675 683 684 724 725 726 731 734 748 751 769 775 789 794 800 813 817 820 826 830 835 837 843 846 847 852 862 868 874 886 891 894 916 930 931 933 934 936 937 949 959 963 965 973 978 982 1002 1005 1011 1021 1026 1029 1031 1046 1049 1056 1078 1079 1080 1085 1092 1113 1116 1117 1122 1124 1125 1130 1133 1139 1141]\n# step=0 row=79 minW=184 found cw of W=176: [1 4 11 16 18 23 46 47 48 75 84 90 92 94 97 98 99 104 113 118 125 134 142 146 153 156 158 163 166 168 192 194 198 199 204 209 217 220 231 241 264 281 296 301 303 305 328 349 357 362 363 370 371 376 380 383 389 392 393 394 397 446 462 466 471 485 495 498 503 504 516 522 526 530 535 537 546 550 554 559 572 577 587 591 593 599 600 604 605 609 610 613 614 626 627 630 632 645 647 659 661 669 672 674 675 682 684 688 692 696 726 727 741 746 748 757 762 765 769 773 775 822 826 834 835 843 846 852 860 871 886 890 894 900 908 913 914 918 928 930 932 934 935 949 958 965 968 978 984 990 1010 1024 1026 1031 1046 1051 1056 1073 1078 1079 1081 1085 1087 1091 1092 1095 1097 1099 1106 1108 1115 1117 1122 1133 1139 1152]\n# step=0 row=171 minW=176 found cw of W=174: [3 8 30 35 38 40 71 73 79 87 94 97 98 99 104 112 116 125 153 154 161 163 168 181 186 191 210 212 213 214 217 224 225 228 232 274 281 284 288 291 298 303 320 328 334 348 353 363 365 370 380 385 389 390 392 397 403 404 408 412 420 424 429 435 458 459 462 466 477 478 480 481 488 491 494 508 510 515 520 527 530 532 537 550 552 553 565 591 598 607 608 610 611 622 630 638 645 647 654 658 662 673 675 677 682 683 700 710 711 724 734 743 746 751 753 754 756 763 765 769 773 775 788 789 800 801 807 813 817 837 846 886 891 894 897 908 909 914 930 933 935 936 942 950 959 973 978 991 1002 1004 1005 1024 1029 1031 1040 1046 1048 1051 1076 1079 1080 1081 1084 1085 1087 1095 1113 1115 1116 1117 1122 1130 1133 1152]\n# step=2 row=74 minW=174 found cw of W=172: [5 8 18 20 22 29 38 39 48 72 76 90 94 101 105 115 116 121 124 134 137 144 148 175 180 190 194 195 205 211 220 226 240 249 250 260 262 264 268 271 273 278 279 283 290 296 297 298 301 313 324 326 332 341 342 345 347 355 363 364 406 413 414 423 427 428 440 441 449 451 456 461 465 474 484 487 488 531 536 538 552 561 564 570 571 576 579 580 582 609 611 612 613 622 625 636 657 659 665 667 672 673 678 680 688 694 698 705 708 712 723 725 736 740 752 755 765 776 777 779 801 802 804 815 819 820 829 832 834 863 864 876 882 883 886 893 894 897 910 915 926 928 933 938 945 947 975 989 991 999 1003 1006 1012 1015 1016 1024 1036 1040 1044 1050 1058 1059 1060 1062 1076 1102 1110 1132 1133 1149 1151 1152]\n# step=5 row=51 minW=172 found cw of W=170: [9 13 16 22 28 29 30 34 35 41 44 48 56 63 66 67 70 80 109 115 116 141 146 147 149 151 155 156 160 161 173 182 183 189 198 205 213 219 223 240 241 246 247 251 269 304 308 312 319 320 325 330 349 372 374 376 389 393 394 404 412 415 417 421 422 431 436 437 438 445 446 450 453 458 459 468 470 477 495 499 503 511 521 524 529 530 534 539 540 541 542 544 547 554 555 560 565 568 569 581 610 612 616 622 634 641 661 676 683 691 694 702 705 715 724 734 740 741 750 765 782 788 791 801 815 822 827 836 840 843 856 862 872 873 878 894 900 901 910 911 917 923 939 951 952 965 971 987 990 1012 1021 1022 1030 1033 1034 1039 1044 1049 1060 1066 1067 1077 1082 1095 1107 1122 1139 1143 1145 1150]\n# step=5 row=367 minW=170 found cw of W=164: [9 13 16 22 28 29 30 34 41 44 48 56 63 66 67 70 80 115 116 141 146 147 149 151 155 156 160 161 173 182 183 189 198 205 213 219 223 240 241 246 247 251 269 304 308 312 319 320 325 330 349 374 376 389 393 394 404 412 415 417 421 422 431 436 437 438 445 450 453 458 459 470 477 495 499 503 511 521 524 529 530 534 539 540 541 544 547 554 555 560 565 568 569 581 612 616 620 622 634 641 661 676 683 691 702 705 715 724 734 740 741 750 758 765 782 788 791 801 815 822 827 836 840 843 856 862 872 873 878 894 900 901 910 911 917 923 939 951 952 965 971 987 990 1012 1021 1022 1030 1033 1034 1039 1044 1049 1060 1066 1067 1077 1082 1095 1107 1122 1139 1143 1145 1150]\n# step=6 row=87 minW=164 found cw of W=138: [4 8 17 34 39 51 59 65 81 83 85 95 100 115 125 128 130 135 144 145 146 147 149 160 182 183 196 197 209 219 223 233 235 240 257 271 289 291 292 293 297 298 320 322 331 336 341 345 364 365 378 385 386 387 415 425 436 446 456 457 459 460 463 469 489 505 509 510 539 544 552 557 567 589 593 609 612 627 657 660 676 677 683 685 690 699 719 720 757 767 768 769 770 771 773 777 778 779 782 787 801 818 821 831 856 858 865 867 874 878 892 907 916 917 938 942 947 953 997 1011 1017 1020 1026 1033 1038 1048 1054 1060 1084 1093 1105 1107 1112 1113 1115 1123 1127 1129]\n# step=39 row=444 minW=138 found cw of W=134: [7 25 37 39 74 77 84 87 88 99 106 122 133 136 153 167 174 175 185 187 188 209 210 226 227 231 236 242 258 261 262 279 280 285 316 322 337 352 353 362 367 371 392 399 401 411 414 421 424 432 435 443 446 455 458 461 465 472 480 485 509 520 524 549 557 566 577 585 588 597 610 611 614 615 630 637 639 646 656 674 691 699 708 709 718 736 744 755 784 792 795 797 812 824 827 831 850 854 876 880 885 888 893 902 911 913 925 938 948 962 965 977 983 984 985 1001 1002 1007 1031 1040 1044 1045 1070 1072 1079 1081 1085 1089 1094 1099 1104 1114 1132 1149]\n# step=344 row=111 minW=134 found cw of W=122: [8 17 21 47 72 81 95 109 118 119 128 131 133 137 142 150 154 165 173 183 187 192 205 207 211 216 224 229 233 279 289 293 297 299 303 312 363 367 372 376 386 394 395 396 441 451 456 460 468 487 491 496 497 502 505 510 520 524 537 542 546 548 552 560 561 574 576 608 625 633 644 647 648 657 674 680 684 688 696 707 716 725 726 739 753 758 762 790 822 831 836 860 861 864 872 873 883 887 913 937 945 946 947 951 952 974 1009 1011 1031 1041 1071 1080 1095 1100 1104 1105 1112 1117 1122 1123 1127 1137]\n# step=344 row=276 minW=122 found cw of W=108: [8 47 72 109 118 119 131 133 137 165 173 183 187 192 205 207 211 224 229 233 279 289 299 307 309 363 372 376 381 386 391 394 396 401 441 451 455 456 460 468 496 497 502 505 510 520 524 537 542 546 552 560 574 575 576 608 621 644 647 648 657 674 680 684 688 696 703 713 716 717 721 726 735 753 758 762 790 822 831 836 860 861 864 883 888 913 937 942 945 947 951 952 974 1009 1011 1031 1041 1071 1080 1095 1100 1105 1109 1112 1117 1122 1127 1137]\n# step=836 row=201 minW=108 found cw of W=94: [25 35 39 47 64 78 106 116 121 131 135 138 163 170 174 212 221 226 227 231 259 271 281 284 293 301 317 322 345 348 352 364 384 391 412 426 436 443 461 475 483 493 530 540 557 572 576 602 608 613 622 645 676 681 691 696 698 724 738 773 782 796 820 834 841 842 853 859 902 913 915 923 927 966 988 1004 1008 1011 1021 1040 1041 1050 1055 1058 1085 1092 1109 1114 1119 1125 1131 1137 1147 1151]\n# round=1000 of 50000 minW=94\n# round=2000 of 50000 minW=94\n# round=3000 of 50000 minW=94\n# round=4000 of 50000 minW=94\n# round=5000 of 50000 minW=94\n# step=5901 row=314 minW=94 found cw of W=74: [26 36 40 57 79 81 93 95 114 122 127 132 141 149 153 159 177 210 215 223 227 232 259 301 311 320 375 383 390 402 404 412 413 416 422 426 427 430 447 468 478 490 500 501 526 542 559 621 638 642 668 670 685 706 716 717 742 759 781 807 855 905 960 963 969 977 991 998 1002 1024 1051 1087 1103 1134]\n# round=6000 of 50000 minW=74\n# round=7000 of 50000 minW=74\n# round=8000 of 50000 minW=74\n# round=9000 of 50000 minW=74\n# round=10000 of 50000 minW=74\n# round=11000 of 50000 minW=74\n# round=12000 of 50000 minW=74\n# round=13000 of 50000 minW=74\n# round=14000 of 50000 minW=74\n# round=15000 of 50000 minW=74\n# round=16000 of 50000 minW=74\n# round=17000 of 50000 minW=74\n# round=18000 of 50000 minW=74\n# round=19000 of 50000 minW=74\n# round=20000 of 50000 minW=74\n# round=21000 of 50000 minW=74\n# round=22000 of 50000 minW=74\n# round=23000 of 50000 minW=74\n# round=24000 of 50000 minW=74\n# round=25000 of 50000 minW=74\n# round=26000 of 50000 minW=74\n# round=27000 of 50000 minW=74\n# step=27287 row=204 minW=74 found cw of W=64: [1 5 11 15 38 55 66 75 79 112 130 163 194 199 213 249 282 287 307 323 340 346 350 360 361 371 393 402 407 410 414 435 466 493 523 540 553 562 567 580 623 626 627 630 635 645 676 704 705 714 761 772 784 788 857 868 915 936 964 967 977 1051 1060 1121]\n# round=28000 of 50000 minW=64\n# round=29000 of 50000 minW=64\n# round=30000 of 50000 minW=64\n# round=31000 of 50000 minW=64\n# round=32000 of 50000 minW=64\n# round=33000 of 50000 minW=64\n# round=34000 of 50000 minW=64\n# round=35000 of 50000 minW=64\n# round=36000 of 50000 minW=64\n# round=37000 of 50000 minW=64\n# round=38000 of 50000 minW=64\n# round=39000 of 50000 minW=64\n# round=40000 of 50000 minW=64\n# round=41000 of 50000 minW=64\n# round=42000 of 50000 minW=64\n# step=42466 row=321 minW=64 found cw of W=60: [5 31 69 99 109 119 129 143 183 193 247 257 261 281 335 352 365 379 389 399 448 533 571 579 590 595 605 616 617 627 640 664 675 677 711 713 723 738 748 773 807 818 856 866 879 893 913 916 950 953 975 977 989 1009 1049 1073 1075 1085 1118 1132]\n# round=43000 of 50000 minW=60\n# round=44000 of 50000 minW=60\n# round=45000 of 50000 minW=60\n# step=45197 row=478 minW=60 found cw of W=54: [49 58 84 94 122 123 136 141 158 159 205 210 219 233 284 339 409 413 423 435 440 450 454 468 496 497 501 514 518 560 561 564 575 577 587 596 659 716 734 739 744 755 780 798 851 882 941 950 994 1011 1043 1084 1093 1139]\n# round=46000 of 50000 minW=54\n# round=47000 of 50000 minW=54\n# round=48000 of 50000 minW=54\n# round=49000 of 50000 minW=54\n# round=50000 of 50000 minW=54\nRW algorithm upper bound for the distance d=54\n</t>
  </si>
  <si>
    <t># step=0 row=0 minW=1729 found cw of W=402: [1 2 3 6 12 14 19 21 22 23 25 27 30 42 46 48 57 63 66 67 68 74 75 77 78 82 83 87 88 92 94 105 120 126 130 131 133 140 148 154 158 159 161 177 189 190 191 193 194 206 208 209 212 219 221 227 240 241 243 246 251 254 255 257 258 262 270 276 279 285 288 289 291 295 305 307 310 314 315 317 321 331 342 344 348 355 360 365 369 371 374 376 378 386 387 393 395 396 405 406 411 428 429 432 436 438 444 449 462 464 467 475 476 477 482 484 485 487 495 499 505 511 513 515 517 523 526 528 531 533 535 537 547 549 550 552 562 566 569 571 578 587 590 596 606 612 614 621 625 627 635 636 644 655 658 668 669 674 685 688 695 700 705 706 709 721 725 735 736 742 744 746 747 752 759 763 767 771 772 780 782 784 785 787 793 797 800 804 806 807 808 814 822 825 831 832 847 849 850 852 856 860 862 863 864 866 870 876 877 879 880 881 882 885 886 894 896 898 899 913 919 925 926 927 930 931 932 934 937 938 942 945 946 954 955 956 957 963 973 976 979 989 990 991 992 1009 1010 1020 1036 1044 1046 1048 1053 1054 1061 1071 1074 1076 1087 1091 1093 1095 1099 1109 1121 1122 1125 1127 1138 1143 1155 1156 1159 1162 1163 1166 1181 1185 1187 1197 1198 1201 1208 1213 1215 1220 1225 1229 1235 1236 1241 1249 1254 1264 1269 1270 1273 1276 1279 1280 1281 1292 1313 1320 1325 1326 1328 1329 1330 1331 1334 1336 1339 1350 1360 1365 1369 1370 1371 1379 1380 1384 1387 1394 1398 1406 1407 1414 1417 1419 1421 1423 1426 1427 1432 1438 1443 1444 1450 1452 1461 1463 1464 1466 1471 1475 1480 1482 1483 1488 1490 1491 1492 1496 1498 1514 1516 1518 1525 1535 1540 1543 1544 1553 1557 1558 1561 1569 1575 1576 1584 1591 1592 1597 1598 1620 1630 1633 1636 1638 1641 1646 1660 1672 1674 1682 1683 1685 1686 1688 1690 1691 1693 1697 1701 1703 1706 1708 1709 1711 1714 1721]\n# step=0 row=1 minW=402 found cw of W=386: [2 4 8 12 19 21 22 23 25 27 30 33 37 42 46 48 51 54 58 59 63 66 68 75 78 79 83 86 87 88 92 93 111 126 131 133 140 143 146 154 157 160 161 175 177 180 182 183 189 191 193 194 198 208 211 219 224 227 240 241 246 251 254 255 257 258 262 263 267 270 279 287 288 305 307 310 315 317 331 340 348 349 351 352 357 364 365 369 374 376 378 388 389 396 405 406 407 426 428 429 432 436 462 463 465 468 471 474 476 484 485 486 489 495 497 501 503 512 513 514 517 526 527 535 541 545 546 552 571 575 584 587 588 593 594 602 604 606 612 623 632 636 640 651 652 655 658 666 668 669 671 675 677 684 688 698 705 709 712 713 728 735 740 742 759 777 784 789 793 797 798 800 801 804 806 808 813 822 825 831 832 839 847 852 856 858 860 863 864 866 870 875 876 877 879 880 881 882 886 888 891 899 911 913 916 925 930 931 935 945 954 955 956 967 979 982 985 990 991 992 993 999 1002 1009 1010 1014 1015 1024 1029 1035 1040 1041 1048 1052 1053 1054 1071 1074 1076 1082 1087 1090 1095 1096 1097 1099 1109 1110 1112 1121 1122 1127 1134 1135 1138 1139 1142 1143 1155 1159 1162 1163 1166 1168 1169 1187 1197 1200 1201 1205 1215 1225 1229 1235 1238 1245 1249 1252 1257 1264 1269 1270 1273 1275 1276 1279 1280 1281 1288 1292 1293 1306 1311 1317 1325 1327 1329 1330 1331 1334 1336 1344 1346 1347 1350 1353 1360 1368 1369 1370 1379 1384 1386 1387 1398 1400 1405 1406 1407 1417 1418 1419 1427 1436 1443 1444 1450 1452 1455 1461 1462 1463 1464 1470 1475 1482 1483 1488 1489 1490 1491 1492 1493 1494 1498 1503 1506 1507 1517 1520 1529 1532 1540 1543 1552 1553 1555 1556 1558 1559 1568 1571 1572 1583 1591 1592 1620 1624 1625 1628 1636 1638 1641 1642 1643 1652 1661 1674 1683 1693 1697 1708 1709 1711 1721 1724]\n# step=0 row=2 minW=386 found cw of W=358: [7 14 21 22 25 35 37 42 46 63 67 74 75 79 82 86 87 88 92 93 105 111 120 126 131 133 136 143 146 154 159 160 161 164 180 182 183 189 193 194 198 209 210 211 212 224 237 240 253 255 270 285 288 331 348 355 357 360 365 371 374 376 378 387 395 396 406 411 422 426 428 429 432 433 456 462 467 468 474 482 486 487 490 496 501 503 505 511 514 515 523 526 527 528 531 532 533 535 545 546 550 552 569 575 584 586 587 588 593 594 604 612 614 627 628 634 637 642 657 662 665 668 669 671 674 675 676 677 684 685 690 695 706 709 713 721 725 728 740 749 758 759 772 777 780 787 789 790 792 793 797 801 806 808 813 817 820 822 825 831 839 844 850 852 854 856 860 861 862 863 864 866 870 875 876 877 880 881 882 884 885 896 898 899 910 911 913 919 921 925 927 931 945 946 954 955 956 966 967 976 979 989 993 999 1010 1014 1015 1017 1020 1025 1035 1039 1040 1044 1052 1057 1062 1070 1074 1079 1082 1087 1090 1091 1093 1097 1110 1112 1119 1121 1122 1138 1155 1156 1185 1187 1197 1198 1201 1205 1206 1208 1213 1214 1215 1225 1229 1235 1236 1241 1249 1254 1257 1264 1270 1273 1276 1281 1309 1310 1311 1312 1313 1317 1320 1327 1329 1330 1331 1339 1343 1344 1350 1351 1353 1362 1368 1370 1371 1379 1387 1394 1400 1411 1414 1417 1423 1426 1432 1435 1436 1443 1444 1451 1461 1462 1463 1464 1470 1476 1477 1478 1480 1481 1483 1488 1489 1491 1492 1494 1498 1503 1516 1520 1522 1525 1529 1533 1545 1555 1556 1557 1558 1561 1569 1571 1572 1574 1576 1579 1590 1591 1592 1596 1597 1601 1624 1625 1628 1638 1642 1643 1645 1646 1648 1657 1661 1674 1690 1691 1703 1706 1708 1709 1710 1711 1714 1724]\n# step=0 row=4 minW=358 found cw of W=338: [10 14 22 27 30 33 66 67 69 74 75 77 79 82 86 88 92 93 94 110 111 126 131 133 136 140 143 148 158 160 161 164 189 190 209 211 225 240 241 267 270 276 281 285 287 288 291 295 303 307 310 315 317 331 342 348 351 369 371 374 378 387 388 389 404 426 444 449 454 456 463 464 465 467 471 474 475 477 482 486 487 490 496 499 501 513 517 523 527 535 537 545 547 549 550 566 569 571 578 583 586 596 621 623 625 627 629 635 637 642 644 651 652 655 657 665 666 669 671 674 675 676 677 688 698 700 706 709 716 721 725 735 736 740 742 746 747 758 759 767 777 780 787 789 790 792 802 806 809 813 814 820 821 822 835 850 852 856 858 859 860 862 875 876 879 880 881 888 889 890 891 898 899 900 913 916 918 919 927 929 932 937 938 942 945 946 961 976 979 985 988 992 993 999 1002 1009 1014 1015 1017 1025 1036 1040 1053 1054 1061 1067 1070 1074 1078 1079 1087 1091 1109 1114 1115 1119 1121 1122 1129 1134 1135 1139 1140 1159 1163 1166 1168 1169 1181 1185 1200 1202 1206 1215 1235 1236 1238 1249 1254 1255 1269 1270 1273 1275 1288 1292 1303 1306 1309 1310 1311 1313 1317 1320 1326 1327 1328 1339 1343 1350 1351 1352 1365 1369 1371 1380 1381 1384 1387 1398 1400 1414 1417 1419 1421 1423 1432 1433 1436 1450 1463 1464 1465 1467 1472 1473 1478 1480 1483 1488 1490 1493 1496 1499 1506 1507 1514 1520 1522 1529 1535 1545 1552 1557 1559 1571 1572 1574 1575 1583 1584 1591 1592 1595 1596 1597 1598 1615 1620 1625 1638 1641 1642 1643 1645 1656 1674 1686 1688 1690 1691 1701 1706 1708 1710 1714 1721 1724]\n# step=0 row=6 minW=338 found cw of W=326: [1 5 13 19 22 23 27 30 33 42 48 56 59 63 67 75 77 86 93 111 126 130 131 133 143 146 154 177 180 182 183 189 190 191 193 194 198 212 213 237 241 253 255 267 270 281 282 285 289 314 315 321 340 349 351 352 364 369 386 404 407 411 418 428 429 432 436 438 454 464 467 471 474 475 482 484 486 489 499 503 505 513 514 517 523 527 532 533 535 536 537 541 547 552 559 569 575 577 578 584 587 588 593 594 595 602 604 606 612 614 617 621 623 625 634 652 655 665 666 671 675 676 684 688 695 705 720 723 735 742 744 749 756 758 763 772 774 777 780 785 787 793 798 800 808 813 817 821 822 825 831 832 835 844 847 852 853 856 858 859 863 875 879 880 881 882 888 890 891 894 898 908 917 918 919 929 956 963 966 973 979 982 989 992 999 1002 1011 1014 1015 1035 1039 1048 1052 1053 1054 1061 1067 1070 1074 1076 1082 1086 1088 1090 1097 1112 1119 1121 1122 1129 1134 1139 1155 1156 1163 1168 1169 1185 1197 1200 1205 1206 1214 1220 1241 1248 1249 1252 1267 1269 1270 1279 1280 1281 1285 1292 1303 1311 1312 1317 1320 1325 1327 1329 1330 1331 1336 1348 1352 1353 1362 1370 1371 1380 1386 1387 1394 1398 1417 1421 1423 1426 1427 1433 1435 1443 1450 1452 1461 1463 1464 1466 1475 1477 1478 1481 1483 1488 1493 1494 1503 1506 1507 1516 1518 1520 1533 1540 1544 1552 1553 1555 1556 1558 1559 1569 1570 1574 1576 1591 1592 1597 1601 1625 1633 1635 1638 1641 1643 1645 1646 1648 1656 1657 1661 1674 1682 1685 1686 1690 1697 1701 1706 1708 1711 1724]\n# step=0 row=37 minW=326 found cw of W=290: [5 6 12 19 21 22 23 25 27 30 33 46 56 57 58 59 66 67 68 69 70 74 77 78 86 131 136 154 157 158 189 190 206 209 210 212 213 221 224 227 237 263 267 276 279 282 285 291 295 307 310 314 315 342 344 348 351 352 357 364 365 369 371 376 389 395 406 418 428 436 457 463 472 476 477 484 487 497 512 527 528 531 533 546 550 562 566 571 575 587 594 595 612 627 628 629 635 636 640 642 644 657 658 662 666 674 709 713 720 723 728 740 744 774 777 782 784 785 789 790 792 793 798 800 802 804 807 808 821 822 825 832 844 847 850 852 856 858 859 860 864 866 870 875 876 878 888 889 891 896 900 908 910 916 917 919 925 926 929 931 932 934 956 957 961 967 969 973 976 979 989 990 991 992 1010 1041 1061 1062 1067 1074 1078 1086 1087 1088 1091 1125 1127 1134 1138 1159 1163 1168 1169 1181 1185 1197 1198 1200 1201 1214 1225 1229 1235 1248 1249 1252 1257 1264 1267 1269 1279 1280 1285 1292 1293 1310 1311 1317 1325 1326 1328 1336 1339 1346 1347 1348 1351 1362 1365 1370 1371 1381 1386 1411 1419 1421 1433 1438 1443 1450 1461 1465 1471 1475 1477 1480 1482 1483 1488 1489 1490 1497 1535 1540 1543 1545 1558 1559 1561 1569 1570 1571 1572 1595 1596 1620 1624 1625 1628 1630 1633 1635 1636 1641 1643 1652 1660 1674 1683 1685 1688 1690 1697 1701 1703 1706 1708 1709 1710 1711]\n# step=0 row=121 minW=290 found cw of W=276: [6 8 12 19 23 48 57 58 59 67 75 78 82 86 87 88 92 93 94 126 133 136 140 146 164 177 180 182 183 191 194 206 210 212 221 226 227 237 240 263 279 289 307 310 321 349 352 369 371 386 389 405 422 432 433 438 444 449 457 463 467 468 471 472 482 485 495 496 497 503 511 512 514 528 531 533 535 536 545 552 587 588 590 593 594 595 612 621 623 625 629 635 651 655 658 662 666 668 669 676 685 695 698 706 709 712 716 721 725 736 740 744 759 763 767 777 780 782 784 790 792 804 806 807 808 814 821 822 831 832 839 840 854 858 859 860 862 863 864 875 882 890 893 898 900 910 916 919 929 930 932 937 938 942 945 946 963 967 985 990 991 1002 1017 1029 1035 1039 1046 1054 1061 1062 1067 1070 1071 1076 1082 1086 1087 1088 1090 1091 1093 1115 1127 1138 1139 1159 1198 1201 1206 1220 1238 1249 1252 1254 1255 1269 1275 1279 1280 1285 1292 1293 1310 1311 1317 1320 1329 1330 1331 1334 1346 1347 1351 1360 1362 1368 1371 1380 1386 1387 1400 1405 1411 1421 1427 1433 1435 1436 1444 1450 1452 1461 1462 1463 1464 1472 1476 1482 1483 1490 1491 1492 1494 1498 1506 1507 1517 1522 1535 1543 1558 1568 1569 1574 1575 1583 1595 1596 1615 1625 1630 1636 1641 1642 1652 1656 1660 1674 1682 1683 1693 1703 1709 1710 1714 1724]\n# step=3 row=106 minW=276 found cw of W=270: [25 36 37 42 57 61 65 69 73 75 84 92 97 98 105 107 109 112 124 128 133 135 136 139 141 150 152 160 174 181 182 184 186 197 199 200 210 214 225 232 233 234 238 245 253 261 297 321 336 339 347 348 352 362 363 389 390 400 401 402 412 413 423 434 435 451 454 457 466 472 476 479 480 482 483 488 489 490 493 494 501 510 526 531 536 542 545 552 555 562 566 577 606 609 623 625 657 658 674 676 682 687 697 698 703 737 741 746 747 752 753 761 765 769 772 780 781 783 786 788 794 801 802 805 807 808 820 823 826 828 835 838 844 847 851 856 883 884 891 925 931 940 942 943 944 950 952 961 964 973 974 981 985 989 1005 1012 1028 1030 1031 1032 1036 1039 1041 1048 1059 1066 1067 1070 1071 1072 1074 1082 1084 1090 1096 1098 1100 1145 1148 1149 1172 1173 1182 1186 1192 1196 1223 1236 1237 1242 1243 1261 1262 1265 1272 1273 1274 1275 1286 1300 1306 1313 1314 1320 1336 1338 1345 1347 1348 1350 1364 1366 1375 1382 1384 1391 1393 1395 1410 1431 1436 1440 1444 1450 1451 1456 1457 1458 1460 1461 1477 1505 1510 1511 1527 1528 1531 1533 1534 1543 1544 1545 1546 1550 1557 1572 1573 1586 1594 1598 1600 1605 1629 1636 1637 1638 1646 1652 1657 1665 1674 1676 1687 1691 1693 1697 1701 1704 1709 1727]\n# step=24 row=104 minW=270 found cw of W=266: [2 7 29 31 32 33 36 46 47 48 50 63 92 94 95 102 105 114 120 141 142 147 148 151 154 155 165 167 170 174 190 194 199 203 205 210 214 218 219 220 221 222 232 236 239 243 246 248 249 251 259 262 264 269 280 284 286 294 315 345 356 361 366 370 374 394 395 397 398 413 422 446 447 462 470 471 493 494 517 519 529 534 539 544 549 553 554 562 563 569 570 592 594 600 602 604 605 616 631 635 639 644 646 650 654 659 663 685 701 706 707 711 730 733 737 741 743 745 746 747 748 750 751 754 762 763 792 809 816 820 821 830 854 859 861 863 866 883 886 890 892 895 901 902 916 917 937 940 950 962 989 991 995 996 1002 1018 1024 1026 1032 1037 1038 1041 1043 1055 1058 1074 1093 1095 1097 1100 1106 1107 1109 1110 1117 1118 1120 1135 1137 1143 1160 1161 1168 1179 1183 1186 1203 1204 1209 1215 1226 1244 1247 1251 1255 1270 1274 1276 1282 1286 1294 1298 1310 1313 1314 1331 1342 1349 1350 1359 1371 1382 1384 1385 1387 1393 1397 1401 1403 1406 1411 1416 1422 1433 1441 1442 1444 1447 1448 1449 1450 1458 1459 1462 1466 1477 1493 1499 1501 1503 1520 1528 1529 1530 1555 1569 1574 1585 1592 1593 1594 1597 1606 1618 1633 1636 1642 1650 1651 1663 1664 1691 1702 1707 1714 1720]\n# step=37 row=797 minW=266 found cw of W=260: [9 13 18 27 30 31 42 50 52 53 58 66 77 93 97 99 104 108 119 121 125 142 143 157 159 161 163 165 174 178 191 194 203 205 212 217 220 227 230 240 260 264 272 276 277 292 320 326 335 338 360 374 378 383 385 395 396 398 400 403 404 412 417 419 420 422 424 426 434 437 447 458 462 464 467 476 477 481 498 514 528 535 538 543 547 550 551 555 559 562 565 577 583 587 591 601 602 610 616 617 630 638 651 667 668 670 671 675 683 686 746 751 755 772 774 775 784 785 799 803 815 820 835 850 866 875 884 885 902 905 908 913 914 918 937 938 947 977 991 993 994 997 998 1007 1016 1019 1020 1023 1031 1043 1045 1046 1052 1053 1056 1058 1074 1075 1078 1080 1081 1082 1087 1091 1092 1094 1102 1106 1107 1108 1119 1140 1141 1145 1146 1159 1172 1176 1177 1178 1180 1191 1210 1223 1231 1234 1235 1248 1259 1261 1266 1267 1268 1270 1272 1277 1278 1287 1292 1295 1303 1312 1315 1323 1332 1353 1357 1358 1359 1360 1364 1379 1383 1387 1398 1405 1411 1412 1415 1434 1439 1441 1443 1451 1462 1465 1466 1500 1510 1511 1512 1521 1522 1528 1529 1536 1567 1585 1591 1592 1593 1599 1619 1620 1623 1625 1630 1631 1633 1646 1651 1663 1668 1673 1683 1684 1713 1714 1717 1719]\n# step=61 row=14 minW=260 found cw of W=256: [3 7 16 20 27 29 32 33 35 38 40 47 49 50 51 80 88 96 124 127 129 133 135 143 147 149 174 175 179 180 197 207 221 225 227 245 246 266 270 272 274 280 289 292 321 323 333 334 336 340 351 353 368 373 391 395 400 410 417 419 423 430 444 468 484 485 486 488 489 490 492 500 501 511 512 520 537 539 554 557 563 567 579 581 587 616 626 628 634 647 648 649 651 655 659 663 684 696 699 702 710 721 731 733 746 753 754 764 765 777 779 785 793 795 815 819 824 830 840 845 849 860 867 873 874 875 876 877 884 885 902 906 916 917 918 919 923 924 937 940 945 946 950 963 964 966 969 970 976 984 985 1008 1029 1036 1037 1046 1049 1079 1094 1097 1103 1104 1106 1115 1122 1140 1145 1151 1152 1166 1167 1175 1176 1177 1180 1192 1200 1201 1204 1205 1218 1220 1221 1226 1235 1236 1244 1248 1249 1250 1257 1262 1270 1271 1272 1277 1284 1289 1290 1305 1319 1320 1324 1325 1333 1335 1342 1349 1353 1369 1370 1371 1372 1384 1407 1408 1410 1437 1438 1467 1470 1471 1475 1482 1496 1512 1527 1533 1534 1538 1539 1547 1560 1564 1578 1579 1603 1607 1609 1616 1618 1619 1621 1626 1627 1633 1637 1644 1645 1672 1678 1679 1680 1681 1693 1724]\n# step=67 row=700 minW=256 found cw of W=254: [1 11 17 27 33 38 53 58 64 75 83 87 89 90 104 125 132 133 134 137 149 173 179 184 190 200 228 229 234 239 248 253 256 257 260 280 288 289 292 299 300 308 311 316 320 321 335 338 339 342 345 350 354 356 358 361 369 371 372 375 382 391 405 409 413 418 419 420 422 436 437 450 453 460 469 485 487 492 495 505 512 514 517 523 537 538 541 545 556 560 565 574 585 594 598 607 611 622 624 628 633 655 673 678 679 684 690 694 742 745 749 751 760 778 784 788 799 817 821 826 836 850 859 861 864 865 868 871 876 877 878 879 886 897 901 906 922 939 941 943 957 966 974 977 982 983 984 1025 1027 1037 1052 1053 1074 1081 1083 1086 1088 1089 1091 1100 1113 1133 1138 1148 1164 1178 1180 1184 1195 1196 1199 1214 1215 1223 1224 1236 1240 1241 1244 1267 1271 1272 1290 1301 1305 1317 1319 1321 1322 1323 1324 1338 1339 1341 1343 1344 1348 1349 1353 1358 1359 1369 1372 1373 1374 1375 1386 1391 1394 1399 1400 1402 1417 1426 1437 1445 1448 1464 1470 1471 1472 1481 1485 1493 1508 1526 1531 1537 1556 1557 1558 1573 1578 1590 1595 1601 1632 1641 1650 1660 1665 1674 1677 1681 1683 1698 1701 1702 1703 1709 1712 1713 1718 1725]\n# step=67 row=839 minW=254 found cw of W=252: [4 7 11 13 17 20 21 27 29 33 38 44 47 48 49 51 58 64 75 80 89 90 102 110 115 116 127 128 132 134 138 142 149 157 193 195 199 200 204 228 232 234 235 236 240 246 248 255 260 292 309 332 333 338 339 342 345 356 360 363 371 375 382 407 414 418 426 430 431 433 437 441 446 450 458 459 473 480 481 486 487 493 523 538 541 545 549 574 579 580 583 592 595 598 603 607 609 610 618 624 628 644 650 651 653 655 670 674 675 678 682 685 690 693 694 704 732 742 745 749 755 756 759 760 766 784 788 818 838 845 861 864 868 871 872 878 879 881 886 888 892 897 901 920 922 932 943 948 954 966 976 977 983 984 989 999 1001 1015 1027 1078 1079 1083 1086 1088 1089 1100 1113 1132 1133 1135 1137 1138 1148 1158 1159 1177 1178 1179 1182 1195 1196 1223 1233 1234 1241 1245 1257 1258 1259 1283 1296 1311 1334 1339 1341 1343 1349 1361 1365 1372 1375 1380 1386 1391 1392 1426 1438 1443 1446 1451 1458 1462 1464 1469 1470 1471 1473 1479 1481 1482 1508 1509 1536 1550 1556 1590 1594 1601 1608 1618 1632 1641 1643 1648 1649 1650 1659 1666 1684 1685 1686 1687 1698 1701 1702 1709 1713 1717 1721 1722 1725 1726]\n# step=118 row=59 minW=252 found cw of W=250: [9 19 28 38 50 51 70 77 78 90 93 97 111 112 114 118 141 142 143 144 151 152 154 155 158 163 169 173 184 198 210 235 239 243 244 249 254 255 270 287 304 308 314 315 318 320 322 328 335 340 344 348 352 360 363 375 379 383 384 386 387 389 391 399 401 402 403 404 406 407 408 414 415 417 422 430 437 447 452 458 462 466 467 470 475 481 482 484 514 521 535 544 546 562 565 572 576 583 593 604 608 612 619 642 655 660 670 681 685 692 698 699 707 715 723 725 765 768 770 771 774 777 807 814 816 817 818 820 823 831 837 858 867 872 882 903 909 935 942 949 966 970 971 975 987 991 994 997 998 1000 1014 1015 1025 1039 1042 1051 1054 1058 1081 1096 1102 1106 1119 1135 1151 1153 1163 1169 1174 1204 1208 1214 1217 1223 1224 1227 1232 1237 1239 1263 1266 1268 1270 1290 1296 1299 1303 1305 1308 1314 1316 1319 1331 1333 1351 1354 1357 1358 1362 1363 1381 1385 1386 1387 1402 1414 1431 1432 1442 1443 1453 1454 1455 1466 1467 1476 1479 1480 1481 1482 1491 1492 1511 1529 1540 1541 1544 1551 1555 1585 1586 1597 1607 1610 1611 1614 1624 1627 1653 1655 1656 1659 1665 1672 1677 1678 1691 1726 1727 1728]\n# step=210 row=711 minW=250 found cw of W=248: [9 13 16 19 20 31 32 51 52 77 132 170 171 175 186 204 205 207 208 209 211 213 216 217 218 222 223 224 231 252 261 263 265 267 268 274 275 281 285 296 315 320 321 332 347 363 367 368 369 373 374 376 383 391 395 411 413 416 418 419 425 427 431 442 464 481 486 491 493 495 506 529 532 533 536 540 544 547 559 565 567 569 576 580 586 587 590 594 610 621 622 633 675 683 684 691 714 722 726 728 729 730 735 736 738 742 771 780 783 785 787 798 822 823 832 836 837 838 839 840 848 852 858 862 864 865 875 880 885 886 887 898 899 906 912 919 931 951 966 977 980 1019 1053 1057 1061 1062 1065 1069 1084 1103 1106 1120 1123 1124 1125 1127 1129 1134 1146 1147 1151 1161 1162 1164 1167 1173 1200 1209 1215 1216 1220 1223 1224 1225 1227 1228 1235 1245 1253 1256 1258 1259 1260 1262 1264 1271 1272 1278 1283 1295 1316 1318 1325 1334 1337 1338 1346 1347 1364 1365 1378 1405 1408 1409 1410 1411 1413 1416 1420 1440 1466 1471 1482 1484 1489 1527 1532 1536 1560 1561 1562 1567 1568 1589 1590 1605 1606 1616 1626 1627 1630 1633 1635 1638 1639 1642 1655 1672 1673 1674 1678 1679 1693 1705 1713 1714 1725 1727]\n# step=285 row=462 minW=248 found cw of W=232: [9 15 20 21 23 27 28 29 31 42 46 60 63 66 70 78 82 93 111 112 116 129 144 167 201 205 210 214 219 229 236 241 246 256 270 273 274 276 304 305 308 309 311 313 320 332 341 343 346 351 355 360 370 371 373 386 389 396 397 400 404 405 429 432 451 456 478 479 503 518 521 522 552 571 579 585 616 619 622 626 647 662 664 666 680 687 706 713 715 719 726 730 731 740 741 746 749 750 755 757 763 766 770 774 796 800 807 808 814 815 818 821 822 826 831 833 841 842 848 858 861 867 872 874 881 897 912 918 920 928 931 932 934 935 948 970 1003 1004 1009 1010 1018 1020 1044 1058 1094 1105 1108 1114 1125 1136 1153 1164 1165 1169 1174 1194 1199 1216 1220 1226 1234 1238 1242 1245 1249 1250 1256 1258 1270 1272 1280 1288 1290 1292 1295 1308 1329 1332 1351 1367 1374 1379 1404 1420 1422 1423 1437 1438 1439 1440 1452 1453 1464 1470 1500 1504 1507 1516 1522 1523 1525 1533 1554 1586 1589 1593 1594 1603 1605 1608 1610 1613 1614 1618 1619 1626 1631 1641 1649 1650 1660 1664 1665 1679 1680 1694 1696 1700 1708 1709 1715 1720]\n# step=547 row=724 minW=232 found cw of W=130: [33 44 45 92 132 133 136 140 151 178 179 180 184 185 187 190 195 215 216 230 231 238 245 253 256 281 285 296 340 344 394 405 427 430 442 452 544 547 548 549 558 575 590 596 597 605 616 698 700 704 749 789 793 804 805 845 847 851 852 881 884 885 887 929 943 981 992 1027 1029 1047 1051 1064 1068 1069 1072 1074 1076 1077 1079 1083 1084 1090 1094 1131 1136 1137 1141 1156 1174 1176 1192 1196 1240 1243 1244 1276 1277 1278 1280 1281 1282 1289 1301 1302 1330 1341 1387 1388 1438 1445 1447 1490 1534 1535 1551 1556 1583 1584 1602 1636 1640 1657 1661 1678 1679 1680 1681 1693 1696 1697]\n# step=547 row=748 minW=130 found cw of W=128: [30 33 44 132 133 136 140 151 178 179 180 184 185 187 190 195 215 216 230 231 238 245 253 256 281 285 296 340 344 394 405 427 430 442 452 534 535 544 547 548 550 558 575 590 605 616 698 700 704 749 789 793 804 805 845 847 851 852 881 884 885 887 929 943 981 992 1027 1029 1047 1051 1064 1068 1069 1072 1074 1076 1077 1079 1083 1084 1090 1094 1131 1136 1137 1141 1156 1174 1176 1192 1196 1240 1243 1244 1276 1277 1278 1280 1281 1282 1289 1301 1302 1330 1341 1383 1388 1447 1490 1496 1534 1535 1551 1556 1583 1584 1602 1636 1640 1657 1661 1678 1679 1680 1681 1693 1696 1697]\n# round=1000 of 50000 minW=128\n# round=2000 of 50000 minW=128\n# round=3000 of 50000 minW=128\n# round=4000 of 50000 minW=128\n# round=5000 of 50000 minW=128\n# round=6000 of 50000 minW=128\n# round=7000 of 50000 minW=128\n# round=8000 of 50000 minW=128\n# round=9000 of 50000 minW=128\n# round=10000 of 50000 minW=128\n# round=11000 of 50000 minW=128\n# round=12000 of 50000 minW=128\n# round=13000 of 50000 minW=128\n# round=14000 of 50000 minW=128\n# round=15000 of 50000 minW=128\n# round=16000 of 50000 minW=128\n# round=17000 of 50000 minW=128\n# round=18000 of 50000 minW=128\n# round=19000 of 50000 minW=128\n# round=20000 of 50000 minW=128\n# round=21000 of 50000 minW=128\n# round=22000 of 50000 minW=128\n# round=23000 of 50000 minW=128\n# round=24000 of 50000 minW=128\n# round=25000 of 50000 minW=128\n# round=26000 of 50000 minW=128\n# round=27000 of 50000 minW=128\n# round=28000 of 50000 minW=128\n# round=29000 of 50000 minW=128\n# round=30000 of 50000 minW=128\n# round=31000 of 50000 minW=128\n# round=32000 of 50000 minW=128\n# round=33000 of 50000 minW=128\n# round=34000 of 50000 minW=128\n# round=35000 of 50000 minW=128\n# round=36000 of 50000 minW=128\n# round=37000 of 50000 minW=128\n# round=38000 of 50000 minW=128\n# round=39000 of 50000 minW=128\n# round=40000 of 50000 minW=128\n# round=41000 of 50000 minW=128\n# round=42000 of 50000 minW=128\n# round=43000 of 50000 minW=128\n# round=44000 of 50000 minW=128\n# round=45000 of 50000 minW=128\n# round=46000 of 50000 minW=128\n# round=47000 of 50000 minW=128\n# round=48000 of 50000 minW=128\n# round=49000 of 50000 minW=128\n# round=50000 of 50000 minW=128\nRW algorithm upper bound for the distance d=128\n</t>
  </si>
  <si>
    <t># step=0 row=1 minW=2017 found cw of W=232: [1 3 4 5 7 8 14 18 23 26 27 36 41 42 86 87 91 96 100 101 109 118 119 123 125 177 178 180 182 186 188 191 192 193 200 202 210 257 262 263 264 268 273 277 278 279 283 288 289 292 294 341 351 352 353 361 363 367 368 369 375 377 430 433 436 443 452 453 456 459 507 508 510 513 520 526 535 591 595 596 601 613 616 677 679 682 684 686 690 693 694 695 701 710 712 713 714 763 769 779 783 784 788 791 843 851 857 858 862 866 870 873 877 878 882 928 932 935 938 941 943 958 963 964 966 1012 1018 1021 1031 1050 1096 1099 1107 1115 1123 1180 1194 1198 1202 1209 1214 1217 1274 1279 1283 1287 1289 1295 1299 1300 1302 1345 1352 1359 1360 1367 1370 1374 1377 1380 1429 1430 1436 1438 1447 1448 1454 1461 1462 1466 1467 1470 1514 1516 1525 1533 1540 1541 1544 1545 1547 1550 1551 1597 1600 1610 1611 1613 1615 1624 1631 1681 1692 1693 1700 1703 1705 1708 1709 1715 1719 1768 1778 1781 1782 1786 1789 1797 1800 1802 1806 1854 1855 1856 1858 1861 1862 1863 1866 1875 1883 1936 1940 1943 1948 1953 1959 1965 1969 1971 1972 1974]\n# step=0 row=3 minW=232 found cw of W=212: [1 6 11 18 23 26 32 35 36 38 39 41 97 101 124 125 170 177 178 180 192 193 196 200 202 208 210 257 264 269 274 277 283 289 291 292 294 338 351 352 353 357 360 367 368 374 375 377 421 422 427 434 452 455 459 507 508 510 524 526 530 535 591 601 607 608 613 623 673 676 677 682 684 686 694 695 696 701 707 712 714 767 769 771 783 797 843 845 846 850 851 855 862 866 870 873 881 935 938 941 953 960 961 964 966 1012 1015 1018 1031 1099 1103 1107 1116 1117 1120 1122 1129 1178 1183 1189 1194 1198 1202 1207 1209 1211 1214 1280 1283 1287 1288 1289 1299 1302 1345 1356 1359 1360 1365 1367 1371 1380 1381 1382 1429 1444 1448 1450 1454 1464 1466 1513 1514 1530 1533 1536 1540 1541 1544 1545 1547 1550 1553 1597 1600 1603 1610 1613 1621 1624 1627 1631 1632 1635 1681 1682 1692 1693 1694 1700 1702 1705 1708 1709 1766 1768 1769 1774 1782 1786 1790 1791 1794 1797 1804 1850 1854 1861 1866 1875 1883 1936 1938 1940 1943 1944 1953 1955 1959 1963 1965 1972]\n# step=0 row=5 minW=212 found cw of W=204: [1 3 4 7 8 10 12 14 15 23 24 26 32 36 37 38 41 85 87 96 98 119 125 170 177 178 182 185 186 188 192 193 197 208 255 256 257 260 261 262 263 268 269 274 277 279 283 288 289 294 341 348 352 353 363 367 377 426 430 434 443 452 459 510 513 520 533 591 593 595 596 607 621 677 679 686 690 694 695 697 701 702 710 712 714 763 764 771 776 783 845 848 849 850 853 855 878 881 926 928 941 953 959 960 964 966 1021 1031 1050 1093 1096 1099 1107 1116 1122 1178 1179 1183 1185 1187 1188 1189 1193 1202 1207 1214 1217 1261 1266 1279 1280 1285 1289 1300 1302 1345 1352 1356 1359 1361 1365 1367 1369 1370 1371 1374 1429 1438 1448 1453 1454 1460 1461 1466 1467 1470 1513 1516 1525 1526 1536 1544 1551 1553 1597 1600 1611 1615 1624 1627 1635 1682 1700 1705 1708 1709 1719 1768 1778 1794 1800 1802 1806 1850 1852 1854 1855 1856 1863 1865 1866 1873 1875 1880 1883 1890 1936 1941 1948 1949 1953 1955 1969 1971]\n# step=0 row=6 minW=204 found cw of W=186: [7 14 16 23 24 32 33 36 37 41 86 87 91 109 119 170 174 177 178 186 187 188 193 197 208 260 268 269 273 274 278 288 291 338 348 353 362 367 368 371 375 377 421 423 427 452 455 456 461 508 513 515 520 530 533 590 591 596 607 673 676 686 694 695 702 712 770 776 783 788 795 797 845 849 850 851 855 857 858 862 873 877 878 882 936 943 953 958 960 961 963 964 966 1015 1043 1099 1104 1109 1115 1117 1120 1122 1180 1182 1188 1193 1194 1202 1214 1217 1261 1274 1280 1285 1289 1302 1345 1349 1356 1365 1367 1369 1371 1374 1377 1380 1429 1436 1448 1460 1461 1462 1464 1466 1513 1525 1530 1533 1541 1544 1551 1602 1603 1610 1611 1615 1627 1631 1690 1694 1697 1700 1703 1705 1708 1715 1719 1766 1774 1781 1782 1783 1789 1790 1794 1795 1797 1798 1854 1856 1858 1862 1866 1875 1890 1936 1940 1943 1944 1948 1949 1950 1955 1959 1965 1971]\n# step=0 row=30 minW=186 found cw of W=170: [48 50 64 68 75 76 77 80 81 131 132 137 144 145 146 156 163 167 212 219 223 236 241 247 249 296 298 301 311 319 324 325 334 385 387 406 413 469 479 482 487 489 492 493 497 501 504 547 552 561 574 575 585 587 588 635 642 644 653 657 660 664 668 724 732 739 741 745 756 820 826 827 832 835 837 838 840 894 898 903 912 914 918 920 968 982 986 1006 1008 1057 1059 1066 1068 1073 1075 1085 1090 1137 1139 1142 1156 1165 1169 1233 1242 1243 1247 1254 1260 1304 1309 1329 1332 1337 1342 1414 1419 1420 1427 1478 1487 1491 1493 1499 1500 1504 1562 1575 1580 1584 1585 1592 1639 1642 1648 1651 1653 1663 1667 1671 1672 1673 1679 1724 1728 1729 1734 1756 1812 1816 1817 1830 1834 1838 1842 1844 1892 1893 1908 1909 1920 1925 1927 1981 1982 1998 2005 2006 2008 2011]\n# step=0 row=35 minW=170 found cw of W=166: [52 60 64 77 79 80 83 130 132 134 135 156 162 167 227 236 296 298 301 305 306 321 329 333 334 335 379 385 387 394 419 465 467 468 475 480 482 486 487 489 492 493 497 504 555 556 560 561 571 574 575 583 587 635 638 658 663 668 671 716 717 722 732 739 801 810 819 822 825 828 832 838 840 883 895 897 904 906 911 968 971 999 1004 1007 1052 1055 1057 1059 1066 1079 1085 1091 1141 1146 1152 1153 1156 1165 1167 1169 1171 1176 1219 1228 1229 1240 1243 1246 1247 1250 1305 1321 1330 1389 1414 1419 1421 1477 1491 1493 1498 1499 1505 1562 1566 1567 1574 1575 1582 1593 1594 1639 1653 1654 1663 1667 1673 1675 1676 1727 1753 1755 1760 1764 1810 1816 1827 1833 1834 1842 1844 1845 1847 1892 1893 1897 1899 1908 1914 1917 1925 1930 1982 2002 2007 2010]\n# step=0 row=50 minW=166 found cw of W=164: [7 12 17 18 22 24 27 33 86 91 96 99 110 119 125 177 186 193 208 255 256 260 264 269 273 274 278 279 291 338 348 351 353 361 362 367 368 371 374 375 421 427 434 436 507 513 515 520 533 591 593 596 607 608 616 621 623 676 682 684 686 694 695 697 771 776 779 783 791 795 797 851 855 858 863 877 926 936 938 953 959 961 964 966 1012 1015 1018 1043 1094 1104 1105 1115 1122 1129 1179 1180 1193 1194 1202 1211 1214 1261 1279 1289 1295 1302 1345 1356 1360 1367 1369 1371 1374 1380 1382 1436 1448 1460 1461 1462 1466 1513 1526 1541 1545 1550 1551 1597 1610 1615 1682 1690 1692 1697 1700 1702 1703 1708 1715 1765 1769 1774 1778 1779 1782 1795 1802 1850 1854 1856 1866 1875 1877 1880 1883 1890 1936 1943 1944 1948 1950 1953 1965 1971]\n# step=0 row=140 minW=164 found cw of W=158: [57 60 80 83 129 131 134 135 137 140 151 221 223 231 241 298 301 303 305 306 320 329 333 334 395 400 406 413 416 419 420 466 467 468 475 480 482 487 489 502 548 549 551 553 554 555 561 568 570 583 585 631 638 641 642 660 665 671 724 799 801 809 810 820 825 827 838 887 894 906 911 912 920 923 970 975 1001 1004 1052 1055 1057 1073 1085 1091 1137 1141 1142 1144 1145 1152 1164 1174 1219 1223 1233 1246 1254 1303 1305 1333 1337 1340 1400 1401 1405 1414 1424 1427 1477 1478 1487 1489 1493 1498 1508 1563 1565 1568 1580 1584 1592 1593 1595 1639 1653 1661 1662 1667 1671 1675 1676 1679 1724 1730 1733 1753 1755 1758 1808 1810 1820 1821 1825 1827 1834 1840 1842 1844 1845 1902 1908 1911 1917 1928 1930 1931 1993 2008]\n# step=0 row=816 minW=158 found cw of W=148: [3 14 23 24 32 33 37 40 86 87 91 96 119 125 174 182 187 191 192 193 196 197 202 208 262 269 274 279 289 338 358 363 367 371 372 375 378 421 422 434 453 513 535 590 595 607 608 616 623 676 677 696 702 710 712 714 769 771 791 795 846 849 853 855 857 858 862 863 864 873 877 882 928 932 951 958 960 963 1015 1021 1043 1094 1116 1179 1180 1187 1188 1193 1194 1198 1202 1211 1274 1279 1283 1285 1288 1289 1295 1350 1356 1361 1365 1371 1380 1429 1453 1461 1466 1470 1513 1525 1526 1530 1536 1541 1545 1550 1603 1611 1621 1623 1682 1694 1697 1700 1708 1709 1710 1719 1769 1782 1786 1790 1795 1806 1850 1854 1873 1938 1944 1949 1953 1955 1963 1965 1969 1974]\n# step=0 row=977 minW=148 found cw of W=130: [3 14 23 24 32 33 35 37 40 86 87 91 96 119 125 174 182 187 188 191 192 193 196 197 202 208 262 269 274 279 289 338 371 375 378 421 434 453 513 526 535 590 595 607 616 676 702 712 771 791 795 846 849 853 855 857 858 862 863 873 877 882 928 932 958 963 1015 1021 1043 1116 1179 1180 1187 1188 1193 1194 1198 1202 1211 1274 1279 1283 1288 1289 1295 1350 1356 1361 1365 1368 1371 1377 1380 1429 1453 1461 1466 1470 1513 1525 1526 1530 1536 1541 1545 1550 1603 1611 1621 1682 1694 1697 1708 1782 1786 1790 1795 1850 1854 1873 1938 1944 1949 1950 1953 1956 1963 1965 1969 1974]\n# step=6 row=426 minW=130 found cw of W=126: [28 89 97 100 119 124 126 169 173 178 179 184 188 193 197 270 273 274 282 337 342 343 346 348 352 365 422 430 452 458 511 517 519 523 524 529 534 540 592 593 597 598 602 606 608 612 675 686 695 761 767 771 785 796 844 850 857 939 941 943 1011 1023 1024 1025 1028 1029 1032 1033 1096 1097 1100 1102 1105 1106 1111 1124 1195 1206 1217 1265 1277 1282 1294 1347 1360 1367 1371 1372 1436 1449 1452 1457 1467 1514 1515 1521 1530 1531 1544 1612 1684 1689 1690 1694 1695 1708 1714 1718 1719 1721 1780 1796 1799 1800 1853 1862 1873 1878 1881 1887 1934 1945 1949 1959 1960 1962]\n# step=16 row=797 minW=126 found cw of W=106: [6 7 11 108 116 122 204 206 265 270 275 281 286 292 344 353 358 363 421 422 435 454 455 458 459 506 513 516 536 592 595 604 609 613 619 629 630 673 676 677 782 792 794 797 841 846 854 874 925 952 956 1010 1011 1015 1025 1035 1040 1044 1106 1179 1180 1181 1204 1212 1213 1275 1285 1286 1302 1347 1354 1368 1382 1450 1454 1464 1513 1527 1528 1548 1550 1553 1598 1599 1603 1613 1624 1634 1695 1701 1710 1715 1767 1769 1777 1782 1788 1792 1873 1875 1878 1883 1884 1886 1937 1970]\n# step=24 row=506 minW=106 found cw of W=102: [44 45 49 54 59 63 82 131 136 154 160 213 219 228 237 250 305 309 314 318 323 327 332 387 392 409 414 415 419 464 550 551 552 561 570 574 638 666 670 720 739 752 753 801 806 821 824 838 839 889 894 898 906 911 980 994 1003 1007 1064 1073 1078 1081 1155 1163 1173 1228 1233 1246 1260 1304 1328 1337 1342 1406 1410 1420 1474 1478 1493 1565 1578 1580 1584 1592 1642 1652 1660 1670 1734 1753 1761 1825 1894 1898 1903 1921 1927 1931 1980 1999 2003 2013]\n# step=24 row=1008 minW=102 found cw of W=96: [44 45 54 59 63 82 154 213 236 237 240 242 250 295 305 309 314 323 327 332 392 401 409 419 464 492 550 551 574 578 584 638 666 670 715 720 738 739 753 801 806 824 834 838 839 898 917 980 994 1064 1073 1077 1078 1081 1163 1168 1173 1228 1246 1260 1304 1342 1387 1406 1414 1420 1478 1492 1565 1570 1575 1578 1592 1642 1652 1670 1734 1748 1753 1761 1762 1811 1816 1825 1834 1898 1912 1921 1926 1931 1980 1999 2002 2003 2007 2013]\n# step=78 row=326 minW=96 found cw of W=92: [72 73 76 138 143 149 158 163 227 235 299 323 333 409 410 414 415 476 487 496 568 583 587 632 646 737 744 747 748 751 801 810 814 834 893 897 902 906 907 994 997 998 1053 1069 1078 1092 1135 1144 1159 1222 1232 1246 1255 1304 1310 1312 1318 1328 1341 1397 1400 1409 1414 1415 1418 1425 1473 1496 1505 1560 1569 1573 1593 1651 1659 1669 1730 1732 1744 1751 1753 1900 1906 1910 1920 1925 1930 1985 1993 1997 1998 2002]\n# step=239 row=802 minW=92 found cw of W=88: [21 25 30 92 98 126 181 253 258 266 272 275 276 286 290 339 358 363 367 425 440 449 454 512 516 517 523 591 696 773 778 792 851 854 855 856 864 869 874 878 927 932 936 942 947 956 1025 1049 1098 1112 1117 1121 1179 1194 1203 1209 1213 1270 1271 1275 1286 1354 1363 1367 1431 1440 1445 1459 1514 1517 1518 1527 1599 1604 1605 1623 1632 1637 1681 1710 1792 1797 1854 1859 1870 1937 1956 1966]\n# step=795 row=39 minW=88 found cw of W=86: [8 12 17 22 25 26 85 98 121 126 171 185 189 190 198 258 277 280 285 286 344 349 357 359 363 422 436 439 441 444 600 605 610 624 673 682 695 697 701 764 768 797 859 864 878 928 933 938 947 956 1034 1036 1098 1111 1113 1116 1127 1131 1193 1203 1286 1345 1349 1350 1355 1372 1383 1460 1518 1522 1523 1527 1610 1632 1710 1715 1769 1788 1801 1851 1878 1933 1942 1943 1957 1965]\n# round=1000 of 50000 minW=86\n# step=1351 row=101 minW=86 found cw of W=84: [3 12 25 26 30 40 94 99 112 121 126 199 278 345 354 359 363 422 441 510 523 605 606 611 678 700 705 764 774 792 797 846 856 928 933 938 944 948 965 966 1031 1049 1099 1108 1118 1127 1131 1191 1199 1205 1263 1269 1295 1359 1373 1378 1436 1446 1454 1455 1464 1469 1518 1523 1538 1605 1619 1625 1638 1715 1719 1787 1788 1792 1802 1851 1852 1879 1883 1885 1943 1948 1961 1972]\n# step=1475 row=280 minW=84 found cw of W=82: [5 28 41 92 106 173 192 198 279 288 337 338 424 452 457 505 510 511 515 516 520 529 592 597 598 602 607 629 675 685 694 776 781 785 795 843 844 849 853 859 867 931 934 935 939 944 954 1010 1019 1023 1028 1033 1120 1134 1183 1193 1198 1216 1283 1288 1298 1301 1380 1383 1434 1447 1516 1525 1530 1531 1539 1598 1684 1685 1688 1766 1772 1867 1877 1940 1954 1959]\n# step=1582 row=369 minW=82 found cw of W=80: [16 119 124 177 192 202 266 268 270 271 273 275 344 349 363 368 442 511 515 519 521 530 535 597 600 605 606 609 613 616 682 691 696 757 867 871 872 876 881 931 935 936 938 939 941 946 949 1101 1123 1201 1211 1265 1273 1274 1278 1302 1354 1358 1364 1368 1384 1516 1534 1553 1603 1611 1613 1622 1625 1686 1701 1784 1804 1868 1881 1890 1939 1944 1963 1969]\n# round=2000 of 50000 minW=80\n# round=3000 of 50000 minW=80\n# round=4000 of 50000 minW=80\n# step=4394 row=835 minW=80 found cw of W=74: [44 49 68 83 132 145 150 151 327 332 387 392 396 401 405 406 410 419 638 665 666 716 730 734 743 826 907 985 1003 1004 1008 1055 1069 1073 1078 1081 1087 1091 1137 1150 1159 1160 1169 1173 1237 1260 1319 1329 1333 1392 1416 1479 1484 1493 1501 1507 1570 1579 1593 1643 1661 1725 1753 1826 1830 1840 1898 1907 1921 1926 1985 1990 2004 2013]\n# round=5000 of 50000 minW=74\n# round=6000 of 50000 minW=74\n# round=7000 of 50000 minW=74\n# round=8000 of 50000 minW=74\n# round=9000 of 50000 minW=74\n# round=10000 of 50000 minW=74\n# round=11000 of 50000 minW=74\n# round=12000 of 50000 minW=74\n# round=13000 of 50000 minW=74\n# round=14000 of 50000 minW=74\n# round=15000 of 50000 minW=74\n# step=15855 row=190 minW=74 found cw of W=68: [48 54 136 141 163 168 227 241 246 296 300 324 326 333 382 386 396 401 464 473 497 579 656 719 738 806 811 816 971 975 994 1008 1085 1136 1145 1150 1169 1175 1222 1248 1255 1312 1333 1401 1410 1416 1473 1474 1492 1497 1505 1560 1574 1642 1659 1668 1671 1675 1729 1734 1811 1815 1816 1836 1900 2003 2013 2015]\n# round=16000 of 50000 minW=68\n# round=17000 of 50000 minW=68\n# round=18000 of 50000 minW=68\n# round=19000 of 50000 minW=68\n# round=20000 of 50000 minW=68\n# round=21000 of 50000 minW=68\n# round=22000 of 50000 minW=68\n# round=23000 of 50000 minW=68\n# round=24000 of 50000 minW=68\n# round=25000 of 50000 minW=68\n# round=26000 of 50000 minW=68\n# round=27000 of 50000 minW=68\n# round=28000 of 50000 minW=68\n# round=29000 of 50000 minW=68\n# round=30000 of 50000 minW=68\n# round=31000 of 50000 minW=68\n# round=32000 of 50000 minW=68\n# round=33000 of 50000 minW=68\n# round=34000 of 50000 minW=68\n# round=35000 of 50000 minW=68\n# round=36000 of 50000 minW=68\n# round=37000 of 50000 minW=68\n# round=38000 of 50000 minW=68\n# step=38471 row=291 minW=68 found cw of W=64: [45 59 64 70 77 148 214 218 223 237 242 295 305 332 383 387 397 464 490 556 568 570 580 632 638 720 837 889 908 913 970 975 980 1145 1162 1169 1223 1249 1251 1387 1411 1417 1424 1428 1474 1481 1580 1589 1596 1674 1730 1758 1764 1821 1832 1839 1848 1901 1910 1912 1915 1980 1999 2005]\n# round=39000 of 50000 minW=64\n# round=40000 of 50000 minW=64\n# round=41000 of 50000 minW=64\n# round=42000 of 50000 minW=64\n# round=43000 of 50000 minW=64\n# round=44000 of 50000 minW=64\n# round=45000 of 50000 minW=64\n# round=46000 of 50000 minW=64\n# round=47000 of 50000 minW=64\n# round=48000 of 50000 minW=64\n# round=49000 of 50000 minW=64\n# round=50000 of 50000 minW=64\nRW algorithm upper bound for the distance d=64\n</t>
  </si>
  <si>
    <t># step=0 row=0 minW=2161 found cw of W=432: [2 6 7 10 18 20 21 24 29 33 34 36 45 47 48 53 66 73 76 81 90 95 98 102 105 113 114 127 129 136 148 156 160 162 164 167 171 181 189 190 195 203 211 213 219 221 228 235 236 238 240 241 246 250 257 261 264 279 281 283 286 289 301 307 308 311 328 342 346 348 357 362 365 369 377 378 382 388 389 391 395 404 415 422 424 426 428 436 437 438 447 458 461 464 467 470 473 477 482 486 492 501 504 505 507 511 512 515 516 522 535 536 537 540 541 545 547 548 555 556 560 566 577 587 591 592 598 599 611 614 616 617 619 629 630 633 635 639 648 650 652 653 656 663 667 670 677 681 685 692 695 696 720 722 730 737 739 740 743 757 759 764 766 769 783 784 786 800 802 812 815 816 820 823 832 834 846 847 850 862 867 871 890 891 892 901 904 911 927 940 946 947 949 960 961 962 966 969 970 974 984 995 996 1008 1014 1022 1029 1031 1032 1036 1042 1048 1051 1060 1074 1075 1080 1083 1099 1107 1113 1115 1119 1120 1127 1130 1136 1139 1143 1153 1163 1169 1173 1179 1192 1194 1206 1213 1218 1221 1235 1237 1244 1248 1250 1251 1258 1260 1262 1269 1277 1279 1285 1286 1300 1308 1310 1311 1312 1313 1320 1324 1325 1326 1330 1345 1348 1349 1351 1352 1360 1368 1373 1378 1385 1389 1392 1398 1419 1420 1424 1443 1445 1446 1448 1453 1455 1464 1465 1469 1471 1477 1485 1486 1488 1491 1493 1495 1496 1503 1506 1510 1512 1513 1515 1531 1533 1537 1549 1554 1557 1560 1563 1567 1570 1572 1574 1575 1579 1583 1586 1589 1590 1593 1599 1603 1612 1616 1619 1621 1623 1624 1629 1630 1633 1635 1639 1643 1648 1652 1663 1671 1674 1677 1680 1681 1684 1689 1694 1699 1707 1709 1713 1714 1716 1721 1725 1728 1732 1736 1750 1751 1754 1757 1763 1770 1771 1773 1777 1791 1794 1796 1809 1812 1814 1835 1848 1850 1854 1864 1865 1875 1879 1880 1883 1885 1897 1898 1900 1901 1903 1907 1915 1924 1931 1932 1933 1939 1952 1954 1955 1959 1975 1981 1982 1983 1995 2010 2012 2016 2020 2024 2036 2039 2040 2050 2051 2060 2062 2065 2070 2075 2083 2084 2102 2112 2131 2134 2137 2138 2144 2148]\n# step=0 row=2 minW=432 found cw of W=408: [3 5 6 11 18 29 31 32 33 36 42 45 47 48 55 63 70 75 76 80 90 92 95 97 98 105 113 127 129 130 132 134 155 156 160 162 164 169 170 176 183 189 190 200 213 240 241 247 250 262 264 272 279 281 286 289 291 301 303 308 311 347 348 349 363 369 379 385 389 391 392 402 403 419 424 430 431 436 437 438 442 463 477 482 485 486 501 502 505 507 511 515 516 527 528 533 536 537 540 545 551 555 558 560 564 565 571 575 587 592 597 601 607 609 617 627 629 630 635 638 644 646 650 656 659 664 666 678 681 683 692 695 702 710 712 718 720 721 729 739 740 743 744 753 764 784 797 800 801 803 809 812 815 817 823 835 840 848 849 850 867 871 890 898 901 902 904 909 916 940 946 947 949 961 966 970 980 989 991 1013 1014 1018 1022 1028 1037 1041 1045 1049 1051 1075 1079 1080 1083 1087 1090 1094 1106 1107 1115 1119 1120 1127 1130 1132 1143 1148 1149 1150 1153 1154 1159 1163 1167 1168 1173 1185 1187 1204 1213 1218 1220 1225 1235 1237 1248 1250 1256 1258 1262 1270 1275 1279 1285 1300 1301 1303 1310 1311 1313 1314 1317 1324 1326 1334 1339 1344 1348 1349 1350 1356 1360 1363 1367 1371 1372 1378 1385 1392 1395 1405 1408 1409 1415 1419 1420 1422 1424 1439 1445 1450 1453 1455 1459 1460 1464 1468 1471 1472 1478 1480 1481 1483 1487 1489 1491 1493 1495 1501 1514 1515 1517 1519 1525 1527 1531 1533 1554 1555 1557 1560 1563 1567 1568 1572 1575 1583 1589 1590 1591 1599 1611 1615 1618 1619 1621 1623 1627 1629 1633 1639 1640 1641 1643 1654 1663 1667 1671 1675 1680 1681 1699 1707 1711 1713 1723 1731 1753 1770 1773 1777 1794 1805 1809 1810 1812 1827 1835 1848 1850 1854 1860 1862 1868 1873 1879 1881 1890 1899 1901 1903 1904 1906 1907 1909 1914 1932 1933 1936 1939 1955 1959 1968 1973 1978 1981 1982 1985 2008 2009 2016 2022 2024 2028 2036 2040 2042 2051 2053 2059 2060 2062 2066 2070 2073 2082 2083 2084 2087 2102 2111 2121 2133 2135 2138 2144 2149 2153 2157]\n# step=0 row=14 minW=408 found cw of W=406: [3 7 11 24 27 33 36 40 42 45 47 55 62 66 76 77 80 84 93 95 98 102 105 108 112 114 129 132 136 148 151 155 162 164 167 169 173 176 178 181 183 189 190 193 195 200 221 228 235 236 240 247 250 257 261 262 267 275 279 281 283 291 303 307 328 342 347 348 356 357 362 363 370 374 385 389 393 402 403 423 426 428 430 431 433 442 447 450 452 459 467 470 477 482 485 490 492 501 507 514 525 527 528 529 535 538 540 545 551 558 560 564 571 577 587 591 599 604 607 609 611 612 614 619 633 635 637 650 655 659 660 663 666 677 678 683 685 692 696 702 705 710 718 727 729 737 740 742 743 744 757 759 764 766 784 788 803 805 809 817 823 825 835 840 848 849 850 864 883 888 890 891 892 901 902 909 916 927 937 940 949 950 961 962 966 984 991 996 1008 1009 1018 1027 1028 1036 1041 1051 1071 1072 1079 1080 1088 1090 1096 1106 1107 1111 1113 1115 1120 1123 1127 1132 1136 1140 1143 1147 1148 1150 1153 1168 1179 1194 1204 1206 1213 1218 1225 1237 1244 1260 1261 1262 1270 1271 1275 1277 1279 1285 1297 1300 1303 1312 1317 1318 1324 1325 1326 1330 1344 1346 1349 1351 1359 1360 1368 1371 1373 1385 1389 1405 1409 1419 1420 1422 1424 1434 1440 1445 1446 1450 1455 1460 1464 1465 1472 1477 1479 1480 1483 1486 1487 1491 1495 1510 1512 1515 1527 1531 1537 1549 1551 1557 1561 1567 1568 1570 1572 1574 1577 1583 1586 1592 1593 1603 1609 1613 1623 1624 1626 1629 1635 1641 1643 1671 1674 1675 1681 1694 1707 1724 1725 1731 1732 1748 1757 1770 1771 1773 1777 1789 1791 1792 1809 1810 1811 1814 1818 1827 1833 1835 1848 1850 1854 1862 1864 1865 1868 1870 1875 1885 1890 1900 1901 1909 1912 1914 1915 1918 1931 1932 1933 1936 1939 1940 1943 1948 1954 1976 1980 1981 1982 1994 1995 2005 2008 2009 2010 2012 2020 2021 2024 2029 2034 2036 2040 2042 2044 2051 2058 2059 2060 2062 2065 2084 2087 2089 2093 2112 2116 2120 2131 2134 2135 2137 2148 2149]\n# step=0 row=22 minW=406 found cw of W=398: [3 6 7 11 21 29 33 44 47 62 63 66 70 75 76 79 80 83 84 89 93 95 105 108 112 114 136 152 155 156 159 164 169 171 176 181 195 202 203 213 219 221 234 235 241 257 260 264 279 281 286 291 294 301 302 303 306 308 311 320 328 337 342 348 352 355 356 363 369 374 383 385 388 391 392 395 403 404 413 428 433 437 438 442 447 450 459 461 466 470 477 480 482 486 491 492 504 505 507 515 516 522 525 527 528 535 536 537 558 566 577 579 583 587 599 601 607 609 611 616 624 627 630 638 644 653 656 667 670 677 679 692 695 696 703 705 712 721 730 740 742 743 744 748 753 759 783 794 800 801 802 805 816 820 835 837 847 850 862 871 875 876 891 892 904 911 913 936 940 942 946 947 962 966 974 984 991 996 1009 1018 1022 1024 1034 1037 1041 1045 1048 1070 1074 1075 1090 1095 1096 1099 1107 1111 1115 1123 1130 1132 1136 1139 1143 1147 1150 1157 1167 1168 1173 1183 1194 1204 1218 1221 1224 1225 1235 1248 1251 1253 1260 1261 1262 1277 1278 1279 1285 1297 1303 1310 1313 1314 1318 1320 1322 1339 1340 1344 1346 1349 1350 1351 1368 1371 1373 1376 1385 1386 1392 1398 1419 1421 1422 1424 1439 1440 1443 1445 1447 1450 1453 1455 1459 1461 1468 1479 1488 1491 1497 1501 1503 1512 1514 1515 1522 1527 1549 1551 1564 1570 1571 1574 1577 1578 1583 1589 1606 1609 1610 1612 1613 1615 1619 1623 1627 1629 1630 1633 1635 1648 1663 1670 1674 1677 1680 1681 1689 1705 1721 1724 1725 1732 1750 1751 1763 1770 1773 1774 1777 1787 1792 1793 1794 1796 1801 1805 1809 1810 1818 1827 1831 1832 1835 1846 1860 1864 1865 1868 1870 1875 1879 1885 1888 1890 1897 1900 1903 1907 1915 1918 1924 1928 1931 1932 1933 1934 1939 1940 1943 1955 1957 1959 1961 1970 1976 1978 1982 1985 2011 2012 2014 2018 2020 2024 2029 2035 2036 2040 2042 2044 2050 2054 2061 2065 2066 2078 2079 2083 2087 2093 2101 2102 2118 2121 2131 2138 2139 2151]\n# step=0 row=46 minW=398 found cw of W=386: [3 6 7 11 21 40 42 45 53 55 66 80 84 91 92 93 98 105 108 116 129 130 148 151 155 156 160 162 164 169 173 176 181 183 189 193 202 203 213 221 228 235 236 238 247 250 264 267 275 279 286 294 301 302 328 334 348 352 363 370 371 374 378 379 385 388 393 413 419 422 424 428 430 433 437 440 442 447 458 464 466 467 482 505 511 516 525 527 529 536 540 541 545 558 571 575 577 583 585 587 591 592 599 604 609 611 614 616 617 627 630 638 648 650 652 655 660 663 670 677 683 685 690 692 695 702 705 707 710 712 718 721 729 730 742 743 744 748 753 759 764 779 783 784 788 801 802 805 809 835 836 840 850 862 864 871 875 876 891 892 898 901 902 904 927 937 947 949 960 961 970 974 984 991 996 1013 1014 1018 1022 1036 1037 1041 1044 1072 1075 1087 1089 1096 1115 1120 1130 1136 1139 1142 1148 1153 1167 1179 1203 1213 1225 1235 1237 1248 1253 1258 1262 1265 1271 1275 1279 1285 1297 1300 1303 1308 1310 1311 1312 1313 1314 1317 1325 1339 1345 1348 1349 1351 1356 1359 1360 1363 1371 1372 1378 1385 1405 1408 1419 1420 1434 1440 1443 1445 1448 1450 1453 1455 1459 1460 1461 1464 1468 1471 1472 1478 1480 1489 1491 1493 1512 1514 1515 1519 1524 1525 1537 1551 1554 1555 1557 1560 1561 1567 1570 1586 1589 1590 1591 1592 1603 1606 1609 1610 1611 1615 1618 1619 1626 1627 1629 1633 1640 1641 1643 1654 1667 1670 1671 1677 1681 1689 1711 1723 1728 1731 1736 1750 1751 1754 1757 1774 1777 1787 1792 1793 1794 1805 1810 1814 1832 1835 1839 1848 1850 1860 1864 1865 1868 1879 1883 1897 1898 1900 1901 1903 1904 1906 1907 1909 1912 1914 1921 1928 1932 1933 1934 1942 1943 1948 1957 1959 1968 1970 1973 1982 1985 1993 1995 2008 2010 2012 2020 2021 2022 2042 2044 2050 2051 2058 2059 2060 2062 2073 2079 2083 2084 2087 2100 2116 2120 2121 2127 2151 2155 2157]\n# step=0 row=48 minW=386 found cw of W=374: [10 21 24 31 32 45 47 55 63 66 70 73 75 76 80 81 83 96 97 98 105 112 116 151 152 159 160 164 167 171 173 176 178 181 183 189 190 202 203 207 211 213 221 235 238 241 250 260 264 266 267 272 291 301 306 320 328 342 346 347 362 363 365 369 377 378 379 382 388 391 395 402 404 419 423 426 431 437 440 463 466 467 470 480 482 490 492 505 507 512 514 522 533 535 538 545 556 558 560 566 571 577 585 587 591 597 598 599 604 614 617 637 638 639 646 650 664 667 670 677 678 683 692 695 696 697 702 705 718 721 722 729 740 743 753 757 759 767 781 784 786 788 800 801 802 803 809 816 817 820 832 834 835 840 846 847 862 875 876 890 898 901 902 904 909 911 927 940 950 962 970 974 984 995 996 1008 1009 1013 1022 1028 1031 1032 1036 1037 1048 1051 1072 1079 1087 1089 1099 1107 1111 1113 1115 1123 1127 1132 1136 1139 1142 1143 1144 1147 1159 1163 1167 1168 1179 1183 1187 1203 1220 1221 1229 1256 1258 1260 1262 1265 1269 1270 1275 1277 1279 1297 1308 1310 1314 1320 1325 1339 1348 1350 1356 1367 1368 1386 1405 1419 1422 1424 1434 1439 1443 1445 1446 1448 1455 1460 1461 1465 1468 1469 1472 1480 1483 1486 1488 1489 1491 1495 1496 1501 1503 1521 1522 1524 1525 1531 1533 1537 1543 1549 1554 1564 1570 1571 1574 1578 1589 1593 1603 1606 1615 1616 1618 1633 1635 1640 1641 1652 1663 1671 1674 1680 1681 1690 1694 1709 1711 1714 1725 1728 1731 1732 1751 1757 1763 1767 1805 1827 1835 1839 1846 1862 1864 1868 1870 1873 1875 1880 1885 1890 1898 1900 1901 1903 1907 1915 1918 1924 1930 1931 1932 1950 1955 1959 1968 1978 1982 2005 2008 2009 2020 2022 2024 2034 2040 2051 2060 2062 2063 2066 2075 2077 2083 2084 2089 2093 2100 2102 2116 2120 2121 2127 2133 2135 2138 2149 2151 2153 2155 2157]\n# step=0 row=143 minW=374 found cw of W=368: [3 7 11 31 33 53 62 63 66 70 80 83 89 90 98 105 108 112 113 116 127 129 132 156 164 167 170 183 190 193 195 202 221 228 235 238 241 250 257 260 261 264 267 272 275 277 279 281 283 286 294 301 306 320 328 334 342 346 347 349 352 355 363 377 382 383 385 388 393 402 404 413 419 423 424 426 431 433 437 440 442 447 452 459 473 477 485 486 493 499 502 507 514 516 527 529 533 551 560 585 592 598 601 607 609 616 617 624 626 629 630 638 639 646 650 653 656 659 666 686 692 695 702 705 707 710 739 740 743 753 758 759 764 767 769 772 779 781 783 794 801 802 812 815 816 834 835 836 837 848 862 864 876 883 890 892 904 911 916 942 947 961 966 969 984 989 995 1009 1013 1018 1027 1028 1029 1031 1032 1037 1042 1045 1048 1049 1051 1071 1075 1087 1088 1094 1095 1096 1106 1111 1113 1115 1120 1123 1127 1130 1132 1136 1139 1147 1154 1159 1164 1168 1173 1183 1194 1203 1206 1213 1214 1218 1229 1235 1248 1250 1253 1261 1262 1265 1269 1270 1277 1278 1279 1301 1303 1308 1310 1311 1312 1313 1318 1339 1344 1346 1348 1349 1350 1356 1359 1360 1371 1378 1385 1386 1389 1395 1408 1409 1422 1434 1439 1440 1445 1448 1450 1453 1457 1459 1464 1465 1479 1480 1488 1489 1493 1496 1510 1521 1522 1524 1525 1527 1543 1549 1551 1554 1557 1563 1570 1579 1599 1603 1606 1612 1613 1626 1630 1633 1643 1648 1663 1674 1677 1679 1690 1699 1707 1709 1713 1714 1716 1732 1750 1753 1760 1770 1773 1787 1791 1809 1827 1831 1835 1839 1848 1854 1879 1890 1897 1898 1903 1912 1915 1921 1928 1933 1934 1936 1939 1940 1942 1948 1952 1955 1957 1970 1976 1978 1982 2008 2029 2036 2039 2042 2053 2054 2065 2066 2079 2083 2087 2090 2093 2100 2101 2102 2116 2121 2133 2138 2139 2140 2144 2151 2155 2157]\n# step=0 row=506 minW=368 found cw of W=348: [7 11 21 29 31 36 53 70 73 76 77 90 93 95 98 105 113 116 148 152 176 178 181 183 190 193 195 203 208 219 228 236 240 264 272 275 279 309 311 347 348 351 362 370 377 378 385 388 395 422 426 428 433 438 442 452 461 464 467 480 482 486 491 499 502 507 511 514 522 528 551 556 558 560 571 583 587 592 597 607 609 611 614 616 619 630 633 635 639 644 646 652 653 655 656 659 664 678 681 686 695 705 707 712 718 722 730 739 740 742 743 744 762 766 767 786 801 803 807 817 823 835 836 837 840 850 857 864 866 871 883 891 901 902 907 909 911 914 936 940 960 969 970 980 984 989 994 1008 1018 1027 1032 1041 1048 1051 1075 1080 1089 1090 1095 1105 1107 1115 1120 1127 1130 1132 1142 1143 1149 1153 1154 1163 1168 1185 1192 1221 1224 1232 1246 1248 1251 1258 1260 1262 1270 1271 1275 1285 1288 1298 1300 1310 1312 1313 1318 1320 1324 1334 1339 1344 1345 1348 1351 1356 1359 1363 1381 1395 1398 1405 1409 1419 1421 1422 1424 1434 1443 1446 1448 1455 1457 1459 1460 1461 1469 1472 1479 1491 1493 1501 1507 1510 1512 1527 1537 1549 1561 1570 1571 1572 1575 1578 1583 1590 1592 1593 1610 1612 1616 1619 1623 1626 1629 1630 1635 1640 1641 1643 1648 1652 1654 1663 1667 1671 1677 1679 1689 1690 1709 1716 1728 1732 1736 1744 1753 1754 1757 1763 1789 1791 1792 1793 1794 1796 1814 1827 1831 1835 1839 1851 1854 1860 1866 1868 1870 1873 1875 1879 1883 1899 1903 1904 1912 1915 1921 1924 1938 1939 1942 1943 1948 1950 1955 1957 1978 1981 1982 1985 1991 1993 2008 2010 2018 2020 2022 2024 2029 2034 2039 2040 2044 2049 2050 2053 2058 2075 2082 2085 2087 2089 2112 2116 2121 2133 2134 2135 2148 2155]\n# step=1 row=342 minW=348 found cw of W=342: [7 12 13 15 29 31 34 43 44 46 47 48 52 55 59 66 67 73 75 82 83 85 87 96 101 110 115 116 120 125 138 139 142 144 156 159 162 167 176 192 198 212 218 235 248 249 254 282 293 295 305 314 331 335 337 347 354 356 364 367 368 369 371 381 388 390 392 395 399 402 404 407 410 412 426 438 443 446 452 478 488 489 498 500 503 504 512 516 520 521 532 534 541 547 559 573 585 591 615 625 627 644 647 649 655 656 657 659 661 670 671 677 684 687 690 696 697 704 705 719 724 726 728 734 737 746 750 756 765 768 770 780 784 792 794 800 803 806 820 822 824 832 833 838 842 852 855 857 859 860 861 877 883 907 925 926 932 949 955 963 965 966 970 982 984 999 1000 1004 1008 1013 1018 1020 1022 1027 1028 1029 1037 1042 1044 1051 1053 1059 1070 1072 1078 1079 1084 1090 1106 1112 1113 1115 1129 1149 1155 1169 1178 1192 1195 1197 1219 1230 1231 1232 1243 1253 1255 1277 1287 1289 1290 1292 1294 1297 1305 1316 1324 1325 1339 1344 1367 1369 1380 1389 1399 1413 1414 1421 1431 1435 1440 1441 1444 1457 1458 1464 1471 1476 1482 1483 1486 1488 1499 1514 1528 1560 1567 1578 1581 1586 1598 1614 1624 1627 1633 1641 1646 1665 1666 1674 1677 1699 1709 1713 1717 1721 1725 1727 1729 1731 1732 1733 1739 1747 1762 1766 1774 1775 1796 1810 1813 1818 1826 1832 1848 1856 1857 1869 1872 1880 1883 1887 1903 1905 1907 1913 1915 1919 1921 1922 1926 1929 1931 1936 1938 1947 1949 1960 1965 1973 1982 1991 2001 2002 2010 2025 2030 2034 2060 2063 2066 2073 2076 2084 2085 2086 2094 2099 2100 2105 2109 2111 2113 2120 2124 2127 2132 2135 2137 2138 2148 2154]\n# step=2 row=263 minW=342 found cw of W=326: [3 4 7 30 43 46 48 55 58 83 86 94 96 101 109 120 127 136 147 158 161 165 169 172 180 192 216 221 222 229 233 243 248 252 259 264 277 279 281 294 302 306 309 313 316 324 326 330 345 349 352 353 367 369 377 380 388 391 412 433 439 445 448 452 456 471 474 482 489 491 493 506 509 514 520 522 526 527 528 534 545 553 574 580 596 607 608 615 644 650 652 653 665 678 679 681 687 690 695 697 707 708 710 714 732 735 743 746 758 772 785 786 800 812 814 821 832 845 854 855 864 865 881 882 891 892 897 900 901 904 907 913 916 919 926 929 947 954 955 957 959 969 974 975 976 979 992 997 998 1001 1005 1012 1027 1048 1054 1060 1064 1084 1085 1086 1092 1093 1122 1139 1152 1156 1171 1180 1181 1189 1195 1200 1206 1207 1232 1245 1250 1262 1264 1268 1275 1280 1289 1290 1299 1306 1316 1326 1334 1343 1349 1353 1354 1372 1376 1382 1390 1393 1404 1415 1419 1423 1428 1429 1433 1440 1445 1446 1447 1450 1462 1464 1473 1481 1483 1490 1495 1500 1501 1509 1539 1552 1562 1565 1573 1587 1594 1596 1601 1602 1610 1612 1615 1618 1622 1623 1624 1633 1635 1644 1645 1648 1659 1662 1676 1677 1683 1687 1691 1695 1707 1709 1712 1714 1720 1721 1722 1728 1731 1741 1743 1744 1745 1749 1751 1757 1767 1769 1778 1779 1781 1782 1785 1792 1803 1807 1813 1816 1817 1818 1819 1821 1823 1834 1838 1839 1841 1854 1855 1856 1861 1866 1875 1884 1888 1892 1897 1912 1915 1940 1949 1951 1965 1976 1981 1983 1990 1991 2007 2013 2024 2025 2027 2042 2063 2076 2087 2097 2112 2118 2122 2123 2128 2130 2137 2144]\n# step=2 row=302 minW=326 found cw of W=324: [3 4 7 30 43 46 48 55 58 83 86 94 101 109 118 120 127 136 147 158 161 165 169 172 180 192 216 221 222 233 248 252 259 264 265 277 281 294 302 306 309 313 316 324 326 330 345 349 352 353 367 369 377 380 388 391 412 433 439 445 448 452 456 471 474 482 489 491 493 506 509 514 520 522 526 528 534 545 553 574 580 596 606 607 608 615 644 650 652 653 665 678 679 681 687 690 695 697 707 708 714 732 735 743 746 758 772 785 786 789 800 812 814 832 845 854 855 857 864 865 881 882 891 892 897 901 904 907 913 916 919 926 929 936 947 954 955 957 959 969 974 975 976 979 992 997 998 1001 1005 1012 1015 1027 1048 1054 1060 1064 1084 1085 1086 1092 1093 1109 1122 1139 1152 1156 1171 1181 1189 1195 1200 1206 1207 1232 1245 1250 1262 1264 1268 1275 1280 1289 1290 1299 1306 1316 1326 1334 1343 1349 1353 1354 1372 1376 1382 1390 1393 1404 1415 1419 1423 1428 1429 1433 1440 1445 1446 1447 1462 1464 1473 1481 1483 1490 1495 1500 1501 1509 1539 1552 1562 1565 1573 1587 1594 1596 1601 1602 1610 1612 1615 1618 1622 1623 1624 1633 1635 1644 1645 1648 1659 1662 1677 1683 1687 1690 1691 1695 1707 1709 1712 1714 1720 1721 1722 1728 1731 1741 1743 1745 1749 1751 1757 1758 1767 1769 1778 1779 1781 1782 1785 1792 1801 1803 1807 1813 1816 1817 1818 1819 1821 1834 1838 1839 1841 1854 1855 1856 1861 1866 1875 1884 1888 1892 1897 1912 1915 1940 1949 1951 1965 1976 1981 1983 1990 1991 2007 2013 2024 2025 2027 2063 2076 2087 2097 2099 2112 2118 2122 2123 2128 2130 2137 2144]\n# step=2 row=375 minW=324 found cw of W=322: [3 4 7 30 43 46 48 55 58 82 83 86 94 101 109 120 127 136 147 158 161 165 169 172 180 192 216 221 222 233 248 252 259 264 265 277 281 294 302 306 309 313 316 324 326 330 345 349 352 353 367 369 377 380 388 391 412 433 439 445 448 452 456 471 474 482 489 491 493 506 509 514 520 522 526 528 534 545 553 574 580 596 607 608 615 644 650 652 653 665 678 679 681 687 690 695 697 707 708 714 732 735 743 746 753 758 772 785 786 800 812 814 832 845 854 855 857 864 865 881 882 891 892 897 901 904 907 913 916 919 926 929 936 947 954 955 957 959 969 974 975 976 979 992 997 998 1001 1005 1012 1027 1048 1054 1060 1064 1084 1085 1086 1092 1093 1109 1122 1139 1152 1156 1171 1181 1189 1195 1200 1206 1207 1232 1245 1250 1262 1264 1268 1275 1280 1289 1290 1299 1306 1316 1326 1334 1343 1349 1353 1354 1372 1376 1382 1390 1393 1404 1415 1419 1423 1428 1429 1433 1440 1445 1446 1447 1450 1462 1464 1473 1481 1483 1490 1495 1500 1501 1509 1539 1552 1562 1565 1573 1587 1594 1596 1601 1602 1610 1612 1615 1618 1622 1623 1624 1633 1635 1644 1645 1648 1659 1662 1676 1677 1683 1687 1691 1695 1707 1709 1712 1714 1720 1721 1722 1728 1731 1741 1743 1745 1749 1751 1757 1758 1767 1769 1778 1779 1781 1782 1785 1792 1801 1803 1807 1813 1816 1817 1818 1819 1821 1834 1838 1839 1841 1854 1855 1856 1861 1866 1875 1884 1888 1892 1897 1912 1915 1940 1949 1951 1965 1976 1981 1983 1990 1991 2007 2013 2024 2025 2027 2063 2076 2087 2097 2112 2118 2122 2123 2128 2130 2137 2144]\n# step=20 row=88 minW=322 found cw of W=312: [6 8 9 15 22 27 41 45 49 59 63 73 77 91 95 102 113 116 123 124 128 130 138 156 160 171 173 178 189 191 196 202 206 214 219 233 234 235 238 268 273 299 300 304 327 341 347 356 362 363 373 378 379 381 391 392 396 437 442 445 446 453 454 459 461 483 487 493 494 509 519 526 530 533 559 564 565 578 579 583 589 600 604 609 611 619 623 630 639 650 651 664 672 686 690 701 702 704 735 736 741 744 748 770 784 787 797 804 808 819 820 822 823 824 826 833 839 847 858 859 861 863 867 869 870 883 884 887 890 908 909 918 927 939 970 971 982 985 986 988 990 991 994 995 996 1008 1009 1012 1016 1021 1026 1028 1035 1040 1049 1060 1063 1064 1074 1085 1089 1092 1093 1097 1107 1111 1112 1114 1125 1137 1155 1170 1176 1197 1198 1201 1230 1236 1266 1272 1273 1274 1282 1286 1293 1296 1320 1323 1345 1348 1352 1357 1359 1362 1377 1380 1381 1388 1423 1430 1446 1448 1455 1466 1467 1468 1484 1492 1498 1503 1504 1515 1516 1524 1526 1527 1538 1540 1548 1553 1556 1557 1564 1567 1570 1574 1588 1589 1592 1595 1596 1600 1602 1628 1631 1634 1635 1648 1653 1659 1670 1679 1689 1695 1698 1699 1706 1710 1721 1725 1734 1740 1743 1770 1779 1781 1782 1786 1792 1795 1796 1800 1805 1814 1815 1820 1825 1826 1828 1831 1832 1840 1842 1845 1846 1856 1875 1877 1878 1881 1882 1887 1893 1947 1951 1953 1964 1965 1971 1972 1975 1987 1989 2018 2019 2022 2039 2048 2055 2069 2072 2075 2076 2088 2090 2091 2098 2104 2111 2119 2138 2145]\n# step=33 row=14 minW=312 found cw of W=294: [2 6 28 30 38 44 58 64 66 74 82 84 88 98 104 112 113 117 120 124 131 140 149 154 156 161 163 168 176 182 183 196 197 198 199 204 220 221 231 247 281 292 296 299 314 315 330 342 343 375 378 382 393 407 408 411 415 416 422 425 430 433 460 464 468 477 482 496 512 519 536 540 549 562 565 572 590 597 601 606 626 627 642 647 662 679 686 699 716 726 741 766 773 775 784 788 796 798 805 817 819 827 839 845 847 860 863 878 882 888 892 903 906 913 914 925 928 936 942 944 950 964 967 972 980 996 1006 1010 1017 1021 1029 1035 1036 1037 1042 1045 1064 1071 1073 1078 1082 1097 1100 1108 1121 1122 1137 1140 1142 1144 1148 1166 1168 1180 1182 1194 1197 1201 1209 1224 1226 1229 1232 1244 1245 1251 1262 1265 1280 1281 1284 1287 1301 1320 1325 1326 1329 1338 1344 1356 1360 1369 1373 1383 1391 1398 1405 1412 1413 1414 1426 1427 1436 1445 1448 1456 1459 1462 1466 1471 1473 1476 1480 1481 1484 1486 1507 1512 1520 1527 1534 1544 1548 1552 1553 1556 1560 1566 1579 1580 1587 1592 1599 1603 1628 1645 1660 1663 1667 1678 1683 1685 1696 1698 1699 1700 1707 1714 1719 1732 1734 1743 1746 1750 1769 1782 1783 1796 1800 1811 1828 1829 1843 1845 1847 1859 1880 1883 1887 1890 1901 1903 1904 1908 1916 1922 1929 1930 1937 1940 1943 1944 1965 1972 1983 1987 1995 2012 2048 2051 2069 2070 2073 2087 2094 2101 2106 2107 2129 2130 2143 2148 2151 2159]\n# step=33 row=761 minW=294 found cw of W=292: [2 6 28 38 44 58 64 66 74 82 84 88 95 98 104 112 113 117 120 124 131 140 149 154 156 161 168 176 182 183 196 197 198 204 220 221 231 247 281 292 296 314 315 330 342 343 375 378 382 393 407 408 411 415 416 422 425 430 433 446 460 461 464 477 496 512 519 540 549 562 565 590 597 601 606 626 627 642 647 662 679 686 699 716 730 741 766 773 775 784 788 796 805 817 819 827 839 845 847 860 863 878 882 888 891 892 903 906 913 914 925 927 928 936 942 944 950 964 967 972 980 996 1006 1010 1017 1021 1024 1029 1035 1036 1037 1038 1042 1045 1064 1071 1073 1078 1082 1086 1097 1108 1121 1122 1137 1140 1142 1144 1148 1166 1168 1179 1180 1182 1194 1197 1201 1209 1224 1226 1229 1232 1244 1245 1251 1262 1265 1280 1281 1284 1287 1301 1320 1325 1326 1329 1338 1344 1356 1360 1373 1391 1398 1405 1412 1413 1414 1426 1427 1436 1445 1448 1456 1462 1466 1471 1476 1480 1481 1484 1486 1507 1512 1516 1520 1527 1531 1534 1538 1544 1548 1552 1553 1556 1560 1566 1579 1580 1587 1592 1599 1603 1610 1628 1645 1660 1667 1678 1683 1696 1698 1700 1707 1714 1719 1721 1732 1734 1743 1746 1750 1757 1769 1782 1783 1793 1796 1800 1811 1828 1829 1836 1843 1845 1847 1859 1880 1883 1887 1890 1901 1903 1908 1916 1922 1929 1930 1937 1940 1943 1944 1965 1972 1975 1987 1995 2011 2012 2048 2051 2069 2070 2073 2087 2101 2106 2107 2129 2143 2148 2151 2159]\n# step=137 row=81 minW=292 found cw of W=284: [3 7 15 21 25 29 40 53 69 75 87 94 118 122 126 129 140 152 154 162 176 183 186 187 191 209 212 221 226 241 259 262 270 271 283 287 291 295 315 319 327 337 351 363 367 368 369 380 387 398 403 405 417 422 424 426 431 440 448 460 469 475 477 482 491 496 498 510 513 525 549 553 568 592 595 596 614 616 624 629 636 638 640 643 649 652 657 660 702 706 707 718 728 729 744 757 760 779 794 796 807 814 818 823 837 851 854 857 861 887 901 911 920 929 933 936 937 944 948 954 962 963 980 1000 1009 1012 1034 1036 1047 1048 1051 1057 1065 1071 1074 1079 1080 1084 1085 1091 1096 1106 1113 1123 1124 1128 1135 1139 1142 1160 1163 1171 1179 1181 1193 1199 1229 1236 1238 1260 1261 1268 1272 1274 1296 1305 1306 1326 1327 1328 1332 1336 1341 1353 1357 1362 1365 1367 1371 1372 1375 1382 1398 1399 1401 1403 1407 1408 1411 1412 1433 1450 1455 1464 1479 1486 1494 1496 1508 1512 1518 1529 1532 1550 1552 1553 1555 1565 1583 1591 1611 1619 1626 1643 1644 1647 1652 1655 1659 1666 1667 1679 1680 1697 1710 1715 1730 1735 1736 1744 1748 1755 1756 1763 1772 1773 1776 1785 1788 1798 1799 1802 1809 1810 1812 1828 1841 1850 1852 1857 1863 1874 1888 1900 1903 1907 1910 1923 1924 1937 1943 1945 1946 1949 1963 1968 1988 1993 2003 2007 2010 2025 2038 2043 2068 2090 2092 2093 2104 2111 2135 2139 2140 2146]\n# step=651 row=77 minW=284 found cw of W=282: [1 6 8 14 15 29 38 60 64 79 85 86 89 93 97 108 109 128 129 132 133 137 149 153 160 182 189 193 204 217 218 224 229 231 234 238 239 242 243 247 260 262 268 275 282 292 298 300 318 351 354 355 365 380 385 394 401 403 414 421 438 443 447 452 461 462 474 488 495 496 498 504 519 526 532 539 547 562 574 575 577 579 583 584 591 593 599 606 615 616 629 634 655 657 663 666 679 689 691 694 695 709 716 717 727 734 736 738 743 745 746 748 752 756 759 763 767 772 782 786 789 809 831 834 841 847 861 867 872 874 882 892 913 927 941 970 971 984 992 1018 1019 1020 1022 1030 1034 1040 1043 1061 1065 1084 1086 1094 1113 1124 1126 1129 1135 1148 1152 1157 1159 1162 1179 1183 1199 1201 1212 1215 1221 1231 1241 1252 1255 1259 1267 1271 1274 1306 1315 1322 1324 1338 1340 1342 1344 1362 1366 1369 1370 1378 1395 1399 1406 1418 1419 1425 1427 1439 1449 1462 1465 1469 1475 1477 1484 1496 1500 1529 1530 1532 1536 1542 1550 1553 1561 1568 1575 1578 1594 1600 1603 1604 1623 1646 1653 1660 1664 1669 1685 1712 1718 1721 1732 1733 1746 1753 1754 1757 1762 1770 1773 1778 1790 1795 1800 1808 1820 1826 1827 1830 1842 1851 1920 1937 1942 1947 1951 1952 1955 1961 1966 1973 1974 1980 1991 1998 2009 2019 2040 2067 2068 2076 2077 2084 2090 2100 2110 2118 2127 2134 2149 2157]\n# step=795 row=540 minW=282 found cw of W=256: [8 11 13 14 21 22 27 36 48 51 53 61 63 69 83 91 97 98 105 116 125 141 155 163 168 170 174 180 195 206 213 218 224 232 245 256 259 271 278 310 313 329 349 357 360 363 365 385 395 399 406 407 408 410 422 424 432 436 445 452 453 454 468 478 479 482 515 536 541 549 561 563 565 583 585 599 604 605 627 641 663 683 694 698 700 712 715 719 733 738 751 766 774 783 798 804 812 819 823 830 833 853 873 881 895 909 910 927 944 945 959 960 966 977 978 994 1000 1006 1014 1017 1030 1031 1044 1053 1057 1063 1067 1071 1072 1074 1077 1085 1091 1093 1105 1132 1150 1153 1161 1182 1186 1189 1193 1201 1222 1225 1228 1229 1232 1236 1244 1250 1254 1274 1283 1290 1300 1308 1324 1341 1343 1345 1355 1362 1369 1375 1384 1391 1395 1411 1415 1421 1429 1452 1457 1473 1477 1478 1498 1502 1505 1508 1520 1531 1542 1545 1549 1567 1574 1585 1594 1613 1620 1624 1652 1659 1660 1661 1670 1674 1675 1681 1692 1696 1697 1703 1710 1739 1741 1750 1753 1757 1770 1774 1777 1778 1784 1785 1786 1789 1793 1800 1806 1825 1842 1867 1878 1879 1889 1896 1897 1903 1907 1931 1932 1936 1961 1976 2008 2011 2014 2015 2016 2018 2026 2028 2056 2070 2072 2078 2086 2092 2108 2126 2133 2151]\n# round=1000 of 50000 minW=256\n# round=2000 of 50000 minW=256\n# step=2327 row=1072 minW=256 found cw of W=230: [8 25 29 30 43 57 72 75 86 97 122 129 130 162 191 208 213 216 219 222 227 235 259 263 266 277 280 285 305 327 338 345 352 355 363 377 382 396 418 420 442 449 460 463 467 468 478 496 518 546 549 552 557 571 574 578 585 588 593 600 621 632 635 646 660 675 679 682 693 704 707 714 715 718 721 732 735 743 761 776 782 783 793 840 847 854 857 872 884 893 898 901 904 919 922 944 963 1004 1009 1048 1051 1069 1076 1099 1100 1103 1117 1153 1156 1159 1164 1178 1196 1200 1218 1232 1242 1253 1278 1289 1305 1307 1336 1342 1354 1355 1357 1364 1375 1379 1383 1398 1400 1401 1408 1411 1425 1429 1433 1436 1454 1469 1472 1486 1489 1501 1504 1515 1516 1522 1523 1525 1547 1551 1555 1558 1576 1581 1588 1590 1591 1594 1602 1608 1627 1630 1645 1648 1651 1655 1669 1672 1684 1687 1691 1695 1699 1708 1719 1727 1735 1742 1744 1745 1750 1752 1755 1763 1764 1771 1773 1778 1781 1784 1800 1802 1810 1820 1828 1845 1877 1889 1917 1920 1941 1949 1961 1963 1977 1988 1989 2006 2007 2010 2024 2036 2047 2050 2053 2060 2061 2074 2086 2096 2110 2125 2139 2144 2147 2150]\n# round=3000 of 50000 minW=230\n# round=4000 of 50000 minW=230\n# step=4128 row=693 minW=230 found cw of W=212: [1 4 9 12 38 95 116 120 127 128 138 149 151 163 167 173 187 192 196 199 203 209 231 238 253 256 263 282 299 311 317 318 321 332 357 378 385 397 414 422 429 432 436 440 454 468 472 486 497 504 547 572 580 587 604 605 608 611 640 662 683 720 737 748 776 777 780 784 802 812 831 834 841 845 848 849 870 884 899 924 931 934 935 945 971 985 996 1017 1021 1032 1035 1042 1045 1053 1064 1067 1068 1070 1071 1078 1088 1096 1118 1122 1151 1172 1193 1197 1198 1200 1208 1229 1251 1255 1265 1269 1273 1284 1287 1308 1315 1322 1334 1337 1344 1345 1352 1362 1370 1387 1388 1395 1398 1401 1405 1427 1441 1488 1499 1509 1519 1524 1528 1534 1546 1548 1567 1571 1584 1624 1643 1646 1671 1674 1686 1689 1693 1710 1717 1732 1750 1754 1778 1793 1797 1814 1829 1840 1846 1850 1860 1861 1868 1869 1876 1879 1882 1886 1896 1897 1901 1908 1912 1915 1919 1932 1937 1951 1955 1968 1976 1980 1982 1993 1994 2004 2005 2007 2016 2026 2029 2041 2048 2052 2062 2065 2087 2101 2112 2116 2123 2126]\n# round=5000 of 50000 minW=212\n# step=5639 row=938 minW=212 found cw of W=196: [5 10 17 24 30 66 67 99 123 153 159 164 174 193 196 199 207 213 214 224 229 260 296 299 325 350 379 386 397 404 407 411 412 419 447 458 472 476 480 494 508 515 554 576 602 608 619 625 626 627 630 644 645 662 663 673 698 709 712 720 756 766 772 791 808 824 842 849 859 891 895 902 907 913 927 960 975 982 1010 1013 1038 1049 1056 1060 1071 1075 1086 1087 1089 1097 1111 1122 1144 1150 1151 1154 1162 1186 1201 1222 1233 1236 1237 1248 1263 1266 1269 1270 1272 1277 1298 1299 1301 1305 1308 1309 1313 1326 1327 1342 1344 1345 1362 1366 1402 1409 1413 1424 1434 1453 1463 1470 1474 1481 1506 1510 1517 1520 1527 1531 1532 1539 1542 1549 1550 1571 1596 1599 1600 1607 1610 1628 1636 1657 1667 1668 1672 1689 1692 1695 1708 1709 1718 1739 1744 1782 1796 1803 1815 1826 1836 1851 1861 1886 1908 1933 1934 1947 1950 1961 1975 1987 1995 2011 2013 2019 2023 2033 2034 2059 2066 2080 2088 2119 2123 2126]\n# round=6000 of 50000 minW=196\n# round=7000 of 50000 minW=196\n# round=8000 of 50000 minW=196\n# round=9000 of 50000 minW=196\n# round=10000 of 50000 minW=196\n# round=11000 of 50000 minW=196\n# round=12000 of 50000 minW=196\n# round=13000 of 50000 minW=196\n# round=14000 of 50000 minW=196\n# step=14287 row=1033 minW=196 found cw of W=158: [3 25 82 93 104 115 118 139 143 147 151 179 182 186 197 208 211 251 258 280 294 301 308 315 329 334 362 365 366 369 391 419 427 441 455 477 520 534 581 599 624 642 646 660 703 753 764 775 778 789 807 825 832 847 854 897 900 929 933 961 979 983 1001 1019 1030 1033 1047 1062 1076 1095 1105 1112 1123 1174 1188 1195 1209 1210 1221 1224 1231 1246 1249 1252 1253 1257 1266 1282 1289 1299 1306 1332 1350 1356 1364 1432 1436 1443 1450 1454 1461 1471 1479 1497 1511 1518 1533 1540 1561 1579 1601 1615 1630 1637 1666 1669 1683 1697 1726 1748 1777 1787 1795 1798 1801 1809 1820 1845 1852 1862 1866 1870 1881 1884 1891 1906 1909 1916 1917 1960 1970 1978 1984 1992 2009 2038 2056 2071 2074 2092 2096 2099 2107 2132 2143 2</t>
  </si>
  <si>
    <t>156 2157 2160]\n# round=15000 of 50000 minW=158\n# round=16000 of 50000 minW=158\n# round=17000 of 50000 minW=158\n# round=18000 of 50000 minW=158\n# round=19000 of 50000 minW=158\n# round=20000 of 50000 minW=158\n# round=21000 of 50000 minW=158\n# round=22000 of 50000 minW=158\n# round=23000 of 50000 minW=158\n# round=24000 of 50000 minW=158\n# round=25000 of 50000 minW=158\n# round=26000 of 50000 minW=158\n# round=27000 of 50000 minW=158\n# step=27568 row=38 minW=158 found cw of W=154: [34 37 45 52 59 81 88 113 127 155 191 202 224 260 274 292 296 307 310 321 349 363 385 386 399 411 425 435 443 447 454 457 461 497 504 532 533 550 558 593 618 622 654 679 693 723 730 740 741 745 748 776 804 826 834 840 851 852 862 892 905 928 931 935 948 963 970 998 1020 1021 1031 1034 1052 1067 1089 1100 1122 1136 1158 1172 1175 1180 1183 1193 1194 1219 1236 1247 1287 1308 1322 1334 1355 1430 1434 1447 1455 1466 1483 1487 1491 1509 1519 1524 1545 1560 1577 1594 1596 1616 1649 1663 1671 1674 1677 1717 1738 1739 1741 1749 1775 1779 1789 1796 1814 1815 1821 1822 1854 1857 1878 1885 1886 1901 1914 1918 1922 1935 1943 1950 1961 1968 1979 1989 1997 2011 2015 2025 2037 2054 2073 2084 2090 2091]\n# round=28000 of 50000 minW=154\n# round=29000 of 50000 minW=154\n# round=30000 of 50000 minW=154\n# round=31000 of 50000 minW=154\n# round=32000 of 50000 minW=154\n# round=33000 of 50000 minW=154\n# round=34000 of 50000 minW=154\n# round=35000 of 50000 minW=154\n# round=36000 of 50000 minW=154\n# round=37000 of 50000 minW=154\n# round=38000 of 50000 minW=154\n# round=39000 of 50000 minW=154\n# step=39725 row=559 minW=154 found cw of W=114: [16 33 37 44 80 91 119 120 134 163 177 199 206 238 249 252 263 324 342 346 356 360 439 461 478 525 529 650 686 711 787 827 841 869 870 891 894 909 941 966 970 977 981 995 1002 1005 1041 1053 1067 1086 1092 1100 1114 1121 1128 1143 1153 1161 1164 1182 1189 1247 1254 1261 1268 1297 1305 1319 1333 1365 1369 1376 1415 1451 1452 1466 1476 1512 1584 1587 1606 1609 1659 1678 1692 1695 1714 1721 1764 1778 1781 1789 1795 1806 1825 1861 1868 1878 1904 1928 1936 1942 1989 2018 2036 2047 2050 2072 2079 2086 2119 2136 2151 2159]\n# round=40000 of 50000 minW=114\n# round=41000 of 50000 minW=114\n# round=42000 of 50000 minW=114\n# round=43000 of 50000 minW=114\n# round=44000 of 50000 minW=114\n# round=45000 of 50000 minW=114\n# round=46000 of 50000 minW=114\n# round=47000 of 50000 minW=114\n# round=48000 of 50000 minW=114\n# round=49000 of 50000 minW=114\n# round=50000 of 50000 minW=114\nRW algorithm upper bound for the distance d=114\n</t>
  </si>
  <si>
    <t>[[2520,8,54]]</t>
  </si>
  <si>
    <t># step=0 row=0 minW=2521 found cw of W=252: [1 5 7 10 12 15 20 21 22 23 27 35 39 87 92 100 113 119 121 124 170 174 179 181 194 197 201 206 253 254 255 256 257 260 265 268 269 272 274 276 279 281 283 287 288 291 338 339 346 355 360 361 376 421 424 428 433 434 442 454 457 460 461 510 514 521 533 541 544 589 598 599 609 611 616 617 624 676 677 680 683 685 689 692 699 701 703 708 713 758 759 767 769 775 779 781 796 852 855 863 867 874 879 882 926 938 943 945 1013 1019 1021 1024 1027 1034 1094 1095 1100 1126 1128 1134 1178 1182 1189 1197 1198 1204 1207 1208 1272 1273 1274 1276 1280 1284 1288 1293 1299 1345 1347 1349 1356 1365 1369 1377 1383 1433 1440 1441 1443 1455 1457 1463 1513 1515 1516 1520 1521 1523 1524 1527 1531 1539 1545 1546 1548 1553 1554 1608 1616 1617 1625 1627 1682 1683 1685 1688 1694 1696 1698 1700 1702 1703 1704 1705 1708 1713 1714 1716 1722 1765 1767 1779 1786 1789 1790 1791 1795 1796 1800 1850 1860 1875 1890 1935 1951 1954 1962 1964 1971 1973 1974 2026 2028 2050 2052 2056 2104 2108 2112 2114 2123 2125 2130 2131 2133 2135 2192 2197 2209 2217 2271 2285 2297 2303 2304 2310 2355 2361 2362 2366 2380 2437 2438 2440 2441 2446 2448 2453 2457 2467 2468 2477]\n# step=0 row=5 minW=252 found cw of W=234: [5 7 11 14 19 20 32 33 35 36 87 91 92 96 97 98 100 117 170 172 174 175 194 253 260 265 266 268 270 272 275 279 281 285 287 288 289 290 293 355 356 360 361 373 374 376 421 428 432 433 434 442 443 445 450 453 457 458 507 508 517 521 522 523 528 535 544 591 594 595 601 605 606 611 616 617 622 627 628 676 680 684 699 701 703 704 757 762 768 769 775 781 846 847 852 855 857 859 861 865 938 942 944 1016 1028 1034 1037 1043 1048 1094 1100 1106 1112 1117 1124 1126 1128 1189 1197 1208 1216 1266 1276 1281 1284 1288 1302 1347 1361 1365 1368 1369 1370 1371 1381 1433 1440 1441 1446 1452 1459 1461 1517 1520 1523 1540 1541 1546 1548 1601 1602 1608 1625 1681 1688 1690 1698 1704 1705 1708 1716 1717 1718 1765 1767 1779 1780 1785 1786 1787 1791 1793 1795 1796 1800 1856 1860 1862 1867 1875 1877 1880 1890 1935 1939 1944 1954 1955 1956 1958 1959 1971 1972 1973 2028 2038 2045 2050 2052 2056 2121 2125 2128 2133 2135 2136 2141 2192 2196 2197 2211 2214 2215 2221 2271 2281 2285 2287 2298 2299 2301 2310 2355 2361 2362 2365 2375 2387 2391 2392 2437 2446 2448 2450]\n# step=0 row=32 minW=234 found cw of W=226: [45 52 55 60 63 64 68 127 130 131 135 139 140 143 144 153 154 155 156 158 160 167 214 218 242 248 250 299 320 322 323 324 325 336 379 382 393 465 469 478 479 484 485 504 547 551 557 559 564 569 575 588 632 637 653 665 667 670 722 724 728 729 738 739 742 749 807 811 828 833 836 838 883 886 902 910 913 920 968 969 977 982 983 989 995 1056 1057 1062 1073 1076 1082 1083 1084 1087 1089 1138 1144 1151 1156 1159 1162 1164 1169 1224 1238 1242 1245 1256 1260 1306 1309 1312 1319 1321 1322 1325 1327 1331 1333 1339 1387 1389 1399 1406 1413 1417 1473 1477 1484 1494 1563 1566 1587 1593 1641 1646 1647 1652 1653 1654 1662 1665 1670 1674 1675 1680 1723 1728 1739 1748 1752 1760 1763 1809 1818 1821 1823 1824 1826 1834 1894 1895 1909 1914 1920 1981 1984 1992 2003 2008 2010 2012 2061 2062 2064 2080 2083 2084 2085 2092 2094 2095 2159 2161 2162 2164 2167 2174 2179 2180 2183 2238 2249 2252 2255 2257 2265 2312 2314 2317 2327 2328 2332 2334 2339 2340 2342 2348 2351 2408 2414 2419 2430 2431 2434 2435 2482 2484 2493 2494 2499 2503 2505 2506 2513 2518]\n# step=0 row=35 minW=226 found cw of W=222: [50 52 55 59 60 63 67 68 127 140 142 143 144 147 158 165 168 211 216 220 229 234 246 251 299 318 320 322 324 325 328 329 334 336 385 400 407 464 471 481 482 485 486 489 500 501 547 556 557 559 561 566 571 578 582 632 633 636 637 639 671 723 730 731 734 738 740 805 807 814 821 824 836 886 900 904 910 969 977 1054 1062 1074 1076 1082 1083 1086 1087 1089 1144 1154 1163 1168 1173 1174 1176 1219 1224 1229 1234 1238 1243 1248 1250 1253 1308 1315 1319 1322 1325 1327 1330 1331 1333 1343 1390 1393 1394 1399 1402 1406 1412 1413 1418 1422 1477 1484 1495 1559 1560 1563 1587 1593 1639 1646 1658 1662 1664 1665 1668 1670 1678 1680 1723 1728 1733 1739 1745 1748 1752 1759 1761 1814 1818 1821 1826 1832 1834 1893 1894 1901 1904 1909 1914 1920 1926 1984 1991 1998 1999 2000 2016 2063 2064 2066 2077 2081 2084 2089 2148 2159 2162 2167 2172 2174 2177 2179 2182 2237 2238 2244 2249 2250 2252 2255 2258 2265 2317 2321 2324 2328 2330 2334 2337 2340 2342 2351 2352 2397 2404 2406 2409 2411 2414 2419 2430 2432 2435 2484 2486 2495 2505 2509]\n# step=0 row=63 minW=222 found cw of W=190: [5 12 16 22 32 33 86 97 98 123 171 182 183 254 255 256 260 265 266 268 269 271 274 279 283 338 373 374 421 433 436 443 456 457 458 460 522 523 533 544 591 598 605 609 624 676 677 683 689 693 703 704 711 757 762 763 789 847 857 867 869 876 882 926 934 942 945 951 959 963 1017 1022 1025 1043 1048 1100 1106 1112 1134 1180 1182 1183 1197 1198 1199 1204 1208 1266 1273 1280 1282 1347 1361 1368 1381 1441 1446 1448 1453 1455 1457 1459 1515 1516 1519 1529 1531 1539 1546 1547 1551 1552 1553 1554 1601 1602 1608 1616 1681 1684 1686 1689 1700 1702 1713 1765 1767 1790 1791 1797 1798 1800 1850 1851 1862 1867 1877 1939 1940 1952 1956 1959 1964 1971 1973 1974 2024 2028 2038 2042 2104 2108 2109 2120 2121 2123 2128 2132 2133 2139 2192 2201 2211 2215 2217 2218 2220 2271 2281 2287 2298 2304 2357 2359 2366 2381 2387 2438 2441 2442 2448 2450 2453 2455 2456 2457 2458 2462 2467 2468]\n# step=1 row=32 minW=190 found cw of W=186: [50 55 58 65 81 84 127 134 142 218 221 225 226 237 240 241 247 252 297 302 305 320 324 334 386 391 396 401 402 412 415 417 464 475 485 502 547 550 552 553 559 575 582 587 644 656 662 725 729 730 735 736 737 742 750 805 810 814 817 833 895 910 911 970 973 984 985 989 1001 1007 1051 1055 1070 1075 1079 1080 1084 1089 1160 1164 1165 1169 1171 1176 1220 1225 1226 1230 1238 1244 1249 1250 1304 1308 1316 1324 1333 1398 1402 1413 1415 1483 1491 1493 1511 1512 1557 1569 1574 1575 1580 1595 1640 1659 1666 1668 1669 1734 1736 1739 1742 1746 1753 1756 1761 1815 1818 1822 1823 1829 1834 1840 1897 1902 1905 1914 1915 1921 1927 1932 1975 1984 2004 2005 2007 2011 2013 2060 2061 2062 2064 2066 2079 2084 2086 2088 2089 2093 2164 2165 2168 2179 2181 2234 2235 2238 2253 2254 2311 2315 2321 2322 2335 2339 2350 2352 2399 2426 2480 2482 2484 2494 2501 2508 2516 2519]\n# step=1 row=1122 minW=186 found cw of W=184: [50 55 58 81 84 127 134 142 218 221 225 226 230 237 240 241 247 252 297 299 302 305 324 334 386 391 396 401 402 412 415 417 464 475 490 501 502 547 549 550 552 553 554 559 575 582 587 644 656 662 719 725 729 730 735 736 737 742 745 750 756 805 810 814 817 833 895 911 970 973 974 984 985 989 1001 1007 1051 1055 1075 1079 1080 1084 1089 1164 1169 1171 1176 1220 1225 1226 1230 1238 1244 1249 1250 1304 1308 1316 1324 1333 1398 1402 1413 1415 1483 1491 1493 1511 1512 1557 1575 1580 1595 1640 1659 1666 1668 1669 1729 1736 1739 1742 1746 1753 1756 1761 1815 1818 1819 1822 1823 1840 1897 1902 1905 1914 1915 1921 1927 1932 1975 2004 2005 2007 2011 2013 2060 2061 2062 2064 2066 2079 2086 2088 2093 2164 2165 2168 2179 2181 2234 2235 2238 2244 2253 2311 2315 2321 2322 2335 2339 2350 2352 2399 2426 2480 2482 2484 2494 2501 2508 2509 2516 2519]\n# step=3 row=24 minW=184 found cw of W=162: [45 52 56 57 58 62 68 69 74 76 78 81 83 136 142 143 155 156 233 238 321 333 381 396 402 419 466 477 497 498 501 557 562 573 581 632 633 642 657 662 663 672 716 720 724 730 731 753 891 898 908 913 916 918 923 976 983 985 988 990 996 998 1003 1053 1061 1067 1068 1092 1136 1144 1145 1151 1163 1174 1227 1232 1236 1248 1250 1305 1306 1307 1320 1331 1333 1336 1339 1388 1395 1412 1413 1418 1482 1483 1491 1502 1503 1507 1511 1555 1566 1567 1571 1576 1586 1587 1592 1593 1596 1648 1649 1660 1666 1667 1736 1752 1758 1815 1838 1840 1845 1896 1902 1903 1911 1918 1995 2005 2012 2066 2074 2097 2098 2156 2162 2173 2178 2182 2229 2253 2258 2321 2322 2323 2327 2331 2342 2343 2347 2351 2396 2407 2415 2416 2420 2421 2487 2489 2492 2497 2500 2506]\n# step=3 row=502 minW=162 found cw of W=158: [47 50 52 53 81 83 127 128 131 132 136 143 146 155 156 212 218 223 244 245 299 316 317 321 334 396 409 465 466 477 501 565 577 645 650 658 663 665 668 670 715 720 724 730 731 836 885 890 894 899 908 910 913 918 921 923 968 985 991 1003 1052 1053 1071 1076 1084 1135 1136 1140 1144 1158 1163 1168 1249 1254 1304 1316 1320 1333 1334 1340 1388 1403 1416 1426 1472 1477 1478 1481 1488 1489 1498 1505 1507 1508 1511 1563 1569 1582 1586 1592 1594 1596 1639 1642 1644 1648 1649 1650 1656 1660 1662 1667 1668 1736 1737 1740 1752 1814 1817 1834 1838 1847 1901 1927 1928 1982 2005 2006 2012 2067 2069 2074 2076 2089 2098 2154 2164 2180 2243 2253 2312 2317 2321 2327 2328 2335 2341 2348 2351 2407 2420 2429 2484 2494 2496 2500 2508 2509]\n# step=3 row=543 minW=158 found cw of W=156: [45 52 56 58 62 67 68 69 74 76 78 81 83 131 142 143 155 156 161 167 212 233 238 321 322 327 333 381 387 392 396 402 419 466 477 497 498 501 557 562 573 633 642 657 658 662 672 716 720 724 730 731 753 810 891 898 916 923 976 983 985 988 990 996 998 1003 1052 1053 1057 1061 1062 1068 1092 1144 1145 1151 1163 1168 1174 1248 1250 1305 1306 1307 1320 1331 1333 1336 1339 1388 1395 1412 1413 1418 1483 1491 1503 1507 1555 1566 1567 1571 1576 1586 1587 1592 1593 1596 1648 1649 1667 1671 1736 1752 1758 1815 1838 1840 1845 1903 1911 1918 1922 1928 1995 2005 2012 2066 2074 2085 2097 2098 2162 2173 2182 2229 2253 2258 2321 2323 2327 2331 2343 2345 2347 2351 2407 2415 2416 2420 2421 2487 2489 2492 2497 2511]\n# step=5 row=51 minW=156 found cw of W=92: [5 11 42 102 111 270 346 362 366 373 377 425 431 462 505 510 515 531 542 591 617 622 690 701 702 706 770 771 786 787 792 851 882 931 942 1010 1015 1026 1031 1111 1126 1186 1202 1285 1301 1350 1366 1386 1430 1435 1439 1455 1461 1519 1535 1552 1599 1601 1606 1614 1630 1701 1705 1710 1786 1859 1861 1875 1881 1887 1935 1961 1971 2019 2030 2034 2035 2041 2057 2104 2125 2194 2195 2201 2206 2210 2270 2285 2296 2305 2354 2359]\n# step=5 row=1149 minW=92 found cw of W=90: [5 11 42 102 270 346 362 366 373 377 425 431 462 505 510 515 542 591 617 622 690 701 702 706 760 770 771 786 787 792 851 882 931 942 1010 1015 1026 1031 1111 1126 1186 1202 1285 1301 1350 1366 1386 1430 1435 1439 1455 1461 1519 1535 1552 1599 1601 1606 1614 1630 1701 1705 1710 1786 1859 1861 1875 1881 1887 1935 1961 1971 2019 2034 2041 2057 2104 2125 2194 2195 2201 2206 2210 2270 2285 2295 2296 2305 2354 2359]\n# step=26 row=138 minW=90 found cw of W=88: [8 18 38 93 98 103 109 173 178 263 279 284 342 343 348 358 374 428 449 454 523 603 607 613 624 683 698 704 709 842 874 928 1027 1033 1182 1271 1272 1277 1298 1299 1351 1379 1443 1468 1517 1522 1531 1538 1607 1613 1622 1628 1686 1697 1708 1719 1771 1772 1793 1851 1852 1883 1947 1948 1958 1963 1968 1969 1974 2048 2054 2102 2128 2139 2191 2198 2202 2224 2277 2287 2308 2362 2367 2368 2377 2383 2462 2474]\n# step=604 row=1121 minW=88 found cw of W=84: [58 68 158 162 218 237 249 329 334 403 408 489 494 552 668 669 731 743 754 801 823 908 914 1058 1072 1077 1148 1151 1153 1158 1163 1174 1333 1395 1412 1413 1423 1482 1496 1507 1557 1562 1567 1581 1593 1641 1655 1667 1753 1759 1827 1847 1902 1913 1916 1932 1992 1996 2013 2062 2081 2098 2145 2161 2168 2173 2184 2230 2247 2252 2253 2267 2316 2333 2336 2342 2352 2412 2416 2418 2421 2482 2496 2501]\n# step=922 row=629 minW=84 found cw of W=82: [1 22 86 123 208 256 367 378 437 442 517 596 612 692 841 857 867 926 937 947 1032 1048 1128 1133 1207 1271 1281 1287 1297 1351 1377 1430 1441 1451 1462 1520 1526 1547 1552 1606 1616 1632 1691 1722 1781 1787 1792 1802 1887 1936 1940 1941 1946 1956 1972 2036 2052 2057 2121 2127 2131 2185 2196 2206 2207 2211 2212 2270 2281 2286 2291 2302 2307 2360 2361 2371 2376 2382 2440 2451 2456 2477]\n# round=1000 of 50000 minW=82\n# step=1790 row=362 minW=82 found cw of W=80: [71 72 77 152 230 304 380 412 417 486 491 502 561 582 635 650 656 661 666 721 751 884 906 981 995 1061 1141 1171 1246 1251 1308 1315 1342 1415 1419 1422 1427 1484 1485 1499 1505 1565 1570 1581 1586 1644 1648 1654 1676 1756 1810 1815 1839 1845 1911 1915 1925 1995 1999 2065 2074 2095 2096 2148 2149 2170 2228 2255 2259 2325 2336 2339 2346 2414 2419 2421 2426 2480 2515 2516]\n# step=1790 row=827 minW=80 found cw of W=76: [71 72 77 230 304 380 412 417 486 491 502 561 582 635 650 656 661 666 751 884 906 981 995 1061 1171 1246 1251 1308 1315 1342 1415 1419 1484 1485 1499 1505 1565 1570 1581 1586 1644 1645 1648 1654 1676 1756 1810 1815 1839 1845 1911 1915 1925 1995 1999 2065 2074 2095 2096 2148 2149 2170 2228 2255 2259 2325 2336 2339 2346 2414 2419 2421 2426 2480 2515 2516]\n# round=2000 of 50000 minW=76\n# round=3000 of 50000 minW=76\n# step=3218 row=232 minW=76 found cw of W=74: [37 90 95 111 175 255 292 340 424 430 431 435 457 531 537 627 771 781 844 856 882 930 966 1042 1270 1291 1301 1354 1355 1359 1430 1445 1520 1536 1541 1546 1599 1610 1630 1631 1684 1701 1706 1721 1765 1768 1775 1870 1881 1950 1961 2035 2045 2046 2104 2126 2188 2190 2274 2280 2295 2301 2306 2375 2376 2385 2390 2391 2439 2450 2459 2461 2465 2476]\n# step=3504 row=451 minW=74 found cw of W=72: [8 99 184 199 279 290 294 359 374 423 460 519 523 603 604 630 683 795 859 869 928 1039 1215 1278 1289 1294 1298 1363 1367 1369 1432 1453 1454 1523 1527 1602 1603 1634 1638 1688 1709 1719 1778 1783 1787 1789 1793 1852 1858 1874 1878 1879 1938 1963 1974 2022 2102 2118 2129 2192 2207 2272 2283 2287 2299 2389 2394 2442 2443 2447 2463 2469]\n# round=4000 of 50000 minW=72\n# round=5000 of 50000 minW=72\n# round=6000 of 50000 minW=72\n# round=7000 of 50000 minW=72\n# round=8000 of 50000 minW=72\n# round=9000 of 50000 minW=72\n# round=10000 of 50000 minW=72\n# round=11000 of 50000 minW=72\n# round=12000 of 50000 minW=72\n# round=13000 of 50000 minW=72\n# round=14000 of 50000 minW=72\n# round=15000 of 50000 minW=72\n# round=16000 of 50000 minW=72\n# round=17000 of 50000 minW=72\n# round=18000 of 50000 minW=72\n# round=19000 of 50000 minW=72\n# round=20000 of 50000 minW=72\n# round=21000 of 50000 minW=72\n# round=22000 of 50000 minW=72\n# round=23000 of 50000 minW=72\n# round=24000 of 50000 minW=72\n# round=25000 of 50000 minW=72\n# round=26000 of 50000 minW=72\n# round=27000 of 50000 minW=72\n# round=28000 of 50000 minW=72\n# round=29000 of 50000 minW=72\n# round=30000 of 50000 minW=72\n# round=31000 of 50000 minW=72\n# round=32000 of 50000 minW=72\n# round=33000 of 50000 minW=72\n# round=34000 of 50000 minW=72\n# round=35000 of 50000 minW=72\n# round=36000 of 50000 minW=72\n# step=36130 row=156 minW=72 found cw of W=68: [73 78 142 295 301 306 317 392 397 402 486 551 637 812 817 822 828 902 906 923 982 1051 1146 1316 1341 1343 1410 1417 1421 1475 1486 1490 1555 1587 1639 1641 1662 1666 1678 1741 1757 1810 1811 1821 1826 1836 1841 1907 1990 2002 2082 2086 2098 2161 2166 2181 2231 2257 2315 2330 2332 2405 2406 2422 2432 2479 2506 2518]\n# round=37000 of 50000 minW=68\n# round=38000 of 50000 minW=68\n# round=39000 of 50000 minW=68\n# round=40000 of 50000 minW=68\n# round=41000 of 50000 minW=68\n# round=42000 of 50000 minW=68\n# round=43000 of 50000 minW=68\n# round=44000 of 50000 minW=68\n# round=45000 of 50000 minW=68\n# round=46000 of 50000 minW=68\n# round=47000 of 50000 minW=68\n# round=48000 of 50000 minW=68\n# round=49000 of 50000 minW=68\n# round=50000 of 50000 minW=68\nRW algorithm upper bound for the distance d=68\n</t>
  </si>
  <si>
    <t>[[2592,8,36]]</t>
  </si>
  <si>
    <t># step=0 row=0 minW=2593 found cw of W=242: [1 8 15 17 20 29 74 76 80 86 87 88 90 91 101 102 104 106 108 145 153 154 161 167 173 175 220 223 224 228 229 232 240 242 246 289 296 298 300 310 312 317 319 363 372 385 442 446 449 458 462 508 515 517 525 530 539 580 582 585 604 609 612 660 661 664 680 738 750 755 793 803 822 867 872 875 879 882 884 891 894 896 943 945 951 955 961 966 967 969 971 1026 1030 1038 1044 1081 1084 1088 1089 1092 1093 1096 1098 1107 1110 1154 1157 1158 1164 1186 1187 1232 1233 1234 1239 1242 1243 1250 1255 1301 1303 1311 1315 1318 1319 1320 1325 1326 1328 1331 1370 1373 1376 1382 1385 1387 1390 1403 1441 1443 1445 1449 1456 1464 1470 1475 1518 1519 1524 1531 1587 1593 1594 1596 1599 1601 1610 1663 1664 1676 1683 1737 1742 1750 1751 1753 1754 1817 1818 1823 1825 1835 1883 1885 1892 1897 1900 1902 1904 1946 1964 1971 2021 2026 2029 2038 2043 2047 2049 2096 2102 2105 2107 2117 2118 2123 2163 2178 2179 2237 2244 2246 2247 2249 2254 2255 2258 2259 2263 2266 2267 2268 2320 2330 2377 2381 2383 2387 2393 2395 2397 2407 2449 2452 2456 2461 2463 2466 2468 2472 2473 2478 2480 2522 2523 2526 2536 2537 2540 2550 2552 2555]\n# step=0 row=16 minW=242 found cw of W=240: [5 6 15 17 26 29 30 74 80 85 87 94 101 154 155 158 161 167 169 175 180 218 222 224 230 244 245 246 290 293 294 296 303 304 310 312 313 321 324 363 370 372 379 385 392 393 394 445 452 453 461 465 508 516 517 525 526 590 591 596 597 612 656 661 669 670 674 678 680 683 726 733 744 746 755 803 805 808 816 825 866 876 882 883 884 890 896 897 898 946 961 964 966 969 1012 1022 1029 1031 1033 1037 1038 1043 1084 1085 1088 1093 1109 1110 1154 1155 1156 1157 1158 1164 1165 1169 1183 1229 1237 1243 1249 1250 1297 1303 1306 1314 1318 1319 1320 1324 1325 1326 1328 1331 1371 1376 1382 1390 1392 1393 1397 1403 1404 1448 1464 1469 1470 1518 1519 1520 1526 1529 1534 1537 1594 1597 1601 1610 1657 1664 1667 1674 1676 1678 1681 1683 1686 1731 1742 1753 1754 1755 1757 1811 1813 1818 1819 1829 1835 1880 1886 1897 1904 1961 1978 2019 2041 2043 2048 2051 2105 2110 2123 2124 2170 2181 2190 2195 2233 2234 2235 2237 2244 2246 2248 2249 2254 2257 2258 2263 2307 2310 2335 2380 2382 2386 2387 2393 2405 2410 2449 2452 2456 2457 2458 2459 2461 2462 2463 2467 2472 2473 2482 2521 2522 2533 2540 2545 2550 2551]\n# step=0 row=43 minW=240 found cw of W=230: [4 6 20 26 74 76 80 88 90 91 92 94 95 96 152 155 165 167 180 217 220 222 224 232 240 246 291 294 300 301 319 379 380 385 388 391 393 394 436 446 449 450 452 453 461 462 464 505 508 515 516 517 519 525 530 539 590 592 596 597 604 612 656 660 661 674 676 678 680 724 736 738 741 744 746 803 822 866 877 882 883 890 891 896 897 951 953 954 955 957 961 967 971 1012 1026 1029 1037 1081 1085 1088 1109 1110 1154 1157 1158 1163 1165 1169 1177 1183 1187 1237 1245 1258 1297 1303 1305 1306 1311 1314 1325 1327 1381 1382 1385 1387 1394 1404 1441 1456 1458 1464 1468 1469 1470 1475 1517 1518 1520 1523 1587 1594 1597 1601 1602 1610 1618 1657 1662 1663 1664 1674 1676 1678 1681 1737 1739 1748 1750 1751 1755 1760 1764 1811 1817 1824 1829 1832 1887 1888 1898 1901 1902 1904 1961 1963 1964 1970 1978 2033 2037 2038 2041 2043 2047 2051 2102 2105 2107 2110 2111 2118 2123 2164 2176 2178 2179 2233 2239 2241 2242 2247 2248 2249 2253 2256 2257 2263 2307 2320 2321 2324 2330 2383 2397 2405 2407 2408 2449 2456 2457 2459 2466 2472 2480 2521 2522 2523 2541 2555]\n# step=0 row=147 minW=230 found cw of W=222: [38 39 46 52 55 56 57 62 66 67 71 72 110 113 114 126 134 136 137 181 188 190 191 205 209 211 256 270 276 282 284 288 325 328 330 334 347 353 403 406 411 427 431 432 476 477 487 490 500 502 503 545 547 557 571 613 616 623 624 629 647 692 698 711 715 716 764 765 766 771 776 831 844 845 852 859 862 907 910 912 915 973 978 1000 1002 1049 1052 1063 1064 1076 1079 1118 1132 1134 1197 1216 1219 1220 1262 1266 1272 1281 1294 1296 1338 1343 1344 1355 1356 1362 1367 1409 1411 1425 1434 1436 1438 1478 1480 1482 1489 1492 1493 1499 1507 1553 1560 1566 1579 1580 1630 1636 1637 1638 1653 1656 1694 1695 1703 1708 1712 1715 1718 1724 1727 1728 1766 1769 1774 1775 1778 1790 1791 1844 1846 1855 1869 1911 1912 1921 1925 1936 1939 1994 1998 2011 2012 2013 2014 2016 2055 2058 2059 2064 2077 2081 2087 2088 2128 2130 2135 2150 2155 2159 2207 2212 2213 2214 2217 2219 2223 2227 2231 2273 2275 2284 2290 2300 2304 2341 2342 2346 2352 2356 2358 2365 2373 2417 2418 2441 2442 2490 2498 2499 2502 2512 2518 2557 2563 2579 2584 2587]\n# step=0 row=211 minW=222 found cw of W=216: [2 6 8 10 15 20 85 87 88 92 102 106 154 158 165 180 217 218 223 224 228 232 240 242 245 246 289 291 300 301 303 313 317 319 321 365 370 379 388 391 392 433 438 442 447 453 461 505 508 515 516 517 519 539 580 582 590 594 604 650 660 669 676 683 723 741 756 805 808 816 822 823 875 877 884 892 893 953 954 957 961 964 966 969 971 1013 1015 1019 1026 1029 1030 1033 1041 1043 1044 1081 1089 1098 1103 1186 1187 1229 1233 1234 1237 1239 1242 1243 1249 1250 1255 1258 1305 1306 1317 1319 1320 1324 1326 1327 1328 1373 1375 1382 1389 1393 1404 1443 1445 1449 1450 1464 1468 1470 1518 1519 1526 1537 1587 1593 1596 1597 1599 1610 1618 1662 1663 1676 1686 1734 1757 1759 1817 1818 1819 1829 1832 1835 1880 1887 1888 1892 1898 1904 1963 1972 2019 2029 2033 2047 2048 2089 2096 2106 2120 2123 2163 2164 2178 2181 2190 2195 2235 2238 2239 2241 2242 2246 2249 2254 2255 2256 2263 2266 2307 2315 2334 2335 2380 2383 2387 2395 2405 2411 2452 2457 2461 2468 2472 2478 2479 2537 2539 2541 2545 2551]\n# step=0 row=365 minW=216 found cw of W=210: [5 17 18 20 26 76 80 84 87 88 90 91 94 95 98 101 104 106 154 158 161 165 167 169 180 220 222 232 245 290 291 304 312 319 363 372 379 380 385 388 391 393 394 445 446 449 452 460 505 508 517 519 525 526 582 590 591 594 596 597 604 656 661 664 670 676 680 721 723 733 744 808 811 825 867 875 876 879 882 890 891 892 893 896 898 951 961 966 1011 1022 1029 1038 1042 1043 1081 1083 1084 1085 1093 1098 1101 1103 1107 1109 1154 1155 1156 1164 1187 1237 1306 1311 1314 1318 1320 1325 1326 1328 1371 1382 1392 1403 1443 1448 1456 1458 1468 1469 1470 1519 1520 1526 1529 1534 1537 1587 1596 1597 1601 1610 1657 1664 1676 1678 1682 1683 1734 1742 1748 1751 1809 1813 1819 1825 1832 1880 1887 1888 1898 1902 1904 1961 1964 1971 1972 1978 2021 2023 2029 2034 2041 2043 2102 2106 2111 2120 2123 2124 2179 2181 2190 2233 2247 2249 2258 2263 2268 2307 2310 2321 2324 2331 2335 2377 2385 2386 2390 2393 2407 2408 2456 2458 2462 2482 2521 2523 2533 2537 2541 2555]\n# step=0 row=389 minW=210 found cw of W=196: [38 46 51 52 55 62 109 121 122 128 136 140 187 189 191 199 201 208 213 261 267 271 282 283 284 288 336 350 398 406 427 432 472 477 486 487 490 497 503 549 551 552 557 568 569 571 613 624 629 634 690 697 698 711 713 716 719 760 766 776 778 786 831 833 842 851 854 858 862 910 917 919 920 923 927 932 935 978 1000 1055 1059 1062 1063 1067 1077 1079 1118 1120 1127 1149 1204 1212 1216 1220 1222 1224 1274 1281 1282 1289 1293 1343 1357 1358 1405 1411 1416 1421 1425 1427 1436 1437 1438 1487 1500 1502 1510 1557 1567 1568 1573 1627 1637 1724 1775 1778 1789 1791 1792 1796 1855 1856 1912 1913 1916 1917 1923 1939 1992 1997 2007 2011 2012 2013 2014 2015 2053 2058 2059 2074 2080 2081 2088 2130 2142 2155 2156 2159 2201 2205 2210 2212 2216 2220 2221 2222 2223 2227 2229 2277 2285 2300 2341 2347 2361 2365 2369 2373 2418 2431 2432 2434 2438 2441 2442 2499 2504 2506 2508 2514 2515 2518 2569 2584 2587 2592]\n# step=1 row=70 minW=196 found cw of W=172: [41 47 50 111 116 126 127 131 133 135 144 181 185 203 208 276 281 285 287 326 334 336 339 342 346 349 401 408 417 426 430 431 488 542 556 619 633 635 639 686 769 773 774 778 784 792 833 838 904 912 919 920 922 926 932 933 934 975 1003 1046 1047 1056 1058 1065 1068 1072 1078 1137 1138 1142 1144 1151 1152 1192 1193 1196 1203 1205 1266 1270 1276 1292 1334 1335 1339 1343 1345 1351 1353 1365 1406 1408 1411 1414 1415 1418 1419 1420 1490 1498 1500 1551 1560 1564 1569 1575 1624 1630 1634 1637 1648 1654 1656 1695 1697 1705 1718 1728 1772 1787 1791 1858 1859 1862 1872 1919 1943 1984 1994 1996 2004 2006 2054 2059 2061 2063 2081 2085 2087 2126 2143 2145 2149 2153 2198 2210 2212 2224 2226 2230 2231 2232 2280 2295 2297 2303 2356 2430 2435 2438 2443 2444 2494 2495 2512 2515 2558 2568 2570 2575 2578 2589]\n# step=6 row=471 minW=172 found cw of W=150: [48 111 117 131 133 186 192 198 199 211 212 254 263 272 288 325 332 341 347 357 402 432 479 493 549 554 557 563 571 616 617 618 624 631 642 644 685 707 709 711 768 770 788 789 833 852 901 902 906 909 915 916 919 920 931 933 992 1059 1061 1065 1067 1069 1075 1136 1144 1146 1196 1197 1208 1209 1213 1263 1283 1295 1334 1354 1356 1364 1410 1411 1412 1413 1421 1427 1433 1435 1437 1478 1489 1551 1557 1566 1569 1573 1576 1629 1655 1698 1700 1712 1718 1720 1724 1726 1773 1777 1791 1795 1848 1869 1872 1910 1919 1922 1932 1933 1942 1986 2003 2007 2011 2063 2064 2080 2130 2135 2139 2140 2141 2145 2147 2154 2207 2209 2218 2222 2226 2294 2302 2349 2357 2363 2420 2430 2448 2501 2561 2573 2576 2589]\n# step=41 row=59 minW=150 found cw of W=120: [111 118 121 123 125 135 137 143 184 185 188 196 198 212 214 277 281 285 354 398 400 403 407 408 417 429 430 475 485 491 495 542 544 548 558 564 570 639 715 762 770 792 833 835 845 847 849 853 857 864 908 924 978 1006 1007 1053 1067 1069 1195 1201 1209 1263 1269 1277 1291 1292 1487 1508 1509 1512 1561 1567 1579 1642 1650 1719 1727 1765 1777 1779 1787 1799 1838 1842 1858 1860 1918 1921 1931 1933 1944 2010 2080 2086 2133 2141 2147 2198 2222 2226 2273 2362 2370 2418 2434 2446 2448 2485 2489 2494 2495 2501 2507 2513 2558 2561 2564 2571 2574 2584]\n# step=257 row=240 minW=120 found cw of W=116: [45 63 128 142 144 186 195 254 271 280 282 286 326 344 407 413 471 484 498 502 545 553 557 566 571 630 689 712 715 761 770 774 788 792 836 838 839 864 907 913 916 975 983 991 997 1121 1127 1141 1143 1192 1198 1200 1209 1214 1220 1222 1283 1338 1351 1360 1419 1437 1485 1509 1560 1562 1565 1574 1578 1582 1628 1636 1646 1650 1651 1728 1772 1854 1855 1867 1868 1910 1914 1916 1919 1928 1942 1986 1991 1995 2054 2072 2126 2140 2204 2205 2215 2218 2221 2223 2285 2286 2289 2354 2362 2371 2421 2431 2498 2500 2504 2518 2559 2562 2581 2585]\n# step=268 row=890 minW=116 found cw of W=104: [12 16 18 20 22 32 34 36 73 81 83 93 95 103 105 150 168 170 226 242 248 295 299 303 313 317 368 386 388 394 433 453 455 530 584 602 649 657 659 677 679 681 736 738 742 750 793 803 821 865 940 960 1027 1039 1041 1102 1114 1183 1239 1247 1259 1308 1316 1330 1371 1373 1381 1395 1397 1452 1585 1605 1607 1613 1662 1674 1684 1692 1745 1747 1753 1816 1824 1949 1963 1967 2026 2038 2042 2046 2091 2123 2186 2244 2266 2307 2321 2333 2388 2396 2408 2459 2469 2471]\n# step=732 row=3 minW=104 found cw of W=82: [8 9 17 26 31 81 85 86 162 176 226 240 244 317 439 444 529 580 670 725 878 879 883 943 947 960 964 969 1010 1020 1024 1028 1037 1101 1115 1156 1173 1178 1182 1249 1259 1320 1388 1447 1460 1523 1528 1537 1587 1605 1614 1664 1691 1741 1746 1805 1894 1908 1945 1949 1958 1963 1967 2022 2023 2026 2027 2040 2099 2103 2104 2167 2176 2195 2308 2322 2326 2380 2385 2458 2543 2547]\n# round=1000 of 50000 minW=82\n# step=1356 row=162 minW=82 found cw of W=76: [44 48 52 66 253 266 271 275 325 339 475 484 488 501 551 555 569 620 628 642 833 901 910 919 1004 1059 1064 1077 1131 1200 1208 1222 1267 1268 1286 1346 1350 1364 1419 1496 1555 1564 1573 1641 1649 1700 1708 1722 1772 1777 1790 1799 1849 1863 1912 1913 1940 1989 1993 2144 2157 2211 2212 2216 2221 2348 2361 2366 2420 2425 2429 2442 2492 2496 2502 2506]\n# round=2000 of 50000 minW=76\n# step=2813 row=271 minW=76 found cw of W=66: [37 51 55 60 110 119 191 204 209 213 345 359 404 413 418 431 545 563 694 698 712 716 767 785 848 975 1001 1048 1065 1066 1079 1335 1343 1353 1412 1434 1493 1511 1624 1625 1643 1646 1710 1720 1847 1860 1865 1869 1919 2014 2145 2150 2154 2159 2200 2222 2277 2299 2345 2363 2436 2445 2495 2513 2572 2590]\n# round=3000 of 50000 minW=66\n# round=4000 of 50000 minW=66\n# round=5000 of 50000 minW=66\n# round=6000 of 50000 minW=66\n# round=7000 of 50000 minW=66\n# round=8000 of 50000 minW=66\n# round=9000 of 50000 minW=66\n# step=9233 row=11 minW=66 found cw of W=62: [15 19 87 101 164 165 169 228 232 242 250 373 378 386 391 455 463 514 591 595 654 663 667 676 744 799 885 889 962 1084 1102 1225 1312 1317 1321 1326 1389 1403 1453 1458 1471 1534 1544 1594 1675 1729 1747 1757 1820 1893 1897 1956 1960 2028 2105 2173 2191 2314 2327 2404 2541 2545]\n# step=9233 row=328 minW=62 found cw of W=58: [19 87 101 164 165 169 228 232 242 250 373 378 386 391 455 463 595 654 658 663 667 676 744 799 885 889 962 1084 1102 1225 1303 1312 1321 1326 1389 1403 1453 1458 1471 1534 1544 1675 1729 1747 1757 1820 1879 1897 1956 1960 2028 2105 2173 2191 2327 2404 2541 2545]\n# step=9281 row=655 minW=58 found cw of W=54: [2 10 24 78 83 105 219 228 246 296 318 445 509 527 531 540 672 681 730 731 744 894 953 957 1021 1089 1157 1166 1257 1299 1304 1308 1375 1385 1598 1602 1752 1811 1829 1974 2019 2028 2033 2046 2101 2169 2178 2255 2259 2337 2459 2468 2472 2481]\n# round=10000 of 50000 minW=54\n# round=11000 of 50000 minW=54\n# round=12000 of 50000 minW=54\n# round=13000 of 50000 minW=54\n# round=14000 of 50000 minW=54\n# round=15000 of 50000 minW=54\n# round=16000 of 50000 minW=54\n# round=17000 of 50000 minW=54\n# round=18000 of 50000 minW=54\n# round=19000 of 50000 minW=54\n# round=20000 of 50000 minW=54\n# round=21000 of 50000 minW=54\n# round=22000 of 50000 minW=54\n# round=23000 of 50000 minW=54\n# round=24000 of 50000 minW=54\n# round=25000 of 50000 minW=54\n# round=26000 of 50000 minW=54\n# round=27000 of 50000 minW=54\n# round=28000 of 50000 minW=54\n# round=29000 of 50000 minW=54\n# round=30000 of 50000 minW=54\n# round=31000 of 50000 minW=54\n# round=32000 of 50000 minW=54\n# round=33000 of 50000 minW=54\n# step=33419 row=715 minW=54 found cw of W=50: [38 123 137 187 205 214 255 472 486 490 504 558 613 631 685 766 780 912 916 930 1075 1134 1201 1216 1261 1340 1366 1411 1439 1557 1693 1711 1720 1770 1788 1846 1860 1983 1987 2155 2214 2232 2296 2341 2373 2413 2431 2559 2563 2590]\n# round=34000 of 50000 minW=50\n# round=35000 of 50000 minW=50\n# round=36000 of 50000 minW=50\n# round=37000 of 50000 minW=50\n# round=38000 of 50000 minW=50\n# round=39000 of 50000 minW=50\n# round=40000 of 50000 minW=50\n# round=41000 of 50000 minW=50\n# round=42000 of 50000 minW=50\n# round=43000 of 50000 minW=50\n# round=44000 of 50000 minW=50\n# round=45000 of 50000 minW=50\n# round=46000 of 50000 minW=50\n# round=47000 of 50000 minW=50\n# round=48000 of 50000 minW=50\n# round=49000 of 50000 minW=50\n# round=50000 of 50000 minW=50\nRW algorithm upper bound for the distance d=50\n</t>
  </si>
  <si>
    <t>[[3024,4,84]]</t>
  </si>
  <si>
    <t># step=0 row=0 minW=3025 found cw of W=624: [2 18 19 20 23 24 26 27 33 38 39 41 51 56 58 61 70 71 76 79 84 89 91 94 96 100 101 119 124 127 131 136 139 145 148 149 157 159 162 163 166 176 177 181 184 202 204 216 217 223 224 235 240 242 245 249 253 255 259 266 267 274 276 288 291 298 305 309 321 339 340 341 343 346 348 349 356 359 364 380 387 390 392 399 409 410 412 418 421 430 440 456 462 467 472 480 484 486 491 497 499 502 509 512 516 520 522 523 536 551 553 559 569 578 586 591 592 598 599 605 619 629 630 633 643 649 658 660 665 680 685 689 696 697 703 707 709 712 718 719 721 728 730 733 735 743 744 755 764 767 773 774 778 780 781 798 799 803 804 809 816 822 828 834 844 848 849 857 858 859 860 861 865 866 878 879 881 889 890 892 895 899 901 902 903 906 908 910 913 915 917 918 920 928 936 945 947 951 954 958 959 962 973 977 979 981 984 985 987 999 1000 1006 1008 1009 1018 1024 1031 1040 1054 1061 1064 1080 1083 1087 1090 1098 1100 1108 1111 1119 1123 1124 1128 1129 1130 1135 1140 1143 1146 1148 1154 1157 1165 1166 1174 1178 1179 1209 1218 1224 1226 1231 1232 1234 1235 1237 1241 1243 1250 1252 1259 1265 1268 1277 1278 1279 1286 1296 1297 1299 1305 1306 1309 1327 1351 1368 1382 1392 1396 1399 1400 1405 1406 1409 1417 1422 1424 1426 1430 1433 1434 1442 1453 1454 1460 1470 1475 1478 1482 1483 1489 1499 1510 1512 1515 1516 1521 1529 1531 1537 1541 1550 1552 1557 1568 1575 1577 1579 1588 1595 1607 1618 1622 1624 1631 1635 1637 1639 1640 1641 1642 1651 1652 1659 1662 1667 1685 1690 1691 1695 1698 1726 1729 1730 1732 1738 1739 1745 1749 1753 1757 1760 1763 1773 1774 1776 1778 1780 1781 1783 1784 1787 1793 1802 1805 1807 1808 1811 1813 1818 1827 1828 1833 1836 1854 1855 1858 1861 1865 1871 1873 1874 1877 1878 1879 1880 1885 1887 1891 1892 1894 1904 1910 1931 1932 1941 1943 1945 1950 1954 1962 1975 1976 1977 1986 1987 1988 1990 1991 1993 1997 1998 2000 2005 2007 2024 2033 2034 2036 2041 2046 2057 2068 2075 2076 2081 2082 2083 2086 2092 2094 2100 2103 2106 2111 2116 2119 2126 2128 2130 2132 2135 2144 2145 2146 2147 2152 2153 2156 2157 2158 2168 2169 2186 2194 2201 2203 2211 2214 2215 2216 2224 2237 2238 2239 2242 2244 2247 2250 2254 2257 2262 2269 2271 2280 2282 2285 2288 2289 2290 2291 2299 2300 2301 2309 2312 2316 2318 2320 2326 2327 2330 2336 2341 2347 2352 2362 2369 2370 2374 2375 2380 2382 2385 2387 2405 2413 2415 2419 2428 2437 2438 2441 2450 2452 2455 2461 2462 2463 2476 2482 2492 2493 2496 2508 2512 2513 2515 2522 2523 2526 2531 2535 2544 2550 2565 2571 2581 2585 2590 2592 2594 2597 2598 2604 2606 2607 2616 2619 2621 2626 2633 2637 2646 2648 2650 2654 2657 2676 2682 2685 2686 2693 2697 2701 2718 2732 2735 2739 2747 2749 2752 2753 2758 2760 2771 2778 2787 2789 2791 2792 2793 2806 2807 2809 2810 2813 2817 2819 2825 2831 2833 2842 2845 2849 2858 2862 2867 2874 2881 2886 2891 2905 2908 2911 2912 2917 2921 2922 2931 2949 2967 2975 2982 2993 2995 2997 3001 3003 3004 3010 3017 3023 3024]\n# step=0 row=1 minW=624 found cw of W=614: [1 5 6 9 16 18 20 23 24 27 33 43 50 56 61 63 68 70 84 94 96 100 101 117 119 124 130 136 148 149 157 160 162 163 165 175 177 184 185 211 224 230 240 249 255 271 274 275 282 284 287 291 298 310 318 323 327 328 329 337 338 340 341 349 356 364 376 378 389 390 392 396 397 399 400 413 418 429 430 433 434 437 453 456 460 466 467 475 482 484 491 497 499 502 512 516 523 527 546 552 557 563 571 573 575 576 578 580 583 586 587 591 593 598 599 602 605 630 631 646 649 653 658 660 661 668 669 678 679 680 685 693 701 706 709 712 713 716 718 721 729 730 738 744 755 767 770 773 774 776 778 781 783 790 795 797 798 805 808 812 819 821 834 835 844 845 850 852 857 858 860 861 865 866 875 879 880 889 892 895 899 901 902 907 910 915 916 921 936 941 942 943 947 949 951 959 968 969 971 973 977 985 988 997 1004 1006 1009 1010 1012 1017 1023 1031 1033 1091 1097 1100 1104 1105 1113 1115 1117 1118 1119 1124 1127 1130 1141 1143 1145 1157 1166 1172 1173 1179 1183 1197 1211 1219 1226 1232 1234 1235 1237 1241 1244 1251 1264 1265 1268 1270 1271 1278 1283 1284 1286 1294 1296 1299 1304 1305 1306 1307 1314 1315 1317 1324 1329 1348 1366 1372 1379 1388 1403 1406 1411 1422 1426 1430 1435 1453 1454 1455 1460 1462 1466 1474 1475 1478 1481 1487 1499 1508 1510 1511 1512 1516 1518 1519 1526 1537 1538 1539 1543 1545 1550 1561 1575 1577 1579 1582 1593 1601 1603 1609 1610 1618 1622 1627 1629 1631 1633 1635 1637 1640 1642 1651 1659 1662 1689 1690 1691 1695 1697 1710 1723 1726 1729 1738 1739 1742 1745 1750 1752 1755 1757 1761 1762 1766 1768 1769 1773 1776 1781 1789 1790 1807 1808 1818 1820 1824 1825 1828 1830 1831 1833 1840 1841 1842 1852 1856 1858 1859 1861 1867 1876 1877 1878 1880 1887 1890 1894 1904 1917 1926 1931 1932 1940 1941 1943 1945 1946 1950 1951 1954 1962 1976 1977 1988 1991 1994 1997 1998 2005 2007 2015 2019 2023 2033 2039 2040 2041 2051 2062 2070 2075 2079 2081 2082 2100 2105 2108 2110 2111 2113 2116 2119 2120 2125 2126 2127 2130 2132 2136 2146 2147 2152 2153 2154 2155 2158 2159 2161 2165 2168 2174 2179 2191 2200 2215 2216 2219 2223 2233 2234 2238 2239 2241 2243 2247 2250 2254 2260 2262 2266 2271 2276 2280 2282 2287 2288 2289 2290 2297 2299 2300 2306 2313 2315 2323 2329 2335 2347 2351 2361 2362 2368 2369 2375 2380 2385 2389 2392 2394 2400 2403 2405 2406 2408 2413 2415 2419 2420 2421 2438 2450 2455 2457 2458 2461 2462 2464 2470 2477 2486 2492 2496 2498 2507 2509 2513 2515 2524 2531 2532 2537 2544 2550 2551 2557 2559 2563 2565 2570 2572 2576 2587 2597 2612 2619 2626 2634 2637 2641 2648 2650 2653 2676 2678 2680 2686 2696 2701 2706 2719 2736 2738 2739 2753 2759 2762 2772 2778 2789 2791 2792 2797 2798 2799 2800 2809 2810 2819 2824 2825 2827 2849 2858 2859 2862 2867 2869 2870 2872 2874 2879 2881 2882 2886 2894 2904 2905 2908 2909 2912 2917 2921 2930 2931 2941 2948 2949 2953 2954 2967 2974 2975 2982 2983 2989 2993 2994 3001 3003 3024]\n# step=0 row=3 minW=614 found cw of W=588: [5 9 10 18 33 39 41 43 46 53 56 58 71 76 91 94 97 98 105 112 119 124 125 130 135 139 147 148 149 159 162 163 167 175 176 177 179 183 202 204 210 225 230 232 235 237 239 242 245 253 258 259 266 267 271 274 278 284 287 288 294 304 305 306 309 310 318 319 323 328 329 338 341 343 348 349 351 364 366 376 378 380 383 390 392 399 413 429 445 458 460 464 466 476 479 482 487 491 497 498 499 516 525 527 553 571 578 586 591 592 598 599 602 605 613 621 629 630 637 643 647 649 653 654 655 657 658 660 661 662 668 679 680 685 689 696 697 706 707 709 713 718 721 728 730 733 755 770 773 778 779 781 790 795 797 798 801 805 808 809 816 820 821 824 829 830 831 834 835 843 845 849 852 858 859 860 865 868 874 875 877 880 890 894 895 901 902 907 908 915 936 941 942 949 951 954 955 958 971 972 973 974 979 980 981 987 992 1008 1009 1018 1022 1031 1037 1040 1076 1083 1090 1098 1100 1108 1111 1114 1115 1117 1122 1127 1128 1134 1135 1140 1144 1146 1148 1151 1158 1164 1165 1173 1178 1204 1206 1208 1218 1224 1231 1234 1235 1237 1239 1250 1252 1256 1257 1259 1262 1272 1277 1283 1297 1315 1328 1329 1339 1346 1348 1351 1352 1362 1366 1372 1379 1389 1396 1400 1409 1416 1417 1422 1424 1430 1432 1435 1455 1458 1460 1462 1466 1470 1473 1475 1508 1515 1526 1561 1564 1577 1579 1593 1603 1607 1609 1610 1615 1618 1627 1630 1631 1635 1636 1640 1644 1651 1653 1659 1662 1663 1667 1672 1695 1697 1720 1723 1734 1738 1739 1742 1745 1749 1750 1752 1755 1757 1760 1761 1762 1768 1769 1773 1774 1778 1780 1784 1787 1789 1796 1802 1805 1806 1807 1808 1813 1817 1824 1825 1827 1831 1836 1837 1840 1842 1854 1855 1858 1867 1871 1872 1874 1876 1879 1889 1894 1906 1931 1932 1941 1945 1950 1959 1961 1962 1966 1975 1976 1987 2000 2007 2023 2026 2033 2039 2041 2042 2046 2048 2061 2065 2067 2068 2078 2079 2081 2094 2098 2100 2106 2111 2116 2120 2123 2125 2126 2128 2130 2132 2135 2145 2146 2148 2153 2157 2158 2159 2160 2161 2164 2167 2168 2179 2185 2186 2191 2195 2201 2202 2204 2211 2214 2215 2219 2222 2231 2237 2239 2242 2254 2256 2257 2260 2262 2266 2271 2272 2275 2276 2280 2285 2287 2289 2297 2299 2300 2312 2315 2316 2320 2328 2329 2330 2335 2336 2344 2347 2361 2368 2369 2370 2373 2382 2385 2394 2403 2406 2419 2437 2438 2448 2450 2457 2463 2475 2476 2482 2487 2488 2492 2493 2498 2508 2512 2514 2515 2537 2543 2550 2552 2560 2565 2569 2574 2576 2587 2592 2606 2610 2614 2619 2626 2646 2647 2648 2653 2654 2664 2666 2678 2693 2696 2697 2701 2714 2718 2719 2725 2732 2735 2736 2738 2739 2747 2748 2752 2753 2758 2760 2762 2764 2769 2778 2790 2791 2792 2793 2797 2799 2800 2803 2809 2813 2817 2825 2827 2838 2845 2854 2858 2869 2870 2872 2879 2891 2905 2917 2921 2930 2937 2941 2945 2946 2974 2982 2989 2995 3001 3003 3007 3009 3017 3020]\n# step=0 row=14 minW=588 found cw of W=584: [14 16 18 23 24 32 39 50 51 58 61 68 70 71 76 84 89 94 101 117 127 130 149 157 165 175 176 177 181 185 202 204 217 230 241 255 258 264 267 271 274 275 276 278 282 287 294 298 304 305 309 310 321 337 339 343 346 348 351 359 376 377 387 389 390 392 396 399 409 410 418 427 434 437 440 445 456 458 466 469 472 482 486 498 501 509 512 516 523 525 527 536 553 559 563 576 586 591 598 599 605 611 616 619 632 653 654 657 661 668 669 676 680 683 689 693 696 697 703 707 711 716 718 719 721 723 729 735 737 743 744 767 776 778 780 781 783 795 804 822 828 829 831 835 845 848 849 852 855 860 861 866 868 873 874 877 878 881 888 890 895 899 902 907 908 915 917 921 935 941 942 943 951 954 959 968 973 979 982 984 992 995 1000 1004 1012 1015 1017 1018 1024 1033 1034 1040 1061 1076 1083 1090 1102 1105 1111 1113 1114 1115 1117 1118 1122 1124 1128 1130 1140 1141 1145 1146 1147 1148 1153 1154 1161 1164 1165 1171 1173 1183 1204 1206 1208 1218 1219 1232 1234 1237 1239 1240 1243 1244 1249 1252 1253 1256 1257 1259 1264 1272 1283 1286 1297 1302 1304 1305 1307 1314 1317 1324 1328 1348 1352 1353 1366 1368 1374 1383 1392 1399 1400 1402 1403 1409 1414 1416 1422 1430 1454 1460 1462 1471 1475 1477 1478 1481 1483 1484 1487 1489 1493 1500 1501 1508 1512 1515 1518 1521 1535 1537 1538 1541 1545 1550 1552 1557 1561 1564 1575 1577 1581 1595 1603 1607 1609 1618 1622 1627 1629 1633 1640 1642 1651 1653 1659 1663 1689 1690 1691 1695 1697 1698 1699 1710 1723 1725 1726 1739 1748 1749 1753 1755 1757 1760 1762 1763 1768 1776 1778 1784 1791 1793 1807 1808 1813 1820 1824 1825 1827 1828 1835 1837 1840 1841 1848 1849 1852 1854 1862 1867 1872 1873 1874 1876 1879 1887 1890 1894 1895 1904 1906 1917 1926 1939 1940 1945 1950 1952 1954 1959 1961 1966 1986 1987 1988 1990 1993 2000 2005 2014 2015 2016 2024 2026 2033 2046 2048 2050 2057 2061 2068 2070 2074 2079 2082 2083 2092 2094 2105 2120 2125 2126 2127 2128 2146 2147 2148 2152 2154 2155 2158 2159 2160 2161 2164 2165 2168 2185 2186 2191 2195 2200 2201 2204 2211 2216 2224 2235 2238 2239 2243 2244 2256 2262 2269 2275 2282 2285 2289 2290 2291 2297 2300 2301 2313 2316 2318 2326 2327 2336 2341 2347 2361 2362 2369 2370 2373 2374 2375 2382 2388 2391 2392 2394 2400 2403 2410 2420 2421 2448 2457 2463 2464 2470 2473 2475 2484 2486 2490 2509 2522 2532 2535 2543 2544 2551 2557 2559 2561 2565 2571 2576 2593 2598 2607 2614 2616 2619 2633 2634 2646 2647 2650 2653 2654 2666 2676 2678 2682 2697 2719 2733 2735 2742 2747 2749 2763 2764 2769 2771 2787 2793 2797 2800 2806 2807 2809 2811 2817 2821 2823 2825 2833 2845 2849 2858 2865 2869 2870 2872 2874 2879 2881 2882 2891 2905 2908 2911 2917 2920 2921 2926 2928 2930 2931 2937 2941 2945 2946 2948 2951 2954 2976 2994 2997 3003 3004 3009 3020 3021 3023 3024]\n# step=0 row=44 minW=584 found cw of W=574: [14 16 18 19 24 26 38 46 53 61 63 90 94 98 100 105 112 117 118 123 125 131 135 145 147 149 160 162 163 165 166 167 181 204 210 211 230 237 239 241 245 255 258 264 266 267 269 275 281 282 294 298 306 318 320 323 327 328 329 338 339 341 346 348 349 351 380 383 387 389 392 397 399 400 408 409 418 421 429 434 436 440 445 456 460 462 466 479 480 484 486 498 509 512 520 522 525 536 546 551 553 557 571 573 578 583 586 599 602 605 619 629 630 643 646 649 661 668 669 676 678 679 680 683 685 689 707 709 711 713 716 718 719 720 729 730 735 755 767 770 778 780 781 783 790 795 797 798 802 804 805 812 819 824 828 830 831 834 835 843 845 850 852 855 858 860 865 866 868 874 875 877 880 881 888 892 894 895 902 907 910 915 918 936 941 942 945 954 959 962 968 969 971 972 973 974 977 980 984 985 987 995 999 1000 1008 1009 1010 1017 1022 1024 1026 1031 1033 1034 1040 1054 1061 1064 1083 1087 1090 1091 1100 1102 1107 1108 1113 1115 1117 1123 1127 1130 1134 1153 1154 1161 1164 1165 1168 1174 1178 1179 1183 1204 1206 1208 1211 1218 1224 1231 1232 1234 1235 1239 1250 1251 1252 1253 1256 1259 1264 1265 1268 1272 1278 1279 1283 1286 1294 1302 1317 1328 1329 1340 1352 1353 1358 1362 1366 1388 1392 1396 1400 1417 1422 1424 1430 1434 1460 1466 1470 1475 1478 1481 1495 1501 1508 1516 1519 1529 1539 1543 1550 1557 1561 1575 1577 1588 1591 1595 1601 1609 1610 1615 1618 1631 1633 1642 1644 1651 1652 1653 1659 1661 1662 1663 1672 1689 1690 1698 1699 1710 1720 1726 1729 1734 1738 1742 1745 1748 1752 1757 1762 1766 1768 1773 1776 1778 1781 1784 1787 1791 1793 1802 1806 1808 1827 1828 1830 1835 1841 1859 1865 1872 1874 1880 1892 1895 1904 1906 1926 1932 1940 1945 1946 1950 1954 1959 1961 1966 1987 1990 1993 1998 2005 2014 2016 2019 2023 2034 2036 2039 2048 2051 2057 2062 2067 2078 2079 2081 2082 2092 2094 2113 2119 2126 2132 2135 2136 2146 2148 2152 2153 2155 2157 2165 2167 2169 2174 2180 2186 2195 2200 2201 2202 2210 2219 2223 2233 2234 2238 2239 2241 2242 2243 2247 2250 2260 2262 2266 2269 2274 2276 2287 2289 2290 2297 2299 2300 2301 2303 2306 2313 2315 2317 2318 2320 2326 2336 2344 2347 2351 2362 2369 2373 2374 2381 2385 2398 2405 2406 2410 2413 2415 2421 2428 2441 2450 2457 2475 2476 2487 2488 2490 2498 2508 2509 2514 2522 2524 2526 2537 2543 2544 2563 2570 2576 2590 2592 2593 2601 2606 2607 2610 2612 2616 2626 2634 2650 2656 2657 2664 2678 2680 2682 2685 2697 2706 2714 2718 2725 2732 2733 2735 2736 2738 2739 2748 2749 2752 2762 2764 2769 2771 2787 2797 2798 2799 2800 2806 2809 2810 2813 2824 2833 2838 2849 2854 2858 2859 2872 2891 2894 2905 2908 2909 2914 2920 2921 2922 2926 2928 2945 2949 2951 2974 2976 2982 2989 2995 3001 3010 3020 3023]\n# step=0 row=98 minW=574 found cw of W=568: [1 9 16 18 23 35 38 39 42 43 52 58 61 70 71 75 76 91 96 97 117 118 119 125 130 135 136 139 145 149 157 175 176 177 183 185 194 210 224 235 237 239 241 242 249 250 253 258 264 267 269 271 274 281 284 287 288 291 310 318 319 320 323 328 337 338 341 348 356 366 376 377 378 380 387 396 408 409 410 412 413 433 434 436 440 453 460 462 469 472 479 480 482 484 486 498 499 509 514 516 523 525 527 536 553 557 559 569 575 576 583 586 593 599 602 611 616 621 629 633 654 657 658 669 678 679 680 693 696 701 703 706 707 716 721 723 728 729 733 738 755 770 774 790 797 799 801 802 803 804 812 819 820 822 829 831 848 859 861 868 869 873 874 877 880 888 889 890 892 901 910 915 921 935 936 939 941 945 962 969 971 974 976 977 979 981 982 984 985 995 997 1000 1008 1009 1010 1015 1017 1024 1026 1031 1032 1033 1034 1061 1083 1084 1087 1090 1091 1097 1098 1102 1104 1105 1107 1108 1111 1115 1127 1128 1141 1143 1146 1147 1148 1153 1154 1157 1164 1165 1168 1172 1178 1179 1197 1204 1218 1226 1232 1234 1235 1239 1240 1249 1250 1256 1257 1268 1270 1297 1299 1302 1304 1306 1317 1324 1329 1340 1348 1351 1358 1366 1368 1372 1379 1380 1382 1383 1388 1400 1407 1409 1433 1455 1457 1458 1460 1462 1478 1481 1482 1487 1489 1493 1496 1499 1500 1501 1508 1510 1512 1515 1518 1521 1535 1575 1579 1581 1582 1588 1591 1595 1601 1604 1609 1610 1622 1627 1629 1635 1639 1640 1641 1642 1644 1661 1662 1667 1672 1682 1685 1695 1697 1699 1708 1725 1726 1732 1739 1742 1750 1752 1753 1755 1757 1760 1766 1773 1774 1778 1780 1781 1790 1793 1811 1824 1825 1827 1830 1835 1836 1840 1841 1848 1849 1854 1859 1876 1877 1879 1880 1890 1891 1892 1917 1926 1928 1932 1940 1941 1945 1961 1965 1977 1986 1988 1990 1993 1997 1998 2005 2014 2016 2034 2039 2040 2041 2057 2062 2067 2068 2071 2072 2100 2103 2105 2110 2111 2116 2119 2125 2128 2132 2146 2147 2158 2159 2160 2161 2167 2168 2169 2179 2180 2185 2186 2191 2194 2200 2203 2204 2210 2215 2222 2224 2233 2235 2243 2244 2247 2250 2257 2260 2266 2269 2271 2276 2280 2285 2288 2291 2299 2300 2303 2311 2312 2313 2315 2316 2318 2320 2323 2326 2336 2361 2368 2375 2380 2387 2389 2394 2398 2400 2403 2405 2410 2413 2415 2428 2441 2450 2457 2463 2464 2475 2476 2488 2490 2496 2509 2512 2515 2522 2523 2524 2526 2544 2552 2553 2561 2569 2570 2571 2572 2585 2590 2592 2593 2597 2598 2601 2621 2626 2637 2646 2647 2648 2656 2666 2676 2678 2680 2693 2696 2697 2702 2725 2732 2733 2736 2738 2742 2747 2748 2752 2759 2763 2764 2772 2778 2787 2791 2792 2798 2807 2810 2811 2813 2817 2821 2823 2824 2825 2842 2869 2870 2872 2874 2879 2909 2911 2912 2914 2920 2921 2926 2930 2941 2971 2976 3003 3008 3009 3010 3020 3021 3023 3024]\n# step=0 row=145 minW=568 found cw of W=556: [1 5 9 16 19 26 33 35 39 42 43 51 56 58 68 76 79 84 94 96 98 101 105 112 117 125 127 135 136 139 159 163 167 176 177 179 181 184 204 211 216 223 224 225 232 235 237 242 245 249 255 258 259 264 269 275 276 281 282 283 288 291 298 305 310 318 320 323 328 337 348 356 364 366 380 389 396 400 413 418 427 433 434 436 445 448 455 460 467 469 482 486 491 497 499 501 502 512 516 523 525 551 553 559 569 575 576 578 591 598 599 605 611 616 619 621 633 643 653 654 660 661 665 668 669 673 676 678 683 685 689 697 711 718 719 721 723 729 733 737 738 744 755 767 776 778 781 790 797 799 801 804 816 820 831 834 835 845 852 855 857 858 860 865 866 874 880 888 889 899 907 916 917 918 921 928 936 942 943 951 955 962 968 969 973 977 981 987 992 999 1006 1017 1018 1022 1023 1024 1031 1080 1091 1098 1100 1107 1113 1114 1115 1117 1118 1119 1122 1123 1124 1127 1129 1130 1141 1148 1154 1157 1164 1165 1178 1197 1206 1209 1211 1213 1218 1219 1226 1237 1243 1252 1259 1264 1265 1270 1271 1272 1277 1278 1279 1283 1286 1294 1296 1297 1299 1304 1305 1306 1309 1317 1328 1329 1340 1351 1389 1392 1403 1405 1406 1410 1414 1416 1422 1430 1435 1442 1454 1455 1462 1466 1473 1475 1477 1483 1484 1496 1499 1501 1510 1512 1515 1516 1519 1526 1531 1535 1537 1541 1543 1550 1557 1568 1577 1579 1588 1591 1595 1609 1618 1622 1624 1630 1633 1635 1639 1651 1655 1662 1663 1672 1691 1698 1723 1729 1730 1748 1749 1753 1755 1757 1763 1768 1769 1773 1776 1780 1781 1783 1784 1790 1793 1805 1808 1820 1824 1827 1830 1836 1840 1848 1854 1855 1856 1862 1865 1871 1874 1876 1877 1878 1880 1895 1906 1910 1917 1926 1932 1939 1940 1950 1951 1954 1976 1977 1991 1993 2000 2007 2019 2024 2039 2040 2041 2046 2050 2051 2057 2061 2065 2075 2076 2082 2083 2086 2094 2100 2108 2110 2111 2113 2119 2125 2126 2144 2153 2156 2157 2160 2165 2167 2168 2169 2174 2179 2180 2195 2200 2201 2210 2211 2215 2231 2233 2234 2235 2238 2239 2241 2242 2243 2244 2247 2250 2254 2256 2262 2266 2269 2271 2276 2280 2287 2288 2299 2312 2313 2315 2316 2318 2320 2323 2330 2341 2352 2362 2369 2373 2374 2381 2388 2391 2394 2400 2403 2406 2408 2410 2419 2420 2421 2428 2438 2441 2450 2452 2473 2477 2486 2492 2496 2498 2508 2512 2523 2526 2535 2537 2543 2550 2563 2569 2570 2572 2581 2590 2592 2594 2598 2601 2604 2606 2607 2616 2619 2626 2634 2637 2641 2650 2656 2678 2682 2685 2706 2718 2719 2725 2732 2738 2747 2749 2758 2759 2764 2769 2787 2797 2803 2806 2810 2811 2819 2821 2823 2824 2825 2845 2859 2862 2870 2874 2882 2886 2894 2904 2905 2911 2920 2928 2930 2931 2937 2941 2948 2949 2953 2974 2976 2989 2997 3004 3010 3017 3024]\n# step=0 row=147 minW=556 found cw of W=548: [1 5 9 14 16 18 35 42 46 53 75 79 84 94 97 100 118 123 124 127 130 135 136 149 160 167 175 177 179 183 184 185 204 210 217 224 225 230 232 237 239 245 253 255 258 264 267 271 274 275 276 278 282 284 287 289 291 294 298 304 305 306 310 323 341 349 359 364 377 383 392 399 400 408 409 427 433 436 445 453 458 464 466 472 479 480 482 484 486 491 498 501 509 512 520 525 527 551 552 553 575 578 580 583 587 592 605 613 621 629 630 633 637 643 649 653 655 657 662 669 676 679 680 683 685 693 697 700 703 706 707 711 716 721 729 730 733 737 738 744 767 773 779 798 802 808 822 824 830 831 834 835 848 849 855 859 866 869 875 878 881 894 901 903 907 908 915 928 935 936 942 949 951 954 959 968 976 977 980 981 982 985 988 1000 1009 1010 1015 1024 1026 1031 1034 1064 1076 1080 1083 1084 1091 1100 1113 1114 1118 1122 1123 1127 1129 1130 1134 1143 1145 1146 1147 1148 1153 1164 1166 1168 1171 1178 1179 1183 1213 1226 1240 1241 1251 1253 1256 1257 1262 1264 1265 1268 1270 1283 1286 1297 1302 1304 1305 1306 1307 1314 1328 1353 1358 1362 1368 1382 1400 1406 1407 1409 1410 1422 1435 1442 1454 1460 1462 1466 1470 1471 1475 1477 1482 1483 1484 1487 1493 1500 1510 1516 1519 1521 1526 1529 1537 1541 1543 1550 1568 1579 1603 1604 1615 1627 1629 1630 1631 1633 1635 1642 1644 1659 1661 1667 1685 1691 1695 1697 1698 1699 1710 1720 1725 1734 1738 1742 1745 1748 1749 1755 1760 1761 1762 1768 1769 1774 1776 1778 1781 1789 1790 1791 1806 1820 1824 1831 1837 1840 1841 1849 1854 1855 1862 1873 1885 1889 1894 1895 1904 1906 1910 1926 1932 1939 1941 1945 1951 1954 1965 1966 1986 1987 1991 1993 1997 1998 2015 2019 2024 2033 2039 2040 2041 2046 2061 2062 2067 2072 2076 2078 2082 2092 2094 2100 2105 2106 2110 2111 2113 2126 2127 2128 2130 2136 2145 2146 2154 2157 2159 2160 2161 2164 2165 2167 2169 2185 2186 2191 2201 2202 2203 2204 2211 2222 2224 2231 2235 2237 2238 2242 2243 2254 2257 2260 2262 2266 2275 2280 2287 2288 2289 2291 2299 2300 2316 2320 2323 2326 2329 2344 2347 2361 2362 2369 2370 2387 2391 2392 2398 2403 2405 2406 2408 2410 2413 2428 2448 2450 2452 2455 2457 2463 2470 2473 2475 2482 2486 2496 2509 2515 2523 2524 2535 2537 2543 2544 2548 2559 2565 2570 2571 2572 2590 2592 2594 2597 2601 2610 2612 2626 2634 2637 2646 2647 2650 2653 2657 2664 2666 2676 2678 2680 2685 2693 2696 2701 2714 2718 2733 2736 2739 2742 2747 2749 2759 2760 2762 2771 2791 2792 2797 2798 2807 2809 2810 2823 2827 2838 2849 2854 2858 2859 2865 2874 2879 2894 2904 2914 2928 2931 2941 2945 2948 2974 2976 2982 2989 2995 2997 3001 3003 3004 3007 3009 3020 3021]\n# step=0 row=360 minW=548 found cw of W=546: [14 16 23 24 27 39 43 46 50 53 61 63 70 76 79 94 98 101 105 112 115 117 123 130 139 149 157 162 165 167 176 179 181 184 185 202 204 216 217 223 224 230 237 245 249 250 253 255 258 264 267 274 275 288 298 304 309 310 318 320 323 328 336 341 356 359 366 376 377 378 380 390 392 396 397 399 400 408 413 421 427 430 434 436 437 448 455 456 460 462 466 469 472 479 480 486 501 514 521 546 553 563 569 576 583 591 593 598 605 611 616 619 629 630 633 637 643 646 653 657 669 678 684 689 697 701 706 707 712 719 720 723 730 737 741 743 773 774 776 779 783 786 790 797 801 803 804 808 809 819 820 826 828 831 833 835 841 843 844 850 861 866 879 881 889 890 893 900 907 908 910 916 917 936 939 941 942 955 969 973 974 981 982 987 999 1004 1009 1010 1012 1015 1026 1037 1064 1079 1080 1084 1091 1105 1107 1114 1115 1119 1124 1129 1130 1140 1143 1144 1148 1151 1158 1164 1165 1168 1172 1183 1197 1204 1206 1208 1213 1224 1226 1231 1234 1235 1237 1244 1252 1255 1257 1259 1265 1268 1271 1272 1278 1279 1283 1297 1307 1314 1317 1324 1329 1339 1346 1355 1362 1366 1368 1372 1379 1383 1389 1396 1399 1400 1403 1407 1410 1416 1417 1424 1433 1442 1453 1455 1460 1474 1483 1493 1499 1500 1508 1510 1511 1512 1515 1518 1521 1537 1538 1539 1541 1543 1545 1550 1564 1575 1577 1582 1591 1607 1609 1627 1630 1636 1637 1642 1651 1663 1667 1672 1697 1699 1708 1710 1726 1729 1730 1739 1749 1750 1761 1762 1768 1774 1776 1778 1780 1781 1791 1793 1796 1802 1811 1817 1824 1825 1827 1828 1830 1831 1833 1841 1848 1849 1852 1855 1856 1858 1867 1873 1877 1879 1880 1887 1890 1904 1917 1928 1935 1940 1941 1946 1962 1977 1986 1988 1991 1994 1997 2005 2007 2015 2019 2024 2033 2048 2061 2062 2070 2071 2074 2075 2076 2078 2082 2094 2098 2105 2108 2113 2123 2125 2126 2130 2132 2145 2146 2147 2148 2154 2155 2157 2159 2160 2185 2186 2195 2200 2201 2204 2210 2211 2216 2223 2237 2238 2242 2244 2256 2266 2269 2271 2276 2282 2285 2287 2289 2290 2300 2311 2313 2315 2317 2318 2327 2328 2329 2330 2333 2368 2373 2375 2385 2388 2391 2398 2403 2405 2407 2428 2450 2451 2452 2455 2457 2458 2462 2464 2476 2488 2508 2509 2514 2515 2523 2524 2532 2535 2537 2551 2560 2565 2570 2571 2585 2594 2597 2601 2610 2614 2616 2619 2627 2633 2647 2650 2654 2657 2666 2682 2686 2693 2696 2697 2701 2702 2719 2725 2732 2738 2742 2747 2749 2752 2759 2762 2769 2771 2787 2790 2797 2798 2799 2800 2803 2813 2817 2821 2824 2831 2842 2858 2859 2869 2872 2873 2874 2881 2886 2894 2905 2908 2913 2914 2917 2922 2928 2930 2937 2945 2967 2971 2976 2982 2989 2994 2995 2997 3004 3008 3009 3021]\n# step=0 row=693 minW=546 found cw of W=544: [1 20 27 35 38 39 42 51 61 63 68 76 91 97 100 118 119 123 124 125 131 135 136 139 145 157 159 162 163 165 166 176 181 183 185 224 230 235 237 239 241 242 250 253 259 271 274 281 287 288 291 298 304 310 318 319 323 329 336 338 341 348 376 377 380 410 412 413 418 421 429 430 433 434 445 453 460 462 466 467 472 479 484 491 501 502 512 516 522 527 551 552 557 559 563 571 575 576 578 580 583 587 616 621 637 649 658 661 668 669 679 685 700 706 707 713 723 728 733 735 737 738 744 764 770 774 776 779 781 783 798 804 805 808 809 816 819 820 822 830 834 845 848 849 852 859 874 880 890 892 895 901 902 903 906 907 913 916 917 918 920 921 928 935 943 945 947 949 951 954 955 962 974 980 981 987 992 995 1010 1017 1018 1023 1033 1034 1037 1040 1054 1083 1084 1087 1090 1091 1097 1102 1104 1122 1127 1130 1134 1141 1143 1144 1146 1147 1151 1157 1158 1165 1166 1174 1197 1206 1213 1226 1237 1239 1241 1243 1262 1265 1268 1270 1271 1278 1279 1283 1286 1296 1299 1304 1306 1307 1314 1315 1327 1328 1340 1346 1348 1351 1358 1362 1368 1381 1383 1388 1392 1400 1403 1410 1414 1416 1422 1460 1466 1471 1473 1487 1489 1501 1515 1516 1521 1535 1537 1538 1543 1545 1550 1552 1564 1575 1577 1581 1591 1593 1601 1603 1604 1607 1609 1610 1622 1627 1629 1631 1641 1642 1644 1652 1661 1662 1663 1667 1682 1691 1697 1698 1699 1708 1738 1739 1742 1745 1748 1752 1753 1760 1761 1763 1766 1768 1773 1774 1778 1789 1790 1791 1793 1807 1813 1824 1827 1835 1841 1842 1848 1849 1855 1856 1859 1865 1874 1875 1879 1880 1885 1887 1889 1890 1891 1892 1894 1895 1910 1932 1943 1951 1954 1986 1987 1990 1991 1998 2000 2015 2016 2019 2026 2034 2036 2040 2046 2062 2065 2067 2070 2071 2082 2083 2103 2105 2110 2113 2116 2119 2123 2125 2128 2130 2135 2147 2153 2154 2155 2159 2161 2164 2167 2168 2174 2179 2180 2186 2191 2195 2202 2214 2215 2216 2219 2222 2223 2237 2244 2247 2256 2257 2260 2262 2269 2271 2274 2280 2281 2285 2288 2300 2306 2309 2313 2315 2317 2318 2323 2329 2333 2336 2344 2347 2352 2361 2362 2369 2370 2373 2374 2381 2387 2391 2400 2403 2405 2406 2407 2413 2415 2420 2428 2441 2455 2457 2461 2462 2470 2475 2486 2488 2508 2509 2511 2522 2524 2531 2532 2537 2552 2561 2569 2570 2571 2572 2587 2593 2597 2598 2601 2614 2621 2637 2646 2648 2650 2653 2656 2657 2664 2676 2682 2685 2686 2696 2702 2706 2718 2732 2733 2736 2739 2742 2747 2748 2758 2760 2764 2769 2772 2778 2787 2791 2792 2793 2797 2799 2806 2807 2809 2811 2813 2817 2819 2825 2827 2845 2855 2867 2874 2879 2881 2882 2905 2909 2911 2914 2917 2921 2922 2937 2948 2989 2993 2994 3001 3017]\n# step=2 row=87 minW=544 found cw of W=510: [1 2 17 28 30 32 36 39 40 49 74 75 80 90 91 116 119 122 125 126 132 137 140 142 143 147 149 150 151 159 165 173 175 180 189 191 198 203 205 209 213 216 220 229 233 238 241 247 253 265 272 282 283 285 290 295 302 305 306 311 312 317 320 324 331 337 338 343 345 347 348 359 374 394 418 427 437 444 448 451 455 459 460 468 473 479 480 494 502 505 515 528 536 541 544 560 562 569 571 572 584 593 594 596 598 599 602 615 617 628 632 654 660 664 665 667 670 672 678 681 692 699 702 703 716 717 720 722 724 728 735 737 741 752 764 773 781 791 805 810 823 830 841 842 844 851 856 858 865 866 870 871 876 877 880 887 888 896 904 911 922 924 943 948 951 967 970 984 990 1010 1011 1013 1017 1018 1022 1031 1038 1041 1045 1046 1048 1051 1054 1055 1073 1080 1100 1104 1112 1123 1137 1138 1140 1141 1142 1148 1160 1163 1169 1175 1179 1181 1187 1189 1192 1196 1200 1219 1221 1228 1230 1231 1232 1238 1241 1242 1253 1267 1273 1280 1284 1286 1287 1293 1302 1311 1314 1320 1324 1330 1331 1336 1349 1361 1370 1379 1381 1382 1384 1402 1409 1414 1418 1421 1430 1437 1443 1445 1453 1456 1461 1462 1463 1474 1475 1477 1485 1489 1490 1497 1505 1512 1515 1516 1521 1524 1531 1539 1549 1553 1554 1558 1568 1571 1581 1582 1584 1595 1597 1598 1601 1605 1610 1637 1661 1668 1671 1685 1687 1699 1706 1716 1719 1720 1731 1734 1743 1746 1751 1763 1782 1783 1787 1790 1796 1808 1811 1812 1813 1816 1817 1825 1833 1838 1853 1860 1864 1873 1876 1886 1887 1888 1898 1901 1916 1934 1938 1940 1948 1951 1959 1963 1973 1980 1981 1982 2000 2001 2003 2004 2006 2013 2020 2021 2029 2030 2032 2055 2057 2060 2064 2076 2089 2103 2107 2109 2110 2112 2119 2129 2130 2137 2143 2149 2151 2174 2193 2199 2200 2203 2206 2210 2217 2223 2225 2231 2234 2244 2245 2252 2255 2259 2265 2266 2268 2273 2276 2279 2285 2287 2301 2308 2314 2324 2328 2330 2337 2356 2358 2362 2365 2375 2380 2382 2392 2394 2408 2413 2416 2445 2452 2457 2462 2464 2465 2472 2475 2477 2480 2483 2488 2498 2504 2511 2518 2525 2534 2539 2541 2548 2555 2557 2562 2569 2578 2593 2608 2610 2613 2618 2626 2631 2633 2635 2638 2641 2642 2645 2647 2648 2663 2681 2686 2687 2692 2695 2696 2701 2710 2728 2731 2737 2738 2744 2746 2754 2759 2762 2767 2770 2786 2788 2791 2793 2797 2814 2827 2838 2840 2841 2844 2848 2849 2857 2867 2875 2877 2880 2881 2893 2895 2900 2901 2907 2910 2920 2923 2926 2927 2934 2936 2937 2941 2944 2948 2953 2966 2984 2988 2999]\n# step=2 row=901 minW=510 found cw of W=506: [4 12 14 18 23 27 30 36 39 40 49 70 73 80 98 100 105 106 107 108 129 134 147 149 159 165 170 173 176 177 189 191 198 205 210 220 229 241 247 248 252 253 262 265 281 295 303 310 317 318 332 334 340 341 343 345 348 352 359 363 365 370 372 374 403 418 425 426 428 432 436 439 443 457 473 477 479 489 502 515 526 528 539 552 555 563 564 570 571 572 581 596 598 608 615 621 626 633 644 646 664 668 670 672 692 699 703 706 716 721 722 724 728 741 750 751 768 772 782 801 803 805 814 828 842 846 850 856 858 861 865 871 876 877 880 881 884 887 899 904 914 919 922 924 939 942 943 949 955 956 963 967 968 982 985 999 1011 1012 1013 1022 1031 1040 1041 1054 1058 1062 1071 1073 1079 1081 1086 1087 1088 1090 1106 1109 1113 1119 1129 1137 1163 1169 1171 1175 1179 1187 1189 1200 1203 1207 1211 1218 1219 1221 1227 1232 1241 1242 1253 1263 1267 1270 1273 1278 1285 1286 1288 1292 1302 1311 1321 1325 1328 1332 1336 1339 1342 1345 1346 1349 1361 1370 1381 1384 1395 1397 1399 1402 1407 1408 1409 1413 1417 1419 1437 1443 1444 1453 1457 1461 1462 1464 1471 1475 1476 1485 1493 1512 1515 1521 1532 1539 1541 1544 1545 1572 1574 1581 1596 1598 1610 1619 1622 1626 1631 1637 1648 1653 1668 1680 1687 1688 1698 1701 1706 1709 1716 1717 1724 1739 1743 1746 1747 1761 1766 1775 1782 1785 1787 1790 1799 1811 1812 1815 1827 1832 1835 1838 1840 1853 1854 1855 1859 1876 1880 1887 1888 1895 1897 1898 1900 1919 1920 1926 1927 1934 1949 1959 1960 1967 1971 1980 1981 1993 1995 2000 2004 2006 2013 2015 2018 2019 2020 2021 2029 2043 2044 2046 2053 2066 2092 2104 2110 2113 2119 2125 2128 2130 2132 2143 2149 2154 2169 2206 2212 2215 2216 2222 2235 2244 2245 2252 2253 2255 2257 2259 2260 2262 2265 2268 2270 2273 2276 2278 2282 2294 2301 2303 2304 2311 2324 2327 2330 2334 2353 2354 2355 2356 2375 2377 2386 2390 2392 2394 2396 2402 2408 2412 2419 2429 2435 2442 2443 2445 2452 2453 2457 2462 2464 2465 2471 2474 2477 2480 2488 2489 2492 2511 2513 2534 2539 2541 2552 2557 2561 2562 2565 2567 2569 2578 2587 2593 2604 2608 2614 2616 2623 2624 2630 2631 2635 2641 2643 2648 2654 2678 2681 2683 2685 2692 2695 2700 2704 2732 2733 2735 2737 2738 2744 2746 2747 2754 2759 2762 2767 2780 2788 2791 2793 2797 2807 2809 2816 2818 2839 2844 2848 2849 2852 2857 2862 2865 2867 2874 2875 2881 2902 2920 2923 2926 2930 2936 2941 2944 2953 2971 2974 2984 2987 2998 2999 3000 3003 3014 3019 3024]\n# step=3 row=328 minW=506 found cw of W=504: [3 14 15 22 23 29 31 36 37 52 56 58 63 67 74 77 80 81 92 95 105 109 114 115 121 128 130 131 133 137 138 143 148 152 155 164 177 181 192 200 215 219 230 234 244 247 251 253 271 272 275 278 285 292 293 312 326 329 336 354 362 364 379 385 387 395 402 406 413 417 428 431 449 453 455 471 473 484 499 517 524 525 534 537 546 549 553 558 560 563 573 575 577 580 584 591 595 599 602 610 613 614 616 620 626 633 634 647 650 653 658 661 663 666 670 675 683 685 696 700 718 724 727 733 734 755 761 767 768 773 775 777 781 782 783 800 807 809 814 817 819 825 836 847 849 860 867 869 876 882 883 884 887 890 891 897 898 909 915 919 940 942 966 969 973 974 975 980 985 987 991 999 1009 1010 1013 1016 1027 1035 1037 1045 1046 1047 1076 1083 1088 1091 1102 1109 1111 1115 1117 1118 1120 1129 1130 1132 1145 1152 1155 1157 1159 1162 1165 1168</t>
  </si>
  <si>
    <t xml:space="preserve"> 1176 1185 1188 1192 1193 1203 1217 1224 1225 1231 1244 1248 1250 1253 1258 1265 1267 1273 1285 1292 1298 1305 1327 1332 1336 1348 1350 1353 1358 1359 1360 1374 1379 1392 1406 1407 1414 1415 1426 1427 1429 1436 1443 1444 1454 1458 1464 1475 1491 1492 1507 1508 1510 1513 1522 1525 1535 1537 1547 1556 1564 1583 1584 1597 1600 1605 1606 1611 1613 1616 1645 1646 1654 1659 1665 1667 1670 1672 1676 1678 1688 1692 1706 1708 1713 1715 1729 1740 1743 1757 1772 1789 1791 1794 1799 1812 1815 1825 1839 1843 1853 1859 1864 1868 1875 1885 1887 1892 1897 1900 1914 1934 1938 1956 1967 1974 1977 1982 1986 1991 1992 1993 1994 2018 2026 2030 2031 2033 2035 2038 2045 2046 2054 2058 2059 2069 2070 2071 2077 2084 2088 2091 2097 2099 2104 2106 2109 2112 2113 2115 2120 2123 2129 2134 2137 2143 2145 2154 2161 2164 2167 2168 2172 2176 2195 2197 2202 2206 2213 2219 2220 2233 2234 2248 2261 2262 2266 2269 2270 2272 2304 2307 2309 2319 2330 2339 2350 2359 2361 2368 2374 2375 2391 2394 2396 2399 2400 2401 2405 2410 2419 2432 2436 2438 2445 2448 2450 2456 2460 2461 2464 2466 2488 2492 2495 2496 2502 2505 2509 2520 2531 2540 2564 2575 2586 2589 2599 2605 2607 2608 2610 2611 2616 2622 2623 2634 2642 2646 2652 2653 2657 2671 2672 2689 2693 2699 2713 2714 2731 2739 2745 2751 2758 2777 2778 2780 2781 2783 2785 2806 2807 2812 2813 2816 2830 2833 2837 2839 2844 2851 2853 2862 2863 2867 2872 2873 2879 2888 2900 2905 2908 2915 2923 2926 2927 2928 2947 2950 2964 2968 2972 2973 2982 2985 2989 2992 2999 3006 3019 3022]\n# step=3 row=333 minW=504 found cw of W=502: [3 14 15 23 29 31 36 37 52 56 58 63 67 74 77 80 81 92 95 105 109 114 115 121 128 130 131 133 137 138 143 148 152 155 177 181 192 200 215 219 230 234 244 247 251 253 271 272 275 278 285 292 293 312 326 329 336 354 362 364 379 385 387 395 402 406 413 417 428 431 449 453 455 471 473 484 499 517 524 525 534 537 546 549 553 554 558 560 563 573 575 577 580 584 591 595 599 602 610 613 614 616 620 626 633 634 650 653 658 661 663 666 670 675 683 685 700 703 718 724 727 733 734 755 761 767 768 773 775 777 781 782 783 800 807 809 814 817 819 825 836 847 849 860 867 869 876 882 883 884 887 890 891 897 898 909 915 919 940 942 966 969 973 974 975 980 985 987 991 999 1009 1010 1013 1027 1035 1037 1045 1046 1047 1076 1083 1088 1091 1102 1109 1111 1115 1117 1118 1120 1129 1130 1132 1145 1152 1155 1157 1158 1159 1162 1168 1176 1179 1185 1188 1192 1193 1203 1217 1224 1225 1231 1244 1248 1250 1253 1258 1265 1267 1273 1285 1292 1298 1305 1327 1332 1336 1348 1350 1353 1358 1359 1360 1374 1379 1392 1406 1407 1414 1415 1426 1427 1429 1436 1443 1444 1454 1458 1464 1475 1491 1492 1507 1508 1510 1513 1522 1525 1535 1537 1547 1556 1564 1583 1584 1597 1600 1605 1606 1611 1613 1616 1645 1646 1650 1654 1659 1665 1667 1670 1672 1676 1688 1692 1706 1708 1713 1715 1729 1740 1743 1757 1772 1789 1791 1794 1799 1812 1815 1825 1839 1843 1853 1859 1864 1868 1875 1885 1887 1892 1897 1900 1914 1934 1938 1956 1967 1974 1977 1982 1986 1991 1992 1993 1994 2018 2019 2026 2030 2031 2033 2035 2038 2045 2046 2054 2058 2059 2069 2070 2071 2077 2084 2088 2091 2097 2099 2104 2106 2109 2112 2113 2115 2120 2123 2129 2134 2137 2143 2145 2154 2164 2167 2172 2176 2195 2197 2202 2206 2213 2219 2220 2233 2234 2248 2261 2262 2266 2269 2270 2272 2304 2307 2309 2319 2330 2339 2350 2359 2361 2368 2374 2375 2391 2394 2396 2399 2400 2401 2405 2410 2419 2432 2436 2438 2445 2448 2450 2456 2460 2461 2464 2466 2488 2492 2495 2496 2502 2505 2509 2520 2531 2540 2564 2575 2586 2589 2599 2605 2607 2608 2610 2611 2616 2622 2623 2634 2642 2646 2652 2653 2657 2671 2672 2689 2693 2699 2713 2714 2731 2739 2745 2751 2758 2777 2778 2780 2781 2783 2785 2806 2807 2812 2813 2816 2830 2833 2837 2839 2844 2851 2853 2862 2863 2867 2872 2873 2879 2888 2900 2905 2906 2908 2915 2923 2926 2927 2928 2947 2950 2964 2968 2972 2973 2982 2985 2989 2992 2999 3006 3019 3022]\n# step=3 row=1354 minW=502 found cw of W=498: [3 14 15 22 23 29 31 36 37 52 56 58 63 67 74 77 80 81 92 95 105 109 114 115 121 128 130 131 133 137 138 143 148 152 155 177 181 192 200 215 219 230 244 247 251 253 271 272 275 278 285 292 293 312 326 329 336 354 362 364 379 385 387 395 402 406 413 417 428 431 449 453 455 471 473 484 499 517 524 525 534 537 546 549 553 558 560 563 573 575 577 580 584 591 595 599 602 610 613 614 616 620 626 633 634 640 647 650 653 658 661 663 666 670 675 683 685 700 718 724 727 733 734 755 761 767 768 773 775 777 781 782 783 800 807 809 814 817 819 825 836 847 849 860 867 869 876 882 883 884 887 890 891 897 898 909 915 919 940 942 966 969 973 974 975 980 985 987 991 999 1009 1010 1013 1016 1027 1035 1037 1045 1046 1047 1076 1083 1088 1091 1102 1109 1111 1115 1117 1118 1120 1129 1130 1132 1145 1152 1155 1157 1159 1162 1165 1168 1176 1185 1188 1192 1193 1203 1217 1224 1225 1231 1244 1248 1250 1253 1258 1265 1267 1273 1285 1292 1298 1305 1327 1332 1336 1348 1350 1353 1358 1359 1360 1374 1379 1392 1406 1407 1414 1415 1426 1427 1429 1436 1443 1444 1454 1458 1464 1475 1491 1492 1507 1508 1510 1513 1522 1525 1535 1537 1547 1556 1564 1583 1584 1597 1600 1605 1606 1611 1613 1616 1645 1646 1654 1659 1665 1667 1670 1672 1676 1678 1688 1692 1706 1708 1713 1715 1729 1740 1743 1757 1772 1789 1791 1794 1799 1812 1815 1825 1839 1843 1853 1859 1864 1868 1875 1885 1887 1892 1897 1900 1914 1934 1938 1956 1967 1974 1977 1982 1986 1991 1992 1993 1994 2018 2026 2030 2031 2033 2035 2038 2045 2046 2058 2059 2069 2070 2071 2077 2084 2088 2091 2097 2099 2104 2106 2109 2112 2113 2115 2120 2123 2129 2134 2137 2143 2145 2164 2167 2168 2172 2176 2195 2197 2202 2206 2213 2219 2220 2233 2234 2248 2261 2262 2266 2269 2270 2272 2304 2307 2309 2319 2330 2339 2350 2359 2361 2368 2374 2375 2391 2394 2396 2399 2400 2401 2405 2410 2419 2432 2436 2438 2445 2448 2450 2456 2460 2461 2464 2466 2488 2492 2495 2496 2502 2505 2509 2520 2531 2540 2564 2575 2589 2599 2605 2607 2608 2610 2611 2616 2622 2623 2634 2642 2646 2652 2653 2657 2671 2672 2689 2699 2713 2714 2728 2731 2739 2745 2751 2758 2777 2778 2780 2781 2783 2785 2806 2807 2812 2813 2816 2830 2833 2837 2839 2844 2851 2853 2862 2863 2867 2872 2873 2879 2888 2900 2905 2908 2915 2923 2926 2927 2928 2947 2950 2964 2968 2972 2973 2982 2985 2989 2992 2999 3006 3019 3022]\n# step=4 row=565 minW=498 found cw of W=494: [2 8 13 30 39 41 44 45 46 49 55 58 62 70 77 78 79 84 94 96 98 105 112 123 129 133 144 161 162 164 168 178 191 196 205 232 240 241 249 258 259 269 278 284 285 296 300 303 309 320 321 322 335 346 348 365 370 378 384 395 401 408 411 422 447 448 449 452 453 462 470 478 481 485 492 494 496 497 509 514 519 521 524 526 533 535 541 542 544 547 559 562 566 571 576 581 594 597 600 601 615 622 627 628 631 637 653 655 658 660 661 662 666 673 676 689 696 717 725 729 730 734 735 736 739 740 742 746 747 749 756 761 766 767 775 782 797 808 809 815 816 822 823 839 843 850 857 864 866 871 876 881 889 893 897 903 904 908 910 914 917 918 921 933 934 973 978 980 1018 1020 1022 1027 1029 1033 1035 1065 1076 1077 1082 1084 1115 1117 1123 1130 1138 1145 1146 1162 1164 1171 1173 1176 1190 1207 1220 1222 1230 1236 1248 1258 1259 1262 1264 1269 1276 1282 1289 1291 1292 1294 1295 1300 1303 1308 1311 1314 1316 1318 1325 1326 1348 1357 1362 1365 1366 1368 1369 1376 1378 1379 1394 1395 1400 1402 1404 1412 1419 1420 1425 1434 1453 1454 1456 1458 1460 1463 1468 1472 1473 1482 1490 1494 1497 1508 1510 1518 1524 1553 1561 1565 1567 1568 1580 1581 1602 1608 1614 1615 1616 1622 1635 1647 1651 1658 1676 1681 1685 1693 1694 1699 1704 1717 1719 1726 1729 1733 1735 1742 1750 1754 1759 1760 1761 1762 1769 1779 1790 1793 1797 1810 1812 1820 1825 1835 1843 1853 1855 1860 1864 1866 1868 1879 1884 1885 1906 1909 1914 1915 1925 1932 1935 1937 1953 1957 1960 1963 1967 1968 1969 1982 1989 1999 2000 2005 2013 2014 2020 2023 2031 2041 2042 2054 2058 2060 2078 2079 2095 2098 2099 2109 2122 2128 2129 2131 2140 2148 2151 2158 2172 2174 2183 2203 2208 2222 2223 2225 2229 2238 2239 2246 2247 2255 2264 2267 2282 2285 2287 2290 2291 2294 2300 2303 2317 2318 2323 2325 2344 2360 2367 2380 2398 2399 2400 2405 2414 2424 2425 2441 2446 2454 2455 2457 2472 2475 2481 2489 2500 2502 2507 2509 2513 2521 2531 2537 2539 2543 2546 2549 2550 2552 2559 2573 2575 2591 2594 2596 2597 2601 2611 2616 2620 2627 2631 2637 2650 2652 2655 2664 2670 2693 2697 2706 2713 2715 2729 2731 2735 2743 2753 2756 2762 2765 2772 2785 2792 2799 2803 2806 2810 2823 2824 2835 2847 2860 2862 2866 2871 2873 2893 2900 2903 2904 2912 2915 2918 2919 2921 2928 2934 2940 2948 2951 2955 2956 2967 2972 2974 2982 2983 2987 2989 2999 3003 3007]\n# step=4 row=755 minW=494 found cw of W=492: [2 8 13 30 39 41 44 45 46 49 55 58 62 70 77 78 79 84 94 96 98 105 112 123 129 133 144 161 162 164 178 191 196 205 232 240 241 249 258 259 269 278 284 285 296 300 303 309 320 321 322 335 346 348 365 370 378 384 395 401 408 411 422 447 448 449 452 453 462 470 478 481 485 492 494 496 497 509 514 519 521 524 526 533 535 541 542 544 547 559 562 566 571 576 581 594 597 600 601 615 622 627 628 631 637 653 655 658 660 661 662 666 673 676 689 696 700 717 725 729 734 735 736 739 740 742 746 747 749 756 761 766 767 775 782 797 800 808 809 815 816 822 823 839 843 850 857 864 866 871 876 881 889 893 897 903 904 908 910 914 917 918 921 933 934 973 978 980 1018 1020 1022 1027 1029 1033 1035 1065 1076 1077 1082 1084 1115 1117 1123 1130 1138 1145 1146 1164 1171 1173 1176 1190 1207 1220 1222 1230 1236 1258 1259 1264 1269 1276 1282 1289 1291 1292 1294 1295 1300 1303 1308 1311 1314 1316 1318 1325 1326 1348 1357 1362 1365 1366 1368 1369 1376 1378 1379 1394 1395 1400 1402 1404 1412 1419 1420 1425 1434 1453 1454 1456 1458 1460 1463 1468 1472 1473 1482 1490 1494 1497 1508 1510 1518 1524 1540 1553 1561 1565 1567 1568 1580 1581 1602 1608 1614 1615 1616 1622 1635 1651 1658 1676 1681 1685 1693 1694 1699 1704 1717 1719 1726 1729 1733 1735 1742 1750 1754 1759 1760 1761 1762 1769 1779 1782 1789 1790 1793 1797 1810 1812 1820 1825 1835 1843 1853 1855 1860 1864 1866 1868 1879 1884 1885 1906 1909 1914 1915 1925 1932 1935 1937 1953 1957 1960 1963 1967 1968 1969 1982 1989 1999 2000 2005 2013 2014 2020 2023 2031 2041 2042 2054 2058 2060 2078 2079 2095 2098 2099 2109 2122 2128 2129 2131 2140 2148 2151 2158 2172 2174 2183 2203 2208 2222 2223 2225 2229 2238 2239 2246 2247 2255 2264 2267 2282 2285 2287 2290 2291 2294 2300 2303 2317 2318 2323 2325 2344 2360 2367 2380 2398 2399 2400 2405 2414 2424 2425 2441 2446 2454 2455 2457 2472 2475 2481 2489 2500 2502 2507 2509 2513 2521 2531 2537 2539 2543 2546 2549 2550 2552 2559 2573 2575 2591 2594 2596 2597 2601 2611 2616 2627 2631 2637 2650 2652 2655 2664 2670 2693 2697 2706 2713 2715 2729 2731 2735 2743 2753 2756 2765 2769 2772 2785 2792 2799 2803 2806 2810 2823 2824 2835 2847 2860 2862 2866 2871 2873 2893 2900 2903 2904 2912 2915 2918 2919 2921 2928 2934 2940 2948 2951 2955 2956 2967 2972 2974 2982 2983 2987 2989 2999 3003 3007]\n# step=5 row=187 minW=492 found cw of W=216: [15 61 71 85 92 103 107 108 141 159 164 193 214 249 292 304 327 329 348 420 423 455 467 485 523 535 548 562 567 576 583 605 621 626 628 637 676 680 735 745 747 752 773 782 791 805 810 822 829 831 833 847 889 917 924 938 941 945 952 985 1003 1009 1017 1052 1059 1066 1067 1073 1080 1085 1099 1104 1135 1142 1187 1194 1207 1209 1214 1230 1235 1243 1253 1277 1284 1291 1309 1354 1414 1473 1477 1510 1520 1537 1544 1592 1613 1619 1622 1624 1626 1631 1650 1662 1673 1771 1787 1792 1794 1799 1813 1825 1850 1851 1857 1869 1878 1881 1885 1906 1913 1925 1961 1968 1974 1975 1988 1998 2037 2047 2056 2083 2093 2105 2117 2135 2156 2161 2168 2173 2187 2190 2194 2219 2224 2225 2243 2259 2275 2287 2299 2317 2324 2336 2350 2354 2380 2413 2425 2436 2444 2455 2462 2466 2482 2493 2499 2500 2511 2517 2518 2523 2562 2564 2569 2599 2616 2644 2649 2679 2686 2700 2701 2705 2715 2721 2732 2744 2749 2761 2767 2775 2781 2788 2793 2807 2812 2823 2830 2831 2863 2872 2879 2886 2893 2898 2899 2900 2907 2912 2919 2935 2957 2962 2987 2989]\n# step=5 row=698 minW=216 found cw of W=214: [15 61 71 85 92 103 107 108 141 159 164 193 214 249 292 304 327 329 420 423 455 467 485 523 535 548 562 567 576 583 605 621 626 628 637 676 680 717 735 745 747 752 782 791 805 810 822 829 831 833 847 889 917 924 938 941 945 952 985 992 1003 1009 1017 1052 1059 1066 1067 1073 1080 1085 1099 1104 1135 1142 1187 1194 1207 1209 1214 1230 1243 1253 1277 1284 1291 1305 1309 1354 1384 1414 1473 1477 1510 1520 1537 1544 1592 1613 1619 1622 1624 1626 1631 1650 1662 1673 1771 1787 1792 1794 1799 1813 1825 1832 1850 1851 1857 1869 1878 1881 1885 1906 1913 1925 1939 1961 1968 1975 1988 1998 2037 2047 2056 2083 2093 2105 2117 2135 2145 2156 2161 2168 2173 2187 2190 2194 2219 2224 2225 2238 2243 2259 2275 2299 2317 2324 2336 2350 2354 2387 2401 2413 2425 2444 2455 2462 2466 2482 2493 2499 2500 2511 2517 2518 2523 2562 2564 2569 2599 2607 2616 2644 2649 2679 2686 2700 2701 2705 2715 2721 2732 2744 2761 2767 2775 2781 2788 2793 2807 2823 2830 2831 2872 2879 2886 2893 2899 2900 2907 2935 2957 2962 2987 2989]\n# step=5 row=1167 minW=214 found cw of W=212: [15 61 71 85 92 103 107 108 141 159 164 193 214 249 292 304 327 329 334 420 423 455 467 485 523 535 548 562 567 576 583 605 621 626 628 637 676 680 717 735 745 747 752 782 791 805 822 829 831 833 847 889 917 924 938 941 945 952 985 992 1003 1009 1017 1052 1059 1066 1067 1073 1080 1085 1099 1104 1135 1142 1187 1194 1207 1209 1214 1230 1243 1253 1277 1284 1291 1305 1309 1354 1414 1473 1477 1510 1520 1537 1544 1592 1613 1619 1622 1624 1626 1631 1650 1662 1673 1771 1787 1792 1794 1799 1813 1825 1832 1850 1851 1857 1869 1878 1881 1885 1906 1913 1925 1939 1961 1968 1975 1988 1998 2037 2047 2056 2083 2093 2105 2117 2135 2145 2156 2161 2168 2173 2187 2190 2194 2219 2225 2238 2243 2259 2275 2299 2317 2331 2336 2350 2354 2387 2401 2413 2425 2444 2455 2462 2466 2482 2493 2499 2500 2511 2517 2518 2523 2562 2564 2569 2599 2607 2616 2644 2649 2679 2686 2700 2701 2705 2715 2721 2732 2744 2761 2767 2775 2781 2788 2793 2807 2823 2830 2831 2872 2879 2886 2893 2899 2900 2907 2935 2957 2962 2987 2989]\n# step=122 row=128 minW=212 found cw of W=204: [15 58 59 65 72 79 93 94 100 163 164 186 214 235 244 249 251 264 270 299 320 328 334 342 343 349 370 392 400 405 412 419 428 462 470 484 491 512 519 540 561 590 598 612 625 633 654 668 695 698 710 727 739 752 754 768 782 802 817 832 837 838 846 852 853 859 861 862 866 873 902 917 923 924 951 952 959 966 967 974 994 1002 1010 1017 1024 1031 1053 1072 1094 1123 1152 1165 1180 1216 1230 1238 1264 1293 1322 1370 1380 1399 1406 1427 1463 1464 1470 1478 1506 1512 1535 1543 1544 1572 1580 1592 1616 1650 1694 1701 1706 1713 1723 1730 1742 1763 1772 1777 1778 1786 1792 1820 1849 1870 1884 1891 1898 1912 1941 1942 1978 1997 1998 2019 2020 2034 2076 2091 2104 2105 2133 2141 2168 2175 2204 2210 2212 2219 2225 2233 2234 2241 2253 2267 2282 2303 2310 2311 2317 2318 2325 2360 2375 2382 2424 2431 2445 2467 2496 2509 2530 2538 2567 2588 2615 2623 2637 2666 2701 2766 2773 2780 2786 2843 2857 2859 2864 2894 2907 2913 2914 2942 2985 3014]\n# step=122 row=588 minW=204 found cw of W=198: [15 30 51 58 59 65 72 79 93 94 163 164 186 193 214 235 244 251 270 299 320 328 334 342 343 349 370 392 400 405 412 419 428 462 470 484 491 512 513 519 540 561 590 598 612 625 633 654 668 695 698 710 727 739 752 754 768 802 817 832 837 846 853 859 861 862 866 873 902 917 923 951 952 959 966 967 974 1002 1010 1017 1053 1072 1123 1152 1165 1180 1187 1216 1230 1238 1243 1264 1293 1322 1380 1399 1400 1406 1427 1463 1464 1470 1478 1506 1535 1543 1544 1572 1580 1592 1616 1650 1692 1694 1701 1706 1713 1723 1730 1742 1763 1772 1777 1786 1792 1820 1841 1849 1870 1884 1891 1898 1912 1927 1942 1978 1997 1998 2019 2027 2034 2091 2104 2105 2133 2141 2154 2168 2175 2190 2204 2212 2219 2233 2234 2241 2253 2267 2282 2310 2311 2318 2325 2360 2375 2382 2424 2431 2445 2459 2467 2496 2509 2530 2552 2567 2588 2594 2615 2623 2637 2666 2708 2766 2773 2780 2786 2843 2857 2859 2864 2894 2907 2913 2914 2942 2985 3014]\n# step=896 row=189 minW=198 found cw of W=196: [48 82 112 133 154 167 211 247 274 289 317 338 353 360 366 381 388 416 487 495 502 515 537 571 580 593 594 616 623 635 644 665 678 687 700 702 713 735 742 744 756 772 784 785 827 834 843 863 884 892 927 942 977 992 1005 1006 1026 1047 1056 1069 1083 1090 1091 1147 1175 1178 1190 1197 1205 1219 1220 1234 1240 1241 1282 1289 1290 1302 1310 1332 1339 1347 1353 1382 1396 1402 1403 1452 1488 1502 1509 1520 1540 1548 1554 1556 1568 1569 1576 1577 1596 1617 1618 1619 1625 1633 1647 1653 1668 1674 1683 1689 1696 1731 1740 1754 1768 1781 1874 1887 1895 1916 1930 1937 1952 1967 1994 2002 2008 2024 2030 2038 2051 2074 2079 2095 2102 2109 2142 2150 2151 2179 2201 2244 2249 2258 2264 2299 2300 2328 2357 2384 2413 2443 2455 2485 2506 2513 2519 2520 2542 2548 2556 2571 2597 2598 2604 2619 2633 2634 2676 2690 2692 2699 2718 2726 2740 2741 2762 2776 2790 2811 2818 2832 2846 2867 2896 2923 2945 2946 2961 2974 2987 3009 3016 3017]\n# step=896 row=343 minW=196 found cw of W=174: [5 12 26 98 105 112 126 133 140 154 167 225 240 247 254 274 289 381 402 415 416 480 481 495 522 571 595 607 650 657 665 671 678 693 700 713 714 749 756 771 772 785 792 814 820 827 834 857 863 977 1005 1033 1062 1069 1090 1127 1140 1154 1175 1197 1204 1218 1219 1233 1234 1241 1276 1302 1310 1311 1318 1325 1331 1353 1367 1382 1389 1402 1403 1431 1438 1488 1502 1509 1533 1540 1555 1568 1597 1604 1605 1619 1625 1647 1653 1660 1674 1689 1739 1740 1753 1754 1781 1796 1802 1803 1881 1902 1930 1967 1974 1994 1995 2002 2016 2030 2073 2101 2109 2116 2122 2129 2142 2150 2151 2171 2207 2229 2244 2249 2258 2264 2292 2293 2299 2300 2314 2328 2357 2371 2384 2385 2413 2443 2450 2499 2506 2519 2548 2591 2604 2619 2640 2711 2734 2740 2762 2767 2776 2790 2832 2846 2861 2867 2875 2896 2923 2959 2961 2968 3002 3009 3016 3017]\n# round=1000 of 50000 minW=174\n# round=2000 of 50000 minW=174\n# round=3000 of 50000 minW=174\n# round=4000 of 50000 minW=174\n# step=4245 row=111 minW=174 found cw of W=170: [4 54 68 82 89 90 104 111 116 117 124 153 203 210 223 239 245 260 273 274 280 302 337 352 358 372 373 387 394 402 409 416 445 473 480 494 515 578 608 615 657 685 707 714 757 764 777 790 799 812 819 834 849 856 884 890 891 905 912 919 954 976 977 983 1040 1046 1112 1118 1119 1126 1146 1147 1153 1161 1167 1211 1218 1225 1233 1253 1260 1261 1317 1338 1359 1367 1396 1403 1409 1410 1431 1439 1452 1459 1474 1481 1494 1495 1568 1596 1604 1617 1630 1652 1659 1660 1667 1689 1731 1737 1745 1752 1753 1760 1766 1774 1816 1817 1823 1872 1879 1886 1887 1895 1901 1952 1966 1972 2001 2007 2065 2079 2092 2107 2108 2121 2128 2136 2142 2193 2228 2249 2271 2292 2363 2391 2434 2468 2470 2477 2498 2554 2583 2604 2625 2626 2639 2640 2654 2689 2697 2710 2767 2838 2867 2895 2910 2945 2946 2953]\n# round=5000 of 50000 minW=170\n# step=5366 row=207 minW=170 found cw of W=148: [5 6 12 40 55 76 112 119 140 148 175 212 219 225 226 245 247 254 289 324 340 352 367 395 410 417 438 473 474 537 544 609 615 651 666 673 707 722 750 751 814 822 837 851 864 907 921 957 964 970 1006 1042 1098 1099 1106 1119 1148 1177 1183 1184 1205 1211 1212 1226 1234 1262 1275 1290 1311 1313 1340 1368 1376 1403 1417 1433 1440 1467 1475 1510 1527 1548 1555 1583 1590 1619 1626 1633 1761 1775 1810 1861 1882 1924 1938 1952 1953 1988 1995 2024 2051 2059 2080 2087 2102 2115 2145 2158 2172 2180 2230 2243 2264 2279 2300 2307 2358 2365 2385 2428 2471 2527 2542 2556 2597 2606 2620 2669 2697 2705 2727 2747 2776 2783 2819 2825 2827 2834 2846 2847 2853 2876 2890 2918 2939 2961 2974 2989]\n# round=6000 of 50000 minW=148\n# round=7000 of 50000 minW=148\n# round=8000 of 50000 minW=148\n# round=9000 of 50000 minW=148\n# round=10000 of 50000 minW=148\n# round=11000 of 50000 minW=148\n# round=12000 of 50000 minW=148\n# round=13000 of 50000 minW=148\n# round=14000 of 50000 minW=148\n# round=15000 of 50000 minW=148\n# round=16000 of 50000 minW=148\n# round=17000 of 50000 minW=148\n# round=18000 of 50000 minW=148\n# round=19000 of 50000 minW=148\n# round=20000 of 50000 minW=148\n# round=21000 of 50000 minW=148\n# round=22000 of 50000 minW=148\n# round=23000 of 50000 minW=148\n# round=24000 of 50000 minW=148\n# round=25000 of 50000 minW=148\n# round=26000 of 50000 minW=148\n# round=27000 of 50000 minW=148\n# round=28000 of 50000 minW=148\n# round=29000 of 50000 minW=148\n# round=30000 of 50000 minW=148\n# round=31000 of 50000 minW=148\n# round=32000 of 50000 minW=148\n# round=33000 of 50000 minW=148\n# round=34000 of 50000 minW=148\n# round=35000 of 50000 minW=148\n# round=36000 of 50000 minW=148\n# round=37000 of 50000 minW=148\n# round=38000 of 50000 minW=148\n# round=39000 of 50000 minW=148\n# round=40000 of 50000 minW=148\n# round=41000 of 50000 minW=148\n# round=42000 of 50000 minW=148\n# round=43000 of 50000 minW=148\n# round=44000 of 50000 minW=148\n# round=45000 of 50000 minW=148\n# round=46000 of 50000 minW=148\n# round=47000 of 50000 minW=148\n# round=48000 of 50000 minW=148\n# round=49000 of 50000 minW=148\n# round=50000 of 50000 minW=148\nRW algorithm upper bound for the distance d=148\n</t>
  </si>
  <si>
    <t>t</t>
  </si>
  <si>
    <t>delta t</t>
  </si>
  <si>
    <t>Gen:0 Trial:0 w:168; Trial:1 w:118; Trial:37 w:112; Trial:69 w:88; Gen:1 Trial:165 w:84; Gen:2 Trial:216 w:82; Gen:4 Trial:431 w:70; Gen:5 Trial:520 w:68; Gen:7 Trial:745 w:66; Gen:10 Trial:1062 w:62; Gen:11 Trial:1170 w:60; Gen:13 Trial:1351 w:58; Gen:17 Trial:1794 w:56; Gen:91 Trial:9157 w:54; pErr:0.2692, weight 54 CW found:38060</t>
  </si>
  <si>
    <t>Gen:0 Trial:0 w:122; Trial:62 w:90; Gen:1 Trial:140 w:88; Gen:3 Trial:373 w:84; Gen:5 Trial:553 w:78; Gen:7 Trial:741 w:68; Gen:8 Trial:801 w:64; Trial:838 w:50; Gen:10 Trial:1071 w:48; Gen:11 Trial:1121 w:46; Trial:1131 w:42; Gen:14 Trial:1457 w:40; Gen:16 Trial:1685 w:38; Gen:17 Trial:1746 w:36; pErr:0.1845, weight 36 CW found:31701</t>
  </si>
  <si>
    <t>Gen:0 Trial:0 w:486; Trial:1 w:424; Trial:4 w:394; Trial:18 w:310; Trial:20 w:258; Trial:55 w:244; Gen:1 Trial:102 w:204; Trial:192 w:200; Gen:2 Trial:225 w:190; Trial:242 w:160; Gen:3 Trial:302 w:158; Gen:4 Trial:406 w:142; Trial:440 w:126; Gen:7 Trial:781 w:120; Gen:10 Trial:1073 w:118; Gen:14 Trial:1414 w:116; Gen:16 Trial:1645 w:108; Gen:18 Trial:1884 w:102; Gen:25 Trial:2520 w:100; Gen:31 Trial:3161 w:98; Gen:40 Trial:4034 w:94; Gen:53 Trial:5360 w:90; Gen:73 Trial:7342 w:88; Gen:77 Trial:7701 w:86; Gen:84 Trial:8431 w:84; Gen:91 Trial:9140 w:82; Gen:107 Trial:10707 w:80; Gen:189 Trial:18982 w:78; pErr:0.3343, weight 78 CW found:33408</t>
  </si>
  <si>
    <t>repeat: 100</t>
  </si>
  <si>
    <t>dataset: BB_test</t>
  </si>
  <si>
    <t>method: QDistRndMW</t>
  </si>
  <si>
    <t>iterCount: 10000</t>
  </si>
  <si>
    <t>pMut: 2.0</t>
  </si>
  <si>
    <t>sMut: 1.0</t>
  </si>
  <si>
    <t>genCount: 100</t>
  </si>
  <si>
    <t>outfile: /Users/markwebster/Dropbox/QuantumComputing/dev/codeDistance/results/BB_test-QDistEvol-20251225_080049.699149_85062422.txt</t>
  </si>
  <si>
    <t>Gen:0 Trial:0 w:84; Trial:3 w:70; Trial:38 w:62; Trial:67 w:58; Gen:2 Trial:276 w:44; Gen:4 Trial:400 w:42; Gen:6 Trial:608 w:40; Gen:16 Trial:1643 w:38; pErr:0.0000, weight 38 CW found:367</t>
  </si>
  <si>
    <t>Gen:0 Trial:0 w:94; Trial:2 w:92; Trial:4 w:90; Trial:5 w:84; Trial:19 w:70; Trial:53 w:68; Trial:80 w:60; Gen:4 Trial:420 w:56; Gen:9 Trial:987 w:54; Gen:13 Trial:1387 w:52; Gen:17 Trial:1744 w:48; Gen:21 Trial:2114 w:44; Gen:24 Trial:2472 w:40; Gen:27 Trial:2782 w:34; pErr:0.0000, weight 34 CW found:325</t>
  </si>
  <si>
    <t>Gen:0 Trial:0 w:114; Trial:1 w:112; Trial:2 w:102; Trial:4 w:92; Trial:5 w:88; Trial:14 w:82; Trial:25 w:62; Gen:2 Trial:207 w:58; Gen:4 Trial:407 w:52; Gen:7 Trial:730 w:40; Gen:9 Trial:906 w:38; Gen:28 Trial:2837 w:36; pErr:0.0000, weight 36 CW found:486</t>
  </si>
  <si>
    <t>Gen:0 Trial:0 w:102; Trial:2 w:94; Trial:8 w:80; Trial:10 w:64; Gen:1 Trial:193 w:56; Gen:4 Trial:455 w:54; Gen:5 Trial:592 w:52; Gen:6 Trial:610 w:50; Gen:9 Trial:900 w:46; Gen:10 Trial:1005 w:44; Gen:12 Trial:1253 w:40; Gen:13 Trial:1311 w:36; Gen:17 Trial:1732 w:34; pErr:0.0000, weight 34 CW found:730</t>
  </si>
  <si>
    <t>Gen:0 Trial:0 w:108; Trial:1 w:86; Trial:5 w:76; Trial:44 w:68; Gen:2 Trial:230 w:64; Gen:3 Trial:322 w:58; Gen:5 Trial:518 w:56; Gen:7 Trial:788 w:54; Gen:10 Trial:1000 w:50; Gen:15 Trial:1525 w:48; Gen:18 Trial:1827 w:46; Gen:20 Trial:2011 w:40; Gen:24 Trial:2448 w:36; Gen:38 Trial:3821 w:34; pErr:0.0000, weight 34 CW found:244</t>
  </si>
  <si>
    <t>Gen:0 Trial:0 w:98; Trial:3 w:88; Trial:4 w:68; Trial:93 w:64; Gen:4 Trial:409 w:62; Gen:5 Trial:549 w:54; Gen:6 Trial:600 w:50; Gen:10 Trial:1096 w:46; Gen:21 Trial:2187 w:44; Gen:42 Trial:4242 w:40; pErr:0.0000, weight 40 CW found:312</t>
  </si>
  <si>
    <t>Gen:0 Trial:0 w:120; Trial:1 w:62; Trial:23 w:60; Gen:2 Trial:277 w:58; Gen:3 Trial:383 w:56; Gen:5 Trial:530 w:54; Trial:575 w:50; Trial:578 w:48; Gen:6 Trial:601 w:46; Trial:615 w:44; Gen:7 Trial:717 w:42; Gen:8 Trial:822 w:38; Gen:36 Trial:3690 w:36; pErr:0.0000, weight 36 CW found:222</t>
  </si>
  <si>
    <t>Gen:0 Trial:0 w:104; Trial:1 w:100; Trial:6 w:96; Trial:10 w:86; Trial:13 w:84; Trial:22 w:80; Trial:24 w:56; Gen:2 Trial:200 w:54; Trial:203 w:50; Gen:4 Trial:445 w:48; Gen:5 Trial:575 w:46; Gen:8 Trial:892 w:44; Gen:11 Trial:1198 w:40; Gen:15 Trial:1566 w:36; pErr:0.0000, weight 36 CW found:339</t>
  </si>
  <si>
    <t>Gen:0 Trial:0 w:104; Trial:1 w:100; Trial:2 w:98; Trial:4 w:88; Trial:11 w:82; Trial:14 w:76; Trial:40 w:70; Gen:1 Trial:144 w:62; Gen:3 Trial:310 w:58; Trial:311 w:52; Gen:6 Trial:601 w:48; Gen:9 Trial:985 w:44; Gen:11 Trial:1121 w:40; Gen:14 Trial:1425 w:38; Gen:17 Trial:1762 w:36; Gen:57 Trial:5770 w:34; pErr:0.0000, weight 34 CW found:263</t>
  </si>
  <si>
    <t>Gen:0 Trial:0 w:104; Trial:1 w:96; Trial:2 w:66; Gen:2 Trial:281 w:58; Gen:5 Trial:543 w:56; Gen:8 Trial:810 w:54; Trial:830 w:52; Gen:9 Trial:902 w:50; Gen:11 Trial:1169 w:48; Gen:23 Trial:2372 w:46; Gen:25 Trial:2572 w:44; Gen:29 Trial:2906 w:42; Gen:37 Trial:3709 w:40; pErr:0.0000, weight 40 CW found:430</t>
  </si>
  <si>
    <t>Gen:0 Trial:0 w:98; Trial:4 w:86; Trial:6 w:72; Trial:18 w:68; Gen:1 Trial:100 w:64; Trial:164 w:62; Gen:2 Trial:232 w:60; Gen:3 Trial:310 w:58; Trial:360 w:56; Gen:5 Trial:588 w:52; Gen:9 Trial:935 w:50; Gen:13 Trial:1385 w:48; Gen:36 Trial:3611 w:46; Gen:38 Trial:3802 w:44; pErr:0.0000, weight 44 CW found:321</t>
  </si>
  <si>
    <t>Gen:0 Trial:0 w:92; Trial:6 w:90; Trial:9 w:76; Trial:17 w:74; Trial:27 w:62; Gen:2 Trial:259 w:60; Gen:3 Trial:300 w:58; Gen:15 Trial:1521 w:56; Gen:19 Trial:1943 w:54; Gen:24 Trial:2467 w:44; Gen:28 Trial:2826 w:42; pErr:0.0000, weight 42 CW found:460</t>
  </si>
  <si>
    <t>Gen:0 Trial:0 w:104; Trial:2 w:70; Trial:23 w:64; Gen:2 Trial:238 w:58; Gen:6 Trial:642 w:56; Gen:16 Trial:1621 w:54; Gen:19 Trial:1920 w:50; Gen:21 Trial:2133 w:46; Gen:27 Trial:2728 w:44; Gen:55 Trial:5564 w:42; pErr:0.0000, weight 42 CW found:304</t>
  </si>
  <si>
    <t>Gen:0 Trial:0 w:96; Trial:2 w:86; Trial:26 w:84; Trial:39 w:80; Trial:65 w:74; Trial:92 w:64; Gen:1 Trial:110 w:62; Trial:130 w:58; Gen:3 Trial:340 w:56; Gen:5 Trial:509 w:54; Trial:550 w:52; Gen:7 Trial:762 w:50; Gen:8 Trial:860 w:48; Gen:10 Trial:1047 w:46; Gen:13 Trial:1365 w:44; Gen:21 Trial:2108 w:40; Gen:25 Trial:2520 w:38; pErr:0.0000, weight 38 CW found:374</t>
  </si>
  <si>
    <t>Gen:0 Trial:0 w:98; Trial:7 w:84; Trial:19 w:72; Trial:59 w:70; Trial:71 w:68; Trial:80 w:62; Gen:4 Trial:467 w:60; Gen:5 Trial:557 w:58; Gen:7 Trial:713 w:52; Gen:54 Trial:5483 w:48; Gen:71 Trial:7140 w:46; Gen:75 Trial:7576 w:44; pErr:0.0000, weight 44 CW found:259</t>
  </si>
  <si>
    <t>Gen:0 Trial:0 w:106; Trial:3 w:86; Trial:37 w:72; Trial:60 w:68; Trial:73 w:56; Gen:2 Trial:206 w:52; Gen:3 Trial:360 w:50; Gen:4 Trial:484 w:48; Gen:7 Trial:703 w:46; Gen:16 Trial:1649 w:44; pErr:0.0000, weight 44 CW found:180</t>
  </si>
  <si>
    <t>Gen:0 Trial:0 w:116; Trial:1 w:94; Trial:2 w:76; Trial:6 w:56; Gen:3 Trial:333 w:52; Gen:7 Trial:795 w:50; Gen:10 Trial:1069 w:48; Gen:11 Trial:1162 w:38; Gen:13 Trial:1385 w:36; pErr:0.0000, weight 36 CW found:637</t>
  </si>
  <si>
    <t>Gen:0 Trial:0 w:114; Trial:1 w:82; Trial:10 w:70; Trial:54 w:58; Gen:2 Trial:243 w:56; Trial:276 w:50; Gen:10 Trial:1077 w:46; Gen:14 Trial:1405 w:44; Gen:19 Trial:1913 w:42; pErr:0.0000, weight 42 CW found:823</t>
  </si>
  <si>
    <t>Gen:0 Trial:0 w:90; Trial:8 w:84; Trial:14 w:80; Trial:18 w:76; Trial:43 w:58; Gen:1 Trial:146 w:54; Gen:3 Trial:368 w:52; Gen:5 Trial:543 w:50; Gen:6 Trial:688 w:48; Gen:9 Trial:901 w:44; Gen:16 Trial:1669 w:40; pErr:0.0000, weight 40 CW found:370</t>
  </si>
  <si>
    <t>Gen:0 Trial:0 w:100; Trial:2 w:80; Trial:22 w:64; Trial:84 w:56; Gen:1 Trial:197 w:48; Gen:3 Trial:307 w:44; Gen:5 Trial:581 w:42; Gen:8 Trial:841 w:40; Gen:51 Trial:5170 w:38; pErr:0.0000, weight 38 CW found:234</t>
  </si>
  <si>
    <t>Gen:0 Trial:0 w:104; Trial:1 w:82; Trial:5 w:80; Trial:20 w:70; Trial:23 w:62; Gen:2 Trial:221 w:60; Trial:275 w:52; Gen:4 Trial:452 w:48; Gen:15 Trial:1530 w:46; Gen:35 Trial:3542 w:44; Trial:3552 w:42; Gen:39 Trial:3954 w:38; pErr:0.0000, weight 38 CW found:219</t>
  </si>
  <si>
    <t>Gen:0 Trial:0 w:108; Trial:1 w:94; Trial:9 w:90; Trial:16 w:88; Trial:36 w:80; Trial:38 w:74; Trial:47 w:56; Gen:2 Trial:251 w:54; Gen:3 Trial:399 w:52; Gen:4 Trial:414 w:50; Gen:5 Trial:571 w:48; Gen:9 Trial:954 w:46; Gen:39 Trial:3970 w:44; Gen:40 Trial:4070 w:42; Gen:46 Trial:4681 w:40; pErr:0.0000, weight 40 CW found:185</t>
  </si>
  <si>
    <t>Gen:0 Trial:0 w:78; Gen:1 Trial:172 w:74; Gen:3 Trial:318 w:64; Gen:4 Trial:473 w:62; Gen:5 Trial:574 w:60; Gen:7 Trial:731 w:58; Gen:15 Trial:1581 w:54; Trial:1598 w:48; Gen:18 Trial:1896 w:46; Gen:25 Trial:2523 w:42; Gen:35 Trial:3589 w:36; Gen:41 Trial:4169 w:34; pErr:0.0000, weight 34 CW found:304</t>
  </si>
  <si>
    <t>Gen:0 Trial:0 w:108; Trial:1 w:96; Trial:2 w:88; Trial:12 w:80; Trial:37 w:60; Gen:1 Trial:181 w:56; Gen:3 Trial:352 w:50; Gen:6 Trial:670 w:48; Gen:9 Trial:950 w:44; Gen:14 Trial:1498 w:42; Gen:24 Trial:2403 w:40; pErr:0.0000, weight 40 CW found:566</t>
  </si>
  <si>
    <t>Gen:0 Trial:0 w:80; Trial:5 w:68; Gen:2 Trial:228 w:64; Trial:296 w:60; Gen:9 Trial:902 w:58; Gen:15 Trial:1577 w:56; Trial:1590 w:54; Gen:17 Trial:1713 w:52; Trial:1733 w:50; Gen:18 Trial:1852 w:48; Gen:19 Trial:1920 w:46; Gen:20 Trial:2012 w:44; Gen:23 Trial:2367 w:42; Gen:81 Trial:8149 w:40; pErr:0.0000, weight 40 CW found:192</t>
  </si>
  <si>
    <t>Gen:0 Trial:0 w:108; Trial:3 w:100; Trial:5 w:92; Trial:7 w:82; Trial:9 w:68; Gen:2 Trial:205 w:60; Gen:3 Trial:365 w:58; Gen:9 Trial:975 w:56; Gen:11 Trial:1142 w:54; Gen:15 Trial:1529 w:52; Gen:18 Trial:1855 w:48; Gen:20 Trial:2050 w:46; Gen:22 Trial:2202 w:44; Gen:26 Trial:2658 w:40; Gen:29 Trial:2945 w:38; Gen:94 Trial:9439 w:36; pErr:0.0000, weight 36 CW found:39</t>
  </si>
  <si>
    <t>Gen:0 Trial:0 w:86; Trial:2 w:84; Trial:7 w:80; Trial:21 w:72; Gen:1 Trial:110 w:66; Gen:2 Trial:212 w:60; Trial:246 w:56; Gen:3 Trial:330 w:46; Gen:6 Trial:660 w:44; Gen:16 Trial:1603 w:42; Gen:37 Trial:3714 w:40; Gen:48 Trial:4826 w:38; Gen:61 Trial:6102 w:36; pErr:0.0000, weight 36 CW found:69</t>
  </si>
  <si>
    <t>Gen:0 Trial:0 w:106; Trial:3 w:102; Trial:4 w:92; Trial:7 w:86; Trial:17 w:78; Trial:25 w:76; Trial:53 w:72; Trial:71 w:68; Gen:5 Trial:524 w:66; Gen:6 Trial:600 w:62; Gen:7 Trial:709 w:60; Trial:714 w:58; Gen:9 Trial:941 w:56; Gen:10 Trial:1070 w:54; Gen:11 Trial:1188 w:50; Gen:14 Trial:1414 w:48; Gen:67 Trial:6755 w:46; pErr:0.0000, weight 46 CW found:300</t>
  </si>
  <si>
    <t>Gen:0 Trial:0 w:112; Trial:1 w:106; Trial:2 w:104; Trial:3 w:92; Trial:4 w:68; Trial:42 w:62; Gen:2 Trial:232 w:60; Gen:3 Trial:343 w:56; Trial:398 w:54; Gen:4 Trial:410 w:52; Gen:11 Trial:1126 w:50; Gen:14 Trial:1490 w:46; Gen:17 Trial:1781 w:42; Gen:19 Trial:1941 w:38; Gen:24 Trial:2421 w:36; pErr:0.0000, weight 36 CW found:323</t>
  </si>
  <si>
    <t>Gen:0 Trial:0 w:66; Trial:14 w:62; Trial:43 w:58; Gen:1 Trial:161 w:56; Gen:2 Trial:290 w:54; Gen:5 Trial:559 w:50; Gen:14 Trial:1415 w:48; Gen:19 Trial:1941 w:46; Gen:50 Trial:5029 w:44; Gen:56 Trial:5633 w:42; Gen:66 Trial:6606 w:40; pErr:0.0000, weight 40 CW found:337</t>
  </si>
  <si>
    <t>Gen:0 Trial:0 w:104; Trial:1 w:88; Trial:2 w:86; Trial:8 w:82; Trial:16 w:56; Gen:2 Trial:243 w:54; Gen:4 Trial:432 w:52; Gen:10 Trial:1023 w:50; Gen:15 Trial:1511 w:48; Trial:1592 w:46; Gen:16 Trial:1660 w:42; Gen:18 Trial:1827 w:40; Gen:20 Trial:2071 w:38; Gen:25 Trial:2534 w:36; pErr:0.0000, weight 36 CW found:305</t>
  </si>
  <si>
    <t>Gen:0 Trial:0 w:102; Trial:1 w:98; Trial:2 w:78; Trial:49 w:58; Gen:2 Trial:219 w:52; Trial:283 w:44; Gen:5 Trial:520 w:42; Gen:9 Trial:914 w:38; Gen:69 Trial:6907 w:36; pErr:0.0000, weight 36 CW found:152</t>
  </si>
  <si>
    <t>Gen:0 Trial:0 w:104; Trial:1 w:94; Trial:2 w:92; Trial:15 w:62; Gen:1 Trial:172 w:52; Gen:3 Trial:302 w:44; Gen:5 Trial:591 w:42; Gen:7 Trial:744 w:40; Gen:8 Trial:832 w:38; Gen:11 Trial:1176 w:36; Gen:40 Trial:4063 w:34; pErr:0.0000, weight 34 CW found:481</t>
  </si>
  <si>
    <t>Gen:0 Trial:0 w:102; Trial:1 w:96; Trial:4 w:80; Trial:6 w:74; Trial:56 w:64; Trial:69 w:60; Gen:2 Trial:280 w:58; Gen:3 Trial:311 w:54; Gen:6 Trial:645 w:52; Gen:13 Trial:1301 w:50; Trial:1392 w:48; Gen:74 Trial:7402 w:46; Gen:76 Trial:7697 w:44; Gen:87 Trial:8711 w:42; Trial:8737 w:40; pErr:0.0000, weight 40 CW found:110</t>
  </si>
  <si>
    <t>Gen:0 Trial:0 w:106; Trial:3 w:100; Trial:5 w:98; Trial:6 w:96; Trial:8 w:92; Trial:14 w:88; Trial:26 w:76; Trial:46 w:66; Gen:2 Trial:270 w:62; Gen:4 Trial:470 w:60; Gen:5 Trial:562 w:58; Gen:7 Trial:717 w:56; Gen:11 Trial:1140 w:54; Gen:20 Trial:2066 w:50; Gen:22 Trial:2251 w:48; Gen:42 Trial:4257 w:46; Gen:45 Trial:4591 w:44; Gen:58 Trial:5872 w:42; Gen:60 Trial:6093 w:36; Gen:89 Trial:8902 w:34; pErr:0.0000, weight 34 CW found:55</t>
  </si>
  <si>
    <t>Gen:0 Trial:0 w:112; Trial:1 w:108; Trial:2 w:100; Trial:4 w:96; Trial:6 w:70; Trial:18 w:58; Gen:2 Trial:229 w:52; Gen:28 Trial:2894 w:48; Gen:36 Trial:3611 w:46; Gen:52 Trial:5261 w:44; Gen:55 Trial:5578 w:42; Gen:77 Trial:7791 w:38; pErr:0.0000, weight 38 CW found:111</t>
  </si>
  <si>
    <t>Gen:0 Trial:0 w:106; Trial:1 w:84; Trial:5 w:76; Trial:17 w:62; Gen:1 Trial:127 w:52; Gen:14 Trial:1448 w:50; Gen:27 Trial:2727 w:48; Gen:36 Trial:3637 w:44; Gen:52 Trial:5243 w:42; Gen:55 Trial:5595 w:38; Gen:59 Trial:5946 w:36; pErr:0.0000, weight 36 CW found:265</t>
  </si>
  <si>
    <t>Gen:0 Trial:0 w:100; Trial:1 w:96; Trial:3 w:80; Trial:8 w:76; Trial:58 w:66; Gen:1 Trial:100 w:62; Gen:3 Trial:304 w:58; Gen:5 Trial:580 w:56; Gen:7 Trial:703 w:52; Gen:11 Trial:1173 w:50; Gen:15 Trial:1511 w:48; Gen:18 Trial:1886 w:46; Gen:20 Trial:2071 w:42; Gen:57 Trial:5792 w:40; pErr:0.0000, weight 40 CW found:215</t>
  </si>
  <si>
    <t>Gen:0 Trial:0 w:68; Trial:16 w:56; Gen:2 Trial:297 w:54; Gen:3 Trial:306 w:52; Gen:6 Trial:637 w:48; Gen:15 Trial:1514 w:44; pErr:0.0000, weight 44 CW found:420</t>
  </si>
  <si>
    <t>Gen:0 Trial:0 w:102; Trial:1 w:88; Trial:4 w:84; Trial:8 w:72; Trial:23 w:64; Trial:50 w:56; Gen:5 Trial:533 w:54; Gen:7 Trial:704 w:50; Gen:11 Trial:1134 w:48; Gen:20 Trial:2019 w:46; Gen:21 Trial:2181 w:44; Gen:31 Trial:3125 w:42; Gen:47 Trial:4737 w:38; pErr:0.0000, weight 38 CW found:321</t>
  </si>
  <si>
    <t>Gen:0 Trial:0 w:102; Trial:2 w:96; Trial:9 w:78; Trial:11 w:68; Trial:78 w:58; Gen:3 Trial:318 w:56; Trial:389 w:54; Gen:6 Trial:624 w:52; Gen:7 Trial:738 w:50; Gen:9 Trial:910 w:48; Gen:13 Trial:1331 w:46; Gen:25 Trial:2536 w:44; pErr:0.0000, weight 44 CW found:273</t>
  </si>
  <si>
    <t>Gen:0 Trial:0 w:108; Trial:2 w:98; Trial:3 w:92; Trial:5 w:64; Gen:2 Trial:232 w:60; Gen:3 Trial:309 w:56; Gen:5 Trial:511 w:52; Gen:11 Trial:1107 w:50; Gen:36 Trial:3640 w:48; Trial:3680 w:46; Gen:41 Trial:4109 w:42; Gen:42 Trial:4241 w:40; pErr:0.0000, weight 40 CW found:234</t>
  </si>
  <si>
    <t>Gen:0 Trial:0 w:106; Trial:1 w:100; Trial:2 w:92; Trial:10 w:86; Trial:12 w:80; Trial:15 w:72; Trial:19 w:68; Trial:26 w:66; Trial:40 w:54; Gen:2 Trial:210 w:52; Gen:5 Trial:577 w:50; Gen:17 Trial:1741 w:48; Gen:44 Trial:4410 w:46; Gen:46 Trial:4655 w:42; Gen:51 Trial:5145 w:40; Gen:59 Trial:5941 w:38; pErr:0.0000, weight 38 CW found:275</t>
  </si>
  <si>
    <t>Gen:0 Trial:0 w:102; Trial:2 w:98; Trial:5 w:74; Trial:24 w:70; Gen:1 Trial:153 w:62; Trial:180 w:56; Gen:3 Trial:305 w:54; Gen:6 Trial:619 w:50; Gen:8 Trial:864 w:48; Gen:10 Trial:1068 w:46; Gen:14 Trial:1448 w:44; Gen:34 Trial:3471 w:42; Gen:41 Trial:4173 w:40; pErr:0.0000, weight 40 CW found:319</t>
  </si>
  <si>
    <t>Gen:0 Trial:0 w:96; Trial:6 w:94; Trial:10 w:88; Trial:12 w:70; Trial:95 w:54; Gen:2 Trial:209 w:52; Gen:6 Trial:648 w:48; Gen:8 Trial:803 w:46; Gen:13 Trial:1397 w:44; Gen:15 Trial:1580 w:40; Gen:19 Trial:1950 w:38; Gen:22 Trial:2210 w:36; pErr:0.0000, weight 36 CW found:527</t>
  </si>
  <si>
    <t>Gen:0 Trial:0 w:96; Trial:2 w:78; Trial:16 w:68; Trial:61 w:56; Gen:15 Trial:1500 w:50; Gen:20 Trial:2003 w:48; Gen:23 Trial:2300 w:44; Gen:25 Trial:2528 w:42; Gen:28 Trial:2846 w:40; Gen:41 Trial:4140 w:38; Gen:44 Trial:4457 w:36; pErr:0.0000, weight 36 CW found:290</t>
  </si>
  <si>
    <t>Gen:0 Trial:0 w:98; Trial:1 w:96; Trial:2 w:92; Trial:13 w:90; Trial:15 w:80; Trial:33 w:78; Trial:46 w:48; Gen:1 Trial:100 w:46; Trial:130 w:44; Gen:62 Trial:6281 w:42; pErr:0.0000, weight 42 CW found:284</t>
  </si>
  <si>
    <t>Gen:0 Trial:0 w:78; Trial:46 w:76; Trial:59 w:72; Trial:99 w:64; Gen:2 Trial:201 w:60; Gen:5 Trial:577 w:54; Gen:8 Trial:835 w:52; Gen:10 Trial:1047 w:48; Gen:17 Trial:1743 w:46; Gen:22 Trial:2265 w:44; pErr:0.0000, weight 44 CW found:422</t>
  </si>
  <si>
    <t>Gen:0 Trial:0 w:112; Trial:1 w:96; Trial:2 w:92; Trial:3 w:76; Trial:23 w:74; Trial:60 w:62; Trial:70 w:54; Gen:1 Trial:110 w:50; Gen:5 Trial:545 w:48; Gen:7 Trial:714 w:46; Gen:10 Trial:1049 w:42; Gen:32 Trial:3269 w:40; pErr:0.0000, weight 40 CW found:387</t>
  </si>
  <si>
    <t>Gen:0 Trial:0 w:110; Trial:1 w:78; Trial:37 w:74; Trial:89 w:66; Gen:1 Trial:150 w:62; Gen:3 Trial:341 w:52; Gen:7 Trial:762 w:48; Gen:15 Trial:1548 w:46; Gen:22 Trial:2284 w:44; pErr:0.0000, weight 44 CW found:557</t>
  </si>
  <si>
    <t>Gen:0 Trial:0 w:102; Trial:1 w:96; Trial:5 w:94; Trial:8 w:90; Trial:10 w:88; Trial:14 w:74; Trial:20 w:50; Gen:2 Trial:235 w:46; Gen:5 Trial:543 w:44; Gen:6 Trial:613 w:40; pErr:0.0000, weight 40 CW found:534</t>
  </si>
  <si>
    <t>Gen:0 Trial:0 w:108; Trial:3 w:104; Trial:5 w:72; Trial:38 w:68; Gen:1 Trial:140 w:56; Gen:4 Trial:423 w:52; Gen:14 Trial:1449 w:50; Gen:20 Trial:2038 w:46; Gen:87 Trial:8745 w:44; Gen:89 Trial:8953 w:42; pErr:0.0000, weight 42 CW found:96</t>
  </si>
  <si>
    <t>Gen:0 Trial:0 w:110; Trial:1 w:92; Trial:5 w:86; Trial:16 w:80; Trial:39 w:74; Trial:54 w:68; Trial:75 w:60; Gen:1 Trial:140 w:48; Gen:4 Trial:400 w:42; Gen:76 Trial:7602 w:40; Gen:85 Trial:8557 w:38; Gen:88 Trial:8855 w:36; pErr:0.0000, weight 36 CW found:72</t>
  </si>
  <si>
    <t>Gen:0 Trial:0 w:108; Trial:1 w:104; Trial:2 w:88; Trial:18 w:72; Trial:22 w:68; Trial:40 w:46; Gen:14 Trial:1414 w:44; Gen:18 Trial:1893 w:42; Gen:21 Trial:2194 w:40; Gen:39 Trial:3941 w:38; pErr:0.0000, weight 38 CW found:484</t>
  </si>
  <si>
    <t>Gen:0 Trial:0 w:106; Trial:3 w:66; Trial:44 w:64; Trial:63 w:52; Gen:6 Trial:667 w:50; Gen:7 Trial:730 w:48; Gen:27 Trial:2792 w:46; Gen:38 Trial:3819 w:44; pErr:0.0000, weight 44 CW found:316</t>
  </si>
  <si>
    <t>Gen:0 Trial:0 w:112; Trial:1 w:96; Trial:13 w:92; Trial:15 w:90; Trial:17 w:88; Trial:20 w:72; Trial:25 w:70; Trial:90 w:60; Gen:1 Trial:120 w:58; Gen:4 Trial:462 w:54; Gen:6 Trial:640 w:50; Gen:13 Trial:1328 w:48; Gen:14 Trial:1420 w:46; Gen:19 Trial:1979 w:44; Gen:20 Trial:2014 w:42; Gen:23 Trial:2320 w:40; Gen:60 Trial:6058 w:38; pErr:0.0000, weight 38 CW found:169</t>
  </si>
  <si>
    <t>Gen:0 Trial:0 w:88; Trial:2 w:82; Trial:7 w:78; Trial:12 w:74; Trial:24 w:54; Gen:3 Trial:318 w:50; Gen:6 Trial:690 w:46; Gen:8 Trial:860 w:44; Gen:10 Trial:1059 w:42; Gen:24 Trial:2404 w:40; Gen:63 Trial:6308 w:38; Gen:70 Trial:7030 w:36; Trial:7095 w:34; pErr:0.0000, weight 34 CW found:184</t>
  </si>
  <si>
    <t>Gen:0 Trial:0 w:70; Trial:28 w:58; Trial:44 w:48; Gen:2 Trial:220 w:44; Gen:6 Trial:612 w:42; Gen:8 Trial:806 w:40; Gen:13 Trial:1357 w:38; Gen:19 Trial:1948 w:36; pErr:0.0000, weight 36 CW found:123</t>
  </si>
  <si>
    <t>Gen:0 Trial:0 w:72; Trial:3 w:66; Trial:59 w:60; Gen:1 Trial:140 w:58; Gen:4 Trial:425 w:54; Gen:69 Trial:6997 w:52; Gen:73 Trial:7326 w:50; pErr:0.0000, weight 50 CW found:150</t>
  </si>
  <si>
    <t>Gen:0 Trial:0 w:94; Trial:4 w:84; Trial:33 w:74; Trial:53 w:64; Gen:1 Trial:161 w:60; Gen:3 Trial:334 w:58; Gen:4 Trial:479 w:54; Gen:5 Trial:514 w:52; Gen:6 Trial:622 w:50; Gen:7 Trial:745 w:48; Gen:8 Trial:887 w:44; Gen:10 Trial:1015 w:42; Trial:1021 w:40; Gen:11 Trial:1191 w:38; Gen:26 Trial:2672 w:36; pErr:0.0000, weight 36 CW found:638</t>
  </si>
  <si>
    <t>Gen:0 Trial:0 w:98; Trial:4 w:94; Trial:6 w:88; Trial:10 w:80; Trial:14 w:74; Gen:2 Trial:237 w:70; Trial:246 w:68; Gen:4 Trial:480 w:64; Gen:6 Trial:603 w:60; Gen:8 Trial:804 w:56; Gen:11 Trial:1115 w:54; Gen:13 Trial:1343 w:52; Gen:37 Trial:3768 w:50; Gen:39 Trial:3941 w:48; Gen:52 Trial:5269 w:44; pErr:0.0000, weight 44 CW found:193</t>
  </si>
  <si>
    <t>Gen:0 Trial:0 w:110; Trial:1 w:86; Trial:17 w:72; Trial:40 w:48; Gen:2 Trial:201 w:44; Gen:4 Trial:490 w:42; Gen:49 Trial:4911 w:40; Gen:59 Trial:5976 w:38; Gen:76 Trial:7683 w:36; Gen:81 Trial:8197 w:34; pErr:0.0000, weight 34 CW found:128</t>
  </si>
  <si>
    <t>Gen:0 Trial:0 w:90; Trial:4 w:86; Trial:10 w:82; Trial:42 w:78; Trial:54 w:48; Gen:2 Trial:258 w:46; Gen:6 Trial:671 w:44; Gen:9 Trial:901 w:40; Gen:27 Trial:2798 w:38; Gen:58 Trial:5800 w:34; pErr:0.0000, weight 34 CW found:218</t>
  </si>
  <si>
    <t>Gen:0 Trial:0 w:100; Trial:1 w:70; Gen:1 Trial:118 w:64; Gen:2 Trial:241 w:60; Gen:5 Trial:508 w:58; Gen:8 Trial:839 w:56; Gen:15 Trial:1507 w:54; Gen:39 Trial:3965 w:52; Gen:81 Trial:8187 w:50; Gen:84 Trial:8408 w:46; Gen:86 Trial:8628 w:44; pErr:0.0000, weight 44 CW found:120</t>
  </si>
  <si>
    <t>Gen:0 Trial:0 w:100; Trial:3 w:96; Trial:7 w:78; Trial:24 w:74; Trial:44 w:72; Gen:2 Trial:202 w:70; Trial:258 w:68; Gen:3 Trial:361 w:66; Gen:5 Trial:543 w:64; Trial:581 w:60; Gen:6 Trial:698 w:50; Gen:9 Trial:957 w:48; Gen:11 Trial:1154 w:44; Gen:23 Trial:2378 w:40; Gen:88 Trial:8856 w:38; pErr:0.0000, weight 38 CW found:57</t>
  </si>
  <si>
    <t>Gen:0 Trial:0 w:112; Trial:1 w:88; Trial:16 w:72; Trial:55 w:66; Gen:2 Trial:208 w:62; Gen:3 Trial:357 w:60; Gen:6 Trial:611 w:58; Trial:653 w:52; Gen:7 Trial:760 w:50; Gen:8 Trial:803 w:48; Trial:840 w:44; Gen:61 Trial:6129 w:42; Gen:81 Trial:8163 w:40; pErr:0.0000, weight 40 CW found:76</t>
  </si>
  <si>
    <t>Gen:0 Trial:0 w:80; Trial:9 w:72; Trial:50 w:68; Trial:77 w:64; Trial:80 w:60; Gen:2 Trial:200 w:58; Trial:240 w:56; Gen:5 Trial:506 w:48; Gen:7 Trial:742 w:44; Trial:767 w:42; Gen:9 Trial:911 w:40; Gen:10 Trial:1054 w:38; Gen:11 Trial:1152 w:36; pErr:0.0000, weight 36 CW found:568</t>
  </si>
  <si>
    <t>Gen:0 Trial:0 w:96; Trial:1 w:94; Trial:6 w:92; Trial:11 w:86; Trial:16 w:84; Trial:21 w:76; Trial:23 w:56; Gen:1 Trial:164 w:54; Gen:3 Trial:354 w:52; Gen:4 Trial:488 w:50; Gen:5 Trial:548 w:48; Gen:6 Trial:661 w:44; Gen:30 Trial:3006 w:42; pErr:0.0000, weight 42 CW found:420</t>
  </si>
  <si>
    <t>Gen:0 Trial:0 w:98; Trial:2 w:96; Trial:4 w:92; Trial:5 w:86; Trial:7 w:84; Trial:10 w:68; Gen:1 Trial:100 w:66; Trial:167 w:64; Gen:3 Trial:300 w:60; Gen:5 Trial:528 w:56; Gen:16 Trial:1683 w:44; Gen:19 Trial:1951 w:40; Gen:92 Trial:9225 w:34; pErr:0.0000, weight 34 CW found:57</t>
  </si>
  <si>
    <t>Gen:0 Trial:0 w:92; Trial:5 w:90; Trial:11 w:84; Trial:24 w:72; Trial:42 w:70; Trial:95 w:66; Gen:1 Trial:101 w:64; Gen:2 Trial:222 w:62; Gen:3 Trial:376 w:60; Gen:4 Trial:459 w:54; Gen:8 Trial:854 w:50; Gen:9 Trial:961 w:46; Gen:17 Trial:1783 w:44; Gen:20 Trial:2070 w:42; Gen:22 Trial:2262 w:38; Gen:24 Trial:2475 w:36; pErr:0.0000, weight 36 CW found:909</t>
  </si>
  <si>
    <t>Gen:0 Trial:0 w:110; Trial:1 w:100; Trial:2 w:92; Trial:5 w:88; Trial:12 w:74; Trial:47 w:72; Trial:50 w:70; Trial:83 w:58; Gen:4 Trial:409 w:54; Gen:9 Trial:900 w:52; Gen:14 Trial:1484 w:50; Gen:28 Trial:2884 w:48; Gen:36 Trial:3695 w:44; Gen:43 Trial:4382 w:40; pErr:0.0000, weight 40 CW found:233</t>
  </si>
  <si>
    <t>Gen:0 Trial:0 w:110; Trial:1 w:108; Trial:2 w:94; Trial:5 w:82; Trial:25 w:78; Trial:27 w:56; Gen:2 Trial:223 w:54; Gen:3 Trial:305 w:52; Gen:5 Trial:504 w:50; Gen:8 Trial:802 w:48; Gen:26 Trial:2650 w:42; Gen:33 Trial:3321 w:40; pErr:0.0000, weight 40 CW found:348</t>
  </si>
  <si>
    <t>Gen:0 Trial:0 w:106; Trial:1 w:100; Trial:2 w:90; Trial:11 w:82; Trial:27 w:64; Gen:1 Trial:100 w:60; Gen:4 Trial:408 w:56; Gen:5 Trial:521 w:54; Gen:6 Trial:672 w:52; Gen:7 Trial:735 w:50; Gen:9 Trial:927 w:48; Gen:10 Trial:1034 w:46; Gen:12 Trial:1244 w:42; Gen:14 Trial:1421 w:40; Gen:96 Trial:9697 w:38; Gen:98 Trial:9830 w:36; Gen:99 Trial:9908 w:34; pErr:0.0011, weight 34 CW found:17</t>
  </si>
  <si>
    <t>Gen:0 Trial:0 w:110; Trial:1 w:100; Trial:2 w:90; Trial:3 w:68; Trial:11 w:60; Trial:17 w:58; Gen:2 Trial:221 w:56; Gen:3 Trial:361 w:48; Gen:5 Trial:506 w:44; Gen:8 Trial:890 w:40; Gen:16 Trial:1637 w:38; pErr:0.0000, weight 38 CW found:327</t>
  </si>
  <si>
    <t>Gen:0 Trial:0 w:80; Trial:31 w:66; Gen:1 Trial:110 w:62; Trial:194 w:60; Gen:2 Trial:212 w:52; Gen:5 Trial:534 w:50; Gen:12 Trial:1251 w:48; Gen:16 Trial:1625 w:46; Gen:19 Trial:1941 w:44; Gen:24 Trial:2491 w:42; Gen:87 Trial:8738 w:40; Gen:89 Trial:8913 w:38; Gen:93 Trial:9392 w:36; pErr:0.0000, weight 36 CW found:44</t>
  </si>
  <si>
    <t>Gen:0 Trial:0 w:98; Trial:3 w:78; Trial:15 w:52; Gen:2 Trial:216 w:48; Gen:3 Trial:330 w:44; Gen:21 Trial:2117 w:42; pErr:0.0000, weight 42 CW found:357</t>
  </si>
  <si>
    <t>Gen:0 Trial:0 w:106; Trial:1 w:100; Trial:4 w:96; Trial:6 w:94; Trial:9 w:84; Trial:21 w:66; Gen:1 Trial:136 w:62; Gen:2 Trial:221 w:58; Gen:4 Trial:440 w:56; Trial:462 w:54; Gen:6 Trial:683 w:52; Gen:15 Trial:1535 w:50; Gen:21 Trial:2187 w:48; Gen:31 Trial:3133 w:44; Gen:56 Trial:5603 w:42; Gen:57 Trial:5740 w:40; Gen:76 Trial:7680 w:38; pErr:0.0000, weight 38 CW found:113</t>
  </si>
  <si>
    <t>Gen:0 Trial:0 w:84; Trial:14 w:74; Trial:18 w:62; Gen:1 Trial:180 w:60; Gen:4 Trial:434 w:56; Gen:5 Trial:590 w:52; Gen:12 Trial:1269 w:48; Gen:15 Trial:1512 w:46; Gen:90 Trial:9059 w:44; Gen:92 Trial:9220 w:40; Gen:97 Trial:9798 w:36; pErr:0.0003, weight 36 CW found:27</t>
  </si>
  <si>
    <t>Gen:0 Trial:0 w:80; Trial:4 w:78; Trial:25 w:70; Gen:1 Trial:109 w:68; Gen:2 Trial:265 w:66; Trial:269 w:52; Gen:6 Trial:668 w:50; Gen:15 Trial:1552 w:40; Gen:19 Trial:1919 w:38; Gen:25 Trial:2507 w:36; pErr:0.0000, weight 36 CW found:522</t>
  </si>
  <si>
    <t>Gen:0 Trial:0 w:110; Trial:1 w:90; Trial:9 w:86; Trial:10 w:68; Trial:27 w:58; Gen:1 Trial:120 w:46; Gen:3 Trial:349 w:44; Gen:85 Trial:8588 w:40; pErr:0.0000, weight 40 CW found:73</t>
  </si>
  <si>
    <t>Gen:0 Trial:0 w:120; Trial:1 w:114; Trial:2 w:106; Trial:3 w:94; Trial:14 w:86; Trial:15 w:64; Trial:23 w:52; Gen:1 Trial:190 w:50; Gen:7 Trial:739 w:48; Trial:749 w:46; Gen:12 Trial:1218 w:44; Gen:76 Trial:7678 w:42; pErr:0.0000, weight 42 CW found:232</t>
  </si>
  <si>
    <t>Gen:0 Trial:0 w:112; Trial:2 w:102; Trial:7 w:100; Trial:13 w:96; Trial:17 w:92; Trial:19 w:82; Trial:22 w:80; Trial:36 w:70; Trial:45 w:64; Trial:98 w:60; Gen:2 Trial:258 w:56; Gen:4 Trial:424 w:54; Trial:469 w:50; Gen:17 Trial:1733 w:48; Gen:52 Trial:5214 w:46; Gen:54 Trial:5456 w:44; Gen:64 Trial:6401 w:42; Gen:70 Trial:7053 w:40; pErr:0.0000, weight 40 CW found:186</t>
  </si>
  <si>
    <t>Gen:0 Trial:0 w:104; Trial:3 w:100; Trial:10 w:94; Trial:14 w:88; Trial:15 w:80; Trial:21 w:64; Gen:2 Trial:238 w:58; Gen:3 Trial:340 w:54; Gen:4 Trial:430 w:52; Gen:6 Trial:642 w:48; Gen:8 Trial:805 w:46; Gen:17 Trial:1766 w:44; Gen:27 Trial:2762 w:42; Gen:98 Trial:9830 w:40; pErr:0.0061, weight 40 CW found:39</t>
  </si>
  <si>
    <t>outfile: /Users/markwebster/Dropbox/QuantumComputing/dev/codeDistance/results/BB_test-QDistRndMW-20251225_095709.497788_85062422.txt</t>
  </si>
  <si>
    <t>Trial:0 w:102; Trial:5 w:94; Trial:6 w:88; Trial:19 w:82; Trial:25 w:76; Trial:69 w:74; Trial:83 w:70; Trial:183 w:50; Trial:202 w:48; Trial:824 w:40; Trial:1604 w:38; pErr:0.3679, weight 38 CW found:10515, 38:1,40:1,42:1,44:2,46:1,48:2,50:6,52:5,54:7,56:8,58:15,60:15,62:16,64:24,66:36,68:43,70:56,72:70,74:86,76:99,78:138,80:148,82:176,84:219,86:239,88:350,90:372,92:492,94:575,96:621,98:685,100:741,102:780,104:754,106:715,108:611,110:581,112:422,114:328,116:234,118:139,120:93,122:42,124:30,126:11,128:8,130:2</t>
  </si>
  <si>
    <t>Trial:0 w:100; Trial:2 w:96; Trial:3 w:84; Trial:5 w:76; Trial:23 w:74; Trial:75 w:72; Trial:104 w:60; Trial:243 w:52; Trial:724 w:40; pErr:0.3679, weight 40 CW found:11737, 40:1,42:1,44:1,46:2,48:2,50:3,52:7,54:12,56:10,58:9,60:27,62:21,64:25,66:30,68:36,70:48,72:54,74:82,76:104,78:127,80:149,82:196,84:245,86:326,88:315,90:393,92:464,94:575,96:603,98:667,100:709,102:765,104:750,106:675,108:598,110:584,112:445,114:366,116:234,118:155,120:100,122:46,124:26,126:10,128:2</t>
  </si>
  <si>
    <t>Trial:0 w:112; Trial:1 w:92; Trial:6 w:72; Trial:52 w:70; Trial:120 w:62; Trial:228 w:60; Trial:358 w:56; Trial:1002 w:54; Trial:1303 w:38; pErr:0.3679, weight 38 CW found:11031, 38:1,44:2,48:5,52:3,54:9,56:14,58:8,60:22,62:28,64:29,66:36,68:40,70:47,72:80,74:87,76:101,78:118,80:140,82:188,84:232,86:297,88:326,90:384,92:470,94:563,96:586,98:674,100:757,102:720,104:723,106:724,108:644,110:568,112:470,114:313,116:251,118:180,120:91,122:42,124:20,126:4,128:2,130:1</t>
  </si>
  <si>
    <t>Trial:0 w:98; Trial:2 w:78; Trial:38 w:76; Trial:51 w:58; Trial:143 w:56; Trial:345 w:54; Trial:4093 w:52; Trial:4816 w:50; Trial:6535 w:46; Trial:9700 w:42; pErr:0.3679, weight 42 CW found:393, 42:1,46:2,48:3,50:2,52:3,54:7,56:10,58:17,60:15,62:20,64:31,66:35,68:36,70:50,72:59,74:71,76:102,78:129,80:145,82:189,84:247,86:295,88:350,90:445,92:449,94:556,96:590,98:656,100:717,102:743,104:752,106:722,108:643,110:568,112:452,114:339,116:226,118:158,120:85,122:46,124:20,126:11,128:2,132:1</t>
  </si>
  <si>
    <t>Trial:0 w:102; Trial:1 w:90; Trial:7 w:88; Trial:11 w:68; Trial:171 w:66; Trial:208 w:58; Trial:248 w:42; pErr:0.3679, weight 42 CW found:12406, 42:1,46:2,48:2,50:1,52:7,54:8,56:15,58:21,60:10,62:28,64:37,66:39,68:39,70:49,72:73,74:71,76:90,78:148,80:148,82:185,84:237,86:287,88:324,90:429,92:459,94:542,96:583,98:680,100:738,102:740,104:716,106:735,108:638,110:566,112:429,114:332,116:267,118:161,120:85,122:42,124:25,126:8,128:2,130:1</t>
  </si>
  <si>
    <t>Trial:0 w:102; Trial:2 w:98; Trial:3 w:86; Trial:11 w:84; Trial:14 w:70; Trial:27 w:66; Trial:158 w:52; Trial:778 w:48; Trial:4730 w:44; Trial:6964 w:42; pErr:0.3679, weight 42 CW found:3812, 42:1,44:1,48:3,50:3,52:9,54:5,56:8,58:11,60:16,62:19,64:25,66:45,68:41,70:42,72:67,74:89,76:88,78:151,80:159,82:200,84:207,86:254,88:333,90:420,92:469,94:555,96:618,98:661,100:697,102:791,104:753,106:707,108:678,110:577,112:419,114:330,116:232,118:150,120:87,122:47,124:20,126:7,128:2,130:3</t>
  </si>
  <si>
    <t>Trial:0 w:104; Trial:1 w:102; Trial:4 w:82; Trial:54 w:70; Trial:71 w:68; Trial:224 w:64; Trial:445 w:50; Trial:6225 w:46; pErr:0.3679, weight 46 CW found:4695, 46:3,48:1,50:6,52:5,54:3,56:12,58:9,60:11,62:21,64:29,66:29,68:49,70:61,72:73,74:74,76:107,78:115,80:152,82:181,84:232,86:259,88:346,90:388,92:427,94:588,96:616,98:679,100:703,102:752,104:754,106:769,108:686,110:551,112:424,114:330,116:228,118:151,120:95,122:45,124:21,126:11,128:2,130:2</t>
  </si>
  <si>
    <t>Trial:0 w:104; Trial:1 w:102; Trial:4 w:98; Trial:8 w:94; Trial:10 w:88; Trial:11 w:82; Trial:21 w:76; Trial:34 w:72; Trial:136 w:70; Trial:176 w:66; Trial:292 w:46; Trial:972 w:44; pErr:0.3679, weight 44 CW found:11410, 44:2,46:5,48:2,50:3,52:5,54:3,56:11,58:15,60:19,62:25,64:21,66:37,68:52,70:59,72:80,74:86,76:82,78:109,80:140,82:185,84:202,86:285,88:356,90:381,92:459,94:552,96:606,98:711,100:722,102:711,104:809,106:713,108:673,110:557,112:436,114:330,116:229,118:133,120:117,122:51,124:15,126:6,128:5</t>
  </si>
  <si>
    <t>Trial:0 w:92; Trial:4 w:80; Trial:14 w:76; Trial:37 w:74; Trial:57 w:60; Trial:242 w:56; Trial:453 w:46; pErr:0.3679, weight 46 CW found:12008, 46:1,48:3,50:6,52:4,54:10,56:10,58:10,60:16,62:26,64:31,66:29,68:49,70:53,72:63,74:113,76:106,78:142,80:177,82:168,84:221,86:303,88:345,90:380,92:466,94:547,96:643,98:710,100:778,102:719,104:751,106:636,108:617,110:562,112:447,114:305,116:255,118:137,120:88,122:42,124:17,126:12,128:2</t>
  </si>
  <si>
    <t>Trial:0 w:100; Trial:1 w:92; Trial:6 w:82; Trial:7 w:76; Trial:33 w:74; Trial:61 w:64; Trial:125 w:62; Trial:255 w:52; Trial:1154 w:50; Trial:2072 w:48; Trial:5568 w:44; pErr:0.3679, weight 44 CW found:5580, 44:2,48:4,50:4,52:8,54:1,56:7,58:11,60:15,62:21,64:33,66:34,68:55,70:51,72:55,74:101,76:106,78:118,80:145,82:193,84:229,86:297,88:319,90:426,92:498,94:621,96:644,98:710,100:729,102:724,104:728,106:733,108:620,110:521,112:412,114:293,116:228,118:166,120:63,122:38,124:20,126:10,128:4,130:3</t>
  </si>
  <si>
    <t>Trial:0 w:96; Trial:4 w:86; Trial:7 w:78; Trial:8 w:68; Trial:18 w:66; Trial:64 w:64; Trial:134 w:56; Trial:1857 w:50; Trial:4317 w:48; Trial:9607 w:44; pErr:0.3679, weight 44 CW found:498, 44:1,48:2,50:6,52:2,54:8,56:20,58:10,60:15,62:24,64:22,66:24,68:56,70:61,72:69,74:92,76:107,78:139,80:140,82:185,84:207,86:294,88:345,90:397,92:498,94:543,96:601,98:664,100:719,102:754,104:771,106:709,108:631,110:569,112:416,114:337,116:251,118:161,120:69,122:49,124:19,126:8,128:4,130:1</t>
  </si>
  <si>
    <t>Trial:0 w:96; Trial:4 w:78; Trial:20 w:76; Trial:53 w:70; Trial:95 w:66; Trial:159 w:60; Trial:174 w:44; Trial:5975 w:42; pErr:0.3679, weight 42 CW found:5065, 42:1,44:1,46:4,48:4,50:3,52:9,54:7,56:10,58:23,60:25,62:17,64:32,66:32,68:42,70:47,72:72,74:71,76:133,78:135,80:170,82:175,84:235,86:277,88:361,90:367,92:485,94:545,96:609,98:664,100:753,102:733,104:734,106:717,108:629,110:569,112:437,114:327,116:232,118:159,120:82,122:33,124:19,126:12,128:5,130:2,132:1</t>
  </si>
  <si>
    <t>Trial:0 w:86; Trial:1 w:84; Trial:4 w:82; Trial:20 w:80; Trial:26 w:78; Trial:39 w:76; Trial:169 w:74; Trial:174 w:66; Trial:336 w:62; Trial:380 w:58; Trial:1295 w:56; Trial:1768 w:54; Trial:5096 w:48; pErr:0.3679, weight 48 CW found:6227, 48:3,54:7,56:12,58:19,60:18,62:21,64:28,66:31,68:43,70:48,72:73,74:84,76:101,78:146,80:150,82:180,84:221,86:280,88:350,90:379,92:458,94:556,96:652,98:687,100:720,102:773,104:757,106:682,108:637,110:562,112:426,114:327,116:246,118:155,120:88,122:47,124:16,126:8,128:7,130:2</t>
  </si>
  <si>
    <t>Trial:0 w:74; Trial:26 w:68; Trial:123 w:64; Trial:180 w:62; Trial:190 w:54; Trial:388 w:50; Trial:900 w:38; pErr:0.3679, weight 38 CW found:11511, 38:1,40:2,42:1,46:1,50:4,52:9,54:7,56:16,58:14,60:20,62:20,64:32,66:34,68:34,70:60,72:70,74:94,76:102,78:130,80:162,82:200,84:251,86:300,88:337,90:402,92:474,94:512,96:595,98:673,100:736,102:769,104:752,106:702,108:671,110:538,112:407,114:320,116:233,118:138,120:97,122:47,124:17,126:13,128:3</t>
  </si>
  <si>
    <t>Trial:0 w:74; Trial:94 w:48; Trial:2601 w:44; Trial:7046 w:36; pErr:0.3679, weight 36 CW found:3695, 36:1,44:2,46:3,48:7,50:2,52:10,54:5,56:18,58:15,60:19,62:23,64:26,66:37,68:44,70:47,72:48,74:69,76:107,78:127,80:157,82:192,84:250,86:285,88:339,90:406,92:471,94:518,96:624,98:656,100:769,102:760,104:750,106:709,108:647,110:553,112:419,114:333,116:240,118:132,120:86,122:50,124:26,126:11,128:7</t>
  </si>
  <si>
    <t>Trial:0 w:98; Trial:5 w:96; Trial:6 w:94; Trial:9 w:76; Trial:10 w:62; Trial:167 w:46; Trial:5201 w:42; pErr:0.3679, weight 42 CW found:6070, 42:1,46:5,48:4,50:5,52:6,54:9,56:12,58:12,60:15,62:31,64:38,66:33,68:50,70:55,72:66,74:92,76:114,78:106,80:141,82:172,84:246,86:305,88:312,90:405,92:470,94:523,96:615,98:702,100:742,102:755,104:720,106:689,108:677,110:538,112:455,114:315,116:247,118:146,120:80,122:51,124:28,126:8,128:3,130:1</t>
  </si>
  <si>
    <t>Trial:0 w:92; Trial:3 w:88; Trial:5 w:56; Trial:146 w:54; Trial:1078 w:52; Trial:2017 w:50; Trial:2261 w:48; Trial:2465 w:46; Trial:4824 w:42; Trial:5662 w:40; pErr:0.3679, weight 40 CW found:5413, 40:2,42:1,44:1,46:4,48:4,50:3,52:1,54:10,56:9,58:20,60:18,62:22,64:31,66:32,68:47,70:69,72:65,74:71,76:109,78:138,80:161,82:183,84:252,86:253,88:347,90:367,92:493,94:582,96:613,98:669,100:724,102:719,104:733,106:750,108:638,110:559,112:414,114:366,116:225,118:143,120:84,122:39,124:17,126:9,128:1,130:2</t>
  </si>
  <si>
    <t>Trial:0 w:106; Trial:1 w:104; Trial:2 w:86; Trial:10 w:80; Trial:54 w:78; Trial:66 w:52; Trial:2886 w:50; Trial:5349 w:46; Trial:6246 w:38; pErr:0.3679, weight 38 CW found:4707, 38:1,46:1,50:1,52:5,54:7,56:13,58:17,60:15,62:21,64:32,66:35,68:41,70:46,72:92,74:90,76:121,78:160,80:145,82:184,84:241,86:282,88:303,90:412,92:459,94:526,96:600,98:675,100:764,102:724,104:745,106:724,108:616,110:571,112:461,114:330,116:236,118:152,120:75,122:43,124:22,126:9,128:1,130:2</t>
  </si>
  <si>
    <t>Trial:0 w:102; Trial:3 w:84; Trial:28 w:80; Trial:50 w:60; Trial:541 w:54; Trial:570 w:52; Trial:1429 w:50; Trial:1472 w:44; pErr:0.3679, weight 44 CW found:10741, 44:1,46:3,48:3,50:6,52:4,54:10,56:9,58:16,60:24,62:23,64:33,66:51,68:32,70:41,72:78,74:87,76:124,78:128,80:176,82:169,84:248,86:255,88:337,90:457,92:452,94:537,96:635,98:619,100:711,102:774,104:754,106:689,108:628,110:564,112:449,114:325,116:203,118:168,120:85,122:58,124:20,126:8,128:4,130:2</t>
  </si>
  <si>
    <t>Trial:0 w:118; Trial:1 w:106; Trial:3 w:92; Trial:8 w:86; Trial:11 w:72; Trial:42 w:70; Trial:86 w:64; Trial:90 w:56; Trial:777 w:48; pErr:0.3679, weight 48 CW found:11653, 48:7,50:3,52:4,54:9,56:15,58:8,60:12,62:28,64:35,66:39,68:55,70:57,72:80,74:96,76:100,78:119,80:158,82:179,84:247,86:285,88:322,90:446,92:443,94:531,96:638,98:647,100:742,102:742,104:767,106:683,108:601,110:578,112:439,114:358,116:223,118:145,120:91,122:38,124:17,126:11,128:1,130:1</t>
  </si>
  <si>
    <t>Trial:0 w:106; Trial:1 w:86; Trial:2 w:80; Trial:51 w:74; Trial:130 w:70; Trial:168 w:54; Trial:689 w:42; Trial:3057 w:36; pErr:0.3679, weight 36 CW found:8804, 36:1,40:1,42:1,44:1,46:5,48:3,50:5,52:6,54:8,56:13,58:22,60:22,62:19,64:31,66:38,68:41,70:57,72:65,74:78,76:105,78:111,80:138,82:189,84:236,86:285,88:306,90:414,92:447,94:560,96:613,98:698,100:739,102:724,104:735,106:735,108:641,110:543,112:453,114:334,116:246,118:171,120:83,122:39,124:23,126:9,128:3,130:2,132:1</t>
  </si>
  <si>
    <t>Trial:0 w:92; Trial:1 w:90; Trial:17 w:88; Trial:19 w:86; Trial:25 w:80; Trial:28 w:72; Trial:36 w:52; Trial:885 w:48; Trial:4648 w:40; pErr:0.3679, weight 40 CW found:6774, 40:1,42:1,46:1,48:5,50:4,52:7,54:5,56:6,58:16,60:23,62:34,64:16,66:36,68:50,70:56,72:56,74:82,76:122,78:134,80:143,82:195,84:251,86:266,88:329,90:397,92:469,94:552,96:612,98:704,100:706,102:756,104:707,106:674,108:664,110:559,112:449,114:326,116:237,118:165,120:102,122:49,124:23,126:6,128:1,130:2,132:1</t>
  </si>
  <si>
    <t>Trial:0 w:102; Trial:1 w:96; Trial:3 w:94; Trial:4 w:88; Trial:14 w:84; Trial:37 w:74; Trial:48 w:66; Trial:104 w:58; Trial:166 w:56; Trial:334 w:54; Trial:574 w:46; pErr:0.3679, weight 46 CW found:11859, 46:1,48:2,50:4,52:3,54:12,56:11,58:17,60:11,62:23,64:29,66:32,68:52,70:52,72:84,74:95,76:106,78:145,80:134,82:199,84:224,86:299,88:324,90:427,92:447,94:558,96:590,98:632,100:753,102:797,104:781,106:662,108:623,110:558,112:453,114:318,116:234,118:142,120:82,122:51,124:20,126:7,128:4,130:1,132:1</t>
  </si>
  <si>
    <t>Trial:0 w:90; Trial:4 w:84; Trial:8 w:82; Trial:31 w:78; Trial:71 w:66; Trial:92 w:64; Trial:166 w:58; Trial:649 w:56; Trial:1605 w:50; Trial:1934 w:46; Trial:7475 w:42; pErr:0.3679, weight 42 CW found:3190, 42:1,46:5,48:2,50:7,52:8,54:6,56:9,58:17,60:22,62:28,64:25,66:37,68:53,70:44,72:75,74:87,76:104,78:113,80:141,82:173,84:218,86:275,88:342,90:385,92:488,94:574,96:656,98:658,100:720,102:752,104:747,106:701,108:622,110:583,112:445,114:319,116:226,118:162,120:84,122:56,124:18,126:8,128:2,130:2</t>
  </si>
  <si>
    <t>Trial:0 w:96; Trial:3 w:82; Trial:9 w:74; Trial:32 w:72; Trial:46 w:60; Trial:58 w:58; Trial:155 w:44; Trial:3980 w:42; Trial:6789 w:40; pErr:0.3679, weight 40 CW found:3999, 40:1,42:1,44:2,46:2,48:4,50:3,52:5,54:14,56:6,58:22,60:21,62:22,64:29,66:39,68:60,70:56,72:57,74:79,76:101,78:134,80:149,82:188,84:230,86:280,88:344,90:416,92:460,94:525,96:665,98:670,100:733,102:724,104:726,106:759,108:620,110:547,112:445,114:332,116:226,118:144,120:79,122:45,124:18,126:12,128:4,130:1</t>
  </si>
  <si>
    <t>Trial:0 w:92; Trial:4 w:80; Trial:22 w:78; Trial:41 w:66; Trial:43 w:64; Trial:235 w:56; Trial:626 w:54; Trial:1948 w:50; Trial:2130 w:42; Trial:4991 w:40; pErr:0.3679, weight 40 CW found:6347, 40:2,42:1,48:5,50:3,52:8,54:8,56:13,58:14,60:15,62:23,64:29,66:25,68:49,70:73,72:65,74:83,76:93,78:134,80:156,82:188,84:210,86:295,88:316,90:411,92:497,94:506,96:641,98:699,100:724,102:778,104:712,106:686,108:641,110:547,112:448,114:343,116:246,118:156,120:66,122:48,124:33,126:8,128:1,130:1</t>
  </si>
  <si>
    <t>Trial:0 w:110; Trial:1 w:102; Trial:2 w:66; Trial:3 w:52; Trial:235 w:42; pErr:0.3679, weight 42 CW found:12370, 42:2,44:1,46:3,48:3,50:3,52:7,54:8,56:10,58:18,60:20,62:21,64:30,66:36,68:31,70:49,72:83,74:69,76:112,78:130,80:171,82:213,84:206,86:284,88:349,90:416,92:468,94:522,96:626,98:667,100:735,102:712,104:773,106:738,108:634,110:531,112:438,114:334,116:229,118:144,120:95,122:37,124:26,126:9,128:6,130:1</t>
  </si>
  <si>
    <t>Trial:0 w:106; Trial:1 w:100; Trial:4 w:98; Trial:7 w:94; Trial:11 w:90; Trial:16 w:80; Trial:19 w:72; Trial:69 w:68; Trial:93 w:60; Trial:96 w:54; Trial:2181 w:44; pErr:0.3679, weight 44 CW found:9818, 44:3,46:1,48:2,50:4,52:6,54:15,56:8,58:12,60:17,62:29,64:29,66:45,68:41,70:39,72:60,74:72,76:86,78:133,80:166,82:205,84:248,86:279,88:346,90:408,92:461,94:513,96:562,98:673,100:761,102:801,104:794,106:722,108:625,110:574,112:405,114:306,116:243,118:143,120:89,122:47,124:14,126:10,128:3</t>
  </si>
  <si>
    <t>Trial:0 w:102; Trial:2 w:98; Trial:3 w:86; Trial:4 w:78; Trial:22 w:74; Trial:53 w:64; Trial:444 w:60; Trial:511 w:52; Trial:776 w:48; pErr:0.3679, weight 48 CW found:11672, 48:3,50:2,52:8,54:10,56:10,58:8,60:16,62:23,64:28,66:29,68:51,70:58,72:68,74:89,76:109,78:116,80:135,82:223,84:242,86:271,88:332,90:419,92:498,94:539,96:621,98:675,100:705,102:718,104:744,106:679,108:657,110:600,112:432,114:332,116:235,118:175,120:68,122:46,124:15,126:8,130:2,132:1</t>
  </si>
  <si>
    <t>Trial:0 w:100; Trial:6 w:96; Trial:8 w:94; Trial:9 w:88; Trial:11 w:82; Trial:20 w:76; Trial:42 w:74; Trial:182 w:62; Trial:241 w:54; Trial:568 w:50; Trial:925 w:46; Trial:4230 w:42; pErr:0.3679, weight 42 CW found:7289, 42:1,44:1,46:1,48:5,50:4,52:5,54:15,56:11,58:12,60:27,62:38,64:29,66:30,68:50,70:45,72:65,74:88,76:110,78:130,80:127,82:191,84:228,86:280,88:355,90:384,92:473,94:530,96:609,98:669,100:676,102:760,104:773,106:693,108:661,110:587,112:458,114:321,116:222,118:171,120:92,122:40,124:15,126:14,128:2,130:1,132:1</t>
  </si>
  <si>
    <t>Trial:0 w:70; Trial:2 w:66; Trial:64 w:54; Trial:362 w:50; Trial:2311 w:38; pErr:0.3679, weight 38 CW found:9694, 38:1,40:1,44:3,46:5,48:1,50:7,52:2,54:14,56:14,58:18,60:17,62:22,64:28,66:34,68:44,70:40,72:67,74:78,76:98,78:127,80:158,82:172,84:242,86:279,88:357,90:428,92:459,94:560,96:609,98:673,100:717,102:796,104:750,106:701,108:612,110:552,112:446,114:336,116:216,118:131,120:91,122:48,124:25,126:16,128:3,130:2</t>
  </si>
  <si>
    <t>Trial:0 w:110; Trial:1 w:98; Trial:3 w:82; Trial:14 w:80; Trial:25 w:76; Trial:46 w:62; Trial:80 w:54; Trial:346 w:48; Trial:2445 w:44; pErr:0.3679, weight 44 CW found:9631, 44:2,48:3,50:1,52:6,54:12,56:9,58:10,60:25,62:26,64:23,66:34,68:48,70:60,72:53,74:90,76:87,78:118,80:151,82:204,84:239,86:286,88:306,90:439,92:481,94:547,96:648,98:685,100:721,102:720,104:753,106:701,108:611,110:601,112:449,114:328,116:218,118:138,120:70,122:50,124:34,126:6,128:4,130:3</t>
  </si>
  <si>
    <t>Trial:0 w:96; Trial:6 w:94; Trial:15 w:92; Trial:19 w:90; Trial:29 w:78; Trial:34 w:68; Trial:73 w:50; Trial:356 w:44; pErr:0.3679, weight 44 CW found:12199, 44:1,46:2,48:1,50:5,52:6,54:6,56:15,58:9,60:27,62:13,64:29,66:34,68:49,70:43,72:76,74:84,76:103,78:125,80:138,82:191,84:217,86:281,88:318,90:437,92:485,94:539,96:620,98:659,100:696,102:726,104:731,106:733,108:709,110:549,112:425,114:343,116:244,118:164,120:86,122:51,124:20,126:5,128:4,130:1</t>
  </si>
  <si>
    <t>Trial:0 w:108; Trial:1 w:94; Trial:5 w:66; Trial:186 w:60; Trial:710 w:58; Trial:982 w:44; Trial:4897 w:42; pErr:0.3679, weight 42 CW found:6430, 42:1,44:2,48:1,50:4,52:4,54:3,56:6,58:15,60:17,62:26,64:17,66:39,68:61,70:53,72:68,74:88,76:122,78:118,80:142,82:212,84:254,86:286,88:339,90:378,92:473,94:529,96:603,98:683,100:727,102:744,104:754,106:711,108:670,110:568,112:426,114:326,116:225,118:141,120:92,122:31,124:27,126:9,128:5</t>
  </si>
  <si>
    <t>Trial:0 w:78; Trial:43 w:74; Trial:64 w:66; Trial:133 w:42; Trial:7983 w:40; pErr:0.3679, weight 40 CW found:2491, 40:1,42:4,44:1,46:2,48:3,50:6,52:7,54:8,56:13,58:19,60:17,62:26,64:32,66:25,68:48,70:55,72:64,74:76,76:107,78:133,80:142,82:205,84:223,86:286,88:332,90:435,92:500,94:545,96:615,98:669,100:699,102:728,104:689,106:724,108:645,110:554,112:458,114:329,116:255,118:141,120:85,122:57,124:20,126:7,128:5,130:4,132:1</t>
  </si>
  <si>
    <t>Trial:0 w:98; Trial:2 w:94; Trial:7 w:90; Trial:8 w:78; Trial:9 w:72; Trial:50 w:66; Trial:154 w:60; Trial:394 w:58; Trial:1107 w:56; Trial:2198 w:52; Trial:4274 w:48; Trial:8297 w:40; pErr:0.3679, weight 40 CW found:2183, 40:1,46:1,48:1,50:4,52:8,54:5,56:12,58:13,60:11,62:20,64:38,66:44,68:39,70:62,72:64,74:84,76:96,78:121,80:150,82:199,84:244,86:284,88:372,90:382,92:459,94:558,96:629,98:679,100:680,102:715,104:785,106:699,108:623,110:557,112:412,114:363,116:257,118:135,120:92,122:63,124:24,126:9,128:4,130:2</t>
  </si>
  <si>
    <t>Trial:0 w:88; Trial:14 w:64; Trial:158 w:60; Trial:814 w:52; Trial:1485 w:50; Trial:3043 w:42; Trial:8527 w:40; pErr:0.3679, weight 40 CW found:1864, 40:1,42:1,50:4,52:7,54:3,56:8,58:12,60:16,62:24,64:31,66:40,68:45,70:53,72:66,74:94,76:92,78:128,80:173,82:172,84:244,86:286,88:344,90:409,92:476,94:523,96:612,98:725,100:716,102:707,104:758,106:706,108:671,110:554,112:428,114:336,116:238,118:151,120:76,122:39,124:17,126:8,128:4,132:2</t>
  </si>
  <si>
    <t>Trial:0 w:98; Trial:1 w:86; Trial:9 w:46; Trial:1555 w:44; Trial:6469 w:42; pErr:0.3679, weight 42 CW found:4384, 42:1,44:3,46:3,48:3,50:7,52:11,54:10,56:13,58:13,60:25,62:26,64:30,66:39,68:40,70:53,72:82,74:85,76:113,78:123,80:161,82:194,84:236,86:286,88:341,90:399,92:465,94:539,96:582,98:693,100:722,102:730,104:754,106:705,108:660,110:509,112:461,114:300,116:258,118:149,120:89,122:49,124:23,126:10,128:4,134:1</t>
  </si>
  <si>
    <t>Trial:0 w:94; Trial:3 w:92; Trial:10 w:88; Trial:21 w:72; Trial:54 w:64; Trial:100 w:62; Trial:392 w:58; Trial:589 w:52; Trial:1040 w:48; Trial:2923 w:46; Trial:4279 w:42; Trial:5720 w:40; pErr:0.3679, weight 40 CW found:5376, 40:1,42:1,44:1,46:3,48:4,50:3,52:4,54:5,56:14,58:14,60:22,62:22,64:32,66:36,68:34,70:58,72:67,74:95,76:86,78:110,80:153,82:173,84:249,86:283,88:369,90:400,92:467,94:529,96:598,98:689,100:721,102:781,104:719,106:720,108:670,110:549,112:452,114:312,116:232,118:160,120:81,122:45,124:18,126:11,128:5,130:2</t>
  </si>
  <si>
    <t>Trial:0 w:102; Trial:1 w:84; Trial:2 w:76; Trial:4 w:50; Trial:183 w:48; Trial:2030 w:46; Trial:6944 w:42; pErr:0.3679, weight 42 CW found:3819, 42:1,46:2,48:6,50:8,52:7,54:7,56:11,58:15,60:16,62:24,64:23,66:30,68:52,70:57,72:74,74:84,76:108,78:132,80:140,82:192,84:244,86:281,88:369,90:386,92:464,94:560,96:564,98:697,100:707,102:712,104:779,106:729,108:672,110:557,112:437,114:314,116:233,118:141,120:83,122:49,124:24,126:5,128:2,130:1,134:1</t>
  </si>
  <si>
    <t>Trial:0 w:110; Trial:1 w:90; Trial:2 w:80; Trial:12 w:66; Trial:55 w:62; Trial:251 w:54; Trial:320 w:52; Trial:354 w:48; Trial:2027 w:46; Trial:2377 w:42; Trial:7286 w:40; pErr:0.3679, weight 40 CW found:3438, 40:1,42:3,44:1,46:1,48:4,50:4,52:4,54:7,56:13,58:7,60:9,62:23,64:29,66:39,68:30,70:55,72:87,74:84,76:121,78:115,80:159,82:205,84:241,86:272,88:335,90:395,92:474,94:524,96:611,98:699,100:750,102:732,104:723,106:686,108:700,110:552,112:435,114:297,116:252,118:151,120:86,122:43,124:23,126:12,128:4,130:1,132:1</t>
  </si>
  <si>
    <t>Trial:0 w:94; Trial:1 w:92; Trial:4 w:88; Trial:11 w:82; Trial:29 w:80; Trial:34 w:60; Trial:763 w:50; Trial:2250 w:48; Trial:4242 w:46; pErr:0.3679, weight 46 CW found:7246, 46:1,48:1,50:2,52:3,54:7,56:6,58:12,60:16,62:26,64:27,66:37,68:49,70:48,72:66,74:94,76:84,78:116,80:125,82:180,84:256,86:289,88:350,90:404,92:455,94:522,96:634,98:712,100:736,102:751,104:709,106:729,108:577,110:577,112:462,114:342,116:262,118:169,120:79,122:54,124:17,126:9,128:2,130:2,132:1</t>
  </si>
  <si>
    <t>Trial:0 w:94; Trial:2 w:88; Trial:4 w:70; Trial:72 w:66; Trial:320 w:64; Trial:483 w:60; Trial:559 w:52; Trial:718 w:48; Trial:1741 w:46; Trial:1783 w:44; Trial:2380 w:36; pErr:0.3679, weight 36 CW found:9586, 36:1,42:1,44:1,46:2,48:2,52:5,54:2,56:8,58:11,60:18,62:17,64:32,66:40,68:43,70:55,72:86,74:98,76:108,78:119,80:181,82:158,84:216,86:271,88:325,90:395,92:502,94:564,96:572,98:664,100:685,102:701,104:783,106:723,108:703,110:541,112:490,114:308,116:255,118:168,120:80,122:35,124:26,126:5</t>
  </si>
  <si>
    <t>Trial:0 w:98; Trial:6 w:64; Trial:64 w:50; Trial:1992 w:48; Trial:7633 w:46; Trial:8977 w:42; pErr:0.3679, weight 42 CW found:1289, 42:1,44:1,46:3,48:3,50:9,52:11,54:11,56:14,58:17,60:17,62:31,64:26,66:37,68:46,70:56,72:63,74:88,76:107,78:160,80:140,82:150,84:225,86:289,88:346,90:403,92:496,94:561,96:575,98:687,100:729,102:709,104:730,106:657,108:643,110:605,112:436,114:366,116:213,118:154,120:81,122:59,124:29,126:10,128:6</t>
  </si>
  <si>
    <t>Trial:0 w:92; Trial:6 w:84; Trial:9 w:82; Trial:12 w:56; Trial:767 w:38; pErr:0.3679, weight 38 CW found:11622, 38:2,44:2,46:2,48:2,50:3,52:9,54:8,56:12,58:14,60:21,62:25,64:33,66:40,68:46,70:54,72:75,74:92,76:99,78:111,80:144,82:177,84:220,86:298,88:327,90:384,92:439,94:514,96:571,98:708,100:734,102:744,104:738,106:764,108:723,110:568,112:439,114:317,116:232,118:149,120:93,122:34,124:22,126:7,128:4</t>
  </si>
  <si>
    <t>Trial:0 w:106; Trial:1 w:104; Trial:2 w:84; Trial:19 w:76; Trial:53 w:74; Trial:59 w:66; Trial:73 w:60; Trial:320 w:58; Trial:623 w:50; Trial:799 w:46; Trial:1518 w:44; pErr:0.3679, weight 44 CW found:10656, 44:2,46:6,48:2,50:7,52:4,54:13,56:13,58:8,60:22,62:22,64:26,66:30,68:42,70:58,72:82,74:79,76:108,78:120,80:144,82:191,84:242,86:292,88:335,90:399,92:453,94:539,96:588,98:676,100:718,102:731,104:734,106:706,108:661,110:560,112:460,114:357,116:239,118:162,120:87,122:46,124:20,126:13,128:2,132:1</t>
  </si>
  <si>
    <t>Trial:0 w:78; Trial:16 w:68; Trial:82 w:62; Trial:332 w:60; Trial:824 w:56; Trial:1509 w:52; Trial:1573 w:48; Trial:4203 w:44; Trial:5913 w:42; Trial:6456 w:40; pErr:0.3679, weight 40 CW found:4450, 40:2,42:1,44:1,46:1,48:2,50:6,52:5,54:3,56:12,58:17,60:19,62:30,64:26,66:45,68:51,70:56,72:73,74:92,76:88,78:130,80:152,82:200,84:273,86:315,88:288,90:396,92:506,94:529,96:616,98:667,100:724,102:702,104:712,106:689,108:663,110:555,112:478,114:343,116:241,118:154,120:78,122:28,124:19,126:10,128:2</t>
  </si>
  <si>
    <t>Trial:0 w:118; Trial:1 w:100; Trial:4 w:90; Trial:6 w:82; Trial:13 w:72; Trial:23 w:70; Trial:106 w:68; Trial:259 w:50; Trial:3430 w:48; Trial:6000 w:40; pErr:0.3679, weight 40 CW found:5076, 40:1,48:5,50:5,52:4,54:11,56:12,58:11,60:20,62:22,64:20,66:37,68:41,70:53,72:63,74:67,76:116,78:126,80:146,82:213,84:214,86:276,88:320,90:413,92:462,94:559,96:606,98:688,100:767,102:731,104:758,106:725,108:649,110:477,112:486,114:344,116:242,118:148,120:84,122:37,124:25,126:10,128:5,132:1</t>
  </si>
  <si>
    <t>Trial:0 w:112; Trial:1 w:94; Trial:4 w:86; Trial:14 w:72; Trial:28 w:56; Trial:162 w:48; Trial:4551 w:42; pErr:0.3679, weight 42 CW found:6910, 42:1,46:3,48:6,50:3,52:4,54:11,56:9,58:14,60:21,62:22,64:25,66:36,68:40,70:65,72:72,74:68,76:85,78:120,80:164,82:194,84:207,86:273,88:342,90:376,92:521,94:538,96:607,98:668,100:736,102:787,104:715,106:724,108:652,110:553,112:425,114:317,116:252,118:147,120:106,122:51,124:20,126:11,128:4,130:4,132:1</t>
  </si>
  <si>
    <t>Trial:0 w:102; Trial:3 w:88; Trial:4 w:80; Trial:24 w:68; Trial:101 w:66; Trial:189 w:60; Trial:227 w:56; Trial:671 w:44; Trial:1700 w:42; Trial:7308 w:38; pErr:0.3679, weight 38 CW found:3384, 38:1,42:1,44:3,46:2,48:4,50:2,52:3,54:6,56:9,58:16,60:15,62:17,64:23,66:34,68:45,70:47,72:61,74:85,76:126,78:112,80:182,82:211,84:244,86:293,88:358,90:410,92:447,94:546,96:607,98:669,100:747,102:677,104:755,106:696,108:659,110:551,112:467,114:334,116:229,118:140,120:91,122:44,124:19,126:6,128:4,130:2</t>
  </si>
  <si>
    <t>Trial:0 w:116; Trial:1 w:108; Trial:2 w:98; Trial:4 w:58; Trial:24 w:48; pErr:0.3679, weight 48 CW found:12632, 48:4,50:3,52:7,54:10,56:13,58:21,60:25,62:28,64:33,66:29,68:40,70:45,72:70,74:87,76:98,78:135,80:146,82:194,84:216,86:267,88:332,90:399,92:464,94:551,96:570,98:677,100:725,102:780,104:750,106:689,108:641,110:587,112:471,114:341,116:253,118:148,120:79,122:41,124:22,126:6,130:2,132:1</t>
  </si>
  <si>
    <t>Trial:0 w:102; Trial:2 w:98; Trial:3 w:62; Trial:163 w:58; Trial:232 w:56; Trial:386 w:54; Trial:774 w:52; Trial:1685 w:50; Trial:2685 w:48; Trial:3858 w:46; Trial:6609 w:36; pErr:0.3679, weight 36 CW found:4354, 36:1,46:2,48:4,50:4,52:6,54:11,56:22,58:16,60:18,62:26,64:25,66:25,68:55,70:57,72:43,74:100,76:105,78:122,80:145,82:200,84:240,86:288,88:350,90:367,92:488,94:584,96:608,98:716,100:690,102:742,104:761,106:715,108:644,110:519,112:439,114:322,116:218,118:162,120:81,122:52,124:15,126:8,128:3,132:1</t>
  </si>
  <si>
    <t>Trial:0 w:104; Trial:2 w:92; Trial:3 w:82; Trial:23 w:78; Trial:27 w:74; Trial:37 w:60; Trial:96 w:58; Trial:391 w:40; pErr:0.3679, weight 40 CW found:12092, 40:1,42:1,46:1,48:1,50:3,52:3,54:2,56:10,58:10,60:16,62:26,64:43,66:26,68:38,70:62,72:61,74:79,76:94,78:141,80:147,82:205,84:227,86:260,88:347,90:411,92:492,94:537,96:639,98:674,100:734,102:761,104:752,106:709,108:630,110:558,112:445,114:315,116:215,118:159,120:95,122:34,124:28,126:4,128:4</t>
  </si>
  <si>
    <t>Trial:0 w:102; Trial:3 w:100; Trial:5 w:94; Trial:14 w:88; Trial:17 w:84; Trial:21 w:80; Trial:37 w:68; Trial:48 w:54; Trial:857 w:52; Trial:1822 w:48; Trial:2063 w:42; pErr:0.3679, weight 42 CW found:10029, 42:2,46:1,48:1,50:1,52:8,54:12,56:13,58:15,60:22,62:23,64:24,66:47,68:55,70:34,72:63,74:95,76:89,78:99,80:157,82:184,84:231,86:297,88:344,90:447,92:488,94:574,96:593,98:657,100:720,102:748,104:755,106:694,108:637,110:573,112:437,114:327,116:223,118:135,120:98,122:42,124:21,126:10,128:3,132:1</t>
  </si>
  <si>
    <t>Trial:0 w:100; Trial:1 w:76; Trial:87 w:72; Trial:105 w:62; Trial:114 w:56; Trial:376 w:50; Trial:1039 w:42; pErr:0.3679, weight 42 CW found:11347, 42:2,46:3,48:3,50:6,52:6,54:10,56:10,58:13,60:20,62:25,64:36,66:34,68:33,70:53,72:61,74:72,76:96,78:146,80:145,82:191,84:239,86:292,88:318,90:408,92:457,94:566,96:624,98:687,100:736,102:762,104:680,106:720,108:649,110:545,112:439,114:325,116:267,118:152,120:86,122:40,124:30,126:5,128:6,130:2</t>
  </si>
  <si>
    <t>Trial:0 w:114; Trial:1 w:106; Trial:4 w:96; Trial:6 w:86; Trial:11 w:82; Trial:31 w:72; Trial:59 w:70; Trial:134 w:62; Trial:146 w:60; Trial:730 w:52; Trial:2378 w:42; pErr:0.3679, weight 42 CW found:9666, 42:2,46:2,48:3,50:2,52:4,54:9,56:7,58:6,60:19,62:27,64:23,66:38,68:40,70:33,72:79,74:103,76:103,78:148,80:146,82:172,84:212,86:300,88:352,90:414,92:482,94:537,96:620,98:662,100:718,102:753,104:779,106:739,108:632,110:567,112:419,114:330,116:222,118:133,120:91,122:37,124:22,126:11,128:1,130:1</t>
  </si>
  <si>
    <t>Trial:0 w:110; Trial:1 w:98; Trial:3 w:88; Trial:7 w:78; Trial:25 w:66; Trial:27 w:60; Trial:28 w:50; Trial:2149 w:48; Trial:3108 w:46; Trial:8495 w:44; pErr:0.3679, weight 44 CW found:1845, 44:1,46:1,48:4,50:6,52:13,54:6,56:18,58:10,60:28,62:18,64:30,66:30,68:52,70:46,72:55,74:81,76:101,78:128,80:153,82:187,84:222,86:294,88:305,90:434,92:478,94:503,96:651,98:644,100:715,102:782,104:790,106:721,108:645,110:500,112:485,114:333,116:223,118:137,120:88,122:43,124:23,126:12,128:3,134:1</t>
  </si>
  <si>
    <t>Trial:0 w:100; Trial:2 w:60; Trial:428 w:52; Trial:1028 w:50; Trial:1150 w:46; Trial:3129 w:44; pErr:0.3679, weight 44 CW found:8659, 44:1,46:1,50:7,52:10,54:6,56:8,58:15,60:22,62:26,64:21,66:44,68:39,70:71,72:76,74:71,76:102,78:120,80:155,82:175,84:206,86:284,88:356,90:420,92:458,94:565,96:651,98:688,100:711,102:713,104:797,106:673,108:633,110:566,112:453,114:316,116:207,118:145,120:100,122:55,124:17,126:11,128:2,130:1,132:2</t>
  </si>
  <si>
    <t>Trial:0 w:108; Trial:3 w:104; Trial:4 w:96; Trial:6 w:92; Trial:7 w:86; Trial:15 w:84; Trial:18 w:78; Trial:57 w:72; Trial:63 w:52; Trial:203 w:48; Trial:484 w:44; Trial:4417 w:42; pErr:0.3679, weight 42 CW found:6954, 42:2,44:2,46:1,48:5,50:2,52:5,54:5,56:11,58:16,60:19,62:21,64:24,66:40,68:36,70:45,72:76,74:80,76:90,78:145,80:141,82:188,84:207,86:297,88:350,90:389,92:488,94:570,96:601,98:636,100:705,102:797,104:816,106:727,108:641,110:550,112:412,114:329,116:220,118:147,120:96,122:44,124:17,126:6,128:1</t>
  </si>
  <si>
    <t>Trial:0 w:112; Trial:1 w:74; Trial:40 w:56; Trial:393 w:42; Trial:402 w:40; pErr:0.3679, weight 40 CW found:12140, 40:1,42:1,46:6,48:2,50:1,52:4,54:6,56:8,58:15,60:12,62:29,64:25,66:31,68:44,70:37,72:59,74:90,76:101,78:133,80:157,82:176,84:204,86:285,88:319,90:388,92:519,94:538,96:595,98:683,100:711,102:760,104:748,106:720,108:660,110:590,112:454,114:358,116:215,118:151,120:77,122:57,124:19,126:6,128:5</t>
  </si>
  <si>
    <t>Trial:0 w:96; Trial:3 w:86; Trial:9 w:84; Trial:10 w:64; Trial:117 w:56; Trial:260 w:54; Trial:560 w:52; Trial:1317 w:46; Trial:5139 w:42; pErr:0.3679, weight 42 CW found:6232, 42:1,46:3,48:5,50:2,52:3,54:13,56:14,58:16,60:17,62:20,64:21,66:37,68:35,70:53,72:56,74:92,76:97,78:106,80:171,82:199,84:223,86:299,88:345,90:393,92:464,94:557,96:571,98:731,100:737,102:746,104:706,106:725,108:654,110:525,112:470,114:340,116:212,118:165,120:88,122:48,124:24,126:13,128:1,130:2</t>
  </si>
  <si>
    <t>Trial:0 w:100; Trial:1 w:96; Trial:3 w:94; Trial:12 w:76; Trial:16 w:70; Trial:71 w:60; Trial:452 w:54; Trial:775 w:52; Trial:1035 w:42; pErr:0.3679, weight 42 CW found:11298, 42:1,44:2,46:3,48:1,50:2,52:7,54:9,56:10,58:11,60:23,62:25,64:31,66:36,68:48,70:55,72:84,74:77,76:89,78:128,80:151,82:189,84:247,86:291,88:353,90:391,92:497,94:552,96:602,98:703,100:696,102:764,104:737,106:676,108:652,110:531,112:435,114:350,116:228,118:147,120:90,122:46,124:19,126:8,128:1,130:2</t>
  </si>
  <si>
    <t>Trial:0 w:110; Trial:1 w:94; Trial:2 w:82; Trial:27 w:70; Trial:48 w:64; Trial:158 w:52; Trial:531 w:44; Trial:4068 w:40; pErr:0.3679, weight 40 CW found:7484, 40:1,42:1,44:3,46:2,48:4,50:8,52:5,54:10,56:9,58:10,60:24,62:21,64:35,66:42,68:43,70:48,72:72,74:78,76:83,78:147,80:156,82:201,84:227,86:275,88:324,90:384,92:451,94:562,96:627,98:676,100:752,102:720,104:770,106:709,108:648,110:569,112:422,114:341,116:222,118:144,120:88,122:47,124:27,126:6,128:3,130:2,132:1</t>
  </si>
  <si>
    <t>Trial:0 w:94; Trial:5 w:84; Trial:16 w:80; Trial:41 w:66; Trial:277 w:64; Trial:359 w:48; Trial:2917 w:44; Trial:3363 w:40; Trial:6606 w:38; pErr:0.3679, weight 38 CW found:4237, 38:1,40:1,44:2,46:1,48:6,50:2,52:3,54:9,56:12,58:16,60:16,62:30,64:26,66:40,68:40,70:54,72:67,74:82,76:102,78:101,80:167,82:189,84:229,86:278,88:341,90:407,92:458,94:531,96:597,98:723,100:712,102:767,104:707,106:707,108:688,110:583,112:439,114:335,116:242,118:151,120:66,122:43,124:21,126:8</t>
  </si>
  <si>
    <t>Trial:0 w:116; Trial:1 w:92; Trial:6 w:86; Trial:7 w:78; Trial:26 w:64; Trial:65 w:56; Trial:842 w:52; Trial:843 w:48; Trial:8967 w:42; Trial:9557 w:38; pErr:0.3679, weight 38 CW found:586, 38:1,42:1,48:4,50:4,52:7,54:10,56:12,58:18,60:18,62:24,64:34,66:42,68:46,70:56,72:59,74:83,76:114,78:120,80:159,82:211,84:191,86:261,88:319,90:384,92:465,94:568,96:662,98:718,100:716,102:789,104:714,106:680,108:638,110:544,112:472,114:331,116:220,118:132,120:100,122:42,124:17,126:8,128:3,130:3</t>
  </si>
  <si>
    <t>Trial:0 w:110; Trial:1 w:96; Trial:2 w:90; Trial:9 w:84; Trial:38 w:70; Trial:60 w:66; Trial:66 w:60; Trial:332 w:58; Trial:789 w:56; Trial:917 w:54; Trial:2489 w:46; pErr:0.3679, weight 46 CW found:9467, 46:4,48:1,50:5,52:1,54:4,56:10,58:19,60:19,62:20,64:37,66:42,68:48,70:52,72:87,74:93,76:105,78:110,80:154,82:201,84:214,86:280,88:338,90:402,92:496,94:545,96:681,98:682,100:697,102:723,104:753,106:682,108:621,110:550,112:460,114:314,116:241,118:157,120:72,122:50,124:23,126:5,128:2</t>
  </si>
  <si>
    <t>Trial:0 w:94; Trial:5 w:82; Trial:6 w:80; Trial:22 w:74; Trial:40 w:56; Trial:276 w:52; Trial:331 w:48; Trial:4625 w:44; pErr:0.3679, weight 44 CW found:6785, 44:1,48:4,50:6,52:4,54:10,56:12,58:22,60:15,62:23,64:22,66:29,68:42,70:50,72:75,74:88,76:100,78:129,80:163,82:191,84:236,86:292,88:340,90:461,92:476,94:529,96:636,98:645,100:696,102:745,104:732,106:687,108:655,110:573,112:420,114:338,116:251,118:122,120:87,122:53,124:25,126:11,128:3,130:1</t>
  </si>
  <si>
    <t>Trial:0 w:92; Trial:5 w:74; Trial:39 w:60; Trial:313 w:58; Trial:561 w:56; Trial:1114 w:48; Trial:1731 w:46; Trial:2056 w:42; pErr:0.3679, weight 42 CW found:9952, 42:1,44:2,46:3,48:4,50:6,52:3,54:11,56:14,58:15,60:32,62:27,64:28,66:44,68:44,70:45,72:55,74:81,76:105,78:114,80:140,82:185,84:236,86:291,88:327,90:424,92:477,94:589,96:630,98:687,100:752,102:735,104:712,106:710,108:638,110:534,112:458,114:317,116:221,118:147,120:82,122:42,124:19,126:10,128:1,130:2</t>
  </si>
  <si>
    <t>Trial:0 w:86; Trial:3 w:74; Trial:32 w:62; Trial:726 w:46; pErr:0.3679, weight 46 CW found:11727, 46:3,48:4,50:3,52:3,54:12,56:14,58:6,60:14,62:21,64:34,66:28,68:54,70:55,72:76,74:76,76:114,78:118,80:163,82:211,84:252,86:286,88:315,90:362,92:494,94:518,96:601,98:696,100:720,102:746,104:721,106:703,108:645,110:613,112:470,114:330,116:205,118:152,120:90,122:48,124:15,126:6,128:2,130:1</t>
  </si>
  <si>
    <t>Trial:0 w:110; Trial:2 w:88; Trial:13 w:80; Trial:44 w:78; Trial:64 w:66; Trial:71 w:56; Trial:347 w:50; Trial:1979 w:44; pErr:0.3679, weight 44 CW found:10148, 44:2,46:1,48:1,50:4,52:5,54:8,56:11,58:10,60:20,62:28,64:23,66:34,68:43,70:57,72:61,74:77,76:87,78:123,80:161,82:188,84:249,86:294,88:354,90:390,92:447,94:565,96:635,98:674,100:744,102:757,104:710,106:701,108:661,110:532,112:423,114:362,116:253,118:149,120:79,122:39,124:28,126:6,128:1,130:2,132:1</t>
  </si>
  <si>
    <t>Trial:0 w:106; Trial:2 w:92; Trial:7 w:84; Trial:12 w:76; Trial:14 w:68; Trial:245 w:64; Trial:262 w:50; Trial:725 w:44; pErr:0.3679, weight 44 CW found:11684, 44:2,46:2,48:1,50:4,52:6,54:11,56:12,58:15,60:18,62:26,64:27,66:31,68:51,70:59,72:61,74:86,76:103,78:110,80:183,82:182,84:218,86:310,88:334,90:422,92:464,94:556,96:581,98:655,100:711,102:762,104:753,106:727,108:622,110:528,112:476,114:342,116:219,118:152,120:100,122:46,124:21,126:6,128:5</t>
  </si>
  <si>
    <t>Trial:0 w:100; Trial:1 w:66; Trial:216 w:60; Trial:221 w:54; Trial:935 w:42; pErr:0.3679, weight 42 CW found:11516, 42:1,44:1,46:3,48:2,50:3,52:5,54:8,56:7,58:15,60:21,62:29,64:32,66:40,68:35,70:61,72:77,74:81,76:96,78:131,80:147,82:170,84:206,86:286,88:368,90:427,92:485,94:569,96:621,98:648,100:753,102:723,104:772,106:683,108:666,110:560,112:409,114:346,116:213,118:146,120:76,122:48,124:20,126:6,128:3,130:1</t>
  </si>
  <si>
    <t>Trial:0 w:74; Trial:4 w:70; Trial:17 w:66; Trial:45 w:62; Trial:505 w:60; Trial:740 w:50; Trial:865 w:48; Trial:1431 w:46; Trial:2431 w:40; Trial:9989 w:38; pErr:0.3679, weight 38 CW found:14, 38:1,40:1,44:1,46:2,48:3,50:5,52:5,54:9,56:10,58:15,60:17,62:14,64:30,66:42,68:35,70:67,72:60,74:85,76:102,78:137,80:156,82:187,84:226,86:253,88:363,90:423,92:456,94:542,96:597,98:661,100:751,102:751,104:761,106:693,108:644,110:548,112:401,114:386,116:229,118:159,120:81,122:55,124:18,126:8,128:8,130:2</t>
  </si>
  <si>
    <t>Trial:0 w:94; Trial:2 w:80; Trial:7 w:78; Trial:13 w:76; Trial:44 w:70; Trial:84 w:64; Trial:123 w:52; Trial:231 w:50; Trial:1194 w:42; Trial:5618 w:38; pErr:0.3679, weight 38 CW found:5524, 38:1,42:2,44:1,46:4,50:6,52:5,54:16,56:10,58:19,60:19,62:23,64:36,66:25,68:47,70:42,72:75,74:92,76:106,78:135,80:139,82:194,84:221,86:325,88:367,90:442,92:523,94:498,96:595,98:645,100:663,102:808,104:714,106:717,108:611,110:543,112:450,114:315,116:230,118:166,120:91,122:37,124:29,126:9,128:3,132:1</t>
  </si>
  <si>
    <t>Trial:0 w:112; Trial:1 w:108; Trial:2 w:106; Trial:3 w:84; Trial:28 w:80; Trial:30 w:54; Trial:202 w:52; Trial:1286 w:44; Trial:3086 w:40; pErr:0.3679, weight 40 CW found:8780, 40:1,44:1,46:1,50:2,52:15,54:10,56:5,58:11,60:16,62:29,64:20,66:28,68:47,70:46,72:77,74:76,76:108,78:137,80:151,82:178,84:236,86:228,88:329,90:380,92:442,94:529,96:675,98:694,100:684,102:797,104:794,106:714,108:646,110:557,112:441,114:334,116:257,118:140,120:87,122:44,124:20,126:6,128:2,130:4,132:1</t>
  </si>
  <si>
    <t>Trial:0 w:110; Trial:1 w:90; Trial:9 w:86; Trial:11 w:72; Trial:57 w:56; Trial:243 w:52; Trial:726 w:50; Trial:2315 w:48; Trial:3574 w:46; Trial:5801 w:44; Trial:8137 w:42; pErr:0.3679, weight 42 CW found:2360, 42:2,44:1,46:1,48:6,50:5,52:7,54:5,56:13,58:19,60:25,62:30,64:37,66:28,68:38,70:63,72:75,74:87,76:105,78:125,80:147,82:179,84:236,86:282,88:301,90:380,92:496,94:576,96:611,98:704,100:700,102:808,104:714,106:725,108:636,110:536,112:430,114:330,116:218,118:151,120:90,122:45,124:25,126:6,128:2</t>
  </si>
  <si>
    <t>Trial:0 w:120; Trial:1 w:94; Trial:7 w:90; Trial:13 w:86; Trial:19 w:84; Trial:37 w:82; Trial:43 w:74; Trial:51 w:70; Trial:83 w:62; Trial:293 w:58; Trial:847 w:50; Trial:961 w:48; Trial:1480 w:44; Trial:5538 w:40; pErr:0.3679, weight 40 CW found:5646, 40:1,44:1,46:2,48:3,50:4,52:5,54:10,56:12,58:21,60:22,62:23,64:24,66:34,68:47,70:54,72:63,74:81,76:103,78:136,80:165,82:172,84:216,86:286,88:292,90:422,92:468,94:564,96:629,98:663,100:746,102:747,104:734,106:685,108:667,110:561,112:464,114:353,116:201,118:152,120:84,122:57,124:20,126:4,128:1,130:1</t>
  </si>
  <si>
    <t>Trial:0 w:104; Trial:1 w:98; Trial:3 w:86; Trial:6 w:56; Trial:157 w:52; Trial:187 w:50; Trial:3673 w:48; pErr:0.3679, weight 48 CW found:7977, 48:3,50:3,52:5,54:7,56:11,58:17,60:21,62:26,64:25,66:28,68:46,70:47,72:64,74:83,76:101,78:140,80:143,82:174,84:210,86:276,88:365,90:418,92:501,94:553,96:565,98:700,100:693,102:708,104:738,106:731,108:614,110:575,112:512,114:350,116:220,118:161,120:72,122:57,124:20,126:12,128:4,130:1</t>
  </si>
  <si>
    <t>Trial:0 w:98; Trial:6 w:92; Trial:8 w:80; Trial:71 w:76; Trial:218 w:72; Trial:240 w:66; Trial:443 w:58; Trial:1276 w:54; Trial:1421 w:52; Trial:1756 w:46; Trial:3533 w:42; Trial:5376 w:40; pErr:0.3679, weight 40 CW found:5857, 40:1,42:1,46:2,48:4,50:2,52:8,54:6,56:14,58:21,60:24,62:27,64:26,66:36,68:34,70:56,72:63,74:80,76:100,78:130,80:162,82:197,84:245,86:252,88:337,90:437,92:484,94:541,96:583,98:713,100:706,102:730,104:701,106:749,108:656,110:526,112:461,114:344,116:220,118:149,120:99,122:44,124:18,126:7,128:4</t>
  </si>
  <si>
    <t>Trial:0 w:110; Trial:1 w:90; Trial:2 w:80; Trial:10 w:78; Trial:32 w:64; Trial:50 w:62; Trial:93 w:60; Trial:357 w:50; Trial:4363 w:48; Trial:7802 w:40; pErr:0.3679, weight 40 CW found:2747, 40:1,46:1,48:2,50:3,52:3,54:5,56:9,58:16,60:19,62:26,64:33,66:48,68:44,70:65,72:54,74:95,76:100,78:121,80:141,82:197,84:238,86:268,88:346,90:417,92:469,94:527,96:651,98:680,100:690,102:720,104:715,106:753,108:624,110:585,112:428,114:347,116:238,118:155,120:85,122:49,124:19,126:10,128:2,138:1</t>
  </si>
  <si>
    <t>Trial:0 w:102; Trial:3 w:86; Trial:6 w:82; Trial:11 w:78; Trial:14 w:70; Trial:16 w:62; Trial:353 w:60; Trial:964 w:56; Trial:1497 w:50; Trial:1781 w:42; Trial:1833 w:40; pErr:0.3679, weight 40 CW found:10313, 40:2,42:1,44:1,46:2,48:1,50:5,52:5,54:8,56:10,58:7,60:21,62:22,64:24,66:41,68:51,70:48,72:71,74:83,76:109,78:109,80:177,82:195,84:202,86:284,88:350,90:408,92:477,94:531,96:589,98:703,100:737,102:743,104:733,106:685,108:675,110:525,112:464,114:314,116:266,118:156,120:101,122:43,124:13,126:5,128:2,130:1</t>
  </si>
  <si>
    <t>Trial:0 w:98; Trial:3 w:90; Trial:6 w:88; Trial:11 w:86; Trial:21 w:80; Trial:26 w:78; Trial:45 w:70; Trial:65 w:62; Trial:312 w:52; Trial:1409 w:48; pErr:0.3679, weight 48 CW found:10792, 48:3,50:3,52:7,54:4,56:13,58:9,60:20,62:20,64:25,66:30,68:42,70:55,72:68,74:90,76:90,78:107,80:151,82:198,84:248,86:310,88:336,90:400,92:441,94:578,96:630,98:669,100:707,102:768,104:807,106:688,108:641,110:537,112:427,114:348,116:247,118:131,120:81,122:35,124:22,126:11,128:2,130:1</t>
  </si>
  <si>
    <t>Trial:0 w:102; Trial:1 w:88; Trial:3 w:82; Trial:10 w:72; Trial:16 w:70; Trial:118 w:68; Trial:138 w:58; Trial:229 w:42; Trial:1872 w:40; pErr:0.3679, weight 40 CW found:10245, 40:2,42:2,46:4,50:3,52:7,54:4,56:11,58:21,60:24,62:20,64:18,66:33,68:53,70:60,72:63,74:86,76:104,78:130,80:137,82:172,84:217,86:290,88:321,90:399,92:478,94:560,96:595,98:700,100:701,102:746,104:738,106:740,108:616,110:548,112:501,114:363,116:223,118:154,120:91,122:37,124:18,126:4,128:5,132:1</t>
  </si>
  <si>
    <t>Trial:0 w:96; Trial:3 w:76; Trial:18 w:64; Trial:102 w:62; Trial:106 w:54; Trial:144 w:52; Trial:1089 w:48; Trial:1951 w:44; Trial:2043 w:42; pErr:0.3679, weight 42 CW found:9988, 42:1,44:5,48:2,50:7,52:10,54:11,56:4,58:8,60:23,62:18,64:22,66:35,68:44,70:49,72:66,74:72,76:114,78:128,80:166,82:182,84:239,86:258,88:368,90:395,92:484,94:530,96:608,98:682,100:718,102:740,104:798,106:689,108:648,110:539,112:482,114:307,116:219,118:168,120:82,122:37,124:26,126:10,128:5,130:1</t>
  </si>
  <si>
    <t>Trial:0 w:108; Trial:1 w:88; Trial:12 w:82; Trial:31 w:74; Trial:102 w:62; Trial:154 w:56; Trial:300 w:54; Trial:469 w:50; Trial:1018 w:46; Trial:5081 w:44; pErr:0.3679, weight 44 CW found:6217, 44:1,46:3,48:1,50:4,52:6,54:11,56:17,58:12,60:20,62:16,64:34,66:39,68:32,70:51,72:66,74:76,76:109,78:143,80:148,82:190,84:252,86:292,88:349,90:389,92:457,94:528,96:614,98:671,100:737,102:730,104:742,106:743,108:645,110:542,112:454,114:338,116:250,118:135,120:79,122:47,124:16,126:8,128:3</t>
  </si>
  <si>
    <t>Trial:0 w:124; Trial:1 w:94; Trial:3 w:92; Trial:21 w:82; Trial:38 w:80; Trial:42 w:74; Trial:59 w:72; Trial:74 w:58; Trial:107 w:54; Trial:476 w:50; Trial:1315 w:44; Trial:1809 w:40; pErr:0.3679, weight 40 CW found:10218, 40:1,44:3,46:3,50:5,52:7,54:10,56:15,58:16,60:11,62:21,64:30,66:32,68:45,70:68,72:76,74:84,76:99,78:127,80:170,82:180,84:219,86:283,88:351,90:398,92:495,94:534,96:598,98:701,100:697,102:764,104:695,106:763,108:627,110:561,112:437,114:319,116:248,118:131,120:78,122:55,124:25,126:15,128:2,132:1</t>
  </si>
  <si>
    <t>Gen:0 Trial:0 w:84; Trial:2 w:72; Trial:34 w:70; Trial:93 w:68; Gen:2 Trial:299 w:66; Gen:4 Trial:407 w:62; Gen:6 Trial:651 w:58; Gen:8 Trial:800 w:56; Gen:9 Trial:961 w:54; Gen:12 Trial:1234 w:52; Gen:16 Trial:1661 w:50; Gen:19 Trial:1930 w:46; Gen:24 Trial:2422 w:42; Gen:35 Trial:3502 w:40; Gen:40 Trial:4066 w:38; Gen:90 Trial:9090 w:36; pErr:0.0000, weight 36 CW found:55</t>
  </si>
  <si>
    <t>Gen:0 Trial:0 w:96; Trial:5 w:86; Trial:22 w:76; Trial:28 w:50; Gen:3 Trial:365 w:44; Gen:4 Trial:470 w:42; Gen:27 Trial:2733 w:38; pErr:0.0000, weight 38 CW found:353</t>
  </si>
  <si>
    <t>Gen:0 Trial:0 w:80; Trial:37 w:78; Trial:65 w:74; Gen:1 Trial:156 w:72; Gen:3 Trial:387 w:60; Gen:4 Trial:420 w:56; Gen:6 Trial:612 w:52; Gen:9 Trial:992 w:50; Gen:10 Trial:1054 w:48; Gen:12 Trial:1231 w:46; Gen:13 Trial:1305 w:44; Gen:15 Trial:1591 w:42; Gen:29 Trial:2937 w:40; Gen:45 Trial:4522 w:38; pErr:0.0000, weight 38 CW found:566</t>
  </si>
  <si>
    <t>Gen:0 Trial:0 w:104; Trial:2 w:94; Trial:3 w:86; Trial:20 w:84; Trial:22 w:80; Trial:29 w:78; Trial:36 w:60; Gen:1 Trial:180 w:56; Gen:3 Trial:306 w:54; Gen:6 Trial:628 w:52; Gen:8 Trial:895 w:50; Gen:11 Trial:1150 w:46; Gen:17 Trial:1740 w:44; Gen:85 Trial:8563 w:42; pErr:0.0000, weight 42 CW found:139</t>
  </si>
  <si>
    <t>Gen:0 Trial:0 w:90; Trial:8 w:84; Trial:9 w:80; Trial:37 w:60; Trial:88 w:58; Gen:4 Trial:485 w:54; Gen:8 Trial:827 w:52; Trial:856 w:48; Gen:10 Trial:1077 w:46; Gen:12 Trial:1226 w:44; Gen:44 Trial:4469 w:42; pErr:0.0001, weight 42 CW found:626</t>
  </si>
  <si>
    <t>Gen:0 Trial:0 w:98; Trial:3 w:94; Trial:10 w:50; Gen:2 Trial:290 w:48; Gen:30 Trial:3037 w:46; Gen:81 Trial:8161 w:44; pErr:0.0000, weight 44 CW found:143</t>
  </si>
  <si>
    <t>Gen:0 Trial:0 w:74; Gen:1 Trial:170 w:72; Gen:2 Trial:212 w:64; Trial:213 w:62; Trial:248 w:60; Gen:4 Trial:411 w:58; Trial:491 w:56; Gen:6 Trial:684 w:54; Gen:7 Trial:790 w:42; Gen:9 Trial:925 w:40; Gen:15 Trial:1516 w:38; Trial:1584 w:36; Gen:59 Trial:5964 w:34; pErr:0.0000, weight 34 CW found:100</t>
  </si>
  <si>
    <t>Gen:0 Trial:0 w:90; Trial:3 w:84; Trial:24 w:78; Trial:99 w:60; Gen:2 Trial:212 w:58; Trial:286 w:56; Gen:3 Trial:304 w:48; Gen:4 Trial:470 w:40; pErr:0.0001, weight 40 CW found:1099</t>
  </si>
  <si>
    <t>Gen:0 Trial:0 w:92; Trial:1 w:78; Trial:26 w:74; Trial:27 w:60; Gen:2 Trial:202 w:58; Gen:5 Trial:513 w:56; Gen:9 Trial:918 w:54; Gen:11 Trial:1185 w:52; Gen:14 Trial:1418 w:50; Gen:26 Trial:2699 w:48; Gen:27 Trial:2760 w:44; Gen:35 Trial:3521 w:42; Gen:43 Trial:4397 w:40; Gen:55 Trial:5559 w:38; pErr:0.0000, weight 38 CW found:361</t>
  </si>
  <si>
    <t>Gen:0 Trial:0 w:112; Trial:1 w:100; Trial:5 w:94; Trial:6 w:92; Trial:12 w:56; Gen:3 Trial:306 w:54; Gen:11 Trial:1118 w:52; Gen:13 Trial:1302 w:48; Gen:15 Trial:1520 w:46; pErr:0.0000, weight 46 CW found:533</t>
  </si>
  <si>
    <t>Gen:0 Trial:0 w:98; Trial:1 w:94; Trial:5 w:82; Trial:24 w:56; Gen:2 Trial:210 w:54; Gen:3 Trial:325 w:52; Gen:5 Trial:510 w:50; Gen:6 Trial:605 w:48; Gen:11 Trial:1110 w:46; Gen:16 Trial:1610 w:44; Gen:21 Trial:2185 w:42; Gen:61 Trial:6165 w:40; Gen:70 Trial:7049 w:38; pErr:0.0000, weight 38 CW found:202</t>
  </si>
  <si>
    <t>Gen:0 Trial:0 w:98; Trial:9 w:96; Trial:13 w:80; Trial:65 w:76; Trial:74 w:66; Gen:2 Trial:204 w:60; Gen:5 Trial:512 w:56; Gen:7 Trial:764 w:52; Gen:10 Trial:1095 w:50; Gen:12 Trial:1244 w:48; Gen:45 Trial:4561 w:44; Trial:4564 w:42; Gen:47 Trial:4793 w:40; Gen:48 Trial:4845 w:38; pErr:0.0000, weight 38 CW found:229</t>
  </si>
  <si>
    <t>Gen:0 Trial:0 w:108; Trial:1 w:94; Trial:6 w:84; Trial:7 w:82; Trial:23 w:56; Gen:2 Trial:210 w:52; Trial:265 w:50; Trial:280 w:46; Gen:3 Trial:343 w:42; Gen:6 Trial:646 w:40; Gen:10 Trial:1072 w:38; Gen:12 Trial:1240 w:36; pErr:0.0000, weight 36 CW found:530</t>
  </si>
  <si>
    <t>Gen:0 Trial:0 w:96; Trial:1 w:92; Trial:6 w:80; Trial:11 w:78; Trial:18 w:60; Trial:50 w:48; Gen:14 Trial:1488 w:46; Gen:22 Trial:2213 w:44; Gen:24 Trial:2449 w:40; Gen:32 Trial:3208 w:38; pErr:0.0000, weight 38 CW found:522</t>
  </si>
  <si>
    <t>Gen:0 Trial:0 w:112; Trial:1 w:76; Trial:33 w:56; Gen:3 Trial:300 w:52; Gen:4 Trial:435 w:46; Gen:9 Trial:900 w:42; pErr:0.0000, weight 42 CW found:962</t>
  </si>
  <si>
    <t>Gen:0 Trial:0 w:96; Trial:1 w:90; Trial:4 w:72; Trial:10 w:62; Gen:3 Trial:311 w:58; Gen:4 Trial:415 w:56; Gen:5 Trial:518 w:54; Gen:7 Trial:706 w:52; Trial:719 w:50; Gen:9 Trial:967 w:48; Gen:21 Trial:2107 w:44; Gen:23 Trial:2314 w:42; Gen:36 Trial:3636 w:40; Gen:78 Trial:7888 w:38; pErr:0.0000, weight 38 CW found:157</t>
  </si>
  <si>
    <t>Gen:0 Trial:0 w:92; Trial:2 w:86; Trial:14 w:76; Trial:22 w:72; Trial:33 w:66; Trial:98 w:60; Gen:2 Trial:214 w:58; Gen:3 Trial:330 w:56; Trial:398 w:54; Gen:5 Trial:549 w:52; Gen:6 Trial:612 w:50; Gen:13 Trial:1316 w:48; Gen:22 Trial:2272 w:46; Gen:27 Trial:2725 w:44; Gen:30 Trial:3031 w:42; Gen:34 Trial:3497 w:40; Gen:36 Trial:3613 w:38; Gen:37 Trial:3740 w:36; pErr:0.0000, weight 36 CW found:261</t>
  </si>
  <si>
    <t>Trial:0 w:104; Trial:1 w:92; Trial:3 w:62; Trial:136 w:56; Trial:403 w:50; Trial:440 w:46; Trial:1696 w:42; pErr:0.3679, weight 42 CW found:10377, 42:2,46:4,48:3,50:4,52:3,54:9,56:8,58:20,60:16,62:25,64:36,66:33,68:43,70:56,72:71,74:87,76:111,78:142,80:155,82:211,84:221,86:279,88:310,90:409,92:478,94:527,96:628,98:667,100:707,102:758,104:731,106:713,108:619,110:586,112:450,114:350,116:224,118:142,120:86,122:38,124:24,126:11,128:3</t>
  </si>
  <si>
    <t>Trial:0 w:106; Trial:1 w:68; Trial:90 w:48; Trial:685 w:46; Trial:2041 w:44; pErr:0.3679, weight 44 CW found:10061, 44:2,46:5,48:6,50:1,52:2,54:5,56:11,58:9,60:21,62:22,64:31,66:42,68:38,70:61,72:63,74:91,76:100,78:122,80:181,82:187,84:242,86:306,88:330,90:388,92:467,94:540,96:585,98:675,100:717,102:759,104:760,106:709,108:624,110:529,112:458,114:341,116:254,118:152,120:89,122:38,124:18,126:11,128:5,130:3</t>
  </si>
  <si>
    <t>Trial:0 w:106; Trial:5 w:94; Trial:8 w:78; Trial:30 w:74; Trial:50 w:66; Trial:98 w:62; Trial:188 w:56; Trial:508 w:52; Trial:2447 w:46; Trial:6074 w:44; pErr:0.3679, weight 44 CW found:4880, 44:1,46:4,48:1,50:6,52:12,54:6,56:6,58:6,60:15,62:32,64:18,66:29,68:40,70:55,72:63,74:93,76:102,78:137,80:161,82:179,84:226,86:306,88:330,90:392,92:452,94:585,96:612,98:703,100:761,102:756,104:698,106:726,108:651,110:540,112:406,114:315,116:254,118:135,120:100,122:54,124:19,126:10,128:2,130:1</t>
  </si>
  <si>
    <t>Trial:0 w:94; Trial:4 w:90; Trial:10 w:80; Trial:35 w:76; Trial:66 w:66; Trial:88 w:64; Trial:91 w:60; Trial:301 w:58; Trial:734 w:54; Trial:853 w:50; Trial:2575 w:48; Trial:7229 w:46; Trial:8499 w:38; pErr:0.3679, weight 38 CW found:1889, 38:1,46:1,48:4,50:4,52:2,54:7,56:9,58:17,60:16,62:24,64:23,66:38,68:46,70:49,72:60,74:87,76:103,78:125,80:144,82:192,84:223,86:275,88:332,90:417,92:451,94:531,96:608,98:702,100:716,102:748,104:737,106:722,108:636,110:569,112:476,114:368,116:223,118:162,120:77,122:43,124:23,126:8,128:1</t>
  </si>
  <si>
    <t>Trial:0 w:116; Trial:1 w:100; Trial:2 w:96; Trial:4 w:72; Trial:8 w:70; Trial:9 w:64; Trial:124 w:60; Trial:185 w:56; Trial:447 w:50; Trial:1677 w:44; pErr:0.3679, weight 44 CW found:10460, 44:1,46:1,48:4,50:4,52:5,54:9,56:22,58:11,60:14,62:16,64:33,66:39,68:39,70:61,72:61,74:80,76:126,78:124,80:161,82:162,84:218,86:303,88:348,90:389,92:496,94:542,96:619,98:691,100:738,102:768,104:704,106:692,108:659,110:541,112:425,114:327,116:239,118:170,120:87,122:44,124:18,126:5,128:3,130:1</t>
  </si>
  <si>
    <t>Trial:0 w:116; Trial:1 w:104; Trial:2 w:86; Trial:21 w:84; Trial:23 w:80; Trial:100 w:78; Trial:148 w:68; Trial:179 w:54; Trial:912 w:48; Trial:8973 w:40; pErr:0.3679, weight 40 CW found:1258, 40:1,48:2,50:1,52:9,54:6,56:12,58:16,60:25,62:30,64:25,66:28,68:36,70:53,72:58,74:80,76:106,78:106,80:147,82:169,84:238,86:297,88:360,90:423,92:482,94:553,96:648,98:685,100:676,102:754,104:741,106:734,108:601,110:552,112:473,114:323,116:233,118:161,120:79,122:42,124:27,126:3,128:1,130:3,132:1</t>
  </si>
  <si>
    <t>Trial:0 w:76; Trial:9 w:70; Trial:99 w:60; Trial:330 w:52; Trial:808 w:46; Trial:3124 w:42; Trial:4681 w:40; pErr:0.3679, weight 40 CW found:6744, 40:1,42:1,44:1,46:1,50:4,52:11,54:7,56:10,58:14,60:20,62:26,64:23,66:33,68:41,70:50,72:73,74:86,76:104,78:132,80:155,82:190,84:218,86:256,88:346,90:367,92:469,94:544,96:629,98:645,100:725,102:777,104:753,106:731,108:683,110:592,112:459,114:316,116:217,118:136,120:82,122:45,124:13,126:12,128:1,130:1</t>
  </si>
  <si>
    <t>Trial:0 w:100; Trial:2 w:98; Trial:5 w:86; Trial:13 w:80; Trial:19 w:60; Trial:99 w:54; Trial:449 w:52; Trial:648 w:42; pErr:0.3679, weight 42 CW found:11895, 42:1,46:2,48:1,50:3,52:7,54:6,56:15,58:13,60:20,62:21,64:33,66:31,68:43,70:50,72:70,74:64,76:109,78:120,80:150,82:188,84:227,86:298,88:336,90:402,92:482,94:538,96:616,98:683,100:760,102:743,104:713,106:731,108:591,110:556,112:443,114:328,116:249,118:141,120:109,122:62,124:28,126:10,128:4,130:2,134:1</t>
  </si>
  <si>
    <t>Trial:0 w:80; Trial:20 w:74; Trial:23 w:66; Trial:40 w:56; Trial:227 w:54; Trial:860 w:50; Trial:3694 w:48; Trial:4583 w:44; pErr:0.3679, weight 44 CW found:6865, 44:2,48:2,50:5,52:6,54:10,56:11,58:8,60:16,62:26,64:33,66:52,68:48,70:58,72:69,74:85,76:93,78:110,80:163,82:201,84:234,86:297,88:286,90:421,92:429,94:548,96:604,98:699,100:716,102:779,104:728,106:710,108:663,110:506,112:466,114:329,116:250,118:151,120:93,122:46,124:26,126:10,128:10,130:1</t>
  </si>
  <si>
    <t>Trial:0 w:96; Trial:4 w:92; Trial:5 w:82; Trial:29 w:76; Trial:40 w:70; Trial:223 w:68; Trial:261 w:66; Trial:462 w:62; Trial:521 w:60; Trial:602 w:46; Trial:3509 w:40; Trial:4939 w:38; pErr:0.3679, weight 38 CW found:6305, 38:1,40:1,46:3,48:1,50:3,52:3,54:11,56:17,58:11,60:15,62:24,64:27,66:25,68:40,70:56,72:68,74:75,76:95,78:140,80:147,82:176,84:235,86:284,88:364,90:407,92:458,94:585,96:574,98:672,100:748,102:799,104:758,106:677,108:614,110:549,112:419,114:367,116:229,118:144,120:93,122:50,124:19,126:9,128:5,130:1,132:1</t>
  </si>
  <si>
    <t>Trial:0 w:74; Trial:14 w:70; Trial:15 w:54; Trial:434 w:52; Trial:540 w:48; Trial:1321 w:44; pErr:0.3679, weight 44 CW found:10988, 44:3,46:2,48:3,50:6,52:5,54:7,56:9,58:15,60:14,62:31,64:26,66:24,68:37,70:50,72:63,74:86,76:107,78:121,80:160,82:203,84:213,86:261,88:350,90:440,92:474,94:529,96:625,98:622,100:749,102:775,104:792,106:727,108:631,110:548,112:421,114:328,116:221,118:153,120:90,122:50,124:17,126:9,128:2,130:1</t>
  </si>
  <si>
    <t>Trial:0 w:98; Trial:1 w:96; Trial:6 w:66; Trial:43 w:64; Trial:136 w:58; Trial:262 w:56; Trial:789 w:52; Trial:2167 w:50; Trial:2200 w:42; Trial:6801 w:38; pErr:0.3679, weight 38 CW found:4054, 38:1,42:1,46:1,48:1,50:3,52:7,54:10,56:11,58:15,60:18,62:18,64:22,66:38,68:53,70:54,72:78,74:93,76:110,78:121,80:164,82:173,84:201,86:280,88:321,90:403,92:478,94:582,96:632,98:712,100:701,102:745,104:751,106:731,108:652,110:532,112:419,114:323,116:230,118:148,120:85,122:45,124:19,126:14,128:3,130:1</t>
  </si>
  <si>
    <t>Trial:0 w:92; Trial:6 w:68; Trial:22 w:62; Trial:178 w:52; Trial:311 w:50; Trial:2075 w:48; Trial:3885 w:46; pErr:0.3679, weight 46 CW found:7738, 46:2,48:3,50:2,52:4,54:6,56:11,58:12,60:15,62:31,64:25,66:39,68:56,70:58,72:56,74:93,76:76,78:123,80:150,82:194,84:222,86:313,88:333,90:404,92:477,94:570,96:614,98:678,100:769,102:755,104:725,106:658,108:638,110:558,112:457,114:343,116:225,118:142,120:77,122:50,124:22,126:8,128:2,130:3,134:1</t>
  </si>
  <si>
    <t>Trial:0 w:78; Trial:16 w:64; Trial:58 w:50; Trial:831 w:48; Trial:2371 w:40; pErr:0.3679, weight 40 CW found:9659, 40:1,42:1,44:1,46:4,48:4,50:5,52:7,54:6,56:11,58:18,60:26,62:24,64:30,66:39,68:43,70:56,72:68,74:75,76:103,78:118,80:153,82:207,84:230,86:279,88:309,90:415,92:484,94:554,96:628,98:660,100:752,102:807,104:732,106:714,108:604,110:498,112:435,114:325,116:239,118:143,120:105,122:55,124:18,126:8,128:5,130:1</t>
  </si>
  <si>
    <t>d correct</t>
  </si>
  <si>
    <t>repeat</t>
  </si>
  <si>
    <t>Family Size</t>
  </si>
  <si>
    <t>nMax</t>
  </si>
  <si>
    <t>nMin</t>
  </si>
  <si>
    <t>Sum dMin</t>
  </si>
  <si>
    <t>Sum d actual</t>
  </si>
  <si>
    <t>Heuristic Methods</t>
  </si>
  <si>
    <t>Codes completed</t>
  </si>
  <si>
    <t>#,##0;;</t>
  </si>
  <si>
    <t>Codes at lowest distance</t>
  </si>
  <si>
    <t>Overall Success Rate</t>
  </si>
  <si>
    <t>0.0%;;</t>
  </si>
  <si>
    <t>Trials</t>
  </si>
  <si>
    <t>Trials at lowest distance</t>
  </si>
  <si>
    <t>Trial Success Rate</t>
  </si>
  <si>
    <t>Total Processing Time (s)</t>
  </si>
  <si>
    <t>0.0E+00;;</t>
  </si>
  <si>
    <t>Time/Trial</t>
  </si>
  <si>
    <t>Time/Successful Trial</t>
  </si>
  <si>
    <t>\begin{center}</t>
  </si>
  <si>
    <t>\begin{tabular}{ |l|</t>
  </si>
  <si>
    <t>r|</t>
  </si>
  <si>
    <t>}</t>
  </si>
  <si>
    <t>\hline</t>
  </si>
  <si>
    <t>\\</t>
  </si>
  <si>
    <t>\end{tabular}</t>
  </si>
  <si>
    <t>\end{center}</t>
  </si>
  <si>
    <t>Offset</t>
  </si>
  <si>
    <t>Match</t>
  </si>
  <si>
    <t>dCalc</t>
  </si>
  <si>
    <t>Algorithm Completed within maxTime</t>
  </si>
  <si>
    <t>d Estimated Successfully</t>
  </si>
  <si>
    <t>dEst</t>
  </si>
  <si>
    <t>Time - Completed Trials</t>
  </si>
  <si>
    <t>Time - Successful Trials</t>
  </si>
  <si>
    <t>QDistRndMW</t>
  </si>
  <si>
    <t>dMin</t>
  </si>
  <si>
    <t>QDistEvol</t>
  </si>
  <si>
    <t>QDistEvol_all</t>
  </si>
  <si>
    <t>m4ri_RW_all</t>
  </si>
  <si>
    <t>repeat: 1</t>
  </si>
  <si>
    <t>outfile: /Users/markwebster/Dropbox/QuantumComputing/dev/codeDistance/results/bivariate_bicycle-QDistRndMW-20260107_185228.629303_85062422.txt</t>
  </si>
  <si>
    <t>Trial:0 w:6; pErr:0.0000, weight 6 CW found:1207, wDict:6:47238,8:2743,10:19</t>
  </si>
  <si>
    <t>Trial:0 w:10; pErr:0.0001, weight 10 CW found:13556, wDict:10:35021,12:14401,14:575,16:3</t>
  </si>
  <si>
    <t>Trial:0 w:16; Trial:1 w:10; pErr:0.0140, weight 10 CW found:24419, wDict:10:7132,12:32757,14:8902,16:1163,18:46</t>
  </si>
  <si>
    <t>Trial:0 w:14; Trial:1 w:12; pErr:0.0531, weight 12 CW found:31664, wDict:12:28698,14:15262,16:5011,18:928,20:99,22:2</t>
  </si>
  <si>
    <t>Trial:0 w:26; Trial:16 w:24; Trial:33 w:22; Trial:112 w:20; Trial:824 w:18; pErr:0.3674, weight 18 CW found:67406, wDict:18:235,20:204,22:1330,24:3102,26:5502,28:7521,30:8622,32:8327,34:6509,36:4421,38:2535,40:1128,42:414,44:123,46:25,48:2</t>
  </si>
  <si>
    <t>Trial:0 w:42; Trial:1 w:38; Trial:3 w:36; Trial:8 w:34; Trial:20 w:30; Trial:98 w:26; Trial:414 w:24; pErr:0.3679, weight 24 CW found:65715, wDict:24:174,26:572,28:1391,30:2650,32:4027,34:5246,36:6189,38:6327,40:6211,42:5456,44:4295,46:3161,48:2136,50:1208,52:616,54:236,56:74,58:22,60:5,62:4</t>
  </si>
  <si>
    <t>QDistRndMW_all</t>
  </si>
  <si>
    <t>m4riRW</t>
  </si>
  <si>
    <t>QDistRnd_756</t>
  </si>
  <si>
    <t>QDistEvol_756</t>
  </si>
  <si>
    <t>Runs completed</t>
  </si>
  <si>
    <t>Runs at lowest distance</t>
  </si>
  <si>
    <t>R Succ</t>
  </si>
  <si>
    <t>outfile: /Users/markwebster/Dropbox/QuantumComputing/dev/codeDistance/results/BB_test-dist_m4ri_RW-20260107_193706.843314_85062422.txt</t>
  </si>
  <si>
    <t># step=0 row=0 minW=757 found cw of W=148: [1 3 14 21 37 38 40 44 45 52 61 62 66 69 91 93 96 100 104 109 112 115 124 137 142 144 167 172 173 174 177 191 193 194 197 198 207 211 212 217 218 233 239 241 242 243 251 252 256 260 266 267 278 279 291 294 295 300 303 305 310 315 321 322 323 339 350 355 357 360 365 367 369 371 372 374 392 394 397 401 403 404 405 410 415 429 431 434 439 452 456 469 470 473 482 490 499 500 502 515 520 521 522 550 559 560 563 566 576 580 585 592 600 606 616 617 621 624 625 629 630 633 634 638 641 651 653 658 667 669 673 674 676 683 687 706 712 714 715 717 728 732 741 744 747 749 752 756]\n# step=0 row=2 minW=148 found cw of W=142: [4 5 9 10 18 21 27 38 40 45 55 60 61 62 64 71 88 89 90 92 94 104 105 106 109 115 119 122 124 133 137 144 147 148 150 151 158 163 167 170 172 174 184 194 197 203 207 210 213 217 233 239 241 243 279 294 303 305 310 322 323 339 341 342 345 355 360 365 367 369 371 372 374 379 383 388 394 397 403 410 422 429 431 439 448 452 454 456 460 466 469 470 472 482 483 485 494 497 500 501 509 510 521 531 543 545 546 550 556 557 560 576 580 583 585 606 616 624 625 630 633 634 647 670 675 676 683 688 706 712 714 715 717 732 733 734 736 744 747 749 752 756]\n# step=0 row=4 minW=142 found cw of W=136: [7 8 9 14 15 21 22 26 27 38 50 61 62 64 66 71 80 88 89 90 92 104 109 112 124 132 133 136 137 138 142 144 147 151 170 172 191 197 198 199 211 212 217 233 241 242 255 256 261 262 267 272 279 293 304 310 324 339 345 352 355 359 360 365 371 372 374 378 379 388 392 397 405 410 413 422 423 439 455 460 469 470 483 490 493 494 497 499 500 501 503 505 509 514 515 516 521 522 526 536 543 550 559 563 576 577 583 585 603 604 606 616 624 625 633 634 649 652 667 671 681 683 693 705 706 714 715 716 717 724 732 734 746 749 752 756]\n# step=0 row=9 minW=136 found cw of W=132: [5 17 22 34 38 40 47 50 57 60 62 66 80 88 89 92 93 95 98 100 104 109 117 133 136 138 143 147 148 150 151 170 172 173 193 199 203 207 210 211 213 217 242 255 261 262 272 278 279 291 294 297 305 310 323 324 332 342 345 350 352 355 359 360 367 372 374 378 383 384 386 397 413 415 423 425 436 439 455 456 466 469 470 473 483 490 493 497 499 500 502 510 514 516 520 531 535 536 538 545 556 566 577 580 587 592 600 603 604 620 621 625 628 641 649 652 653 667 672 674 683 693 705 715 716 721 724 728 732 733 746 752]\n# step=0 row=16 minW=132 found cw of W=126: [8 9 10 14 18 26 27 33 43 55 61 62 64 69 71 76 81 88 89 95 98 106 112 115 117 119 131 133 136 137 142 143 144 148 151 154 158 161 163 167 170 172 174 177 179 194 197 203 210 213 223 233 239 241 249 251 278 285 293 294 295 297 300 304 339 341 342 349 350 357 367 372 378 379 383 392 394 401 405 413 415 439 448 455 460 466 469 483 490 494 497 501 503 505 509 510 516 520 521 522 526 531 535 543 545 546 556 557 576 580 583 584 617 621 629 630 655 673 675 681 704 717 724 734 750 756]\n# step=0 row=20 minW=126 found cw of W=120: [15 21 26 27 41 43 45 52 62 76 81 88 89 92 96 98 104 112 117 131 132 133 137 138 143 147 148 151 158 167 170 172 173 174 193 199 203 210 211 218 233 239 241 242 251 252 261 278 290 291 300 323 332 336 339 355 365 367 371 378 383 384 388 391 404 448 450 470 473 482 483 490 494 497 499 502 514 515 521 522 543 546 559 566 576 577 580 592 600 603 604 606 617 619 620 625 629 630 641 647 651 652 653 658 670 672 673 674 675 681 693 709 711 714 715 717 721 741 748 749]\n# step=0 row=66 minW=120 found cw of W=108: [3 5 8 14 15 18 21 26 27 34 37 43 44 55 60 69 81 88 92 94 98 105 115 117 122 124 132 143 147 148 154 156 161 170 177 184 199 203 210 211 239 242 243 261 293 294 295 303 304 305 310 322 323 332 341 342 345 352 357 359 365 367 371 388 392 394 401 403 413 415 429 436 452 454 460 472 488 493 505 509 514 531 546 563 577 603 604 620 624 630 633 652 667 669 671 675 676 681 688 693 714 724 728 733 744 749 750 756]\n# step=1 row=42 minW=108 found cw of W=100: [5 8 12 16 26 28 34 35 38 45 48 49 51 52 54 55 62 75 81 95 106 120 130 137 139 143 144 164 175 180 226 270 276 282 284 288 314 320 335 338 339 344 350 351 356 364 367 372 375 378 379 380 381 384 386 404 412 422 432 449 467 482 488 494 512 514 516 517 531 535 543 555 557 558 576 578 580 595 608 610 621 633 654 657 660 666 668 704 710 711 713 722 723 728 729 734 735 744 745 754]\n# step=1 row=236 minW=100 found cw of W=96: [5 8 12 16 34 35 38 45 48 49 51 52 54 55 76 90 95 106 111 116 118 120 164 166 167 171 175 178 226 270 276 282 284 288 314 320 335 338 339 344 351 356 364 367 372 375 378 379 380 381 384 386 399 405 406 422 432 449 455 467 482 488 494 505 509 531 535 543 555 557 558 576 578 580 595 608 610 621 633 654 657 660 666 668 704 710 711 713 722 723 729 734 735 744 745 754]\n# step=2 row=259 minW=96 found cw of W=92: [7 34 56 69 73 81 85 91 98 99 103 111 113 118 124 136 143 148 160 166 188 196 219 224 235 248 261 285 286 297 302 308 315 316 322 323 325 329 330 346 361 382 391 410 428 433 434 442 451 457 463 467 469 472 476 491 501 507 512 513 516 518 523 526 541 547 550 559 561 567 569 582 588 590 591 596 603 621 629 649 651 668 672 700 703 711 716 721 730 737 744 745]\n# step=4 row=23 minW=92 found cw of W=88: [28 32 37 38 44 49 57 100 118 124 139 154 163 173 180 182 188 203 204 217 218 219 224 251 253 258 266 272 279 280 295 304 309 313 318 321 324 335 348 359 361 362 365 371 376 378 400 415 417 427 435 447 470 476 497 505 507 532 533 540 541 557 561 574 589 594 603 608 615 621 629 630 637 638 647 659 670 678 688 702 708 711 735 742 749 753 755 756]\n# step=5 row=221 minW=88 found cw of W=80: [1 5 12 17 19 26 33 34 46 47 48 54 77 83 92 101 104 108 124 132 148 174 187 208 218 244 263 264 270 272 283 287 300 305 313 331 338 342 370 375 385 390 403 412 426 441 444 456 476 481 482 490 517 532 537 552 571 580 588 601 637 647 651 658 665 670 677 683 684 692 697 707 712 714 718 722 726 732 738 755]\n# step=6 row=299 minW=80 found cw of W=72: [1 34 38 49 70 71 84 114 119 120 125 126 128 132 133 139 140 173 176 180 196 216 240 254 259 261 274 280 341 342 358 372 385 386 392 402 407 412 426 435 449 451 461 462 476 478 492 493 516 527 539 548 553 562 574 582 583 588 597 598 609 617 623 629 639 643 665 680 684 701 736 755]\n# step=31 row=138 minW=72 found cw of W=70: [3 100 107 116 141 148 150 155 170 178 186 197 215 225 231 232 235 238 240 245 254 259 289 302 312 323 325 332 344 361 365 368 372 374 376 378 394 404 417 418 429 431 458 480 508 521 526 528 549 563 564 574 581 583 590 600 609 626 649 668 680 687 692 694 701 703 710 724 741 746]\n# step=60 row=45 minW=70 found cw of W=66: [19 21 26 37 88 92 103 111 148 156 161 187 193 205 235 237 238 242 243 244 249 265 279 285 298 309 320 329 340 360 400 403 420 440 441 444 454 467 469 477 481 516 531 532 539 551 557 559 567 578 580 589 594 600 613 629 641 663 679 680 683 703 728 729 732 749]\n# step=158 row=124 minW=66 found cw of W=64: [2 7 11 18 36 43 64 69 78 80 94 119 142 186 241 248 255 258 261 303 312 313 317 320 323 329 336 340 351 358 364 365 368 386 393 395 401 412 423 437 451 456 462 485 505 546 572 621 633 639 662 674 681 690 694 700 707 714 718 725 730 749 750 756]\n# step=222 row=31 minW=64 found cw of W=58: [13 20 22 34 35 36 55 68 73 76 77 80 88 110 125 138 143 168 182 198 230 235 242 244 253 258 272 290 341 352 355 385 391 399 400 405 407 413 434 440 453 457 460 468 475 481 497 587 601 615 631 652 663 684 686 693 721 723]\n# step=283 row=352 minW=58 found cw of W=50: [10 24 40 43 50 51 91 95 102 103 106 144 179 242 272 297 326 352 359 362 366 374 382 383 408 449 469 476 481 522 530 531 557 579 580 601 606 621 646 655 669 682 691 695 696 705 711 712 731 752]\n# round=1000 of 10000 minW=50\n# step=1273 row=251 minW=50 found cw of W=48: [36 38 50 73 79 85 93 120 134 149 154 155 199 204 209 253 260 261 264 316 323 368 409 414 423 428 430 477 478 479 483 498 499 504 506 507 519 520 528 542 547 548 577 610 618 659 697 745]\n# step=1299 row=62 minW=48 found cw of W=46: [17 46 66 101 108 132 137 143 164 178 194 198 205 235 238 242 249 308 328 363 370 383 399 440 444 465 466 473 488 493 499 510 514 521 540 548 578 630 678 679 686 706 720 727 728 753]\n# round=2000 of 10000 minW=46\n# round=3000 of 10000 minW=46\n# round=4000 of 10000 minW=46\n# step=4203 row=31 minW=46 found cw of W=44: [2 5 13 56 60 64 67 68 112 115 119 126 146 177 201 217 232 233 256 263 267 272 276 277 279 283 284 311 322 328 336 431 434 480 496 521 529 578 595 599 619 661 665 719]\n# round=5000 of 10000 minW=44\n# round=6000 of 10000 minW=44\n# step=6177 row=23 minW=44 found cw of W=38: [27 31 37 38 43 44 51 75 82 86 89 91 98 151 183 200 238 241 245 378 379 383 393 421 429 471 524 529 584 614 640 667 671 689 704 730 734 738]\n# round=7000 of 10000 minW=38\n# round=8000 of 10000 minW=38\n# round=9000 of 10000 minW=38\n# round=10000 of 10000 minW=38\nRW algorithm upper bound for the distance d=38\n</t>
  </si>
  <si>
    <t># step=0 row=1 minW=757 found cw of W=140: [2 3 10 13 21 31 42 45 49 51 58 64 65 72 83 97 98 99 101 105 106 110 112 114 119 121 126 127 129 131 139 141 142 145 148 149 150 152 155 165 168 184 187 191 195 200 205 207 209 212 214 220 223 227 228 234 252 257 258 289 290 297 298 301 304 307 308 312 320 326 330 336 344 354 364 369 380 383 392 393 394 398 409 415 427 429 430 441 442 457 458 460 470 471 477 484 485 492 494 505 506 516 538 541 545 546 563 571 577 581 584 585 589 596 613 627 636 642 644 648 650 667 668 671 680 682 693 703 704 708 714 734 735 738 741 742 745 748 752 753]\n# step=0 row=5 minW=140 found cw of W=122: [8 9 10 16 21 24 39 45 48 58 65 66 80 82 83 94 99 101 103 110 114 128 131 145 148 150 152 154 187 191 200 203 205 207 212 214 216 227 228 238 240 242 244 246 251 252 263 270 296 298 300 302 318 326 330 331 332 336 340 344 358 361 380 381 392 395 409 415 432 438 442 454 457 460 464 471 477 478 481 492 515 516 520 521 525 532 536 538 539 541 543 544 567 570 581 582 592 608 613 615 618 619 626 627 628 630 631 643 649 650 661 672 680 682 703 704 705 714 720 724 735 738]\n# step=0 row=37 minW=122 found cw of W=118: [7 9 14 20 21 24 31 39 60 64 71 72 94 98 99 110 112 119 122 123 129 139 147 148 154 158 167 178 183 184 200 203 205 209 229 234 240 245 251 257 264 267 270 281 289 290 296 299 300 301 302 306 307 308 312 320 325 354 358 361 362 369 371 375 392 397 409 415 430 441 458 476 477 488 494 499 501 505 517 520 527 534 536 538 539 541 544 545 567 584 585 589 595 607 608 610 618 626 628 636 640 643 648 649 651 667 668 708 714 724 726 728 738 742 745 748 749 752]\n# step=0 row=103 minW=118 found cw of W=116: [3 7 9 16 21 39 49 56 58 63 66 67 70 72 80 94 97 98 99 103 106 114 122 123 127 129 131 139 142 147 148 153 154 158 160 167 178 183 184 185 200 207 208 214 229 238 244 245 246 252 258 264 290 297 299 301 304 306 307 308 325 340 362 364 369 371 380 381 383 385 392 394 395 397 427 442 445 458 460 464 470 473 477 479 481 485 488 498 499 501 505 527 532 535 540 544 582 584 585 592 595 618 631 642 648 651 667 671 672 703 708 726 728 742 748 749]\n# step=0 row=118 minW=116 found cw of W=102: [3 7 10 14 20 21 49 54 62 63 70 75 79 82 86 90 95 97 103 114 118 121 126 127 128 132 139 147 150 152 154 158 185 203 205 212 216 236 238 242 244 252 270 298 299 300 306 320 325 330 332 344 350 354 357 364 371 375 380 381 388 392 397 401 405 420 427 430 432 437 438 457 470 473 475 478 479 491 499 502 520 524 532 535 540 541 543 567 581 584 585 608 618 620 636 643 682 703 726 735 738 749]\n# step=1 row=77 minW=102 found cw of W=84: [9 31 39 64 71 75 86 95 96 107 108 119 126 129 135 137 141 150 152 163 174 178 180 184 192 197 198 222 224 225 232 233 235 236 242 247 270 276 288 298 312 314 324 332 367 368 374 394 395 414 417 423 425 430 443 444 450 466 473 486 492 499 520 523 533 534 536 540 558 559 568 574 592 595 613 619 641 649 657 702 706 738 751 754]\n# step=10 row=147 minW=84 found cw of W=78: [4 5 7 10 51 72 81 100 137 150 155 161 171 190 196 206 211 221 222 231 239 240 252 261 268 277 283 284 302 306 327 329 332 334 344 370 388 394 395 418 419 424 425 429 438 445 459 474 478 486 509 519 521 523 527 539 540 559 564 568 574 577 584 600 604 617 626 630 658 672 673 675 706 707 712 720 728 735]\n# step=68 row=30 minW=78 found cw of W=64: [6 8 18 22 52 61 62 75 89 98 119 123 130 142 146 147 150 158 185 192 199 201 203 206 208 209 230 244 254 258 261 265 274 295 299 302 306 375 384 386 400 435 441 446 448 453 455 462 485 494 515 524 528 534 541 556 581 590 622 624 634 642 663 707]\n# step=711 row=318 minW=64 found cw of W=62: [6 17 25 30 66 85 94 140 149 151 155 162 170 185 195 226 239 240 241 250 251 260 274 288 290 301 302 306 329 336 337 343 346 354 378 403 409 444 450 465 472 488 499 507 514 529 533 539 574 591 597 603 610 625 638 640 668 683 689 703 710 734]\n# step=756 row=175 minW=62 found cw of W=58: [7 38 42 49 52 94 97 135 144 161 188 205 212 216 220 225 231 243 250 266 276 285 286 320 329 334 341 372 379 391 447 469 472 474 478 481 485 496 513 522 523 536 545 564 585 586 598 609 626 631 644 660 663 672 693 708 718 734]\n# round=1000 of 10000 minW=58\n# step=1090 row=17 minW=58 found cw of W=50: [6 7 8 15 23 32 34 62 69 87 90 103 122 127 131 142 152 182 184 189 246 274 329 331 350 401 405 410 437 439 446 459 463 481 488 495 504 508 525 527 529 549 562 619 639 679 688 714 729 755]\n# round=2000 of 10000 minW=50\n# round=3000 of 10000 minW=50\n# round=4000 of 10000 minW=50\n# round=5000 of 10000 minW=50\n# round=6000 of 10000 minW=50\n# round=7000 of 10000 minW=50\n# step=7601 row=306 minW=50 found cw of W=48: [23 37 47 78 85 91 102 111 129 133 137 153 157 166 173 181 188 192 195 217 240 247 251 274 281 288 378 425 470 474 477 489 523 526 537 556 560 562 564 567 569 599 605 617 646 669 689 710]\n# step=7712 row=268 minW=48 found cw of W=46: [5 10 16 75 86 100 134 137 185 189 192 196 244 248 271 272 312 318 334 373 383 402 429 443 473 512 559 561 602 614 628 650 670 684 690 692 696 705 711 717 718 733 737 739 741 752]\n# round=8000 of 10000 minW=46\n# round=9000 of 10000 minW=46\n# round=10000 of 10000 minW=46\nRW algorithm upper bound for the distance d=46\n</t>
  </si>
  <si>
    <t># step=0 row=0 minW=757 found cw of W=148: [1 3 9 11 13 21 24 26 31 35 48 53 56 57 63 64 65 66 72 80 82 88 91 97 108 112 122 126 135 137 142 146 160 167 173 175 179 180 181 185 186 192 201 208 221 222 227 233 234 244 268 278 284 289 294 296 299 301 306 311 312 314 328 331 333 334 335 338 340 344 354 358 364 372 374 376 378 379 380 399 404 407 408 409 421 431 432 433 439 448 461 470 480 503 511 531 541 544 548 553 555 557 558 563 568 570 580 582 599 604 605 617 618 622 626 630 638 643 645 646 658 661 670 671 674 675 684 687 701 708 709 710 713 717 720 724 727 735 736 737 738 742 744 745 747 748 754 756]\n# step=0 row=1 minW=148 found cw of W=128: [2 9 11 21 24 31 35 41 46 48 53 57 58 60 62 65 71 72 77 96 97 112 113 124 126 128 136 138 139 142 143 144 145 152 159 162 167 174 175 177 181 185 186 187 192 195 197 246 258 260 268 280 284 288 299 311 325 328 335 344 364 377 380 389 391 424 432 433 448 453 461 467 468 473 494 495 506 517 521 529 536 538 541 544 548 551 555 558 560 568 569 571 572 577 581 587 599 604 610 619 624 630 631 634 641 644 645 646 650 653 661 667 671 673 691 695 709 714 720 724 731 732 735 736 738 742 743 755]\n# step=0 row=19 minW=128 found cw of W=124: [11 15 21 26 32 46 60 62 66 69 76 77 80 81 82 83 87 88 108 113 125 126 135 136 137 142 144 149 151 152 156 159 160 167 174 175 177 185 186 213 221 227 246 253 260 268 272 288 293 325 327 334 338 344 348 354 362 364 366 373 389 391 404 407 409 431 432 433 437 439 444 448 453 455 456 480 494 495 503 517 521 529 537 541 544 547 548 555 558 563 568 569 570 576 581 586 600 604 605 610 617 619 624 626 627 630 634 637 645 650 658 661 673 675 684 695 709 714 720 727 732 735 742 748]\n# step=0 row=21 minW=124 found cw of W=114: [11 15 29 35 36 54 66 76 77 82 88 91 98 128 130 135 137 139 143 146 167 174 178 179 181 184 187 192 195 197 198 221 222 233 234 244 246 258 278 289 293 296 301 309 312 315 316 331 333 334 335 340 344 347 348 358 364 372 374 406 409 432 433 459 462 467 481 488 496 500 506 509 511 513 523 530 538 555 556 560 563 570 571 572 576 578 587 600 603 604 605 622 646 650 652 660 667 674 684 687 691 698 713 717 719 725 736 742 745 747 748 754 755 756]\n# step=0 row=25 minW=114 found cw of W=92: [11 42 43 54 62 77 81 82 83 91 97 124 125 128 136 137 139 143 144 145 146 160 174 177 178 187 201 221 244 253 260 293 294 299 306 309 316 334 348 364 372 377 391 407 410 416 433 448 456 461 467 468 481 482 495 503 517 537 544 547 551 555 556 568 569 570 571 578 582 604 605 610 617 618 619 622 637 638 646 653 658 660 667 684 708 720 732 736 743 748 755 756]\n# step=0 row=203 minW=92 found cw of W=86: [7 33 54 66 69 80 91 98 107 113 124 128 130 135 139 144 145 146 152 162 163 173 180 181 192 195 197 198 208 214 222 230 233 285 299 314 335 340 341 349 354 391 395 404 409 410 431 432 439 453 459 480 494 500 506 517 521 523 529 530 538 541 551 553 557 558 563 572 576 577 587 603 617 631 643 644 653 667 684 698 713 719 720 727 743 754]\n# step=3 row=152 minW=86 found cw of W=80: [33 41 48 54 68 83 92 98 104 111 112 123 126 147 148 154 159 161 163 166 170 173 174 205 214 237 251 258 260 281 288 299 309 313 316 320 330 337 343 354 357 364 365 379 385 386 399 412 422 425 426 435 466 471 476 482 504 505 512 539 553 566 580 594 599 607 610 645 673 687 689 693 697 708 710 714 715 722 743 754]\n# step=10 row=266 minW=80 found cw of W=64: [22 29 49 68 91 96 117 130 132 137 138 142 165 166 185 186 191 200 212 233 240 247 277 288 325 365 380 381 385 400 420 426 434 446 455 467 470 474 482 508 515 516 520 522 523 529 537 543 544 545 550 559 586 624 627 645 649 669 694 714 716 735 736 739]\n# step=14 row=251 minW=64 found cw of W=60: [73 80 85 94 101 149 150 164 176 184 204 212 218 220 227 230 232 253 254 256 260 267 274 276 285 287 308 318 361 367 370 423 425 451 452 457 458 474 479 513 515 519 520 541 547 548 554 568 583 589 604 624 638 649 651 679 720 740 745 751]\n# step=316 row=119 minW=60 found cw of W=58: [7 42 55 62 66 69 72 96 107 113 164 165 168 171 173 175 176 178 179 206 214 220 234 271 275 278 282 315 322 340 384 385 395 412 415 420 450 456 469 487 494 502 510 542 546 549 556 557 577 632 644 667 699 700 708 722 744 749]\n# step=385 row=75 minW=58 found cw of W=56: [6 20 21 33 35 47 75 79 83 90 102 123 130 141 146 157 166 167 178 221 229 236 245 254 273 277 284 289 321 335 351 379 411 425 454 455 474 516 521 522 523 545 564 565 571 574 586 620 632 664 678 687 694 713 727 754]\n# step=417 row=253 minW=56 found cw of W=52: [32 107 151 162 171 191 207 213 235 256 257 268 297 308 319 320 323 356 367 371 374 378 398 405 459 485 488 495 508 534 544 555 569 577 578 583 598 618 632 640 644 647 659 665 673 686 688 693 698 699 714 747]\n# round=1000 of 10000 minW=52\n# step=1142 row=279 minW=52 found cw of W=50: [9 35 37 78 84 90 112 113 174 179 181 193 202 215 234 236 243 269 272 323 332 373 378 421 428 442 456 457 463 490 517 532 545 547 559 566 571 581 593 601 612 620 622 647 696 701 705 737 750 751]\n# step=1142 row=284 minW=50 found cw of W=46: [9 35 37 78 84 90 113 174 181 193 215 234 236 243 269 272 323 332 373 378 421 428 442 456 457 463 517 532 547 552 559 566 571 581 593 601 612 620 622 647 696 701 705 737 750 751]\n# step=1648 row=76 minW=46 found cw of W=40: [20 37 44 51 92 95 116 147 154 165 199 202 254 257 260 264 268 306 308 316 323 343 364 367 371 445 453 520 528 549 556 569 594 610 638 643 692 693 733 748]\n# round=2000 of 10000 minW=40\n# round=3000 of 10000 minW=40\n# round=4000 of 10000 minW=40\n# round=5000 of 10000 minW=40\n# round=6000 of 10000 minW=40\n# round=7000 of 10000 minW=40\n# round=8000 of 10000 minW=40\n# round=9000 of 10000 minW=40\n# round=10000 of 10000 minW=40\nRW algorithm upper bound for the distance d=40\n</t>
  </si>
  <si>
    <t># step=0 row=0 minW=757 found cw of W=156: [1 7 8 12 18 22 24 30 51 53 55 58 64 76 77 78 79 82 83 85 86 87 89 90 92 93 105 113 120 126 129 130 136 141 154 159 168 170 173 180 184 185 188 191 192 198 200 202 207 208 209 215 218 223 242 249 256 257 264 267 269 270 271 276 289 291 295 299 303 307 311 313 316 318 319 324 329 331 340 343 345 346 347 351 363 368 369 371 374 375 376 380 381 393 396 398 405 413 423 424 426 436 448 452 461 466 467 468 472 484 513 520 525 527 537 539 541 556 557 563 566 578 580 581 585 588 593 596 602 605 614 618 621 628 629 630 633 641 646 649 653 658 668 669 673 679 683 689 694 697 708 719 736 744 748 754]\n# step=0 row=1 minW=156 found cw of W=150: [4 8 10 12 14 22 23 24 35 51 53 77 78 79 83 84 85 86 87 89 90 92 100 105 107 113 120 129 130 131 135 141 145 148 154 159 168 179 188 192 197 202 209 212 215 229 232 236 241 242 243 245 257 264 284 287 289 295 303 308 311 312 318 319 323 324 328 329 331 332 334 337 340 358 366 368 380 381 383 385 388 393 395 396 398 413 423 436 439 442 443 452 457 461 467 471 472 484 492 498 520 522 523 525 527 532 533 537 539 541 551 561 564 566 568 578 580 581 585 586 588 593 600 607 620 622 625 627 629 630 635 641 647 649 658 668 670 673 678 679 682 689 701 716 718 719 727 729 740 750]\n# step=0 row=2 minW=150 found cw of W=140: [3 6 8 12 13 14 18 22 23 24 35 50 51 53 55 58 62 77 78 79 83 84 85 86 87 89 90 92 93 105 113 120 129 130 131 135 136 141 145 154 168 179 184 191 192 197 198 202 208 209 212 218 232 236 241 245 259 264 269 270 283 287 289 295 297 299 301 306 307 308 311 312 319 323 324 327 329 331 337 345 356 358 366 368 369 380 385 396 398 413 423 424 435 436 443 452 457 461 467 471 484 492 520 522 523 527 533 541 547 551 561 564 568 578 580 585 586 600 617 620 625 628 630 642 649 661 668 670 673 678 681 689 699 701 718 727 729 736 740 750]\n# step=0 row=4 minW=140 found cw of W=118: [8 10 11 12 14 17 21 23 35 53 55 62 76 77 78 84 85 89 92 93 98 100 105 107 124 129 131 154 168 184 188 191 200 207 209 215 223 243 245 247 251 256 264 267 269 276 278 289 291 296 297 299 302 306 324 331 334 337 345 347 351 352 358 380 381 385 388 393 395 396 401 406 413 436 439 442 443 457 461 467 476 492 496 522 527 531 532 533 541 545 547 551 564 578 580 581 585 586 593 596 600 621 622 625 628 629 633 641 642 647 649 668 673 697 719 725 728 729]\n# step=0 row=52 minW=118 found cw of W=116: [5 12 18 21 24 31 35 37 50 55 60 65 83 105 109 113 115 120 127 135 148 154 168 170 197 202 209 212 215 218 223 232 236 241 243 245 249 256 259 269 270 271 276 283 287 289 295 296 298 299 301 307 308 316 318 324 332 334 343 345 356 358 369 371 381 383 385 398 401 405 424 426 443 465 470 471 472 477 492 500 513 527 532 533 537 539 541 561 568 580 586 593 596 614 621 622 628 629 630 642 645 649 656 661 669 673 682 689 699 716 718 719 728 736 738 741]\n# step=0 row=64 minW=116 found cw of W=112: [3 8 12 18 22 53 55 62 64 77 79 83 87 90 92 98 113 120 124 126 128 131 136 138 148 170 173 180 188 198 208 215 236 242 245 249 251 257 270 271 276 278 289 297 298 307 308 313 319 324 327 328 331 347 358 368 369 374 383 385 396 398 413 423 424 436 442 443 448 452 457 461 468 470 472 476 492 498 513 520 531 533 537 539 557 561 564 568 580 581 588 593 602 614 617 635 641 642 649 656 658 669 670 673 681 683 686 706 718 729 738 740]\n# step=0 row=253 minW=112 found cw of W=108: [5 7 8 12 14 17 18 24 37 50 53 55 76 79 86 90 95 127 145 151 184 187 191 197 200 207 212 215 241 243 256 264 267 271 283 287 306 310 311 316 324 327 329 331 334 337 340 343 345 347 351 366 371 375 383 385 389 393 401 405 413 419 426 436 439 442 470 472 475 477 479 508 523 524 532 535 537 539 581 586 588 593 598 614 617 620 621 622 625 629 630 633 635 647 649 661 669 670 679 686 689 694 697 718 719 729 736 750]\n# step=2 row=197 minW=108 found cw of W=82: [28 30 46 69 80 85 96 108 120 129 135 140 142 152 156 161 163 169 175 184 191 192 202 209 214 219 224 231 235 236 243 246 247 260 271 275 282 292 302 307 324 346 362 374 382 389 401 408 412 429 452 457 472 474 478 506 527 529 534 536 541 570 580 587 589 603 621 626 635 649 657 659 670 677 683 685 700 706 726 735 737 746]\n# step=12 row=90 minW=82 found cw of W=80: [5 8 20 30 37 38 48 72 77 79 103 109 112 134 144 158 164 173 174 181 217 220 233 261 298 320 326 334 339 347 364 373 375 378 381 389 394 396 412 417 428 429 430 435 441 453 455 460 461 486 494 507 509 517 518 531 535 549 550 591 596 604 606 608 611 614 625 650 663 666 674 676 686 696 723 731 738 740 745 751]\n# step=17 row=122 minW=80 found cw of W=64: [23 38 57 63 69 74 79 85 100 141 153 155 159 174 180 189 196 208 214 217 224 230 258 259 266 269 272 286 310 314 318 320 352 365 367 369 372 376 407 408 422 424 435 441 442 447 473 498 503 518 525 532 547 558 577 592 615 618 652 663 696 702 730 740]\n# step=181 row=197 minW=64 found cw of W=56: [43 50 54 87 91 105 129 136 146 149 153 154 177 201 211 224 230 244 253 256 260 263 264 265 270 294 305 311 322 368 373 377 423 453 458 465 483 509 513 538 543 548 573 582 593 594 597 602 603 608 628 644 648 651 741 746]\n# step=478 row=326 minW=56 found cw of W=46: [16 65 99 104 129 159 184 189 191 194 196 214 235 239 243 284 286 290 297 301 307 335 362 369 394 397 417 449 477 482 531 532 574 580 616 618 623 627 636 662 667 670 711 719 726 752]\n# round=1000 of 10000 minW=46\n# round=2000 of 10000 minW=46\n# round=3000 of 10000 minW=46\n# round=4000 of 10000 minW=46\n# round=5000 of 10000 minW=46\n# round=6000 of 10000 minW=46\n# step=6586 row=120 minW=46 found cw of W=44: [22 38 43 77 105 129 132 183 184 187 190 194 211 219 239 242 246 260 290 294 297 304 349 356 360 372 409 427 438 450 458 471 478 487 528 540 548 554 569 603 633 726 738 750]\n# round=7000 of 10000 minW=44\n# round=8000 of 10000 minW=44\n# round=9000 of 10000 minW=44\n# round=10000 of 10000 minW=44\nRW algorithm upper bound for the distance d=44\n</t>
  </si>
  <si>
    <t># step=0 row=0 minW=757 found cw of W=154: [1 8 12 21 22 26 35 38 40 46 59 69 70 71 72 77 79 81 88 92 94 111 116 118 122 126 132 145 151 157 163 187 191 194 197 203 208 213 214 225 228 238 242 247 256 257 263 264 265 268 269 271 272 276 284 287 290 306 309 314 317 328 331 336 338 343 345 346 348 357 363 364 365 371 372 377 378 379 380 382 383 388 390 391 396 405 412 413 420 422 425 429 438 440 442 444 446 455 465 468 474 478 479 481 496 499 500 515 522 525 529 535 536 556 568 575 579 581 589 596 606 612 613 615 617 626 630 634 638 642 649 654 655 662 663 665 668 678 685 687 689 692 695 696 698 707 709 717 726 727 730 732 743 753]\n# step=0 row=1 minW=154 found cw of W=116: [2 4 13 17 21 45 46 72 79 88 111 116 122 130 134 141 143 144 157 187 189 191 194 214 223 227 242 244 247 251 256 257 268 269 272 284 290 297 299 313 317 331 336 337 338 343 346 352 354 357 362 365 366 372 373 374 378 388 399 405 412 418 420 432 438 439 446 455 469 479 481 486 488 500 502 522 529 530 545 556 566 570 572 601 613 615 616 620 621 624 625 634 636 649 663 668 670 674 683 685 689 691 695 696 697 702 703 709 710 711 717 726 730 732 743 745]\n# step=0 row=22 minW=116 found cw of W=92: [17 21 39 41 50 52 62 72 79 116 130 134 141 151 157 186 189 191 194 208 213 227 244 247 251 263 268 270 284 291 297 299 302 309 313 314 331 336 337 343 348 353 357 358 362 364 366 368 371 372 391 393 398 405 410 412 418 438 439 479 500 535 556 564 570 572 579 586 616 621 624 626 627 649 654 669 670 683 687 690 691 696 701 703 709 711 715 726 730 745 747 753]\n# step=5 row=305 minW=92 found cw of W=82: [17 18 34 55 65 72 78 87 100 103 117 126 138 140 149 191 193 197 223 232 235 245 252 276 278 280 314 327 333 335 342 369 376 382 388 391 398 404 409 420 435 437 443 449 450 458 460 467 469 472 492 502 507 510 511 520 551 573 574 575 589 592 597 615 619 622 626 638 658 671 674 678 679 692 707 712 718 723 727 738 741 748]\n# step=6 row=133 minW=82 found cw of W=80: [6 10 16 36 38 40 42 47 51 52 61 68 72 79 96 100 102 106 112 130 132 153 160 167 174 202 204 208 211 229 245 263 264 270 275 278 294 312 324 327 388 402 418 429 438 443 449 469 471 475 480 482 498 510 512 535 540 547 563 580 584 588 602 607 623 625 635 637 647 662 667 670 690 705 708 713 718 725 745 746]\n# step=6 row=330 minW=80 found cw of W=78: [6 10 16 36 38 40 42 47 51 52 61 68 72 79 96 100 102 106 112 130 132 153 160 167 174 202 204 208 211 245 263 264 270 275 294 312 319 324 327 388 402 418 429 438 443 449 469 471 475 480 482 498 510 512 535 540 547 563 580 584 588 602 623 625 635 637 647 651 667 670 690 705 708 713 718 725 745 746]\n# step=28 row=331 minW=78 found cw of W=72: [4 8 24 31 39 42 70 75 86 97 99 104 135 147 152 154 165 237 248 268 275 291 303 304 321 327 333 337 342 347 363 387 388 392 395 402 408 418 423 430 436 449 453 466 478 482 508 519 525 527 531 556 568 572 585 609 626 634 653 662 669 677 682 690 705 708 716 737 739 741 752 754]\n# step=37 row=65 minW=72 found cw of W=66: [1 16 19 24 28 33 40 55 56 74 83 90 95 122 134 143 153 157 189 198 201 208 215 242 265 292 314 335 347 349 353 354 355 360 369 397 398 399 406 408 431 433 438 441 449 465 490 495 507 516 523 539 557 580 585 588 597 622 643 664 671 678 682 698 712 747]\n# step=121 row=347 minW=66 found cw of W=64: [6 10 15 17 29 35 46 52 70 79 83 90 101 132 153 173 193 198 208 215 248 262 263 269 288 294 318 343 362 375 388 395 402 403 413 419 429 444 461 474 509 516 531 564 571 572 580 595 599 615 637 640 654 661 672 681 682 686 691 695 705 731 734 740]\n# step=135 row=3 minW=64 found cw of W=60: [2 8 22 33 49 50 62 63 88 104 132 167 178 187 222 271 282 312 331 337 356 381 382 392 393 405 427 435 436 440 441 446 454 476 482 489 490 495 496 517 530 536 537 557 580 600 606 611 626 662 670 675 696 701 709 716 724 734 737 750]\n# step=135 row=373 minW=60 found cw of W=56: [2 22 33 50 62 63 88 104 132 167 178 187 222 271 282 312 331 356 382 393 405 427 435 436 440 441 446 454 476 482 489 490 495 496 517 530 536 537 557 580 600 606 611 626 662 670 675 696 701 709 715 716 724 734 737 750]\n# step=603 row=353 minW=56 found cw of W=54: [56 67 135 143 169 171 184 192 204 218 219 225 226 231 265 274 315 329 344 355 356 385 396 406 410 411 419 459 460 475 501 508 513 521 524 547 568 576 582 597 598 602 624 631 643 644 653 658 672 673 688 707 720 743]\n# round=1000 of 10000 minW=54\n# round=2000 of 10000 minW=54\n# step=2007 row=125 minW=54 found cw of W=48: [5 19 42 53 60 67 153 159 214 243 258 264 269 272 313 319 324 327 334 355 360 361 363 376 396 399 403 416 482 483 506 532 537 572 593 596 622 627 650 662 663 671 691 698 711 733 747 754]\n# step=2744 row=311 minW=48 found cw of W=44: [3 14 24 34 35 44 78 86 89 130 141 198 200 227 262 267 276 288 351 357 402 428 443 484 522 570 571 576 578 605 612 613 619 625 633 649 674 680 689 710 715 735 739 756]\n# round=3000 of 10000 minW=44\n# round=4000 of 10000 minW=44\n# step=4424 row=213 minW=44 found cw of W=40: [132 143 145 161 176 194 198 205 212 216 220 231 238 242 249 320 335 343 376 379 420 431 480 523 529 539 554 570 585 588 603 629 631 637 644 652 664 678 686 734]\n# round=5000 of 10000 minW=40\n# round=6000 of 10000 minW=40\n# round=7000 of 10000 minW=40\n# round=8000 of 10000 minW=40\n# round=9000 of 10000 minW=40\n# round=10000 of 10000 minW=40\nRW algorithm upper bound for the distance d=40\n</t>
  </si>
  <si>
    <t># step=0 row=0 minW=757 found cw of W=146: [1 3 10 14 15 25 36 40 42 48 49 52 58 62 63 81 86 91 93 94 97 98 105 109 120 123 125 134 135 148 149 150 152 159 166 167 175 177 181 194 196 204 205 211 219 223 225 226 241 245 247 253 255 256 260 261 267 274 275 278 285 307 312 317 323 328 330 331 336 345 357 374 376 383 388 391 397 401 402 414 416 420 425 429 430 431 434 435 447 457 459 463 465 466 468 470 472 476 479 485 492 495 504 510 513 517 520 527 533 539 541 560 567 568 572 590 601 604 606 614 618 619 625 634 637 655 657 662 665 666 668 669 678 685 688 690 691 701 708 714 715 723 724 736 745 754]\n# step=0 row=1 minW=146 found cw of W=112: [2 14 21 23 24 42 48 49 52 58 69 78 89 90 93 96 97 101 103 104 114 142 144 145 152 159 166 175 186 199 200 210 219 220 221 226 228 239 245 249 255 256 261 263 265 271 274 276 284 294 306 317 323 328 330 331 336 339 371 376 387 397 415 428 430 431 435 454 463 468 470 480 485 487 492 498 517 533 541 558 559 560 570 581 598 604 617 631 634 640 641 662 665 666 667 678 679 682 685 687 690 701 704 708 714 715 716 724 730 745 749 755]\n# step=0 row=21 minW=112 found cw of W=102: [21 23 29 38 42 49 52 58 62 78 84 94 96 97 98 103 104 105 113 114 134 135 148 149 152 159 194 196 199 204 210 211 217 232 239 253 255 261 265 274 276 294 306 312 316 317 323 345 357 376 387 391 402 416 421 427 428 430 431 435 438 454 463 470 472 478 479 480 482 485 487 495 498 513 520 539 546 560 567 570 603 617 618 619 631 636 637 660 665 667 668 679 685 687 688 690 708 709 716 723 726 749]\n# step=0 row=59 minW=102 found cw of W=96: [21 23 29 42 52 58 62 78 84 94 96 97 103 104 113 114 128 134 135 139 148 149 152 159 194 196 199 204 210 211 217 232 239 253 255 261 265 274 276 294 306 312 316 317 323 345 357 376 387 391 402 421 428 430 431 435 438 454 463 470 472 479 480 485 487 495 498 513 520 539 546 560 567 570 603 617 618 619 631 636 637 660 665 667 668 679 685 687 688 690 708 709 716 723 726 749]\n# step=4 row=119 minW=96 found cw of W=94: [19 33 37 39 47 69 84 91 102 106 109 118 128 133 140 144 157 169 173 183 187 194 201 214 219 222 224 230 248 253 258 259 269 279 302 314 315 330 334 341 346 371 387 389 400 401 406 410 417 421 438 441 451 452 468 472 500 502 507 519 522 541 547 551 559 565 571 572 574 595 596 606 612 614 621 634 649 655 659 662 680 685 696 698 699 701 716 724 729 735 739 750 754 755]\n# step=7 row=185 minW=94 found cw of W=92: [13 15 17 22 24 29 47 48 49 54 56 57 61 62 67 69 73 97 98 101 102 111 113 115 118 119 122 123 125 126 142 145 146 149 156 160 168 175 176 186 220 231 247 291 298 302 324 331 336 337 345 347 361 368 372 380 381 385 392 395 399 421 430 432 437 440 441 444 445 446 455 457 464 470 485 489 503 511 536 586 597 619 625 635 660 668 674 687 709 714 738 754]\n# step=12 row=59 minW=92 found cw of W=86: [1 12 25 26 30 36 40 58 62 63 69 84 95 97 102 115 126 134 136 139 141 150 163 169 181 185 190 218 225 250 273 277 280 281 284 288 289 295 299 302 329 335 340 355 356 379 399 403 408 413 414 440 446 447 451 457 465 469 475 512 518 519 541 565 569 572 576 583 590 623 628 630 631 632 639 658 665 667 679 683 688 698 699 724 733 747]\n# step=30 row=18 minW=86 found cw of W=84: [2 18 20 31 32 43 47 52 53 62 69 82 87 89 91 101 102 135 141 171 176 185 196 202 213 225 226 233 244 251 255 258 280 281 296 320 334 335 342 354 364 380 386 392 405 410 415 419 421 425 430 433 442 459 464 475 483 485 505 508 519 524 531 535 565 572 573 575 584 595 603 624 636 642 646 652 663 677 688 693 703 719 729 755]\n# step=38 row=15 minW=84 found cw of W=82: [12 19 32 33 52 70 81 83 102 107 110 122 127 131 138 148 155 162 203 215 245 250 259 281 284 289 294 296 300 307 319 321 325 333 336 342 345 349 356 360 363 387 390 411 433 434 436 439 445 454 460 465 474 477 492 494 526 533 541 608 616 628 631 636 643 648 657 659 662 674 677 706 708 717 718 720 721 736 740 743 749 754]\n# step=38 row=362 minW=82 found cw of W=80: [12 19 32 52 70 81 83 102 107 110 122 127 131 138 148 155 162 203 215 245 250 259 281 284 289 294 296 300 307 319 325 333 336 342 345 349 356 360 363 370 387 390 411 433 434 436 439 445 454 460 465 474 477 492 494 526 533 541 608 616 628 631 636 643 648 657 659 662 674 677 699 706 708 717 718 720 721 736 740 749]\n# step=62 row=237 minW=80 found cw of W=78: [9 39 113 119 125 160 163 169 174 188 190 204 216 224 230 235 242 243 244 247 250 252 259 272 274 280 281 285 286 290 292 293 304 306 309 332 342 382 388 401 430 437 445 453 468 478 494 497 503 504 517 535 538 552 601 603 608 609 613 620 622 623 628 631 638 642 644 652 659 667 670 674 676 692 705 730 733 741]\n# step=94 row=109 minW=78 found cw of W=72: [20 27 29 33 35 37 49 54 57 70 84 96 104 125 129 131 151 164 165 182 189 193 196 206 220 225 227 232 240 251 254 260 306 321 322 337 343 358 381 386 400 402 407 411 425 453 457 460 468 469 470 477 501 507 515 520 542 559 562 603 604 605 609 638 639 646 680 688 715 743 744 754]\n# step=101 row=208 minW=72 found cw of W=68: [32 54 62 63 77 91 117 137 146 172 177 202 213 220 221 227 232 242 246 267 268 297 303 304 347 348 354 358 365 395 398 399 412 418 427 436 441 454 455 466 488 489 490 496 508 510 521 522 526 544 571 575 578 591 593 600 616 634 640 653 679 700 706 720 724 728 732 749]\n# step=104 row=88 minW=68 found cw of W=62: [13 20 26 32 54 61 116 132 156 170 171 177 178 187 194 197 241 242 279 290 297 304 321 348 349 363 375 383 386 395 405 446 450 469 473 485 499 501 510 550 555 563 578 591 603 616 652 653 657 674 683 693 699 712 720 727 732 741 747 748 753 754]\n# step=304 row=32 minW=62 found cw of W=54: [6 17 47 52 55 61 66 72 82 142 165 170 176 184 190 211 219 225 245 280 370 379 384 390 391 395 405 411 430 432 479 487 499 515 528 543 562 568 569 575 597 609 629 630 644 664 667 679 687 693 699 719 728 742]\n# step=417 row=35 minW=54 found cw of W=48: [10 38 64 93 114 119 126 129 140 174 189 209 253 257 264 312 373 388 389 397 428 438 442 443 457 458 464 477 479 491 506 513 532 558 562 587 603 635 636 648 677 685 697 702 725 738 745 746]\n# round=1000 of 10000 minW=48\n# round=2000 of 10000 minW=48\n# round=3000 of 10000 minW=48\n# step=3713 row=216 minW=48 found cw of W=46: [152 153 178 179 181 202 207 277 282 288 303 322 367 371 377 378 412 413 426 432 461 475 481 502 503 510 516 522 524 531 552 556 557 586 591 605 611 646 654 655 666 676 700 701 717 750]\n# round=4000 of 10000 minW=46\n# round=5000 of 10000 minW=46\n# round=6000 of 10000 minW=46\n# round=7000 of 10000 minW=46\n# step=7711 row=22 minW=46 found cw of W=42: [2 37 49 50 58 94 104 105 114 118 119 148 156 163 174 200 211 332 378 380 381 387 402 427 435 447 448 476 491 498 502 517 554 592 640 641 682 689 690 710 730 739]\n# round=8000 of 10000 minW=42\n# step=8655 row=174 minW=42 found cw of W=38: [151 206 213 226 230 233 257 261 273 274 275 277 279 281 285 286 288 312 319 323 339 369 394 431 443 480 484 492 521 541 574 582 604 623 651 657 666 712]\n# round=9000 of 10000 minW=38\n# round=10000 of 10000 minW=38\nRW algorithm upper bound for the distance d=38\n</t>
  </si>
  <si>
    <t># step=0 row=0 minW=757 found cw of W=150: [1 2 4 9 16 18 30 32 34 41 45 59 67 78 79 87 89 101 103 107 117 121 125 131 145 150 151 156 157 158 162 167 172 175 180 201 204 208 210 211 215 216 222 223 227 228 229 234 255 269 272 276 280 281 289 291 294 296 298 310 312 321 336 337 338 345 349 350 355 356 360 361 375 392 402 403 404 405 408 412 417 430 432 433 435 438 440 451 453 463 474 478 481 482 484 487 493 494 498 503 507 519 520 527 531 533 535 541 542 543 545 552 557 569 572 585 586 595 602 612 617 618 623 625 633 638 642 643 654 655 658 660 663 669 675 684 685 687 690 695 699 700 704 705 708 720 722 732 733 749]\n# step=0 row=1 minW=150 found cw of W=140: [2 5 16 19 22 25 27 29 30 32 34 43 45 75 76 78 81 103 117 131 136 140 145 155 156 166 167 172 175 179 184 185 186 187 191 193 199 206 210 216 218 220 221 222 227 229 232 234 241 242 248 249 268 280 281 282 287 297 299 311 313 323 327 336 345 355 359 360 361 375 396 402 405 416 425 432 445 453 454 455 462 463 474 476 478 485 486 492 494 506 508 512 516 520 527 533 536 541 552 561 563 564 566 568 569 589 597 602 612 617 623 625 628 630 642 643 654 655 658 660 664 670 671 672 684 687 689 690 702 705 713 718 720 723 730 733 737 746 748 750]\n# step=0 row=13 minW=140 found cw of W=110: [3 4 14 16 23 30 31 36 41 43 59 76 78 80 101 103 131 141 143 145 150 156 166 167 170 179 185 186 193 195 199 206 218 221 222 223 225 228 229 241 248 257 268 269 272 276 280 281 287 299 311 313 323 327 329 336 337 338 380 394 396 403 416 421 430 438 445 451 453 454 464 474 476 484 486 487 492 493 494 499 506 516 519 520 523 533 536 542 545 557 564 566 568 569 623 625 628 654 655 663 670 672 689 697 702 704 707 718 732 737]\n# step=0 row=71 minW=110 found cw of W=104: [2 9 18 22 25 27 31 34 43 45 67 76 78 79 87 89 103 117 121 135 145 156 164 170 172 193 195 210 211 216 221 226 227 232 234 239 253 255 257 266 274 280 281 287 311 325 345 349 359 361 402 405 408 416 417 433 440 451 453 455 464 467 476 478 481 484 485 492 498 499 506 507 512 519 527 533 536 542 545 547 561 566 568 589 599 602 603 612 623 637 643 660 690 695 697 699 702 707 723 733 737 746 748 750]\n# step=1 row=0 minW=104 found cw of W=68: [2 4 6 11 13 17 18 22 41 45 50 59 70 96 107 118 173 174 207 218 228 262 264 269 273 278 283 296 297 298 308 331 345 351 352 353 363 366 368 382 388 391 393 406 413 450 536 552 558 595 601 626 648 656 658 662 674 676 685 695 706 707 709 713 718 725 736 737]\n# step=88 row=36 minW=68 found cw of W=64: [23 26 39 40 46 48 50 51 57 78 83 85 102 108 146 157 193 203 208 214 235 273 290 293 322 327 338 340 366 369 374 376 393 417 421 467 481 490 497 505 523 546 572 580 581 587 592 615 621 626 643 651 662 677 692 700 706 713 723 730 747 749 754 755]\n# step=103 row=349 minW=64 found cw of W=56: [7 12 14 37 67 92 99 102 147 151 157 161 171 187 194 202 205 206 209 212 213 216 241 256 292 296 303 346 367 374 378 385 390 439 440 475 488 500 530 555 572 578 590 611 616 619 621 660 662 680 683 689 696 701 706 724]\n# step=700 row=152 minW=56 found cw of W=54: [15 16 78 83 85 89 105 129 132 173 179 184 191 193 228 235 237 239 243 248 290 294 298 301 305 318 332 346 353 359 393 414 437 448 456 461 467 497 522 565 572 587 595 601 614 636 655 661 675 691 696 726 730 737]\n# round=1000 of 10000 minW=54\n# step=1524 row=356 minW=54 found cw of W=50: [5 26 46 47 66 81 88 121 176 225 231 238 246 280 286 299 328 334 335 343 360 363 390 395 396 418 420 430 453 488 508 514 555 563 575 578 603 616 630 652 671 677 678 683 693 708 712 726 727 741]\n# round=2000 of 10000 minW=50\n# round=3000 of 10000 minW=50\n# step=3538 row=20 minW=50 found cw of W=44: [5 11 12 20 27 32 38 40 42 45 49 55 75 101 107 197 227 276 287 328 361 365 385 389 395 398 405 410 459 473 480 485 500 515 523 563 564 570 649 653 665 706 714 755]\n# round=4000 of 10000 minW=44\n# round=5000 of 10000 minW=44\n# round=6000 of 10000 minW=44\n# round=7000 of 10000 minW=44\n# round=8000 of 10000 minW=44\n# round=9000 of 10000 minW=44\n# round=10000 of 10000 minW=44\nRW algorithm upper bound for the distance d=44\n</t>
  </si>
  <si>
    <t># step=0 row=0 minW=757 found cw of W=146: [1 2 6 8 9 13 31 48 61 70 92 93 99 100 102 113 114 121 125 126 137 141 143 148 158 160 162 167 185 187 192 196 199 209 214 221 227 229 243 244 247 254 256 258 268 269 272 275 283 293 296 304 309 314 316 318 322 325 331 345 348 359 361 364 367 370 376 381 387 394 409 417 429 431 432 434 443 448 455 458 460 491 492 494 497 504 509 515 525 533 535 536 539 550 559 564 580 582 584 585 591 593 594 599 600 613 614 615 620 621 622 623 627 633 639 643 646 647 649 650 651 653 660 662 666 675 677 688 695 696 698 701 702 704 705 708 710 713 718 720 724 737 741 743 748 752]\n# step=0 row=2 minW=146 found cw of W=136: [4 6 13 18 22 25 43 45 47 48 50 52 55 61 66 69 84 91 92 102 104 110 114 117 120 124 131 139 141 147 148 155 163 167 185 196 199 203 209 217 223 224 229 231 243 250 253 254 268 272 278 283 309 311 315 316 318 334 351 354 359 361 364 366 370 372 386 393 398 406 409 416 425 429 432 434 440 442 447 455 460 464 472 482 489 492 494 498 513 515 524 530 533 535 539 542 546 550 553 556 561 571 580 591 596 599 600 601 614 621 623 632 639 642 647 649 650 653 662 666 676 688 699 701 704 711 713 715 717 718 720 722 725 743 748 752]\n# step=0 row=12 minW=136 found cw of W=118: [2 9 18 21 25 33 38 49 57 62 76 83 91 100 108 117 122 124 126 127 137 158 162 166 167 192 194 199 200 209 221 224 227 229 244 245 247 268 269 277 278 289 293 296 300 318 319 322 325 331 334 344 345 351 354 359 370 394 398 417 432 433 443 455 458 469 481 482 486 488 490 492 497 504 509 515 524 535 550 553 557 560 564 567 571 582 594 600 613 620 622 623 625 632 633 639 642 646 650 651 655 656 660 662 664 677 688 695 696 697 699 701 702 704 705 715 737 754]\n# step=0 row=35 minW=118 found cw of W=108: [2 6 13 17 31 47 49 52 55 58 65 66 69 72 88 93 99 100 102 103 104 113 114 117 120 121 124 131 141 143 147 162 185 187 196 199 209 227 231 234 247 268 269 283 292 319 322 325 331 345 351 361 384 387 395 406 429 442 443 447 469 481 494 498 509 510 524 530 533 535 539 542 550 564 579 580 582 584 591 600 605 612 613 614 623 625 627 633 639 642 649 653 656 660 664 676 688 695 697 701 704 715 717 720 741 743 752 754]\n# step=0 row=54 minW=108 found cw of W=100: [2 6 13 31 47 49 52 55 58 69 88 93 99 100 102 103 104 107 113 117 120 124 131 141 143 147 155 185 187 196 199 209 227 231 234 247 268 269 283 292 319 322 325 331 345 351 361 384 387 406 429 439 442 447 469 481 509 510 524 530 533 535 539 542 550 564 579 580 582 584 591 600 605 612 613 614 623 625 627 633 639 642 649 653 656 660 664 676 688 695 697 701 704 715 717 720 741 743 752 754]\n# step=1 row=112 minW=100 found cw of W=98: [16 28 29 31 35 39 43 51 73 116 121 173 181 200 202 206 207 208 214 220 233 235 243 247 259 264 270 271 291 298 303 305 314 321 323 339 358 369 382 383 394 404 416 424 430 431 450 453 461 464 473 476 480 510 514 521 525 529 549 556 566 580 584 585 586 595 600 604 605 606 613 614 619 625 634 636 637 641 647 654 656 660 662 666 670 676 685 692 694 695 697 705 717 726 731 741 745 750]\n# step=1 row=375 minW=98 found cw of W=96: [28 29 31 35 39 43 51 73 116 121 173 181 200 202 206 207 208 220 233 235 243 247 259 264 270 271 291 298 303 305 312 314 321 323 339 358 369 382 383 394 404 416 424 430 431 450 453 461 464 473 476 480 510 514 521 525 529 549 556 566 580 584 585 586 592 595 600 604 605 606 613 614 619 625 634 637 654 656 660 662 666 670 676 682 692 694 695 696 697 705 717 731 737 741 745 750]\n# step=7 row=50 minW=96 found cw of W=82: [1 7 18 20 27 29 47 52 53 91 102 112 116 133 139 148 167 171 178 183 190 195 215 231 266 273 286 293 295 300 308 310 317 330 335 340 356 363 364 366 375 377 384 385 392 396 400 445 462 482 485 517 526 534 568 575 581 583 588 604 609 628 630 632 644 651 665 677 679 686 693 694 695 699 706 714 718 719 720 735 739 741]\n# step=18 row=157 minW=82 found cw of W=76: [2 14 34 37 38 78 79 105 112 118 119 133 134 139 140 141 149 153 163 173 174 180 183 184 187 194 204 211 220 225 243 246 250 259 277 280 282 290 303 322 337 345 380 393 407 429 436 467 471 477 490 496 503 516 517 519 531 561 563 568 598 602 609 620 623 630 633 655 669 676 681 688 717 723 744 745]\n# step=28 row=54 minW=76 found cw of W=68: [12 17 40 52 87 96 102 107 117 158 171 177 199 207 212 231 240 254 259 274 286 289 309 315 328 356 383 385 400 404 411 424 445 460 467 473 475 490 495 501 514 516 520 544 549 550 555 557 569 577 590 598 604 609 637 639 644 652 658 659 665 673 686 692 706 727 741 753]\n# step=162 row=135 minW=68 found cw of W=66: [4 36 39 59 71 85 101 114 125 155 163 169 174 197 208 218 231 241 252 253 257 264 265 266 280 294 298 300 303 305 321 344 347 351 358 382 409 410 414 417 433 444 451 459 484 503 508 547 549 554 558 574 577 586 588 593 602 623 631 639 641 643 644 653 687 721]\n# step=244 row=67 minW=66 found cw of W=58: [19 24 51 74 81 100 120 121 130 135 154 160 164 171 175 209 224 226 239 261 275 279 286 294 301 305 323 353 367 408 409 417 422 443 464 471 473 478 492 508 512 521 527 532 541 543 549 581 593 604 610 622 633 648 666 697 731 746]\n# step=244 row=102 minW=58 found cw of W=56: [24 30 38 51 74 100 105 121 154 160 164 169 175 199 209 224 226 239 261 275 279 286 294 301 305 323 353 367 397 409 416 417 422 443 457 463 473 487 492 514 527 532 541 542 543 581 593 604 610 622 633 648 666 697 731 746]\n# step=952 row=325 minW=56 found cw of W=54: [13 20 61 83 102 168 172 179 183 230 238 245 285 293 294 300 322 329 330 341 343 345 356 364 390 396 419 434 445 456 460 467 561 605 628 651 652 654 667 672 677 678 695 700 703 708 718 722 723 734 741 744 749 755]\n# round=1000 of 10000 minW=54\n# step=1433 row=76 minW=54 found cw of W=52: [41 60 67 92 115 142 147 154 165 176 177 202 205 206 216 219 225 253 257 261 264 268 336 344 380 391 399 419 425 438 445 486 487 494 509 515 520 528 548 569 575 583 603 609 624 632 638 645 687 728 735 754]\n# step=1597 row=96 minW=52 found cw of W=48: [7 13 49 57 63 77 92 112 125 128 154 159 180 203 229 278 330 363 367 370 372 374 379 391 392 420 421 422 432 447 455 457 462 497 512 517 525 546 566 568 594 617 651 658 662 708 745 750]\n# round=2000 of 10000 minW=48\n# round=3000 of 10000 minW=48\n# step=3845 row=29 minW=48 found cw of W=40: [5 40 41 53 60 95 96 102 103 147 150 151 202 206 213 258 334 348 369 385 396 411 418 434 444 485 500 508 549 583 587 632 642 673 677 698 699 712 732 748]\n# round=4000 of 10000 minW=40\n# round=5000 of 10000 minW=40\n# round=6000 of 10000 minW=40\n# round=7000 of 10000 minW=40\n# round=8000 of 10000 minW=40\n# round=9000 of 10000 minW=40\n# round=10000 of 10000 minW=40\nRW algorithm upper bound for the distance d=40\n</t>
  </si>
  <si>
    <t># step=0 row=0 minW=757 found cw of W=152: [1 2 4 6 9 13 15 16 20 33 44 52 53 55 65 66 75 79 82 86 87 92 97 99 104 106 108 112 117 119 121 142 162 165 167 192 209 211 214 220 222 226 227 229 234 236 237 241 247 262 266 267 272 281 287 288 295 304 308 310 312 316 320 321 322 324 334 335 341 343 364 371 378 381 397 398 405 407 408 410 418 422 438 439 441 454 455 456 460 470 474 482 487 495 500 505 508 521 525 526 529 537 540 541 545 546 549 557 560 578 584 585 586 587 590 593 604 606 608 611 616 630 634 636 640 651 656 657 660 665 668 670 673 675 679 681 682 685 686 690 695 696 710 713 718 719 721 722 731 747 748 754]\n# step=0 row=1 minW=152 found cw of W=146: [3 4 6 8 9 14 35 43 45 53 63 66 76 79 81 86 87 92 97 99 103 118 121 130 131 142 162 165 168 173 179 192 209 211 220 222 225 227 229 236 237 241 246 247 254 256 266 267 272 280 290 302 309 310 316 320 324 334 341 343 351 353 363 371 375 378 381 386 387 388 390 393 397 398 405 410 418 419 422 423 436 446 447 467 468 470 472 480 481 487 496 500 508 513 514 517 521 526 529 537 540 545 546 549 560 566 578 584 587 590 593 600 604 606 608 611 616 624 630 631 632 634 635 651 656 657 660 665 668 670 673 676 680 681 690 694 698 700 709 713 718 719 723 731 737 755]\n# step=0 row=4 minW=146 found cw of W=140: [2 4 9 11 16 18 20 26 28 33 35 53 63 75 76 79 82 86 87 90 97 100 104 112 118 119 122 123 124 131 142 146 150 165 167 173 204 205 211 220 237 246 252 254 256 259 262 271 276 278 281 289 290 296 304 309 312 320 322 341 351 358 363 366 371 375 388 390 391 397 398 399 410 412 419 434 436 438 439 441 443 454 455 459 467 468 480 481 482 489 492 497 505 508 517 521 540 543 549 555 566 586 587 590 600 604 605 606 610 611 624 632 634 635 636 638 640 655 670 673 676 679 680 682 685 687 692 698 703 709 716 718 719 722 723 724 731 747 754 755]\n# step=0 row=8 minW=140 found cw of W=136: [2 6 12 13 15 18 20 23 42 45 55 65 75 76 79 81 82 86 90 92 97 99 104 113 123 130 140 146 167 172 184 188 192 195 203 209 214 217 222 225 226 236 237 241 247 254 256 267 276 280 281 287 288 292 296 299 302 308 320 321 322 341 351 353 358 364 376 381 388 391 397 399 407 408 418 422 423 428 434 439 454 460 463 467 468 470 472 481 489 491 495 497 505 513 514 517 522 525 526 529 537 557 560 572 578 585 593 605 606 616 624 631 632 643 657 668 673 675 676 681 686 687 692 694 695 710 713 716 719 730 731 733 747 748 754 755]\n# step=0 row=26 minW=136 found cw of W=118: [4 12 14 26 35 42 53 57 66 79 81 86 90 92 99 100 104 112 117 119 121 122 123 130 146 148 162 165 167 168 179 203 204 214 217 222 229 234 237 251 255 259 262 266 267 271 276 278 290 295 296 306 308 309 320 343 353 358 366 376 387 388 390 397 399 405 407 419 434 439 443 447 454 456 460 470 480 487 489 492 496 497 500 514 525 537 539 546 549 555 560 584 586 587 590 605 608 635 640 643 647 651 655 668 670 676 680 686 687 695 696 700 709 716 723 731 733 748]\n# step=0 row=69 minW=118 found cw of W=110: [2 6 9 12 14 15 18 26 33 45 90 92 99 103 117 118 135 138 140 165 172 173 188 192 195 207 220 226 229 234 236 241 247 252 255 256 262 267 271 278 280 288 289 290 306 310 322 351 363 366 371 381 388 390 391 410 418 422 423 428 446 447 455 467 468 470 472 480 500 505 508 517 522 529 543 545 549 568 572 578 585 590 604 606 610 630 635 647 651 655 660 675 676 679 681 684 694 696 700 703 709 710 713 721 722 723 724 733 737 755]\n# step=0 row=371 minW=110 found cw of W=104: [2 6 8 26 42 43 53 55 76 90 103 108 112 117 118 131 160 168 172 173 179 188 192 204 209 214 229 236 237 241 247 259 262 266 267 276 292 296 299 302 310 316 322 351 363 366 371 376 378 384 386 393 407 422 436 439 441 446 454 456 467 468 471 474 481 482 495 496 497 503 517 521 525 526 529 546 557 561 572 578 585 586 593 605 608 611 616 631 634 635 640 657 660 668 675 681 692 694 716 724 736 747 754 755]\n# step=1 row=26 minW=104 found cw of W=102: [5 6 10 12 24 28 49 56 58 60 68 70 71 82 87 90 93 98 99 111 113 122 123 132 134 136 144 154 168 174 181 226 230 231 236 250 262 274 281 305 321 326 328 347 375 392 397 427 430 436 438 441 443 449 456 461 465 466 477 479 496 504 509 517 526 538 546 552 565 572 574 586 593 595 596 599 604 609 614 616 623 635 636 640 655 658 669 681 686 694 695 703 704 713 726 727 736 738 744 745 748 754]\n# step=1 row=63 minW=102 found cw of W=100: [1 2 3 5 12 20 30 38 41 45 52 58 71 87 98 101 106 112 113 120 121 128 129 131 136 144 150 156 164 168 172 181 188 195 200 205 211 221 225 230 236 262 264 273 274 276 280 297 308 326 328 332 338 342 346 359 368 375 377 382 386 389 394 403 409 414 432 441 453 458 460 465 471 472 506 509 523 545 548 552 554 555 564 568 571 596 605 620 635 651 658 665 675 676 686 697 704 709 718 730]\n# step=1 row=67 minW=100 found cw of W=90: [1 3 5 10 12 20 24 27 41 52 60 75 82 87 112 117 122 130 138 153 156 200 209 211 221 226 233 236 250 253 276 281 287 288 294 305 326 328 331 333 338 342 347 375 377 380 389 395 405 430 432 436 441 444 447 454 460 465 467 470 496 503 514 521 526 571 587 593 599 614 616 620 628 636 640 644 655 665 676 681 685 686 704 709 711 718 726 738 745 752]\n# step=12 row=165 minW=90 found cw of W=88: [1 47 49 53 58 68 75 82 87 88 102 110 112 123 125 128 130 143 155 160 172 182 190 193 199 201 206 208 218 268 272 273 280 288 291 298 302 325 328 332 351 362 365 376 379 380 390 392 419 439 453 470 471 475 480 491 498 503 506 510 522 533 535 537 556 559 563 573 576 579 581 600 627 632 634 650 653 663 671 680 699 705 722 724 735 748 753 754]\n# step=16 row=170 minW=88 found cw of W=84: [12 28 38 46 62 67 77 78 88 92 95 100 101 102 106 110 134 143 145 156 163 171 191 200 212 232 240 246 253 274 295 341 342 377 378 385 386 390 398 399 416 419 421 422 424 427 435 465 475 483 484 495 500 506 509 518 539 540 541 543 544 550 555 569 578 588 603 613 629 630 637 645 654 659 665 694 707 708 727 728 743 744 749 756]\n# step=16 row=373 minW=84 found cw of W=82: [21 38 46 47 54 62 67 78 92 95 100 101 106 110 134 145 156 163 171 191 200 212 232 240 246 253 274 295 309 316 342 377 378 386 390 396 398 399 416 419 421 422 424 435 465 483 484 486 495 500 506 509 518 539 540 541 543 544 550 555 569 578 588 603 613 629 630 637 645 654 659 665 687 707 708 719 727 728 742 744 749 754]\n# step=24 row=109 minW=82 found cw of W=78: [5 18 21 25 27 34 36 41 46 52 53 55 61 68 72 73 79 82 87 106 107 124 128 129 132 137 141 158 167 185 190 192 219 229 287 307 314 336 359 362 377 383 391 396 408 412 417 419 430 438 439 446 449 455 456 473 475 490 505 510 512 513 524 563 569 574 595 597 602 603 653 665 687 693 709 737 742 743]\n# step=84 row=277 minW=78 found cw of W=74: [5 12 40 56 67 74 95 118 127 130 134 150 151 164 173 180 182 183 198 206 207 235 237 242 244 245 256 270 289 290 292 297 300 303 304 311 318 319 328 345 360 374 395 396 441 444 480 485 486 490 493 500 505 507 508 512 514 531 549 557 572 585 591 595 616 646 648 683 684 692 695 726 729 740]\n# step=96 row=142 minW=74 found cw of W=72: [16 19 36 109 114 128 130 133 141 155 169 174 175 185 188 190 192 194 196 215 217 229 231 236 238 244 251 258 265 284 291 295 298 299 339 343 346 350 354 357 359 362 451 452 459 487 492 506 511 518 533 552 553 560 561 563 567 572 588 593 595 597 616 622 636 648 691 697 712 726 737 746]\n# step=137 row=14 minW=72 found cw of W=70: [5 11 21 25 30 67 75 76 80 83 85 87 135 145 156 189 196 207 211 219 243 245 249 255 258 262 266 269 273 279 300 309 339 353 355 384 399 418 425 433 452 485 505 507 518 519 542 572 595 608 618 622 623 627 632 636 651 652 659 672 682 683 687 706 718 721 726 732 741 754]\n# step=271 row=285 minW=70 found cw of W=68: [17 44 87 88 95 99 106 108 116 122 137 145 152 159 166 177 182 192 233 234 255 257 262 282 298 305 318 337 339 349 354 383 398 404 411 439 453 460 466 486 500 501 510 521 529 532 537 543 560 570 576 586 590 591 600 606 612 614 615 639 650 656 661 680 682 683 697 710]\n# step=348 row=299 minW=68 found cw of W=60: [4 11 81 83 88 94 120 129 161 164 174 178 180 185 187 191 194 196 198 214 233 270 272 273 279 304 327 384 425 437 461 466 472 498 504 505 507 514 516 534 547 551 552 558 576 588 592 601 602 606 616 629 636 642 647 657 683 706 713 747]\n# step=641 row=123 minW=60 found cw of W=56: [44 47 48 54 79 83 93 96 110 114 127 128 139 152 165 172 176 179 186 193 227 241 248 271 284 328 331 339 372 377 390 394 412 421 422 425 427 435 439 443 457 467 477 481 511 515 519 525 536 572 621 660 674 704 723 755]\n# round=1000 of 10000 minW=56\n# step=1536 row=295 minW=56 found cw of W=48: [46 51 106 136 161 164 199 216 219 226 232 253 259 260 261 274 316 322 323 330 349 367 378 424 430 453 486 528 535 542 543 569 583 584 609 625 632 637 654 658 659 665 666 673 692 699 703 741]\n# round=2000 of 10000 minW=48\n# step=2368 row=5 minW=48 found cw of W=46: [9 15 70 85 99 100 125 134 163 170 180 183 217 277 281 287 318 322 325 326 366 388 393 408 428 449 457 483 492 506 507 512 533 540 548 567 589 610 630 650 655 665 696 709 710 751]\n# round=3000 of 10000 minW=46\n# step=3290 row=345 minW=46 found cw of W=40: [5 7 60 67 115 152 159 203 207 211 255 262 266 269 295 307 314 321 344 348 355 383 406 440 447 450 473 499 555 563 604 630 636 643 645 673 679 691 720 743]\n# round=4000 of 10000 minW=40\n# round=5000 of 10000 minW=40\n# round=6000 of 10000 minW=40\n# round=7000 of 10000 minW=40\n# round=8000 of 10000 minW=40\n# round=9000 of 10000 minW=40\n# round=10000 of 10000 minW=40\nRW algorithm upper bound for the distance d=40\n</t>
  </si>
  <si>
    <t># step=0 row=0 minW=757 found cw of W=144: [1 3 8 13 16 26 51 56 60 64 65 66 68 73 75 77 86 106 109 110 121 124 130 137 148 150 151 160 161 162 184 187 193 195 197 200 205 212 215 216 218 228 233 238 249 250 267 271 272 277 280 282 284 290 299 306 313 316 322 324 327 328 331 334 335 351 355 360 362 366 393 397 399 400 406 410 412 414 423 435 444 448 449 452 461 467 472 473 483 487 501 502 506 508 516 517 525 526 529 532 534 546 549 559 566 571 573 582 588 593 595 607 611 615 630 633 634 636 639 640 642 645 648 651 663 666 668 677 679 684 688 700 702 705 709 710 711 712 718 724 739 740 741 751]\n# step=0 row=3 minW=144 found cw of W=130: [2 5 11 16 20 26 29 30 51 54 60 65 67 74 75 85 86 91 106 109 113 130 136 137 151 153 155 162 180 187 191 198 200 203 205 208 238 241 248 249 252 259 260 262 289 295 297 314 316 320 321 324 327 331 343 344 346 351 360 362 365 366 385 387 393 397 399 401 402 411 412 413 428 436 438 443 444 449 452 459 468 473 475 476 483 501 502 517 525 526 529 532 534 546 550 551 553 559 573 588 599 600 607 615 630 633 640 645 648 656 663 666 670 673 675 679 690 693 695 698 705 709 712 715 720 721 722 723 740 749]\n# step=0 row=9 minW=130 found cw of W=124: [2 8 10 16 21 26 30 56 58 60 64 66 74 76 81 85 86 96 98 109 110 113 118 124 126 131 143 145 148 151 155 160 161 163 170 173 180 183 187 200 203 206 216 218 228 246 248 249 252 260 268 280 293 297 310 327 344 346 351 355 356 357 360 365 387 397 399 400 402 409 410 428 435 441 443 444 448 449 452 459 467 474 476 526 534 536 538 543 550 553 561 566 571 576 577 582 587 591 599 615 623 625 630 639 640 644 650 656 668 670 675 677 690 700 701 705 715 717 722 738 739 740 746 749]\n# step=0 row=44 minW=124 found cw of W=122: [8 9 10 13 20 29 54 56 64 68 77 86 88 91 98 109 121 126 128 150 151 153 155 161 163 170 184 190 192 195 197 200 204 206 208 212 216 222 233 238 246 252 260 262 268 284 293 306 316 324 328 331 334 335 338 343 344 350 362 366 382 397 399 402 406 409 411 413 435 436 438 441 443 448 452 472 487 502 506 508 517 521 524 525 526 529 543 549 551 561 566 582 588 607 623 625 630 634 644 645 648 651 666 667 668 684 690 695 700 709 712 716 717 718 720 722 724 726 738 740 741 746]\n# step=0 row=187 minW=122 found cw of W=110: [2 3 10 16 18 20 22 49 56 58 60 64 66 74 77 81 96 104 106 110 113 118 126 137 150 151 152 159 160 163 170 180 203 204 206 212 215 218 222 233 246 268 280 284 289 315 316 328 334 335 343 350 362 370 381 386 409 410 411 412 413 417 425 435 436 440 444 448 449 461 476 501 517 521 534 536 543 546 553 559 600 607 633 634 639 644 645 648 651 656 666 667 668 679 688 700 705 712 715 717 718 720 721 722 723 724 738 740 741 746]\n# step=0 row=238 minW=110 found cw of W=100: [2 9 10 13 16 20 22 26 30 56 58 60 65 66 68 77 98 104 110 118 150 159 203 212 246 272 290 295 306 310 316 322 327 330 331 334 338 343 346 350 355 360 365 366 392 399 401 409 410 411 413 436 438 441 444 461 463 468 476 512 525 534 538 543 550 553 561 566 587 599 610 633 634 640 645 650 651 656 659 666 673 677 679 684 688 700 701 705 709 715 716 717 718 722 726 738 740 741 746 749]\n# step=0 row=284 minW=100 found cw of W=98: [2 5 9 10 13 30 51 56 58 60 66 67 68 74 81 85 98 104 106 118 130 143 148 150 155 159 160 162 164 170 176 192 200 204 206 212 215 246 254 260 267 268 272 309 330 346 350 362 385 387 392 401 402 409 428 435 441 443 444 449 459 468 473 475 476 488 501 502 517 524 534 542 548 549 550 554 555 576 599 607 610 633 634 645 648 650 656 659 668 679 690 693 712 717 723 738 739 746]\n# step=5 row=299 minW=98 found cw of W=76: [12 15 21 34 60 67 71 76 88 94 101 179 181 185 205 212 223 226 234 252 254 262 274 278 285 290 295 296 297 301 324 327 336 338 350 382 389 399 420 434 437 446 454 467 469 495 501 509 523 524 550 563 576 583 585 604 613 618 621 638 649 652 656 659 668 670 679 680 695 703 719 734 736 742 744 749]\n# step=22 row=276 minW=76 found cw of W=70: [23 25 85 87 92 99 104 119 131 135 142 163 174 182 189 190 193 196 199 212 241 252 254 255 260 310 338 345 346 352 359 365 366 382 387 392 407 427 428 458 470 472 476 477 513 517 548 574 577 590 597 618 619 626 633 634 644 645 667 668 675 680 681 695 701 708 709 724 729 737]\n# step=29 row=295 minW=70 found cw of W=66: [10 19 32 52 55 59 61 73 86 100 106 122 123 130 141 151 165 166 176 177 213 234 244 250 251 271 278 343 353 384 388 390 395 398 402 403 405 410 430 450 464 479 480 484 493 494 506 520 539 542 545 556 573 583 588 596 606 628 637 655 672 678 683 696 731 732]\n# step=146 row=117 minW=66 found cw of W=62: [17 66 75 103 105 106 108 125 131 141 147 150 151 155 158 161 162 174 185 195 212 215 256 267 308 349 363 395 408 416 418 419 425 439 445 450 453 474 481 484 494 498 503 506 519 520 527 535 538 558 568 569 609 610 617 637 684 696 699 707 733 745]\n# step=146 row=146 minW=62 found cw of W=52: [2 9 17 66 75 103 104 108 131 151 158 159 162 173 199 210 215 238 261 265 309 316 320 323 325 363 375 392 395 415 418 419 425 435 439 441 450 474 481 482 490 502 505 526 557 581 588 647 696 703 737 741]\n# step=917 row=209 minW=52 found cw of W=50: [9 39 41 45 64 71 87 100 103 106 107 108 129 135 142 147 151 155 158 168 199 206 230 258 307 332 339 348 403 417 419 423 452 474 479 497 519 530 539 542 562 579 601 620 636 650 663 698 712 753]\n# step=917 row=236 minW=50 found cw of W=46: [9 41 45 64 71 87 100 103 107 108 135 142 147 151 155 158 168 199 206 230 258 307 332 339 348 403 419 423 452 472 474 497 519 530 539 542 562 579 601 620 636 650 663 698 712 753]\n# round=1000 of 10000 minW=46\n# round=2000 of 10000 minW=46\n# round=3000 of 10000 minW=46\n# round=4000 of 10000 minW=46\n# round=5000 of 10000 minW=46\n# round=6000 of 10000 minW=46\n# round=7000 of 10000 minW=46\n# round=8000 of 10000 minW=46\n# round=9000 of 10000 minW=46\n# round=10000 of 10000 minW=46\nRW algorithm upper bound for the distance d=46\n</t>
  </si>
  <si>
    <t># step=0 row=0 minW=757 found cw of W=158: [1 8 12 18 20 23 24 25 31 33 35 38 46 77 95 96 101 105 111 114 119 121 132 136 139 143 146 149 155 156 165 167 174 185 186 194 195 200 203 204 208 210 220 221 226 229 231 235 238 244 245 249 250 254 258 260 266 270 272 280 286 288 294 295 298 299 303 305 311 314 315 316 325 335 339 341 345 352 354 357 358 366 372 381 388 396 405 409 434 446 454 456 465 466 473 474 483 489 492 497 501 505 515 528 529 532 533 535 538 540 545 547 550 551 555 561 564 569 578 584 589 591 595 607 609 612 617 618 626 630 635 640 650 656 660 673 674 676 682 687 688 691 697 698 700 707 709 710 712 716 721 722 725 728 734 748 751 756]\n# step=0 row=2 minW=158 found cw of W=144: [4 5 7 12 18 23 25 33 34 38 41 51 58 59 62 65 70 96 100 101 113 114 117 118 119 124 131 136 146 148 150 152 155 159 165 167 174 176 180 185 194 197 200 204 205 208 229 231 235 238 246 249 258 270 272 275 283 286 295 298 299 305 310 314 327 330 337 341 345 357 370 372 381 394 395 399 407 409 411 424 430 434 436 438 447 456 463 465 466 481 485 489 492 505 509 512 514 515 520 523 529 536 540 543 545 546 547 550 551 555 561 577 589 595 607 612 618 624 625 626 628 635 650 656 674 676 678 682 683 688 691 697 698 712 714 715 717 718 721 728 743 748 754 755]\n# step=0 row=3 minW=144 found cw of W=134: [2 5 6 9 20 23 24 27 31 33 34 35 37 38 41 44 46 48 51 58 65 70 77 95 96 100 101 119 147 148 150 155 156 158 167 174 185 200 205 218 220 221 229 247 257 258 260 270 272 275 280 286 291 298 301 303 304 314 315 322 325 331 337 341 345 346 348 352 358 372 381 394 396 398 411 412 435 436 438 439 461 465 468 484 491 492 497 501 514 523 528 533 535 540 545 546 550 551 555 574 584 595 598 607 612 613 625 630 641 648 650 654 656 660 665 676 681 682 688 691 697 698 702 703 712 713 714 715 717 734 737 748 751 754]\n# step=0 row=7 minW=134 found cw of W=116: [5 12 14 24 31 33 35 37 38 41 46 48 51 57 59 62 65 67 96 101 113 116 117 118 119 121 124 139 147 155 156 158 159 165 174 176 180 185 186 235 259 280 283 294 295 301 310 314 325 339 341 349 358 369 370 372 381 387 388 394 396 399 400 404 407 411 435 438 447 456 463 466 468 473 491 492 497 498 500 501 502 505 512 515 523 528 529 533 540 547 607 609 623 625 626 630 656 661 668 673 674 688 697 703 710 715 717 719 722 728 736 743 748 751 754 755]\n# step=0 row=16 minW=116 found cw of W=102: [18 20 23 26 32 33 37 41 44 48 57 77 81 96 105 111 113 114 116 119 139 147 149 150 158 165 174 176 180 186 195 200 204 205 221 226 231 235 244 246 275 283 288 295 299 322 337 354 357 399 400 404 411 412 435 454 456 461 463 465 466 483 484 491 492 501 505 512 515 528 529 532 533 538 543 547 549 550 555 574 577 589 590 598 607 610 613 617 618 624 626 654 656 665 688 697 703 707 710 721 728 755]\n# step=0 row=115 minW=102 found cw of W=78: [6 12 20 27 38 46 95 100 101 116 150 156 172 186 204 205 206 213 220 221 235 246 259 266 275 294 303 314 325 330 337 341 345 349 366 369 372 381 396 398 404 439 465 466 473 514 515 523 529 533 535 549 550 555 589 591 612 623 624 625 626 635 654 660 673 674 688 709 713 714 715 716 719 722 734 736 754 755]\n# step=35 row=294 minW=78 found cw of W=68: [21 26 29 34 36 48 53 69 76 78 81 84 88 89 129 140 144 169 170 192 222 225 229 233 259 282 287 331 352 380 391 401 404 412 426 431 453 458 480 486 494 506 509 510 514 517 520 521 529 535 547 563 570 578 599 602 604 609 614 630 645 668 679 681 689 715 728 756]\n# step=57 row=179 minW=68 found cw of W=66: [37 40 53 74 97 114 129 130 136 140 143 150 157 163 171 186 198 233 236 276 277 288 321 326 330 358 365 369 372 376 387 402 424 431 451 457 459 470 486 506 514 528 530 554 560 564 565 570 577 583 618 626 627 632 650 655 660 669 673 675 703 717 724 740 745 747]\n# step=176 row=24 minW=66 found cw of W=56: [13 30 40 54 74 86 100 102 170 171 211 226 233 255 262 266 301 321 324 353 365 367 369 373 376 379 386 397 402 424 429 443 458 459 487 524 535 540 554 577 584 591 610 614 625 630 633 655 667 715 720 731 739 746 747 751]\n# step=176 row=88 minW=56 found cw of W=46: [30 40 74 86 100 102 162 170 171 226 233 255 262 266 321 324 353 365 367 369 373 376 397 402 424 429 443 458 459 487 524 535 554 591 610 614 625 633 655 674 715 731 739 746 747 751]\n# step=737 row=254 minW=46 found cw of W=42: [20 27 34 51 110 162 199 254 261 267 306 311 322 323 350 366 367 370 373 377 378 396 398 404 417 419 460 465 473 494 507 514 555 574 597 623 672 684 713 733 744 748]\n# round=1000 of 10000 minW=42\n# round=2000 of 10000 minW=42\n# round=3000 of 10000 minW=42\n# round=4000 of 10000 minW=42\n# round=5000 of 10000 minW=42\n# round=6000 of 10000 minW=42\n# round=7000 of 10000 minW=42\n# round=8000 of 10000 minW=42\n# round=9000 of 10000 minW=42\n# round=10000 of 10000 minW=42\nRW algorithm upper bound for the distance d=42\n</t>
  </si>
  <si>
    <t># step=0 row=0 minW=757 found cw of W=126: [1 9 11 13 21 27 40 56 63 71 72 80 81 83 90 101 102 103 106 111 113 117 121 122 125 130 137 141 142 143 150 156 169 187 190 198 200 204 209 210 211 226 229 251 254 259 265 277 288 290 295 298 299 304 307 312 313 319 325 359 362 363 379 389 391 396 397 401 403 405 414 418 419 425 433 435 444 445 450 452 460 463 464 465 467 469 473 474 484 485 493 502 523 524 533 539 543 546 558 563 568 587 591 592 595 602 604 609 610 614 617 627 631 633 641 642 648 655 668 707 726 728 730 746 747 753]\n# step=0 row=4 minW=126 found cw of W=124: [7 9 12 21 25 26 34 40 43 45 47 55 61 69 71 78 86 99 102 103 106 111 113 122 128 130 132 133 137 141 142 143 154 156 169 190 193 194 197 204 211 222 238 244 247 249 251 259 281 283 285 288 295 302 304 307 322 329 340 350 359 362 366 368 391 393 395 397 399 405 414 424 425 428 431 433 434 438 439 444 445 453 457 461 463 465 469 474 476 478 484 502 512 527 529 533 543 546 551 568 571 573 576 587 592 595 609 610 615 620 626 629 655 675 692 704 714 719 726 741 745 746 747 755]\n# step=0 row=7 minW=124 found cw of W=120: [8 12 13 15 21 25 26 41 47 55 56 62 63 72 81 82 100 101 110 115 116 117 120 123 125 133 139 142 150 156 167 179 182 186 190 193 194 197 200 210 222 226 229 238 249 251 254 265 277 281 285 288 290 293 295 304 329 336 339 342 350 359 365 379 389 391 396 399 405 414 419 425 427 431 433 435 437 438 450 453 460 463 465 476 478 493 498 499 500 501 511 512 522 533 558 573 582 591 602 604 607 629 631 633 648 653 656 668 671 672 681 684 692 700 705 718 719 741 746 749]\n# step=0 row=8 minW=120 found cw of W=116: [9 11 16 40 41 43 45 47 55 56 59 72 78 81 86 90 99 103 106 110 111 113 114 116 117 118 121 122 123 130 133 137 143 150 167 169 204 209 211 222 229 247 249 259 277 288 290 291 293 298 299 302 304 307 313 322 325 340 359 362 366 368 395 397 401 403 414 417 425 426 428 434 437 450 452 456 458 463 465 467 469 473 475 476 478 483 493 499 500 558 568 576 582 587 602 607 609 617 627 633 636 642 648 656 668 672 684 705 707 718 726 730 746 747 753 755]\n# step=0 row=48 minW=116 found cw of W=114: [2 9 40 44 45 47 56 71 72 80 81 91 93 99 100 101 104 106 111 115 116 118 120 121 122 123 141 143 147 153 154 167 169 187 190 193 194 198 210 215 226 243 249 254 259 265 270 281 283 288 291 293 298 304 307 319 329 336 359 362 363 389 395 403 414 417 422 424 434 435 438 444 450 452 453 458 463 464 482 484 498 500 502 523 531 533 537 551 558 563 568 571 582 592 594 602 604 609 615 616 617 620 626 631 643 648 651 672 675 706 718 741 747 752]\n# step=0 row=52 minW=114 found cw of W=108: [9 11 25 26 40 41 47 55 56 61 62 71 72 81 91 97 100 101 103 106 118 120 128 143 152 153 154 164 186 200 204 209 211 215 226 244 247 249 251 281 285 291 293 295 299 302 304 312 313 319 325 329 336 359 363 389 393 399 414 424 434 438 439 444 450 457 458 463 474 475 478 483 484 498 499 502 507 512 524 525 527 529 536 537 539 558 573 576 582 591 592 602 607 614 615 617 641 642 651 656 672 684 692 704 707 728 745 753]\n# step=0 row=75 minW=108 found cw of W=104: [2 11 21 27 47 56 83 86 87 90 102 103 110 111 113 115 117 118 122 128 130 137 141 142 156 157 164 169 175 200 201 204 205 211 212 216 219 226 229 230 259 277 281 285 288 293 319 336 339 340 343 350 368 391 395 398 401 405 425 433 434 457 458 460 467 469 474 485 493 501 507 512 525 543 546 558 568 582 591 592 594 595 609 610 615 617 633 636 643 648 651 655 671 672 681 704 705 718 723 728 730 745 746 752]\n# step=0 row=175 minW=104 found cw of W=92: [2 11 13 27 34 47 55 56 59 62 86 90 101 102 103 110 111 113 114 115 116 118 121 122 123 130 137 141 142 150 164 167 169 222 226 229 277 281 288 293 329 336 339 340 345 352 356 391 395 396 397 401 414 419 425 430 434 435 437 438 445 456 458 460 463 469 474 485 493 500 507 527 558 594 602 607 609 617 643 648 656 658 671 699 705 707 718 723 726 730 734 746]\n# step=2 row=238 minW=92 found cw of W=88: [10 16 27 36 37 38 43 45 66 70 71 72 77 87 89 98 100 104 137 139 142 155 159 162 167 172 192 237 282 292 293 299 312 323 324 331 332 343 352 353 358 360 378 387 388 397 398 402 408 409 414 416 421 427 436 444 445 455 457 460 471 476 482 485 498 510 515 517 525 535 581 612 614 648 660 661 681 690 697 701 715 725 726 731 733 736 751 752]\n# step=12 row=14 minW=88 found cw of W=86: [1 14 23 30 31 40 58 62 63 75 79 81 86 90 122 124 131 167 177 179 222 229 262 273 276 282 300 303 313 324 330 331 333 335 338 347 350 355 358 361 372 385 398 401 405 406 408 410 411 413 424 434 439 454 455 456 460 475 480 515 522 550 565 570 601 605 610 614 619 650 659 668 678 700 706 709 711 715 717 722 727 728 735 740 750 753]\n# step=12 row=62 minW=86 found cw of W=82: [1 14 31 40 58 62 63 75 81 86 113 120 122 124 131 167 177 179 222 229 262 273 276 282 300 303 313 324 330 331 333 335 338 347 350 355 358 361 372 385 398 405 406 410 411 413 424 434 439 452 454 455 460 475 480 515 522 550 565 570 601 605 610 614 619 650 659 668 678 700 706 709 711 715 717 722 727 728 735 740 750 753]\n# step=12 row=143 minW=82 found cw of W=68: [6 10 17 31 32 55 75 88 122 137 167 173 178 179 200 207 213 229 235 255 262 268 273 276 284 303 307 310 313 324 333 347 361 365 369 372 376 410 433 446 454 459 488 500 510 523 536 545 551 556 557 570 591 595 601 605 611 619 626 641 646 650 662 713 731 752 753 754]\n# step=24 row=128 minW=68 found cw of W=58: [21 32 41 86 94 96 103 107 141 161 164 176 185 196 247 251 260 274 286 289 291 300 301 309 330 346 353 355 357 364 397 412 435 465 472 485 487 508 514 527 540 542 555 562 563 577 583 589 597 604 617 629 644 645 680 700 714 723]\n# step=118 row=40 minW=58 found cw of W=50: [4 7 9 14 94 99 100 105 155 160 180 196 204 215 217 223 224 229 273 284 330 382 387 388 403 409 442 444 450 458 483 491 507 532 539 548 573 577 601 607 618 638 648 664 687 691 717 728 738 740]\n# step=118 row=218 minW=50 found cw of W=48: [7 9 14 71 99 100 105 155 160 180 196 204 215 217 223 224 229 273 284 330 387 388 403 409 437 442 450 458 483 491 507 532 539 548 573 577 601 607 618 638 648 664 687 691 717 728 738 740]\n# step=713 row=355 minW=48 found cw of W=46: [10 11 18 62 65 66 110 117 121 173 174 238 249 272 284 298 312 333 334 382 397 423 464 498 502 547 552 557 588 592 595 601 607 616 627 641 642 647 656 683 685 696 697 711 737 738]\n# round=1000 of 10000 minW=46\n# round=2000 of 10000 minW=46\n# round=3000 of 10000 minW=46\n# round=4000 of 10000 minW=46\n# round=5000 of 10000 minW=46\n# round=6000 of 10000 minW=46\n# round=7000 of 10000 minW=46\n# round=8000 of 10000 minW=46\n# step=8064 row=236 minW=46 found cw of W=44: [4 15 38 71 88 94 115 119 132 139 143 144 163 170 174 177 197 198 221 235 271 276 333 382 388 395 399 432 437 440 448 471 481 485 517 559 571 619 626 630 679 704 720 728]\n# round=9000 of 10000 minW=44\n# round=10000 of 10000 minW=44\nRW algorithm upper bound for the distance d=44\n</t>
  </si>
  <si>
    <t># step=0 row=0 minW=757 found cw of W=152: [1 4 21 32 41 44 49 60 72 74 87 99 101 103 107 108 110 121 122 123 136 142 149 151 159 165 175 176 178 180 183 185 186 190 193 200 202 207 209 210 211 214 221 234 237 238 239 254 262 268 274 278 280 292 296 301 306 317 327 333 336 340 356 361 384 389 391 394 397 401 403 417 419 422 427 434 437 442 443 446 447 450 476 481 482 484 485 488 492 494 495 496 504 512 517 524 531 539 541 550 558 563 568 569 572 574 576 581 586 587 594 595 597 600 605 609 611 612 614 619 623 629 644 646 652 653 658 659 660 666 668 674 676 681 685 693 694 699 704 705 708 715 721 728 729 730 732 734 735 749 752 756]\n# step=0 row=6 minW=152 found cw of W=150: [8 10 14 15 23 41 43 44 45 54 57 58 62 65 78 87 90 99 100 103 108 110 119 121 122 124 142 166 168 176 182 185 186 193 197 201 202 210 218 220 221 227 229 230 234 239 240 244 247 251 254 256 267 273 275 278 286 290 292 296 301 315 318 322 328 333 335 339 343 356 357 362 366 379 384 391 392 393 394 395 397 417 419 427 433 437 441 442 446 450 451 476 481 482 484 488 504 505 507 511 512 517 527 539 550 552 553 557 561 563 578 579 580 595 596 597 599 601 605 609 612 628 635 640 641 646 650 652 653 666 672 674 685 686 690 691 693 694 699 720 723 729 731 732 735 739 751 752 753 756]\n# step=0 row=8 minW=150 found cw of W=134: [10 11 32 41 43 44 46 49 51 57 62 72 76 99 103 119 124 126 133 138 145 162 165 166 168 175 183 190 193 195 201 202 207 212 218 220 221 223 229 234 235 237 238 240 241 247 251 259 260 262 269 292 296 306 315 318 322 333 340 343 346 352 355 356 357 367 384 389 393 414 419 422 438 441 442 446 473 476 482 491 494 511 512 523 528 539 544 548 552 553 557 558 563 568 572 578 579 580 581 588 596 605 611 612 619 621 625 626 628 634 635 641 643 646 649 668 674 681 686 690 691 695 696 699 709 715 723 728 729 731 732 734 751 753]\n# step=0 row=10 minW=134 found cw of W=126: [4 10 13 16 18 23 32 44 46 49 51 65 72 76 78 87 90 99 107 108 113 126 127 138 142 151 165 168 182 183 185 186 197 201 212 220 223 227 229 230 234 235 237 239 240 241 247 252 260 267 269 275 279 283 286 289 290 296 301 327 340 341 352 357 362 366 389 391 394 395 401 414 417 422 437 442 449 451 473 481 482 491 494 504 507 511 523 527 531 548 558 561 567 572 574 579 580 581 591 601 612 619 622 626 628 640 641 646 650 652 668 672 673 674 690 693 695 709 715 717 721 723 730 731 734 739]\n# step=0 row=21 minW=126 found cw of W=116: [4 14 16 21 39 41 44 46 49 58 60 62 72 74 76 87 99 101 113 114 121 124 126 133 135 136 138 142 149 162 166 169 175 186 193 195 197 200 207 211 230 234 252 260 267 273 274 283 285 289 324 327 328 335 336 339 340 344 356 368 375 384 389 391 392 395 401 403 417 419 422 423 433 437 438 442 449 450 460 485 492 494 495 511 512 528 548 550 557 561 566 568 569 576 578 601 609 612 625 640 644 649 650 659 666 668 691 699 708 729 730 735 748 749 753 756]\n# step=0 row=192 minW=116 found cw of W=114: [4 14 21 41 44 46 49 58 60 62 72 74 76 87 99 101 113 114 121 124 126 133 135 136 138 142 149 162 166 169 175 186 193 195 197 200 207 211 230 234 252 260 267 273 274 283 285 289 324 328 335 336 339 340 344 356 368 375 382 384 391 392 395 401 403 417 419 422 423 433 437 438 442 449 450 460 485 492 494 495 511 512 528 548 550 557 561 566 568 569 576 578 601 609 612 625 640 644 649 650 659 666 668 691 699 705 708 729 730 735 748 749 753 756]\n# step=1 row=37 minW=114 found cw of W=96: [4 5 8 9 12 15 16 25 36 51 56 64 72 74 76 80 84 87 98 109 111 116 118 126 129 133 135 136 140 143 147 160 163 172 179 195 222 225 250 258 268 277 288 307 317 318 323 325 328 331 338 339 352 366 372 373 383 417 441 444 451 454 458 462 468 476 490 493 497 506 516 534 541 546 550 552 556 568 575 582 593 595 599 600 606 608 640 649 655 657 691 695 704 709 740 756]\n# step=1 row=84 minW=96 found cw of W=94: [4 5 8 9 12 15 16 25 36 51 56 64 72 74 80 84 98 109 111 116 118 126 129 133 135 140 147 160 163 166 172 177 179 195 222 225 250 258 268 277 288 307 317 318 323 325 328 331 338 339 352 366 372 373 383 417 441 444 451 458 462 465 468 476 490 493 497 506 520 534 541 546 550 552 556 568 575 582 593 595 599 600 606 608 640 649 655 657 691 695 704 709 740 756]\n# step=1 row=139 minW=94 found cw of W=92: [5 8 9 12 15 16 36 44 56 78 80 92 104 110 118 124 127 129 133 165 172 177 179 200 218 222 225 228 229 237 242 255 263 276 288 292 297 299 307 317 325 328 337 352 359 366 372 373 392 393 401 416 417 442 451 456 468 470 477 488 489 502 506 513 517 520 525 541 556 579 598 599 600 601 605 606 608 620 631 640 641 649 657 661 682 691 695 709 710 715 725 730]\n# step=1 row=206 minW=92 found cw of W=90: [3 4 9 15 37 50 65 84 89 98 99 104 109 116 127 135 160 163 165 168 172 193 195 206 218 222 229 250 276 288 296 297 317 325 332 337 338 345 366 372 387 392 393 400 408 416 441 444 456 462 470 472 476 477 483 493 494 513 517 522 525 534 541 550 552 556 568 575 582 592 593 598 599 600 605 626 639 640 641 649 655 674 682 704 709 715 736 737 744 745]\n# step=3 row=299 minW=90 found cw of W=88: [7 13 14 23 27 30 40 44 45 51 52 57 74 75 81 86 101 121 152 156 168 193 196 200 207 214 216 223 248 279 288 291 292 299 303 314 315 322 332 337 341 345 346 368 375 376 378 387 391 400 429 430 431 453 464 474 481 497 499 507 513 515 548 562 587 594 603 605 608 615 618 631 633 643 654 656 663 666 667 669 682 684 695 708 734 744 747 748]\n# step=5 row=221 minW=88 found cw of W=86: [14 18 39 44 46 56 65 92 93 97 99 108 109 120 129 134 146 159 160 167 185 191 192 196 197 203 212 219 222 224 229 235 242 254 274 287 309 314 321 330 349 364 369 380 394 422 433 440 472 475 496 500 507 525 526 530 533 538 553 563 565 567 570 574 575 587 615 628 629 632 634 645 651 653 659 660 668 678 692 701 705 707 714 719 722 724]\n# step=10 row=122 minW=86 found cw of W=84: [20 26 27 33 34 35 47 57 79 90 93 102 103 112 121 127 133 141 142 147 163 185 186 196 202 204 206 213 241 244 251 259 264 271 278 296 299 343 345 358 370 407 409 432 443 453 455 469 471 492 511 524 526 535 538 552 554 559 561 566 567 573 575 593 596 614 615 624 639 651 657 665 682 683 688 692 697 699 705 706 723 731 746 747]\n# step=17 row=237 minW=84 found cw of W=72: [4 12 23 52 56 67 74 85 99 109 130 154 171 186 205 212 217 265 272 283 297 306 318 324 328 333 346 348 352 361 362 368 373 395 397 403 407 408 410 428 433 449 459 474 493 496 497 500 514 545 546 570 586 594 611 612 626 634 636 638 657 676 685 696 698 711 712 721 725 737 745 752]\n# step=30 row=257 minW=72 found cw of W=64: [12 18 19 26 30 32 53 111 123 158 167 173 178 179 187 213 217 223 237 250 257 268 279 291 294 298 305 306 353 362 396 399 405 414 434 446 475 504 544 553 557 580 594 602 607 612 615 620 627 628 634 650 651 661 663 682 692 702 705 719 721 728 734 753]\n# step=187 row=284 minW=64 found cw of W=62: [2 13 19 105 124 160 163 168 173 174 183 189 195 203 214 217 230 244 250 270 272 273 274 279 285 294 314 336 362 369 374 394 442 443 483 484 491 492 502 527 552 557 558 561 567 574 593 594 603 628 629 652 657 664 678 685 693 705 719 734 740 747]\n# step=276 row=186 minW=62 found cw of W=58: [48 49 57 90 97 98 104 119 124 125 127 138 139 148 168 180 188 194 222 229 249 277 284 312 332 353 372 408 421 426 435 451 462 468 471 476 481 490 498 503 512 518 531 552 558 561 581 593 595 600 616 649 682 685 716 739 745 750]\n# step=364 row=217 minW=58 found cw of W=56: [25 36 38 46 71 74 85 94 98 101 108 115 118 126 139 152 207 222 228 249 262 269 272 317 324 372 382 388 414 427 437 451 465 471 496 531 545 551 558 572 580 586 592 606 607 612 627 647 648 656 670 671 691 712 717 740]\n# step=364 row=222 minW=56 found cw of W=54: [4 25 36 38 46 74 85 98 101 108 115 118 126 139 152 207 222 228 249 262 269 272 317 324 372 388 414 427 444 451 465 471 496 531 545 551 558 572 580 586 592 606 607 612 627 647 648 656 670 671 691 712 717 740]\n# round=1000 of 10000 minW=54\n# step=1134 row=38 minW=54 found cw of W=46: [3 10 23 58 68 72 74 78 79 82 85 89 90 109 116 137 143 178 181 185 226 263 326 356 379 400 401 408 411 420 452 461 505 514 521 551 565 572 576 595 618 655 659 667 696 749]\n# step=1966 row=363 minW=46 found cw of W=44: [22 29 44 63 93 98 112 118 134 144 180 217 222 338 345 361 367 374 387 412 435 436 441 455 461 471 476 484 510 512 552 567 601 616 642 655 662 683 704 706 711 716 723 739]\n# round=2000 of 10000 minW=44\n# round=3000 of 10000 minW=44\n# round=4000 of 10000 minW=44\n# round=5000 of 10000 minW=44\n# round=6000 of 10000 minW=44\n# round=7000 of 10000 minW=44\n# round=8000 of 10000 minW=44\n# round=9000 of 10000 minW=44\n# round=10000 of 10000 minW=44\nRW algorithm upper bound for the distance d=44\n</t>
  </si>
  <si>
    <t># step=0 row=0 minW=757 found cw of W=142: [1 2 9 11 12 14 17 22 29 30 35 50 61 67 69 71 73 74 75 77 88 98 99 111 120 122 126 132 134 136 142 143 153 155 160 161 162 164 166 172 183 189 194 195 196 199 203 211 213 216 219 221 227 228 234 244 259 265 272 273 274 281 294 295 302 307 308 315 321 325 335 339 345 346 351 357 358 362 368 386 394 402 404 412 417 418 423 428 430 443 444 450 451 457 461 463 468 479 483 485 491 498 499 501 515 528 544 555 561 582 583 584 586 605 611 617 623 627 634 636 637 638 639 644 645 646 656 672 674 677 680 688 692 694 698 706 712 713 721 724 729 754]\n# step=0 row=1 minW=142 found cw of W=120: [3 8 15 16 17 22 35 50 58 61 77 80 93 95 98 100 106 111 124 126 128 132 133 147 155 157 161 162 173 179 183 187 188 189 194 196 199 209 216 221 227 228 234 242 265 272 273 295 296 297 302 307 353 355 358 362 363 368 383 386 399 402 404 417 423 428 430 435 437 443 451 453 457 458 462 468 471 477 478 479 483 491 498 501 520 528 531 532 543 544 546 550 552 561 574 579 583 584 590 591 605 611 634 636 638 643 646 656 664 669 681 682 692 698 706 712 726 729 737 754]\n# step=0 row=4 minW=120 found cw of W=116: [7 8 9 11 15 16 19 35 50 55 62 66 67 69 73 74 88 93 95 98 99 105 106 111 122 126 136 139 143 147 153 160 162 163 183 189 194 196 202 209 221 225 231 232 266 273 294 296 308 314 315 332 339 340 357 358 368 373 383 385 386 394 402 404 412 423 430 434 435 437 443 445 450 453 457 458 461 468 471 475 477 479 491 501 528 532 543 547 550 555 561 574 582 584 586 591 604 609 627 628 637 644 645 661 677 681 688 692 706 713 726 729 730 746 747 754]\n# step=0 row=50 minW=116 found cw of W=108: [8 12 15 16 35 58 67 80 95 101 106 115 126 130 139 157 163 183 194 196 199 203 208 225 227 231 232 241 242 257 259 292 294 296 297 302 305 321 332 335 339 342 355 356 361 367 373 374 382 383 395 399 414 417 418 423 433 444 450 458 468 479 491 498 499 520 528 539 540 547 555 563 570 574 579 586 590 604 605 609 620 627 632 636 641 643 645 646 648 649 653 670 672 681 682 683 685 713 716 721 722 724 725 726 729 745 751 754]\n# step=0 row=183 minW=108 found cw of W=102: [12 19 22 23 29 73 74 75 77 80 88 115 120 130 136 139 142 143 162 164 166 172 175 183 194 211 228 230 234 236 241 245 247 259 267 272 274 285 302 307 311 321 332 335 339 340 342 345 357 361 362 367 368 371 373 374 385 395 404 444 445 453 457 458 475 485 498 515 520 524 535 540 543 544 550 555 563 570 577 588 591 611 627 634 649 653 656 661 674 685 692 700 712 713 714 716 741 744 745 747 751 754]\n# step=3 row=81 minW=102 found cw of W=100: [8 28 35 48 54 62 63 77 111 125 145 147 151 157 158 182 183 193 201 207 209 214 215 225 229 237 238 241 247 248 250 253 258 262 267 272 273 274 283 284 288 291 296 304 308 320 322 346 351 359 364 375 408 427 440 447 461 469 470 481 495 498 502 523 525 529 535 551 558 559 561 585 588 592 593 600 603 613 622 623 626 641 645 650 651 658 661 665 666 677 689 691 694 695 702 715 718 735 736 743]\n# step=7 row=322 minW=100 found cw of W=96: [10 30 36 37 60 72 80 81 88 90 92 99 114 125 126 136 139 142 161 178 180 188 197 199 208 216 217 218 219 224 227 230 233 240 241 248 252 259 263 266 269 270 282 286 298 305 330 341 348 388 396 397 402 403 410 415 427 445 463 464 466 476 478 482 486 503 504 510 515 527 531 541 548 552 559 561 568 569 577 580 583 586 593 596 601 635 637 639 655 666 680 696 725 726 731 756]\n# step=10 row=135 minW=96 found cw of W=84: [3 4 10 15 18 29 37 47 48 55 56 60 66 102 109 111 115 118 119 122 146 162 164 171 174 185 196 201 208 219 230 232 245 252 253 275 276 282 289 296 301 315 322 326 338 341 345 356 370 377 387 391 407 438 450 469 495 528 535 536 541 544 548 558 559 563 574 596 597 610 618 629 638 649 660 665 679 714 716 722 736 739 744 750]\n# step=10 row=325 minW=84 found cw of W=80: [3 4 10 15 18 29 37 47 48 55 56 60 66 102 109 111 115 118 119 122 146 162 164 171 174 196 201 208 219 230 232 245 253 276 282 289 296 301 315 322 326 338 341 345 356 370 377 387 391 407 438 450 469 495 528 535 536 541 544 548 558 559 574 596 597 610 625 629 638 649 660 665 679 714 716 722 736 739 744 750]\n# step=21 row=17 minW=80 found cw of W=78: [2 21 27 30 36 57 61 67 74 83 90 110 113 122 124 138 151 152 165 166 170 173 182 193 200 207 227 232 241 244 248 255 256 306 315 323 325 343 352 364 390 398 401 431 440 445 454 458 463 465 490 497 501 502 529 535 544 546 580 587 598 599 603 611 625 649 652 654 666 695 696 716 719 728 730 739 748 755]\n# step=35 row=30 minW=78 found cw of W=72: [1 8 10 18 45 47 53 55 62 66 70 81 94 107 108 120 125 145 152 155 161 164 169 180 197 204 219 225 231 253 264 280 286 294 307 319 335 341 342 363 382 385 388 420 431 437 443 449 450 461 502 504 514 529 534 563 575 577 582 588 595 603 642 659 662 667 678 691 711 732 747 749]\n# step=110 row=63 minW=72 found cw of W=70: [1 6 11 17 27 32 66 72 87 95 121 122 129 141 143 145 162 200 207 231 252 254 289 300 306 309 321 340 342 343 350 355 356 398 419 430 433 454 465 467 473 479 486 487 494 507 514 516 519 557 562 563 568 597 604 617 629 632 633 652 653 658 674 687 700 718 722 729 734 748]\n# step=110 row=287 minW=70 found cw of W=68: [1 6 11 17 27 32 66 72 87 95 121 122 141 143 145 162 200 207 231 245 252 254 289 300 306 321 340 342 343 350 355 356 398 419 430 433 454 465 467 473 479 486 487 494 514 516 519 557 563 568 569 574 604 617 618 632 633 653 658 659 674 687 700 718 722 729 734 748]\n# step=124 row=58 minW=68 found cw of W=66: [1 32 40 52 76 80 81 91 97 101 107 115 122 128 131 135 137 138 145 146 164 177 182 183 193 194 221 232 320 330 376 384 385 392 398 425 430 433 454 458 469 473 474 480 482 488 493 506 507 514 530 534 536 537 571 573 574 575 596 664 686 698 708 713 742 747]\n# step=253 row=59 minW=66 found cw of W=64: [21 52 60 88 96 102 107 111 115 122 148 158 162 168 170 199 202 203 210 215 217 223 225 230 234 255 264 272 273 279 280 282 283 287 296 303 305 317 389 399 430 431 453 461 524 526 535 543 546 612 614 616 625 635 637 639 648 649 651 652 660 718 741 742]\n# step=253 row=222 minW=64 found cw of W=60: [52 60 96 102 107 115 122 148 158 162 168 170 199 202 203 210 215 217 223 225 230 234 255 264 272 273 279 280 282 283 287 296 303 305 317 389 430 431 453 454 524 526 535 543 546 612 614 616 625 635 637 639 648 649 651 652 660 718 741 742]\n# step=426 row=348 minW=60 found cw of W=58: [82 97 112 163 173 174 179 203 204 217 223 228 234 258 259 263 266 279 307 313 315 318 339 355 364 373 399 400 402 426 466 467 489 492 522 530 537 545 551 571 581 586 600 603 607 627 643 648 652 656 663 671 688 690 698 705 739 748]\n# step=464 row=68 minW=58 found cw of W=54: [11 17 20 61 67 88 91 96 111 127 166 173 192 194 217 222 277 284 286 288 293 330 334 341 348 354 369 384 404 410 415 431 460 469 480 482 501 509 510 524 560 567 576 664 671 703 706 712 713 732 733 738 747 754]\n# step=464 row=264 minW=54 found cw of W=50: [11 17 20 61 67 88 91 96 111 166 173 192 222 277 284 286 288 293 330 334 341 348 354 369 384 404 410 415 431 460 469 480 482 501 505 509 510 524 576 664 671 703 706 712 713 732 733 738 747 754]\n# round=1000 of 10000 minW=50\n# round=2000 of 10000 minW=50\n# step=2471 row=88 minW=50 found cw of W=46: [64 119 126 128 143 154 170 174 180 181 183 186 187 190 194 198 218 225 232 241 244 252 293 379 393 405 416 454 469 495 532 536 558 564 572 581 587 594 595 602 614 636 643 667 704 734]\n# step=2471 row=111 minW=46 found cw of W=42: [64 119 126 128 143 170 174 180 181 183 186 187 190 194 198 203 218 225 232 241 252 293 379 393 405 416 454 469 495 536 558 564 572 581 595 602 614 636 643 667 704 734]\n# step=2471 row=127 minW=42 found cw of W=34: [64 119 126 128 143 170 174 181 183 186 187 190 194 198 218 225 229 232 241 252 379 393 405 416 454 469 495 536 564 572 614 667 704 734]\n# round=3000 of 10000 minW=34\n# round=4000 of 10000 minW=34\n# round=5000 of 10000 minW=34\n# round=6000 of 10000 minW=34\n# round=7000 of 10000 minW=34\n# round=8000 of 10000 minW=34\n# round=9000 of 10000 minW=34\n# round=10000 of 10000 minW=34\nRW algorithm upper bound for the distance d=34\n</t>
  </si>
  <si>
    <t># step=0 row=0 minW=757 found cw of W=148: [1 4 10 12 16 19 21 28 32 33 36 38 39 43 56 61 75 87 93 96 100 109 111 113 115 118 146 147 149 152 153 158 162 165 166 176 177 179 180 195 198 204 205 206 209 213 214 215 216 223 228 235 237 261 265 270 284 285 291 295 301 304 307 319 322 327 328 333 334 349 353 354 361 363 366 377 394 397 399 403 417 419 423 425 430 434 441 445 458 459 464 468 476 483 486 489 490 491 517 526 527 529 530 532 542 543 546 553 556 577 578 579 580 583 585 589 593 607 612 615 616 619 622 628 633 634 635 638 650 662 667 668 671 692 694 698 706 707 709 725 726 727 732 737 738 739 741 743]\n# step=0 row=3 minW=148 found cw of W=128: [5 6 7 8 10 13 18 28 35 38 43 56 61 67 83 84 96 97 100 116 122 132 146 147 151 152 158 162 166 176 177 187 188 189 195 196 209 228 241 261 272 281 284 297 298 322 327 334 339 347 352 353 358 361 366 367 377 382 384 391 392 393 394 397 401 406 412 413 414 415 416 422 423 426 429 434 436 438 440 451 461 463 464 468 476 478 481 483 484 489 491 502 504 518 519 526 527 528 532 537 541 549 571 572 585 593 610 616 619 634 668 674 676 681 694 703 709 714 723 724 730 735 736 737 738 739 743 745]\n# step=0 row=22 minW=128 found cw of W=124: [4 5 6 10 13 16 19 28 33 35 38 39 43 45 51 56 57 67 70 81 88 96 98 99 100 109 116 122 123 129 146 147 151 152 153 158 166 167 171 173 176 177 178 188 195 206 209 228 235 243 291 292 298 302 307 319 325 333 339 349 354 367 382 384 387 391 395 397 404 406 413 414 417 422 423 430 434 440 443 448 452 461 463 464 472 473 478 481 483 489 490 504 514 519 520 525 527 530 549 557 566 571 579 580 585 593 595 607 613 631 634 650 662 668 698 701 721 724 725 727 738 741 745 750]\n# step=0 row=44 minW=124 found cw of W=116: [4 5 10 13 18 19 25 35 36 61 65 75 85 87 93 99 100 109 113 116 129 151 162 165 168 172 173 198 204 215 228 257 261 270 272 294 302 304 312 325 329 333 354 363 367 379 382 384 387 404 408 413 419 420 422 425 429 440 445 451 452 459 461 463 468 472 486 489 491 501 503 517 520 526 529 530 532 541 543 549 552 566 577 578 582 593 595 607 612 613 615 616 619 622 633 635 645 662 667 671 692 700 701 706 707 709 723 724 725 726 727 732 737 738 749 750]\n# step=0 row=113 minW=116 found cw of W=110: [16 18 19 35 43 57 63 65 75 84 96 100 109 116 119 132 147 149 151 153 158 162 168 176 179 187 189 196 204 208 209 211 214 215 228 243 249 257 261 263 270 284 307 312 322 327 333 334 361 363 366 377 382 394 397 404 406 408 412 416 423 425 438 440 441 451 452 459 461 464 468 476 478 484 489 502 503 518 519 528 530 546 549 557 558 566 572 593 595 607 612 615 622 631 633 635 650 662 676 692 694 696 698 701 706 721 723 739 743 750]\n# step=0 row=310 minW=110 found cw of W=106: [5 6 18 31 35 38 61 65 67 70 84 96 100 122 132 147 149 151 158 162 165 166 172 173 176 177 187 204 209 213 215 216 228 243 249 256 270 272 291 298 301 304 319 327 334 347 352 358 367 372 379 382 384 393 397 404 408 412 413 414 416 420 422 423 429 440 443 463 464 478 501 502 504 517 519 525 530 543 566 572 577 579 589 593 595 606 607 612 633 634 635 655 667 671 689 692 700 701 704 726 730 736 737 749 752 756]\n# step=2 row=11 minW=106 found cw of W=96: [20 24 31 32 39 40 46 47 59 60 61 66 76 79 86 91 94 95 102 110 114 116 117 128 131 133 143 144 146 151 165 169 176 182 186 193 202 223 227 228 234 241 264 272 282 289 314 319 339 344 347 356 360 369 374 379 388 397 398 399 406 410 411 431 438 439 441 444 446 455 459 469 478 486 489 490 496 506 511 512 516 524 535 596 612 614 622 625 635 667 671 692 705 717 729 754]\n# step=2 row=66 minW=96 found cw of W=92: [24 31 32 39 40 41 46 59 60 61 66 76 79 86 87 89 91 94 95 96 114 116 117 128 133 138 143 144 146 165 169 172 176 182 193 202 223 234 264 269 272 289 314 319 339 344 347 356 360 369 370 374 379 388 397 399 406 410 411 431 432 438 439 441 444 446 453 455 459 467 478 486 489 490 496 506 512 516 557 559 596 601 622 635 667 671 692 705 717 729 748 754]\n# step=2 row=256 minW=92 found cw of W=90: [24 31 32 39 40 41 46 59 60 61 66 76 79 86 87 91 94 95 96 114 116 117 128 133 143 144 146 165 169 172 176 182 193 202 223 228 234 264 272 289 314 319 339 344 347 356 360 369 370 374 379 388 397 399 406 410 411 431 432 438 439 441 444 446 453 455 459 478 486 489 490 496 506 511 512 516 522 559 596 612 622 635 667 671 692 705 717 729 748 754]\n# step=2 row=278 minW=90 found cw of W=86: [24 31 32 39 40 41 46 59 60 61 66 76 79 86 87 91 94 95 96 114 116 117 128 133 143 146 165 169 172 176 182 202 223 228 264 272 289 314 319 339 344 347 356 360 369 370 374 379 388 397 399 406 410 411 431 432 438 439 441 444 446 453 455 459 478 486 489 490 496 506 511 512 516 566 596 612 622 635 667 671 692 705 717 729 748 754]\n# step=2 row=284 minW=86 found cw of W=82: [24 31 32 39 40 41 46 59 60 61 66 76 79 86 87 91 94 95 96 114 116 117 128 143 146 165 169 172 176 202 228 264 272 289 314 319 339 344 347 356 360 369 370 374 379 388 397 399 406 410 411 431 432 438 439 441 444 446 453 455 459 478 486 489 490 496 506 512 516 573 596 612 622 635 667 671 692 705 717 729 748 754]\n# step=26 row=7 minW=82 found cw of W=80: [10 15 21 28 33 51 54 56 59 64 72 79 84 91 98 109 111 114 118 121 123 127 133 134 137 141 143 144 154 162 164 171 192 194 199 209 210 215 217 224 233 238 253 264 310 315 321 339 351 377 393 394 413 434 448 454 455 457 462 466 468 473 483 494 503 504 505 553 560 565 576 588 597 639 648 671 687 699 717 750]\n# step=39 row=40 minW=80 found cw of W=64: [10 11 19 72 75 79 83 96 103 109 127 134 138 151 157 161 205 207 213 216 242 245 256 262 267 289 296 298 300 340 360 363 394 395 408 410 412 418 425 435 445 449 452 481 484 500 530 533 582 584 585 633 635 646 647 672 676 682 718 721 723 733 737 741]\n# step=66 row=351 minW=64 found cw of W=54: [21 83 127 138 146 153 158 181 188 193 201 207 217 223 238 243 256 258 279 293 298 305 320 348 352 355 358 359 387 448 477 497 524 526 531 536 538 546 559 566 601 626 640 641 647 649 663 675 678 690 719 724 736 742]\n# round=1000 of 10000 minW=54\n# step=1604 row=5 minW=54 found cw of W=52: [10 15 19 26 28 31 38 72 75 83 90 123 131 138 142 165 198 235 242 303 325 326 332 347 388 397 404 422 447 453 466 496 501 508 509 537 550 560 591 605 650 654 668 682 695 704 710 717 731 735 736 740]\n# step=1604 row=353 minW=52 found cw of W=48: [15 19 26 28 38 75 83 90 123 131 138 142 165 198 235 242 298 303 325 326 332 360 388 422 447 453 466 496 501 508 509 537 550 560 591 605 650 654 668 676 682 695 704 710 717 735 736 740]\n# round=2000 of 10000 minW=48\n# round=3000 of 10000 minW=48\n# round=4000 of 10000 minW=48\n# round=5000 of 10000 minW=48\n# step=5873 row=104 minW=48 found cw of W=46: [15 59 114 116 121 146 167 169 178 180 201 206 207 208 213 217 220 224 228 231 233 282 297 311 352 378 407 422 448 471 494 512 524 545 549 558 585 606 612 614 640 647 666 681 702 744]\n# round=6000 of 10000 minW=46\n# round=7000 of 10000 minW=46\n# round=8000 of 10000 minW=46\n# round=9000 of 10000 minW=46\n# round=10000 of 10000 minW=46\nRW algorithm upper bound for the distance d=46\n</t>
  </si>
  <si>
    <t># step=0 row=0 minW=757 found cw of W=130: [1 4 8 12 27 34 40 41 48 52 55 58 60 62 64 67 76 77 88 90 92 93 106 124 130 134 137 139 144 149 160 167 171 174 182 189 192 233 236 258 272 277 283 305 312 315 338 342 343 350 353 354 367 368 372 386 391 393 395 397 401 403 407 408 416 431 435 436 437 438 455 457 459 466 467 471 473 476 481 484 488 489 502 503 505 509 525 530 532 539 540 546 547 551 555 560 570 571 576 578 581 588 599 619 622 627 630 641 648 660 666 669 678 679 683 689 691 693 697 698 710 715 721 736 740 742 747 748 752 755]\n# step=0 row=2 minW=130 found cw of W=108: [3 10 12 17 34 35 38 41 45 48 61 62 64 74 76 77 88 90 102 113 134 138 139 148 149 152 166 167 173 174 178 185 189 196 215 233 250 258 277 285 305 306 315 347 350 354 358 367 368 370 375 391 395 406 407 409 425 431 434 436 442 445 448 458 466 470 471 481 495 496 497 499 502 503 504 505 509 514 527 532 537 576 582 587 588 596 604 617 627 628 631 648 653 676 678 686 691 693 694 697 710 720 732 736 740 742 745 755]\n# step=0 row=151 minW=108 found cw of W=106: [11 35 38 45 48 52 55 66 67 92 93 105 106 116 121 122 129 130 138 142 148 149 150 152 157 160 165 171 179 185 192 196 215 225 232 234 249 267 272 276 277 280 283 287 311 312 322 331 340 354 386 395 401 409 416 425 435 442 445 457 458 464 467 476 481 484 485 489 495 499 502 508 513 515 520 525 534 539 547 551 555 560 566 575 581 592 596 600 601 611 614 650 655 660 661 663 681 686 691 701 713 718 730 732 752 755]\n# step=0 row=307 minW=106 found cw of W=82: [4 5 27 29 34 41 48 55 59 60 64 66 67 76 89 125 137 138 144 152 166 173 178 180 182 192 223 233 236 249 253 272 277 283 306 338 343 350 358 367 369 370 377 393 402 403 407 413 416 421 425 457 489 495 504 509 530 551 553 566 571 576 592 594 601 622 627 631 663 669 686 691 693 698 710 712 721 740 742 745 748 755]\n# step=8 row=236 minW=82 found cw of W=80: [8 15 24 31 43 47 54 55 66 87 91 96 111 115 123 130 142 157 171 186 192 206 211 213 221 266 323 324 345 347 352 361 363 368 371 377 393 400 411 418 419 420 433 441 444 461 465 474 480 485 486 489 495 499 500 514 524 536 545 564 570 576 584 599 611 612 613 639 674 680 689 699 703 725 730 741 745 748 749 755]\n# step=31 row=309 minW=80 found cw of W=58: [9 37 38 40 51 92 93 125 127 134 139 148 153 169 203 208 210 214 238 263 298 353 374 387 390 415 416 429 436 442 452 482 483 484 491 506 512 517 525 526 532 542 560 566 596 607 622 627 647 648 650 663 678 685 686 727 737 740]\n# step=157 row=323 minW=58 found cw of W=56: [17 25 48 51 52 96 100 103 106 149 155 159 182 190 196 203 217 224 244 272 319 320 333 334 339 340 354 364 375 383 395 398 439 470 478 525 528 539 540 574 582 595 602 631 636 643 651 662 672 677 684 697 705 717 732 746]\n# step=547 row=166 minW=56 found cw of W=52: [28 103 179 207 221 226 228 269 275 276 282 296 297 312 316 317 337 351 358 392 412 435 441 481 482 490 530 536 571 572 579 580 599 601 604 606 612 621 626 640 646 647 655 659 660 662 669 674 690 715 723 756]\n# round=1000 of 10000 minW=52\n# step=1175 row=106 minW=52 found cw of W=48: [1 2 13 34 55 117 122 132 151 158 181 186 201 206 233 291 302 336 357 379 385 392 426 433 467 469 482 488 510 523 529 531 544 550 559 564 565 579 590 599 600 640 641 654 703 714 730 744]\n# step=1468 row=244 minW=48 found cw of W=46: [3 10 26 30 35 72 75 109 112 164 167 174 178 219 226 233 318 326 346 367 382 393 401 404 408 442 457 459 466 472 483 490 498 506 539 557 562 580 606 670 704 724 737 740 745 751]\n# round=2000 of 10000 minW=46\n# step=2436 row=268 minW=46 found cw of W=42: [14 15 18 35 55 56 59 62 70 109 110 111 121 125 159 164 171 199 254 261 286 330 341 393 401 416 434 447 457 487 491 501 502 524 544 597 614 634 681 704 724 730]\n# round=3000 of 10000 minW=42\n# round=4000 of 10000 minW=42\n# round=5000 of 10000 minW=42\n# round=6000 of 10000 minW=42\n# round=7000 of 10000 minW=42\n# round=8000 of 10000 minW=42\n# round=9000 of 10000 minW=42\n# round=10000 of 10000 minW=42\nRW algorithm upper bound for the distance d=42\n</t>
  </si>
  <si>
    <t># step=0 row=0 minW=757 found cw of W=148: [1 7 8 14 18 33 37 44 49 51 65 68 69 70 73 77 79 83 84 89 95 103 104 106 108 109 112 113 123 127 129 142 144 159 166 171 175 176 188 203 212 214 217 220 227 232 249 253 256 260 263 265 266 267 268 271 300 306 308 316 318 327 328 329 336 337 340 346 349 353 360 363 371 379 380 410 411 422 425 436 443 449 451 452 459 460 461 462 466 467 469 474 481 484 486 500 501 502 507 508 509 513 518 520 525 541 544 546 554 557 560 571 591 598 604 605 608 609 615 620 621 628 634 636 638 640 641 646 658 661 669 670 671 677 678 681 684 689 696 704 706 714 715 721 722 737 740 745]\n# step=0 row=5 minW=148 found cw of W=134: [7 10 18 37 40 47 54 69 103 108 113 114 124 129 142 146 147 155 159 163 166 175 178 181 184 193 195 198 202 203 207 209 212 213 220 227 232 238 242 245 249 251 256 260 263 265 268 271 286 290 302 306 315 325 326 327 328 329 336 340 342 370 371 376 380 383 386 408 410 419 425 428 443 449 457 459 466 474 481 500 506 507 508 509 518 520 524 536 537 539 541 544 554 557 559 567 574 577 579 592 600 605 608 613 615 621 624 626 628 634 636 638 640 645 646 653 665 668 669 670 677 694 700 706 707 708 714 716 719 721 723 735 737 754]\n# step=0 row=6 minW=134 found cw of W=124: [8 11 14 37 44 49 59 65 66 68 70 73 79 104 109 110 114 129 142 145 146 147 158 171 175 178 181 193 195 200 202 207 209 212 213 214 231 238 249 253 256 263 266 267 271 286 315 316 318 326 329 333 336 337 340 367 376 378 379 380 408 410 412 422 425 436 437 441 443 451 452 459 461 466 469 474 484 500 501 502 504 506 507 508 510 513 518 520 524 525 527 531 537 541 543 547 554 559 567 571 579 592 598 604 608 609 620 628 631 636 637 658 661 665 677 678 696 700 708 715 719 721 740 754]\n# step=0 row=15 minW=124 found cw of W=118: [6 8 22 26 33 47 57 59 68 69 89 94 99 105 112 113 114 121 123 124 144 147 163 176 184 188 189 195 202 207 209 211 213 214 231 232 244 246 251 256 260 263 267 268 286 290 295 302 306 308 315 325 327 329 336 338 342 349 363 376 390 400 410 412 418 425 428 433 437 441 448 461 462 466 469 472 474 483 485 490 502 504 508 510 518 525 527 531 536 541 543 547 554 559 564 589 591 592 600 613 615 617 634 636 637 645 653 665 677 681 694 708 716 719 721 723 735 754]\n# step=0 row=28 minW=118 found cw of W=108: [6 7 18 37 43 51 83 89 95 99 127 144 145 146 150 155 159 166 171 181 188 189 193 203 205 214 220 231 244 245 253 265 266 268 271 306 315 316 318 333 340 342 346 371 379 386 390 419 421 433 435 457 461 467 469 480 483 484 486 500 502 506 509 510 524 525 529 536 537 539 544 547 557 560 570 571 574 577 579 591 598 600 604 609 620 628 631 634 637 638 640 645 650 653 658 661 665 678 681 689 694 696 704 707 714 717 735 745]\n# step=0 row=108 minW=108 found cw of W=106: [23 37 65 73 79 94 101 109 114 129 150 155 158 171 175 178 184 193 195 202 205 207 212 214 216 245 247 251 256 257 263 264 271 286 290 318 325 326 327 329 333 336 337 338 340 342 367 376 378 380 408 425 428 443 451 452 463 466 472 474 479 506 507 513 527 536 539 541 547 554 564 571 574 577 591 592 600 604 613 615 617 620 624 625 628 636 637 653 654 661 668 674 677 678 681 689 694 696 703 708 716 719 735 740 744 754]\n# step=0 row=122 minW=106 found cw of W=90: [65 73 101 106 109 114 120 129 145 147 175 181 195 200 202 207 209 211 213 214 236 238 246 253 260 261 263 268 271 291 295 298 306 316 327 328 329 336 340 346 408 412 418 443 449 451 461 479 484 485 502 506 507 508 510 513 518 525 541 547 549 554 567 589 591 592 600 608 615 617 621 624 628 631 636 637 640 668 670 671 677 678 681 689 696 700 704 706 737 745]\n# step=1 row=351 minW=90 found cw of W=88: [4 27 31 50 52 64 66 76 80 96 107 108 110 126 137 138 142 149 165 168 190 197 201 202 206 209 226 228 249 268 269 281 298 319 338 339 362 388 393 400 402 405 423 424 443 460 473 478 486 490 495 497 499 514 515 523 530 533 535 536 541 544 557 559 560 570 571 576 590 598 601 611 613 635 641 649 650 665 671 676 682 688 697 731 739 741 746 752]\n# step=10 row=105 minW=88 found cw of W=84: [2 3 9 10 13 15 50 64 70 96 99 105 118 119 123 125 145 151 160 163 179 186 200 204 207 208 215 218 234 238 241 264 273 276 280 303 305 312 326 331 336 342 347 379 385 387 402 423 426 434 437 442 449 464 469 474 491 496 498 516 524 551 552 554 556 557 558 559 565 581 584 588 600 605 607 616 637 646 649 655 714 738 739 752]\n# step=13 row=139 minW=84 found cw of W=76: [2 13 23 29 38 42 56 64 70 78 79 111 113 114 118 119 125 132 139 163 168 176 223 233 246 253 274 289 290 291 298 301 303 323 326 336 337 352 379 381 385 392 401 414 420 451 462 468 478 512 519 527 541 544 553 558 565 594 596 598 603 607 614 617 624 634 648 665 666 667 669 673 676 688 729 745]\n# step=77 row=115 minW=76 found cw of W=66: [6 13 20 31 158 165 193 198 219 220 221 235 248 271 274 275 282 286 290 309 311 313 318 319 329 338 341 349 352 359 364 375 396 404 411 420 435 445 461 469 486 501 502 525 543 550 559 571 580 597 605 610 626 633 640 647 681 691 695 697 711 714 727 741 749 752]\n# step=77 row=303 minW=66 found cw of W=64: [6 13 20 31 158 165 193 198 220 221 226 233 235 248 271 290 311 313 316 318 319 323 329 338 349 352 359 375 396 404 411 420 435 445 461 469 486 501 502 525 543 550 559 571 580 604 605 610 611 626 633 640 647 655 681 691 695 697 707 711 727 741 749 752]\n# step=77 row=331 minW=64 found cw of W=60: [6 13 20 31 158 165 193 198 220 221 235 248 271 275 282 290 311 313 318 319 329 338 349 352 359 375 396 404 411 420 435 445 461 469 486 501 502 525 543 550 559 571 580 605 610 626 633 640 647 659 681 691 695 697 707 711 727 741 749 752]\n# step=414 row=55 minW=60 found cw of W=52: [39 43 50 58 73 101 105 125 145 149 156 160 163 189 207 209 214 215 244 251 264 295 311 320 343 350 357 366 373 428 436 442 451 476 477 483 498 506 513 525 558 562 566 587 588 607 629 631 640 652 686 730]\n# round=1000 of 10000 minW=52\n# round=2000 of 10000 minW=52\n# round=3000 of 10000 minW=52\n# step=3096 row=104 minW=52 found cw of W=50: [49 66 81 97 110 121 139 156 160 166 175 176 180 187 197 200 201 204 208 211 215 220 231 265 316 371 395 415 426 468 471 485 505 514 516 521 530 537 544 550 553 563 570 597 604 608 657 706 747 756]\n# step=3096 row=253 minW=50 found cw of W=48: [49 66 81 97 110 121 130 139 156 160 166 175 176 180 187 200 201 204 208 211 215 231 265 316 371 395 415 426 468 471 485 505 508 514 516 521 530 537 544 550 553 597 604 608 657 706 747 756]\n# round=4000 of 10000 minW=48\n# step=4568 row=377 minW=48 found cw of W=44: [32 51 76 87 105 138 141 142 148 149 160 169 182 186 189 193 197 210 224 265 279 328 362 417 452 473 483 507 526 532 540 542 547 567 573 596 597 629 637 657 678 698 712 740]\n# round=5000 of 10000 minW=44\n# round=6000 of 10000 minW=44\n# round=7000 of 10000 minW=44\n# round=8000 of 10000 minW=44\n# round=9000 of 10000 minW=44\n# round=10000 of 10000 minW=44\nRW algorithm upper bound for the distance d=44\n</t>
  </si>
  <si>
    <t># step=0 row=0 minW=757 found cw of W=164: [1 10 11 14 15 19 22 23 34 36 37 52 53 56 66 67 73 77 79 84 86 88 89 97 102 104 106 107 108 114 116 120 122 126 132 133 137 142 143 151 152 153 157 162 163 170 171 182 195 196 197 198 199 201 206 209 214 218 221 222 226 227 236 239 244 252 253 257 264 265 269 271 277 278 284 285 290 294 295 296 298 305 311 315 318 320 322 325 334 346 350 352 360 387 391 403 405 409 414 425 430 433 443 447 459 464 470 479 480 481 482 484 488 493 494 495 498 500 510 512 522 524 526 529 539 543 553 556 561 564 566 569 583 586 587 599 611 612 616 620 633 634 641 658 663 667 668 676 679 684 687 691 696 703 704 725 728 729 733 736 738 742 745 754]\n# step=0 row=1 minW=164 found cw of W=148: [2 10 11 14 19 30 44 52 64 72 77 86 88 90 97 100 114 116 119 126 130 132 135 137 141 143 152 154 162 163 165 170 171 178 183 196 198 199 203 206 213 214 218 221 226 228 229 236 244 251 258 259 260 264 269 270 285 300 305 308 311 318 319 320 323 325 332 334 344 349 350 352 360 374 378 387 389 394 395 403 406 408 414 425 429 433 438 447 452 459 464 468 475 479 492 493 498 500 504 505 508 510 512 523 524 532 533 543 552 553 558 565 568 569 583 585 587 588 595 599 601 605 606 614 616 617 620 633 634 635 638 663 675 676 681 684 687 691 693 695 699 703 704 706 718 723 745 754]\n# step=0 row=6 minW=148 found cw of W=144: [3 10 11 13 14 15 23 30 33 36 38 45 55 56 64 65 67 72 73 85 86 88 91 100 106 116 120 122 126 132 140 141 142 143 153 162 165 171 178 183 185 195 199 203 205 206 216 218 222 226 239 244 253 257 260 264 265 268 285 294 295 302 315 320 322 325 330 334 346 349 350 352 374 379 381 385 389 393 395 397 406 414 423 429 430 438 443 452 456 458 472 475 483 484 488 492 495 497 504 505 506 508 532 533 543 561 564 565 576 578 583 585 586 587 593 595 605 610 613 614 616 618 633 634 638 658 663 667 668 675 676 679 681 684 685 693 695 704 706 718 723 725 733 735]\n# step=0 row=12 minW=144 found cw of W=140: [4 11 15 21 23 28 30 37 38 44 53 65 66 72 93 102 104 105 107 108 114 115 116 130 133 135 141 152 153 154 157 162 165 196 199 201 205 206 213 214 228 234 251 258 259 260 264 268 269 270 271 277 278 284 285 290 298 300 305 308 311 315 318 319 320 322 323 327 332 334 344 346 349 360 374 378 389 395 397 403 409 417 429 433 438 443 448 456 458 464 468 470 475 479 480 482 483 488 497 498 500 505 508 511 517 527 543 556 558 565 568 569 578 583 585 586 588 591 593 595 601 606 610 612 614 633 640 641 655 658 663 675 684 691 699 704 705 706 738 742]\n# step=0 row=16 minW=140 found cw of W=104: [11 19 30 33 39 85 86 88 100 104 107 114 116 132 133 135 140 142 143 151 153 154 171 182 198 203 209 213 216 221 226 227 228 236 251 258 264 265 271 278 290 295 302 305 308 319 323 325 332 346 349 360 374 394 395 406 408 417 429 430 433 443 447 459 464 472 482 494 498 500 511 523 526 532 539 543 556 564 566 568 586 599 601 606 610 611 613 614 616 617 620 633 638 655 658 668 681 689 696 704 706 718 735 745]\n# step=1 row=7 minW=104 found cw of W=90: [5 15 18 32 40 46 96 102 137 144 151 153 168 179 186 193 200 209 213 221 229 237 241 243 257 262 268 273 279 283 284 291 306 334 339 352 355 363 364 381 384 389 390 396 419 424 426 439 448 465 471 475 480 486 488 497 509 515 516 522 531 536 557 561 566 580 584 585 586 593 605 607 608 615 626 628 631 634 635 651 669 681 682 684 713 719 725 728 736 742]\n# step=1 row=150 minW=90 found cw of W=86: [5 18 32 40 46 96 102 137 144 151 153 168 179 186 193 200 209 213 221 229 237 241 243 257 262 268 273 279 283 284 291 303 306 334 339 355 363 364 381 384 389 390 396 419 424 426 439 448 465 471 475 480 486 488 497 509 515 516 522 531 536 557 561 566 580 584 585 586 593 605 607 608 615 626 628 631 634 635 651 669 682 684 713 719 728 742]\n# step=17 row=134 minW=86 found cw of W=64: [4 15 22 28 36 44 45 71 79 80 83 85 90 112 142 153 186 200 262 267 268 296 323 331 346 352 358 367 373 382 406 413 414 417 423 428 429 441 444 485 496 503 516 565 578 606 614 619 626 633 646 674 675 681 689 690 696 702 704 716 729 736 739 745]\n# step=17 row=159 minW=64 found cw of W=62: [4 15 22 28 36 44 45 71 79 80 83 85 90 112 142 153 186 200 262 267 296 317 323 331 346 352 367 373 382 406 413 414 417 423 428 429 441 444 485 496 503 516 565 578 606 614 619 626 633 674 675 681 689 696 701 702 704 716 729 736 739 745]\n# step=22 row=54 minW=62 found cw of W=60: [2 7 11 20 28 57 62 63 66 67 69 77 87 98 111 117 119 145 160 163 166 169 170 204 207 211 224 226 231 279 334 341 398 401 406 427 433 441 445 453 460 461 494 499 503 535 547 557 578 599 604 610 625 633 640 645 668 674 715 730]\n# step=884 row=29 minW=60 found cw of W=44: [10 16 25 32 45 51 52 60 71 115 122 141 149 161 216 313 368 384 388 390 394 431 437 450 452 454 458 473 493 499 507 539 548 582 588 629 637 672 686 691 719 721 727 740]\n# round=1000 of 10000 minW=44\n# round=2000 of 10000 minW=44\n# step=2205 row=258 minW=44 found cw of W=42: [17 19 25 74 129 162 171 184 185 192 212 236 239 246 250 291 298 348 354 360 398 404 409 410 430 439 450 453 479 494 500 514 528 529 570 578 611 628 634 677 683 718]\n# round=3000 of 10000 minW=42\n# round=4000 of 10000 minW=42\n# round=5000 of 10000 minW=42\n# step=5782 row=100 minW=42 found cw of W=40: [13 17 57 68 115 119 120 126 161 167 172 174 178 213 285 329 340 383 398 424 431 439 465 480 493 498 501 504 521 539 545 547 556 629 637 663 678 686 712 719]\n# round=6000 of 10000 minW=40\n# round=7000 of 10000 minW=40\n# round=8000 of 10000 minW=40\n# round=9000 of 10000 minW=40\n# round=10000 of 10000 minW=40\nRW algorithm upper bound for the distance d=40\n</t>
  </si>
  <si>
    <t># step=0 row=0 minW=757 found cw of W=132: [1 2 12 13 40 55 78 87 95 104 107 109 117 123 140 142 148 159 161 164 171 176 179 181 191 193 194 198 212 214 216 219 220 231 233 234 243 256 257 261 269 280 282 287 298 308 311 312 313 318 319 320 322 323 325 326 329 331 332 334 340 342 343 356 357 364 367 371 375 390 392 396 411 425 433 439 456 460 466 474 485 486 487 500 505 511 528 534 539 540 545 546 549 559 560 562 569 571 573 589 598 612 614 615 616 622 630 631 645 650 655 656 658 663 664 666 671 681 682 686 688 700 703 706 710 712 717 718 730 734 753 754]\n# step=0 row=2 minW=132 found cw of W=116: [4 6 13 15 33 42 46 61 89 91 102 109 110 131 164 176 177 198 206 212 213 219 221 223 232 235 236 247 253 256 257 261 272 280 282 286 292 296 297 308 312 313 315 318 319 320 323 326 343 345 356 357 367 370 379 384 392 398 400 411 433 441 455 460 474 475 479 480 486 487 494 500 511 524 528 529 545 555 560 565 569 570 571 578 598 609 612 614 625 627 631 635 645 652 655 656 661 663 664 670 680 681 688 689 691 699 708 710 717 720 723 732 734 736 753 754]\n# step=0 row=21 minW=116 found cw of W=112: [2 13 15 34 46 61 78 89 104 107 109 140 142 148 159 161 164 176 177 181 191 193 198 212 213 216 219 234 236 256 262 263 268 278 287 293 296 298 304 312 320 322 323 325 327 329 331 332 343 345 352 356 360 364 371 375 384 392 398 433 439 445 474 479 485 486 487 500 501 520 522 528 534 539 540 550 555 559 562 569 573 589 592 598 609 615 620 621 622 630 631 635 658 663 670 674 682 685 688 689 695 699 700 703 718 725 729 730 733 734 736 753]\n# step=0 row=42 minW=112 found cw of W=104: [13 15 40 46 55 72 89 91 95 108 109 110 117 157 164 165 177 179 181 193 206 213 219 221 225 234 235 247 261 272 281 282 284 287 296 297 298 315 316 319 322 323 326 327 329 331 339 340 342 345 352 367 379 400 433 441 453 479 480 494 500 511 520 522 524 529 530 555 559 560 570 578 598 603 605 612 613 615 620 621 625 627 635 656 658 662 665 670 682 688 695 697 700 706 710 712 717 718 723 725 729 736 738 741]\n# step=0 row=67 minW=104 found cw of W=90: [4 13 40 42 87 95 102 109 110 121 126 140 149 164 177 189 213 219 235 239 246 261 262 268 272 278 281 284 287 292 295 297 306 312 313 322 329 331 340 342 343 345 356 392 398 411 437 460 475 487 499 501 518 520 528 541 549 550 555 562 565 569 573 582 598 613 614 617 624 635 645 650 655 656 659 662 663 670 680 681 688 691 695 700 706 708 723 729 732 734]\n# step=0 row=71 minW=90 found cw of W=86: [15 37 52 91 92 102 108 128 142 146 147 153 154 158 161 165 183 189 193 198 227 236 239 246 256 257 272 280 287 296 298 311 312 316 318 319 322 323 331 339 345 346 357 408 453 457 469 474 477 480 485 486 498 524 526 529 530 534 539 559 568 570 571 578 598 613 615 620 622 623 634 635 645 650 661 671 674 680 682 688 700 702 703 725 736 741]\n# step=2 row=137 minW=86 found cw of W=80: [19 20 22 28 31 38 49 52 63 77 82 83 89 96 109 112 137 138 139 158 167 187 193 200 233 242 255 264 271 278 292 308 310 327 337 354 361 363 370 381 392 397 400 406 407 413 415 418 429 448 452 459 471 482 510 511 529 531 552 565 570 591 607 611 614 615 621 626 627 649 666 676 695 701 711 717 718 743 744 756]\n# step=25 row=9 minW=80 found cw of W=74: [13 18 22 23 46 64 73 77 83 84 94 101 108 111 138 140 179 182 193 203 215 223 228 230 239 253 269 272 278 293 320 327 340 345 350 352 369 414 423 440 446 451 456 461 495 497 527 536 541 557 562 573 581 587 593 594 612 629 637 642 663 672 677 678 679 683 684 693 698 711 719 721 723 730]\n# step=25 row=26 minW=74 found cw of W=72: [6 13 18 41 46 47 77 91 93 94 98 101 103 108 153 158 167 169 181 183 210 218 224 230 231 245 253 254 273 280 301 320 328 335 350 384 390 399 406 440 471 472 476 496 510 517 524 526 527 531 533 539 547 562 582 594 608 617 623 637 653 663 667 678 679 687 693 694 707 712 723 754]\n# step=60 row=145 minW=72 found cw of W=58: [19 23 31 39 50 60 64 86 90 101 105 114 125 160 163 174 191 205 209 253 255 260 262 264 266 267 304 359 373 403 453 456 459 463 468 492 497 500 503 504 517 519 520 523 527 534 543 554 566 568 609 615 640 656 697 702 726 730]\n# step=626 row=89 minW=58 found cw of W=52: [7 44 62 85 111 118 148 159 178 180 201 210 212 217 224 226 254 265 267 272 279 281 286 287 288 310 311 322 330 332 417 447 477 489 495 502 518 551 585 590 604 608 611 634 639 653 660 665 675 680 705 751]\n# step=626 row=271 minW=52 found cw of W=48: [7 44 62 85 118 148 159 180 210 212 217 224 226 254 265 267 272 279 281 286 287 288 310 311 322 330 332 417 447 477 495 502 518 544 585 590 604 608 611 634 639 653 660 665 675 680 705 751]\n# round=1000 of 10000 minW=48\n# round=2000 of 10000 minW=48\n# step=2719 row=278 minW=48 found cw of W=46: [20 36 55 73 80 110 128 145 183 186 190 200 206 235 238 252 289 293 296 297 300 331 343 345 348 356 359 411 446 453 501 523 536 564 584 590 591 613 619 646 654 674 681 695 721 734]\n# round=3000 of 10000 minW=46\n# round=4000 of 10000 minW=46\n# round=5000 of 10000 minW=46\n# round=6000 of 10000 minW=46\n# round=7000 of 10000 minW=46\n# round=8000 of 10000 minW=46\n# round=9000 of 10000 minW=46\n# round=10000 of 10000 minW=46\nRW algorithm upper bound for the distance d=46\n</t>
  </si>
  <si>
    <t># step=0 row=1 minW=757 found cw of W=156: [2 16 23 37 38 42 57 63 68 81 84 93 94 104 109 116 117 125 128 129 130 136 141 149 150 161 162 165 168 172 178 179 190 191 192 195 198 199 204 230 240 242 244 245 247 256 260 270 282 286 292 300 304 308 310 313 317 326 330 332 337 346 350 353 354 359 360 365 366 367 380 382 385 387 388 392 402 405 411 415 420 438 443 446 447 448 449 452 454 456 459 463 468 469 494 495 498 507 510 512 534 538 540 549 553 562 569 573 583 585 587 588 590 594 597 611 614 617 629 636 638 639 644 648 659 667 669 670 680 681 684 686 689 691 692 695 696 697 700 701 704 707 708 710 722 724 725 730 731 736 737 739 740 748 750 756]\n# step=0 row=2 minW=156 found cw of W=148: [3 19 20 23 26 37 42 46 50 57 59 63 68 71 72 75 81 84 93 94 96 98 104 109 116 117 125 145 150 151 155 158 161 165 172 179 186 188 190 191 192 195 211 222 223 244 245 278 281 282 291 297 299 300 304 317 329 330 333 336 340 343 346 353 354 362 366 367 380 385 387 388 392 398 402 405 411 415 416 420 422 427 445 446 447 448 449 450 454 456 459 463 465 466 468 469 474 478 479 486 488 493 494 495 498 504 510 517 531 534 540 546 549 570 573 576 577 590 595 607 613 614 617 626 633 636 655 656 659 666 669 681 682 695 697 700 704 705 716 722 723 731 733 736 739 740 750 756]\n# step=0 row=5 minW=148 found cw of W=138: [6 19 20 26 30 37 49 58 63 71 75 81 93 94 98 104 106 116 117 125 128 136 141 149 150 151 154 158 161 165 172 179 180 188 190 191 195 204 220 223 244 245 247 256 260 278 281 282 291 292 297 303 308 310 326 332 333 336 340 346 350 353 354 362 365 367 372 380 382 387 392 393 398 405 407 415 416 427 439 442 446 447 448 452 454 456 459 463 466 484 493 494 495 498 504 512 517 531 534 546 563 573 576 585 587 588 589 590 594 607 613 617 639 643 644 656 659 666 667 670 679 680 681 684 686 689 692 696 697 700 705 707 708 710 736 740 748 753]\n# step=0 row=6 minW=138 found cw of W=136: [7 19 20 23 25 26 38 40 42 46 49 51 57 58 59 63 68 75 93 104 130 136 145 149 150 154 155 161 162 165 180 188 192 198 204 211 220 222 227 260 271 278 291 300 304 313 317 329 333 337 340 350 353 366 367 374 385 388 392 394 398 402 409 411 413 420 422 431 440 442 445 446 447 448 449 454 456 463 465 466 468 469 479 486 488 489 494 495 505 510 517 523 527 530 538 540 546 553 563 572 576 588 589 594 595 607 614 617 633 636 655 662 666 669 679 681 682 691 693 695 697 704 722 723 724 730 731 733 736 737 739 740 742 750 753 756]\n# step=0 row=15 minW=136 found cw of W=110: [17 23 38 46 59 71 84 98 125 128 136 141 145 149 150 151 158 161 165 180 198 199 204 220 227 242 247 256 270 271 282 297 299 300 303 310 313 326 330 333 343 353 354 359 360 365 367 394 413 422 427 439 443 445 446 449 450 452 456 463 465 478 479 484 486 488 493 494 495 498 504 505 523 531 538 540 544 546 561 563 572 576 577 583 587 588 595 602 611 639 648 666 667 669 673 680 681 682 689 691 696 697 701 704 708 725 733 734 740 753]\n# step=0 row=32 minW=110 found cw of W=102: [16 19 30 50 52 58 98 106 107 109 128 130 136 141 145 149 151 154 155 158 162 186 188 204 240 247 256 260 278 291 292 297 300 313 329 330 332 333 337 340 350 353 354 359 367 372 375 382 388 398 416 427 438 442 446 449 452 459 463 465 474 478 484 488 495 512 517 531 538 544 553 569 570 576 588 589 594 607 611 626 644 659 666 670 673 679 684 689 691 696 697 700 701 707 710 716 724 725 730 734 737 740]\n# step=3 row=285 minW=102 found cw of W=80: [14 15 37 40 43 54 57 81 91 98 102 117 138 145 146 151 157 166 181 193 228 235 241 256 263 271 277 290 307 312 331 357 362 371 377 380 386 387 392 393 424 441 448 467 482 495 521 523 524 529 550 559 560 570 572 584 586 611 615 619 627 633 634 635 640 641 655 661 662 668 675 681 682 700 702 705 725 730 747 755]\n# step=27 row=171 minW=80 found cw of W=74: [8 15 19 40 45 60 95 102 130 132 136 148 150 173 203 206 210 213 233 240 247 255 261 269 271 290 303 310 317 326 331 338 342 388 395 403 441 459 461 490 500 514 524 526 531 557 565 569 570 572 576 583 584 593 595 604 611 616 619 635 636 642 649 653 659 669 674 681 706 708 711 726 732 749]\n# step=66 row=359 minW=74 found cw of W=56: [7 12 41 52 53 102 107 108 116 123 136 143 157 171 187 218 224 231 240 265 279 281 308 320 364 385 391 404 434 447 480 496 514 521 523 530 537 540 563 569 589 596 602 609 613 638 643 663 673 679 699 714 719 722 733 741]\n# step=135 row=324 minW=56 found cw of W=48: [5 12 15 16 38 50 100 107 151 155 199 206 259 262 264 270 303 318 328 332 338 349 360 367 374 381 382 395 408 416 457 498 591 632 637 642 646 648 685 691 696 702 706 710 716 722 725 732]\n# step=253 row=235 minW=48 found cw of W=40: [5 20 60 67 81 115 135 170 178 184 191 198 206 222 277 284 328 390 396 398 439 445 453 459 465 480 486 489 494 508 513 520 521 549 568 579 620 658 707 748]\n# round=1000 of 10000 minW=40\n# round=2000 of 10000 minW=40\n# round=3000 of 10000 minW=40\n# round=4000 of 10000 minW=40\n# round=5000 of 10000 minW=40\n# round=6000 of 10000 minW=40\n# round=7000 of 10000 minW=40\n# round=8000 of 10000 minW=40\n# round=9000 of 10000 minW=40\n# round=10000 of 10000 minW=40\nRW algorithm upper bound for the distance d=40\n</t>
  </si>
  <si>
    <t># step=0 row=0 minW=757 found cw of W=160: [1 8 20 21 23 27 29 33 41 43 61 66 70 79 91 96 105 112 116 117 127 138 143 145 146 149 150 160 161 163 166 170 175 185 190 201 202 209 217 218 219 220 226 229 230 236 238 239 240 245 257 258 261 262 263 269 272 276 278 283 291 293 295 298 301 304 305 317 320 321 329 340 348 350 355 357 363 364 374 386 391 406 407 408 412 415 426 429 430 434 440 449 454 456 463 467 469 475 478 479 482 488 489 490 492 495 496 497 499 502 503 505 516 520 523 527 529 530 544 549 550 551 555 557 559 563 565 567 571 576 578 582 592 600 606 607 611 613 619 626 636 654 658 662 663 667 675 683 694 699 716 723 727 732 737 739 741 744 750 754]\n# step=0 row=1 minW=160 found cw of W=136: [2 6 20 21 27 40 41 47 52 62 66 73 79 87 93 101 105 138 143 145 148 150 159 160 166 170 195 202 204 218 229 230 231 233 236 240 246 248 250 257 261 263 275 278 290 293 295 298 304 307 308 309 318 320 321 329 340 355 364 371 374 378 379 380 391 393 395 408 412 422 424 429 443 449 454 465 467 470 478 479 488 492 495 499 506 509 513 520 534 539 541 544 557 562 565 568 571 580 582 589 590 592 593 607 609 618 620 626 634 637 638 644 658 661 662 663 664 666 667 671 675 681 690 693 694 698 712 713 716 723 727 731 735 737 739 741]\n# step=0 row=4 minW=136 found cw of W=130: [7 27 29 33 56 74 77 83 84 85 91 93 107 112 117 119 127 134 138 140 145 146 160 163 166 170 175 196 198 202 209 218 219 229 240 241 248 257 258 260 261 262 265 269 278 291 295 307 308 309 320 321 323 329 340 348 363 364 367 383 385 395 415 420 424 426 440 443 450 456 467 471 482 490 492 495 496 497 499 506 512 523 526 529 530 541 550 553 557 562 571 572 576 589 590 596 607 610 616 620 621 625 626 636 658 661 663 666 675 679 683 690 693 694 695 698 699 706 712 716 731 732 735 739 740 744 748 749 751 754]\n# step=0 row=14 minW=130 found cw of W=128: [19 21 23 26 66 74 83 85 95 96 117 131 140 143 145 149 150 160 161 170 175 195 201 204 206 209 219 226 230 238 241 248 250 258 260 262 263 265 269 276 280 281 287 290 297 301 302 304 307 309 315 318 320 323 329 348 357 360 367 374 407 412 420 422 424 454 469 471 474 488 495 497 499 502 505 509 510 512 516 527 529 535 539 546 550 551 553 555 557 562 571 572 578 579 582 588 590 592 593 603 610 616 620 621 625 626 634 638 644 654 658 661 662 663 665 666 671 679 683 687 695 698 706 712 713 732 749 754]\n# step=0 row=21 minW=128 found cw of W=104: [29 32 33 77 84 106 107 117 127 131 138 143 145 150 163 170 183 195 196 204 205 217 226 231 239 242 245 250 258 260 262 265 269 272 275 276 283 290 291 297 301 304 329 348 378 383 395 424 443 450 454 456 463 465 484 492 495 499 506 509 510 512 516 523 529 539 546 550 553 555 557 559 564 567 588 589 600 609 610 618 619 620 626 638 644 658 661 664 666 675 679 683 690 695 699 712 713 716 731 732 739 744 751 754]\n# step=0 row=55 minW=104 found cw of W=94: [6 20 21 23 27 52 66 74 83 85 87 89 96 101 127 134 140 143 144 150 163 166 170 175 183 188 195 196 204 219 223 238 239 240 245 246 265 278 280 281 287 293 295 307 315 329 340 350 355 357 363 374 379 395 454 456 465 469 479 488 499 505 509 511 512 516 520 523 529 534 541 546 553 562 572 582 589 596 613 619 636 637 638 644 658 662 665 667 679 698 713 727 740 741]\n# step=3 row=35 minW=94 found cw of W=92: [1 11 17 20 21 22 25 27 31 33 52 63 76 78 80 83 85 87 89 91 129 131 142 153 167 168 174 176 178 184 191 197 216 220 221 230 231 262 268 305 317 320 347 348 349 356 360 379 389 390 395 411 413 414 425 430 431 434 437 450 456 460 464 496 499 515 521 522 527 540 548 550 552 556 564 570 593 596 597 612 631 652 686 687 690 701 719 721 725 726 734 754]\n# step=5 row=76 minW=92 found cw of W=90: [3 5 21 45 58 60 66 67 76 82 83 94 95 101 111 115 127 136 157 172 180 185 186 190 192 196 215 222 224 227 233 238 247 248 256 263 271 292 293 298 311 347 348 354 355 382 395 398 449 460 465 473 478 479 491 499 515 522 523 539 540 544 551 560 567 570 571 574 576 579 581 588 593 595 605 613 614 620 627 642 646 650 654 661 669 671 683 691 711 731]\n# step=28 row=88 minW=90 found cw of W=70: [11 41 47 48 53 66 81 91 102 108 109 110 121 137 142 150 151 171 172 176 181 185 187 202 213 227 228 233 236 240 276 277 313 324 337 375 378 389 421 425 426 430 431 433 438 459 462 480 500 508 514 516 530 531 535 542 552 564 579 583 601 612 613 627 649 660 666 703 710 750]\n# step=28 row=252 minW=70 found cw of W=68: [11 26 41 42 48 66 81 102 110 121 137 139 146 153 171 172 178 185 186 187 188 222 228 229 243 276 277 313 324 375 376 389 404 421 425 426 430 431 433 438 453 462 482 487 494 500 514 516 517 523 528 535 552 556 559 561 564 570 579 593 601 612 620 627 649 660 750 754]\n# step=58 row=1 minW=68 found cw of W=64: [3 10 15 18 38 41 58 62 107 113 115 117 123 124 142 164 165 169 184 185 192 200 205 210 219 220 251 280 321 381 384 388 432 450 455 466 485 493 498 499 501 515 520 529 534 543 553 555 562 563 569 570 583 589 591 609 614 617 630 704 707 713 743 754]\n# step=151 row=345 minW=64 found cw of W=62: [10 22 28 40 63 65 72 75 96 107 110 151 158 165 172 220 234 252 261 278 316 317 322 331 333 335 338 340 345 372 390 406 408 413 418 425 439 453 473 494 520 563 569 580 610 618 639 647 649 660 670 674 688 695 696 701 708 713 729 745 749 756]\n# step=409 row=121 minW=62 found cw of W=54: [6 13 55 61 66 72 89 112 116 117 123 124 138 147 148 162 164 165 171 172 176 203 210 217 219 233 258 274 277 281 288 299 329 435 450 467 487 490 494 511 522 526 542 546 552 587 593 616 650 657 691 698 721 732]\n# step=427 row=119 minW=54 found cw of W=44: [18 96 165 178 197 206 252 260 274 281 289 325 329 336 341 376 384 405 420 431 454 469 480 495 510 543 556 570 575 584 585 598 610 611 624 634 638 639 652 673 675 687 693 728]\n# round=1000 of 10000 minW=44\n# round=2000 of 10000 minW=44\n# round=3000 of 10000 minW=44\n# round=4000 of 10000 minW=44\n# round=5000 of 10000 minW=44\n# round=6000 of 10000 minW=44\n# round=7000 of 10000 minW=44\n# round=8000 of 10000 minW=44\n# round=9000 of 10000 minW=44\n# round=10000 of 10000 minW=44\nRW algorithm upper bound for the distance d=44\n</t>
  </si>
  <si>
    <t># step=0 row=0 minW=757 found cw of W=126: [1 2 3 6 7 8 20 23 29 33 36 39 41 45 75 77 80 84 94 96 98 99 113 122 124 129 134 148 155 156 166 168 172 179 188 191 195 202 209 212 216 230 244 246 260 262 267 268 274 285 289 296 299 301 312 326 327 329 338 344 354 355 358 367 374 378 379 388 391 394 409 411 416 418 423 426 430 433 434 435 439 442 448 458 463 466 469 472 475 476 477 483 484 488 497 499 510 516 523 527 531 532 550 556 577 600 634 635 644 649 668 674 684 689 690 695 704 705 707 714 718 721 724 725 735 744]\n# step=0 row=6 minW=126 found cw of W=114: [2 4 6 7 18 27 29 33 36 39 41 45 46 50 54 55 75 76 94 96 98 103 113 123 129 150 175 188 191 195 199 205 206 209 212 216 228 230 231 235 246 257 260 268 269 283 285 286 289 296 301 319 327 329 336 341 342 356 362 374 379 385 386 400 403 405 411 418 419 423 426 429 439 442 444 447 448 452 458 462 466 476 483 490 496 497 511 513 527 528 531 537 542 548 552 557 560 584 603 618 633 634 635 653 675 691 714 716 718 722 725 736 741 743]\n# step=0 row=25 minW=114 found cw of W=106: [2 4 7 27 29 33 36 39 45 46 50 62 75 76 94 98 113 123 129 150 175 188 191 195 199 205 206 209 212 216 228 230 231 235 246 257 260 268 269 283 285 286 289 296 301 319 327 336 341 356 362 374 385 400 403 405 411 418 419 423 426 429 435 442 444 447 448 452 458 462 466 476 483 490 496 497 511 513 527 528 531 537 542 548 552 557 560 584 603 618 633 634 635 653 675 691 707 714 716 718 720 722 725 736 741 743]\n# step=2 row=273 minW=106 found cw of W=104: [22 27 28 34 44 73 78 80 84 85 87 89 94 116 123 138 140 161 177 179 180 182 192 193 202 203 206 213 217 220 233 239 246 248 258 264 279 285 288 294 308 315 320 321 324 330 341 349 356 371 376 411 417 428 431 445 455 460 468 472 480 516 521 527 529 534 535 549 550 555 557 565 570 573 578 580 581 591 601 602 604 610 612 643 648 651 659 661 671 693 694 699 700 703 707 712 733 739 746 748 749 751 753 755]\n# step=3 row=4 minW=104 found cw of W=94: [2 5 6 9 16 17 23 38 42 49 91 113 124 131 136 138 146 159 191 201 208 221 247 256 269 276 278 283 288 291 292 302 318 324 331 338 340 345 347 351 358 361 362 371 373 379 380 381 383 422 424 426 429 435 441 444 445 452 463 470 490 491 493 494 509 525 534 535 543 558 564 580 607 610 615 633 654 659 666 682 689 691 697 708 710 711 715 716 729 732 735 736 740 744]\n# step=4 row=104 minW=94 found cw of W=92: [67 75 81 87 88 95 107 116 124 136 137 143 151 152 158 162 168 179 182 186 187 193 198 200 205 214 217 221 222 226 233 234 241 244 248 255 262 266 287 301 306 321 324 327 331 338 343 350 363 398 410 412 430 445 459 473 479 485 488 489 509 510 521 530 534 536 540 555 560 563 564 571 575 577 580 589 595 608 636 649 653 656 659 667 674 677 698 708 741 747 749 754]\n# step=8 row=24 minW=92 found cw of W=86: [13 38 42 54 56 82 84 89 97 105 138 139 153 154 160 178 179 184 203 204 216 222 226 233 244 245 252 253 273 281 284 294 301 309 310 316 330 356 377 378 379 386 391 399 416 422 466 467 478 481 482 496 511 512 532 537 545 562 568 586 587 602 604 623 624 627 629 630 637 638 643 644 652 653 658 673 674 684 688 703 707 708 722 728 748 750]\n# step=10 row=64 minW=86 found cw of W=74: [31 42 61 74 83 86 103 110 115 123 130 141 154 158 159 172 182 192 201 202 206 209 216 228 243 247 261 298 302 305 312 316 319 359 367 368 378 398 403 406 415 447 455 465 475 481 494 507 516 522 524 525 530 532 548 556 560 620 621 627 634 635 641 661 670 676 697 702 711 717 727 735 741 749]\n# step=69 row=53 minW=74 found cw of W=52: [16 46 58 59 94 104 113 114 121 153 169 184 217 279 292 339 341 388 396 430 436 449 453 472 478 482 503 534 537 546 552 553 568 572 583 601 609 621 627 632 636 642 643 662 673 676 685 692 712 726 733 741]\n# round=1000 of 10000 minW=52\n# step=1665 row=216 minW=52 found cw of W=48: [20 27 35 42 49 53 121 149 169 170 195 204 216 218 253 259 289 306 308 315 343 344 351 371 376 378 396 422 453 457 499 506 512 520 527 554 561 569 609 618 638 659 684 687 692 733 755 756]\n# round=2000 of 10000 minW=48\n# round=3000 of 10000 minW=48\n# step=3555 row=246 minW=48 found cw of W=40: [119 125 163 180 224 230 264 292 304 340 347 368 382 394 423 449 484 497 498 503 513 533 539 546 562 574 582 587 593 596 608 631 670 672 677 682 683 697 718 731]\n# round=4000 of 10000 minW=40\n# round=5000 of 10000 minW=40\n# round=6000 of 10000 minW=40\n# round=7000 of 10000 minW=40\n# round=8000 of 10000 minW=40\n# round=9000 of 10000 minW=40\n# round=10000 of 10000 minW=40\nRW algorithm upper bound for the distance d=40\n</t>
  </si>
  <si>
    <t># step=0 row=1 minW=757 found cw of W=152: [2 3 7 8 11 12 33 45 52 56 57 63 69 95 97 98 106 112 115 118 124 141 142 148 151 153 156 173 179 185 186 187 210 215 216 225 228 238 239 250 253 255 256 260 264 266 272 274 276 280 284 286 294 296 304 306 307 309 311 317 318 320 325 326 331 334 342 345 347 348 351 356 359 368 373 384 386 391 399 401 402 404 406 409 424 429 436 443 444 453 465 468 475 481 484 494 497 499 517 524 529 535 537 538 539 545 552 566 571 575 581 584 588 594 595 603 607 614 615 616 617 618 624 626 629 632 634 635 644 654 664 667 672 673 675 678 679 681 684 687 698 700 701 702 717 723 730 733 736 739 746 753]\n# step=0 row=2 minW=152 found cw of W=122: [2 4 8 11 26 40 56 67 69 95 102 106 109 112 118 124 146 153 173 176 179 184 196 206 215 217 219 225 228 229 232 234 236 240 253 255 256 264 266 271 274 278 279 280 296 298 302 304 309 311 313 317 318 320 325 334 338 342 345 351 356 359 363 401 402 410 441 443 468 484 487 517 539 542 545 546 549 552 562 566 577 579 584 588 595 597 603 610 612 614 615 617 624 629 631 632 634 635 636 648 651 654 656 664 667 681 684 691 700 701 716 721 722 723 725 730 731 733 735 736 739 754]\n# step=0 row=46 minW=122 found cw of W=118: [2 7 27 28 32 40 56 57 61 63 69 81 92 95 97 102 109 110 115 148 150 151 154 166 176 182 184 187 196 205 210 212 217 228 229 249 260 261 273 274 276 278 279 284 286 301 307 311 316 325 331 333 340 348 350 351 373 386 391 399 400 403 411 412 436 439 454 458 465 468 470 475 476 481 487 491 494 497 507 517 542 546 549 550 562 571 577 591 594 597 615 617 618 622 624 634 636 644 654 656 673 679 681 687 689 700 713 716 717 722 723 724 729 730 740 746 747 754]\n# step=0 row=66 minW=118 found cw of W=86: [8 12 14 16 40 56 57 58 63 65 67 95 98 102 106 109 113 120 142 146 148 153 165 184 186 206 215 232 238 239 250 253 273 276 294 296 301 308 309 315 325 345 351 371 386 389 394 399 400 410 430 436 449 489 497 538 543 549 556 562 575 581 584 588 616 619 626 629 631 651 652 668 672 675 678 687 698 703 713 718 724 735 736 747 754 755]\n# step=3 row=149 minW=86 found cw of W=70: [1 2 5 12 55 63 122 127 132 137 145 159 166 187 192 193 221 227 233 236 247 257 270 284 288 297 304 312 319 328 332 339 346 360 379 380 387 433 435 436 446 447 469 470 477 488 502 505 510 515 525 537 551 559 564 571 581 585 586 592 595 606 611 613 634 671 692 696 726 730]\n# step=18 row=304 minW=70 found cw of W=66: [3 7 11 14 16 52 67 183 198 201 207 221 262 269 279 283 285 286 291 299 313 324 330 348 353 359 363 373 384 395 396 410 419 440 466 509 515 530 556 561 564 585 616 623 628 641 646 651 657 663 664 669 672 675 683 690 702 705 707 716 718 726 731 737 747 754]\n# step=145 row=100 minW=66 found cw of W=62: [4 47 66 78 112 125 126 127 149 158 169 177 179 180 213 215 220 221 227 231 232 248 259 270 283 292 299 303 310 321 325 327 366 437 456 469 480 488 490 499 503 511 518 529 541 545 546 559 570 582 598 605 636 646 654 660 664 672 677 709 713 716]\n# step=246 row=14 minW=62 found cw of W=58: [21 25 28 32 85 118 127 129 134 139 160 173 184 191 195 196 209 210 228 238 240 244 250 251 254 258 259 272 293 313 321 325 332 348 380 422 447 468 470 471 505 518 567 573 582 587 588 593 608 613 643 661 663 687 694 705 746 751]\n# step=842 row=261 minW=58 found cw of W=54: [2 4 41 43 59 82 114 120 124 126 137 145 152 156 161 163 168 174 179 186 223 230 264 271 308 319 372 393 427 435 444 464 474 481 493 498 499 504 513 517 522 525 539 552 559 562 566 570 660 704 709 711 748 752]\n# round=1000 of 10000 minW=54\n# step=1502 row=58 minW=54 found cw of W=44: [9 35 38 52 57 58 83 87 93 94 100 101 107 124 127 131 138 154 239 294 301 323 372 382 387 398 408 412 430 439 442 474 477 490 497 527 580 647 670 696 701 723 727 756]\n# step=1502 row=208 minW=44 found cw of W=42: [9 35 38 52 58 83 87 93 94 100 101 107 127 131 138 147 154 239 294 301 323 372 382 387 398 408 412 430 435 439 442 474 477 527 580 647 670 696 701 723 727 756]\n# round=2000 of 10000 minW=42\n# round=3000 of 10000 minW=42\n# round=4000 of 10000 minW=42\n# round=5000 of 10000 minW=42\n# round=6000 of 10000 minW=42\n# round=7000 of 10000 minW=42\n# round=8000 of 10000 minW=42\n# round=9000 of 10000 minW=42\n# round=10000 of 10000 minW=42\nRW algorithm upper bound for the distance d=42\n</t>
  </si>
  <si>
    <t># step=0 row=0 minW=757 found cw of W=140: [1 4 15 22 28 30 39 51 52 65 66 70 73 76 78 83 84 91 95 106 107 110 114 118 121 123 127 133 139 153 154 166 167 170 173 178 182 189 199 201 206 241 244 254 257 258 279 282 291 298 309 311 323 327 329 330 334 336 348 353 356 364 373 379 384 387 392 394 401 405 406 409 411 415 417 428 430 434 436 438 450 451 457 458 460 463 472 491 495 498 501 505 506 512 513 518 520 526 528 529 532 535 541 547 550 553 566 567 569 578 579 585 586 587 588 591 594 607 611 625 629 631 641 645 659 668 675 689 691 704 705 707 714 721 726 734 738 740 744 745]\n# step=0 row=7 minW=140 found cw of W=116: [10 21 30 35 39 49 52 67 70 76 77 78 83 94 107 108 114 123 133 146 148 149 156 170 172 178 182 191 201 204 227 235 236 237 241 244 248 249 256 257 268 277 291 295 296 298 311 317 326 329 336 347 351 353 360 367 372 373 381 384 387 394 406 408 409 415 417 419 428 430 433 436 440 450 457 458 468 496 498 501 506 510 520 524 529 547 554 558 559 560 566 581 607 611 612 615 624 635 641 646 650 655 661 668 675 684 690 696 705 707 728 733 740 744 745 751]\n# step=0 row=30 minW=116 found cw of W=88: [21 27 28 30 33 39 51 56 62 94 95 97 101 106 111 118 123 139 145 151 159 166 178 182 184 189 194 236 241 251 256 257 277 279 282 291 323 327 332 334 341 382 399 401 405 406 411 426 434 440 463 467 472 491 496 501 502 512 517 524 527 529 535 550 551 553 557 560 566 567 585 586 591 594 607 611 624 625 641 647 650 655 675 689 705 714 737 740]\n# step=0 row=190 minW=88 found cw of W=86: [21 27 28 30 39 51 62 94 95 97 101 106 111 118 123 139 145 151 159 166 178 182 184 189 194 236 241 251 256 257 277 279 282 291 323 327 332 334 341 344 382 401 405 411 426 434 440 463 467 472 491 496 501 502 512 517 524 527 529 535 550 551 553 557 560 566 567 585 586 591 594 607 611 624 625 641 647 650 655 675 689 705 714 722 737 740]\n# step=0 row=280 minW=86 found cw of W=84: [21 27 28 30 33 39 51 62 94 95 97 101 106 118 139 145 146 151 159 166 182 184 189 194 201 236 241 251 256 257 277 279 282 291 323 327 332 334 341 382 399 401 405 406 411 426 440 463 467 472 491 501 502 512 517 524 527 529 535 544 550 553 557 560 566 567 585 586 591 594 607 611 624 625 641 647 650 655 675 689 705 714 737 740]\n# step=13 row=12 minW=84 found cw of W=82: [20 22 35 38 50 75 79 92 95 100 103 104 105 125 135 139 148 155 158 169 185 198 213 243 244 250 253 258 287 311 313 315 324 329 361 366 380 413 414 419 422 423 432 447 455 463 468 473 482 486 496 504 508 509 512 515 519 527 528 531 532 538 564 576 586 587 598 599 605 617 620 631 646 669 672 686 688 702 709 710 720 748]\n# step=13 row=250 minW=82 found cw of W=80: [20 50 75 89 92 95 100 103 104 112 133 135 139 148 155 158 174 185 198 213 243 244 250 253 258 287 311 313 315 324 329 361 366 380 400 414 416 419 422 423 432 447 463 471 473 478 482 486 496 504 506 508 509 515 517 527 528 531 532 538 564 576 586 587 598 599 605 617 620 631 646 669 672 686 688 702 709 710 720 748]\n# step=20 row=67 minW=80 found cw of W=56: [7 11 31 35 56 76 79 82 86 88 89 90 111 124 127 132 146 152 163 168 194 207 218 225 303 347 358 395 418 434 440 447 454 460 466 489 501 502 511 516 537 541 557 567 591 631 651 657 665 698 706 714 718 721 741 755]\n# step=68 row=313 minW=56 found cw of W=38: [18 46 49 53 93 97 101 104 145 156 207 216 262 269 306 313 314 317 329 355 361 368 369 372 375 399 440 533 582 589 594 623 643 679 707 713 721 754]\n# round=1000 of 10000 minW=38\n# round=2000 of 10000 minW=38\n# round=3000 of 10000 minW=38\n# round=4000 of 10000 minW=38\n# round=5000 of 10000 minW=38\n# round=6000 of 10000 minW=38\n# round=7000 of 10000 minW=38\n# round=8000 of 10000 minW=38\n# round=9000 of 10000 minW=38\n# round=10000 of 10000 minW=38\nRW algorithm upper bound for the distance d=38\n</t>
  </si>
  <si>
    <t># step=0 row=0 minW=757 found cw of W=152: [1 2 5 8 9 15 23 30 37 41 46 47 49 53 56 60 67 82 90 99 102 108 113 114 115 116 149 153 154 155 158 160 167 168 170 175 176 178 181 203 212 225 226 229 231 235 240 252 272 277 280 282 288 293 294 297 298 309 312 314 322 325 326 327 334 337 342 345 346 349 350 352 355 359 361 369 370 380 385 386 396 406 415 425 427 430 433 437 443 445 449 468 469 471 481 491 498 500 504 512 520 522 524 531 545 553 555 569 577 586 587 589 597 598 601 611 613 630 634 638 644 651 653 655 662 668 671 672 673 674 677 687 688 690 691 692 693 700 703 704 711 713 717 718 721 722 731 735 740 743 744 748]\n# step=0 row=1 minW=152 found cw of W=136: [2 3 9 20 23 29 30 37 39 41 46 49 53 55 56 61 62 67 70 75 83 84 99 104 111 114 127 144 151 154 159 161 166 171 175 181 184 187 188 198 203 205 212 219 226 239 245 252 275 277 282 288 294 300 302 322 325 330 343 345 349 350 355 362 367 370 376 378 381 385 386 406 408 425 427 434 436 439 440 443 445 447 449 451 457 470 472 481 492 496 500 502 508 516 518 522 524 533 535 545 553 554 575 576 586 587 598 599 602 603 611 613 627 628 630 634 638 644 651 653 655 674 687 688 689 692 700 703 721 722 735 740 743 744 748 749]\n# step=0 row=13 minW=136 found cw of W=126: [2 9 19 23 28 29 30 37 41 46 47 53 56 60 61 62 78 82 84 92 97 99 101 102 110 111 113 114 115 156 159 167 168 170 171 175 176 181 188 204 211 212 221 222 225 229 231 241 280 288 294 308 322 332 334 339 345 350 367 370 376 378 380 386 396 406 408 410 419 425 433 434 439 445 446 447 449 451 457 460 468 469 470 476 481 491 492 496 500 502 511 522 529 543 544 555 586 597 598 599 612 614 628 635 637 651 653 654 655 672 674 676 677 687 688 689 700 712 713 717 721 726 728 734 743 749]\n# step=0 row=31 minW=126 found cw of W=122: [5 20 28 32 37 41 47 55 56 57 58 60 61 63 67 71 75 83 99 101 102 104 108 115 136 144 151 154 158 166 176 187 188 198 203 211 221 231 232 274 280 282 302 309 314 322 326 334 336 337 340 343 345 350 363 365 369 376 380 386 395 396 405 407 415 418 425 427 430 434 436 439 441 444 445 449 465 468 469 481 491 504 516 520 522 531 537 544 548 553 554 584 586 587 589 597 598 602 603 611 612 613 628 634 635 651 653 658 674 676 679 688 693 700 703 712 713 718 721 735 744 748]\n# step=0 row=68 minW=122 found cw of W=110: [2 15 28 37 46 47 53 55 58 62 63 71 83 90 97 99 101 102 104 110 113 115 116 133 146 149 151 153 156 158 160 166 168 170 175 178 181 187 212 219 221 222 226 229 241 272 276 277 288 309 314 326 327 331 334 338 350 365 369 370 380 381 386 392 393 396 406 412 419 427 433 436 437 445 447 449 460 469 471 483 496 500 511 512 516 517 529 530 531 537 543 544 545 555 560 584 602 603 612 614 627 635 676 687 693 703 728 743 748 749]\n# step=1 row=69 minW=110 found cw of W=108: [4 15 16 28 53 60 65 67 70 77 90 106 111 114 125 139 146 149 150 158 161 180 181 187 199 201 202 205 210 214 243 251 256 258 262 266 291 297 301 302 311 315 317 332 333 335 341 345 352 361 366 370 379 394 396 429 446 449 461 462 469 475 478 487 493 495 505 511 512 519 536 539 542 552 560 582 586 589 590 591 592 594 614 620 626 631 632 644 645 647 650 672 673 682 683 688 691 694 702 704 711 713 716 717 719 732 743 750]\n# step=1 row=186 minW=108 found cw of W=100: [4 21 25 50 62 65 76 78 80 87 106 113 115 124 133 134 148 150 155 158 161 170 177 180 181 187 188 194 201 202 204 205 210 212 224 233 256 262 265 297 303 326 332 333 367 381 394 416 422 423 429 437 448 456 461 478 487 491 493 495 497 498 504 505 506 510 516 518 519 526 533 536 538 542 544 547 551 554 557 574 579 591 593 599 608 614 620 626 635 638 646 647 655 681 683 704 711 716 728 732]\n# step=1 row=310 minW=100 found cw of W=92: [2 8 11 18 28 39 43 50 62 63 64 77 90 100 107 113 124 125 139 140 148 150 155 158 169 173 184 195 199 201 202 205 214 233 240 262 265 272 277 281 288 291 299 303 306 334 386 395 406 429 448 452 461 479 491 495 504 505 512 518 526 529 536 538 542 544 557 567 569 578 579 587 590 591 592 593 594 608 619 624 626 635 638 646 650 675 682 683 705 709 716 740]\n# step=5 row=381 minW=92 found cw of W=88: [7 14 16 30 32 60 71 76 87 93 97 115 116 126 134 146 159 163 164 191 200 206 208 220 224 230 235 253 265 268 273 275 282 293 297 304 311 330 366 394 402 403 410 413 422 436 440 443 444 475 484 489 493 494 516 520 533 534 543 549 555 567 578 581 582 592 596 597 602 603 606 608 616 623 640 643 655 657 683 690 696 701 706 732 739 747 750 751]\n# step=6 row=56 minW=88 found cw of W=82: [46 53 55 56 76 81 95 97 101 102 109 113 116 118 130 131 152 156 157 159 164 165 168 172 175 179 185 186 193 207 218 220 225 233 260 266 274 282 285 301 308 316 356 390 405 424 433 434 435 439 459 487 489 491 494 500 501 502 516 521 525 528 529 535 554 557 565 589 591 596 604 614 651 652 665 666 688 693 699 700 719 723]\n# step=7 row=76 minW=82 found cw of W=76: [72 79 120 141 155 156 163 166 185 198 205 210 211 218 231 233 235 240 242 250 254 256 270 275 279 285 286 295 296 302 307 313 314 321 340 346 351 358 394 396 408 419 444 445 484 487 493 509 512 535 541 544 553 554 561 578 584 606 608 609 631 638 648 663 666 672 682 683 689 691 694 697 707 731 732 738]\n# step=18 row=47 minW=76 found cw of W=74: [6 7 12 17 39 46 62 67 80 87 124 127 131 144 146 151 153 158 160 167 168 178 179 181 188 233 237 272 278 304 305 328 340 384 385 398 423 433 439 446 447 474 475 486 489 496 505 522 531 535 537 538 560 565 567 572 576 582 587 595 607 608 615 616 631 636 670 672 697 711 712 727 738 746]\n# step=66 row=50 minW=74 found cw of W=72: [8 25 32 54 59 61 68 70 88 103 110 111 112 116 117 151 153 158 171 193 206 227 261 263 269 270 275 298 309 313 314 320 324 347 359 399 409 412 427 432 435 439 441 446 454 461 469 490 503 517 522 543 545 556 559 566 586 604 607 610 611 633 641 647 648 659 687 690 698 715 723 725]\n# step=107 row=6 minW=72 found cw of W=64: [7 14 82 96 145 156 158 172 193 200 207 211 220 237 246 266 287 289 290 292 297 298 299 301 326 337 338 342 343 344 346 349 350 351 353 357 360 372 411 439 474 488 501 515 522 534 555 580 583 598 604 626 632 645 660 667 670 673 676 704 715 724 727 728]\n# step=107 row=351 minW=64 found cw of W=60: [82 96 145 156 158 172 193 200 207 211 220 237 246 266 287 289 290 292 295 297 298 299 301 302 326 337 338 342 343 346 349 350 353 357 360 372 411 439 474 488 501 515 522 534 555 580 583 598 604 626 632 645 660 667 670 676 680 704 715 727]\n# step=562 row=9 minW=60 found cw of W=58: [15 18 34 59 65 72 89 126 133 144 145 152 155 162 163 170 200 227 268 282 286 311 323 330 337 341 352 378 384 412 414 440 443 450 457 461 466 474 489 494 498 502 506 510 515 543 579 600 640 664 669 704 713 736 744 745 751 754]\n# step=583 row=21 minW=58 found cw of W=42: [5 12 42 49 209 224 258 259 273 279 319 321 328 334 341 343 354 365 368 385 423 471 472 513 538 539 561 588 602 603 629 631 636 642 651 652 664 685 693 697 718 726]\n# round=1000 of 10000 minW=42\n# round=2000 of 10000 minW=42\n# round=3000 of 10000 minW=42\n# round=4000 of 10000 minW=42\n# round=5000 of 10000 minW=42\n# round=6000 of 10000 minW=42\n# round=7000 of 10000 minW=42\n# round=8000 of 10000 minW=42\n# round=9000 of 10000 minW=42\n# round=10000 of 10000 minW=42\nRW algorithm upper bound for the distance d=42\n</t>
  </si>
  <si>
    <t># step=0 row=0 minW=757 found cw of W=142: [1 6 22 26 29 37 52 57 66 72 82 92 96 100 104 111 112 118 128 136 137 140 142 151 152 155 164 171 173 174 179 182 183 185 190 191 197 203 211 213 214 215 217 219 221 223 225 240 255 266 279 281 287 302 308 309 311 317 325 329 342 349 355 386 392 399 407 410 420 428 444 450 453 455 461 469 476 478 485 487 488 493 494 496 500 506 514 526 527 530 532 537 544 545 554 555 557 558 560 562 564 566 568 570 575 576 578 579 583 585 588 589 590 594 599 620 629 632 638 639 644 660 661 663 665 668 675 679 680 684 686 688 693 707 722 727 734 739 741 744 748 749]\n# step=0 row=3 minW=142 found cw of W=118: [5 6 12 14 37 41 57 63 72 82 89 96 103 104 113 118 125 132 136 139 140 146 151 158 165 167 169 173 183 185 198 201 211 220 222 225 240 245 247 251 254 255 258 265 266 277 281 284 300 305 309 315 328 329 331 354 366 386 392 393 407 411 420 421 428 434 438 442 447 461 467 469 476 483 490 494 496 510 514 515 516 517 526 528 546 551 553 562 564 569 577 589 593 603 604 609 620 632 634 638 642 644 654 660 665 679 684 693 695 699 701 707 724 727 734 738 744 749]\n# step=0 row=15 minW=118 found cw of W=110: [29 33 61 63 72 84 88 89 92 103 104 112 113 125 132 136 138 139 143 146 152 158 159 169 173 174 176 179 182 183 185 191 197 198 210 213 214 215 220 221 223 240 245 261 266 285 287 295 305 311 317 325 329 331 340 354 366 386 392 393 421 434 435 442 455 467 476 481 483 487 490 496 502 506 514 526 532 545 546 553 557 558 566 575 576 577 579 585 588 599 604 619 620 630 632 634 639 654 660 661 668 675 679 680 683 695 722 727 738 739]\n# step=0 row=42 minW=110 found cw of W=108: [6 12 14 19 20 26 28 42 53 67 74 77 82 88 92 104 111 128 129 130 133 136 142 143 146 154 163 165 171 173 176 179 183 185 190 209 213 217 220 225 240 247 254 261 265 287 295 300 305 315 316 329 351 360 364 380 419 427 434 453 455 460 467 476 500 501 506 508 511 515 516 526 537 541 544 545 554 560 562 570 579 590 593 594 603 604 608 609 619 629 630 632 634 644 668 679 680 684 693 707 719 724 727 734 748 749 755 756]\n# step=1 row=259 minW=108 found cw of W=100: [5 9 12 29 42 43 48 60 84 89 94 98 127 138 140 149 153 156 160 163 171 172 193 194 197 200 201 205 208 212 220 221 228 233 241 242 243 246 248 260 272 279 282 284 297 305 316 322 325 330 342 357 382 385 393 395 401 415 418 421 444 451 468 481 491 500 506 508 516 522 530 534 550 562 565 567 572 581 603 604 605 614 615 627 629 630 633 666 668 670 671 674 678 681 695 700 703 706 708 755]\n# step=5 row=25 minW=100 found cw of W=94: [21 30 32 38 73 74 81 85 86 88 92 99 103 113 118 127 130 137 140 144 154 158 161 168 169 171 177 178 182 187 205 212 213 222 223 224 230 236 259 260 265 268 280 281 288 312 336 346 361 367 378 380 410 415 428 429 432 447 461 465 466 471 482 491 500 506 513 514 518 531 532 537 538 547 553 561 565 566 572 586 599 602 603 608 609 610 620 634 664 687 689 720 739 752]\n# step=5 row=29 minW=94 found cw of W=80: [21 30 32 45 74 81 85 86 88 92 103 113 118 127 130 137 144 158 168 171 177 178 182 187 205 212 213 222 223 224 225 230 236 260 265 268 280 281 288 312 336 346 367 378 380 410 415 429 432 447 461 465 466 482 485 491 500 514 518 531 532 534 537 553 565 566 572 575 586 599 603 608 610 620 634 664 687 689 720 752]\n# step=10 row=52 minW=80 found cw of W=60: [6 20 23 27 34 56 58 68 90 112 116 120 123 164 171 173 178 180 194 217 224 228 229 257 284 298 340 344 349 350 363 399 401 404 406 436 440 455 463 489 503 505 522 526 530 545 551 558 571 597 627 641 648 651 687 706 722 727 728 754]\n# step=369 row=321 minW=60 found cw of W=58: [5 26 46 60 66 94 100 106 110 129 165 172 190 192 220 234 241 243 250 265 271 275 278 279 286 292 299 306 333 363 396 410 444 472 478 479 484 499 507 540 548 570 614 621 623 625 628 638 643 657 664 676 684 692 698 706 712 754]\n# step=455 row=126 minW=58 found cw of W=54: [35 79 90 145 158 165 178 181 200 214 222 227 232 235 239 290 292 294 297 298 301 304 305 310 312 321 333 425 466 474 505 519 536 543 559 564 568 572 580 591 592 595 598 609 611 614 636 641 655 662 676 683 701 754]\n# step=455 row=312 minW=54 found cw of W=52: [35 79 90 145 158 178 181 200 214 222 227 235 239 255 290 292 294 297 298 301 304 305 310 312 321 333 425 466 474 505 519 536 559 564 568 572 580 591 592 595 605 609 611 614 636 641 655 662 676 683 701 754]\n# round=1000 of 10000 minW=52\n# round=2000 of 10000 minW=52\n# round=3000 of 10000 minW=52\n# step=3231 row=171 minW=52 found cw of W=46: [39 43 46 50 54 117 165 220 227 233 241 256 267 275 311 316 318 362 366 377 426 467 469 475 486 495 524 535 536 543 544 550 559 565 576 584 591 599 610 619 645 659 666 668 709 755]\n# round=4000 of 10000 minW=46\n# round=5000 of 10000 minW=46\n# round=6000 of 10000 minW=46\n# round=7000 of 10000 minW=46\n# round=8000 of 10000 minW=46\n# round=9000 of 10000 minW=46\n# round=10000 of 10000 minW=46\nRW algorithm upper bound for the distance d=46\n</t>
  </si>
  <si>
    <t># step=0 row=0 minW=757 found cw of W=136: [1 8 9 11 12 21 23 26 37 43 58 64 69 98 105 117 119 126 127 134 137 161 164 172 178 181 182 191 198 199 206 214 215 221 223 233 234 236 237 247 249 250 255 259 262 263 266 267 268 269 270 275 277 281 282 283 290 294 295 313 323 327 329 331 335 336 338 349 350 355 356 366 373 380 381 387 392 396 405 407 410 412 415 422 425 433 444 448 449 458 466 474 486 493 507 515 527 531 534 535 538 552 557 569 570 577 580 583 587 592 593 599 600 604 606 617 618 619 620 622 627 633 640 645 654 655 663 669 680 684 689 713 729 736 746 751]\n# step=0 row=4 minW=136 found cw of W=116: [8 10 26 35 41 51 58 60 70 79 85 87 105 115 120 141 142 149 160 163 164 170 174 191 198 199 201 206 215 223 232 239 249 254 255 259 260 266 267 268 270 273 285 288 294 296 297 298 304 309 319 325 329 331 332 349 355 356 358 383 391 393 394 399 401 402 405 410 425 436 440 451 454 463 465 495 507 509 514 515 521 526 530 552 569 570 575 577 584 585 589 593 599 605 607 611 616 617 618 619 627 641 645 651 659 668 671 684 685 693 707 713 717 726 729 730]\n# step=0 row=144 minW=116 found cw of W=110: [8 26 35 41 58 60 70 79 85 87 105 115 120 141 142 149 160 163 164 170 174 191 198 199 201 206 215 223 232 239 242 254 255 259 260 266 267 268 270 273 285 288 291 294 296 297 304 309 319 325 329 331 349 355 356 358 391 393 399 401 402 405 410 425 436 440 451 454 463 465 495 507 509 514 515 521 526 530 552 569 570 575 577 584 585 589 593 599 605 607 611 616 617 618 619 620 641 645 651 659 668 675 684 685 693 707 713 726 729 730]\n# step=0 row=217 minW=110 found cw of W=104: [2 9 14 23 26 29 34 35 41 60 69 70 77 79 88 89 105 119 120 141 160 161 191 198 201 206 226 239 242 246 247 250 252 256 261 263 268 273 281 288 296 297 304 312 323 329 331 332 336 355 358 365 381 386 393 394 396 399 401 402 410 412 425 427 432 436 443 448 449 462 463 466 471 484 486 489 492 493 521 526 527 535 561 563 569 570 604 611 616 618 619 659 669 680 685 689 707 713 726 730 733 736 743 749]\n# step=2 row=97 minW=104 found cw of W=88: [29 54 58 69 70 97 98 103 118 120 132 134 141 153 180 181 183 185 186 187 191 193 194 203 208 214 222 236 242 243 246 247 256 276 281 294 302 305 307 323 325 328 335 336 350 357 358 367 377 379 402 422 426 436 447 452 467 471 481 502 510 525 526 536 553 557 564 567 569 581 585 592 595 606 619 623 626 657 671 675 679 689 701 734 736 740 750 755]\n# step=2 row=133 minW=88 found cw of W=76: [8 29 54 70 112 125 153 180 186 191 196 208 213 215 219 222 223 224 228 230 245 246 252 253 260 262 263 264 268 272 276 286 303 322 342 343 347 350 358 377 386 402 420 441 510 545 547 552 559 564 569 574 591 595 596 597 606 608 612 619 629 630 631 638 649 656 663 674 686 690 695 697 701 708 723 750]\n# step=2 row=161 minW=76 found cw of W=62: [8 29 54 63 70 118 180 186 191 193 196 219 222 224 228 230 242 245 246 252 253 260 263 272 276 286 317 322 342 343 350 377 386 402 420 510 551 559 564 569 571 574 595 597 600 606 608 615 619 626 629 630 631 638 663 674 686 690 695 708 723 750]\n# step=2 row=377 minW=62 found cw of W=60: [8 54 63 70 118 180 186 191 193 196 219 222 224 228 230 242 245 246 252 253 260 263 272 276 286 322 342 343 350 366 377 386 402 420 510 551 559 564 569 571 574 595 597 600 606 608 615 619 626 629 630 631 638 663 674 686 690 708 723 739]\n# step=448 row=307 minW=60 found cw of W=54: [18 31 40 95 109 130 135 185 196 199 232 239 241 246 251 255 261 295 303 310 321 347 355 358 363 410 425 430 433 459 464 474 479 480 487 515 520 529 535 542 568 574 575 578 584 605 609 623 645 664 684 701 728 741]\n# step=839 row=177 minW=54 found cw of W=52: [17 19 27 30 31 34 74 78 79 82 85 89 109 130 134 137 181 185 196 236 238 243 247 279 302 308 315 346 354 357 364 375 383 397 424 452 457 459 506 547 567 573 622 629 637 663 683 693 712 727 741 755]\n# round=1000 of 10000 minW=52\n# step=1130 row=292 minW=52 found cw of W=48: [17 26 72 75 76 87 96 109 110 138 141 142 156 177 182 186 193 197 200 238 294 328 403 404 405 424 425 439 444 446 452 459 465 473 540 543 550 574 616 622 623 664 678 683 712 732 734 754]\n# step=1591 row=271 minW=48 found cw of W=38: [31 46 105 108 145 149 152 160 200 211 215 255 259 262 263 266 269 270 304 313 397 438 453 479 483 520 532 543 573 581 592 647 648 663 671 697 712 726]\n# round=2000 of 10000 minW=38\n# round=3000 of 10000 minW=38\n# round=4000 of 10000 minW=38\n# step=4214 row=48 minW=38 found cw of W=34: [48 50 73 92 103 128 135 158 183 197 238 241 245 252 269 313 324 382 426 475 483 516 524 573 580 606 614 622 655 663 670 696 737 739]\n# round=5000 of 10000 minW=34\n# round=6000 of 10000 minW=34\n# round=7000 of 10000 minW=34\n# round=8000 of 10000 minW=34\n# round=9000 of 10000 minW=34\n# round=10000 of 10000 minW=34\nRW algorithm upper bound for the distance d=34\n</t>
  </si>
  <si>
    <t># step=0 row=0 minW=757 found cw of W=134: [1 4 12 17 22 23 26 29 32 45 58 61 70 74 80 87 88 93 99 100 115 116 126 131 132 133 136 137 141 142 143 144 163 174 176 195 209 219 220 229 250 260 266 273 274 284 287 306 309 314 315 316 323 324 334 335 336 348 351 352 367 369 370 373 377 381 382 383 388 395 403 411 414 423 436 442 449 456 459 462 466 473 477 478 492 505 507 508 519 520 522 526 527 541 546 554 555 567 570 582 587 593 594 598 604 608 610 612 619 631 638 643 645 661 668 677 694 699 701 707 710 712 717 720 729 730 733 739 742 743 746 748 750 754]\n# step=0 row=7 minW=134 found cw of W=122: [6 11 12 13 14 17 18 22 32 44 51 53 70 87 88 92 93 96 99 104 106 127 131 133 137 142 158 174 183 195 196 202 213 216 218 220 222 226 229 239 245 260 266 273 274 281 282 288 295 299 314 334 335 337 340 342 348 356 367 369 371 381 383 385 386 391 396 415 425 430 431 436 462 470 476 479 480 481 484 492 510 520 526 530 541 561 567 575 579 582 593 594 598 604 608 610 616 618 620 624 629 631 643 644 652 655 658 659 677 679 684 694 699 712 714 718 720 732 735 742 743 754]\n# step=0 row=24 minW=122 found cw of W=118: [6 11 13 17 18 22 26 32 46 47 70 73 80 84 87 91 93 95 98 99 102 105 106 131 137 142 144 171 178 183 195 196 216 222 226 229 239 245 266 280 281 282 287 288 295 299 309 315 316 323 324 330 334 335 336 337 340 342 344 348 356 370 373 377 381 383 386 396 413 430 459 466 477 483 484 492 508 517 522 527 541 561 567 570 582 598 608 612 617 618 619 629 631 638 644 655 658 661 668 673 677 679 684 694 699 701 712 718 719 720 728 732 733 739 742 743 746 750]\n# step=0 row=37 minW=118 found cw of W=114: [4 6 12 13 17 19 26 31 35 52 65 75 84 88 90 91 95 98 100 105 107 127 134 137 144 171 178 187 192 206 213 220 229 257 260 261 273 274 284 287 295 309 314 315 324 336 338 339 342 370 377 383 385 386 388 394 395 397 408 416 418 420 425 426 430 431 459 466 479 480 484 508 516 517 520 522 524 527 535 560 570 571 575 594 600 604 606 610 612 617 619 624 638 643 649 650 652 655 659 668 696 697 701 704 708 713 714 717 719 733 740 747 750 754]\n# step=0 row=43 minW=114 found cw of W=104: [12 17 21 32 47 49 51 52 53 61 83 84 87 88 91 92 93 96 98 99 100 104 105 106 107 116 127 131 137 142 158 202 213 222 229 260 273 274 280 282 287 295 299 306 309 315 330 334 336 337 348 367 369 370 372 377 383 391 395 396 416 418 426 430 431 434 459 466 470 476 477 478 479 481 510 517 520 526 530 568 570 575 579 593 610 616 617 619 620 624 638 652 655 659 668 677 710 712 714 719 728 732 747 750]\n# step=1 row=314 minW=104 found cw of W=92: [5 15 36 38 39 46 51 58 60 68 70 80 87 93 112 113 114 116 120 123 126 131 136 141 163 168 169 175 176 186 193 197 205 218 237 244 246 272 274 276 292 293 295 315 322 325 331 339 342 348 350 361 410 423 424 429 436 445 459 465 484 486 493 504 508 514 548 552 555 569 594 602 603 618 622 624 630 642 643 650 654 658 659 667 668 691 700 705 716 725 734 739]\n# step=3 row=8 minW=92 found cw of W=82: [1 9 12 16 23 38 42 44 49 53 57 60 67 74 78 85 95 99 106 112 113 119 136 168 226 239 240 255 260 295 309 313 315 316 317 320 324 332 335 337 357 370 372 376 388 403 432 437 440 442 473 481 486 504 511 522 527 540 541 545 560 563 569 589 604 627 631 633 635 650 666 672 676 680 687 688 691 710 713 723 728 729]\n# step=9 row=22 minW=82 found cw of W=74: [6 40 41 47 55 95 106 127 152 161 167 180 182 193 194 205 207 208 216 221 223 224 228 262 276 277 283 293 304 312 313 355 367 374 399 419 425 439 446 466 469 481 484 486 489 505 509 529 533 545 558 559 567 574 578 579 582 586 592 600 601 606 612 619 622 627 646 647 656 663 669 672 710 721]\n# step=85 row=90 minW=74 found cw of W=72: [25 32 38 59 79 91 104 134 141 146 154 161 163 181 185 201 205 229 230 236 238 240 244 247 249 251 256 257 260 267 269 278 294 298 299 304 305 333 340 347 348 388 402 405 409 416 446 451 457 469 471 482 483 518 526 537 538 539 547 561 572 573 588 593 603 607 635 641 642 647 672 734]\n# step=135 row=203 minW=72 found cw of W=60: [1 7 8 12 21 23 39 42 46 48 50 64 83 105 146 213 326 329 331 335 336 362 364 366 376 396 399 415 426 437 440 447 448 470 481 496 524 545 560 571 579 612 614 620 627 650 676 681 702 707 709 710 713 714 725 730 742 744 751 754]\n# step=315 row=225 minW=60 found cw of W=58: [10 16 19 45 51 52 74 100 120 148 154 160 164 175 189 203 216 217 244 250 265 284 299 306 339 362 368 384 417 443 449 473 492 514 526 532 538 539 541 567 581 595 622 636 638 648 650 672 683 697 698 706 712 717 721 726 738 747]\n# step=315 row=229 minW=58 found cw of W=56: [10 16 19 45 52 100 120 148 154 160 164 175 189 203 216 217 244 250 265 284 299 306 339 368 384 424 443 449 473 492 514 526 532 538 539 541 567 581 595 622 636 638 648 650 672 683 697 698 706 712 717 721 726 738 740 747]\n# round=1000 of 10000 minW=56\n# step=1185 row=173 minW=56 found cw of W=54: [33 56 67 82 102 116 146 201 212 231 255 261 295 296 317 321 335 341 342 350 358 405 420 431 445 454 455 461 466 469 495 496 500 536 551 559 600 609 633 639 645 653 658 664 673 674 690 700 701 707 719 722 748 749]\n# step=1482 row=73 minW=54 found cw of W=50: [2 21 27 28 64 76 82 117 124 131 147 158 172 233 247 301 337 351 377 391 414 426 432 435 446 475 497 515 524 565 571 611 612 620 625 660 666 674 679 680 701 702 709 710 715 728 734 751 755 756]\n# round=2000 of 10000 minW=50\n# step=2486 row=70 minW=50 found cw of W=42: [5 60 115 116 121 142 171 185 197 206 211 225 226 233 277 280 287 325 332 339 384 425 433 445 499 515 520 523 535 543 554 555 556 563 569 590 604 613 619 645 668 713]\n# step=2486 row=96 minW=42 found cw of W=38: [5 60 115 116 142 170 171 185 197 206 225 226 233 277 280 287 325 332 339 384 425 433 445 515 520 523 535 555 556 563 569 590 604 613 619 645 668 713]\n# round=3000 of 10000 minW=38\n# round=4000 of 10000 minW=38\n# round=5000 of 10000 minW=38\n# round=6000 of 10000 minW=38\n# round=7000 of 10000 minW=38\n# round=8000 of 10000 minW=38\n# round=9000 of 10000 minW=38\n# round=10000 of 10000 minW=38\nRW algorithm upper bound for the distance d=38\n</t>
  </si>
  <si>
    <t># step=0 row=0 minW=757 found cw of W=118: [1 2 3 7 14 18 25 29 32 33 38 41 50 53 71 73 76 78 80 83 88 111 120 121 132 136 143 164 165 166 173 176 179 190 196 201 213 216 264 268 275 289 297 320 322 325 341 343 345 350 362 366 369 377 381 384 402 403 409 416 419 429 432 449 451 455 462 472 475 489 492 504 505 514 519 520 524 545 552 556 557 562 563 565 574 582 597 599 606 610 618 634 638 641 646 647 652 659 666 672 675 686 689 695 697 698 703 708 722 723 729 730 731 736 740 744 746 749]\n# step=0 row=31 minW=118 found cw of W=116: [3 7 14 18 27 31 34 38 42 50 53 60 65 71 73 80 82 93 97 104 108 111 164 165 166 179 196 213 216 226 228 229 230 232 261 264 268 273 283 284 289 304 311 322 335 339 341 344 350 354 362 366 377 381 397 399 402 416 422 429 433 449 452 453 455 463 466 472 475 492 504 524 533 541 545 551 556 557 562 565 574 597 598 599 600 601 606 607 610 618 638 639 641 642 646 647 649 654 656 663 682 686 690 694 695 703 708 712 719 726 736 740 743 744 746 751]\n# step=0 row=84 minW=116 found cw of W=112: [14 15 25 27 29 31 32 41 48 53 59 60 73 75 76 80 81 82 86 88 89 93 125 165 169 180 190 216 220 222 226 227 228 229 230 256 265 268 273 283 284 297 304 306 320 325 335 337 339 343 354 361 362 363 368 374 380 381 393 403 409 410 416 419 425 426 436 453 461 462 466 492 514 519 533 541 551 552 556 563 594 595 601 605 606 607 634 638 641 642 649 652 654 656 659 663 666 675 682 685 689 695 697 708 712 719 726 730 740 741 746 749]\n# step=1 row=119 minW=112 found cw of W=110: [4 10 30 33 37 47 59 65 74 78 85 91 92 95 99 102 112 113 114 119 126 129 147 153 169 184 187 191 192 210 215 231 235 239 240 245 247 251 254 278 283 286 294 297 305 317 324 333 338 349 352 362 376 393 406 408 409 424 442 450 457 483 487 490 496 497 499 504 506 507 511 528 539 540 547 557 560 565 570 574 594 597 601 602 606 619 620 630 647 648 651 653 656 660 661 667 678 683 691 692 694 695 697 702 708 719 732 744 746 754]\n# step=1 row=205 minW=110 found cw of W=88: [6 51 54 69 80 87 91 92 94 95 99 102 106 135 140 145 148 156 168 172 216 229 251 265 270 280 283 284 287 293 306 309 313 319 324 331 335 336 340 362 364 370 371 374 379 380 386 390 393 415 425 435 442 460 469 472 474 477 482 483 505 515 518 527 536 539 546 559 568 575 581 589 601 607 612 624 631 636 643 649 650 651 656 679 706 746 748 753]\n# step=1 row=370 minW=88 found cw of W=86: [47 51 54 69 80 87 91 92 94 95 99 102 106 135 140 145 148 156 168 172 216 229 251 265 270 280 283 284 287 293 306 309 313 319 324 331 336 340 362 364 370 371 374 380 386 393 415 425 435 442 460 469 472 474 477 482 483 505 515 518 527 536 539 546 559 568 575 581 589 601 607 612 624 631 636 643 649 650 651 656 679 706 713 746 748 753]\n# step=2 row=34 minW=86 found cw of W=84: [4 5 12 17 20 21 28 30 33 34 61 66 74 76 78 81 85 87 88 91 96 107 113 123 138 168 175 178 206 212 242 248 276 291 303 304 310 328 353 357 384 398 400 401 411 418 425 433 434 441 450 453 455 459 469 474 494 500 510 511 515 522 597 605 611 612 620 626 634 639 645 646 660 661 664 670 687 694 702 706 713 725 726 729]\n# step=31 row=80 minW=84 found cw of W=80: [12 25 26 41 52 53 55 75 76 80 97 103 109 123 135 146 147 148 152 155 159 160 165 176 186 189 190 197 228 243 244 250 251 269 272 278 299 313 328 340 343 355 369 375 385 395 398 399 405 411 419 453 459 475 487 489 515 516 526 533 536 538 542 545 567 580 586 612 621 632 656 657 672 673 699 712 721 732 733 748]\n# step=40 row=291 minW=80 found cw of W=68: [9 23 33 60 71 118 180 189 224 229 246 251 253 264 271 304 306 307 314 315 316 321 322 326 332 333 336 340 357 359 360 378 406 410 414 442 491 532 551 558 567 595 600 616 624 631 641 642 648 651 664 668 679 682 683 691 692 694 698 699 700 706 710 713 726 744 747 754]\n# step=90 row=75 minW=68 found cw of W=42: [62 117 124 136 146 168 172 185 191 198 213 223 230 236 240 247 274 278 280 333 340 370 406 432 440 455 481 489 496 514 524 556 571 604 612 624 635 653 658 676 694 713]\n# round=1000 of 10000 minW=42\n# round=2000 of 10000 minW=42\n# round=3000 of 10000 minW=42\n# round=4000 of 10000 minW=42\n# round=5000 of 10000 minW=42\n# round=6000 of 10000 minW=42\n# round=7000 of 10000 minW=42\n# step=7550 row=76 minW=42 found cw of W=40: [25 42 53 59 62 71 74 104 108 110 114 117 121 124 145 148 152 159 161 168 175 376 388 429 449 452 458 465 488 493 498 504 548 601 638 650 687 691 717 728]\n# round=8000 of 10000 minW=40\n# round=9000 of 10000 minW=40\n# round=10000 of 10000 minW=40\nRW algorithm upper bound for the distance d=40\n</t>
  </si>
  <si>
    <t># step=0 row=0 minW=757 found cw of W=136: [1 16 29 31 36 43 54 56 60 63 65 70 72 75 89 95 119 127 136 137 138 141 143 151 158 161 163 169 170 171 174 194 200 206 213 217 223 229 239 241 244 250 257 259 262 266 278 285 289 292 293 305 317 326 334 339 342 347 354 355 360 366 367 368 373 375 377 381 383 407 410 415 416 417 422 426 432 440 443 445 449 457 458 459 469 475 481 482 484 493 511 512 514 519 521 524 528 529 531 542 560 561 567 568 569 577 594 595 609 610 614 621 622 632 633 637 639 643 674 677 679 685 686 690 697 702 707 717 720 728 733 744 745 750 752 755]\n# step=0 row=1 minW=136 found cw of W=130: [2 13 15 16 20 29 31 46 60 72 73 75 77 82 84 88 95 108 119 121 127 129 141 145 151 163 169 170 171 174 184 192 194 196 205 206 207 213 217 229 241 250 251 257 262 267 275 289 294 305 306 310 311 317 326 336 339 343 347 355 360 367 368 381 382 383 391 393 399 407 409 410 415 416 422 423 424 430 432 440 445 453 457 458 459 473 482 487 493 512 514 519 521 528 529 531 540 542 560 561 563 567 568 569 580 589 595 609 610 614 618 621 624 625 632 639 679 685 690 697 702 711 717 725 733 734 743 744 745 752]\n# step=0 row=8 minW=130 found cw of W=120: [5 11 12 13 16 29 46 56 69 72 73 75 77 81 82 84 92 95 107 111 118 119 121 137 156 163 166 170 171 194 205 222 223 232 238 241 242 244 248 249 250 264 275 276 287 289 294 295 296 306 311 318 329 336 343 344 354 362 370 378 380 382 383 384 391 395 396 407 423 425 430 432 435 445 453 459 487 491 499 510 514 521 528 529 532 534 540 552 563 572 589 596 599 606 618 620 621 624 626 628 645 656 666 669 678 679 683 694 697 705 707 710 711 718 720 728 734 743 744 748]\n# step=0 row=154 minW=120 found cw of W=116: [12 15 16 19 20 31 36 42 49 56 60 63 70 72 74 75 77 82 84 88 89 95 121 127 129 136 138 142 143 161 169 174 187 217 220 227 229 238 244 259 264 275 278 283 285 288 289 317 326 334 339 347 355 365 367 375 377 378 382 383 392 399 402 409 410 415 422 426 445 453 457 472 487 493 508 511 512 528 542 552 560 561 564 567 571 594 595 596 605 613 618 622 628 632 637 643 649 656 666 678 680 685 686 697 704 707 710 711 717 718 725 743 745 750 752 755]\n# step=0 row=184 minW=116 found cw of W=114: [5 12 13 16 29 46 56 69 72 73 75 77 81 84 92 95 107 111 118 119 121 137 156 163 166 170 171 194 205 222 223 232 238 241 242 248 249 250 264 275 276 287 289 293 294 295 296 299 311 318 334 336 343 344 348 354 355 362 378 380 382 383 395 396 407 423 430 435 445 453 459 487 491 499 510 514 521 528 529 532 534 540 552 563 572 589 596 599 606 618 620 621 622 624 626 628 645 656 666 669 678 679 683 694 697 705 710 711 718 720 732 734 743 744]\n# step=0 row=377 minW=114 found cw of W=110: [5 7 12 15 16 20 29 46 56 63 70 75 82 108 119 127 136 142 143 156 163 184 187 188 189 192 193 200 205 212 220 232 239 244 248 250 262 264 271 275 278 283 285 287 289 299 302 305 306 313 317 331 341 344 347 354 366 373 375 382 383 391 392 402 407 415 423 424 430 432 440 508 513 521 523 534 552 560 564 566 569 571 589 596 601 610 611 614 618 621 625 629 633 634 649 674 678 680 697 702 705 707 711 720 725 728 735 738 744 750]\n# step=1 row=36 minW=110 found cw of W=96: [3 13 14 18 21 24 30 34 35 57 60 64 76 83 86 90 94 105 110 113 116 122 156 161 183 186 195 197 206 211 225 238 240 245 251 255 266 275 293 296 315 321 337 351 352 353 357 400 407 414 425 433 442 446 452 466 472 474 483 488 493 494 495 497 500 508 509 512 536 538 550 553 562 576 590 594 598 603 617 618 625 630 640 646 653 658 666 679 684 688 689 726 728 731 735 754]\n# step=4 row=61 minW=96 found cw of W=82: [2 13 26 37 62 75 92 97 104 111 112 116 122 123 130 137 141 144 147 152 158 171 174 188 195 218 231 245 261 275 278 282 289 290 300 319 330 345 355 377 385 387 391 392 393 399 404 407 410 413 415 432 434 436 441 446 456 482 483 497 502 519 524 555 568 572 574 585 607 611 614 634 639 645 651 662 668 675 681 688 701 750]\n# step=21 row=308 minW=82 found cw of W=70: [47 62 63 82 89 102 103 118 131 145 152 153 167 182 200 201 206 207 208 209 213 233 244 253 258 261 269 301 306 316 320 323 343 356 391 400 411 412 425 441 461 469 474 495 501 503 509 510 511 524 525 530 535 544 545 550 552 558 571 576 587 591 612 614 633 655 679 686 693 700]\n# step=47 row=66 minW=70 found cw of W=58: [36 58 64 70 85 87 94 105 115 136 139 142 160 161 191 194 234 249 283 288 311 326 333 361 382 393 395 422 436 444 448 449 451 458 463 465 471 485 491 492 504 509 517 526 534 558 564 566 581 599 612 615 649 654 702 704 710 711]\n# step=47 row=285 minW=58 found cw of W=56: [36 58 64 70 85 94 105 115 139 160 161 194 226 232 234 249 267 283 288 311 326 333 361 382 393 395 422 436 444 448 449 451 458 463 471 485 491 492 504 517 526 534 555 558 566 575 581 610 612 615 649 654 702 704 710 711]\n# step=392 row=20 minW=56 found cw of W=52: [21 24 25 32 35 36 39 79 83 90 109 171 226 228 233 236 249 257 268 277 293 304 317 324 326 347 355 359 361 373 423 452 464 479 487 516 528 565 569 627 635 646 650 655 661 669 697 701 717 739 740 745]\n# step=855 row=230 minW=52 found cw of W=46: [24 31 75 79 127 130 134 137 169 181 182 185 196 236 237 244 247 261 316 323 347 371 388 392 400 415 437 441 449 478 498 504 519 531 539 553 580 594 639 647 676 680 688 696 737 755]\n# round=1000 of 10000 minW=46\n# step=1770 row=54 minW=46 found cw of W=44: [4 15 63 66 70 72 110 111 114 117 118 125 137 162 181 192 207 247 256 276 297 325 338 413 441 450 487 489 490 494 495 515 531 556 564 579 613 634 640 647 675 701 709 750]\n# round=2000 of 10000 minW=44\n# round=3000 of 10000 minW=44\n# round=4000 of 10000 minW=44\n# round=5000 of 10000 minW=44\n# round=6000 of 10000 minW=44\n# round=7000 of 10000 minW=44\n# round=8000 of 10000 minW=44\n# round=9000 of 10000 minW=44\n# round=10000 of 10000 minW=44\nRW algorithm upper bound for the distance d=44\n</t>
  </si>
  <si>
    <t># step=0 row=0 minW=757 found cw of W=170: [1 19 21 22 25 29 30 38 39 40 43 45 50 63 68 72 77 89 90 93 100 101 107 108 112 123 129 133 134 138 141 153 156 157 166 167 177 178 182 183 189 195 197 201 202 211 215 217 219 222 229 231 232 235 239 255 259 270 272 275 277 278 280 281 286 289 290 292 294 305 315 318 323 324 333 334 337 341 345 354 355 360 368 377 389 394 398 405 407 409 415 419 427 429 432 434 438 443 445 450 456 460 461 467 473 479 480 481 482 484 488 492 495 496 497 501 503 505 507 524 526 541 551 557 561 562 566 570 575 580 582 585 587 590 608 609 611 613 614 623 624 630 635 636 639 642 644 654 667 673 677 681 683 691 695 696 698 703 704 705 710 717 718 733 734 739 747 748 751 756]\n# step=0 row=1 minW=170 found cw of W=164: [2 19 21 22 25 29 30 36 38 40 42 50 57 64 68 73 77 90 91 93 95 100 105 123 127 129 134 138 158 166 167 175 179 180 181 183 184 192 195 197 201 211 215 217 218 223 224 229 234 235 250 252 255 259 262 270 271 272 280 281 286 289 290 292 295 310 314 315 318 321 323 324 326 333 337 341 345 348 355 362 368 371 376 378 389 391 394 396 404 405 419 423 426 431 437 440 443 445 460 461 468 469 479 481 482 484 489 492 495 506 507 521 524 526 538 540 541 550 551 553 557 561 572 574 575 580 582 585 587 602 611 613 614 619 625 630 636 643 644 659 660 663 664 665 668 673 677 679 680 681 683 692 696 704 705 725 726 734 739 741 747 748 751 753]\n# step=0 row=6 minW=164 found cw of W=148: [10 12 13 21 25 26 31 39 40 43 45 50 57 68 73 89 90 95 100 101 107 123 127 132 133 134 138 143 156 164 166 167 175 177 180 188 201 202 218 229 231 234 235 250 254 255 261 262 271 275 278 280 285 289 290 292 294 295 305 309 310 314 326 334 337 341 360 361 362 365 376 396 399 404 405 409 419 427 434 438 443 445 450 461 464 467 468 480 487 489 492 495 497 501 506 509 521 522 523 524 540 541 542 546 550 551 553 555 557 572 574 577 578 580 582 585 587 590 610 611 614 623 630 633 635 642 643 644 659 660 663 668 673 677 679 680 681 691 693 704 707 709 719 726 733 739 747 753]\n# step=0 row=8 minW=148 found cw of W=120: [3 15 19 21 25 26 36 39 50 58 62 68 69 89 92 93 95 103 105 112 123 125 127 129 132 133 141 151 154 157 158 162 164 175 178 180 182 183 189 195 201 210 219 224 234 250 254 261 271 278 292 294 299 302 305 309 314 343 348 360 361 368 376 380 381 394 398 399 405 431 440 452 461 467 473 479 480 481 484 488 498 503 505 507 516 521 522 526 527 538 551 553 555 557 561 562 566 574 577 578 580 590 602 608 634 644 656 659 667 668 677 693 698 704 705 708 718 725 734 739]\n# step=0 row=23 minW=120 found cw of W=116: [10 13 19 30 40 45 47 57 68 91 95 100 107 108 129 175 177 184 197 224 231 234 239 254 255 262 271 275 280 281 282 285 289 290 294 305 318 323 324 329 333 334 354 355 361 362 376 377 378 389 394 396 398 404 415 431 432 445 479 480 481 482 484 488 497 501 505 507 521 522 523 524 546 550 553 575 578 587 590 608 609 610 611 613 614 619 630 632 633 639 643 645 656 663 665 667 668 677 681 683 687 692 696 698 704 705 708 709 713 718 726 738 741 747 751 753]\n# step=0 row=175 minW=116 found cw of W=108: [7 10 19 23 30 31 38 39 40 42 45 72 93 95 102 104 107 129 138 151 162 164 184 217 231 232 234 239 255 271 272 275 282 286 289 290 294 295 302 305 310 313 321 333 334 341 346 348 354 360 362 371 377 380 391 398 404 407 423 426 432 443 464 470 479 487 488 492 497 507 522 524 541 542 546 555 574 578 582 587 608 610 614 623 624 632 633 654 656 659 660 664 665 667 677 679 680 681 683 691 695 698 703 704 708 709 747 753]\n# step=2 row=250 minW=108 found cw of W=100: [4 17 23 34 43 54 55 59 60 64 68 73 89 93 107 112 114 116 123 126 128 133 134 144 155 169 180 183 188 196 203 205 209 210 217 229 237 239 251 253 260 267 280 295 306 307 308 311 357 360 363 366 368 370 397 404 410 418 422 428 438 439 442 446 451 459 464 469 477 483 491 493 497 499 528 540 542 546 552 566 568 595 601 607 616 621 623 628 630 651 657 683 691 697 711 721 732 738 741 751]\n# step=5 row=227 minW=100 found cw of W=98: [3 6 9 13 17 18 24 54 65 72 86 96 97 102 103 110 130 137 143 144 159 172 188 195 212 220 225 235 244 266 274 282 288 292 297 299 301 303 316 326 333 335 336 337 342 350 355 358 370 378 386 390 393 405 408 420 435 439 454 461 474 475 481 483 494 495 502 515 519 522 523 532 535 563 568 576 585 598 603 609 621 630 644 645 658 668 675 681 684 703 710 713 721 723 724 728 737 749]\n# step=7 row=104 minW=98 found cw of W=92: [7 22 24 25 30 41 48 51 70 80 85 88 100 115 121 130 142 145 152 163 164 170 171 186 197 216 231 249 260 268 293 300 317 339 343 344 345 348 364 383 384 394 398 399 402 406 408 410 413 433 440 447 450 451 459 464 470 478 488 493 498 507 510 521 527 533 543 547 559 560 563 568 574 582 583 588 592 600 609 632 633 641 646 650 672 673 690 693 701 731 736 740]\n# step=13 row=90 minW=92 found cw of W=86: [11 17 35 53 55 58 63 91 97 107 118 143 153 159 179 181 192 206 207 208 214 243 256 263 268 270 304 307 311 314 324 327 333 346 347 352 358 359 361 372 376 395 408 409 420 426 439 450 467 475 486 491 495 503 510 521 530 535 544 551 552 579 612 620 636 639 640 641 642 646 661 676 682 683 688 689 691 695 701 705 711 724 729 746 755 756]\n# step=14 row=26 minW=86 found cw of W=66: [2 7 21 41 47 48 53 69 76 92 136 143 177 185 186 191 192 201 232 233 246 247 267 287 291 301 325 330 337 342 350 405 419 420 425 426 431 435 442 454 495 510 514 515 521 555 559 565 579 585 599 600 605 613 618 619 625 641 646 667 669 674 675 700 728 749]\n# step=41 row=63 minW=66 found cw of W=62: [3 11 24 55 58 66 113 124 126 154 163 166 170 177 201 207 209 215 256 258 262 263 267 270 299 305 313 314 324 353 354 361 369 376 408 412 416 424 450 473 483 495 504 506 514 555 557 579 593 631 636 637 646 669 677 685 686 700 731 738 749 752]\n# step=519 row=186 minW=62 found cw of W=58: [1 51 83 95 106 146 153 157 182 183 188 194 196 215 217 240 270 278 279 286 293 300 310 316 323 351 367 385 422 441 471 475 490 505 512 516 538 539 557 560 561 566 574 580 587 588 590 602 621 622 628 636 639 673 694 701 708 749]\n# round=1000 of 10000 minW=58\n# step=1165 row=116 minW=58 found cw of W=56: [5 6 17 20 51 53 68 74 75 81 82 87 100 109 110 117 131 158 186 211 234 241 252 271 278 286 309 340 341 383 385 396 398 429 434 438 452 454 459 484 490 495 507 520 522 524 528 536 540 543 569 577 597 614 659 742]\n# step=1572 row=338 minW=56 found cw of W=52: [30 31 40 65 74 75 87 107 110 114 121 126 131 142 149 186 197 221 248 262 292 303 347 353 354 390 397 409 418 424 437 439 458 492 498 515 540 550 571 588 605 620 637 669 678 686 702 710 725 731 751 753]\n# step=1639 row=55 minW=52 found cw of W=50: [25 30 34 78 85 89 101 102 115 146 157 191 199 240 254 256 259 261 302 314 323 344 357 369 403 406 431 439 455 458 479 488 496 521 523 528 529 534 570 583 611 632 634 637 686 687 689 696 727 753]\n# step=1639 row=81 minW=50 found cw of W=46: [25 30 34 78 85 89 102 115 146 150 157 199 240 254 256 259 261 302 314 323 344 357 369 403 406 431 439 455 458 488 496 521 528 529 570 583 611 632 634 637 686 687 689 696 727 753]\n# step=1639 row=114 minW=46 found cw of W=40: [25 30 34 78 85 89 102 115 146 157 212 254 256 259 314 323 344 357 369 403 406 431 439 455 458 488 496 521 529 570 611 632 637 645 686 687 689 696 727 753]\n# round=2000 of 10000 minW=40\n# round=3000 of 10000 minW=40\n# round=4000 of 10000 minW=40\n# round=5000 of 10000 minW=40\n# round=6000 of 10000 minW=40\n# round=7000 of 10000 minW=40\n# round=8000 of 10000 minW=40\n# round=9000 of 10000 minW=40\n# round=10000 of 10000 minW=40\nRW algorithm upper bound for the distance d=40\n</t>
  </si>
  <si>
    <t># step=0 row=0 minW=757 found cw of W=150: [3 4 13 15 16 34 36 39 48 57 59 60 63 66 71 78 80 84 86 87 106 111 117 118 122 138 141 154 157 158 159 160 161 166 171 173 175 182 185 191 192 193 194 197 203 204 205 206 207 209 212 213 215 216 217 219 223 235 241 242 246 256 264 267 269 277 283 284 313 319 330 337 338 341 342 353 361 364 373 386 391 396 397 398 405 416 419 423 435 436 438 440 441 443 448 454 462 467 470 476 479 483 484 502 504 508 517 518 521 526 528 530 531 535 536 549 550 552 555 558 560 567 572 573 577 593 614 616 625 630 635 636 643 652 655 656 659 661 667 682 685 686 692 696 700 725 726 733 734 739]\n# step=0 row=1 minW=150 found cw of W=146: [5 13 24 30 34 36 48 57 60 63 64 67 73 80 84 85 87 92 97 100 110 117 118 125 126 130 133 141 154 158 159 162 165 168 170 176 182 183 185 192 193 197 203 205 206 213 216 217 219 228 229 230 231 232 240 241 242 248 249 264 267 272 289 296 297 298 303 311 319 330 334 338 352 361 375 388 391 393 394 396 398 416 419 426 440 441 446 452 456 457 462 467 484 493 505 507 508 517 518 525 531 541 551 552 554 560 561 563 567 571 572 573 574 577 587 598 600 605 606 614 615 628 635 639 641 643 649 655 659 670 671 673 676 680 682 686 692 695 696 700 702 718 725 731 733 752]\n# step=0 row=2 minW=146 found cw of W=124: [4 6 9 10 13 15 17 24 30 48 59 64 66 71 78 85 86 92 99 100 106 110 111 124 125 126 133 138 150 154 157 160 162 165 166 170 173 175 176 183 185 193 194 197 204 207 209 214 215 228 229 231 232 237 241 242 248 256 277 284 311 338 340 345 353 361 386 387 388 391 394 397 416 436 438 440 443 448 452 456 457 467 476 483 493 502 504 505 507 508 526 528 530 535 541 550 551 554 558 560 561 563 574 585 593 598 600 605 606 616 628 636 641 649 661 674 682 685 688 695 726 731 752 755]\n# step=0 row=10 minW=124 found cw of W=94: [8 15 18 21 27 32 36 39 57 67 80 83 87 117 130 157 158 168 185 191 192 197 202 206 209 213 235 240 241 242 246 269 272 279 289 298 326 337 338 341 342 348 355 359 360 373 397 423 435 438 440 441 446 460 467 479 497 500 502 505 508 525 530 531 535 549 551 572 580 595 600 601 608 614 615 625 630 631 641 649 667 670 673 676 680 685 702 721 725 726 733 734 739 752]\n# step=12 row=45 minW=94 found cw of W=82: [2 34 64 66 67 73 78 99 108 110 119 121 126 128 135 138 148 156 170 172 182 183 193 198 200 202 211 213 221 232 245 252 262 292 296 297 301 303 317 336 338 341 356 377 395 396 400 411 428 460 462 467 485 489 490 500 501 509 523 526 530 532 539 549 554 556 593 598 612 626 629 630 639 670 681 683 714 720 723 739 750 755]\n# step=16 row=104 minW=82 found cw of W=70: [3 7 10 14 17 18 20 27 32 61 75 76 110 172 189 195 197 227 234 239 241 247 250 259 273 278 279 287 296 300 308 310 314 315 320 321 333 349 384 385 396 398 425 426 486 494 501 508 509 535 550 567 573 591 598 616 629 630 637 651 660 663 669 680 693 698 713 722 733 755]\n# step=82 row=137 minW=70 found cw of W=68: [8 29 49 70 78 90 93 126 127 161 170 174 205 215 218 223 229 230 232 245 246 251 253 260 267 270 278 280 290 301 308 315 342 346 352 353 392 402 413 414 436 443 463 492 503 511 518 539 553 582 588 594 602 603 623 624 651 654 662 665 667 685 689 703 724 731 744 756]\n# step=105 row=371 minW=68 found cw of W=62: [3 9 24 38 45 58 79 93 128 149 154 161 163 190 195 216 225 248 252 280 287 291 292 301 303 326 328 331 332 335 339 374 395 403 422 428 442 449 452 471 477 493 506 518 527 533 538 541 589 626 667 669 674 675 704 706 710 716 717 731 732 752]\n# step=315 row=226 minW=62 found cw of W=58: [1 8 34 98 138 139 181 193 207 221 227 228 233 236 237 267 273 288 316 322 328 332 335 337 339 357 371 427 434 456 501 505 516 524 531 538 546 550 559 560 561 565 580 585 587 605 611 627 634 645 669 675 689 695 703 715 736 755]\n# step=703 row=131 minW=58 found cw of W=56: [7 13 28 49 54 62 63 70 90 117 124 163 166 169 204 225 226 233 246 256 290 295 315 330 342 345 356 365 379 386 392 406 407 448 456 471 492 512 544 547 550 604 606 609 624 640 644 653 659 665 679 694 699 735 743 749]\n# round=1000 of 10000 minW=56\n# step=1039 row=308 minW=56 found cw of W=54: [15 45 108 117 145 150 152 166 177 220 258 261 263 282 296 304 313 315 320 326 331 337 345 368 388 405 419 430 454 460 479 485 520 521 534 555 557 570 575 578 590 592 598 604 611 619 636 647 674 680 688 693 736 748]\n# step=1638 row=2 minW=54 found cw of W=48: [5 67 91 116 137 143 146 157 166 172 179 186 198 213 241 242 249 296 348 355 360 399 400 441 445 466 467 469 500 516 521 536 544 550 564 585 586 591 601 605 627 646 650 671 691 726 729 733]\n# step=1638 row=157 minW=48 found cw of W=44: [67 91 116 137 143 146 157 166 172 179 186 198 213 241 242 249 293 296 348 355 399 400 441 445 466 467 469 500 516 521 536 544 550 564 585 586 591 601 605 627 646 650 691 729]\n# round=2000 of 10000 minW=44\n# step=2871 row=370 minW=44 found cw of W=42: [7 13 20 41 47 52 110 130 151 231 267 286 316 341 342 357 363 379 391 398 411 418 465 480 501 514 543 555 584 609 610 653 658 659 674 689 694 699 707 723 735 741]\n# round=3000 of 10000 minW=42\n# round=4000 of 10000 minW=42\n# round=5000 of 10000 minW=42\n# round=6000 of 10000 minW=42\n# round=7000 of 10000 minW=42\n# round=8000 of 10000 minW=42\n# round=9000 of 10000 minW=42\n# round=10000 of 10000 minW=42\nRW algorithm upper bound for the distance d=42\n</t>
  </si>
  <si>
    <t># step=0 row=0 minW=757 found cw of W=146: [1 2 3 6 7 29 41 44 45 46 50 52 65 68 69 76 83 89 100 101 107 108 109 110 111 112 113 120 123 128 136 138 139 146 160 165 168 171 173 174 179 185 186 192 193 201 204 215 221 223 224 234 235 236 238 239 241 246 257 259 262 263 266 268 270 273 274 277 281 283 287 296 308 317 320 324 325 331 332 339 340 342 345 354 364 368 377 387 393 412 422 432 434 439 440 454 467 471 472 484 485 501 505 506 509 511 512 514 517 521 539 556 562 564 566 568 569 573 574 575 586 588 591 598 606 608 616 622 623 634 649 651 656 658 665 669 675 683 686 697 712 714 723 729 739 750]\n# step=0 row=3 minW=146 found cw of W=130: [3 6 7 8 11 15 44 50 52 54 59 65 68 69 102 109 110 111 112 113 119 120 123 158 160 165 166 172 173 180 186 193 201 202 204 206 208 221 234 235 236 238 255 266 273 274 276 283 293 296 299 302 321 324 329 332 340 342 343 352 354 357 365 371 379 384 387 392 393 395 404 405 407 409 412 415 422 427 439 440 445 446 454 456 471 472 480 484 492 512 517 521 524 530 533 539 544 549 556 558 562 564 566 571 574 584 586 588 593 605 616 619 649 651 661 664 669 675 677 680 702 705 714 716 720 730 733 741 746 749]\n# step=0 row=17 minW=130 found cw of W=126: [1 7 14 34 37 39 43 44 45 48 50 54 57 58 66 68 70 76 89 95 100 101 109 110 111 113 114 120 125 130 138 146 150 155 165 166 172 173 180 186 193 198 204 206 223 234 235 238 243 255 257 266 268 273 276 278 285 287 293 304 310 317 321 329 331 338 340 368 377 379 392 395 404 409 415 422 432 434 440 445 448 454 456 471 473 484 487 508 509 511 512 521 523 530 533 534 544 549 564 574 575 584 586 588 598 615 616 619 621 634 649 651 656 664 665 670 674 675 697 714 716 720 723 733 741 746]\n# step=0 row=42 minW=126 found cw of W=122: [1 4 14 34 48 54 56 57 58 59 61 66 68 70 75 83 88 89 92 102 109 111 114 119 120 125 128 138 155 165 174 181 186 193 206 208 223 235 239 241 246 249 262 271 273 276 277 285 293 304 308 310 317 323 328 331 332 339 352 365 371 379 392 393 401 404 407 415 422 432 439 445 447 448 463 466 471 476 480 483 487 492 494 506 508 510 511 521 524 533 537 544 549 551 556 558 564 566 568 575 588 591 598 621 623 634 637 649 651 655 658 670 674 675 678 702 723 730 733 749 751 756]\n# step=0 row=46 minW=122 found cw of W=106: [6 20 34 39 45 48 61 68 83 89 92 94 95 100 102 112 123 128 136 138 139 146 149 165 168 171 174 180 186 193 201 206 208 211 221 224 235 239 241 246 255 262 266 287 302 308 320 321 329 331 332 345 352 357 365 368 371 392 393 415 427 431 432 454 456 460 473 476 479 483 485 494 501 505 506 509 511 514 533 544 549 556 558 564 566 568 575 591 608 623 656 658 661 664 674 675 680 686 702 705 720 729 730 741 742 749]\n# step=0 row=319 minW=106 found cw of W=94: [1 4 8 15 18 20 27 34 39 48 50 52 54 57 61 66 89 92 101 102 108 111 112 123 128 138 139 158 165 166 172 173 174 179 198 202 209 221 235 239 246 255 257 268 308 320 338 364 379 384 405 409 432 434 439 440 446 454 456 467 476 480 483 485 486 494 497 501 505 506 511 517 521 544 556 568 571 575 584 598 605 631 634 658 672 674 675 686 697 707 716 723 741 746]\n# step=9 row=12 minW=94 found cw of W=60: [19 27 32 37 48 60 74 82 85 115 156 170 172 176 191 200 205 211 221 225 260 263 266 267 268 307 311 322 323 353 362 369 373 378 410 428 438 465 481 487 515 522 528 530 534 550 564 569 579 598 609 610 620 641 661 693 696 742 751 755]\n# step=249 row=272 minW=60 found cw of W=56: [19 24 65 74 101 122 129 149 156 184 197 211 216 220 235 240 247 275 281 291 294 325 342 346 357 397 398 408 439 459 465 479 500 508 523 527 528 529 544 577 582 589 611 624 625 630 633 634 659 667 668 674 675 700 727 731]\n# step=725 row=250 minW=56 found cw of W=54: [4 19 38 66 86 93 95 100 136 145 157 194 198 201 242 243 263 269 304 307 313 324 327 333 339 361 362 383 388 389 395 418 429 450 465 479 488 523 526 572 585 593 627 642 647 662 691 705 726 732 740 747 752 753]\n# step=840 row=130 minW=54 found cw of W=44: [56 62 117 168 173 179 198 214 223 228 230 236 247 269 274 275 278 281 316 329 333 340 406 432 434 440 455 481 501 502 524 545 546 571 576 601 613 635 653 659 666 676 694 720]\n# round=1000 of 10000 minW=44\n# round=2000 of 10000 minW=44\n# round=3000 of 10000 minW=44\n# round=4000 of 10000 minW=44\n# round=5000 of 10000 minW=44\n# round=6000 of 10000 minW=44\n# round=7000 of 10000 minW=44\n# round=8000 of 10000 minW=44\n# step=8841 row=353 minW=44 found cw of W=38: [75 156 157 200 201 205 212 237 255 262 292 299 324 347 355 384 404 409 425 445 499 508 534 548 575 597 598 615 641 664 682 687 690 705 713 721 733 746]\n# round=9000 of 10000 minW=38\n# round=10000 of 10000 minW=38\nRW algorithm upper bound for the distance d=38\n</t>
  </si>
  <si>
    <t># step=0 row=1 minW=757 found cw of W=174: [1 3 7 8 10 12 14 23 25 26 31 36 49 51 53 65 67 75 77 80 91 92 94 98 101 103 108 110 114 122 126 129 152 158 159 164 165 171 180 183 187 189 190 191 194 202 207 208 213 217 219 222 226 228 230 234 235 248 249 252 254 258 259 269 270 285 290 299 302 305 318 323 329 338 351 354 360 367 376 383 391 392 394 397 398 399 406 407 413 414 420 422 423 427 429 430 448 451 452 458 459 462 470 475 478 492 496 498 503 511 512 515 518 532 541 544 545 550 554 555 558 562 564 572 582 588 593 598 599 600 601 603 606 607 608 613 620 621 624 626 627 632 634 635 636 641 644 645 646 648 650 654 661 665 667 669 671 672 673 674 676 677 678 681 682 687 688 689 691 695 711 718 729 740]\n# step=0 row=2 minW=174 found cw of W=168: [5 8 20 21 23 25 26 31 32 33 53 57 64 75 77 78 80 82 90 91 93 94 101 103 108 109 114 122 134 144 147 148 152 157 158 163 168 171 183 187 189 190 194 208 213 217 228 230 234 248 249 252 254 256 258 259 264 269 270 285 297 299 302 305 311 318 329 338 344 348 351 354 356 359 376 379 391 394 397 399 401 404 412 413 414 420 423 429 430 440 442 445 448 451 452 459 462 466 469 471 475 478 484 490 492 497 500 502 503 505 515 517 530 531 532 536 541 544 547 551 554 555 556 557 564 582 586 588 593 600 601 607 608 612 613 621 627 629 632 636 637 644 645 650 652 654 667 671 672 674 675 677 681 682 687 690 691 693 711 716 718 723 726 729 731 734 739 740]\n# step=0 row=3 minW=168 found cw of W=138: [1 6 7 12 17 23 26 31 33 51 53 65 69 75 78 80 90 92 94 101 102 103 114 124 126 129 134 137 152 157 158 159 166 168 171 178 187 189 191 202 213 217 222 226 228 248 249 258 259 264 269 270 281 297 304 305 311 317 318 329 338 351 354 356 360 375 379 383 388 391 396 397 401 406 414 423 430 431 443 451 452 458 459 469 470 475 478 484 496 498 505 511 519 521 523 530 532 536 542 544 545 554 556 557 562 572 586 588 599 603 605 606 608 612 621 624 632 634 636 644 648 654 671 673 675 676 678 681 683 686 701 707 711 716 725 729 739 740]\n# step=0 row=16 minW=138 found cw of W=126: [7 10 14 15 23 25 33 36 37 38 49 51 63 65 67 92 94 101 110 112 114 124 134 135 137 142 147 152 158 171 178 181 189 192 202 203 226 228 249 269 270 281 297 304 305 319 323 351 356 360 364 367 372 375 383 387 392 397 398 406 422 423 430 440 441 443 445 448 463 466 471 478 484 494 497 498 500 502 503 512 523 531 532 535 536 545 550 551 553 554 557 564 588 591 593 599 603 612 626 627 629 636 637 641 644 648 650 652 654 671 676 681 686 689 690 691 692 701 714 716 725 729 731 739 744 752]\n# step=0 row=20 minW=126 found cw of W=112: [14 15 21 23 25 32 36 38 44 49 51 63 67 69 90 93 95 106 112 124 134 137 148 152 157 158 165 168 171 172 178 181 182 189 192 193 203 217 222 226 228 235 258 281 290 302 304 318 323 332 345 348 357 359 367 372 387 388 392 399 401 407 412 413 445 448 462 463 466 471 484 490 494 496 500 502 505 511 512 530 535 536 539 550 551 553 571 572 586 591 598 599 600 606 608 612 613 635 641 649 661 665 675 676 681 682 688 689 691 701 716 739]\n# step=0 row=49 minW=112 found cw of W=108: [14 15 21 23 25 32 36 38 49 51 63 67 69 90 95 99 106 112 124 137 152 157 158 165 168 171 172 178 181 182 192 193 203 217 222 226 228 235 258 281 290 302 304 318 323 332 345 348 357 359 367 372 387 388 392 399 401 407 412 413 422 445 448 462 463 466 471 490 494 496 500 502 505 511 512 530 532 535 536 550 551 553 571 572 586 591 598 599 600 606 608 612 613 635 641 649 661 665 675 676 681 682 688 689 691 701 716 739]\n# step=1 row=20 minW=108 found cw of W=102: [4 7 9 12 13 18 24 31 34 39 43 45 49 55 56 66 78 80 90 101 103 104 108 129 133 135 139 140 147 148 155 162 190 196 202 203 211 229 232 264 273 276 277 281 284 288 294 308 315 322 324 326 331 341 347 361 366 371 378 381 382 386 388 391 393 409 417 422 440 446 447 448 453 471 484 485 486 497 505 517 535 540 543 546 569 576 623 629 635 643 644 655 665 678 692 697 700 716 733 745 755 756]\n# step=2 row=14 minW=102 found cw of W=100: [7 19 23 24 26 38 44 59 60 61 65 74 75 85 87 93 115 121 130 141 149 150 151 155 169 176 191 199 219 235 242 246 265 277 279 286 315 322 326 334 344 357 364 371 376 389 390 394 397 429 430 437 440 443 460 465 466 477 480 489 494 498 500 501 504 518 528 530 533 548 549 553 569 574 577 583 589 594 608 643 644 652 655 667 673 682 684 687 692 700 708 710 717 719 731 735 741 744 745 748]\n# step=2 row=29 minW=100 found cw of W=76: [31 38 44 51 60 65 79 80 85 93 100 120 130 135 150 192 199 231 236 240 245 265 275 277 279 298 300 301 321 326 334 337 341 344 351 358 360 365 389 397 409 430 463 473 477 493 499 500 507 508 518 519 528 548 549 574 589 608 625 632 643 655 667 669 673 674 680 687 692 708 710 715 717 731 741 745]\n# step=2 row=62 minW=76 found cw of W=64: [31 60 65 80 85 120 130 134 135 141 150 192 199 231 236 240 245 265 275 279 298 300 301 321 334 337 341 344 351 358 360 365 389 397 409 430 463 493 499 500 507 508 518 519 528 548 549 574 589 608 625 632 643 667 669 673 674 680 687 692 708 715 731 741]\n# step=2 row=79 minW=64 found cw of W=60: [31 60 65 80 120 130 135 141 150 175 192 199 231 236 240 245 265 275 279 298 300 301 321 334 337 341 344 351 358 360 365 389 397 409 430 493 499 500 508 519 528 548 549 574 589 608 625 632 643 667 669 673 674 680 687 692 708 715 731 741]\n# step=294 row=180 minW=60 found cw of W=56: [5 16 29 35 39 46 73 113 140 169 174 175 180 189 203 210 215 226 231 254 274 277 281 288 313 339 352 359 362 368 375 393 396 401 408 413 423 457 483 498 503 518 532 546 547 558 562 597 604 655 691 704 707 730 737 745]\n# round=1000 of 10000 minW=56\n# step=1005 row=223 minW=56 found cw of W=52: [13 33 42 45 53 88 100 104 107 148 151 155 158 159 199 248 252 254 255 261 262 269 289 301 310 313 344 351 368 375 376 405 411 412 419 454 460 461 495 501 502 536 580 584 591 630 687 701 720 723 734 743]\n# step=1213 row=293 minW=52 found cw of W=50: [48 82 92 108 123 131 132 145 148 152 178 187 193 194 201 208 215 227 298 349 353 360 364 408 411 419 431 454 457 480 481 498 506 510 515 522 525 526 529 530 532 544 545 559 570 573 586 596 637 742]\n# round=2000 of 10000 minW=50\n# step=2061 row=355 minW=50 found cw of W=48: [21 22 54 88 98 127 138 152 166 207 214 221 256 297 310 371 387 399 407 413 415 420 436 448 454 456 467 477 482 489 505 530 546 556 557 571 605 634 640 646 647 675 688 701 736 743 749 755]\n# step=2535 row=299 minW=48 found cw of W=44: [19 21 26 34 62 78 89 140 195 210 218 259 265 285 299 305 320 329 340 343 349 360 370 391 405 412 432 452 519 542 562 568 588 596 628 629 651 652 683 686 687 692 699 754]\n# step=2535 row=332 minW=44 found cw of W=38: [19 21 26 34 62 78 89 140 195 210 265 299 305 320 329 340 343 360 370 391 405 412 432 452 519 542 562 568 588 628 629 637 652 658 683 686 687 754]\n# round=3000 of 10000 minW=38\n# round=4000 of 10000 minW=38\n# round=5000 of 10000 minW=38\n# round=6000 of 10000 minW=38\n# round=7000 of 10000 minW=38\n# round=8000 of 10000 minW=38\n# round=9000 of 10000 minW=38\n# round=10000 of 10000 minW=38\nRW algorithm upper bound for the distance d=38\n</t>
  </si>
  <si>
    <t># step=0 row=0 minW=757 found cw of W=150: [3 4 7 9 14 21 22 28 39 40 50 69 76 84 98 99 138 140 150 152 153 155 159 160 167 172 173 179 192 197 199 200 201 203 205 207 208 211 212 213 225 227 246 247 252 253 258 260 261 262 264 265 270 274 281 282 283 290 291 296 302 309 314 320 321 325 326 330 333 339 344 345 351 352 357 361 368 372 375 380 382 383 386 391 393 401 409 416 423 428 432 435 443 450 455 460 464 470 479 480 483 492 517 525 529 530 539 540 541 551 554 557 562 566 569 571 575 591 592 595 601 608 614 618 630 632 635 642 646 649 650 656 657 658 662 682 691 694 697 700 701 704 706 715 720 725 732 746 748 752]\n# step=0 row=1 minW=150 found cw of W=148: [2 3 6 9 13 14 16 20 21 22 28 40 50 61 66 69 76 84 98 99 100 107 109 116 120 123 126 138 142 150 151 152 153 154 159 160 162 163 164 165 172 173 179 185 186 192 199 201 207 208 209 210 212 220 238 240 246 257 261 264 270 274 282 283 290 293 302 309 312 316 320 323 324 329 333 337 339 345 348 352 361 380 383 388 391 416 423 428 432 438 443 444 450 453 455 460 468 470 476 480 485 488 491 492 493 498 502 504 513 518 525 529 530 539 541 547 548 555 557 562 563 566 567 571 588 591 595 601 614 624 626 630 635 638 643 650 656 657 662 675 686 691 698 706 720 725 728 735]\n# step=0 row=5 minW=148 found cw of W=144: [1 5 9 12 13 26 31 49 75 76 93 98 103 104 112 128 132 135 139 150 153 158 160 167 172 173 174 179 185 203 205 212 213 220 225 227 234 238 242 252 253 257 258 259 260 261 264 268 274 293 309 320 321 324 326 330 333 337 339 344 347 348 349 351 356 357 361 368 372 375 379 391 393 397 401 405 416 435 438 440 443 446 447 449 459 460 466 468 469 476 489 490 491 492 496 498 502 510 513 516 525 530 539 541 545 547 549 562 563 566 575 595 601 608 616 618 624 625 634 635 642 643 650 657 658 662 673 675 678 682 683 685 687 691 694 698 700 701 704 729 731 734 735 748]\n# step=0 row=6 minW=144 found cw of W=120: [9 13 14 15 40 41 49 50 58 66 69 99 103 104 109 110 117 120 145 148 149 151 154 155 162 163 165 167 186 200 201 207 208 209 210 211 213 227 228 253 259 260 261 265 268 270 312 316 323 324 337 339 344 347 354 357 368 375 381 383 386 391 393 397 401 423 428 437 443 446 447 449 450 464 468 474 476 480 481 491 492 496 498 502 504 517 518 530 547 549 551 554 557 567 570 571 592 608 616 626 632 634 635 638 642 649 650 675 682 683 685 686 691 700 706 715 728 731 732 735]\n# step=0 row=23 minW=120 found cw of W=104: [3 7 9 16 20 21 22 28 48 58 76 84 103 104 112 138 142 148 150 152 158 165 167 172 174 179 185 186 197 201 202 205 207 208 212 213 220 228 234 240 259 262 270 282 296 302 310 321 337 344 347 354 361 372 386 392 393 397 400 406 416 435 438 453 460 468 470 476 491 496 498 502 525 530 545 547 551 557 563 566 571 592 601 625 626 635 638 642 646 649 673 675 682 685 687 688 704 715 728 729 731 735 752 755]\n# step=0 row=135 minW=104 found cw of W=102: [3 7 14 21 31 76 98 103 104 132 142 152 155 158 160 165 172 173 179 185 186 197 199 202 203 207 208 210 213 220 228 229 234 240 242 247 253 257 258 260 261 262 264 270 278 282 308 312 314 316 323 324 326 333 337 344 354 357 368 375 401 443 447 453 460 461 468 476 481 482 491 492 496 516 517 526 541 545 557 563 571 592 595 601 608 616 626 638 646 649 651 657 669 673 683 686 687 700 728 735 748 752]\n# step=0 row=300 minW=102 found cw of W=94: [3 7 14 20 21 76 98 103 104 132 142 152 155 158 160 165 167 172 173 179 185 186 197 199 202 203 207 208 210 213 220 228 240 242 247 253 258 260 261 262 264 270 282 312 314 316 323 324 326 333 337 344 354 357 401 443 447 453 460 461 468 476 481 482 491 492 496 516 517 526 541 557 563 571 592 595 600 601 608 616 626 638 646 649 657 662 669 673 683 687 697 700 728 735]\n# step=15 row=160 minW=94 found cw of W=74: [16 23 30 31 35 38 39 50 59 65 72 93 127 148 159 162 180 182 189 199 206 208 228 229 254 258 268 270 277 298 303 309 312 313 316 320 323 327 347 358 360 373 388 389 393 404 443 449 450 456 468 517 537 539 546 566 592 602 606 627 650 656 661 662 681 682 685 696 711 717 730 740 745 752]\n# step=20 row=60 minW=74 found cw of W=66: [19 24 30 38 43 47 49 51 74 76 79 96 98 107 109 131 138 164 175 209 227 248 250 346 362 369 372 374 393 397 402 417 418 425 429 431 451 454 459 462 463 469 473 482 492 511 514 515 518 538 544 552 559 567 572 582 611 616 621 634 657 662 681 730 740 750]\n# step=20 row=76 minW=66 found cw of W=54: [19 24 30 38 43 49 76 79 98 109 131 137 138 164 171 175 209 227 248 250 346 372 374 393 397 402 429 451 454 462 463 482 492 511 515 518 521 538 544 552 559 567 572 582 611 616 621 634 657 662 681 730 747 750]\n# step=20 row=100 minW=54 found cw of W=52: [19 24 30 38 43 49 76 79 98 109 131 138 164 171 175 186 209 248 250 346 372 374 393 397 402 429 451 454 462 463 482 492 511 518 521 538 544 552 567 570 572 582 611 616 621 634 657 662 681 730 747 750]\n# round=1000 of 10000 minW=52\n# round=2000 of 10000 minW=52\n# step=2403 row=141 minW=52 found cw of W=44: [11 101 109 123 145 150 167 178 187 200 207 229 233 236 255 273 284 288 384 385 389 425 434 438 444 467 475 493 515 516 549 557 564 565 590 598 605 613 620 627 665 713 714 755]\n# round=3000 of 10000 minW=44\n# round=4000 of 10000 minW=44\n# round=5000 of 10000 minW=44\n# round=6000 of 10000 minW=44\n# round=7000 of 10000 minW=44\n# round=8000 of 10000 minW=44\n# round=9000 of 10000 minW=44\n# round=10000 of 10000 minW=44\nRW algorithm upper bound for the distance d=44\n</t>
  </si>
  <si>
    <t># step=0 row=0 minW=757 found cw of W=134: [2 5 9 18 26 42 46 53 57 60 62 87 101 107 109 122 124 130 139 141 144 155 157 165 166 181 183 185 189 192 196 198 214 216 228 234 240 244 246 251 253 259 261 263 264 268 286 287 294 299 307 308 320 325 328 334 335 339 344 349 353 376 398 399 403 404 420 429 433 438 445 446 453 459 469 478 482 485 488 489 490 497 500 509 510 517 522 527 528 529 531 533 540 542 549 556 563 567 568 571 575 582 587 588 589 592 600 607 609 613 619 629 631 632 642 647 650 653 657 664 677 682 686 691 692 693 694 699 708 712 726 734 737 740]\n# step=0 row=6 minW=134 found cw of W=130: [5 6 13 17 21 26 28 32 42 46 53 57 60 74 90 109 110 117 122 131 134 139 142 155 157 166 178 181 182 183 185 189 190 192 194 198 211 216 219 220 228 235 240 246 251 253 259 264 274 299 300 315 320 328 329 334 335 344 349 355 369 375 379 383 389 398 399 403 404 420 424 429 438 439 445 452 478 482 488 489 490 495 497 505 507 509 510 517 520 527 528 529 531 533 543 544 546 549 560 563 566 569 570 571 575 582 585 587 588 589 590 607 617 623 631 642 644 665 691 692 693 699 706 707 712 727 734 740 741 747]\n# step=0 row=8 minW=130 found cw of W=120: [6 9 16 18 19 24 25 26 32 46 73 80 86 87 94 106 108 109 113 114 115 125 126 131 141 142 144 150 154 165 169 176 180 182 184 190 196 199 220 227 234 239 246 249 286 287 294 300 329 339 349 355 363 369 370 375 376 379 387 389 394 399 403 405 429 433 436 438 439 440 442 446 451 452 453 457 459 469 472 477 478 488 492 500 504 518 522 528 529 534 541 546 549 560 563 566 575 582 587 619 622 623 629 632 650 664 677 682 699 707 708 712 720 726 731 734 740 741 747 753]\n# step=0 row=21 minW=120 found cw of W=116: [5 15 18 21 26 28 42 43 53 59 60 73 74 86 98 108 114 115 122 125 130 131 139 142 157 164 166 170 183 189 196 198 211 217 220 227 228 239 240 246 251 253 261 268 274 275 282 286 293 300 308 315 325 334 344 363 369 383 387 404 405 416 420 424 433 436 440 445 446 448 450 451 452 453 464 468 469 477 482 489 497 500 507 509 510 518 540 541 543 546 549 556 563 567 570 571 575 587 600 603 604 613 617 619 622 623 629 644 664 665 677 704 709 734 747 754]\n# step=0 row=22 minW=116 found cw of W=112: [6 18 19 21 24 26 28 32 42 44 73 97 101 104 107 122 131 139 141 142 155 164 165 166 169 176 178 180 183 194 196 198 199 211 217 219 228 235 249 259 261 268 274 286 287 293 294 312 315 328 329 334 335 344 355 363 367 369 370 374 376 389 394 398 399 420 433 440 446 451 452 457 464 468 469 477 485 488 495 509 510 518 520 529 533 540 541 543 544 556 563 569 571 582 585 588 604 619 629 632 644 657 664 665 682 692 708 712 720 726 727 731]\n# step=0 row=37 minW=112 found cw of W=98: [6 9 25 26 53 60 69 80 86 97 101 108 114 118 125 130 141 150 154 165 189 196 199 214 227 239 244 246 274 286 287 308 312 315 320 328 329 334 335 349 370 374 375 387 389 403 405 420 429 436 442 446 447 452 453 464 469 477 478 492 500 502 510 527 528 534 541 542 549 568 570 582 587 600 608 609 617 619 647 652 657 664 665 686 693 696 699 707 708 712 720 727 737 741 742 747 753 754]\n# step=0 row=129 minW=98 found cw of W=86: [5 17 21 26 28 74 87 114 122 130 139 157 164 165 169 176 178 180 183 185 190 194 196 197 217 227 239 246 249 256 286 287 293 300 312 320 328 335 339 353 374 376 383 399 404 424 439 445 453 459 468 488 489 492 500 507 509 529 541 542 544 568 570 575 576 582 599 600 604 608 609 619 629 632 650 653 664 682 694 696 706 708 726 740 742 753]\n# step=30 row=118 minW=86 found cw of W=84: [17 25 39 47 50 64 72 75 91 95 96 98 102 105 126 129 133 147 151 158 168 184 194 202 208 211 220 227 232 243 244 255 259 263 266 284 293 307 338 362 389 393 425 438 451 453 458 473 476 483 494 497 508 511 518 520 527 532 540 560 563 567 572 575 580 581 586 594 605 637 642 643 647 649 650 657 670 677 683 686 691 727 739 753]\n# step=39 row=309 minW=84 found cw of W=76: [9 24 29 35 39 44 50 51 53 74 79 83 84 85 86 102 104 106 113 118 130 132 133 136 138 144 151 155 162 181 213 217 243 303 326 332 362 369 394 402 413 415 428 442 443 449 456 457 461 462 463 468 473 475 479 480 483 486 496 498 503 505 522 526 537 545 560 614 616 646 657 676 695 710 740 744]\n# step=54 row=58 minW=76 found cw of W=72: [9 16 25 32 48 64 67 83 88 90 92 97 103 104 119 122 125 126 138 139 147 152 154 164 169 173 187 193 196 205 216 217 235 240 242 243 251 295 298 306 325 348 355 360 399 426 454 458 461 468 482 503 507 512 516 525 526 531 536 542 555 560 583 613 616 631 657 668 682 698 726 733]\n# step=61 row=312 minW=72 found cw of W=66: [5 19 22 26 33 38 42 49 74 76 79 85 87 93 95 100 141 162 166 177 189 192 196 226 275 282 293 311 323 342 356 365 366 372 422 424 428 454 465 475 477 514 516 520 521 524 528 535 569 591 611 618 622 640 653 666 667 681 704 712 715 726 733 745 750 751]\n# step=144 row=211 minW=66 found cw of W=52: [23 26 79 84 86 88 89 109 112 120 132 143 144 148 153 167 173 181 187 194 198 208 235 237 290 297 345 360 397 400 401 407 457 459 462 463 468 491 497 498 526 531 546 551 565 566 580 587 606 607 647 648]\n# round=1000 of 10000 minW=52\n# round=2000 of 10000 minW=52\n# step=2415 row=298 minW=52 found cw of W=46: [20 27 31 77 167 181 214 234 263 277 283 291 292 299 312 327 339 343 346 347 401 455 467 468 491 510 516 522 557 565 571 581 592 607 620 621 636 648 649 671 677 682 690 696 711 752]\n# round=3000 of 10000 minW=46\n# round=4000 of 10000 minW=46\n# round=5000 of 10000 minW=46\n# round=6000 of 10000 minW=46\n# round=7000 of 10000 minW=46\n# round=8000 of 10000 minW=46\n# round=9000 of 10000 minW=46\n# round=10000 of 10000 minW=46\nRW algorithm upper bound for the distance d=46\n</t>
  </si>
  <si>
    <t># step=0 row=0 minW=757 found cw of W=178: [1 3 5 7 10 16 24 27 33 35 38 44 45 55 60 61 62 64 67 70 90 93 95 106 110 114 115 120 125 135 136 140 141 143 152 153 156 160 163 173 174 176 178 181 187 201 204 208 209 210 218 219 221 222 223 225 230 231 232 233 242 253 255 256 258 267 269 277 278 287 302 310 311 314 315 317 322 331 335 336 337 355 363 365 369 370 374 376 383 391 393 399 405 411 414 416 432 434 438 440 443 445 447 448 449 454 455 465 477 485 487 489 492 495 496 501 502 505 506 512 513 518 519 524 528 531 537 542 543 548 552 553 554 558 559 561 563 569 572 574 578 580 582 587 588 589 598 599 606 621 623 626 628 630 631 649 661 668 678 680 682 686 688 692 702 714 715 717 721 724 727 729 731 733 751 752 753 755]\n# step=0 row=1 minW=178 found cw of W=150: [3 4 6 7 17 24 26 38 42 45 49 50 51 55 58 62 66 67 68 76 81 95 97 100 109 110 116 120 122 131 135 136 137 141 143 146 152 153 156 160 165 167 169 170 173 174 178 181 187 201 203 204 207 208 218 219 221 223 230 231 232 249 253 256 258 259 262 264 269 271 273 277 284 288 293 310 315 317 325 326 336 340 355 363 365 370 374 388 394 399 416 423 443 445 447 450 454 457 467 485 487 488 490 491 492 496 501 502 515 519 521 524 528 531 538 541 548 552 553 554 558 563 569 571 574 582 587 589 595 598 599 606 607 609 623 628 630 631 636 649 682 692 711 714 716 720 721 731 752 755]\n# step=0 row=3 minW=150 found cw of W=146: [3 4 7 11 15 24 27 42 44 49 52 70 76 82 93 95 104 109 116 117 125 131 135 136 137 140 141 143 153 156 160 163 165 167 174 176 178 181 187 216 218 219 220 221 223 230 232 249 253 255 260 264 267 270 271 273 284 288 293 302 306 314 317 325 326 331 337 344 351 355 363 369 374 376 385 391 394 405 424 425 428 432 434 443 445 447 457 467 482 485 487 496 501 506 513 515 519 521 524 528 538 541 542 543 552 558 563 569 571 572 574 578 582 587 589 594 597 598 599 607 609 623 628 630 632 636 638 643 649 660 668 680 682 692 710 711 715 716 717 718 720 721 724 731 733 752]\n# step=0 row=4 minW=146 found cw of W=136: [2 4 7 10 13 15 19 27 38 42 44 49 51 54 61 66 70 81 82 87 95 97 98 100 104 110 131 135 136 137 140 142 143 146 152 160 165 167 170 173 181 187 201 204 208 210 218 219 221 222 223 225 227 230 232 233 256 260 264 270 271 273 277 284 287 310 314 315 326 335 336 363 365 369 370 374 376 379 391 393 397 405 412 416 432 443 445 447 450 452 454 477 482 487 495 496 501 502 503 506 513 518 519 521 524 528 537 542 548 552 554 569 571 572 588 595 598 599 606 607 643 660 678 686 692 700 710 711 714 720 727 733 749 752 753 755]\n# step=0 row=5 minW=136 found cw of W=124: [1 7 10 12 14 15 16 17 19 33 35 38 42 50 54 58 60 68 70 76 81 82 87 90 93 95 97 98 104 106 109 115 116 122 135 142 160 163 165 167 169 170 174 178 203 209 210 233 255 259 264 270 271 273 277 278 284 287 288 310 317 325 326 331 333 336 337 344 351 365 379 388 394 397 399 411 416 423 424 440 445 449 452 454 455 457 467 490 491 492 503 505 512 515 519 531 533 543 558 561 572 582 587 588 595 598 607 623 628 632 649 662 678 686 688 714 715 716 720 727 729 752 753 755]\n# step=0 row=38 minW=124 found cw of W=122: [10 12 15 17 19 27 38 44 50 55 58 62 67 70 76 81 82 83 87 93 95 97 104 106 109 116 122 135 140 142 152 153 165 170 173 174 201 203 207 208 210 220 231 253 255 256 258 259 262 267 269 277 302 310 315 331 333 336 337 344 350 351 355 363 365 370 374 382 385 388 391 397 416 424 428 432 443 445 449 452 454 482 488 489 491 502 503 505 506 513 515 519 543 548 558 578 588 597 606 631 632 638 660 668 678 680 686 692 700 710 711 714 715 717 721 724 727 733 749 752 753 755]\n# step=0 row=43 minW=122 found cw of W=106: [1 10 12 15 35 67 70 89 90 100 104 110 114 117 122 125 138 141 152 153 163 169 170 173 174 176 178 195 201 208 218 222 231 233 253 255 256 260 267 271 277 287 288 302 308 310 317 322 325 326 331 335 337 363 365 366 370 374 388 412 421 432 436 443 450 457 467 470 481 482 488 489 492 495 499 502 503 505 506 512 519 543 558 561 563 568 574 578 582 589 598 606 623 630 649 662 668 680 688 700 715 716 717 724 729 749]\n# step=2 row=107 minW=106 found cw of W=86: [7 12 13 19 25 31 55 62 78 80 109 119 121 140 144 147 156 158 160 163 174 176 190 195 197 200 215 241 246 253 259 295 308 315 335 342 343 345 355 356 377 380 391 397 398 403 407 420 421 432 450 453 459 461 469 493 502 508 513 525 534 538 540 566 568 582 591 607 609 623 630 633 648 668 673 674 692 700 721 722 723 728 733 734 738 749]\n# step=9 row=120 minW=86 found cw of W=58: [47 52 111 137 150 151 158 172 177 179 207 221 226 228 232 233 247 256 261 267 271 313 316 323 368 375 419 420 425 430 461 479 480 485 486 489 509 520 534 535 536 544 550 555 556 557 559 575 579 580 590 601 610 647 655 670 711 749]\n# step=9 row=301 minW=58 found cw of W=52: [47 52 111 137 150 151 158 166 172 179 207 221 228 232 247 261 271 313 316 323 368 375 419 420 425 430 461 479 480 485 486 489 509 520 534 535 536 550 556 557 559 575 579 580 590 601 606 647 655 670 711 749]\n# step=30 row=308 minW=52 found cw of W=44: [133 144 157 177 181 183 190 195 199 205 211 221 232 236 243 247 252 273 280 287 295 380 421 432 481 530 535 555 561 568 571 577 583 584 589 590 604 616 653 679 694 709 720 735]\n# round=1000 of 10000 minW=44\n# round=2000 of 10000 minW=44\n# round=3000 of 10000 minW=44\n# step=3454 row=269 minW=44 found cw of W=42: [3 58 85 113 114 140 141 168 169 175 190 204 210 223 244 251 259 275 278 330 337 382 423 443 449 463 507 512 513 519 533 539 553 554 561 563 573 602 628 632 673 711]\n# round=4000 of 10000 minW=42\n# round=5000 of 10000 minW=42\n# round=6000 of 10000 minW=42\n# round=7000 of 10000 minW=42\n# round=8000 of 10000 minW=42\n# round=9000 of 10000 minW=42\n# round=10000 of 10000 minW=42\nRW algorithm upper bound for the distance d=42\n</t>
  </si>
  <si>
    <t># step=0 row=0 minW=757 found cw of W=160: [2 5 6 9 13 17 27 39 46 47 50 53 57 63 68 69 73 79 84 88 90 102 107 111 113 118 120 121 135 140 143 145 146 149 154 159 163 176 178 182 184 185 187 198 206 208 210 211 216 218 225 235 247 249 252 263 265 266 267 270 272 275 278 291 296 301 304 310 314 315 316 317 318 320 333 351 353 356 361 368 371 373 380 385 392 404 410 411 413 415 416 418 419 429 431 433 435 446 450 451 457 468 469 470 478 480 486 489 494 495 497 498 508 509 510 521 525 532 542 563 573 578 582 599 617 618 622 624 633 638 639 646 650 651 656 663 665 666 672 673 675 679 680 684 688 693 694 699 707 712 717 721 722 726 733 737 741 747 754 755]\n# step=0 row=2 minW=160 found cw of W=154: [1 5 6 7 13 17 21 22 32 35 55 66 69 75 77 79 83 84 88 93 94 100 104 105 108 111 113 120 135 143 152 167 173 176 178 180 185 186 187 195 198 201 205 208 217 218 222 228 233 234 235 240 241 246 247 251 252 260 261 267 270 275 278 279 281 283 291 293 299 303 311 314 315 316 340 353 356 358 359 361 368 374 382 385 392 396 416 425 426 429 435 450 456 459 464 468 471 474 489 495 498 512 517 525 534 537 542 545 547 549 563 566 568 573 575 588 595 600 622 624 626 628 629 632 634 635 651 656 659 663 665 666 667 673 679 684 690 699 702 703 711 712 714 721 726 728 732 737 741 744 747 752 753 754]\n# step=0 row=3 minW=154 found cw of W=114: [1 4 8 13 19 22 25 30 32 35 39 46 55 59 62 66 70 73 75 77 88 105 111 140 147 163 173 176 180 184 186 195 202 209 225 228 235 241 246 250 251 261 272 280 283 296 303 305 308 315 316 320 323 342 356 359 360 368 369 371 374 382 396 399 410 413 416 422 425 429 433 435 451 454 459 464 468 471 474 478 512 519 549 596 613 626 629 631 635 663 665 672 673 678 679 680 684 693 702 703 713 714 719 722 728 733 734 737 741 745 746 747 751 752]\n# step=0 row=136 minW=114 found cw of W=96: [6 12 13 17 18 31 32 37 39 40 44 46 50 53 62 100 105 108 120 141 147 152 154 159 182 188 216 235 250 265 272 290 297 301 305 308 318 333 356 368 373 374 385 396 410 422 431 433 435 454 459 470 471 473 478 484 495 498 508 512 519 532 542 547 549 553 566 575 580 588 596 613 621 624 631 632 638 639 647 650 656 663 665 672 673 678 679 680 688 699 703 717 738 741 752 753]\n# step=1 row=131 minW=96 found cw of W=90: [3 10 17 41 42 45 52 53 84 96 98 100 105 122 127 145 149 155 162 171 182 189 201 204 211 223 226 233 243 248 255 261 263 277 278 279 284 287 291 303 316 317 318 340 342 361 362 369 375 384 413 416 427 433 439 481 482 486 488 503 505 530 535 536 544 549 552 571 576 588 593 595 598 611 615 621 629 657 659 660 661 663 666 669 676 682 705 708 715 724]\n# step=4 row=64 minW=90 found cw of W=72: [38 41 42 49 68 74 82 89 91 107 130 133 136 141 151 192 195 199 206 219 237 266 268 278 282 286 310 312 323 329 331 342 364 365 374 379 391 411 418 425 426 429 452 467 490 507 519 524 531 540 542 566 568 569 576 577 589 618 621 628 630 638 652 658 660 664 666 687 699 704 713 728]\n# step=38 row=237 minW=72 found cw of W=66: [13 21 38 43 77 83 84 87 93 97 100 104 108 122 136 162 171 198 199 206 226 255 261 268 275 288 296 317 321 337 344 364 376 379 386 415 416 419 426 465 469 500 510 520 523 536 544 585 600 610 620 626 632 633 639 649 653 669 674 694 703 708 720 742 743 750]\n# step=79 row=105 minW=66 found cw of W=62: [7 13 18 26 33 63 84 105 149 160 211 238 240 251 266 289 301 305 310 321 328 336 342 344 349 350 355 371 372 376 377 380 386 406 410 416 421 427 433 462 503 523 590 613 616 618 629 633 639 671 679 680 684 688 700 703 708 714 719 720 729 734]\n# step=258 row=354 minW=62 found cw of W=50: [44 92 99 116 161 171 178 193 247 263 265 275 288 302 307 318 321 325 330 337 355 380 394 396 445 486 525 571 576 583 592 594 600 604 620 626 632 649 661 673 675 682 684 687 690 694 698 710 731 735]\n# round=1000 of 10000 minW=50\n# step=1274 row=142 minW=50 found cw of W=48: [94 135 147 149 156 173 190 197 207 228 248 253 256 267 273 278 283 284 308 311 315 318 322 327 331 386 423 435 476 502 525 566 578 580 582 585 587 595 619 623 626 636 640 650 651 677 681 711]\n# step=1397 row=327 minW=48 found cw of W=42: [60 71 74 81 85 94 101 105 140 143 160 184 187 198 204 215 266 272 327 382 388 389 414 429 459 483 500 508 519 523 532 568 575 581 598 609 622 627 650 676 725 740]\n# round=2000 of 10000 minW=42\n# round=3000 of 10000 minW=42\n# round=4000 of 10000 minW=42\n# step=4305 row=236 minW=42 found cw of W=40: [4 19 51 52 59 114 115 122 166 169 176 221 228 285 327 334 339 360 375 383 409 417 444 458 459 474 485 500 508 523 564 602 650 651 663 692 705 707 738 740]\n# round=5000 of 10000 minW=40\n# round=6000 of 10000 minW=40\n# round=7000 of 10000 minW=40\n# round=8000 of 10000 minW=40\n# round=9000 of 10000 minW=40\n# round=10000 of 10000 minW=40\nRW algorithm upper bound for the distance d=40\n</t>
  </si>
  <si>
    <t># step=0 row=0 minW=757 found cw of W=168: [2 9 16 17 18 39 41 44 46 47 48 52 60 61 66 77 94 99 102 103 104 107 108 109 122 127 128 132 139 145 148 151 152 155 161 170 175 184 185 188 189 195 196 203 210 212 213 214 216 219 222 230 251 253 262 271 272 275 278 291 302 310 311 313 316 318 322 325 326 338 339 342 345 348 349 350 352 353 362 365 367 370 371 372 374 383 388 391 395 401 404 408 410 411 415 418 420 427 433 438 446 459 468 470 473 476 478 484 488 491 493 495 498 499 506 510 523 524 528 532 534 535 547 553 559 562 565 583 585 589 591 602 603 610 613 618 621 626 635 637 643 645 646 647 650 651 653 656 662 663 667 669 670 679 681 684 688 689 691 715 723 725 726 734 741 743 745 748]\n# step=0 row=2 minW=168 found cw of W=146: [1 4 6 7 9 17 27 35 37 38 39 44 46 47 48 49 51 58 63 66 70 73 84 90 93 94 99 102 107 108 113 132 139 145 146 147 148 151 152 155 157 161 162 167 175 190 196 203 212 214 216 219 222 229 230 251 259 292 306 311 313 317 346 352 361 362 365 367 370 371 372 377 378 382 387 391 394 395 401 402 408 411 415 420 423 424 427 434 448 450 457 463 465 468 471 476 478 484 488 491 496 497 506 524 532 533 534 540 547 553 565 566 573 580 582 589 602 615 618 624 634 645 656 659 667 672 679 682 689 691 694 695 699 701 714 725 730 731 732 734 735 745 750 751 753 755]\n# step=0 row=3 minW=146 found cw of W=122: [1 8 9 11 27 35 47 49 51 52 58 60 64 84 91 92 96 99 102 107 109 122 128 139 145 146 155 157 175 185 188 196 210 219 229 230 251 256 259 292 298 306 313 319 339 343 346 350 367 370 371 377 378 386 387 388 398 411 433 434 437 438 446 448 449 457 468 470 471 473 476 478 482 484 488 491 493 495 500 506 517 528 537 547 553 560 561 566 573 581 583 602 615 618 621 622 625 634 648 650 651 656 659 662 667 674 676 682 689 691 696 699 701 712 715 718 723 732 734 750 753 755]\n# step=0 row=35 minW=122 found cw of W=108: [9 11 37 47 48 49 52 60 64 66 71 73 77 84 90 93 96 99 102 103 113 146 147 148 151 155 157 162 167 212 213 222 256 272 278 291 298 302 311 313 316 317 319 324 325 326 339 348 353 361 363 365 366 371 378 382 383 406 408 410 415 418 420 423 424 433 449 450 459 463 465 468 488 491 496 497 500 517 523 532 566 578 580 581 613 615 622 635 646 647 648 650 655 662 668 669 670 676 682 691 694 718 726 739 745 750 751 753]\n# step=1 row=209 minW=108 found cw of W=94: [1 17 18 29 42 54 76 78 89 119 123 127 132 139 166 167 223 229 234 248 250 258 269 278 283 285 293 294 297 299 313 314 318 320 321 328 341 348 352 354 356 363 365 370 379 385 396 400 419 427 440 441 446 451 456 462 482 489 495 497 501 510 511 516 522 530 536 550 559 561 567 571 572 587 591 616 621 626 647 656 657 671 691 692 699 702 706 707 719 721 727 733 738 742]\n# step=3 row=110 minW=94 found cw of W=88: [19 21 26 31 40 80 86 94 101 102 121 130 137 146 149 157 161 165 166 176 190 205 206 208 212 216 225 232 233 245 252 254 262 269 280 284 294 301 309 319 321 333 335 344 352 359 360 376 409 430 461 466 472 473 510 513 519 523 540 544 551 556 582 584 590 599 606 610 613 630 632 633 640 647 648 654 659 662 678 691 694 695 706 708 717 740 741 742]\n# step=3 row=125 minW=88 found cw of W=84: [19 21 26 31 40 80 86 94 101 102 121 130 137 146 149 157 161 165 176 190 205 206 208 212 216 225 232 245 252 254 256 262 269 280 284 294 301 309 319 321 333 335 344 352 359 360 376 409 430 461 466 472 473 510 513 519 523 540 551 556 582 584 590 610 613 630 632 633 640 647 648 654 659 662 678 691 694 695 706 708 717 740 741 742]\n# step=9 row=106 minW=84 found cw of W=74: [17 19 30 32 41 45 48 52 54 69 76 81 87 113 136 143 173 188 196 216 239 243 245 260 280 294 298 301 306 307 313 314 320 336 341 348 350 353 354 368 380 420 435 461 463 476 478 512 516 520 527 546 561 568 574 602 610 617 618 629 631 636 659 664 683 691 693 707 714 720 723 727 738 749]\n# step=9 row=156 minW=74 found cw of W=70: [17 19 30 32 41 45 48 52 54 69 76 81 87 113 136 143 173 188 216 239 243 260 280 286 294 298 301 306 307 313 314 320 336 341 348 350 353 354 368 380 420 435 461 463 476 478 512 516 520 527 546 561 568 602 610 617 631 636 659 664 683 691 693 707 714 720 723 727 738 749]\n# step=80 row=91 minW=70 found cw of W=68: [5 10 30 44 72 78 100 127 128 133 134 162 169 182 188 196 205 215 216 237 243 247 251 254 258 265 270 272 273 284 291 292 302 353 360 373 394 428 429 438 445 456 506 512 519 528 533 535 546 547 582 583 593 594 595 622 623 628 642 645 650 651 671 676 692 705 740 751]\n# step=100 row=9 minW=68 found cw of W=60: [16 20 31 33 36 39 60 71 73 79 85 86 123 128 129 130 137 141 144 150 169 196 199 240 264 313 353 397 408 410 411 414 455 464 466 472 479 487 498 512 518 519 539 566 567 583 590 608 615 616 642 656 682 683 686 697 698 706 746 747]\n# step=466 row=328 minW=60 found cw of W=58: [19 20 22 31 46 53 74 81 114 120 129 170 175 184 210 216 253 264 266 294 307 310 315 341 356 368 369 377 385 390 430 431 444 492 493 498 520 534 541 548 554 582 594 617 632 642 685 691 697 707 719 722 727 732 743 748 750 752]\n# round=1000 of 10000 minW=58\n# step=1068 row=308 minW=58 found cw of W=56: [4 10 33 39 45 51 60 65 72 82 94 95 107 108 116 129 151 162 165 172 198 225 255 266 310 317 324 368 382 388 411 417 429 430 432 438 444 449 466 472 478 481 486 487 500 501 519 520 523 543 554 571 598 609 612 743]\n# step=1184 row=129 minW=56 found cw of W=48: [7 29 68 112 123 130 171 246 252 296 301 316 345 371 378 379 380 421 440 462 469 489 508 530 536 549 559 563 570 575 585 604 611 619 620 634 639 649 665 667 669 675 688 709 710 714 716 739]\n# step=1184 row=315 minW=48 found cw of W=44: [7 29 68 112 123 171 220 252 287 296 301 316 345 371 378 379 380 421 440 462 469 489 530 536 549 559 585 604 611 620 630 634 639 649 665 667 669 675 688 709 710 714 716 739]\n# round=2000 of 10000 minW=44\n# round=3000 of 10000 minW=44\n# round=4000 of 10000 minW=44\n# step=4704 row=226 minW=44 found cw of W=42: [49 64 70 90 114 119 120 125 154 163 164 174 175 203 226 229 230 274 281 285 337 381 382 415 442 449 464 472 491 504 512 513 553 561 587 628 662 666 703 711 752 756]\n# step=4704 row=254 minW=42 found cw of W=40: [49 70 90 113 114 119 120 125 163 164 174 175 203 226 229 230 274 281 285 337 381 382 415 449 464 472 491 497 512 513 553 561 587 628 662 666 703 711 752 756]\n# round=5000 of 10000 minW=40\n# round=6000 of 10000 minW=40\n# round=7000 of 10000 minW=40\n# round=8000 of 10000 minW=40\n# round=9000 of 10000 minW=40\n# round=10000 of 10000 minW=40\nRW algorithm upper bound for the distance d=40\n</t>
  </si>
  <si>
    <t># step=0 row=0 minW=757 found cw of W=148: [2 4 5 8 13 15 19 21 23 26 31 33 39 42 55 60 67 71 75 76 83 85 86 92 99 102 103 104 107 113 115 131 135 137 148 151 153 156 157 161 165 185 186 191 199 213 215 220 237 242 250 254 283 292 294 299 305 311 316 318 321 324 325 336 346 348 354 356 365 366 367 371 377 378 380 382 385 390 397 400 401 404 428 430 432 434 441 446 447 453 455 456 458 464 485 487 488 489 493 494 496 501 504 519 540 542 543 550 556 559 563 569 570 571 581 588 590 591 599 610 613 615 624 625 628 632 633 635 649 666 671 673 674 675 677 678 681 687 696 718 721 727 730 732 740 746 755 756]\n# step=0 row=1 minW=148 found cw of W=118: [1 5 6 8 13 21 27 29 33 36 42 55 59 60 63 66 67 70 72 80 81 84 86 97 101 102 104 128 142 153 171 186 191 199 220 237 240 242 273 283 292 293 294 305 316 331 334 335 336 345 348 356 377 383 386 390 396 399 400 404 405 424 427 430 432 434 441 453 455 459 460 464 481 486 487 493 496 501 509 519 521 523 526 534 542 543 561 569 570 571 575 590 591 598 599 604 610 615 616 624 626 628 633 640 666 671 672 681 688 709 712 715 718 721 725 732 733 749]\n# step=0 row=12 minW=118 found cw of W=114: [4 8 19 21 27 34 39 59 63 68 69 70 71 72 75 76 80 81 82 86 97 101 107 112 119 123 126 135 142 151 185 186 205 212 213 220 227 237 240 242 254 276 283 292 301 311 316 318 324 334 336 345 346 348 355 367 371 377 378 382 383 396 397 401 404 407 412 424 426 432 447 481 485 486 493 499 509 519 521 523 535 540 542 556 563 570 571 575 598 599 611 613 615 624 626 634 635 638 649 654 666 677 679 688 696 709 712 715 732 733 734 740 746 756]\n# step=0 row=16 minW=114 found cw of W=110: [1 8 15 21 23 25 31 37 42 44 59 73 78 81 82 85 86 89 90 92 97 99 102 103 104 110 112 113 119 123 126 128 131 134 135 137 141 142 148 151 156 161 165 171 185 191 213 215 220 250 257 273 293 294 302 316 325 331 335 345 348 355 378 400 401 402 405 407 417 434 446 453 456 459 460 465 477 480 481 488 499 504 521 526 534 535 543 556 559 561 569 570 581 588 604 610 613 616 619 626 633 649 668 675 678 690 697 734 746 749]\n# step=0 row=143 minW=110 found cw of W=102: [1 5 15 26 31 59 60 64 67 68 73 76 86 90 92 97 99 102 103 110 113 115 117 123 128 131 134 135 141 153 156 158 161 171 185 186 227 240 250 254 268 273 277 287 292 294 302 303 321 332 335 339 354 380 385 390 399 401 402 404 405 407 441 447 456 459 477 481 488 494 496 499 504 516 524 526 534 535 556 557 561 565 575 580 604 611 616 619 626 632 649 653 668 673 675 681 687 690 727 730 734 736]\n# step=0 row=296 minW=102 found cw of W=100: [1 15 21 23 25 31 37 42 55 59 64 66 68 73 78 80 81 82 86 89 104 112 115 119 126 128 131 137 153 158 165 171 186 207 220 227 237 241 242 250 257 273 283 294 299 300 303 311 316 324 331 335 345 355 366 378 380 385 400 402 405 428 441 447 453 459 460 465 493 496 501 519 521 526 536 542 559 561 571 580 583 604 615 616 626 635 640 673 674 678 690 697 709 721 730 732 734 736 749 751]\n# step=2 row=158 minW=100 found cw of W=98: [9 10 13 14 20 42 44 52 53 73 94 133 135 139 152 159 160 198 203 204 207 215 223 229 234 235 242 258 265 266 269 283 288 292 299 301 304 308 310 317 321 324 343 357 373 376 380 382 387 388 394 415 419 425 440 466 470 478 485 489 505 506 509 511 517 538 561 579 587 595 596 599 612 636 640 646 648 649 668 669 670 679 687 697 702 703 705 710 723 725 728 730 734 738 739 741 748 754]\n# step=3 row=67 minW=98 found cw of W=90: [10 12 20 29 40 46 48 54 61 62 83 92 101 127 133 140 143 144 145 154 155 156 174 182 189 194 204 207 214 218 224 229 237 238 249 273 279 280 301 333 335 342 345 349 356 379 383 386 396 404 405 426 431 432 434 435 443 451 460 461 462 475 492 509 510 550 551 562 572 577 587 588 589 592 594 602 621 638 643 652 664 667 684 687 706 712 727 728 734 742]\n# step=17 row=64 minW=90 found cw of W=80: [22 23 30 35 58 74 77 78 83 84 89 91 116 123 129 132 136 140 151 165 173 174 179 198 202 212 221 234 235 241 242 256 257 262 277 296 302 303 311 322 401 406 408 412 420 426 441 447 455 461 475 490 494 501 502 505 506 529 537 549 550 551 552 578 586 590 592 600 605 606 607 627 635 661 700 724 729 735 749 755]\n# step=43 row=228 minW=80 found cw of W=74: [22 47 48 55 56 65 67 75 82 109 110 116 128 139 143 155 163 164 171 174 178 188 195 204 219 222 226 266 280 294 349 364 377 379 404 405 406 410 421 431 432 434 443 445 459 462 492 494 498 501 506 517 524 535 547 565 568 572 576 577 603 604 644 653 667 672 688 694 699 713 721 734 742 748]\n# step=73 row=231 minW=74 found cw of W=68: [33 37 42 48 58 68 77 88 91 103 109 113 120 132 143 144 166 171 173 188 213 222 226 233 234 242 257 268 278 281 283 327 385 387 392 397 411 420 434 441 446 460 495 501 509 517 522 525 546 551 559 566 571 572 585 592 607 626 628 634 636 675 677 685 703 711 714 752]\n# step=279 row=263 minW=68 found cw of W=64: [17 21 45 66 82 83 89 93 97 100 127 187 192 236 267 276 288 317 322 326 361 366 367 381 387 395 399 421 426 439 450 454 460 466 470 477 489 509 521 529 530 544 550 565 576 578 614 619 627 634 640 654 655 669 681 695 701 704 710 716 717 724 736 755]\n# step=279 row=271 minW=64 found cw of W=62: [21 45 82 83 89 93 97 100 127 156 187 192 197 236 267 276 288 317 322 326 361 366 367 381 387 399 421 426 454 460 466 470 477 485 489 509 521 530 540 544 550 565 576 578 614 619 627 634 640 654 655 669 681 695 701 704 710 716 717 724 736 755]\n# step=538 row=164 minW=62 found cw of W=60: [4 10 11 17 41 53 59 87 91 107 108 142 143 153 155 156 210 211 215 234 259 271 282 327 333 343 344 355 379 398 406 419 431 439 443 450 455 474 475 480 481 485 486 496 522 529 535 570 577 584 625 632 643 648 656 667 697 721 734 738]\n# step=571 row=2 minW=60 found cw of W=48: [4 11 15 144 146 148 152 181 188 194 201 213 215 248 249 283 292 299 300 327 344 352 355 406 407 448 455 456 496 505 524 526 530 538 546 579 581 585 587 588 592 620 626 635 661 681 702 721]\n# round=1000 of 10000 minW=48\n# round=2000 of 10000 minW=48\n# round=3000 of 10000 minW=48\n# round=4000 of 10000 minW=48\n# step=4285 row=342 minW=48 found cw of W=44: [17 20 52 61 72 75 101 155 199 210 216 219 281 286 306 340 343 356 389 411 425 438 485 508 523 528 533 577 582 590 594 597 598 613 618 623 638 644 652 665 688 693 713 718]\n# round=5000 of 10000 minW=44\n# round=6000 of 10000 minW=44\n# round=7000 of 10000 minW=44\n# round=8000 of 10000 minW=44\n# round=9000 of 10000 minW=44\n# round=10000 of 10000 minW=44\nRW algorithm upper bound for the distance d=44\n</t>
  </si>
  <si>
    <t># step=0 row=0 minW=757 found cw of W=164: [1 2 9 13 16 21 22 25 27 32 35 40 43 51 54 55 59 60 66 76 78 79 83 90 95 101 105 107 112 113 125 127 130 131 138 140 142 150 153 156 160 169 172 178 183 184 187 194 196 198 199 200 211 215 219 220 225 230 234 239 240 243 245 246 253 262 266 268 270 281 287 294 302 305 307 308 311 319 327 332 334 336 352 355 379 395 396 403 404 405 411 414 417 419 423 426 430 433 434 436 437 441 445 456 462 463 472 473 475 480 491 492 507 508 509 512 513 519 526 539 541 545 550 556 567 568 572 573 577 581 583 586 588 590 600 611 612 613 617 622 640 644 648 653 656 657 661 662 668 684 688 692 695 699 706 707 709 711 724 740 741 743 746 755]\n# step=0 row=1 minW=164 found cw of W=134: [3 4 18 20 22 30 34 35 40 45 53 60 62 66 70 75 76 79 83 90 107 113 114 115 130 131 136 138 150 156 169 172 180 183 191 194 196 200 211 219 224 231 240 245 249 259 262 266 270 272 281 295 296 307 311 321 325 327 332 334 336 337 345 346 347 350 352 356 357 365 376 398 405 409 412 419 423 426 429 433 438 456 458 462 463 465 472 473 480 487 491 503 505 507 509 511 512 513 515 523 534 539 550 577 581 588 593 601 603 612 640 642 644 653 657 661 674 680 682 683 688 695 699 706 715 720 724 725 731 736 740 743 748 755]\n# step=0 row=8 minW=134 found cw of W=122: [1 11 19 20 21 22 27 30 32 35 40 45 56 59 63 66 75 79 83 90 105 107 125 130 131 132 138 156 157 160 169 180 187 194 200 205 211 212 230 231 242 245 246 266 268 274 294 301 307 320 328 334 336 338 339 345 350 352 353 356 357 364 374 393 398 414 419 429 436 437 460 462 473 480 486 489 492 503 509 510 511 515 526 534 541 550 556 559 593 595 600 601 623 626 631 634 638 642 650 653 662 663 664 667 668 678 682 683 687 688 699 706 707 711 720 721 724 730 743 747 748 755]\n# step=0 row=21 minW=122 found cw of W=120: [16 18 30 34 44 51 56 60 62 75 76 95 99 101 102 112 118 125 142 150 153 157 169 198 200 205 211 212 220 224 231 242 246 249 253 262 266 268 274 284 295 302 308 320 325 332 338 350 352 357 359 364 374 385 393 403 405 410 411 412 419 423 426 430 434 441 461 472 480 483 486 489 503 508 510 513 515 523 529 534 545 556 559 570 573 583 586 589 600 603 612 622 626 627 631 632 634 657 661 662 663 668 680 688 695 703 707 711 714 721 722 729 730 737 741 744 747 748 751 755]\n# step=0 row=49 minW=120 found cw of W=106: [18 21 22 27 34 51 56 62 67 75 78 95 101 102 106 112 125 140 142 153 169 172 180 184 187 194 198 199 200 211 220 231 239 243 245 253 272 274 284 295 302 305 307 308 320 327 328 334 351 364 374 385 396 405 406 410 412 419 423 430 436 441 462 472 475 480 508 509 513 515 523 526 529 534 545 550 570 572 573 577 583 586 589 590 595 603 622 623 631 638 650 662 663 664 671 678 687 707 711 714 721 724 729 741 747 748]\n# step=0 row=285 minW=106 found cw of W=102: [1 12 18 27 35 45 62 63 75 76 79 83 90 95 107 118 127 130 131 138 150 178 180 187 198 200 211 215 224 239 243 245 259 263 266 268 272 295 305 307 312 319 327 334 346 355 356 357 374 404 405 410 411 412 426 429 433 434 436 445 460 473 475 505 509 515 523 526 529 550 551 556 567 570 572 583 589 611 617 623 627 632 638 648 650 662 664 667 678 684 687 688 692 696 699 707 711 722 724 747 748 755]\n# step=0 row=358 minW=102 found cw of W=100: [9 11 12 25 27 32 53 55 63 66 83 101 112 116 118 130 137 142 153 180 185 199 205 212 224 234 239 240 243 245 246 266 268 270 272 284 295 305 307 321 325 334 345 346 352 355 359 365 376 396 404 405 409 426 430 441 461 503 505 508 510 515 523 534 545 549 556 572 577 586 600 613 617 623 625 632 634 638 648 650 656 657 664 668 674 678 684 687 688 692 697 699 707 715 722 730 737 741 748 755]\n# step=0 row=361 minW=100 found cw of W=92: [12 32 35 40 51 53 56 60 75 76 83 90 101 102 114 115 118 132 136 142 150 157 169 172 178 180 183 187 191 194 198 220 224 230 231 234 245 253 272 274 284 294 307 308 312 320 321 364 365 372 374 376 385 396 411 417 430 433 434 438 458 460 461 465 487 489 492 508 512 515 534 541 577 582 595 600 611 631 644 650 656 657 663 678 699 701 707 714 721 741 745 746]\n# step=0 row=385 minW=92 found cw of W=90: [12 32 40 51 53 56 60 75 76 83 90 101 102 114 115 118 132 136 142 150 157 169 172 178 180 183 187 191 194 198 220 224 230 231 234 245 253 272 274 284 294 307 308 312 320 321 323 364 365 374 376 385 396 411 417 430 433 434 438 458 460 461 465 487 489 492 508 512 515 534 541 577 582 595 600 611 631 644 650 656 657 663 678 699 707 714 721 741 746 756]\n# step=1 row=101 minW=90 found cw of W=82: [10 17 22 47 87 121 143 163 164 165 170 175 177 178 192 200 205 206 211 213 218 222 225 231 247 257 265 284 290 291 295 296 302 317 319 321 331 335 343 356 370 374 379 390 398 404 453 488 494 499 509 521 541 542 553 554 556 565 583 591 598 602 604 631 638 639 645 646 664 668 674 681 690 692 699 706 709 717 731 734 743 750]\n# step=5 row=61 minW=82 found cw of W=78: [19 26 29 30 33 37 44 64 70 106 109 125 133 140 144 156 160 174 181 199 200 211 236 240 243 246 259 266 291 298 301 302 319 333 345 356 359 378 380 382 395 397 403 414 447 448 451 455 462 472 485 492 493 496 528 537 547 549 558 575 583 593 598 627 640 642 648 668 689 691 692 711 717 730 732 737 740 752]\n# step=47 row=276 minW=78 found cw of W=70: [19 24 29 31 44 45 75 78 79 96 100 107 109 160 168 209 217 236 237 248 260 264 291 308 315 322 326 363 366 374 381 387 397 402 407 422 425 428 448 452 458 459 477 484 492 507 511 526 536 541 546 548 560 567 585 587 614 615 627 634 675 682 697 701 705 717 724 746 750 752]\n# step=64 row=252 minW=70 found cw of W=64: [14 23 30 69 74 77 99 113 120 127 132 158 164 167 173 185 187 189 193 196 213 228 263 268 271 296 326 337 347 351 358 387 401 406 449 456 468 491 496 502 507 514 532 536 560 571 572 580 585 586 592 595 600 607 615 621 625 634 647 656 675 676 697 737]\n# step=361 row=293 minW=64 found cw of W=62: [10 26 38 88 120 132 143 149 157 178 206 212 222 233 239 243 253 254 256 260 263 267 305 307 308 310 317 318 347 349 351 358 363 399 408 422 463 478 489 535 542 568 572 576 582 589 609 639 641 646 676 687 690 694 696 699 731 738 745 747 751 754]\n# step=621 row=65 minW=62 found cw of W=54: [8 22 28 29 59 63 70 76 82 83 117 126 127 133 137 140 144 149 179 184 221 233 239 246 262 276 282 290 317 323 345 406 437 454 460 495 499 511 518 521 541 582 585 599 612 634 640 655 660 675 715 716 739 756]\n# step=621 row=259 minW=54 found cw of W=50: [8 22 28 29 63 70 76 82 83 117 127 133 137 140 144 179 184 221 233 239 246 262 276 282 290 317 323 345 406 454 460 492 495 511 518 521 541 582 585 599 612 634 640 655 660 675 715 716 739 756]\n# round=1000 of 10000 minW=50\n# round=2000 of 10000 minW=50\n# step=2720 row=254 minW=50 found cw of W=46: [31 86 97 112 123 141 146 174 176 178 191 194 198 211 218 222 225 229 231 233 238 245 252 275 330 383 385 392 434 441 453 473 482 508 520 530 537 540 543 554 574 575 576 625 671 738]\n# round=3000 of 10000 minW=46\n# round=4000 of 10000 minW=46\n# round=5000 of 10000 minW=46\n# round=6000 of 10000 minW=46\n# step=6737 row=74 minW=46 found cw of W=42: [25 94 115 129 136 141 142 185 186 196 197 210 248 289 292 296 301 303 342 396 404 444 453 458 465 472 486 494 519 527 535 539 568 594 609 630 632 667 674 684 732 733]\n# round=7000 of 10000 minW=42\n# round=8000 of 10000 minW=42\n# round=9000 of 10000 minW=42\n# round=10000 of 10000 minW=42\nRW algorithm upper bound for the distance d=42\n</t>
  </si>
  <si>
    <t># step=0 row=0 minW=757 found cw of W=152: [3 7 14 15 16 21 34 38 43 45 52 54 63 70 76 83 87 97 113 114 125 127 128 129 133 134 139 162 176 182 184 188 190 192 194 195 199 206 208 211 221 222 224 232 233 246 255 257 258 259 266 292 296 298 299 301 303 305 308 311 313 319 326 329 330 331 336 339 342 345 348 353 355 356 359 366 368 373 380 384 385 386 391 394 407 412 413 416 417 420 421 422 427 435 447 461 481 491 497 520 525 540 551 553 570 571 574 581 586 587 592 598 599 609 611 614 616 619 620 621 622 625 627 632 637 641 643 646 657 658 662 669 676 682 688 698 701 708 710 712 714 715 720 721 722 725 726 729 737 750 753 755]\n# step=0 row=2 minW=152 found cw of W=142: [2 5 6 7 11 15 21 24 26 38 44 52 54 63 75 82 83 97 99 101 107 113 123 127 133 134 144 149 159 160 162 171 174 178 182 184 188 190 195 197 199 201 208 224 226 238 243 244 246 255 256 265 266 281 291 296 300 306 308 315 331 333 343 346 348 353 356 359 377 380 382 384 389 394 395 398 399 405 411 421 422 426 427 435 439 440 442 446 448 459 469 472 478 485 496 497 502 503 517 523 525 551 553 574 579 581 584 587 589 590 592 596 613 616 619 632 636 638 644 646 657 663 666 676 682 685 689 696 698 711 712 714 715 725 729 731 733 737 741 745 752 753]\n# step=0 row=6 minW=142 found cw of W=130: [1 8 16 18 24 26 34 38 45 52 54 63 70 75 76 82 85 87 106 114 123 129 133 134 140 159 161 162 171 176 178 182 188 189 195 196 208 211 218 221 226 232 239 243 258 259 266 281 294 296 298 305 311 318 329 330 355 356 359 364 369 377 384 385 386 394 399 411 412 414 420 421 422 426 432 435 440 459 461 470 481 496 504 520 525 528 540 547 551 553 571 573 581 583 584 598 599 602 609 620 622 630 632 636 643 663 669 673 685 691 692 696 698 703 707 708 710 714 720 726 729 731 737 741 742 744 745 752 753 755]\n# step=0 row=11 minW=130 found cw of W=124: [1 2 5 8 9 13 15 25 34 43 44 54 62 76 80 82 83 85 87 99 123 128 133 135 137 139 140 154 159 162 178 197 199 206 208 211 222 229 233 243 244 255 258 259 291 292 298 299 301 305 306 308 311 313 315 331 332 342 345 346 348 353 364 366 368 369 372 373 375 377 380 382 391 407 411 412 414 416 417 421 432 446 447 469 472 496 497 504 505 517 540 546 553 570 581 592 602 621 622 632 637 643 644 646 660 666 669 679 682 688 689 692 698 710 711 712 715 720 722 725 726 733 742 755]\n# step=0 row=42 minW=124 found cw of W=122: [13 15 26 44 45 51 52 54 62 74 75 76 80 85 87 99 113 125 135 140 144 149 154 160 161 162 171 174 178 184 188 195 197 199 206 208 211 218 229 242 244 246 255 257 259 265 266 292 297 298 299 301 308 313 319 329 331 345 352 356 359 364 368 369 375 384 385 386 391 409 414 426 432 446 448 450 459 466 469 473 478 491 497 502 503 504 514 540 547 551 581 583 586 589 592 594 596 619 620 621 622 638 641 646 658 662 663 669 673 679 691 692 698 710 721 722 725 738 740 741 742 753]\n# step=0 row=103 minW=122 found cw of W=118: [5 13 16 21 24 33 34 44 45 62 70 77 80 85 99 107 114 125 129 135 140 144 149 154 160 161 174 176 197 200 218 221 232 244 255 256 262 265 291 301 324 330 337 342 345 348 356 359 360 361 364 368 369 375 377 386 394 399 407 409 412 413 414 420 427 432 440 446 448 450 468 469 478 481 503 504 517 520 529 553 571 573 583 587 589 594 598 599 602 609 620 630 632 634 636 638 643 663 666 673 679 685 696 698 701 708 710 712 731 733 737 738 742 745 750 752 755 756]\n# step=0 row=263 minW=118 found cw of W=106: [1 7 9 21 38 43 63 70 76 83 85 87 90 97 114 128 129 139 140 149 154 159 160 174 176 188 194 195 201 211 217 218 221 232 239 242 243 255 258 266 294 297 301 332 339 342 345 346 352 355 377 385 391 413 414 416 421 422 427 442 447 448 468 470 478 481 491 497 503 504 511 517 520 546 547 553 571 579 592 596 598 599 601 602 609 616 627 634 637 643 646 657 663 666 669 688 689 698 701 710 712 715 720 737 750 753]\n# step=0 row=310 minW=106 found cw of W=104: [2 5 7 9 21 33 34 38 70 76 77 80 83 87 90 97 113 133 140 149 159 160 161 163 174 190 219 224 238 244 258 259 281 300 305 308 313 315 324 332 337 348 353 359 361 366 373 380 385 386 394 399 402 409 412 417 421 422 423 427 440 448 450 451 461 468 472 478 491 497 502 503 507 517 540 553 574 583 587 594 603 616 622 632 637 657 673 692 698 702 703 710 712 714 715 722 726 731 733 737 738 744 753 755]\n# step=3 row=239 minW=104 found cw of W=102: [2 6 14 16 30 45 54 58 60 69 71 79 82 87 90 94 98 101 105 108 117 120 122 128 129 130 136 137 139 144 152 157 164 182 184 188 190 194 201 212 214 228 238 246 293 304 307 314 325 329 332 335 367 374 379 382 398 415 416 418 429 430 435 442 460 468 482 486 488 491 495 504 507 514 525 532 557 560 572 574 578 592 594 617 628 630 636 643 661 662 664 677 678 703 711 718 720 727 737 740 745 751]\n# step=4 row=126 minW=102 found cw of W=84: [7 16 19 36 50 51 53 56 59 60 64 95 150 193 198 205 212 219 221 237 256 257 272 283 288 297 303 307 309 312 318 324 330 334 341 348 362 367 369 382 385 393 394 399 403 407 409 410 414 417 443 447 466 484 486 507 515 537 556 564 571 586 599 626 627 638 646 650 652 659 661 670 677 681 685 695 697 702 703 725 728 739 744 751]\n# step=4 row=306 minW=84 found cw of W=82: [7 16 19 36 50 51 53 56 59 60 64 95 150 193 198 205 212 221 237 256 257 272 283 286 288 297 303 307 312 318 324 330 334 341 348 362 367 369 382 385 393 394 399 403 407 409 410 414 417 443 447 466 484 486 507 515 537 556 564 571 586 597 599 626 627 638 646 650 661 670 677 681 685 695 697 702 703 725 728 739 744 751]\n# step=5 row=229 minW=82 found cw of W=70: [7 38 41 52 65 69 72 93 102 113 114 120 124 170 179 200 210 211 227 232 234 238 262 272 285 308 324 329 340 361 362 368 391 409 411 429 434 443 445 452 480 485 499 526 529 534 547 554 570 575 583 588 593 596 601 605 642 643 656 671 673 683 692 712 722 733 738 740 746 748]\n# step=14 row=20 minW=70 found cw of W=52: [17 35 40 44 73 75 79 90 93 110 128 130 134 135 141 172 191 232 242 284 297 304 339 352 358 381 383 394 402 407 422 439 443 448 453 456 471 477 480 515 520 546 564 575 595 612 620 636 661 669 702 706]\n# step=324 row=275 minW=52 found cw of W=48: [18 37 43 57 67 99 108 112 116 124 133 161 163 167 168 171 172 174 178 179 205 216 226 267 274 281 315 322 407 421 433 435 440 445 460 476 483 486 509 541 599 603 605 654 695 707 744 748]\n# round=1000 of 10000 minW=48\n# round=2000 of 10000 minW=48\n# step=2312 row=359 minW=48 found cw of W=46: [38 64 93 114 119 128 148 155 160 169 203 236 242 243 248 277 304 338 359 367 393 397 414 416 422 429 463 471 487 492 519 552 553 593 601 614 620 621 626 636 650 655 685 691 711 752]\n# round=3000 of 10000 minW=46\n# round=4000 of 10000 minW=46\n# round=5000 of 10000 minW=46\n# round=6000 of 10000 minW=46\n# round=7000 of 10000 minW=46\n# round=8000 of 10000 minW=46\n# round=9000 of 10000 minW=46\n# round=10000 of 10000 minW=46\nRW algorithm upper bound for the distance d=46\n</t>
  </si>
  <si>
    <t># step=0 row=2 minW=757 found cw of W=172: [1 2 3 6 7 8 9 11 14 16 17 31 32 33 40 41 52 53 55 57 59 62 65 66 69 71 72 76 78 82 84 85 87 89 91 95 102 115 118 127 128 139 159 168 177 178 179 182 189 193 214 218 229 230 232 233 237 238 243 250 251 255 259 268 269 270 271 273 276 280 283 287 294 296 305 307 312 313 321 323 324 329 332 333 336 337 347 348 356 359 360 362 364 366 369 371 372 375 376 379 385 396 397 401 402 408 414 418 422 432 437 438 441 447 448 453 458 461 463 466 467 468 471 494 504 505 508 510 517 522 527 546 559 561 566 568 575 581 584 596 598 599 616 621 624 637 646 652 655 656 658 661 662 676 677 678 684 689 715 719 729 733 737 739 743 744 745 746 748 749 750 751]\n# step=0 row=3 minW=172 found cw of W=146: [1 3 12 14 19 33 40 52 57 65 70 72 73 74 84 95 96 103 129 136 137 139 143 144 159 165 167 168 173 175 179 187 192 193 214 218 228 229 237 238 240 243 251 259 268 270 271 280 286 287 289 303 307 309 312 321 326 333 334 335 337 347 351 356 360 364 372 375 376 386 392 397 402 406 408 413 418 422 432 438 441 447 448 455 461 463 464 466 471 476 480 482 494 508 510 521 522 535 546 554 556 557 559 562 575 581 596 597 603 606 611 614 616 618 620 621 624 627 637 644 650 655 660 661 662 663 669 673 677 678 680 684 696 706 714 715 719 726 729 733 738 743 745 747 749 751]\n# step=0 row=5 minW=146 found cw of W=136: [1 4 8 15 29 31 42 53 56 57 59 62 66 70 72 75 84 91 96 102 108 127 128 139 144 165 167 168 173 182 189 192 202 219 226 228 230 233 238 240 251 273 280 286 287 289 290 292 293 305 309 323 324 327 334 337 345 351 364 366 375 378 379 397 406 413 422 427 435 437 440 441 446 448 455 456 461 463 471 474 476 480 482 488 494 504 508 510 515 517 527 531 535 555 561 566 568 575 578 595 597 601 611 614 616 618 621 624 628 635 642 655 656 660 661 662 663 673 677 678 680 681 684 685 710 714 715 718 719 729 738 739 744 749 750 751]\n# step=0 row=9 minW=136 found cw of W=134: [1 3 6 7 9 16 17 19 22 29 40 41 52 53 58 69 72 73 74 82 91 96 103 108 129 132 136 146 165 178 179 187 192 193 229 249 250 251 268 269 271 273 280 287 290 294 305 312 317 324 326 329 332 336 337 345 347 360 362 369 379 383 385 386 392 393 396 397 406 408 416 418 427 435 440 447 464 474 480 482 486 489 494 508 510 515 517 522 535 537 554 557 559 562 566 575 601 603 606 611 614 620 624 627 628 644 646 650 655 656 658 660 662 668 669 671 676 677 681 682 684 696 705 706 715 718 726 731 733 735 738 745 747 748]\n# step=0 row=11 minW=134 found cw of W=128: [1 2 8 19 24 29 33 56 57 58 65 69 72 74 84 89 95 127 129 132 136 165 167 168 173 178 187 218 224 228 230 240 250 251 255 259 268 280 286 287 289 290 291 293 294 296 303 307 312 317 321 333 335 344 345 351 356 360 366 371 376 377 383 386 392 393 396 397 399 406 416 422 435 438 441 448 455 456 461 463 471 476 482 486 494 511 517 553 556 561 562 567 584 595 596 598 611 616 618 620 627 637 643 650 660 661 662 668 671 676 680 681 684 706 719 724 726 731 733 735 739 743 744 745 747 749 751 755]\n# step=0 row=41 minW=128 found cw of W=120: [2 4 8 14 33 40 41 53 56 58 59 66 69 70 78 84 85 90 96 103 118 127 129 136 139 143 159 173 187 214 219 224 226 229 233 237 243 250 251 268 269 270 293 294 305 307 309 312 317 323 324 326 327 333 337 344 351 356 360 364 369 371 372 378 385 393 396 399 406 408 413 416 424 435 447 456 463 468 480 488 505 511 517 521 546 553 555 561 562 566 567 578 581 595 597 601 606 616 620 621 627 643 646 650 656 668 669 673 677 684 685 696 704 706 710 715 729 733 735 745]\n# step=0 row=117 minW=120 found cw of W=118: [1 2 8 16 19 42 53 56 58 60 62 65 69 70 74 91 95 96 102 103 108 115 128 137 144 168 171 173 178 212 218 230 238 239 249 259 271 290 291 294 297 298 301 305 313 314 317 321 326 333 362 364 366 371 375 379 386 393 402 406 413 416 424 432 438 440 446 456 458 461 474 476 480 482 500 505 510 515 536 555 556 559 561 568 585 596 601 606 616 627 628 637 646 650 652 655 668 669 677 678 682 696 704 706 718 719 724 726 731 735 737 739 743 744 746 747 749 750]\n# step=0 row=133 minW=118 found cw of W=116: [3 6 8 9 14 16 17 19 31 40 41 42 52 53 58 65 69 70 74 75 82 91 95 102 106 128 139 159 202 214 229 239 246 250 251 259 268 269 270 273 291 292 298 305 307 312 317 321 323 326 329 332 335 336 347 360 362 366 376 378 379 383 386 392 393 396 397 402 406 413 416 417 418 424 432 435 447 456 476 505 517 531 539 546 568 581 588 621 624 628 635 642 646 658 662 668 669 671 676 677 678 684 704 706 710 718 724 726 733 735 739 743 744 747 748 750]\n# step=0 row=292 minW=116 found cw of W=94: [3 6 17 33 52 53 56 57 58 62 65 69 73 78 82 84 89 95 103 108 137 139 144 163 192 218 238 255 289 290 296 305 329 336 337 345 356 364 372 377 383 385 386 392 397 406 407 418 432 438 440 441 446 451 464 466 474 476 482 487 508 515 535 556 561 575 577 584 598 603 614 616 624 628 644 646 652 658 668 671 673 677 678 681 704 706 715 718 719 726 735 748 750 755]\n# step=9 row=146 minW=94 found cw of W=84: [10 13 21 27 28 31 57 75 82 95 96 107 112 116 118 119 121 138 171 178 185 228 230 249 269 275 283 286 293 307 320 339 347 348 355 374 384 386 394 397 405 406 418 424 427 435 446 450 467 468 484 487 494 502 514 522 525 528 533 535 541 545 557 560 574 582 600 615 635 649 652 653 663 672 685 690 691 698 712 715 717 720 721 743]\n# step=13 row=309 minW=84 found cw of W=80: [5 19 26 40 47 51 60 65 80 104 109 114 122 130 135 137 141 142 153 157 159 164 176 194 201 203 210 212 227 234 254 261 292 304 327 332 339 340 363 373 374 395 403 404 418 443 445 469 482 484 498 515 519 526 536 544 549 555 585 586 592 597 611 612 626 627 635 636 656 661 664 670 685 713 716 718 732 741 746 754]\n# step=13 row=334 minW=80 found cw of W=76: [5 19 26 40 47 51 60 65 80 109 114 122 130 135 137 141 142 157 164 176 201 203 208 210 212 227 234 254 261 292 298 304 327 332 340 363 373 374 395 403 404 418 443 445 469 484 498 515 519 536 544 549 555 581 585 586 597 611 612 626 635 636 656 661 664 670 671 682 685 713 716 718 732 741 746 754]\n# step=33 row=86 minW=76 found cw of W=74: [7 21 26 27 28 34 44 46 56 69 71 74 81 88 96 99 106 125 129 137 153 158 166 167 173 174 203 214 311 314 341 344 350 359 369 382 396 399 401 403 411 414 415 425 431 442 454 472 479 480 482 491 496 501 502 503 505 510 539 547 550 580 588 629 640 643 670 722 728 730 733 744 751 754]\n# step=80 row=216 minW=74 found cw of W=72: [14 30 40 44 45 51 64 79 83 86 102 113 118 132 146 149 153 159 193 204 208 211 214 215 237 248 262 291 297 312 318 337 378 387 388 415 418 437 447 461 463 482 491 497 516 535 571 579 584 586 587 606 620 625 635 640 641 646 647 655 661 669 675 676 681 689 696 704 730 740 745 752]\n# step=85 row=93 minW=72 found cw of W=40: [19 22 26 33 92 97 146 147 154 180 187 202 208 229 250 263 294 305 318 356 360 414 462 463 470 475 504 511 512 530 552 558 561 595 627 635 676 702 717 740]\n# step=85 row=269 minW=40 found cw of W=36: [19 22 26 33 92 147 154 180 202 208 229 250 263 294 305 318 356 360 414 462 463 470 504 511 512 537 552 558 561 595 627 635 676 702 717 740]\n# round=1000 of 10000 minW=36\n# round=2000 of 10000 minW=36\n# round=3000 of 10000 minW=36\n# round=4000 of 10000 minW=36\n# round=5000 of 10000 minW=36\n# round=6000 of 10000 minW=36\n# round=7000 of 10000 minW=36\n# round=8000 of 10000 minW=36\n# round=9000 of 10000 minW=36\n# round=10000 of 10000 minW=36\nRW algorithm upper bound for the distance d=36\n</t>
  </si>
  <si>
    <t># step=0 row=1 minW=757 found cw of W=150: [1 7 15 16 25 28 37 40 44 50 51 56 64 68 71 80 81 89 92 94 95 97 105 111 116 125 135 137 142 144 145 147 154 156 166 168 171 173 180 185 188 189 192 212 216 224 233 238 239 242 253 267 273 279 280 281 286 288 294 302 303 304 305 306 308 314 315 330 332 341 342 343 344 349 354 357 359 376 381 383 387 389 403 413 422 428 431 434 441 445 447 462 475 479 497 512 514 515 518 523 530 531 538 547 552 556 561 565 568 569 579 585 589 596 599 602 613 616 622 628 629 637 642 651 663 666 669 677 681 684 691 700 703 712 714 715 722 724 725 728 730 733 734 738 740 747 749 753 755 756]\n# step=0 row=2 minW=150 found cw of W=122: [4 8 15 16 19 21 27 28 67 81 82 89 95 99 111 125 137 139 144 145 150 154 160 162 171 173 174 177 179 182 185 191 192 193 204 210 212 215 223 226 228 233 236 248 250 255 262 266 277 281 290 291 294 297 301 304 305 306 319 325 336 343 344 359 387 389 403 413 441 444 445 449 454 462 465 473 479 490 494 498 500 517 522 523 528 531 534 538 543 558 560 561 572 578 585 594 595 596 599 607 622 627 628 632 640 651 661 666 670 671 677 679 681 682 685 686 702 712 715 724 753 756]\n# step=0 row=17 minW=122 found cw of W=110: [4 5 15 21 27 28 32 44 51 56 63 69 82 89 92 93 111 120 130 137 144 145 150 154 160 164 166 168 173 174 175 177 179 180 182 183 188 191 193 212 215 216 238 248 250 253 260 281 294 297 301 305 306 325 334 336 343 344 349 354 357 380 383 387 389 401 403 410 422 435 436 441 444 448 459 465 479 490 497 498 500 511 512 514 522 523 531 533 534 547 552 558 578 585 588 610 622 637 642 668 670 679 681 684 691 722 723 733 738 740]\n# step=0 row=25 minW=110 found cw of W=106: [5 16 19 27 42 49 64 66 68 69 82 92 93 99 119 125 126 130 137 141 144 160 171 174 177 185 188 191 210 215 216 233 236 243 247 253 286 290 301 305 314 315 322 330 332 341 345 357 360 369 376 380 381 387 398 400 401 407 422 434 435 436 444 448 449 452 459 465 475 493 498 499 512 514 533 534 558 561 565 569 574 589 594 596 599 602 610 613 632 637 663 668 684 686 689 699 703 710 712 722 723 730 733 734 744 756]\n# step=0 row=121 minW=106 found cw of W=96: [1 15 56 63 64 66 78 93 111 113 119 125 126 141 156 164 166 169 173 175 177 180 189 204 224 231 238 250 267 273 275 279 280 281 285 286 291 294 303 304 315 322 325 332 334 341 342 357 359 371 398 401 403 413 422 436 444 448 452 462 465 497 499 512 514 518 533 538 561 574 578 610 616 622 628 629 637 644 658 663 668 669 677 681 682 686 689 700 710 714 715 724 725 730 744 756]\n# step=2 row=100 minW=96 found cw of W=92: [8 25 29 36 49 63 71 79 99 104 107 115 126 128 134 141 161 162 163 184 195 197 198 199 206 213 214 225 231 235 241 242 247 256 257 263 265 280 285 287 296 300 302 312 319 320 323 348 351 352 355 381 398 413 416 447 477 483 485 488 529 534 561 562 563 568 576 591 592 594 596 609 617 619 629 632 634 636 640 647 651 652 664 666 669 686 687 696 715 735 737 745]\n# step=8 row=154 minW=92 found cw of W=74: [16 47 60 77 80 81 86 94 100 101 109 120 136 139 141 142 149 161 164 183 185 186 194 197 226 242 248 249 293 297 324 326 327 355 361 376 388 389 397 414 420 423 431 433 449 455 459 493 504 522 533 540 545 569 571 574 576 597 623 635 661 670 672 681 687 704 705 710 713 721 725 726 746 751]\n# step=23 row=354 minW=74 found cw of W=68: [16 19 30 59 80 127 128 134 140 163 164 180 183 194 218 219 223 225 226 287 288 308 314 315 325 329 332 347 359 360 363 377 389 402 409 429 430 451 452 463 478 505 506 513 527 553 558 560 574 594 596 601 603 607 617 648 651 664 691 692 709 713 718 720 725 737 740 747]\n# step=266 row=355 minW=68 found cw of W=60: [8 9 24 29 34 37 50 62 63 70 92 103 111 138 140 166 227 276 297 312 361 372 380 402 408 412 428 440 447 449 461 467 470 472 481 483 495 510 536 544 557 559 599 600 605 611 634 647 649 666 675 689 695 696 709 715 730 744 750 752]\n# step=741 row=61 minW=60 found cw of W=50: [3 8 9 39 60 63 65 115 122 129 166 167 221 227 256 257 282 283 303 323 326 366 372 413 438 449 458 472 479 496 586 600 605 606 607 634 655 656 676 681 689 695 704 715 716 724 730 736 746 750]\n# round=1000 of 10000 minW=50\n# round=2000 of 10000 minW=50\n# round=3000 of 10000 minW=50\n# step=3067 row=209 minW=50 found cw of W=44: [1 12 20 48 75 108 110 116 131 255 266 280 296 335 343 356 364 380 396 410 433 459 460 481 488 494 515 555 556 578 584 604 644 646 653 658 668 693 694 699 707 721 729 735]\n# round=4000 of 10000 minW=44\n# round=5000 of 10000 minW=44\n# round=6000 of 10000 minW=44\n# round=7000 of 10000 minW=44\n# round=8000 of 10000 minW=44\n# round=9000 of 10000 minW=44\n# step=9634 row=81 minW=44 found cw of W=40: [37 46 99 101 108 152 159 161 298 371 420 429 452 461 469 470 478 527 532 534 536 542 551 559 560 568 600 609 622 624 627 632 641 650 671 673 712 714 740 749]\n# round=10000 of 10000 minW=40\nRW algorithm upper bound for the distance d=40\n</t>
  </si>
  <si>
    <t># step=0 row=0 minW=757 found cw of W=150: [2 5 9 32 36 37 38 45 47 51 55 59 61 67 71 96 98 102 103 106 107 109 116 122 126 133 145 150 151 153 164 166 183 185 199 205 207 208 214 215 225 228 238 240 246 249 251 258 259 264 266 271 272 278 279 280 283 285 287 296 298 303 304 306 312 318 319 324 326 337 341 349 350 353 359 361 362 383 386 391 399 405 419 420 421 425 428 434 439 444 450 451 461 465 466 471 486 487 492 509 514 523 525 534 539 541 548 551 554 566 573 578 582 583 584 588 591 600 608 613 622 623 625 627 633 637 639 642 671 673 674 679 692 696 700 702 703 707 709 712 716 717 721 722 725 726 728 732 746 749]\n# step=0 row=1 minW=150 found cw of W=136: [3 4 13 25 32 36 47 48 51 54 55 58 67 81 96 103 109 113 116 120 122 124 133 163 177 179 199 210 218 220 232 237 238 240 241 247 249 256 258 259 266 271 272 273 275 276 278 279 283 285 289 296 298 299 303 304 306 307 311 315 318 322 325 326 332 335 341 364 379 386 390 391 394 399 405 410 419 420 421 424 425 432 433 435 439 445 451 461 466 486 487 509 518 521 522 523 544 551 554 566 567 570 571 573 588 590 598 600 601 608 613 618 620 622 625 627 636 641 643 657 658 670 671 673 674 684 693 700 709 712 717 723 725 728 732 749]\n# step=0 row=3 minW=136 found cw of W=120: [4 7 14 25 28 32 35 36 37 38 47 48 54 55 58 59 60 81 98 100 106 109 111 113 120 124 150 151 153 166 177 178 179 183 199 200 208 210 215 228 232 235 246 251 259 266 279 280 287 296 297 304 315 318 325 338 344 350 353 358 364 377 383 391 394 399 402 405 410 412 424 425 428 433 443 444 450 466 471 474 480 487 488 492 500 518 521 534 539 541 551 554 564 567 582 584 591 601 603 612 623 639 643 652 658 673 679 681 682 684 691 696 702 703 707 709 712 716 726 745]\n# step=0 row=14 minW=120 found cw of W=114: [4 5 13 25 26 28 32 35 36 38 48 51 54 62 67 81 98 100 107 133 145 151 153 166 177 183 207 208 210 214 215 228 230 232 237 238 256 258 272 276 279 280 283 287 299 303 304 305 306 311 312 318 322 335 344 349 350 358 360 363 364 374 377 379 386 390 391 394 395 399 402 405 412 421 424 433 439 443 471 476 480 488 521 525 544 573 584 588 591 608 622 623 632 633 641 643 652 658 670 672 674 682 683 684 691 692 699 707 712 713 721 725 726 745]\n# step=0 row=32 minW=114 found cw of W=106: [1 4 13 32 33 35 39 45 51 52 54 55 56 58 63 73 77 100 107 122 148 151 166 177 200 228 232 237 240 247 249 271 272 278 283 289 298 299 303 304 305 326 330 332 337 349 350 358 360 373 379 389 391 394 395 399 402 405 412 423 424 432 435 436 443 457 461 465 468 474 476 488 491 498 500 522 523 549 551 564 566 571 584 591 598 600 612 618 620 625 627 639 641 670 671 673 683 702 712 716 717 718 721 725 726 728]\n# step=0 row=82 minW=106 found cw of W=102: [1 4 33 47 48 51 54 56 58 59 61 63 66 67 77 83 89 93 96 98 102 103 109 113 120 122 139 153 166 171 177 178 179 185 199 208 214 215 228 232 237 240 247 264 266 276 280 287 289 294 299 315 318 319 332 341 362 363 364 373 374 377 394 421 424 425 434 436 439 443 445 461 466 467 471 487 505 514 522 525 546 551 554 571 601 603 620 632 637 639 642 647 652 658 667 670 672 673 707 713 716 722]\n# step=3 row=180 minW=102 found cw of W=100: [4 11 23 27 32 38 40 46 47 49 78 82 85 87 91 93 96 106 107 130 133 137 144 154 158 215 217 219 238 254 258 260 269 272 273 300 306 308 315 316 319 321 324 326 327 343 361 365 368 371 375 376 378 381 384 388 393 418 419 422 448 471 473 479 482 483 484 497 507 512 520 524 526 539 546 572 580 588 594 602 610 614 621 629 632 638 643 648 652 657 662 671 681 686 698 712 713 730 742 755]\n# step=3 row=250 minW=100 found cw of W=94: [10 23 24 31 38 65 72 87 90 93 95 105 106 141 147 154 162 175 211 215 217 224 230 238 239 244 258 262 272 278 289 293 296 300 303 306 313 317 320 324 327 333 340 347 367 372 393 401 408 422 427 429 442 453 456 463 471 473 476 484 494 509 512 517 526 527 535 539 546 576 577 580 584 588 589 597 599 607 622 629 638 640 647 648 652 663 670 671 672 677 681 696 712 753]\n# step=4 row=43 minW=94 found cw of W=80: [34 55 57 62 68 82 83 122 147 152 160 178 208 209 215 222 227 257 261 262 264 274 280 289 294 303 335 336 344 356 370 399 405 406 411 412 415 425 426 433 435 440 448 455 466 474 475 482 488 495 496 502 515 524 531 551 565 572 578 582 591 600 611 635 637 639 645 652 658 667 668 688 695 719 720 734 736 742 744 755]\n# step=4 row=238 minW=80 found cw of W=78: [55 62 68 82 122 152 160 178 208 209 215 222 227 257 261 262 264 274 280 289 294 303 335 336 344 356 370 399 405 406 411 415 425 426 433 440 448 455 456 466 467 474 475 482 488 490 495 496 497 502 515 524 531 551 565 572 578 582 591 600 611 635 637 639 645 652 658 667 668 688 695 719 720 734 736 742 744 755]\n# step=14 row=16 minW=78 found cw of W=72: [3 25 29 36 39 55 101 106 114 121 127 145 150 182 187 189 191 194 196 198 200 212 215 217 233 236 247 251 267 272 279 291 292 295 298 302 304 306 347 348 352 354 358 382 398 409 413 436 443 449 484 495 498 505 526 534 543 544 565 569 576 588 610 615 629 640 648 669 670 697 721 746]\n# step=14 row=365 minW=72 found cw of W=68: [25 39 55 59 93 101 106 114 121 127 145 150 182 187 189 191 194 196 198 200 212 215 217 233 236 247 251 267 272 279 291 292 295 298 302 304 306 348 352 354 381 382 398 449 484 495 498 505 526 534 543 544 565 569 576 588 610 615 629 640 648 669 670 697 721 725 736 746]\n# step=19 row=26 minW=68 found cw of W=60: [14 16 28 29 36 51 58 64 72 84 106 116 124 126 154 163 170 171 178 179 216 223 226 234 249 253 260 298 326 337 352 357 383 393 412 416 427 438 442 449 476 497 525 566 592 596 600 610 627 641 656 666 671 704 705 717 730 735 746 756]\n# step=633 row=257 minW=60 found cw of W=52: [40 66 103 107 111 123 135 147 158 166 170 172 177 184 197 200 201 209 222 227 229 234 246 253 256 260 264 273 280 290 395 432 455 473 480 488 489 499 501 513 551 563 568 570 589 606 607 633 640 653 706 743]\n# step=843 row=142 minW=52 found cw of W=46: [14 55 58 59 60 62 65 66 69 101 129 175 230 238 244 250 279 285 286 306 330 341 355 433 437 438 443 444 479 504 507 527 533 562 574 582 616 617 622 628 629 631 657 684 698 728]\n# step=843 row=283 minW=46 found cw of W=44: [14 55 58 59 60 62 65 66 69 101 129 175 195 230 238 250 279 286 306 330 341 355 433 437 438 443 444 479 504 507 527 533 562 573 574 582 616 622 629 631 657 684 698 728]\n# round=1000 of 10000 minW=44\n# round=2000 of 10000 minW=44\n# round=3000 of 10000 minW=44\n# round=4000 of 10000 minW=44\n# round=5000 of 10000 minW=44\n# round=6000 of 10000 minW=44\n# round=7000 of 10000 minW=44\n# round=8000 of 10000 minW=44\n# round=9000 of 10000 minW=44\n# round=10000 of 10000 minW=44\nRW algorithm upper bound for the distance d=44\n</t>
  </si>
  <si>
    <t># step=0 row=0 minW=757 found cw of W=162: [3 7 16 20 22 24 31 32 33 39 40 44 49 52 53 54 65 66 67 68 69 70 72 75 82 84 88 89 90 108 122 130 134 140 142 147 155 166 175 182 183 185 192 197 200 204 211 214 219 224 228 231 241 250 270 277 288 289 291 296 299 305 307 320 321 329 330 338 346 363 368 370 373 381 383 387 389 395 400 401 402 404 405 415 423 427 430 431 434 440 446 451 457 469 474 475 479 484 488 498 499 502 503 510 511 513 525 528 541 548 551 552 553 561 565 567 569 573 580 582 587 592 593 597 599 603 609 618 623 630 637 638 640 643 648 650 651 653 658 661 663 664 669 670 672 679 681 682 683 686 693 697 698 703 710 712 716 718 722 733 737 753]\n# step=0 row=2 minW=162 found cw of W=152: [4 8 15 16 22 23 30 32 33 39 40 44 54 57 64 75 76 78 82 91 93 95 107 109 112 114 130 131 140 141 142 147 162 167 169 175 182 183 191 192 197 213 214 216 218 222 225 228 250 259 262 270 278 285 287 299 301 305 307 314 319 339 345 347 356 363 368 370 373 377 381 386 389 395 399 400 402 411 423 428 430 432 433 434 440 441 451 452 479 480 481 484 487 500 504 511 513 516 523 525 526 535 541 552 561 565 570 573 580 587 591 593 596 597 602 607 609 623 624 630 635 637 638 646 648 650 651 658 660 661 662 663 664 670 673 681 683 697 710 712 714 718 721 722 728 730 736 737 741 750 753 755]\n# step=0 row=5 minW=152 found cw of W=122: [11 23 24 30 31 33 44 56 67 68 70 72 75 77 78 82 84 88 93 95 103 107 109 118 130 134 141 162 169 175 182 191 219 220 222 225 244 247 250 277 278 287 291 294 299 305 306 319 321 339 346 356 377 381 383 395 400 402 404 405 411 417 431 432 433 446 451 452 457 458 477 480 503 511 512 523 525 528 533 535 541 548 549 551 552 553 558 561 569 582 590 592 593 597 602 603 607 609 623 624 638 643 648 653 660 662 664 673 682 683 693 697 710 714 718 722 733 741 742 746 750 755]\n# step=0 row=75 minW=122 found cw of W=118: [2 4 16 30 31 40 53 57 60 64 65 70 75 82 86 93 95 101 103 107 108 112 114 147 150 155 156 157 162 167 174 175 183 192 200 204 206 209 211 218 219 222 223 224 235 242 247 250 262 269 278 285 294 295 306 313 314 319 341 347 354 363 370 381 395 405 411 414 432 433 434 446 452 475 479 480 487 493 498 503 523 526 528 530 552 553 561 565 569 580 582 590 608 623 637 643 646 652 658 662 664 668 669 670 673 682 683 684 686 697 698 721 722 725 731 734 737 742]\n# step=0 row=348 minW=118 found cw of W=116: [2 15 20 22 23 31 33 46 53 56 57 67 68 72 75 78 82 86 95 103 114 118 119 150 157 169 182 185 192 209 216 218 219 222 225 231 235 240 241 242 244 270 278 287 295 296 301 306 319 345 347 348 356 377 383 399 402 403 404 405 414 432 433 434 440 446 451 452 475 479 487 493 504 511 523 525 528 530 551 552 553 558 563 565 569 570 587 590 592 596 597 603 607 630 636 638 639 643 651 660 662 663 668 681 686 688 693 712 721 725 728 730 733 736 742 750]\n# step=1 row=39 minW=116 found cw of W=108: [3 15 23 27 30 35 43 50 51 70 71 73 74 89 91 100 103 104 115 133 147 158 159 160 163 165 167 171 177 178 180 194 201 203 209 211 212 213 216 217 245 249 260 267 288 293 300 301 302 307 325 331 357 379 386 387 388 407 408 411 428 434 436 443 448 449 451 468 472 473 481 482 484 504 506 507 513 514 517 522 530 533 543 545 548 549 553 556 589 590 592 593 599 616 620 636 644 650 657 667 669 709 717 722 723 724 734 736]\n# step=1 row=80 minW=108 found cw of W=104: [3 15 23 27 30 35 43 50 51 70 71 74 89 91 100 103 104 115 133 140 147 158 159 160 165 167 171 177 178 180 194 201 203 209 211 212 213 216 217 245 249 260 267 288 293 300 301 302 307 325 331 357 379 386 387 388 407 408 411 428 434 436 443 448 449 468 472 473 481 482 484 504 507 514 517 522 530 533 543 545 548 549 553 556 589 590 592 593 599 616 620 636 644 650 657 667 669 709 717 722 723 724 734 736]\n# step=1 row=97 minW=104 found cw of W=80: [3 8 14 15 43 51 70 79 90 104 112 125 133 141 149 162 185 197 209 211 218 229 239 240 241 243 247 301 302 331 342 351 357 377 380 386 388 393 406 407 421 436 441 443 456 457 468 473 478 482 484 496 497 503 506 517 537 563 568 572 575 577 582 584 593 624 627 653 665 667 669 680 681 709 717 723 724 730 736 743]\n# step=46 row=119 minW=80 found cw of W=66: [22 38 43 57 69 105 112 118 119 125 128 155 167 174 210 218 226 254 264 265 273 275 280 281 308 310 312 315 319 330 342 357 365 371 386 401 402 406 412 443 451 457 471 478 503 518 551 567 577 593 604 608 616 641 644 666 667 688 703 714 731 735 745 749 750 756]\n# step=248 row=104 minW=66 found cw of W=56: [11 20 28 31 55 62 66 86 130 132 141 143 146 157 159 166 194 200 212 238 290 300 306 309 334 343 344 350 364 401 409 419 426 442 458 460 461 475 486 502 507 516 521 532 537 544 548 550 578 622 633 638 684 700 728 730]\n# step=334 row=43 minW=56 found cw of W=46: [3 10 17 22 87 131 142 150 185 197 199 227 247 261 271 282 295 302 333 337 377 391 439 440 465 481 488 489 514 528 529 556 579 583 590 604 630 639 653 679 680 688 701 724 743 750]\n# round=1000 of 10000 minW=46\n# round=2000 of 10000 minW=46\n# round=3000 of 10000 minW=46\n# round=4000 of 10000 minW=46\n# step=4805 row=363 minW=46 found cw of W=44: [65 71 120 190 217 224 270 272 306 319 327 334 347 353 359 363 374 397 403 429 437 450 452 478 499 540 548 553 595 597 623 638 643 648 662 672 684 711 713 725 731 737 738 752]\n# round=5000 of 10000 minW=44\n# round=6000 of 10000 minW=44\n# round=7000 of 10000 minW=44\n# round=8000 of 10000 minW=44\n# round=9000 of 10000 minW=44\n# round=10000 of 10000 minW=44\nRW algorithm upper bound for the distance d=44\n</t>
  </si>
  <si>
    <t># step=0 row=0 minW=757 found cw of W=152: [2 3 4 8 9 17 20 22 26 31 32 34 36 37 38 43 47 51 54 55 56 57 63 65 70 71 77 89 100 102 103 104 107 115 117 119 120 126 139 143 144 148 153 166 173 187 200 201 202 206 215 220 222 229 253 258 260 272 277 295 298 322 333 334 336 347 353 354 356 363 368 377 381 383 387 391 396 397 398 399 402 405 408 411 416 418 434 435 444 446 448 457 458 459 462 470 482 484 486 490 493 497 498 502 507 510 521 529 534 538 544 546 548 549 550 553 555 560 561 566 570 579 581 584 586 592 602 604 607 615 620 624 631 637 642 643 645 651 671 674 697 711 717 718 721 723 725 727 728 733 734 744]\n# step=0 row=4 minW=152 found cw of W=150: [1 3 7 8 9 13 17 20 22 30 36 40 49 51 53 55 56 57 58 59 61 66 69 71 74 75 77 82 84 92 104 111 115 117 118 120 139 144 148 166 172 173 188 200 201 202 209 213 220 221 222 234 236 248 249 255 258 272 277 278 283 288 292 295 296 298 303 313 325 333 334 336 345 347 352 354 355 369 375 379 381 383 385 394 396 402 408 414 419 424 427 434 442 444 445 457 458 459 469 470 476 480 486 490 491 493 497 498 502 509 510 524 529 534 536 546 549 553 555 559 560 561 566 570 572 579 585 592 599 602 604 605 615 624 626 631 639 640 643 645 656 671 674 682 717 718 721 725 728 747]\n# step=0 row=5 minW=150 found cw of W=106: [3 7 9 15 20 22 30 32 34 36 37 38 40 47 56 61 71 74 77 84 88 100 103 107 115 166 173 201 206 217 220 248 249 289 290 291 292 296 303 322 328 336 345 347 352 353 354 355 360 363 375 379 381 387 390 391 393 399 402 405 411 414 416 418 419 424 435 443 445 447 458 459 470 480 486 495 502 509 521 536 549 555 560 579 584 592 604 611 633 634 645 657 667 668 671 714 722 723 725 733 734 741 744 747 753 755]\n# step=0 row=95 minW=106 found cw of W=86: [1 3 11 22 31 49 55 58 59 63 65 66 68 70 77 84 88 102 103 104 111 117 118 139 143 148 181 187 188 191 198 200 202 229 236 278 290 291 292 295 313 336 345 352 353 375 379 381 391 397 399 408 419 427 434 453 457 469 476 480 486 490 491 498 509 520 529 537 543 544 550 561 570 572 586 607 611 621 624 634 642 668 697 718 725 728]\n# step=2 row=27 minW=86 found cw of W=84: [12 18 41 42 56 58 61 63 76 77 83 88 90 95 116 122 131 146 148 167 169 171 177 178 190 191 226 229 235 239 242 245 246 250 252 284 298 321 330 339 354 363 383 385 392 396 419 430 432 433 434 436 440 453 454 468 474 479 491 498 509 512 522 530 535 543 545 561 568 576 584 586 609 659 678 682 683 706 727 738 741 743 749 754]\n# step=2 row=108 minW=84 found cw of W=82: [5 26 41 42 46 52 55 60 61 66 75 76 81 88 101 116 130 137 151 158 162 164 167 171 178 190 216 229 231 239 245 246 250 253 259 266 299 306 310 364 383 390 395 405 411 419 420 424 426 432 433 450 455 469 480 482 493 531 534 563 568 570 572 577 594 597 609 619 628 637 638 643 651 660 678 683 693 699 733 741 743 748]\n# step=2 row=320 minW=82 found cw of W=80: [5 26 41 42 46 52 55 60 61 66 75 76 81 88 101 116 130 137 151 158 162 164 167 171 178 190 229 231 239 245 246 250 253 259 265 266 299 310 364 383 390 395 405 411 419 420 424 426 432 433 450 455 469 480 482 493 531 534 563 568 570 572 577 597 609 619 628 631 637 643 651 660 678 683 693 699 733 741 743 748]\n# step=8 row=363 minW=80 found cw of W=62: [1 2 22 48 63 92 98 124 153 159 160 172 180 213 214 224 234 253 268 276 294 308 314 315 317 328 335 339 349 356 377 413 426 432 434 435 442 455 475 476 491 496 501 516 525 537 546 557 566 582 586 592 605 627 641 649 657 664 682 692 701 709]\n# step=245 row=66 minW=62 found cw of W=50: [29 38 50 84 92 105 120 127 128 139 154 159 161 185 203 224 231 237 238 240 252 289 293 300 337 361 381 382 407 448 449 456 470 478 525 542 546 553 563 567 572 583 587 595 621 625 636 680 711 739]\n# step=245 row=240 minW=50 found cw of W=48: [29 50 84 92 120 127 139 154 159 161 185 203 224 231 237 238 240 252 289 293 300 337 361 381 382 407 416 448 449 456 470 471 525 542 546 553 563 567 572 583 587 595 621 625 636 680 711 739]\n# round=1000 of 10000 minW=48\n# round=2000 of 10000 minW=48\n# step=2596 row=164 minW=48 found cw of W=46: [17 21 41 48 55 72 96 97 109 116 124 131 138 168 172 179 230 285 294 300 340 350 355 399 412 426 439 440 446 460 466 470 515 542 609 632 652 658 672 678 719 721 728 734 742 748]\n# round=3000 of 10000 minW=46\n# round=4000 of 10000 minW=46\n# round=5000 of 10000 minW=46\n# round=6000 of 10000 minW=46\n# round=7000 of 10000 minW=46\n# round=8000 of 10000 minW=46\n# round=9000 of 10000 minW=46\n# round=10000 of 10000 minW=46\nRW algorithm upper bound for the distance d=46\n</t>
  </si>
  <si>
    <t># step=0 row=1 minW=757 found cw of W=152: [3 21 28 39 50 56 59 61 66 69 70 72 75 81 92 98 103 105 107 109 111 142 145 149 163 164 167 170 173 174 175 179 189 197 207 212 217 232 233 234 239 240 241 244 251 252 257 261 269 278 281 293 294 297 301 303 305 306 312 316 317 319 324 326 327 329 345 347 352 363 383 386 391 395 400 409 413 421 425 426 430 434 435 439 442 454 459 462 473 474 475 490 496 499 514 516 525 531 536 541 553 567 578 582 585 586 590 592 600 601 602 611 615 616 617 618 621 626 640 641 643 651 654 655 659 660 665 666 668 670 671 672 675 676 677 689 695 706 709 715 716 724 725 728 730 731 735 736 741 746 755 756]\n# step=0 row=2 minW=152 found cw of W=136: [5 7 13 23 34 39 50 57 59 61 66 68 69 72 75 77 81 84 89 92 100 103 107 109 114 121 125 145 155 157 162 164 167 168 175 179 181 201 202 212 232 237 238 241 257 264 276 278 293 302 303 305 312 317 323 324 326 327 338 345 347 358 360 363 372 383 388 389 391 395 400 404 409 413 416 421 425 435 439 442 445 455 459 468 473 474 490 497 510 514 517 521 525 536 543 553 564 566 570 578 584 587 588 592 602 611 612 613 614 615 616 621 626 636 637 643 651 654 661 665 668 675 681 685 695 706 709 710 714 716 723 730 746 751 755 756]\n# step=0 row=5 minW=136 found cw of W=134: [9 13 16 26 28 39 50 57 63 68 69 70 72 75 84 92 100 103 109 124 138 146 155 162 164 167 175 202 206 207 227 233 239 240 241 242 252 261 263 264 275 278 294 300 301 303 306 311 312 316 318 319 326 329 339 352 362 371 372 378 383 385 388 389 399 404 412 416 424 426 434 435 440 441 442 459 470 481 490 492 496 497 514 515 517 525 531 536 537 541 553 563 564 566 579 580 582 586 587 588 592 600 602 611 613 617 618 619 620 621 626 627 636 637 640 643 651 654 655 666 668 672 673 677 709 710 716 723 725 728 735 736 750 756]\n# step=0 row=18 minW=134 found cw of W=132: [10 23 26 32 34 57 59 63 70 72 75 84 87 98 103 105 109 111 113 124 142 146 154 164 167 168 173 175 189 197 198 201 202 217 226 233 234 237 240 241 244 251 252 257 276 297 302 306 311 312 317 319 324 326 329 338 345 347 352 363 371 372 373 378 384 386 391 399 400 404 409 416 425 426 435 441 442 454 459 475 490 496 497 509 516 517 521 527 536 564 566 567 570 585 599 600 601 612 616 617 618 619 620 626 641 642 655 659 660 661 666 668 669 670 675 681 683 695 706 709 715 716 721 723 725 728 730 731 736 746 750 751]\n# step=0 row=28 minW=132 found cw of W=124: [4 26 39 46 50 59 69 72 75 96 98 100 103 105 107 109 111 113 114 121 125 149 157 163 164 166 168 170 173 174 189 198 206 217 233 235 239 240 242 244 251 252 269 275 278 290 293 294 301 305 306 311 317 323 324 326 327 329 347 352 358 363 373 380 383 386 388 391 395 399 404 409 413 417 421 424 425 435 459 462 468 484 486 499 507 514 517 531 541 543 553 563 566 567 579 580 582 584 590 599 601 602 611 615 616 617 618 621 643 651 655 660 669 671 672 677 695 706 709 715 725 728 746 756]\n# step=0 row=63 minW=124 found cw of W=116: [4 10 13 28 39 50 56 57 68 70 72 84 92 96 100 103 107 109 113 126 142 146 149 164 167 171 197 227 235 237 238 239 240 241 252 281 293 294 297 300 301 303 305 311 312 317 323 347 358 360 363 371 372 373 378 380 388 391 395 404 409 412 413 416 417 425 430 434 435 440 442 484 492 496 497 499 504 507 515 517 525 527 530 566 587 592 600 611 613 615 616 618 620 636 641 656 659 668 669 670 673 685 689 690 695 706 710 714 723 730 731 735 736 741 746 756]\n# step=0 row=80 minW=116 found cw of W=110: [21 23 26 34 57 59 69 70 81 84 92 97 98 105 138 149 153 163 168 170 174 179 201 202 215 226 232 233 235 239 240 241 242 252 264 275 276 281 290 294 295 301 306 312 324 326 327 329 338 352 358 360 372 380 386 391 399 412 413 416 421 426 440 442 454 462 470 481 490 497 499 514 517 525 530 541 544 563 566 582 586 587 592 612 613 617 618 619 636 637 648 655 656 661 665 668 672 676 677 681 685 690 710 715 725 730 736 750 751 755]\n# step=0 row=120 minW=110 found cw of W=106: [21 23 26 34 57 59 69 70 81 84 92 97 98 105 138 149 163 168 170 174 179 201 226 232 233 235 239 240 241 242 243 252 275 276 281 290 294 295 301 305 306 312 324 326 327 329 338 352 358 360 372 380 386 391 399 412 413 416 421 426 440 442 454 462 470 481 490 497 499 514 517 525 530 531 541 544 563 566 582 587 592 612 613 617 618 619 636 655 656 661 665 668 672 676 677 681 685 690 710 715 725 730 736 750 751 755]\n# step=0 row=128 minW=106 found cw of W=104: [7 13 56 59 68 69 70 97 103 138 145 146 149 154 163 167 170 174 189 202 207 212 227 232 235 244 251 257 258 261 290 295 297 303 306 312 316 317 319 323 329 338 345 352 358 363 371 378 400 413 421 425 426 434 435 440 442 462 470 474 481 496 499 515 527 530 536 541 567 578 580 582 585 587 590 600 608 613 616 617 620 626 640 642 654 660 665 668 669 670 672 681 683 689 690 695 706 709 710 714 725 730 736 755]\n# step=0 row=260 minW=104 found cw of W=102: [4 13 21 28 39 50 56 59 66 68 69 70 75 81 84 92 97 111 138 142 145 157 167 171 173 179 185 189 197 202 206 212 217 226 233 234 237 241 244 251 252 261 295 297 303 311 316 317 323 326 358 363 372 373 391 413 416 425 430 434 435 442 454 459 470 474 475 481 488 490 496 514 516 517 535 555 566 567 579 585 586 600 601 616 618 642 655 659 669 670 676 683 689 690 695 706 728 730 735 736 741 756]\n# step=6 row=16 minW=102 found cw of W=92: [8 10 21 28 30 35 41 43 44 50 64 65 68 74 75 76 80 88 91 98 99 104 105 106 117 121 130 132 143 145 149 152 159 160 182 185 192 193 194 200 247 272 283 311 326 345 351 352 361 366 383 392 393 399 400 408 414 419 423 424 446 448 453 458 467 469 474 481 486 487 489 499 501 515 524 526 528 532 535 556 559 560 579 584 640 649 661 674 680 704 710 712]\n# step=13 row=96 minW=92 found cw of W=76: [13 52 76 91 96 101 107 116 123 130 142 145 156 158 165 181 185 191 198 206 213 227 235 246 247 252 281 282 287 301 302 331 345 352 357 366 377 379 385 426 430 434 454 494 508 509 521 531 540 544 545 549 559 564 569 585 598 599 612 614 620 626 654 661 666 667 674 675 681 688 689 702 714 716 720 723]\n# step=13 row=360 minW=76 found cw of W=72: [13 28 76 91 116 123 130 165 171 185 191 198 206 207 213 220 226 247 261 281 302 317 338 345 352 357 361 366 372 377 379 385 426 434 454 494 508 509 521 531 544 545 569 575 580 585 591 598 599 605 611 612 620 621 653 654 659 661 675 681 688 689 694 702 708 711 714 716 720 723 749 756]\n# step=24 row=315 minW=72 found cw of W=66: [24 39 50 63 77 114 117 118 124 125 128 132 135 139 142 166 186 207 213 241 242 258 262 278 283 296 304 307 312 324 327 348 400 402 416 430 455 464 467 490 495 502 516 522 545 546 550 571 580 591 592 595 626 641 646 656 662 670 682 691 698 705 718 729 739 745]\n# step=42 row=181 minW=66 found cw of W=64: [2 19 21 26 30 33 34 57 64 78 111 123 133 139 140 146 167 183 184 194 197 239 259 287 300 304 308 335 348 353 355 356 359 379 400 405 406 412 414 434 447 469 489 495 502 517 536 537 559 575 592 600 619 623 630 637 641 668 678 692 699 722 734 735]\n# step=192 row=215 minW=64 found cw of W=62: [1 5 6 30 35 54 63 65 74 85 118 128 139 195 204 215 218 229 238 240 243 250 295 298 300 302 316 343 349 402 408 420 427 436 438 451 461 492 506 514 526 528 558 563 568 572 577 604 630 667 671 672 679 720 722 724 727 731 733 734 749 756]\n# step=210 row=329 minW=62 found cw of W=56: [3 13 14 42 56 70 93 104 117 123 179 186 198 201 213 232 242 268 287 288 325 330 332 365 381 385 406 413 421 443 446 470 489 501 511 536 545 564 576 585 610 619 625 641 659 668 674 682 700 701 715 720 723 735 743 750]\n# step=814 row=142 minW=56 found cw of W=50: [29 38 93 100 101 130 142 145 148 156 165 186 203 206 210 227 254 255 258 261 268 275 309 310 313 320 361 365 366 368 420 430 469 508 510 536 540 543 563 570 584 600 610 633 659 674 695 715 739 750]\n# round=1000 of 10000 minW=50\n# step=1489 row=67 minW=50 found cw of W=40: [32 34 76 87 142 168 179 220 230 232 234 260 271 274 275 278 282 285 309 350 392 410 415 456 459 467 500 508 564 590 610 613 638 639 659 665 688 693 703 729]\n# round=2000 of 10000 minW=40\n# round=3000 of 10000 minW=40\n# round=4000 of 10000 minW=40\n# round=5000 of 10000 minW=40\n# round=6000 of 10000 minW=40\n# round=7000 of 10000 minW=40\n# round=8000 of 10000 minW=40\n# round=9000 of 10000 minW=40\n# round=10000 of 10000 minW=40\nRW algorithm upper bound for the distance d=40\n</t>
  </si>
  <si>
    <t># step=0 row=0 minW=757 found cw of W=154: [1 3 4 5 10 16 18 22 30 31 35 43 49 55 58 62 63 64 66 71 75 86 93 97 104 105 108 115 118 123 126 135 137 162 163 164 175 184 185 190 198 203 204 206 208 210 214 215 223 226 230 232 237 240 248 254 259 262 263 269 274 280 290 295 303 304 307 309 314 321 324 326 327 331 335 342 352 356 358 359 364 380 383 385 390 396 409 411 435 439 447 448 452 462 470 473 476 480 488 491 496 498 503 504 511 513 523 527 533 547 551 556 559 566 575 576 577 578 590 592 600 605 610 620 630 640 645 658 667 669 677 679 689 690 691 696 700 702 704 705 709 710 714 720 723 725 730 736 743 745 746 748 751 756]\n# step=0 row=2 minW=154 found cw of W=120: [2 4 11 16 18 30 46 62 74 92 97 108 109 115 120 129 164 170 175 182 184 185 197 198 203 207 210 214 220 223 225 230 233 236 237 240 256 259 263 267 275 280 282 304 306 307 314 316 321 324 326 331 335 342 343 361 362 364 406 421 423 426 435 438 439 447 449 472 479 488 493 495 511 513 514 516 523 529 532 544 549 565 575 576 583 588 590 592 603 606 610 617 620 630 640 645 655 656 659 670 676 677 678 679 689 693 696 702 704 705 707 709 710 720 725 727 730 735 743 751]\n# step=0 row=257 minW=120 found cw of W=104: [1 2 6 13 18 19 29 31 36 52 53 55 57 58 62 63 64 66 69 74 107 108 109 112 120 123 126 129 130 142 148 152 162 164 170 175 184 203 204 206 207 210 214 225 232 239 254 259 262 267 295 311 314 321 322 335 344 345 356 363 376 377 380 385 390 397 406 409 411 421 436 444 462 474 480 493 508 514 520 534 541 549 556 577 582 605 610 645 658 659 667 673 679 687 700 702 707 708 713 723 741 743 747 748]\n# step=1 row=292 minW=104 found cw of W=102: [2 3 16 19 22 28 35 42 49 56 60 79 81 84 87 116 129 131 142 144 162 165 171 181 185 188 191 192 199 205 214 219 234 235 240 246 251 254 263 275 276 278 281 286 288 316 325 327 331 341 353 355 361 385 386 393 394 399 406 410 416 417 422 427 452 459 465 466 493 494 508 515 521 522 540 549 555 562 563 564 589 592 597 598 613 628 636 647 649 665 666 675 677 682 684 688 705 710 711 724 737 749]\n# step=3 row=68 minW=102 found cw of W=98: [17 19 20 26 31 41 46 61 65 78 95 97 106 113 120 134 137 138 141 170 177 181 190 192 218 221 224 234 280 288 306 319 320 321 324 332 340 364 366 368 389 394 397 404 411 421 423 424 425 426 452 456 465 470 472 481 486 491 505 512 513 518 548 558 561 563 568 572 576 581 595 596 597 607 608 612 617 623 628 638 649 653 654 658 663 671 672 677 685 686 699 712 716 726 738 741 753 754]\n# step=3 row=115 minW=98 found cw of W=96: [18 20 21 32 34 41 55 62 75 82 86 89 97 106 113 123 137 138 141 143 167 169 178 181 183 185 204 218 224 230 231 233 238 245 265 270 280 285 299 305 315 319 320 321 340 364 369 370 377 411 412 421 423 425 426 431 439 456 470 472 480 481 484 491 505 513 528 533 547 553 558 561 565 572 576 577 581 595 602 603 608 623 628 648 651 653 672 683 687 698 699 707 727 748 752 753]\n# step=3 row=117 minW=96 found cw of W=86: [7 18 20 21 25 32 34 36 55 59 61 62 69 76 78 82 89 95 102 106 113 115 117 120 121 124 131 138 165 169 176 182 185 190 192 195 196 237 270 280 292 299 319 321 334 343 348 360 404 405 412 424 439 451 465 480 484 492 493 498 501 515 524 533 539 548 563 568 573 583 597 602 628 632 638 648 651 653 663 664 673 677 685 725 728 753]\n# step=3 row=139 minW=86 found cw of W=78: [7 17 20 21 31 34 61 69 75 76 78 82 86 89 127 131 137 138 181 183 190 192 218 224 227 238 245 252 271 278 282 306 314 319 334 340 348 360 403 404 411 412 452 491 493 505 515 518 558 561 568 572 581 583 595 596 602 607 608 617 623 625 628 632 651 663 664 672 673 677 685 686 698 699 707 728 738 748]\n# step=4 row=93 minW=78 found cw of W=54: [10 11 23 30 72 74 78 100 109 116 129 133 136 140 171 178 198 217 222 242 258 277 278 299 332 333 340 346 362 424 429 433 443 452 473 492 500 514 523 541 566 582 595 608 615 636 650 672 675 677 691 705 732 740]\n# step=523 row=102 minW=54 found cw of W=52: [26 43 81 93 95 98 128 141 150 153 157 197 201 204 208 215 231 266 279 314 321 328 363 365 372 376 413 416 418 424 436 471 485 508 519 521 533 534 563 570 574 575 598 611 634 657 692 712 719 724 750 754]\n# round=1000 of 10000 minW=52\n# step=1793 row=136 minW=52 found cw of W=48: [81 137 145 151 158 186 202 211 227 257 264 266 286 301 310 321 335 342 343 379 410 420 424 431 433 465 473 480 510 514 515 536 540 555 578 584 600 619 630 660 664 674 686 708 719 721 734 753]\n# round=2000 of 10000 minW=48\n# step=2402 row=207 minW=48 found cw of W=46: [29 36 38 53 68 80 91 93 96 97 100 104 117 128 133 135 139 142 151 157 158 162 174 198 352 379 405 462 474 482 486 490 501 506 517 523 524 530 577 614 644 667 681 693 704 742]\n# round=3000 of 10000 minW=46\n# round=4000 of 10000 minW=46\n# round=5000 of 10000 minW=46\n# step=5319 row=272 minW=46 found cw of W=38: [1 8 12 14 69 93 113 124 163 170 175 179 223 234 253 260 335 337 381 387 445 451 477 494 518 533 535 543 548 582 596 623 625 633 649 674 716 739]\n# round=6000 of 10000 minW=38\n# round=7000 of 10000 minW=38\n# round=8000 of 10000 minW=38\n# round=9000 of 10000 minW=38\n# round=10000 of 10000 minW=38\nRW algorithm upper bound for the distance d=38\n</t>
  </si>
  <si>
    <t># step=0 row=1 minW=757 found cw of W=154: [3 4 12 13 23 31 37 39 44 50 54 55 56 63 67 80 85 92 95 114 118 122 134 155 156 157 166 186 189 195 196 217 228 229 235 240 243 244 250 251 252 255 270 274 277 281 283 289 291 292 293 294 296 299 300 301 302 304 305 306 322 326 328 331 333 334 337 338 340 346 351 357 359 362 364 365 371 372 383 384 386 403 406 408 409 412 414 417 420 428 430 435 436 437 443 444 446 450 453 461 463 464 474 477 483 488 498 520 523 527 528 536 540 543 553 558 567 569 579 585 594 595 599 602 616 619 621 629 634 646 652 655 666 671 676 679 682 688 689 700 701 703 705 707 710 712 717 718 723 729 740 743 744 745]\n# step=0 row=3 minW=154 found cw of W=150: [1 4 5 7 12 19 23 39 41 44 50 52 54 55 62 69 73 75 81 83 85 92 106 107 114 118 127 129 134 137 140 142 156 171 187 189 195 196 201 204 224 228 235 242 246 250 251 252 255 267 274 283 286 288 289 291 296 302 322 328 331 337 338 341 343 344 346 351 357 359 365 372 380 384 386 391 397 398 403 406 412 414 416 420 428 430 435 437 438 444 449 451 453 463 464 465 474 491 492 498 508 510 516 520 521 523 527 529 532 540 543 549 551 553 555 560 567 579 588 590 594 616 618 619 624 629 634 644 646 652 666 667 668 672 679 682 688 689 693 701 703 705 707 710 728 729 735 737 743 744]\n# step=0 row=6 minW=150 found cw of W=144: [1 4 10 12 24 25 37 39 41 46 47 50 52 55 63 66 69 73 75 80 81 98 105 106 107 118 129 134 135 155 165 171 176 184 186 189 190 195 204 220 224 227 231 235 240 250 252 265 269 281 286 289 296 301 302 309 313 320 324 325 328 331 333 334 338 340 344 358 359 364 365 371 372 380 386 387 391 396 408 410 412 414 416 417 420 425 428 436 437 443 446 449 450 451 453 461 463 464 465 474 477 480 483 491 492 500 508 521 523 528 531 532 536 553 555 567 569 574 580 585 588 616 618 619 621 624 629 634 644 645 649 667 672 679 693 694 701 712 718 721 723 728 734 737]\n# step=0 row=10 minW=144 found cw of W=138: [16 19 21 23 24 41 44 51 56 62 63 66 73 75 76 85 92 93 96 102 114 122 129 134 135 137 155 156 157 166 169 171 176 184 190 195 196 198 201 204 220 224 240 250 255 267 274 277 286 288 291 301 302 304 322 325 326 328 335 337 341 346 348 351 357 358 380 383 385 387 391 397 403 410 416 422 435 436 438 440 444 446 450 451 453 461 475 480 483 488 492 508 509 510 516 520 528 530 540 543 549 551 567 579 588 590 604 611 613 616 618 623 624 629 634 644 645 646 652 655 666 667 679 682 688 689 693 703 707 717 723 728 729 734 735 737 744 745]\n# step=0 row=11 minW=138 found cw of W=134: [1 4 5 18 25 31 37 44 46 47 51 56 62 63 66 69 71 75 83 92 95 96 118 127 134 142 157 169 187 195 220 224 228 231 240 243 251 267 283 286 288 292 294 299 300 301 304 325 328 331 333 335 337 338 340 342 343 344 353 357 362 384 387 396 397 398 403 406 409 412 420 425 430 435 436 437 438 440 446 461 474 477 480 491 508 512 516 523 527 530 532 547 560 561 567 570 573 574 594 596 602 613 616 618 619 621 623 629 637 643 645 666 667 668 676 677 679 682 689 694 700 703 705 710 718 720 723 728 734 735 737 740 743 749]\n# step=0 row=19 minW=134 found cw of W=104: [12 13 21 24 35 37 41 44 51 54 56 66 67 71 73 76 85 90 92 114 118 122 127 129 134 156 166 184 187 195 198 204 217 224 229 240 250 252 270 277 281 289 293 294 296 300 301 305 326 335 342 348 358 359 364 371 383 384 386 391 408 412 414 416 420 435 444 450 451 461 464 483 488 492 498 509 516 540 558 560 569 574 588 595 602 613 623 624 644 655 671 672 679 693 710 717 720 721 723 728 734 737 745 749]\n# step=2 row=57 minW=104 found cw of W=62: [9 24 43 65 72 104 116 123 148 159 167 169 171 176 180 221 226 233 234 263 281 324 338 361 366 382 393 400 423 464 467 476 482 490 498 501 516 525 531 550 558 565 566 572 591 595 598 600 606 612 614 641 648 654 655 665 688 697 716 731 738 745]\n# step=795 row=240 minW=62 found cw of W=58: [16 48 56 60 64 91 92 103 115 118 119 122 126 132 138 148 153 173 178 194 201 208 217 228 249 264 291 293 300 304 332 349 353 360 387 413 426 442 462 469 475 477 489 491 503 510 511 544 552 567 571 588 620 637 648 722 724 737]\n# round=1000 of 10000 minW=58\n# step=1244 row=384 minW=58 found cw of W=56: [8 54 57 64 91 117 146 154 165 166 172 177 201 214 220 282 283 290 297 304 311 322 326 327 331 338 377 381 386 401 422 441 442 463 495 504 543 555 557 585 586 587 592 604 612 633 635 645 668 676 677 689 709 715 751 756]\n# step=1301 row=334 minW=56 found cw of W=52: [53 67 108 110 122 145 166 241 246 266 274 295 301 309 310 321 341 346 357 385 405 419 434 440 445 486 488 494 495 501 509 524 544 584 606 611 614 619 624 633 634 644 652 655 660 687 693 696 700 707 728 742]\n# round=2000 of 10000 minW=52\n# round=3000 of 10000 minW=52\n# step=3168 row=55 minW=52 found cw of W=46: [2 13 105 209 250 265 271 274 282 288 309 313 325 326 329 333 341 361 368 371 375 378 393 446 495 527 536 538 544 594 611 617 626 631 634 642 649 652 666 672 675 683 704 707 710 714]\n# round=4000 of 10000 minW=46\n# round=5000 of 10000 minW=46\n# round=6000 of 10000 minW=46\n# round=7000 of 10000 minW=46\n# round=8000 of 10000 minW=46\n# step=8083 row=269 minW=46 found cw of W=38: [22 24 27 57 59 79 82 86 119 130 133 137 144 149 195 250 294 301 305 347 350 400 414 450 462 463 492 504 527 540 563 653 679 720 723 725 738 743]\n# round=9000 of 10000 minW=38\n# round=10000 of 10000 minW=38\nRW algorithm upper bound for the distance d=38\n</t>
  </si>
  <si>
    <t># step=0 row=0 minW=757 found cw of W=136: [3 5 6 7 10 14 32 35 37 43 47 50 53 55 62 66 67 79 87 90 91 93 94 98 100 108 109 110 111 125 128 131 140 141 142 165 166 172 173 177 180 184 185 187 193 196 199 201 212 223 224 231 234 235 239 242 247 266 272 275 293 300 320 328 330 333 341 342 350 366 367 370 372 374 375 390 412 413 421 430 438 444 450 456 457 461 471 475 477 478 479 488 493 500 510 511 518 520 523 530 546 551 559 560 573 575 577 578 583 590 595 598 608 609 615 620 622 629 636 658 662 667 672 673 679 706 707 710 715 720 721 734 742 744 745 750]\n# step=0 row=2 minW=136 found cw of W=120: [2 7 9 10 11 12 17 18 25 32 35 39 40 43 53 56 67 71 79 87 90 91 94 98 100 108 113 114 116 132 148 155 176 177 178 180 201 206 211 216 220 223 247 261 268 288 333 334 336 348 350 364 367 374 375 379 387 390 402 412 416 421 422 430 435 444 447 451 457 461 465 470 471 473 475 477 478 491 494 500 504 505 509 511 512 514 518 519 523 525 530 541 543 546 551 576 577 589 592 595 604 611 613 615 620 634 636 641 656 662 663 667 679 714 724 731 734 742 745 746]\n# step=0 row=12 minW=120 found cw of W=112: [25 27 35 37 39 40 47 50 55 61 66 71 72 87 91 94 102 105 108 110 113 114 117 125 150 177 180 182 185 199 211 212 216 223 235 242 247 268 280 293 295 306 335 348 350 356 357 361 366 367 370 374 375 382 390 400 401 402 411 421 422 430 436 444 450 451 456 471 473 477 486 487 488 490 504 505 509 511 512 518 523 528 530 531 541 543 572 577 578 579 583 589 590 615 622 634 656 658 662 663 667 679 684 690 707 711 720 721 724 744 745 746]\n# step=0 row=33 minW=112 found cw of W=110: [25 35 37 39 40 47 50 55 61 66 68 71 72 87 91 94 102 105 108 110 113 114 117 125 150 177 180 182 185 199 211 212 216 223 235 242 247 268 280 293 295 306 335 348 350 357 361 366 367 370 374 375 382 390 401 402 421 422 430 436 444 450 451 456 471 473 477 486 487 488 490 504 505 509 511 512 518 523 528 530 531 541 543 572 577 578 579 583 589 590 615 622 634 656 658 662 663 667 679 684 690 707 711 720 721 724 734 744 745 746]\n# step=0 row=151 minW=110 found cw of W=106: [6 12 14 18 28 47 50 55 56 62 67 72 73 93 94 100 110 113 116 127 128 150 170 172 174 176 184 211 220 227 231 232 234 239 252 253 265 280 286 295 296 300 306 309 315 319 320 330 335 341 351 357 363 366 367 371 374 375 379 390 401 412 413 416 421 422 430 436 447 450 451 456 457 462 470 478 479 487 499 500 512 513 518 520 534 541 543 547 553 556 577 605 607 630 637 646 658 665 672 673 678 684 707 714 744 745]\n# step=0 row=315 minW=106 found cw of W=94: [2 9 25 28 32 35 39 40 53 66 72 79 90 93 102 109 116 125 127 128 131 142 148 155 168 177 185 187 193 201 212 220 223 224 227 231 242 247 272 320 348 351 357 361 367 374 382 387 401 412 422 435 436 444 450 457 473 475 477 479 486 488 491 493 509 512 519 520 525 528 534 546 556 560 575 578 579 590 592 595 598 608 626 636 639 649 656 662 663 668 711 742 745 746]\n# step=1 row=208 minW=94 found cw of W=84: [7 16 22 26 28 32 39 42 48 56 66 76 81 89 136 152 179 202 235 252 256 257 267 274 281 294 299 316 329 342 348 364 380 382 385 389 390 392 398 399 404 406 409 419 431 453 462 467 481 486 494 520 522 535 552 580 585 592 610 613 625 630 641 645 647 652 667 668 670 672 677 679 680 682 697 715 719 727 728 729 732 746 749 756]\n# step=2 row=226 minW=84 found cw of W=68: [42 48 49 68 70 73 87 90 98 112 125 135 136 138 140 144 152 158 160 169 174 184 188 207 214 215 229 232 259 270 275 337 379 381 406 426 427 447 451 455 456 465 468 469 470 481 492 501 506 509 512 520 531 546 550 555 561 568 575 595 604 609 645 654 703 708 735 744]\n# step=45 row=177 minW=68 found cw of W=62: [5 14 26 33 37 42 49 79 90 95 99 109 127 128 130 162 192 199 224 236 238 240 251 286 289 291 298 310 341 351 365 372 378 385 406 416 422 438 447 457 459 470 473 483 506 512 519 535 539 542 547 567 588 618 639 671 680 684 722 724 733 756]\n# step=79 row=8 minW=62 found cw of W=58: [4 15 18 22 28 47 53 66 70 77 91 96 108 111 114 116 117 121 125 158 186 206 212 241 248 290 297 310 331 341 385 390 425 433 434 439 440 441 461 468 490 494 495 500 501 515 556 585 639 645 668 670 674 694 709 719 729 750]\n# step=144 row=20 minW=58 found cw of W=50: [9 22 25 33 36 56 63 75 84 87 125 157 165 212 227 246 252 256 267 287 289 290 359 372 453 457 466 468 489 508 509 535 575 576 584 599 630 633 649 660 689 696 716 722 729 730 737 739 745 756]\n# round=1000 of 10000 minW=50\n# round=2000 of 10000 minW=50\n# step=2411 row=30 minW=50 found cw of W=46: [21 32 45 50 65 83 86 87 105 120 127 131 134 135 138 142 160 250 273 307 314 355 374 397 418 423 428 443 452 477 478 492 512 518 526 533 541 553 561 574 582 616 643 664 685 740]\n# round=3000 of 10000 minW=46\n# step=3960 row=138 minW=46 found cw of W=42: [28 35 40 51 143 213 257 262 296 312 319 320 324 351 361 363 364 367 368 371 375 376 378 431 484 533 565 574 576 582 591 614 625 631 646 655 664 666 672 713 745 749]\n# round=4000 of 10000 minW=42\n# round=5000 of 10000 minW=42\n# round=6000 of 10000 minW=42\n# round=7000 of 10000 minW=42\n# round=8000 of 10000 minW=42\n# round=9000 of 10000 minW=42\n# round=10000 of 10000 minW=42\nRW algorithm upper bound for the distance d=42\n</t>
  </si>
  <si>
    <t># step=0 row=1 minW=757 found cw of W=130: [3 11 13 14 20 25 26 34 37 48 60 62 64 67 71 72 80 82 88 92 93 95 106 108 113 116 122 127 137 138 152 155 171 179 193 200 206 210 214 234 237 248 257 266 269 289 296 297 302 303 307 314 325 327 330 336 339 348 350 352 354 355 359 363 369 370 375 376 380 382 383 389 394 430 432 433 435 442 448 456 460 467 471 472 477 486 487 489 495 509 510 513 521 550 553 554 555 561 578 579 584 600 601 602 628 632 635 636 639 650 656 667 668 669 675 680 697 703 708 714 718 728 732 733 734 736 741 747 748 753]\n# step=0 row=5 minW=130 found cw of W=112: [1 4 6 8 12 13 16 20 23 25 30 41 60 61 67 69 71 80 87 92 94 96 103 116 117 156 171 179 182 201 207 209 214 234 237 244 248 249 250 251 257 260 264 267 289 296 297 301 303 304 308 320 324 328 336 349 352 359 360 364 374 375 380 382 407 411 435 437 439 442 448 460 488 489 495 513 525 538 544 555 560 562 589 601 603 615 626 631 635 636 640 641 649 656 667 671 672 673 674 682 683 685 691 706 714 727 730 732 737 740 741 748]\n# step=0 row=64 minW=112 found cw of W=104: [9 12 13 34 41 47 48 55 60 62 64 67 71 75 82 87 88 96 97 103 108 122 131 138 171 179 186 200 201 202 207 234 237 241 247 250 262 264 294 297 302 303 308 328 336 339 350 352 354 359 369 370 375 385 389 399 407 430 431 432 433 435 439 459 460 467 469 470 486 509 510 535 536 544 550 555 578 579 580 584 600 601 615 628 635 641 646 650 656 668 675 682 683 691 697 706 714 718 727 728 734 741 747 753]\n# step=1 row=52 minW=104 found cw of W=92: [19 29 51 65 79 84 92 93 95 98 102 106 107 109 119 128 148 153 156 170 171 180 208 215 225 232 233 239 244 251 259 261 263 270 277 288 295 316 321 323 326 353 371 381 402 407 408 421 426 448 452 459 462 475 476 480 485 492 497 508 512 516 517 532 533 539 540 546 548 549 558 568 570 578 587 597 604 606 619 623 630 638 645 653 654 655 660 664 717 731 744 750]\n# step=3 row=216 minW=92 found cw of W=68: [9 25 29 48 70 73 76 80 87 114 117 118 125 133 143 144 173 181 201 247 263 268 302 316 317 322 352 357 358 359 372 382 401 406 416 421 423 432 442 454 464 467 483 495 550 565 576 579 585 595 599 606 621 640 662 670 675 690 694 695 700 701 736 743 750 752 755 756]\n# step=38 row=24 minW=68 found cw of W=60: [1 48 56 62 63 97 118 138 168 173 179 180 192 217 224 234 235 236 247 269 272 276 279 286 307 322 324 348 377 412 413 426 432 440 470 495 496 522 544 545 546 557 570 585 586 608 611 613 619 636 649 654 656 691 698 700 701 708 749 750]\n# step=38 row=248 minW=60 found cw of W=56: [1 56 62 63 118 168 173 179 180 192 217 224 234 235 236 247 269 272 276 279 286 307 322 324 348 377 412 413 432 440 481 495 496 522 544 545 546 557 570 585 586 608 611 613 619 636 649 654 656 691 698 700 701 708 749 750]\n# step=683 row=201 minW=56 found cw of W=48: [16 40 55 60 71 87 124 126 136 145 147 163 166 170 173 237 243 282 284 292 326 337 339 392 398 424 433 441 480 482 490 495 502 509 520 525 529 546 570 572 587 596 663 676 683 686 706 712]\n# round=1000 of 10000 minW=48\n# round=2000 of 10000 minW=48\n# round=3000 of 10000 minW=48\n# step=3265 row=174 minW=48 found cw of W=44: [42 46 53 98 119 139 163 174 210 217 251 254 272 279 314 319 341 344 365 368 369 389 423 427 472 482 497 513 538 539 546 561 607 636 643 651 656 673 684 685 687 694 718 726]\n# round=4000 of 10000 minW=44\n# round=5000 of 10000 minW=44\n# round=6000 of 10000 minW=44\n# round=7000 of 10000 minW=44\n# round=8000 of 10000 minW=44\n# round=9000 of 10000 minW=44\n# round=10000 of 10000 minW=44\nRW algorithm upper bound for the distance d=44\n</t>
  </si>
  <si>
    <t># step=0 row=0 minW=757 found cw of W=126: [4 5 7 9 14 22 26 36 37 38 40 44 49 54 60 71 75 77 80 91 92 98 101 102 112 115 126 130 135 137 145 152 156 164 167 174 180 190 195 205 216 218 223 228 231 237 254 258 265 271 273 275 277 280 282 283 284 285 287 316 330 332 338 339 348 359 361 368 371 374 377 387 388 393 399 400 404 410 422 428 430 440 444 445 451 468 471 473 482 483 484 510 512 525 531 533 534 540 542 555 572 574 575 580 582 594 595 597 601 606 617 623 628 636 647 649 656 660 662 664 687 716 717 750 755 756]\n# step=0 row=9 minW=126 found cw of W=114: [14 20 22 28 54 60 67 69 75 77 82 101 112 115 121 140 144 145 152 156 164 167 174 176 188 195 205 218 220 222 223 228 229 237 238 243 254 263 270 274 275 279 280 285 287 292 307 313 330 332 339 354 362 365 373 374 375 377 386 387 400 418 420 428 430 435 440 453 461 468 485 491 499 510 525 534 542 551 555 562 575 581 597 601 606 607 616 617 629 638 657 660 661 664 676 677 684 685 687 692 694 697 707 712 714 715 717 718 726 728 733 741 750 755]\n# step=0 row=103 minW=114 found cw of W=102: [7 14 22 36 38 40 49 54 75 77 80 91 102 121 126 130 135 137 149 174 176 195 202 218 220 222 228 231 238 250 251 273 279 283 284 285 287 292 299 313 319 324 348 359 361 368 374 375 377 387 388 392 400 404 427 428 437 441 445 451 453 473 499 510 540 552 568 573 575 580 582 589 601 606 607 616 622 624 629 630 631 635 638 647 656 657 660 664 677 684 687 698 707 714 716 717 718 728 733 741 750 755]\n# step=1 row=49 minW=102 found cw of W=94: [3 4 6 8 15 17 20 22 31 36 44 51 58 65 73 76 94 99 112 113 119 133 138 144 154 161 172 176 179 193 199 202 211 216 220 227 230 237 243 250 255 257 264 271 312 315 317 326 335 338 340 342 343 367 370 377 409 423 437 444 450 455 460 473 487 490 493 497 504 506 511 541 542 559 563 589 596 621 628 630 639 644 649 652 672 676 713 719 725 729 734 742 750 752]\n# step=1 row=221 minW=94 found cw of W=92: [4 14 17 24 30 43 49 50 57 61 68 72 73 77 79 80 94 96 113 121 128 142 151 165 176 188 193 206 212 243 254 256 257 268 302 305 309 315 323 338 347 349 351 356 357 360 370 377 388 392 395 397 401 409 412 420 425 435 452 455 463 469 471 476 478 485 497 515 517 522 538 542 545 559 566 590 591 607 640 645 649 676 681 693 696 724 729 734 735 739 749 756]\n# step=4 row=133 minW=92 found cw of W=88: [10 23 36 37 57 64 65 78 112 113 120 133 134 141 147 168 179 184 189 202 204 223 230 239 253 270 278 290 292 295 296 303 336 349 356 361 372 378 383 386 393 397 401 409 414 421 422 428 441 450 452 462 471 473 476 483 490 531 532 538 545 561 562 581 582 601 621 624 637 642 644 650 651 668 671 674 679 681 685 692 717 729 738 739 740 750 752 756]\n# step=19 row=170 minW=88 found cw of W=86: [3 6 16 17 36 41 48 60 65 71 118 124 125 130 148 159 168 171 179 188 214 222 229 234 243 252 258 269 273 274 277 298 299 301 305 324 329 335 336 339 340 342 354 364 369 373 380 383 384 390 410 414 424 431 436 447 459 487 498 502 514 521 554 566 577 592 600 603 607 608 615 628 630 641 656 657 674 693 697 710 721 727 734 739 746 751]\n# step=24 row=28 minW=86 found cw of W=84: [10 30 32 40 42 47 51 73 75 85 87 88 127 128 135 136 138 149 155 161 165 166 178 183 185 191 199 227 239 245 247 261 277 279 281 312 362 371 374 383 384 391 399 415 417 420 425 426 443 451 453 454 473 481 489 492 508 509 514 527 530 539 540 563 567 583 600 604 606 611 613 618 620 624 629 659 672 679 696 712 717 721 728 740]\n# step=24 row=39 minW=84 found cw of W=82: [10 30 32 40 42 47 73 74 75 85 87 88 127 128 135 136 138 149 155 161 165 166 178 183 185 191 199 227 239 245 247 261 277 279 281 312 371 374 383 384 391 399 415 420 424 425 426 443 451 453 454 473 481 489 492 508 509 514 527 530 539 540 563 567 583 600 604 606 611 613 618 620 624 629 659 672 679 696 712 717 721 728]\n# step=35 row=202 minW=82 found cw of W=66: [22 43 55 69 92 101 108 111 113 116 131 133 137 150 156 168 175 177 178 191 198 221 232 310 321 329 344 350 396 405 406 412 419 425 433 440 445 447 454 461 470 474 476 479 483 486 488 500 510 511 521 571 583 589 597 624 632 638 664 665 679 688 707 713 728 750]\n# step=109 row=95 minW=66 found cw of W=62: [1 5 15 16 57 97 98 116 117 152 157 166 172 178 179 187 207 213 214 228 256 258 262 276 297 312 331 339 374 379 386 410 434 441 445 446 448 469 475 500 501 537 544 550 559 579 586 600 601 605 620 626 640 661 676 696 698 702 717 725 737 747]\n# step=109 row=270 minW=62 found cw of W=60: [1 5 15 16 57 98 116 117 146 152 157 166 172 178 179 207 213 214 228 256 258 262 276 297 312 331 339 374 379 386 410 434 441 445 446 448 469 500 501 530 544 550 559 579 586 600 601 605 620 626 640 661 676 696 698 702 717 725 737 747]\n# step=459 row=222 minW=60 found cw of W=56: [15 43 44 50 85 93 94 95 98 101 131 136 153 157 183 204 213 236 259 266 288 310 314 352 365 366 369 372 373 376 414 417 424 428 437 471 479 509 523 526 533 564 571 579 586 591 599 614 620 640 654 661 669 704 710 736]\n# step=459 row=382 minW=56 found cw of W=52: [15 43 50 93 94 95 98 101 131 136 153 157 183 204 213 236 259 266 288 310 314 352 365 366 369 372 376 414 424 437 471 479 509 523 526 533 564 571 579 586 591 599 614 620 640 654 661 669 704 710 736 751]\n# step=900 row=137 minW=52 found cw of W=50: [11 55 66 101 121 149 150 204 211 221 232 233 235 246 259 274 277 301 311 322 388 429 437 453 479 495 504 519 520 523 534 544 553 554 568 585 594 599 602 603 609 617 633 644 651 661 665 717 718 741]\n# round=1000 of 10000 minW=50\n# round=2000 of 10000 minW=50\n# round=3000 of 10000 minW=50\n# round=4000 of 10000 minW=50\n# step=4409 row=13 minW=50 found cw of W=48: [10 28 42 44 47 49 83 90 92 95 97 99 102 103 106 138 146 242 264 313 319 324 339 347 354 363 365 374 383 406 422 432 469 470 496 522 530 545 559 626 635 642 649 682 686 717 731 743]\n# round=5000 of 10000 minW=48\n# round=6000 of 10000 minW=48\n# step=6574 row=139 minW=48 found cw of W=38: [2 5 9 16 75 130 137 185 191 211 233 235 246 260 277 288 325 339 379 445 446 453 469 494 495 520 535 544 585 589 610 618 633 644 659 667 700 723]\n# round=7000 of 10000 minW=38\n# round=8000 of 10000 minW=38\n# round=9000 of 10000 minW=38\n# round=10000 of 10000 minW=38\nRW algorithm upper bound for the distance d=38\n</t>
  </si>
  <si>
    <t># step=0 row=0 minW=757 found cw of W=132: [1 2 7 12 17 33 34 37 38 42 43 49 61 72 77 78 79 82 98 99 112 119 132 134 137 139 141 146 147 152 154 160 161 181 190 192 193 201 207 208 213 227 237 240 248 258 264 266 269 270 282 299 302 310 318 319 320 325 335 337 343 348 351 353 355 361 373 381 391 393 397 399 400 403 411 421 429 432 448 471 475 489 493 518 519 525 530 531 541 542 545 556 563 571 582 591 593 612 615 618 623 625 632 634 636 644 649 653 667 673 674 682 683 686 692 693 696 701 703 704 705 708 715 716 720 723 729 733 735 740 745 752]\n# step=0 row=29 minW=132 found cw of W=118: [33 37 49 55 56 63 99 106 127 134 137 138 141 154 160 161 165 183 192 193 195 201 208 218 219 220 224 227 237 240 244 248 254 270 271 294 295 299 302 306 314 333 336 343 348 351 356 379 380 385 398 403 415 421 426 446 462 465 466 469 470 471 484 489 493 503 512 514 519 528 533 537 539 542 543 555 560 561 568 573 574 577 587 588 596 597 610 614 616 623 625 629 633 634 636 637 644 645 650 652 653 657 664 667 674 683 693 701 714 715 717 720 721 729 735 740 743 750]\n# step=0 row=159 minW=118 found cw of W=112: [9 17 33 34 37 42 43 49 51 54 55 61 69 71 72 78 82 89 91 97 99 106 110 113 119 124 133 134 139 146 154 160 162 166 181 190 193 194 195 202 207 213 224 225 232 234 250 262 299 307 325 337 342 348 372 380 381 386 393 403 411 427 448 462 466 473 487 495 504 512 518 528 530 531 537 541 543 550 554 556 557 559 563 566 568 571 574 577 582 584 587 591 593 605 612 614 616 618 636 653 657 674 683 703 704 708 715 721 723 740 743 750]\n# step=0 row=179 minW=112 found cw of W=108: [1 2 9 18 27 54 55 69 71 82 91 98 106 110 112 113 119 124 138 139 141 146 155 160 161 166 174 183 185 194 195 207 218 230 234 244 245 264 266 271 281 289 294 295 299 306 310 325 326 333 341 342 344 381 385 386 391 399 400 421 426 427 432 448 455 462 466 470 471 484 489 493 495 504 519 522 528 537 541 542 543 550 557 561 568 573 582 588 593 607 610 625 632 633 637 644 652 673 674 683 693 714 715 720 729 735 743 750]\n# step=0 row=312 minW=108 found cw of W=106: [1 12 27 42 45 49 52 54 82 86 89 91 106 112 130 133 138 139 146 160 181 183 190 192 194 202 213 230 234 237 244 248 250 262 294 296 314 315 320 324 335 340 342 343 355 361 368 372 374 384 399 400 421 426 427 429 455 462 466 470 471 484 489 522 528 531 533 537 539 559 561 563 566 568 573 574 577 588 591 593 608 617 618 625 629 637 644 646 651 652 653 657 658 664 686 692 706 708 715 721 729 733 743 750 752 755]\n# step=3 row=3 minW=106 found cw of W=98: [5 6 18 24 35 39 41 45 74 82 107 109 110 120 131 136 137 144 146 150 162 164 169 176 193 201 205 208 210 220 226 237 241 248 256 262 267 273 275 298 299 317 323 324 328 329 335 343 347 353 354 360 388 391 411 423 433 434 437 438 439 452 458 464 468 474 479 498 500 504 509 517 519 527 528 543 548 550 558 568 570 584 602 609 610 618 632 643 666 667 676 696 701 707 722 733 734 746]\n# step=3 row=49 minW=98 found cw of W=94: [5 24 35 39 45 55 74 82 96 107 109 110 120 131 136 137 144 146 150 162 164 169 176 193 201 205 208 210 220 226 237 241 248 256 262 267 273 275 298 299 317 323 324 328 335 343 347 353 354 360 388 411 423 433 434 437 438 446 452 458 464 468 474 479 498 500 504 509 517 519 527 528 543 548 550 558 568 570 584 602 609 610 618 632 643 666 667 676 696 701 722 733 734 746]\n# step=4 row=38 minW=94 found cw of W=88: [2 3 28 30 39 51 70 74 83 84 85 95 112 113 124 127 129 133 134 136 138 140 147 160 193 196 203 226 234 238 240 244 245 247 248 251 255 272 275 283 303 310 317 326 380 381 382 393 416 417 435 436 443 447 462 468 470 471 479 490 491 496 512 526 533 535 553 560 566 569 576 584 586 587 604 612 618 622 625 627 635 649 669 670 694 704 717 737]\n# step=11 row=11 minW=88 found cw of W=86: [6 10 13 16 21 24 37 44 47 48 73 74 80 87 95 100 101 102 107 109 131 132 145 171 186 192 193 194 197 214 226 238 249 252 258 304 313 320 335 339 350 378 383 391 397 402 405 412 417 420 426 429 435 439 443 449 452 454 457 465 475 479 485 488 495 498 516 521 525 539 565 569 606 618 625 629 647 666 708 713 717 719 726 728 742 746]\n# step=11 row=242 minW=86 found cw of W=84: [6 10 13 16 21 37 44 47 48 74 80 87 95 100 101 102 107 109 114 131 132 145 171 186 192 193 194 197 214 226 238 249 252 258 304 313 320 335 339 350 378 383 391 397 405 412 417 420 426 429 435 439 443 449 452 454 464 465 475 479 485 488 495 498 516 521 525 539 565 569 606 618 625 629 647 666 708 713 717 719 726 728 742 746]\n# step=26 row=94 minW=84 found cw of W=72: [34 83 89 105 124 138 147 179 187 203 228 237 258 263 272 279 283 285 291 300 306 307 308 320 328 332 339 341 343 349 350 359 364 385 388 426 456 461 478 483 502 510 511 516 522 525 532 538 559 568 573 580 600 617 620 626 627 628 641 643 647 657 658 675 676 678 686 691 692 707 722 725]\n# step=26 row=295 minW=72 found cw of W=70: [34 83 89 105 124 147 179 203 237 258 263 272 279 283 285 291 300 306 307 308 320 328 332 339 341 343 349 350 359 364 385 388 426 456 461 478 483 502 510 511 522 525 532 538 559 560 568 571 573 580 600 617 620 626 627 628 641 643 647 657 658 675 676 678 686 691 692 707 722 725]\n# step=116 row=45 minW=70 found cw of W=64: [4 10 39 44 59 71 73 79 85 94 99 107 114 126 135 151 154 199 206 213 234 237 278 283 292 353 361 367 368 388 389 394 397 403 408 429 437 449 450 451 452 457 458 463 485 487 504 519 542 587 612 615 635 636 649 682 685 711 718 726 732 745 746 752]\n# step=198 row=169 minW=64 found cw of W=58: [11 39 50 84 128 134 141 142 178 186 197 217 222 223 224 227 231 248 271 292 303 307 311 317 323 327 366 368 373 401 430 451 468 483 491 512 518 519 532 541 556 563 573 595 601 611 631 646 655 656 689 691 698 711 721 732 739 750]\n# step=699 row=43 minW=58 found cw of W=56: [37 60 69 71 93 113 119 163 171 173 174 214 216 226 229 233 260 274 281 322 329 336 353 380 384 402 433 443 451 471 474 477 497 502 504 518 538 541 549 561 564 595 598 603 606 613 636 639 647 654 665 680 703 726 731 737]\n# step=886 row=84 minW=56 found cw of W=50: [9 21 43 76 83 88 103 131 137 144 178 181 207 234 248 262 276 283 324 325 338 392 393 399 415 441 476 481 489 490 510 515 521 522 530 531 536 557 571 605 606 614 649 655 656 670 696 703 709 737]\n# step=886 row=244 minW=50 found cw of W=46: [9 21 43 76 83 103 131 144 181 207 234 248 262 276 283 324 325 338 392 393 399 415 441 466 476 481 489 490 515 522 530 531 536 557 571 605 606 614 649 655 656 670 696 703 709 737]\n# round=1000 of 10000 minW=46\n# round=2000 of 10000 minW=46\n# round=3000 of 10000 minW=46\n# round=4000 of 10000 minW=46\n# round=5000 of 10000 minW=46\n# round=6000 of 10000 minW=46\n# round=7000 of 10000 minW=46\n# round=8000 of 10000 minW=46\n# round=9000 of 10000 minW=46\n# round=10000 of 10000 minW=46\nRW algorithm upper bound for the distance d=46\n</t>
  </si>
  <si>
    <t># step=0 row=1 minW=757 found cw of W=146: [1 5 8 15 18 29 45 47 50 51 52 57 60 61 64 65 72 84 88 92 95 104 115 122 128 129 131 134 135 137 140 144 146 153 161 163 170 180 182 188 195 196 203 214 241 243 244 253 263 269 282 284 294 296 298 299 303 313 318 322 339 341 347 352 361 364 368 370 384 386 390 392 396 403 417 420 423 432 434 437 440 441 444 454 466 470 476 478 481 483 486 489 498 509 512 517 518 526 528 534 539 541 547 558 564 568 569 570 573 575 577 581 592 594 595 599 610 613 615 616 618 622 637 644 654 658 663 665 666 672 680 689 702 704 705 707 708 714 719 730 731 732 738 739 740 742]\n# step=0 row=2 minW=146 found cw of W=114: [1 6 26 32 40 42 43 47 51 56 81 91 92 97 98 103 106 118 131 137 145 146 181 182 188 192 203 208 209 210 212 213 220 252 253 255 258 262 264 268 289 290 294 296 303 312 313 320 322 323 331 349 370 374 377 386 392 393 398 433 435 446 466 470 476 481 488 489 495 500 502 509 514 521 528 532 538 539 544 549 555 558 563 564 570 576 577 591 592 599 607 613 615 618 619 629 632 633 635 639 644 654 656 672 678 680 689 699 708 719 721 727 730 742]\n# step=0 row=43 minW=114 found cw of W=112: [1 26 32 40 42 43 47 51 56 81 91 92 96 97 98 103 106 118 122 131 137 146 181 182 188 192 203 208 209 210 212 213 220 252 253 255 258 262 264 268 289 290 294 296 303 312 313 320 322 323 331 349 370 374 377 384 386 392 393 398 435 439 466 470 476 481 489 500 502 509 514 521 528 532 538 539 544 549 555 558 563 564 570 576 577 591 592 599 607 613 615 618 619 629 632 633 635 639 644 654 656 672 678 680 689 699 708 719 721 727 730 742]\n# step=0 row=249 minW=112 found cw of W=108: [1 3 10 18 26 32 33 40 43 47 50 51 58 61 62 72 77 79 86 92 104 129 134 135 140 145 146 182 188 192 195 196 208 212 226 241 243 247 268 282 296 298 305 312 323 326 330 331 349 353 358 361 364 370 374 377 386 392 397 398 408 410 417 420 423 428 433 434 435 470 477 488 491 495 508 517 532 544 555 558 568 569 570 579 590 598 611 614 615 629 639 641 658 660 665 666 678 682 690 701 704 705 707 708 714 719 727 742]\n# step=3 row=210 minW=108 found cw of W=96: [24 28 29 43 49 65 73 90 100 109 113 118 126 128 134 149 162 164 171 178 181 182 183 208 211 213 216 219 227 229 248 257 258 262 269 272 278 282 296 302 317 319 337 346 381 393 394 408 417 427 447 464 478 482 491 504 505 507 517 531 533 537 541 546 548 551 554 556 559 560 566 567 577 580 581 584 591 603 608 614 622 644 651 659 662 667 680 681 690 705 708 730 735 736 749 750]\n# step=3 row=367 minW=96 found cw of W=86: [9 29 45 73 98 100 107 118 119 125 173 182 183 189 197 200 204 206 209 210 229 230 246 254 258 261 262 264 265 269 278 287 290 319 337 346 380 381 382 387 392 408 423 427 441 447 457 464 470 471 477 482 490 497 498 503 513 517 526 529 531 533 541 546 547 554 557 562 566 572 575 584 596 630 646 651 674 701 709 711 715 724 730 736 750 752]\n# step=27 row=93 minW=86 found cw of W=84: [9 10 58 72 100 107 111 114 116 134 150 157 165 168 173 179 196 200 206 213 214 215 227 232 241 279 283 288 297 311 346 352 358 373 381 388 422 428 442 443 477 485 487 489 498 518 526 528 529 532 534 535 543 544 546 549 557 567 575 581 588 591 592 611 612 622 625 629 634 635 641 649 654 666 675 682 689 690 705 710 724 725 736 737]\n# step=27 row=329 minW=84 found cw of W=80: [11 36 38 39 44 50 58 60 64 100 101 105 106 107 113 114 134 150 161 163 183 200 206 210 213 218 224 225 240 241 256 263 270 324 334 372 401 422 428 433 437 438 442 443 444 451 485 487 497 498 528 529 532 534 538 553 561 567 574 575 581 583 584 590 591 594 622 634 635 641 643 684 689 690 701 724 725 731 746 756]\n# step=42 row=248 minW=80 found cw of W=76: [1 2 8 13 18 29 42 53 69 77 83 92 123 137 138 144 146 157 182 201 212 234 241 283 330 331 335 341 357 365 366 379 380 384 391 406 412 415 420 425 434 468 481 486 491 496 522 525 530 532 556 566 570 571 576 592 605 615 625 645 646 649 654 660 666 681 694 703 708 713 719 730 736 739 750 756]\n# step=53 row=56 minW=76 found cw of W=70: [10 35 37 49 55 60 62 66 75 79 82 86 90 92 99 100 101 121 123 129 149 167 190 232 276 287 301 324 326 327 338 345 356 358 361 381 389 411 415 423 427 433 440 444 450 453 458 464 472 476 478 489 499 502 517 520 522 530 533 551 571 592 612 630 682 704 705 731 736 746]\n# step=147 row=283 minW=70 found cw of W=60: [9 14 23 28 34 83 113 137 158 172 188 193 207 221 234 235 242 248 256 332 353 357 381 392 401 422 441 448 463 467 482 490 497 505 515 536 538 550 559 564 566 570 571 591 595 619 621 634 640 647 660 662 682 685 701 710 724 730 735 737]\n# step=479 row=37 minW=60 found cw of W=58: [40 46 52 75 81 95 107 130 136 145 151 158 162 199 202 231 257 264 275 280 286 289 310 335 342 343 363 365 379 410 420 425 431 433 465 479 486 510 514 536 555 559 570 578 600 609 619 632 639 660 667 686 715 719 721 734 741 753]\n# step=479 row=215 minW=58 found cw of W=54: [40 46 81 95 107 130 136 145 151 158 162 199 202 231 257 264 275 280 286 289 310 335 342 343 365 379 410 418 420 431 433 465 479 486 510 514 536 555 559 570 578 600 609 619 632 639 660 667 686 715 719 721 734 753]\n# step=479 row=244 minW=54 found cw of W=52: [46 81 95 136 145 151 158 162 199 202 231 257 264 275 280 286 289 310 335 342 343 365 379 410 420 431 433 465 473 479 480 486 510 514 536 555 559 570 578 600 609 619 632 639 660 667 686 715 719 721 734 753]\n# step=524 row=344 minW=52 found cw of W=42: [2 3 11 13 14 17 52 61 65 68 72 112 167 222 229 282 308 331 335 337 342 370 380 384 393 395 416 421 457 462 498 588 637 651 655 660 678 713 718 720 745 750]\n# round=1000 of 10000 minW=42\n# round=2000 of 10000 minW=42\n# round=3000 of 10000 minW=42\n# round=4000 of 10000 minW=42\n# step=4258 row=84 minW=42 found cw of W=38: [22 29 35 77 79 90 127 132 141 182 185 187 189 194 196 214 242 258 269 324 345 387 427 428 476 518 525 566 567 608 615 625 656 674 675 715 724 739]\n# round=5000 of 10000 minW=38\n# round=6000 of 10000 minW=38\n# round=7000 of 10000 minW=38\n# round=8000 of 10000 minW=38\n# round=9000 of 10000 minW=38\n# round=10000 of 10000 minW=38\nRW algorithm upper bound for the distance d=38\n</t>
  </si>
  <si>
    <t># step=0 row=0 minW=757 found cw of W=158: [3 4 6 10 16 27 28 29 30 37 43 47 48 49 51 60 64 69 80 81 84 91 101 105 130 132 135 139 140 145 148 149 158 163 172 180 183 200 204 208 225 226 227 234 237 243 245 255 256 277 278 281 282 288 299 300 306 307 311 315 321 328 330 332 336 337 340 355 367 368 370 376 378 381 383 385 388 390 391 405 406 409 410 411 417 427 429 430 444 446 447 448 451 458 461 468 475 477 482 491 499 501 502 504 506 508 514 519 521 537 553 558 562 567 572 580 585 588 592 594 595 598 607 609 611 615 627 629 640 644 647 652 655 656 657 660 667 675 683 689 695 697 701 708 709 710 711 722 724 728 730 737 740 742 743 746 751 755]\n# step=0 row=2 minW=158 found cw of W=142: [4 6 7 18 19 22 27 28 40 42 44 45 47 49 51 54 72 78 80 81 86 89 101 105 109 119 135 140 143 148 156 157 158 163 172 174 189 192 200 202 211 215 220 225 226 244 254 260 266 268 278 282 299 300 306 312 315 322 328 330 336 337 340 341 360 362 368 370 378 381 383 385 388 390 391 395 405 406 411 424 427 429 430 431 433 440 442 445 446 447 448 468 477 478 481 483 489 491 500 501 508 521 522 537 542 556 562 565 576 586 588 593 604 607 609 611 627 638 640 648 652 655 659 660 665 683 688 689 706 709 711 717 722 730 733 740 742 744 746 749 750 752]\n# step=0 row=5 minW=142 found cw of W=140: [12 18 22 30 37 40 42 44 47 48 51 64 69 78 84 89 91 97 105 116 132 139 143 145 157 163 172 180 183 189 192 200 202 208 220 225 226 227 237 243 244 245 254 255 256 260 266 277 280 281 287 288 307 311 316 321 322 335 341 346 347 358 359 385 388 399 406 433 442 445 447 448 451 452 461 475 478 481 482 483 489 500 502 504 506 519 521 522 542 550 553 558 565 567 572 576 580 585 586 592 594 595 598 599 604 607 611 615 629 638 642 644 647 649 656 657 660 665 667 675 683 688 689 691 694 695 697 701 706 716 717 725 728 736 739 744 749 751 754 755]\n# step=0 row=6 minW=140 found cw of W=138: [2 13 18 21 27 37 42 43 44 45 48 51 54 80 81 84 86 91 97 101 105 107 128 135 139 143 146 149 150 156 157 158 160 162 182 190 192 206 228 237 244 245 252 254 260 266 268 280 283 287 296 300 310 311 312 316 319 321 322 325 328 330 335 339 347 355 358 359 362 367 370 373 374 388 391 399 404 405 410 411 424 430 433 440 445 446 482 501 508 519 528 529 537 550 560 565 570 576 580 583 593 598 599 606 609 618 638 639 640 642 644 647 660 667 673 683 684 689 691 697 699 701 703 705 706 716 717 725 728 730 733 741 746 749 750 752 754 755]\n# step=0 row=16 minW=138 found cw of W=130: [21 22 28 32 37 38 42 43 48 53 54 78 80 81 89 91 101 128 130 131 135 139 146 148 149 156 157 163 171 182 189 200 202 204 225 227 228 234 237 255 266 268 281 282 283 299 306 312 316 319 325 330 336 337 341 347 358 359 361 362 368 375 376 381 388 391 404 410 419 425 429 430 442 445 451 466 468 474 477 478 482 483 491 500 506 508 514 519 521 522 556 560 580 586 588 598 606 609 627 629 640 642 647 655 656 659 684 688 689 691 694 695 697 701 716 717 725 728 730 733 736 739 741 743 744 746 750 753 754 755]\n# step=0 row=23 minW=130 found cw of W=128: [18 19 22 29 40 42 43 44 46 51 54 64 71 84 91 97 101 105 107 108 116 119 128 139 145 146 148 149 150 157 162 163 171 172 174 182 189 190 204 206 211 225 226 228 234 245 252 254 255 256 260 266 277 280 283 287 293 296 300 304 311 316 321 322 328 332 335 339 341 346 355 360 362 373 376 378 395 407 410 431 433 444 445 448 477 482 521 528 529 537 550 556 560 570 581 583 585 588 599 606 607 615 618 629 638 639 640 644 648 649 659 660 667 673 675 688 695 706 728 730 733 736 737 739 740 743 744 750]\n# step=0 row=25 minW=128 found cw of W=124: [1 8 21 28 30 40 43 45 47 51 52 54 69 81 86 97 105 128 130 132 139 140 143 146 157 163 171 172 192 208 211 225 234 254 255 260 266 268 282 287 293 297 300 304 311 312 315 316 319 321 322 325 332 337 342 346 355 374 376 399 404 406 407 409 410 417 425 440 445 447 448 451 452 458 461 466 468 475 478 491 499 500 502 506 514 542 550 556 562 565 576 581 592 599 609 611 629 638 640 649 652 655 656 675 689 695 697 699 703 705 709 710 716 722 728 733 739 741 742 743 744 749 751 752]\n# step=0 row=63 minW=124 found cw of W=120: [4 6 18 19 22 27 29 37 53 78 86 89 105 115 116 130 131 140 148 156 158 160 171 172 189 200 202 204 227 244 255 266 278 280 281 287 299 300 306 310 316 319 325 335 340 341 355 360 362 375 376 380 385 388 390 404 405 406 409 410 411 419 425 431 433 442 444 446 447 465 466 474 477 478 483 491 499 501 514 519 521 522 537 558 562 586 588 593 607 609 627 640 648 649 652 659 660 665 683 688 689 694 695 697 708 711 716 717 722 728 730 739 740 741 742 744 746 752 753 754]\n# step=0 row=102 minW=120 found cw of W=106: [1 8 19 28 30 40 49 54 84 91 116 119 128 139 149 157 160 163 172 174 185 192 211 225 226 227 234 255 280 281 282 297 310 311 315 316 325 328 330 335 337 339 342 346 347 355 358 359 360 362 367 370 376 381 385 388 399 410 424 427 431 445 448 468 475 478 482 489 500 514 521 550 558 565 593 599 611 618 640 642 644 648 655 656 660 665 667 675 683 689 691 694 695 697 701 705 706 709 717 725 733 736 749 750 751 754]\n# step=0 row=133 minW=106 found cw of W=90: [1 8 19 29 37 44 81 86 116 130 149 171 172 204 215 220 226 234 240 268 280 281 297 302 310 312 315 319 328 330 335 339 342 347 358 359 360 367 368 374 380 388 404 409 417 458 478 499 514 519 521 550 556 593 598 599 604 609 618 640 642 644 648 649 656 660 665 667 673 675 683 691 694 699 701 703 705 706 709 716 717 722 725 735 736 739 740 741 750 752]\n# step=10 row=53 minW=90 found cw of W=82: [1 3 6 9 10 12 15 29 43 61 65 68 72 78 89 93 98 99 119 139 144 154 174 181 189 196 218 236 239 243 244 250 261 281 295 300 302 316 329 332 349 356 378 381 388 393 394 441 448 449 451 456 477 478 484 505 517 527 546 561 568 587 617 618 639 659 667 669 673 678 679 680 688 701 703 710 714 724 733 736 750 755]\n# step=10 row=240 minW=82 found cw of W=76: [1 9 10 12 23 24 31 43 48 49 54 65 72 79 92 99 103 113 138 181 193 228 229 233 236 273 282 283 284 288 293 297 304 335 337 346 347 352 367 372 377 381 387 388 393 404 415 429 441 449 456 463 467 469 490 491 531 558 560 581 606 611 615 626 627 669 696 701 703 704 710 724 725 733 736 755]\n# step=34 row=78 minW=76 found cw of W=62: [13 23 54 57 77 78 104 112 117 125 133 144 159 168 169 172 177 179 221 224 226 231 267 275 288 322 330 331 336 371 377 378 393 407 412 415 427 442 446 455 456 461 469 483 491 502 503 518 526 555 567 605 610 661 689 695 700 703 709 714 715 751]\n# round=1000 of 10000 minW=62\n# step=1142 row=39 minW=62 found cw of W=56: [29 39 40 73 80 84 86 94 100 102 107 111 117 139 145 146 149 157 172 178 179 183 186 194 201 220 366 368 374 421 429 430 470 473 485 489 495 508 511 523 529 533 537 540 551 563 564 605 611 626 634 675 695 716 746 752]\n# step=1408 row=110 minW=56 found cw of W=44: [24 38 51 53 86 88 93 96 97 108 130 145 148 155 159 162 178 186 206 249 261 298 316 323 339 376 394 425 429 461 473 515 521 529 536 551 556 592 627 671 731 745 749 754]\n# round=2000 of 10000 minW=44\n# round=3000 of 10000 minW=44\n# round=4000 of 10000 minW=44\n# round=5000 of 10000 minW=44\n# round=6000 of 10000 minW=44\n# round=7000 of 10000 minW=44\n# round=8000 of 10000 minW=44\n# round=9000 of 10000 minW=44\n# round=10000 of 10000 minW=44\nRW algorithm upper bound for the distance d=44\n</t>
  </si>
  <si>
    <t># step=0 row=0 minW=757 found cw of W=138: [1 2 12 19 20 23 38 48 49 56 57 68 74 77 81 83 89 91 97 100 108 111 118 119 129 132 136 139 143 145 146 159 162 168 179 181 184 185 192 200 201 202 203 204 207 208 221 227 229 239 245 246 257 258 264 275 284 289 297 302 313 320 324 331 334 338 339 343 345 346 353 366 369 372 379 380 392 396 400 402 405 411 426 432 456 461 462 463 490 492 495 510 512 514 531 533 551 553 558 570 577 580 582 584 585 592 599 604 605 608 612 618 619 631 637 649 651 657 666 670 674 678 680 682 689 690 694 695 712 718 722 730 735 739 741 742 743 750]\n# step=0 row=1 minW=138 found cw of W=122: [1 3 4 5 10 16 17 36 38 39 46 48 49 56 57 58 61 68 78 82 87 91 93 98 100 113 115 117 127 129 131 132 136 138 156 159 162 168 180 193 200 201 202 203 208 211 221 229 242 262 284 320 329 331 338 339 340 369 372 375 380 381 386 391 396 405 426 428 440 441 444 447 448 449 453 456 458 460 462 465 469 472 475 477 482 490 494 509 510 515 522 530 536 546 552 553 558 577 585 586 592 600 605 608 612 615 641 649 651 657 667 676 682 705 707 709 725 734 739 741 742 750]\n# step=0 row=33 minW=122 found cw of W=120: [1 4 10 12 17 30 38 42 48 49 57 59 61 64 65 69 71 72 77 78 82 89 91 97 99 124 131 139 146 149 156 159 162 168 179 199 200 202 203 207 227 242 258 292 302 310 320 328 331 334 338 340 346 356 357 366 369 371 372 375 379 380 392 396 400 402 405 411 419 428 432 442 444 449 450 452 461 463 478 482 495 512 515 519 522 530 542 544 551 553 580 582 584 586 592 600 608 611 631 634 639 642 657 672 674 675 676 680 690 709 712 716 718 723 734 739 742 743 744 749]\n# step=0 row=45 minW=120 found cw of W=112: [1 19 23 30 38 42 48 49 54 57 69 70 74 81 91 94 98 99 113 118 124 129 136 140 143 156 159 168 179 180 181 184 185 192 199 200 203 207 211 221 227 239 242 246 275 289 297 310 338 345 353 356 357 371 372 380 393 413 428 432 441 447 448 452 461 472 475 478 483 492 510 514 519 522 531 541 542 546 553 570 571 577 580 582 585 592 599 600 604 605 618 619 634 639 641 666 667 670 675 689 694 695 701 709 716 722 723 730 735 744 749 750]\n# step=0 row=51 minW=112 found cw of W=108: [19 22 30 48 57 68 77 78 81 82 87 89 91 97 104 108 110 117 118 119 127 131 132 138 139 143 145 146 159 168 179 201 203 208 221 229 258 284 289 302 313 320 324 329 334 339 344 345 350 353 356 366 369 379 391 392 400 402 405 411 419 421 426 428 441 447 453 456 462 463 465 477 488 492 509 512 515 551 553 558 582 585 592 600 605 608 612 631 649 651 657 667 672 675 680 682 690 695 707 712 716 718 723 728 735 739 741 742]\n# step=0 row=188 minW=108 found cw of W=106: [1 17 20 22 23 30 36 41 48 49 54 56 57 59 64 71 74 82 83 91 93 96 97 104 111 115 118 131 146 162 168 185 200 202 204 207 208 221 226 229 242 245 257 264 284 292 297 313 324 328 339 340 343 345 365 366 375 386 421 426 439 441 446 450 456 458 462 488 492 495 509 514 515 522 530 533 541 552 558 576 577 580 582 584 605 612 618 637 641 642 651 659 667 672 674 678 682 695 725 730 734 737 739 741 743 749]\n# step=0 row=206 minW=106 found cw of W=94: [1 23 30 42 54 57 69 70 74 78 82 83 91 98 104 113 117 118 124 127 129 131 132 136 138 159 168 179 180 181 184 192 203 221 226 239 242 246 275 289 302 345 346 356 357 366 380 392 406 413 421 428 448 460 475 477 482 490 492 495 510 515 522 531 541 544 546 551 553 570 571 576 582 585 592 599 604 605 611 619 659 666 667 680 689 694 695 701 709 722 723 743 749 750]\n# step=0 row=344 minW=94 found cw of W=86: [1 5 12 16 19 20 23 30 39 42 46 48 69 81 91 99 104 117 118 124 127 132 138 143 146 184 185 193 201 208 226 229 239 246 284 289 297 302 328 329 334 339 343 344 346 350 353 357 379 380 391 392 419 426 442 446 447 456 460 461 472 477 482 514 536 558 576 585 615 618 651 659 668 672 680 682 705 707 712 718 728 730 735 737 741 749]\n# step=17 row=147 minW=86 found cw of W=82: [5 14 15 22 56 59 67 69 70 79 102 121 128 134 146 148 155 157 176 183 189 196 207 208 240 255 262 265 269 270 293 294 295 299 305 312 344 346 350 353 356 357 376 389 393 405 406 412 413 416 431 442 454 479 495 500 519 526 528 532 533 543 549 569 582 593 610 631 639 641 642 643 671 677 680 685 687 700 722 724 745 749]\n# step=54 row=261 minW=82 found cw of W=68: [50 74 85 100 107 129 140 141 151 154 155 156 171 197 199 206 209 212 213 216 219 234 235 240 241 271 276 278 282 287 296 303 337 340 384 395 429 433 472 474 483 500 507 514 534 539 562 564 569 575 578 583 589 611 612 630 634 635 642 661 675 680 691 710 716 732 740 751]\n# step=63 row=29 minW=68 found cw of W=66: [5 9 14 22 30 37 60 63 64 91 124 137 143 157 158 165 173 214 233 235 247 255 261 277 290 296 297 310 325 332 339 345 359 380 387 403 406 407 413 414 441 445 469 490 494 500 502 515 521 524 546 549 564 565 576 579 584 606 646 647 654 680 694 701 737 744]\n# step=112 row=2 minW=66 found cw of W=50: [4 15 69 98 139 147 155 183 204 214 235 238 242 247 263 288 289 290 292 293 296 303 344 348 355 357 401 427 435 448 497 531 533 546 572 577 588 592 595 613 620 625 647 666 670 681 723 732 735 756]\n# step=112 row=180 minW=50 found cw of W=48: [15 69 98 139 147 155 183 204 214 235 238 242 247 263 288 289 290 293 296 303 344 348 355 357 359 401 427 435 448 497 531 533 546 572 577 588 592 595 613 620 625 647 666 681 723 725 735 756]\n# round=1000 of 10000 minW=48\n# step=1718 row=181 minW=48 found cw of W=46: [2 3 43 48 65 84 92 97 98 104 109 113 124 139 144 164 168 171 175 179 181 188 381 408 413 416 426 435 436 442 448 471 481 482 497 516 522 538 565 606 611 660 696 701 709 745]\n# round=2000 of 10000 minW=46\n# round=3000 of 10000 minW=46\n# round=4000 of 10000 minW=46\n# round=5000 of 10000 minW=46\n# step=5467 row=132 minW=46 found cw of W=44: [61 75 137 170 186 191 216 219 220 231 232 253 286 308 379 390 404 405 411 431 454 469 495 508 536 548 564 569 570 575 594 603 609 618 643 658 667 684 692 699 707 719 734 748]\n# round=6000 of 10000 minW=44\n# round=7000 of 10000 minW=44\n# round=8000 of 10000 minW=44\n# round=9000 of 10000 minW=44\n# round=10000 of 10000 minW=44\nRW algorithm upper bound for the distance d=44\n</t>
  </si>
  <si>
    <t># step=0 row=0 minW=757 found cw of W=160: [3 11 13 14 20 21 25 28 44 51 55 59 68 73 90 92 94 98 100 101 119 128 130 131 132 133 140 154 156 162 164 165 171 182 183 186 187 193 194 204 205 209 218 227 229 235 239 242 245 246 251 260 265 271 272 275 276 284 286 290 293 295 299 300 302 303 310 311 312 313 320 323 325 333 338 343 344 354 358 361 368 374 378 380 381 382 387 388 392 398 405 409 412 414 415 422 427 430 437 441 443 444 448 449 451 453 460 461 473 493 498 501 502 508 511 513 517 523 525 539 540 547 549 552 568 570 575 577 578 582 584 590 591 594 597 598 603 611 615 622 630 633 640 650 652 653 654 660 674 677 679 690 691 704 706 715 723 724 725 751]\n# step=0 row=1 minW=160 found cw of W=154: [4 14 20 21 25 27 38 47 49 55 59 69 70 73 76 80 83 90 91 98 102 106 111 112 118 119 121 125 128 131 133 140 145 150 155 171 175 179 181 182 183 186 192 193 194 205 219 222 226 229 235 239 245 249 251 260 271 272 273 276 284 288 300 301 311 312 318 323 329 331 332 343 347 351 354 355 382 391 392 394 398 401 406 412 414 423 427 435 437 440 441 443 448 449 451 453 455 461 463 464 478 481 492 495 498 502 510 511 517 522 523 525 531 535 541 549 557 562 570 572 577 578 580 582 584 598 606 611 615 617 621 622 633 639 644 649 650 654 665 673 674 675 689 690 704 713 714 721 723 724 725 732 752 755]\n# step=0 row=3 minW=154 found cw of W=126: [2 6 9 11 20 21 25 38 49 55 59 73 79 80 94 106 114 117 121 150 155 158 171 175 193 194 199 204 210 217 219 221 222 226 239 242 249 251 271 274 276 282 284 288 292 293 294 295 299 300 302 303 312 313 315 318 323 325 329 331 332 333 338 343 344 351 358 361 368 374 375 378 382 388 394 398 405 415 435 443 444 446 451 452 453 457 461 463 492 493 502 505 510 518 525 527 539 549 550 557 559 567 571 580 588 590 591 594 598 606 611 639 644 650 665 675 677 679 690 691 706 715 727 740 748 751]\n# step=0 row=4 minW=126 found cw of W=124: [1 7 9 14 27 56 62 64 68 73 86 94 100 111 112 117 119 128 130 133 140 145 155 158 162 179 182 183 192 193 194 205 218 222 229 235 236 244 245 247 260 271 274 282 284 292 299 301 310 312 313 315 331 333 343 347 351 354 361 368 374 375 386 388 392 406 412 423 427 437 444 446 449 451 452 455 461 482 493 495 498 501 510 511 517 522 523 531 539 547 559 562 563 568 578 584 588 590 617 621 627 630 633 639 653 655 660 662 667 674 675 690 691 704 706 714 715 723 724 732 740 748 752 755]\n# step=0 row=21 minW=124 found cw of W=120: [2 35 51 59 64 68 69 70 79 80 92 98 100 101 106 112 117 118 120 125 130 131 150 154 155 156 158 162 164 171 179 186 193 194 204 205 209 221 235 238 239 242 246 249 260 265 271 274 275 276 282 286 290 301 310 312 315 320 323 347 351 375 380 386 401 406 409 414 429 430 446 448 455 460 463 473 498 501 502 508 513 522 523 525 531 539 540 549 550 552 562 570 571 572 575 578 582 584 588 594 597 603 611 617 630 633 639 640 644 649 652 653 660 662 665 674 689 690 725 748]\n# step=0 row=35 minW=120 found cw of W=106: [20 28 38 49 51 58 80 98 100 120 126 128 130 131 132 162 164 165 171 186 187 193 194 204 227 238 242 246 249 260 276 282 284 288 290 292 298 301 311 312 323 331 332 333 347 351 353 354 374 386 388 394 397 401 408 409 422 435 437 443 450 453 457 460 461 463 464 471 473 478 482 487 492 498 502 508 525 548 549 550 570 572 575 584 588 598 599 611 621 627 633 639 640 644 649 654 674 675 689 690 704 706 715 724 738 751]\n# step=0 row=274 minW=106 found cw of W=68: [13 14 20 49 68 69 80 90 111 121 130 131 186 222 246 271 282 290 292 303 310 312 331 354 358 361 378 391 392 401 409 412 415 422 440 441 453 460 461 464 481 482 501 508 510 544 559 563 570 572 575 591 598 611 621 630 634 640 653 655 660 689 690 704 715 723 724 752]\n# step=5 row=248 minW=68 found cw of W=56: [35 90 127 128 151 158 178 189 190 218 220 227 231 245 249 252 255 259 263 286 287 307 331 338 339 342 358 369 420 431 457 469 480 510 512 521 547 556 560 580 584 598 602 609 622 629 641 646 647 649 650 670 682 690 708 712]\n# step=196 row=62 minW=56 found cw of W=42: [4 15 115 136 156 165 170 172 176 191 211 221 231 232 246 262 276 286 287 296 330 338 341 396 444 445 486 494 514 550 554 555 563 578 584 612 613 630 654 680 695 736]\n# round=1000 of 10000 minW=42\n# round=2000 of 10000 minW=42\n# round=3000 of 10000 minW=42\n# round=4000 of 10000 minW=42\n# round=5000 of 10000 minW=42\n# round=6000 of 10000 minW=42\n# round=7000 of 10000 minW=42\n# round=8000 of 10000 minW=42\n# round=9000 of 10000 minW=42\n# round=10000 of 10000 minW=42\nRW algorithm upper bound for the distance d=42\n</t>
  </si>
  <si>
    <t># step=0 row=1 minW=757 found cw of W=140: [1 4 8 9 11 12 15 30 40 51 58 59 61 65 66 68 74 75 102 108 114 129 145 146 149 151 152 157 158 159 162 169 171 187 190 203 204 215 222 225 228 233 242 245 248 251 254 258 265 269 271 273 275 277 280 292 294 297 302 306 314 319 321 338 341 342 346 347 350 353 354 357 360 363 365 379 384 387 389 394 396 398 401 404 414 425 437 438 439 444 452 465 469 477 479 488 490 493 508 519 526 534 537 540 549 554 557 559 562 565 567 575 577 590 600 602 604 614 632 644 648 649 650 652 657 661 662 666 672 673 678 682 690 693 702 708 730 737 740 756]\n# step=0 row=3 minW=140 found cw of W=134: [6 8 12 15 20 27 29 40 44 45 58 61 65 68 74 97 102 106 108 114 116 129 146 149 150 153 157 169 176 178 187 190 198 203 204 208 215 222 225 233 251 254 258 263 265 269 272 273 275 276 280 284 293 294 295 299 300 302 306 307 312 314 317 318 319 321 325 327 334 338 341 342 346 347 353 354 360 363 365 367 385 387 389 401 402 404 423 438 441 445 467 472 473 478 479 485 486 513 514 516 523 534 537 540 549 557 562 575 581 590 602 604 623 632 644 648 650 652 654 666 677 678 690 693 695 702 708 709 713 725 731 740 750 756]\n# step=0 row=9 minW=134 found cw of W=122: [1 8 9 19 26 30 40 44 45 51 52 70 87 97 102 106 108 116 132 141 146 149 150 157 162 190 194 198 203 204 205 215 223 225 229 237 242 245 248 258 260 265 271 273 277 280 283 285 293 295 297 300 302 309 319 342 346 350 353 363 385 387 395 396 404 418 419 423 425 436 443 444 445 452 453 465 466 472 478 484 486 493 494 508 510 513 514 523 526 534 537 540 549 555 559 565 575 577 581 590 600 601 607 614 615 649 650 661 662 673 677 690 693 700 706 707 718 730 731 737 740 751]\n# step=0 row=40 minW=122 found cw of W=116: [9 10 15 20 24 27 29 30 40 45 47 50 51 61 65 66 68 70 75 78 84 96 107 116 127 129 139 141 151 156 158 162 168 171 175 176 178 187 190 194 203 215 228 242 250 251 272 273 283 293 297 300 307 334 341 352 379 387 388 389 393 394 395 398 402 414 423 425 428 436 438 439 450 456 457 464 465 467 479 485 488 490 498 504 507 508 511 514 516 519 526 540 561 562 567 577 581 588 594 600 616 623 636 644 649 652 657 667 673 682 690 693 706 731 737 740]\n# step=0 row=44 minW=116 found cw of W=114: [10 24 40 44 47 51 52 61 63 66 68 74 75 79 83 87 90 107 108 113 132 141 145 152 153 159 168 175 194 206 208 212 222 223 228 234 237 245 251 257 268 277 284 285 292 293 300 302 306 312 319 341 347 350 354 357 363 367 373 379 387 395 398 401 418 419 425 436 439 441 450 453 461 464 488 494 496 507 513 514 516 526 537 545 551 554 555 562 581 590 615 623 634 644 649 650 652 661 667 672 673 677 682 690 693 705 706 707 713 716 717 718 731 740]\n# step=0 row=172 minW=114 found cw of W=88: [8 11 25 40 44 45 47 52 59 61 66 68 70 78 80 106 107 116 127 129 141 149 153 156 168 171 175 176 178 204 205 208 215 225 260 263 265 280 299 306 307 309 318 342 347 348 350 354 379 384 387 398 414 418 423 428 430 436 439 441 456 472 473 477 478 479 488 504 507 508 511 519 534 554 555 575 594 600 649 677 690 693 698 700 713 716 725 751]\n# step=4 row=136 minW=88 found cw of W=76: [8 15 28 31 45 59 60 63 86 100 114 118 125 129 135 155 162 169 173 180 184 203 205 210 228 232 239 272 276 280 283 294 301 309 320 321 331 342 357 401 409 410 418 453 458 464 491 493 519 520 542 543 547 548 575 584 596 597 609 610 636 637 645 659 663 664 674 685 694 698 700 708 726 747 749 752]\n# step=19 row=26 minW=76 found cw of W=74: [1 3 5 8 12 27 28 35 38 58 61 65 79 110 113 117 124 151 158 175 202 206 218 225 230 240 247 255 257 261 264 266 268 273 282 315 316 322 323 328 331 344 367 411 412 422 429 438 439 446 494 528 577 584 596 597 603 625 660 664 665 667 669 673 687 695 699 700 701 704 714 734 736 755]\n# step=19 row=261 minW=74 found cw of W=70: [1 3 5 8 12 27 28 35 38 58 65 79 113 117 124 158 175 202 206 218 225 230 240 247 255 257 261 264 266 268 273 282 315 316 322 323 328 331 344 367 411 412 422 429 438 446 501 528 577 584 596 597 603 625 660 664 665 667 669 673 687 695 699 700 701 704 714 734 736 755]\n# step=49 row=351 minW=70 found cw of W=62: [16 49 50 78 84 98 132 160 193 194 203 222 236 242 270 271 284 293 297 312 326 352 359 361 367 373 381 382 402 416 427 451 456 462 482 492 505 510 546 552 559 565 571 581 593 601 615 616 627 643 650 661 669 685 690 691 705 710 711 717 726 736]\n# step=89 row=169 minW=62 found cw of W=52: [3 15 37 58 70 109 113 128 134 154 155 159 164 168 175 176 182 183 202 214 231 237 261 323 326 378 388 437 443 457 463 470 477 478 487 498 503 504 526 532 549 552 574 580 587 604 635 702 704 725 745 751]\n# step=89 row=199 minW=52 found cw of W=50: [3 37 58 70 105 109 113 134 154 155 159 164 168 175 176 182 183 202 214 231 237 261 323 378 381 416 437 443 457 463 470 471 477 487 498 503 504 526 532 549 552 574 580 587 604 635 702 725 745 751]\n# step=89 row=225 minW=50 found cw of W=48: [37 58 93 105 109 113 134 154 155 159 164 168 175 176 182 183 202 214 231 237 261 323 378 416 436 437 457 463 470 471 477 487 498 503 504 526 532 549 552 574 580 587 604 635 702 725 745 751]\n# round=1000 of 10000 minW=48\n# round=2000 of 10000 minW=48\n# step=2535 row=181 minW=48 found cw of W=38: [4 11 17 39 60 61 71 72 85 109 123 164 167 171 178 347 382 389 394 402 410 414 443 451 484 507 541 607 608 631 656 657 697 705 706 721 725 747]\n# round=3000 of 10000 minW=38\n# round=4000 of 10000 minW=38\n# round=5000 of 10000 minW=38\n# round=6000 of 10000 minW=38\n# round=7000 of 10000 minW=38\n# round=8000 of 10000 minW=38\n# round=9000 of 10000 minW=38\n# round=10000 of 10000 minW=38\nRW algorithm upper bound for the distance d=38\n</t>
  </si>
  <si>
    <t># step=0 row=0 minW=757 found cw of W=146: [1 2 3 6 10 13 18 19 24 40 48 56 58 63 65 69 70 73 74 78 79 81 83 86 98 109 116 122 127 130 134 135 141 144 145 147 152 164 166 177 178 182 187 189 194 196 209 217 229 231 242 243 246 250 263 270 271 272 278 285 286 287 288 292 301 302 313 323 326 328 329 331 332 333 336 341 346 351 357 360 366 372 383 386 390 393 412 416 421 432 433 435 440 448 451 492 494 497 502 507 516 519 521 531 543 546 551 559 566 567 572 575 578 582 584 587 604 607 618 621 626 628 642 645 648 651 656 663 666 667 674 676 680 682 692 696 701 703 706 714 715 716 720 731 735 744]\n# step=0 row=1 minW=146 found cw of W=126: [1 4 5 6 10 11 13 23 24 37 40 45 48 52 56 63 67 69 79 83 86 113 130 134 137 141 142 144 145 164 168 172 175 179 207 214 217 220 243 269 271 272 273 285 287 292 303 313 317 326 329 332 333 335 336 351 357 358 363 383 385 387 389 390 403 412 418 425 429 430 432 433 434 435 436 456 475 485 493 501 502 508 516 525 526 534 546 551 557 564 566 567 575 578 591 592 593 600 604 605 613 621 642 645 651 656 660 663 668 676 680 682 690 691 702 703 706 710 711 714 720 725 731 735 740 751]\n# step=0 row=3 minW=126 found cw of W=122: [5 8 10 18 19 37 40 44 45 52 58 61 63 65 67 69 70 74 81 86 98 109 116 127 137 142 145 147 149 152 156 164 178 187 194 203 209 231 242 250 263 271 273 276 282 286 293 302 316 319 323 332 333 335 337 341 346 357 358 360 363 383 385 386 387 389 390 407 412 418 425 430 433 434 435 440 443 447 448 456 470 475 477 478 484 485 502 507 519 521 526 531 546 551 559 564 572 581 582 593 595 604 613 626 628 643 648 651 660 677 682 692 696 701 703 706 708 710 731 736 749 752]\n# step=0 row=6 minW=122 found cw of W=108: [6 14 18 19 24 37 48 55 58 61 62 63 65 68 74 78 79 81 83 109 116 127 134 144 147 164 178 187 194 195 209 222 231 242 250 263 270 278 280 282 286 288 316 319 325 326 331 332 333 335 336 337 340 341 360 361 366 372 387 390 393 402 421 432 436 439 441 442 447 451 470 480 483 492 502 507 516 519 521 525 526 531 551 559 566 568 572 582 593 600 604 606 626 648 660 666 682 690 692 708 714 715 716 720 731 744 749 752]\n# step=0 row=43 minW=108 found cw of W=106: [1 3 10 13 40 55 56 61 62 68 70 73 86 92 98 122 130 135 141 145 152 166 177 182 189 195 196 217 222 229 243 246 271 272 280 282 285 287 292 301 302 313 316 319 323 328 329 335 337 340 346 351 357 361 383 386 402 412 416 433 436 439 440 441 447 448 470 480 483 494 497 525 526 543 546 567 568 575 578 584 587 593 600 606 607 618 621 628 642 645 651 656 660 663 667 674 676 680 690 696 701 706 708 735 749 752]\n# step=0 row=164 minW=106 found cw of W=104: [1 6 18 19 24 48 55 58 61 62 65 68 74 78 79 81 109 116 134 144 147 164 178 187 194 195 209 222 231 242 250 263 270 278 280 282 286 288 316 319 325 326 330 331 332 333 335 336 337 340 341 360 361 366 371 372 385 387 390 393 402 421 426 432 439 441 442 451 477 480 483 492 502 507 516 519 521 525 526 531 551 559 566 568 572 582 593 600 604 606 626 648 660 666 682 690 692 714 715 716 720 731 744 752]\n# step=2 row=41 minW=104 found cw of W=102: [4 7 14 17 24 31 34 50 56 59 63 66 75 78 79 107 114 125 128 130 133 137 138 140 143 146 154 161 176 181 188 191 198 213 233 236 240 241 276 281 283 296 302 303 311 317 333 337 357 358 361 362 373 383 385 416 422 426 439 440 471 472 473 485 519 521 524 530 532 534 538 558 560 565 569 570 571 575 581 586 598 607 620 622 624 627 646 650 654 656 660 666 676 688 689 697 710 711 712 724 729 755]\n# step=3 row=301 minW=102 found cw of W=100: [5 20 22 27 53 60 63 67 94 105 118 125 128 132 146 150 160 181 195 208 215 218 241 245 251 253 254 257 261 262 268 282 286 290 292 309 311 319 324 359 360 361 365 368 371 376 377 396 397 416 423 444 464 475 487 489 510 528 547 551 556 561 568 572 573 582 583 590 605 614 618 619 622 623 629 635 640 654 660 662 663 664 670 671 674 680 684 686 693 702 703 711 715 729 732 733 741 743 750 755]\n# step=5 row=334 minW=100 found cw of W=98: [2 3 23 24 34 36 42 48 57 65 71 73 76 79 86 96 97 100 107 119 126 127 131 134 155 156 158 169 175 176 183 199 200 205 211 230 231 236 274 275 278 285 289 309 316 325 330 332 337 344 351 357 358 376 378 382 388 393 415 416 423 436 463 467 470 474 481 485 487 490 493 498 503 508 512 523 526 542 548 574 577 590 591 613 614 645 656 669 676 687 704 705 710 711 714 725 742 746]\n# step=5 row=359 minW=98 found cw of W=86: [24 37 42 49 57 58 64 65 69 73 79 86 93 96 97 103 112 118 125 144 147 151 155 158 160 169 176 182 186 189 190 193 197 206 229 268 282 312 326 331 337 346 357 382 386 388 393 402 406 408 412 416 420 423 427 437 443 449 455 461 469 470 474 477 478 481 487 503 508 512 517 523 533 538 539 561 590 613 660 662 701 703 711 724 735 745]\n# step=13 row=141 minW=86 found cw of W=84: [9 29 30 57 90 92 124 134 137 142 153 174 178 181 182 188 189 191 192 198 201 214 232 233 249 268 271 277 278 318 326 332 346 358 392 393 394 401 402 413 415 435 441 443 449 457 470 483 484 491 497 498 503 506 515 520 537 539 556 557 558 566 575 576 579 581 587 592 600 606 620 628 634 646 654 655 695 703 704 710 717 740 745 751]\n# step=18 row=348 minW=84 found cw of W=76: [8 37 41 52 53 73 92 97 99 103 104 108 119 128 141 145 148 156 160 174 180 183 184 189 190 224 225 231 248 257 264 296 301 303 305 307 324 349 356 360 362 369 375 402 415 448 458 485 492 505 507 513 519 536 539 548 558 563 567 568 572 575 581 589 593 596 621 622 635 662 663 674 685 690 729 746]\n# step=53 row=240 minW=76 found cw of W=62: [11 13 18 47 54 82 89 91 97 137 138 144 182 192 202 234 236 244 247 251 300 330 341 342 348 355 356 376 385 386 399 405 411 431 434 440 441 454 467 469 490 495 511 522 536 537 559 560 566 586 601 629 642 673 677 680 708 720 729 732 734 754]\n# step=112 row=149 minW=62 found cw of W=58: [18 32 110 114 124 165 168 169 172 176 179 184 189 195 219 224 250 279 281 285 320 334 341 343 350 371 375 376 398 410 412 459 492 500 508 541 562 567 573 575 582 590 597 598 616 639 657 680 687 698 703 707 714 718 721 728 742 749]\n# step=112 row=336 minW=58 found cw of W=54: [18 32 110 114 124 165 168 169 172 176 179 184 189 195 219 224 250 279 281 320 341 343 350 371 376 398 410 412 459 492 500 508 541 562 567 573 575 582 590 597 598 616 639 657 663 680 687 698 703 714 721 728 742 749]\n# step=535 row=278 minW=54 found cw of W=52: [8 18 38 45 49 55 62 107 191 205 220 240 246 252 275 286 289 296 310 317 321 322 335 341 361 371 390 392 412 439 480 529 540 569 570 578 583 589 598 613 632 659 664 665 695 700 703 708 714 715 736 749]\n# step=723 row=384 minW=52 found cw of W=50: [22 105 118 128 173 182 209 229 237 244 253 258 315 320 344 348 355 364 400 406 429 452 462 478 483 490 506 511 532 538 542 552 557 558 561 580 581 595 596 609 622 632 636 658 663 684 691 707 740 755]\n# round=1000 of 10000 minW=50\n# round=2000 of 10000 minW=50\n# step=2840 row=291 minW=50 found cw of W=48: [19 23 35 47 56 63 68 74 78 81 82 84 85 89 91 96 125 145 178 227 268 291 346 353 364 370 377 431 434 441 446 454 457 468 474 489 495 515 521 529 570 579 600 701 742 748 750 755]\n# round=3000 of 10000 minW=48\n# round=4000 of 10000 minW=48\n# step=4545 row=87 minW=48 found cw of W=40: [1 28 56 77 91 98 111 131 144 181 186 188 221 241 262 379 392 406 407 415 427 446 456 461 495 497 509 522 524 536 538 576 591 612 625 654 666 695 703 756]\n# round=5000 of 10000 minW=40\n# round=6000 of 10000 minW=40\n# round=7000 of 10000 minW=40\n# round=8000 of 10000 minW=40\n# round=9000 of 10000 minW=40\n# round=10000 of 10000 minW=40\nRW algorithm upper bound for the distance d=40\n</t>
  </si>
  <si>
    <t># step=0 row=0 minW=757 found cw of W=182: [1 2 5 8 16 21 25 29 30 31 39 42 49 50 53 62 68 72 73 74 76 81 87 91 96 98 100 101 103 108 112 116 126 130 137 140 143 147 152 156 160 164 165 168 181 187 188 195 198 202 209 211 214 217 220 231 234 235 238 249 256 266 267 282 284 291 294 297 298 306 314 316 317 321 325 326 336 339 345 347 349 350 351 352 353 356 357 366 372 374 379 381 382 384 385 386 391 397 399 405 409 410 413 414 416 423 426 433 452 453 459 466 478 489 499 501 502 503 507 518 519 523 524 527 529 533 540 541 545 546 550 551 556 562 563 566 567 574 579 585 590 592 594 599 600 601 604 608 613 615 619 629 633 639 640 643 645 647 652 657 662 666 672 675 676 682 690 691 694 695 698 705 709 711 714 730 733 738 740 742 747 749]\n# step=0 row=1 minW=182 found cw of W=134: [3 16 25 29 31 32 39 50 53 58 60 65 73 74 87 91 100 101 108 112 113 120 132 146 150 152 153 156 162 164 165 172 194 198 200 202 204 206 212 214 216 217 220 228 231 235 238 246 249 251 255 264 266 274 284 294 310 314 318 321 326 329 336 344 351 353 355 366 374 382 397 403 408 410 413 416 420 423 426 429 452 453 465 490 503 507 509 516 528 533 542 545 546 550 555 557 574 579 583 585 589 594 606 618 620 624 629 631 637 639 643 652 655 657 660 661 662 667 672 673 682 695 697 698 708 709 711 714 717 740 742 745 746 747]\n# step=0 row=15 minW=134 found cw of W=130: [9 16 21 25 27 28 30 35 45 53 60 72 82 100 107 108 109 116 126 136 140 144 150 152 158 162 181 184 185 187 188 191 195 198 200 201 204 206 211 219 226 227 231 235 238 249 251 255 259 267 271 284 296 297 298 306 314 316 317 321 345 346 347 350 352 358 361 374 399 400 403 410 412 414 420 458 465 466 469 475 489 490 502 507 510 518 523 524 528 529 533 540 541 542 551 555 556 557 563 567 574 583 585 606 619 625 629 631 633 639 640 647 652 655 657 660 662 666 675 676 682 694 698 717 730 738 742 745 747 749]\n# step=0 row=24 minW=130 found cw of W=118: [1 8 9 16 18 21 28 35 42 45 46 49 53 60 68 74 91 98 100 101 103 107 112 119 133 136 140 156 158 160 168 184 187 191 198 202 209 216 219 226 228 231 234 238 246 249 251 271 282 288 295 306 316 318 325 326 327 334 336 339 344 357 372 379 381 385 386 391 403 412 413 429 433 435 462 475 478 497 501 503 507 518 519 527 529 533 541 545 550 566 567 574 589 599 601 604 606 608 615 619 624 629 631 640 652 655 660 661 666 673 691 711 712 717 730 742 745 749]\n# step=0 row=66 minW=118 found cw of W=112: [1 5 9 16 18 28 32 35 50 62 68 73 76 91 96 112 117 119 127 146 153 158 198 200 201 202 209 211 212 214 216 217 234 246 255 256 266 267 271 288 291 294 295 306 310 313 314 321 325 327 334 345 349 351 356 357 366 379 384 385 392 412 413 415 416 423 426 451 462 497 501 503 509 511 518 529 545 546 557 589 590 592 594 599 601 606 608 613 619 620 624 633 634 639 640 643 655 656 672 682 695 698 701 703 709 711 712 714 730 733 745 753]\n# step=0 row=68 minW=112 found cw of W=110: [9 16 31 53 60 74 87 100 108 109 117 129 130 132 137 150 152 162 164 165 168 185 191 194 198 204 206 211 212 214 217 220 227 231 238 249 255 259 267 288 295 296 310 314 316 317 321 344 346 350 351 353 358 397 399 403 405 409 410 426 429 452 453 458 459 465 466 489 499 507 509 510 516 523 528 533 542 546 550 555 557 562 574 579 583 585 590 600 601 608 613 620 624 625 629 640 645 652 666 673 675 682 690 691 698 700 714 730 740 742]\n# step=0 row=313 minW=110 found cw of W=106: [10 25 28 30 31 35 50 65 73 74 76 81 87 97 100 117 126 143 146 150 152 162 165 168 187 198 204 206 214 217 220 227 231 259 266 271 282 284 291 294 295 305 310 314 316 317 325 346 350 352 353 357 361 366 374 397 405 408 414 416 423 429 451 452 453 458 475 516 518 528 533 537 542 546 550 557 567 579 583 585 590 599 601 613 616 618 623 634 640 660 662 664 666 667 675 691 694 695 701 708 709 717 738 740 747 749]\n# step=2 row=12 minW=106 found cw of W=104: [5 19 27 33 41 52 56 68 82 89 93 101 104 107 108 114 131 133 148 151 153 162 172 182 183 208 209 223 240 249 250 266 268 274 285 293 294 302 310 330 332 344 348 360 374 387 389 392 399 419 423 432 441 447 464 471 472 477 492 501 515 522 530 533 534 538 539 541 547 560 562 566 567 573 577 579 581 583 593 596 601 608 618 620 624 632 637 641 671 673 682 691 698 701 718 722 724 733 734 735 740 743 747 752]\n# step=2 row=353 minW=104 found cw of W=100: [7 18 19 33 41 56 65 68 104 108 128 131 135 146 148 153 154 172 181 182 183 184 188 189 209 210 223 227 232 242 249 250 266 276 285 293 294 310 330 334 343 348 355 374 392 397 399 419 423 430 432 441 443 447 472 474 479 492 498 501 506 520 522 524 528 530 532 533 539 541 547 559 560 566 567 573 575 577 593 594 601 608 617 618 626 632 637 660 663 686 691 698 718 721 722 734 740 743 747 752]\n# step=4 row=6 minW=100 found cw of W=96: [6 13 26 41 53 55 58 62 75 76 83 99 121 130 143 153 157 159 165 171 176 187 188 194 198 202 208 217 218 226 244 247 251 272 288 308 320 332 339 383 384 385 387 391 398 404 410 412 419 450 466 473 491 494 498 500 505 521 531 532 535 537 539 543 547 556 558 566 579 581 586 592 593 607 609 610 613 615 616 627 628 633 637 648 651 657 671 673 698 699 712 722 723 727 742 753]\n# step=13 row=185 minW=96 found cw of W=76: [14 17 20 22 23 24 25 28 31 33 34 44 68 69 96 136 145 181 191 233 235 236 241 243 246 247 252 268 290 297 301 317 351 352 354 359 366 373 379 387 400 401 411 412 417 439 450 458 465 466 469 474 488 499 515 540 556 576 585 611 619 634 655 660 667 675 680 681 683 690 695 701 704 745 750 751]\n# step=57 row=318 minW=76 found cw of W=74: [24 43 59 73 92 98 114 159 170 175 182 202 208 216 223 225 232 234 243 245 250 273 276 294 305 312 335 373 374 380 388 409 416 422 443 447 463 464 471 478 492 496 525 527 531 532 533 541 545 547 548 560 561 568 596 601 627 637 641 642 648 649 667 678 683 697 706 709 717 731 739 745 746 751]\n# step=99 row=157 minW=74 found cw of W=64: [11 12 25 32 55 56 61 66 145 157 167 178 181 192 201 203 208 235 244 247 254 257 258 265 268 278 285 292 300 302 313 324 348 354 409 411 445 454 489 495 496 521 523 559 578 579 581 607 621 622 626 632 634 635 645 649 663 677 678 684 699 707 727 748]\n# step=105 row=237 minW=64 found cw of W=60: [3 17 44 95 123 167 178 192 206 222 226 229 231 261 266 268 271 273 275 280 281 286 288 310 316 326 328 332 333 342 365 371 378 383 385 387 394 431 434 439 475 480 488 521 528 535 555 565 570 577 578 600 609 618 619 660 708 714 715 719]\n# step=404 row=339 minW=60 found cw of W=58: [2 22 23 41 47 53 76 77 78 88 89 96 133 145 161 174 175 186 189 205 212 276 335 345 350 352 377 379 405 414 419 426 431 432 446 462 504 517 518 523 529 539 564 573 585 588 596 597 626 637 638 664 678 709 723 730 754 755]\n# step=568 row=216 minW=58 found cw of W=56: [6 52 61 62 68 101 112 124 150 167 170 173 174 178 191 214 218 222 224 225 232 242 277 284 384 399 404 418 433 459 466 479 489 495 500 515 534 544 546 548 551 556 557 564 579 585 592 597 602 620 638 657 692 728 741 747]\n# round=1000 of 10000 minW=56\n# step=1919 row=334 minW=56 found cw of W=42: [25 66 80 86 87 110 112 121 123 130 164 174 178 197 218 219 220 222 226 229 233 274 400 403 411 444 452 460 464 534 563 570 575 583 598 632 658 673 688 699 714 755]\n# round=2000 of 10000 minW=42\n# round=3000 of 10000 minW=42\n# round=4000 of 10000 minW=42\n# round=5000 of 10000 minW=42\n# round=6000 of 10000 minW=42\n# step=6879 row=152 minW=42 found cw of W=40: [25 36 39 42 46 50 97 104 108 145 148 200 203 207 255 259 293 307 310 317 321 359 362 369 376 408 416 498 506 547 573 622 636 643 647 663 696 739 745 753]\n# round=7000 of 10000 minW=40\n# round=8000 of 10000 minW=40\n# round=9000 of 10000 minW=40\n# round=10000 of 10000 minW=40\nRW algorithm upper bound for the distance d=40\n</t>
  </si>
  <si>
    <t># step=0 row=1 minW=757 found cw of W=150: [2 5 22 28 30 45 50 60 67 68 74 76 78 80 90 92 94 99 103 106 110 112 119 121 125 127 135 136 143 150 152 163 165 166 167 176 179 180 182 203 208 213 214 222 225 236 237 238 241 244 247 261 271 275 279 280 283 286 297 307 308 314 331 345 346 357 362 372 377 385 390 393 396 406 407 409 413 417 426 428 432 439 446 447 454 461 463 470 478 480 485 486 489 493 495 501 509 510 511 520 522 530 535 542 543 544 547 551 553 556 557 559 565 567 570 571 581 584 586 590 595 607 611 626 632 634 637 653 656 664 665 670 678 681 684 692 694 697 699 701 704 709 711 712 714 715 722 723 733 735]\n# step=0 row=3 minW=150 found cw of W=140: [8 29 49 52 60 67 70 74 76 83 85 90 92 99 101 103 106 113 121 127 131 136 138 142 143 152 165 166 167 170 172 176 182 186 187 191 198 201 205 213 214 222 237 243 244 246 259 260 271 278 279 292 299 300 306 308 312 316 324 328 331 357 362 364 367 372 378 381 391 401 402 409 413 415 417 426 428 440 441 454 458 460 461 463 470 474 475 479 485 490 493 509 510 520 524 531 536 537 542 545 546 551 557 559 565 567 579 586 595 603 607 616 619 626 632 634 635 637 645 652 669 675 677 678 679 685 690 692 697 700 701 704 712 716 718 726 733 736 740 748]\n# step=0 row=4 minW=140 found cw of W=138: [2 9 10 29 39 48 49 51 54 78 83 85 90 92 94 98 101 103 105 108 112 113 118 119 125 127 138 163 172 179 182 186 187 198 201 203 205 208 213 216 222 232 236 237 241 243 253 261 279 287 292 295 297 298 299 300 306 312 328 345 346 351 357 360 364 367 377 378 381 383 391 393 407 411 413 415 417 432 440 442 445 447 461 463 469 486 489 490 494 501 510 511 522 531 537 543 545 546 547 556 564 565 567 581 583 584 594 595 603 616 622 626 632 634 637 639 645 652 669 676 678 681 685 688 690 699 709 716 720 723 731 733 735 736 737 739 748 756]\n# step=0 row=19 minW=138 found cw of W=136: [2 27 28 30 37 39 40 50 51 53 63 68 74 78 83 85 92 99 103 106 110 112 113 119 125 127 132 136 163 179 180 187 200 203 208 222 225 238 241 259 261 267 271 275 279 280 286 298 300 307 312 314 316 328 331 333 345 346 351 360 362 364 367 372 377 378 385 390 393 401 405 407 426 432 439 441 445 446 447 475 479 486 490 494 501 510 511 522 524 529 531 537 545 546 547 553 559 565 567 571 572 581 584 612 626 635 639 640 641 645 653 664 665 675 676 681 685 688 694 699 700 701 704 706 709 712 714 715 716 722 723 733 735 742 748 755]\n# step=0 row=29 minW=136 found cw of W=130: [7 9 28 30 40 46 48 49 51 55 85 89 90 105 108 110 113 116 118 132 140 150 152 165 166 167 178 179 184 187 188 191 195 200 201 205 214 216 225 231 232 247 253 267 275 280 286 287 297 298 308 312 316 331 357 360 362 363 364 367 378 384 393 396 401 406 415 417 429 432 440 460 461 468 470 471 474 478 479 480 486 489 494 495 509 511 512 517 519 529 530 535 537 543 545 546 549 553 556 557 564 570 572 579 586 590 594 595 603 611 634 640 641 652 665 675 684 685 694 700 713 714 715 733 735 737 740 743 748 755]\n# step=0 row=49 minW=130 found cw of W=126: [2 28 30 37 39 40 50 51 53 63 74 76 78 83 85 89 91 92 99 103 106 110 112 113 119 125 127 136 138 163 180 187 200 203 208 225 238 241 259 261 267 271 275 279 280 286 298 300 307 312 314 316 328 331 333 345 346 351 360 362 364 367 372 377 378 385 390 393 401 407 426 432 439 441 445 447 460 469 475 479 486 494 529 537 545 546 547 553 559 567 571 581 584 612 626 635 639 640 641 645 653 664 665 675 676 681 685 688 694 699 700 701 704 706 709 712 714 715 716 722 723 733 735 742 748 755]\n# step=0 row=91 minW=126 found cw of W=124: [28 29 30 37 39 45 48 52 53 68 74 76 79 83 90 94 99 101 105 106 110 112 116 118 125 131 136 150 165 167 172 174 187 191 198 200 201 213 216 236 241 246 247 253 260 267 278 295 300 324 327 346 364 367 372 378 381 390 391 393 396 401 411 413 417 429 439 440 442 445 446 447 463 471 474 475 480 489 495 512 524 530 535 536 537 544 547 549 551 553 570 571 578 579 583 584 586 590 594 611 612 626 632 637 640 656 669 675 678 679 681 684 699 701 711 716 718 735 736 739 742 745 748 756]\n# step=1 row=26 minW=124 found cw of W=86: [4 21 28 40 42 55 61 79 83 90 96 116 117 130 162 165 178 181 186 212 227 232 254 255 256 266 267 277 288 289 296 310 316 326 333 337 345 351 358 365 372 376 388 392 395 418 429 431 433 439 454 473 474 475 500 501 516 524 536 543 544 557 559 570 577 584 585 598 600 621 626 632 633 647 649 654 655 666 670 687 690 695 717 729 745 749]\n# step=1 row=328 minW=86 found cw of W=84: [3 11 23 65 70 84 90 100 113 114 155 162 220 224 230 254 255 257 258 264 266 270 275 286 289 293 296 299 309 316 317 331 348 358 381 388 393 401 403 413 418 422 436 442 444 456 468 483 485 487 491 498 503 506 508 526 552 553 577 581 584 596 601 608 616 632 635 636 643 650 652 660 677 683 690 702 706 715 717 721 725 740 751 756]\n# step=2 row=13 minW=84 found cw of W=60: [18 20 26 32 41 62 81 82 117 124 165 171 172 206 217 227 234 251 253 254 258 272 279 313 321 329 341 343 355 384 404 432 439 465 466 488 494 521 529 546 549 556 570 604 629 631 632 653 656 673 678 684 686 687 693 707 719 720 727 742]\n# step=2 row=70 minW=60 found cw of W=52: [18 20 32 41 62 75 82 117 124 130 172 217 227 234 251 253 254 258 272 279 313 321 329 341 343 355 384 432 439 465 488 514 529 546 570 604 629 631 632 653 656 673 678 684 686 687 693 707 719 720 727 742]\n# step=729 row=381 minW=52 found cw of W=48: [19 25 26 32 59 66 74 94 115 126 196 209 245 258 286 305 340 343 348 360 368 398 417 423 437 444 465 484 492 513 533 562 587 603 618 631 642 664 677 678 683 693 713 718 719 742 746 754]\n# step=824 row=70 minW=48 found cw of W=46: [21 22 23 25 28 29 32 36 48 64 92 103 112 124 146 158 187 202 213 222 249 277 293 355 400 401 406 407 414 426 442 467 475 496 502 546 551 552 579 592 595 601 620 636 650 691]\n# round=1000 of 10000 minW=46\n# round=2000 of 10000 minW=46\n# round=3000 of 10000 minW=46\n# round=4000 of 10000 minW=46\n# round=5000 of 10000 minW=46\n# round=6000 of 10000 minW=46\n# round=7000 of 10000 minW=46\n# round=8000 of 10000 minW=46\n# step=8383 row=141 minW=46 found cw of W=34: [21 25 28 35 76 80 87 181 187 242 249 293 348 351 355 361 382 400 423 441 467 531 557 559 565 580 606 626 649 670 696 729 737 745]\n# round=9000 of 10000 minW=34\n# round=10000 of 10000 minW=34\nRW algorithm upper bound for the distance d=34\n</t>
  </si>
  <si>
    <t># step=0 row=1 minW=757 found cw of W=146: [5 7 9 15 16 20 24 25 37 41 44 53 61 62 76 79 85 93 94 103 105 114 117 124 129 132 136 139 141 147 148 155 156 158 170 185 187 188 190 203 209 217 218 229 236 239 240 245 247 250 258 259 260 266 285 289 291 296 299 300 305 307 314 322 329 332 347 355 356 359 360 364 380 384 393 397 404 407 409 422 423 426 434 443 445 451 460 463 484 486 487 494 497 499 510 512 513 514 517 524 538 541 543 547 553 559 563 568 578 584 595 600 604 608 620 621 626 627 628 638 642 644 645 650 663 668 670 673 675 679 687 688 690 711 712 716 721 722 725 727 731 736 739 742 744 753]\n# step=0 row=2 minW=146 found cw of W=128: [6 7 9 13 15 19 24 25 36 44 61 62 64 66 74 79 80 81 85 86 93 96 99 110 117 124 130 147 148 149 154 155 156 158 161 164 183 188 190 203 204 209 236 239 240 245 250 258 259 272 286 289 290 291 295 296 298 299 300 302 303 327 332 339 341 344 347 355 359 360 362 369 375 381 382 384 386 404 409 417 423 431 434 437 444 451 453 463 476 480 493 497 507 524 541 553 561 563 568 574 577 578 602 604 608 616 618 621 628 642 645 650 657 658 670 674 679 681 699 707 710 711 712 718 721 722 735 753]\n# step=0 row=5 minW=128 found cw of W=114: [2 9 11 19 24 36 61 66 79 80 86 93 94 96 129 130 147 149 156 158 160 164 170 183 185 211 217 219 229 236 240 242 246 247 266 274 279 280 286 289 290 291 292 295 296 298 303 307 310 312 319 327 332 336 338 339 359 360 362 363 367 382 384 386 404 417 422 434 439 444 453 476 484 493 499 513 524 526 534 538 543 561 566 569 570 574 578 595 604 607 615 618 619 620 645 650 653 658 660 670 674 675 679 681 690 699 712 713 716 722 732 739 740 747]\n# step=0 row=12 minW=114 found cw of W=106: [2 20 27 41 44 48 61 66 74 80 96 99 105 139 147 154 158 161 164 183 185 194 211 216 217 229 236 239 247 248 250 253 266 272 279 285 286 292 294 302 303 305 307 308 314 327 329 332 338 339 343 344 345 360 362 375 380 381 386 393 397 403 417 434 439 453 458 464 471 476 487 493 494 499 507 514 517 524 527 561 574 577 584 595 618 626 627 638 644 663 672 674 675 679 687 688 692 699 710 712 718 722 732 735 736 755]\n# step=0 row=64 minW=106 found cw of W=100: [7 9 37 62 64 74 79 94 99 120 122 128 132 141 145 148 154 160 161 187 194 203 204 209 217 229 239 240 242 248 253 258 259 260 266 272 279 286 289 296 302 303 307 308 312 319 322 329 345 359 367 380 382 386 407 422 433 435 437 444 457 471 476 493 495 498 507 510 514 526 553 555 559 566 568 578 595 597 600 602 607 615 618 638 642 658 668 670 672 673 674 675 679 688 698 721 725 732 740 744]\n# step=2 row=24 minW=100 found cw of W=82: [2 4 17 33 52 57 59 64 66 82 100 105 107 112 114 116 129 131 141 154 155 162 165 175 176 189 191 198 238 250 279 288 294 305 311 325 356 366 370 375 377 382 383 387 425 428 436 439 449 455 459 466 472 473 478 483 494 498 503 504 507 508 509 515 518 519 526 538 571 573 575 598 599 629 657 661 663 671 688 706 747 748]\n# step=2 row=109 minW=82 found cw of W=80: [1 4 5 8 12 13 15 17 33 54 65 66 93 116 126 129 131 150 151 165 189 191 198 205 216 279 288 294 302 325 336 351 356 379 382 386 387 409 422 438 439 443 449 458 459 463 466 472 477 492 494 504 508 509 515 571 575 582 590 591 599 622 629 639 640 645 657 661 665 671 678 681 688 694 706 724 738 743 747 751]\n# step=18 row=384 minW=80 found cw of W=62: [9 14 24 31 37 69 75 79 82 92 103 130 134 141 158 172 192 213 221 227 232 248 268 281 282 287 323 336 347 412 413 420 432 436 442 460 469 477 509 510 536 576 580 585 600 610 612 614 634 635 647 666 675 696 700 701 703 709 720 737 749 750]\n# step=515 row=383 minW=62 found cw of W=60: [9 28 76 88 89 137 138 143 159 178 181 182 186 202 233 235 283 311 325 346 351 359 400 401 441 442 454 461 462 466 509 521 522 531 532 537 544 551 552 564 565 586 592 599 601 612 615 619 626 627 634 650 654 691 701 702 709 729 737 750]\n# step=583 row=111 minW=60 found cw of W=58: [24 35 55 69 78 110 116 117 124 139 148 155 176 178 183 184 196 206 222 231 245 268 274 275 282 295 300 306 312 344 355 397 402 413 451 456 462 468 487 491 492 494 503 505 526 533 549 562 574 595 611 617 618 624 655 685 721 735]\n# step=828 row=2 minW=58 found cw of W=54: [3 23 24 31 37 87 209 223 253 255 263 308 312 315 318 319 332 334 345 362 372 387 396 421 445 453 462 486 494 509 552 584 587 599 636 641 656 663 666 674 677 688 689 695 697 705 710 715 731 744 745 750 751 753]\n# round=1000 of 10000 minW=54\n# step=1800 row=116 minW=54 found cw of W=48: [98 114 160 163 176 215 217 220 221 225 229 231 272 273 276 277 279 280 282 283 284 287 330 335 337 376 378 385 415 427 434 468 475 482 492 501 505 547 550 558 565 591 614 664 708 710 719 756]\n# round=2000 of 10000 minW=48\n# round=3000 of 10000 minW=48\n# step=3016 row=32 minW=48 found cw of W=44: [11 26 55 56 66 67 81 102 110 114 118 121 122 163 166 173 180 224 253 279 334 343 349 396 398 405 411 431 434 460 465 486 492 509 547 582 603 637 652 664 672 713 742 754]\n# round=4000 of 10000 minW=44\n# round=5000 of 10000 minW=44\n# round=6000 of 10000 minW=44\n# round=7000 of 10000 minW=44\n# round=8000 of 10000 minW=44\n# round=9000 of 10000 minW=44\n# round=10000 of 10000 minW=44\nRW algorithm upper bound for the distance d=44\n</t>
  </si>
  <si>
    <t># step=0 row=0 minW=757 found cw of W=128: [2 9 11 16 17 18 25 26 41 42 55 57 67 69 86 110 114 122 129 131 143 148 152 155 169 170 172 173 177 180 189 191 198 201 212 221 226 242 253 258 269 271 283 288 293 295 299 304 308 314 318 325 326 333 341 345 351 362 369 376 383 387 390 396 397 399 407 419 424 426 431 433 441 443 456 458 459 465 474 477 481 482 487 491 495 500 502 505 516 519 543 546 555 562 568 579 603 605 610 612 617 622 624 631 633 641 646 647 649 658 661 669 675 677 684 690 692 705 712 714 719 724 726 728 729 731 732 735]\n# step=0 row=40 minW=128 found cw of W=126: [13 24 27 35 39 41 55 57 76 82 86 89 101 110 114 119 124 126 129 131 133 143 153 161 169 172 174 180 182 184 191 198 204 208 212 215 216 228 236 237 243 248 249 251 253 258 269 271 281 293 299 301 304 306 311 316 318 333 357 358 362 369 376 384 388 410 412 425 437 443 454 459 468 472 474 478 481 490 495 500 507 516 517 519 530 531 533 534 543 546 548 554 560 562 573 574 579 585 596 603 605 610 612 614 617 624 626 633 641 645 646 647 649 654 664 679 683 684 689 690 698 707 713 731 734 749]\n# step=0 row=114 minW=126 found cw of W=106: [6 11 13 17 24 25 27 30 36 42 53 55 57 65 68 76 78 89 110 112 119 120 123 124 131 143 152 165 169 170 173 175 177 198 221 224 225 236 237 242 243 248 253 255 260 283 293 301 306 326 353 370 376 383 388 397 414 419 424 432 437 451 452 454 456 457 460 465 478 481 482 490 495 502 505 506 516 519 531 548 556 564 573 596 598 608 614 615 622 626 631 633 646 658 664 669 677 679 683 684 707 712 713 731 732 734]\n# step=1 row=131 minW=106 found cw of W=92: [1 2 6 7 8 13 20 26 46 50 56 60 70 75 82 94 107 108 112 115 116 149 194 200 203 204 206 213 235 242 246 249 257 258 259 264 265 266 273 290 313 314 330 369 376 389 392 393 402 404 406 439 441 450 455 459 482 485 488 489 499 500 503 523 530 549 575 581 584 591 593 598 616 648 651 668 674 679 681 686 687 690 697 708 713 718 728 735 738 739 741 754]\n# step=7 row=251 minW=92 found cw of W=90: [22 23 28 47 63 64 78 88 94 99 111 112 117 119 123 140 151 156 162 163 171 199 200 202 207 225 227 244 252 255 269 271 273 275 279 282 284 285 286 296 299 321 343 344 363 374 379 388 399 401 406 414 442 461 462 472 477 478 480 490 495 501 503 521 526 540 549 556 567 568 573 596 598 604 617 632 635 642 646 651 662 663 664 667 686 694 717 725 729 734]\n# step=11 row=354 minW=90 found cw of W=88: [6 13 16 17 43 55 60 65 71 72 76 87 106 116 129 149 164 175 199 211 218 219 225 231 239 240 245 253 274 285 287 301 314 316 320 336 342 349 367 371 374 378 384 385 386 394 398 405 416 423 425 426 457 464 466 472 498 500 504 507 520 527 528 542 554 574 582 588 590 596 604 608 610 633 637 651 657 667 673 686 692 693 706 709 722 745 752 754]\n# step=20 row=193 minW=88 found cw of W=68: [11 39 51 80 93 94 100 121 148 154 184 185 191 209 210 211 230 235 239 240 244 246 247 258 264 274 285 297 299 313 340 352 354 359 374 381 389 403 417 444 452 458 473 478 499 513 519 520 532 542 543 554 594 608 624 631 636 657 669 672 685 686 697 698 706 721 726 736]\n# step=80 row=321 minW=68 found cw of W=62: [18 32 41 52 53 60 76 81 87 108 115 122 129 136 140 146 171 189 191 195 196 198 208 226 233 238 239 250 263 265 270 300 334 364 389 391 410 418 430 433 454 459 475 507 516 518 530 548 569 606 608 616 622 624 638 643 657 673 679 714 742 747]\n# step=165 row=32 minW=62 found cw of W=54: [21 27 33 42 44 48 62 97 127 159 160 167 215 223 224 230 259 263 270 279 318 362 364 371 373 377 399 405 415 421 422 428 432 440 455 471 484 502 511 512 518 533 551 574 581 607 648 652 671 699 712 748 749 755]\n# step=165 row=41 minW=54 found cw of W=52: [27 33 34 44 48 78 97 124 159 160 167 168 215 223 224 230 259 263 270 279 318 350 362 364 373 377 399 421 422 426 428 432 440 455 467 471 484 502 512 533 551 574 581 607 648 652 671 699 712 728 748 755]\n# round=1000 of 10000 minW=52\n# step=1898 row=370 minW=52 found cw of W=50: [29 44 73 79 84 93 141 148 182 185 228 236 237 240 244 247 248 251 256 262 277 317 338 346 352 361 382 387 401 408 422 423 449 468 484 491 539 560 606 614 626 627 634 640 661 675 701 702 704 724]\n# round=2000 of 10000 minW=50\n# round=3000 of 10000 minW=50\n# round=4000 of 10000 minW=50\n# round=5000 of 10000 minW=50\n# round=6000 of 10000 minW=50\n# step=6620 row=341 minW=50 found cw of W=48: [47 97 103 143 151 152 166 172 206 213 227 237 248 299 303 310 343 347 351 354 358 364 370 405 406 426 431 432 447 455 460 469 495 509 516 525 529 545 559 578 619 639 645 660 694 735 742 748]\n# step=6822 row=252 minW=48 found cw of W=46: [89 119 152 153 168 193 209 235 248 281 292 296 302 303 336 342 400 412 413 421 432 435 441 470 481 497 503 525 537 541 560 585 601 613 634 642 659 668 674 701 708 720 723 729 749 750]\n# round=7000 of 10000 minW=46\n# step=7367 row=304 minW=46 found cw of W=42: [26 81 88 116 136 165 178 191 192 227 235 236 246 247 261 267 298 301 302 346 353 360 405 446 454 494 510 521 536 544 549 559 576 584 585 611 625 633 645 666 689 734]\n# round=8000 of 10000 minW=42\n# round=9000 of 10000 minW=42\n# round=10000 of 10000 minW=42\nRW algorithm upper bound for the distance d=42\n</t>
  </si>
  <si>
    <t># step=0 row=0 minW=757 found cw of W=130: [2 4 14 27 38 41 43 45 49 50 58 59 60 64 65 66 67 71 76 83 85 89 90 92 96 98 99 100 101 103 111 113 118 123 129 135 143 145 151 156 159 161 162 178 187 188 191 200 203 211 214 222 235 239 257 269 282 293 298 299 306 313 329 337 343 346 347 353 354 357 360 361 367 382 383 388 389 412 421 424 427 428 435 443 447 454 463 465 468 476 482 485 487 488 497 501 509 513 522 534 538 545 550 554 568 571 572 585 594 611 627 634 655 658 661 668 671 672 677 679 690 697 702 710 717 725 733 738 748 753]\n# step=0 row=61 minW=130 found cw of W=124: [3 10 14 27 38 43 45 49 50 64 65 68 83 84 85 98 99 112 118 119 123 127 129 134 135 143 155 156 163 173 174 178 188 191 200 207 211 217 222 235 237 239 241 246 258 265 272 279 282 288 301 306 309 313 329 339 346 364 367 371 382 383 390 394 401 412 421 423 424 427 428 431 435 439 442 447 457 462 463 465 467 468 470 472 476 482 484 485 487 488 498 504 517 529 538 554 557 565 566 568 572 576 585 587 594 611 614 625 634 656 658 670 672 679 703 710 717 719 723 734 737 745 748 753]\n# step=0 row=115 minW=124 found cw of W=118: [1 4 10 14 21 33 43 45 60 64 67 68 71 76 77 89 91 98 106 112 113 118 123 126 135 150 163 167 170 174 177 178 187 188 205 212 214 225 228 237 239 246 257 258 265 278 282 288 293 296 299 306 313 325 330 332 340 343 354 356 357 358 360 361 382 383 385 388 393 394 395 399 401 412 420 421 424 447 465 467 468 470 472 475 497 502 504 509 513 522 538 545 557 560 566 568 571 575 576 594 611 621 625 634 638 668 671 672 690 697 704 708 724 726 729 733 734 753]\n# step=0 row=171 minW=118 found cw of W=100: [4 10 14 43 49 50 59 66 68 84 85 92 98 101 112 113 118 123 124 129 145 150 155 156 159 173 178 180 191 200 203 205 207 211 212 222 235 246 258 265 271 282 297 301 313 327 332 337 338 339 346 350 361 367 383 387 389 408 421 423 424 427 428 435 438 442 443 447 457 462 463 465 471 476 482 487 488 498 512 513 525 554 557 566 572 611 621 634 638 649 655 656 670 704 710 717 723 730 734 753]\n# step=2 row=224 minW=100 found cw of W=98: [1 6 8 13 15 18 37 40 50 53 62 75 76 87 94 95 99 109 110 113 124 131 136 137 138 143 144 147 151 161 164 171 176 179 185 191 202 209 231 239 254 261 300 321 330 341 343 366 376 386 393 405 419 421 431 434 437 442 453 455 459 465 475 476 487 488 501 504 511 528 529 534 535 545 549 563 564 570 597 611 617 630 631 632 654 672 678 684 698 703 707 708 719 720 721 727 743 747]\n# step=4 row=195 minW=98 found cw of W=64: [7 26 33 53 69 81 107 118 122 137 145 156 197 203 214 216 231 253 266 269 280 289 310 313 324 335 351 384 385 390 396 398 406 425 431 433 439 465 485 491 502 540 544 559 570 585 594 609 611 626 638 644 649 653 664 667 684 686 687 701 713 722 728 733]\n# step=155 row=248 minW=64 found cw of W=56: [16 19 31 65 87 106 114 115 121 126 130 136 141 175 184 210 216 220 221 231 239 246 265 276 283 327 382 389 394 395 397 409 444 452 453 458 465 472 479 485 492 498 504 507 508 509 542 548 570 582 597 608 619 657 706 747]\n# step=561 row=314 minW=56 found cw of W=50: [60 72 101 107 115 121 122 142 143 145 170 176 177 186 205 225 226 260 315 356 385 405 411 419 434 438 446 450 454 475 479 485 486 494 509 520 529 535 536 555 576 583 598 609 610 632 673 688 734 748]\n# round=1000 of 10000 minW=50\n# round=2000 of 10000 minW=50\n# step=2101 row=3 minW=50 found cw of W=48: [6 27 68 81 92 95 97 102 138 147 154 196 216 245 253 273 294 308 329 340 341 343 369 385 391 424 431 434 467 470 481 490 528 574 577 629 638 644 651 664 672 687 706 707 727 728 747 748]\n# step=2101 row=373 minW=48 found cw of W=44: [27 68 81 92 95 97 102 138 147 154 196 216 245 253 273 308 329 340 341 369 385 391 424 431 434 467 470 481 490 528 574 577 629 638 644 651 664 687 706 707 728 734 747 748]\n# round=3000 of 10000 minW=44\n# round=4000 of 10000 minW=44\n# round=5000 of 10000 minW=44\n# round=6000 of 10000 minW=44\n# round=7000 of 10000 minW=44\n# round=8000 of 10000 minW=44\n# step=8697 row=243 minW=44 found cw of W=42: [74 100 109 121 129 155 156 161 170 185 205 206 216 226 253 268 312 323 374 398 418 424 429 452 473 485 487 488 499 508 539 543 549 555 562 569 584 603 625 666 686 753]\n# round=9000 of 10000 minW=42\n# round=10000 of 10000 minW=42\nRW algorithm upper bound for the distance d=42\n</t>
  </si>
  <si>
    <t># step=0 row=0 minW=757 found cw of W=174: [1 2 3 9 12 16 19 31 37 42 53 54 57 59 60 62 65 68 70 71 94 98 108 117 118 121 126 130 134 139 147 149 154 155 159 164 165 176 181 182 189 197 203 205 206 207 211 214 216 221 222 224 230 231 234 236 238 252 260 261 264 271 275 278 282 283 285 286 290 292 306 309 312 313 314 315 320 323 325 326 337 347 349 362 367 371 378 379 380 383 388 397 400 401 404 411 420 424 429 432 433 436 442 445 447 448 449 452 459 468 469 472 477 481 482 490 502 510 512 514 522 525 533 534 535 536 541 548 549 550 559 560 562 567 570 574 575 577 588 598 605 621 625 627 633 637 639 642 643 645 646 649 650 655 662 668 669 671 684 687 690 697 698 703 705 707 719 721 728 729 730 738 748 755]\n# step=0 row=1 minW=174 found cw of W=132: [1 2 4 6 9 12 26 31 37 43 45 46 47 48 62 65 66 71 89 93 98 99 101 104 108 110 112 117 118 119 121 126 130 139 155 164 176 179 180 197 199 205 206 210 214 223 231 234 243 244 251 252 257 258 261 268 271 275 282 286 289 292 295 298 300 309 313 320 332 339 340 347 367 371 379 380 381 383 386 388 390 397 400 404 421 424 427 445 447 448 449 459 481 482 483 485 493 502 514 522 535 545 548 549 561 570 573 595 602 621 625 628 629 643 645 647 662 683 685 687 696 697 710 711 715 717 728 729 731 737 738 754]\n# step=0 row=11 minW=132 found cw of W=120: [6 9 16 24 25 37 43 60 65 76 80 89 90 93 98 112 113 117 121 122 128 131 134 135 139 141 142 147 148 155 164 165 174 175 176 179 180 181 182 189 199 203 207 210 214 221 223 224 231 234 236 238 243 257 261 264 268 278 283 298 313 340 362 381 390 397 403 415 421 424 428 431 442 446 448 450 452 454 457 465 467 468 473 482 483 490 497 498 518 522 525 536 545 550 559 560 567 573 595 596 604 605 607 622 627 629 642 646 650 662 663 669 683 685 697 705 716 719 731 738]\n# step=0 row=15 minW=120 found cw of W=100: [2 9 19 32 47 57 60 67 94 112 119 121 122 130 141 145 156 165 176 185 195 196 197 210 216 227 230 231 234 244 246 252 257 258 265 271 275 278 286 289 295 300 306 312 313 326 332 339 360 367 399 424 431 433 449 450 452 454 459 465 469 472 473 493 498 527 536 541 545 547 549 559 562 570 573 575 583 589 596 598 625 628 636 637 639 663 668 678 685 687 697 710 712 717 719 721 726 733 738 754]\n# step=0 row=40 minW=100 found cw of W=96: [2 9 19 26 47 57 60 81 94 112 119 121 130 141 145 156 165 176 185 195 196 197 210 216 227 230 231 234 244 246 252 257 258 271 275 278 286 289 295 300 306 312 313 314 326 332 339 360 367 424 431 433 449 450 452 459 469 472 473 493 498 527 536 541 545 547 549 559 562 570 573 575 583 589 596 598 625 628 636 637 639 643 663 668 678 685 697 698 710 712 717 719 721 726 738 754]\n# step=1 row=54 minW=96 found cw of W=90: [4 14 15 19 25 26 32 33 34 44 63 74 81 82 83 92 112 115 119 122 123 129 133 140 142 144 147 158 201 202 205 209 213 232 260 270 293 307 314 315 316 338 348 355 360 362 370 377 378 392 399 406 407 410 411 415 417 421 436 444 454 458 461 467 477 489 490 510 515 518 520 532 534 536 541 551 575 581 585 605 622 626 645 646 671 700 712 735 736 754]\n# step=2 row=167 minW=90 found cw of W=78: [9 15 19 41 62 71 79 86 96 103 109 117 120 124 128 149 151 155 162 168 187 190 193 203 213 214 221 223 228 230 236 248 262 269 274 278 303 313 318 325 334 336 359 368 391 393 397 403 437 457 459 481 483 498 512 525 530 532 533 540 550 553 565 573 579 606 627 635 650 654 663 670 695 702 707 711 718 736]\n# step=46 row=294 minW=78 found cw of W=68: [1 3 9 17 61 62 65 67 69 72 99 101 102 108 122 136 165 176 185 205 227 231 246 254 271 289 310 321 326 333 335 377 387 405 431 434 440 442 445 449 454 479 486 494 514 528 534 535 554 555 577 603 632 638 652 653 660 664 668 679 688 693 694 709 719 720 729 735]\n# step=55 row=304 minW=68 found cw of W=52: [9 16 43 47 54 102 110 145 150 165 198 205 206 220 227 242 249 256 260 261 263 268 298 315 322 339 361 366 370 393 397 438 488 523 524 535 550 555 576 585 591 599 604 614 627 641 649 671 685 704 716 752]\n# step=249 row=254 minW=52 found cw of W=50: [40 97 100 102 106 141 152 154 159 161 207 244 259 269 270 313 324 349 361 374 385 396 397 411 416 429 434 438 460 473 483 484 486 506 509 550 581 583 587 596 622 632 636 637 663 673 684 726 733 752]\n# round=1000 of 10000 minW=50\n# round=2000 of 10000 minW=50\n# step=2233 row=229 minW=50 found cw of W=46: [38 69 85 90 92 124 127 152 167 168 179 201 208 234 242 262 298 317 372 388 394 417 422 442 447 470 496 518 525 530 585 600 607 615 640 648 676 689 690 702 705 725 730 731 751 756]\n# round=3000 of 10000 minW=46\n# round=4000 of 10000 minW=46\n# round=5000 of 10000 minW=46\n# step=5721 row=39 minW=46 found cw of W=40: [19 21 30 41 44 48 81 92 95 99 106 111 157 166 212 233 267 309 318 353 362 364 412 424 425 454 466 489 502 525 544 599 606 615 682 687 700 705 751 754]\n# round=6000 of 10000 minW=40\n# round=7000 of 10000 minW=40\n# round=8000 of 10000 minW=40\n# round=9000 of 10000 minW=40\n# round=10000 of 10000 minW=40\nRW algorithm upper bound for the distance d=40\n</t>
  </si>
  <si>
    <t># step=0 row=0 minW=757 found cw of W=150: [3 4 6 8 9 14 15 19 21 22 24 33 37 40 42 47 50 51 53 61 64 66 68 69 71 74 76 81 83 88 91 92 93 98 110 115 119 120 127 129 131 132 134 135 149 150 154 157 161 164 173 177 182 186 189 193 195 197 202 213 226 239 240 250 251 255 258 262 265 266 274 280 281 288 297 302 313 315 324 338 353 357 358 371 373 374 375 376 381 386 392 396 400 408 413 417 430 435 442 443 445 448 463 464 472 477 479 483 492 497 499 503 507 520 524 527 543 546 550 551 554 565 568 569 572 579 580 593 594 600 603 606 610 621 630 641 647 649 662 669 675 687 699 700 707 710 713 730 751 755]\n# step=0 row=1 minW=150 found cw of W=144: [3 5 7 14 19 21 24 30 34 40 42 48 56 58 70 76 80 83 92 97 103 104 106 115 118 120 127 129 130 132 148 155 161 162 167 174 175 177 180 182 187 193 194 195 197 200 202 203 211 214 220 224 225 227 230 237 239 240 250 251 252 255 259 266 271 276 283 287 302 314 315 324 330 338 357 358 383 396 397 407 408 417 419 420 423 434 438 440 442 443 450 469 472 480 493 497 498 499 501 503 508 520 524 529 539 545 546 547 550 551 559 563 567 571 573 580 584 587 592 593 594 597 603 605 612 614 615 618 630 649 658 661 681 687 707 710 711 724 730 736 746 747 751 755]\n# step=0 row=2 minW=144 found cw of W=122: [6 9 10 15 19 22 30 33 47 48 51 58 61 68 71 81 88 92 93 102 103 106 113 119 120 130 131 148 149 150 154 157 165 186 192 193 194 197 202 203 211 213 214 225 226 236 240 251 252 255 266 271 274 276 280 283 287 288 302 315 330 332 333 339 353 357 371 374 381 383 396 400 413 419 437 443 445 469 492 493 497 503 508 510 514 524 535 539 543 572 579 580 584 592 593 594 600 603 605 610 614 615 616 618 621 627 641 661 662 681 699 700 703 706 707 710 713 714 724 730 751 755]\n# step=0 row=74 minW=122 found cw of W=120: [2 3 8 9 15 22 24 30 34 48 51 61 64 74 80 86 91 92 98 103 115 116 118 120 130 132 149 154 155 161 162 163 167 171 174 177 178 180 187 194 200 202 214 240 241 242 251 271 274 281 297 302 315 324 325 328 338 351 357 358 382 383 386 390 406 407 408 413 417 423 429 437 443 448 450 469 478 480 492 493 497 499 501 503 510 514 520 524 527 529 539 545 546 550 551 553 568 569 580 584 592 593 594 603 612 614 616 649 658 661 670 710 711 724 729 730 736 746 751 755]\n# step=0 row=121 minW=120 found cw of W=112: [2 14 23 24 30 37 50 56 69 70 74 81 86 88 92 102 106 113 115 118 119 120 127 130 132 135 148 149 150 157 159 165 173 177 180 182 187 189 194 195 197 200 202 208 213 214 220 224 227 236 239 242 250 263 270 271 277 283 314 325 338 358 373 374 399 407 408 417 423 429 434 435 477 478 480 483 492 493 501 503 505 529 537 539 543 546 548 550 563 567 572 579 580 589 593 597 606 614 615 621 627 661 662 675 681 687 703 711 724 730 736 747]\n# step=0 row=177 minW=112 found cw of W=110: [2 6 8 9 21 33 34 38 47 49 56 58 64 68 70 71 76 83 91 98 104 113 119 120 129 131 132 134 135 149 159 161 175 186 189 195 197 203 211 230 239 240 242 250 251 255 266 271 274 277 280 281 291 302 317 325 328 332 338 339 351 357 372 386 390 399 400 406 407 423 434 448 463 472 478 492 493 503 505 507 510 526 546 559 565 569 571 573 592 594 600 614 616 630 641 649 658 661 669 675 681 699 710 711 713 724 729 730 736 751]\n# step=1 row=8 minW=110 found cw of W=98: [2 9 13 16 22 24 41 46 48 62 77 78 79 91 92 96 108 125 127 133 138 139 141 145 146 150 152 185 192 205 208 224 226 260 294 320 322 325 335 353 358 364 378 386 390 391 397 398 413 415 416 420 427 435 438 446 457 479 480 481 482 483 488 512 516 517 518 528 530 555 558 565 569 574 577 590 592 606 608 618 620 623 639 644 666 669 680 682 688 696 703 708 710 715 727 744 745 753]\n# step=1 row=183 minW=98 found cw of W=94: [13 17 22 24 25 27 32 36 39 62 73 77 82 83 89 91 96 125 132 133 146 156 180 184 195 205 208 217 224 226 228 237 242 297 301 304 340 345 348 352 353 358 376 378 382 386 391 397 413 415 420 425 427 439 446 457 461 479 481 482 487 488 502 513 516 528 530 534 554 555 566 569 571 589 592 620 628 644 648 656 664 666 669 670 682 693 697 705 710 713 715 737 738 742]\n# step=4 row=42 minW=94 found cw of W=92: [48 55 62 68 76 77 79 84 89 108 111 122 123 134 140 169 175 184 185 190 210 220 226 254 288 289 296 300 301 306 323 337 343 349 357 364 371 372 385 391 396 400 412 421 426 431 433 439 455 461 480 489 506 509 518 519 521 530 547 553 555 563 574 576 588 597 598 599 611 617 618 620 624 645 659 665 669 673 674 679 688 689 703 707 715 722 727 733 734 742 745 750]\n# step=4 row=349 minW=92 found cw of W=90: [1 12 14 17 18 41 55 69 79 84 90 96 108 117 123 124 141 148 152 158 167 178 181 190 212 214 218 220 226 229 235 248 271 277 281 288 300 323 325 326 332 333 335 339 344 351 378 383 391 396 413 436 439 457 468 473 491 501 505 523 540 546 547 559 568 572 574 580 585 588 589 598 604 611 614 617 638 645 655 664 665 668 679 684 687 688 703 707 710 729]\n# step=21 row=170 minW=90 found cw of W=88: [13 20 32 48 76 91 97 142 146 151 170 173 185 187 197 226 230 237 247 267 276 279 281 283 286 289 295 296 309 315 320 321 322 327 331 336 342 344 348 352 359 371 379 380 385 398 415 435 453 460 481 482 488 502 505 516 525 529 537 543 548 550 555 563 564 571 579 584 591 597 599 603 608 613 618 638 646 653 663 670 673 677 681 687 695 699 722 735]\n# step=28 row=67 minW=88 found cw of W=84: [3 14 15 19 39 59 65 66 71 74 81 91 101 109 114 119 120 122 126 145 146 148 174 181 192 194 201 203 207 208 212 215 229 247 249 259 261 262 266 289 293 300 304 317 324 338 351 382 397 407 444 456 458 469 487 488 500 505 521 526 531 536 544 546 547 553 577 580 585 588 602 626 639 645 662 669 670 680 701 711 735 736 746 752]\n# step=60 row=172 minW=84 found cw of W=78: [6 17 25 31 34 45 75 82 89 100 110 121 133 143 155 195 210 237 241 254 292 296 302 304 309 316 323 330 340 346 353 354 357 359 367 374 385 398 407 418 422 434 437 438 448 450 460 471 475 487 501 504 509 512 521 527 528 550 553 566 570 577 591 611 618 628 644 656 680 682 693 705 725 726 734 736 746 752]\n# step=81 row=193 minW=78 found cw of W=46: [14 16 28 39 69 80 135 137 142 172 192 236 247 283 298 324 327 346 351 353 360 382 389 396 401 419 460 461 502 510 515 568 592 600 612 617 641 649 658 680 682 684 724 733 746 748]\n# step=81 row=362 minW=46 found cw of W=42: [14 28 69 80 135 137 142 172 192 236 247 283 298 324 346 351 353 360 396 401 419 460 461 502 510 515 568 592 600 612 617 641 649 658 680 682 684 705 724 733 746 748]\n# round=1000 of 10000 minW=42\n# round=2000 of 10000 minW=42\n# round=3000 of 10000 minW=42\n# round=4000 of 10000 minW=42\n# step=4173 row=159 minW=42 found cw of W=38: [6 20 31 38 45 49 52 55 68 151 206 213 292 315 321 324 354 361 365 368 376 384 405 411 439 441 482 572 621 635 639 662 688 693 699 729 742 752]\n# round=5000 of 10000 minW=38\n# round=6000 of 10000 minW=38\n# round=7000 of 10000 minW=38\n# round=8000 of 10000 minW=38\n# round=9000 of 10000 minW=38\n# round=10000 of 10000 minW=38\nRW algorithm upper bound for the distance d=38\n</t>
  </si>
  <si>
    <t># step=0 row=0 minW=757 found cw of W=142: [1 3 4 5 7 8 9 11 16 23 37 41 49 52 63 66 69 92 95 97 98 105 116 118 119 121 125 126 129 135 136 149 153 156 159 165 169 170 171 172 174 176 178 180 183 202 205 215 216 218 222 224 236 243 251 256 259 260 284 288 291 298 300 306 315 318 322 323 327 328 339 342 355 369 385 387 391 392 393 394 415 417 424 430 432 437 442 445 448 460 468 471 476 479 481 482 485 488 502 505 509 513 517 520 522 527 531 555 568 581 582 583 586 599 602 614 616 623 629 632 634 638 642 655 657 664 671 681 687 691 703 705 710 719 720 721 730 732 744 748 751 756]\n# step=0 row=1 minW=142 found cw of W=140: [1 2 6 7 9 11 16 19 26 49 61 64 66 68 78 82 86 96 97 98 109 112 116 119 125 126 129 135 136 140 141 145 151 153 168 172 180 186 203 205 215 218 222 224 227 230 233 239 241 246 251 274 284 285 290 303 306 312 314 315 322 323 325 339 342 347 355 358 360 370 374 385 386 391 392 393 397 401 409 413 418 442 444 447 458 460 462 466 471 474 481 483 485 488 493 496 509 513 514 522 536 546 547 552 555 561 562 568 574 581 584 591 599 600 603 611 623 624 628 633 638 640 642 643 657 671 677 681 687 691 703 713 720 721 726 730 732 740 744 756]\n# step=0 row=5 minW=140 found cw of W=136: [2 3 14 36 41 64 66 69 82 86 92 95 96 109 116 118 119 123 125 129 131 140 141 142 145 151 153 159 165 169 172 174 178 180 184 186 205 215 218 222 224 233 239 241 246 251 259 260 274 284 288 290 303 306 311 314 315 322 336 339 347 355 358 360 362 384 386 391 393 394 397 401 404 409 411 413 414 415 417 424 430 445 451 460 462 466 468 470 474 476 479 482 483 488 494 496 502 505 508 511 514 517 522 536 542 552 555 562 574 581 583 591 602 623 640 642 657 658 671 674 681 691 692 699 703 710 713 721 728 730 732 733 741 748 751 754]\n# step=0 row=8 minW=136 found cw of W=132: [1 2 3 4 7 8 9 16 20 36 37 49 63 64 66 67 72 82 86 98 105 116 121 125 126 135 136 140 141 146 149 153 156 168 176 178 180 187 190 191 198 203 212 215 216 218 222 224 230 233 239 256 260 284 285 288 314 318 327 336 339 342 354 370 385 386 387 391 392 394 397 401 404 414 417 432 437 442 444 447 448 451 458 466 470 471 475 483 488 489 493 494 500 508 513 514 527 542 546 547 555 560 561 574 581 582 583 584 601 603 624 628 630 633 643 657 658 671 674 677 689 691 703 705 710 726 732 733 738 751 754 756]\n# step=0 row=22 minW=132 found cw of W=130: [1 3 8 23 28 34 36 37 42 49 63 64 67 69 78 95 116 121 123 126 136 139 153 159 162 165 169 173 176 178 180 187 190 191 198 202 205 212 213 215 218 222 224 233 239 240 256 284 288 289 295 303 311 314 325 336 339 347 356 358 359 362 370 387 392 394 399 400 401 413 417 424 434 445 448 450 451 458 462 468 470 471 475 482 490 496 500 502 528 547 552 556 557 560 568 581 583 584 591 601 602 623 624 630 632 633 638 640 647 657 664 667 671 674 680 687 689 691 699 700 710 720 730 735 738 744 749 751 754 756]\n# step=0 row=25 minW=130 found cw of W=118: [2 11 18 34 41 48 52 64 66 67 82 86 95 96 109 112 118 119 124 125 126 129 141 145 151 159 165 184 186 190 203 212 213 218 224 238 241 243 246 256 259 260 279 295 300 303 311 314 315 318 328 334 347 358 360 369 391 397 399 404 409 413 415 424 430 432 444 445 453 458 462 466 470 474 479 482 485 488 490 493 496 500 502 505 508 511 514 531 536 546 547 552 555 556 568 574 583 584 586 602 616 630 632 633 638 642 643 668 671 687 691 719 720 723 732 744 748 755]\n# step=0 row=56 minW=118 found cw of W=106: [2 4 8 11 19 23 26 37 44 63 64 67 69 86 92 94 95 96 98 103 106 109 116 118 123 125 131 141 142 151 153 159 169 171 172 184 205 212 215 222 224 227 236 239 246 259 284 291 295 298 311 312 314 327 339 362 370 374 384 386 397 399 404 411 418 424 432 437 442 445 447 448 453 460 472 485 494 496 500 502 514 522 542 574 581 583 591 600 611 614 623 634 638 640 655 657 668 671 687 699 705 713 730 740 744 751]\n# step=0 row=206 minW=106 found cw of W=98: [2 7 8 18 36 41 46 52 63 64 78 95 96 98 124 125 126 129 135 136 145 149 151 156 159 173 180 184 186 187 191 198 203 216 218 239 241 246 251 259 260 290 306 311 318 336 355 359 385 386 391 396 404 411 415 424 434 445 447 448 451 458 474 475 479 482 485 502 505 511 513 527 536 546 547 557 560 562 568 582 584 591 601 602 603 624 633 640 643 647 691 692 699 721 728 741 744 748]\n# step=2 row=5 minW=98 found cw of W=90: [7 11 28 33 34 42 50 81 101 104 105 106 112 129 136 143 149 153 156 161 167 179 187 196 205 215 216 222 228 245 246 284 295 296 299 318 348 356 365 373 386 391 407 410 417 426 427 432 433 441 448 467 468 472 479 522 526 537 539 552 558 569 571 574 578 582 588 593 606 616 624 650 659 664 667 672 674 677 679 708 713 714 723 729 732 735 736 743 749 754]\n# step=2 row=19 minW=90 found cw of W=88: [4 22 33 35 42 45 91 94 104 118 125 131 143 144 149 153 156 161 186 196 205 209 215 216 221 237 245 253 276 283 304 343 353 356 374 379 388 390 395 408 413 423 431 468 475 496 498 509 513 517 522 526 537 539 545 551 558 559 562 574 578 582 586 587 593 600 603 615 616 618 619 627 629 636 637 641 664 670 672 685 706 708 713 717 719 727 734 754]\n# step=2 row=368 minW=88 found cw of W=86: [7 28 33 34 42 50 81 101 104 105 106 112 129 136 143 149 153 156 161 167 179 187 196 205 215 216 222 228 245 246 284 295 296 318 356 365 373 386 391 407 410 417 426 427 432 433 441 448 467 468 472 479 522 526 537 539 552 558 569 571 574 578 582 588 593 606 616 624 650 659 664 667 672 674 679 708 713 714 721 723 729 735 736 743 749 754]\n# step=5 row=61 minW=86 found cw of W=76: [4 35 55 59 63 66 73 79 90 94 111 125 128 139 144 145 167 169 180 186 205 208 241 242 246 248 266 294 296 299 304 305 315 319 324 329 340 358 363 368 374 384 399 402 423 429 474 478 495 496 505 517 522 534 551 559 571 578 609 612 626 638 644 648 649 658 670 672 677 679 683 687 688 718 729 754]\n# step=81 row=150 minW=76 found cw of W=64: [5 10 19 40 51 60 67 82 87 88 96 110 116 137 143 158 187 198 202 213 234 249 263 270 273 278 284 314 318 319 354 360 384 394 398 403 404 433 453 460 480 489 500 510 522 523 571 579 600 620 641 642 648 651 661 662 671 682 691 713 717 738 747 754]\n# step=90 row=11 minW=64 found cw of W=58: [6 18 21 32 33 48 55 56 62 83 132 138 187 189 217 238 245 272 276 281 283 286 294 300 309 322 329 336 355 364 377 379 398 399 412 420 432 455 470 496 505 537 567 571 622 623 629 654 659 664 667 687 700 707 709 722 727 749]\n# step=217 row=327 minW=58 found cw of W=56: [7 8 9 15 37 62 64 71 117 153 167 172 188 222 227 229 243 271 277 279 282 283 292 318 325 327 333 334 337 338 341 359 380 381 386 403 435 441 448 471 476 477 490 526 545 561 567 580 586 647 661 683 703 717 725 740]\n# step=916 row=140 minW=56 found cw of W=54: [53 54 76 145 165 200 205 212 220 221 227 232 240 254 256 274 275 288 301 311 316 322 341 342 385 386 419 434 469 501 516 523 524 536 543 550 559 565 583 606 613 618 638 652 661 665 666 667 679 700 707 720 723 742]\n# round=1000 of 10000 minW=54\n# step=1171 row=239 minW=54 found cw of W=48: [45 50 70 86 92 105 113 114 125 127 147 148 159 189 210 214 251 333 348 388 403 418 423 428 437 448 452 464 470 477 491 493 497 504 505 518 532 572 580 583 594 595 608 621 636 657 698 706]\n# round=2000 of 10000 minW=48\n# round=3000 of 10000 minW=48\n# step=3567 row=121 minW=48 found cw of W=46: [7 101 143 150 156 187 198 219 220 225 240 280 289 315 330 356 376 391 431 432 447 455 479 480 496 523 529 537 569 570 583 589 597 598 603 632 638 653 664 667 679 680 688 699 708 743]\n# round=4000 of 10000 minW=46\n# round=5000 of 10000 minW=46\n# round=6000 of 10000 minW=46\n# round=7000 of 10000 minW=46\n# round=8000 of 10000 minW=46\n# round=9000 of 10000 minW=46\n# round=10000 of 10000 minW=46\nRW algorithm upper bound for the distance d=46\n</t>
  </si>
  <si>
    <t># step=0 row=0 minW=757 found cw of W=152: [1 2 5 7 8 13 40 47 51 62 63 66 68 73 91 93 95 97 99 106 112 114 116 119 122 127 130 133 135 148 156 163 164 169 172 176 180 187 204 210 213 215 216 219 222 223 225 226 230 233 236 242 245 255 258 260 268 270 271 284 293 298 300 303 314 333 336 343 345 354 358 374 377 381 386 387 395 399 400 402 405 407 409 410 413 435 440 441 442 445 447 454 456 459 473 475 476 485 488 491 501 506 511 521 533 540 542 545 546 556 567 568 593 594 598 600 608 609 614 616 617 627 630 631 633 642 644 646 656 658 667 669 671 675 676 679 682 685 698 699 701 705 714 720 722 724 726 728 746 750 754 755]\n# step=0 row=3 minW=152 found cw of W=146: [2 8 12 19 27 30 34 36 40 51 63 66 73 76 79 90 95 99 106 112 116 117 118 119 130 131 133 135 138 143 147 149 152 154 156 161 169 175 179 180 202 204 205 211 216 219 226 227 236 242 247 255 258 268 274 290 293 298 306 310 314 328 343 345 348 353 354 357 359 365 376 377 378 381 385 386 387 395 400 407 408 409 411 413 422 429 431 445 449 454 456 459 463 473 475 476 478 485 488 495 501 506 511 521 524 530 540 541 545 546 547 551 555 556 564 576 579 592 594 600 609 611 613 630 642 643 646 654 658 668 669 671 675 679 698 699 706 714 720 724 730 737 744 750 755 756]\n# step=0 row=5 minW=146 found cw of W=132: [1 3 15 23 26 27 36 40 44 49 58 65 66 76 79 90 93 99 106 112 114 119 122 127 130 131 138 143 148 156 169 172 176 187 198 203 204 213 215 216 222 233 236 255 258 260 268 270 271 284 286 294 300 306 310 321 333 337 343 345 348 349 354 358 359 370 374 376 381 388 392 395 400 402 407 408 409 410 411 422 429 431 438 442 449 454 463 473 485 488 501 508 521 533 539 540 541 545 553 564 567 593 594 600 605 608 614 616 623 627 629 630 633 642 643 644 664 666 669 679 681 685 699 701 708 720 722 726 730 737 754 756]\n# step=0 row=6 minW=132 found cw of W=74: [1 2 3 13 16 26 42 44 47 49 58 65 79 91 99 100 106 146 152 204 208 211 255 270 286 294 314 321 336 349 353 365 370 374 376 385 399 400 405 408 422 429 431 438 440 441 442 449 454 495 533 539 540 579 588 592 623 629 630 646 664 669 679 682 685 688 699 708 714 720 728 734 747 755]\n# step=0 row=193 minW=74 found cw of W=70: [1 2 3 13 26 42 44 47 49 58 79 91 99 100 146 152 204 208 211 255 270 286 294 314 321 336 349 353 365 370 374 376 385 394 399 400 405 408 422 429 431 440 441 442 454 495 533 539 540 579 588 592 623 629 630 646 664 669 679 682 685 688 699 708 714 720 728 734 747 755]\n# step=4 row=14 minW=70 found cw of W=62: [6 11 20 26 61 76 81 95 136 143 166 168 177 204 207 217 223 229 255 259 262 266 269 273 284 294 307 313 314 334 348 349 354 375 396 405 411 419 424 430 445 453 465 479 495 516 543 546 582 607 608 631 636 650 663 697 713 721 732 734 753 754]\n# step=445 row=262 minW=62 found cw of W=60: [3 24 29 35 43 44 51 58 73 76 99 100 114 131 133 138 174 182 185 186 192 236 237 240 244 248 300 302 323 341 352 358 367 388 393 427 442 443 454 462 464 473 498 506 517 521 539 544 619 629 634 668 669 673 676 681 684 709 725 756]\n# step=657 row=253 minW=60 found cw of W=56: [22 29 43 47 58 73 89 92 112 128 132 133 135 143 174 183 186 193 194 197 198 235 245 249 252 283 296 351 366 376 380 400 420 431 455 466 476 483 491 498 515 547 556 558 571 581 588 615 646 668 675 695 716 724 735 754]\n# round=1000 of 10000 minW=56\n# step=1373 row=175 minW=56 found cw of W=52: [2 12 16 36 56 60 67 71 227 271 277 284 312 325 326 328 331 332 347 352 372 373 386 401 414 427 468 491 496 545 581 586 605 612 648 654 655 660 661 662 671 676 690 695 697 702 704 710 730 739 746 751]\n# round=2000 of 10000 minW=52\n# round=3000 of 10000 minW=52\n# step=3669 row=36 minW=52 found cw of W=50: [2 6 16 17 46 57 64 68 71 72 75 82 109 110 115 116 131 142 156 164 172 178 222 226 233 281 284 301 329 334 336 339 345 356 389 411 418 419 453 485 488 522 548 589 605 654 695 706 707 712]\n# step=3862 row=87 minW=50 found cw of W=42: [34 56 76 78 89 97 111 118 140 143 144 146 181 184 187 188 195 233 282 323 386 411 426 427 454 460 468 501 524 530 537 576 611 624 625 655 673 674 714 722 723 756]\n# round=4000 of 10000 minW=42\n# round=5000 of 10000 minW=42\n# round=6000 of 10000 minW=42\n# round=7000 of 10000 minW=42\n# round=8000 of 10000 minW=42\n# round=9000 of 10000 minW=42\n# round=10000 of 10000 minW=42\nRW algorithm upper bound for the distance d=42\n</t>
  </si>
  <si>
    <t># step=0 row=0 minW=757 found cw of W=110: [1 2 3 5 6 8 9 12 13 16 41 46 52 81 87 91 97 101 103 108 123 130 134 137 142 143 146 148 153 162 165 172 177 199 200 201 203 207 210 214 224 242 253 256 259 268 273 277 288 311 315 320 325 328 342 358 364 366 373 375 377 381 398 411 419 422 424 426 459 460 469 473 485 486 488 509 515 516 525 526 535 537 543 545 549 556 567 574 576 585 586 602 606 615 620 623 627 631 634 637 641 669 672 699 705 710 720 724 727 731]\n# step=0 row=338 minW=110 found cw of W=108: [1 2 3 5 8 9 12 24 45 52 57 79 86 87 94 97 101 106 108 110 112 119 126 129 142 143 150 159 161 165 172 175 184 190 198 224 229 244 246 256 257 270 276 277 283 284 285 292 304 311 320 325 328 342 347 354 358 364 381 382 397 398 417 419 422 426 438 458 474 478 479 504 507 508 516 521 523 545 570 574 581 592 602 606 607 608 611 617 619 620 622 630 634 641 654 656 661 663 669 670 677 685 710 718 724 731 746 752]\n# step=0 row=384 minW=108 found cw of W=106: [1 2 3 5 8 9 12 13 16 20 27 41 46 52 81 87 91 97 101 103 108 123 130 134 137 142 143 146 148 153 162 165 172 177 199 200 201 203 207 210 214 224 242 256 268 273 277 288 294 311 325 328 342 349 358 366 373 377 381 398 411 419 422 424 426 459 460 469 473 485 486 488 509 515 516 525 526 535 537 543 545 549 556 567 574 576 585 586 602 606 615 620 623 627 634 641 669 692 705 710 720 724 731 734 741 755]\n# step=1 row=93 minW=106 found cw of W=104: [1 11 13 41 52 55 80 81 111 115 117 124 135 146 168 170 176 183 187 191 196 220 223 229 230 231 235 239 240 246 248 250 251 257 276 280 282 284 287 297 301 306 311 315 325 326 328 333 334 335 336 337 341 343 356 368 369 373 385 391 398 411 412 440 444 454 461 465 475 485 501 510 520 530 554 559 561 568 574 586 591 600 607 616 627 640 644 652 654 665 670 679 680 706 711 712 716 723 729 734 742 746 747 748]\n# step=3 row=89 minW=104 found cw of W=78: [18 21 26 47 60 76 81 102 111 115 116 125 143 146 165 166 169 176 180 185 194 212 217 242 244 249 268 279 292 298 299 307 324 328 339 355 360 376 387 394 417 420 436 438 440 458 461 477 487 494 500 509 514 516 528 530 535 555 556 567 572 586 621 622 634 635 650 657 662 675 684 685 690 719 721 731 746 754]\n# step=57 row=359 minW=78 found cw of W=74: [13 14 22 24 33 48 58 62 75 81 88 147 158 178 185 186 209 213 241 248 253 257 261 262 269 275 292 297 308 310 312 315 317 330 347 356 365 368 380 391 401 408 435 446 459 510 514 515 549 556 559 598 604 611 618 625 626 640 642 647 649 660 665 667 689 696 697 708 709 714 741 750 752 756]\n# step=58 row=12 minW=74 found cw of W=62: [20 23 25 41 45 75 76 90 115 117 127 138 139 168 179 180 183 190 258 293 295 308 350 357 360 362 368 370 374 375 383 405 418 424 425 429 432 450 456 460 463 465 468 493 499 505 519 522 540 542 553 567 583 608 636 643 671 685 686 691 692 746]\n# step=112 row=25 minW=62 found cw of W=50: [2 30 34 37 54 57 74 92 99 129 136 206 212 255 268 297 302 311 316 331 338 377 378 382 386 400 407 412 420 435 472 510 559 576 584 590 600 625 626 634 645 666 688 689 695 709 730 737 749 751]\n# step=112 row=305 minW=50 found cw of W=44: [30 37 54 74 92 99 129 136 200 206 212 268 297 302 311 322 331 338 377 378 382 386 412 420 435 472 510 559 576 578 584 590 600 625 626 634 640 666 668 700 709 737 749 751]\n# round=1000 of 10000 minW=44\n# round=2000 of 10000 minW=44\n# round=3000 of 10000 minW=44\n# step=3975 row=63 minW=44 found cw of W=40: [67 85 111 122 163 177 218 221 222 225 232 265 273 284 312 326 363 374 402 443 451 507 533 551 574 582 597 631 641 643 655 661 672 692 710 713 717 731 733 751]\n# round=4000 of 10000 minW=40\n# round=5000 of 10000 minW=40\n# round=6000 of 10000 minW=40\n# round=7000 of 10000 minW=40\n# round=8000 of 10000 minW=40\n# round=9000 of 10000 minW=40\n# round=10000 of 10000 minW=40\nRW algorithm upper bound for the distance d=40\n</t>
  </si>
  <si>
    <t># step=0 row=1 minW=757 found cw of W=128: [4 7 10 11 16 27 34 37 39 41 51 58 60 73 74 78 95 106 113 124 125 137 144 153 169 172 174 175 192 195 200 204 205 211 215 221 228 231 236 243 250 262 265 269 272 275 283 284 290 303 307 311 330 331 333 337 345 348 350 351 366 374 380 383 386 387 388 389 391 392 394 406 413 417 419 423 424 429 433 435 437 449 451 452 455 460 462 474 476 482 486 493 496 504 506 515 527 541 553 557 558 572 576 578 582 589 597 599 612 654 669 679 681 685 691 695 698 702 703 706 709 711 712 716 717 725 726 729]\n# step=0 row=14 minW=128 found cw of W=124: [3 10 17 28 30 34 35 40 41 69 76 85 95 96 103 106 113 118 120 124 126 143 147 149 166 167 168 170 179 187 193 200 204 209 211 214 215 221 225 228 234 236 243 258 262 269 271 276 277 280 281 283 284 287 290 297 303 320 330 332 335 338 345 351 364 366 368 375 380 387 388 390 415 417 419 428 429 437 441 449 452 454 456 467 470 482 486 490 496 529 537 541 551 558 560 571 572 592 593 610 614 615 619 626 627 655 656 669 676 695 700 703 704 705 706 708 709 711 714 717 729 737 745 749]\n# step=0 row=16 minW=124 found cw of W=104: [22 41 42 51 53 54 73 78 92 95 96 103 106 120 124 126 133 144 147 153 154 167 170 174 193 205 214 221 225 232 234 241 247 258 260 269 276 283 295 296 303 311 320 321 331 332 338 350 351 368 373 375 376 380 382 386 406 413 415 420 423 435 441 447 449 451 455 456 461 486 490 503 504 506 529 537 542 551 559 571 576 578 583 592 599 609 612 615 620 627 654 656 668 676 680 693 700 703 705 716 717 729 743 749]\n# step=0 row=112 minW=104 found cw of W=90: [18 37 39 54 60 73 91 92 113 144 146 147 166 168 179 201 202 205 209 212 217 224 231 233 234 235 236 256 265 269 272 275 277 295 303 318 320 330 332 334 336 337 364 368 375 388 389 391 393 403 415 416 423 428 429 432 433 442 451 452 476 482 505 523 525 541 542 544 553 557 559 583 586 592 599 614 615 626 638 656 668 669 691 702 704 705 714 716 717 725]\n# step=0 row=275 minW=90 found cw of W=88: [18 37 39 54 60 73 91 92 113 144 146 147 166 175 201 202 205 209 212 228 231 233 234 235 236 256 258 272 275 277 295 303 318 320 330 332 334 336 337 364 368 375 388 389 391 393 403 415 416 423 428 429 432 433 442 451 452 476 482 505 523 525 541 542 544 546 559 583 586 592 597 599 612 614 615 626 638 656 668 669 691 702 704 705 714 716 717 725]\n# step=6 row=70 minW=88 found cw of W=86: [2 40 41 60 67 75 76 96 123 130 138 146 154 158 202 205 206 209 216 226 252 254 255 262 291 295 296 301 303 309 314 342 346 348 353 355 363 369 380 396 401 403 404 419 424 434 440 442 447 452 466 470 480 481 494 496 514 519 542 543 568 579 583 591 610 617 630 632 635 639 645 658 666 667 684 692 699 700 715 722 723 726 728 742 754 756]\n# step=12 row=382 minW=86 found cw of W=84: [4 21 22 29 50 51 76 78 83 101 106 110 126 141 145 149 152 157 159 162 168 190 196 198 199 223 226 230 232 267 287 311 313 327 334 344 345 373 380 403 406 417 421 437 444 447 451 456 460 472 473 479 483 484 488 507 519 530 532 533 535 543 548 555 562 569 573 576 589 590 609 613 630 632 633 654 656 658 663 691 707 709 740 748]\n# step=14 row=224 minW=84 found cw of W=74: [4 10 11 13 20 27 50 57 59 105 121 149 162 165 170 218 225 245 273 280 281 285 287 296 315 322 333 336 345 363 364 366 371 375 400 423 425 430 433 443 448 450 474 479 499 500 513 515 520 528 533 549 554 562 584 590 596 618 629 633 644 652 658 659 680 686 703 706 709 711 718 734 736 741]\n# step=86 row=316 minW=74 found cw of W=70: [4 11 15 33 60 70 88 108 114 115 125 150 157 162 167 172 187 211 213 227 241 242 249 255 257 262 266 268 282 283 324 327 361 368 375 383 385 411 419 424 433 434 438 450 455 460 465 475 487 499 510 521 522 530 535 558 559 570 571 583 591 611 625 626 632 648 671 673 704 753]\n# step=95 row=148 minW=70 found cw of W=66: [13 16 26 37 62 65 67 92 99 114 129 158 196 202 213 242 274 285 288 291 293 305 325 330 334 335 336 337 340 341 348 362 376 378 389 410 417 435 440 443 446 449 479 484 487 528 530 547 562 579 596 637 642 666 671 675 682 683 691 708 710 712 713 719 733 754]\n# step=95 row=322 minW=66 found cw of W=64: [13 16 26 37 62 65 67 92 99 114 129 158 196 202 213 274 285 288 293 305 325 330 332 334 335 336 337 340 341 348 362 376 378 389 410 417 435 440 443 446 449 479 484 487 528 530 547 562 579 596 620 637 642 666 671 683 691 708 710 712 713 719 733 754]\n# step=248 row=300 minW=64 found cw of W=44: [37 44 141 155 161 190 216 245 246 253 260 266 274 280 308 315 316 329 350 363 378 380 418 484 485 508 519 534 539 563 577 598 609 629 652 653 665 668 679 693 694 700 713 735]\n# step=956 row=350 minW=44 found cw of W=42: [18 58 62 86 110 113 120 122 124 145 165 172 179 272 284 285 327 375 395 403 433 436 444 452 485 488 495 503 508 526 552 616 642 650 662 663 683 691 707 711 718 752]\n# round=1000 of 10000 minW=42\n# round=2000 of 10000 minW=42\n# round=3000 of 10000 minW=42\n# round=4000 of 10000 minW=42\n# step=4767 row=110 minW=42 found cw of W=40: [13 77 96 151 206 213 221 235 242 275 281 336 342 357 365 379 386 412 427 455 469 474 502 510 522 523 545 551 564 571 590 592 599 613 653 659 666 668 689 749]\n# round=5000 of 10000 minW=40\n# round=6000 of 10000 minW=40\n# round=7000 of 10000 minW=40\n# round=8000 of 10000 minW=40\n# round=9000 of 10000 minW=40\n# round=10000 of 10000 minW=40\nRW algorithm upper bound for the distance d=40\n</t>
  </si>
  <si>
    <t># step=0 row=2 minW=757 found cw of W=146: [1 4 5 9 10 12 15 34 37 38 39 41 43 45 46 48 52 56 62 67 79 80 86 87 103 106 118 122 132 150 157 158 167 172 173 188 192 196 199 201 205 211 212 222 225 227 232 236 250 257 275 277 280 281 286 289 290 292 294 297 298 317 321 336 347 361 374 382 383 387 391 392 393 395 408 409 412 415 417 418 419 422 424 426 430 434 445 449 456 461 464 465 467 475 476 479 494 495 499 501 507 520 528 543 545 546 548 551 554 557 558 570 572 580 584 585 590 600 610 619 625 629 632 633 634 636 648 653 654 664 667 669 678 680 683 685 695 701 709 710 717 724 726 731 736 737]\n# step=0 row=3 minW=146 found cw of W=130: [5 6 11 19 23 25 35 52 56 61 62 65 66 79 85 90 101 103 109 111 118 135 142 150 158 173 184 186 196 199 201 207 219 227 229 236 237 241 256 257 273 274 277 281 284 286 297 300 303 310 315 321 324 332 336 339 343 346 347 348 360 366 368 374 384 387 391 398 409 418 423 428 433 434 449 452 456 459 472 479 494 495 500 502 507 520 524 525 534 543 546 549 558 568 577 579 580 584 598 605 606 618 626 629 632 635 636 640 641 644 646 648 649 654 658 660 664 665 676 677 685 709 717 721 724 726 731 733 734 737]\n# step=0 row=6 minW=130 found cw of W=126: [9 10 12 14 15 19 25 34 41 43 45 46 48 56 62 78 87 103 111 132 150 157 158 159 164 165 188 205 207 211 212 214 222 236 238 241 248 250 252 256 257 275 281 289 290 297 300 324 328 336 347 348 352 353 360 366 368 374 383 384 387 391 393 409 412 418 419 421 424 426 428 429 430 447 452 459 461 467 475 476 495 499 514 524 528 535 543 548 549 557 563 572 577 579 580 581 584 590 600 605 606 610 616 618 619 625 626 633 635 636 640 646 648 649 654 672 676 680 685 709 721 725 731 733 736 737]\n# step=0 row=32 minW=126 found cw of W=120: [5 8 9 10 15 19 37 60 62 66 67 72 78 86 109 110 111 167 172 173 192 201 205 207 211 212 214 219 220 222 225 229 232 236 246 248 254 256 257 261 273 274 275 281 289 297 303 310 315 317 321 325 328 331 335 336 346 347 352 353 366 368 382 392 415 421 423 428 430 444 452 456 459 464 479 494 495 499 502 520 528 534 545 546 548 551 554 570 577 579 584 590 598 600 605 606 618 619 625 626 632 634 640 644 646 649 658 665 667 670 676 679 680 687 695 697 725 728 730 731]\n# step=0 row=39 minW=120 found cw of W=116: [5 9 15 19 23 25 35 43 45 52 56 62 67 74 78 79 80 85 90 101 118 122 127 133 135 142 150 157 165 167 172 186 189 191 195 203 222 227 232 235 236 237 238 244 250 258 265 275 277 280 284 286 292 297 306 310 324 332 339 346 348 352 368 384 393 410 429 433 434 462 465 476 479 495 501 502 511 524 525 534 535 543 545 552 558 568 579 581 584 585 598 605 616 619 625 626 629 634 635 642 646 649 653 660 664 672 676 687 701 717 725 726 728 736 737 750]\n# step=0 row=65 minW=116 found cw of W=108: [5 9 11 12 19 23 38 39 45 62 67 79 85 94 106 111 120 127 161 165 167 172 173 189 191 203 207 214 220 229 235 236 238 241 244 256 257 258 265 273 275 277 284 286 297 298 303 306 317 328 352 361 366 387 395 408 410 417 422 428 434 437 445 452 456 462 479 494 495 501 502 504 511 524 534 535 545 546 551 552 581 606 616 619 625 629 634 640 641 642 648 660 664 669 677 683 687 695 701 710 721 724 725 726 728 730 737 750]\n# step=0 row=99 minW=108 found cw of W=102: [11 12 23 25 35 38 39 45 46 56 65 66 72 85 90 101 106 110 111 118 122 135 142 150 165 167 172 180 184 186 192 222 224 229 232 236 248 273 275 277 279 280 286 303 310 324 325 328 334 346 347 348 353 361 366 368 374 382 383 387 396 408 409 410 417 418 422 423 424 428 430 433 456 459 465 472 494 500 534 543 545 546 568 570 584 598 625 635 636 653 654 660 669 670 676 685 709 710 717 724 731 737]\n# step=0 row=363 minW=102 found cw of W=94: [5 12 19 35 41 48 62 79 90 110 122 127 150 164 170 173 189 192 199 205 207 212 214 217 220 225 244 252 253 254 256 258 261 275 277 279 280 281 286 290 294 306 310 325 332 334 339 341 375 384 398 410 421 430 434 452 465 479 495 501 502 511 514 520 524 543 548 563 570 577 598 601 606 610 619 625 629 631 633 640 644 653 664 672 677 678 686 687 701 709 714 721 726 728]\n# step=8 row=335 minW=94 found cw of W=84: [1 6 8 12 35 44 47 51 79 83 93 95 116 123 127 131 134 144 145 150 172 173 182 189 196 200 207 222 227 234 236 247 269 282 307 310 322 323 326 356 365 367 379 381 390 403 411 433 445 452 460 461 477 493 500 510 516 522 533 545 564 565 566 582 595 613 618 623 625 631 633 635 654 667 674 676 688 691 698 701 708 713 721 756]\n# step=9 row=33 minW=84 found cw of W=78: [3 21 35 50 65 76 99 125 131 132 138 163 173 186 187 194 217 230 241 249 272 277 289 296 299 300 304 305 317 318 324 327 338 346 352 354 355 366 387 401 413 449 457 461 472 483 487 491 506 539 541 554 560 562 577 581 588 606 616 620 626 631 637 648 650 657 663 669 675 677 681 686 695 697 698 702 737 750]\n# step=45 row=108 minW=78 found cw of W=76: [18 75 81 87 88 94 95 108 122 142 149 150 155 165 184 185 196 197 211 212 239 260 261 279 286 314 328 329 343 379 390 398 399 404 419 420 424 430 433 439 440 453 459 472 479 480 494 515 528 533 534 535 539 543 544 549 555 563 569 570 574 604 610 611 638 644 657 672 679 687 692 707 708 712 734 741]\n# step=45 row=270 minW=76 found cw of W=66: [18 87 94 95 108 122 137 149 150 155 178 184 185 196 211 212 239 260 279 286 314 328 329 343 379 390 398 399 404 419 420 424 430 433 439 440 466 472 479 480 494 510 514 528 533 534 535 539 543 544 555 569 574 610 638 644 657 672 679 687 692 707 708 712 734 741]\n# step=45 row=277 minW=66 found cw of W=64: [18 87 88 94 95 108 122 149 150 155 184 185 196 211 212 239 260 279 286 314 328 329 343 379 390 398 399 404 419 420 424 430 433 439 440 472 479 480 494 514 521 528 533 534 535 539 543 544 555 569 574 610 638 644 657 672 679 687 692 707 708 712 734 741]\n# step=156 row=381 minW=64 found cw of W=56: [8 54 63 70 73 109 111 114 118 155 164 171 186 219 220 227 235 281 291 310 323 342 361 366 377 379 402 423 427 443 446 457 468 472 487 489 495 536 539 556 562 564 579 598 611 619 649 653 654 660 665 675 716 731 745 756]\n# step=233 row=180 minW=56 found cw of W=52: [2 7 13 26 42 55 75 88 89 91 92 103 110 130 133 137 142 143 144 185 197 252 290 294 330 331 349 356 380 384 391 392 393 400 410 420 433 441 446 453 474 475 483 550 576 599 618 619 640 672 674 721]\n# round=1000 of 10000 minW=52\n# round=2000 of 10000 minW=52\n# step=2157 row=42 minW=52 found cw of W=50: [6 11 17 21 26 31 67 80 86 108 129 141 252 286 309 334 369 383 395 396 404 409 418 433 440 473 494 499 507 513 520 540 543 548 584 603 638 652 664 667 693 708 712 713 728 734 742 747 749 754]\n# round=3000 of 10000 minW=50\n# step=3660 row=308 minW=50 found cw of W=46: [26 121 165 176 184 240 246 286 289 295 302 306 344 349 351 410 425 433 454 474 499 515 521 544 548 562 570 589 597 609 617 618 619 629 634 652 658 660 678 687 699 701 719 721 742 754]\n# round=4000 of 10000 minW=46\n# round=5000 of 10000 minW=46\n# round=6000 of 10000 minW=46\n# round=7000 of 10000 minW=46\n# round=8000 of 10000 minW=46\n# step=8801 row=25 minW=46 found cw of W=44: [14 38 39 52 80 93 96 100 107 166 221 233 276 318 323 324 337 361 367 380 413 423 430 436 470 536 537 544 560 585 586 606 626 635 650 661 666 676 701 709 710 717 746 750]\n# round=9000 of 10000 minW=44\n# round=10000 of 10000 minW=44\nRW algorithm upper bound for the distance d=44\n</t>
  </si>
  <si>
    <t># step=0 row=0 minW=757 found cw of W=174: [2 6 12 13 21 28 33 36 39 41 43 47 48 54 55 60 67 70 74 77 82 84 85 86 89 92 95 99 100 103 104 106 109 112 126 128 131 132 140 141 150 151 158 159 167 176 179 183 186 189 205 214 215 218 220 222 223 228 234 241 248 256 260 267 271 273 274 282 285 287 291 303 307 310 318 319 321 333 344 346 347 352 353 354 362 363 364 368 370 389 390 393 395 400 401 402 403 405 409 414 418 423 424 429 432 433 434 436 438 439 460 462 464 474 477 482 484 489 491 499 500 501 515 519 522 524 526 531 535 540 541 542 556 557 558 562 563 565 573 579 596 608 609 612 621 623 625 631 632 634 636 637 650 657 662 665 672 681 688 693 697 699 701 702 709 717 718 720 724 726 727 732 736 754]\n# step=0 row=1 minW=174 found cw of W=122: [3 10 17 26 29 36 39 45 73 82 84 86 89 91 92 100 103 104 112 119 123 126 129 131 132 140 141 159 201 207 214 220 228 236 241 243 248 256 263 282 284 288 290 299 307 321 325 333 349 352 354 365 370 385 387 393 397 400 401 409 414 417 418 420 421 423 426 432 434 438 451 460 468 477 479 482 483 484 491 497 499 515 516 522 536 540 541 546 550 556 563 567 579 587 595 598 599 608 612 614 616 619 621 631 636 650 665 674 681 688 699 702 709 710 714 715 726 727 730 747 751 754]\n# step=0 row=31 minW=122 found cw of W=118: [6 12 13 21 28 35 39 41 57 67 84 85 86 89 91 94 101 104 109 112 123 130 132 140 141 151 157 159 168 179 180 186 189 213 214 215 218 224 228 236 241 243 248 268 274 278 282 284 285 287 291 299 307 312 319 340 344 346 353 364 376 390 397 401 414 417 420 432 434 437 457 462 468 474 480 482 484 489 491 497 500 526 533 535 542 547 557 558 562 565 567 573 582 587 595 607 608 609 612 621 623 625 631 632 635 650 651 655 657 660 664 665 683 701 720 725 742 755]\n# step=0 row=103 minW=118 found cw of W=116: [21 28 33 35 43 45 54 67 77 82 85 86 89 91 94 95 99 100 101 104 106 109 119 129 131 132 140 141 159 176 179 198 213 214 223 268 273 278 285 291 299 310 312 340 344 346 353 363 364 365 370 372 376 385 396 401 414 418 423 426 434 437 438 460 462 464 468 473 477 479 482 483 484 486 489 491 497 500 501 515 516 523 541 542 546 556 557 567 571 579 587 595 598 608 612 616 631 632 635 636 651 662 665 683 699 701 707 713 714 725 726 742 745 750 754 755]\n# step=0 row=224 minW=116 found cw of W=108: [12 24 26 33 35 39 43 45 47 54 67 73 74 77 85 86 95 109 123 128 132 157 167 179 183 201 213 215 218 221 222 223 228 236 256 263 273 276 278 283 288 298 307 318 325 326 327 340 346 347 353 354 360 362 370 387 389 390 393 418 423 424 429 434 438 451 452 468 477 489 500 519 524 526 541 557 558 565 567 572 579 596 599 608 609 612 614 616 621 623 631 635 637 647 650 670 672 681 683 699 709 710 717 724 727 730 747 751]\n# step=1 row=253 minW=108 found cw of W=104: [8 21 23 25 39 41 53 54 57 64 70 78 83 85 89 91 94 105 110 111 115 123 125 126 131 146 150 152 160 166 173 177 203 205 207 208 214 215 239 261 268 291 294 302 310 317 349 354 356 361 364 368 386 392 393 398 399 400 409 416 419 426 442 444 453 455 458 466 474 479 481 482 483 491 492 499 501 505 506 515 520 523 547 564 579 589 591 605 617 639 641 643 645 680 681 684 692 707 730 732 741 742 743 746]\n# step=4 row=18 minW=104 found cw of W=102: [6 9 11 17 20 27 39 40 49 55 57 64 68 71 75 92 93 94 95 100 102 104 111 117 130 138 142 147 154 166 170 172 177 190 193 197 216 225 234 241 248 271 278 282 294 301 308 309 325 330 334 336 340 350 363 364 371 383 385 398 399 417 426 434 435 439 444 470 473 478 479 484 488 502 507 515 520 525 529 533 548 557 570 580 582 610 658 659 665 674 679 686 687 700 703 707 712 715 727 753 754 755]\n# step=4 row=27 minW=102 found cw of W=92: [8 13 15 20 21 30 40 54 57 61 64 72 75 76 79 105 109 124 138 147 166 168 172 175 179 182 187 188 193 194 198 232 238 241 245 248 256 279 282 294 328 330 331 336 377 379 383 385 392 393 412 431 434 437 452 459 460 463 475 476 482 490 515 521 531 538 544 557 564 570 576 580 597 599 610 622 623 625 657 659 664 665 667 687 696 700 704 709 719 727 745 747]\n# step=7 row=41 minW=92 found cw of W=68: [5 17 31 35 40 60 65 67 72 73 86 93 94 100 128 141 147 159 160 168 180 202 224 249 293 314 327 328 333 346 347 355 363 390 395 399 401 402 404 408 418 423 436 443 444 471 473 478 491 503 525 533 537 546 552 574 586 587 608 615 676 677 692 698 706 711 724 754]\n# step=202 row=133 minW=68 found cw of W=60: [41 48 92 96 118 124 138 151 158 162 168 193 203 211 223 230 241 248 250 252 258 265 274 278 290 299 309 329 336 351 357 364 400 413 421 441 442 447 462 467 470 491 502 503 525 531 540 577 593 619 621 628 633 642 672 700 709 729 730 735]\n# step=260 row=71 minW=60 found cw of W=56: [9 14 28 29 36 44 74 79 80 84 86 90 95 106 128 129 139 153 157 176 184 201 208 212 215 232 259 311 314 316 318 352 367 369 376 387 408 415 424 449 464 482 508 520 568 575 609 645 654 689 696 703 730 735 740 749]\n# step=283 row=269 minW=56 found cw of W=52: [14 37 48 54 69 92 186 191 193 208 240 241 257 272 281 296 303 311 332 371 387 401 420 427 432 461 470 502 517 522 525 532 537 560 564 566 569 581 607 612 615 622 624 635 641 654 661 680 682 689 749 756]\n# step=341 row=362 minW=52 found cw of W=50: [3 54 57 83 85 91 98 106 124 134 150 161 175 212 255 267 282 325 332 337 352 377 381 394 400 412 414 422 448 456 467 504 507 518 524 591 614 633 634 640 660 688 695 701 703 709 710 723 724 744]\n# round=1000 of 10000 minW=50\n# round=2000 of 10000 minW=50\n# step=2512 row=107 minW=50 found cw of W=48: [20 22 27 29 33 78 82 89 123 130 142 163 167 171 197 218 220 222 225 226 229 232 233 255 281 343 410 411 433 451 453 459 466 523 543 563 564 570 590 598 639 665 680 688 695 703 721 744]\n# round=3000 of 10000 minW=48\n# round=4000 of 10000 minW=48\n# round=5000 of 10000 minW=48\n# step=5150 row=28 minW=48 found cw of W=46: [5 9 15 42 56 60 63 67 71 90 105 127 139 180 182 217 228 237 244 279 314 341 369 376 381 385 387 393 436 437 441 463 468 471 477 482 490 553 557 580 643 661 684 710 712 751]\n# round=6000 of 10000 minW=46\n# step=6042 row=381 minW=46 found cw of W=44: [18 41 51 164 190 219 226 231 237 250 270 274 288 292 307 314 325 332 336 340 347 384 391 394 409 450 452 473 519 563 615 623 628 648 664 682 683 697 705 707 731 738 740 746]\n# round=7000 of 10000 minW=44\n# round=8000 of 10000 minW=44\n# round=9000 of 10000 minW=44\n# round=10000 of 10000 minW=44\nRW algorithm upper bound for the distance d=44\n</t>
  </si>
  <si>
    <t># step=0 row=0 minW=757 found cw of W=150: [3 21 26 30 38 39 43 51 61 64 83 84 88 92 93 99 101 102 106 110 119 125 132 133 138 145 147 150 158 162 170 176 177 182 184 188 190 193 194 195 206 212 213 219 220 226 230 233 243 255 257 260 261 265 268 270 272 285 286 305 310 316 323 326 334 339 343 346 352 355 358 363 372 383 390 393 397 402 404 407 413 414 419 421 423 427 429 436 439 442 443 450 451 456 457 477 486 487 491 497 499 501 503 509 513 518 519 521 524 526 529 532 534 536 543 555 565 570 589 597 610 623 627 630 634 643 646 648 650 653 659 672 685 693 698 704 705 707 713 717 718 719 727 730 740 741 742 745 747 752]\n# step=0 row=3 minW=150 found cw of W=146: [8 17 21 26 27 28 38 39 43 45 46 51 52 55 59 61 64 80 83 88 93 95 102 106 108 112 113 119 124 130 133 138 140 142 144 148 151 155 162 167 168 170 176 177 179 180 185 187 196 199 213 223 226 230 233 243 250 254 256 257 261 263 270 278 286 311 316 319 326 340 346 351 353 355 357 358 366 369 373 374 390 393 397 400 402 404 405 412 427 429 437 439 448 450 451 458 460 468 472 474 478 487 491 497 501 505 507 508 509 510 511 513 519 521 522 524 530 538 553 555 558 562 565 572 576 579 597 627 634 641 643 645 659 662 666 669 672 704 715 717 719 721 729 741 747 752]\n# step=0 row=4 minW=146 found cw of W=144: [9 16 17 26 36 38 39 46 49 61 84 88 92 102 104 108 110 119 120 130 132 133 135 140 141 145 146 147 148 158 162 164 168 175 177 187 188 190 196 199 206 219 220 237 240 244 250 254 255 256 257 260 265 270 272 278 286 292 293 295 302 306 310 311 319 320 340 346 357 358 361 366 369 372 374 375 390 404 405 413 419 421 423 429 439 442 450 451 454 457 458 486 491 495 497 498 499 501 503 507 508 509 517 529 530 536 537 543 555 558 562 566 570 572 574 585 589 593 601 622 626 630 635 642 643 645 646 653 659 662 672 685 690 693 696 700 702 705 716 719 726 741 745 747]\n# step=0 row=8 minW=144 found cw of W=136: [17 18 21 27 34 36 38 39 43 45 51 55 66 73 83 92 93 99 101 106 108 110 113 120 130 138 140 143 147 150 151 155 158 164 175 180 184 185 187 193 195 197 199 203 206 212 220 226 240 243 250 254 255 258 260 263 268 272 295 302 310 319 320 326 333 334 339 340 352 353 357 363 372 374 375 383 393 395 407 419 421 423 427 439 454 457 458 460 477 491 495 497 498 499 505 507 508 511 517 518 530 534 536 543 553 566 570 572 574 576 579 589 597 601 607 610 623 627 630 634 641 645 646 653 662 669 685 693 696 704 705 713 718 728 730 745]\n# step=0 row=10 minW=136 found cw of W=132: [10 17 20 21 30 36 38 45 64 65 66 83 84 93 102 110 120 125 130 138 148 155 164 168 175 182 185 187 188 194 197 199 203 213 220 223 226 228 237 240 244 250 254 255 256 258 260 261 263 270 278 279 284 285 292 295 302 306 310 311 333 334 340 343 346 352 353 355 358 363 366 374 390 395 397 407 414 419 436 456 457 458 460 486 499 507 508 517 524 526 543 558 565 570 571 572 574 576 589 593 597 606 610 623 630 634 635 641 642 643 646 650 653 657 690 693 696 698 702 707 713 718 719 724 730 739 740 741 742 745 750 752]\n# step=0 row=42 minW=132 found cw of W=94: [30 36 39 45 46 49 51 59 66 80 81 93 95 102 104 106 108 135 136 142 143 146 148 151 155 187 196 199 203 206 213 223 254 256 257 258 265 278 279 284 285 286 311 316 319 320 323 334 340 361 363 366 369 372 373 375 384 390 395 402 413 414 436 437 439 472 474 478 530 537 562 569 574 601 623 634 650 652 657 659 662 672 690 696 698 707 713 718 719 721 724 740 747 750]\n# step=1 row=259 minW=94 found cw of W=78: [5 15 16 30 51 65 70 78 80 115 119 120 127 156 162 164 185 196 204 215 219 244 252 258 264 265 279 286 292 338 387 394 398 414 424 428 436 444 445 456 458 487 488 492 494 497 504 507 511 513 514 520 526 535 540 543 552 554 562 567 569 584 587 594 597 618 622 648 670 671 686 691 716 725 732 737 740 753]\n# step=36 row=148 minW=78 found cw of W=70: [13 21 37 38 40 76 91 92 93 95 102 124 132 143 155 166 173 189 191 203 231 251 254 275 281 282 286 308 309 310 331 342 344 363 370 371 379 392 435 454 461 467 477 478 482 509 527 528 532 546 568 569 588 594 609 613 624 632 637 660 678 680 688 694 704 719 720 729 742 755]\n# step=36 row=194 minW=70 found cw of W=68: [13 21 37 38 40 76 91 92 93 95 102 124 132 143 155 166 173 189 191 203 231 251 254 281 286 308 309 310 344 363 365 370 371 372 379 392 435 454 461 467 477 478 482 509 527 528 532 546 568 569 588 594 609 613 624 632 637 653 678 680 688 694 708 719 720 729 742 755]\n# step=83 row=98 minW=68 found cw of W=66: [5 6 17 18 27 39 41 45 48 51 60 62 67 73 84 101 103 108 117 124 139 147 149 158 168 183 194 209 280 294 347 349 377 383 384 391 395 396 402 409 411 417 421 423 440 444 458 462 478 492 499 501 541 552 568 617 623 627 676 684 707 717 720 733 734 755]\n# step=151 row=373 minW=66 found cw of W=64: [1 8 50 57 58 69 77 78 99 132 133 146 147 167 222 225 235 247 268 274 282 287 290 296 297 302 312 315 342 345 382 385 400 406 415 428 435 449 456 475 482 483 496 497 517 531 579 603 613 621 625 655 658 660 662 670 680 701 703 714 724 735 736 755]\n# step=239 row=46 minW=64 found cw of W=58: [7 10 48 54 65 71 80 91 98 115 129 135 146 149 150 153 157 160 161 162 170 185 197 251 274 287 289 380 388 391 400 437 441 449 450 458 478 487 499 520 527 528 535 554 555 562 563 577 604 617 619 645 665 668 673 720 729 755]\n# step=790 row=187 minW=58 found cw of W=54: [13 42 43 76 91 105 123 131 138 149 153 156 160 170 205 246 260 281 286 330 336 342 376 377 379 380 385 386 392 425 434 447 466 470 474 496 523 534 548 578 590 597 603 610 613 638 639 652 679 688 720 729 742 754]\n# round=1000 of 10000 minW=54\n# step=1520 row=352 minW=54 found cw of W=52: [8 14 23 25 28 34 59 63 69 70 91 146 193 242 257 275 313 332 337 342 351 362 400 401 409 412 420 432 441 455 481 496 510 530 559 600 615 635 653 675 691 697 702 705 708 710 724 725 729 743 751 753]\n# round=2000 of 10000 minW=52\n# round=3000 of 10000 minW=52\n# round=4000 of 10000 minW=52\n# step=4103 row=257 minW=52 found cw of W=50: [6 12 102 143 150 183 189 191 195 196 205 212 224 230 235 246 265 279 329 334 341 385 389 390 396 405 438 454 475 479 486 487 495 528 554 561 567 573 574 585 602 603 608 617 638 643 644 679 684 734]\n# round=5000 of 10000 minW=50\n# round=6000 of 10000 minW=50\n# step=6388 row=132 minW=50 found cw of W=40: [8 64 209 216 221 227 242 255 260 264 271 282 296 297 304 308 315 319 381 422 463 497 504 546 595 599 605 620 633 636 661 662 666 669 674 688 689 729 730 751]\n# round=7000 of 10000 minW=40\n# round=8000 of 10000 minW=40\n# round=9000 of 10000 minW=40\n# round=10000 of 10000 minW=40\nRW algorithm upper bound for the distance d=40\n</t>
  </si>
  <si>
    <t># step=0 row=0 minW=757 found cw of W=130: [3 10 17 24 28 33 41 55 58 62 69 77 78 80 83 84 88 90 97 99 109 110 114 117 128 131 135 142 149 159 161 162 163 164 166 181 195 205 209 214 223 226 234 236 240 241 246 247 248 258 260 261 274 286 291 298 310 311 313 315 329 333 336 343 346 349 358 360 364 370 373 378 384 397 399 405 408 422 426 428 432 439 440 454 462 471 488 492 509 522 527 529 532 538 540 543 547 549 552 554 555 557 559 573 576 577 584 597 598 604 610 618 621 624 630 631 637 652 653 665 668 669 686 687 689 701 735 744 746 754]\n# step=0 row=91 minW=130 found cw of W=124: [4 5 10 17 24 28 37 41 44 55 59 62 66 73 75 77 78 82 83 89 90 104 109 110 120 128 130 135 138 139 153 159 165 166 173 178 181 183 197 215 217 232 233 235 236 242 247 249 261 267 268 274 277 286 291 304 329 333 339 346 371 375 378 380 384 391 397 408 428 431 443 454 455 460 477 480 482 484 488 502 509 510 512 522 529 545 549 553 555 556 560 563 567 574 576 581 586 604 610 613 620 621 637 643 652 654 659 665 668 670 682 686 689 690 692 726 727 733 735 739 741 742 744 755]\n# step=0 row=238 minW=124 found cw of W=100: [5 10 15 17 21 33 37 41 44 59 66 74 75 77 83 88 90 130 138 139 141 155 164 183 194 199 210 240 246 247 252 261 272 274 277 280 286 291 302 304 305 337 349 351 359 360 367 370 372 375 378 380 381 417 422 425 431 432 439 443 452 465 480 522 555 560 574 597 612 618 624 625 630 643 645 652 655 658 661 664 668 680 682 683 687 692 701 702 704 705 712 717 726 732 733 735 741 742 753 756]\n# step=0 row=270 minW=100 found cw of W=98: [5 10 15 17 21 33 37 41 44 59 66 75 77 83 88 90 130 138 139 155 183 194 199 210 240 246 247 252 261 272 274 277 280 286 291 302 304 305 337 349 351 359 360 367 370 372 375 378 380 381 417 422 425 431 432 439 443 465 480 507 514 522 555 560 574 597 612 618 624 625 630 643 645 652 655 658 661 664 668 680 682 683 687 692 701 702 704 705 712 717 726 732 733 735 741 742 753 756]\n# step=1 row=150 minW=98 found cw of W=96: [30 34 38 42 71 83 95 97 109 121 124 144 148 149 155 156 157 159 162 165 181 188 190 198 206 212 215 221 227 231 235 241 242 252 256 259 263 270 271 282 290 321 328 331 333 335 352 359 381 383 388 391 412 415 432 437 440 444 448 450 452 467 487 489 497 519 526 528 533 538 549 556 576 578 592 599 605 614 616 618 619 625 653 661 664 674 683 695 704 708 710 720 732 737 744 751]\n# step=2 row=125 minW=96 found cw of W=86: [40 43 47 54 83 86 100 113 127 130 136 138 142 155 170 171 175 176 184 186 189 198 212 217 225 235 239 241 245 246 248 252 259 265 272 274 280 283 293 295 297 302 316 338 365 370 374 393 397 401 429 473 487 514 520 546 548 549 562 563 570 571 575 588 590 608 609 611 619 622 623 624 634 636 638 643 645 653 658 668 670 685 709 730 749 756]\n# step=14 row=35 minW=86 found cw of W=78: [20 31 37 40 44 51 52 72 86 87 101 110 137 151 159 176 199 213 214 217 237 238 257 261 263 268 270 272 273 279 292 299 304 305 314 316 319 333 340 376 378 398 410 425 430 433 452 460 461 470 480 485 487 494 508 510 542 551 560 581 595 615 616 627 636 647 650 651 662 676 678 713 719 721 738 740 747 749]\n# step=44 row=41 minW=78 found cw of W=68: [1 8 15 24 33 53 59 74 79 88 97 101 108 114 129 136 150 169 181 183 187 191 192 194 198 222 225 236 247 254 261 280 282 287 295 326 330 331 337 347 376 406 409 447 452 458 464 479 507 510 512 513 521 534 542 548 565 572 574 590 611 638 664 673 676 708 722 735]\n# step=55 row=362 minW=68 found cw of W=62: [19 34 44 74 75 78 81 83 88 89 111 127 138 142 157 166 220 221 227 234 275 278 326 333 340 353 373 402 417 425 428 443 451 453 461 466 474 489 508 515 518 522 523 533 535 541 543 564 582 584 606 610 623 625 655 659 661 696 700 710 713 731]\n# step=62 row=146 minW=62 found cw of W=54: [5 12 24 70 118 125 167 169 199 208 229 252 261 270 271 272 277 280 283 296 301 335 345 351 356 362 365 372 373 397 402 438 496 528 551 602 609 618 630 632 649 650 655 661 662 685 694 701 708 712 722 736 739 745]\n# round=1000 of 10000 minW=54\n# step=1866 row=161 minW=54 found cw of W=48: [5 12 56 60 101 123 142 145 151 201 207 208 241 255 256 269 270 307 310 311 313 314 317 318 321 324 328 375 395 411 418 430 444 489 496 500 508 529 549 564 584 590 591 613 654 699 706 748]\n# round=2000 of 10000 minW=48\n# round=3000 of 10000 minW=48\n# round=4000 of 10000 minW=48\n# round=5000 of 10000 minW=48\n# round=6000 of 10000 minW=48\n# step=6814 row=341 minW=48 found cw of W=44: [34 63 82 89 118 125 158 186 201 222 235 344 357 380 392 393 399 411 416 421 434 457 466 482 489 524 531 536 551 564 572 585 614 619 654 655 681 703 709 722 730 735 744 745]\n# round=7000 of 10000 minW=44\n# round=8000 of 10000 minW=44\n# round=9000 of 10000 minW=44\n# round=10000 of 10000 minW=44\nRW algorithm upper bound for the distance d=44\n</t>
  </si>
  <si>
    <t># step=0 row=0 minW=757 found cw of W=170: [2 4 8 15 19 20 24 28 30 33 35 43 49 52 53 70 76 80 81 82 87 90 97 98 101 106 107 108 109 110 123 124 127 129 131 133 134 135 136 138 141 142 155 157 161 164 167 168 171 173 184 191 192 200 203 209 210 213 216 217 235 236 239 242 252 261 266 268 272 273 288 291 302 303 307 309 310 316 321 326 333 340 347 353 362 372 378 383 389 392 398 399 404 409 411 412 413 422 425 438 442 444 445 447 448 450 455 460 462 463 468 473 483 484 489 491 492 493 496 497 507 517 519 520 521 529 531 540 541 542 543 546 551 552 553 557 576 577 580 582 586 589 590 591 595 602 619 620 621 641 643 657 662 669 674 682 687 703 704 705 709 711 712 713 718 723 733 735 742 752]\n# step=0 row=1 minW=170 found cw of W=168: [1 2 5 8 15 19 24 28 30 32 33 35 43 52 56 57 59 61 70 76 81 87 89 90 93 94 98 101 106 107 109 110 112 124 126 127 129 131 133 135 138 141 142 148 152 153 155 156 157 161 167 171 173 175 184 192 198 199 200 207 214 216 217 235 236 237 241 242 243 252 260 261 266 268 272 273 288 303 307 310 314 316 321 326 333 337 340 347 351 353 355 362 372 378 399 400 409 411 412 417 422 423 425 430 438 439 441 442 445 448 455 458 460 463 468 483 491 496 503 504 507 512 514 515 517 519 520 521 523 527 530 531 534 540 541 542 543 546 551 553 557 561 564 567 576 580 595 605 615 616 619 620 628 641 643 644 646 662 667 700 703 704 709 712 713 715 729 752]\n# step=0 row=2 minW=168 found cw of W=166: [2 6 17 19 20 25 28 49 53 54 81 82 84 89 90 97 101 106 108 109 110 112 114 123 124 125 126 127 129 131 135 136 141 142 145 148 153 157 161 164 167 168 171 173 175 184 192 200 203 204 205 207 210 214 217 224 235 236 237 239 242 243 252 261 266 268 272 288 294 302 337 340 369 370 379 383 392 397 398 399 400 403 404 411 412 413 417 422 436 442 445 447 458 460 463 464 473 476 479 489 491 492 493 496 503 504 506 507 511 512 515 517 519 520 521 523 525 531 532 534 540 542 543 551 553 557 561 564 567 571 573 576 580 589 596 597 602 605 613 616 628 637 639 641 643 645 646 657 661 667 668 669 674 682 687 699 705 712 715 723 724 729 733 735 751 754]\n# step=0 row=3 minW=166 found cw of W=150: [2 7 8 15 17 19 20 24 28 32 35 49 57 59 61 74 76 81 82 89 90 101 106 109 110 112 121 124 126 127 129 133 138 152 156 161 163 164 167 168 171 173 192 198 199 200 204 207 209 214 224 236 237 241 243 251 252 266 273 288 296 303 309 310 317 321 331 337 340 341 347 349 355 358 392 397 398 399 400 404 409 411 412 417 422 440 441 442 450 458 460 463 468 479 491 492 497 504 512 515 517 521 523 531 532 540 541 546 551 552 554 557 561 562 564 567 571 573 576 577 580 583 590 596 597 605 613 615 616 619 628 633 637 641 652 661 668 669 674 682 684 690 700 705 713 715 729 735 751 754]\n# step=0 row=5 minW=150 found cw of W=128: [3 10 17 19 24 28 30 33 35 43 52 57 61 80 81 82 84 107 109 121 124 126 134 136 152 153 156 157 164 167 168 171 173 191 192 195 203 204 205 207 209 213 216 236 237 239 243 260 261 268 288 291 298 303 314 333 347 349 351 353 356 389 411 412 413 425 438 441 445 450 455 458 463 464 476 479 483 497 503 504 506 507 517 520 521 525 529 530 532 534 541 543 546 551 552 557 567 573 576 582 586 589 590 591 596 613 616 619 620 621 628 633 637 641 643 644 645 657 668 669 709 718 723 724 729 733 738 754]\n# step=0 row=10 minW=128 found cw of W=106: [15 17 21 24 28 32 33 35 49 52 57 59 80 82 84 87 90 98 106 107 110 112 114 125 126 127 129 133 134 154 161 175 184 191 195 203 204 205 209 214 216 266 291 294 302 310 316 321 326 333 351 355 356 358 372 378 392 413 417 422 425 430 439 448 450 455 458 460 464 468 476 479 504 506 507 511 512 520 525 531 532 541 543 552 561 573 580 582 596 602 613 615 621 633 637 643 645 669 682 700 703 704 705 723 729 754]\n# step=0 row=24 minW=106 found cw of W=102: [1 2 15 32 33 43 49 50 52 53 56 59 61 82 87 94 97 106 107 108 110 114 121 123 125 129 133 145 154 155 157 161 168 175 184 195 199 200 203 207 209 210 214 216 239 252 291 294 296 302 309 331 337 349 351 355 373 392 413 422 425 430 439 442 445 447 448 455 460 462 463 476 479 484 489 491 497 507 525 527 534 538 540 552 589 590 615 633 667 669 682 687 700 705 709 715 723 733 735 742 751 754]\n# step=0 row=276 minW=102 found cw of W=98: [1 2 15 32 33 43 49 52 53 56 59 61 82 87 93 97 106 107 108 110 114 121 123 125 129 133 145 148 154 155 157 168 195 199 200 203 207 209 210 214 216 230 239 252 291 294 296 302 309 331 337 349 351 355 392 413 417 425 430 439 442 445 447 448 455 460 462 476 479 483 489 491 497 525 532 538 539 540 552 562 573 589 590 615 633 667 669 682 687 700 705 709 715 723 733 735 742 754]\n# step=6 row=108 minW=98 found cw of W=90: [3 17 20 27 29 31 38 43 44 78 84 86 89 96 107 119 134 145 155 156 160 171 180 193 199 210 214 216 219 223 226 230 233 258 269 276 283 284 302 305 306 325 326 346 350 353 357 367 374 387 402 407 416 429 450 471 474 476 484 485 492 499 508 512 517 518 522 525 536 548 549 552 558 564 593 594 595 612 613 631 648 655 656 685 697 706 709 717 727 731]\n# step=11 row=170 minW=90 found cw of W=82: [3 4 18 20 27 52 56 58 59 62 68 69 73 86 89 96 111 116 118 121 123 125 130 141 146 151 157 165 166 172 179 192 196 202 215 240 251 262 264 298 317 324 326 333 343 344 349 355 368 395 402 404 406 408 421 446 447 455 457 462 464 470 490 503 511 524 535 549 550 586 590 606 637 648 655 684 696 711 721 722 731 750]\n# step=14 row=163 minW=82 found cw of W=80: [3 9 10 16 20 32 37 48 58 65 72 95 99 103 106 117 122 163 166 214 242 253 273 277 285 286 291 301 306 312 326 328 329 335 339 343 363 369 371 396 404 410 412 424 435 442 443 446 460 465 484 486 492 509 557 574 582 592 596 603 620 623 636 641 651 652 655 675 679 684 685 708 713 723 726 733 734 742 747 749]\n# step=30 row=99 minW=80 found cw of W=78: [9 12 37 46 62 64 67 83 99 101 108 119 120 122 133 139 164 168 195 203 205 223 224 230 238 264 265 272 274 300 309 320 328 339 343 350 362 371 385 412 413 421 426 440 449 495 503 504 505 517 532 534 541 546 555 561 585 593 594 597 602 607 608 616 617 622 624 631 634 638 643 650 673 675 686 701 705 750]\n# step=64 row=312 minW=78 found cw of W=72: [4 15 38 50 58 93 105 113 125 154 158 161 169 175 207 208 214 221 236 242 258 269 270 278 283 284 288 292 307 311 319 339 362 373 382 403 417 436 448 449 452 478 484 493 497 507 519 532 536 558 580 581 586 591 592 599 602 607 608 614 620 622 626 635 651 654 657 662 704 705 712 732]\n# step=90 row=250 minW=72 found cw of W=70: [2 3 13 15 21 25 32 58 120 140 142 164 181 184 191 205 221 226 236 240 243 267 283 289 302 304 336 344 348 351 352 357 359 379 387 393 394 395 412 417 420 428 437 442 458 483 485 502 504 510 520 527 534 548 551 564 592 599 610 618 624 669 683 705 708 716 724 730 732 736]\n# step=100 row=322 minW=70 found cw of W=60: [24 43 49 58 70 90 93 98 99 114 120 148 153 155 161 180 195 205 208 210 215 253 259 260 267 308 311 353 366 378 397 408 415 436 448 451 463 477 483 487 491 497 498 518 541 542 546 587 594 602 609 617 628 641 651 658 690 739 751 756]\n# step=616 row=79 minW=60 found cw of W=50: [22 77 84 89 90 98 127 132 134 144 150 157 161 181 188 196 199 206 210 214 223 244 247 392 401 416 442 467 476 482 483 511 516 525 528 535 538 539 557 566 573 579 587 594 614 680 681 704 729 730]\n# round=1000 of 10000 minW=50\n# step=1499 row=112 minW=50 found cw of W=38: [16 86 109 135 168 171 184 223 226 230 233 251 277 278 281 284 325 329 332 336 340 382 397 418 423 485 519 534 542 546 562 583 595 617 636 706 711 726]\n# round=2000 of 10000 minW=38\n# round=3000 of 10000 minW=38\n# round=4000 of 10000 minW=38\n# round=5000 of 10000 minW=38\n# round=6000 of 10000 minW=38\n# round=7000 of 10000 minW=38\n# round=8000 of 10000 minW=38\n# round=9000 of 10000 minW=38\n# round=10000 of 10000 minW=38\nRW algorithm upper bound for the distance d=38\n</t>
  </si>
  <si>
    <t># step=0 row=1 minW=757 found cw of W=168: [1 3 5 8 10 11 13 16 17 20 21 24 36 37 43 45 49 58 59 79 85 90 91 93 94 101 109 114 121 124 126 132 135 142 151 164 168 173 175 179 180 184 185 187 189 190 191 194 198 204 207 212 226 231 234 235 239 242 245 255 258 261 263 265 267 268 274 277 278 281 285 290 294 296 304 305 311 316 320 324 327 328 338 345 355 356 360 369 379 386 395 397 398 408 411 412 414 415 421 423 433 434 439 451 453 457 477 478 479 483 491 500 506 507 510 511 519 528 531 532 533 548 551 553 559 560 562 563 564 574 576 577 580 584 585 591 596 601 606 616 620 621 626 627 636 637 638 639 646 654 669 676 678 679 681 690 698 700 702 705 725 733 736 737 742 746 753 756]\n# step=0 row=2 minW=168 found cw of W=138: [4 5 8 13 21 28 35 43 45 56 59 63 67 85 91 92 94 101 109 114 126 129 135 162 164 175 176 185 189 197 205 221 224 226 230 231 233 235 240 249 252 253 255 258 260 261 263 265 266 267 268 271 277 279 281 284 304 309 311 312 316 323 326 328 333 337 338 342 344 352 377 379 386 395 412 413 414 421 423 434 435 438 457 461 478 479 483 499 500 501 506 510 511 518 523 531 540 541 550 551 553 559 560 562 563 577 580 583 584 591 596 598 601 611 619 621 622 625 626 632 636 639 646 647 654 660 661 662 665 674 680 681 719 720 723 736 742 750]\n# step=0 row=24 minW=138 found cw of W=126: [21 33 35 37 45 49 51 77 79 88 90 93 94 95 101 107 135 139 142 143 151 157 162 173 176 180 183 184 185 187 189 190 194 197 201 203 205 207 214 224 226 239 245 249 252 258 260 263 265 266 267 277 279 281 284 290 294 295 296 297 304 309 311 316 324 326 333 336 344 345 351 352 356 357 361 368 374 401 412 415 421 423 430 477 478 484 491 502 511 519 523 528 554 560 562 563 564 574 575 576 583 585 591 598 601 603 604 606 619 620 622 632 636 654 662 669 678 679 681 702 704 706 709 719 742 756]\n# step=0 row=54 minW=126 found cw of W=100: [28 33 43 45 49 56 63 67 77 86 88 105 107 109 121 130 132 139 146 151 164 176 187 191 197 201 205 208 212 214 235 240 242 249 252 255 261 263 266 268 293 296 297 312 319 323 351 360 361 386 392 397 412 413 430 453 471 478 479 499 500 502 510 519 521 524 528 540 548 551 559 563 575 577 583 584 598 604 611 614 619 626 632 636 639 646 647 648 649 660 674 680 681 704 722 723 733 741 750 756]\n# step=1 row=105 minW=100 found cw of W=88: [3 9 15 26 39 50 75 91 104 116 130 143 146 157 158 159 161 162 167 172 181 189 199 202 206 208 209 216 227 229 237 244 251 260 268 311 315 322 327 347 348 353 359 373 381 383 387 389 393 404 408 410 419 449 460 466 469 471 473 477 482 486 500 521 538 545 561 565 572 581 583 591 592 600 611 615 640 655 670 671 681 704 725 726 731 738 745 748]\n# step=25 row=157 minW=88 found cw of W=84: [50 85 92 93 105 114 119 125 129 140 147 148 155 160 168 182 183 186 188 191 195 197 214 224 232 239 241 246 248 252 258 266 281 282 292 310 321 322 326 333 337 366 374 378 395 403 414 421 422 423 427 437 444 464 468 476 485 492 497 503 511 512 525 532 564 577 580 608 610 616 619 621 623 660 664 665 683 691 703 706 725 740 752 756]\n# step=29 row=30 minW=84 found cw of W=58: [4 18 25 55 59 62 70 83 99 105 125 127 148 169 180 182 187 205 228 242 251 254 272 283 292 297 299 306 327 334 338 354 357 393 398 409 412 429 448 477 478 497 516 519 532 539 546 583 587 615 627 638 645 670 676 717 730 732]\n# step=361 row=98 minW=58 found cw of W=56: [9 23 75 79 83 92 99 130 137 138 141 159 168 173 179 183 193 203 207 224 229 234 312 319 323 346 408 428 449 456 461 463 470 510 518 525 553 557 561 567 574 585 595 600 607 626 628 634 636 640 677 689 716 718 730 741]\n# step=361 row=358 minW=56 found cw of W=52: [9 23 75 79 83 92 99 130 137 138 141 159 168 173 179 183 193 203 224 229 234 297 312 319 408 428 449 456 461 463 470 510 518 525 553 557 561 567 574 595 600 607 626 628 636 647 677 696 716 718 730 741]\n# round=1000 of 10000 minW=52\n# step=1232 row=51 minW=52 found cw of W=50: [14 25 26 31 33 41 45 57 58 65 69 70 75 82 96 100 103 107 112 116 305 308 349 354 360 362 368 397 404 407 435 443 455 459 503 556 593 605 642 646 654 686 691 703 736 741 744 746 748 753]\n# step=1421 row=38 minW=50 found cw of W=48: [1 25 45 47 54 68 71 74 91 94 98 102 109 111 114 118 122 123 126 135 153 157 160 169 180 370 379 382 397 403 441 458 464 465 478 485 489 492 496 500 542 595 632 662 685 699 711 722]\n# round=2000 of 10000 minW=48\n# round=3000 of 10000 minW=48\n# step=3510 row=42 minW=48 found cw of W=46: [27 82 89 93 132 160 167 174 183 187 189 194 235 242 249 251 295 306 317 343 380 387 413 421 447 471 477 496 503 510 515 533 537 559 564 596 605 622 626 649 663 668 675 686 724 750]\n# round=4000 of 10000 minW=46\n# round=5000 of 10000 minW=46\n# round=6000 of 10000 minW=46\n# round=7000 of 10000 minW=46\n# round=8000 of 10000 minW=46\n# round=9000 of 10000 minW=46\n# step=9196 row=108 minW=46 found cw of W=44: [9 16 28 60 64 76 77 83 90 115 122 126 132 139 143 170 175 216 221 225 232 332 381 388 406 448 454 463 471 478 496 509 527 541 545 548 568 586 612 676 702 710 725 751]\n# round=10000 of 10000 minW=44\nRW algorithm upper bound for the distance d=44\n</t>
  </si>
  <si>
    <t># step=0 row=0 minW=757 found cw of W=170: [2 5 6 10 15 17 19 20 21 26 29 35 40 44 46 47 51 54 57 61 64 65 74 79 85 89 98 117 119 125 135 136 147 150 153 157 159 161 176 180 182 199 201 209 212 213 221 222 224 238 262 263 267 270 272 276 277 286 289 303 305 307 312 314 315 319 322 324 325 329 330 332 336 339 340 346 360 363 369 371 376 377 384 388 397 399 401 405 419 436 445 448 451 452 462 464 474 477 478 479 489 490 491 498 501 504 509 512 522 523 525 527 537 539 542 553 556 558 560 561 564 567 571 575 577 579 593 594 595 598 600 605 607 612 617 620 622 624 628 629 631 635 639 640 644 646 649 651 656 661 673 677 681 695 696 698 703 709 718 721 724 726 727 734 740 741 748 749 751 755]\n# step=0 row=1 minW=170 found cw of W=164: [1 3 5 6 11 19 20 26 28 29 35 39 43 51 61 63 64 74 79 94 97 98 105 107 114 117 125 127 129 150 151 152 153 157 176 182 187 189 193 194 199 201 208 209 211 212 213 214 224 228 241 250 258 265 272 277 286 289 305 307 309 312 319 324 329 332 334 336 339 344 346 347 348 352 353 360 380 384 387 399 402 409 414 417 421 436 439 445 446 447 452 458 462 463 473 474 475 477 479 485 488 489 497 499 501 503 505 514 523 524 529 536 542 546 553 555 556 557 558 562 564 567 571 575 577 579 583 584 598 605 607 614 624 628 631 632 635 636 639 642 646 652 655 656 669 672 677 690 698 699 707 708 718 722 724 726 727 730 731 732 740 741 748 749]\n# step=0 row=3 minW=164 found cw of W=158: [1 9 10 11 15 17 21 29 31 35 40 44 47 51 54 59 63 64 66 94 97 98 114 128 129 135 147 150 152 153 155 156 159 161 187 189 193 201 202 206 209 212 213 214 224 232 238 241 258 262 263 265 267 269 270 277 286 289 303 309 314 315 322 327 329 334 336 340 341 346 347 377 380 382 387 399 401 402 405 409 418 421 430 439 443 446 447 448 453 457 458 462 463 464 475 479 485 489 491 499 503 504 508 512 524 525 527 529 534 536 537 539 543 556 558 562 567 571 575 577 583 584 594 598 605 607 614 617 622 629 631 632 639 640 644 646 652 655 656 661 665 673 681 695 696 697 698 699 708 717 718 721 722 724 734 749 751 754]\n# step=0 row=4 minW=158 found cw of W=150: [13 17 19 31 46 47 54 56 57 59 64 65 66 74 81 86 89 98 107 125 129 135 136 153 154 155 157 159 176 180 189 201 202 206 208 209 212 214 224 228 232 241 258 265 272 284 286 289 303 305 307 309 315 325 329 330 340 343 348 363 369 371 377 380 383 387 388 397 418 421 422 430 431 436 442 443 447 452 453 463 464 471 473 477 478 486 488 489 490 491 498 504 514 522 527 529 542 543 555 556 557 558 561 562 571 575 577 579 584 593 594 595 598 605 607 612 617 620 622 624 628 631 632 635 639 642 644 646 651 652 656 657 661 665 671 673 677 697 698 699 703 717 718 722 727 732 734 740 751 755]\n# step=0 row=5 minW=150 found cw of W=124: [1 5 11 14 20 21 26 31 35 40 44 51 59 61 63 64 65 66 74 79 81 114 117 127 129 134 148 150 151 154 157 159 176 189 190 194 197 214 224 228 232 241 265 303 309 330 332 339 341 343 346 347 353 360 369 387 388 397 399 401 405 418 430 431 436 439 442 445 447 452 453 463 478 479 485 489 497 498 501 504 505 508 512 527 534 542 543 546 556 557 560 561 562 567 574 575 584 594 605 617 622 628 632 646 651 652 661 671 677 698 699 707 708 712 717 721 722 724 726 731 741 748 749 751]\n# step=0 row=52 minW=124 found cw of W=122: [1 5 11 20 21 26 31 35 40 44 51 59 61 64 65 66 74 79 81 104 114 117 127 129 134 148 150 151 154 157 159 176 189 190 194 197 214 224 228 232 241 265 303 309 330 332 339 341 343 346 347 353 360 369 387 388 392 397 399 401 405 418 430 431 439 442 445 452 453 463 478 479 485 489 497 498 501 504 505 508 512 527 534 542 543 546 556 557 560 561 562 567 574 575 584 594 605 617 622 628 632 646 651 652 661 671 677 698 699 707 708 712 717 721 722 724 726 731 741 748 749 751]\n# step=0 row=74 minW=122 found cw of W=108: [7 15 28 31 35 36 46 59 64 79 86 89 97 127 131 142 147 148 159 161 182 187 189 194 201 202 209 212 213 222 224 262 263 267 276 286 322 325 329 330 336 341 344 346 352 363 369 371 376 380 384 387 399 402 409 418 419 421 422 430 440 448 463 471 474 475 477 485 504 505 512 522 523 524 525 534 539 564 567 579 595 600 612 614 620 624 631 640 649 655 661 673 681 690 695 696 698 703 707 709 721 724 730 741 749 751 754 755]\n# step=1 row=73 minW=108 found cw of W=104: [8 14 32 40 49 50 51 55 58 60 67 69 71 81 85 91 99 106 118 140 144 151 152 167 181 202 215 222 233 249 251 264 284 298 306 326 331 339 341 344 347 372 373 379 381 392 394 396 406 414 417 431 438 440 449 454 455 465 472 477 483 486 487 488 495 502 521 524 526 529 531 535 554 558 566 567 570 576 577 603 615 627 629 635 637 652 656 657 660 667 671 673 678 693 697 702 704 717 719 721 728 731 734 747]\n# step=2 row=14 minW=104 found cw of W=92: [1 13 14 26 28 32 38 42 54 56 57 58 64 68 69 82 88 97 98 105 122 160 161 200 202 205 207 216 222 227 229 235 243 257 267 271 276 278 282 290 292 294 297 299 331 338 343 349 357 379 388 391 392 393 398 410 411 412 420 432 437 440 447 449 454 469 471 488 515 531 536 559 561 564 582 593 600 607 628 633 647 655 670 676 689 696 704 715 734 735 737 756]\n# step=4 row=376 minW=92 found cw of W=88: [4 13 15 27 38 50 57 65 70 85 93 119 128 134 149 160 166 182 189 195 215 219 228 233 239 249 259 270 281 299 323 324 325 327 332 336 346 356 359 361 373 375 394 397 400 416 422 449 458 471 472 478 484 492 503 518 526 544 548 560 562 567 573 582 589 599 608 615 622 628 631 634 655 661 663 685 689 699 702 704 718 732 734 737 746 748 751 752]\n# step=13 row=47 minW=88 found cw of W=82: [1 6 13 24 29 41 52 56 58 62 63 68 73 84 107 112 138 139 148 158 181 182 183 194 202 223 234 243 245 249 274 298 305 324 329 346 352 373 375 385 398 408 409 426 434 435 436 439 440 442 446 450 464 481 524 525 532 545 552 554 559 588 592 603 626 637 641 644 663 667 671 675 686 690 702 712 714 716 730 738 746 753]\n# step=37 row=63 minW=82 found cw of W=80: [20 26 33 37 50 54 68 77 78 94 104 112 113 116 120 130 137 148 149 154 156 164 167 195 204 209 211 216 218 238 239 246 250 251 267 273 274 306 309 316 342 343 350 370 379 386 401 404 411 415 428 456 459 466 468 470 483 498 510 511 547 552 558 563 578 581 589 597 604 616 624 629 630 633 652 658 664 689 723 754]\n# step=56 row=89 minW=80 found cw of W=74: [24 28 37 49 65 69 79 85 86 120 121 124 130 135 140 141 170 175 179 190 197 211 217 222 223 234 238 245 263 267 272 282 283 311 318 325 337 357 365 367 380 401 415 422 428 452 456 487 499 507 513 518 543 567 570 573 577 595 600 622 641 645 655 661 694 700 703 710 716 731 740 744 749 751]\n# step=115 row=27 minW=74 found cw of W=66: [2 12 17 27 52 55 57 64 65 66 71 72 102 115 122 135 146 186 190 197 201 208 245 263 270 300 314 315 320 331 338 342 355 356 361 375 377 382 390 395 400 408 423 433 445 474 495 499 585 589 626 638 641 667 679 687 690 693 696 698 709 720 722 731 745 748]\n# step=246 row=94 minW=66 found cw of W=64: [6 11 47 61 68 98 105 112 118 125 132 143 153 154 162 169 195 209 224 226 231 237 250 253 264 275 319 348 363 369 386 420 424 431 435 473 483 494 496 502 503 514 525 527 543 572 576 577 610 621 625 633 644 657 662 667 672 674 677 683 706 708 721 732]\n# step=247 row=173 minW=64 found cw of W=60: [6 17 18 31 113 163 203 244 246 253 265 274 290 293 295 301 306 307 327 340 350 357 362 375 394 442 443 484 492 532 546 553 574 582 595 596 602 603 623 624 643 651 662 663 664 671 677 687 698 705 707 711 712 721 728 730 734 738 741 752]\n# step=727 row=223 minW=60 found cw of W=54: [47 49 50 54 61 78 89 98 103 110 140 143 147 151 154 158 161 206 296 321 337 365 366 370 376 377 381 385 392 400 407 419 431 432 434 439 441 448 460 472 475 483 486 494 535 583 625 632 639 646 673 688 695 748]\n# round=1000 of 10000 minW=54\n# step=1929 row=299 minW=54 found cw of W=52: [23 27 37 48 52 78 85 89 96 99 154 156 158 197 199 202 209 210 211 213 216 239 251 252 255 260 265 295 296 320 329 357 370 371 375 432 485 507 529 539 574 577 597 617 623 639 646 679 693 700 713 748]\n# round=2000 of 10000 minW=52\n# step=2934 row=157 minW=52 found cw of W=50: [26 51 74 81 84 88 128 132 139 187 190 204 242 249 260 266 305 308 310 311 314 315 318 321 322 323 346 383 387 413 436 450 477 484 499 507 533 540 548 567 616 637 657 671 675 689 692 696 701 740]\n# round=3000 of 10000 minW=50\n# step=3416 row=370 minW=50 found cw of W=42: [3 6 13 65 109 164 171 219 240 246 252 256 267 274 329 337 351 372 408 439 488 529 555 604 611 618 619 624 630 634 653 659 660 674 680 694 696 700 715 723 724 745]\n# round=4000 of 10000 minW=42\n# round=5000 of 10000 minW=42\n# round=6000 of 10000 minW=42\n# round=7000 of 10000 minW=42\n# round=8000 of 10000 minW=42\n# round=9000 of 10000 minW=42\n# round=10000 of 10000 minW=42\nRW algorithm upper bound for the distance d=42\n</t>
  </si>
  <si>
    <t># step=0 row=0 minW=757 found cw of W=140: [2 4 5 17 23 24 28 35 39 40 57 60 67 79 83 86 88 94 112 130 134 136 137 138 143 157 167 169 170 178 187 189 195 201 204 206 208 218 219 222 224 228 229 231 247 250 251 253 256 261 262 266 267 269 272 289 294 295 301 305 311 318 319 327 335 344 349 358 359 360 366 369 373 376 390 391 414 421 424 430 437 440 444 450 453 456 457 462 466 470 481 497 499 506 510 535 537 540 543 563 569 574 582 587 590 597 603 606 611 617 618 620 622 623 633 636 637 639 640 645 646 647 648 657 658 660 661 671 677 679 685 687 691 699 706 708 709 730 741 750]\n# step=0 row=1 minW=140 found cw of W=136: [1 6 13 20 23 24 26 28 30 33 34 40 57 64 75 83 86 89 90 100 102 104 111 134 137 138 141 155 157 160 181 187 189 192 195 201 205 216 218 228 229 234 238 243 247 255 261 262 263 266 271 272 289 294 295 301 303 305 307 308 311 319 327 329 351 358 360 366 379 388 391 411 420 421 434 437 440 441 446 449 455 457 461 470 473 481 482 495 498 506 526 527 536 538 539 545 565 572 577 582 583 587 588 590 606 607 614 620 621 622 626 627 632 633 634 635 636 637 640 645 658 661 670 675 677 679 685 700 716 717 727 730 737 740 747 749]\n# step=0 row=5 minW=136 found cw of W=134: [10 14 20 24 30 34 35 52 67 72 79 82 83 85 86 88 89 90 91 96 102 104 107 109 112 119 127 129 130 136 138 140 143 155 158 160 161 167 178 187 189 192 202 205 208 216 218 222 228 229 238 243 244 247 250 251 256 258 262 263 264 266 267 271 272 289 308 317 318 327 329 380 390 391 392 403 420 421 424 440 441 443 445 449 456 457 466 473 481 492 493 497 498 500 506 526 537 538 577 583 590 591 600 606 611 614 620 621 631 632 634 635 636 639 648 658 660 661 670 671 672 676 677 678 690 691 700 709 712 724 727 737 741 749]\n# step=0 row=7 minW=134 found cw of W=120: [1 10 13 16 17 34 40 57 60 67 72 82 83 89 96 102 104 114 138 155 158 161 167 181 187 192 202 204 205 216 217 228 234 238 243 247 255 256 261 266 271 283 294 302 307 308 319 327 332 345 349 352 356 359 360 366 379 383 390 391 403 411 420 421 434 440 441 443 445 449 456 470 474 480 481 482 487 497 498 510 515 523 526 545 565 572 582 587 590 591 593 595 605 606 607 613 614 620 621 627 633 634 636 637 640 645 654 657 670 671 677 678 685 699 700 706 716 717 740 749]\n# step=0 row=16 minW=120 found cw of W=112: [10 20 26 28 32 33 35 82 88 109 111 114 136 137 143 155 158 160 167 192 195 201 202 218 222 229 244 247 258 261 263 267 269 295 303 305 307 332 335 339 344 345 349 352 356 358 359 369 376 379 383 403 405 410 420 424 440 443 453 455 457 461 487 493 495 500 506 510 520 530 536 538 543 565 582 583 587 588 590 591 593 600 617 620 622 626 631 632 633 634 635 637 640 645 647 649 658 671 672 675 678 686 690 699 712 713 717 728 734 740 753 754]\n# step=0 row=98 minW=112 found cw of W=110: [1 20 23 28 64 88 90 102 104 111 134 136 142 143 170 181 186 189 197 201 206 208 219 228 238 243 244 245 247 251 253 258 261 262 264 267 269 272 283 294 295 297 332 335 339 345 351 352 356 358 379 383 390 392 411 414 420 424 434 440 446 450 453 456 461 495 497 499 510 526 530 535 536 537 540 543 565 569 574 587 593 597 600 603 606 618 620 627 631 633 634 640 645 646 647 648 649 671 672 675 680 687 690 708 712 713 727 728 730 754]\n# step=1 row=313 minW=110 found cw of W=106: [1 3 17 24 29 30 38 39 51 74 94 97 98 100 104 139 145 149 150 152 156 174 185 209 210 226 235 242 247 251 259 263 264 275 289 290 295 302 306 307 308 316 318 324 328 335 352 354 356 361 363 369 374 383 385 402 408 412 413 417 422 424 435 443 463 473 476 479 482 498 503 517 523 526 538 547 553 561 569 582 583 592 602 604 616 620 629 666 667 672 673 678 683 697 699 702 708 710 713 719 723 724 727 729 749 752]\n# step=2 row=96 minW=106 found cw of W=98: [7 8 10 17 22 29 31 49 59 62 73 75 76 77 79 80 86 95 100 125 131 133 137 139 142 144 157 167 179 195 196 197 201 204 212 215 216 239 252 273 286 290 305 328 330 335 337 342 350 352 381 383 388 390 400 405 412 414 441 443 447 457 458 461 463 467 480 482 496 499 503 504 507 511 522 528 529 537 540 551 552 558 560 561 577 578 582 597 601 629 630 638 642 674 678 683 715 738]\n# step=3 row=95 minW=98 found cw of W=94: [5 11 12 19 41 43 44 51 52 53 55 100 103 104 105 109 110 117 131 141 157 160 165 172 179 186 190 194 196 198 215 241 252 259 268 270 279 283 284 291 297 298 304 312 327 330 338 349 360 367 368 369 385 395 397 415 421 452 460 470 473 476 477 478 486 505 511 533 536 549 566 567 571 579 585 590 595 613 615 618 627 629 634 656 678 681 699 703 706 712 726 747 748 752]\n# step=3 row=274 minW=94 found cw of W=92: [5 11 12 19 41 43 44 51 52 53 55 103 104 105 109 110 117 131 141 149 157 160 165 172 179 186 194 196 198 215 241 252 259 268 270 279 283 284 291 297 298 304 312 327 330 338 349 360 367 368 369 385 395 397 415 421 452 460 470 473 476 477 486 505 511 536 540 549 566 567 571 579 585 590 595 613 615 618 627 629 634 656 678 681 699 703 706 712 726 747 748 752]\n# step=4 row=58 minW=92 found cw of W=88: [2 13 18 30 34 55 64 78 91 117 119 131 151 157 179 186 192 198 200 223 235 248 255 261 268 269 273 278 282 283 284 290 303 311 313 316 318 319 322 326 327 334 335 337 345 346 347 352 379 390 391 400 414 439 441 451 462 480 481 509 524 529 530 535 550 590 612 646 647 651 660 662 663 670 675 680 688 689 690 697 700 709 716 717 729 739 740 750]\n# step=4 row=141 minW=88 found cw of W=84: [2 10 11 13 15 17 18 19 37 44 59 64 66 70 74 81 85 91 119 131 146 153 186 198 223 233 235 241 248 255 264 273 277 278 284 290 292 298 305 317 319 322 331 332 334 335 345 346 352 353 366 378 379 390 391 394 414 421 439 451 462 480 481 503 509 521 530 552 599 633 651 662 663 674 675 676 683 686 688 689 709 727 739 750]\n# step=30 row=195 minW=84 found cw of W=82: [1 12 13 20 28 52 55 63 82 83 96 97 104 107 116 118 144 145 162 177 178 199 207 232 242 254 259 262 268 269 291 300 310 313 316 321 329 344 371 379 384 386 396 415 419 426 427 436 445 468 469 474 488 495 509 515 530 535 544 549 551 566 576 579 585 598 605 615 637 641 656 666 678 686 687 692 701 707 715 724 733 741]\n# step=40 row=93 minW=82 found cw of W=68: [2 13 27 28 33 34 41 54 78 84 103 105 118 124 128 145 168 173 200 209 216 217 255 260 262 268 269 273 280 315 331 356 386 393 406 413 420 435 462 466 468 474 503 510 515 518 527 536 538 556 557 559 561 567 568 593 600 601 616 688 700 701 709 720 734 748 749 750]\n# step=94 row=4 minW=68 found cw of W=62: [2 9 23 39 65 85 90 99 109 113 120 129 139 172 212 221 229 255 256 263 267 270 281 302 311 322 324 325 346 357 368 373 428 430 442 456 468 472 512 520 549 550 558 572 590 598 602 605 610 612 621 633 640 641 665 670 690 711 723 730 731 737]\n# step=94 row=315 minW=62 found cw of W=60: [2 23 39 65 85 90 99 109 113 120 129 139 172 212 221 229 235 255 256 263 267 270 281 297 311 322 324 357 368 373 428 430 442 456 468 472 512 520 549 550 558 572 590 598 602 605 610 612 613 621 633 640 641 665 668 670 690 711 723 731]\n# step=186 row=332 minW=60 found cw of W=58: [52 60 109 145 152 168 171 200 206 214 220 223 230 234 261 262 274 276 287 296 324 329 368 384 392 397 432 433 456 481 482 485 493 505 522 531 534 575 580 584 595 598 604 611 621 636 646 649 654 662 665 688 703 720 726 729 744 752]\n# step=474 row=165 minW=58 found cw of W=54: [7 47 62 69 76 96 102 122 143 145 165 212 226 232 240 287 289 302 325 342 371 379 401 425 426 446 454 475 500 509 515 523 529 535 543 549 555 564 584 585 590 599 618 619 625 659 668 673 675 680 689 703 715 756]\n# step=474 row=287 minW=54 found cw of W=48: [7 47 62 69 76 96 102 122 142 143 165 184 226 240 251 274 287 342 379 401 425 426 446 454 475 500 509 515 520 529 535 543 549 555 562 569 575 578 584 590 599 617 619 625 689 714 715 756]\n# round=1000 of 10000 minW=48\n# round=2000 of 10000 minW=48\n# round=3000 of 10000 minW=48\n# step=3860 row=11 minW=48 found cw of W=44: [19 23 26 74 78 85 185 218 240 246 247 259 285 287 291 321 346 353 370 377 380 398 421 439 465 529 555 563 578 596 604 619 624 630 637 651 658 665 668 692 694 727 735 754]\n# round=4000 of 10000 minW=44\n# round=5000 of 10000 minW=44\n# round=6000 of 10000 minW=44\n# round=7000 of 10000 minW=44\n# round=8000 of 10000 minW=44\n# round=9000 of 10000 minW=44\n# round=10000 of 10000 minW=44\nRW algorithm upper bound for the distance d=44\n</t>
  </si>
  <si>
    <t># step=0 row=0 minW=757 found cw of W=182: [1 4 5 16 21 48 54 57 63 67 76 88 89 90 92 103 106 107 114 118 120 121 125 126 136 137 138 151 154 159 163 164 166 170 171 174 180 181 188 198 199 202 211 213 214 215 216 224 233 239 243 248 253 258 260 267 271 279 286 288 289 294 296 302 308 309 311 312 315 316 317 325 326 331 332 336 343 344 350 357 359 364 367 373 375 379 383 385 386 388 402 409 411 414 417 418 424 429 433 434 446 447 448 449 453 458 459 460 461 463 466 468 475 489 490 495 496 505 511 517 519 520 521 522 523 528 538 540 545 548 550 552 557 565 568 572 579 581 584 585 586 590 593 609 611 618 620 626 630 632 634 637 638 640 642 644 645 649 660 662 670 671 681 686 689 690 695 698 710 712 714 720 721 722 732 735 736 738 739 741 747 755]\n# step=0 row=1 minW=182 found cw of W=160: [1 4 6 12 33 35 37 48 67 76 79 87 89 92 103 104 107 118 121 136 137 141 151 153 154 159 160 163 165 171 172 173 174 175 177 188 189 198 200 202 206 211 213 214 215 216 220 226 243 244 251 256 258 260 267 268 281 288 289 294 295 299 302 308 309 315 316 318 323 347 351 354 359 362 363 367 374 383 385 390 398 409 415 417 418 424 426 431 433 441 446 447 455 458 459 463 466 468 470 477 484 488 489 490 495 505 511 517 520 521 523 533 538 540 541 544 545 548 550 552 554 557 559 563 572 579 581 585 586 590 593 611 620 621 623 626 634 637 638 642 645 649 662 667 670 671 690 698 713 714 721 722 725 732 735 738 742 747 751 755]\n# step=0 row=3 minW=160 found cw of W=134: [2 7 9 14 21 22 33 37 44 46 48 57 70 76 81 85 88 90 92 104 105 106 120 126 138 149 151 159 164 165 166 170 172 173 176 188 193 195 199 200 206 211 226 233 241 248 253 256 267 268 289 296 307 308 309 315 316 318 323 330 336 344 347 358 364 367 373 374 383 385 387 388 391 400 402 413 415 417 419 424 430 437 447 448 449 453 461 463 468 470 475 477 478 483 484 496 517 518 524 525 528 529 533 541 544 545 550 554 558 565 568 574 581 586 595 597 609 610 618 621 632 645 662 671 676 690 714 722 735 738 739 741 747 755]\n# step=0 row=5 minW=134 found cw of W=130: [1 4 7 13 35 44 46 48 63 70 79 85 87 89 98 100 104 114 117 118 126 141 149 158 160 163 165 166 169 170 171 172 173 174 175 176 177 180 193 200 204 206 215 220 226 248 256 264 267 268 281 288 296 308 309 311 315 316 317 318 323 326 330 331 347 351 354 359 362 364 385 386 388 391 392 398 417 419 430 437 441 446 453 463 468 470 475 477 488 490 511 517 518 520 522 524 533 540 544 549 552 558 563 565 566 569 574 584 597 607 610 618 640 644 645 655 660 667 670 681 690 695 710 714 725 732 735 736 741 755]\n# step=0 row=8 minW=130 found cw of W=106: [2 3 7 10 14 20 22 35 37 44 57 70 79 81 82 103 114 118 126 137 138 154 158 159 166 169 170 173 175 177 188 193 202 204 215 216 224 226 243 256 260 267 271 279 281 286 288 307 308 309 315 318 330 336 364 367 371 374 375 383 388 391 400 413 424 426 437 442 448 455 463 468 470 475 478 484 491 496 517 519 521 524 525 533 538 541 544 554 555 558 559 565 574 586 593 595 597 655 662 686 710 712 741 747 751 755]\n# step=0 row=12 minW=106 found cw of W=102: [2 3 7 10 14 22 27 35 37 44 57 70 79 81 82 103 114 118 126 137 138 154 158 159 166 169 170 173 175 177 188 193 202 204 215 216 224 226 243 256 271 279 281 286 288 307 316 318 330 336 350 357 367 371 374 383 388 391 400 413 424 426 437 442 448 455 463 468 470 475 478 484 491 496 517 519 521 524 525 533 538 541 544 554 555 558 559 565 574 586 593 595 597 638 645 655 662 689 710 712 747 751]\n# step=0 row=37 minW=102 found cw of W=98: [1 2 14 46 57 64 85 100 104 114 117 118 121 126 141 149 153 166 169 170 173 176 177 180 181 202 220 226 233 243 253 256 260 267 281 289 308 309 315 318 323 325 347 362 364 367 371 373 378 385 387 392 400 402 409 411 414 419 429 430 434 437 441 447 453 458 460 475 477 490 495 518 533 540 541 548 554 555 559 563 565 574 585 586 593 597 611 626 644 649 667 714 722 725 729 739 741 755]\n# step=1 row=23 minW=98 found cw of W=94: [4 8 14 17 20 26 37 39 40 46 52 53 56 63 71 77 82 84 88 93 100 107 116 128 141 146 151 164 183 192 197 219 220 223 226 254 274 278 285 300 330 332 333 335 339 344 362 363 365 378 381 382 383 385 387 425 431 437 444 445 447 452 455 459 462 470 478 489 496 503 508 511 524 526 534 535 563 570 574 583 624 664 666 678 687 694 708 710 715 717 727 733 740 741]\n# step=2 row=173 minW=94 found cw of W=92: [5 24 26 31 72 73 74 75 79 101 107 129 137 144 150 156 162 163 188 198 205 212 218 224 236 243 252 256 280 282 287 296 314 318 326 331 342 347 363 369 376 383 388 393 410 416 418 424 429 438 445 451 479 500 512 513 518 522 523 528 529 535 549 561 567 570 571 576 589 598 608 612 614 616 618 630 639 657 664 666 669 681 689 692 698 702 704 708 725 730 740 754]\n# step=13 row=361 minW=92 found cw of W=88: [4 32 48 55 59 66 75 86 92 96 99 103 141 151 158 162 165 176 177 199 205 221 248 260 295 297 306 309 311 315 320 321 332 338 345 346 351 355 363 367 369 371 374 375 378 387 394 423 424 425 443 446 465 472 473 484 513 543 554 580 583 605 609 626 633 639 644 645 647 658 661 681 684 687 688 689 693 694 695 696 698 707 721 724 734 741 742 752]\n# step=15 row=72 minW=88 found cw of W=76: [11 25 39 43 46 50 54 71 94 108 120 135 142 146 158 170 187 196 213 219 248 249 262 271 284 285 293 300 303 304 334 340 359 364 373 374 377 384 444 449 458 467 469 472 474 504 507 513 516 520 524 527 530 542 557 559 568 569 580 586 591 609 614 629 632 646 652 662 663 676 702 706 707 717 753 755]\n# step=15 row=280 minW=76 found cw of W=74: [11 25 39 43 46 50 54 71 108 120 142 146 158 161 170 187 196 213 219 225 248 249 262 271 284 285 293 300 303 304 334 340 359 364 373 374 377 384 444 449 458 467 469 474 504 507 516 520 524 530 534 542 557 559 569 575 580 586 591 609 614 629 632 646 652 662 663 676 702 706 707 717 753 755]\n# step=55 row=8 minW=74 found cw of W=72: [17 18 20 33 37 43 50 61 62 75 92 99 116 171 177 186 197 212 232 240 251 252 275 295 300 301 305 322 354 357 366 371 386 405 411 433 435 446 466 472 495 500 508 523 536 544 549 555 562 564 590 599 618 652 653 665 666 673 674 678 679 683 684 689 700 714 719 720 734 738 742 743]\n# step=55 row=211 minW=72 found cw of W=66: [18 33 37 43 50 62 75 92 99 116 171 177 186 197 212 232 240 251 252 275 295 300 301 322 349 357 366 371 386 404 405 433 435 446 466 472 495 500 508 523 536 544 549 555 562 564 590 599 618 652 653 665 666 673 674 678 679 684 689 700 714 719 720 734 742 743]\n# step=74 row=304 minW=66 found cw of W=58: [23 49 78 91 99 104 124 132 133 139 154 158 161 168 173 180 188 205 214 223 234 244 253 257 258 260 264 267 277 299 414 468 469 471 477 502 504 510 518 524 531 537 538 553 557 565 573 586 594 600 612 627 631 642 661 689 702 756]\n# step=106 row=223 minW=58 found cw of W=56: [5 15 16 25 31 43 70 78 87 113 114 121 125 140 154 159 161 180 182 188 203 278 327 334 339 368 375 382 388 393 396 403 409 419 421 429 442 452 453 456 470 472 476 493 505 525 553 572 573 587 628 656 662 663 717 752]\n# step=164 row=133 minW=56 found cw of W=54: [11 15 22 29 33 51 52 65 72 73 135 169 184 224 241 246 259 279 301 303 327 331 356 359 362 382 383 384 394 403 404 408 444 457 472 485 539 568 588 609 619 629 664 674 692 705 712 713 725 736 737 740 741 754]\n# step=442 row=358 minW=54 found cw of W=46: [9 24 49 104 105 148 159 161 184 242 246 254 290 291 295 301 309 316 317 350 357 372 378 381 407 416 448 449 457 464 498 513 527 554 583 592 620 641 644 675 690 693 695 710 730 744]\n# round=1000 of 10000 minW=46\n# step=1794 row=299 minW=46 found cw of W=44: [9 16 19 25 40 60 80 95 135 150 177 190 191 198 200 207 245 252 256 291 297 332 346 353 390 398 403 418 459 485 488 500 520 534 535 576 584 585 599 620 647 678 727 730]\n# round=2000 of 10000 minW=44\n# round=3000 of 10000 minW=44\n# round=4000 of 10000 minW=44\n# step=4672 row=224 minW=44 found cw of W=42: [66 94 106 109 129 136 149 170 177 185 204 259 287 311 314 321 366 373 417 418 444 459 472 485 487 488 493 499 514 528 534 554 575 576 578 599 604 645 653 668 709 747]\n# step=4672 row=253 minW=42 found cw of W=40: [39 66 94 109 136 149 170 177 185 204 259 287 311 314 321 366 373 418 444 459 479 485 487 488 493 499 514 528 534 554 575 576 578 599 604 645 653 668 709 747]\n# round=5000 of 10000 minW=40\n# round=6000 of 10000 minW=40\n# round=7000 of 10000 minW=40\n# round=8000 of 10000 minW=40\n# round=9000 of 10000 minW=40\n# round=10000 of 10000 minW=40\nRW algorithm upper bound for the distance d=40\n</t>
  </si>
  <si>
    <t># step=0 row=4 minW=757 found cw of W=158: [1 8 9 11 12 17 18 25 32 34 35 37 39 40 44 49 50 67 71 72 88 93 95 118 119 122 126 131 132 137 144 145 153 155 156 159 162 173 177 179 185 192 217 221 226 233 238 241 242 247 248 255 266 268 272 273 279 283 291 292 294 296 299 309 321 330 341 346 348 349 367 371 386 389 390 399 401 404 407 411 417 425 426 427 438 440 442 444 446 447 454 457 458 460 462 467 470 474 475 482 483 489 495 501 506 511 517 522 524 526 530 535 536 537 540 544 547 556 558 563 581 585 588 592 604 605 606 610 618 619 627 633 641 644 651 667 668 672 676 677 680 687 693 694 696 701 706 709 713 716 717 718 723 734 735 736 741 750]\n# step=0 row=5 minW=158 found cw of W=144: [7 9 10 11 17 18 33 37 39 40 43 44 47 49 50 51 54 61 63 68 69 71 88 92 93 108 114 118 125 126 132 143 144 145 146 153 155 156 159 162 163 169 180 185 198 208 221 231 235 238 242 248 255 257 260 268 271 273 276 286 292 294 296 298 299 316 323 341 349 356 367 371 379 386 389 400 404 411 417 427 435 442 443 444 447 460 469 482 484 486 496 501 507 509 517 522 524 526 530 535 536 540 545 547 548 551 554 558 563 571 581 588 592 595 600 614 618 633 641 644 646 648 651 662 667 668 672 674 676 677 685 688 694 706 709 713 716 718 726 729 735 741 743 755]\n# step=0 row=16 minW=144 found cw of W=142: [9 11 18 22 23 25 30 31 32 40 47 49 51 55 61 63 68 71 77 85 86 88 92 96 107 120 124 125 126 137 146 155 156 159 162 166 173 177 178 179 192 198 217 221 235 247 257 264 266 268 272 279 283 291 299 304 309 313 316 317 321 323 324 330 341 346 349 359 367 371 373 380 386 399 400 402 404 409 411 415 417 418 421 422 425 427 435 440 442 443 444 451 452 454 456 460 463 469 470 488 491 495 496 498 499 501 509 511 524 530 544 545 551 556 584 585 592 605 610 633 642 644 659 668 674 677 680 686 687 688 693 694 702 716 721 727 729 731 734 735 750 755]\n# step=0 row=21 minW=142 found cw of W=138: [1 12 22 25 32 33 34 35 39 43 46 47 49 50 63 67 68 69 85 88 92 93 97 108 116 117 118 125 126 132 133 146 159 169 173 178 179 180 198 215 217 221 226 231 232 233 238 242 255 256 257 264 268 272 273 279 281 283 286 294 299 313 316 324 328 348 349 356 373 379 390 400 401 402 404 411 414 415 427 435 443 447 451 454 457 458 460 470 475 489 495 496 500 505 506 509 511 517 523 526 532 545 547 556 558 585 592 600 604 605 606 610 622 633 641 642 649 651 654 659 665 672 677 678 686 688 689 701 702 712 713 718 723 727 731 741 744 750]\n# step=0 row=22 minW=138 found cw of W=134: [3 12 22 23 30 37 40 41 43 44 48 51 54 55 67 85 93 97 114 117 120 122 125 131 133 145 153 155 162 163 179 185 193 215 217 220 242 255 256 257 266 268 273 279 281 286 294 298 304 308 313 321 323 330 337 340 348 359 371 379 380 385 388 390 402 409 415 421 422 429 436 446 447 451 452 458 460 463 474 482 483 488 489 495 496 498 499 505 530 532 536 540 545 547 554 556 558 563 566 581 584 585 598 601 605 607 618 622 625 648 651 654 659 660 664 665 667 672 676 686 688 689 696 697 706 709 721 725 727 731 743 744 748 750]\n# step=0 row=32 minW=134 found cw of W=130: [1 3 7 9 11 18 23 33 34 35 39 47 50 51 55 65 69 71 77 88 92 95 97 118 125 143 144 146 153 156 166 177 179 198 208 217 228 235 238 241 242 248 264 268 279 292 294 296 304 313 317 330 335 337 341 348 356 359 371 380 385 389 390 401 409 414 415 417 421 426 435 436 438 442 444 447 457 458 467 469 470 475 482 483 488 491 495 498 499 505 506 511 517 522 526 530 532 535 536 537 547 551 558 571 584 588 600 610 619 622 625 627 633 642 646 649 659 672 676 686 697 701 709 713 716 717 721 723 727 729]\n# step=0 row=39 minW=130 found cw of W=114: [12 17 30 33 34 35 39 40 43 50 63 67 68 72 77 79 95 97 117 120 122 125 132 139 146 153 173 177 178 183 198 215 220 226 232 233 235 238 247 255 256 266 268 273 291 294 309 311 321 330 346 349 356 373 385 386 389 390 399 400 401 404 411 415 426 438 447 452 460 463 467 475 482 491 495 498 505 509 530 535 551 556 581 584 585 588 598 604 605 606 623 641 644 651 659 660 668 674 680 687 688 693 694 701 706 709 718 723 729 734 735 741 744 755]\n# step=0 row=186 minW=114 found cw of W=104: [3 12 17 33 34 39 40 43 50 63 67 68 72 77 95 97 117 122 132 139 146 153 173 177 178 183 198 220 226 232 233 235 255 256 266 268 273 294 296 309 311 321 330 337 349 356 358 373 385 386 389 390 399 400 404 411 415 426 436 438 447 460 467 475 482 495 505 509 526 530 535 551 556 584 585 598 604 605 606 623 625 641 644 651 659 660 668 674 687 688 693 694 701 706 709 718 723 729 731 734 735 741 744 755]\n# step=0 row=234 minW=104 found cw of W=98: [7 11 12 17 33 34 40 43 49 55 67 68 69 72 77 88 92 93 95 96 97 107 116 117 133 137 139 143 145 155 159 162 166 173 177 178 183 192 198 215 232 242 273 281 294 335 340 356 379 385 389 390 395 400 415 421 425 426 427 430 435 438 440 453 467 469 475 483 488 491 500 501 505 517 523 524 526 535 543 544 551 558 585 588 592 610 623 633 651 654 665 678 706 713 723 741 744 755]\n# step=1 row=108 minW=98 found cw of W=88: [12 61 69 76 97 108 116 123 146 155 158 171 192 193 194 198 204 207 212 217 230 238 256 273 285 294 307 319 333 341 342 344 349 355 374 385 386 390 419 431 432 434 435 455 476 481 491 501 516 521 523 530 533 536 537 550 558 565 566 572 576 577 580 581 588 595 599 604 606 607 608 621 623 645 650 651 652 653 667 698 706 707 717 722 733 735 742 743]\n# step=10 row=238 minW=88 found cw of W=84: [19 25 26 52 60 72 87 106 107 109 111 131 161 164 165 171 172 193 199 212 213 214 223 234 240 244 248 269 272 287 292 299 303 307 310 314 317 321 347 355 362 375 399 403 404 411 417 433 453 458 474 501 528 529 540 544 548 551 578 583 589 590 592 594 598 600 601 615 619 622 630 635 636 643 646 663 671 690 699 712 721 726 738 748]\n# step=21 row=186 minW=84 found cw of W=76: [17 23 31 44 58 65 80 83 93 95 102 114 132 160 163 170 173 183 194 203 204 211 217 228 249 265 278 299 320 328 332 364 375 383 387 390 401 409 417 426 438 443 453 456 461 464 468 471 475 499 507 517 526 541 543 546 547 558 566 574 581 595 597 608 615 616 631 661 662 677 683 685 705 718 726 751]\n# step=32 row=345 minW=76 found cw of W=72: [11 21 49 88 93 102 113 143 148 151 155 173 176 224 231 240 254 256 265 266 270 275 293 308 314 316 320 343 355 356 363 389 392 395 401 438 454 461 479 480 485 487 521 524 534 535 544 546 553 565 569 575 576 581 583 598 606 636 644 657 659 666 680 686 689 693 699 706 721 729 754 756]\n# step=110 row=16 minW=72 found cw of W=66: [9 11 25 28 32 36 50 64 69 73 76 85 87 92 128 132 135 136 139 140 173 177 185 196 219 221 232 246 299 316 327 332 357 373 380 382 386 401 414 427 435 461 465 483 497 507 516 520 546 562 563 575 576 587 610 630 653 661 666 668 694 700 705 715 721 732]\n# step=132 row=149 minW=66 found cw of W=58: [6 13 17 23 64 85 127 128 147 153 163 182 183 184 189 195 208 237 243 246 264 290 292 320 340 350 354 388 394 417 437 443 456 478 492 497 506 518 525 531 533 562 567 592 593 603 608 615 628 648 676 679 686 693 705 723 730 738]\n# step=173 row=8 minW=58 found cw of W=54: [4 22 39 46 50 53 54 77 79 84 89 91 98 105 132 133 167 173 174 188 195 259 263 314 318 321 359 369 373 388 400 414 429 455 457 463 475 490 504 527 547 551 552 557 572 580 595 601 642 650 670 717 732 743]\n# step=173 row=50 minW=54 found cw of W=50: [4 39 46 50 53 54 77 79 91 98 105 112 132 167 173 188 195 259 263 314 318 321 359 369 373 388 414 429 457 463 475 490 504 506 517 527 547 551 552 557 572 580 595 601 642 650 670 717 732 743]\n# step=544 row=253 minW=50 found cw of W=46: [8 28 37 40 44 47 51 63 64 70 77 92 113 118 119 126 168 175 264 308 316 319 370 374 378 386 394 420 435 442 443 458 468 476 484 502 507 525 552 566 656 694 705 743 746 749]\n# round=1000 of 10000 minW=46\n# round=2000 of 10000 minW=46\n# round=3000 of 10000 minW=46\n# step=3061 row=224 minW=46 found cw of W=40: [2 43 61 64 84 92 116 119 123 126 167 170 171 177 218 222 225 229 233 287 316 357 365 412 421 427 435 439 462 483 488 506 529 599 604 619 653 668 689 749]\n# round=4000 of 10000 minW=40\n# round=5000 of 10000 minW=40\n# round=6000 of 10000 minW=40\n# round=7000 of 10000 minW=40\n# round=8000 of 10000 minW=40\n# step=8277 row=51 minW=40 found cw of W=36: [1 4 21 46 50 56 57 59 63 66 70 94 101 105 108 110 117 318 350 362 373 405 440 448 490 543 580 610 633 647 659 670 708 723 728 749]\n# round=9000 of 10000 minW=36\n# round=10000 of 10000 minW=36\nRW algorithm upper bound for the distance d=36\n</t>
  </si>
  <si>
    <t># step=0 row=0 minW=757 found cw of W=142: [3 12 22 25 29 30 39 41 42 43 54 57 59 67 70 73 74 80 82 92 98 103 110 112 113 118 128 131 132 136 149 158 163 165 175 190 191 201 209 212 220 223 225 227 228 246 253 260 267 268 269 280 284 290 291 312 313 315 326 327 328 333 339 340 342 345 353 358 359 361 381 384 385 386 394 397 398 413 414 416 417 420 423 426 430 433 437 464 470 471 475 482 487 489 491 496 497 499 506 509 515 516 522 523 524 532 537 541 548 550 551 552 556 560 565 573 577 580 582 600 612 623 630 640 644 653 655 656 662 665 667 669 670 686 690 701 714 718 724 743 748 750]\n# step=0 row=4 minW=142 found cw of W=126: [2 9 22 29 33 39 42 43 54 60 66 73 75 80 98 121 123 128 131 132 136 138 141 156 167 177 182 191 211 212 220 225 226 227 231 235 237 255 267 268 276 280 287 290 291 297 299 310 311 313 315 317 318 321 327 336 342 345 352 353 354 359 361 366 381 384 386 389 397 416 420 423 425 433 444 453 464 471 475 482 487 488 501 506 508 509 514 516 519 523 524 550 554 556 564 565 573 574 575 577 596 599 600 606 607 610 623 634 640 644 656 665 667 669 670 672 686 691 697 699 716 720 736 737 746 754]\n# step=0 row=17 minW=126 found cw of W=118: [8 13 25 29 30 32 33 41 70 73 74 76 80 82 101 103 123 127 129 136 138 140 150 158 167 183 188 190 218 225 227 235 246 256 268 269 276 277 284 287 291 297 312 317 318 321 326 327 331 338 340 342 343 348 353 354 358 359 386 388 392 413 414 415 425 430 437 438 476 478 487 492 501 506 509 518 522 523 534 541 550 554 556 561 577 580 582 600 607 612 616 621 630 634 640 654 655 656 660 661 662 667 669 672 683 690 691 695 697 699 703 718 720 726 734 743 748 754]\n# step=0 row=42 minW=118 found cw of W=106: [8 29 39 41 54 60 66 73 75 77 80 101 103 110 121 127 128 140 158 163 165 182 190 218 223 228 235 237 246 253 256 269 275 276 280 282 287 288 299 312 317 331 352 354 358 366 375 384 392 397 415 420 423 433 444 453 476 487 508 513 515 517 518 541 550 561 564 573 575 577 580 591 599 601 606 607 623 628 630 634 644 653 655 660 661 667 672 675 677 681 686 690 695 697 701 702 703 708 716 718 726 736 743 746 750 752]\n# step=0 row=45 minW=106 found cw of W=104: [8 25 29 39 42 54 73 84 98 101 110 121 123 127 128 131 132 136 138 140 150 167 185 188 190 191 211 219 225 226 227 230 235 252 256 260 268 280 282 290 299 308 315 319 326 331 333 336 338 340 352 354 359 366 381 392 398 415 420 423 464 471 475 482 499 501 506 509 513 514 516 517 518 523 524 528 534 548 556 564 565 577 596 599 600 606 621 623 625 628 633 634 654 665 670 672 675 697 703 709 716 720 746 752]\n# step=0 row=152 minW=104 found cw of W=100: [1 13 22 29 43 59 70 73 82 121 127 128 138 140 141 149 163 165 185 190 211 218 220 223 225 228 231 235 252 255 278 282 290 297 310 312 315 318 333 340 342 343 345 358 359 361 375 385 386 388 392 397 413 415 416 426 438 478 506 513 515 518 519 522 528 541 554 561 564 574 577 582 596 601 606 612 625 628 644 654 655 665 672 677 686 690 691 695 702 703 714 718 720 726 734 736 743 748 750 752]\n# step=0 row=242 minW=100 found cw of W=86: [25 39 42 43 59 68 70 98 101 110 112 121 132 133 149 150 167 181 188 190 211 218 235 246 253 255 256 275 280 282 299 310 311 313 317 318 326 327 331 338 342 343 354 361 366 381 388 397 398 413 416 423 438 462 464 471 475 478 482 501 506 510 523 524 534 561 582 607 623 630 634 644 653 656 660 675 677 686 691 697 701 708 716 726 734 746]\n# step=2 row=16 minW=86 found cw of W=84: [20 24 33 47 54 58 72 73 78 84 127 168 192 199 209 244 247 251 253 254 258 261 268 279 282 291 302 308 312 313 315 317 319 331 344 353 358 360 377 380 385 390 393 404 406 408 411 413 427 428 434 436 442 447 456 462 464 470 475 477 483 487 552 565 570 573 587 608 619 629 646 655 663 668 673 678 687 697 715 727 738 739 750 754]\n# step=6 row=88 minW=84 found cw of W=76: [32 47 48 56 77 79 83 90 91 92 103 111 118 127 128 138 139 181 187 193 215 217 230 248 264 272 274 277 291 293 298 304 309 320 321 346 355 369 370 385 401 420 431 454 457 469 475 491 505 519 531 532 547 567 580 593 596 608 609 614 615 616 620 622 627 647 648 655 657 658 687 696 714 743 749 753]\n# step=10 row=152 minW=76 found cw of W=72: [13 82 96 108 124 147 155 158 192 204 207 219 221 225 226 232 240 247 254 288 294 315 321 322 341 371 405 407 419 426 431 432 435 454 460 474 475 480 481 495 497 515 516 524 533 550 557 571 577 588 597 603 604 605 610 618 620 623 632 653 654 658 659 664 673 678 695 707 719 720 734 744]\n# step=10 row=166 minW=72 found cw of W=64: [3 13 70 78 82 96 108 119 124 147 158 192 207 221 254 289 291 296 309 316 321 342 364 365 376 378 402 405 413 419 426 431 432 435 451 454 460 462 474 475 480 481 495 497 515 516 524 550 557 571 605 620 625 632 667 695 710 715 720 724 731 734 736 744]\n# step=126 row=231 minW=64 found cw of W=50: [76 82 97 123 137 138 144 167 201 233 276 283 288 291 302 325 332 337 351 380 386 427 435 454 460 470 475 501 502 517 521 524 525 530 544 551 556 565 571 605 611 615 646 660 669 680 682 701 715 735]\n# round=1000 of 10000 minW=50\n# round=2000 of 10000 minW=50\n# step=2670 row=217 minW=50 found cw of W=46: [13 33 38 41 67 79 131 257 268 286 319 323 330 341 345 350 356 363 374 378 384 391 396 399 419 422 425 429 433 455 466 474 522 545 556 605 654 664 695 703 713 723 728 734 745 754]\n# round=3000 of 10000 minW=46\n# round=4000 of 10000 minW=46\n# round=5000 of 10000 minW=46\n# round=6000 of 10000 minW=46\n# round=7000 of 10000 minW=46\n# round=8000 of 10000 minW=46\n# round=9000 of 10000 minW=46\n# round=10000 of 10000 minW=46\nRW algorithm upper bound for the distance d=46\n</t>
  </si>
  <si>
    <t># step=0 row=0 minW=757 found cw of W=130: [5 6 11 16 19 20 22 26 38 40 42 45 49 61 74 96 107 138 165 167 169 173 174 176 182 192 193 197 207 208 209 211 213 217 219 221 222 224 225 226 227 230 238 244 251 253 255 258 262 272 277 279 280 281 284 292 309 310 311 312 317 319 327 335 353 356 358 361 362 363 365 376 384 390 394 404 406 411 413 417 424 445 449 475 494 496 498 503 516 524 535 536 539 540 551 554 570 575 587 593 596 597 599 600 604 608 616 624 635 646 647 648 653 654 659 661 670 671 678 691 693 694 696 708 719 727 731 732 734 754]\n# step=0 row=23 minW=130 found cw of W=126: [6 11 13 16 35 40 41 42 47 56 58 60 61 69 91 92 95 103 104 111 115 122 155 158 159 163 165 167 174 176 186 192 193 196 208 209 211 213 222 226 227 231 235 238 242 244 246 251 255 258 262 272 277 279 281 284 292 309 310 311 312 316 317 319 327 336 339 358 361 363 364 365 380 384 385 394 435 436 449 484 494 496 501 503 524 525 528 531 532 535 539 541 548 550 551 554 564 570 571 587 589 593 597 599 600 604 608 616 621 624 629 635 646 648 650 654 661 671 682 691 711 714 731 732 745 756]\n# step=0 row=64 minW=126 found cw of W=122: [4 6 11 22 24 33 34 41 42 47 58 61 66 69 83 86 87 91 95 126 129 130 135 147 148 149 155 159 163 165 170 176 182 196 197 204 213 219 226 227 228 230 244 251 258 260 262 271 272 277 279 292 295 318 322 327 356 358 362 364 376 384 390 398 406 408 412 413 415 417 424 432 436 437 455 475 484 494 496 499 501 509 513 514 516 519 520 525 528 531 535 537 548 550 554 560 570 576 587 596 608 621 630 635 637 646 650 655 661 679 691 693 696 719 720 727 732 734 735 744 754 755]\n# step=0 row=99 minW=122 found cw of W=120: [6 11 13 21 33 35 41 42 45 51 82 86 96 102 104 107 130 148 155 159 167 174 179 186 199 207 209 212 213 219 226 228 230 237 242 253 254 255 256 258 260 262 267 271 272 279 282 292 297 310 312 316 317 322 327 358 361 362 364 365 384 390 394 411 412 417 424 425 429 432 435 455 467 475 484 501 507 514 516 522 525 535 536 540 550 552 564 570 571 584 587 589 590 596 599 600 608 613 625 630 635 640 646 647 654 682 687 691 700 711 719 720 731 732 742 745 752 754 755 756]\n# step=0 row=103 minW=120 found cw of W=118: [16 19 20 21 26 33 38 47 49 51 60 66 74 77 86 87 91 95 102 111 115 122 129 130 132 138 147 155 158 161 165 169 170 173 176 182 186 196 205 207 209 216 217 224 226 227 235 237 242 244 246 251 255 267 271 275 277 281 309 310 311 317 342 353 361 376 386 398 399 404 411 412 427 429 435 449 464 482 484 494 498 499 501 509 513 514 516 520 528 536 548 550 564 570 571 576 584 589 597 624 625 642 647 650 653 654 655 661 670 682 691 696 700 708 711 732 742 754]\n# step=0 row=216 minW=118 found cw of W=116: [16 21 33 34 38 42 47 49 51 60 83 91 92 95 102 104 111 115 122 135 146 148 152 154 155 169 173 182 196 203 207 211 213 216 217 222 224 225 226 244 255 260 265 271 280 284 295 306 310 311 312 315 317 328 335 336 339 361 364 365 376 380 411 415 429 440 449 455 464 475 484 498 501 516 519 522 525 528 531 537 539 545 548 550 554 560 571 575 579 580 587 589 597 599 600 604 620 621 624 631 653 655 659 661 679 694 700 708 728 735 742 744 748 752 754 755]\n# step=0 row=249 minW=116 found cw of W=108: [6 11 22 34 35 41 42 58 61 82 83 92 148 165 169 176 180 192 197 203 209 211 213 217 225 227 228 244 255 260 265 271 272 275 277 279 280 295 306 310 316 317 322 327 335 336 356 361 364 365 376 380 384 399 411 412 413 415 432 435 436 455 466 475 489 491 494 498 516 522 524 532 545 554 570 571 575 579 584 587 589 620 624 625 630 631 633 642 650 653 655 687 691 693 694 700 708 711 719 720 723 732 734 735 744 745 755 756]\n# step=1 row=141 minW=108 found cw of W=106: [26 46 51 53 55 62 69 74 83 89 97 104 106 107 110 116 117 129 135 150 151 154 167 171 190 191 202 205 206 207 209 212 216 222 235 246 248 255 264 267 277 280 284 290 308 316 329 332 362 363 366 368 376 380 391 404 410 415 418 421 423 430 442 453 467 472 473 481 495 500 508 514 522 526 544 545 549 556 580 590 591 593 605 607 616 623 626 630 633 639 645 654 656 658 668 672 680 689 703 705 716 721 730 740 749 754]\n# step=3 row=111 minW=106 found cw of W=82: [2 3 10 25 32 38 40 45 59 73 75 80 93 108 114 118 121 125 137 145 172 178 198 208 235 241 248 282 291 320 324 326 338 357 359 368 369 375 383 393 401 402 416 418 419 436 442 443 453 480 496 509 529 530 532 545 550 551 556 559 579 581 585 611 622 634 635 640 649 668 670 674 689 698 712 715 723 725 730 731 742 756]\n# step=3 row=279 minW=82 found cw of W=80: [2 3 10 25 32 38 40 45 59 73 75 80 93 108 114 121 125 137 145 167 172 178 198 235 241 248 282 291 320 324 326 338 357 359 368 369 375 383 393 401 402 416 418 419 436 442 443 453 480 509 529 530 532 545 550 556 558 559 579 581 585 611 622 634 635 640 649 668 670 674 689 698 712 715 723 725 730 731 742 756]\n# step=16 row=196 minW=80 found cw of W=78: [9 10 24 33 39 51 59 71 77 84 88 93 95 112 120 129 143 161 179 181 188 194 223 237 243 271 285 297 303 305 324 349 358 361 373 393 396 408 409 413 416 417 422 437 443 463 472 479 486 490 493 503 526 527 545 559 565 566 572 580 617 626 627 628 635 647 655 662 681 684 696 716 717 733 738 746 751 752]\n# step=18 row=325 minW=78 found cw of W=56: [2 9 30 43 50 77 79 82 85 110 124 131 134 164 167 168 179 193 227 234 290 297 304 312 319 327 353 372 382 389 412 427 430 452 453 455 460 461 488 507 515 518 551 555 578 607 615 626 641 660 709 716 723 726 741 745]\n# step=583 row=336 minW=56 found cw of W=54: [43 53 55 92 94 97 101 106 108 117 122 129 133 145 149 172 204 211 220 228 255 256 259 269 276 287 311 314 318 321 362 366 369 417 433 470 472 476 479 483 488 511 544 557 585 598 601 605 611 612 634 653 675 716]\n# step=656 row=282 minW=54 found cw of W=52: [21 23 28 32 43 44 52 78 84 96 105 128 129 149 156 160 183 184 190 191 197 235 256 318 355 362 375 380 413 417 421 427 428 436 485 526 529 536 585 617 626 668 675 684 689 707 716 724 735 751 753 756]\n# round=1000 of 10000 minW=52\n# step=1269 row=364 minW=52 found cw of W=44: [28 48 54 57 70 78 91 119 124 133 140 146 153 184 202 209 239 246 365 371 378 380 407 435 455 476 481 490 492 497 503 522 530 545 582 620 668 669 710 735 736 743 749 756]\n# step=1457 row=42 minW=44 found cw of W=42: [21 32 83 84 125 133 138 139 153 188 193 208 214 215 223 229 248 293 303 347 355 358 413 505 506 511 531 547 558 561 580 592 595 615 636 648 656 663 671 697 712 753]\n# round=2000 of 10000 minW=42\n# round=3000 of 10000 minW=42\n# round=4000 of 10000 minW=42\n# round=5000 of 10000 minW=42\n# round=6000 of 10000 minW=42\n# round=7000 of 10000 minW=42\n# round=8000 of 10000 minW=42\n# round=9000 of 10000 minW=42\n# round=10000 of 10000 minW=42\nRW algorithm upper bound for the distance d=42\n</t>
  </si>
  <si>
    <t># step=0 row=0 minW=757 found cw of W=150: [2 3 4 8 9 15 16 18 29 32 38 44 46 47 51 55 56 60 63 66 67 72 76 84 86 87 90 93 95 107 109 119 131 134 137 139 141 144 163 165 172 183 184 185 186 188 189 191 192 199 219 226 239 240 246 265 267 287 299 314 320 322 325 331 332 333 340 341 344 345 347 350 352 354 369 374 379 384 387 388 400 401 402 404 405 407 415 416 418 425 431 434 442 443 446 450 453 454 467 479 482 483 486 490 493 495 501 503 509 522 524 526 529 531 536 549 562 573 577 578 583 596 597 599 603 604 613 623 624 628 643 644 652 653 664 665 667 673 686 694 710 711 721 723 725 728 730 733 744 752]\n# step=0 row=8 minW=150 found cw of W=132: [1 3 14 18 33 35 38 46 53 55 56 60 63 67 76 79 83 84 88 93 102 109 119 123 131 134 136 139 141 151 158 163 186 189 194 199 206 208 220 227 234 246 257 261 278 284 295 301 305 325 328 333 334 341 344 345 347 352 354 356 364 375 381 385 388 390 396 401 402 415 416 434 438 439 442 443 448 454 455 461 471 479 482 483 486 493 495 503 514 522 526 531 536 549 551 556 572 573 577 583 586 596 600 603 604 619 624 627 629 644 648 649 652 667 673 678 683 686 701 703 709 712 714 716 718 719 725 728 730 735 739 750]\n# step=0 row=35 minW=132 found cw of W=130: [1 4 28 32 33 36 44 46 47 51 53 56 63 66 68 72 83 86 87 90 95 107 119 129 134 137 139 141 144 153 163 167 168 172 179 183 185 189 192 195 205 227 239 255 262 265 266 267 282 299 301 314 320 328 333 334 340 344 345 347 354 374 378 379 384 385 389 390 396 399 400 404 407 415 418 425 428 438 439 450 453 455 456 458 467 482 486 501 503 509 517 518 543 548 562 567 569 573 583 586 591 596 597 599 600 603 610 614 623 628 632 635 643 644 657 664 666 673 676 686 690 711 712 721 722 725 733 739 742 752]\n# step=0 row=36 minW=130 found cw of W=124: [1 3 9 15 16 18 28 29 35 36 47 53 56 60 63 67 70 76 83 84 88 109 129 131 139 144 151 158 165 183 184 186 188 189 195 204 205 206 208 219 234 246 255 257 259 266 274 278 285 301 305 314 317 320 323 332 333 340 344 345 350 356 364 375 376 378 379 384 385 387 389 393 396 405 415 416 425 428 431 438 443 446 458 461 466 479 482 493 518 522 529 531 533 543 548 549 551 556 559 573 578 586 600 608 610 616 629 648 649 657 676 678 700 701 710 714 716 718 719 722 725 728 745 749]\n# step=0 row=95 minW=124 found cw of W=122: [3 8 15 18 28 29 32 38 44 45 51 53 55 72 79 86 87 88 90 93 96 109 123 136 137 139 153 158 164 165 167 168 172 179 181 183 185 188 191 192 208 240 257 261 262 265 288 294 299 305 314 316 317 322 323 325 328 331 340 344 350 352 356 374 383 384 385 387 390 392 396 400 402 404 405 418 431 439 443 453 456 461 466 482 490 501 509 514 517 526 549 551 597 599 608 613 623 624 628 635 640 643 648 657 664 683 690 700 703 709 710 714 721 722 725 728 733 744 745 750 752 755]\n# step=0 row=121 minW=122 found cw of W=118: [3 28 29 38 42 44 45 51 53 55 72 76 79 83 86 88 90 93 96 102 109 123 137 151 153 164 165 167 172 183 184 191 192 194 208 219 229 234 239 240 241 246 257 261 262 267 273 278 284 287 305 316 317 322 323 325 328 333 340 374 378 381 383 384 387 390 402 407 418 439 443 448 454 461 466 471 482 486 494 495 501 509 524 526 529 536 549 551 559 562 569 578 591 599 604 613 616 623 624 625 627 629 635 648 653 665 666 676 678 690 694 709 719 744 745 749 750 752]\n# step=0 row=131 minW=118 found cw of W=108: [1 8 9 16 29 32 36 38 44 45 51 79 83 86 87 90 95 96 129 151 158 165 184 191 195 199 205 219 220 226 227 240 254 255 261 265 266 267 299 314 316 317 323 325 328 331 332 334 340 352 356 369 374 376 381 384 389 393 396 400 401 404 418 428 442 453 458 467 479 483 486 490 494 509 518 543 548 567 569 577 583 599 604 608 610 613 616 628 632 643 649 652 667 683 709 710 712 716 719 721 722 730 733 742 745 749 750 752]\n# step=1 row=23 minW=108 found cw of W=106: [2 3 9 10 14 19 20 23 26 30 32 39 46 54 69 75 76 78 82 87 89 91 107 111 119 121 124 128 135 140 142 146 153 157 163 165 173 198 201 210 220 235 242 254 261 263 265 266 288 304 307 310 315 325 326 349 351 362 367 374 377 381 386 401 413 418 439 448 450 466 467 471 472 486 488 489 503 506 513 515 539 544 546 554 555 562 578 590 603 604 606 611 636 655 666 680 685 694 698 699 710 715 727 737 750 756]\n# step=1 row=75 minW=106 found cw of W=102: [2 3 9 10 13 14 15 16 19 20 23 25 26 28 32 52 59 60 64 69 75 76 83 89 90 107 110 113 114 124 126 132 133 144 163 165 166 170 171 173 176 177 181 212 217 222 263 279 286 312 325 326 329 339 349 351 358 361 362 368 379 403 407 410 420 439 450 457 459 460 463 467 474 506 515 516 523 544 551 555 572 606 609 613 614 650 658 664 680 681 685 690 699 708 712 713 727 730 736 745 746 754]\n# step=1 row=86 minW=102 found cw of W=96: [7 19 20 39 46 51 53 69 75 78 82 89 95 98 102 128 135 140 142 146 153 155 160 163 165 171 176 191 228 231 233 240 254 260 266 286 288 318 330 337 339 345 349 360 362 381 385 386 390 394 399 407 427 435 443 448 459 466 471 472 476 489 491 492 506 513 515 517 520 528 539 543 554 558 562 581 603 604 606 613 624 632 633 638 650 661 671 688 714 715 719 722 727 728 740 755]\n# step=3 row=52 minW=96 found cw of W=82: [2 5 11 14 18 25 32 34 50 53 76 79 87 93 97 100 104 106 111 113 118 120 121 129 136 159 162 166 177 191 214 241 258 263 302 303 312 318 331 334 347 353 358 367 369 373 393 408 409 415 417 422 429 438 440 444 445 447 456 465 467 472 486 487 491 493 494 520 534 557 613 619 641 668 674 685 691 698 703 712 723 724]\n# step=3 row=222 minW=82 found cw of W=80: [2 5 11 14 18 25 32 34 50 53 72 76 79 87 93 97 100 104 106 111 113 118 120 129 136 159 166 177 191 214 241 258 263 302 303 312 318 331 334 347 353 358 367 369 373 393 408 409 415 417 422 429 438 440 444 445 447 450 456 465 467 472 486 491 493 520 534 557 613 619 641 668 674 685 691 698 703 712 723 724]\n# step=7 row=3 minW=80 found cw of W=72: [1 3 8 16 23 39 46 53 65 69 70 73 92 99 118 155 163 169 180 182 217 225 231 238 245 272 275 280 287 288 311 318 330 331 361 362 373 376 385 393 408 423 436 438 442 447 449 470 477 483 492 498 502 506 525 528 533 567 618 622 664 666 689 696 703 705 708 710 739 744 745 751]\n# step=7 row=20 minW=72 found cw of W=62: [3 16 39 42 46 49 53 65 69 70 73 92 99 118 155 163 169 180 182 217 225 231 238 245 272 275 280 287 318 331 361 362 373 376 381 393 408 423 436 438 442 447 449 470 477 483 492 498 502 506 525 528 533 567 618 622 664 696 705 715 739 745]\n# step=69 row=17 minW=62 found cw of W=56: [4 19 30 46 51 69 71 81 101 106 108 132 150 167 194 201 205 212 236 238 260 277 353 382 405 412 414 420 424 444 447 454 469 472 491 495 496 530 536 537 558 559 562 565 581 600 620 629 641 652 676 693 700 717 725 749]\n# step=222 row=23 minW=56 found cw of W=54: [5 17 56 57 60 67 102 112 114 119 146 157 184 204 211 218 219 251 266 273 274 280 315 328 330 390 395 444 450 485 492 496 499 540 547 548 554 562 575 589 590 603 617 630 633 639 659 665 673 680 699 700 722 723]\n# step=436 row=6 minW=54 found cw of W=48: [2 13 57 64 112 126 144 163 170 172 174 220 221 227 232 241 247 262 302 303 310 386 427 432 446 481 495 517 530 536 544 545 550 559 571 579 598 611 619 625 634 635 646 653 660 668 715 720]\n# round=1000 of 10000 minW=48\n# round=2000 of 10000 minW=48\n# step=2905 row=233 minW=48 found cw of W=36: [3 14 17 25 45 61 65 69 72 80 87 94 113 120 124 172 179 223 227 271 278 282 285 337 395 403 411 423 444 452 460 478 519 609 658 699]\n# round=3000 of 10000 minW=36\n# round=4000 of 10000 minW=36\n# round=5000 of 10000 minW=36\n# round=6000 of 10000 minW=36\n# round=7000 of 10000 minW=36\n# round=8000 of 10000 minW=36\n# round=9000 of 10000 minW=36\n# round=10000 of 10000 minW=36\nRW algorithm upper bound for the distance d=36\n</t>
  </si>
  <si>
    <t># step=0 row=0 minW=757 found cw of W=162: [2 5 13 15 17 18 25 35 38 42 45 47 49 55 60 67 71 91 97 100 102 121 128 129 139 154 157 159 161 163 165 172 183 184 185 186 195 216 221 222 223 224 244 245 246 248 250 258 266 268 269 271 278 279 285 286 291 297 313 314 316 318 320 321 324 325 330 336 337 339 344 355 359 367 369 370 372 374 377 381 383 392 398 405 410 422 437 440 442 443 449 457 458 459 460 468 473 478 482 485 491 492 498 499 500 508 509 512 534 554 564 569 573 576 579 582 587 588 589 592 594 596 600 601 612 613 616 619 624 637 641 643 647 650 655 659 662 666 667 670 673 675 680 681 682 688 690 694 701 702 706 707 708 709 711 712 727 729 731 734 742 748]\n# step=0 row=1 minW=162 found cw of W=146: [1 5 6 14 15 20 21 23 25 28 36 38 45 47 53 58 60 67 69 71 75 76 83 91 97 102 113 120 124 128 141 159 161 163 172 185 186 190 191 194 203 216 223 238 241 248 249 252 254 258 260 263 267 269 272 278 279 283 307 309 313 316 318 321 324 328 335 337 338 340 350 357 366 367 369 370 377 378 381 400 401 403 415 418 429 437 440 449 452 457 460 463 478 482 486 490 493 498 512 515 519 541 542 553 569 574 576 580 588 592 596 601 603 608 612 613 624 637 645 652 659 664 666 667 673 680 689 694 699 702 703 706 708 711 714 722 727 728 729 734 739 744 745 749 753 755]\n# step=0 row=2 minW=146 found cw of W=132: [5 7 13 15 17 21 28 38 45 47 53 55 60 65 67 69 71 76 83 91 95 97 101 102 109 110 120 128 130 147 149 157 159 161 165 172 183 185 186 190 194 203 205 216 221 222 233 238 241 246 247 248 249 250 252 258 260 267 268 269 315 320 336 337 338 344 367 370 374 377 381 383 401 405 415 422 433 435 437 440 449 457 471 479 482 485 486 498 500 508 509 512 538 553 564 569 570 579 580 582 588 589 592 600 611 612 613 616 619 624 637 641 649 659 662 666 667 673 686 689 690 703 706 708 709 711 727 731 734 742 745 749]\n# step=0 row=3 minW=132 found cw of W=122: [10 17 18 25 49 71 94 110 121 129 139 141 160 184 185 186 190 194 203 205 215 221 222 223 238 239 241 245 248 249 252 254 258 263 266 269 270 272 278 279 283 285 309 313 315 321 324 326 328 335 337 339 343 350 355 357 365 367 374 378 382 388 392 398 401 403 429 437 443 452 458 460 468 471 491 492 499 509 519 533 534 541 542 554 564 569 574 576 582 589 600 601 603 608 613 637 641 643 645 647 649 652 655 659 662 664 666 670 680 682 686 688 703 706 707 708 717 721 727 728 729 748]\n# step=0 row=48 minW=122 found cw of W=116: [14 20 35 45 49 52 53 58 60 69 76 83 96 97 103 109 110 113 120 124 131 141 147 149 157 159 160 163 183 185 195 203 205 215 216 221 239 244 247 250 254 260 267 268 269 270 271 272 279 283 307 309 313 314 316 320 324 328 335 339 372 401 415 430 438 439 453 460 471 478 479 481 486 493 500 509 519 541 542 557 564 569 573 574 579 580 587 589 592 594 596 603 606 608 613 616 637 641 647 649 650 652 655 659 664 670 682 689 701 703 708 711 727 742 745 749]\n# step=0 row=118 minW=116 found cw of W=110: [3 8 9 13 14 19 23 25 36 45 49 55 61 65 68 69 75 109 130 147 154 161 163 183 185 186 191 205 222 227 247 248 260 267 286 291 297 305 314 316 328 330 331 335 336 343 344 355 359 360 365 366 369 374 381 392 398 404 405 418 429 435 442 443 449 452 459 463 490 492 512 515 533 553 557 569 570 596 600 603 606 613 616 624 643 647 652 659 662 663 664 670 673 675 681 686 689 690 694 703 708 709 711 712 721 727 731 739 742 744]\n# step=0 row=299 minW=110 found cw of W=102: [9 15 17 20 21 35 38 75 100 128 130 154 161 163 172 183 190 205 221 222 224 233 241 245 247 250 252 254 260 263 267 271 286 291 297 307 309 318 320 326 330 344 359 365 369 372 374 378 381 383 388 401 403 422 429 442 449 452 457 460 471 473 493 498 509 512 515 533 538 541 564 570 576 582 583 588 596 600 603 608 611 612 613 616 637 641 652 662 663 673 675 681 689 694 701 702 703 706 712 727 742 749]\n# step=1 row=369 minW=102 found cw of W=100: [9 10 21 30 35 43 44 48 51 59 85 97 105 114 126 129 140 146 160 163 174 187 191 193 208 213 229 230 235 237 244 246 248 253 262 273 279 284 294 298 305 306 332 339 352 359 366 371 376 378 383 387 401 402 427 437 443 457 468 470 475 481 491 499 506 533 552 554 560 579 581 589 591 593 596 601 608 620 622 623 631 635 638 641 644 652 675 676 687 690 691 695 724 730 737 739 740 742 749 756]\n# step=3 row=116 minW=100 found cw of W=86: [11 20 24 34 55 78 81 82 89 100 107 134 140 141 142 145 156 164 165 170 176 183 224 239 253 257 280 283 324 327 331 338 342 343 354 376 380 410 421 429 433 439 447 452 453 454 457 464 485 495 496 506 511 512 513 514 515 519 533 537 545 547 548 560 567 568 582 589 601 610 612 637 659 664 690 691 693 697 700 708 709 721 727 732 740 742]\n# step=3 row=256 minW=86 found cw of W=80: [11 24 55 57 58 63 99 107 113 126 140 148 153 161 163 170 197 211 215 244 253 257 258 270 283 295 306 307 314 322 324 327 331 336 338 342 354 366 376 377 405 428 436 439 441 457 464 485 496 497 498 504 506 513 532 534 540 545 554 587 610 612 619 624 631 633 637 659 668 690 691 693 697 700 708 720 723 727 732 742]\n# step=10 row=376 minW=80 found cw of W=76: [18 24 31 38 45 64 75 82 84 85 86 113 120 126 130 133 134 139 144 181 185 189 192 195 196 218 223 264 265 278 284 306 312 314 318 333 334 373 375 408 416 418 442 451 452 458 462 463 471 483 497 538 552 553 572 573 596 602 617 658 663 687 690 696 697 698 706 717 718 721 728 739 740 746 748 752]\n# step=31 row=333 minW=76 found cw of W=74: [3 51 65 79 83 86 89 119 124 127 128 135 136 144 148 155 160 181 189 196 203 218 219 220 230 231 236 243 247 250 258 265 270 282 302 307 321 326 346 357 365 369 376 408 412 424 436 464 467 468 484 487 497 503 506 508 511 512 517 538 541 558 569 573 576 582 597 601 602 609 650 666 717 756]\n# step=85 row=374 minW=74 found cw of W=70: [3 9 21 30 39 46 74 76 83 94 115 149 160 194 195 249 262 268 276 283 292 304 312 317 323 324 325 347 348 355 358 394 407 409 413 417 419 436 444 456 465 497 499 526 538 572 573 617 621 622 640 646 654 661 662 663 684 689 695 705 707 709 710 730 732 737 746 750 751 753]\n# step=205 row=136 minW=70 found cw of W=64: [3 15 17 38 70 100 105 128 154 183 190 209 215 220 224 230 250 264 266 274 282 285 286 293 294 299 315 330 334 337 341 349 383 436 437 443 471 473 483 504 506 526 553 561 563 596 598 608 631 637 643 644 648 651 663 665 671 677 683 686 692 699 704 727]\n# step=217 row=216 minW=64 found cw of W=58: [1 2 15 39 42 43 46 48 50 53 54 56 63 64 78 83 92 97 104 105 124 133 134 179 183 224 234 331 342 369 391 420 426 428 435 437 440 448 456 461 477 483 503 512 551 552 566 574 593 600 615 616 641 657 682 705 709 720]\n# step=349 row=226 minW=58 found cw of W=52: [1 12 57 60 63 92 112 113 115 119 122 168 175 180 217 224 230 286 293 305 309 320 343 350 360 390 412 431 435 454 470 491 496 503 532 537 541 548 552 560 593 622 631 638 652 663 708 726 727 733 742 749]\n# round=1000 of 10000 minW=52\n# round=2000 of 10000 minW=52\n# step=2322 row=306 minW=52 found cw of W=42: [10 17 23 30 61 116 123 147 202 214 222 234 269 277 297 307 324 332 346 352 359 395 407 418 459 497 525 545 546 595 600 615 642 656 675 682 690 717 731 732 740 747]\n# round=3000 of 10000 minW=42\n# round=4000 of 10000 minW=42\n# round=5000 of 10000 minW=42\n# round=6000 of 10000 minW=42\n# round=7000 of 10000 minW=42\n# round=8000 of 10000 minW=42\n# round=9000 of 10000 minW=42\n# round=10000 of 10000 minW=42\nRW algorithm upper bound for the distance d=42\n</t>
  </si>
  <si>
    <t># step=0 row=0 minW=757 found cw of W=116: [3 4 39 45 50 63 72 90 93 96 101 104 109 113 116 118 119 125 127 130 133 134 141 151 154 155 157 159 178 185 186 197 199 207 218 221 223 233 241 245 262 268 269 273 275 276 280 282 283 291 296 298 312 319 327 328 331 335 339 340 342 363 366 368 381 392 393 395 401 418 437 443 462 474 478 485 492 497 504 519 532 533 535 536 542 547 551 560 563 566 570 573 579 588 590 591 592 599 601 615 618 627 640 655 680 695 697 701 705 713 718 724 730 736 738 750]\n# step=0 row=40 minW=116 found cw of W=114: [4 39 45 50 63 70 72 90 96 101 104 109 113 116 118 119 125 127 130 133 134 141 151 154 155 157 159 178 185 186 197 199 207 218 221 223 233 241 245 262 268 269 273 275 276 280 282 283 291 296 298 312 319 327 328 331 335 339 340 342 363 366 368 392 393 395 401 418 436 437 462 474 478 485 492 497 504 519 532 533 535 536 542 547 551 560 563 566 570 573 579 588 590 591 592 599 601 615 618 627 640 655 680 695 697 701 705 713 718 724 730 736 738 750]\n# step=0 row=49 minW=114 found cw of W=104: [9 16 23 30 34 37 42 50 77 86 89 90 92 93 94 98 100 118 124 126 132 134 144 151 154 155 156 157 160 161 164 171 181 196 197 205 221 247 262 268 276 282 288 326 331 352 353 357 358 365 381 388 392 393 397 406 407 413 415 437 438 441 443 452 462 468 475 476 477 482 490 492 497 502 503 508 524 528 529 531 535 539 540 548 549 579 590 592 599 611 640 641 645 661 682 694 695 702 703 715 716 731 736 744]\n# step=0 row=85 minW=104 found cw of W=74: [15 16 37 42 71 80 92 100 109 135 151 154 155 156 157 161 171 177 185 191 196 197 205 221 233 252 261 268 275 276 283 288 291 296 331 332 351 365 387 407 415 437 438 456 458 475 478 493 497 507 520 524 525 528 529 534 535 539 540 548 555 563 565 579 590 592 613 615 618 641 694 715 724 736]\n# step=4 row=105 minW=74 found cw of W=58: [6 10 13 17 43 50 132 148 153 159 168 173 179 181 194 202 214 223 230 234 264 277 280 283 308 319 328 329 335 339 342 373 374 386 421 470 472 510 511 526 531 539 546 551 557 562 565 586 627 641 649 658 661 690 705 706 717 731]\n# step=105 row=281 minW=58 found cw of W=56: [7 9 50 64 78 99 125 133 140 144 180 209 223 234 244 251 258 284 297 306 307 344 352 359 406 407 447 449 455 472 477 483 498 503 504 526 537 539 545 552 553 559 567 573 586 587 594 595 626 627 631 657 673 691 716 728]\n# step=191 row=90 minW=56 found cw of W=50: [8 104 163 168 172 209 218 225 227 233 262 268 271 273 275 284 287 311 312 325 328 332 335 339 365 392 407 421 470 497 511 526 541 550 593 599 611 612 616 646 653 655 661 662 703 708 709 715 736 744]\n# step=191 row=311 minW=50 found cw of W=48: [8 104 163 168 209 218 221 225 227 233 268 271 273 275 284 287 311 312 325 328 332 335 339 365 392 407 421 470 497 511 526 541 593 599 605 611 616 646 653 655 661 662 703 708 709 715 736 744]\n# round=1000 of 10000 minW=48\n# round=2000 of 10000 minW=48\n# round=3000 of 10000 minW=48\n# round=4000 of 10000 minW=48\n# round=5000 of 10000 minW=48\n# round=6000 of 10000 minW=48\n# round=7000 of 10000 minW=48\n# step=7364 row=381 minW=48 found cw of W=44: [23 27 30 31 34 72 141 210 231 239 240 245 294 295 302 308 342 346 350 360 397 452 453 494 520 542 563 569 574 584 588 610 617 630 633 637 643 667 674 684 692 707 738 748]\n# round=8000 of 10000 minW=44\n# step=8430 row=322 minW=44 found cw of W=42: [3 9 40 43 47 51 54 58 103 147 154 158 161 205 213 236 260 267 268 312 315 323 326 332 370 374 377 393 394 432 442 449 522 571 612 614 620 635 676 681 689 730]\n# round=9000 of 10000 minW=42\n# round=10000 of 10000 minW=42\nRW algorithm upper bound for the distance d=42\n</t>
  </si>
  <si>
    <t># step=0 row=0 minW=757 found cw of W=172: [2 3 4 9 11 13 19 22 27 33 35 48 51 56 58 65 70 71 73 75 77 79 83 90 95 98 100 102 104 113 116 119 124 128 130 132 135 136 138 142 145 148 151 153 155 159 171 172 176 182 183 202 204 205 207 209 210 214 217 220 221 224 226 227 229 231 236 241 244 247 268 277 283 300 301 302 307 309 314 320 321 323 325 327 333 355 363 366 367 369 370 371 375 388 394 399 400 406 410 411 412 415 421 424 431 432 433 434 436 443 448 452 460 462 473 476 487 490 493 494 504 505 509 515 517 520 521 522 525 526 528 529 533 541 543 556 565 577 586 587 588 591 592 594 602 608 618 625 632 633 638 641 645 649 650 654 657 659 662 666 679 682 685 694 700 706 710 724 734 739 741 748]\n# step=0 row=1 minW=172 found cw of W=170: [1 3 4 6 8 9 11 19 27 33 35 40 48 51 58 65 69 70 71 73 74 75 77 80 83 95 102 109 111 113 116 117 121 124 130 131 136 138 145 147 148 151 155 163 172 176 177 182 200 202 205 209 210 217 220 225 226 227 231 233 240 241 244 268 277 280 283 286 293 295 300 301 302 311 314 321 322 323 325 327 328 335 336 340 345 352 360 362 367 371 373 380 390 391 392 394 399 400 410 411 424 431 433 434 436 441 443 457 458 461 468 482 491 493 494 495 499 504 505 509 514 515 520 521 525 528 529 541 547 555 556 578 588 589 591 592 594 604 608 612 632 633 635 641 645 649 650 653 659 665 668 671 674 677 682 689 692 698 703 706 710 718 719 724 725 728 730 734 739 741]\n# step=0 row=3 minW=170 found cw of W=122: [1 3 4 8 11 12 19 35 51 58 59 63 65 67 74 75 77 80 104 111 117 119 128 135 142 145 147 159 163 165 173 176 177 183 194 199 200 204 211 217 220 225 226 231 238 247 249 263 277 280 286 287 291 293 300 302 307 314 321 323 327 328 335 360 367 369 394 406 412 424 433 441 443 448 457 458 459 461 468 482 487 490 491 495 499 502 503 515 525 526 533 538 543 547 549 550 555 592 606 615 625 628 632 633 645 650 657 659 660 666 671 674 677 682 692 694 700 701 710 718 719 741]\n# step=0 row=41 minW=122 found cw of W=110: [1 3 8 22 48 51 58 77 88 95 98 102 111 116 117 119 123 135 142 147 151 163 167 173 184 191 199 200 207 214 217 220 221 222 224 229 233 241 247 263 277 280 283 286 289 291 293 295 300 302 307 314 321 323 327 331 335 336 338 367 391 394 399 421 431 434 441 448 462 476 490 491 494 495 498 513 517 520 528 529 543 547 549 550 558 564 568 581 587 588 591 592 602 606 611 618 625 632 650 653 666 673 677 682 709 710 714 719 728 729]\n# step=1 row=3 minW=110 found cw of W=106: [2 9 11 13 15 18 27 28 33 37 38 41 43 48 54 58 63 75 79 88 104 112 118 134 173 178 180 187 192 196 202 239 252 257 264 271 273 288 294 314 321 331 333 334 335 363 365 371 375 378 381 387 388 392 395 401 406 411 416 418 420 425 440 449 457 467 489 490 496 501 503 516 519 521 526 530 537 539 547 550 567 568 588 591 596 599 600 602 609 614 618 625 630 657 663 678 689 703 708 709 710 715 720 734 741 749]\n# step=1 row=172 minW=106 found cw of W=104: [1 14 41 59 66 94 99 100 101 102 104 105 107 110 118 140 155 157 160 173 178 180 186 192 218 233 241 248 252 253 266 268 271 273 280 288 290 314 321 323 325 330 333 334 341 350 357 365 375 382 387 388 391 392 395 430 434 440 447 453 474 480 483 489 492 501 518 526 530 539 541 562 567 577 579 590 591 596 600 602 606 614 620 625 630 639 640 651 652 657 663 668 670 674 679 680 689 693 696 708 715 718 737 741]\n# step=4 row=36 minW=104 found cw of W=100: [4 19 34 36 37 52 64 73 78 80 81 84 87 92 109 128 131 137 143 146 147 158 159 171 187 189 192 193 212 227 229 236 238 242 248 249 268 272 279 288 292 303 322 332 333 338 352 368 371 393 395 397 416 428 429 437 448 452 462 465 474 478 515 517 523 524 532 536 537 538 552 555 559 561 564 566 567 576 579 585 592 601 611 614 627 629 641 642 654 656 662 681 682 700 704 716 717 736 752 755]\n# step=4 row=54 minW=100 found cw of W=98: [4 15 19 34 36 37 52 73 78 80 81 84 87 92 105 109 128 131 137 143 146 147 158 159 171 187 189 192 193 212 227 229 236 238 242 248 249 268 272 279 288 292 303 322 332 333 338 352 368 371 395 397 416 428 429 452 462 465 474 478 515 517 523 524 532 536 537 538 552 555 559 561 564 566 567 576 579 585 592 601 611 614 627 629 641 642 654 656 662 681 682 700 704 716 717 736 752 755]\n# step=4 row=247 minW=98 found cw of W=96: [4 15 19 34 36 37 38 52 73 78 80 81 84 87 92 109 131 137 143 146 147 158 159 171 187 189 192 193 212 227 229 236 238 242 248 249 268 272 279 288 292 303 322 332 333 338 352 368 371 395 397 428 429 452 462 465 471 474 515 517 523 524 532 536 537 538 552 555 559 561 564 566 567 576 579 585 592 601 611 614 627 629 641 642 654 656 662 681 682 700 704 716 717 736 752 755]\n# step=6 row=59 minW=96 found cw of W=92: [22 25 26 32 33 51 84 88 99 100 106 109 112 113 116 117 119 120 121 123 129 140 141 154 158 169 183 211 214 216 218 224 234 238 258 259 260 269 283 314 348 356 363 402 404 428 429 443 454 458 473 487 490 491 495 497 498 499 501 506 510 517 528 536 541 543 558 559 561 566 569 574 581 588 592 600 608 609 610 612 615 628 641 644 649 677 718 731 739 741 747 754]\n# step=13 row=142 minW=92 found cw of W=76: [19 23 25 49 70 84 86 90 92 93 100 104 105 114 120 147 148 154 174 188 194 199 239 246 250 262 290 313 317 323 324 345 367 378 397 403 407 409 413 415 429 448 450 459 463 470 482 483 487 493 498 506 517 526 527 531 532 549 552 560 583 593 598 601 622 624 640 665 671 688 689 701 712 738 753 756]\n# step=46 row=65 minW=76 found cw of W=74: [16 30 38 45 93 105 120 126 141 148 149 155 160 161 180 189 196 203 217 228 258 273 277 287 327 328 331 333 335 342 361 367 373 383 393 397 422 438 442 449 450 451 452 463 471 473 485 491 499 504 518 528 532 534 538 553 561 575 587 593 606 608 636 642 661 677 683 685 696 705 711 717 739 752]\n# step=64 row=209 minW=74 found cw of W=62: [16 25 39 40 41 45 46 94 95 100 101 108 122 136 149 162 200 211 212 221 235 242 245 297 320 343 348 353 368 369 375 390 405 410 418 433 459 465 474 479 481 495 500 533 535 564 571 576 577 578 585 599 640 678 682 698 721 726 727 737 742 746]\n# step=183 row=10 minW=62 found cw of W=48: [18 21 63 75 76 118 125 127 131 132 138 142 169 176 184 187 194 211 224 239 251 260 281 355 392 415 440 453 461 466 489 508 530 543 554 562 567 589 603 610 624 664 672 684 703 713 721 754]\n# step=890 row=53 minW=48 found cw of W=44: [12 24 35 45 49 56 67 76 93 100 104 107 117 122 131 138 172 179 186 276 312 317 323 380 390 421 439 447 454 480 488 495 511 521 529 544 585 605 626 690 701 709 752 756]\n# round=1000 of 10000 minW=44\n# step=1427 row=1 minW=44 found cw of W=42: [6 18 20 26 55 81 110 136 143 178 181 191 201 208 233 235 243 246 257 305 329 399 404 419 446 460 486 489 494 535 536 559 565 576 585 586 600 648 679 707 727 728]\n# step=1427 row=26 minW=42 found cw of W=40: [20 26 41 61 81 96 136 143 151 178 181 191 201 208 233 235 243 246 257 305 391 399 404 419 460 486 489 501 535 536 559 565 576 585 586 600 648 679 727 728]\n# round=2000 of 10000 minW=40\n# round=3000 of 10000 minW=40\n# round=4000 of 10000 minW=40\n# round=5000 of 10000 minW=40\n# round=6000 of 10000 minW=40\n# round=7000 of 10000 minW=40\n# round=8000 of 10000 minW=40\n# round=9000 of 10000 minW=40\n# round=10000 of 10000 minW=40\nRW algorithm upper bound for the distance d=40\n</t>
  </si>
  <si>
    <t># step=0 row=0 minW=757 found cw of W=168: [1 2 3 7 8 14 15 18 21 26 27 30 39 43 46 47 48 50 57 58 59 62 64 67 74 78 82 88 91 102 114 118 121 126 137 144 148 152 153 166 173 174 178 185 194 198 202 207 214 216 218 219 223 224 230 241 248 254 262 263 270 272 273 274 275 277 280 284 286 288 293 302 304 311 317 322 326 338 347 357 370 371 376 380 391 392 394 404 405 410 412 414 415 417 419 421 427 441 445 447 451 453 454 456 470 489 491 498 504 509 510 514 517 520 526 530 531 546 548 552 553 559 560 569 570 572 586 604 608 610 611 613 625 631 632 641 643 648 649 652 655 656 659 666 670 671 676 682 687 689 690 696 697 699 701 702 707 708 712 714 715 720 721 722 724 739 742 755]\n# step=0 row=1 minW=168 found cw of W=142: [4 7 14 15 20 21 31 36 37 42 43 50 59 76 80 82 93 115 118 121 126 133 137 152 153 164 177 184 191 194 198 201 207 216 224 225 230 233 240 241 244 248 254 256 257 262 263 269 270 274 275 277 280 287 292 299 302 317 325 326 331 332 338 342 347 354 357 361 380 381 391 394 404 412 417 421 423 426 427 428 432 443 445 447 451 453 458 464 470 482 493 502 504 509 513 517 526 530 535 548 553 558 559 560 569 570 573 583 584 586 604 608 610 611 617 625 631 633 643 649 650 664 666 674 676 687 689 690 691 697 701 703 704 708 714 715 720 724 725 732 733 746]\n# step=0 row=2 minW=142 found cw of W=132: [3 5 8 18 30 33 39 42 59 67 74 75 86 87 88 93 97 102 108 121 126 133 137 141 144 146 152 153 163 167 174 178 194 198 201 202 207 222 225 241 244 245 248 252 254 256 257 262 269 275 286 300 302 304 317 338 341 347 357 361 371 376 377 381 389 392 414 419 421 423 431 433 443 453 455 458 464 470 489 510 514 526 530 531 535 552 559 560 570 572 573 574 576 584 592 601 604 611 613 630 632 633 649 655 658 663 665 666 670 674 677 679 684 687 689 690 696 697 699 700 701 703 704 707 712 714 720 724 725 728 746 753]\n# step=0 row=3 minW=132 found cw of W=118: [1 7 10 14 21 27 31 33 37 42 47 48 58 59 62 75 78 82 86 87 91 97 102 114 115 121 141 148 153 164 167 177 178 185 194 198 214 219 223 233 240 245 252 254 257 269 272 274 275 277 280 288 300 362 370 371 373 377 391 392 394 399 404 405 412 417 421 428 445 453 455 456 458 470 489 491 493 498 505 509 526 530 546 558 560 574 583 586 592 601 604 610 613 625 630 641 648 650 656 658 663 664 676 679 682 687 700 702 708 714 722 725 728 733 738 746 753 755]\n# step=0 row=7 minW=118 found cw of W=106: [17 20 36 37 39 42 43 46 48 50 55 76 78 80 82 102 133 137 146 151 152 153 174 178 184 191 198 213 214 218 222 223 225 227 233 241 244 248 257 269 272 273 284 286 292 293 299 341 347 348 354 371 373 376 377 404 419 426 427 428 431 432 439 445 454 456 482 495 505 513 517 520 530 546 552 556 559 570 573 576 584 593 610 617 625 633 650 656 659 664 665 671 674 683 690 691 697 702 707 712 714 715 721 733 738 739]\n# step=1 row=11 minW=106 found cw of W=98: [12 17 21 28 32 37 40 90 92 94 128 129 134 147 169 191 202 219 220 224 231 235 238 242 251 270 277 281 282 290 291 293 300 305 307 308 311 327 334 337 344 345 346 348 352 359 362 367 378 381 382 383 388 390 448 456 471 477 478 497 506 507 526 532 534 547 562 573 581 583 593 598 620 632 635 637 655 657 663 665 671 682 684 688 689 692 699 702 703 705 706 717 722 725 733 737 744 753]\n# step=3 row=45 minW=98 found cw of W=96: [7 13 17 22 27 34 40 41 46 53 61 69 84 89 95 96 102 118 130 131 133 142 143 147 151 158 165 173 190 193 205 218 221 223 228 232 239 254 258 276 287 309 320 322 340 344 350 356 357 363 364 383 401 405 406 407 411 432 435 468 473 475 479 494 495 497 506 508 509 520 521 540 544 546 566 568 583 585 589 601 605 623 626 645 651 663 673 695 700 712 713 720 728 734 742 755]\n# step=4 row=129 minW=96 found cw of W=68: [7 14 20 27 31 58 62 73 76 84 89 114 125 131 135 144 150 159 173 186 187 190 197 199 208 215 234 245 251 263 302 306 312 324 330 343 346 350 357 382 402 405 423 449 462 464 491 502 503 516 517 528 537 539 559 571 583 588 590 595 607 612 618 662 690 696 697 711]\n# step=111 row=293 minW=68 found cw of W=64: [6 41 52 53 61 67 72 75 88 95 101 111 114 123 143 146 166 167 169 176 180 208 217 224 228 239 279 286 306 329 369 379 383 389 404 419 420 433 438 445 466 475 481 485 492 508 509 530 541 551 558 571 582 602 608 617 651 679 692 698 708 712 718 721]\n# step=186 row=95 minW=64 found cw of W=62: [43 54 105 119 124 134 141 183 185 189 190 205 209 214 228 230 238 240 247 254 256 258 291 311 320 332 346 357 366 367 412 422 429 461 469 471 478 497 510 536 541 551 552 557 583 585 592 601 622 626 629 630 638 645 652 661 663 679 682 696 716 720]\n# step=297 row=221 minW=62 found cw of W=60: [4 31 39 44 45 50 59 66 73 100 107 134 148 149 155 203 216 219 239 265 272 278 294 299 339 354 361 362 368 394 416 422 439 443 464 471 477 479 527 528 533 538 554 561 569 574 587 589 597 603 631 644 650 651 656 711 712 727 739 741]\n# step=330 row=194 minW=60 found cw of W=58: [11 19 38 39 40 41 48 51 53 60 74 81 94 98 100 131 138 139 149 153 155 162 194 210 211 215 254 259 261 265 266 270 296 358 372 374 389 402 417 419 426 427 431 433 444 451 470 471 474 492 518 537 567 584 608 639 685 701]\n# step=984 row=142 minW=58 found cw of W=50: [54 77 110 116 143 165 171 172 178 192 227 228 256 262 272 276 282 287 290 310 327 334 338 342 372 379 396 427 445 446 486 488 495 510 521 536 544 555 559 565 578 598 605 606 612 625 640 674 704 743]\n# round=1000 of 10000 minW=50\n# step=1442 row=335 minW=50 found cw of W=48: [4 20 36 61 66 100 110 126 163 170 218 226 239 294 296 327 345 351 352 356 358 394 402 411 417 437 443 458 478 494 499 540 550 568 584 599 604 610 630 633 640 651 653 694 705 718 727 741]\n# round=2000 of 10000 minW=48\n# round=3000 of 10000 minW=48\n# round=4000 of 10000 minW=48\n# step=4435 row=170 minW=48 found cw of W=46: [18 19 38 42 67 93 97 100 104 121 170 190 196 240 247 251 266 286 291 295 306 310 341 346 353 357 365 372 410 440 445 452 494 499 519 535 540 542 554 574 610 632 659 673 700 721]\n# round=5000 of 10000 minW=46\n# round=6000 of 10000 minW=46\n# step=6688 row=287 minW=46 found cw of W=40: [13 28 68 77 83 90 123 138 144 147 167 168 178 179 180 222 229 230 233 274 285 336 380 386 406 447 468 470 476 490 510 512 522 546 561 587 628 666 715 756]\n# round=7000 of 10000 minW=40\n# round=8000 of 10000 minW=40\n# round=9000 of 10000 minW=40\n# round=10000 of 10000 minW=40\nRW algorithm upper bound for the distance d=40\n</t>
  </si>
  <si>
    <t># step=0 row=0 minW=757 found cw of W=166: [2 4 9 17 20 23 28 30 32 39 40 44 47 57 59 72 77 81 89 90 112 117 123 129 132 133 136 139 148 150 151 152 154 158 160 162 164 168 171 176 178 181 184 186 188 194 195 202 216 219 233 235 240 242 244 245 250 254 263 269 273 274 287 295 306 308 318 325 329 332 333 335 339 343 346 350 356 357 364 366 371 377 378 382 383 390 398 400 403 404 411 417 420 428 431 432 439 444 450 456 460 479 481 487 490 492 495 497 509 510 512 518 526 532 534 536 538 541 542 544 546 549 552 564 565 567 569 571 572 580 585 587 588 590 592 595 599 602 608 616 619 621 623 627 635 637 638 654 661 665 667 675 676 689 691 692 694 698 713 720 727 742 743 747 748 749]\n# step=0 row=2 minW=166 found cw of W=142: [5 7 12 17 23 31 37 40 47 62 77 81 83 97 99 108 112 116 124 127 132 136 139 150 153 154 158 161 166 175 176 178 181 186 187 189 194 198 219 220 230 231 235 240 258 273 277 286 287 288 292 295 308 316 325 329 333 334 335 343 346 350 354 356 357 370 377 380 383 384 385 397 404 408 411 415 419 420 447 456 457 460 463 474 482 487 490 495 496 498 501 506 510 512 516 521 528 536 549 552 560 565 569 570 573 587 588 590 593 596 598 599 601 602 616 618 621 627 629 637 663 667 668 675 676 677 686 688 689 692 694 698 707 709 720 721 726 727 735 743 747 749]\n# step=0 row=4 minW=142 found cw of W=136: [1 7 10 31 34 38 39 44 49 53 55 62 72 73 77 81 89 97 99 100 104 112 117 123 124 127 129 131 133 136 139 151 153 154 158 160 162 166 172 175 178 181 186 188 194 199 213 216 219 230 233 254 261 268 269 273 288 292 308 312 316 317 335 343 350 354 366 367 371 372 374 378 385 390 404 417 419 426 431 432 439 441 443 456 460 463 464 472 479 481 487 492 495 501 506 509 510 512 516 526 528 536 538 541 552 560 565 567 569 580 586 593 596 601 602 605 608 612 616 619 638 654 661 668 676 692 694 698 709 721 735 739 743 747 748 751]\n# step=0 row=8 minW=136 found cw of W=132: [8 15 17 20 23 32 37 38 40 49 53 55 57 59 72 81 89 90 97 99 100 108 117 123 132 133 136 148 150 152 155 158 160 161 175 176 178 181 186 188 189 198 199 216 219 220 230 231 234 235 240 254 271 277 286 295 316 332 333 335 339 346 349 356 364 370 371 380 383 384 386 390 398 400 404 408 432 441 447 450 456 457 463 474 476 481 482 487 490 492 496 497 498 501 506 510 521 525 526 528 532 536 538 541 565 566 567 569 570 571 586 588 590 596 608 612 618 629 635 637 638 667 668 675 676 698 704 713 742 747 748 756]\n# step=0 row=24 minW=132 found cw of W=124: [7 20 28 29 31 34 37 40 47 48 52 55 56 62 72 73 90 97 104 107 117 123 124 127 132 133 140 153 164 171 175 184 187 188 195 198 199 202 211 218 235 246 255 261 266 268 269 273 284 287 288 292 308 312 316 320 325 332 339 349 354 357 364 366 367 374 383 384 385 400 404 411 415 420 428 439 441 456 460 462 463 464 481 487 489 495 496 506 509 526 540 542 544 549 552 560 567 571 572 579 580 585 598 599 601 608 609 620 630 635 639 661 686 689 695 709 713 727 729 735 741 748 749 751]\n# step=0 row=126 minW=124 found cw of W=96: [1 17 29 31 38 47 49 53 55 56 72 83 89 100 108 112 117 131 151 153 155 162 176 178 181 187 194 202 213 220 231 251 277 284 285 286 295 299 306 317 334 340 349 354 356 366 370 371 372 384 397 400 404 415 420 426 431 432 438 439 441 460 462 474 481 487 489 490 496 510 521 528 565 570 572 579 588 593 616 618 619 620 629 637 663 667 668 677 686 695 707 709 726 739 748 749]\n# step=6 row=77 minW=96 found cw of W=94: [2 6 13 22 29 30 31 46 54 63 70 77 84 86 89 94 101 103 104 108 110 111 115 118 132 135 144 148 159 165 166 170 172 174 179 187 208 225 226 242 267 280 287 297 303 308 313 318 347 367 368 370 391 393 398 400 402 403 408 416 421 423 429 440 441 462 469 470 476 478 482 498 508 511 537 547 555 557 558 592 599 610 637 647 681 691 709 713 727 736 741 745 751 753]\n# step=6 row=101 minW=94 found cw of W=88: [2 22 49 50 57 58 62 70 77 89 93 99 100 104 117 118 124 132 140 144 147 148 149 159 163 166 174 178 179 181 187 202 207 214 215 225 236 239 250 263 287 297 303 326 400 416 421 427 428 436 440 442 448 462 470 472 476 478 489 492 496 498 506 511 530 537 538 540 544 545 546 547 550 551 557 558 568 572 585 593 595 630 647 669 676 681 704 709]\n# step=29 row=369 minW=88 found cw of W=78: [6 8 11 58 89 98 118 128 132 133 144 159 167 174 181 189 222 223 230 249 270 306 307 308 320 326 333 338 340 349 350 356 368 381 386 387 400 412 416 428 435 441 461 471 483 491 496 498 518 525 532 537 547 552 565 568 572 581 588 615 617 629 642 652 656 658 686 691 692 698 704 711 716 718 721 727 732 734]\n# step=54 row=93 minW=78 found cw of W=68: [3 9 16 28 37 58 60 64 65 67 69 169 175 215 219 230 240 270 279 281 285 286 288 289 306 317 329 332 336 337 343 344 350 361 372 380 397 399 407 412 477 493 504 526 542 547 567 583 594 596 602 618 643 651 663 664 666 680 685 686 692 695 713 733 744 752 754 756]\n# step=116 row=125 minW=68 found cw of W=46: [7 12 67 122 146 153 177 178 187 192 202 221 222 232 233 235 236 243 247 284 287 288 328 332 339 385 391 432 447 475 489 496 522 531 537 544 545 570 571 593 611 613 619 634 675 720]\n# step=116 row=299 minW=46 found cw of W=42: [7 12 67 122 146 177 178 187 192 221 222 232 233 235 236 247 284 287 288 328 332 339 385 391 432 447 475 489 496 522 537 544 545 570 571 586 611 613 619 634 675 720]\n# round=1000 of 10000 minW=42\n# round=2000 of 10000 minW=42\n# round=3000 of 10000 minW=42\n# round=4000 of 10000 minW=42\n# round=5000 of 10000 minW=42\n# round=6000 of 10000 minW=42\n# round=7000 of 10000 minW=42\n# round=8000 of 10000 minW=42\n# step=8910 row=183 minW=42 found cw of W=34: [37 41 92 95 99 147 150 157 161 202 209 216 309 364 371 425 440 455 466 473 481 489 522 540 545 563 589 653 679 687 720 728 743 754]\n# round=9000 of 10000 minW=34\n# round=10000 of 10000 minW=34\nRW algorithm upper bound for the distance d=34\n</t>
  </si>
  <si>
    <t># step=0 row=0 minW=757 found cw of W=150: [1 3 5 10 15 16 24 36 37 46 53 56 57 58 64 69 73 75 85 86 88 93 94 97 100 107 126 128 132 135 139 143 152 157 161 163 169 172 175 177 185 188 195 205 212 215 219 225 226 238 240 241 248 251 259 262 264 267 269 273 282 283 287 293 304 311 313 335 339 347 351 372 380 381 383 404 408 414 429 430 431 435 441 442 445 447 453 458 466 472 473 477 480 485 489 491 504 517 518 521 525 527 531 532 540 543 547 550 555 558 562 573 576 580 585 589 593 594 602 605 609 611 612 615 616 619 626 630 633 637 643 654 663 668 674 678 680 692 697 701 702 703 704 712 715 717 725 735 737 741]\n# step=0 row=1 minW=150 found cw of W=144: [2 4 5 11 16 18 24 25 32 44 49 53 57 64 74 86 93 94 97 99 100 107 117 126 131 139 148 163 170 172 176 177 185 186 195 207 215 219 224 225 226 238 240 248 249 251 259 260 262 264 265 267 269 274 278 279 283 285 287 303 304 311 313 320 327 328 336 339 348 351 358 378 380 391 396 405 408 417 424 429 431 446 468 470 472 473 480 481 482 485 490 495 498 508 509 521 527 531 532 536 540 544 547 554 555 558 560 561 562 573 576 585 589 593 594 597 602 605 607 609 612 616 619 621 626 630 637 644 650 652 654 668 678 680 702 703 712 725 734 735 737 740 746 756]\n# step=0 row=3 minW=144 found cw of W=128: [2 5 7 14 16 25 32 35 36 37 44 46 52 53 56 57 58 62 64 69 73 75 85 88 94 99 101 107 117 122 126 127 128 132 135 143 148 157 161 170 176 177 195 205 207 212 215 224 248 253 259 264 269 273 274 278 280 286 303 304 313 329 330 336 341 347 348 358 384 385 396 405 408 415 417 431 433 446 447 466 468 470 472 477 480 482 486 489 490 508 517 518 521 527 531 532 536 539 540 541 544 550 554 558 561 562 566 567 573 589 593 602 609 615 616 621 630 644 651 663 697 702 705 712 734 737 741 751]\n# step=0 row=6 minW=128 found cw of W=122: [2 5 12 14 16 31 37 49 58 69 74 85 86 93 96 97 99 100 101 107 122 127 148 152 161 163 169 172 177 185 205 207 216 219 220 226 240 251 255 259 260 261 265 267 269 272 273 274 280 283 286 311 313 320 328 329 330 336 339 378 384 385 396 404 415 424 429 430 433 435 442 445 449 453 468 470 473 485 486 491 508 517 518 525 536 539 540 541 543 544 547 550 566 576 585 589 597 602 603 604 605 607 609 611 612 626 630 639 643 650 652 654 680 684 692 697 703 712 740 741 751 756]\n# step=0 row=7 minW=122 found cw of W=108: [2 10 13 14 18 24 35 37 43 46 49 58 62 64 86 93 94 100 101 119 122 130 139 143 152 157 163 187 188 212 219 223 225 226 238 248 249 264 265 269 273 274 279 280 286 303 313 320 328 330 339 341 347 358 377 378 380 383 386 414 429 433 435 446 468 472 473 477 482 483 486 491 498 521 525 527 530 531 532 536 539 544 547 552 555 561 562 566 567 573 580 594 597 617 637 652 665 666 678 682 697 702 712 715 717 720 731 751]\n# step=0 row=43 minW=108 found cw of W=106: [2 10 14 18 24 35 37 43 46 49 58 64 86 93 94 100 101 103 119 122 130 139 143 152 157 163 187 188 212 219 223 225 226 238 248 249 264 265 269 273 274 279 280 286 303 313 320 328 330 339 341 347 358 377 378 380 383 386 391 414 429 433 468 472 473 477 482 483 486 491 498 521 525 527 530 531 532 536 539 544 547 552 555 561 562 566 567 573 580 594 597 617 637 652 665 666 678 682 697 702 712 715 717 720 731 751]\n# step=0 row=95 minW=106 found cw of W=104: [2 10 14 18 24 35 37 43 46 49 58 64 86 93 94 100 101 119 122 130 139 143 157 163 187 188 193 212 219 223 225 226 238 248 249 264 265 269 273 274 279 280 286 303 313 320 328 330 339 341 347 358 377 378 380 383 386 391 414 429 433 468 472 473 477 481 482 483 486 491 498 521 527 530 531 532 539 544 547 552 555 561 562 566 567 573 580 594 597 617 637 652 665 666 678 682 697 702 712 715 717 720 731 751]\n# step=2 row=214 minW=104 found cw of W=102: [1 3 6 11 15 17 23 38 41 44 46 48 49 65 76 87 97 98 108 109 120 122 136 139 143 145 183 191 207 235 243 245 260 267 279 295 298 300 303 307 324 334 336 341 344 346 353 355 361 362 364 368 374 380 381 384 385 387 388 395 407 409 410 417 418 422 427 430 441 448 454 458 459 463 465 482 490 499 516 531 537 557 578 586 589 616 624 627 635 640 657 667 675 679 681 685 693 717 734 735 736 738]\n# step=2 row=240 minW=102 found cw of W=100: [1 3 6 11 15 17 23 38 41 46 48 65 76 87 97 108 109 120 122 134 136 143 145 160 191 207 235 243 245 260 267 279 295 298 300 303 307 324 334 336 341 344 346 353 355 361 362 364 368 374 380 381 384 385 387 388 395 407 409 410 417 418 430 441 448 454 458 459 463 465 477 484 490 499 516 526 531 533 537 557 578 586 589 616 624 627 635 640 657 667 675 679 681 685 693 717 734 735 736 738]\n# step=3 row=88 minW=100 found cw of W=82: [2 17 22 35 49 50 54 57 61 68 72 112 113 119 120 139 144 163 164 174 182 186 195 219 223 225 229 232 235 241 244 248 274 290 308 322 329 336 340 342 351 361 366 377 379 382 397 401 408 416 427 441 455 462 471 482 506 511 538 546 559 564 566 587 595 596 604 610 617 626 649 651 653 658 670 674 685 694 729 730 737 752]\n# step=3 row=346 minW=82 found cw of W=72: [1 4 7 8 11 22 49 50 56 59 60 64 71 92 101 105 147 149 156 163 164 165 174 200 221 225 226 229 262 295 322 342 366 382 389 401 406 421 432 433 440 442 448 462 471 481 482 492 499 522 531 538 542 543 548 561 572 589 598 599 605 609 610 612 632 673 679 688 689 720 735 756]\n# step=120 row=98 minW=72 found cw of W=70: [11 16 17 18 19 31 40 46 71 72 75 83 88 110 116 126 131 137 143 163 170 172 173 177 181 194 218 231 238 241 243 273 282 305 321 339 354 389 390 391 396 397 398 403 424 432 445 459 461 465 466 494 505 509 515 516 522 535 570 609 614 625 627 653 664 671 678 706 720 732]\n# step=197 row=162 minW=70 found cw of W=68: [29 34 59 61 64 68 100 106 135 140 155 163 182 184 189 218 225 229 258 285 306 319 327 349 350 354 356 394 400 402 404 407 437 438 442 450 462 464 478 487 491 511 518 532 539 541 552 558 573 575 615 617 631 636 642 648 662 682 685 711 718 726 727 731 734 738 741 752]\n# step=240 row=291 minW=68 found cw of W=56: [9 57 59 63 64 70 80 85 90 118 129 139 147 173 186 188 225 232 235 248 303 326 331 338 347 358 381 386 387 388 409 428 441 463 468 471 476 478 504 505 513 520 527 531 538 564 568 606 619 655 670 675 696 716 724 737]\n# step=392 row=5 minW=56 found cw of W=48: [10 14 28 54 58 65 72 75 87 88 96 111 122 130 137 157 171 200 282 326 337 357 370 386 401 419 425 453 460 461 465 466 469 486 489 494 500 509 514 521 529 550 570 584 674 723 735 748]\n# step=965 row=155 minW=48 found cw of W=46: [16 44 59 71 99 109 161 169 195 209 219 225 253 261 264 266 316 323 394 409 416 417 422 437 438 443 457 471 483 484 493 507 512 527 528 538 549 577 598 603 609 618 659 697 745 746]\n# round=1000 of 10000 minW=46\n# round=2000 of 10000 minW=46\n# round=3000 of 10000 minW=46\n# round=4000 of 10000 minW=46\n# round=5000 of 10000 minW=46\n# round=6000 of 10000 minW=46\n# round=7000 of 10000 minW=46\n# round=8000 of 10000 minW=46\n# round=9000 of 10000 minW=46\n# round=10000 of 10000 minW=46\nRW algorithm upper bound for the distance d=46\n</t>
  </si>
  <si>
    <t># step=0 row=0 minW=757 found cw of W=146: [2 4 5 6 8 11 18 19 27 28 29 38 61 62 64 68 73 74 75 76 80 82 83 87 89 93 100 101 104 118 126 130 136 141 145 152 157 159 168 173 174 182 189 191 192 205 212 214 235 236 237 239 242 252 256 263 273 275 277 280 289 300 303 308 311 314 319 324 330 337 340 341 347 351 358 366 380 388 389 393 396 401 404 405 416 421 427 429 435 441 451 458 462 476 482 486 491 496 497 505 511 517 518 530 534 540 545 574 578 586 587 589 592 596 606 612 617 623 625 629 645 647 651 653 658 661 663 664 669 670 681 684 685 692 694 697 706 712 715 717 730 735 736 739 747 753]\n# step=0 row=3 minW=146 found cw of W=138: [1 5 6 8 11 12 13 18 23 27 28 29 48 61 64 66 68 73 74 75 76 82 83 85 87 89 101 102 110 117 118 126 130 133 135 145 146 147 152 162 164 174 183 199 213 238 241 244 252 253 254 275 280 289 296 300 308 311 314 317 320 324 330 335 337 356 361 366 368 372 389 391 404 405 418 421 435 451 452 453 456 459 462 468 480 485 490 496 497 499 502 506 514 517 519 529 530 535 540 545 549 561 591 597 598 609 612 620 622 623 625 628 631 640 646 651 653 661 664 665 669 672 684 688 692 693 694 699 712 714 715 730 734 736 739 741 747 753]\n# step=0 row=7 minW=138 found cw of W=136: [2 3 8 10 11 17 18 23 26 28 29 33 38 48 63 64 66 74 75 76 82 83 85 93 102 112 117 118 126 133 141 146 152 157 162 164 183 192 202 204 206 209 212 214 231 236 238 242 244 252 253 254 258 263 275 294 300 303 307 308 314 320 329 330 337 340 356 359 380 388 391 393 405 416 427 435 436 439 451 452 455 456 459 460 462 468 476 480 490 497 499 502 506 514 530 533 540 549 561 574 577 579 585 586 592 596 597 598 609 622 623 625 628 632 637 645 647 651 658 663 664 665 681 684 688 691 692 693 714 715 718 725 730 735 736 741]\n# step=0 row=8 minW=136 found cw of W=122: [2 6 8 20 23 29 38 64 73 80 85 87 93 102 104 107 110 112 119 126 130 133 136 146 147 159 162 168 173 174 182 189 192 204 226 236 237 239 251 258 266 277 295 296 308 317 319 320 322 324 329 335 347 351 356 358 359 362 366 372 373 374 380 388 390 401 418 421 435 439 441 453 456 458 460 462 468 482 491 502 505 506 511 514 517 518 520 533 535 545 576 577 579 580 586 587 606 610 612 617 623 625 637 644 646 647 661 667 679 688 691 693 697 699 715 717 725 727 734 735 736 753]\n# step=0 row=27 minW=122 found cw of W=118: [2 8 18 23 29 32 38 55 64 73 80 85 93 102 104 107 112 119 126 130 133 136 146 147 159 162 168 173 174 182 189 192 204 226 236 237 251 258 266 277 294 295 296 308 317 319 320 322 324 335 347 351 355 356 358 359 362 366 372 373 374 380 388 390 401 405 418 421 435 439 441 456 458 462 468 482 491 502 505 506 511 514 517 518 520 533 535 545 576 577 579 580 586 587 606 610 612 623 625 637 644 646 647 661 667 684 688 691 693 697 699 715 717 725 728 735 736 753]\n# step=0 row=50 minW=118 found cw of W=114: [2 5 8 11 18 28 48 61 62 66 68 75 76 82 83 93 101 102 104 108 112 117 118 130 141 146 158 159 162 173 174 204 205 214 251 252 254 258 259 266 277 300 303 308 311 320 341 356 359 362 366 373 377 380 381 388 389 396 401 404 405 427 429 432 435 439 441 446 460 476 480 482 490 491 496 499 505 517 530 533 534 535 540 548 574 577 591 596 597 606 620 624 625 629 632 640 644 645 647 663 669 684 688 691 692 693 699 712 714 715 717 725 730 735]\n# step=0 row=78 minW=114 found cw of W=102: [6 27 32 61 62 68 73 75 82 89 100 102 112 119 128 135 146 163 173 183 192 199 204 205 206 214 225 236 238 239 244 252 253 258 259 266 277 295 296 300 319 324 347 351 355 356 358 359 362 373 374 380 388 404 405 418 421 480 485 497 502 529 533 534 535 540 545 546 577 578 579 586 587 589 596 606 612 617 619 622 624 631 632 644 647 658 661 663 665 672 688 691 692 697 699 709 717 725 728 735 739 753]\n# step=0 row=95 minW=102 found cw of W=98: [2 6 26 33 36 61 62 68 73 80 100 101 107 110 117 130 136 145 147 156 157 162 190 204 209 212 213 214 226 242 258 263 264 273 294 307 311 319 322 324 329 335 340 359 361 368 374 377 390 391 393 404 416 418 429 430 432 435 439 453 455 480 490 514 519 520 529 533 535 540 545 576 577 578 579 585 591 592 609 610 612 619 620 631 637 640 647 651 658 661 667 672 681 691 699 706 709 747]\n# step=3 row=206 minW=98 found cw of W=96: [5 9 13 17 18 22 34 60 64 65 71 89 103 108 109 110 119 120 123 124 126 136 166 170 171 193 194 213 226 237 238 242 249 257 268 269 270 281 292 295 298 299 300 306 312 313 323 324 325 333 336 341 349 356 357 383 398 404 424 433 435 440 445 453 455 456 462 481 486 489 501 504 505 520 530 536 544 557 585 594 595 599 603 643 648 652 662 673 676 689 690 693 727 731 734 753]\n# step=4 row=189 minW=96 found cw of W=94: [2 10 15 52 60 78 85 90 94 106 115 122 129 139 145 158 166 197 198 200 204 208 209 236 237 241 242 243 247 250 255 259 263 266 270 292 325 345 367 373 386 389 392 394 414 422 427 437 448 450 456 471 472 474 479 482 485 497 499 511 531 536 540 560 564 576 582 586 591 599 601 606 614 615 626 627 628 635 642 654 655 674 680 681 689 695 702 705 716 717 718 729 730 756]\n# step=23 row=78 minW=94 found cw of W=90: [1 10 12 16 17 26 34 40 49 51 60 70 71 73 78 82 89 116 126 131 145 163 165 170 194 200 201 208 221 230 232 235 238 241 242 243 249 257 284 287 302 305 337 342 355 357 361 381 387 390 392 393 394 399 402 410 416 423 436 460 472 477 489 494 515 518 523 539 549 550 562 571 572 584 585 586 588 590 596 619 637 648 675 681 690 706 715 717 730 733]\n# step=24 row=231 minW=90 found cw of W=88: [26 27 42 47 62 67 75 97 98 102 103 107 110 113 117 132 138 139 147 152 159 165 168 180 183 186 194 197 216 224 250 259 278 301 306 307 319 320 350 356 364 395 400 404 410 420 426 435 439 440 445 475 476 481 482 490 491 508 515 517 536 538 540 553 560 589 594 595 601 602 607 608 623 631 637 651 662 664 683 686 691 698 699 723 727 732 748 754]\n# step=30 row=57 minW=88 found cw of W=76: [18 28 33 35 40 46 67 72 90 92 93 102 104 108 147 155 176 187 218 237 242 259 266 272 273 289 297 314 315 321 328 334 335 351 367 369 370 371 374 376 383 385 389 401 408 415 422 433 440 442 445 470 475 487 498 547 560 580 587 598 609 615 636 644 647 665 667 685 696 714 722 726 730 743 749 754]\n# step=30 row=204 minW=76 found cw of W=72: [28 33 35 40 46 72 90 92 93 102 104 147 155 176 187 218 237 242 259 266 272 273 289 297 314 315 321 328 334 335 351 367 369 370 371 374 376 383 385 389 396 401 408 415 422 442 445 470 475 487 498 547 560 580 587 598 609 615 636 644 647 665 667 685 696 714 722 726 730 743 749 754]\n# step=66 row=77 minW=72 found cw of W=66: [3 4 10 17 20 24 31 59 80 135 156 163 200 211 231 239 252 255 262 266 269 286 294 313 321 326 338 349 368 375 376 387 395 402 404 409 423 428 449 451 453 472 485 494 498 513 547 568 584 588 609 630 647 653 667 678 696 699 704 708 716 719 727 737 745 748]\n# step=171 row=79 minW=66 found cw of W=64: [4 7 36 68 69 78 92 103 111 112 113 118 119 123 154 159 167 168 173 175 201 203 207 208 217 228 256 269 279 283 299 306 318 327 334 341 347 352 391 407 409 446 451 470 489 495 496 499 502 511 548 558 587 589 594 600 640 649 679 690 691 702 725 732]\n# step=237 row=13 minW=64 found cw of W=60: [16 23 25 32 53 60 62 68 71 85 90 97 116 126 128 135 140 157 159 163 173 180 217 272 279 307 341 348 356 362 369 396 400 401 405 426 434 440 445 456 458 475 489 491 500 502 506 512 513 516 546 575 624 636 665 673 705 722 734 755]\n# step=286 row=364 minW=60 found cw of W=58: [6 12 17 39 46 53 128 140 150 162 189 211 218 240 252 266 279 289 293 299 307 340 343 348 354 360 362 385 403 423 452 464 493 506 518 519 528 540 554 561 562 584 590 603 608 609 622 628 639 644 673 685 698 719 733 734 738 752]\n# step=524 row=127 minW=58 found cw of W=54: [4 59 63 86 94 106 118 127 149 150 153 173 184 204 215 228 257 266 283 284 387 392 395 402 417 418 436 458 472 477 482 499 505 519 534 558 560 568 586 590 607 609 627 639 656 662 680 690 706 711 716 739 746 752]\n# round=1000 of 10000 minW=54\n# step=1417 row=267 minW=54 found cw of W=50: [4 20 24 31 41 43 54 59 91 96 103 107 125 146 153 201 223 229 256 264 272 278 284 311 318 361 363 366 370 395 402 416 450 457 503 525 552 558 592 615 648 650 651 663 686 706 711 738 739 748]\n# round=2000 of 10000 minW=50\n# round=3000 of 10000 minW=50\n# round=4000 of 10000 minW=50\n# step=4834 row=226 minW=50 found cw of W=46: [25 26 33 37 46 77 80 87 92 99 106 129 154 209 216 260 279 305 349 362 364 371 412 417 419 461 479 502 513 517 525 532 566 581 603 607 622 642 648 652 657 683 691 700 706 747]\n# round=5000 of 10000 minW=46\n# round=6000 of 10000 minW=46\n# round=7000 of 10000 minW=46\n# step=7585 row=348 minW=46 found cw of W=44: [17 19 34 51 54 61 65 74 78 81 85 89 90 109 116 120 123 132 233 241 282 284 339 365 374 383 386 394 420 455 463 505 521 565 570 595 614 666 674 685 706 723 743 756]\n# round=8000 of 10000 minW=44\n# round=9000 of 10000 minW=44\n# round=10000 of 10000 minW=44\nRW algorithm upper bound for the distance d=44\n</t>
  </si>
  <si>
    <t># step=0 row=0 minW=757 found cw of W=140: [3 4 14 17 18 29 35 41 51 56 58 62 66 69 73 79 80 85 89 95 97 107 112 117 123 128 137 144 147 150 151 159 170 174 183 185 193 194 197 202 208 212 217 218 220 224 225 237 240 243 245 255 257 262 267 269 277 281 285 286 288 293 297 298 300 302 305 337 339 340 341 344 345 372 384 385 387 394 398 399 400 408 428 429 437 447 450 458 462 463 466 478 481 485 501 504 520 525 534 535 537 552 557 563 566 569 570 572 581 587 594 595 598 601 602 606 607 618 624 626 633 634 636 640 641 643 663 666 670 684 696 701 707 712 716 727 735 745 753 756]\n# step=0 row=8 minW=140 found cw of W=114: [5 7 19 34 53 58 62 68 69 80 81 85 89 95 102 107 109 115 120 123 132 133 134 135 142 143 144 145 150 151 162 171 178 185 186 189 190 194 196 197 201 220 236 238 240 245 252 255 258 263 267 291 293 298 302 311 318 320 344 356 360 371 385 387 399 400 403 405 424 428 438 447 458 463 466 480 485 486 489 496 510 515 523 524 528 529 534 535 537 555 563 564 570 573 584 585 598 605 624 626 636 663 665 691 700 712 716 722 733 734 735 742 744 755]\n# step=0 row=47 minW=114 found cw of W=106: [18 20 21 24 28 31 35 38 41 44 46 82 94 101 102 108 125 132 134 135 137 144 145 157 158 167 169 174 180 193 194 197 202 204 207 217 218 224 234 236 238 259 262 291 293 299 300 313 315 320 324 334 339 344 354 361 364 370 384 394 399 405 422 423 436 446 466 467 477 478 480 481 489 510 515 516 523 524 529 545 552 557 559 564 566 574 582 601 602 605 609 623 627 630 631 644 677 679 712 713 720 724 728 731 734 755]\n# step=0 row=253 minW=106 found cw of W=100: [21 28 33 34 35 41 42 56 58 62 68 69 80 84 97 104 128 132 133 134 135 139 142 145 146 151 157 167 169 172 174 183 185 186 193 201 212 231 234 238 240 258 263 267 293 300 302 311 313 320 356 364 365 371 372 373 385 387 400 405 408 457 462 466 474 475 477 481 489 496 501 506 510 512 515 529 535 559 563 566 574 585 626 630 634 636 673 679 696 700 701 716 720 728 734 735 743 744 745 746]\n# step=0 row=259 minW=100 found cw of W=96: [21 28 33 34 35 41 42 56 58 62 68 69 80 97 104 128 132 134 135 139 142 145 146 151 157 167 169 172 183 185 186 193 201 212 231 234 238 240 258 263 267 293 300 302 311 313 320 356 364 365 371 372 373 385 387 400 405 408 457 466 474 475 477 481 489 496 501 510 512 515 517 529 535 559 563 566 574 585 626 630 634 636 673 679 696 700 701 716 720 728 734 735 743 744 745 746]\n# step=0 row=327 minW=96 found cw of W=94: [20 24 31 51 56 68 79 82 84 89 123 128 132 137 139 145 146 151 157 167 174 183 185 200 207 218 220 236 238 239 240 255 274 280 291 293 299 300 302 334 339 341 343 344 354 356 364 394 398 399 400 424 429 447 462 465 466 467 478 488 510 512 515 516 523 524 527 529 535 537 557 563 564 570 594 598 602 605 623 627 630 643 652 665 673 677 684 707 712 722 731 734 735 755]\n# step=0 row=366 minW=94 found cw of W=90: [20 24 31 51 56 68 79 82 84 89 123 128 132 137 139 145 146 151 157 167 174 183 185 200 207 218 220 236 238 239 240 255 280 291 293 299 300 302 334 339 343 344 354 356 394 398 399 400 424 429 447 462 465 466 467 478 488 510 512 515 516 523 524 527 529 535 537 557 563 564 570 594 598 602 605 623 627 630 643 665 673 677 684 712 714 722 731 734 735 755]\n# step=1 row=77 minW=90 found cw of W=80: [19 23 26 30 39 78 91 94 98 101 133 145 146 147 159 160 195 199 200 201 204 207 209 211 215 239 249 250 254 260 261 265 270 273 292 294 305 309 313 319 320 329 340 346 347 350 363 379 402 409 451 476 492 499 527 537 548 577 580 581 582 592 594 597 617 634 642 644 648 651 664 667 679 685 692 700 706 734 746 754]\n# step=1 row=305 minW=80 found cw of W=78: [19 23 26 30 39 78 91 94 98 101 133 145 146 147 159 195 199 200 201 204 207 211 215 239 249 254 260 261 265 270 273 292 294 305 309 313 319 320 329 340 346 347 350 363 379 402 409 451 476 492 499 527 537 538 548 577 580 581 592 593 594 597 617 634 642 644 648 651 664 667 679 685 692 700 706 734 746 754]\n# step=33 row=112 minW=78 found cw of W=76: [17 23 25 27 39 40 78 81 85 101 110 115 117 130 131 138 158 165 202 210 212 220 221 223 227 234 248 254 265 292 308 320 350 357 362 363 369 370 383 390 395 398 418 444 458 460 465 467 472 495 511 521 523 536 539 544 550 562 563 564 591 612 630 635 642 645 652 663 679 686 691 712 719 720 747 753]\n# step=167 row=309 minW=76 found cw of W=70: [18 26 46 47 53 55 62 67 83 90 110 111 114 119 124 125 139 160 165 169 172 176 179 182 194 203 238 270 285 348 353 362 364 376 389 408 410 420 426 431 454 457 461 468 492 497 498 503 506 512 538 547 560 573 581 588 601 615 628 636 643 677 682 691 705 707 726 733 742 754]\n# step=201 row=14 minW=70 found cw of W=68: [1 7 12 16 18 23 30 37 51 60 63 70 145 148 149 150 152 155 156 157 159 160 198 211 240 266 280 290 310 325 335 352 357 359 371 387 394 396 403 407 421 429 433 436 443 447 448 462 473 478 486 503 519 528 530 534 540 563 609 613 624 633 653 668 700 714 737 750]\n# step=222 row=157 minW=68 found cw of W=66: [17 25 30 32 41 46 61 65 71 72 76 79 80 87 101 108 134 138 182 189 196 249 257 259 294 298 314 324 333 339 354 362 369 376 382 384 388 408 411 414 423 429 444 481 615 618 627 635 637 667 671 672 686 690 697 699 705 708 711 721 725 731 732 740 748 753]\n# step=267 row=98 minW=66 found cw of W=60: [4 12 26 30 39 67 71 94 97 111 150 166 173 187 191 217 221 269 279 298 303 327 328 334 339 341 353 360 385 395 403 418 437 459 466 479 500 515 530 534 537 556 564 565 579 586 614 635 647 650 655 661 669 691 696 705 706 710 737 751]\n# step=375 row=269 minW=60 found cw of W=52: [4 11 12 16 25 32 39 56 59 111 118 168 214 217 250 263 270 278 284 293 299 304 305 319 339 354 362 369 382 389 390 409 431 454 492 541 546 558 582 592 601 607 628 647 657 662 671 691 692 721 727 733]\n# round=1000 of 10000 minW=52\n# step=1184 row=220 minW=52 found cw of W=46: [23 48 90 104 113 118 148 152 173 207 214 247 290 302 311 346 380 393 408 415 416 426 447 457 463 475 481 491 498 516 524 546 571 591 614 620 625 661 668 674 689 704 715 730 744 756]\n# step=1411 row=107 minW=46 found cw of W=38: [24 26 46 49 53 86 93 97 100 104 116 162 199 254 261 268 314 317 367 369 372 399 429 430 453 459 489 494 530 620 646 669 687 690 692 710 741 745]\n# round=2000 of 10000 minW=38\n# round=3000 of 10000 minW=38\n# round=4000 of 10000 minW=38\n# round=5000 of 10000 minW=38\n# round=6000 of 10000 minW=38\n# round=7000 of 10000 minW=38\n# round=8000 of 10000 minW=38\n# round=9000 of 10000 minW=38\n# round=10000 of 10000 minW=38\nRW algorithm upper bound for the distance d=38\n</t>
  </si>
  <si>
    <t># step=0 row=0 minW=757 found cw of W=170: [1 3 21 25 28 31 42 43 45 48 49 57 58 65 68 71 74 76 78 79 84 92 98 99 105 112 113 115 116 117 118 119 120 125 126 128 129 133 138 140 144 148 150 152 156 178 179 180 183 184 186 189 190 203 209 216 222 226 233 234 247 248 252 254 274 275 285 292 295 301 303 304 314 331 339 342 345 353 355 356 359 360 365 366 373 385 391 393 395 403 404 407 408 410 411 429 432 435 438 441 442 446 449 460 462 465 468 471 477 481 483 491 493 496 497 498 500 502 503 511 512 527 534 536 538 558 559 562 564 569 573 578 581 583 586 587 589 593 595 604 607 613 616 618 619 625 628 635 643 645 654 669 671 676 682 685 687 694 697 702 706 714 717 720 726 728 732 746 747 752]\n# step=0 row=1 minW=170 found cw of W=158: [2 4 6 11 17 24 25 28 31 45 48 55 57 71 74 75 79 84 92 99 106 112 119 125 128 129 130 137 152 154 168 178 180 183 185 186 206 208 211 216 222 226 231 233 234 248 254 266 274 292 293 294 295 303 304 325 327 330 332 342 345 348 349 355 356 359 360 365 366 370 373 380 381 394 395 397 402 412 435 437 438 442 443 446 447 448 449 451 452 462 465 468 470 471 477 478 481 488 491 493 496 497 498 503 511 512 518 526 533 536 539 556 559 562 564 569 571 578 581 582 583 584 589 592 595 604 605 609 612 613 619 620 625 639 645 656 658 664 669 679 680 685 687 694 695 702 708 709 713 714 715 720 723 726 732 738 746 752]\n# step=0 row=5 minW=158 found cw of W=132: [2 6 7 10 21 28 31 33 42 43 45 49 52 56 57 65 68 71 76 84 92 96 99 106 110 115 125 126 133 138 140 147 152 154 183 189 211 216 231 248 254 263 266 285 293 294 295 303 304 310 327 331 339 345 347 348 349 355 356 365 370 372 382 385 391 393 394 399 402 403 404 411 416 427 429 438 439 443 447 448 451 452 460 462 468 470 471 472 477 481 483 493 494 498 503 517 526 533 536 539 555 573 580 582 583 584 589 592 604 607 609 645 647 656 658 664 671 674 679 685 687 694 697 709 713 717 718 726 736 738 743 752]\n# step=0 row=21 minW=132 found cw of W=130: [1 6 25 33 34 52 56 63 65 74 78 89 96 105 106 110 113 116 117 120 125 129 132 150 154 168 178 179 183 187 189 190 194 203 208 209 211 216 222 226 231 233 252 254 258 265 266 270 275 284 285 295 301 304 310 314 324 327 342 345 348 356 359 361 370 372 381 382 391 394 395 397 399 410 412 429 432 439 446 449 452 461 465 471 472 478 483 491 494 498 500 502 518 539 555 569 573 583 584 586 589 592 609 612 618 620 635 642 645 658 661 664 669 676 685 702 705 706 713 715 717 718 720 728 732 736 743 746 747 752]\n# step=0 row=63 minW=130 found cw of W=126: [2 11 21 24 43 55 56 57 68 71 76 78 79 92 98 104 105 106 110 111 115 116 118 122 126 133 138 144 146 150 152 156 180 183 184 187 194 203 206 208 216 234 235 242 254 258 265 284 294 295 301 310 324 327 330 331 339 342 349 360 361 365 372 382 385 391 393 394 402 403 407 411 412 432 435 443 446 451 452 460 470 472 475 482 483 493 494 500 512 526 527 530 533 534 536 556 559 571 578 581 582 583 589 592 593 595 605 612 613 616 639 642 645 654 656 671 680 685 695 708 709 720 723 728 732 752]\n# step=0 row=82 minW=126 found cw of W=124: [6 7 11 17 24 31 45 48 55 57 65 71 78 84 105 110 112 115 117 126 132 133 155 162 179 183 185 187 190 194 208 211 231 235 242 247 252 260 265 266 270 274 301 304 310 320 325 327 332 342 348 353 355 359 360 365 370 372 381 382 383 391 395 397 402 404 407 408 412 416 443 447 451 461 462 470 471 472 473 478 494 496 502 511 517 539 555 562 573 589 592 604 607 609 612 613 618 622 633 643 645 656 658 661 663 664 668 669 671 674 682 685 687 693 697 702 708 713 714 720 723 734 736 752]\n# step=0 row=156 minW=124 found cw of W=120: [1 2 24 28 31 33 43 49 56 71 78 79 92 98 104 105 106 112 113 116 118 119 120 133 147 150 160 178 180 183 186 222 233 247 248 254 263 270 288 295 301 303 304 314 325 331 332 339 342 345 348 356 360 366 373 374 380 381 393 394 399 402 403 404 407 410 412 437 441 443 447 448 449 451 452 468 483 491 496 497 500 502 512 517 526 533 564 580 581 583 586 592 595 607 613 619 625 635 647 654 656 668 669 671 674 676 679 685 687 694 697 702 705 715 717 720 723 725 743 747]\n# step=0 row=170 minW=120 found cw of W=116: [1 2 7 21 24 49 57 65 68 75 76 78 84 92 99 110 112 113 119 120 125 128 130 137 138 144 146 154 185 187 189 190 194 203 211 216 235 242 247 252 254 265 266 275 285 294 315 320 325 332 342 345 349 353 385 397 402 404 407 408 411 412 432 435 441 442 443 447 451 460 462 470 471 475 477 481 482 488 494 496 497 498 503 517 526 530 533 538 539 542 555 558 578 581 582 584 587 589 604 609 613 618 620 622 628 658 663 679 682 688 693 715 720 723 728 734]\n# step=0 row=274 minW=116 found cw of W=110: [1 2 17 33 42 56 57 63 71 79 84 98 99 112 115 119 126 128 140 146 156 168 180 184 186 187 194 203 209 216 235 242 248 254 258 265 284 292 295 301 303 325 331 332 339 342 345 353 356 365 366 373 374 380 391 393 399 408 427 429 439 447 448 449 462 470 475 477 478 481 482 483 488 496 497 503 511 512 518 526 527 529 530 534 558 564 571 578 581 583 589 595 607 642 645 654 656 661 671 682 685 697 705 706 709 720 728 736 738 743]\n# step=1 row=142 minW=110 found cw of W=108: [23 30 34 36 38 39 43 45 47 48 58 59 94 96 101 107 108 112 120 126 137 138 141 148 163 172 175 182 201 202 225 227 230 241 257 274 275 287 313 323 324 330 331 337 346 352 354 358 361 381 383 390 402 409 413 416 419 421 425 427 432 435 436 437 452 455 457 458 460 462 467 468 469 473 490 491 502 507 525 530 547 551 570 571 588 600 612 622 634 642 653 658 663 671 674 678 681 697 714 723 727 736 738 743 745 746 748 756]\n# step=1 row=160 minW=108 found cw of W=106: [15 20 23 30 31 34 46 49 75 82 86 101 108 112 121 123 126 136 141 149 155 156 162 163 164 172 176 179 185 190 200 201 221 225 232 234 237 245 250 262 268 275 278 280 287 301 305 310 313 317 324 331 337 346 354 356 381 383 392 400 409 411 435 437 441 452 453 458 460 473 490 502 507 509 514 519 520 522 525 530 531 533 551 552 556 571 584 588 596 598 600 618 621 623 625 628 630 634 637 642 653 663 712 715 723 738]\n# step=1 row=255 minW=106 found cw of W=96: [15 23 31 33 34 49 57 66 82 86 94 96 107 110 113 115 118 126 130 135 136 138 146 154 156 158 163 177 182 192 200 206 225 287 301 310 311 317 321 331 337 352 356 361 381 386 392 401 414 416 423 424 425 427 435 437 444 450 453 455 460 467 468 473 483 485 490 496 497 502 504 506 509 519 520 524 525 540 571 579 584 609 620 622 625 630 639 640 661 671 695 712 723 729 738 754]\n# step=3 row=83 minW=96 found cw of W=92: [2 6 11 20 31 32 55 59 61 64 68 116 121 136 146 149 150 156 157 164 165 205 206 219 231 252 260 278 286 288 289 292 296 304 322 324 327 330 332 333 340 345 346 347 348 353 357 358 387 397 398 400 405 407 411 428 434 437 451 487 492 514 528 534 535 542 549 556 563 569 576 578 583 586 624 635 652 656 668 670 676 682 693 703 714 722 723 724 732 739 744 755]\n# step=5 row=336 minW=92 found cw of W=88: [5 9 10 19 20 28 30 49 52 53 72 93 104 107 116 132 145 151 157 162 178 181 194 196 200 221 235 238 251 268 290 291 295 300 306 324 332 343 344 355 357 360 364 368 371 378 394 404 405 410 419 438 445 460 461 474 475 484 495 500 524 528 537 544 550 551 559 564 579 586 621 626 633 634 635 641 649 661 670 671 676 700 711 730 737 742 751 756]\n# step=6 row=292 minW=88 found cw of W=86: [7 30 32 42 63 76 81 83 87 88 90 92 112 125 132 136 142 146 169 174 175 186 197 208 229 231 234 242 247 249 252 257 265 268 275 284 291 296 312 317 323 330 346 355 372 374 399 401 416 427 440 441 447 463 470 475 476 482 483 491 506 517 530 545 560 569 576 581 597 602 607 608 618 626 641 643 646 649 650 657 659 666 680 740 747 749]\n# step=30 row=367 minW=86 found cw of W=80: [1 18 21 52 53 62 63 64 69 76 92 96 107 119 126 132 146 188 189 202 213 214 217 228 236 243 250 278 293 305 309 334 336 347 355 364 379 380 385 402 419 420 442 446 450 451 492 496 499 503 516 518 524 525 545 566 572 579 580 582 589 593 595 608 612 621 622 629 631 635 636 638 678 679 714 718 719 721 738 749]\n# step=38 row=35 minW=80 found cw of W=78: [24 25 30 64 71 84 85 94 111 116 119 121 133 135 136 155 161 162 166 169 170 173 176 177 180 182 185 201 225 226 261 298 312 346 362 394 401 402 403 416 417 423 442 443 449 451 462 465 468 483 489 494 498 499 527 534 540 549 560 563 566 568 569 575 576 604 622 627 634 641 650 656 671 705 712 745 746 752]\n# step=89 row=363 minW=78 found cw of W=70: [10 20 29 31 37 44 47 86 96 130 131 141 167 172 174 182 193 201 207 262 269 276 291 317 331 332 333 337 338 339 358 361 372 402 413 425 443 460 469 470 480 484 503 515 537 545 559 579 585 586 593 596 600 622 627 641 642 646 654 663 671 675 683 686 695 703 710 711 715 738]\n# step=93 row=95 minW=70 found cw of W=58: [13 26 27 41 52 57 60 71 113 142 145 156 202 207 209 211 216 229 249 255 262 273 284 292 298 299 304 315 353 360 384 389 391 400 410 430 474 485 491 497 504 558 580 581 627 635 638 644 677 687 688 713 721 728 734 737 748 754]\n# step=121 row=384 minW=58 found cw of W=54: [5 27 32 34 55 72 74 78 79 82 85 95 120 133 137 144 163 216 230 260 265 293 299 309 320 334 354 390 405 424 438 439 445 452 457 463 480 498 506 541 588 594 603 637 663 671 677 678 684 686 700 721 738 753]\n# round=1000 of 10000 minW=54\n# step=1174 row=112 minW=54 found cw of W=52: [13 57 68 111 123 124 132 166 168 178 179 181 201 217 228 233 234 242 256 263 283 317 320 361 364 365 368 371 372 375 391 407 432 440 455 461 502 530 551 559 565 572 592 595 599 608 626 656 695 743 744 749]\n# round=2000 of 10000 minW=52\n# round=3000 of 10000 minW=52\n# round=4000 of 10000 minW=52\n# step=4421 row=54 minW=52 found cw of W=50: [9 43 64 98 105 119 168 186 194 227 236 248 269 271 284 291 292 302 307 317 318 325 353 366 415 437 451 456 482 518 552 564 567 605 613 614 619 627 642 647 657 660 662 668 685 702 725 737 739 744]\n# round=5000 of 10000 minW=50\n# step=5426 row=73 minW=50 found cw of W=48: [25 45 51 71 74 94 106 107 115 120 128 156 190 195 230 258 273 294 307 397 423 424 429 438 439 449 452 458 464 488 504 506 527 540 554 561 596 603 608 623 636 644 657 686 691 726 727 753]\n# step=5426 row=127 minW=48 found cw of W=46: [25 45 51 71 74 94 106 107 115 120 156 218 230 239 258 273 280 294 307 397 423 424 429 438 439 449 452 458 464 488 504 527 540 554 596 603 608 630 636 644 657 686 691 726 727 753]\n# round=6000 of 10000 minW=46\n# round=7000 of 10000 minW=46\n# step=7604 row=96 minW=46 found cw of W=44: [34 37 43 77 79 89 90 92 99 127 133 141 144 182 185 189 196 255 297 310 317 322 377 401 408 412 427 442 449 461 483 502 525 559 625 626 633 649 674 715 730 737 743 744]\n# round=8000 of 10000 minW=44\n# round=9000 of 10000 minW=44\n# step=9000 row=287 minW=44 found cw of W=40: [63 113 118 125 167 173 175 202 217 219 222 228 258 264 269 274 278 281 285 392 393 415 442 457 483 505 506 545 546 572 580 596 607 608 612 621 655 703 704 745]\n# round=10000 of 10000 minW=40\nRW algorithm upper bound for the distance d=40\n</t>
  </si>
  <si>
    <t># step=0 row=0 minW=757 found cw of W=142: [1 3 14 21 30 31 42 49 50 53 56 62 63 74 85 94 99 101 119 124 128 136 143 147 152 156 157 159 161 165 172 174 175 177 183 187 191 196 198 199 201 203 204 220 223 227 230 237 244 247 249 252 254 258 260 261 262 277 291 294 308 309 312 315 319 320 322 332 337 339 354 365 376 388 398 422 440 447 453 454 463 464 477 478 479 483 486 488 495 496 497 503 506 513 518 520 523 525 526 528 534 541 545 550 552 554 557 562 574 580 582 586 589 592 594 597 605 606 607 613 622 625 630 634 637 642 649 653 654 667 676 687 690 696 702 712 716 725 731 749 751 753]\n# step=0 row=5 minW=142 found cw of W=134: [9 12 13 14 15 30 31 43 49 74 90 91 93 98 99 102 105 118 119 120 129 143 147 148 151 152 155 159 164 167 173 180 181 199 202 209 212 223 230 232 241 243 247 254 257 261 286 287 291 296 298 300 303 305 312 313 322 331 349 354 356 357 368 375 387 390 398 401 405 411 412 414 415 419 420 422 432 435 437 439 442 447 448 449 453 454 460 463 465 471 481 486 495 501 510 512 520 522 541 543 545 552 555 562 565 584 590 597 606 607 610 619 625 629 634 635 639 642 654 659 668 688 696 702 703 709 715 720 722 733 734 749 751 752]\n# step=0 row=21 minW=134 found cw of W=132: [1 2 7 12 15 31 37 63 74 85 87 101 102 118 129 136 151 156 167 172 173 174 175 177 180 183 196 199 202 204 218 222 231 232 252 253 254 260 262 263 273 284 286 287 290 295 300 303 313 318 321 326 327 331 337 345 349 354 356 357 365 368 375 380 389 390 397 398 412 419 435 438 439 453 463 464 477 486 503 507 512 513 518 523 524 525 526 528 543 545 550 554 555 578 580 582 584 589 590 592 604 605 606 609 610 613 614 615 623 629 630 637 642 647 659 667 670 673 685 687 702 703 715 717 725 728 730 733 736 740 749 752]\n# step=0 row=33 minW=132 found cw of W=130: [12 13 14 15 30 31 43 49 58 74 90 91 93 98 102 105 118 119 120 129 143 147 148 151 152 155 159 164 167 173 180 181 199 202 209 212 223 230 232 241 243 247 254 257 261 286 287 291 296 298 300 303 305 312 313 322 331 349 354 356 357 368 375 390 398 401 405 411 412 414 415 419 420 422 432 435 437 439 447 448 453 454 460 463 465 471 481 486 495 501 510 512 520 522 541 543 545 552 555 562 565 584 590 597 606 607 610 619 625 629 634 635 639 642 654 659 668 688 696 702 703 709 715 720 722 733 734 749 751 752]\n# step=0 row=100 minW=130 found cw of W=124: [2 7 14 15 16 31 42 44 48 53 56 93 104 106 120 128 131 136 142 152 155 164 165 172 177 183 197 198 199 202 220 222 227 232 241 242 247 254 261 262 277 284 287 290 291 294 295 298 303 305 312 313 327 331 332 345 354 356 357 365 368 371 375 376 380 387 388 389 398 408 412 414 419 422 432 435 437 440 447 449 453 457 463 465 478 479 488 498 522 525 550 555 578 580 585 597 600 605 613 615 616 623 625 630 634 635 642 647 653 664 670 673 676 679 696 703 715 720 722 725 730 736 749 752]\n# step=0 row=127 minW=124 found cw of W=120: [1 12 21 30 44 56 62 63 74 85 88 99 106 110 113 137 143 147 148 152 165 167 174 177 183 187 195 196 198 199 201 203 214 220 237 244 249 250 252 254 262 286 290 294 296 300 302 309 320 322 328 345 349 357 408 412 414 422 432 437 442 448 454 457 463 465 466 471 481 488 489 495 497 498 503 506 510 518 521 522 525 526 527 528 545 550 555 567 574 578 580 592 594 604 605 608 610 611 613 616 622 629 630 634 635 639 654 659 667 679 688 712 720 722 725 728 730 733 736 753]\n# step=0 row=279 minW=120 found cw of W=116: [2 12 13 14 30 42 48 49 53 79 85 87 91 93 104 105 113 119 120 128 131 132 136 143 146 148 155 157 159 163 164 167 198 209 212 222 223 230 231 242 253 263 277 284 286 294 300 308 315 318 319 322 328 332 339 349 365 371 376 380 387 397 405 408 414 420 422 432 437 442 454 464 465 471 477 482 483 486 487 495 497 506 507 513 518 519 520 522 545 552 555 562 564 574 585 586 592 607 610 623 629 653 654 659 664 676 685 703 717 720 722 725 733 734 740 751]\n# step=1 row=184 minW=116 found cw of W=114: [9 19 20 25 32 51 54 63 74 75 81 86 91 95 102 105 114 118 120 125 142 145 147 150 161 165 175 185 190 191 200 207 214 224 225 265 266 274 291 295 296 299 302 315 325 326 331 342 347 354 359 364 365 367 377 386 388 393 397 422 431 433 435 441 443 449 458 471 478 484 487 490 500 502 512 515 519 520 542 543 548 549 557 563 568 574 575 577 587 594 603 606 608 613 617 618 625 632 638 639 647 653 655 669 673 708 709 714 715 721 725 731 742 748]\n# step=1 row=192 minW=114 found cw of W=112: [9 19 25 32 51 54 63 74 80 81 91 95 102 105 109 114 118 120 121 125 135 145 147 150 161 175 185 190 191 200 207 214 224 225 264 265 274 289 291 295 296 299 302 308 313 315 319 325 326 331 342 347 359 364 365 367 368 375 377 386 388 393 397 409 422 431 433 435 441 443 449 458 471 478 484 490 500 502 512 520 543 548 557 563 568 574 575 587 594 603 606 608 613 617 618 625 638 642 647 653 655 669 673 708 709 714 715 721 725 731 742 752]\n# step=1 row=238 minW=112 found cw of W=110: [22 26 73 82 84 95 114 121 125 135 139 150 157 165 174 179 185 188 205 222 225 226 233 254 257 261 264 267 270 277 285 289 291 292 296 299 305 306 313 317 319 322 331 338 346 347 349 353 362 375 381 389 402 409 422 424 438 455 459 466 468 479 487 503 508 512 514 517 545 549 554 556 557 568 569 572 577 579 593 596 598 600 601 602 606 611 617 625 628 632 638 647 648 649 650 651 660 670 685 688 689 695 699 710 715 718 736 746 748 756]\n# step=2 row=47 minW=110 found cw of W=88: [6 19 23 37 41 49 53 74 77 81 96 97 104 108 112 125 132 134 138 139 169 180 183 190 202 231 239 275 280 284 307 309 326 335 337 346 362 364 365 366 369 371 373 374 387 390 392 410 415 421 422 432 433 436 441 446 480 495 505 507 511 516 521 522 531 544 545 552 567 568 572 585 597 606 630 655 657 672 675 685 696 708 717 721 743 744 747 751]\n# step=4 row=45 minW=88 found cw of W=80: [23 30 37 38 43 47 51 92 95 99 101 109 116 129 145 151 157 169 178 184 192 200 201 210 212 251 255 267 282 310 317 323 353 361 363 365 366 373 374 386 397 412 416 417 422 435 445 452 457 463 469 478 479 480 519 527 534 535 536 539 553 559 583 591 594 600 611 614 641 643 689 692 700 715 733 744 745 749 751 752]\n# step=48 row=302 minW=80 found cw of W=78: [7 21 24 35 45 48 64 69 92 113 118 123 159 188 194 195 197 203 227 239 246 250 252 254 271 282 289 296 312 316 317 323 329 331 340 364 374 376 391 393 411 427 429 468 476 483 485 496 497 502 504 519 534 537 556 568 572 583 587 594 609 616 617 619 628 646 662 673 687 690 699 701 706 715 742 748 749 752]\n# step=70 row=14 minW=78 found cw of W=72: [11 16 24 31 46 52 59 66 68 95 106 107 112 123 143 174 178 185 189 192 196 204 222 223 230 238 250 298 299 305 319 333 339 340 354 359 384 389 408 439 443 473 484 486 498 521 539 547 565 567 582 601 607 608 622 628 629 631 644 650 652 662 676 691 693 712 725 727 731 734 737 741]\n# step=108 row=143 minW=72 found cw of W=68: [21 26 66 80 87 105 121 124 128 157 168 175 179 198 206 218 219 264 265 273 274 281 285 306 319 320 324 340 343 350 361 362 369 375 398 404 412 416 419 422 463 464 471 486 494 527 568 579 590 594 596 612 613 620 642 661 687 691 706 713 732 741 742 746 747 751 752 754]\n# step=225 row=5 minW=68 found cw of W=54: [2 6 10 13 15 17 31 38 65 184 191 211 244 247 275 281 285 289 293 296 300 336 340 381 383 388 389 393 416 438 453 464 473 479 498 506 513 520 540 543 547 554 563 569 573 588 613 617 618 625 669 671 677 738]\n# step=570 row=113 minW=54 found cw of W=50: [12 42 67 68 122 123 132 137 142 143 166 167 177 178 181 221 229 240 247 273 277 281 284 311 335 379 385 420 467 482 489 490 515 516 520 521 531 556 565 569 575 576 579 599 624 654 661 665 714 755]\n# round=1000 of 10000 minW=50\n# step=1078 row=156 minW=50 found cw of W=48: [15 17 45 61 70 72 114 125 151 156 180 181 211 217 224 241 248 272 286 310 327 333 334 338 341 356 361 365 372 388 434 485 487 524 529 559 575 577 584 621 624 649 665 667 673 688 708 722]\n# round=2000 of 10000 minW=48\n# step=2071 row=4 minW=48 found cw of W=46: [1 3 7 9 12 14 16 39 63 64 67 70 71 106 111 115 118 122 155 180 196 217 272 279 327 330 332 376 382 389 417 422 443 448 471 507 512 528 539 548 638 687 708 710 719 728]\n# round=3000 of 10000 minW=46\n# round=4000 of 10000 minW=46\n# step=4186 row=10 minW=46 found cw of W=40: [16 19 25 31 71 73 74 80 95 115 116 126 129 136 140 178 222 233 284 339 354 395 397 418 424 438 451 453 459 465 494 506 535 576 596 663 686 706 712 732]\n# round=5000 of 10000 minW=40\n# round=6000 of 10000 minW=40\n# round=7000 of 10000 minW=40\n# round=8000 of 10000 minW=40\n# round=9000 of 10000 minW=40\n# round=10000 of 10000 minW=40\nRW algorithm upper bound for the distance d=40\n</t>
  </si>
  <si>
    <t># step=0 row=0 minW=757 found cw of W=158: [1 2 9 21 44 48 51 61 62 68 72 74 77 83 91 95 97 98 103 109 111 115 116 121 123 124 126 129 132 134 140 143 144 147 149 150 151 157 165 168 173 174 176 182 183 184 185 189 190 191 204 209 221 224 225 238 244 251 254 259 263 265 272 279 280 282 283 287 289 294 300 312 314 321 327 339 348 356 360 365 382 386 390 399 403 405 411 422 426 428 434 440 445 450 452 454 455 460 466 469 470 471 472 480 489 490 501 504 505 509 514 515 517 519 527 535 539 540 541 552 553 555 564 570 573 574 583 588 596 603 606 615 618 619 623 629 637 641 644 645 650 652 655 668 671 677 682 685 698 708 715 716 719 729 733 734 740 742]\n# step=0 row=1 minW=158 found cw of W=136: [3 9 11 19 21 27 40 51 54 58 62 65 68 74 77 80 83 94 99 103 106 117 124 126 132 134 135 136 140 142 144 151 157 168 172 173 174 184 189 190 191 197 202 221 224 225 228 253 273 276 279 280 282 285 287 289 296 300 303 312 313 326 328 333 339 342 348 368 374 382 386 391 395 399 410 414 428 433 435 437 438 442 455 458 460 463 466 467 469 480 485 489 490 501 502 504 505 509 515 517 523 535 541 545 552 565 570 573 574 592 594 596 602 603 614 617 625 629 641 643 650 652 655 663 667 682 691 711 716 718 719 720 725 726 734 742]\n# step=0 row=2 minW=136 found cw of W=130: [4 5 9 11 16 20 21 27 31 40 44 48 51 61 62 68 73 74 90 94 97 101 103 105 111 115 117 122 126 127 129 134 135 136 140 143 147 150 157 172 174 179 183 184 189 190 191 197 204 209 224 229 239 244 251 253 254 259 265 273 276 290 301 312 314 316 321 328 347 348 365 374 393 399 402 403 405 414 422 426 428 431 433 440 445 446 463 466 467 470 471 472 479 489 490 492 502 506 515 539 552 553 564 565 567 574 583 588 592 614 619 623 629 637 641 644 655 662 677 681 682 698 711 716 719 725 727 749 752 756]\n# step=0 row=7 minW=130 found cw of W=122: [1 4 6 14 16 27 44 51 72 73 74 80 83 90 94 95 97 99 103 111 124 129 140 149 154 168 174 177 182 185 189 197 209 221 224 228 229 238 259 276 286 296 303 307 314 316 318 321 326 329 333 337 339 347 356 360 365 380 382 387 390 391 395 402 405 409 411 428 431 434 437 438 440 445 446 450 454 463 467 470 475 485 492 502 504 506 514 520 525 527 539 540 541 552 555 565 567 588 594 602 606 614 617 618 619 625 643 645 650 662 667 668 671 685 716 719 729 733 740 749 751 756]\n# step=0 row=14 minW=122 found cw of W=114: [16 19 21 29 40 44 51 54 55 61 62 68 73 74 80 87 90 91 94 97 98 99 101 117 123 124 126 127 134 136 143 150 154 157 168 179 183 202 209 224 238 239 244 251 254 265 272 279 290 294 300 301 307 310 316 327 339 344 352 356 360 365 374 377 380 382 398 405 410 411 414 422 431 433 440 445 458 460 463 470 471 475 479 489 490 506 527 539 541 545 553 573 574 583 588 596 637 650 668 671 677 678 685 688 698 719 726 727 733 734 735 749 750 756]\n# step=0 row=64 minW=114 found cw of W=106: [4 11 19 20 26 31 44 48 51 55 62 68 72 73 83 87 90 95 97 99 103 109 116 117 121 123 124 128 135 142 149 150 154 157 165 168 176 179 182 183 190 202 209 238 244 251 254 259 265 272 285 312 313 314 316 321 327 339 347 348 360 365 367 368 398 402 414 426 440 446 450 452 460 463 466 470 489 490 492 504 515 519 525 527 539 540 541 545 583 588 592 594 617 641 650 663 671 677 682 691 698 718 725 749 752 756]\n# step=0 row=85 minW=106 found cw of W=80: [6 20 21 27 31 44 61 62 68 80 83 99 103 106 109 111 115 116 121 127 134 135 142 147 154 165 170 176 177 182 221 224 225 244 263 276 279 280 283 285 287 294 313 318 329 368 390 391 399 403 409 431 438 446 452 454 463 466 467 490 502 515 519 553 574 592 594 615 623 663 677 685 691 718 719 726 727 734 751 752]\n# step=10 row=245 minW=80 found cw of W=78: [9 13 15 22 23 24 41 57 70 71 75 85 86 87 126 131 137 145 156 165 181 211 220 227 242 271 290 291 292 303 313 322 326 332 362 364 367 388 400 402 407 413 429 444 451 453 458 474 481 530 570 579 585 614 619 621 633 634 644 646 653 660 682 691 693 695 701 704 710 720 730 732 734 743 745 746 753 755]\n# step=23 row=129 minW=78 found cw of W=46: [20 31 160 169 184 204 210 215 218 251 253 254 258 259 265 270 274 299 308 313 316 320 354 364 368 371 378 422 423 464 471 472 512 539 547 554 603 609 617 624 631 636 651 677 718 748]\n# step=23 row=304 minW=46 found cw of W=42: [20 31 160 184 204 210 215 251 253 254 258 265 270 274 299 308 313 316 320 354 364 368 371 378 422 423 464 471 472 512 539 554 602 603 617 624 631 636 651 677 718 748]\n# round=1000 of 10000 minW=42\n# round=2000 of 10000 minW=42\n# round=3000 of 10000 minW=42\n# step=3147 row=32 minW=42 found cw of W=38: [36 59 80 102 121 133 145 146 153 157 158 184 188 191 195 200 303 358 402 413 431 446 454 462 495 503 513 520 523 531 543 554 591 644 693 725 734 742]\n# round=4000 of 10000 minW=38\n# round=5000 of 10000 minW=38\n# round=6000 of 10000 minW=38\n# round=7000 of 10000 minW=38\n# round=8000 of 10000 minW=38\n# round=9000 of 10000 minW=38\n# round=10000 of 10000 minW=38\nRW algorithm upper bound for the distance d=38\n</t>
  </si>
  <si>
    <t># step=0 row=0 minW=757 found cw of W=156: [2 12 14 19 23 27 30 33 35 38 41 47 48 49 50 67 84 86 93 96 98 105 114 117 124 128 141 144 147 148 149 153 154 161 169 172 175 185 188 196 200 203 204 207 210 215 227 229 230 234 238 246 247 248 249 250 253 255 258 264 269 270 279 283 289 292 295 303 313 314 332 335 353 355 367 370 373 377 380 394 401 406 410 417 422 427 429 431 435 440 442 443 447 454 456 458 464 469 472 482 495 505 508 512 513 519 522 529 530 531 537 548 553 571 575 579 583 589 595 598 602 603 607 612 616 619 626 629 631 642 643 644 646 657 660 661 663 667 672 675 680 682 693 705 713 722 724 728 735 742 745 746 748 750 754 755]\n# step=0 row=1 minW=156 found cw of W=142: [3 27 30 35 38 46 47 54 73 80 84 85 98 118 143 144 148 149 150 151 153 157 160 163 164 169 173 175 177 181 188 200 204 206 210 215 227 228 229 230 234 236 246 249 255 259 261 265 279 285 294 303 310 314 321 326 328 343 344 349 353 354 363 367 374 377 385 394 396 417 419 422 431 436 440 447 451 452 460 468 475 478 479 486 489 503 512 519 520 522 524 529 530 537 547 550 552 553 555 556 561 571 579 581 582 583 589 595 601 602 603 607 614 619 624 631 638 642 643 644 645 646 651 657 660 676 682 685 697 701 707 712 714 719 722 728 733 735 745 746 750 755]\n# step=0 row=5 minW=142 found cw of W=134: [5 10 17 19 27 35 38 46 47 54 67 73 80 84 85 93 97 98 111 117 118 125 153 160 163 164 170 171 172 179 180 196 201 203 207 208 219 229 230 238 248 250 253 258 259 262 269 279 283 285 292 295 303 308 310 314 321 332 344 348 349 354 363 367 374 377 385 389 394 396 410 429 431 436 440 447 451 452 454 458 459 468 484 489 495 508 520 544 547 556 569 575 581 582 595 598 601 602 607 608 616 624 626 628 629 643 646 650 656 661 675 677 685 691 693 697 706 707 712 714 717 722 724 727 728 733 735 742 745 747 748 750 751 755]\n# step=0 row=12 minW=134 found cw of W=130: [19 20 30 31 33 35 38 49 54 67 73 77 83 84 85 93 97 98 111 114 125 141 144 153 160 163 169 172 180 183 188 203 204 206 207 227 230 231 233 249 250 252 255 258 261 262 269 270 271 277 282 283 285 289 291 292 294 298 310 314 332 344 349 353 354 355 360 363 367 374 377 394 396 400 410 417 419 422 426 429 436 441 443 451 460 461 464 469 482 505 512 522 530 536 537 544 547 563 571 574 579 581 584 602 603 608 616 621 626 634 643 644 651 657 666 675 676 682 685 694 705 707 717 724 729 745 750 754 755 756]\n# step=0 row=18 minW=130 found cw of W=118: [1 12 14 27 33 35 38 42 46 47 49 117 118 141 144 150 157 170 171 173 177 179 180 183 185 188 203 210 219 227 228 233 236 238 247 248 258 259 265 270 271 277 279 282 286 291 298 321 326 328 344 360 367 374 385 406 429 431 440 454 459 460 469 479 486 489 495 508 509 522 530 536 548 555 556 561 569 571 574 575 579 581 583 588 598 601 602 603 614 621 624 638 643 645 657 666 680 685 688 693 694 708 710 712 714 717 722 724 728 729 733 735 742 745 747 754 755 756]\n# step=0 row=29 minW=118 found cw of W=112: [1 12 19 27 35 38 46 60 71 73 80 84 85 93 111 118 125 153 163 164 172 177 180 196 207 215 219 229 236 238 248 249 250 269 270 283 285 292 310 313 326 328 332 335 343 348 353 354 359 367 370 377 389 396 400 405 410 414 417 429 436 441 447 451 452 468 484 489 495 520 537 547 550 555 556 569 579 595 602 603 607 612 614 616 626 628 629 645 656 663 672 675 676 677 682 688 693 694 697 707 710 712 713 719 724 735 737 742 745 746 748 750]\n# step=0 row=116 minW=112 found cw of W=110: [12 14 27 33 47 54 67 73 80 82 85 98 117 118 128 141 142 157 160 163 169 170 171 172 173 177 179 180 185 196 198 203 215 225 228 230 236 238 247 250 253 258 262 285 303 308 310 314 326 344 355 370 400 405 406 410 419 425 431 441 451 454 458 459 460 474 486 489 508 519 522 523 544 547 550 555 556 561 571 581 582 598 601 603 608 612 614 616 629 634 643 645 646 651 657 658 661 676 680 694 701 710 719 722 724 729 735 748 751 754]\n# step=0 row=374 minW=110 found cw of W=106: [1 12 27 30 35 38 46 73 80 84 85 93 111 118 125 153 163 164 172 177 180 196 207 215 219 229 236 238 248 249 250 269 270 283 285 292 310 313 326 328 332 335 343 353 354 367 370 377 389 396 400 405 417 429 436 441 447 451 452 468 484 489 495 520 537 547 550 555 556 569 579 595 602 603 607 612 614 616 626 628 629 645 656 663 672 675 676 677 682 688 693 694 697 707 710 712 713 719 724 726 735 742 745 746 748 750]\n# step=2 row=50 minW=106 found cw of W=78: [26 29 31 36 39 42 44 54 59 65 86 88 89 94 97 101 109 116 120 130 134 138 141 149 168 179 217 222 234 263 268 276 277 318 332 347 404 410 415 417 420 421 428 432 433 456 458 463 467 470 476 481 492 499 518 521 525 541 556 566 592 595 600 605 608 611 631 650 660 682 695 716 721 725 731 744 750 751]\n# step=9 row=265 minW=78 found cw of W=74: [22 29 36 52 74 75 76 80 90 96 117 127 134 136 138 151 157 164 167 177 178 186 192 212 229 234 236 241 256 271 327 345 368 374 382 388 418 423 429 452 454 455 495 507 509 515 520 521 522 535 536 550 555 556 557 579 591 599 606 647 651 655 656 662 666 674 676 696 715 718 725 737 741 756]\n# step=18 row=148 minW=74 found cw of W=70: [7 22 34 36 38 62 69 78 89 99 100 125 134 140 148 158 167 202 204 213 255 264 268 283 286 290 322 325 330 332 352 357 372 373 378 401 409 413 422 446 450 455 477 532 533 539 547 558 562 573 574 596 600 633 644 648 649 652 661 668 688 693 695 701 703 705 734 738 739 756]\n# step=38 row=188 minW=70 found cw of W=68: [4 16 24 36 39 44 59 60 70 73 79 84 90 106 119 120 125 127 133 163 175 182 188 189 196 209 219 237 253 264 299 324 361 367 373 374 394 402 403 409 410 423 428 443 448 449 451 452 457 462 468 479 484 506 538 541 569 603 621 631 697 698 702 711 732 745 747 752]\n# step=38 row=379 minW=68 found cw of W=66: [4 16 24 39 44 59 60 70 73 79 84 90 106 119 120 125 127 133 163 175 182 188 189 196 209 219 237 253 264 299 361 367 374 394 402 403 409 410 423 428 443 448 449 451 452 457 462 468 479 484 506 538 541 569 603 621 631 697 698 711 732 739 745 746 747 752]\n# step=254 row=122 minW=66 found cw of W=64: [20 31 44 46 54 72 87 92 97 99 103 106 108 138 172 178 181 202 206 235 236 247 257 271 282 290 297 298 313 323 353 354 371 378 386 397 426 432 460 469 470 479 494 520 522 523 543 556 580 590 600 611 621 625 633 642 647 674 696 697 700 723 738 753]\n# step=385 row=349 minW=64 found cw of W=62: [10 30 51 71 72 120 121 126 134 141 147 148 153 162 169 183 188 189 195 208 251 270 272 285 304 362 409 417 443 452 458 463 473 487 492 493 494 498 525 526 531 533 542 561 566 573 581 583 587 592 602 617 628 636 648 650 656 671 697 712 717 737]\n# step=387 row=50 minW=62 found cw of W=60: [35 37 58 79 90 92 113 120 138 179 187 202 234 248 257 263 269 292 297 303 304 312 332 358 359 367 378 387 401 427 442 452 476 505 516 517 546 557 560 571 572 580 601 607 621 626 636 641 642 647 649 661 662 682 690 691 702 730 740 756]\n# step=589 row=215 minW=60 found cw of W=54: [14 21 63 77 84 111 127 129 140 143 175 187 191 196 198 218 240 246 251 274 302 309 341 370 371 380 391 392 399 413 415 432 454 455 461 470 496 506 507 518 537 553 602 643 652 658 668 679 684 687 714 724 728 754]\n# round=1000 of 10000 minW=54\n# step=1216 row=13 minW=54 found cw of W=42: [23 34 64 89 167 182 257 282 298 317 325 326 337 357 373 406 407 414 421 442 447 455 470 491 532 558 600 615 635 648 649 660 676 682 695 702 703 705 709 716 735 744]\n# round=2000 of 10000 minW=42\n# round=3000 of 10000 minW=42\n# round=4000 of 10000 minW=42\n# step=4147 row=315 minW=42 found cw of W=40: [43 54 85 134 154 160 195 215 230 270 285 286 294 307 308 315 362 369 376 377 379 417 463 483 484 518 533 538 553 594 602 617 623 637 651 652 664 693 708 734]\n# round=5000 of 10000 minW=40\n# step=5206 row=245 minW=40 found cw of W=38: [65 105 109 120 125 140 149 160 171 175 189 219 223 226 233 264 393 394 409 417 442 457 458 491 499 503 506 518 532 552 562 596 655 656 697 704 705 745]\n# round=6000 of 10000 minW=38\n# round=7000 of 10000 minW=38\n# round=8000 of 10000 minW=38\n# round=9000 of 10000 minW=38\n# round=10000 of 10000 minW=38\nRW algorithm upper bound for the distance d=38\n</t>
  </si>
  <si>
    <t># step=0 row=2 minW=757 found cw of W=142: [1 2 8 9 22 25 32 33 44 68 70 73 74 77 81 84 87 88 96 99 103 112 115 119 124 139 143 154 161 168 170 183 186 194 198 201 204 209 215 230 240 243 247 248 249 250 254 266 268 281 285 298 303 305 315 321 328 329 332 336 342 343 347 356 363 370 378 381 382 383 390 401 403 409 423 426 432 434 435 443 448 450 451 454 455 465 467 468 471 473 474 475 480 484 491 503 507 509 514 518 520 523 544 552 561 567 569 570 576 579 581 582 583 590 597 599 603 604 608 611 616 620 621 623 639 641 651 653 664 669 672 680 682 689 698 703 711 727 731 734 747 755]\n# step=0 row=5 minW=142 found cw of W=138: [12 22 27 32 33 37 41 42 45 50 56 62 67 68 70 88 94 112 117 122 124 127 128 146 156 159 166 168 173 183 185 186 192 198 201 204 211 215 220 230 236 240 248 249 250 255 261 268 285 292 298 303 305 315 340 341 343 351 356 361 363 370 371 381 385 390 392 406 416 418 421 428 432 434 440 443 454 455 456 460 461 465 471 474 478 480 489 503 508 509 511 514 518 523 529 530 533 537 538 544 546 556 561 575 581 587 590 592 604 605 608 611 616 624 628 651 652 654 657 665 669 672 683 688 690 693 698 701 703 707 727 729 731 734 744 749 750 755]\n# step=0 row=11 minW=138 found cw of W=110: [2 13 20 27 33 41 42 45 56 67 73 75 81 88 94 119 121 122 128 156 166 168 173 183 198 209 211 226 253 255 261 281 288 290 296 308 310 315 328 329 335 336 341 342 343 351 356 371 378 381 383 385 391 392 406 418 423 440 445 448 450 451 461 471 473 474 478 489 494 514 515 518 523 530 535 546 552 554 555 556 561 567 576 578 587 590 599 603 604 623 628 646 651 652 653 657 672 674 680 689 693 701 707 710 729 730 734 747 749 755]\n# step=0 row=53 minW=110 found cw of W=106: [13 18 32 42 50 55 56 62 65 70 74 77 81 85 87 104 114 115 139 147 160 166 168 170 173 185 194 199 202 226 243 250 253 254 261 268 269 292 294 298 305 308 309 318 340 341 343 361 363 370 381 382 385 391 398 403 408 416 428 432 435 440 454 455 457 461 465 471 477 487 496 503 509 514 520 530 537 546 552 567 569 576 579 582 587 603 608 620 621 628 635 647 652 672 683 690 691 698 710 711 731 734 737 747 749 751]\n# step=2 row=62 minW=106 found cw of W=60: [3 66 73 77 79 100 107 112 125 132 133 139 140 144 149 170 173 177 180 197 248 252 289 291 296 385 413 434 443 444 451 455 457 462 475 478 485 488 490 492 493 499 501 512 513 519 529 542 550 551 557 559 580 583 591 600 641 669 673 724]\n# step=220 row=14 minW=60 found cw of W=58: [7 9 16 19 25 32 45 74 81 97 100 102 106 107 111 118 155 162 189 192 237 243 249 277 279 284 332 334 339 341 348 397 409 417 438 440 442 447 450 454 475 480 491 532 535 539 565 567 615 616 621 627 662 671 677 705 738 752]\n# step=369 row=140 minW=58 found cw of W=50: [58 64 90 92 127 147 148 159 160 175 209 214 245 258 286 289 292 303 335 344 346 351 352 376 393 401 408 414 448 457 463 470 483 506 526 547 567 580 582 588 597 608 623 642 681 687 708 719 724 736]\n# step=444 row=183 minW=50 found cw of W=48: [4 15 25 44 59 70 93 105 149 167 174 183 223 234 264 312 338 367 373 374 387 417 436 458 471 483 499 532 533 545 552 573 581 596 600 616 635 648 663 671 683 702 706 712 716 725 732 753]\n# round=1000 of 10000 minW=48\n# round=2000 of 10000 minW=48\n# round=3000 of 10000 minW=48\n# round=4000 of 10000 minW=48\n# round=5000 of 10000 minW=48\n# round=6000 of 10000 minW=48\n# step=6149 row=92 minW=48 found cw of W=42: [72 94 109 114 116 136 149 156 164 170 178 185 222 230 233 253 260 382 383 398 424 449 464 465 488 492 498 513 514 539 541 548 562 569 576 610 662 663 686 711 712 752]\n# round=7000 of 10000 minW=42\n# round=8000 of 10000 minW=42\n# round=9000 of 10000 minW=42\n# round=10000 of 10000 minW=42\nRW algorithm upper bound for the distance d=42\n</t>
  </si>
  <si>
    <t># step=0 row=0 minW=757 found cw of W=158: [1 2 3 10 16 18 19 21 22 26 28 29 32 36 40 44 47 51 54 55 58 76 84 99 113 116 120 121 124 128 138 141 143 150 156 162 166 167 176 179 183 186 197 207 220 222 227 233 238 245 246 269 271 275 284 293 297 308 313 315 318 319 329 331 332 333 335 336 345 346 349 351 354 356 364 369 374 398 401 410 435 442 446 450 452 454 455 458 460 462 465 466 476 494 500 507 511 514 515 517 522 528 534 536 539 548 550 552 555 565 568 575 576 578 588 589 601 606 609 611 614 617 618 624 625 629 630 637 642 650 660 665 673 674 675 679 681 684 693 697 699 701 702 706 710 713 714 719 720 722 726 728 729 734 737 747 748 753]\n# step=0 row=1 minW=158 found cw of W=122: [5 16 18 22 23 26 32 33 40 47 51 55 61 68 76 78 79 84 102 128 138 141 144 156 160 161 176 179 197 202 207 216 234 253 256 257 269 271 313 315 328 329 331 332 335 342 346 349 354 355 361 369 374 382 390 398 402 409 411 417 422 423 445 446 451 460 464 465 469 471 490 492 499 501 507 511 514 517 522 524 534 539 548 555 568 575 578 585 588 593 598 607 609 612 614 617 619 629 630 637 640 661 675 679 681 683 684 688 690 696 699 706 711 713 719 728 745 746 747 751 752 753]\n# step=0 row=8 minW=122 found cw of W=120: [6 15 22 26 32 33 36 61 68 71 76 79 81 114 116 117 123 138 141 143 150 164 166 183 197 202 207 216 218 220 223 234 238 244 245 246 252 253 257 269 271 273 275 280 284 307 310 318 329 349 356 361 362 367 374 382 402 409 410 411 422 423 437 448 455 458 460 462 464 471 490 493 495 497 499 500 507 511 514 522 527 528 546 547 552 565 575 576 577 587 589 595 598 599 601 606 614 617 618 619 622 625 637 640 644 650 660 663 681 690 697 702 711 720 743 745 746 747 752 753]\n# step=0 row=21 minW=120 found cw of W=106: [1 6 19 21 23 24 26 28 36 50 61 64 68 71 79 112 116 123 139 144 150 160 167 176 178 186 197 204 227 243 252 257 284 293 308 310 313 319 329 333 342 345 349 351 355 362 364 369 382 401 407 410 411 422 438 442 452 455 466 471 483 487 493 500 515 517 552 559 572 573 575 577 593 598 601 609 611 622 624 635 637 650 658 663 673 674 676 690 699 701 702 706 711 714 720 722 726 729 739 742 743 746 747 748 751 752]\n# step=0 row=73 minW=106 found cw of W=68: [6 19 29 32 78 81 84 114 128 133 141 164 183 204 218 223 238 244 245 273 284 286 293 307 313 329 355 369 390 407 409 431 438 451 452 458 487 492 497 499 507 514 517 528 546 547 568 573 587 589 595 601 607 617 618 638 644 650 664 679 687 693 697 719 726 734 742 753]\n# step=165 row=70 minW=68 found cw of W=60: [2 9 13 16 47 52 55 75 115 142 145 164 165 170 171 199 219 222 227 232 266 276 277 284 310 321 332 336 340 376 384 389 405 418 420 425 431 453 454 474 479 488 493 510 528 544 549 559 569 575 583 585 603 624 626 644 660 706 718 734]\n# step=191 row=302 minW=60 found cw of W=56: [13 14 22 24 28 41 54 79 83 86 88 90 104 143 192 197 198 220 235 252 275 290 296 297 315 358 364 370 386 391 392 406 413 420 425 436 440 447 466 467 489 508 530 557 565 570 606 625 647 667 674 693 708 729 734 755]\n# step=454 row=52 minW=56 found cw of W=54: [12 26 42 88 96 98 107 111 122 151 156 158 162 188 191 211 255 281 330 345 355 376 385 390 399 407 410 412 415 425 431 435 439 456 461 476 485 488 497 515 531 538 564 569 575 577 605 618 665 688 703 723 733 754]\n# step=454 row=80 minW=54 found cw of W=50: [12 26 42 88 96 107 111 122 147 151 156 158 162 191 211 255 281 330 345 355 376 385 390 399 407 410 412 415 425 431 435 439 456 461 485 488 497 515 564 569 575 577 605 618 665 688 703 723 733 754]\n# round=1000 of 10000 minW=50\n# step=1338 row=362 minW=50 found cw of W=46: [1 91 97 152 159 203 212 265 271 289 302 307 309 313 316 323 348 356 364 368 375 441 467 469 475 490 516 536 559 580 590 606 634 636 639 645 647 655 667 670 688 691 698 711 722 755]\n# round=2000 of 10000 minW=46\n# round=3000 of 10000 minW=46\n# round=4000 of 10000 minW=46\n# round=5000 of 10000 minW=46\n# round=6000 of 10000 minW=46\n# round=7000 of 10000 minW=46\n# step=7188 row=275 minW=46 found cw of W=44: [11 21 28 56 92 111 130 182 185 222 233 236 240 244 247 249 284 293 295 306 355 395 401 418 434 442 447 454 470 501 521 524 525 550 551 592 599 627 640 677 706 721 730 735]\n# round=8000 of 10000 minW=44\n# round=9000 of 10000 minW=44\n# step=9610 row=230 minW=44 found cw of W=42: [39 40 51 52 100 107 135 142 163 169 224 245 307 362 390 397 398 410 423 429 430 433 439 474 484 487 519 541 547 554 574 577 608 631 637 678 685 686 721 747 752 753]\n# round=10000 of 10000 minW=42\nRW algorithm upper bound for the distance d=42\n</t>
  </si>
  <si>
    <t># step=0 row=0 minW=757 found cw of W=146: [3 4 6 7 8 14 18 23 26 30 46 50 59 61 71 73 78 83 84 105 121 124 127 131 138 139 142 145 148 156 159 166 171 179 183 190 194 202 206 207 208 209 210 228 250 254 255 261 270 294 296 299 302 304 305 307 309 310 321 330 333 336 340 342 348 353 357 360 370 374 380 382 388 396 402 403 404 411 412 414 418 421 424 428 433 447 448 453 459 460 464 473 477 478 479 485 496 497 500 514 528 540 544 545 549 550 569 577 580 584 590 592 598 601 627 628 631 634 643 644 646 659 661 665 667 670 676 688 691 693 698 699 710 711 717 720 725 729 731 732 733 734 750 751 752 754]\n# step=0 row=1 minW=146 found cw of W=138: [3 7 9 23 27 28 30 35 42 44 48 50 59 71 73 78 84 101 106 111 121 124 131 139 142 145 146 148 157 159 163 166 169 171 173 179 187 194 200 207 218 226 228 233 240 250 255 261 262 291 300 302 304 305 307 312 321 326 333 340 353 357 360 376 382 387 392 393 402 403 404 412 414 418 421 428 440 445 447 449 453 459 460 464 475 477 479 481 485 496 498 541 545 546 550 561 567 569 590 592 601 602 603 606 608 609 620 631 635 636 641 647 651 652 661 672 673 678 680 688 691 692 693 694 701 704 711 719 725 729 731 733 745 747 750 751 752 755]\n# step=0 row=2 minW=138 found cw of W=136: [2 3 10 14 23 26 27 31 42 44 48 50 53 54 59 62 73 78 105 106 108 111 116 117 118 124 126 130 131 136 144 145 154 159 162 166 171 181 188 190 192 200 207 210 214 217 221 228 233 245 254 261 268 291 294 296 309 326 333 336 340 342 346 353 360 361 377 379 382 386 388 392 402 404 421 428 432 440 442 447 449 457 459 460 464 466 478 491 498 499 504 514 515 528 538 540 541 546 549 553 554 569 571 576 584 598 602 603 605 608 620 631 644 646 651 652 655 659 661 665 667 672 678 688 690 692 708 711 719 720 729 734 738 745 751 755]\n# step=0 row=22 minW=136 found cw of W=132: [2 3 8 15 18 27 28 30 33 35 40 42 45 46 48 51 53 54 61 65 71 84 106 111 121 124 126 130 136 139 142 144 145 148 156 159 162 163 166 167 172 173 174 178 179 181 183 188 192 194 206 207 208 215 228 233 245 250 268 294 302 304 305 307 312 330 341 346 357 360 377 379 380 386 388 390 392 393 397 403 404 406 411 412 416 424 433 436 440 447 449 453 459 466 473 479 481 485 499 500 503 515 522 545 546 550 554 576 577 586 588 590 592 601 606 627 636 647 661 691 701 708 710 717 719 734 745 747 750 751 752 755]\n# step=0 row=25 minW=132 found cw of W=128: [1 2 3 14 16 28 30 45 46 53 54 56 62 83 85 105 106 108 117 118 124 127 130 136 138 145 146 159 162 163 166 169 171 172 173 187 192 200 202 207 209 210 218 221 226 236 250 261 294 296 304 305 321 326 327 330 336 341 342 346 360 361 374 376 379 386 389 393 396 401 417 418 424 440 447 449 452 473 475 478 491 496 498 518 519 528 538 541 542 544 545 546 549 569 571 576 579 580 584 592 598 602 603 605 609 627 634 636 641 643 646 652 665 670 685 688 690 693 694 704 705 708 717 720 729 731 733 734]\n# step=0 row=50 minW=128 found cw of W=110: [7 16 26 42 44 53 62 65 84 93 100 101 105 106 108 116 117 118 121 124 126 139 142 144 154 159 163 169 173 181 188 190 194 208 217 218 221 228 236 240 245 262 270 283 300 310 312 321 327 338 361 374 376 377 381 389 392 393 397 404 418 432 442 447 448 449 453 457 459 466 477 478 481 485 491 497 499 504 515 528 540 550 553 554 561 567 571 577 586 592 605 609 620 627 635 643 673 676 680 682 685 688 690 710 717 729 731 745 750 752]\n# step=1 row=125 minW=110 found cw of W=108: [26 58 60 65 72 74 79 81 90 115 122 127 137 141 144 149 150 156 157 178 180 182 185 189 196 216 221 227 239 246 256 268 284 291 298 307 314 317 322 327 333 339 353 365 366 372 374 376 377 394 397 402 404 431 438 443 455 466 480 484 491 507 527 529 534 535 544 545 548 566 579 581 582 584 595 599 600 602 605 612 619 633 635 648 651 656 660 666 671 674 676 696 697 701 706 711 715 718 724 731 738 739 740 741 743 745 752 756]\n# step=1 row=164 minW=108 found cw of W=106: [3 6 22 26 46 47 58 61 65 68 81 83 91 101 102 109 118 120 122 125 127 136 137 150 155 166 175 177 178 179 180 182 188 189 191 202 219 228 230 240 244 251 264 298 308 310 313 314 322 327 333 340 351 361 365 366 369 370 372 376 377 381 400 402 404 406 413 443 448 461 466 467 471 486 491 497 498 500 510 521 523 528 531 534 546 561 566 581 587 590 601 602 610 612 622 635 639 648 656 663 676 711 718 731 739 741]\n# step=1 row=299 minW=106 found cw of W=102: [26 58 60 65 72 74 79 81 90 115 122 127 137 141 144 150 157 178 180 182 185 189 196 205 221 227 256 268 284 291 298 307 314 317 322 327 333 339 353 365 366 372 374 376 377 394 397 402 404 431 438 443 455 466 480 484 491 507 529 535 544 545 548 566 578 579 581 584 595 599 600 602 605 612 619 633 635 648 651 656 660 666 671 674 676 696 697 701 706 711 715 718 724 731 738 739 740 741 743 745 752 756]\n# step=1 row=346 minW=102 found cw of W=94: [26 31 40 42 47 58 74 81 91 101 109 116 118 120 127 137 150 157 162 175 178 179 185 189 191 196 199 228 230 240 266 291 298 310 313 315 317 322 324 330 351 368 370 374 400 404 406 415 430 441 461 466 467 473 475 487 491 507 510 516 520 521 523 528 534 535 554 556 560 579 581 590 601 603 605 610 612 622 627 632 648 650 654 659 663 673 697 703 724 729 740 743 749 752]\n# step=6 row=299 minW=94 found cw of W=78: [26 72 95 96 106 107 109 130 145 164 186 190 196 210 212 216 220 240 245 246 253 254 256 260 265 272 283 285 289 293 300 311 314 318 322 329 332 339 340 348 354 370 373 395 417 445 459 473 474 507 536 539 568 570 578 590 594 598 604 617 624 630 639 643 650 658 661 663 665 671 686 698 716 720 732 733 738 754]\n# step=14 row=339 minW=78 found cw of W=70: [6 12 20 21 39 40 46 47 86 87 95 130 155 175 192 196 210 224 231 252 294 306 309 320 335 350 355 362 369 374 379 396 423 434 452 453 460 501 513 524 528 533 535 542 543 553 562 563 574 582 584 597 603 608 610 631 659 667 684 693 698 700 708 713 727 740 742 749 752 753]\n# step=42 row=69 minW=70 found cw of W=68: [37 45 50 70 78 105 119 130 135 148 182 185 189 192 196 197 215 221 224 234 241 245 249 252 271 291 307 312 324 333 337 346 353 366 367 402 407 418 421 422 423 451 471 477 478 503 512 560 574 581 588 599 612 614 615 650 654 656 657 666 669 685 689 690 703 706 717 736]\n# step=48 row=35 minW=68 found cw of W=62: [3 15 25 38 55 58 65 72 110 117 136 167 177 179 188 223 234 239 243 250 271 283 285 293 298 306 329 333 340 347 348 381 388 396 404 419 453 465 491 509 520 545 558 566 581 600 612 615 617 635 649 656 679 682 690 704 705 707 721 733 738 746]\n# step=123 row=140 minW=62 found cw of W=56: [19 26 52 130 135 142 164 165 175 176 184 190 197 230 231 239 266 274 285 287 300 305 360 390 395 403 425 439 453 480 488 493 508 513 515 553 554 555 563 578 583 598 602 619 623 624 630 632 643 651 664 678 683 732 741 754]\n# step=133 row=189 minW=56 found cw of W=42: [8 9 16 19 44 70 112 115 122 126 153 166 221 236 276 291 331 346 348 394 402 403 410 414 428 441 451 503 545 586 606 612 614 655 681 696 702 716 726 730 731 751]\n# round=1000 of 10000 minW=42\n# round=2000 of 10000 minW=42\n# round=3000 of 10000 minW=42\n# round=4000 of 10000 minW=42\n# round=5000 of 10000 minW=42\n# step=5690 row=283 minW=42 found cw of W=38: [22 25 32 36 40 51 73 77 84 106 132 143 194 198 200 235 238 242 249 267 345 348 352 374 397 423 431 438 472 562 578 629 633 640 652 726 742 752]\n# round=6000 of 10000 minW=38\n# round=7000 of 10000 minW=38\n# round=8000 of 10000 minW=38\n# round=9000 of 10000 minW=38\n# round=10000 of 10000 minW=38\nRW algorithm upper bound for the distance d=38\n</t>
  </si>
  <si>
    <t># step=0 row=1 minW=757 found cw of W=166: [2 4 8 11 16 20 21 30 32 43 44 55 59 65 75 83 85 88 99 106 109 122 134 137 139 145 148 149 155 160 170 171 177 183 186 193 194 195 205 206 211 217 224 227 231 234 249 254 260 261 262 264 268 270 271 272 273 280 282 286 292 293 294 300 305 306 308 312 315 316 322 324 327 330 332 334 338 341 345 347 355 356 371 381 384 386 391 392 395 398 403 409 411 415 416 418 425 426 428 432 433 438 442 443 458 468 471 475 477 487 491 493 495 498 501 506 510 512 515 521 522 524 527 547 550 554 565 574 578 584 588 593 594 595 600 604 609 615 619 628 632 643 648 651 655 656 662 670 672 674 677 687 690 695 704 706 709 710 715 716 720 728 732 737 754 756]\n# step=0 row=2 minW=166 found cw of W=154: [1 2 5 8 11 12 16 20 21 28 35 37 48 50 58 63 64 69 74 75 78 83 85 88 90 94 99 104 106 109 110 122 126 127 133 134 138 144 148 149 150 155 169 170 183 205 210 211 213 217 220 224 231 234 244 254 260 264 267 270 272 273 282 284 286 292 294 300 305 306 308 311 315 316 324 330 332 334 335 336 338 339 341 344 345 356 358 371 381 384 391 392 394 398 403 408 411 412 416 425 436 443 447 454 456 465 471 487 492 493 497 500 501 506 508 510 522 526 532 534 538 543 547 554 574 575 588 593 595 600 628 635 643 646 648 651 656 665 670 672 687 690 695 704 710 715 716 723 728 732 737 751 754 756]\n# step=0 row=4 minW=154 found cw of W=118: [7 20 21 28 32 38 55 69 75 83 101 116 122 127 134 137 138 139 148 150 177 178 183 186 193 194 199 213 215 217 220 224 225 231 241 249 254 261 262 266 268 271 272 273 282 286 293 294 300 305 306 309 319 322 326 330 334 335 337 344 352 355 356 379 384 388 389 398 411 412 438 446 454 468 469 471 474 487 491 494 500 501 508 512 521 526 534 538 543 550 554 574 575 584 587 588 595 600 609 615 616 628 635 636 648 651 662 672 681 684 688 695 700 704 719 725 728 742]\n# step=0 row=71 minW=118 found cw of W=116: [8 36 38 50 55 62 65 80 83 86 88 94 99 109 110 115 116 137 141 148 155 170 177 178 195 196 199 204 210 211 213 215 231 244 254 260 261 262 268 273 280 286 294 300 305 306 312 319 322 326 330 341 345 371 381 384 388 392 412 415 416 425 426 428 443 451 464 475 492 493 494 498 506 508 510 520 521 524 526 527 532 534 539 547 550 554 563 565 569 575 584 588 589 594 598 609 610 616 628 630 632 635 644 648 651 655 672 674 684 687 688 695 700 725 728 754]\n# step=0 row=378 minW=116 found cw of W=108: [11 16 21 30 37 38 43 48 55 78 83 88 90 101 110 115 122 133 144 145 160 166 169 170 171 178 197 201 204 205 210 211 212 213 215 220 225 262 263 267 270 282 292 300 303 311 316 326 332 336 338 345 352 386 388 389 399 403 416 426 428 432 454 471 475 489 495 500 506 510 512 524 534 543 547 550 565 575 578 588 589 598 604 606 609 619 630 632 635 643 646 665 670 681 688 700 709 710 715 716 720 723 725 732 737 744 751 756]\n# step=1 row=15 minW=108 found cw of W=106: [5 19 20 24 27 31 32 34 36 39 46 60 71 73 81 84 89 128 131 133 135 136 142 168 171 174 177 181 192 212 215 230 234 241 248 250 257 263 269 272 273 282 289 294 299 300 303 305 306 318 328 335 348 350 352 353 354 358 359 367 396 400 407 413 414 441 454 472 497 500 503 506 509 517 520 522 531 539 544 555 559 561 562 570 580 587 588 601 625 635 636 641 648 656 663 667 681 684 704 729 737 740 745 746 751 753]\n# step=1 row=46 minW=106 found cw of W=96: [5 19 20 24 27 31 34 36 39 46 60 71 73 84 87 89 128 131 133 135 142 168 174 181 192 215 230 234 241 248 250 257 263 269 272 273 282 289 294 299 300 303 305 306 318 328 335 348 350 352 353 354 358 359 367 396 400 407 410 413 414 441 472 497 503 506 517 522 531 539 559 561 562 570 580 587 588 601 625 635 636 641 648 656 663 667 681 684 704 729 737 740 745 746 751 753]\n# step=2 row=268 minW=96 found cw of W=94: [19 43 51 54 56 61 80 81 91 96 116 122 127 134 135 137 139 142 144 155 159 171 179 180 186 199 201 228 242 243 261 279 292 307 308 319 320 370 380 409 410 421 425 434 439 447 450 452 454 473 483 484 488 489 505 511 512 514 517 519 522 531 532 536 542 557 558 570 571 573 578 580 585 588 592 611 637 645 648 650 657 663 668 676 678 683 685 698 706 717 719 738 742 747]\n# step=9 row=337 minW=94 found cw of W=90: [7 8 12 14 29 56 69 73 84 90 113 118 119 152 161 163 169 201 202 208 242 256 264 294 302 304 305 306 321 323 330 335 337 344 346 348 349 355 356 365 367 381 382 399 403 407 413 422 456 462 468 472 493 502 503 511 513 530 542 547 552 553 560 580 585 586 593 594 627 632 634 637 647 648 650 670 672 680 689 708 713 715 724 728 729 733 735 737 740 754]\n# step=14 row=131 minW=90 found cw of W=88: [13 27 28 34 35 53 62 67 84 91 108 122 125 137 143 153 172 177 191 198 212 217 229 267 270 273 296 300 314 315 335 337 342 345 349 351 352 356 364 376 377 386 412 421 427 440 446 457 462 469 470 475 503 515 521 523 537 544 550 558 560 564 569 595 610 612 618 620 624 640 654 657 661 667 669 673 674 678 693 702 703 708 714 715 720 733 744 748]\n# step=16 row=107 minW=88 found cw of W=70: [6 42 48 83 97 112 117 174 178 181 188 193 202 207 208 215 221 228 233 249 250 269 272 288 297 298 299 303 304 313 325 327 332 338 339 354 371 380 415 446 447 481 490 496 516 536 550 556 559 565 566 593 596 600 605 607 626 627 635 637 641 646 663 671 672 677 681 697 727 749]\n# step=80 row=101 minW=70 found cw of W=64: [3 22 32 46 51 82 87 102 124 142 150 168 171 179 185 191 192 206 213 222 240 247 254 284 291 309 316 323 326 370 377 394 419 424 425 431 455 474 479 502 514 521 523 524 535 545 549 551 575 583 592 598 608 655 657 682 688 698 701 717 724 742 748 750]\n# step=257 row=282 minW=64 found cw of W=62: [6 8 54 57 153 155 159 160 168 196 208 215 217 230 231 249 270 279 280 305 308 310 315 356 360 370 379 386 421 438 441 448 462 470 487 528 533 546 552 554 560 574 577 581 588 592 593 603 609 629 636 653 663 667 686 688 692 699 713 726 727 750]\n# step=450 row=276 minW=62 found cw of W=60: [13 18 40 52 62 68 112 115 117 130 143 147 161 164 167 174 179 192 202 209 210 213 216 223 233 234 259 268 300 329 375 384 390 398 418 424 431 435 480 488 493 501 514 529 539 548 565 570 576 596 600 611 629 632 637 643 707 719 727 753]\n# step=450 row=280 minW=60 found cw of W=58: [13 18 40 52 62 68 112 117 130 143 147 161 167 174 179 192 202 205 209 210 213 216 223 233 234 259 268 300 329 375 384 390 398 418 424 431 435 480 488 501 514 529 539 555 565 570 576 596 600 611 629 632 637 643 707 719 727 753]\n# step=674 row=212 minW=58 found cw of W=56: [10 40 96 102 111 112 117 146 151 172 178 186 192 202 233 236 257 262 268 288 303 312 319 325 326 332 339 358 363 383 421 425 470 489 490 495 511 515 535 536 537 545 551 552 570 591 627 635 641 646 655 660 669 701 709 731]\n# step=689 row=97 minW=56 found cw of W=44: [2 13 65 68 72 112 116 120 123 154 159 164 171 174 175 187 208 209 216 219 230 233 236 264 281 288 298 336 394 417 442 458 491 537 548 558 565 592 596 620 682 697 738 746]\n# round=1000 of 10000 minW=44\n# step=1161 row=351 minW=44 found cw of W=40: [13 21 42 68 104 143 146 187 198 227 276 317 322 336 345 385 399 400 413 434 436 454 466 489 515 537 544 564 611 634 649 695 700 709 714 723 724 749 750 755]\n# round=2000 of 10000 minW=40\n# round=3000 of 10000 minW=40\n# round=4000 of 10000 minW=40\n# step=4770 row=297 minW=40 found cw of W=38: [11 18 22 26 66 77 81 84 88 286 294 334 335 349 356 376 383 398 409 424 458 506 507 548 573 574 596 622 623 638 671 686 687 708 719 728 738 753]\n# round=5000 of 10000 minW=38\n# round=6000 of 10000 minW=38\n# round=7000 of 10000 minW=38\n# round=8000 of 10000 minW=38\n# round=9000 of 10000 minW=38\n# round=10000 of 10000 minW=38\nRW algorithm upper bound for the distance d=38\n</t>
  </si>
  <si>
    <t>D</t>
  </si>
  <si>
    <t>F</t>
  </si>
  <si>
    <t>G</t>
  </si>
  <si>
    <t>H</t>
  </si>
  <si>
    <t>m4riRW_756</t>
  </si>
  <si>
    <t>Avg Delta d</t>
  </si>
  <si>
    <t>#,##0.0</t>
  </si>
  <si>
    <t>Trial:0 w:100; Trial:2 w:94; Trial:3 w:82; Trial:8 w:78; Trial:28 w:42; Trial:3859 w:40; pErr:0.3679, weight 40 CW found:58199, wDict:40:3,42:4,44:5,46:11,48:16,50:16,52:30,54:34,56:60,58:61,60:81,62:107,64:140,66:181,68:219,70:285,72:345,74:421,76:502,78:638,80:765,82:1014,84:1125,86:1402,88:1677,90:2084,92:2351,94:2760,96:3097,98:3359,100:3645,102:3776,104:3662,106:3451,108:3289,110:2766,112:2205,114:1600,116:1201,118:726,120:481,122:223,124:106,126:50,128:24,130:1,132:1</t>
  </si>
  <si>
    <t>Trial:0 w:12; Trial:2 w:10; pErr:0.0011, weight 10 CW found:14273, wDict:10:29909,12:16483,14:3450,16:158</t>
  </si>
  <si>
    <t>Trial:0 w:76; Trial:1 w:70; Trial:2 w:46; Trial:5 w:40; Trial:12 w:38; Trial:53 w:34; Trial:144 w:32; Trial:159 w:30; Trial:488 w:28; Trial:600 w:26; Trial:3327 w:24; pErr:0.3679, weight 24 CW found:56765, wDict:24:17,26:38,28:117,30:218,32:416,34:569,36:772,38:991,40:1165,42:1442,44:1513,46:1543,48:1614,50:1692,52:1733,54:1670,56:1691,58:1702,60:1622,62:1692,64:1661,66:1742,68:1653,70:1939,72:2002,74:2034,76:2129,78:2277,80:2455,82:2309,84:2067,86:1851,88:1424,90:969,92:671,94:348,96:171,98:60,100:16,102:4,104:1</t>
  </si>
  <si>
    <t>Trial:0 w:126; Trial:7 w:124; Trial:8 w:114; Trial:18 w:110; Trial:19 w:100; Trial:243 w:92; Trial:810 w:86; Trial:1222 w:84; Trial:1464 w:78; Trial:4714 w:76; Trial:6317 w:74; Trial:6491 w:72; Trial:30672 w:70; Trial:35734 w:68; pErr:0.3679, weight 68 CW found:18432, wDict:68:2,70:1,72:4,74:6,76:5,78:6,80:8,82:11,84:13,86:18,88:33,90:35,92:40,94:47,96:77,98:108,100:117,102:176,104:202,106:279,108:403,110:536,112:642,114:910,116:1146,118:1420,120:1804,122:2256,124:2660,126:3079,128:3561,130:3981,132:4190,134:4260,136:4113,138:3651,140:3222,142:2499,144:1799,146:1216,148:703,150:402,152:212,154:91,156:36,158:17,160:2,164:1</t>
  </si>
  <si>
    <t>Trial:0 w:106; Trial:1 w:100; Trial:2 w:86; Trial:5 w:76; Trial:19 w:70; Trial:55 w:62; Trial:139 w:56; Trial:302 w:50; Trial:339 w:46; Trial:516 w:42; Trial:12553 w:40; Trial:13550 w:38; Trial:38021 w:36; pErr:0.3679, weight 36 CW found:15609, wDict:36:2,38:3,40:11,42:14,44:21,46:27,48:35,50:44,52:59,54:84,56:94,58:93,60:154,62:163,64:201,66:245,68:303,70:367,72:485,74:631,76:737,78:962,80:1191,82:1519,84:1959,86:2409,88:2899,90:3389,92:3866,94:4313,96:4462,98:4506,100:4188,102:3644,104:2727,106:1913,108:1176,110:606,112:282,114:148,116:49,118:15,120:4</t>
  </si>
  <si>
    <t>Trial:0 w:164; Trial:3 w:140; Trial:12 w:136; Trial:72 w:120; Trial:109 w:112; Trial:243 w:102; Trial:303 w:98; Trial:850 w:86; Trial:5053 w:84; Trial:49898 w:78; pErr:0.3679, weight 78 CW found:133, wDict:78:1,84:1,86:1,88:1,90:4,92:3,94:6,96:8,98:14,100:10,102:16,104:11,106:20,108:28,110:26,112:39,114:42,116:42,118:68,120:73,122:70,124:86,126:93,128:81,130:104,132:150,134:173,136:211,138:275,140:281,142:347,144:509,146:611,148:694,150:935,152:1063,154:1343,156:1579,158:1885,160:2249,162:2657,164:2993,166:3308,168:3581,170:3626,172:3561,174:3558,176:3186,178:2802,180:2301,182:1774,184:1378,186:925,188:539,190:331,192:168,194:102,196:33,198:16,200:4,202:4</t>
  </si>
  <si>
    <t>Trial:0 w:206; Trial:1 w:204; Trial:2 w:184; Trial:43 w:170; Trial:167 w:160; Trial:189 w:152; Trial:239 w:142; Trial:280 w:140; Trial:351 w:134; Trial:850 w:130; Trial:1540 w:112; Trial:4048 w:90; pErr:0.3679, weight 90 CW found:58034, wDict:90:1,100:1,106:1,110:1,112:2,114:1,116:2,120:3,122:1,124:2,126:2,128:1,130:6,132:2,134:5,136:3,138:4,140:6,142:6,144:8,146:9,148:18,150:10,152:29,154:24,156:23,158:29,160:44,162:58,164:81,166:70,168:101,170:131,172:178,174:202,176:213,178:320,180:365,182:517,184:663,186:757,188:961,190:1126,192:1409,194:1679,196:1908,198:2286,200:2653,202:2848,204:3116,206:3315,208:3433,210:3411,212:3347,214:3084,216:2779,218:2356,220:1922,222:1422,224:1139,226:792,228:492,230:298,232:174,234:80,236:46,238:18,240:4,242:2</t>
  </si>
  <si>
    <t>Trial:0 w:168; Trial:5 w:166; Trial:17 w:160; Trial:74 w:156; Trial:82 w:152; Trial:109 w:146; Trial:140 w:130; Trial:437 w:116; Trial:778 w:84; Trial:5778 w:78; Trial:6750 w:70; Trial:19393 w:64; pErr:0.3679, weight 64 CW found:39003, wDict:64:1,70:2,74:1,76:1,78:2,80:3,82:2,84:4,86:4,88:6,90:4,92:5,94:4,96:4,98:7,100:6,102:10,104:10,106:6,108:12,110:15,112:8,114:11,116:11,118:19,120:13,122:7,124:23,126:10,128:20,130:22,132:24,134:29,136:43,138:57,140:63,142:80,144:111,146:112,148:153,150:191,152:245,154:325,156:427,158:535,160:684,162:807,164:1029,166:1296,168:1541,170:1778,172:2095,174:2542,176:2852,178:3136,180:3444,182:3559,184:3718,186:3574,188:3403,190:2919,192:2535,194:2127,196:1571,198:1080,200:712,202:455,204:270,206:111,208:67,210:34,212:7,214:6</t>
  </si>
  <si>
    <t>Trial:0 w:286; Trial:2 w:282; Trial:11 w:260; Trial:24 w:258; Trial:28 w:240; Trial:266 w:220; Trial:541 w:208; Trial:1035 w:204; Trial:4875 w:164; Trial:17302 w:140; pErr:0.3679, weight 140 CW found:40710, wDict:140:1,164:1,166:1,172:1,174:1,176:2,178:1,180:1,182:1,184:1,186:1,188:2,192:1,194:1,196:1,202:4,204:1,206:1,208:1,210:3,212:3,214:5,216:7,218:7,220:7,222:13,224:15,226:18,228:20,230:25,232:22,234:45,236:42,238:68,240:81,242:114,244:122,246:142,248:176,250:252,252:279,254:329,256:448,258:583,260:657,262:775,264:917,266:1119,268:1308,270:1524,272:1744,274:2045,276:2261,278:2490,280:2690,282:2863,284:2999,286:3017,288:3006,290:3005,292:2794,294:2428,296:2235,298:1893,300:1465,302:1226,304:873,306:690,308:416,310:289,312:189,314:113,316:46,318:36,320:18,322:12,324:4,326:1,330:2</t>
  </si>
  <si>
    <t>Trial:0 w:162; Trial:1 w:140; Trial:2 w:126; Trial:5 w:118; Trial:22 w:110; Trial:101 w:104; Trial:172 w:102; Trial:186 w:96; Trial:457 w:92; Trial:528 w:86; Trial:1001 w:84; Trial:1914 w:76; Trial:3299 w:68; Trial:33415 w:66; pErr:0.3679, weight 66 CW found:20813, wDict:66:1,68:1,70:1,72:3,74:2,76:11,78:12,80:21,82:23,84:24,86:37,88:63,90:53,92:85,94:100,96:131,98:171,100:168,102:208,104:247,106:281,108:326,110:400,112:451,114:528,116:553,118:705,120:713,122:899,124:1051,126:1203,128:1391,130:1575,132:1598,134:1923,136:2132,138:2351,140:2635,142:2840,144:3016,146:3150,148:3094,150:2985,152:2874,154:2566,156:2174,158:1743,160:1295,162:899,164:591,166:357,168:176,170:104,172:37,174:16,176:6</t>
  </si>
  <si>
    <t>Trial:0 w:360; Trial:1 w:354; Trial:5 w:324; Trial:65 w:320; Trial:66 w:314; Trial:85 w:310; Trial:163 w:304; Trial:267 w:292; Trial:401 w:270; Trial:1139 w:160; Trial:11762 w:148; Trial:42936 w:142; pErr:0.3679, weight 142 CW found:8714, wDict:142:1,148:1,154:1,160:1,170:1,186:1,190:1,196:2,198:1,202:1,208:1,210:2,212:2,220:1,228:1,230:2,236:1,238:1,240:3,242:4,244:1,246:3,248:1,250:1,252:4,254:2,256:3,258:3,260:4,262:2,264:1,266:5,268:2,270:3,272:8,274:6,276:9,278:9,280:8,282:10,284:27,286:14,288:22,290:24,292:29,294:40,296:48,298:40,300:46,302:66,304:69,306:90,308:125,310:121,312:123,314:175,316:186,318:252,320:270,322:344,324:416,326:476,328:577,330:581,332:692,334:858,336:992,338:1108,340:1272,342:1373,344:1624,346:1848,348:1946,350:2109,352:2240,354:2345,356:2368,358:2490,360:2550,362:2509,364:2497,366:2358,368:2177,370:1941,372:1800,374:1516,376:1215,378:1065,380:820,382:655,384:465,386:310,388:248,390:131,392:80,394:57,396:31,398:15,400:11,402:5,404:1,406:1,408:1,412:1</t>
  </si>
  <si>
    <t>Trial:0 w:108; Trial:43 w:106; Trial:65 w:104; Trial:154 w:86; Trial:265 w:84; Trial:849 w:80; Trial:5075 w:74; Trial:9953 w:66; pErr:0.3679, weight 66 CW found:48673, wDict:66:1,70:3,72:2,74:7,76:7,78:14,80:17,82:24,84:35,86:66,88:88,90:101,92:113,94:144,96:164,98:220,100:203,102:292,104:298,106:326,108:394,110:458,112:440,114:502,116:536,118:520,120:536,122:558,124:619,126:640,128:608,130:621,132:616,134:640,136:676,138:644,140:691,142:683,144:738,146:686,148:747,150:795,152:813,154:796,156:843,158:915,160:958,162:1021,164:1073,166:1106,168:1157,170:1299,172:1371,174:1442,176:1541,178:1591,180:1712,182:1665,184:1785,186:1680,188:1777,190:1751,192:1526,194:1383,196:1281,198:1057,200:927,202:696,204:466,206:363,208:231,210:154,212:72,214:43,216:19,218:10,220:3</t>
  </si>
  <si>
    <t>Trial:0 w:170; Trial:5 w:160; Trial:19 w:152; Trial:93 w:150; Trial:102 w:128; Trial:385 w:122; Trial:480 w:86; Trial:1207 w:76; Trial:2590 w:60; Trial:4779 w:54; Trial:6113 w:50; pErr:0.3679, weight 50 CW found:54821, wDict:50:1,52:1,54:1,60:1,62:1,64:3,66:2,70:3,72:5,74:6,76:2,78:2,80:8,82:7,84:10,86:8,88:4,90:11,92:11,94:9,96:18,98:10,100:17,102:19,104:25,106:20,108:32,110:22,112:45,114:35,116:39,118:42,120:55,122:40,124:49,126:46,128:61,130:55,132:76,134:62,136:78,138:83,140:121,142:98,144:114,146:116,148:140,150:175,152:199,154:211,156:226,158:267,160:279,162:327,164:360,166:423,168:594,170:580,172:727,174:847,176:936,178:1159,180:1277,182:1588,184:1746,186:1994,188:2178,190:2561,192:2818,194:2867,196:3100,198:3073,200:3033,202:2922,204:2695,206:2360,208:1944,210:1572,212:1213,214:856,216:542,218:348,220:208,222:106,224:50,226:20,228:1,230:3,232:1</t>
  </si>
  <si>
    <t>[[3024,4,78]]</t>
  </si>
  <si>
    <t>Trial:0 w:428; Trial:6 w:356; Trial:10 w:244; Trial:88 w:178; Trial:3102 w:154; pErr:0.3679, weight 154 CW found:55901, wDict:154:1,156:2,164:2,168:2,170:1,172:3,174:2,178:5,180:3,182:2,184:8,186:6,188:3,190:4,192:2,194:6,196:4,198:11,200:10,202:13,204:11,206:14,208:15,210:9,212:28,214:23,216:19,218:23,220:24,222:41,224:26,226:26,228:24,230:41,232:34,234:29,236:49,238:32,240:51,242:49,244:40,246:42,248:51,250:40,252:54,254:53,256:53,258:52,260:63,262:66,264:82,266:49,268:65,270:62,272:61,274:69,276:59,278:81,280:68,282:62,284:72,286:62,288:67,290:59,292:79,294:66,296:71,298:77,300:70,302:84,304:75,306:87,308:67,310:69,312:76,314:77,316:73,318:70,320:89,322:63,324:81,326:66,328:69,330:58,332:69,334:65,336:68,338:71,340:91,342:86,344:74,346:83,348:67,350:81,352:83,354:92,356:104,358:68,360:82,362:80,364:92,366:82,368:103,370:90,372:87,374:95,376:81,378:100,380:91,382:88,384:80,386:87,388:106,390:103,392:105,394:102,396:124,398:109,400:110,402:123,404:112,406:112,408:107,410:119,412:124,414:128,416:137,418:154,420:162,422:141,424:144,426:185,428:167,430:177,432:216,434:198,436:198,438:249,440:236,442:248,444:262,446:260,448:293,450:264,452:359,454:314,456:380,458:385,460:372,462:416,464:486,466:539,468:548,470:624,472:608,474:637,476:700,478:777,480:755,482:888,484:892,486:947,488:963,490:1058,492:1094,494:1131,496:1147,498:1164,500:1221,502:1256,504:1356,506:1223,508:1303,510:1300,512:1309,514:1300,516:1186,518:1148,520:1152,522:1043,524:1055,526:902,528:778,530:715,532:672,534:553,536:493,538:391,540:312,542:247,544:200,546:142,548:111,550:85,552:55,554:46,556:33,558:23,560:17,562:5,564:6,566:2,568:3,570:1</t>
  </si>
  <si>
    <t>nMin: 1</t>
  </si>
  <si>
    <t>nMax: 100000</t>
  </si>
  <si>
    <t>CCstart: -1</t>
  </si>
  <si>
    <t>nMin: 756</t>
  </si>
  <si>
    <t>nMax: 756</t>
  </si>
  <si>
    <t>GF4blockRep: 2</t>
  </si>
  <si>
    <t>regroupPerm: 1</t>
  </si>
  <si>
    <t>sMut: 0.2</t>
  </si>
  <si>
    <t>tabuLength: 0</t>
  </si>
  <si>
    <t>swapPivot: 1</t>
  </si>
  <si>
    <t>swapBlockorder: 0</t>
  </si>
  <si>
    <t>pMut: 6.0</t>
  </si>
  <si>
    <t>outfile: /home/ucapmwe/dist-benchmark/results/bivariate_bicycle-dist_m4ri_RW-20260215_181907.660756_85062422.txt</t>
  </si>
  <si>
    <t>0.5121673261746764</t>
  </si>
  <si>
    <t># step=0 row=0 minW=73 found cw of W=14: [1 2 3 11 19 20 22 27 37 43 47 56 62 68]\n# step=0 row=2 minW=14 found cw of W=8: [5 14 15 22 45 60 62 71]\n# step=0 row=22 minW=8 found cw of W=6: [38 47 56 62 68 71]\n# round=1000 of 50000 minW=6\n# round=2000 of 50000 minW=6\n# round=3000 of 50000 minW=6\n# round=4000 of 50000 minW=6\n# round=5000 of 50000 minW=6\n# round=6000 of 50000 minW=6\n# round=7000 of 50000 minW=6\n# round=8000 of 50000 minW=6\n# round=9000 of 50000 minW=6\n# round=10000 of 50000 minW=6\n# round=11000 of 50000 minW=6\n# round=12000 of 50000 minW=6\n# round=13000 of 50000 minW=6\n# round=14000 of 50000 minW=6\n# round=15000 of 50000 minW=6\n# round=16000 of 50000 minW=6\n# round=17000 of 50000 minW=6\n# round=18000 of 50000 minW=6\n# round=19000 of 50000 minW=6\n# round=20000 of 50000 minW=6\n# round=21000 of 50000 minW=6\n# round=22000 of 50000 minW=6\n# round=23000 of 50000 minW=6\n# round=24000 of 50000 minW=6\n# round=25000 of 50000 minW=6\n# round=26000 of 50000 minW=6\n# round=27000 of 50000 minW=6\n# round=28000 of 50000 minW=6\n# round=29000 of 50000 minW=6\n# round=30000 of 50000 minW=6\n# round=31000 of 50000 minW=6\n# round=32000 of 50000 minW=6\n# round=33000 of 50000 minW=6\n# round=34000 of 50000 minW=6\n# round=35000 of 50000 minW=6\n# round=36000 of 50000 minW=6\n# round=37000 of 50000 minW=6\n# round=38000 of 50000 minW=6\n# round=39000 of 50000 minW=6\n# round=40000 of 50000 minW=6\n# round=41000 of 50000 minW=6\n# round=42000 of 50000 minW=6\n# round=43000 of 50000 minW=6\n# round=44000 of 50000 minW=6\n# round=45000 of 50000 minW=6\n# round=46000 of 50000 minW=6\n# round=47000 of 50000 minW=6\n# round=48000 of 50000 minW=6\n# round=49000 of 50000 minW=6\n# round=50000 of 50000 minW=6\nRW algorithm upper bound for the distance d=6\n</t>
  </si>
  <si>
    <t># step=0 row=0 minW=91 found cw of W=20: [1 5 8 9 17 34 39 40 47 53 54 55 57 58 61 63 68 78 83 85]\n# step=0 row=2 minW=20 found cw of W=16: [3 7 9 19 32 40 46 47 48 54 55 58 70 71 76 85]\n# step=0 row=7 minW=16 found cw of W=14: [7 8 12 13 34 53 56 65 68 71 76 81 83 89]\n# step=0 row=10 minW=14 found cw of W=12: [5 7 16 33 48 53 54 55 63 68 76 78]\n# step=0 row=47 minW=12 found cw of W=10: [9 32 33 34 47 53 57 71 78 86]\n# round=1000 of 50000 minW=10\n# round=2000 of 50000 minW=10\n# round=3000 of 50000 minW=10\n# round=4000 of 50000 minW=10\n# round=5000 of 50000 minW=10\n# round=6000 of 50000 minW=10\n# round=7000 of 50000 minW=10\n# round=8000 of 50000 minW=10\n# round=9000 of 50000 minW=10\n# round=10000 of 50000 minW=10\n# round=11000 of 50000 minW=10\n# round=12000 of 50000 minW=10\n# round=13000 of 50000 minW=10\n# round=14000 of 50000 minW=10\n# round=15000 of 50000 minW=10\n# round=16000 of 50000 minW=10\n# round=17000 of 50000 minW=10\n# round=18000 of 50000 minW=10\n# round=19000 of 50000 minW=10\n# round=20000 of 50000 minW=10\n# round=21000 of 50000 minW=10\n# round=22000 of 50000 minW=10\n# round=23000 of 50000 minW=10\n# round=24000 of 50000 minW=10\n# round=25000 of 50000 minW=10\n# round=26000 of 50000 minW=10\n# round=27000 of 50000 minW=10\n# round=28000 of 50000 minW=10\n# round=29000 of 50000 minW=10\n# round=30000 of 50000 minW=10\n# round=31000 of 50000 minW=10\n# round=32000 of 50000 minW=10\n# round=33000 of 50000 minW=10\n# round=34000 of 50000 minW=10\n# round=35000 of 50000 minW=10\n# round=36000 of 50000 minW=10\n# round=37000 of 50000 minW=10\n# round=38000 of 50000 minW=10\n# round=39000 of 50000 minW=10\n# round=40000 of 50000 minW=10\n# round=41000 of 50000 minW=10\n# round=42000 of 50000 minW=10\n# round=43000 of 50000 minW=10\n# round=44000 of 50000 minW=10\n# round=45000 of 50000 minW=10\n# round=46000 of 50000 minW=10\n# round=47000 of 50000 minW=10\n# round=48000 of 50000 minW=10\n# round=49000 of 50000 minW=10\n# round=50000 of 50000 minW=10\nRW algorithm upper bound for the distance d=10\n</t>
  </si>
  <si>
    <t>1.1873942716047168</t>
  </si>
  <si>
    <t># step=0 row=0 minW=109 found cw of W=22: [1 2 14 16 18 19 26 30 31 33 39 50 51 54 65 78 80 82 83 86 88 90]\n# step=0 row=2 minW=22 found cw of W=12: [4 16 17 19 20 21 25 41 54 67 80 96]\n# step=0 row=45 minW=12 found cw of W=10: [17 18 26 33 48 50 59 68 91 106]\n# round=1000 of 50000 minW=10\n# round=2000 of 50000 minW=10\n# round=3000 of 50000 minW=10\n# round=4000 of 50000 minW=10\n# round=5000 of 50000 minW=10\n# round=6000 of 50000 minW=10\n# round=7000 of 50000 minW=10\n# round=8000 of 50000 minW=10\n# round=9000 of 50000 minW=10\n# round=10000 of 50000 minW=10\n# round=11000 of 50000 minW=10\n# round=12000 of 50000 minW=10\n# round=13000 of 50000 minW=10\n# round=14000 of 50000 minW=10\n# round=15000 of 50000 minW=10\n# round=16000 of 50000 minW=10\n# round=17000 of 50000 minW=10\n# round=18000 of 50000 minW=10\n# round=19000 of 50000 minW=10\n# round=20000 of 50000 minW=10\n# round=21000 of 50000 minW=10\n# round=22000 of 50000 minW=10\n# round=23000 of 50000 minW=10\n# round=24000 of 50000 minW=10\n# round=25000 of 50000 minW=10\n# round=26000 of 50000 minW=10\n# round=27000 of 50000 minW=10\n# round=28000 of 50000 minW=10\n# round=29000 of 50000 minW=10\n# round=30000 of 50000 minW=10\n# round=31000 of 50000 minW=10\n# round=32000 of 50000 minW=10\n# round=33000 of 50000 minW=10\n# round=34000 of 50000 minW=10\n# round=35000 of 50000 minW=10\n# round=36000 of 50000 minW=10\n# round=37000 of 50000 minW=10\n# round=38000 of 50000 minW=10\n# round=39000 of 50000 minW=10\n# round=40000 of 50000 minW=10\n# round=41000 of 50000 minW=10\n# round=42000 of 50000 minW=10\n# round=43000 of 50000 minW=10\n# round=44000 of 50000 minW=10\n# round=45000 of 50000 minW=10\n# round=46000 of 50000 minW=10\n# round=47000 of 50000 minW=10\n# round=48000 of 50000 minW=10\n# round=49000 of 50000 minW=10\n# round=50000 of 50000 minW=10\nRW algorithm upper bound for the distance d=10\n</t>
  </si>
  <si>
    <t>1.9778669895604253</t>
  </si>
  <si>
    <t># step=0 row=0 minW=145 found cw of W=32: [1 5 10 16 22 27 29 30 39 51 53 58 60 64 65 67 78 89 90 92 98 107 109 110 111 113 115 125 135 136 139 140]\n# step=0 row=2 minW=32 found cw of W=28: [4 5 10 27 28 30 37 51 55 58 59 64 65 67 78 81 86 88 97 101 107 109 110 111 115 125 140 144]\n# step=0 row=7 minW=28 found cw of W=24: [5 10 11 30 52 55 58 64 65 77 81 86 88 97 101 103 107 109 110 115 125 135 140 144]\n# step=0 row=9 minW=24 found cw of W=12: [14 22 28 29 30 80 86 88 92 96 98 101]\n# round=1000 of 50000 minW=12\n# round=2000 of 50000 minW=12\n# round=3000 of 50000 minW=12\n# round=4000 of 50000 minW=12\n# round=5000 of 50000 minW=12\n# round=6000 of 50000 minW=12\n# round=7000 of 50000 minW=12\n# round=8000 of 50000 minW=12\n# round=9000 of 50000 minW=12\n# round=10000 of 50000 minW=12\n# round=11000 of 50000 minW=12\n# round=12000 of 50000 minW=12\n# round=13000 of 50000 minW=12\n# round=14000 of 50000 minW=12\n# round=15000 of 50000 minW=12\n# round=16000 of 50000 minW=12\n# round=17000 of 50000 minW=12\n# round=18000 of 50000 minW=12\n# round=19000 of 50000 minW=12\n# round=20000 of 50000 minW=12\n# round=21000 of 50000 minW=12\n# round=22000 of 50000 minW=12\n# round=23000 of 50000 minW=12\n# round=24000 of 50000 minW=12\n# round=25000 of 50000 minW=12\n# round=26000 of 50000 minW=12\n# round=27000 of 50000 minW=12\n# round=28000 of 50000 minW=12\n# round=29000 of 50000 minW=12\n# round=30000 of 50000 minW=12\n# round=31000 of 50000 minW=12\n# round=32000 of 50000 minW=12\n# round=33000 of 50000 minW=12\n# round=34000 of 50000 minW=12\n# round=35000 of 50000 minW=12\n# round=36000 of 50000 minW=12\n# round=37000 of 50000 minW=12\n# round=38000 of 50000 minW=12\n# round=39000 of 50000 minW=12\n# round=40000 of 50000 minW=12\n# round=41000 of 50000 minW=12\n# round=42000 of 50000 minW=12\n# round=43000 of 50000 minW=12\n# round=44000 of 50000 minW=12\n# round=45000 of 50000 minW=12\n# round=46000 of 50000 minW=12\n# round=47000 of 50000 minW=12\n# round=48000 of 50000 minW=12\n# round=49000 of 50000 minW=12\n# round=50000 of 50000 minW=12\nRW algorithm upper bound for the distance d=12\n</t>
  </si>
  <si>
    <t>8.368582014925778</t>
  </si>
  <si>
    <t># step=0 row=0 minW=289 found cw of W=38: [1 15 18 22 27 35 43 49 55 59 60 67 69 76 81 84 88 95 98 123 130 150 154 159 162 167 184 187 188 193 213 222 228 233 235 243 250 277]\n# step=0 row=61 minW=38 found cw of W=36: [15 18 27 35 43 49 55 59 60 67 69 76 81 84 88 95 98 123 130 133 150 154 159 184 187 188 193 213 222 228 233 235 243 250 265 277]\n# step=1 row=11 minW=36 found cw of W=34: [12 14 17 19 25 37 50 63 66 68 71 91 95 103 115 129 144 146 149 157 158 166 173 179 182 183 210 216 222 227 231 235 236 269]\n# step=1 row=29 minW=34 found cw of W=32: [5 12 21 41 48 50 54 55 57 66 88 100 116 119 122 129 134 136 137 141 150 168 186 209 218 227 268 269 277 282 285 288]\n# step=2 row=51 minW=32 found cw of W=24: [13 17 20 24 30 42 49 50 56 86 89 91 96 123 127 162 182 185 188 191 194 196 197 200]\n# step=100 row=44 minW=24 found cw of W=22: [4 45 46 74 75 79 80 94 106 123 126 145 149 226 245 246 248 257 266 272 280 284]\n# step=173 row=57 minW=22 found cw of W=18: [14 18 52 55 59 60 86 88 94 96 122 123 125 127 128 129 130 132]\n# round=1000 of 50000 minW=18\n# round=2000 of 50000 minW=18\n# round=3000 of 50000 minW=18\n# round=4000 of 50000 minW=18\n# round=5000 of 50000 minW=18\n# round=6000 of 50000 minW=18\n# round=7000 of 50000 minW=18\n# round=8000 of 50000 minW=18\n# round=9000 of 50000 minW=18\n# round=10000 of 50000 minW=18\n# round=11000 of 50000 minW=18\n# round=12000 of 50000 minW=18\n# round=13000 of 50000 minW=18\n# round=14000 of 50000 minW=18\n# round=15000 of 50000 minW=18\n# round=16000 of 50000 minW=18\n# round=17000 of 50000 minW=18\n# round=18000 of 50000 minW=18\n# round=19000 of 50000 minW=18\n# round=20000 of 50000 minW=18\n# round=21000 of 50000 minW=18\n# round=22000 of 50000 minW=18\n# round=23000 of 50000 minW=18\n# round=24000 of 50000 minW=18\n# round=25000 of 50000 minW=18\n# round=26000 of 50000 minW=18\n# round=27000 of 50000 minW=18\n# round=28000 of 50000 minW=18\n# round=29000 of 50000 minW=18\n# round=30000 of 50000 minW=18\n# round=31000 of 50000 minW=18\n# round=32000 of 50000 minW=18\n# round=33000 of 50000 minW=18\n# round=34000 of 50000 minW=18\n# round=35000 of 50000 minW=18\n# round=36000 of 50000 minW=18\n# round=37000 of 50000 minW=18\n# round=38000 of 50000 minW=18\n# round=39000 of 50000 minW=18\n# round=40000 of 50000 minW=18\n# round=41000 of 50000 minW=18\n# round=42000 of 50000 minW=18\n# round=43000 of 50000 minW=18\n# round=44000 of 50000 minW=18\n# round=45000 of 50000 minW=18\n# round=46000 of 50000 minW=18\n# round=47000 of 50000 minW=18\n# round=48000 of 50000 minW=18\n# round=49000 of 50000 minW=18\n# round=50000 of 50000 minW=18\nRW algorithm upper bound for the distance d=18\n</t>
  </si>
  <si>
    <t>12.563259687274694</t>
  </si>
  <si>
    <t># step=0 row=0 minW=361 found cw of W=74: [2 14 23 27 34 36 41 45 47 48 49 61 63 66 67 69 71 83 87 88 92 95 108 120 124 125 126 130 135 154 156 161 169 173 179 180 182 185 194 195 199 203 217 218 232 241 252 270 271 276 277 283 291 295 305 312 317 318 322 323 324 328 331 333 335 338 339 342 343 344 349 350 351 355]\n# step=0 row=2 minW=74 found cw of W=62: [1 3 4 7 8 9 10 13 14 23 36 45 51 61 87 88 95 104 114 120 135 154 156 169 173 176 182 183 188 191 194 199 210 231 242 258 268 269 270 271 275 276 277 286 291 302 303 305 312 322 323 324 329 330 331 333 343 344 345 350 351 356]\n# step=0 row=8 minW=62 found cw of W=56: [13 14 20 22 27 34 41 47 56 67 71 87 100 114 121 124 125 136 150 152 154 156 169 173 174 179 182 195 217 238 244 249 252 268 269 271 276 277 295 301 305 310 317 318 323 329 333 335 338 339 344 345 350 351 354 355]\n# step=0 row=16 minW=56 found cw of W=44: [1 3 14 22 27 35 36 41 47 48 49 56 95 121 136 154 174 179 183 191 195 203 210 217 238 244 276 277 304 312 317 318 323 331 333 335 339 344 345 349 350 351 355 356]\n# step=1 row=53 minW=44 found cw of W=40: [22 43 59 63 69 92 94 108 111 112 113 119 134 141 145 146 147 150 160 163 167 168 171 172 173 174 188 197 204 215 217 218 263 270 289 296 315 341 345 350]\n# step=1 row=64 minW=40 found cw of W=34: [12 14 46 47 71 72 75 76 83 108 110 134 135 136 137 166 167 168 202 204 206 225 227 229 233 262 263 292 319 323 346 347 349 352]\n# step=5 row=88 minW=34 found cw of W=32: [2 7 9 16 25 32 85 101 144 153 154 155 160 186 197 218 245 251 283 310 311 318 320 332 337 338 339 342 345 347 353 359]\n# step=10 row=77 minW=32 found cw of W=30: [41 46 51 57 58 94 126 137 141 142 152 168 179 201 207 222 227 232 233 238 243 248 253 280 286 291 322 333 334 360]\n# step=10 row=143 minW=30 found cw of W=28: [5 41 46 51 57 58 94 126 137 141 142 168 201 207 222 227 232 233 238 243 248 253 280 281 286 291 322 360]\n# step=116 row=153 minW=28 found cw of W=26: [35 38 57 87 88 89 90 91 139 145 157 177 192 199 205 212 226 245 247 253 273 300 320 326 339 358]\n# round=1000 of 50000 minW=26\n# step=1152 row=169 minW=26 found cw of W=24: [13 35 36 56 83 84 87 104 109 114 146 157 185 194 221 227 233 242 264 268 295 327 354 360]\n# round=2000 of 50000 minW=24\n# round=3000 of 50000 minW=24\n# round=4000 of 50000 minW=24\n# round=5000 of 50000 minW=24\n# round=6000 of 50000 minW=24\n# round=7000 of 50000 minW=24\n# round=8000 of 50000 minW=24\n# round=9000 of 50000 minW=24\n# round=10000 of 50000 minW=24\n# round=11000 of 50000 minW=24\n# round=12000 of 50000 minW=24\n# round=13000 of 50000 minW=24\n# round=14000 of 50000 minW=24\n# round=15000 of 50000 minW=24\n# round=16000 of 50000 minW=24\n# round=17000 of 50000 minW=24\n# round=18000 of 50000 minW=24\n# round=19000 of 50000 minW=24\n# round=20000 of 50000 minW=24\n# round=21000 of 50000 minW=24\n# round=22000 of 50000 minW=24\n# round=23000 of 50000 minW=24\n# round=24000 of 50000 minW=24\n# round=25000 of 50000 minW=24\n# round=26000 of 50000 minW=24\n# round=27000 of 50000 minW=24\n# round=28000 of 50000 minW=24\n# round=29000 of 50000 minW=24\n# round=30000 of 50000 minW=24\n# round=31000 of 50000 minW=24\n# round=32000 of 50000 minW=24\n# round=33000 of 50000 minW=24\n# round=34000 of 50000 minW=24\n# round=35000 of 50000 minW=24\n# round=36000 of 50000 minW=24\n# round=37000 of 50000 minW=24\n# round=38000 of 50000 minW=24\n# round=39000 of 50000 minW=24\n# round=40000 of 50000 minW=24\n# round=41000 of 50000 minW=24\n# round=42000 of 50000 minW=24\n# round=43000 of 50000 minW=24\n# round=44000 of 50000 minW=24\n# round=45000 of 50000 minW=24\n# round=46000 of 50000 minW=24\n# round=47000 of 50000 minW=24\n# round=48000 of 50000 minW=24\n# round=49000 of 50000 minW=24\n# round=50000 of 50000 minW=24\nRW algorithm upper bound for the distance d=24\n</t>
  </si>
  <si>
    <t>58.45441651623696</t>
  </si>
  <si>
    <t># step=0 row=0 minW=757 found cw of W=138: [1 2 9 12 16 25 27 29 30 32 41 45 48 52 60 62 67 69 70 83 88 112 116 126 129 133 139 140 153 171 180 191 198 208 222 231 233 234 237 239 240 277 284 289 292 294 297 300 301 305 312 316 319 324 332 337 341 346 347 352 354 355 367 368 380 381 387 390 394 396 399 401 403 405 412 422 428 429 431 436 437 440 441 445 458 461 462 463 467 468 484 486 489 492 502 505 519 526 527 530 533 545 553 557 561 566 568 574 592 594 600 604 606 616 617 618 624 628 635 647 648 651 658 666 675 678 680 682 708 714 719 723 725 727 731 739 748 749]\n# step=0 row=3 minW=138 found cw of W=130: [2 5 9 15 16 18 25 27 30 32 35 36 39 41 46 48 52 53 62 67 69 75 79 80 88 93 94 112 115 116 135 136 142 145 148 155 167 179 191 198 199 200 203 207 214 222 239 251 255 264 270 277 283 284 291 294 300 301 319 324 327 328 332 338 341 346 355 358 360 373 380 381 390 394 399 400 401 403 404 405 412 414 417 426 431 433 437 458 461 463 465 467 485 502 508 515 519 549 552 553 556 602 607 609 612 617 620 624 629 632 646 648 651 656 658 685 686 688 705 710 714 718 723 727 731 739 748 751 753 755]\n# step=0 row=35 minW=130 found cw of W=126: [12 15 17 26 45 46 53 61 62 67 70 75 76 87 88 93 112 122 126 132 136 139 166 173 179 180 191 198 205 222 223 224 231 234 239 245 260 267 270 283 285 289 300 305 307 310 315 319 327 332 337 340 343 355 362 367 372 373 390 399 400 404 405 410 414 422 429 430 431 434 440 450 465 466 467 468 475 485 489 492 499 500 502 503 508 512 519 526 530 533 534 540 545 549 568 590 592 599 600 602 612 616 630 635 641 648 651 653 655 657 658 662 666 672 680 682 688 704 710 711 716 718 725 727 751 756]\n# step=0 row=67 minW=126 found cw of W=118: [2 9 12 16 25 26 27 29 30 36 41 46 47 48 52 60 61 69 80 83 85 88 91 112 129 133 135 137 139 140 144 153 179 180 191 198 208 215 223 251 270 285 290 291 300 310 319 321 332 346 350 352 355 360 380 400 401 403 410 414 430 431 434 437 440 445 461 462 463 466 467 468 485 486 489 502 505 512 522 527 530 534 545 553 568 570 571 583 592 594 602 612 619 620 629 632 635 637 648 651 656 658 660 682 685 686 688 705 719 723 725 727 728 746 748 753 754 755]\n# step=0 row=68 minW=118 found cw of W=112: [15 25 29 38 47 70 80 83 85 89 91 93 112 126 132 135 138 142 148 151 153 155 162 173 179 182 203 208 213 214 223 224 237 239 244 270 283 285 290 292 294 301 305 307 308 310 321 324 347 352 354 359 362 367 373 387 394 400 409 426 428 429 436 437 450 458 461 462 466 467 475 480 484 492 505 515 519 522 526 527 533 545 556 570 574 592 594 602 606 609 612 616 619 647 651 655 656 657 658 660 682 686 688 704 716 731 738 739 751 753 754 755]\n# step=0 row=98 minW=112 found cw of W=108: [15 25 29 38 47 70 80 83 85 91 93 112 126 132 133 135 142 148 151 153 155 162 173 195 203 208 213 214 224 237 239 270 283 290 292 294 301 305 307 308 310 321 324 347 352 354 359 362 367 373 387 394 400 409 426 428 429 436 437 450 458 461 462 466 475 480 484 492 505 515 519 526 527 533 545 556 566 570 574 592 594 602 606 609 612 616 617 619 628 647 651 655 656 657 658 660 682 686 688 704 716 731 738 739 751 753 754 755]\n# step=0 row=194 minW=108 found cw of W=88: [25 26 38 46 67 70 75 112 116 126 130 142 149 151 162 167 179 199 213 215 220 222 223 251 277 283 284 285 287 300 310 327 328 338 341 355 359 367 381 383 390 396 399 400 404 409 410 429 430 437 473 480 492 499 503 515 519 549 556 557 568 575 606 607 609 612 617 624 629 632 635 637 647 648 653 655 660 686 688 704 710 714 718 725 727 738 753 755]\n# step=0 row=308 minW=88 found cw of W=74: [12 15 18 25 46 61 80 83 132 135 145 167 173 198 200 207 220 222 251 255 283 287 308 310 319 338 341 359 368 426 430 433 434 440 445 461 475 486 489 500 505 530 545 549 556 568 575 590 605 606 607 612 613 617 624 629 635 646 647 653 654 656 658 660 662 678 686 695 711 714 725 727 736 753]\n# step=16 row=180 minW=74 found cw of W=66: [24 31 80 121 129 137 161 170 187 192 197 200 205 211 216 225 240 247 258 262 263 269 277 297 298 322 329 336 348 352 359 370 377 384 408 425 449 450 453 458 513 540 554 559 565 569 575 578 610 619 620 624 626 627 631 636 641 647 649 658 690 695 709 721 737 738]\n# step=26 row=97 minW=66 found cw of W=62: [3 14 24 49 69 70 84 113 114 127 139 168 175 194 199 202 212 224 229 237 254 298 302 319 337 360 386 397 413 421 435 448 457 462 470 471 476 482 487 497 505 531 537 546 552 566 567 586 587 590 597 602 607 621 634 645 662 692 701 715 731 750]\n# step=131 row=175 minW=62 found cw of W=58: [5 11 19 31 47 52 54 86 98 102 135 142 146 153 157 160 210 230 259 270 285 300 307 308 328 340 360 368 370 389 395 423 429 430 433 459 472 474 478 500 527 539 562 582 594 608 617 631 632 637 648 657 672 678 697 733 740 741]\n# round=1000 of 50000 minW=58\n# step=1577 row=307 minW=58 found cw of W=52: [36 47 137 141 151 158 175 177 178 202 206 218 219 222 230 233 257 261 264 267 268 273 280 284 321 339 347 383 394 402 409 437 443 450 466 469 473 480 484 504 519 527 555 568 596 599 604 609 610 653 725 754]\n# step=1577 row=333 minW=52 found cw of W=50: [36 47 137 141 151 158 175 178 202 206 218 219 222 230 233 257 261 264 268 273 275 280 284 316 321 339 347 383 394 402 409 437 443 450 466 469 473 480 484 504 519 527 568 596 609 653 659 666 725 754]\n# round=2000 of 50000 minW=50\n# round=3000 of 50000 minW=50\n# step=3781 row=231 minW=50 found cw of W=48: [100 155 161 162 167 189 198 200 205 208 216 235 242 272 283 339 362 373 388 442 451 491 518 532 539 541 545 558 576 578 584 586 600 612 625 640 641 649 650 666 676 682 689 702 712 725 730 739]\n# round=4000 of 50000 minW=48\n# round=5000 of 50000 minW=48\n# round=6000 of 50000 minW=48\n# round=7000 of 50000 minW=48\n# round=8000 of 50000 minW=48\n# round=9000 of 50000 minW=48\n# round=10000 of 50000 minW=48\n# round=11000 of 50000 minW=48\n# round=12000 of 50000 minW=48\n# round=13000 of 50000 minW=48\n# round=14000 of 50000 minW=48\n# round=15000 of 50000 minW=48\n# step=15126 row=126 minW=48 found cw of W=44: [7 14 18 29 55 66 73 117 121 153 165 172 176 179 202 231 236 275 286 292 303 337 341 346 352 359 382 393 413 416 423 503 531 552 586 614 621 669 704 711 724 730 732 737]\n# round=16000 of 50000 minW=44\n# round=17000 of 50000 minW=44\n# step=17865 row=311 minW=44 found cw of W=40: [8 22 25 29 36 185 240 246 247 252 289 290 297 302 325 336 344 359 399 465 466 489 514 515 555 564 579 605 613 624 630 645 646 674 675 694 720 729 736 743]\n# round=18000 of 50000 minW=40\n# round=19000 of 50000 minW=40\n# round=20000 of 50000 minW=40\n# round=21000 of 50000 minW=40\n# round=22000 of 50000 minW=40\n# round=23000 of 50000 minW=40\n# round=24000 of 50000 minW=40\n# round=25000 of 50000 minW=40\n# round=26000 of 50000 minW=40\n# round=27000 of 50000 minW=40\n# round=28000 of 50000 minW=40\n# round=29000 of 50000 minW=40\n# round=30000 of 50000 minW=40\n# round=31000 of 50000 minW=40\n# round=32000 of 50000 minW=40\n# round=33000 of 50000 minW=40\n# round=34000 of 50000 minW=40\n# round=35000 of 50000 minW=40\n# round=36000 of 50000 minW=40\n# round=37000 of 50000 minW=40\n# round=38000 of 50000 minW=40\n# round=39000 of 50000 minW=40\n# round=40000 of 50000 minW=40\n# round=41000 of 50000 minW=40\n# round=42000 of 50000 minW=40\n# round=43000 of 50000 minW=40\n# round=44000 of 50000 minW=40\n# round=45000 of 50000 minW=40\n# round=46000 of 50000 minW=40\n# round=47000 of 50000 minW=40\n# round=48000 of 50000 minW=40\n# round=49000 of 50000 minW=40\n# round=50000 of 50000 minW=40\nRW algorithm upper bound for the distance d=40\n</t>
  </si>
  <si>
    <t>3.2927756188437343</t>
  </si>
  <si>
    <t># step=0 row=1 minW=217 found cw of W=24: [2 4 6 8 14 16 24 36 46 54 56 70 86 94 100 112 116 130 136 150 154 172 176 206]\n# step=0 row=3 minW=24 found cw of W=22: [9 17 27 33 41 51 55 59 63 71 73 83 85 93 101 111 117 165 179 187 197 203]\n# step=0 row=6 minW=22 found cw of W=20: [6 12 14 24 26 50 78 86 100 126 130 134 136 168 172 176 182 188 210 212]\n# step=0 row=7 minW=20 found cw of W=16: [13 15 19 27 33 55 63 73 83 85 87 117 119 155 187 197]\n# step=0 row=37 minW=16 found cw of W=14: [6 26 36 64 72 78 84 86 134 168 170 182 198 206]\n# step=0 row=38 minW=14 found cw of W=10: [16 20 66 80 88 112 114 134 150 186]\n# round=1000 of 50000 minW=10\n# round=2000 of 50000 minW=10\n# round=3000 of 50000 minW=10\n# round=4000 of 50000 minW=10\n# round=5000 of 50000 minW=10\n# round=6000 of 50000 minW=10\n# round=7000 of 50000 minW=10\n# round=8000 of 50000 minW=10\n# round=9000 of 50000 minW=10\n# round=10000 of 50000 minW=10\n# round=11000 of 50000 minW=10\n# round=12000 of 50000 minW=10\n# round=13000 of 50000 minW=10\n# round=14000 of 50000 minW=10\n# round=15000 of 50000 minW=10\n# round=16000 of 50000 minW=10\n# round=17000 of 50000 minW=10\n# round=18000 of 50000 minW=10\n# round=19000 of 50000 minW=10\n# round=20000 of 50000 minW=10\n# round=21000 of 50000 minW=10\n# round=22000 of 50000 minW=10\n# round=23000 of 50000 minW=10\n# round=24000 of 50000 minW=10\n# round=25000 of 50000 minW=10\n# round=26000 of 50000 minW=10\n# round=27000 of 50000 minW=10\n# round=28000 of 50000 minW=10\n# round=29000 of 50000 minW=10\n# round=30000 of 50000 minW=10\n# round=31000 of 50000 minW=10\n# round=32000 of 50000 minW=10\n# round=33000 of 50000 minW=10\n# round=34000 of 50000 minW=10\n# round=35000 of 50000 minW=10\n# round=36000 of 50000 minW=10\n# round=37000 of 50000 minW=10\n# round=38000 of 50000 minW=10\n# round=39000 of 50000 minW=10\n# round=40000 of 50000 minW=10\n# round=41000 of 50000 minW=10\n# round=42000 of 50000 minW=10\n# round=43000 of 50000 minW=10\n# round=44000 of 50000 minW=10\n# round=45000 of 50000 minW=10\n# round=46000 of 50000 minW=10\n# round=47000 of 50000 minW=10\n# round=48000 of 50000 minW=10\n# round=49000 of 50000 minW=10\n# round=50000 of 50000 minW=10\nRW algorithm upper bound for the distance d=10\n</t>
  </si>
  <si>
    <t>31.007136520929635</t>
  </si>
  <si>
    <t># step=0 row=0 minW=577 found cw of W=122: [1 8 10 19 23 24 36 57 59 60 67 74 81 83 87 100 102 108 113 116 117 119 120 122 123 124 137 140 141 153 158 159 162 164 171 172 176 177 180 181 183 184 194 196 197 200 208 232 237 252 253 255 258 261 262 274 281 287 291 292 299 300 302 309 310 312 327 338 339 348 350 351 353 357 370 375 378 380 386 391 393 395 396 397 398 421 437 439 441 449 450 453 461 462 463 465 472 473 474 483 487 489 495 513 521 524 527 528 529 535 539 542 548 552 554 559 560 564 570 571 573 574]\n# step=0 row=1 minW=122 found cw of W=100: [2 3 4 7 8 10 18 19 23 40 50 57 62 67 78 81 87 91 97 101 102 113 116 122 124 137 138 140 141 153 155 158 164 171 172 176 177 179 181 196 197 199 200 253 255 258 261 272 274 281 287 289 291 293 300 310 327 331 333 338 353 356 357 359 375 391 393 396 397 398 399 400 404 414 420 421 424 449 472 473 483 487 488 500 504 508 513 524 527 542 548 552 553 554 559 560 564 570 571 574]\n# step=0 row=4 minW=100 found cw of W=86: [10 11 13 17 19 24 32 55 59 60 83 87 101 102 121 123 124 138 142 153 171 172 177 181 185 194 196 198 200 208 215 223 232 252 274 284 291 292 298 299 310 333 348 350 353 358 363 370 375 378 380 387 392 393 398 415 421 424 426 434 441 447 462 463 465 471 481 489 490 495 497 505 513 514 521 524 526 529 539 541 547 548 551 564 573 574]\n# step=0 row=5 minW=86 found cw of W=62: [3 7 8 12 13 17 19 23 32 36 50 57 71 74 87 91 97 100 101 121 124 145 148 172 194 199 202 218 230 259 284 298 300 310 327 331 338 344 356 360 361 391 397 402 415 421 447 449 471 473 487 500 504 511 513 521 537 540 550 551 561 571]\n# step=4 row=117 minW=62 found cw of W=40: [24 38 62 64 68 70 102 104 132 136 145 164 166 168 169 177 206 242 247 251 258 307 311 348 351 357 376 385 393 406 430 464 468 482 491 500 506 524 534 545]\n# step=5 row=74 minW=40 found cw of W=30: [7 54 64 68 72 102 106 150 154 166 180 204 244 252 294 298 341 353 387 389 420 490 502 514 526 535 536 538 560 562]\n# step=89 row=253 minW=30 found cw of W=28: [45 58 77 87 91 105 171 175 189 207 235 244 273 287 295 319 343 349 377 382 401 410 447 458 507 516 535 559]\n# step=191 row=120 minW=28 found cw of W=24: [18 54 70 156 160 164 168 242 244 248 252 256 258 260 264 295 309 349 434 444 458 468 498 522]\n# round=1000 of 50000 minW=24\n# round=2000 of 50000 minW=24\n# round=3000 of 50000 minW=24\n# round=4000 of 50000 minW=24\n# round=5000 of 50000 minW=24\n# round=6000 of 50000 minW=24\n# round=7000 of 50000 minW=24\n# round=8000 of 50000 minW=24\n# round=9000 of 50000 minW=24\n# round=10000 of 50000 minW=24\n# round=11000 of 50000 minW=24\n# round=12000 of 50000 minW=24\n# round=13000 of 50000 minW=24\n# round=14000 of 50000 minW=24\n# round=15000 of 50000 minW=24\n# round=16000 of 50000 minW=24\n# round=17000 of 50000 minW=24\n# round=18000 of 50000 minW=24\n# round=19000 of 50000 minW=24\n# round=20000 of 50000 minW=24\n# round=21000 of 50000 minW=24\n# round=22000 of 50000 minW=24\n# round=23000 of 50000 minW=24\n# round=24000 of 50000 minW=24\n# round=25000 of 50000 minW=24\n# round=26000 of 50000 minW=24\n# round=27000 of 50000 minW=24\n# round=28000 of 50000 minW=24\n# round=29000 of 50000 minW=24\n# round=30000 of 50000 minW=24\n# round=31000 of 50000 minW=24\n# round=32000 of 50000 minW=24\n# round=33000 of 50000 minW=24\n# round=34000 of 50000 minW=24\n# round=35000 of 50000 minW=24\n# round=36000 of 50000 minW=24\n# round=37000 of 50000 minW=24\n# round=38000 of 50000 minW=24\n# round=39000 of 50000 minW=24\n# round=40000 of 50000 minW=24\n# round=41000 of 50000 minW=24\n# round=42000 of 50000 minW=24\n# round=43000 of 50000 minW=24\n# round=44000 of 50000 minW=24\n# round=45000 of 50000 minW=24\n# round=46000 of 50000 minW=24\n# round=47000 of 50000 minW=24\n# round=48000 of 50000 minW=24\n# round=49000 of 50000 minW=24\n# round=50000 of 50000 minW=24\nRW algorithm upper bound for the distance d=24\n</t>
  </si>
  <si>
    <t># step=0 row=0 minW=865 found cw of W=200: [1 2 3 4 6 23 25 33 38 55 62 64 78 84 85 87 88 93 94 112 117 118 119 121 125 127 135 139 140 145 154 157 162 165 170 174 185 188 192 194 196 200 204 206 208 209 214 216 218 225 232 235 246 250 263 264 265 266 270 273 275 279 280 285 288 292 293 296 303 306 320 327 331 333 335 338 340 342 343 353 355 359 363 375 377 379 381 383 384 393 394 401 403 405 407 411 415 419 429 433 434 440 443 445 446 458 466 472 473 486 494 500 504 508 509 516 519 527 531 532 535 540 541 545 547 551 565 571 577 584 587 594 610 611 616 619 620 621 623 628 633 634 637 648 651 652 655 663 664 676 681 688 694 695 698 701 703 709 710 715 722 726 734 737 738 739 744 745 746 758 759 763 765 767 769 774 778 781 783 784 785 787 790 796 797 803 813 817 819 822 825 829 838 839 844 845 848 852 856 860]\n# step=0 row=2 minW=200 found cw of W=170: [1 3 7 13 19 33 36 37 55 64 70 72 77 79 84 88 93 112 118 126 135 136 140 145 150 154 162 170 174 175 177 184 192 194 196 203 204 206 208 209 212 214 218 225 234 237 238 246 250 255 263 265 270 280 285 296 297 302 303 304 306 313 325 329 331 333 335 338 349 358 359 363 365 375 376 377 379 381 383 391 401 403 404 411 413 417 419 429 434 436 440 453 456 461 463 466 477 480 482 491 494 501 516 518 519 527 530 532 534 536 540 541 547 550 551 562 574 576 577 581 585 586 587 589 594 612 619 622 623 637 651 652 663 664 683 684 692 694 698 703 709 715 722 723 734 737 739 744 753 763 765 767 769 778 784 787 790 802 803 813 814 822 825 826 829 839 841 844 852 862]\n# step=0 row=5 minW=170 found cw of W=160: [10 12 23 25 28 36 55 62 64 69 85 87 93 94 102 107 109 112 117 118 119 126 128 134 135 136 140 157 159 162 165 170 184 188 196 200 203 204 206 214 215 225 229 238 245 246 250 255 264 265 280 293 296 301 309 318 327 334 340 349 353 355 359 376 379 380 383 386 388 391 395 410 415 434 436 448 455 461 463 472 477 482 500 501 504 508 516 526 527 531 534 540 541 545 547 577 586 588 597 606 607 610 611 619 621 623 626 628 634 637 648 651 664 665 668 676 689 693 695 698 700 701 703 710 712 713 715 721 722 726 728 729 735 736 744 745 746 753 763 767 769 778 781 782 783 791 796 797 800 802 803 805 813 817 819 841 842 843 852 862]\n# step=0 row=21 minW=160 found cw of W=156: [11 13 28 37 38 40 46 55 62 64 72 77 81 84 94 109 112 115 117 118 121 125 127 128 135 139 140 147 150 154 157 169 170 175 177 191 192 194 208 209 212 216 229 235 237 238 245 246 249 256 261 264 273 274 275 302 304 309 311 313 318 325 327 329 334 337 342 343 358 363 374 375 377 379 381 384 386 388 394 395 410 411 415 417 433 445 455 472 480 491 500 501 508 513 525 526 527 532 535 540 545 547 562 564 571 581 587 589 595 597 600 606 610 620 622 623 637 651 657 663 664 668 681 686 689 692 693 694 698 709 710 712 713 722 726 729 734 735 758 760 763 768 791 797 800 805 809 811 820 826 838 841 842 848 856 860]\n# step=0 row=43 minW=156 found cw of W=148: [3 10 19 23 25 33 55 64 72 73 94 112 117 121 128 131 135 136 139 150 157 159 162 169 170 172 175 177 184 188 191 192 194 196 200 212 214 225 237 245 246 248 250 255 264 266 268 270 288 293 303 306 313 320 325 327 332 334 342 359 363 365 374 379 384 386 388 395 404 410 413 417 429 433 440 443 445 458 472 480 494 500 508 513 516 518 527 536 543 547 549 574 576 585 587 589 594 607 612 621 622 626 628 634 648 651 652 655 657 664 665 683 686 692 693 694 698 700 701 703 710 715 722 723 729 734 735 736 739 744 763 765 769 770 778 784 800 805 806 820 822 825 829 839 841 843 855 856]\n# step=0 row=187 minW=148 found cw of W=144: [11 37 61 64 69 81 84 107 109 110 112 118 119 124 126 134 136 137 139 145 150 154 170 177 191 206 208 218 229 232 234 235 237 238 239 245 246 255 263 264 265 266 285 288 301 304 313 324 340 342 349 364 374 375 377 379 386 389 395 397 401 403 404 409 410 413 415 417 429 440 443 446 456 458 461 466 473 487 507 509 513 516 518 527 530 532 545 547 549 550 551 564 565 576 578 585 587 588 589 590 594 600 616 620 621 628 637 651 652 655 665 681 688 695 700 701 709 724 728 735 736 737 745 746 759 760 763 765 785 791 796 799 805 810 817 820 829 831 832 838 839 842 852 856]\n# step=0 row=200 minW=144 found cw of W=140: [13 23 28 36 55 64 69 70 72 77 78 85 87 93 94 102 107 109 110 112 117 118 125 126 134 135 136 145 150 159 165 170 182 184 188 200 203 208 216 225 239 245 254 273 275 279 288 296 301 303 313 320 325 338 342 343 353 355 374 375 376 377 379 381 383 391 392 393 404 405 407 410 413 415 417 429 443 446 448 458 461 463 477 480 482 491 504 513 525 526 527 530 531 534 535 545 547 549 550 562 565 571 585 588 607 610 611 619 620 634 637 648 651 657 665 684 689 700 712 722 726 736 739 744 753 758 778 784 790 791 797 809 813 819 820 822 838 839 843 860]\n# step=1 row=31 minW=140 found cw of W=136: [11 15 17 21 23 38 44 46 56 58 69 70 80 81 83 90 103 106 124 133 137 144 147 148 158 168 170 181 184 190 192 202 205 216 223 230 234 247 250 264 271 284 289 298 299 301 305 309 321 345 366 368 370 373 382 385 386 387 388 389 390 391 395 396 401 403 405 410 414 420 426 431 434 435 436 447 477 481 487 494 499 505 507 516 518 523 528 530 535 538 568 571 584 591 594 604 606 607 614 622 627 634 637 638 640 648 652 683 685 688 693 700 703 708 721 722 731 733 745 757 759 781 783 785 787 793 807 815 821 824 828 842 843 856 858 862]\n# step=1 row=45 minW=136 found cw of W=134: [6 15 17 23 25 29 30 38 42 44 48 67 68 76 92 100 106 118 120 122 133 136 137 147 185 189 191 192 202 223 224 230 240 245 256 259 264 271 285 289 296 298 303 309 312 337 343 362 364 365 366 367 373 377 380 382 388 390 400 409 412 425 426 462 463 464 477 480 494 499 501 505 510 516 521 523 528 532 533 540 541 548 549 557 559 561 564 570 571 572 573 599 603 607 609 619 628 629 630 640 643 648 661 670 680 688 702 710 713 721 724 736 740 742 743 758 759 760 772 783 785 788 794 802 804 808 811 814 821 829 830 843 858 862]\n# step=1 row=213 minW=134 found cw of W=132: [1 5 15 21 25 27 29 44 46 67 68 74 85 106 108 118 124 129 133 137 144 148 158 168 170 178 181 184 186 191 194 202 216 232 234 235 240 242 245 285 288 289 298 309 312 337 347 366 373 385 387 394 395 401 412 415 420 434 435 436 453 464 465 477 480 481 487 494 501 507 513 516 518 520 528 535 538 541 548 549 552 558 564 568 570 572 573 584 604 606 609 614 627 629 638 652 655 659 674 680 683 685 688 697 700 701 708 710 719 724 725 736 757 759 760 772 781 785 789 793 794 796 802 815 821 825 830 842 843 849 861 862]\n# step=1 row=321 minW=132 found cw of W=104: [16 23 48 70 74 76 84 85 106 108 109 118 119 122 124 148 168 170 181 185 189 190 192 194 215 228 235 237 264 271 273 285 288 289 299 301 313 345 374 376 381 386 387 389 391 395 401 412 420 436 453 463 466 505 507 516 522 523 525 533 535 541 542 558 560 570 578 594 596 603 606 629 631 633 637 638 648 649 671 672 674 683 685 700 707 713 719 721 732 742 743 745 757 781 783 788 793 794 796 802 814 820 828 849]\n# step=23 row=310 minW=104 found cw of W=102: [8 10 11 22 25 26 28 30 54 68 95 98 106 116 120 136 143 156 166 168 172 190 193 197 199 205 209 221 226 235 241 257 261 263 265 273 278 310 312 319 321 329 335 337 374 382 383 385 386 400 418 421 422 433 435 444 457 468 473 478 480 481 505 507 508 509 516 517 529 540 552 580 598 600 623 624 634 647 653 655 669 674 675 683 688 706 707 722 726 741 777 779 782 797 810 812 820 828 829 831 846 864]\n# step=29 row=402 minW=102 found cw of W=92: [3 15 19 25 39 41 68 75 85 96 104 126 139 158 160 188 195 201 209 220 224 237 244 248 259 270 286 308 315 325 350 353 375 376 387 402 421 427 435 438 440 442 478 487 496 499 508 509 536 549 556 568 570 585 587 594 604 616 628 641 643 652 658 681 688 690 692 701 709 717 724 737 739 741 743 753 754 756 760 763 767 789 796 797 808 812 814 823 831 833 834 860]\n# step=495 row=88 minW=92 found cw of W=82: [14 16 33 42 55 58 69 71 98 100 102 104 113 142 147 156 158 165 176 187 214 218 236 245 249 250 251 265 267 273 285 307 314 327 358 359 361 390 410 416 446 448 466 501 516 531 535 550 561 577 590 602 610 611 613 626 642 657 659 661 662 666 700 704 713 717 731 734 742 756 768 771 775 792 802 826 831 841 849 860 862 863]\n# step=829 row=142 minW=82 found cw of W=80: [7 9 26 34 37 56 60 68 88 90 92 99 103 110 120 124 161 169 171 180 193 199 223 225 242 255 257 270 276 284 291 306 320 330 336 357 366 377 385 387 389 396 398 400 409 411 426 430 434 442 449 451 453 483 487 498 517 541 549 551 556 572 605 609 611 616 620 622 652 654 712 723 752 757 759 801 803 810 825 840]\n# round=1000 of 50000 minW=80\n# step=1106 row=98 minW=80 found cw of W=78: [23 25 27 30 49 50 52 85 90 118 125 128 153 166 174 189 190 191 194 197 210 217 218 220 225 233 235 245 247 252 258 283 288 290 293 329 331 392 400 419 420 436 442 462 496 507 532 533 535 547 568 578 581 583 602 607 639 642 645 654 671 673 683 691 693 706 714 750 761 762 766 775 797 807 810 821 833 838]\n# step=1711 row=32 minW=78 found cw of W=70: [6 8 23 38 40 45 49 55 61 72 81 91 98 100 115 117 119 153 155 156 164 166 209 213 222 243 245 247 249 254 256 263 288 299 301 312 318 331 356 378 380 382 384 421 423 435 491 495 497 499 501 527 542 544 551 559 610 615 636 649 658 670 674 694 722 732 769 816 820 831]\n# round=2000 of 50000 minW=70\n# round=3000 of 50000 minW=70\n# round=4000 of 50000 minW=70\n# round=5000 of 50000 minW=70\n# round=6000 of 50000 minW=70\n# round=7000 of 50000 minW=70\n# round=8000 of 50000 minW=70\n# round=9000 of 50000 minW=70\n# round=10000 of 50000 minW=70\n# round=11000 of 50000 minW=70\n# step=11743 row=52 minW=70 found cw of W=56: [10 61 76 87 89 91 93 95 106 136 140 145 149 151 164 176 178 215 226 247 249 256 273 275 288 303 305 313 343 352 363 365 367 382 384 397 414 429 431 433 454 484 544 565 578 593 623 625 657 661 670 698 777 779 794 796]\n# round=12000 of 50000 minW=56\n# round=13000 of 50000 minW=56\n# round=14000 of 50000 minW=56\n# round=15000 of 50000 minW=56\n# round=16000 of 50000 minW=56\n# round=17000 of 50000 minW=56\n# round=18000 of 50000 minW=56\n# round=19000 of 50000 minW=56\n# round=20000 of 50000 minW=56\n# round=21000 of 50000 minW=56\n# round=22000 of 50000 minW=56\n# round=23000 of 50000 minW=56\n# round=24000 of 50000 minW=56\n# round=25000 of 50000 minW=56\n# round=26000 of 50000 minW=56\n# step=26667 row=138 minW=56 found cw of W=54: [1 11 46 63 65 67 69 71 76 121 123 125 127 140 155 217 228 232 238 249 251 279 281 283 292 309 339 343 358 369 371 373 377 407 418 460 462 464 490 520 528 530 554 599 601 629 646 674 695 721 736 753 841 862]\n# round=27000 of 50000 minW=54\n# round=28000 of 50000 minW=54\n# round=29000 of 50000 minW=54\n# round=30000 of 50000 minW=54\n# round=31000 of 50000 minW=54\n# round=32000 of 50000 minW=54\n# round=33000 of 50000 minW=54\n# round=34000 of 50000 minW=54\n# round=35000 of 50000 minW=54\n# round=36000 of 50000 minW=54\n# round=37000 of 50000 minW=54\n# round=38000 of 50000 minW=54\n# round=39000 of 50000 minW=54\n# round=40000 of 50000 minW=54\n# round=41000 of 50000 minW=54\n# round=42000 of 50000 minW=54\n# round=43000 of 50000 minW=54\n# round=44000 of 50000 minW=54\n# round=45000 of 50000 minW=54\n# round=46000 of 50000 minW=54\n# round=47000 of 50000 minW=54\n# round=48000 of 50000 minW=54\n# round=49000 of 50000 minW=54\n# round=50000 of 50000 minW=54\nRW algorithm upper bound for the distance d=54\n</t>
  </si>
  <si>
    <t># step=0 row=0 minW=649 found cw of W=126: [2 4 7 12 14 22 23 24 30 35 36 39 45 58 65 72 74 87 89 105 109 110 112 114 117 125 128 133 134 144 161 162 167 168 173 176 177 178 186 192 206 218 219 220 225 232 250 257 259 264 271 272 274 276 277 283 284 287 290 294 297 301 307 311 313 317 330 332 334 335 340 343 352 364 368 386 390 391 397 399 415 416 417 421 428 438 443 444 448 469 474 475 480 484 486 489 495 508 509 520 521 531 532 537 545 547 549 552 560 573 577 585 590 594 599 600 603 611 612 614 617 618 634 642 646 648]\n# step=0 row=14 minW=126 found cw of W=118: [2 9 12 20 21 27 37 39 49 50 58 65 74 75 77 86 99 120 125 128 134 138 140 147 157 165 167 168 176 192 193 195 218 220 221 222 224 229 231 232 235 236 242 243 249 257 258 271 272 274 276 277 283 289 293 296 297 301 304 313 316 325 330 331 334 341 344 348 352 357 365 386 393 396 397 401 404 405 409 417 422 434 443 446 447 452 453 457 464 470 475 478 480 503 509 510 511 517 521 525 532 545 546 548 549 551 552 562 591 596 599 614 620 623 626 637 639 643]\n# step=0 row=39 minW=118 found cw of W=102: [2 3 7 12 13 14 49 65 69 72 75 79 86 99 108 112 119 125 126 134 138 150 153 154 160 175 186 193 195 199 210 222 224 225 229 236 243 250 259 264 267 284 288 296 297 301 304 306 308 316 326 331 332 336 340 348 352 368 369 396 405 409 422 428 435 438 439 443 446 455 457 463 476 478 481 495 498 502 503 510 511 512 520 529 537 546 548 551 558 559 564 565 579 586 596 602 611 620 626 637 639 646]\n# step=0 row=124 minW=102 found cw of W=94: [7 14 19 23 24 30 34 39 45 50 58 65 69 72 75 77 86 89 97 99 104 105 119 120 126 134 140 161 168 169 171 192 215 218 229 243 245 249 257 258 264 274 277 280 284 287 296 297 301 313 317 326 330 331 334 340 348 349 357 365 368 369 385 386 390 405 407 416 421 422 428 447 452 458 464 480 486 511 521 531 532 545 546 548 552 558 562 566 577 590 614 620 626 637]\n# step=0 row=154 minW=94 found cw of W=90: [2 3 12 13 14 62 65 69 72 89 95 99 109 112 114 119 123 125 126 150 171 173 178 186 193 210 215 218 231 249 259 267 271 280 284 288 293 297 303 308 326 331 332 335 336 340 341 344 364 365 370 383 393 396 416 418 425 428 439 444 455 470 474 475 481 486 491 498 502 509 512 520 529 537 548 549 551 564 579 585 586 591 594 596 600 603 611 614 623 626]\n# step=4 row=84 minW=90 found cw of W=86: [2 4 15 20 29 34 44 48 61 74 83 85 86 90 109 111 114 143 146 148 153 157 160 168 184 185 192 194 202 203 210 212 223 234 240 242 251 255 259 266 270 276 277 284 298 300 301 315 321 322 330 332 335 346 397 404 409 417 424 426 461 465 471 472 473 476 490 506 508 513 515 518 522 523 528 529 540 558 581 586 592 600 606 610 613 634]\n# step=6 row=293 minW=86 found cw of W=82: [1 4 9 15 34 46 55 60 63 73 95 98 105 106 121 128 132 151 156 158 162 169 171 173 190 212 215 219 234 236 237 244 248 253 258 280 284 295 303 313 321 323 334 338 351 357 360 365 393 396 409 427 443 444 445 446 461 470 478 486 495 499 500 501 517 520 524 529 546 552 559 566 571 574 583 596 603 604 611 623 625 643]\n# step=23 row=2 minW=82 found cw of W=76: [2 3 9 55 56 77 84 91 94 104 126 135 147 151 154 155 158 161 162 182 186 187 214 217 224 229 236 239 246 270 296 302 310 311 312 325 326 330 333 349 354 360 365 369 372 375 391 404 406 416 450 451 453 456 460 465 478 486 488 502 506 524 525 547 558 562 577 580 582 583 604 611 612 626 633 640]\n# step=66 row=134 minW=76 found cw of W=72: [19 22 25 30 68 85 97 134 135 139 153 161 173 176 233 234 237 240 243 244 245 250 253 259 260 279 283 292 294 302 312 322 326 335 339 343 345 367 375 390 400 410 413 429 442 447 452 454 474 482 484 493 494 503 522 533 541 550 555 556 557 562 570 571 582 590 607 608 615 624 640 645]\n# step=94 row=164 minW=72 found cw of W=68: [2 14 20 22 27 39 41 48 57 74 79 88 90 92 99 116 140 148 150 155 166 168 173 179 229 232 251 256 257 272 284 330 332 337 339 341 343 345 352 357 362 376 384 391 399 400 428 434 436 439 463 473 485 488 489 503 508 525 539 544 565 576 582 589 595 611 637 648]\n# step=94 row=287 minW=68 found cw of W=64: [2 14 20 27 39 41 48 57 79 88 90 92 99 116 140 148 150 155 166 168 173 179 229 232 251 256 257 284 330 332 337 339 341 343 357 362 376 384 391 399 400 428 434 436 439 463 473 485 488 489 503 508 525 539 544 560 565 576 582 589 595 611 637 648]\n# step=122 row=3 minW=64 found cw of W=50: [1 4 6 15 40 41 47 75 76 87 132 149 157 192 236 255 258 266 276 280 287 295 318 329 331 338 353 361 364 383 390 398 410 427 433 442 455 487 490 501 507 509 559 561 578 589 606 618 633 640]\n# step=729 row=82 minW=50 found cw of W=46: [19 38 48 56 74 78 89 93 100 108 130 147 154 172 183 187 190 194 199 206 246 250 256 308 362 371 378 379 412 416 423 436 449 475 488 510 527 542 558 569 575 576 594 610 616 647]\n# round=1000 of 50000 minW=46\n# round=2000 of 50000 minW=46\n# step=2697 row=61 minW=46 found cw of W=44: [3 20 27 40 71 82 112 127 129 130 137 141 147 169 206 221 235 275 280 306 348 355 361 363 368 370 405 407 412 418 422 425 431 442 468 474 489 492 499 526 557 603 610 613]\n# round=3000 of 50000 minW=44\n# step=3135 row=237 minW=44 found cw of W=38: [4 8 11 18 62 67 77 84 97 116 117 186 188 225 226 232 275 295 327 350 375 385 412 414 420 464 466 486 511 521 542 546 563 577 612 618 622 647]\n# round=4000 of 50000 minW=38\n# round=5000 of 50000 minW=38\n# round=6000 of 50000 minW=38\n# round=7000 of 50000 minW=38\n# round=8000 of 50000 minW=38\n# round=9000 of 50000 minW=38\n# round=10000 of 50000 minW=38\n# round=11000 of 50000 minW=38\n# round=12000 of 50000 minW=38\n# step=12851 row=280 minW=38 found cw of W=36: [24 31 35 39 73 74 144 155 182 183 189 200 202 281 291 292 299 332 362 364 395 451 458 478 521 523 525 530 532 541 569 584 593 604 615 636]\n# round=13000 of 50000 minW=36\n# round=14000 of 50000 minW=36\n# round=15000 of 50000 minW=36\n# round=16000 of 50000 minW=36\n# round=17000 of 50000 minW=36\n# round=18000 of 50000 minW=36\n# round=19000 of 50000 minW=36\n# round=20000 of 50000 minW=36\n# round=21000 of 50000 minW=36\n# round=22000 of 50000 minW=36\n# round=23000 of 50000 minW=36\n# round=24000 of 50000 minW=36\n# round=25000 of 50000 minW=36\n# round=26000 of 50000 minW=36\n# round=27000 of 50000 minW=36\n# round=28000 of 50000 minW=36\n# round=29000 of 50000 minW=36\n# round=30000 of 50000 minW=36\n# round=31000 of 50000 minW=36\n# round=32000 of 50000 minW=36\n# round=33000 of 50000 minW=36\n# round=34000 of 50000 minW=36\n# round=35000 of 50000 minW=36\n# round=36000 of 50000 minW=36\n# round=37000 of 50000 minW=36\n# round=38000 of 50000 minW=36\n# round=39000 of 50000 minW=36\n# round=40000 of 50000 minW=36\n# round=41000 of 50000 minW=36\n# round=42000 of 50000 minW=36\n# round=43000 of 50000 minW=36\n# round=44000 of 50000 minW=36\n# round=45000 of 50000 minW=36\n# round=46000 of 50000 minW=36\n# round=47000 of 50000 minW=36\n# round=48000 of 50000 minW=36\n# round=49000 of 50000 minW=36\n# round=50000 of 50000 minW=36\nRW algorithm upper bound for the distance d=36\n</t>
  </si>
  <si>
    <t>113.05983931571245</t>
  </si>
  <si>
    <t># step=0 row=1 minW=1081 found cw of W=218: [3 4 31 32 34 35 37 43 46 47 51 55 59 60 63 68 69 82 91 97 103 106 107 109 117 119 133 134 136 137 143 150 156 157 166 174 175 176 182 187 191 210 211 214 236 242 243 247 250 251 252 253 260 270 286 287 295 299 314 317 320 345 347 354 355 359 361 367 372 374 379 380 384 386 391 407 413 417 418 421 422 424 427 435 436 444 449 450 453 454 458 461 463 464 470 477 480 481 488 491 494 514 518 524 528 529 534 535 536 538 540 542 551 552 553 554 563 570 571 574 576 585 592 600 602 605 607 608 611 613 616 624 629 631 641 646 651 660 662 666 669 670 673 680 684 687 688 690 691 709 711 713 719 726 732 736 737 741 749 750 763 782 787 790 793 796 798 803 813 814 817 818 821 837 841 844 848 855 859 860 864 882 892 893 895 898 903 906 911 914 915 917 928 930 934 940 941 947 950 955 957 980 986 987 996 1008 1011 1013 1026 1034 1037 1038 1043 1049 1059 1063 1064 1068]\n# step=0 row=7 minW=218 found cw of W=202: [1 3 13 15 18 20 25 26 27 31 32 34 35 40 47 51 55 57 59 63 66 91 100 103 107 117 119 121 125 127 133 134 136 137 149 157 158 166 173 174 177 182 191 194 198 206 211 214 230 236 252 259 260 262 264 270 295 300 310 312 320 327 347 355 365 372 383 384 386 396 413 415 421 422 424 425 435 436 444 449 450 451 452 453 455 456 462 463 464 470 477 480 488 494 495 496 497 504 523 524 528 529 538 545 551 552 560 566 576 582 583 590 607 611 629 639 641 648 653 654 657 659 660 662 669 673 674 683 688 689 707 708 709 711 719 725 726 736 737 741 749 750 755 761 763 774 782 796 800 814 817 820 821 838 843 844 845 847 860 862 864 882 892 893 898 906 911 914 917 918 920 936 940 941 945 950 951 952 955 959 971 984 986 989 994 995 996 997 1000 1003 1011 1013 1014 1020 1034 1037 1050 1060 1063 1067 1078 1079]\n# step=0 row=10 minW=202 found cw of W=198: [3 11 15 18 19 20 26 35 40 43 51 54 55 57 60 66 72 82 88 92 100 102 103 105 106 109 118 121 125 137 138 143 150 156 174 175 176 177 185 187 190 191 198 206 210 211 227 236 237 242 243 252 253 260 261 262 263 264 277 295 310 314 330 337 347 352 356 359 361 372 373 374 382 396 412 417 421 427 430 436 451 452 453 463 464 489 491 494 495 496 497 500 514 518 523 524 527 537 540 551 552 553 559 560 566 570 582 585 592 600 602 605 610 616 622 627 631 639 645 651 655 666 669 670 671 674 680 683 684 689 692 695 705 707 713 723 732 737 749 750 761 774 778 787 790 793 798 800 803 814 822 827 838 848 849 850 855 861 867 883 897 898 901 906 908 910 911 914 920 930 933 936 945 947 952 954 971 980 982 988 989 990 994 996 997 1011 1012 1016 1024 1034 1037 1038 1043 1049 1064 1067 1068 1076]\n# step=0 row=14 minW=198 found cw of W=186: [9 15 18 24 25 32 35 46 55 59 66 67 68 82 89 97 102 103 105 109 118 119 125 136 137 138 142 143 150 157 164 170 173 176 185 187 194 198 214 236 237 242 243 247 251 252 253 261 262 285 298 299 300 310 312 314 315 327 352 354 356 360 361 365 367 372 373 379 380 383 384 391 403 412 413 415 417 418 419 421 424 427 428 429 439 444 449 450 451 452 455 477 480 492 495 496 497 512 518 523 527 532 540 542 545 551 558 560 563 572 582 583 586 600 605 608 610 641 646 648 654 655 659 661 669 670 671 673 691 695 705 713 725 732 734 736 741 742 750 787 800 803 814 820 834 843 845 847 849 857 861 862 879 895 908 909 910 914 915 916 928 930 940 941 950 951 952 954 971 983 984 989 994 1003 1012 1013 1014 1020 1037 1038 1040 1043 1059 1068 1074 1076]\n# step=0 row=15 minW=186 found cw of W=182: [3 11 18 25 26 28 46 47 51 54 55 60 63 66 67 68 70 98 100 119 125 134 137 138 142 143 149 156 164 166 170 175 176 182 194 198 202 242 243 250 253 259 263 264 270 277 298 304 305 327 337 345 347 355 356 359 365 374 381 382 384 391 396 407 419 421 424 425 428 429 435 436 444 455 458 463 465 469 470 481 488 492 495 496 497 504 514 523 524 528 529 532 535 536 537 538 542 560 562 571 583 585 590 605 607 608 611 616 624 627 631 639 641 651 660 661 662 670 673 683 688 689 691 711 722 732 734 737 742 755 761 775 778 791 800 803 814 818 821 827 841 844 847 848 850 855 864 867 882 893 898 903 905 915 916 933 936 940 941 945 950 951 952 954 955 971 982 989 990 994 995 1000 1008 1014 1020 1043 1049 1059 1064 1067 1078 1079]\n# step=0 row=145 minW=182 found cw of W=178: [1 3 9 15 27 32 35 37 40 43 51 63 67 68 69 82 97 103 107 108 117 118 119 127 133 136 137 138 143 149 156 166 170 173 174 175 176 177 182 185 187 191 194 206 210 230 237 247 250 251 252 253 260 261 262 270 273 304 305 320 354 355 367 373 377 386 403 412 417 419 421 422 427 435 436 450 451 452 453 463 469 480 487 488 491 500 514 518 524 529 535 536 539 553 558 559 563 566 570 571 574 576 585 592 602 607 608 613 622 624 627 629 645 646 653 654 655 659 660 662 666 674 680 689 690 691 706 709 713 725 734 736 737 749 778 782 787 791 793 798 800 803 817 838 848 860 861 864 867 874 892 893 895 905 906 908 909 915 916 936 955 957 980 986 989 996 997 1012 1013 1019 1020 1026 1038 1043 1064 1067 1068 1078]\n# step=0 row=268 minW=178 found cw of W=174: [15 18 20 25 35 37 46 47 57 63 67 68 69 70 72 82 89 102 103 108 109 117 118 119 125 133 134 137 138 149 150 157 166 170 175 182 185 187 190 194 211 214 227 237 242 243 252 253 261 262 270 277 315 317 320 329 347 355 365 367 382 391 412 425 427 433 435 436 439 451 452 453 455 456 462 463 464 488 489 494 500 504 512 514 516 518 523 528 529 537 538 542 551 562 572 574 576 586 602 608 611 613 622 639 645 648 651 654 655 657 662 669 670 671 684 690 691 711 713 719 723 725 741 763 787 798 802 803 813 814 817 821 827 838 844 848 860 861 883 893 901 906 908 911 915 918 920 930 933 947 952 954 955 959 982 983 988 989 1000 1003 1012 1014 1016 1020 1024 1049 1050 1059 1063 1064 1067 1068 1078 1079]\n# step=0 row=398 minW=174 found cw of W=172: [27 34 35 40 46 51 55 57 63 66 67 69 70 82 91 107 108 117 118 119 121 134 137 149 166 170 173 174 187 191 194 206 211 250 251 263 264 270 286 295 298 300 314 317 337 345 347 354 355 356 361 374 382 383 390 391 396 407 418 419 427 428 429 433 435 436 444 458 462 469 470 477 481 494 514 518 528 529 532 534 538 540 542 551 552 553 559 560 566 582 585 600 605 608 611 613 616 627 631 639 641 654 657 662 670 671 683 688 707 711 713 725 726 749 761 763 774 777 778 783 787 790 791 793 796 800 813 818 820 822 841 843 848 867 879 893 895 897 898 901 903 904 911 916 917 933 940 941 945 951 954 955 982 983 984 990 996 1008 1011 1014 1019 1020 1024 1026 1034 1040 1059 1060 1063 1064 1068 1076]\n# step=1 row=414 minW=172 found cw of W=170: [4 5 17 20 39 45 50 51 55 66 67 74 75 76 80 81 83 84 89 108 109 119 133 138 148 152 153 155 157 158 164 165 179 181 185 220 221 237 239 246 247 256 262 263 264 268 283 289 296 303 304 310 337 342 343 347 351 356 370 378 381 382 386 393 401 408 411 412 413 422 423 426 439 440 446 453 454 474 482 483 484 497 513 521 524 526 541 552 554 576 577 578 580 585 588 589 596 599 607 611 612 615 617 630 634 637 651 653 656 659 660 662 667 676 679 707 708 712 719 731 734 736 754 761 769 795 807 808 810 816 817 818 830 831 832 839 844 848 851 853 855 862 879 880 896 899 900 903 905 912 914 916 920 928 935 937 950 955 974 976 978 979 982 990 1009 1013 1035 1069 1074 1079]\n# step=4 row=83 minW=170 found cw of W=160: [18 20 28 29 46 66 67 68 69 78 92 93 102 112 118 119 120 131 132 134 149 150 152 157 163 170 178 193 195 197 198 209 215 222 242 256 271 276 280 283 284 289 318 322 323 324 329 343 346 361 362 365 370 379 388 390 394 404 405 406 408 409 419 430 446 450 455 456 465 469 482 483 484 506 507 514 524 529 537 538 552 567 584 589 598 616 621 631 640 645 659 663 664 669 675 680 683 690 691 697 702 712 716 730 739 740 741 742 748 750 754 762 781 785 786 791 792 793 801 806 814 818 824 825 826 844 845 852 861 875 892 893 896 897 898 906 909 914 916 921 922 937 941 947 952 964 980 984 1005 1006 1007 1017 1019 1030 1032 1034 1040 1054 1057 1058]\n# step=4 row=365 minW=160 found cw of W=158: [18 20 28 29 46 66 67 68 69 78 92 93 102 112 118 119 120 131 132 149 152 163 170 178 193 195 197 198 209 215 222 242 256 271 276 280 283 284 289 318 322 323 324 329 343 346 361 362 365 370 379 388 390 394 404 405 406 408 409 419 430 446 455 456 465 469 482 483 484 506 507 514 524 529 537 538 552 567 584 589 598 616 621 631 640 645 659 663 664 669 675 680 684 690 691 697 702 712 716 730 739 740 741 742 748 750 754 757 762 781 785 786 791 792 793 801 806 814 818 824 825 826 844 845 852 861 875 892 893 896 897 898 906 909 914 916 921 922 937 941 946 952 964 980 984 1005 1006 1007 1017 1019 1030 1032 1034 1040 1050 1054 1057 1058]\n# step=7 row=197 minW=158 found cw of W=156: [17 18 73 82 83 84 87 90 91 96 97 98 132 139 150 156 167 191 202 203 214 218 223 226 233 238 255 259 275 277 279 280 281 284 288 301 311 313 318 322 332 336 338 353 354 355 373 377 381 383 390 391 396 398 399 400 411 425 426 429 430 435 440 441 473 477 491 496 519 522 525 529 538 551 573 579 586 599 605 606 607 612 625 632 634 635 645 658 659 668 677 687 691 692 696 697 700 707 717 723 729 730 741 752 758 762 769 778 781 785 790 792 801 804 808 813 815 828 833 837 846 850 863 872 873 878 881 885 887 898 900 907 909 911 932 936 946 947 954 963 969 974 990 992 1000 1006 1022 1025 1029 1032 1034 1040 1044 1045 1046 1049]\n# step=7 row=213 minW=156 found cw of W=146: [6 24 26 64 75 82 83 84 85 90 98 132 134 139 150 152 158 167 168 178 197 200 202 203 209 214 221 222 223 226 228 233 238 255 258 266 271 273 274 275 277 288 306 312 332 333 353 354 364 381 390 398 400 409 422 427 430 444 449 453 460 473 490 491 503 513 522 529 530 560 568 573 586 599 624 632 635 648 650 659 673 683 684 696 697 701 705 707 709 717 718 723 724 729 730 740 741 746 747 758 769 778 785 790 791 792 804 808 813 814 815 821 822 832 837 846 851 860 868 872 878 887 889 891 899 909 912 924 926 927 932 936 946 947 948 958 963 979 986 990 1009 1022 1032 1039 1054 1063]\n# step=50 row=130 minW=146 found cw of W=140: [1 5 13 14 89 108 117 120 178 179 181 192 198 221 229 230 231 232 233 238 239 244 245 246 254 256 262 263 264 266 271 279 296 300 303 304 312 315 316 336 343 344 349 364 374 380 383 384 416 418 423 424 439 440 447 454 455 461 462 467 468 492 507 516 518 525 526 530 544 564 566 567 568 569 575 577 593 601 613 616 628 630 640 651 656 663 674 676 711 713 716 734 742 743 747 748 763 778 780 781 784 796 804 805 816 830 831 832 844 854 864 866 868 869 870 876 903 904 913 930 953 956 988 989 990 1007 1013 1016 1017 1018 1027 1030 1036 1040 1042 1043 1053 1062 1070 1079]\n# step=52 row=103 minW=140 found cw of W=126: [9 32 42 43 65 66 73 74 87 96 97 118 121 133 147 159 161 164 169 171 174 182 187 192 199 218 221 233 234 236 243 291 296 300 310 322 331 332 361 373 375 382 383 384 385 390 398 418 422 427 437 441 459 461 477 484 508 511 524 531 544 557 558 559 593 606 619 638 642 648 659 667 670 691 692 695 697 706 710 713 714 721 729 731 732 733 742 744 745 750 764 765 771 782 788 793 819 821 837 857 896 899 909 914 922 924 925 932 938 960 969 971 972 973 983 985 986 987 988 997 998 1033 1041 1050 1061 1074]\n# step=135 row=40 minW=126 found cw of W=106: [8 10 24 25 44 45 48 49 61 70 87 95 96 97 123 138 139 149 157 160 174 177 222 235 236 237 238 284 285 309 310 336 337 338 348 349 350 361 371 411 434 438 439 458 459 462 483 484 502 523 524 527 539 540 542 570 596 598 599 632 644 646 671 673 683 685 696 697 708 709 731 748 749 758 775 776 845 862 888 897 898 900 908 909 910 923 925 934 936 960 961 973 984 996 1009 1022 1038 1039 1049 1057 1058 1060 1074 1075 1076 1077]\n# step=461 row=343 minW=106 found cw of W=100: [7 23 31 35 49 52 74 75 94 123 125 134 136 138 161 177 195 196 197 201 223 238 239 246 250 261 265 299 309 310 312 329 332 333 338 350 351 352 397 402 414 416 425 435 436 437 458 459 460 484 485 488 512 540 545 557 561 585 597 598 610 620 621 622 645 660 668 673 684 691 698 710 711 734 757 772 776 838 846 849 858 885 887 899 910 923 931 932 933 934 951 984 997 1010 1025 1038 1050 1058 1062 1073]\n# step=461 row=537 minW=100 found cw of W=96: [5 6 7 8 23 25 26 35 47 49 72 89 94 95 113 121 132 134 135 138 149 161 175 197 222 225 243 261 309 310 326 332 333 335 349 350 352 376 390 399 437 463 475 485 498 501 540 585 597 608 609 620 645 646 658 659 660 671 710 712 732 736 746 747 748 757 758 759 769 770 771 775 820 843 846 858 885 898 899 900 910 925 926 932 934 949 988 994 1009 1010 1012 1038 1048 1059 1061 1071]\n# round=1000 of 50000 minW=96\n# step=1222 row=6 minW=96 found cw of W=72: [6 10 22 24 46 48 72 86 96 97 121 134 150 158 174 197 221 237 262 287 306 308 309 335 360 371 372 410 413 458 460 477 482 483 501 522 544 556 557 597 598 606 693 695 708 747 756 773 796 809 832 836 844 856 857 861 897 899 910 931 960 971 984 986 995 996 997 1008 1021 1048 1059 1074]\n# round=2000 of 50000 minW=72\n# round=3000 of 50000 minW=72\n# round=4000 of 50000 minW=72\n# round=5000 of 50000 minW=72\n# round=6000 of 50000 minW=72\n# round=7000 of 50000 minW=72\n# round=8000 of 50000 minW=72\n# round=9000 of 50000 minW=72\n# round=10000 of 50000 minW=72\n# round=11000 of 50000 minW=72\n# round=12000 of 50000 minW=72\n# round=13000 of 50000 minW=72\n# round=14000 of 50000 minW=72\n# round=15000 of 50000 minW=72\n# round=16000 of 50000 minW=72\n# round=17000 of 50000 minW=72\n# round=18000 of 50000 minW=72\n# round=19000 of 50000 minW=72\n# round=20000 of 50000 minW=72\n# round=21000 of 50000 minW=72\n# round=22000 of 50000 minW=72\n# round=23000 of 50000 minW=72\n# round=24000 of 50000 minW=72\n# round=25000 of 50000 minW=72\n# round=26000 of 50000 minW=72\n# round=27000 of 50000 minW=72\n# round=28000 of 50000 minW=72\n# round=29000 of 50000 minW=72\n# round=30000 of 50000 minW=72\n# round=31000 of 50000 minW=72\n# round=32000 of 50000 minW=72\n# round=33000 of 50000 minW=72\n# round=34000 of 50000 minW=72\n# round=35000 of 50000 minW=72\n# round=36000 of 50000 minW=72\n# round=37000 of 50000 minW=72\n# round=38000 of 50000 minW=72\n# round=39000 of 50000 minW=72\n# round=40000 of 50000 minW=72\n# round=41000 of 50000 minW=72\n# round=42000 of 50000 minW=72\n# round=43000 of 50000 minW=72\n# round=44000 of 50000 minW=72\n# round=45000 of 50000 minW=72\n# round=46000 of 50000 minW=72\n# round=47000 of 50000 minW=72\n# round=48000 of 50000 minW=72\n# round=49000 of 50000 minW=72\n# round=50000 of 50000 minW=72\nRW algorithm upper bound for the distance d=72\n</t>
  </si>
  <si>
    <t>168.68845832441002</t>
  </si>
  <si>
    <t># step=0 row=0 minW=1297 found cw of W=282: [1 4 5 8 19 23 29 32 33 35 42 46 49 56 58 60 64 66 68 72 74 75 81 85 103 108 111 114 125 134 135 138 140 144 146 147 157 168 171 176 190 195 202 216 218 224 231 241 260 264 268 270 272 273 277 278 284 287 295 296 301 306 317 332 350 355 358 360 365 372 373 378 380 383 388 391 392 394 395 398 419 420 423 430 432 435 438 443 455 461 465 471 484 487 495 496 497 498 508 511 518 520 522 528 529 533 536 543 544 549 559 567 568 569 572 576 578 584 587 598 602 606 610 611 612 614 619 621 622 625 627 629 634 640 643 648 652 656 670 674 678 680 684 686 688 701 717 723 724 726 737 745 746 749 751 752 753 755 761 762 765 770 777 779 784 786 787 789 791 792 795 800 801 802 813 826 827 828 831 836 837 838 847 851 860 872 875 876 880 881 896 897 908 917 921 928 931 935 936 937 940 946 948 951 956 958 961 963 969 970 973 976 984 988 991 993 994 995 998 999 1013 1014 1019 1021 1023 1030 1032 1034 1038 1040 1041 1043 1049 1050 1052 1053 1057 1058 1059 1061 1064 1072 1073 1074 1089 1094 1098 1102 1104 1108 1112 1124 1129 1146 1151 1158 1160 1162 1165 1171 1180 1183 1194 1198 1214 1223 1229 1230 1233 1234 1242 1257 1265 1269 1272 1273 1277 1281 1282 1283 1286 1287]\n# step=0 row=1 minW=282 found cw of W=264: [2 4 28 35 37 49 69 71 72 82 86 99 102 103 104 113 116 118 134 135 138 140 144 157 163 171 173 177 195 216 218 231 237 248 253 256 266 277 278 281 285 286 295 304 305 317 329 332 336 340 341 349 360 361 362 363 364 372 376 378 380 383 386 388 391 394 398 415 417 419 420 421 423 427 430 432 443 457 459 464 465 476 478 484 488 498 504 511 518 520 521 522 528 529 533 542 547 564 566 568 570 574 578 579 583 598 602 606 610 619 622 624 628 634 637 643 646 648 654 655 656 657 664 665 669 670 675 678 680 684 686 701 707 709 711 717 723 724 736 737 738 739 745 752 753 755 762 763 765 781 784 791 792 793 800 802 816 818 820 823 824 826 834 838 841 844 851 852 860 875 876 880 889 896 897 899 901 908 916 923 931 935 936 937 938 940 942 943 951 952 956 958 961 966 970 972 988 993 994 995 1006 1011 1013 1014 1017 1021 1024 1027 1028 1033 1034 1037 1040 1041 1050 1052 1055 1056 1061 1063 1068 1072 1073 1075 1077 1094 1098 1102 1104 1108 1110 1112 1121 1128 1133 1144 1151 1153 1160 1166 1169 1172 1173 1178 1182 1194 1198 1214 1223 1233 1240 1248 1250 1259 1265 1271 1272 1276 1277 1278 1281 1283 1286 1293]\n# step=0 row=3 minW=264 found cw of W=262: [5 7 8 9 23 27 31 32 33 42 49 50 58 59 64 66 68 74 75 82 102 107 111 116 135 138 143 146 147 152 157 158 161 168 176 190 202 239 256 260 264 266 270 272 273 282 284 285 290 295 296 298 301 306 307 312 318 329 332 340 350 355 358 363 364 365 367 370 373 388 394 395 398 414 415 419 420 430 438 440 443 457 458 459 464 465 468 476 487 488 495 496 497 498 501 504 508 509 510 514 518 521 528 529 533 536 538 544 548 559 564 568 573 575 576 579 583 584 587 598 603 608 612 619 621 628 629 637 640 642 656 660 664 670 674 678 680 682 686 700 707 709 723 724 726 736 738 753 761 780 784 786 787 789 792 796 809 813 816 818 824 826 834 851 852 861 868 876 880 883 896 897 899 914 917 923 928 929 933 935 946 948 952 958 961 964 970 976 991 993 994 1011 1013 1019 1021 1023 1028 1030 1032 1038 1041 1051 1052 1053 1059 1063 1072 1073 1074 1075 1084 1087 1089 1094 1098 1102 1108 1112 1115 1116 1123 1124 1129 1130 1131 1146 1150 1151 1155 1156 1158 1160 1162 1166 1173 1176 1178 1184 1191 1194 1198 1212 1221 1223 1229 1230 1243 1246 1248 1257 1259 1260 1265 1268 1269 1271 1276 1277 1281 1282 1289 1293]\n# step=0 row=5 minW=262 found cw of W=254: [4 8 12 18 23 27 35 37 42 43 58 60 66 71 75 82 86 104 107 111 116 118 126 134 135 138 143 146 147 152 168 171 176 181 195 202 204 208 224 252 260 264 268 270 272 273 278 281 282 284 286 290 295 298 304 307 312 317 318 340 341 350 358 360 361 365 372 373 376 386 388 391 398 399 414 415 419 420 427 430 432 435 438 443 457 459 461 464 465 471 487 489 492 495 498 501 508 511 518 520 521 522 529 544 547 549 557 564 566 567 568 572 574 578 587 602 606 610 611 612 614 619 622 625 627 637 640 642 646 648 652 654 664 669 673 674 675 700 709 711 717 724 726 745 751 754 755 770 775 777 779 784 787 792 793 802 818 824 828 831 838 846 853 860 873 878 880 883 885 889 897 899 901 908 914 916 917 924 928 931 935 938 940 942 946 948 952 956 961 963 964 969 970 973 982 994 995 998 999 1006 1012 1019 1027 1030 1033 1034 1037 1038 1051 1053 1057 1061 1063 1067 1068 1072 1075 1077 1083 1088 1092 1094 1102 1108 1112 1116 1122 1124 1128 1130 1151 1153 1155 1158 1160 1164 1166 1168 1172 1178 1198 1214 1223 1229 1230 1233 1234 1246 1250 1257 1269 1271 1282 1283]\n# step=0 row=9 minW=254 found cw of W=252: [3 9 16 17 19 27 32 37 46 50 58 59 64 66 68 71 72 74 75 81 85 99 102 103 107 108 114 133 134 135 138 140 143 146 157 161 168 172 173 176 198 204 208 218 239 244 248 252 253 256 266 270 272 273 277 278 285 290 296 298 307 317 318 339 355 362 363 365 380 386 388 399 414 420 423 427 440 455 457 459 461 465 468 476 478 484 487 488 489 495 496 497 498 501 510 514 522 533 536 538 543 544 548 549 559 564 569 572 573 575 576 578 579 583 584 587 602 606 610 611 619 621 625 627 628 629 640 654 660 664 669 682 683 700 701 707 717 723 736 738 739 746 750 754 761 777 779 789 791 792 796 801 809 813 815 826 827 831 834 836 838 840 844 847 851 853 868 872 875 876 880 881 885 896 897 899 914 917 921 923 924 933 936 938 943 946 948 952 963 964 970 972 976 982 988 993 1003 1007 1011 1014 1019 1023 1027 1030 1032 1034 1037 1051 1055 1057 1064 1067 1075 1088 1094 1102 1104 1110 1114 1124 1128 1129 1130 1131 1140 1150 1155 1156 1160 1162 1164 1165 1166 1168 1171 1172 1183 1191 1212 1214 1223 1229 1230 1233 1240 1242 1257 1269 1277 1281 1287 1293]\n# step=0 row=11 minW=252 found cw of W=244: [4 9 11 17 18 21 29 35 37 42 46 56 68 75 81 82 102 107 114 118 126 135 138 140 144 147 161 171 173 177 181 202 208 216 218 224 231 239 252 253 256 277 278 282 290 295 298 301 305 340 350 355 358 363 365 370 373 383 386 392 394 398 414 415 419 420 423 429 430 432 438 443 444 454 455 457 459 461 464 468 471 489 492 498 501 508 509 511 518 520 522 528 533 536 542 543 548 549 557 559 564 567 573 575 583 584 608 625 634 648 655 660 664 669 670 674 682 686 711 717 723 726 739 745 746 749 750 752 754 761 762 765 770 777 779 780 781 784 787 791 796 800 801 813 823 824 827 828 831 834 838 846 853 868 873 875 878 880 885 908 916 921 928 929 935 936 942 943 952 958 963 973 982 988 995 999 1003 1007 1012 1021 1030 1032 1037 1038 1040 1048 1049 1051 1053 1057 1061 1063 1067 1073 1075 1077 1084 1089 1094 1098 1101 1102 1104 1108 1114 1116 1121 1122 1123 1129 1130 1131 1133 1140 1144 1151 1155 1156 1158 1160 1162 1164 1169 1173 1180 1182 1183 1184 1191 1223 1240 1242 1243 1246 1248 1257 1265 1268 1269 1276 1277 1278 1281 1289]\n# step=0 row=15 minW=244 found cw of W=228: [4 9 17 19 26 29 32 35 37 50 58 66 71 75 82 85 102 103 104 108 114 134 138 140 146 158 161 163 166 168 173 176 190 198 208 218 224 231 239 252 253 260 266 268 270 272 282 284 285 296 306 329 362 364 370 376 378 383 386 388 391 392 398 399 415 427 429 432 455 465 471 478 484 487 492 495 498 514 518 520 528 533 536 543 557 567 569 573 576 578 579 583 584 587 598 602 606 608 610 611 612 614 619 621 627 629 634 643 648 655 656 664 669 670 673 678 684 688 700 711 724 736 737 738 739 745 749 750 752 763 770 780 791 795 796 802 820 824 826 828 836 851 861 868 873 875 876 885 889 897 908 917 921 923 933 936 937 938 943 951 952 958 963 966 969 970 982 984 988 995 998 1011 1019 1023 1024 1027 1030 1033 1034 1037 1040 1043 1053 1058 1059 1061 1064 1068 1073 1077 1089 1094 1098 1102 1104 1110 1114 1124 1129 1131 1150 1156 1160 1162 1164 1165 1171 1172 1180 1183 1194 1214 1221 1223 1230 1233 1234 1240 1257 1265 1269 1272 1273 1277 1281 1283 1286 1287]\n# step=0 row=34 minW=228 found cw of W=214: [23 27 28 31 32 35 37 42 43 46 50 58 59 65 66 68 69 74 75 85 99 107 111 118 126 134 143 146 153 157 168 171 176 190 204 208 216 231 248 267 270 277 278 281 282 284 285 287 295 296 297 301 305 306 312 317 318 329 340 349 361 362 364 365 380 383 388 394 395 415 419 420 423 435 443 454 457 459 464 465 478 484 487 488 489 492 495 496 497 501 508 510 514 518 522 536 538 542 547 564 567 568 569 573 576 583 598 602 608 610 611 612 634 643 656 657 665 670 673 675 678 684 707 711 717 737 739 750 752 762 763 775 779 780 784 793 809 813 827 828 831 834 836 838 844 853 860 871 878 885 896 897 908 914 924 935 937 938 951 958 963 970 991 993 994 995 998 999 1017 1021 1023 1024 1030 1032 1037 1040 1051 1055 1072 1083 1108 1110 1114 1121 1124 1128 1130 1153 1155 1159 1160 1164 1165 1166 1168 1171 1180 1182 1194 1212 1214 1234 1240 1242 1246 1257 1265 1272 1276 1281 1282 1286 1287 1289]\n# step=0 row=546 minW=214 found cw of W=206: [8 23 27 28 31 35 42 43 56 58 64 66 69 71 74 81 82 102 107 108 111 114 133 135 140 143 146 152 166 168 171 173 176 190 195 204 224 239 242 253 256 264 267 270 277 282 284 306 318 329 336 340 349 362 363 364 365 370 373 378 380 386 388 392 398 399 415 420 421 423 430 432 435 440 443 464 465 476 478 487 489 495 501 504 510 514 520 528 533 536 538 567 573 584 598 608 611 612 614 621 624 629 640 648 654 657 665 670 673 674 678 680 684 707 717 736 737 745 746 754 763 770 775 777 780 789 791 792 795 796 801 809 828 831 836 868 871 878 880 881 885 889 896 897 914 916 924 933 940 942 948 958 963 966 973 984 988 994 1012 1017 1027 1028 1030 1038 1056 1058 1061 1063 1064 1067 1072 1073 1077 1089 1090 1098 1104 1108 1110 1112 1124 1129 1130 1131 1144 1155 1156 1159 1160 1162 1166 1168 1169 1171 1194 1198 1223 1233 1234 1248 1257 1265 1276 1277 1282 1283]\n# step=3 row=564 minW=206 found cw of W=200: [3 15 19 24 25 30 48 50 52 60 61 68 73 78 80 81 86 90 91 99 101 109 114 119 124 130 140 151 154 159 164 170 176 179 181 190 197 198 201 202 206 208 209 217 226 227 234 235 239 255 289 291 292 305 314 349 350 352 355 360 378 383 384 386 394 395 402 425 435 436 442 455 467 471 472 507 526 527 528 547 551 552 554 560 563 571 575 587 588 614 619 644 648 657 659 665 676 678 685 687 697 701 703 709 711 726 733 734 741 752 755 758 760 761 766 771 779 781 800 811 813 822 829 836 843 844 857 858 860 874 890 895 896 897 898 901 909 912 922 923 926 932 949 951 956 963 966 973 974 980 981 988 998 1010 1012 1014 1022 1040 1042 1050 1068 1070 1071 1072 1088 1099 1101 1105 1109 1110 1111 1112 1115 1123 1130 1131 1134 1139 1156 1159 1171 1172 1173 1178 1189 1197 1198 1210 1219 1225 1236 1239 1259 1261 1262 1265 1272 1277 1286 1288]\n# step=3 row=598 minW=200 found cw of W=186: [5 7 8 10 11 16 19 23 26 30 33 40 46 48 56 61 75 84 148 149 154 157 167 176 201 209 214 217 225 239 242 255 261 267 269 273 283 289 323 339 341 344 349 355 371 386 391 393 395 411 414 418 434 436 441 458 460 465 466 467 468 492 506 526 527 530 542 545 547 548 549 551 552 554 557 558 560 562 570 573 575 590 600 608 614 621 652 655 657 665 668 674 678 685 693 699 705 707 711 724 730 732 733 735 741 755 758 760 761 762 764 766 768 771 776 785 786 788 797 810 811 818 822 829 836 838 868 874 890 895 896 910 912 918 926 932 934 951 957 971 973 981 982 991 1012 1015 1022 1042 1045 1046 1048 1054 1067 1068 1070 1071 1075 1088 1091 1092 1097 1110 1111 1113 1115 1117 1121 1122 1123 1124 1146 1155 1182 1189 1194 1196 1206 1225 1239 1245 1250 1259 1272 1278 1279 1287]\n# step=17 row=212 minW=186 found cw of W=166: [2 10 29 42 45 49 57 65 66 78 82 108 113 121 150 158 173 176 178 198 202 225 235 254 256 257 258 271 274 276 282 284 299 304 318 326 327 333 341 343 345 346 351 355 357 362 364 365 366 373 377 385 402 410 412 418 420 421 426 434 440 450 458 465 474 476 482 494 498 504 506 507 515 526 535 553 556 561 581 587 597 598 606 609 610 623 653 677 679 703 704 710 718 725 734 737 747 759 765 767 772 774 783 796 805 810 828 855 857 858 866 880 890 900 905 918 925 931 933 939 942 950 958 961 964 966 969 974 976 978 989 994 1017 1019 1022 1034 1055 1060 1063 1069 1074 1090 1097 1100 1102 1105 1119 1131 1143 1146 1157 1165 1166 1170 1191 1193 1218 1226 1227 1230 1235 1238 1249 1254 1257 1277]\n# step=64 row=53 minW=166 found cw of W=158: [22 37 45 49 58 74 84 85 112 123 132 147 165 168 176 182 190 194 200 256 258 262 266 270 272 274 276 278 282 311 314 317 324 325 339 342 348 356 365 366 372 378 382 387 388 411 426 437 443 447 449 457 465 475 480 489 490 497 500 502 514 515 529 542 553 573 577 589 590 596 613 616 624 650 661 669 696 706 709 714 715 727 734 736 740 741 742 746 755 759 761 771 780 789 796 798 804 814 818 825 830 843 850 851 872 875 876 877 886 902 905 906 907 915 919 928 946 966 974 985 990 991 996 1004 1005 1010 1028 1031 1044 1049 1054 1062 1071 1096 1100 1101 1104 1112 1115 1119 1125 1133 1138 1147 1164 1190 1192 1207 1221 1228 1235 1241 1245 1266 1273 1274 1278 1279]\n# step=64 row=227 minW=158 found cw of W=154: [22 37 45 49 58 74 84 85 123 132 147 165 168 176 182 190 194 200 256 258 262 266 270 272 274 276 278 282 311 314 317 324 325 339 342 348 356 365 366 372 378 382 387 388 411 426 437 443 449 457 465 472 475 480 489 490 497 500 502 514 515 529 542 553 573 577 589 590 596 613 616 624 650 661 669 696 706 709 714 715 727 734 736 740 741 742 746 755 759 761 771 780 789 796 798 804 814 818 825 830 843 850 851 872 875 876 877 886 902 905 906 907 915 919 928 946 966 974 985 990 991 996 1004 1005 1010 1028 1031 1044 1049 1054 1062 1071 1096 1100 1101 1115 1119 1125 1133 1138 1147 1164 1190 1207 1221 1228 1235 1241 1245 1266 1273 1274 1278 1279]\n# step=434 row=304 minW=154 found cw of W=150: [4 5 43 64 73 81 82 86 88 94 95 96 103 108 123 128 135 148 159 160 194 196 197 198 202 204 244 245 251 262 300 318 320 326 331 333 338 346 348 352 355 362 363 370 373 378 380 384 398 401 436 440 447 448 450 458 464 474 489 502 511 512 518 522 525 530 531 539 542 543 544 552 558 564 566 590 603 611 613 614 619 632 634 640 642 646 648 660 662 668 670 675 688 700 706 732 764 765 774 780 788 791 794 826 839 865 866 879 919 926 942 944 951 964 966 977 984 995 998 1003 1023 1030 1041 1048 1058 1065 1085 1090 1091 1100 1109 1129 1134 1144 1152 1175 1176 1183 1199 1203 1207 1209 1214 1228 1240 1263 1264 1265 1278 1292]\n# step=994 row=60 minW=150 found cw of W=136: [14 22 37 45 46 57 67 72 90 110 119 137 144 149 153 165 169 173 182 184 186 194 205 206 210 212 214 223 231 256 281 285 308 309 333 341 369 377 380 386 404 425 445 468 480 481 489 505 511 519 522 552 566 577 578 581 589 604 615 637 645 663 671 693 694 703 716 717 728 748 758 776 784 787 789 796 798 801 803 806 809 810 822 824 850 864 880 882 896 900 902 904 905 906 912 913 920 925 926 930 934 945 965 984 1004 1015 1016 1046 1053 1069 1076 1086 1094 1100 1101 1110 1118 1123 1126 1131 1138 1152 1156 1162 1168 1185 1190 1210 1225 1239 1242 1247 1253 1255 1274 1292]\n# step=994 row=557 minW=136 found cw of W=134: [14 22 37 45 46 57 67 72 90 119 137 144 149 153 165 169 173 182 184 186 194 205 206 210 212 214 223 231 256 281 285 308 309 333 341 369 377 380 386 404 425 468 470 480 481 489 505 511 519 522 552 566 577 578 581 589 604 615 637 645 663 671 693 694 703 716 717 728 748 758 776 784 787 789 796 798 801 803 806 809 810 822 824 850 864 880 882 896 900 902 904 905 906 912 913 920 925 926 930 934 945 965 984 1004 1015 1016 1046 1053 1069 1076 1086 1094 1100 1101 1102 1118 1123 1126 1131 1138 1152 1156 1162 1168 1185 1210 1225 1239 1242 1247 1253 1255 1274 1292]\n# round=1000 of 50000 minW=134\n# step=1045 row=13 minW=134 found cw of W=116: [20 41 45 57 58 65 69 70 94 97 98 102 106 109 129 137 145 146 153 157 161 162 170 178 182 207 211 215 233 239 254 258 262 269 289 323 378 386 403 431 452 474 477 485 503 513 519 534 552 559 571 577 581 590 594 596 602 604 609 624 634 638 642 643 677 690 694 701 715 721 739 765 786 810 819 826 842 867 902 918 921 928 929 934 935 953 959 990 1028 1053 1081 1099 1109 1142 1150 1163 1167 1170 1175 1178 1195 1197 1203 1209 1217 1228 1233 1234 1241 1242 1246 1253 1256 1278 1279 1291]\n# round=2000 of 50000 minW=116\n# round=3000 of 50000 minW=116\n# round=4000 of 50000 minW=116\n# step=4392 row=268 minW=116 found cw of W=114: [18 21 52 57 60 74 90 97 105 142 162 176 197 230 232 238 246 248 261 270 292 295 306 320 321 323 331 339 354 364 365 408 425 430 434 455 464 518 526 533 540 565 567 573 584 592 596 613 642 655 656 675 693 700 709 725 733 746 758 766 810 824 850 856 864 865 877 891 902 907 913 916 935 943 952 966 968 1004 1005 1013 1015 1021 1046 1054 1066 1068 1085 1123 1137 1145 1153 1154 1155 1161 1163 1177 1184 1190 1196 1200 1204 1216 1226 1248 1253 1256 1265 1270 1273 1278 1279 1285 1287 1292]\n# round=5000 of 50000 minW=114\n# round=6000 of 50000 minW=114\n# round=7000 of 50000 minW=114\n# round=8000 of 50000 minW=114\n# round=9000 of 50000 minW=114\n# round=10000 of 50000 minW=114\n# round=11000 of 50000 minW=114\n# round=12000 of 50000 minW=114\n# round=13000 of 50000 minW=114\n# round=14000 of 50000 minW=114\n# round=15000 of 50000 minW=114\n# round=16000 of 50000 minW=114\n# round=17000 of 50000 minW=114\n# round=18000 of 50000 minW=114\n# round=19000 of 50000 minW=114\n# round=20000 of 50000 minW=114\n# round=21000 of 50000 minW=114\n# round=22000 of 50000 minW=114\n# round=23000 of 50000 minW=114\n# round=24000 of 50000 minW=114\n# round=25000 of 50000 minW=114\n# round=26000 of 50000 minW=114\n# round=27000 of 50000 minW=114\n# step=27161 row=204 minW=114 found cw of W=84: [24 40 52 54 56 101 105 107 149 164 168 172 181 195 209 220 240 248 256 258 264 281 288 297 311 336 359 361 368 380 384 393 420 421 445 453 472 477 480 484 488 496 547 555 575 580 584 588 592 604 618 624 633 672 680 690 701 709 711 728 744 789 825 885 915 968 980 988 1018 1024 1025 1056 1057 1079 1134 1141 1159 1165 1196 1228 1229 1237 1258 1275]\n# step=27161 row=260 minW=84 found cw of W=82: [40 52 54 56 101 105 107 140 149 164 168 172 181 195 209 240 248 256 258 264 281 288 297 311 336 361 368 380 393 420 421 439 445 453 472 477 480 484 488 496 500 547 575 584 588 592 604 618 624 633 652 672 680 690 701 709 711 728 744 789 825 885 915 968 1018 1024 1025 1056 1057 1079 1096 1134 1141 1159 1165 1196 1212 1228 1229 1237 1258 1275]\n# step=27161 row=554 minW=82 found cw of W=80: [40 52 54 56 101 105 107 149 164 168 172 181 195 209 220 240 248 256 258 264 281 288 297 311 336 361 368 380 393 420 421 445 453 472 477 480 484 488 496 547 555 575 580 584 588 592 604 618 624 633 672 680 690 701 709 711 728 744 789 825 885 915 968 1018 1024 1025 1056 1057 1079 1104 1134 1141 1159 1165 1196 1228 1229 1237 1258 1275]\n# round=28000 of 50000 minW=80\n# round=29000 of 50000 minW=80\n# round=30000 of 50000 minW=80\n# round=31000 of 50000 minW=80\n# round=32000 of 50000 minW=80\n# round=33000 of 50000 minW=80\n# round=34000 of 50000 minW=80\n# round=35000 of 50000 minW=80\n# round=36000 of 50000 minW=80\n# round=37000 of 50000 minW=80\n# round=38000 of 50000 minW=80\n# round=39000 of 50000 minW=80\n# round=40000 of 50000 minW=80\n# round=41000 of 50000 minW=80\n# round=42000 of 50000 minW=80\n# round=43000 of 50000 minW=80\n# round=44000 of 50000 minW=80\n# round=45000 of 50000 minW=80\n# round=46000 of 50000 minW=80\n# round=47000 of 50000 minW=80\n# round=48000 of 50000 minW=80\n# round=49000 of 50000 minW=80\n# round=50000 of 50000 minW=80\nRW algorithm upper bound for the distance d=80\n</t>
  </si>
  <si>
    <t>128.32605897262692</t>
  </si>
  <si>
    <t># step=0 row=0 minW=1153 found cw of W=224: [1 2 14 15 17 20 24 26 34 51 63 78 81 82 85 89 95 107 110 120 124 125 127 128 129 136 138 154 155 164 174 188 189 191 198 203 205 208 210 213 214 215 235 244 246 250 252 261 263 265 282 284 286 287 294 296 297 301 302 309 311 312 314 316 318 330 334 336 339 341 342 344 346 356 358 370 371 388 395 402 408 424 427 428 430 440 448 485 498 500 502 505 523 528 534 539 541 557 563 567 568 571 573 575 576 577 579 580 581 582 589 592 609 611 614 619 624 630 631 641 643 664 668 675 676 686 696 705 710 714 722 725 738 744 752 767 769 777 783 787 789 792 796 800 803 805 807 810 819 824 825 826 829 835 846 848 851 864 870 873 877 882 890 901 907 908 912 924 935 941 943 947 948 950 961 968 969 970 978 979 986 989 995 997 1002 1004 1005 1006 1010 1014 1019 1020 1022 1037 1052 1057 1060 1061 1062 1064 1070 1074 1079 1084 1089 1090 1098 1101 1103 1106 1108 1116 1120 1129 1133 1136 1140 1142 1144 1146 1147 1149 1150 1152]\n# step=0 row=5 minW=224 found cw of W=216: [2 9 12 13 19 22 23 26 34 37 45 50 58 60 62 63 72 73 85 107 111 124 127 128 129 132 136 150 154 155 164 171 185 190 197 198 202 205 210 215 244 250 252 261 264 265 266 281 282 284 297 301 311 314 316 318 334 340 358 371 380 388 395 404 405 408 413 417 419 426 427 428 436 438 440 444 446 450 461 475 479 480 484 491 498 500 502 509 510 514 523 545 557 558 563 567 568 571 572 575 577 581 582 590 598 601 607 609 611 619 624 626 629 630 631 636 637 641 657 661 664 670 676 677 697 702 704 705 709 716 717 718 722 731 752 760 767 768 772 783 787 792 799 800 803 805 811 815 818 819 820 826 829 835 837 845 846 848 851 856 857 859 861 864 865 877 882 890 895 903 910 911 921 925 935 941 947 948 961 968 969 970 974 978 979 986 990 1004 1010 1019 1020 1037 1039 1050 1052 1054 1061 1064 1070 1073 1074 1081 1087 1089 1090 1093 1098 1103 1104 1106 1128 1129 1130 1133 1135 1146]\n# step=0 row=6 minW=216 found cw of W=198: [8 13 16 20 31 37 41 45 51 54 63 82 94 95 105 107 111 120 124 154 168 171 185 189 190 191 193 198 202 226 235 240 246 250 252 264 265 287 291 297 301 302 304 309 311 312 314 316 322 330 339 340 342 362 365 373 378 380 387 388 395 401 402 404 414 417 418 419 427 428 430 433 436 438 442 444 448 459 461 466 475 479 480 484 485 486 496 497 500 502 510 518 520 523 533 539 562 571 573 575 584 587 588 601 607 625 626 631 635 636 639 643 657 664 670 676 677 681 682 695 696 699 702 716 718 727 729 730 738 744 745 754 772 777 781 787 792 798 800 805 807 808 810 811 820 825 835 837 845 846 850 859 861 864 870 873 882 885 895 907 915 921 939 946 948 951 960 968 970 977 981 989 990 1004 1005 1020 1022 1037 1039 1046 1054 1060 1070 1079 1081 1084 1087 1090 1098 1105 1114 1124 1133 1135 1136 1142 1144 1150]\n# step=0 row=21 minW=198 found cw of W=194: [2 3 4 8 13 14 23 24 31 34 37 41 43 51 56 60 63 78 81 82 91 95 105 111 114 124 127 129 132 138 190 191 193 199 205 212 213 215 226 240 245 250 252 257 263 264 281 286 287 291 296 314 316 324 341 365 370 371 373 380 387 388 395 404 412 419 433 434 455 459 461 466 478 480 491 498 504 505 506 522 539 545 563 576 579 581 589 598 606 619 631 632 635 636 643 648 657 660 668 675 677 679 681 682 692 693 694 696 697 705 709 714 717 718 722 727 729 732 738 744 745 752 754 760 768 769 775 784 788 789 792 800 803 805 811 813 820 822 824 825 826 832 837 843 850 856 861 864 875 877 882 885 890 906 911 912 932 941 943 948 961 968 969 970 973 977 978 979 981 986 990 1004 1005 1014 1019 1020 1032 1037 1042 1052 1054 1061 1073 1075 1079 1089 1093 1101 1105 1120 1121 1124 1129 1130]\n# step=0 row=103 minW=194 found cw of W=184: [4 9 13 19 26 31 41 60 63 73 82 85 89 94 105 110 120 124 127 138 154 164 168 174 178 182 188 190 199 200 205 210 212 213 215 235 242 250 256 262 264 266 281 286 297 301 302 309 311 312 314 341 356 362 380 402 405 412 419 433 436 446 459 466 472 484 491 498 506 509 510 523 528 553 562 565 577 579 580 587 598 601 606 609 611 614 624 626 629 631 634 636 641 643 648 657 660 664 668 675 676 681 682 692 704 705 709 722 725 727 729 730 731 732 745 754 757 760 767 769 772 784 788 793 796 798 805 807 810 813 815 822 825 835 848 850 856 865 870 873 875 882 903 908 915 918 924 941 943 946 948 961 968 973 977 978 990 992 1010 1019 1020 1032 1039 1046 1054 1057 1061 1069 1073 1074 1081 1089 1090 1093 1098 1101 1103 1104 1106 1114 1130 1135 1144 1147]\n# step=4 row=558 minW=184 found cw of W=170: [3 13 22 24 28 35 39 41 43 44 55 69 76 77 100 114 115 118 147 157 173 181 187 188 203 213 214 219 221 233 253 256 257 275 277 279 282 289 290 307 312 320 321 335 344 346 349 360 362 372 376 392 394 404 405 408 410 422 430 438 444 448 462 465 468 475 476 493 498 509 512 529 532 537 547 552 554 557 563 564 573 576 582 592 614 621 624 627 635 640 649 674 676 677 678 684 689 692 696 699 704 714 732 740 741 742 747 756 762 764 768 778 780 787 789 792 801 804 814 817 822 828 831 842 855 857 869 875 890 897 917 935 951 957 961 964 979 980 993 997 1005 1006 1007 1014 1019 1026 1040 1060 1069 1071 1077 1081 1082 1094 1099 1101 1108 1109 1110 1112 1113 1115 1122 1126 1127 1128 1129 1134 1141 1149]\n# step=7 row=37 minW=170 found cw of W=150: [2 5 6 25 28 32 43 65 66 71 76 86 96 98 106 107 112 113 116 162 164 167 171 172 182 188 197 201 205 209 211 215 220 226 230 234 235 236 240 258 260 279 285 308 310 361 364 375 378 401 419 429 437 438 440 444 449 454 460 466 468 483 505 507 508 512 514 525 528 534 546 564 571 573 579 585 590 591 608 612 613 620 639 641 644 657 682 687 688 690 706 715 721 722 735 737 741 746 751 755 760 761 762 763 767 770 780 782 783 796 797 807 809 812 831 833 843 849 865 871 892 894 903 905 908 922 927 939 953 959 962 978 980 981 1001 1018 1022 1035 1046 1050 1051 1052 1059 1077 1082 1088 1089 1123 1133 1144]\n# step=7 row=87 minW=150 found cw of W=146: [2 6 19 25 28 32 43 65 71 76 86 96 98 106 107 112 113 116 148 167 171 172 182 188 197 201 205 209 211 215 220 226 230 234 235 236 240 258 279 285 308 310 361 364 375 378 401 419 429 437 438 440 444 449 454 460 466 468 483 485 505 507 508 512 514 525 528 534 546 564 571 573 579 585 590 591 608 612 613 620 627 639 644 657 682 687 688 690 706 721 722 733 735 741 746 751 755 760 761 762 763 767 770 780 782 783 796 807 809 811 812 831 833 843 849 865 871 892 894 903 905 908 922 927 939 953 959 962 964 980 981 1001 1018 1022 1035 1046 1050 1051 1059 1077 1082 1088 1089 1123 1133 1144]\n# step=19 row=179 minW=146 found cw of W=108: [27 32 45 46 52 73 83 99 100 105 120 162 169 173 206 215 220 242 243 245 257 265 275 295 305 326 331 339 341 343 349 354 358 364 368 378 382 383 390 412 417 422 427 436 442 446 459 465 478 479 489 511 516 521 542 548 558 563 578 612 617 620 621 643 676 695 722 727 732 737 745 748 749 758 764 780 786 806 811 817 818 844 866 870 875 902 911 919 923 924 929 933 934 971 987 998 1003 1034 1044 1045 1059 1061 1066 1069 1071 1108 1114 1133]\n# step=727 row=195 minW=108 found cw of W=100: [3 25 31 33 45 47 77 78 87 119 125 141 151 152 162 170 180 225 235 237 240 244 272 282 299 327 332 366 370 378 380 382 386 396 401 462 466 469 474 478 515 521 525 538 543 554 594 598 611 612 614 616 618 620 631 655 682 700 702 753 755 759 765 774 776 792 796 798 802 816 817 853 863 866 872 888 898 902 911 912 935 955 959 968 984 992 1015 1029 1041 1050 1054 1064 1082 1086 1088 1092 1102 1105 1127 1128]\n# round=1000 of 50000 minW=100\n# round=2000 of 50000 minW=100\n# step=2916 row=38 minW=100 found cw of W=72: [12 18 34 43 50 55 58 65 66 69 72 82 86 98 104 118 122 130 143 160 194 209 234 247 261 273 282 299 339 347 363 385 395 417 421 427 431 435 442 456 459 481 495 506 546 569 587 642 643 647 673 675 747 769 770 784 832 836 848 857 874 883 888 896 910 914 931 938 979 1027 1031 1075]\n# step=2916 row=357 minW=72 found cw of W=70: [12 18 34 43 50 55 58 65 66 69 82 86 98 104 118 122 130 143 160 194 209 234 247 261 273 282 299 339 347 363 395 417 421 427 431 435 442 456 459 495 506 546 569 587 633 642 643 673 675 697 747 769 770 784 832 836 848 857 874 883 888 896 910 914 931 938 979 1027 1031 1075]\n# round=3000 of 50000 minW=70\n# round=4000 of 50000 minW=70\n# round=5000 of 50000 minW=70\n# step=5307 row=261 minW=70 found cw of W=66: [1 11 24 28 32 42 45 47 75 88 106 107 110 157 162 175 180 190 200 236 244 245 249 296 323 333 387 402 444 466 470 480 512 533 544 547 549 589 596 677 682 685 692 732 750 751 756 760 785 838 839 881 902 933 962 963 977 981 1014 1029 1036 1045 1069 1088 1124 1125]\n# round=6000 of 50000 minW=66\n# round=7000 of 50000 minW=66\n# round=8000 of 50000 minW=66\n# round=9000 of 50000 minW=66\n# round=10000 of 50000 minW=66\n# round=11000 of 50000 minW=66\n# round=12000 of 50000 minW=66\n# round=13000 of 50000 minW=66\n# round=14000 of 50000 minW=66\n# round=15000 of 50000 minW=66\n# round=16000 of 50000 minW=66\n# round=17000 of 50000 minW=66\n# step=17382 row=447 minW=66 found cw of W=64: [30 40 48 57 70 71 104 121 177 209 241 256 270 278 288 319 329 358 380 411 415 417 425 458 464 468 472 478 481 485 523 528 532 552 569 572 573 596 614 631 641 670 752 757 784 810 840 862 906 909 992 996 1001 1002 1005 1049 1070 1080 1084 1094 1098 1133 1144 1148]\n# round=18000 of 50000 minW=64\n# round=19000 of 50000 minW=64\n# round=20000 of 50000 minW=64\n# round=21000 of 50000 minW=64\n# round=22000 of 50000 minW=64\n# round=23000 of 50000 minW=64\n# round=24000 of 50000 minW=64\n# round=25000 of 50000 minW=64\n# round=26000 of 50000 minW=64\n# round=27000 of 50000 minW=64\n# round=28000 of 50000 minW=64\n# round=29000 of 50000 minW=64\n# round=30000 of 50000 minW=64\n# round=31000 of 50000 minW=64\n# round=32000 of 50000 minW=64\n# round=33000 of 50000 minW=64\n# round=34000 of 50000 minW=64\n# step=34108 row=375 minW=64 found cw of W=56: [19 25 29 31 41 45 83 100 103 113 115 119 147 162 169 174 177 179 226 241 245 249 253 255 259 263 290 313 317 329 333 393 407 437 457 489 511 531 537 541 543 547 551 602 675 685 727 737 759 801 819 961 962 966 1035 1128]\n# round=35000 of 50000 minW=56\n# round=36000 of 50000 minW=56\n# round=37000 of 50000 minW=56\n# round=38000 of 50000 minW=56\n# round=39000 of 50000 minW=56\n# round=40000 of 50000 minW=56\n# round=41000 of 50000 minW=56\n# round=42000 of 50000 minW=56\n# round=43000 of 50000 minW=56\n# round=44000 of 50000 minW=56\n# round=45000 of 50000 minW=56\n# round=46000 of 50000 minW=56\n# round=47000 of 50000 minW=56\n# round=48000 of 50000 minW=56\n# round=49000 of 50000 minW=56\n# round=50000 of 50000 minW=56\nRW algorithm upper bound for the distance d=56\n</t>
  </si>
  <si>
    <t>317.35790168400854</t>
  </si>
  <si>
    <t># step=0 row=0 minW=1729 found cw of W=348: [1 7 8 17 18 20 27 31 33 37 43 46 53 57 58 60 64 67 75 78 86 90 96 98 103 104 106 112 113 115 124 125 126 127 137 139 140 143 144 146 149 150 155 159 174 196 201 205 211 220 222 235 239 243 248 256 258 260 262 263 264 266 271 284 285 287 296 299 309 310 312 313 320 331 345 347 348 354 356 358 360 361 366 367 368 369 376 385 395 401 405 411 415 423 428 432 439 452 457 461 465 472 476 484 489 492 496 498 499 507 509 517 518 533 534 536 537 538 543 549 552 554 560 564 566 567 569 578 581 584 588 590 600 602 606 610 611 613 623 629 632 635 643 650 654 669 685 687 701 708 722 723 725 727 729 730 737 749 753 755 764 773 775 776 778 793 796 797 823 828 831 836 839 844 850 852 856 859 863 869 874 879 882 883 887 889 894 896 898 901 908 910 917 920 921 926 934 945 951 955 958 963 964 972 973 976 986 988 1000 1012 1015 1016 1019 1020 1021 1022 1025 1031 1032 1033 1037 1045 1055 1056 1059 1064 1065 1068 1109 1122 1123 1136 1138 1140 1152 1156 1157 1158 1161 1164 1168 1172 1187 1197 1203 1209 1211 1216 1218 1219 1225 1226 1227 1228 1229 1230 1238 1242 1244 1246 1247 1248 1250 1252 1254 1256 1258 1259 1266 1268 1270 1271 1280 1295 1305 1336 1338 1341 1346 1349 1350 1360 1370 1375 1376 1377 1378 1380 1383 1390 1391 1393 1397 1398 1402 1420 1421 1424 1432 1436 1437 1438 1451 1453 1469 1475 1476 1483 1484 1490 1491 1506 1507 1510 1516 1521 1523 1528 1547 1548 1561 1562 1570 1572 1573 1578 1588 1601 1611 1614 1623 1637 1638 1639 1664 1672 1675 1676 1685 1698 1703 1704 1705 1708 1709 1721 1722 1724]\n# step=0 row=1 minW=348 found cw of W=330: [2 3 5 14 21 23 31 35 37 46 54 55 57 58 60 64 65 86 90 93 96 103 104 106 115 116 117 124 126 127 128 129 137 144 152 156 159 169 178 180 189 197 201 203 220 223 237 243 247 248 250 252 258 266 271 285 287 288 296 309 310 314 317 320 345 347 350 356 360 361 373 382 385 395 401 402 405 416 428 432 439 452 476 492 496 498 503 505 507 510 517 518 522 527 531 532 534 536 540 543 545 553 556 558 560 564 569 578 580 590 592 600 602 605 606 610 613 620 629 630 632 664 669 670 672 676 685 687 723 726 728 729 730 732 738 746 755 766 769 773 774 775 776 778 790 791 793 796 797 805 806 820 823 824 825 828 836 839 850 855 856 866 870 874 876 879 887 898 901 904 908 910 917 921 932 942 945 946 958 964 972 973 974 976 981 986 996 1000 1005 1011 1016 1022 1027 1031 1032 1043 1045 1080 1089 1092 1093 1099 1101 1107 1119 1120 1122 1123 1138 1140 1148 1149 1151 1154 1155 1156 1157 1158 1161 1167 1169 1187 1198 1199 1203 1209 1213 1218 1219 1230 1235 1238 1244 1246 1247 1256 1257 1258 1259 1264 1268 1270 1271 1272 1281 1286 1291 1294 1305 1316 1317 1333 1336 1337 1338 1346 1349 1350 1360 1370 1375 1381 1383 1390 1392 1394 1398 1402 1405 1410 1427 1430 1436 1437 1451 1453 1456 1457 1458 1460 1464 1475 1476 1481 1482 1483 1484 1490 1491 1506 1507 1510 1513 1515 1519 1522 1527 1528 1530 1531 1547 1548 1558 1563 1573 1578 1590 1598 1606 1611 1613 1616 1625 1626 1627 1638 1640 1643 1658 1665 1672 1675 1677 1685 1698 1703 1708 1709 1721 1722]\n# step=0 row=2 minW=330 found cw of W=302: [4 5 10 16 21 23 30 33 35 45 53 67 76 78 100 103 104 107 108 111 112 116 117 124 125 128 129 139 140 143 144 149 150 152 155 156 159 163 169 174 178 180 193 196 197 203 205 210 223 241 247 248 250 252 256 260 262 263 264 266 271 285 296 308 310 312 313 320 347 348 354 358 360 361 366 367 368 373 376 385 389 411 414 415 418 423 432 435 447 452 457 461 462 476 481 483 489 498 499 503 505 510 527 533 537 540 550 553 554 558 578 580 607 610 611 613 617 629 670 672 675 676 687 708 721 722 723 727 728 729 730 732 738 742 746 749 753 757 764 774 775 776 790 791 796 801 806 808 809 811 823 824 825 828 829 836 839 848 852 863 869 874 882 886 894 901 904 910 920 929 934 945 946 963 964 974 975 981 988 1003 1005 1006 1008 1022 1024 1031 1032 1034 1037 1043 1055 1056 1068 1080 1090 1091 1092 1099 1107 1109 1120 1123 1138 1154 1155 1159 1164 1168 1172 1173 1197 1198 1199 1203 1210 1212 1213 1215 1218 1219 1225 1247 1250 1252 1255 1257 1258 1259 1263 1266 1270 1272 1280 1294 1295 1300 1318 1319 1336 1337 1341 1351 1356 1362 1380 1383 1391 1393 1394 1397 1405 1410 1415 1427 1433 1434 1437 1451 1453 1456 1457 1464 1482 1506 1510 1513 1515 1516 1521 1522 1532 1558 1561 1562 1572 1578 1598 1611 1613 1616 1621 1623 1625 1638 1643 1654 1658 1661 1672 1675 1676 1677 1678 1685 1705 1708 1712 1713 1718 1719 1720 1722]\n# step=0 row=11 minW=302 found cw of W=276: [3 5 14 16 18 20 23 24 25 27 29 34 35 54 55 57 65 67 73 74 76 78 98 104 107 111 113 116 124 125 139 140 143 144 149 150 152 155 157 159 161 163 165 169 174 196 197 210 212 237 241 247 248 256 260 262 266 285 286 287 288 289 293 296 297 308 310 313 314 340 347 350 351 354 358 360 369 373 381 382 387 389 409 414 416 456 462 465 468 472 481 483 484 499 503 510 512 517 527 531 534 550 554 556 558 560 564 580 602 605 606 613 616 672 676 685 687 725 728 729 730 732 738 746 773 774 776 778 793 796 797 817 821 823 828 829 831 836 839 848 852 856 859 866 874 879 882 887 894 898 904 907 910 926 929 934 946 951 955 958 961 988 996 1000 1003 1005 1006 1011 1012 1015 1022 1023 1024 1027 1034 1037 1041 1045 1052 1055 1056 1100 1109 1122 1138 1140 1148 1156 1159 1167 1172 1173 1187 1197 1198 1210 1213 1218 1219 1230 1235 1238 1250 1254 1255 1256 1257 1258 1259 1262 1264 1270 1271 1272 1281 1286 1305 1316 1333 1336 1356 1360 1362 1370 1375 1381 1383 1394 1402 1410 1415 1427 1428 1429 1430 1434 1450 1456 1457 1458 1464 1480 1481 1500 1506 1507 1519 1520 1527 1528 1532 1547 1548 1557 1573 1578 1590 1598 1613 1616 1623 1626 1627 1638 1639 1640 1665 1672 1676 1685 1708 1712 1713 1717 1722 1724]\n# step=0 row=251 minW=276 found cw of W=274: [10 16 17 18 21 26 27 31 33 34 35 43 46 57 58 60 61 64 65 67 73 74 78 93 98 103 112 113 115 116 117 124 125 126 127 144 159 165 169 220 235 239 241 250 252 266 284 285 288 296 299 308 309 310 313 314 319 347 350 351 356 360 373 381 385 389 400 402 414 415 433 435 452 462 465 472 484 503 510 513 517 518 522 525 532 533 538 554 558 564 569 580 605 610 611 613 617 625 629 630 632 664 670 675 676 685 687 690 725 728 729 730 732 737 746 749 753 764 766 769 773 774 776 778 796 801 805 809 810 816 824 825 829 831 833 852 863 875 876 882 886 887 889 894 907 908 910 920 926 932 942 946 951 956 961 964 975 976 1000 1003 1005 1011 1012 1014 1016 1019 1020 1021 1023 1025 1026 1027 1065 1090 1091 1099 1100 1119 1122 1138 1151 1155 1156 1159 1167 1172 1173 1203 1210 1211 1212 1213 1219 1226 1227 1228 1229 1235 1246 1247 1248 1250 1254 1255 1258 1259 1263 1270 1271 1272 1280 1286 1291 1300 1305 1316 1317 1318 1319 1321 1336 1356 1360 1362 1370 1375 1378 1380 1381 1383 1391 1392 1393 1394 1398 1410 1432 1438 1450 1463 1464 1480 1483 1484 1505 1515 1523 1527 1530 1531 1532 1563 1570 1573 1588 1598 1607 1613 1626 1627 1637 1638 1639 1654 1659 1662 1664 1665 1678 1685 1709 1712 1713 1724]\n# step=0 row=422 minW=274 found cw of W=260: [5 10 17 18 23 31 35 45 46 53 55 57 58 73 74 75 76 96 98 111 112 113 117 124 126 146 163 169 189 193 205 206 210 220 223 241 243 247 250 256 258 260 264 271 272 309 312 313 320 351 354 358 361 367 368 381 385 395 401 405 409 411 415 428 435 439 452 456 472 484 503 517 527 534 550 553 556 560 564 578 580 581 600 602 605 606 611 616 617 625 630 669 670 675 676 708 721 722 723 726 728 745 769 774 775 793 817 820 823 824 825 828 831 836 839 848 849 870 875 876 879 884 887 889 894 898 901 904 907 917 946 951 955 956 961 963 974 975 996 1000 1011 1012 1016 1022 1027 1031 1032 1033 1034 1055 1056 1068 1089 1090 1091 1093 1099 1106 1107 1119 1120 1122 1124 1156 1157 1158 1159 1164 1167 1168 1173 1197 1198 1199 1203 1209 1210 1212 1213 1215 1216 1218 1219 1235 1238 1246 1248 1250 1252 1256 1262 1263 1285 1295 1305 1316 1317 1318 1319 1321 1322 1333 1337 1338 1356 1360 1370 1380 1381 1383 1391 1393 1402 1405 1415 1427 1434 1438 1453 1456 1457 1463 1464 1469 1481 1483 1500 1510 1522 1527 1528 1530 1531 1532 1558 1561 1562 1572 1578 1594 1607 1613 1614 1616 1621 1623 1626 1654 1665 1670 1671 1675 1676 1678 1701 1717 1718 1719 1721 1722]\n# step=0 row=852 minW=260 found cw of W=258: [5 10 17 18 23 31 35 45 46 53 55 57 58 73 74 75 76 96 98 111 112 113 117 124 126 146 163 169 189 193 205 206 210 220 223 241 243 247 250 256 258 260 264 271 272 309 312 313 320 344 351 354 358 361 367 368 381 385 395 401 405 409 411 415 428 435 439 452 456 472 484 503 517 527 534 550 553 556 560 564 578 580 581 600 602 605 606 611 616 617 625 630 669 670 675 676 708 721 722 723 726 728 745 769 774 775 793 817 820 823 824 825 828 831 836 839 870 875 876 879 887 889 894 898 901 904 907 917 946 951 955 956 961 963 974 975 996 1000 1011 1012 1016 1022 1027 1031 1032 1033 1034 1055 1056 1068 1089 1090 1091 1093 1099 1106 1107 1119 1120 1122 1124 1156 1157 1158 1159 1164 1167 1168 1173 1197 1198 1199 1203 1209 1210 1212 1213 1215 1216 1218 1219 1235 1238 1246 1248 1250 1252 1256 1262 1263 1285 1295 1305 1316 1317 1318 1319 1321 1322 1333 1337 1338 1356 1360 1370 1380 1381 1383 1391 1393 1402 1405 1415 1427 1434 1438 1453 1456 1457 1463 1464 1469 1481 1483 1500 1510 1522 1527 1528 1530 1531 1532 1558 1561 1562 1572 1578 1594 1607 1613 1614 1616 1621 1623 1626 1654 1665 1670 1671 1675 1676 1678 1697 1717 1718 1719 1721 1722]\n# step=110 row=259 minW=258 found cw of W=248: [3 4 6 10 14 18 44 47 56 57 59 65 74 93 109 112 115 117 121 130 132 139 141 143 149 159 160 162 172 175 176 177 185 200 234 238 247 255 260 264 282 298 302 304 305 310 311 315 318 325 329 334 339 343 354 357 365 372 380 386 387 391 403 406 409 415 418 423 426 440 444 448 451 460 465 476 490 499 505 535 536 539 540 549 550 553 558 562 563 578 580 582 583 600 609 612 615 619 627 629 634 638 645 647 661 665 667 670 672 676 683 687 739 740 741 743 747 752 754 762 772 773 786 792 803 811 823 835 854 856 857 858 890 902 904 908 911 926 927 928 932 942 943 946 956 963 965 966 979 980 983 984 991 992 999 1001 1016 1024 1025 1033 1038 1052 1070 1071 1074 1076 1090 1101 1131 1132 1133 1138 1144 1153 1157 1163 1167 1196 1197 1201 1203 1206 1210 1223 1233 1235 1243 1265 1266 1275 1279 1294 1300 1302 1303 1313 1315 1359 1392 1393 1398 1406 1415 1430 1440 1468 1471 1492 1494 1495 1500 1501 1502 1503 1508 1515 1517 1520 1532 1533 1536 1537 1545 1547 1548 1556 1563 1564 1566 1587 1589 1594 1600 1605 1606 1621 1639 1643 1644 1651 1663 1675 1686 1687 1705 1709 1719 1723]\n# step=178 row=120 minW=248 found cw of W=246: [1 33 36 47 48 86 87 90 93 98 106 112 117 120 125 141 144 147 148 151 154 156 163 167 186 190 194 196 201 207 208 214 217 233 236 245 248 249 252 254 256 258 283 287 288 289 299 303 305 307 322 337 350 356 357 361 386 389 390 393 401 406 431 447 458 463 465 469 473 476 484 488 508 510 518 520 522 526 527 528 531 537 539 542 544 547 550 569 575 578 579 585 592 595 598 600 602 604 608 609 610 611 613 614 615 619 623 626 629 634 646 647 657 669 677 693 697 708 713 731 735 740 755 756 782 791 806 822 875 883 920 925 929 942 944 946 947 954 957 958 963 964 971 972 973 981 986 994 998 1001 1017 1032 1037 1039 1043 1048 1050 1060 1071 1072 1081 1084 1089 1096 1100 1114 1115 1116 1132 1136 1139 1148 1152 1155 1158 1159 1174 1183 1187 1189 1206 1209 1237 1256 1284 1291 1292 1295 1296 1300 1302 1303 1311 1316 1323 1346 1362 1379 1380 1386 1387 1388 1389 1393 1394 1424 1425 1429 1430 1433 1434 1436 1441 1444 1448 1449 1455 1458 1461 1467 1469 1476 1482 1485 1486 1499 1503 1509 1513 1522 1529 1542 1549 1561 1577 1588 1604 1609 1610 1611 1612 1651 1659 1662 1675 1682]\n# step=194 row=538 minW=246 found cw of W=238: [8 15 24 60 91 95 99 108 114 119 142 157 167 169 177 200 205 209 214 218 225 240 242 243 244 251 268 271 272 275 290 295 296 297 303 321 337 345 351 362 377 385 390 394 400 409 419 423 433 460 465 476 478 480 481 513 515 560 566 573 578 584 596 598 600 608 611 613 615 623 635 639 643 657 659 661 665 666 675 681 705 709 717 722 723 725 729 737 741 744 765 769 780 783 784 792 793 795 798 800 803 816 826 831 846 851 852 867 877 878 879 880 881 887 893 894 897 899 908 913 914 940 959 1003 1016 1017 1020 1021 1038 1039 1049 1059 1062 1066 1068 1069 1086 1087 1091 1093 1096 1102 1105 1107 1109 1118 1142 1144 1151 1152 1153 1154 1155 1168 1171 1179 1185 1188 1195 1203 1222 1226 1230 1231 1232 1233 1240 1245 1246 1253 1257 1258 1273 1276 1289 1313 1322 1333 1360 1365 1367 1368 1377 1399 1402 1403 1428 1445 1456 1461 1463 1465 1514 1518 1523 1530 1534 1542 1544 1554 1557 1558 1561 1563 1564 1570 1571 1572 1573 1574 1581 1590 1592 1593 1597 1598 1599 1606 1608 1610 1612 1623 1624 1632 1644 1649 1673 1674 1678 1685 1686 1688 1698 1701 1702 1704 1725 1727]\n# step=617 row=339 minW=238 found cw of W=234: [10 12 56 100 109 112 139 148 153 156 161 166 168 198 203 206 210 212 214 225 227 249 251 266 267 276 292 295 300 304 309 320 327 331 343 345 347 349 358 362 363 369 371 378 395 396 412 413 422 423 425 433 459 464 480 500 508 527 540 555 557 560 562 564 566 567 605 608 611 616 626 637 641 644 648 650 652 654 655 663 665 666 668 669 674 675 685 686 702 704 709 710 711 714 717 725 727 728 729 733 753 754 755 767 769 778 779 780 781 821 824 830 832 862 863 865 895 897 909 915 916 949 953 955 988 992 993 997 1000 1012 1013 1016 1029 1037 1041 1046 1051 1061 1062 1067 1100 1101 1102 1106 1107 1119 1126 1148 1157 1162 1165 1167 1168 1173 1177 1178 1180 1184 1194 1202 1203 1204 1206 1243 1251 1254 1256 1260 1261 1262 1265 1272 1273 1295 1308 1313 1314 1317 1323 1324 1348 1352 1353 1354 1355 1356 1359 1364 1372 1400 1409 1416 1419 1421 1454 1458 1459 1493 1514 1519 1520 1523 1525 1533 1534 1537 1543 1550 1552 1557 1559 1565 1567 1569 1570 1606 1608 1612 1620 1630 1633 1652 1656 1667 1669 1678 1680 1683 1708 1709 1710 1713 1715 1716]\n# step=647 row=78 minW=234 found cw of W=232: [5 8 13 18 21 29 52 61 64 70 72 75 76 86 91 103 107 113 117 120 121 122 125 127 135 137 147 156 174 176 180 182 187 188 191 215 224 230 233 234 275 276 281 282 286 287 300 305 351 377 381 383 384 419 426 428 430 435 438 440 444 445 446 485 515 523 532 543 545 556 560 584 585 590 607 613 618 628 629 632 639 644 664 665 668 671 676 678 682 683 691 693 697 698 711 712 718 729 730 740 744 745 791 794 807 838 842 846 855 857 866 870 894 895 896 898 899 908 914 915 916 918 925 939 971 979 988 1003 1004 1009 1012 1016 1021 1034 1036 1040 1046 1063 1067 1071 1073 1085 1088 1089 1113 1129 1130 1132 1136 1137 1138 1155 1156 1157 1175 1185 1230 1231 1233 1236 1251 1252 1253 1255 1258 1272 1273 1276 1277 1284 1297 1319 1323 1325 1327 1334 1339 1344 1346 1347 1363 1394 1395 1404 1405 1413 1414 1427 1430 1433 1448 1469 1474 1477 1482 1483 1488 1493 1494 1495 1502 1514 1516 1520 1524 1527 1536 1537 1538 1544 1550 1560 1567 1580 1581 1589 1594 1595 1613 1618 1629 1632 1636 1644 1657 1658 1659 1685 1686 1691 1708 1709]\n# step=829 row=742 minW=232 found cw of W=228: [19 23 27 40 44 48 54 57 95 128 179 184 191 194 195 199 204 207 211 216 222 227 237 241 246 250 251 259 261 263 278 282 288 291 304 308 309 319 320 321 323 327 338 356 359 376 378 383 384 411 417 420 426 462 466 470 471 475 479 481 523 526 528 573 575 585 601 605 610 617 621 633 651 663 665 668 674 685 690 692 703 708 710 712 713 715 721 722 723 726 728 731 733 736 748 752 766 767 776 779 780 781 785 786 787 797 819 820 822 827 836 838 839 844 867 874 901 902 906 909 923 924 957 966 995 996 1010 1053 1054 1062 1071 1072 1084 1085 1090 1102 1112 1113 1114 1115 1121 1145 1158 1163 1167 1173 1177 1180 1188 1204 1216 1217 1219 1220 1225 1226 1229 1230 1232 1234 1235 1237 1256 1257 1258 1262 1263 1270 1271 1272 1275 1278 1296 1319 1333 1359 1360 1361 1368 1371 1376 1413 1423 1431 1444 1458 1462 1470 1471 1481 1485 1501 1514 1515 1536 1551 1556 1559 1560 1561 1566 1567 1568 1569 1575 1580 1594 1603 1604 1606 1620 1625 1639 1648 1649 1650 1655 1656 1666 1668 1671 1673 1674 1681 1685 1686 1722 1724]\n# step=992 row=430 minW=228 found cw of W=226: [4 39 43 56 58 71 73 75 77 79 84 87 95 98 107 110 116 125 130 134 136 140 144 152 160 171 175 176 178 186 205 209 224 227 248 251 263 292 308 310 311 358 364 379 454 461 462 472 476 482 487 488 495 500 502 511 519 528 543 555 559 564 570 575 578 582 585 589 603 607 610 619 624 627 629 636 654 655 656 658 661 666 672 678 680 684 685 691 701 702 717 735 779 782 794 821 836 841 847 858 862 889 893 897 904 909 910 919 943 947 948 950 966 968 977 984 997 1001 1002 1034 1036 1041 1044 1053 1057 1068 1072 1076 1077 1080 1085 1100 1104 1112 1151 1157 1158 1160 1177 1181 1191 1203 1204 1205 1206 1207 1228 1229 1230 1231 1257 1269 1308 1309 1310 1314 1326 1327 1335 1340 1348 1351 1352 1354 1365 1366 1376 1381 1387 1394 1401 1411 1423 1436 1441 1443 1444 1452 1453 1454 1471 1475 1476 1477 1478 1479 1503 1507 1509 1511 1514 1517 1520 1524 1531 1532 1533 1534 1535 1539 1544 1546 1549 1556 1557 1561 1562 1564 1566 1572 1573 1576 1577 1584 1589 1601 1620 1628 1631 1668 1682 1686 1695 1707 1711 1714]\n# round=1000 of 50000 minW=226\n# round=2000 of 50000 minW=226\n# step=2369 row=457 minW=226 found cw of W=222: [9 10 28 37 40 53 55 58 95 100 106 111 120 125 127 128 134 135 143 146 152 158 194 196 199 200 205 213 249 264 266 293 317 321 324 332 339 340 341 358 363 366 370 383 387 393 397 398 408 411 461 465 476 498 511 527 536 538 539 543 549 551 562 594 595 598 609 625 626 628 635 637 645 646 652 675 683 686 698 717 721 722 739 743 747 755 756 758 769 775 790 794 797 801 826 841 844 846 848 850 862 863 880 886 889 902 903 906 908 909 910 922 925 937 939 948 958 974 977 983 984 987 992 993 994 1020 1025 1026 1033 1035 1036 1053 1079 1080 1082 1098 1139 1150 1164 1173 1177 1178 1179 1180 1181 1190 1191 1192 1193 1207 1239 1241 1248 1251 1258 1262 1263 1268 1285 1296 1298 1310 1334 1335 1336 1343 1351 1353 1386 1388 1391 1393 1394 1398 1399 1413 1414 1427 1432 1433 1442 1443 1448 1477 1479 1480 1484 1485 1488 1489 1509 1510 1525 1532 1535 1537 1539 1545 1550 1551 1552 1566 1570 1586 1587 1598 1600 1604 1606 1609 1617 1621 1623 1643 1644 1654 1669 1682 1693 1696 1712 1715]\n# step=2380 row=837 minW=222 found cw of W=200: [6 37 55 87 97 102 109 110 111 136 137 139 141 151 196 201 233 234 241 245 246 247 249 252 254 258 259 261 263 265 266 283 296 297 301 362 363 365 397 400 402 404 406 407 410 412 415 416 452 453 455 456 498 500 503 513 556 559 593 598 601 602 604 606 608 612 613 614 616 618 623 658 659 660 661 701 702 707 741 743 744 747 752 753 754 770 775 792 856 891 894 905 922 923 924 925 940 941 945 972 985 987 988 990 991 995 1038 1039 1040 1042 1043 1045 1049 1050 1082 1089 1093 1105 1132 1134 1135 1139 1141 1144 1158 1163 1181 1183 1184 1196 1201 1247 1250 1251 1262 1263 1268 1283 1286 1292 1296 1305 1306 1308 1310 1311 1315 1332 1345 1346 1347 1349 1398 1408 1409 1412 1446 1449 1454 1455 1492 1494 1501 1502 1503 1504 1506 1513 1514 1515 1541 1542 1543 1544 1546 1548 1550 1554 1558 1590 1591 1593 1597 1598 1599 1603 1604 1606 1610 1622 1623 1644 1646 1653 1655 1665 1668 1669 1670 1706]\n# round=3000 of 50000 minW=200\n# round=4000 of 50000 minW=200\n# round=5000 of 50000 minW=200\n# round=6000 of 50000 minW=200\n# round=7000 of 50000 minW=200\n# round=8000 of 50000 minW=200\n# round=9000 of 50000 minW=200\n# round=10000 of 50000 minW=200\n# round=11000 of 50000 minW=200\n# round=12000 of 50000 minW=200\n# round=13000 of 50000 minW=200\n# round=14000 of 50000 minW=200\n# round=15000 of 50000 minW=200\n# round=16000 of 50000 minW=200\n# round=17000 of 50000 minW=200\n# round=18000 of 50000 minW=200\n# round=19000 of 50000 minW=200\n# round=20000 of 50000 minW=200\n# step=20128 row=670 minW=200 found cw of W=194: [12 27 28 36 51 55 58 63 74 102 105 106 117 170 181 202 203 211 213 215 217 221 225 226 265 268 269 273 292 371 375 386 410 411 425 455 457 458 466 467 468 470 472 473 477 481 482 485 486 517 518 520 524 571 578 624 627 672 673 675 679 684 690 699 715 722 723 726 727 732 734 737 746 756 769 771 772 773 778 783 793 796 797 815 816 830 831 843 867 876 879 885 886 887 888 897 909 911 912 916 927 954 963 965 974 1006 1021 1022 1051 1055 1061 1062 1103 1117 1118 1119 1163 1164 1167 1172 1173 1177 1192 1227 1235 1245 1247 1256 1263 1269 1270 1271 1274 1276 1277 1286 1295 1304 1305 1307 1314 1316 1319 1321 1322 1333 1338 1359 1360 1368 1369 1370 1372 1385 1402 1411 1412 1413 1414 1417 1421 1467 1468 1469 1470 1479 1509 1510 1511 1521 1523 1525 1564 1565 1566 1567 1572 1585 1608 1617 1618 1621 1624 1629 1654 1667 1671 1673 1676 1677 1678 1682 1685 1697]\n# round=21000 of 50000 minW=194\n# round=22000 of 50000 minW=194\n# round=23000 of 50000 minW=194\n# step=23868 row=396 minW=194 found cw of W=172: [22 23 25 27 29 30 76 80 81 84 124 162 170 171 175 185 186 213 215 230 233 268 280 282 298 324 333 334 335 336 338 357 358 359 372 373 374 377 383 387 421 424 435 436 440 487 489 530 535 537 543 579 580 637 649 650 651 657 666 667 679 698 718 732 738 739 742 783 787 789 798 801 824 825 846 871 874 879 880 923 927 960 964 965 970 971 972 976 980 983 1019 1023 1029 1030 1066 1067 1077 1083 1117 1118 1119 1120 1126 1127 1128 1130 1168 1177 1178 1179 1180 1182 1186 1189 1190 1197 1206 1208 1209 1211 1218 1221 1225 1226 1230 1232 1235 1238 1270 1271 1324 1329 1331 1335 1338 1339 1342 1384 1385 1387 1426 1428 1429 1432 1433 1434 1464 1468 1477 1487 1515 1519 1532 1533 1535 1568 1578 1581 1582 1586 1588 1589 1617 1630 1639 1673 1677 1684 1685 1690 1701 1724]\n# round=24000 of 50000 minW=172\n# round=25000 of 50000 minW=172\n# round=26000 of 50000 minW=172\n# round=27000 of 50000 minW=172\n# round=28000 of 50000 minW=172\n# round=29000 of 50000 minW=172\n# round=30000 of 50000 minW=172\n# round=31000 of 50000 minW=172\n# round=32000 of 50000 minW=172\n# step=32327 row=683 minW=172 found cw of W=170: [24 25 26 42 44 87 89 90 189 195 202 238 240 247 254 271 272 286 298 300 322 323 331 333 343 382 389 390 394 397 398 400 401 402 449 487 490 494 505 528 529 531 536 542 544 552 591 592 593 596 602 633 635 637 644 646 650 652 654 656 660 676 678 680 682 696 700 701 706 742 743 744 751 752 753 757 847 848 850 853 874 876 877 879 886 887 888 923 925 927 928 931 933 938 940 941 976 984 989 1021 1073 1078 1079 1091 1092 1095 1120 1124 1135 1136 1137 1139 1142 1153 1175 1183 1184 1186 1216 1217 1220 1221 1222 1233 1235 1237 1242 1246 1247 1287 1293 1297 1339 1344 1345 1346 1377 1380 1381 1384 1387 1388 1427 1436 1438 1446 1447 1448 1476 1480 1481 1488 1489 1491 1525 1526 1552 1555 1559 1577 1591 1604 1606 1643 1646 1651 1696 1700 1702 1704]\n# round=33000 of 50000 minW=170\n# round=34000 of 50000 minW=170\n# round=35000 of 50000 minW=170\n# round=36000 of 50000 minW=170\n# round=37000 of 50000 minW=170\n# round=38000 of 50000 minW=170\n# step=38535 row=863 minW=170 found cw of W=128: [9 10 13 17 18 22 53 56 58 62 64 65 67 69 78 105 206 209 222 224 228 251 252 273 309 328 332 360 369 372 379 413 419 421 468 568 571 580 582 612 629 633 680 714 715 723 733 778 793 839 865 866 894 899 900 902 903 904 906 910 914 919 953 962 963 974 1005 1006 1014 1015 1055 1056 1057 1062 1100 1110 1113 1114 1123 1126 1151 1158 1159 1160 1161 1220 1225 1257 1259 1260 1263 1268 1317 1318 1322 1333 1365 1368 1374 1415 1420 1422 1423 1460 1467 1469 1473 1478 1479 1482 1511 1518 1520 1563 1567 1585 1608 1609 1610 1611 1614 1617 1619 1627 1631 1632 1677 1724]\n# round=39000 of 50000 minW=128\n# round=40000 of 50000 minW=128\n# round=41000 of 50000 minW=128\n# round=42000 of 50000 minW=128\n# round=43000 of 50000 minW=128\n# round=44000 of 50000 minW=128\n# round=45000 of 50000 minW=128\n# round=46000 of 50000 minW=128\n# round=47000 of 50000 minW=128\n# round=48000 of 50000 minW=128\n# round=49000 of 50000 minW=128\n# round=50000 of 50000 minW=128\nRW algorithm upper bound for the distance d=128\n</t>
  </si>
  <si>
    <t>272.9686442911625</t>
  </si>
  <si>
    <t># step=0 row=0 minW=2017 found cw of W=236: [1 2 13 25 28 38 87 90 92 95 96 99 100 101 104 105 106 110 119 171 172 176 178 180 181 191 203 205 206 256 259 265 270 272 278 279 280 281 291 338 349 354 357 358 365 368 372 376 378 421 423 424 429 431 434 438 441 446 450 455 457 458 462 509 513 516 521 522 531 534 536 590 591 596 600 610 616 624 676 677 679 680 681 684 688 689 693 701 703 705 766 767 773 783 784 785 787 790 795 797 798 844 851 853 855 864 866 867 876 881 929 935 940 944 950 956 959 963 964 1014 1020 1022 1025 1026 1029 1031 1032 1039 1040 1048 1050 1112 1113 1114 1115 1116 1121 1126 1131 1186 1189 1196 1198 1207 1208 1209 1211 1212 1261 1276 1279 1281 1282 1286 1293 1296 1297 1345 1346 1352 1355 1357 1365 1369 1373 1378 1380 1431 1432 1436 1445 1448 1455 1460 1463 1466 1467 1468 1469 1520 1523 1527 1537 1539 1543 1547 1550 1601 1603 1606 1610 1612 1613 1616 1621 1625 1629 1631 1635 1682 1691 1692 1703 1704 1707 1708 1709 1710 1715 1716 1722 1766 1771 1775 1776 1777 1790 1793 1796 1797 1799 1849 1861 1868 1871 1873 1876 1890 1937 1939 1942 1947 1948 1957 1972 1974]\n# step=0 row=2 minW=236 found cw of W=222: [3 5 6 24 33 39 87 90 91 92 95 100 105 106 110 113 119 122 124 170 171 172 179 180 181 185 188 191 195 206 210 259 262 265 267 268 270 271 276 278 281 289 291 338 345 349 350 354 357 422 423 424 430 449 457 507 511 513 531 536 537 544 590 592 596 600 604 608 610 614 623 624 626 630 683 693 699 704 705 714 764 766 767 769 771 785 787 791 797 798 853 865 866 870 873 876 880 881 882 928 932 933 934 944 947 948 951 956 959 1019 1023 1026 1027 1028 1029 1033 1035 1040 1041 1046 1048 1095 1096 1112 1113 1114 1116 1126 1131 1178 1183 1198 1203 1206 1207 1208 1209 1218 1266 1271 1279 1281 1282 1283 1286 1296 1346 1350 1352 1357 1360 1377 1381 1382 1448 1450 1455 1460 1463 1464 1515 1518 1520 1521 1522 1527 1528 1532 1533 1545 1550 1553 1600 1605 1610 1611 1618 1619 1621 1625 1626 1630 1634 1638 1682 1684 1691 1693 1700 1702 1707 1713 1714 1722 1767 1768 1771 1775 1777 1780 1785 1790 1793 1794 1851 1852 1853 1861 1862 1870 1873 1880 1883 1890 1937 1939 1940 1946 1947 1955 1965 1974]\n# step=0 row=4 minW=222 found cw of W=212: [6 8 12 38 87 92 99 100 101 106 119 124 126 170 171 172 178 179 181 185 188 191 205 210 256 259 265 267 269 276 278 279 281 339 349 354 365 367 368 372 376 378 421 430 434 438 455 457 458 509 510 511 531 534 536 537 544 592 596 598 600 630 676 679 681 684 687 688 701 705 708 713 759 767 775 783 790 791 797 798 844 853 856 864 865 866 870 876 881 882 934 935 940 956 959 962 963 964 1020 1022 1026 1031 1032 1041 1046 1048 1050 1096 1100 1102 1109 1114 1115 1131 1179 1180 1186 1189 1198 1206 1208 1209 1211 1212 1218 1261 1265 1269 1271 1279 1282 1283 1293 1297 1301 1346 1350 1351 1354 1360 1365 1367 1369 1373 1378 1432 1446 1447 1449 1450 1455 1466 1468 1469 1515 1518 1520 1521 1532 1537 1542 1545 1547 1601 1602 1603 1606 1609 1610 1611 1612 1619 1621 1625 1630 1631 1635 1638 1684 1690 1691 1692 1693 1698 1702 1703 1709 1710 1714 1715 1716 1771 1773 1776 1785 1793 1797 1799 1852 1856 1861 1862 1870 1873 1876 1883 1886 1890 1939 1950 1955 1968]\n# step=0 row=10 minW=212 found cw of W=202: [12 13 17 25 28 33 87 92 100 104 106 115 126 170 178 179 180 181 186 191 193 195 199 201 210 256 265 272 276 278 279 280 286 291 345 349 350 354 358 367 371 376 378 421 422 427 429 430 434 438 450 458 511 537 544 591 592 596 598 600 614 616 623 624 626 683 692 693 701 703 708 714 767 769 773 782 787 790 791 798 844 849 853 855 860 864 865 866 869 870 874 876 881 882 928 929 931 933 935 940 947 950 956 959 1025 1026 1028 1031 1032 1035 1039 1040 1041 1050 1093 1096 1110 1112 1116 1122 1126 1179 1180 1185 1189 1193 1196 1198 1206 1211 1212 1265 1271 1281 1282 1293 1296 1345 1346 1354 1355 1360 1367 1373 1377 1378 1382 1443 1445 1446 1447 1448 1466 1468 1469 1515 1519 1522 1523 1527 1528 1545 1600 1605 1612 1613 1616 1619 1621 1625 1626 1631 1682 1684 1691 1698 1702 1704 1707 1708 1709 1710 1714 1785 1790 1793 1797 1799 1849 1860 1861 1862 1871 1873 1874 1886 1890 1939 1940 1948 1955 1972]\n# step=0 row=15 minW=202 found cw of W=198: [23 25 38 91 100 101 113 119 122 124 170 171 176 180 186 193 199 205 210 256 268 270 271 276 286 291 338 340 357 358 365 367 368 376 378 421 427 430 431 450 458 462 516 521 522 531 536 537 544 591 596 598 600 604 614 623 624 626 680 689 703 705 713 759 764 766 773 782 787 791 795 798 844 851 853 856 860 865 867 869 870 873 874 875 881 882 929 931 944 951 959 962 963 1014 1025 1027 1028 1029 1031 1035 1040 1041 1050 1093 1112 1113 1126 1178 1179 1180 1183 1185 1186 1193 1208 1211 1212 1265 1276 1279 1282 1293 1296 1297 1301 1345 1352 1354 1355 1357 1360 1365 1367 1373 1377 1378 1380 1382 1431 1443 1445 1447 1450 1455 1464 1467 1469 1515 1519 1520 1522 1527 1539 1542 1545 1553 1606 1610 1619 1626 1631 1634 1635 1692 1702 1703 1709 1710 1714 1715 1722 1766 1774 1777 1780 1790 1793 1794 1796 1849 1851 1853 1856 1860 1862 1868 1870 1874 1881 1883 1890 1939 1940 1946 1947 1950 1955 1957]\n# step=0 row=25 minW=198 found cw of W=190: [1 6 24 25 36 38 41 90 96 99 100 104 105 110 113 119 124 171 178 185 186 188 195 199 201 206 210 256 259 267 268 281 286 293 338 339 350 365 368 371 378 422 423 427 430 431 462 507 509 511 516 521 534 537 598 600 614 630 684 692 699 704 708 759 766 769 775 782 783 790 795 797 844 851 855 856 860 865 870 874 927 931 935 940 951 956 959 962 964 1011 1019 1022 1026 1027 1033 1046 1048 1050 1109 1110 1114 1115 1119 1122 1131 1132 1178 1179 1183 1186 1208 1211 1218 1265 1266 1279 1281 1283 1286 1355 1357 1358 1360 1365 1367 1369 1372 1378 1380 1431 1432 1443 1447 1460 1467 1468 1515 1518 1519 1520 1522 1528 1537 1541 1543 1553 1601 1606 1609 1613 1621 1626 1630 1631 1635 1638 1692 1698 1703 1707 1713 1714 1715 1721 1722 1766 1771 1776 1777 1780 1784 1785 1793 1794 1796 1849 1856 1862 1871 1874 1876 1886 1888 1939 1942 1946 1948 1955 1957 1972]\n# step=0 row=37 minW=190 found cw of W=186: [43 44 49 51 54 58 62 64 70 79 129 130 159 166 167 168 217 219 226 232 239 248 304 311 323 380 382 388 406 463 464 469 470 481 482 484 486 497 502 504 550 556 557 558 560 562 566 571 574 585 587 634 638 642 646 649 715 718 720 726 734 738 801 804 807 809 813 814 817 824 826 829 836 838 888 889 892 894 896 898 899 907 909 913 914 918 977 982 985 993 998 1003 1057 1059 1070 1080 1081 1135 1138 1139 1142 1151 1152 1153 1156 1162 1169 1176 1223 1233 1235 1237 1251 1253 1258 1310 1321 1322 1340 1388 1393 1397 1400 1401 1406 1410 1412 1413 1415 1474 1477 1479 1488 1492 1503 1506 1511 1556 1558 1559 1560 1563 1571 1573 1574 1580 1582 1584 1585 1595 1646 1647 1649 1651 1653 1654 1675 1726 1731 1734 1738 1739 1741 1742 1744 1747 1760 1762 1807 1808 1812 1817 1825 1829 1831 1833 1835 1841 1846 1902 1908 1912 1916 1919 1920 1931]\n# step=0 row=38 minW=186 found cw of W=178: [43 44 63 73 84 129 132 134 146 152 168 223 226 230 234 239 248 250 302 306 311 315 319 320 324 326 382 384 388 399 406 418 464 465 471 476 504 557 558 562 563 565 566 572 585 634 635 638 642 644 651 652 653 656 670 715 732 735 738 743 799 801 814 816 817 826 828 833 838 883 887 893 894 896 898 900 914 918 977 987 989 998 1054 1056 1057 1060 1080 1081 1082 1083 1084 1085 1090 1139 1151 1152 1157 1174 1176 1226 1229 1233 1237 1238 1251 1253 1258 1311 1322 1337 1340 1342 1387 1388 1393 1395 1396 1397 1401 1415 1426 1474 1485 1488 1492 1493 1494 1511 1556 1558 1559 1560 1563 1566 1573 1577 1580 1584 1585 1595 1647 1657 1659 1667 1672 1678 1726 1727 1729 1730 1734 1739 1741 1742 1744 1745 1746 1760 1807 1811 1813 1816 1817 1823 1825 1835 1840 1905 1908 1909 1912 1920 1924 1925 1931 1980 1993 2012]\n# step=0 row=85 minW=178 found cw of W=176: [49 51 55 58 64 70 73 74 79 132 146 157 159 162 166 219 230 234 237 239 248 250 311 323 328 333 396 406 409 410 414 418 465 466 469 470 471 486 495 497 553 560 563 565 566 572 574 585 586 634 642 649 652 666 670 715 720 721 726 730 744 752 817 824 828 836 838 883 888 889 896 907 913 918 977 982 985 988 993 998 1003 1007 1064 1070 1082 1083 1090 1135 1138 1142 1152 1156 1162 1163 1166 1169 1170 1223 1225 1229 1230 1233 1240 1310 1324 1332 1342 1387 1388 1393 1395 1396 1397 1400 1401 1412 1413 1415 1478 1493 1503 1506 1511 1566 1570 1580 1584 1585 1586 1595 1647 1649 1652 1653 1654 1660 1675 1678 1680 1726 1729 1730 1731 1734 1742 1744 1747 1752 1758 1761 1762 1807 1811 1812 1813 1821 1825 1826 1833 1840 1844 1846 1895 1898 1899 1902 1905 1908 1916 1920 1921 1931 1980 1988 2007 2012]\n# step=0 row=131 minW=176 found cw of W=164: [47 49 51 55 64 67 74 79 84 132 134 136 145 152 158 216 218 226 237 239 247 250 296 301 311 326 328 333 396 397 406 412 417 466 469 497 549 556 557 562 563 566 571 572 638 642 646 653 654 666 670 715 720 726 728 730 734 738 740 744 752 804 809 813 814 818 826 832 834 883 887 889 893 896 899 909 914 977 982 985 998 1054 1060 1064 1065 1089 1135 1139 1143 1151 1152 1157 1166 1223 1226 1233 1237 1242 1247 1253 1310 1311 1321 1326 1330 1337 1342 1387 1388 1396 1397 1400 1401 1406 1407 1412 1418 1474 1479 1482 1487 1488 1492 1494 1506 1559 1563 1570 1573 1580 1647 1649 1652 1654 1729 1734 1738 1740 1744 1745 1808 1811 1812 1813 1826 1829 1830 1832 1834 1838 1844 1891 1898 1903 1905 1908 1920 1925 1980 1981 1991 1993 1999 2012]\n# step=0 row=253 minW=164 found cw of W=160: [43 51 64 67 70 73 84 130 133 134 136 138 146 166 167 168 218 219 226 230 296 301 315 328 333 380 410 463 464 465 466 469 470 471 474 482 484 488 492 497 502 553 557 558 560 562 563 585 634 638 652 653 662 666 718 726 734 735 738 740 743 799 801 804 807 809 814 817 820 828 833 834 835 836 838 887 888 890 893 894 896 907 912 998 1000 1054 1060 1070 1080 1084 1135 1138 1139 1142 1151 1153 1156 1157 1159 1162 1169 1225 1226 1233 1238 1251 1257 1311 1321 1337 1393 1397 1406 1474 1477 1488 1492 1493 1498 1503 1511 1556 1559 1560 1577 1584 1585 1657 1662 1726 1730 1731 1739 1740 1741 1744 1745 1752 1817 1821 1826 1829 1830 1831 1834 1840 1846 1895 1898 1899 1902 1903 1924 1925 1927 1931 1980 1981 1999 2000]\n# step=0 row=381 minW=160 found cw of W=158: [49 55 58 64 73 133 134 138 158 159 160 168 216 217 232 237 250 296 301 304 306 315 320 323 326 381 386 388 391 392 410 412 464 465 466 476 484 488 549 550 556 557 562 566 572 587 634 639 652 653 654 670 715 720 721 724 730 804 809 818 820 826 828 832 833 835 838 883 887 892 894 896 898 977 982 993 1059 1082 1138 1143 1151 1152 1155 1156 1157 1159 1164 1166 1170 1174 1226 1232 1235 1237 1251 1258 1310 1321 1326 1342 1387 1393 1396 1397 1400 1406 1410 1412 1415 1418 1426 1473 1485 1488 1503 1511 1556 1558 1566 1570 1574 1582 1646 1649 1651 1653 1654 1667 1680 1726 1729 1730 1744 1745 1758 1807 1811 1812 1816 1825 1826 1830 1831 1832 1838 1840 1846 1891 1899 1905 1908 1912 1919 1921 1988 1993 1999 2012]\n# step=1 row=86 minW=158 found cw of W=152: [7 16 21 23 30 95 172 175 181 183 193 198 203 208 210 253 263 268 269 275 279 281 284 354 377 425 432 433 436 447 460 508 510 515 517 522 524 525 526 527 532 540 541 599 602 608 621 623 628 684 688 696 708 781 783 786 797 841 843 850 852 854 860 861 866 867 870 879 928 934 941 946 948 951 955 956 959 1018 1023 1030 1033 1035 1049 1108 1112 1122 1123 1177 1179 1185 1186 1188 1191 1195 1205 1209 1212 1268 1271 1273 1274 1275 1276 1280 1294 1349 1353 1364 1372 1373 1377 1437 1442 1447 1453 1467 1517 1519 1524 1525 1545 1551 1599 1605 1613 1616 1617 1618 1621 1687 1703 1720 1773 1776 1778 1780 1784 1793 1797 1802 1867 1878 1879 1887 1890 1937 1943 1944 1948 1950 1959 1965]\n# step=2 row=712 minW=152 found cw of W=92: [51 62 75 138 140 143 145 149 158 162 219 229 242 247 297 306 330 408 471 477 478 481 491 495 547 557 562 571 576 580 649 721 755 810 819 820 824 825 829 832 833 837 889 909 922 968 972 977 982 1000 1005 1051 1055 1066 1143 1154 1161 1167 1234 1306 1325 1335 1407 1408 1422 1472 1480 1500 1508 1570 1584 1643 1648 1649 1672 1727 1749 1750 1754 1822 1824 1827 1828 1829 1833 1837 1847 1917 1986 1990 1991 1996]\n# step=94 row=982 minW=92 found cw of W=90: [5 14 37 42 87 91 96 101 110 115 178 183 192 197 206 256 260 265 266 275 283 347 362 366 371 376 424 447 507 511 525 539 616 617 626 680 704 707 708 762 776 862 927 953 958 1014 1028 1043 1101 1119 1129 1201 1206 1266 1275 1279 1284 1298 1348 1370 1375 1376 1380 1434 1448 1461 1462 1530 1598 1599 1608 1612 1616 1617 1626 1695 1704 1707 1708 1709 1717 1776 1790 1849 1853 1872 1881 1886 1940 1964]\n# step=158 row=935 minW=90 found cw of W=82: [6 87 96 110 115 121 178 185 269 270 274 279 293 371 376 425 434 443 448 593 607 612 676 681 685 699 708 767 771 776 786 846 849 868 872 931 936 945 1010 1023 1024 1047 1106 1111 1180 1185 1193 1197 1202 1261 1275 1347 1366 1381 1439 1443 1453 1462 1463 1468 1518 1521 1525 1549 1603 1622 1626 1681 1699 1767 1772 1786 1790 1800 1801 1849 1854 1858 1863 1868 1872 1940]\n# round=1000 of 50000 minW=82\n# step=1767 row=244 minW=82 found cw of W=70: [46 70 142 147 152 156 215 225 238 325 330 384 412 471 475 484 485 489 490 504 552 553 557 558 649 663 731 827 885 891 904 972 1051 1056 1065 1079 1157 1166 1171 1220 1229 1238 1258 1306 1398 1403 1412 1471 1476 1499 1504 1572 1576 1639 1677 1731 1759 1808 1813 1823 1832 1837 1846 1904 1918 1919 1923 1982 1996 2000]\n# round=2000 of 50000 minW=70\n# round=3000 of 50000 minW=70\n# round=4000 of 50000 minW=70\n# round=5000 of 50000 minW=70\n# round=6000 of 50000 minW=70\n# round=7000 of 50000 minW=70\n# round=8000 of 50000 minW=70\n# round=9000 of 50000 minW=70\n# round=10000 of 50000 minW=70\n# round=11000 of 50000 minW=70\n# round=12000 of 50000 minW=70\n# round=13000 of 50000 minW=70\n# round=14000 of 50000 minW=70\n# round=15000 of 50000 minW=70\n# round=16000 of 50000 minW=70\n# round=17000 of 50000 minW=70\n# round=18000 of 50000 minW=70\n# round=19000 of 50000 minW=70\n# round=20000 of 50000 minW=70\n# round=21000 of 50000 minW=70\n# round=22000 of 50000 minW=70\n# round=23000 of 50000 minW=70\n# round=24000 of 50000 minW=70\n# round=25000 of 50000 minW=70\n# round=26000 of 50000 minW=70\n# round=27000 of 50000 minW=70\n# round=28000 of 50000 minW=70\n# round=29000 of 50000 minW=70\n# round=30000 of 50000 minW=70\n# round=31000 of 50000 minW=70\n# round=32000 of 50000 minW=70\n# step=32027 row=528 minW=70 found cw of W=68: [48 64 146 155 159 160 309 383 402 416 468 502 547 633 638 641 643 646 647 651 656 666 671 735 807 815 835 902 917 922 979 980 989 1004 1059 1060 1064 1140 1154 1227 1247 1251 1256 1329 1338 1343 1387 1395 1479 1493 1561 1589 1643 1647 1656 1661 1725 1730 1734 1749 1758 1763 1807 1810 1908 1917 1926 1976]\n# step=32027 row=571 minW=68 found cw of W=66: [48 60 64 146 155 159 160 246 301 309 402 468 502 547 633 638 641 643 646 647 651 656 671 730 735 807 815 835 902 917 922 979 980 989 1059 1064 1088 1140 1154 1227 1247 1251 1256 1329 1343 1387 1393 1395 1479 1493 1561 1589 1643 1647 1656 1661 1734 1749 1807 1810 1908 1917 1926 1976 2008 2013]\n# round=33000 of 50000 minW=66\n# round=34000 of 50000 minW=66\n# step=34371 row=609 minW=66 found cw of W=64: [48 66 138 140 142 143 235 249 313 331 336 399 418 568 645 650 660 718 736 741 755 801 803 808 969 978 1006 1064 1090 1135 1137 1140 1226 1230 1232 1235 1249 1305 1321 1322 1326 1411 1427 1475 1490 1509 1567 1650 1655 1660 1668 1669 1725 1732 1741 1758 1760 1893 1909 1929 1987 1993 1999 2011]\n# round=35000 of 50000 minW=64\n# round=36000 of 50000 minW=64\n# round=37000 of 50000 minW=64\n# round=38000 of 50000 minW=64\n# round=39000 of 50000 minW=64\n# step=39218 row=121 minW=64 found cw of W=62: [61 148 153 167 216 230 235 303 307 312 399 413 494 499 504 554 558 563 568 572 581 586 631 668 732 750 755 800 832 886 891 910 1057 1061 1080 1139 1235 1248 1303 1312 1326 1331 1335 1422 1481 1486 1500 1504 1582 1640 1668 1673 1678 1746 1755 1760 1823 1901 1910 1929 1992 2015]\n# round=40000 of 50000 minW=62\n# round=41000 of 50000 minW=62\n# round=42000 of 50000 minW=62\n# round=43000 of 50000 minW=62\n# round=44000 of 50000 minW=62\n# round=45000 of 50000 minW=62\n# round=46000 of 50000 minW=62\n# round=47000 of 50000 minW=62\n# round=48000 of 50000 minW=62\n# round=49000 of 50000 minW=62\n# round=50000 of 50000 minW=62\nRW algorithm upper bound for the distance d=62\n</t>
  </si>
  <si>
    <t>516.5733281616122</t>
  </si>
  <si>
    <t># step=0 row=0 minW=2161 found cw of W=464: [1 6 16 20 26 28 37 48 55 70 73 75 87 92 97 101 103 106 108 114 117 124 125 136 138 142 143 148 150 152 153 155 156 164 166 168 171 177 181 183 185 186 188 195 196 200 203 210 218 222 231 232 234 235 236 237 243</t>
  </si>
  <si>
    <t>408.75091727171093</t>
  </si>
  <si>
    <t># step=0 row=0 minW=2521 found cw of W=248: [2 7 16 17 23 25 26 28 33 88 89 90 98 99 101 102 105 106 107 108 111 112 113 114 120 123 178 193 197 198 202 254 255 258 259 264 267 275 285 288 289 341 348 350 353 355 359 360 361 369 372 376 378 425 426 429 431 458 510 513 515 518 520 522 532 536 537 541 546 600 603 605 610 678 685 689 691 706 760 764 766 780 785 796 797 843 848 850 863 870 871 872 876 880 933 954 957 965 966 1012 1013 1014 1015 1016 1017 1018 1033 1044 1046 1047 1049 1096 1103 1113 1118 1121 1122 1123 1125 1130 1131 1179 1180 1184 1185 1188 1196 1198 1201 1206 1215 1264 1270 1272 1277 1284 1286 1289 1293 1296 1302 1350 1354 1355 1359 1362 1365 1376 1380 1432 1437 1442 1449 1453 1454 1456 1513 1517 1522 1524 1529 1530 1535 1539 1541 1551 1597 1598 1602 1610 1613 1616 1618 1619 1624 1633 1634 1688 1696 1710 1713 1775 1779 1781 1782 1790 1797 1849 1857 1858 1870 1873 1878 1880 1881 1890 1939 1951 1959 1970 2021 2023 2024 2025 2030 2035 2041 2051 2054 2104 2105 2109 2120 2123 2125 2126 2128 2140 2190 2194 2195 2202 2216 2219 2220 2224 2226 2272 2274 2280 2283 2284 2286 2292 2293 2307 2353 2355 2371 2381 2391 2438 2445 2448 2450 2459 2466 2469]\n# step=0 row=7 minW=248 found cw of W=236: [7 10 16 18 20 21 25 32 38 88 94 95 100 101 102 104 107 109 110 112 113 114 115 176 202 210 258 267 280 285 287 289 291 294 342 348 350 361 364 369 370 372 376 378 425 429 434 436 441 446 451 514 517 518 522 524 532 537 542 593 598 603 605 610 676 678 682 685 694 697 700 702 705 761 779 780 785 797 841 843 848 863 870 872 876 880 927 930 935 936 943 954 957 959 966 1013 1015 1016 1027 1044 1046 1047 1049 1096 1097 1101 1103 1115 1121 1123 1124 1125 1127 1130 1179 1180 1184 1185 1192 1196 1197 1205 1208 1210 1213 1218 1264 1265 1266 1271 1286 1289 1293 1296 1302 1354 1356 1362 1365 1376 1378 1380 1382 1383 1386 1434 1437 1441 1449 1454 1456 1462 1514 1520 1529 1535 1543 1598 1604 1611 1616 1617 1618 1624 1635 1684 1696 1779 1784 1788 1797 1806 1849 1858 1878 1879 1880 1883 1938 1951 1963 1970 2023 2025 2035 2044 2048 2051 2053 2105 2108 2109 2111 2120 2125 2126 2128 2140 2186 2192 2194 2200 2202 2206 2210 2215 2216 2217 2218 2219 2220 2222 2224 2273 2274 2279 2280 2283 2286 2288 2307 2355 2360 2371 2383 2387 2391 2394 2438 2445 2448 2466 2468 2469 2470 2475]\n# step=0 row=24 minW=236 found cw of W=212: [51 55 56 61 70 129 131 147 154 158 159 160 163 166 168 227 230 238 243 296 299 305 315 322 323 328 380 381 386 387 395 400 417 418 419 464 469 470 473 479 556 572 582 632 636 637 640 647 651 655 658 661 665 668 669 670 729 744 750 751 753 755 756 802 805 810 816 822 888 893 894 896 900 906 910 911 915 916 921 967 968 979 982 984 992 1002 1003 1005 1067 1075 1082 1087 1092 1153 1158 1159 1161 1162 1176 1221 1222 1227 1228 1231 1237 1238 1244 1252 1304 1308 1309 1321 1325 1328 1336 1406 1409 1417 1419 1422 1426 1475 1481 1483 1491 1496 1503 1507 1508 1555 1557 1571 1574 1580 1585 1586 1591 1596 1653 1655 1662 1664 1666 1675 1677 1724 1731 1736 1740 1746 1748 1754 1762 1817 1821 1822 1834 1837 1840 1842 1846 1903 1906 1916 1917 1919 1922 1928 1975 1979 1989 1995 2005 2068 2079 2097 2144 2149 2151 2154 2155 2160 2161 2162 2167 2172 2176 2237 2248 2252 2262 2314 2323 2331 2339 2347 2350 2398 2399 2409 2414 2434 2435 2436 2486 2488 2495 2496 2501 2507 2508 2513]\n# step=0 row=49 minW=212 found cw of W=186: [7 13 20 25 32 88 90 99 101 104 106 109 111 118 119 123 126 173 191 210 255 259 264 275 285 348 359 361 364 369 370 371 375 429 513 514 532 537 544 589 600 605 607 609 689 693 697 702 707 760 779 784 785 797 841 855 864 865 871 872 876 925 930 935 944 957 959 960 965 966 1014 1018 1027 1033 1044 1046 1049 1115 1125 1131 1132 1180 1185 1188 1204 1205 1210 1266 1270 1271 1272 1283 1289 1293 1301 1354 1356 1359 1371 1382 1386 1432 1434 1437 1449 1453 1466 1467 1517 1529 1530 1536 1541 1542 1543 1598 1610 1611 1613 1617 1618 1619 1631 1634 1635 1684 1690 1696 1703 1708 1710 1720 1765 1770 1779 1788 1790 1802 1806 1858 1873 1879 1881 1883 1884 1939 1970 2030 2043 2102 2109 2112 2125 2128 2130 2134 2139 2188 2192 2194 2197 2210 2222 2226 2274 2284 2288 2293 2307 2308 2353 2369 2381 2387 2438 2443 2448 2450 2455 2456 2459 2468 2469 2470 2474 2475]\n# step=0 row=332 minW=186 found cw of W=182: [7 13 20 25 32 88 90 99 101 104 106 109 111 118 119 123 173 191 210 255 259 264 275 285 348 359 361 364 369 370 371 375 429 513 514 532 537 544 589 600 605 607 609 689 693 695 697 702 707 760 779 784 785 797 841 855 864 865 871 872 876 925 930 935 944 957 959 960 965 966 1014 1018 1027 1033 1044 1046 1049 1125 1131 1132 1180 1185 1188 1204 1205 1210 1266 1270 1271 1272 1283 1289 1293 1301 1356 1371 1382 1386 1432 1434 1437 1449 1453 1466 1467 1517 1529 1530 1536 1541 1542 1543 1598 1610 1611 1613 1617 1618 1631 1634 1635 1684 1690 1696 1703 1708 1710 1720 1765 1770 1779 1788 1790 1802 1806 1858 1873 1879 1881 1883 1884 1939 1970 2030 2043 2102 2109 2112 2125 2128 2130 2134 2139 2188 2192 2194 2197 2210 2222 2226 2274 2284 2288 2293 2307 2308 2353 2369 2381 2387 2438 2443 2448 2450 2455 2456 2459 2468 2469 2470 2474 2475]\n# step=0 row=1107 minW=182 found cw of W=178: [7 13 20 25 32 88 90 99 101 104 106 109 111 118 119 123 173 191 210 255 259 264 285 348 359 361 364 369 370 371 375 429 513 514 532 537 544 589 600 605 607 609 689 693 697 702 707 760 779 784 785 797 841 855 864 865 871 872 876 925 930 935 944 957 959 960 965 1014 1018 1027 1033 1044 1046 1049 1125 1131 1132 1180 1185 1188 1204 1205 1210 1266 1270 1271 1272 1283 1289 1293 1301 1356 1371 1382 1386 1432 1434 1437 1449 1453 1466 1467 1517 1529 1530 1536 1541 1542 1543 1598 1610 1611 1613 1617 1618 1631 1634 1635 1684 1690 1696 1703 1708 1710 1720 1765 1770 1779 1788 1790 1802 1806 1858 1873 1879 1881 1883 1884 1939 1970 2030 2043 2102 2109 2112 2125 2128 2130 2134 2139 2188 2192 2197 2199 2210 2222 2226 2274 2284 2288 2293 2307 2308 2353 2369 2381 2387 2438 2443 2448 2450 2455 2456 2468 2469 2470 2474 2475]\n# step=1 row=1059 minW=178 found cw of W=108: [5 36 42 111 113 115 121 187 198 206 270 339 340 361 421 426 429 430 431 436 535 604 605 611 620 621 680 681 688 691 693 701 767 781 854 859 864 946 953 956 961 1010 1027 1040 1041 1100 1105 1108 1110 1113 1114 1116 1124 1184 1187 1201 1206 1269 1270 1300 1347 1354 1357 1360 1431 1440 1457 1459 1468 1545 1551 1604 1631 1695 1700 1704 1711 1720 1801 1806 1879 1890 1934 1949 1951 1955 1964 2029 2030 2035 2039 2115 2120 2124 2140 2200 2220 2221 2285 2297 2300 2301 2306 2310 2375 2384 2386 2449]\n# step=10 row=42 minW=108 found cw of W=106: [21 89 90 91 122 181 265 266 351 355 376 430 441 446 452 515 590 605 621 626 676 680 685 686 700 702 775 797 872 925 935 951 956 1010 1016 1041 1100 1120 1122 1126 1180 1201 1216 1217 1264 1279 1297 1302 1354 1361 1364 1365 1366 1381 1429 1440 1446 1456 1514 1520 1535 1536 1545 1604 1620 1621 1624 1631 1684 1700 1705 1716 1717 1721 1774 1790 1849 1859 1866 1880 1886 1940 1945 1946 1951 1956 1970 2030 2040 2045 2131 2136 2140 2142 2189 2190 2210 2211 2280 2286 2365 2375 2390 2449 2460 2476]\n# step=41 row=173 minW=106 found cw of W=84: [3 7 28 88 93 98 193 194 198 273 279 353 358 422 459 523 539 545 608 613 698 699 757 778 843 879 928 943 964 965 1034 1038 1039 1044 1188 1194 1267 1273 1298 1346 1347 1358 1362 1373 1458 1468 1521 1538 1543 1553 1601 1687 1697 1782 1792 1793 1867 1941 1952 1958 1962 1969 2021 2037 2038 2053 2113 2122 2191 2197 2198 2203 2212 2213 2277 2287 2292 2361 2372 2377 2389 2447 2464 2469]\n# step=982 row=96 minW=84 found cw of W=78: [34 39 103 108 182 198 262 348 458 528 533 602 603 619 676 933 938 943 953 1028 1096 1177 1182 1188 1198 1261 1262 1346 1352 1373 1378 1447 1457 1463 1468 1526 1543 1554 1602 1692 1703 1718 1722 1793 1797 1871 1878 1889 1946 1974 2020 2022 2027 2032 2037 2043 2106 2112 2123 2142 2186 2192 2203 2213 2218 2272 2287 2291 2292 2293 2298 2367 2371 2377 2383 2440 2452 2463]\n# round=1000 of 50000 minW=78\n# step=1694 row=583 minW=78 found cw of W=76: [57 248 301 306 391 477 502 583 641 642 647 732 737 748 806 817 902 1002 1003 1061 1072 1077 1146 1151 1162 1342 1401 1412 1416 1476 1496 1506 1512 1561 1571 1575 1576 1581 1592 1641 1645 1650 1666 1672 1730 1731 1752 1811 1832 1846 1847 1912 1921 1932 1976 1985 1995 2012 2075 2145 2150 2151 2155 2161 2231 2321 2336 2405 2415 2422 2426 2481 2485 2490 2496 2507]\n# round=2000 of 50000 minW=76\n# round=3000 of 50000 minW=76\n# round=4000 of 50000 minW=76\n# round=5000 of 50000 minW=76\n# round=6000 of 50000 minW=76\n# step=6663 row=869 minW=76 found cw of W=74: [36 89 126 206 265 291 339 344 456 509 536 541 589 594 615 674 780 785 875 881 1024 1035 1094 1185 1190 1200 1205 1263 1268 1279 1284 1290 1299 1364 1369 1385 1433 1434 1518 1519 1524 1534 1540 1550 1598 1614 1689 1709 1719 1779 1789 1800 1853 1859 1869 1933 1938 1944 1955 2018 2045 2114 2130 2139 2225 2226 2279 2300 2305 2353 2364 2368 2390 2455]\n# round=7000 of 50000 minW=74\n# round=8000 of 50000 minW=74\n# step=8314 row=316 minW=74 found cw of W=72: [19 30 204 284 354 422 444 450 540 544 619 624 679 693 710 773 774 790 842 933 955 964 1013 1039 1044 1189 1215 1273 1288 1346 1369 1432 1437 1438 1468 1518 1534 1544 1548 1613 1624 1683 1693 1719 1773 1789 1858 1874 1884 1888 1943 1949 1963 2018 2033 2037 2044 2103 2117 2129 2197 2208 2214 2225 2294 2308 2384 2453 2457 2459 2463 2464]\n# round=9000 of 50000 minW=72\n# round=10000 of 50000 minW=72\n# round=11000 of 50000 minW=72\n# round=12000 of 50000 minW=72\n# round=13000 of 50000 minW=72\n# round=14000 of 50000 minW=72\n# round=15000 of 50000 minW=72\n# round=16000 of 50000 minW=72\n# round=17000 of 50000 minW=72\n# round=18000 of 50000 minW=72\n# round=19000 of 50000 minW=72\n# round=20000 of 50000 minW=72\n# round=21000 of 50000 minW=72\n# round=22000 of 50000 minW=72\n# round=23000 of 50000 minW=72\n# round=24000 of 50000 minW=72\n# round=25000 of 50000 minW=72\n# round=26000 of 50000 minW=72\n# round=27000 of 50000 minW=72\n# round=28000 of 50000 minW=72\n# round=29000 of 50000 minW=72\n# round=30000 of 50000 minW=72\n# round=31000 of 50000 minW=72\n# round=32000 of 50000 minW=72\n# step=32767 row=1073 minW=72 found cw of W=66: [33 172 262 278 347 373 453 522 602 607 677 703 872 942 958 963 1012 1097 1181 1182 1277 1298 1351 1362 1376 1442 1446 1457 1468 1525 1532 1548 1605 1606 1622 1633 1681 1771 1782 1796 1803 1876 1936 1945 1947 1957 2021 2026 2101 2105 2117 2137 2138 2186 2191 2217 2223 2282 2292 2308 2365 2367 2445 2446 2452 2473]\n# round=33000 of 50000 minW=66\n# round=34000 of 50000 minW=66\n# round=35000 of 50000 minW=66\n# round=36000 of 50000 minW=66\n# round=37000 of 50000 minW=66\n# round=38000 of 50000 minW=66\n# round=39000 of 50000 minW=66\n# round=40000 of 50000 minW=66\n# round=41000 of 50000 minW=66\n# round=42000 of 50000 minW=66\n# round=43000 of 50000 minW=66\n# round=44000 of 50000 minW=66\n# round=45000 of 50000 minW=66\n# round=46000 of 50000 minW=66\n# round=47000 of 50000 minW=66\n# round=48000 of 50000 minW=66\n# round=49000 of 50000 minW=66\n# round=50000 of 50000 minW=66\nRW algorithm upper bound for the distance d=66\n</t>
  </si>
  <si>
    <t>428.5089987628162</t>
  </si>
  <si>
    <t># step=0 row=0 minW=2593 found cw of W=274: [1 3 19 22 23 25 74 89 91 102 103 107 108 145 149 166 168 172 174 177 221 223 224 226 229 230 236 244 289 295 300 301 312 314 316 368 370 374 385 390 391 392 393 395 435 437 446 448 451 457 515 538 579 580 588 593 596 601 602 609 650 655 656 658 659 661 668 669 672 675 677 678 680 683 684 722 728 730 731 733 740 742 743 744 751 753 799 802 809 813 871 872 874 877 878 881 882 889 890 937 940 942 948 949 961 962 970 1015 1018 1024 1038 1041 1043 1092 1105 1156 1157 1162 1173 1176 1177 1179 1187 1226 1238 1239 1246 1250 1253 1257 1259 1297 1300 1301 1304 1307 1310 1311 1313 1318 1321 1328 1374 1375 1378 1384 1390 1394 1396 1399 1448 1453 1456 1465 1471 1474 1519 1520 1523 1524 1526 1530 1536 1539 1545 1588 1591 1594 1596 1598 1607 1608 1612 1657 1659 1675 1676 1677 1678 1741 1743 1747 1750 1764 1805 1812 1814 1825 1879 1880 1891 1893 1894 1900 1953 1958 1960 1966 1968 1971 1975 1977 2021 2022 2028 2031 2037 2047 2049 2050 2052 2090 2091 2095 2099 2101 2112 2122 2123 2124 2163 2165 2173 2174 2178 2181 2188 2189 2191 2192 2194 2235 2242 2244 2247 2250 2254 2256 2258 2260 2261 2266 2267 2306 2311 2312 2319 2324 2330 2331 2332 2339 2340 2384 2386 2388 2394 2399 2406 2407 2409 2457 2476 2478 2479 2527 2530 2532 2535 2536 2538 2545 2548 2550]\n# step=0 row=2 minW=274 found cw of W=272: [3 4 5 9 11 16 22 23 25 29 33 73 81 89 91 105 106 107 145 148 154 166 168 172 174 178 219 221 223 226 227 236 239 250 289 301 302 304 307 308 314 316 317 368 371 385 387 391 395 435 436 441 446 448 457 463 465 506 508 516 518 528 537 538 577 579 580 587 589 591 595 601 650 653 655 656 661 668 669 670 675 676 684 730 733 735 740 742 743 744 751 798 799 817 826 877 878 888 891 937 940 948 949 961 962 967 968 970 1010 1023 1030 1092 1100 1102 1105 1106 1111 1115 1153 1155 1156 1157 1165 1170 1177 1179 1181 1241 1247 1257 1259 1297 1301 1310 1311 1312 1313 1324 1328 1329 1331 1374 1378 1383 1384 1387 1390 1396 1397 1398 1449 1456 1464 1465 1472 1474 1516 1517 1523 1533 1536 1539 1543 1591 1594 1596 1601 1604 1606 1608 1617 1659 1672 1674 1675 1678 1686 1687 1691 1731 1738 1741 1747 1750 1751 1760 1808 1810 1811 1814 1815 1825 1826 1829 1873 1875 1879 1880 1883 1888 1892 1893 1895 1945 1950 1960 1965 1971 1978 2022 2026 2028 2030 2031 2037 2044 2049 2050 2091 2095 2099 2100 2103 2104 2107 2112 2117 2118 2119 2122 2123 2168 2178 2181 2186 2189 2192 2234 2235 2242 2250 2255 2256 2258 2261 2266 2267 2307 2308 2310 2311 2312 2324 2339 2340 2384 2394 2399 2402 2405 2406 2407 2451 2454 2467 2530 2532 2535 2536 2545 2548 2550]\n# step=0 row=3 minW=272 found cw of W=264: [10 12 14 19 23 27 36 73 75 87 102 103 107 145 149 168 172 173 174 219 224 227 229 236 239 250 298 300 302 304 308 313 316 319 322 370 371 372 374 387 392 395 435 437 446 451 457 465 468 506 508 512 528 537 538 579 583 587 589 591 595 596 602 605 607 650 653 656 658 661 672 677 678 680 728 731 735 750 751 753 797 798 802 809 819 871 874 877 880 881 882 885 890 891 937 940 949 962 968 970 1017 1018 1030 1041 1042 1092 1100 1111 1157 1165 1170 1177 1178 1184 1226 1234 1239 1241 1250 1253 1297 1301 1310 1312 1313 1329 1369 1374 1375 1377 1384 1387 1394 1395 1396 1397 1398 1446 1450 1466 1472 1516 1517 1519 1526 1533 1539 1543 1545 1547 1596 1601 1604 1606 1612 1617 1662 1674 1676 1677 1687 1689 1691 1692 1741 1749 1764 1802 1805 1808 1810 1811 1812 1814 1815 1822 1823 1825 1826 1875 1879 1880 1888 1892 1900 1902 1945 1956 1958 1960 1966 1967 1968 1970 1971 1973 1975 1977 2021 2022 2026 2030 2037 2040 2044 2047 2049 2052 2089 2090 2093 2095 2099 2100 2103 2104 2107 2114 2122 2124 2165 2174 2186 2188 2192 2234 2247 2250 2251 2255 2257 2258 2260 2261 2267 2306 2308 2313 2326 2330 2334 2384 2386 2388 2394 2399 2406 2407 2449 2451 2454 2457 2469 2478 2526 2527 2532 2536 2545 2548 2549 2550 2555 2556]\n# step=0 row=6 minW=264 found cw of W=260: [3 5 10 14 16 18 22 25 27 36 73 87 95 102 105 108 149 154 173 219 221 223 224 227 230 236 244 250 289 295 301 302 307 312 313 314 316 318 319 322 371 385 387 390 395 435 436 437 446 448 461 463 506 509 512 515 518 528 537 538 577 579 580 587 595 609 650 656 658 661 668 670 672 676 683 684 722 724 728 730 742 744 753 797 798 817 819 871 872 873 878 881 882 885 889 891 893 895 949 961 963 968 970 1015 1018 1038 1092 1102 1105 1111 1113 1115 1170 1172 1173 1177 1182 1184 1186 1187 1239 1250 1257 1303 1307 1322 1328 1369 1383 1394 1396 1397 1398 1399 1401 1448 1464 1465 1466 1514 1517 1520 1523 1526 1533 1540 1543 1548 1588 1591 1593 1594 1606 1608 1618 1659 1661 1662 1670 1672 1674 1677 1678 1682 1687 1689 1692 1731 1736 1738 1739 1741 1747 1749 1750 1751 1759 1760 1808 1811 1814 1822 1825 1826 1833 1873 1875 1883 1894 1900 1945 1956 1965 1966 1971 1975 1977 1978 2018 2021 2022 2040 2047 2050 2052 2091 2095 2096 2099 2101 2114 2116 2118 2119 2124 2163 2165 2173 2177 2178 2186 2242 2247 2251 2255 2256 2258 2260 2261 2262 2266 2267 2306 2307 2324 2330 2332 2339 2340 2382 2384 2386 2394 2402 2449 2451 2454 2457 2469 2476 2526 2527 2529 2535 2537 2538 2545 2547 2549 2556]\n# step=0 row=10 minW=260 found cw of W=238: [3 5 6 10 14 15 20 22 25 28 29 35 36 73 81 87 89 91 95 105 106 107 108 148 154 163 172 223 289 292 298 300 301 304 312 316 317 318 320 370 371 374 385 391 392 393 395 437 446 448 451 457 468 516 518 537 579 580 589 591 595 596 601 609 650 655 656 659 668 669 677 678 679 680 722 735 740 742 753 817 826 871 872 873 874 877 882 885 893 895 940 942 948 949 961 962 968 970 1010 1011 1012 1015 1017 1023 1038 1043 1100 1102 1105 1106 1113 1155 1160 1172 1173 1181 1182 1184 1186 1187 1238 1239 1300 1303 1304 1310 1318 1321 1322 1328 1329 1369 1375 1377 1394 1396 1446 1448 1449 1456 1465 1466 1471 1517 1519 1520 1524 1531 1540 1588 1594 1598 1608 1657 1659 1661 1674 1676 1678 1686 1689 1736 1743 1750 1759 1815 1825 1826 1829 1880 1883 1892 1895 1902 1945 1956 1958 1965 1966 1968 1970 1971 1973 2022 2028 2030 2044 2049 2051 2089 2091 2096 2099 2100 2101 2103 2116 2119 2173 2177 2178 2235 2242 2244 2247 2250 2254 2255 2256 2258 2262 2266 2267 2311 2312 2319 2324 2326 2327 2331 2332 2339 2340 2402 2405 2406 2457 2478 2479 2527 2529 2535 2537 2538 2545 2547 2548 2555]\n# step=0 row=47 minW=238 found cw of W=220: [40 43 46 50 55 57 58 62 66 67 68 111 115 121 124 129 133 137 184 192 200 204 206 253 256 257 261 267 274 277 278 281 327 330 338 339 340 346 347 349 356 360 404 405 406 409 415 431 473 477 479 482 485 489 491 495 501 541 544 550 555 568 615 626 630 637 646 709 772 774 781 784 788 790 839 849 854 855 861 904 909 914 915 917 918 930 977 995 1000 1002 1006 1051 1054 1074 1077 1128 1132 1134 1138 1139 1142 1215 1216 1217 1266 1272 1277 1278 1280 1346 1354 1355 1360 1368 1407 1413 1418 1421 1426 1429 1434 1440 1492 1498 1500 1506 1508 1549 1553 1559 1561 1562 1565 1571 1577 1579 1622 1632 1643 1653 1694 1710 1711 1714 1719 1720 1723 1767 1773 1783 1784 1785 1789 1794 1842 1844 1857 1858 1861 1871 1911 1912 1921 1933 1935 1939 1984 1989 1991 1997 2001 2005 2009 2057 2061 2068 2074 2078 2137 2139 2141 2145 2157 2197 2208 2214 2216 2280 2281 2288 2294 2297 2299 2343 2345 2346 2349 2356 2363 2367 2373 2376 2423 2433 2438 2485 2491 2499 2510 2511 2514 2515 2517 2518 2564 2577 2578 2587 2588 2592]\n# step=0 row=81 minW=220 found cw of W=214: [38 40 43 49 50 53 57 60 61 62 63 64 67 71 115 121 123 137 182 183 184 186 192 193 195 205 208 257 265 270 275 278 286 326 330 339 345 347 359 360 401 405 415 416 472 473 477 479 480 485 487 491 496 501 541 542 567 573 615 623 640 645 685 714 715 759 763 769 775 777 781 784 836 841 861 909 914 917 918 922 930 978 994 1000 1006 1051 1058 1060 1074 1121 1128 1132 1134 1142 1145 1148 1194 1195 1200 1202 1203 1210 1219 1262 1275 1277 1279 1354 1362 1407 1417 1418 1421 1426 1429 1431 1484 1486 1492 1496 1500 1506 1508 1553 1555 1558 1559 1561 1562 1567 1570 1574 1576 1577 1581 1622 1632 1638 1643 1649 1699 1710 1715 1716 1719 1723 1727 1765 1766 1768 1770 1773 1784 1792 1793 1797 1849 1851 1855 1861 1862 1869 1920 1926 1942 1943 1984 1991 1997 2005 2057 2061 2064 2068 2074 2079 2128 2131 2137 2145 2148 2205 2215 2216 2278 2280 2281 2288 2292 2294 2295 2299 2349 2352 2357 2363 2372 2373 2376 2413 2423 2433 2434 2435 2438 2504 2515 2517 2565 2567 2573 2574 2579 2592]\n# step=0 row=161 minW=214 found cw of W=210: [4 10 15 19 22 73 74 76 81 91 107 149 158 163 168 173 174 177 223 224 229 239 250 289 292 300 304 314 317 318 322 361 368 383 387 390 391 435 457 508 509 523 577 579 580 588 589 593 601 602 607 609 656 658 661 668 670 675 676 684 722 728 730 733 742 743 744 745 750 799 813 871 872 874 882 885 889 890 891 893 940 942 961 962 963 968 1010 1012 1015 1024 1028 1041 1042 1043 1087 1092 1156 1160 1173 1178 1179 1184 1187 1226 1232 1239 1241 1247 1248 1253 1257 1300 1301 1303 1307 1310 1331 1375 1378 1383 1384 1390 1395 1448 1453 1456 1463 1516 1517 1519 1520 1530 1536 1539 1540 1596 1604 1608 1617 1618 1657 1661 1675 1678 1689 1691 1741 1747 1802 1810 1814 1823 1825 1833 1891 1893 1900 1953 1956 1965 1966 1971 1973 1977 1978 2022 2026 2037 2047 2050 2051 2090 2091 2095 2099 2101 2112 2114 2123 2173 2178 2183 2189 2191 2192 2234 2247 2251 2254 2261 2266 2267 2308 2312 2316 2326 2331 2340 2384 2389 2394 2406 2409 2449 2526 2527 2535 2538 2545 2550]\n# step=0 row=182 minW=210 found cw of W=208: [10 15 23 35 73 89 103 108 145 148 149 163 173 223 227 230 239 244 250 289 302 308 312 314 316 318 319 320 322 368 374 387 391 392 396 437 446 451 458 509 512 515 523 583 587 593 596 605 607 650 653 659 667 670 675 677 678 680 681 684 722 731 735 742 745 750 751 753 797 819 872 877 881 882 885 891 942 949 1012 1017 1023 1030 1032 1038 1042 1043 1100 1115 1156 1160 1162 1170 1176 1177 1181 1184 1232 1250 1257 1300 1301 1303 1310 1318 1369 1374 1375 1377 1387 1390 1394 1395 1396 1397 1398 1401 1446 1448 1471 1474 1514 1516 1517 1526 1536 1548 1588 1591 1594 1601 1604 1606 1657 1661 1662 1675 1676 1677 1687 1691 1738 1760 1822 1826 1833 1873 1880 1891 1894 1900 1902 1950 1958 1965 1966 1968 1970 1973 1975 1977 2018 2022 2030 2040 2047 2050 2051 2052 2089 2091 2099 2100 2101 2103 2107 2112 2118 2122 2163 2177 2178 2189 2191 2194 2235 2247 2251 2254 2255 2257 2260 2266 2308 2311 2326 2330 2331 2332 2334 2399 2402 2407 2449 2476 2479 2526 2549 2555]\n# step=0 row=372 minW=208 found cw of W=166: [40 43 50 57 58 60 66 109 111 123 182 184 208 215 256 261 274 282 327 339 345 349 351 352 356 359 404 416 482 485 495 541 545 550 567 574 615 618 626 630 696 715 758 760 764 778 780 784 790 837 839 841 849 861 904 914 915 918 931 978 994 1002 1006 1057 1077 1132 1134 1138 1148 1194 1202 1203 1216 1217 1219 1275 1277 1279 1294 1346 1348 1355 1356 1360 1366 1368 1405 1413 1421 1429 1433 1482 1484 1496 1498 1500 1506 1549 1558 1559 1562 1569 1577 1580 1621 1653 1699 1714 1716 1717 1724 1765 1767 1773 1783 1793 1794 1842 1847 1857 1871 1912 1920 1932 1939 1942 1984 1989 1991 1997 2001 2005 2076 2078 2088 2127 2139 2141 2145 2206 2212 2216 2222 2278 2280 2294 2297 2300 2343 2345 2349 2357 2367 2416 2433 2434 2436 2437 2491 2497 2510 2517 2573 2574 2577 2587]\n# step=4 row=31 minW=166 found cw of W=158: [52 53 60 63 64 70 129 143 144 185 189 264 272 274 288 326 327 333 355 359 406 408 420 428 472 475 480 485 486 488 493 547 551 622 632 634 644 648 691 703 757 765 773 779 782 783 785 788 836 844 848 858 861 902 903 911 919 927 933 974 976 979 990 996 1051 1061 1069 1124 1128 1138 1190 1192 1202 1206 1214 1216 1224 1261 1277 1282 1293 1334 1348 1351 1411 1418 1432 1483 1487 1566 1574 1627 1633 1696 1704 1708 1714 1773 1785 1786 1791 1799 1853 1867 1912 1924 1926 1928 1938 1941 1993 2005 2007 2059 2070 2071 2076 2084 2126 2128 2130 2131 2141 2149 2150 2205 2209 2213 2215 2272 2281 2282 2284 2286 2296 2303 2347 2349 2357 2359 2362 2363 2369 2429 2430 2434 2440 2448 2520 2559 2565 2569 2573 2579 2585 2587 2589 2591]\n# step=4 row=833 minW=158 found cw of W=146: [52 53 60 63 70 129 143 144 185 189 264 274 288 326 327 333 355 359 406 408 420 428 475 480 485 488 493 547 549 551 622 632 634 644 648 691 703 707 757 765 773 779 782 783 788 836 844 858 861 902 911 919 925 927 929 933 974 976 979 990 996 1051 1061 1069 1124 1128 1138 1190 1202 1214 1224 1261 1277 1282 1334 1348 1351 1352 1366 1411 1418 1432 1483 1487 1627 1633 1643 1696 1704 1708 1714 1773 1785 1786 1791 1799 1837 1853 1867 1912 1924 1926 1928 1938 1941 1993 2005 2007 2059 2070 2071 2076 2084 2126 2130 2131 2141 2149 2209 2215 2272 2281 2282 2284 2286 2303 2347 2349 2357 2359 2362 2369 2429 2430 2434 2440 2448 2520 2565 2569 2573 2579 2581 2587 2589 2591]\n# step=34 row=206 minW=146 found cw of W=98: [40 59 68 114 118 140 182 185 191 195 199 213 402 403 408 417 476 480 502 503 567 643 688 693 698 761 766 788 852 860 912 934 975 978 979 983 989 997 1045 1051 1065 1119 1151 1200 1210 1222 1264 1283 1296 1333 1343 1347 1366 1405 1407 1411 1416 1420 1433 1479 1484 1497 1505 1570 1628 1704 1715 1726 1778 1792 1796 1837 1859 1864 1867 1869 1986 1992 1995 2014 2059 2086 2126 2204 2280 2281 2291 2299 2302 2363 2440 2490 2512 2516 2517 2520 2571 2584]\n# step=161 row=291 minW=98 found cw of W=92: [21 75 89 93 148 220 224 235 293 301 306 324 375 388 389 452 505 528 529 537 592 597 606 610 660 674 678 800 827 873 877 882 900 940 945 950 955 963 972 1021 1032 1086 1095 1158 1172 1181 1225 1239 1253 1300 1315 1373 1381 1392 1450 1455 1472 1590 1599 1600 1608 1609 1614 1617 1666 1676 1680 1690 1691 1754 1758 1817 1835 1876 1906 1908 1953 1976 1980 2052 2165 2166 2179 2247 2265 2319 2333 2460 2469 2478 2523 2551]\n# step=161 row=575 minW=92 found cw of W=86: [21 24 75 89 93 148 157 235 306 311 324 364 375 388 389 452 456 519 528 578 597 660 674 677 678 827 828 869 882 899 900 940 945 955 963 1021 1032 1043 1086 1091 1095 1113 1168 1181 1231 1253 1314 1315 1332 1373 1381 1392 1403 1450 1455 1472 1522 1590 1600 1608 1614 1676 1688 1690 1691 1754 1758 1817 1821 1908 1957 1965 1976 1980 2052 2166 2234 2247 2264 2265 2319 2333 2460 2469 2470 2541]\n# step=821 row=463 minW=86 found cw of W=82: [45 113 114 122 136 144 190 200 259 272 327 341 358 404 408 418 476 485 499 544 548 553 643 685 698 703 833 848 903 920 925 934 980 988 1002 1006 1052 1119 1147 1197 1205 1206 1339 1365 1406 1416 1421 1478 1479 1484 1492 1561 1633 1651 1701 1706 1720 1765 1769 1846 1850 1928 1983 1986 2000 2014 2055 2059 2064 2085 2204 2213 2282 2286 2349 2363 2417 2431 2485 2494 2508 2584]\n# step=821 row=1116 minW=82 found cw of W=78: [45 113 114 122 136 144 190 200 259 327 341 358 404 408 418 476 485 499 544 548 553 643 685 698 703 833 903 920 934 980 988 1002 1006 1052 1119 1147 1197 1205 1206 1339 1365 1406 1416 1421 1478 1479 1484 1492 1561 1633 1651 1701 1706 1720 1765 1769 1846 1850 1983 1986 2000 2014 2055 2059 2064 2085 2204 2227 2282 2286 2349 2363 2417 2431 2485 2494 2508 2584]\n# round=1000 of 50000 minW=78\n# round=2000 of 50000 minW=78\n# step=2573 row=154 minW=78 found cw of W=74: [74 83 92 165 219 223 229 233 245 300 306 314 368 374 378 446 451 464 509 527 531 673 727 745 750 876 885 890 971 1107 1166 1230 1256 1309 1322 1399 1454 1458 1466 1526 1530 1535 1543 1589 1594 1598 1603 1608 1666 1680 1739 1811 1829 1956 1970 2029 2033 2038 2042 2047 2051 2052 2174 2178 2186 2187 2233 2241 2251 2309 2323 2468 2472 2541]\n# step=2573 row=465 minW=74 found cw of W=70: [74 83 92 165 219 223 233 245 300 314 368 374 378 446 451 464 509 527 531 673 727 745 750 876 885 890 949 971 1107 1166 1230 1256 1322 1399 1454 1458 1466 1526 1530 1535 1543 1589 1598 1603 1666 1680 1739 1811 1829 1956 1970 2029 2033 2038 2042 2047 2051 2052 2174 2178 2186 2187 2233 2241 2251 2309 2323 2468 2472 2541]\n# step=2747 row=855 minW=70 found cw of W=62: [149 174 230 244 248 307 371 437 451 466 606 652 656 670 674 750 797 815 827 869 960 1013 1037 1082 1090 1096 1100 1104 1109 1114 1182 1241 1301 1319 1387 1451 1514 1546 1672 1686 1732 1745 1754 1763 1830 1877 1895 1954 1972 2040 2107 2115 2171 2189 2262 2321 2325 2378 2380 2398 2406 2547]\n# round=3000 of 50000 minW=62\n# round=4000 of 50000 minW=62\n# step=4271 row=575 minW=62 found cw of W=56: [89 94 157 298 316 370 375 388 466 507 579 597 601 665 724 729 751 806 814 828 946 964 1009 1027 1028 1095 1105 1159 1168 1236 1378 1396 1459 1546 1672 1690 1740 1745 1754 1804 1822 1881 1899 2026 2030 2098 2239 2248 2266 2311 2329 2393 2407 2470 2538 2542]\n# round=5000 of 50000 minW=56\n# round=6000 of 50000 minW=56\n# round=7000 of 50000 minW=56\n# round=8000 of 50000 minW=56\n# round=9000 of 50000 minW=56\n# round=10000 of 50000 minW=56\n# round=11000 of 50000 minW=56\n# round=12000 of 50000 minW=56\n# round=13000 of 50000 minW=56\n# round=14000 of 50000 minW=56\n# step=14628 row=785 minW=56 found cw of W=38: [38 52 56 70 197 256 478 482 496 500 623 641 904 908 922 926 935 1049 1067 1336 1354 1553 1558 1571 1580 1703 1721 1780 1798 1997 2015 2129 2147 2206 2224 2423 2441 2573]\n# round=15000 of 50000 minW=38\n# round=16000 of 50000 minW=38\n# round=17000 of 50000 minW=38\n# round=18000 of 50000 minW=38\n# round=19000 of 50000 minW=38\n# round=20000 of 50000 minW=38\n# round=21000 of 50000 minW=38\n# round=22000 of 50000 minW=38\n# round=23000 of 50000 minW=38\n# round=24000 of 50000 minW=38\n# round=25000 of 50000 minW=38\n# round=26000 of 50000 minW=38\n# round=27000 of 50000 minW=38\n# round=28000 of 50000 minW=38\n# round=29000 of 50000 minW=38\n# round=30000 of 50000 minW=38\n# round=31000 of 50000 minW=38\n# round=32000 of 50000 minW=38\n# round=33000 of 50000 minW=38\n# round=34000 of 50000 minW=38\n# round=35000 of 50000 minW=38\n# round=36000 of 50000 minW=38\n# round=37000 of 50000 minW=38\n# round=38000 of 50000 minW=38\n# round=39000 of 50000 minW=38\n# round=40000 of 50000 minW=38\n# round=41000 of 50000 minW=38\n# round=42000 of 50000 minW=38\n# round=43000 of 50000 minW=38\n# round=44000 of 50000 minW=38\n# round=45000 of 50000 minW=38\n# round=46000 of 50000 minW=38\n# round=47000 of 50000 minW=38\n# round=48000 of 50000 minW=38\n# round=49000 of 50000 minW=38\n# round=50000 of 50000 minW=38\nRW algorithm upper bound for the distance d=38\n</t>
  </si>
  <si>
    <t>1023.7913884082809</t>
  </si>
  <si>
    <t># step=0 row=2 minW=3025 found cw of W=620: [4 6 11 12 13 15 24 25 28 41 48 68 75 87 90 93 94 103 105 106 107 108 117 127 134 135 137 139 142 148 160 161 162 165 183 202 206 211 218 234 241 244 249 253 256 258 259 267 269 276 281 289 291 294 303 308 309 3</t>
  </si>
  <si>
    <t>outfile: /home/ucapmwe/dist-benchmark/results/bivariate_bicycle-QDistEvol-20260215_181907.677112_85062422.txt</t>
  </si>
  <si>
    <t>Gen:0 Trial:0 w:6; pErr:0.0000, weight 6 CW found:1068, wDict:6:49052,8:948</t>
  </si>
  <si>
    <t>Gen:0 Trial:0 w:10; pErr:0.0000, weight 10 CW found:9492, wDict:10:44850,12:5095,14:55</t>
  </si>
  <si>
    <t>Gen:0 Trial:0 w:12; Trial:1 w:10; pErr:0.0000, weight 10 CW found:7833, wDict:10:29364,12:19212,14:1375,16:48,18:1</t>
  </si>
  <si>
    <t>Gen:0 Trial:0 w:12; pErr:0.0000, weight 12 CW found:8445, wDict:12:46842,14:2973,16:166,18:17,20:2</t>
  </si>
  <si>
    <t>Gen:0 Trial:0 w:34; Trial:2 w:30; Trial:3 w:26; Trial:7 w:24; Trial:17 w:22; Trial:316 w:18; pErr:0.0096, weight 18 CW found:16786, wDict:18:29354,20:2205,22:5704,24:4753,26:3741,28:2242,30:1062,32:471,34:241,36:130,38:75,40:16,42:6</t>
  </si>
  <si>
    <t>Gen:0 Trial:0 w:36; Trial:5 w:34; Trial:16 w:26; Gen:1 Trial:515 w:24; pErr:0.0283, weight 24 CW found:23442, wDict:24:26570,26:8075,28:6755,30:3583,32:1936,34:1073,36:671,38:429,40:311,42:207,44:164,46:104,48:65,50:43,52:11,54:3</t>
  </si>
  <si>
    <t>Gen:0 Trial:0 w:94; Trial:8 w:74; Trial:54 w:50; Trial:89 w:46; Gen:1 Trial:500 w:42; Gen:3 Trial:1674 w:40; Gen:6 Trial:3004 w:38; Gen:16 Trial:8203 w:36; Gen:19 Trial:9668 w:34; pErr:0.0373, weight 34 CW found:13722, wDict:34:20136,36:2621,38:4702,40:2428,42:1596,44:1487,46:1281,48:1009,50:953,52:879,54:1065,56:910,58:771,60:655,62:642,64:557,66:523,68:543,70:524,72:444,74:411,76:417,78:412,80:421,82:379,84:422,86:436,88:379,90:356,92:325,94:350,96:302,98:291,100:239,102:244,104:234,106:186,108:141,110:109,112:91,114:56,116:34,118:20,120:14,122:3,124:2</t>
  </si>
  <si>
    <t>Gen:0 Trial:0 w:10; pErr:0.0000, weight 10 CW found:2470, wDict:10:47397,12:2520,14:83</t>
  </si>
  <si>
    <t>Gen:0 Trial:0 w:84; Trial:1 w:58; Trial:2 w:54; Trial:5 w:48; Trial:13 w:46; Trial:20 w:38; Trial:29 w:36; Trial:92 w:32; Trial:111 w:30; Trial:423 w:26; Gen:1 Trial:547 w:24; pErr:0.0010, weight 24 CW found:9327, wDict:24:32046,26:3815,28:4083,30:2250,32:1750,34:1254,36:1185,38:773,40:521,42:377,44:236,46:210,48:190,50:132,52:111,54:96,56:83,58:83,60:71,62:77,64:52,66:47,68:54,70:52,72:53,74:52,76:49,78:52,80:56,82:59,84:40,86:24,88:27,90:20,92:10,94:7,96:1,98:2</t>
  </si>
  <si>
    <t>Gen:0 Trial:0 w:132; Trial:5 w:126; Trial:6 w:122; Trial:8 w:116; Trial:16 w:112; Trial:82 w:108; Trial:131 w:102; Trial:172 w:82; Gen:2 Trial:1016 w:80; Trial:1068 w:66; Gen:5 Trial:2574 w:62; Gen:6 Trial:3026 w:58; Gen:13 Trial:6629 w:54; Gen:36 Trial:18359 w:52; Gen:41 Trial:20811 w:50; pErr:0.0656, weight 50 CW found:13236, wDict:50:13988,52:1803,54:5105,56:1398,58:3373,60:1163,62:1581,64:992,66:1190,68:723,70:710,72:575,74:570,76:553,78:549,80:603,82:595,84:577,86:590,88:594,90:616,92:674,94:714,96:666,98:628,100:655,102:698,104:703,106:634,108:646,110:589,112:607,114:545,116:511,118:485,120:481,122:419,124:397,126:371,128:362,130:317,132:234,134:205,136:172,138:142,140:108,142:79,144:48,146:31,148:15,150:14,152:2</t>
  </si>
  <si>
    <t>Gen:0 Trial:0 w:92; Trial:5 w:90; Trial:9 w:88; Trial:11 w:86; Trial:17 w:84; Trial:24 w:74; Trial:44 w:68; Trial:94 w:66; Trial:184 w:54; Gen:1 Trial:519 w:48; Trial:540 w:42; Trial:612 w:40; Gen:3 Trial:1576 w:38; Gen:6 Trial:3103 w:36; Gen:8 Trial:4287 w:34; Gen:11 Trial:5739 w:32; pErr:0.0357, weight 32 CW found:15684, wDict:32:22032,34:2869,36:4293,38:2499,40:2122,42:1642,44:1248,46:952,48:867,50:832,52:797,54:732,56:634,58:703,60:665,62:574,64:615,66:537,68:513,70:469,72:423,74:373,76:355,78:312,80:263,82:280,84:251,86:247,88:246,90:266,92:265,94:287,96:207,98:198,100:156,102:121,104:68,106:45,108:20,110:12,112:4,114:5,116:1</t>
  </si>
  <si>
    <t>Gen:0 Trial:0 w:166; Trial:3 w:154; Trial:7 w:152; Trial:11 w:150; Trial:22 w:122; Trial:55 w:112; Trial:78 w:100; Gen:1 Trial:516 w:96; Gen:2 Trial:1264 w:92; Trial:1268 w:88; Trial:1388 w:84; Gen:5 Trial:2514 w:82; Trial:2547 w:74; Gen:6 Trial:3003 w:72; Gen:9 Trial:4745 w:70; Gen:15 Trial:7512 w:68; Gen:25 Trial:12505 w:66; Gen:28 Trial:14040 w:64; Gen:31 Trial:15559 w:62; Gen:34 Trial:17088 w:60; Gen:38 Trial:19243 w:58; Gen:74 Trial:37108 w:56; pErr:0.0888, weight 56 CW found:6929, wDict:56:5119,58:8386,60:2933,62:2415,64:1745,66:1465,68:2805,70:1995,72:2031,74:1468,76:1214,78:1239,80:977,82:944,84:918,86:970,88:1032,90:935,92:843,94:783,96:730,98:689,100:639,102:552,104:523,106:445,108:435,110:409,112:363,114:340,116:263,118:271,120:237,122:200,124:175,126:171,128:153,130:131,132:124,134:145,136:128,138:122,140:117,142:113,144:106,146:117,148:132,150:123,152:132,154:136,156:130,158:145,160:167,162:134,164:129,166:141,168:134,170:111,172:95,174:96,176:89,178:54,180:48,182:30,184:20,186:16,188:15,190:3,192:3,194:1,196:1</t>
  </si>
  <si>
    <t>Gen:0 Trial:0 w:182; Trial:15 w:166; Trial:154 w:146; Gen:1 Trial:661 w:138; Gen:3 Trial:1527 w:136; Gen:4 Trial:2028 w:134; Gen:6 Trial:3057 w:132; Gen:7 Trial:3515 w:130; Trial:3527 w:128; Gen:8 Trial:4076 w:100; Gen:11 Trial:5500 w:96; Gen:12 Trial:6185 w:92; Gen:13 Trial:6501 w:82; Gen:15 Trial:7501 w:80; Gen:17 Trial:8508 w:78; Trial:8530 w:76; Trial:8914 w:72; Gen:18 Trial:9386 w:70; Gen:19 Trial:9557 w:64; Gen:20 Trial:10031 w:58; Gen:22 Trial:11004 w:54; Gen:23 Trial:11502 w:50; pErr:0.0753, weight 50 CW found:17251, wDict:50:20781,52:616,54:1514,56:530,58:434,60:358,62:318,64:348,66:177,68:202,70:245,72:274,74:290,76:311,78:225,80:275,82:344,84:193,86:226,88:189,90:202,92:232,94:186,96:248,98:242,100:332,102:275,104:229,106:272,108:316,110:386,112:447,114:466,116:445,118:485,120:465,122:452,124:451,126:471,128:499,130:421,132:406,134:448,136:364,138:381,140:268,142:311,144:216,146:241,148:199,150:199,152:206,154:180,156:198,158:217,160:233,162:202,164:191,166:263,168:208,170:217,172:242,174:246,176:239,178:288,180:303,182:350,184:384,186:397,188:440,190:471,192:504,194:594,196:556,198:611,200:623,202:580,204:534,206:478,208:391,210:331,212:279,214:215,216:143,218:100,220:78,222:46,224:22,226:23,228:4,230:4,232:3,236:1</t>
  </si>
  <si>
    <t>Gen:0 Trial:0 w:176; Trial:2 w:174; Trial:3 w:172; Trial:4 w:170; Trial:5 w:162; Trial:9 w:132; Trial:62 w:126; Trial:433 w:108; Gen:2 Trial:1000 w:104; Trial:1376 w:98; Gen:3 Trial:1591 w:92; Gen:4 Trial:2231 w:66; Gen:6 Trial:3003 w:64; Gen:7 Trial:3557 w:62; Gen:9 Trial:4538 w:60; Gen:22 Trial:11147 w:58; Gen:32 Trial:16437 w:56; Gen:93 Trial:46759 w:54; Gen:96 Trial:48103 w:52; pErr:0.1114, weight 52 CW found:991, wDict:52:183,54:633,56:15494,58:3049,60:4565,62:1092,64:837,66:758,68:522,70:392,72:410,74:479,76:420,78:444,80:400,82:338,84:389,86:369,88:327,90:336,92:422,94:322,96:327,98:294,100:297,102:293,104:417,106:291,108:386,110:266,112:285,114:322,116:332,118:355,120:405,122:426,124:529,126:472,128:481,130:487,132:528,134:482,136:532,138:526,140:535,142:524,144:508,146:506,148:524,150:514,152:433,154:481,156:400,158:401,160:376,162:327,164:299,166:291,168:307,170:314,172:260,174:300,176:264,178:288,180:254,182:215,184:177,186:169,188:118,190:98,192:78,194:54,196:28,198:19,200:16,202:3,204:4,206:1</t>
  </si>
  <si>
    <t>Gen:0 Trial:0 w:274; Trial:1 w:264; Trial:36 w:252; Trial:38 w:248; Trial:217 w:238; Trial:275 w:222; Gen:1 Trial:522 w:160; Trial:527 w:148; Gen:3 Trial:1501 w:136; Gen:4 Trial:2014 w:134; Gen:6 Trial:3001 w:126; Gen:7 Trial:3505 w:124; Trial:3883 w:122; Gen:8 Trial:4016 w:118; Trial:4029 w:116; Trial:4330 w:112; Gen:10 Trial:5001 w:108; Gen:12 Trial:6469 w:104; Gen:13 Trial:6830 w:102; Gen:14 Trial:7007 w:100; Gen:16 Trial:8347 w:98; Gen:19 Trial:9621 w:96; Gen:21 Trial:10664 w:94; Gen:26 Trial:13085 w:92; Gen:29 Trial:14831 w:90; Gen:31 Trial:15727 w:86; Gen:35 Trial:17701 w:84; Gen:38 Trial:19015 w:80; Gen:42 Trial:21114 w:78; Trial:21240 w:68; Gen:43 Trial:21687 w:66; Gen:52 Trial:26237 w:64; pErr:0.1361, weight 64 CW found:13389, wDict:64:8780,66:2554,68:1501,70:600,72:496,74:287,76:317,78:531,80:1019,82:590,84:807,86:1184,88:519,90:1025,92:1110,94:1645,96:1056,98:1028,100:704,102:704,104:687,106:455,108:659,110:421,112:514,114:401,116:409,118:362,120:340,122:442,124:333,126:456,128:383,130:378,132:454,134:432,136:552,138:437,140:445,142:467,144:515,146:562,148:523,150:568,152:509,154:487,156:509,158:452,160:424,162:429,164:359,166:301,168:309,170:294,172:212,174:244,176:173,178:135,180:172,182:128,184:104,186:109,188:101,190:79,192:71,194:83,196:66,198:60,200:60,202:57,204:45,206:35,208:45,210:45,212:50,214:57,216:37,218:51,220:57,222:63,224:67,226:56,228:54,230:86,232:76,234:88,236:97,238:86,240:113,242:126,244:152,246:188,248:142,250:158,252:183,254:214,256:202,258:246,260:244,262:261,264:244,266:283,268:240,270:265,272:270,274:237,276:226,278:207,280:213,282:187,284:145,286:106,288:112,290:97,292:59,294:58,296:42,298:31,300:26,302:19,304:10,306:5,308:6,310:2,312:1,314:4,316:2</t>
  </si>
  <si>
    <t>Gen:0 Trial:0 w:126; Trial:3 w:112; Trial:8 w:106; Trial:11 w:94; Trial:67 w:92; Trial:344 w:74; Gen:2 Trial:1002 w:72; Trial:1025 w:70; Gen:3 Trial:1723 w:68; Gen:4 Trial:2248 w:64; Gen:8 Trial:4105 w:62; Gen:10 Trial:5017 w:60; Gen:13 Trial:6634 w:58; Gen:17 Trial:8911 w:56; Gen:20 Trial:10149 w:54; pErr:0.0005, weight 54 CW found:7872, wDict:54:24061,56:3658,58:2947,60:3768,62:1962,64:2187,66:1599,68:1447,70:1142,72:1317,74:1128,76:621,78:537,80:467,82:379,84:289,86:212,88:156,90:155,92:114,94:123,96:113,98:71,100:59,102:54,104:57,106:33,108:48,110:64,112:60,114:40,116:46,118:58,120:31,122:38,124:55,126:37,128:46,130:37,132:45,134:61,136:72,138:66,140:61,142:60,144:66,146:71,148:49,150:40,152:47,154:49,156:27,158:21,160:16,162:16,164:12,166:1,168:3,172:1</t>
  </si>
  <si>
    <t>Gen:0 Trial:0 w:362; Trial:3 w:314; Trial:16 w:302; Trial:100 w:288; Gen:1 Trial:500 w:276; Trial:501 w:258; Trial:506 w:234; Gen:2 Trial:1036 w:210; Trial:1050 w:208; Trial:1068 w:200; Gen:3 Trial:1506 w:184; Trial:1993 w:144; Gen:5 Trial:2506 w:142; Trial:2513 w:138; Gen:6 Trial:3118 w:136; Trial:3131 w:132; Gen:7 Trial:3512 w:130; Trial:3518 w:128; Gen:8 Trial:4017 w:126; Trial:4068 w:122; Gen:9 Trial:4511 w:120; Gen:10 Trial:5026 w:118; Gen:11 Trial:5504 w:114; Trial:5527 w:112; Trial:5919 w:106; Gen:13 Trial:6501 w:102; Gen:14 Trial:7019 w:100; Trial:7227 w:94; Gen:16 Trial:8027 w:92; Gen:17 Trial:8555 w:90; Gen:18 Trial:9020 w:88; Gen:19 Trial:9594 w:86; Gen:22 Trial:11062 w:84; Gen:25 Trial:12839 w:80; Gen:30 Trial:15297 w:78; Gen:35 Trial:17770 w:76; Gen:44 Trial:22414 w:74; Gen:56 Trial:28100 w:72; Gen:63 Trial:31527 w:68; Gen:87 Trial:43653 w:66; pErr:0.0108, weight 66 CW found:1568, wDict:66:2570,68:6385,70:700,72:2601,74:3684,76:4812,78:3535,80:2585,82:1141,84:1831,86:1314,88:1013,90:930,92:699,94:740,96:484,98:479,100:525,102:630,104:419,106:531,108:492,110:280,112:301,114:318,116:236,118:397,120:271,122:397,124:237,126:378,128:225,130:306,132:179,134:173,136:213,138:161,140:179,142:191,144:207,146:140,148:148,150:116,152:112,154:116,156:114,158:108,160:102,162:78,164:81,166:98,168:92,170:74,172:81,174:66,176:66,178:80,180:69,182:55,184:91,186:82,188:55,190:80,192:76,194:62,196:76,198:81,200:70,202:54,204:40,206:46,208:51,210:48,212:53,214:42,216:59,218:45,220:58,222:44,224:48,226:43,228:48,230:65,232:56,234:52,236:59,238:57,240:54,242:58,244:50,246:51,248:55,250:52,252:71,254:80,256:63,258:73,260:68,262:70,264:60,266:78,268:74,270:83,272:69,274:76,276:71,278:65,280:61,282:67,284:84,286:59,288:76,290:62,292:61,294:53,296:65,298:51,300:58,302:55,304:55,306:53,308:44,310:63,312:54,314:41,316:49,318:46,320:51,322:44,324:53,326:52,328:54,330:62,332:53,334:56,336:43,338:62,340:59,342:55,344:56,346:51,348:44,350:43,352:45,354:52,356:57,358:43,360:50,362:38,364:34,366:29,368:33,370:24,372:14,374:18,376:11,378:15,380:10,382:9,384:5,386:4,388:3,390:2,394:1,396:1</t>
  </si>
  <si>
    <t>Gen:0 Trial:0 w:196; Trial:1 w:148; Trial:4 w:108; Trial:14 w:102; Trial:39 w:82; Gen:1 Trial:533 w:80; Trial:756 w:74; Gen:3 Trial:1538 w:72; Gen:4 Trial:2073 w:70; Gen:5 Trial:2509 w:66; Gen:6 Trial:3043 w:64; Gen:7 Trial:3582 w:62; Gen:10 Trial:5040 w:60; Gen:12 Trial:6020 w:58; Gen:14 Trial:7173 w:56; Gen:21 Trial:10971 w:54; pErr:0.0004, weight 54 CW found:5578, wDict:54:22915,56:2986,58:2598,60:3344,62:2231,64:2929,66:1385,68:1385,70:982,72:783,74:966,76:638,78:531,80:556,82:633,84:400,86:342,88:491,90:462,92:383,94:280,96:224,98:187,100:151,102:133,104:132,106:137,108:109,110:89,112:79,114:57,116:95,118:57,120:48,122:51,124:29,126:38,128:46,130:38,132:36,134:34,136:31,138:30,140:29,142:43,144:40,146:40,148:34,150:32,152:40,154:20,156:30,158:30,160:37,162:35,164:32,166:48,168:28,170:34,172:36,174:34,176:37,178:26,180:28,182:37,184:34,186:22,188:23,190:21,192:19,194:21,196:21,198:7,200:8,202:10,204:3,206:5,208:1,210:2,212:2</t>
  </si>
  <si>
    <t>Gen:0 Trial:0 w:208; Trial:1 w:202; Trial:2 w:196; Trial:3 w:188; Trial:4 w:170; Trial:31 w:162; Trial:40 w:152; Trial:84 w:90; Trial:429 w:74; Gen:1 Trial:503 w:68; Gen:2 Trial:1004 w:60; Gen:3 Trial:1502 w:46; Gen:5 Trial:2516 w:42; Gen:7 Trial:3610 w:38; Gen:11 Trial:5918 w:36; pErr:0.0004, weight 36 CW found:5854, wDict:36:32530,38:2417,40:1639,42:1135,44:430,46:892,48:198,50:365,52:466,54:270,56:278,58:190,60:361,62:181,64:106,66:180,68:230,70:174,72:112,74:182,76:222,78:191,80:183,82:240,84:305,86:258,88:263,90:244,92:239,94:199,96:168,98:152,100:229,102:181,104:159,106:145,108:152,110:164,112:159,114:116,116:139,118:169,120:123,122:115,124:109,126:77,128:83,130:86,132:80,134:74,136:59,138:62,140:60,142:49,144:66,146:39,148:25,150:39,152:62,154:31,156:23,158:27,160:36,162:32,164:43,166:42,168:39,170:49,172:47,174:33,176:54,178:61,180:49,182:74,184:74,186:65,188:90,190:116,192:131,194:102,196:131,198:141,200:109,202:137,204:107,206:73,208:86,210:61,212:51,214:33,216:19,218:7,220:5,222:1</t>
  </si>
  <si>
    <t>Gen:0 Trial:0 w:330; Trial:43 w:320; Trial:47 w:266; Trial:53 w:262; Trial:64 w:258; Trial:99 w:228; Trial:157 w:204; Gen:1 Trial:509 w:194; Trial:556 w:184; Gen:2 Trial:1045 w:176; Trial:1386 w:146; Gen:4 Trial:2008 w:144; Trial:2018 w:134; Gen:6 Trial:3452 w:132; Gen:7 Trial:3505 w:130; Trial:3683 w:118; Gen:10 Trial:5030 w:116; Gen:13 Trial:6572 w:114; Gen:15 Trial:7505 w:110; Gen:18 Trial:9047 w:108; Gen:21 Trial:10673 w:106; Gen:46 Trial:23055 w:104; Gen:57 Trial:28662 w:102; Gen:59 Trial:29538 w:100; Gen:60 Trial:30197 w:98; Gen:63 Trial:31546 w:96; Gen:83 Trial:41955 w:90; Gen:86 Trial:43164 w:88; pErr:0.1445, weight 88 CW found:3997, wDict:88:2035,90:671,92:147,94:105,96:4528,98:1181,100:376,102:598,104:3375,106:5726,108:1213,110:1040,112:537,114:733,116:781,118:548,120:305,122:238,124:285,126:269,128:376,130:455,132:559,134:482,136:306,138:287,140:335,142:291,144:346,146:383,148:304,150:305,152:412,154:440,156:421,158:442,160:427,162:476,164:453,166:451,168:511,170:596,172:508,174:567,176:520,178:494,180:529,182:466,184:502,186:501,188:454,190:454,192:432,194:406,196:433,198:374,200:416,202:358,204:397,206:383,208:400,210:333,212:319,214:316,216:285,218:305,220:282,222:261,224:250,226:273,228:277,230:237,232:287,234:276,236:218,238:175,240:161,242:167,244:179,246:177,248:136,250:152,252:118,254:125,256:106,258:95,260:95,262:78,264:90,266:75,268:50,270:65,272:48,274:46,276:48,278:54,280:41,282:30,284:25,286:25,288:23,290:34,292:46,294:28,296:20,298:18,300:22,302:11,304:17,306:10,308:17,310:13,312:11,314:10,316:20,318:8,320:17,322:8,324:15,326:14,328:9,330:11,332:12,334:11,336:4,338:15,340:3,342:13,344:8,346:7,348:8,350:8,352:11,354:5,356:7,358:9,360:13,362:8,364:11,366:7,368:5,370:3,372:5,374:2,376:3,378:8,380:5,382:7,384:3,386:3,388:3,390:7,392:8,394:7,396:3,398:6,400:5,402:6,404:8,406:5,408:11,410:4,412:6,414:9,416:4,418:7,420:8,422:6,424:5,426:6,428:5,430:6,432:8,434:3,436:5,438:14,440:4,442:10,444:7,446:9,448:13,450:7,452:8,454:8,456:12,458:13,460:5,462:8,464:12,466:14,468:18,470:13,472:13,474:8,476:6,478:18,480:8,482:10,484:22,486:13,488:12,490:11,492:10,494:13,496:16,498:16,500:21,502:23,504:13,506:18,508:16,510:18,512:13,514:16,516:16,518:14,520:17,522:10,524:12,526:11,528:10,530:10,532:12,534:7,536:6,538:7,540:9,542:6,544:1,548:2,550:1</t>
  </si>
  <si>
    <t>outfile: /home/ucapmwe/dist-benchmark/results/bivariate_bicycle-QDistRndMW-20260215_181907.414605_85062422.txt</t>
  </si>
  <si>
    <t>Trial:0 w:6; pErr:0.0000, weight 6 CW found:1171, wDict:6:47412,8:2573,10:15</t>
  </si>
  <si>
    <t>Trial:0 w:12; Trial:1 w:10; pErr:0.0002, weight 10 CW found:13562, wDict:10:35187,12:14255,14:552,16:6</t>
  </si>
  <si>
    <t>Trial:0 w:14; Trial:1 w:12; Trial:6 w:10; pErr:0.0137, weight 10 CW found:24268, wDict:10:7200,12:32796,14:8875,16:1096,18:32,20:1</t>
  </si>
  <si>
    <t>Trial:0 w:14; Trial:1 w:12; pErr:0.0521, weight 12 CW found:31618, wDict:12:28622,14:15480,16:4908,18:898,20:85,22:7</t>
  </si>
  <si>
    <t>Trial:0 w:24; Trial:36 w:18; pErr:0.3674, weight 18 CW found:68775, wDict:18:216,20:195,22:1303,24:3091,26:5516,28:7692,30:8733,32:8311,34:6379,36:4332,38:2612,40:1103,42:393,44:100,46:22,48:2</t>
  </si>
  <si>
    <t>Trial:0 w:36; Trial:13 w:26; Trial:76 w:24; pErr:0.3679, weight 24 CW found:66050, wDict:24:152,26:539,28:1377,30:2565,32:3901,34:5327,36:6175,38:6405,40:6216,42:5399,44:4396,46:3279,48:2043,50:1255,52:617,54:239,56:92,58:18,60:4,62:1</t>
  </si>
  <si>
    <t>Trial:0 w:102; Trial:2 w:98; Trial:4 w:92; Trial:21 w:86; Trial:41 w:72; Trial:42 w:70; Trial:53 w:58; Trial:182 w:54; Trial:376 w:48; Trial:1224 w:46; Trial:3882 w:42; Trial:14717 w:40; pErr:0.3679, weight 40 CW found:44471, wDict:40:1,42:4,44:2,46:14,48:16,50:29,52:31,54:52,56:59,58:69,60:88,62:98,64:153,66:180,68:233,70:289,72:352,74:353,76:527,78:655,80:757,82:975,84:1090,86:1414,88:1724,90:2029,92:2369,94:2680,96:3146,98:3403,100:3585,102:3608,104:3745,106:3560,108:3196,110:2818,112:2251,114:1643,116:1154,118:786,120:450,122:229,124:95,126:46,128:30,130:7,132:5</t>
  </si>
  <si>
    <t>Trial:0 w:10; pErr:0.0012, weight 10 CW found:14540, wDict:10:30052,12:16296,14:3520,16:131,18:1</t>
  </si>
  <si>
    <t>Trial:0 w:62; Trial:1 w:44; Trial:9 w:38; Trial:20 w:32; Trial:31 w:26; Trial:4819 w:24; pErr:0.3679, weight 24 CW found:55429, wDict:24:15,26:48,28:123,30:234,32:394,34:548,36:809,38:984,40:1177,42:1319,44:1445,46:1596,48:1713,50:1686,52:1641,54:1702,56:1667,58:1697,60:1705,62:1663,64:1696,66:1633,68:1771,70:1840,72:1926,74:2076,76:2159,78:2243,80:2410,82:2326,84:2142,86:1821,88:1396,90:1057,92:696,94:357,96:176,98:74,100:26,102:6,104:3</t>
  </si>
  <si>
    <t>Trial:0 w:136; Trial:1 w:134; Trial:2 w:132; Trial:3 w:118; Trial:11 w:94; Trial:619 w:92; Trial:1116 w:88; Trial:1623 w:72; Trial:5784 w:66; Trial:33814 w:56; pErr:0.3679, weight 56 CW found:21002, wDict:56:2,58:1,64:1,66:2,68:2,70:3,72:2,74:5,76:7,78:7,80:11,82:10,84:16,86:14,88:31,90:34,92:42,94:48,96:70,98:83,100:130,102:165,104:238,106:304,108:370,110:475,112:694,114:845,116:1084,118:1434,120:1801,122:2230,124:2710,126:3191,128:3668,130:3853,132:4279,134:4065,136:4151,138:3696,140:3187,142:2545,144:1848,146:1180,148:738,150:376,152:219,154:84,156:32,158:14,160:3</t>
  </si>
  <si>
    <t>Trial:0 w:108; Trial:1 w:94; Trial:3 w:80; Trial:5 w:68; Trial:118 w:42; Trial:711 w:38; Trial:7528 w:36; Trial:18324 w:34; pErr:0.3679, weight 34 CW found:41070, wDict:34:2,36:3,38:5,40:5,42:15,44:22,46:31,48:40,50:49,52:61,54:65,56:77,58:131,60:118,62:151,64:203,66:251,68:289,70:389,72:431,74:537,76:721,78:921,80:1225,82:1471,84:1879,86:2379,88:2944,90:3385,92:3977,94:4517,96:4663,98:4497,100:4104,102:3518,104:2716,106:1880,108:1189,110:653,112:297,114:139,116:34,118:14,120:2</t>
  </si>
  <si>
    <t>Trial:0 w:154; Trial:9 w:132; Trial:13 w:128; Trial:47 w:112; Trial:66 w:90; Trial:13619 w:78; pErr:0.3679, weight 78 CW found:46320, wDict:78:1,82:1,86:1,88:1,90:5,92:4,94:3,96:6,98:11,100:17,102:22,104:22,106:27,108:29,110:34,112:37,114:40,116:47,118:50,120:59,122:80,124:89,126:99,128:106,130:131,132:153,134:183,136:203,138:240,140:312,142:382,144:475,146:589,148:756,150:860,152:1122,154:1273,156:1621,158:1914,160:2136,162:2620,164:2987,166:3305,168:3474,170:3607,172:3686,174:3582,176:3183,178:2851,180:2299,182:1780,184:1318,186:918,188:574,190:347,192:184,194:81,196:43,198:9,200:9,202:2</t>
  </si>
  <si>
    <t>Trial:0 w:212; Trial:1 w:184; Trial:11 w:164; Trial:76 w:160; Trial:139 w:158; Trial:749 w:152; Trial:1027 w:130; Trial:9814 w:122; Trial:13243 w:112; Trial:28955 w:100; Trial:49071 w:96; pErr:0.3679, weight 96 CW found:1200, wDict:96:1,100:3,112:3,114:1,116:1,120:1,122:4,124:2,128:2,130:4,132:5,134:4,136:3,138:5,140:5,142:5,144:8,146:9,148:16,150:18,152:21,154:29,156:23,158:40,160:48,162:49,164:62,166:90,168:102,170:136,172:177,174:176,176:262,178:341,180:383,182:502,184:636,186:750,188:943,190:1166,192:1454,194:1716,196:1933,198:2200,200:2693,202:2853,204:3154,206:3303,208:3369,210:3343,212:3334,214:3052,216:2915,218:2352,220:2003,222:1461,224:1058,226:741,228:490,230:250,232:144,234:83,236:38,238:12,240:12,242:1</t>
  </si>
  <si>
    <t>Trial:0 w:186; Trial:1 w:172; Trial:2 w:170; Trial:4 w:156; Trial:9 w:146; Trial:236 w:132; Trial:407 w:118; Trial:946 w:116; Trial:1773 w:114; Trial:2018 w:82; Trial:3517 w:66; Trial:35797 w:62; pErr:0.3679, weight 62 CW found:18088, wDict:62:1,66:3,70:2,72:2,74:2,76:3,78:3,82:4,84:6,86:3,88:3,90:4,92:1,94:5,96:5,98:7,100:9,102:9,104:11,106:5,108:5,110:4,112:7,114:14,116:10,118:7,120:12,122:15,124:15,126:13,128:17,130:25,132:28,134:29,136:41,138:45,140:70,142:89,144:90,146:124,148:154,150:178,152:250,154:320,156:421,158:515,160:667,162:833,164:1051,166:1277,168:1579,170:1766,172:2246,174:2552,176:2813,178:3198,180:3412,182:3533,184:3678,186:3529,188:3322,190:3009,192:2511,194:2044,196:1611,198:1135,200:755,202:422,204:251,206:126,208:56,210:25,212:11,214:1,216:1</t>
  </si>
  <si>
    <t>Trial:0 w:294; Trial:1 w:288; Trial:2 w:274; Trial:16 w:272; Trial:24 w:266; Trial:32 w:246; Trial:92 w:236; Trial:333 w:158; Trial:20327 w:132; pErr:0.3679, weight 132 CW found:37233, wDict:132:1,140:1,148:1,158:1,160:2,162:1,168:1,174:2,176:4,178:1,184:1,192:3,194:1,198:1,200:3,202:1,204:2,206:2,208:4,210:6,212:2,214:4,216:4,218:9,220:11,222:9,224:13,226:16,228:19,230:26,232:28,234:30,236:40,238:82,240:77,242:100,244:107,246:149,248:179,250:232,252:281,254:381,256:429,258:516,260:682,262:793,264:911,266:1119,268:1354,270:1532,272:1816,274:2029,276:2323,278:2475,280:2635,282:2946,284:2938,286:3032,288:3047,290:2888,292:2688,294:2469,296:2183,298:1924,300:1461,302:1256,304:928,306:652,308:415,310:311,312:178,314:117,316:59,318:28,320:22,322:3,324:1,326:1,330:1</t>
  </si>
  <si>
    <t>Trial:0 w:134; Trial:6 w:130; Trial:8 w:118; Trial:22 w:96; Trial:32 w:88; Trial:581 w:76; Trial:1349 w:74; Trial:17995 w:72; Trial:24052 w:70; pErr:0.3679, weight 70 CW found:32619, wDict:70:2,72:2,74:8,76:10,78:11,80:13,82:22,84:28,86:47,88:53,90:67,92:105,94:123,96:129,98:152,100:176,102:213,104:252,106:282,108:328,110:375,112:444,114:469,116:545,118:678,120:767,122:893,124:1035,126:1118,128:1339,130:1562,132:1708,134:1963,136:2168,138:2364,140:2574,142:2917,144:3027,146:3124,148:3086,150:2975,152:2819,154:2591,156:2217,158:1782,160:1286,162:919,164:583,166:352,168:166,170:84,172:37,174:8,176:1,178:1</t>
  </si>
  <si>
    <t>Trial:0 w:352; Trial:1 w:338; Trial:7 w:322; Trial:13 w:280; Trial:1258 w:256; Trial:2033 w:230; Trial:6399 w:198; Trial:12653 w:174; Trial:39194 w:168; pErr:0.3679, weight 168 CW found:13404, wDict:168:1,174:2,176:1,182:1,186:1,192:1,194:1,196:1,198:1,200:1,206:1,208:1,210:1,218:1,226:1,228:3,230:2,232:1,236:1,238:4,246:1,248:1,252:2,254:2,256:2,258:2,260:6,262:3,264:5,266:4,268:4,270:10,272:5,274:4,276:14,278:7,280:20,282:19,284:20,286:15,288:18,290:24,292:36,294:39,296:40,298:52,300:70,302:67,304:73,306:89,308:114,310:129,312:156,314:187,316:182,318:244,320:289,322:344,324:384,326:475,328:565,330:652,332:739,334:853,336:998,338:1091,340:1289,342:1399,344:1628,346:1704,348:1926,350:2049,352:2214,354:2380,356:2425,358:2540,360:2489,362:2670,364:2435,366:2257,368:2200,370:1958,372:1708,374:1540,376:1312,378:1064,380:820,382:592,384:451,386:310,388:227,390:144,392:84,394:48,396:21,398:20,400:8,402:2,404:3</t>
  </si>
  <si>
    <t>Trial:0 w:174; Trial:1 w:120; Trial:5 w:112; Trial:46 w:98; Trial:95 w:96; Trial:172 w:84; Trial:3456 w:76; Trial:3473 w:74; Trial:10626 w:70; pErr:0.3679, weight 70 CW found:47651, wDict:70:2,72:2,74:6,76:8,78:10,80:20,82:22,84:43,86:48,88:66,90:74,92:120,94:124,96:178,98:205,100:246,102:326,104:269,106:371,108:398,110:474,112:465,114:487,116:545,118:555,120:584,122:569,124:565,126:587,128:612,130:630,132:681,134:703,136:662,138:684,140:647,142:671,144:719,146:729,148:760,150:721,152:815,154:787,156:886,158:953,160:997,162:937,164:1050,166:1190,168:1185,170:1278,172:1343,174:1461,176:1549,178:1609,180:1707,182:1780,184:1737,186:1673,188:1738,190:1575,192:1549,194:1426,196:1213,198:1080,200:875,202:693,204:494,206:305,208:242,210:146,212:71,214:38,216:19,218:7,220:4</t>
  </si>
  <si>
    <t>Trial:0 w:188; Trial:1 w:182; Trial:4 w:166; Trial:7 w:164; Trial:17 w:96; Trial:70 w:74; Trial:1652 w:72; Trial:1922 w:68; Trial:2366 w:64; Trial:7905 w:54; pErr:0.3679, weight 54 CW found:52642, wDict:54:2,62:1,64:3,66:2,68:2,70:4,72:5,74:6,76:4,78:9,80:7,82:6,84:8,86:1,88:4,90:10,92:15,94:6,96:13,98:14,100:26,102:16,104:16,106:17,108:19,110:29,112:20,114:29,116:34,118:26,120:46,122:58,124:30,126:57,128:54,130:65,132:67,134:71,136:81,138:102,140:103,142:108,144:118,146:119,148:140,150:149,152:185,154:208,156:240,158:241,160:285,162:326,164:401,166:473,168:496,170:577,172:703,174:809,176:1002,178:1178,180:1339,182:1554,184:1794,186:2050,188:2273,190:2424,192:2579,194:2885,196:3154,198:3026,200:3051,202:2894,204:2657,206:2447,208:2098,210:1587,212:1248,214:863,216:558,218:327,220:189,222:93,224:40,226:17,228:3,230:4</t>
  </si>
  <si>
    <t>Trial:0 w:498; Trial:1 w:314; Trial:20 w:306; Trial:27 w:278; Trial:43 w:274; Trial:65 w:250; Trial:83 w:212; Trial:256 w:172; Trial:6156 w:166; Trial:36742 w:154; pErr:0.3679, weight 154 CW found:15779, wDict:154:1,160:1,166:2,168:2,172:3,176:1,178:1,180:2,182:4,184:5,186:8,188:7,190:4,192:8,194:6,196:10,198:8,200:9,202:7,204:13,206:18,208:13,210:21,212:21,214:13,216:24,218:23,220:19,222:20,224:38,226:36,228:30,230:37,232:30,234:39,236:45,238:55,240:49,242:41,244:43,246:45,248:51,250:44,252:49,254:53,256:66,258:58,260:57,262:45,264:56,266:44,268:57,270:76,272:62,274:70,276:69,278:77,280:60,282:62,284:65,286:67,288:53,290:96,292:75,294:64,296:59,298:70,300:56,302:74,304:72,306:80,308:77,310:72,312:66,314:67,316:77,318:75,320:75,322:79,324:53,326:88,328:79,330:80,332:82,334:75,336:71,338:68,340:68,342:75,344:76,346:74,348:66,350:86,352:105,354:77,356:89,358:78,360:89,362:97,364:83,366:73,368:85,370:71,372:94,374:78,376:91,378:95,380:79,382:87,384:70,386:92,388:81,390:102,392:107,394:91,396:97,398:98,400:117,402:111,404:110,406:113,408:100,410:133,412:129,414:151,416:140,418:150,420:158,422:153,424:151,426:168,428:185,430:187,432:192,434:231,436:183,438:209,440:224,442:274,444:253,446:279,448:272,450:308,452:358,454:339,456:366,458:406,460:384,462:434,464:489,466:540,468:558,470:569,472:621,474:691,476:688,478:716,480:803,482:847,484:906,486:925,488:976,490:1056,492:1107,494:1111,496:1144,498:1228,500:1258,502:1298,504:1317,506:1221,508:1305,510:1219,512:1277,514:1222,516:1245,518:1138,520:1159,522:1042,524:1012,526:910,528:862,530:779,532:629,534:557,536:477,538:374,540:323,542:272,544:210,546:156,548:106,550:91,552:81,554:42,556:36,558:19,560:10,562:5,564:6,566:3,568:3,570:2,572:1,574:3</t>
  </si>
  <si>
    <t>outfile: /home/ucapmwe/dist-benchmark/results/bivariate_bicycle-QDistEvol-20260215_181907.677078_85062422.txt</t>
  </si>
  <si>
    <t>Gen:0 Trial:0 w:70; Trial:96 w:68; Gen:1 Trial:101 w:58; Gen:2 Trial:227 w:52; Gen:4 Trial:450 w:50; Gen:6 Trial:667 w:46; Gen:8 Trial:837 w:44; Gen:9 Trial:992 w:42; Gen:10 Trial:1004 w:40; Gen:12 Trial:1201 w:38; Gen:15 Trial:1512 w:36; Gen:17 Trial:1718 w:34; pErr:0.0436, weight 34 CW found:2864, wDict:34:3986,36:360,38:757,40:353,42:530,44:351,46:311,48:258,50:283,52:285,54:212,56:211,58:199,60:148,62:121,64:121,66:129,68:127,70:117,72:99,74:86,76:68,78:87,80:78,82:78,84:68,86:62,88:75,90:62,92:49,94:67,96:46,98:45,100:32,102:39,104:23,106:23,108:15,110:9,112:10,114:10,116:4,118:6</t>
  </si>
  <si>
    <t>Gen:0 Trial:0 w:106; Trial:1 w:82; Trial:2 w:80; Trial:8 w:74; Trial:15 w:64; Trial:50 w:60; Gen:1 Trial:132 w:52; Trial:136 w:44; Gen:10 Trial:1031 w:42; Gen:14 Trial:1492 w:40; Gen:35 Trial:3546 w:36; pErr:0.0599, weight 36 CW found:2837, wDict:36:3168,38:396,40:872,42:509,44:642,46:245,48:280,50:279,52:320,54:278,56:339,58:304,60:369,62:323,64:283,66:249,68:173,70:146,72:134,74:94,76:69,78:61,80:59,82:40,84:42,86:31,88:39,90:32,92:32,94:29,96:22,98:19,100:24,102:18,104:15,106:13,108:13,110:12,112:10,114:3,116:5,118:5,120:2,122:2</t>
  </si>
  <si>
    <t>Gen:0 Trial:0 w:108; Trial:2 w:80; Trial:9 w:78; Trial:26 w:62; Gen:3 Trial:301 w:56; Gen:5 Trial:508 w:50; Gen:6 Trial:602 w:48; Gen:7 Trial:705 w:46; Gen:9 Trial:930 w:44; Gen:16 Trial:1687 w:42; Gen:27 Trial:2729 w:40; Gen:28 Trial:2801 w:38; Gen:57 Trial:5719 w:36; pErr:0.0683, weight 36 CW found:1857, wDict:36:2053,38:1730,40:421,42:834,44:668,46:447,48:397,50:414,52:312,54:327,56:338,58:216,60:176,62:204,64:144,66:112,68:82,70:79,72:75,74:70,76:74,78:64,80:59,82:65,84:60,86:52,88:67,90:47,92:53,94:56,96:46,98:53,100:48,102:27,104:31,106:44,108:23,110:12,112:9,114:2,116:1,118:5,120:1,126:2</t>
  </si>
  <si>
    <t>Gen:0 Trial:0 w:90; Trial:1 w:88; Trial:15 w:74; Trial:20 w:70; Trial:26 w:66; Gen:2 Trial:203 w:64; Trial:221 w:58; Trial:238 w:46; Gen:4 Trial:437 w:44; Gen:7 Trial:705 w:42; Gen:10 Trial:1021 w:40; Gen:11 Trial:1100 w:38; Gen:21 Trial:2129 w:36; Gen:29 Trial:2968 w:34; pErr:0.0418, weight 34 CW found:2496, wDict:34:3718,36:764,38:1005,40:422,42:344,44:429,46:306,48:249,50:242,52:241,54:235,56:209,58:228,60:172,62:158,64:149,66:124,68:79,70:67,72:82,74:64,76:46,78:71,80:69,82:54,84:57,86:53,88:46,90:52,92:48,94:53,96:35,98:28,100:20,102:11,104:11,106:17,108:15,110:10,112:5,114:8,116:1,118:2,124:1</t>
  </si>
  <si>
    <t>Gen:0 Trial:0 w:96; Trial:4 w:92; Trial:6 w:66; Gen:1 Trial:117 w:64; Gen:2 Trial:253 w:58; Trial:289 w:56; Gen:3 Trial:311 w:54; Gen:4 Trial:441 w:52; Gen:6 Trial:652 w:50; Gen:7 Trial:718 w:48; Gen:9 Trial:906 w:46; Trial:909 w:42; Gen:36 Trial:3634 w:40; Trial:3678 w:34; pErr:0.0905, weight 34 CW found:2998, wDict:34:2994,36:212,38:322,40:109,42:1445,44:172,46:231,48:448,50:324,52:350,54:370,56:339,58:243,60:234,62:172,64:174,66:124,68:143,70:107,72:131,74:115,76:108,78:95,80:115,82:114,84:76,86:69,88:60,90:66,92:54,94:55,96:44,98:64,100:63,102:56,104:54,106:42,108:39,110:22,112:17,114:11,116:6,118:4,120:5,126:2</t>
  </si>
  <si>
    <t>Gen:0 Trial:0 w:102; Trial:1 w:100; Trial:2 w:96; Trial:3 w:82; Trial:5 w:72; Trial:72 w:64; Trial:83 w:62; Gen:2 Trial:234 w:58; Trial:257 w:50; Gen:4 Trial:407 w:48; Gen:9 Trial:914 w:46; Gen:10 Trial:1000 w:44; Gen:13 Trial:1374 w:40; Gen:14 Trial:1400 w:38; Gen:17 Trial:1712 w:36; Gen:29 Trial:2956 w:34; pErr:0.0437, weight 34 CW found:2615, wDict:34:3774,36:893,38:491,40:268,42:264,44:273,46:282,48:420,50:286,52:214,54:177,56:250,58:311,60:218,62:312,64:192,66:156,68:136,70:128,72:95,74:87,76:95,78:73,80:53,82:80,84:63,86:60,88:46,90:46,92:41,94:33,96:29,98:30,100:23,102:24,104:20,106:13,108:11,110:8,112:13,114:4,116:2,118:1,120:4,124:1</t>
  </si>
  <si>
    <t>Gen:0 Trial:0 w:116; Trial:1 w:112; Trial:2 w:104; Trial:3 w:86; Trial:21 w:76; Trial:79 w:56; Gen:2 Trial:234 w:54; Gen:4 Trial:432 w:48; Gen:6 Trial:677 w:46; Gen:7 Trial:797 w:44; Gen:9 Trial:949 w:42; Gen:10 Trial:1018 w:40; Gen:18 Trial:1865 w:38; pErr:0.0827, weight 38 CW found:3704, wDict:38:3264,40:716,42:1109,44:431,46:257,48:229,50:178,52:205,54:279,56:265,58:180,60:200,62:260,64:266,66:270,68:231,70:213,72:223,74:170,76:180,78:150,80:119,82:96,84:71,86:61,88:47,90:52,92:39,94:34,96:38,98:35,100:34,102:21,104:21,106:15,108:10,110:9,112:9,114:5,116:5,118:1,122:2</t>
  </si>
  <si>
    <t>Gen:0 Trial:0 w:86; Trial:15 w:70; Trial:64 w:68; Gen:1 Trial:112 w:66; Trial:128 w:60; Trial:191 w:58; Gen:3 Trial:314 w:56; Gen:4 Trial:411 w:50; Gen:5 Trial:507 w:48; Gen:7 Trial:744 w:46; Gen:17 Trial:1745 w:44; Gen:18 Trial:1807 w:40; Gen:25 Trial:2550 w:38; Gen:56 Trial:5602 w:34; pErr:0.0316, weight 34 CW found:1454, wDict:34:2383,36:60,38:1567,40:437,42:384,44:238,46:685,48:335,50:230,52:196,54:235,56:177,58:218,60:218,62:240,64:190,66:195,68:199,70:165,72:158,74:160,76:157,78:153,80:135,82:114,84:107,86:112,88:85,90:72,92:65,94:58,96:44,98:44,100:54,102:25,104:29,106:21,108:16,110:15,112:10,114:8,116:1,120:3,122:1,126:1</t>
  </si>
  <si>
    <t>Gen:0 Trial:0 w:102; Trial:1 w:96; Trial:2 w:86; Trial:6 w:76; Trial:19 w:70; Trial:39 w:58; Gen:2 Trial:296 w:56; Gen:4 Trial:450 w:54; Gen:5 Trial:511 w:52; Gen:7 Trial:742 w:50; Gen:8 Trial:815 w:48; Gen:9 Trial:904 w:46; Gen:11 Trial:1164 w:44; Trial:1182 w:42; Gen:13 Trial:1320 w:40; Gen:15 Trial:1559 w:38; Gen:17 Trial:1707 w:36; pErr:0.0520, weight 36 CW found:3173, wDict:36:4277,38:483,40:589,42:308,44:206,46:287,48:247,50:220,52:259,54:266,56:276,58:315,60:260,62:273,64:203,66:154,68:132,70:121,72:93,74:77,76:68,78:58,80:72,82:65,84:73,86:59,88:62,90:54,92:55,94:60,96:64,98:61,100:42,102:47,104:37,106:24,108:16,110:12,112:15,114:6,116:3,118:1</t>
  </si>
  <si>
    <t>Gen:0 Trial:0 w:106; Trial:1 w:76; Trial:30 w:72; Trial:48 w:68; Trial:64 w:64; Gen:2 Trial:206 w:60; Gen:3 Trial:351 w:56; Gen:5 Trial:513 w:52; Gen:15 Trial:1593 w:50; Gen:17 Trial:1732 w:48; Gen:18 Trial:1816 w:46; Gen:19 Trial:1903 w:44; Gen:21 Trial:2117 w:42; Gen:28 Trial:2866 w:40; Gen:42 Trial:4249 w:38; Gen:43 Trial:4306 w:36; Gen:55 Trial:5587 w:34; pErr:0.1368, weight 34 CW found:2512, wDict:34:1549,36:765,38:279,40:783,42:517,44:273,46:228,48:187,50:196,52:526,54:130,56:304,58:193,60:270,62:243,64:297,66:239,68:250,70:243,72:240,74:217,76:193,78:199,80:172,82:171,84:151,86:143,88:130,90:116,92:97,94:109,96:89,98:97,100:81,102:73,104:59,106:65,108:47,110:29,112:19,114:15,116:6,118:6,120:2,122:2</t>
  </si>
  <si>
    <t>Gen:0 Trial:0 w:106; Trial:2 w:92; Trial:16 w:70; Trial:46 w:62; Gen:1 Trial:149 w:60; Gen:2 Trial:215 w:52; Gen:3 Trial:300 w:44; Gen:9 Trial:932 w:42; Gen:16 Trial:1630 w:40; Gen:43 Trial:4384 w:38; Gen:46 Trial:4604 w:36; Gen:48 Trial:4822 w:34; pErr:0.1125, weight 34 CW found:2717, wDict:34:1869,36:259,38:353,40:1408,42:563,44:603,46:280,48:247,50:238,52:213,54:283,56:277,58:314,60:293,62:375,64:296,66:286,68:272,70:230,72:207,74:155,76:150,78:119,80:105,82:70,84:72,86:71,88:58,90:48,92:38,94:33,96:36,98:31,100:25,102:26,104:17,106:18,108:15,110:12,112:14,114:8,116:4,118:6,120:2,122:1</t>
  </si>
  <si>
    <t>Gen:0 Trial:0 w:102; Trial:1 w:100; Trial:4 w:72; Trial:22 w:58; Gen:1 Trial:124 w:54; Gen:3 Trial:313 w:52; Trial:321 w:50; Gen:5 Trial:530 w:48; Gen:8 Trial:812 w:46; Gen:10 Trial:1036 w:44; Gen:15 Trial:1583 w:42; Gen:20 Trial:2035 w:40; Gen:74 Trial:7462 w:38; pErr:0.0372, weight 38 CW found:952, wDict:38:1259,40:2478,42:598,44:766,46:460,48:653,50:447,52:412,54:385,56:314,58:320,60:276,62:220,64:222,66:144,68:114,70:111,72:90,74:75,76:71,78:43,80:49,82:47,84:34,86:27,88:51,90:31,92:36,94:32,96:23,98:38,100:40,102:33,104:21,106:15,108:19,110:17,112:12,114:8,118:5,120:2,122:1,124:1</t>
  </si>
  <si>
    <t>Gen:0 Trial:0 w:96; Trial:3 w:72; Trial:17 w:56; Gen:2 Trial:220 w:52; Gen:4 Trial:403 w:46; Gen:8 Trial:810 w:44; Gen:10 Trial:1044 w:42; Gen:22 Trial:2208 w:40; Gen:30 Trial:3043 w:38; Gen:37 Trial:3735 w:36; pErr:0.1510, weight 36 CW found:3875, wDict:36:2157,38:488,40:574,42:831,44:383,46:280,48:207,50:186,52:208,54:137,56:203,58:245,60:299,62:350,64:337,66:378,68:372,70:343,72:290,74:261,76:197,78:185,80:122,82:101,84:92,86:84,88:76,90:82,92:81,94:62,96:68,98:57,100:58,102:56,104:37,106:42,108:28,110:17,112:10,114:8,116:3,118:2,120:2,122:1</t>
  </si>
  <si>
    <t>Gen:0 Trial:0 w:78; Trial:36 w:72; Gen:1 Trial:100 w:70; Trial:178 w:52; Gen:2 Trial:203 w:42; Gen:5 Trial:535 w:38; Gen:7 Trial:722 w:34; pErr:0.0533, weight 34 CW found:3582, wDict:34:4535,36:264,38:597,40:251,42:380,44:334,46:313,48:309,50:406,52:425,54:378,56:334,58:236,60:157,62:132,64:110,66:64,68:61,70:59,72:35,74:24,76:36,78:36,80:36,82:41,84:58,86:26,88:39,90:27,92:46,94:37,96:25,98:25,100:37,102:26,104:28,106:20,108:19,110:14,112:6,114:3,116:7,118:2,120:1,122:1</t>
  </si>
  <si>
    <t>Gen:0 Trial:0 w:104; Trial:2 w:102; Trial:5 w:90; Trial:7 w:82; Trial:24 w:78; Trial:25 w:68; Gen:1 Trial:105 w:50; Gen:2 Trial:204 w:48; Gen:3 Trial:303 w:44; Gen:6 Trial:615 w:42; Gen:27 Trial:2745 w:40; Gen:55 Trial:5533 w:38; Gen:86 Trial:8622 w:36; Gen:91 Trial:9157 w:34; pErr:0.1072, weight 34 CW found:429, wDict:34:291,36:181,38:1366,40:1122,42:991,44:571,46:214,48:300,50:237,52:220,54:194,56:253,58:207,60:258,62:234,64:241,66:286,68:248,70:269,72:294,74:294,76:276,78:237,80:216,82:169,84:163,86:118,88:85,90:94,92:72,94:61,96:52,98:29,100:27,102:38,104:22,106:25,108:21,110:11,112:3,114:3,116:3,120:3,122:1</t>
  </si>
  <si>
    <t>Gen:0 Trial:0 w:94; Trial:12 w:74; Trial:69 w:70; Trial:81 w:60; Gen:1 Trial:180 w:58; Gen:2 Trial:258 w:56; Gen:3 Trial:381 w:54; Gen:5 Trial:505 w:50; Gen:6 Trial:611 w:48; Gen:8 Trial:871 w:46; Gen:9 Trial:936 w:42; Gen:10 Trial:1019 w:40; Gen:11 Trial:1128 w:38; Gen:12 Trial:1205 w:36; Gen:15 Trial:1516 w:34; pErr:0.0988, weight 34 CW found:4192, wDict:34:3519,36:473,38:398,40:333,42:329,44:341,46:363,48:356,50:322,52:289,54:325,56:325,58:342,60:276,62:236,64:193,66:162,68:152,70:130,72:124,74:94,76:72,78:82,80:106,82:81,84:67,86:57,88:58,90:55,92:61,94:39,96:47,98:40,100:39,102:19,104:26,106:28,108:13,110:6,112:8,114:5,116:2,118:5,122:1,126:1</t>
  </si>
  <si>
    <t>Gen:0 Trial:0 w:118; Trial:1 w:112; Trial:2 w:88; Trial:3 w:70; Trial:15 w:58; Trial:68 w:54; Gen:2 Trial:208 w:52; Trial:233 w:50; Gen:6 Trial:602 w:48; Trial:682 w:46; Gen:8 Trial:847 w:44; Gen:11 Trial:1121 w:42; Gen:14 Trial:1402 w:38; Gen:16 Trial:1636 w:34; pErr:0.0550, weight 34 CW found:3205, wDict:34:4359,36:45,38:850,40:78,42:209,44:343,46:355,48:207,50:382,52:248,54:269,56:186,58:193,60:135,62:124,64:111,66:112,68:112,70:101,72:120,74:126,76:110,78:96,80:109,82:91,84:97,86:106,88:90,90:86,92:72,94:88,96:81,98:65,100:48,102:32,104:51,106:43,108:21,110:12,112:11,114:8,116:8,118:4,120:4,122:1,124:1</t>
  </si>
  <si>
    <t>Gen:0 Trial:0 w:96; Trial:2 w:92; Trial:6 w:84; Trial:20 w:70; Trial:51 w:68; Trial:73 w:62; Trial:89 w:52; Gen:1 Trial:161 w:50; Gen:2 Trial:221 w:46; Gen:6 Trial:620 w:44; Gen:9 Trial:942 w:40; Gen:10 Trial:1037 w:36; pErr:0.1180, weight 36 CW found:4800, wDict:36:3434,38:252,40:505,42:243,44:382,46:379,48:226,50:284,52:231,54:228,56:204,58:214,60:211,62:261,64:243,66:249,68:269,70:221,72:246,74:225,76:222,78:194,80:178,82:153,84:160,86:117,88:101,90:68,92:58,94:58,96:35,98:30,100:27,102:20,104:18,106:16,108:8,110:5,112:4,114:11,116:5,118:2,120:2,124:1</t>
  </si>
  <si>
    <t>Gen:0 Trial:0 w:112; Trial:1 w:92; Trial:3 w:80; Trial:13 w:76; Trial:27 w:72; Gen:1 Trial:106 w:64; Gen:2 Trial:201 w:62; Trial:239 w:60; Gen:3 Trial:317 w:56; Gen:4 Trial:431 w:54; Gen:6 Trial:604 w:50; Gen:11 Trial:1111 w:48; Gen:12 Trial:1217 w:46; Gen:15 Trial:1515 w:44; Gen:28 Trial:2821 w:42; Gen:31 Trial:3176 w:40; Gen:33 Trial:3301 w:36; Gen:58 Trial:5842 w:34; pErr:0.0906, weight 34 CW found:1966, wDict:34:1618,36:1222,38:196,40:329,42:306,44:558,46:398,48:228,50:397,52:205,54:239,56:247,58:235,60:219,62:220,64:288,66:225,68:243,70:281,72:254,74:227,76:258,78:218,80:189,82:167,84:149,86:148,88:130,90:125,92:85,94:85,96:63,98:51,100:48,102:42,104:26,106:26,108:15,110:23,112:6,114:7,116:2,118:1,120:1</t>
  </si>
  <si>
    <t>Gen:0 Trial:0 w:106; Trial:3 w:90; Trial:4 w:88; Trial:5 w:54; Gen:3 Trial:301 w:50; Gen:5 Trial:521 w:46; Gen:8 Trial:833 w:44; Trial:847 w:42; Gen:12 Trial:1215 w:40; Gen:15 Trial:1524 w:38; pErr:0.0963, weight 38 CW found:4179, wDict:38:3731,40:482,42:708,44:348,46:387,48:346,50:379,52:326,54:409,56:290,58:246,60:211,62:216,64:191,66:178,68:165,70:134,72:107,74:114,76:107,78:84,80:84,82:62,84:62,86:63,88:41,90:41,92:45,94:44,96:56,98:53,100:43,102:39,104:42,106:30,108:21,110:24,112:30,114:24,116:18,118:6,120:4,122:2,124:5,126:2</t>
  </si>
  <si>
    <t>Gen:0 Trial:0 w:106; Trial:1 w:96; Trial:3 w:94; Trial:10 w:92; Trial:14 w:90; Trial:19 w:88; Trial:21 w:58; Trial:49 w:56; Gen:4 Trial:421 w:48; Gen:6 Trial:686 w:46; Gen:13 Trial:1358 w:42; Gen:15 Trial:1502 w:40; Gen:17 Trial:1759 w:38; Gen:19 Trial:1970 w:36; Gen:65 Trial:6525 w:34; pErr:0.1641, weight 34 CW found:2244, wDict:34:1213,36:1117,38:644,40:158,42:154,44:77,46:282,48:103,50:86,52:164,54:131,56:218,58:189,60:261,62:275,64:308,66:323,68:389,70:439,72:377,74:328,76:297,78:291,80:240,82:253,84:206,86:186,88:189,90:168,92:145,94:156,96:148,98:110,100:94,102:76,104:68,106:50,108:40,110:21,112:14,114:7,116:5</t>
  </si>
  <si>
    <t>Gen:0 Trial:0 w:108; Trial:1 w:104; Trial:2 w:96; Trial:6 w:82; Trial:40 w:80; Trial:71 w:76; Trial:72 w:70; Gen:1 Trial:122 w:58; Gen:2 Trial:252 w:56; Gen:3 Trial:301 w:52; Gen:4 Trial:494 w:50; Gen:7 Trial:721 w:46; Gen:9 Trial:968 w:44; Gen:10 Trial:1089 w:42; Gen:11 Trial:1128 w:40; Gen:13 Trial:1323 w:38; Gen:15 Trial:1504 w:36; Trial:1599 w:34; pErr:0.0448, weight 34 CW found:3066, wDict:34:4437,36:442,38:613,40:365,42:262,44:217,46:218,48:173,50:247,52:255,54:277,56:274,58:283,60:254,62:182,64:169,66:143,68:113,70:91,72:62,74:59,76:67,78:55,80:54,82:70,84:65,86:63,88:66,90:63,92:45,94:53,96:42,98:47,100:37,102:33,104:33,106:14,108:15,110:14,112:10,114:10,116:3,118:2,120:1,122:1,124:1</t>
  </si>
  <si>
    <t>Gen:0 Trial:0 w:102; Trial:1 w:100; Trial:3 w:98; Trial:5 w:96; Trial:6 w:76; Trial:18 w:74; Trial:26 w:54; Gen:1 Trial:109 w:48; Gen:4 Trial:441 w:44; Gen:22 Trial:2249 w:42; Gen:26 Trial:2605 w:40; Gen:28 Trial:2880 w:38; Gen:34 Trial:3468 w:36; pErr:0.0866, weight 36 CW found:3367, wDict:36:2809,38:468,40:416,42:324,44:943,46:292,48:458,50:310,52:224,54:219,56:181,58:248,60:242,62:198,64:216,66:184,68:218,70:210,72:177,74:163,76:115,78:150,80:117,82:129,84:125,86:123,88:97,90:90,92:94,94:73,96:75,98:68,100:48,102:35,104:39,106:38,108:22,110:26,112:13,114:9,116:5,118:5,120:4</t>
  </si>
  <si>
    <t>Gen:0 Trial:0 w:94; Trial:5 w:90; Trial:12 w:70; Trial:39 w:62; Gen:2 Trial:245 w:52; Gen:5 Trial:550 w:50; Gen:7 Trial:725 w:46; Gen:9 Trial:928 w:44; Trial:963 w:42; Gen:13 Trial:1380 w:40; Gen:16 Trial:1642 w:38; Gen:19 Trial:1951 w:36; pErr:0.0721, weight 36 CW found:3909, wDict:36:3652,38:586,40:529,42:407,44:322,46:380,48:374,50:363,52:396,54:366,56:348,58:317,60:295,62:312,64:223,66:135,68:107,70:100,72:89,74:64,76:65,78:66,80:56,82:63,84:33,86:41,88:36,90:33,92:33,94:29,96:24,98:25,100:19,102:26,104:18,106:18,108:10,110:14,112:11,114:6,116:5,118:4</t>
  </si>
  <si>
    <t>Gen:0 Trial:0 w:120; Trial:1 w:86; Trial:7 w:80; Trial:26 w:70; Trial:27 w:60; Gen:1 Trial:104 w:58; Trial:108 w:56; Trial:125 w:48; Gen:2 Trial:228 w:40; Gen:6 Trial:672 w:38; Gen:32 Trial:3267 w:36; Gen:51 Trial:5166 w:34; pErr:0.0193, weight 34 CW found:1331, wDict:34:2672,36:1249,38:1869,40:481,42:317,44:261,46:250,48:168,50:165,52:160,54:163,56:181,58:179,60:247,62:197,64:208,66:188,68:139,70:123,72:94,74:62,76:70,78:46,80:45,82:50,84:48,86:49,88:41,90:42,92:36,94:35,96:34,98:35,100:26,102:15,104:13,106:10,108:7,110:10,112:2,114:2,116:4,118:3,120:2,122:1,124:1</t>
  </si>
  <si>
    <t>Gen:0 Trial:0 w:88; Trial:26 w:76; Trial:40 w:72; Trial:44 w:68; Gen:1 Trial:125 w:66; Trial:173 w:60; Trial:188 w:54; Gen:2 Trial:205 w:52; Gen:4 Trial:441 w:48; Gen:5 Trial:501 w:42; Gen:8 Trial:826 w:40; Gen:20 Trial:2040 w:38; Gen:51 Trial:5105 w:36; Gen:64 Trial:6453 w:34; pErr:0.0976, weight 34 CW found:1738, wDict:34:1686,36:696,38:1316,40:769,42:421,44:289,46:211,48:152,50:121,52:249,54:215,56:236,58:326,60:318,62:280,64:289,66:286,68:255,70:198,72:172,74:159,76:144,78:131,80:112,82:119,84:103,86:98,88:100,90:104,92:81,94:66,96:68,98:58,100:42,102:32,104:32,106:28,108:9,110:6,112:5,114:8,116:3,118:3,120:1,122:2,126:1</t>
  </si>
  <si>
    <t>Gen:0 Trial:0 w:122; Trial:1 w:102; Trial:3 w:100; Trial:7 w:84; Trial:14 w:74; Trial:25 w:72; Trial:26 w:50; Gen:3 Trial:308 w:44; Gen:5 Trial:535 w:36; Gen:21 Trial:2121 w:34; pErr:0.1321, weight 34 CW found:4469, wDict:34:2878,36:894,38:290,40:252,42:175,44:121,46:177,48:235,50:326,52:273,54:281,56:313,58:347,60:379,62:375,64:334,66:344,68:292,70:236,72:239,74:191,76:138,78:132,80:112,82:91,84:74,86:74,88:48,90:48,92:51,94:47,96:34,98:45,100:32,102:37,104:21,106:18,108:14,110:12,112:5,114:12,116:1,118:1,122:1</t>
  </si>
  <si>
    <t>Gen:0 Trial:0 w:102; Trial:3 w:92; Trial:9 w:74; Trial:15 w:62; Gen:1 Trial:109 w:54; Gen:4 Trial:445 w:52; Gen:5 Trial:587 w:50; Gen:7 Trial:726 w:48; Gen:10 Trial:1049 w:46; Gen:17 Trial:1716 w:44; Gen:19 Trial:1914 w:42; Gen:20 Trial:2019 w:40; Gen:21 Trial:2199 w:38; Gen:28 Trial:2825 w:36; pErr:0.1059, weight 36 CW found:3671, wDict:36:2992,38:675,40:616,42:266,44:212,46:442,48:269,50:201,52:182,54:283,56:156,58:205,60:241,62:282,64:250,66:287,68:278,70:246,72:278,74:264,76:218,78:219,80:152,82:125,84:120,86:113,88:80,90:65,92:61,94:42,96:30,98:29,100:27,102:21,104:21,106:14,108:11,110:7,112:7,114:5,116:3,118:3,122:1,126:1</t>
  </si>
  <si>
    <t>Gen:0 Trial:0 w:92; Trial:2 w:86; Trial:6 w:80; Trial:9 w:76; Trial:52 w:72; Trial:82 w:62; Gen:2 Trial:290 w:60; Gen:4 Trial:405 w:56; Gen:5 Trial:528 w:52; Gen:7 Trial:700 w:50; Trial:756 w:48; Trial:794 w:44; Gen:10 Trial:1041 w:42; Trial:1061 w:40; Gen:16 Trial:1642 w:36; pErr:0.0767, weight 36 CW found:4008, wDict:36:4288,38:210,40:568,42:146,44:248,46:72,48:184,50:108,52:136,54:119,56:183,58:180,60:256,62:262,64:198,66:238,68:295,70:272,72:273,74:246,76:163,78:159,80:165,82:117,84:103,86:105,88:94,90:83,92:81,94:93,96:78,98:62,100:53,102:47,104:30,106:29,108:22,110:14,112:8,114:3,116:4,118:1,120:2,122:2</t>
  </si>
  <si>
    <t>Gen:0 Trial:0 w:98; Trial:1 w:84; Trial:25 w:76; Trial:27 w:72; Trial:85 w:70; Gen:2 Trial:208 w:64; Gen:3 Trial:302 w:62; Gen:4 Trial:462 w:58; Gen:6 Trial:617 w:56; Trial:697 w:54; Gen:8 Trial:805 w:52; Gen:10 Trial:1072 w:48; Gen:12 Trial:1210 w:46; Gen:16 Trial:1612 w:44; Gen:32 Trial:3255 w:38; Gen:36 Trial:3687 w:36; Gen:43 Trial:4306 w:34; pErr:0.1022, weight 34 CW found:2826, wDict:34:2475,36:537,38:332,40:145,42:80,44:717,46:231,48:221,50:94,52:223,54:158,56:223,58:202,60:216,62:277,64:250,66:264,68:235,70:281,72:253,74:233,76:220,78:164,80:196,82:184,84:147,86:162,88:121,90:138,92:144,94:130,96:135,98:107,100:127,102:105,104:83,106:58,108:47,110:39,112:16,114:12,116:10,118:4,120:2,122:1,124:1</t>
  </si>
  <si>
    <t>Gen:0 Trial:0 w:100; Trial:6 w:94; Trial:10 w:90; Trial:19 w:82; Trial:47 w:76; Trial:51 w:74; Trial:58 w:60; Gen:1 Trial:103 w:54; Gen:2 Trial:201 w:52; Gen:3 Trial:343 w:50; Gen:5 Trial:513 w:46; Gen:7 Trial:722 w:44; Gen:8 Trial:807 w:42; Gen:61 Trial:6188 w:40; Gen:63 Trial:6347 w:38; Gen:64 Trial:6410 w:36; Gen:65 Trial:6570 w:34; pErr:0.0989, weight 34 CW found:1707, wDict:34:1341,36:148,38:230,40:204,42:2259,44:542,46:357,48:221,50:220,52:187,54:201,56:163,58:194,60:239,62:181,64:175,66:169,68:175,70:206,72:208,74:206,76:226,78:209,80:221,82:212,84:173,86:148,88:140,90:116,92:102,94:86,96:86,98:67,100:85,102:67,104:63,106:52,108:50,110:32,112:18,114:9,116:9,118:3</t>
  </si>
  <si>
    <t>Gen:0 Trial:0 w:104; Trial:1 w:70; Trial:49 w:68; Trial:91 w:56; Gen:3 Trial:342 w:52; Gen:6 Trial:621 w:50; Trial:691 w:48; Gen:7 Trial:708 w:46; Gen:9 Trial:900 w:42; Gen:33 Trial:3310 w:38; Gen:91 Trial:9114 w:36; pErr:0.0496, weight 36 CW found:342, wDict:36:332,38:2808,40:155,42:1315,44:132,46:234,48:247,50:135,52:267,54:153,56:318,58:206,60:272,62:258,64:323,66:347,68:331,70:333,72:271,74:265,76:201,78:167,80:142,82:101,84:76,86:61,88:76,90:50,92:57,94:45,96:49,98:44,100:46,102:38,104:36,106:36,108:24,110:17,112:11,114:11,116:7,118:2,120:1</t>
  </si>
  <si>
    <t>Gen:0 Trial:0 w:116; Trial:1 w:104; Trial:4 w:100; Trial:5 w:74; Trial:47 w:66; Gen:1 Trial:175 w:58; Gen:2 Trial:212 w:54; Gen:4 Trial:432 w:52; Trial:454 w:50; Gen:5 Trial:507 w:48; Gen:8 Trial:821 w:46; Gen:9 Trial:901 w:44; Gen:12 Trial:1205 w:42; Gen:14 Trial:1436 w:40; Gen:20 Trial:2091 w:38; Gen:21 Trial:2135 w:34; pErr:0.0695, weight 34 CW found:3315, wDict:34:4076,36:163,38:328,40:399,42:232,44:252,46:214,48:328,50:310,52:243,54:283,56:222,58:218,60:176,62:207,64:162,66:153,68:141,70:134,72:136,74:167,76:102,78:116,80:93,82:96,84:73,86:73,88:96,90:83,92:82,94:82,96:100,98:102,100:83,102:66,104:59,106:42,108:41,110:27,112:19,114:11,116:5,118:4,124:1</t>
  </si>
  <si>
    <t>Gen:0 Trial:0 w:96; Trial:3 w:92; Trial:9 w:86; Trial:31 w:70; Gen:1 Trial:101 w:68; Trial:109 w:66; Gen:3 Trial:314 w:64; Gen:5 Trial:512 w:54; Gen:6 Trial:697 w:50; Gen:15 Trial:1532 w:48; Gen:27 Trial:2722 w:46; Gen:28 Trial:2801 w:44; Gen:31 Trial:3143 w:42; Gen:33 Trial:3376 w:40; Gen:36 Trial:3624 w:38; Trial:3653 w:36; Gen:40 Trial:4083 w:34; pErr:0.0730, weight 34 CW found:2737, wDict:34:2936,36:249,38:268,40:210,42:177,44:183,46:121,48:549,50:470,52:191,54:229,56:187,58:238,60:224,62:256,64:330,66:292,68:270,70:244,72:240,74:232,76:235,78:223,80:179,82:177,84:162,86:144,88:123,90:99,92:101,94:83,96:65,98:53,100:52,102:49,104:47,106:40,108:21,110:15,112:18,114:10,116:5,118:3</t>
  </si>
  <si>
    <t>Gen:0 Trial:0 w:96; Trial:2 w:88; Trial:5 w:82; Trial:6 w:80; Trial:7 w:78; Trial:14 w:56; Gen:2 Trial:248 w:52; Gen:4 Trial:428 w:50; Gen:5 Trial:501 w:46; Gen:6 Trial:606 w:44; Gen:7 Trial:704 w:42; Gen:14 Trial:1419 w:40; Gen:19 Trial:1948 w:38; Gen:27 Trial:2778 w:36; pErr:0.1013, weight 36 CW found:3822, wDict:36:3119,38:464,40:430,42:616,44:284,46:213,48:136,50:225,52:233,54:266,56:272,58:276,60:289,62:261,64:308,66:226,68:226,70:206,72:178,74:133,76:137,78:148,80:138,82:117,84:120,86:104,88:131,90:113,92:95,94:82,96:71,98:84,100:66,102:44,104:47,106:39,108:29,110:34,112:22,114:8,116:6,118:3,128:1</t>
  </si>
  <si>
    <t>Gen:0 Trial:0 w:92; Trial:10 w:84; Trial:18 w:68; Trial:46 w:66; Trial:87 w:48; Gen:1 Trial:107 w:46; Gen:3 Trial:307 w:42; Gen:6 Trial:628 w:38; Gen:9 Trial:914 w:36; pErr:0.0882, weight 36 CW found:4233, wDict:36:4440,38:340,40:392,42:352,44:170,46:196,48:175,50:145,52:215,54:213,56:222,58:243,60:220,62:241,64:238,66:246,68:203,70:168,72:203,74:172,76:141,78:154,80:114,82:94,84:97,86:65,88:51,90:50,92:58,94:53,96:58,98:33,100:47,102:47,104:36,106:37,108:24,110:17,112:16,114:11,118:2,120:1</t>
  </si>
  <si>
    <t>Gen:0 Trial:0 w:112; Trial:1 w:92; Trial:6 w:76; Trial:53 w:74; Trial:90 w:68; Gen:2 Trial:242 w:66; Trial:270 w:54; Gen:5 Trial:502 w:52; Gen:6 Trial:604 w:50; Trial:608 w:46; Gen:7 Trial:709 w:44; Gen:9 Trial:910 w:42; Trial:932 w:40; Gen:14 Trial:1451 w:38; Gen:17 Trial:1711 w:36; Gen:39 Trial:3966 w:34; pErr:0.0185, weight 34 CW found:1696, wDict:34:3033,36:1814,38:831,40:803,42:386,44:263,46:236,48:220,50:133,52:122,54:142,56:128,58:111,60:99,62:107,64:73,66:102,68:107,70:80,72:75,74:90,76:61,78:54,80:44,82:60,84:35,86:57,88:60,90:59,92:64,94:69,96:68,98:71,100:62,102:68,104:52,106:46,108:35,110:28,112:27,114:10,116:10,118:4,122:1</t>
  </si>
  <si>
    <t>Gen:0 Trial:0 w:92; Trial:4 w:84; Trial:14 w:82; Trial:29 w:74; Trial:39 w:72; Trial:40 w:62; Gen:1 Trial:127 w:48; Gen:7 Trial:733 w:46; Gen:10 Trial:1007 w:42; Gen:11 Trial:1103 w:40; Gen:13 Trial:1390 w:38; Gen:22 Trial:2211 w:36; pErr:0.0885, weight 36 CW found:4212, wDict:36:3205,38:490,40:496,42:473,44:214,46:323,48:379,50:240,52:204,54:288,56:280,58:321,60:310,62:306,64:296,66:238,68:238,70:191,72:164,74:153,76:109,78:110,80:90,82:107,84:76,86:76,88:79,90:77,92:76,94:81,96:68,98:44,100:37,102:42,104:21,106:21,108:23,110:19,112:12,114:13,116:3,118:3,120:1,122:2,124:1</t>
  </si>
  <si>
    <t>Gen:0 Trial:0 w:84; Trial:22 w:82; Trial:25 w:72; Trial:71 w:62; Gen:1 Trial:101 w:58; Trial:153 w:54; Gen:2 Trial:209 w:50; Gen:4 Trial:457 w:46; Gen:6 Trial:602 w:44; Trial:654 w:42; Gen:10 Trial:1002 w:36; Gen:26 Trial:2661 w:34; pErr:0.0774, weight 34 CW found:3228, wDict:34:3401,36:1059,38:616,40:255,42:433,44:244,46:260,48:159,50:297,52:206,54:225,56:243,58:269,60:242,62:230,64:225,66:202,68:200,70:174,72:135,74:125,76:87,78:74,80:79,82:60,84:55,86:53,88:51,90:33,92:50,94:39,96:40,98:34,100:30,102:28,104:20,106:12,108:15,110:21,112:8,114:5,116:1,118:3,120:1,124:1</t>
  </si>
  <si>
    <t>Gen:0 Trial:0 w:110; Trial:1 w:78; Trial:3 w:68; Trial:16 w:58; Gen:1 Trial:121 w:56; Gen:2 Trial:209 w:52; Gen:5 Trial:520 w:50; Gen:6 Trial:612 w:48; Gen:9 Trial:991 w:46; Gen:10 Trial:1006 w:42; Gen:32 Trial:3246 w:40; Gen:34 Trial:3472 w:34; pErr:0.1142, weight 34 CW found:3418, wDict:34:2715,36:179,38:170,40:293,42:1050,44:257,46:284,48:412,50:303,52:338,54:240,56:242,58:280,60:266,62:293,64:346,66:332,68:324,70:273,72:243,74:203,76:162,78:118,80:101,82:63,84:66,86:49,88:57,90:53,92:30,94:36,96:26,98:29,100:36,102:26,104:30,106:22,108:17,110:15,112:6,114:5,116:6,118:2,122:1,124:1</t>
  </si>
  <si>
    <t>Gen:0 Trial:0 w:78; Trial:2 w:58; Trial:56 w:54; Gen:2 Trial:219 w:48; Gen:3 Trial:310 w:46; Gen:6 Trial:630 w:42; Gen:12 Trial:1264 w:40; Gen:13 Trial:1300 w:36; Gen:15 Trial:1524 w:34; pErr:0.0198, weight 34 CW found:2376, wDict:34:4723,36:516,38:464,40:332,42:615,44:229,46:338,48:137,50:113,52:129,54:139,56:163,58:121,60:169,62:142,64:146,66:153,68:104,70:107,72:83,74:71,76:49,78:45,80:44,82:53,84:50,86:42,88:49,90:65,92:71,94:45,96:72,98:82,100:63,102:73,104:47,106:43,108:36,110:34,112:17,114:10,116:11,118:4,120:1</t>
  </si>
  <si>
    <t>Gen:0 Trial:0 w:92; Trial:4 w:86; Trial:9 w:82; Trial:11 w:80; Trial:23 w:78; Trial:31 w:76; Gen:1 Trial:100 w:74; Trial:141 w:72; Trial:149 w:70; Gen:2 Trial:206 w:66; Trial:228 w:60; Trial:249 w:58; Gen:3 Trial:312 w:56; Gen:4 Trial:461 w:48; Gen:5 Trial:509 w:44; Gen:9 Trial:937 w:42; Gen:40 Trial:4031 w:38; Gen:72 Trial:7249 w:36; pErr:0.1060, weight 36 CW found:1433, wDict:36:1168,38:1360,40:211,42:1090,44:352,46:208,48:170,50:201,52:146,54:196,56:253,58:225,60:340,62:377,64:352,66:342,68:326,70:354,72:307,74:312,76:248,78:206,80:200,82:180,84:131,86:150,88:81,90:92,92:64,94:50,96:51,98:49,100:32,102:36,104:35,106:29,108:16,110:24,112:12,114:12,116:2,118:7,120:2,122:1</t>
  </si>
  <si>
    <t>Gen:0 Trial:0 w:102; Trial:1 w:84; Trial:22 w:74; Trial:39 w:72; Gen:1 Trial:150 w:70; Gen:2 Trial:205 w:68; Trial:207 w:62; Trial:235 w:60; Gen:3 Trial:301 w:56; Trial:306 w:52; Gen:4 Trial:403 w:50; Trial:413 w:48; Gen:12 Trial:1278 w:46; Gen:13 Trial:1318 w:44; Gen:22 Trial:2236 w:42; Gen:24 Trial:2413 w:40; Gen:26 Trial:2628 w:36; Gen:94 Trial:9489 w:34; pErr:0.0467, weight 34 CW found:189, wDict:34:177,36:2881,38:351,40:493,42:275,44:519,46:257,48:430,50:197,52:219,54:170,56:210,58:215,60:188,62:228,64:254,66:269,68:266,70:263,72:250,74:239,76:220,78:217,80:155,82:173,84:134,86:116,88:100,90:94,92:65,94:67,96:60,98:55,100:46,102:33,104:35,106:19,108:23,110:13,112:10,114:2,116:4,118:4,120:1,122:1,124:1,126:1</t>
  </si>
  <si>
    <t>Gen:0 Trial:0 w:110; Trial:1 w:104; Trial:4 w:86; Trial:6 w:76; Trial:10 w:74; Trial:14 w:52; Gen:1 Trial:103 w:46; Gen:3 Trial:327 w:44; Gen:4 Trial:473 w:42; Gen:20 Trial:2041 w:40; Gen:42 Trial:4243 w:38; Gen:46 Trial:4631 w:36; pErr:0.0638, weight 36 CW found:2202, wDict:36:2632,38:438,40:1358,42:1070,44:407,46:397,48:357,50:317,52:317,54:354,56:310,58:272,60:205,62:184,64:146,66:114,68:117,70:74,72:63,74:57,76:86,78:66,80:59,82:53,84:72,86:49,88:46,90:57,92:45,94:47,96:40,98:43,100:27,102:28,104:32,106:15,108:11,110:14,112:6,114:8,116:3,118:2,120:2</t>
  </si>
  <si>
    <t>Gen:0 Trial:0 w:100; Trial:1 w:90; Trial:18 w:76; Trial:53 w:74; Trial:69 w:70; Gen:1 Trial:103 w:66; Trial:109 w:58; Gen:3 Trial:341 w:42; Gen:5 Trial:518 w:38; Gen:8 Trial:861 w:36; pErr:0.0851, weight 36 CW found:4338, wDict:36:4359,38:402,40:329,42:286,44:203,46:184,48:236,50:290,52:295,54:253,56:358,58:381,60:357,62:280,64:249,66:214,68:148,70:109,72:87,74:74,76:77,78:68,80:60,82:64,84:65,86:66,88:59,90:72,92:51,94:64,96:43,98:47,100:47,102:28,104:31,106:19,108:16,110:9,112:7,114:4,116:3,118:4,120:1,124:1</t>
  </si>
  <si>
    <t>Gen:0 Trial:0 w:82; Trial:18 w:52; Gen:3 Trial:360 w:50; Gen:4 Trial:485 w:48; Gen:7 Trial:712 w:46; Gen:9 Trial:906 w:44; Gen:13 Trial:1307 w:42; Gen:19 Trial:1974 w:38; Gen:22 Trial:2204 w:36; pErr:0.0870, weight 36 CW found:3744, wDict:36:3470,38:346,40:244,42:415,44:401,46:281,48:292,50:326,52:349,54:285,56:455,58:387,60:418,62:356,64:287,66:210,68:161,70:160,72:95,74:94,76:85,78:58,80:74,82:67,84:79,86:89,88:86,90:73,92:66,94:45,96:49,98:53,100:41,102:25,104:19,106:18,108:12,110:9,112:5,114:8,116:2,118:2,120:2,122:1</t>
  </si>
  <si>
    <t>Gen:0 Trial:0 w:108; Trial:1 w:98; Trial:2 w:88; Trial:12 w:84; Trial:26 w:82; Trial:53 w:78; Trial:54 w:72; Gen:1 Trial:106 w:70; Trial:130 w:66; Trial:171 w:60; Gen:2 Trial:218 w:58; Trial:239 w:52; Trial:286 w:50; Gen:4 Trial:434 w:48; Gen:7 Trial:721 w:44; Trial:730 w:42; Trial:736 w:40; Gen:30 Trial:3035 w:38; Gen:42 Trial:4279 w:36; pErr:0.1416, weight 36 CW found:3371, wDict:36:2288,38:443,40:1085,42:254,44:278,46:144,48:256,50:164,52:141,54:129,56:120,58:155,60:209,62:210,64:228,66:291,68:351,70:370,72:405,74:418,76:330,78:330,80:254,82:238,84:158,86:153,88:127,90:95,92:86,94:56,96:48,98:38,100:27,102:26,104:25,106:18,108:11,110:12,112:11,114:4,116:9,118:3,122:1,124:1</t>
  </si>
  <si>
    <t>Gen:0 Trial:0 w:96; Trial:4 w:94; Trial:6 w:82; Trial:19 w:68; Trial:22 w:56; Gen:1 Trial:124 w:54; Gen:2 Trial:200 w:52; Gen:3 Trial:313 w:50; Gen:6 Trial:600 w:48; Gen:7 Trial:703 w:44; Gen:9 Trial:931 w:40; Gen:11 Trial:1115 w:38; Gen:17 Trial:1761 w:34; pErr:0.1151, weight 34 CW found:4434, wDict:34:3533,36:68,38:507,40:158,42:142,44:185,46:120,48:270,50:242,52:428,54:406,56:462,58:402,60:410,62:321,64:309,66:267,68:191,70:143,72:110,74:107,76:87,78:64,80:92,82:83,84:80,86:86,88:75,90:101,92:75,94:97,96:84,98:85,100:62,102:42,104:29,106:25,108:18,110:7,112:11,114:4,116:6,118:2,120:3,122:1</t>
  </si>
  <si>
    <t>Gen:0 Trial:0 w:108; Trial:1 w:84; Trial:5 w:82; Trial:32 w:78; Trial:46 w:70; Trial:47 w:64; Gen:3 Trial:317 w:60; Gen:4 Trial:412 w:58; Gen:5 Trial:531 w:56; Gen:6 Trial:605 w:52; Trial:611 w:50; Trial:652 w:48; Gen:7 Trial:728 w:44; Gen:9 Trial:967 w:42; Gen:10 Trial:1001 w:40; Gen:12 Trial:1279 w:36; Gen:16 Trial:1693 w:34; pErr:0.0991, weight 34 CW found:4005, wDict:34:3953,36:285,38:295,40:198,42:215,44:193,46:130,48:187,50:137,52:167,54:155,56:246,58:216,60:299,62:282,64:297,66:242,68:234,70:223,72:224,74:183,76:163,78:137,80:126,82:116,84:90,86:80,88:99,90:90,92:79,94:101,96:75,98:107,100:84,102:80,104:61,106:46,108:45,110:25,112:12,114:9,116:5,118:5,120:4</t>
  </si>
  <si>
    <t>Gen:0 Trial:0 w:88; Trial:14 w:80; Trial:35 w:74; Trial:66 w:68; Trial:90 w:62; Gen:1 Trial:104 w:58; Trial:141 w:56; Gen:3 Trial:332 w:50; Gen:5 Trial:530 w:48; Trial:545 w:46; Gen:6 Trial:619 w:44; Gen:7 Trial:703 w:42; Gen:8 Trial:860 w:40; Gen:12 Trial:1203 w:38; Gen:16 Trial:1603 w:36; Gen:41 Trial:4176 w:34; pErr:0.0924, weight 34 CW found:2729, wDict:34:2653,36:1186,38:631,40:514,42:272,44:434,46:247,48:167,50:286,52:210,54:220,56:288,58:255,60:238,62:236,64:229,66:218,68:210,70:191,72:135,74:140,76:123,78:103,80:93,82:83,84:100,86:63,88:69,90:56,92:58,94:44,96:47,98:52,100:37,102:21,104:24,106:26,108:11,110:12,112:9,114:4,116:3,118:2</t>
  </si>
  <si>
    <t>Gen:0 Trial:0 w:80; Trial:11 w:62; Trial:24 w:60; Gen:3 Trial:313 w:58; Gen:4 Trial:401 w:56; Gen:5 Trial:534 w:54; Gen:8 Trial:894 w:52; Gen:16 Trial:1632 w:50; Gen:18 Trial:1803 w:48; Gen:19 Trial:1905 w:44; Trial:1911 w:42; Gen:21 Trial:2103 w:40; Gen:22 Trial:2235 w:36; Gen:25 Trial:2542 w:34; pErr:0.0713, weight 34 CW found:3272, wDict:34:3755,36:480,38:226,40:220,42:146,44:164,46:133,48:166,50:226,52:575,54:402,56:433,58:328,60:352,62:308,64:229,66:234,68:176,70:144,72:144,74:102,76:100,78:92,80:85,82:90,84:67,86:76,88:71,90:53,92:45,94:56,96:38,98:46,100:45,102:38,104:34,106:31,108:29,110:20,112:16,114:14,116:4,118:2,120:3,122:1,124:1</t>
  </si>
  <si>
    <t>Gen:0 Trial:0 w:84; Trial:8 w:76; Trial:15 w:70; Trial:16 w:58; Gen:2 Trial:236 w:56; Trial:265 w:54; Gen:4 Trial:417 w:52; Trial:433 w:50; Gen:5 Trial:520 w:48; Trial:556 w:46; Gen:6 Trial:610 w:44; Gen:9 Trial:996 w:40; pErr:0.0889, weight 40 CW found:4563, wDict:40:3980,42:415,44:647,46:427,48:385,50:436,52:376,54:314,56:367,58:343,60:279,62:214,64:230,66:146,68:148,70:117,72:105,74:72,76:77,78:59,80:57,82:68,84:50,86:55,88:52,90:59,92:69,94:57,96:68,98:52,100:48,102:51,104:41,106:39,108:28,110:21,112:20,114:8,116:14,118:5,120:1</t>
  </si>
  <si>
    <t>Gen:0 Trial:0 w:104; Trial:1 w:94; Trial:2 w:88; Trial:4 w:76; Trial:11 w:54; Gen:3 Trial:328 w:50; Trial:372 w:46; Gen:6 Trial:609 w:40; Gen:13 Trial:1362 w:38; Gen:17 Trial:1746 w:36; Gen:27 Trial:2744 w:34; pErr:0.0463, weight 34 CW found:3168, wDict:34:3493,36:684,38:726,40:329,42:291,44:328,46:382,48:155,50:176,52:138,54:283,56:220,58:244,60:260,62:241,64:213,66:183,68:158,70:131,72:140,74:99,76:94,78:68,80:58,82:76,84:65,86:69,88:64,90:69,92:62,94:77,96:64,98:68,100:49,102:50,104:51,106:50,108:30,110:25,112:13,114:7,116:8,118:4,120:4,122:1</t>
  </si>
  <si>
    <t>Gen:0 Trial:0 w:112; Trial:1 w:108; Trial:4 w:94; Trial:12 w:74; Trial:31 w:70; Trial:52 w:58; Gen:2 Trial:214 w:54; Gen:3 Trial:303 w:52; Gen:5 Trial:518 w:50; Gen:6 Trial:639 w:48; Gen:9 Trial:928 w:46; Gen:11 Trial:1192 w:44; Gen:16 Trial:1678 w:42; Gen:68 Trial:6819 w:40; Gen:74 Trial:7408 w:38; Gen:76 Trial:7645 w:36; Gen:99 Trial:9920 w:34; pErr:0.1889, weight 34 CW found:54, wDict:34:1,36:789,38:145,40:221,42:2544,44:1340,46:469,48:302,50:273,52:207,54:144,56:107,58:160,60:158,62:189,64:265,66:311,68:319,70:260,72:259,74:219,76:218,78:141,80:148,82:111,84:61,86:72,88:51,90:51,92:61,94:71,96:52,98:44,100:52,102:47,104:35,106:29,108:29,110:18,112:9,114:10,116:3,118:3,120:1,124:1</t>
  </si>
  <si>
    <t>Gen:0 Trial:0 w:84; Trial:7 w:82; Trial:25 w:78; Trial:27 w:74; Trial:64 w:72; Trial:91 w:68; Gen:1 Trial:157 w:56; Gen:3 Trial:327 w:52; Gen:5 Trial:535 w:50; Gen:6 Trial:659 w:48; Gen:7 Trial:743 w:46; Gen:8 Trial:836 w:40; Gen:12 Trial:1205 w:36; Gen:15 Trial:1520 w:34; pErr:0.0668, weight 34 CW found:3636, wDict:34:3570,36:720,38:489,40:538,42:321,44:217,46:258,48:307,50:225,52:263,54:224,56:255,58:199,60:228,62:217,64:223,66:205,68:191,70:164,72:150,74:94,76:92,78:89,80:60,82:81,84:78,86:82,88:78,90:70,92:62,94:50,96:34,98:36,100:31,102:23,104:24,106:17,108:10,110:5,112:9,114:4,116:5,120:1,122:1</t>
  </si>
  <si>
    <t>Gen:0 Trial:0 w:118; Trial:1 w:106; Trial:2 w:94; Trial:3 w:90; Trial:8 w:82; Trial:15 w:76; Trial:87 w:72; Gen:1 Trial:114 w:68; Trial:192 w:54; Trial:195 w:50; Gen:4 Trial:401 w:48; Gen:5 Trial:502 w:42; Gen:9 Trial:974 w:40; Gen:80 Trial:8023 w:38; Gen:83 Trial:8392 w:36; Gen:99 Trial:9974 w:34; pErr:0.2167, weight 34 CW found:17, wDict:34:1,36:562,38:265,40:3177,42:610,44:350,46:379,48:294,50:253,52:260,54:307,56:203,58:251,60:272,62:256,64:304,66:275,68:290,70:273,72:260,74:211,76:177,78:142,80:88,82:63,84:57,86:53,88:45,90:44,92:28,94:35,96:32,98:31,100:20,102:35,104:23,106:20,108:12,110:16,112:8,114:7,116:4,118:3,120:1,122:2,124:1</t>
  </si>
  <si>
    <t>Gen:0 Trial:0 w:104; Trial:1 w:84; Trial:5 w:78; Trial:16 w:54; Gen:2 Trial:229 w:50; Trial:247 w:48; Gen:4 Trial:400 w:44; Trial:403 w:42; Gen:7 Trial:746 w:40; Gen:9 Trial:966 w:36; pErr:0.0669, weight 36 CW found:4132, wDict:36:4367,38:149,40:748,42:347,44:269,46:196,48:233,50:192,52:175,54:256,56:206,58:236,60:179,62:193,64:193,66:213,68:191,70:209,72:167,74:206,76:192,78:165,80:151,82:123,84:67,86:62,88:51,90:49,92:27,94:26,96:40,98:20,100:26,102:22,104:13,106:12,108:10,110:10,114:3,116:3,118:1,120:1,122:1</t>
  </si>
  <si>
    <t>Gen:0 Trial:0 w:98; Trial:3 w:94; Trial:7 w:86; Trial:18 w:80; Trial:32 w:70; Trial:60 w:68; Trial:72 w:66; Trial:89 w:60; Gen:2 Trial:204 w:56; Gen:3 Trial:300 w:48; Gen:5 Trial:519 w:46; Gen:6 Trial:602 w:42; Trial:690 w:40; Gen:8 Trial:852 w:38; Gen:50 Trial:5070 w:34; pErr:0.0836, weight 34 CW found:2230, wDict:34:2237,36:116,38:2153,40:453,42:400,44:204,46:248,48:284,50:250,52:277,54:292,56:354,58:317,60:332,62:287,64:236,66:219,68:155,70:123,72:110,74:87,76:57,78:62,80:54,82:69,84:57,86:41,88:52,90:50,92:42,94:71,96:45,98:37,100:40,102:40,104:32,106:27,108:30,110:22,112:12,114:12,116:8,118:4,122:1,124:1</t>
  </si>
  <si>
    <t>Gen:0 Trial:0 w:104; Trial:1 w:96; Trial:3 w:94; Trial:6 w:80; Trial:15 w:78; Trial:35 w:76; Trial:78 w:72; Trial:90 w:68; Gen:1 Trial:100 w:62; Gen:3 Trial:305 w:58; Gen:8 Trial:831 w:56; Gen:17 Trial:1704 w:42; Gen:21 Trial:2107 w:40; Trial:2108 w:38; Gen:46 Trial:4624 w:36; pErr:0.0995, weight 36 CW found:2648, wDict:36:2241,38:970,40:314,42:227,44:212,46:148,48:198,50:108,52:157,54:109,56:350,58:302,60:194,62:316,64:333,66:338,68:298,70:326,72:291,74:288,76:255,78:280,80:249,82:187,84:178,86:167,88:166,90:149,92:141,94:117,96:79,98:76,100:58,102:48,104:44,106:25,108:22,110:17,112:9,114:4,116:5,118:2,120:2</t>
  </si>
  <si>
    <t>Gen:0 Trial:0 w:122; Trial:1 w:112; Trial:2 w:90; Trial:6 w:76; Trial:13 w:68; Trial:97 w:64; Gen:2 Trial:213 w:62; Gen:3 Trial:307 w:52; Gen:12 Trial:1223 w:50; Trial:1229 w:48; Gen:14 Trial:1431 w:46; Gen:15 Trial:1518 w:42; Gen:16 Trial:1660 w:38; Gen:17 Trial:1712 w:36; Gen:18 Trial:1870 w:34; pErr:0.0240, weight 34 CW found:2535, wDict:34:4703,36:560,38:539,40:236,42:306,44:171,46:249,48:199,50:169,52:532,54:223,56:236,58:168,60:147,62:135,64:145,66:101,68:133,70:84,72:66,74:69,76:54,78:65,80:52,82:62,84:60,86:54,88:57,90:54,92:55,94:45,96:48,98:37,100:38,102:43,104:27,106:24,108:16,110:13,112:12,114:5,116:1,118:3,120:1,122:2,124:1</t>
  </si>
  <si>
    <t>Gen:0 Trial:0 w:102; Trial:1 w:96; Trial:3 w:86; Trial:13 w:80; Trial:37 w:68; Gen:1 Trial:110 w:58; Gen:3 Trial:313 w:54; Trial:315 w:52; Gen:4 Trial:400 w:48; Gen:5 Trial:568 w:46; Gen:8 Trial:845 w:44; Gen:9 Trial:980 w:42; Gen:12 Trial:1274 w:40; Gen:15 Trial:1502 w:38; Gen:31 Trial:3100 w:36; pErr:0.0635, weight 36 CW found:3231, wDict:36:3208,38:1097,40:642,42:317,44:228,46:346,48:255,50:283,52:220,54:331,56:318,58:372,60:327,62:239,64:213,66:189,68:184,70:160,72:114,74:114,76:111,78:90,80:68,82:77,84:48,86:55,88:43,90:60,92:47,94:48,96:40,98:30,100:29,102:24,104:21,106:17,108:9,110:8,112:10,114:5,118:3</t>
  </si>
  <si>
    <t>Gen:0 Trial:0 w:108; Trial:1 w:92; Trial:2 w:88; Trial:5 w:86; Trial:11 w:84; Trial:14 w:74; Trial:36 w:52; Trial:62 w:48; Gen:2 Trial:265 w:44; Gen:3 Trial:314 w:42; Gen:4 Trial:403 w:40; Gen:6 Trial:623 w:38; Trial:652 w:36; Gen:31 Trial:3136 w:34; pErr:0.0428, weight 34 CW found:2857, wDict:34:3335,36:1631,38:465,40:512,42:230,44:255,46:185,48:255,50:227,52:278,54:310,56:271,58:294,60:259,62:224,64:192,66:176,68:116,70:96,72:66,74:77,76:50,78:47,80:42,82:41,84:30,86:32,88:24,90:36,92:31,94:30,96:29,98:31,100:16,102:24,104:18,106:21,108:13,110:9,112:7,114:5,116:4,118:3,120:1,126:1,128:1</t>
  </si>
  <si>
    <t>Gen:0 Trial:0 w:90; Trial:1 w:74; Trial:27 w:72; Trial:32 w:62; Trial:57 w:56; Gen:3 Trial:325 w:52; Gen:8 Trial:839 w:50; Gen:11 Trial:1186 w:48; Gen:14 Trial:1481 w:46; Gen:33 Trial:3348 w:34; pErr:0.1807, weight 34 CW found:4657, wDict:34:2001,36:69,38:185,40:76,42:77,44:72,46:615,48:279,50:484,52:435,54:433,56:486,58:428,60:406,62:408,64:370,66:354,68:361,70:389,72:296,74:308,76:254,78:210,80:176,82:155,84:133,86:98,88:95,90:64,92:65,94:38,96:41,98:32,100:22,102:24,104:8,106:15,108:13,110:6,112:7,114:4,116:3,118:4,126:1</t>
  </si>
  <si>
    <t>Gen:0 Trial:0 w:102; Trial:1 w:92; Trial:2 w:84; Trial:12 w:78; Trial:23 w:74; Trial:82 w:54; Gen:3 Trial:306 w:50; Gen:8 Trial:838 w:46; Gen:10 Trial:1009 w:44; Gen:23 Trial:2323 w:42; Gen:25 Trial:2513 w:40; Gen:29 Trial:2901 w:38; Gen:44 Trial:4460 w:36; Gen:48 Trial:4861 w:34; pErr:0.0579, weight 34 CW found:2006, wDict:34:2471,36:422,38:974,40:495,42:194,44:834,46:234,48:272,50:423,52:219,54:319,56:217,58:223,60:224,62:233,64:258,66:235,68:195,70:197,72:169,74:170,76:148,78:129,80:119,82:99,84:77,86:70,88:70,90:52,92:38,94:43,96:24,98:34,100:24,102:28,104:18,106:8,108:6,110:12,112:9,114:2,116:5,118:2,120:1,122:4</t>
  </si>
  <si>
    <t>Gen:0 Trial:0 w:110; Trial:1 w:86; Trial:5 w:84; Trial:14 w:82; Trial:37 w:80; Trial:40 w:76; Trial:68 w:70; Trial:78 w:56; Gen:2 Trial:210 w:52; Trial:214 w:50; Gen:9 Trial:912 w:48; Gen:10 Trial:1009 w:40; Gen:13 Trial:1344 w:38; Gen:14 Trial:1425 w:36; Gen:23 Trial:2384 w:34; pErr:0.1114, weight 34 CW found:3971, wDict:34:3357,36:700,38:364,40:381,42:148,44:97,46:70,48:109,50:379,52:154,54:180,56:297,58:276,60:380,62:420,64:437,66:333,68:320,70:281,72:195,74:167,76:148,78:100,80:88,82:83,84:71,86:60,88:55,90:45,92:48,94:49,96:34,98:28,100:28,102:31,104:32,106:15,108:14,110:6,112:11,114:1,116:6,118:1,124:1</t>
  </si>
  <si>
    <t>Gen:0 Trial:0 w:98; Trial:1 w:88; Trial:4 w:78; Trial:36 w:62; Gen:1 Trial:144 w:56; Gen:2 Trial:268 w:46; Gen:4 Trial:462 w:44; Trial:465 w:42; Gen:6 Trial:615 w:40; Gen:10 Trial:1079 w:38; Gen:16 Trial:1607 w:36; Gen:33 Trial:3373 w:34; pErr:0.0706, weight 34 CW found:2905, wDict:34:3080,36:1122,38:760,40:561,42:459,44:343,46:316,48:283,50:283,52:341,54:301,56:228,58:212,60:179,62:148,64:124,66:86,68:96,70:92,72:80,74:59,76:53,78:64,80:55,82:44,84:63,86:74,88:59,90:61,92:48,94:44,96:49,98:55,100:44,102:23,104:39,106:26,108:16,110:12,112:4,114:6,116:2,118:3,120:1,126:2</t>
  </si>
  <si>
    <t>Gen:0 Trial:0 w:110; Trial:2 w:102; Trial:3 w:96; Trial:6 w:90; Trial:7 w:76; Trial:10 w:74; Trial:41 w:70; Gen:1 Trial:117 w:68; Trial:157 w:60; Gen:3 Trial:325 w:52; Gen:5 Trial:531 w:50; Trial:540 w:46; Gen:6 Trial:611 w:42; Gen:7 Trial:707 w:40; Gen:10 Trial:1031 w:36; Gen:13 Trial:1350 w:34; pErr:0.0581, weight 34 CW found:3660, wDict:34:4072,36:696,38:561,40:376,42:294,44:179,46:191,48:150,50:139,52:192,54:120,56:142,58:165,60:211,62:195,64:213,66:206,68:192,70:201,72:158,74:173,76:165,78:132,80:129,82:100,84:87,86:72,88:67,90:69,92:58,94:51,96:43,98:46,100:31,102:25,104:20,106:23,108:10,110:20,112:7,114:7,116:1,118:9,120:1,122:1</t>
  </si>
  <si>
    <t>Gen:0 Trial:0 w:102; Trial:1 w:86; Trial:9 w:82; Trial:29 w:74; Trial:43 w:72; Trial:80 w:68; Trial:99 w:62; Gen:2 Trial:215 w:60; Gen:3 Trial:308 w:58; Gen:4 Trial:493 w:54; Gen:5 Trial:509 w:50; Gen:6 Trial:661 w:42; Gen:9 Trial:945 w:38; Gen:25 Trial:2596 w:34; pErr:0.1222, weight 34 CW found:3973, wDict:34:2864,36:77,38:1202,40:237,42:386,44:199,46:229,48:211,50:270,52:209,54:256,56:236,58:312,60:287,62:322,64:258,66:223,68:230,70:221,72:237,74:208,76:178,78:151,80:153,82:106,84:120,86:76,88:92,90:81,92:65,94:56,96:46,98:54,100:37,102:24,104:28,106:18,108:13,110:7,112:9,114:7,116:1,118:2,122:1,124:1</t>
  </si>
  <si>
    <t>Gen:0 Trial:0 w:100; Trial:5 w:94; Trial:10 w:92; Trial:12 w:74; Trial:14 w:68; Gen:1 Trial:102 w:50; Gen:7 Trial:708 w:42; Gen:11 Trial:1112 w:38; pErr:0.0996, weight 38 CW found:4553, wDict:38:4281,40:191,42:329,44:126,46:116,48:205,50:431,52:328,54:298,56:369,58:347,60:282,62:316,64:245,66:255,68:256,70:207,72:179,74:143,76:169,78:113,80:87,82:85,84:77,86:51,88:62,90:58,92:62,94:57,96:55,98:50,100:37,102:26,104:32,106:22,108:22,110:7,112:12,114:4,116:1,118:4,120:2,128:1</t>
  </si>
  <si>
    <t>Gen:0 Trial:0 w:98; Trial:1 w:94; Trial:5 w:92; Trial:8 w:88; Trial:10 w:62; Gen:1 Trial:182 w:60; Gen:5 Trial:501 w:58; Gen:6 Trial:629 w:56; Gen:8 Trial:840 w:54; Gen:11 Trial:1100 w:48; Gen:15 Trial:1505 w:44; Gen:38 Trial:3804 w:42; Gen:45 Trial:4593 w:38; pErr:0.1288, weight 38 CW found:3050, wDict:38:1805,40:191,42:665,44:916,46:259,48:312,50:220,52:223,54:315,56:370,58:335,60:359,62:267,64:284,66:273,68:237,70:218,72:215,74:172,76:172,78:163,80:152,82:157,84:151,86:175,88:140,90:137,92:131,94:185,96:155,98:138,100:125,102:115,104:88,106:68,108:39,110:31,112:23,114:6,116:5,118:4,120:3,122:1</t>
  </si>
  <si>
    <t>Gen:0 Trial:0 w:68; Gen:1 Trial:100 w:66; Trial:102 w:58; Trial:106 w:52; Gen:3 Trial:303 w:50; Gen:5 Trial:511 w:46; Trial:513 w:44; Gen:7 Trial:720 w:42; Gen:9 Trial:955 w:40; Gen:13 Trial:1318 w:38; Gen:16 Trial:1632 w:36; Gen:45 Trial:4511 w:34; pErr:0.0437, weight 34 CW found:1945, wDict:34:2867,36:1542,38:571,40:474,42:370,44:344,46:323,48:311,50:351,52:314,54:266,56:265,58:205,60:216,62:146,64:146,66:97,68:95,70:79,72:52,74:62,76:52,78:57,80:53,82:44,84:56,86:40,88:51,90:44,92:52,94:43,96:63,98:59,100:56,102:47,104:40,106:44,108:37,110:27,112:14,114:10,116:7,118:3,120:3,122:2</t>
  </si>
  <si>
    <t>Gen:0 Trial:0 w:86; Trial:9 w:84; Trial:28 w:68; Trial:95 w:66; Gen:1 Trial:155 w:62; Gen:2 Trial:285 w:60; Gen:3 Trial:313 w:58; Gen:4 Trial:454 w:54; Gen:6 Trial:602 w:50; Gen:8 Trial:855 w:48; Gen:10 Trial:1025 w:46; Gen:17 Trial:1719 w:42; Gen:25 Trial:2542 w:40; Gen:94 Trial:9433 w:38; Gen:97 Trial:9734 w:36; pErr:0.0828, weight 36 CW found:120, wDict:36:29,38:198,40:2943,42:507,44:286,46:555,48:286,50:287,52:192,54:283,56:325,58:322,60:400,62:328,64:340,66:319,68:305,70:266,72:234,74:169,76:146,78:144,80:123,82:90,84:108,86:116,88:121,90:100,92:76,94:81,96:55,98:59,100:43,102:47,104:36,106:29,108:15,110:16,112:10,114:4,116:2,118:4,120:1</t>
  </si>
  <si>
    <t>Gen:0 Trial:0 w:110; Trial:2 w:88; Trial:8 w:74; Trial:30 w:70; Gen:2 Trial:203 w:66; Gen:3 Trial:315 w:64; Trial:346 w:62; Gen:4 Trial:432 w:56; Gen:5 Trial:536 w:50; Gen:7 Trial:707 w:40; Gen:9 Trial:902 w:38; Gen:18 Trial:1838 w:34; pErr:0.0919, weight 34 CW found:3890, wDict:34:3826,36:300,38:748,40:355,42:259,44:180,46:156,48:191,50:233,52:264,54:269,56:265,58:316,60:352,62:349,64:250,66:255,68:203,70:180,72:113,74:119,76:80,78:75,80:68,82:60,84:64,86:57,88:49,90:39,92:51,94:34,96:37,98:31,100:42,102:20,104:25,106:30,108:14,110:14,112:7,114:7,116:6,118:2,120:2,122:1,124:1,132:1</t>
  </si>
  <si>
    <t>Gen:0 Trial:0 w:122; Trial:1 w:108; Trial:2 w:90; Trial:5 w:86; Trial:15 w:84; Trial:74 w:66; Gen:1 Trial:105 w:62; Gen:2 Trial:223 w:52; Gen:4 Trial:457 w:50; Gen:6 Trial:617 w:48; Gen:8 Trial:812 w:46; Trial:844 w:44; Gen:13 Trial:1311 w:42; Gen:33 Trial:3332 w:40; Gen:34 Trial:3416 w:38; Gen:59 Trial:5937 w:34; pErr:0.0255, weight 34 CW found:1230, wDict:34:2084,36:285,38:1629,40:384,42:982,44:508,46:276,48:242,50:280,52:260,54:208,56:211,58:155,60:137,62:130,64:146,66:124,68:107,70:96,72:126,74:128,76:137,78:123,80:123,82:123,84:143,86:127,88:122,90:127,92:94,94:80,96:79,98:52,100:40,102:37,104:26,106:19,108:15,110:10,112:6,114:10,116:4,118:2,120:1,122:1,128:1</t>
  </si>
  <si>
    <t>Gen:0 Trial:0 w:96; Trial:2 w:94; Trial:22 w:80; Trial:33 w:78; Trial:58 w:70; Trial:72 w:68; Trial:76 w:66; Gen:1 Trial:115 w:56; Gen:4 Trial:481 w:52; Gen:6 Trial:650 w:50; Gen:7 Trial:702 w:48; Gen:8 Trial:836 w:46; Gen:9 Trial:912 w:44; Gen:19 Trial:1955 w:42; pErr:0.0671, weight 42 CW found:4113, wDict:42:3409,44:1063,46:584,48:434,50:359,52:271,54:229,56:328,58:285,60:269,62:366,64:348,66:302,68:284,70:212,72:172,74:158,76:106,78:90,80:79,82:76,84:69,86:63,88:48,90:44,92:42,94:61,96:39,98:44,100:35,102:27,104:30,106:19,108:20,110:8,112:12,114:6,116:4,118:4,124:1</t>
  </si>
  <si>
    <t>Gen:0 Trial:0 w:112; Trial:1 w:100; Trial:2 w:88; Trial:9 w:64; Trial:67 w:62; Trial:90 w:58; Gen:1 Trial:164 w:54; Gen:3 Trial:310 w:52; Gen:4 Trial:408 w:50; Gen:5 Trial:527 w:48; Gen:7 Trial:742 w:46; Gen:9 Trial:909 w:44; Gen:57 Trial:5701 w:40; Gen:61 Trial:6159 w:38; pErr:0.1350, weight 38 CW found:2228, wDict:38:1352,40:290,42:191,44:1956,46:514,48:395,50:289,52:298,54:288,56:342,58:282,60:292,62:332,64:337,66:303,68:266,70:285,72:250,74:211,76:181,78:156,80:123,82:104,84:103,86:93,88:86,90:90,92:76,94:79,96:87,98:76,100:70,102:50,104:34,106:39,108:38,110:10,112:14,114:12,116:4,118:1,120:1</t>
  </si>
  <si>
    <t>Gen:0 Trial:0 w:100; Trial:4 w:82; Trial:31 w:62; Trial:44 w:56; Trial:93 w:50; Gen:3 Trial:351 w:48; Gen:4 Trial:420 w:46; Gen:5 Trial:538 w:44; Gen:9 Trial:977 w:42; pErr:0.0337, weight 42 CW found:3464, wDict:42:4494,44:1011,46:809,48:363,50:372,52:183,54:281,56:295,58:255,60:245,62:263,64:168,66:156,68:99,70:91,72:70,74:65,76:62,78:61,80:55,82:56,84:45,86:47,88:18,90:47,92:39,94:25,96:40,98:36,100:41,102:43,104:44,106:29,108:30,110:24,112:16,114:12,116:6,118:1,122:3</t>
  </si>
  <si>
    <t>Gen:0 Trial:0 w:90; Trial:4 w:84; Trial:17 w:80; Trial:20 w:72; Gen:1 Trial:164 w:70; Gen:2 Trial:218 w:54; Gen:3 Trial:300 w:50; Gen:4 Trial:407 w:48; Gen:5 Trial:500 w:46; Gen:8 Trial:878 w:44; Gen:10 Trial:1008 w:42; Gen:12 Trial:1216 w:40; Gen:15 Trial:1561 w:38; Gen:21 Trial:2120 w:36; Gen:39 Trial:3910 w:34; pErr:0.0861, weight 34 CW found:2847, wDict:34:3061,36:1161,38:494,40:251,42:171,44:191,46:225,48:146,50:78,52:157,54:203,56:218,58:263,60:327,62:313,64:391,66:321,68:288,70:239,72:244,74:147,76:144,78:109,80:107,82:91,84:100,86:81,88:77,90:60,92:55,94:56,96:54,98:39,100:29,102:28,104:20,106:12,108:11,110:11,112:8,114:5,116:4,118:2,120:3,122:4,124:1</t>
  </si>
  <si>
    <t>Gen:0 Trial:0 w:88; Trial:4 w:70; Trial:46 w:66; Gen:1 Trial:113 w:60; Gen:3 Trial:316 w:58; Trial:366 w:56; Trial:393 w:54; Trial:395 w:50; Gen:4 Trial:404 w:48; Gen:5 Trial:513 w:42; Gen:8 Trial:815 w:40; Gen:10 Trial:1002 w:38; Gen:13 Trial:1355 w:36; Gen:16 Trial:1651 w:34; pErr:0.0711, weight 34 CW found:3510, wDict:34:4117,36:486,38:570,40:303,42:399,44:198,46:137,48:201,50:150,52:221,54:190,56:147,58:191,60:193,62:214,64:195,66:226,68:189,70:195,72:144,74:120,76:90,78:103,80:88,82:97,84:81,86:103,88:64,90:73,92:72,94:74,96:65,98:62,100:47,102:38,104:40,106:23,108:25,110:24,112:19,114:8,116:8,118:5,120:5</t>
  </si>
  <si>
    <t>Gen:0 Trial:0 w:98; Trial:8 w:78; Trial:55 w:74; Trial:85 w:72; Gen:1 Trial:107 w:70; Trial:153 w:52; Gen:5 Trial:500 w:48; Gen:6 Trial:611 w:44; Gen:8 Trial:810 w:42; Gen:16 Trial:1602 w:40; Gen:35 Trial:3532 w:38; Gen:87 Trial:8767 w:36; pErr:0.0469, weight 36 CW found:449, wDict:36:580,38:1875,40:855,42:702,44:268,46:208,48:244,50:213,52:263,54:233,56:257,58:285,60:276,62:311,64:327,66:296,68:330,70:252,72:249,74:228,76:204,78:161,80:151,82:151,84:143,86:109,88:106,90:96,92:78,94:101,96:80,98:86,100:53,102:69,104:46,106:33,108:32,110:17,112:12,114:8,116:7,118:4,120:1</t>
  </si>
  <si>
    <t>Gen:0 Trial:0 w:66; Trial:19 w:64; Gen:2 Trial:244 w:62; Gen:4 Trial:438 w:58; Gen:6 Trial:618 w:54; Gen:8 Trial:827 w:52; Gen:10 Trial:1059 w:50; Gen:13 Trial:1316 w:48; Gen:15 Trial:1501 w:46; Gen:16 Trial:1656 w:44; Gen:29 Trial:2991 w:42; Trial:2992 w:40; Gen:76 Trial:7629 w:38; pErr:0.0678, weight 38 CW found:986, wDict:38:987,40:2514,42:390,44:1104,46:254,48:293,50:233,52:247,54:199,56:198,58:225,60:242,62:277,64:326,66:258,68:230,70:204,72:185,74:170,76:149,78:126,80:110,82:102,84:97,86:82,88:99,90:85,92:92,94:71,96:69,98:77,100:69,102:60,104:52,106:45,108:28,110:19,112:15,114:8,116:5,118:3,122:1</t>
  </si>
  <si>
    <t>Gen:0 Trial:0 w:112; Trial:1 w:94; Trial:2 w:88; Trial:3 w:76; Trial:4 w:58; Gen:1 Trial:107 w:52; Gen:4 Trial:490 w:50; Gen:6 Trial:615 w:46; Gen:7 Trial:704 w:44; Gen:10 Trial:1065 w:42; Gen:15 Trial:1531 w:40; Gen:41 Trial:4173 w:38; Gen:43 Trial:4378 w:36; Gen:50 Trial:5061 w:34; pErr:0.0930, weight 34 CW found:2306, wDict:34:1985,36:479,38:317,40:1343,42:589,44:596,46:382,48:371,50:323,52:323,54:169,56:183,58:199,60:188,62:195,64:196,66:225,68:222,70:216,72:175,74:148,76:165,78:155,80:106,82:103,84:74,86:66,88:57,90:71,92:53,94:53,96:54,98:37,100:43,102:29,104:32,106:26,108:25,110:15,112:6,114:3,116:1,118:1,120:1</t>
  </si>
  <si>
    <t>Gen:0 Trial:0 w:100; Trial:4 w:92; Trial:7 w:90; Trial:19 w:74; Trial:80 w:72; Gen:1 Trial:116 w:54; Gen:4 Trial:466 w:50; Gen:5 Trial:517 w:46; Gen:8 Trial:837 w:44; Gen:12 Trial:1220 w:42; Gen:15 Trial:1546 w:38; Gen:98 Trial:9884 w:36; pErr:0.1432, weight 36 CW found:71, wDict:36:8,38:4202,40:488,42:792,44:474,46:464,48:302,50:405,52:246,54:350,56:268,58:240,60:194,62:173,64:130,66:122,68:130,70:89,72:72,74:80,76:72,78:68,80:70,82:68,84:70,86:56,88:63,90:50,92:43,94:30,96:27,98:22,100:28,102:18,104:27,106:9,108:12,110:12,112:10,114:3,116:4,118:2,120:4,122:3</t>
  </si>
  <si>
    <t>Gen:0 Trial:0 w:98; Trial:1 w:90; Trial:2 w:74; Trial:34 w:66; Trial:67 w:58; Gen:1 Trial:119 w:52; Gen:4 Trial:417 w:50; Gen:6 Trial:631 w:48; Trial:679 w:42; Gen:9 Trial:946 w:38; Gen:16 Trial:1603 w:36; pErr:0.0593, weight 36 CW found:3392, wDict:36:4129,38:590,40:365,42:382,44:248,46:277,48:340,50:393,52:356,54:338,56:261,58:220,60:201,62:187,64:148,66:159,68:134,70:99,72:100,74:68,76:65,78:68,80:63,82:45,84:44,86:39,88:47,90:56,92:58,94:62,96:60,98:68,100:54,102:55,104:63,106:59,108:32,110:21,112:21,114:14,116:4,118:6,120:1</t>
  </si>
  <si>
    <t>Gen:0 Trial:0 w:118; Trial:1 w:74; Trial:34 w:62; Trial:73 w:52; Gen:1 Trial:100 w:46; Gen:8 Trial:826 w:44; Gen:37 Trial:3773 w:42; Gen:44 Trial:4448 w:40; Gen:54 Trial:5485 w:38; Gen:70 Trial:7071 w:36; Gen:77 Trial:7765 w:34; pErr:0.1368, weight 34 CW found:1274, wDict:34:892,36:465,38:579,40:562,42:344,44:338,46:740,48:173,50:163,52:101,54:203,56:173,58:233,60:188,62:272,64:266,66:228,68:303,70:270,72:323,74:315,76:332,78:307,80:339,82:237,84:221,86:200,88:203,90:171,92:123,94:111,96:108,98:95,100:81,102:61,104:64,106:49,108:34,110:42,112:37,114:27,116:19,118:3,120:3,122:2</t>
  </si>
  <si>
    <t>Gen:0 Trial:0 w:102; Trial:4 w:100; Trial:7 w:86; Trial:12 w:78; Trial:37 w:72; Trial:46 w:68; Trial:50 w:66; Gen:1 Trial:107 w:64; Trial:109 w:62; Trial:120 w:56; Gen:3 Trial:302 w:54; Trial:312 w:52; Trial:395 w:50; Gen:4 Trial:407 w:46; Gen:6 Trial:617 w:44; Trial:630 w:42; Gen:8 Trial:842 w:40; Gen:11 Trial:1128 w:38; Gen:27 Trial:2785 w:36; Gen:30 Trial:3043 w:34; pErr:0.0486, weight 34 CW found:2536, wDict:34:3507,36:564,38:1120,40:705,42:418,44:297,46:176,48:119,50:105,52:116,54:127,56:191,58:116,60:129,62:164,64:178,66:203,68:218,70:180,72:180,74:151,76:150,78:107,80:89,82:77,84:63,86:51,88:62,90:67,92:51,94:53,96:52,98:34,100:34,102:34,104:27,106:30,108:24,110:8,112:8,114:7,116:2,118:4,120:2</t>
  </si>
  <si>
    <t>Gen:0 Trial:0 w:98; Trial:8 w:94; Trial:13 w:92; Trial:17 w:78; Trial:34 w:64; Trial:38 w:58; Gen:1 Trial:101 w:54; Gen:2 Trial:243 w:52; Gen:3 Trial:366 w:50; Gen:4 Trial:401 w:46; Gen:8 Trial:830 w:44; Gen:22 Trial:2270 w:42; Gen:28 Trial:2841 w:40; Gen:34 Trial:3441 w:38; Gen:39 Trial:3930 w:36; Gen:62 Trial:6253 w:34; pErr:0.0904, weight 34 CW found:1757, wDict:34:1693,36:1236,38:396,40:443,42:408,44:900,46:603,48:292,50:228,52:326,54:291,56:196,58:273,60:194,62:216,64:220,66:237,68:224,70:226,72:220,74:162,76:165,78:138,80:105,82:78,84:78,86:63,88:63,90:46,92:47,94:42,96:36,98:35,100:31,102:18,104:16,106:19,108:16,110:7,112:3,114:4,116:2,118:1,120:1,122:2</t>
  </si>
  <si>
    <t>Gen:0 Trial:0 w:106; Trial:1 w:90; Trial:2 w:82; Trial:5 w:70; Trial:24 w:66; Gen:1 Trial:114 w:64; Gen:2 Trial:254 w:62; Gen:3 Trial:322 w:54; Gen:6 Trial:697 w:50; Gen:9 Trial:934 w:48; Gen:12 Trial:1233 w:46; Gen:13 Trial:1393 w:42; Gen:32 Trial:3224 w:40; Gen:38 Trial:3816 w:38; Gen:41 Trial:4102 w:36; pErr:0.0828, weight 36 CW found:2713, wDict:36:2648,38:316,40:437,42:151,44:188,46:1196,48:490,50:431,52:333,54:350,56:281,58:268,60:220,62:293,64:239,66:235,68:244,70:208,72:175,74:170,76:137,78:113,80:118,82:94,84:98,86:74,88:88,90:82,92:49,94:57,96:43,98:35,100:28,102:33,104:25,106:19,108:8,110:9,112:10,114:2,116:3,118:2</t>
  </si>
  <si>
    <t>Gen:0 Trial:0 w:112; Trial:1 w:106; Trial:4 w:98; Trial:7 w:96; Trial:8 w:76; Trial:36 w:62; Gen:1 Trial:104 w:60; Gen:2 Trial:242 w:56; Gen:3 Trial:326 w:54; Gen:4 Trial:401 w:52; Trial:434 w:48; Gen:6 Trial:607 w:44; Gen:19 Trial:1941 w:42; Gen:53 Trial:5372 w:38; Gen:56 Trial:5697 w:36; Gen:96 Trial:9640 w:34; pErr:0.1037, weight 34 CW found:180, wDict:34:74,36:1698,38:251,40:118,42:1583,44:725,46:348,48:356,50:288,52:292,54:313,56:368,58:377,60:350,62:382,64:283,66:304,68:225,70:185,72:152,74:176,76:143,78:106,80:101,82:93,84:80,86:76,88:76,90:59,92:69,94:50,96:50,98:37,100:49,102:35,104:35,106:22,108:33,110:15,112:7,114:7,116:3,118:4,120:1,122:1</t>
  </si>
  <si>
    <t>Gen:0 Trial:0 w:104; Trial:1 w:100; Trial:2 w:94; Trial:3 w:88; Trial:4 w:86; Trial:10 w:80; Trial:16 w:48; Gen:2 Trial:202 w:44; Gen:3 Trial:305 w:40; Gen:4 Trial:402 w:36; Gen:10 Trial:1037 w:34; pErr:0.0887, weight 34 CW found:4208, wDict:34:4010,36:537,38:472,40:264,42:287,44:307,46:191,48:228,50:180,52:137,54:159,56:197,58:231,60:242,62:262,64:222,66:201,68:194,70:140,72:151,74:143,76:120,78:88,80:99,82:91,84:73,86:63,88:71,90:77,92:69,94:65,96:75,98:62,100:48,102:52,104:48,106:47,108:33,110:26,112:16,114:10,116:3,118:3,120:4,122:1,126:1</t>
  </si>
  <si>
    <t>Gen:0 Trial:0 w:100; Trial:1 w:94; Trial:5 w:92; Trial:17 w:86; Trial:18 w:74; Trial:33 w:72; Gen:1 Trial:116 w:70; Trial:133 w:68; Trial:150 w:64; Gen:2 Trial:213 w:50; Gen:4 Trial:412 w:48; Gen:8 Trial:877 w:44; Gen:42 Trial:4255 w:40; Gen:57 Trial:5768 w:38; Gen:66 Trial:6628 w:34; pErr:0.0828, weight 34 CW found:1519, wDict:34:1640,36:61,38:480,40:585,42:145,44:1562,46:184,48:359,50:180,52:180,54:197,56:234,58:209,60:242,62:292,64:334,66:383,68:330,70:330,72:260,74:248,76:167,78:175,80:135,82:140,84:131,86:112,88:81,90:91,92:67,94:73,96:66,98:66,100:54,102:37,104:52,106:28,108:15,110:28,112:19,114:12,116:8,118:8</t>
  </si>
  <si>
    <t>Gen:0 Trial:0 w:112; Trial:1 w:94; Trial:2 w:92; Trial:4 w:84; Trial:16 w:76; Trial:25 w:70; Gen:1 Trial:101 w:66; Trial:111 w:60; Trial:135 w:58; Gen:2 Trial:207 w:54; Gen:3 Trial:366 w:52; Gen:5 Trial:535 w:50; Gen:11 Trial:1184 w:48; Gen:17 Trial:1732 w:46; Gen:19 Trial:1963 w:44; Gen:38 Trial:3846 w:42; Gen:40 Trial:4005 w:40; pErr:0.1316, weight 40 CW found:3420, wDict:40:2320,42:241,44:1121,46:338,48:422,50:633,52:368,54:299,56:335,58:549,60:449,62:457,64:456,66:350,68:264,70:223,72:173,74:104,76:98,78:79,80:73,82:73,84:55,86:60,88:38,90:49,92:38,94:42,96:48,98:43,100:43,102:28,104:30,106:37,108:15,110:19,112:14,114:6,116:3,118:4,120:3</t>
  </si>
  <si>
    <t>Gen:0 Trial:0 w:114; Trial:1 w:98; Trial:5 w:88; Trial:11 w:82; Trial:12 w:76; Trial:25 w:72; Gen:1 Trial:110 w:62; Gen:2 Trial:205 w:60; Trial:206 w:56; Gen:3 Trial:324 w:54; Gen:4 Trial:400 w:52; Gen:5 Trial:503 w:44; Gen:7 Trial:725 w:42; Gen:9 Trial:943 w:40; Gen:21 Trial:2179 w:38; pErr:0.0431, weight 38 CW found:3128, wDict:38:3703,40:760,42:1090,44:479,46:366,48:225,50:227,52:273,54:252,56:208,58:281,60:259,62:239,64:209,66:190,68:152,70:115,72:101,74:73,76:81,78:75,80:46,82:67,84:45,86:42,88:40,90:45,92:40,94:39,96:46,98:38,100:36,102:32,104:39,106:23,108:25,110:12,112:9,114:12,116:3,118:1,120:1,122:1</t>
  </si>
  <si>
    <t>Gen:0 Trial:0 w:96; Trial:3 w:92; Trial:5 w:90; Trial:14 w:72; Gen:1 Trial:139 w:68; Gen:2 Trial:201 w:64; Trial:224 w:58; Trial:269 w:56; Gen:3 Trial:311 w:52; Trial:317 w:50; Gen:5 Trial:512 w:48; Gen:8 Trial:807 w:46; Gen:9 Trial:906 w:44; Gen:11 Trial:1144 w:42; Gen:21 Trial:2127 w:40; Gen:26 Trial:2625 w:38; Gen:54 Trial:5450 w:36; pErr:0.0898, weight 36 CW found:2212, wDict:36:1833,38:1088,40:526,42:702,44:422,46:325,48:509,50:374,52:417,54:412,56:447,58:417,60:337,62:279,64:271,66:229,68:185,70:164,72:145,74:128,76:83,78:65,80:54,82:39,84:62,86:47,88:49,90:26,92:43,94:31,96:38,98:34,100:36,102:24,104:36,106:26,108:22,110:23,112:18,114:10,116:11,118:6,120:2,122:1,124:2,126:1,132:1</t>
  </si>
  <si>
    <t>Gen:0 Trial:0 w:96; Trial:1 w:92; Trial:9 w:84; Trial:14 w:80; Trial:37 w:76; Trial:88 w:66; Gen:1 Trial:106 w:60; Trial:122 w:50; Gen:8 Trial:876 w:48; Gen:9 Trial:994 w:46; Gen:15 Trial:1535 w:44; Gen:16 Trial:1600 w:40; Gen:19 Trial:1970 w:38; Gen:23 Trial:2351 w:36; pErr:0.0409, weight 36 CW found:2803, wDict:36:4304,38:445,40:676,42:319,44:217,46:377,48:316,50:397,52:344,54:284,56:227,58:238,60:185,62:128,64:141,66:113,68:71,70:65,72:86,74:75,76:70,78:59,80:66,82:67,84:63,86:50,88:44,90:61,92:47,94:53,96:60,98:56,100:47,102:55,104:43,106:34,108:36,110:28,112:19,114:14,116:9,118:5,120:3,122:2,124:1</t>
  </si>
  <si>
    <t>Gen:0 Trial:0 w:104; Trial:1 w:90; Trial:9 w:70; Trial:57 w:60; Gen:2 Trial:221 w:58; Gen:5 Trial:505 w:54; Gen:7 Trial:729 w:52; Gen:10 Trial:1032 w:50; Gen:11 Trial:1149 w:48; Gen:13 Trial:1306 w:46; Gen:15 Trial:1525 w:44; Gen:17 Trial:1721 w:42; Gen:18 Trial:1833 w:40; Gen:22 Trial:2273 w:38; Gen:31 Trial:3166 w:36; pErr:0.1742, weight 36 CW found:4519, wDict:36:2222,38:588,40:484,42:288,44:281,46:265,48:278,50:262,52:268,54:293,56:244,58:442,60:398,62:321,64:339,66:374,68:339,70:317,72:286,74:245,76:202,78:175,80:124,82:129,84:102,86:73,88:75,90:83,92:73,94:74,96:66,98:64,100:50,102:53,104:38,106:30,108:11,110:15,112:16,114:4,116:6,118:2,120:1</t>
  </si>
  <si>
    <t>Gen:0 Trial:0 w:106; Trial:3 w:100; Trial:5 w:78; Trial:9 w:60; Trial:60 w:42; Gen:3 Trial:327 w:38; Gen:26 Trial:2682 w:36; pErr:0.0711, weight 36 CW found:3218, wDict:36:3458,38:1480,40:398,42:225,44:231,46:132,48:170,50:159,52:180,54:195,56:261,58:285,60:237,62:284,64:323,66:308,68:253,70:234,72:175,74:134,76:114,78:89,80:81,82:69,84:49,86:54,88:52,90:34,92:41,94:35,96:43,98:29,100:30,102:25,104:42,106:26,108:15,110:13,112:12,114:13,116:6,118:3,120:2,122:1</t>
  </si>
  <si>
    <t>Gen:0 Trial:0 w:108; Trial:1 w:100; Trial:4 w:98; Trial:5 w:90; Trial:6 w:80; Trial:7 w:78; Trial:28 w:70; Trial:50 w:60; Trial:63 w:58; Gen:1 Trial:129 w:52; Gen:4 Trial:424 w:50; Gen:5 Trial:506 w:44; Gen:6 Trial:612 w:42; Gen:8 Trial:827 w:40; Gen:9 Trial:901 w:36; Gen:15 Trial:1593 w:34; pErr:0.0652, weight 34 CW found:3433, wDict:34:4512,36:543,38:323,40:318,42:242,44:133,46:186,48:163,50:224,52:246,54:300,56:250,58:252,60:259,62:241,64:267,66:209,68:195,70:163,72:140,74:105,76:95,78:70,80:57,82:46,84:47,86:41,88:36,90:29,92:53,94:32,96:42,98:38,100:31,102:28,104:23,106:19,108:17,110:9,112:6,114:3,116:3,118:1,120:3</t>
  </si>
  <si>
    <t>Gen:0 Trial:0 w:110; Trial:1 w:94; Trial:3 w:88; Trial:17 w:84; Trial:27 w:82; Trial:44 w:78; Trial:67 w:74; Gen:1 Trial:108 w:72; Trial:171 w:70; Trial:174 w:68; Trial:178 w:64; Gen:2 Trial:212 w:62; Gen:3 Trial:305 w:58; Gen:4 Trial:406 w:56; Trial:407 w:54; Gen:5 Trial:567 w:48; Gen:6 Trial:603 w:46; Gen:8 Trial:873 w:44; Gen:10 Trial:1024 w:42; Gen:24 Trial:2416 w:40; Gen:25 Trial:2505 w:34; pErr:0.0928, weight 34 CW found:3662, wDict:34:3193,36:391,38:371,40:179,42:977,44:262,46:232,48:222,50:184,52:233,54:263,56:281,58:305,60:250,62:265,64:306,66:253,68:237,70:213,72:178,74:170,76:138,78:120,80:72,82:99,84:74,86:73,88:67,90:50,92:54,94:46,96:51,98:38,100:26,102:32,104:16,106:23,108:12,110:15,112:8,114:8,116:5,118:6,122:2</t>
  </si>
  <si>
    <t>Gen:0 Trial:0 w:116; Trial:1 w:104; Trial:3 w:86; Trial:4 w:78; Trial:15 w:76; Trial:34 w:56; Gen:1 Trial:104 w:54; Gen:2 Trial:211 w:50; Trial:213 w:48; Gen:4 Trial:403 w:46; Trial:421 w:44; Gen:6 Trial:628 w:40; Gen:10 Trial:1089 w:38; Gen:13 Trial:1316 w:36; pErr:0.0740, weight 36 CW found:4035, wDict:36:4429,38:295,40:590,42:122,44:298,46:166,48:250,50:236,52:264,54:295,56:278,58:341,60:244,62:217,64:163,66:143,68:142,70:110,72:90,74:96,76:90,78:85,80:86,82:82,84:78,86:72,88:71,90:80,92:79,94:78,96:73,98:72,100:59,102:60,104:39,106:28,108:38,110:23,112:11,114:12,116:6,118:6,122:3</t>
  </si>
  <si>
    <t>outfile: /home/ucapmwe/dist-benchmark/results/bivariate_bicycle-QDistRndMW-20260215_181907.681634_85062422.txt</t>
  </si>
  <si>
    <t>Trial:0 w:92; Trial:2 w:58; Trial:132 w:56; Trial:1194 w:50; Trial:2746 w:40; pErr:0.3679, weight 40 CW found:9183, wDict:40:1,44:1,46:2,48:3,50:8,52:2,54:12,56:11,58:21,60:16,62:14,64:34,66:34,68:42,70:76,72:70,74:76,76:96,78:130,80:151,82:162,84:268,86:309,88:327,90:378,92:475,94:584,96:652,98:710,100:686,102:771,104:698,106:699,108:658,110:517,112:418,114:354,116:223,118:140,120:83,122:53,124:21,126:10,128:4</t>
  </si>
  <si>
    <t>Trial:0 w:98; Trial:9 w:68; Trial:366 w:62; Trial:546 w:54; Trial:1152 w:44; Trial:1515 w:42; pErr:0.3679, weight 42 CW found:10780, wDict:42:1,44:1,46:4,50:2,52:3,54:3,56:14,58:18,60:23,62:31,64:24,66:36,68:51,70:60,72:59,74:82,76:101,78:118,80:164,82:172,84:229,86:272,88:341,90:395,92:473,94:546,96:581,98:682,100:736,102:699,104:762,106:699,108:640,110:549,112:466,114:358,116:271,118:165,120:87,122:51,124:21,126:4,128:4,130:2</t>
  </si>
  <si>
    <t>Trial:0 w:100; Trial:3 w:92; Trial:11 w:82; Trial:43 w:62; Trial:57 w:58; Trial:284 w:52; Trial:1756 w:50; Trial:5762 w:48; Trial:6532 w:44; pErr:0.3679, weight 44 CW found:4360, wDict:44:2,46:1,48:3,50:4,52:10,54:6,56:9,58:18,60:14,62:18,64:37,66:47,68:49,70:44,72:72,74:67,76:104,78:117,80:173,82:189,84:249,86:271,88:385,90:382,92:485,94:551,96:585,98:654,100:704,102:733,104:761,106:720,108:646,110:516,112:434,114:352,116:245,118:170,120:91,122:43,124:25,126:7,128:6,130:1</t>
  </si>
  <si>
    <t>Trial:0 w:100; Trial:1 w:48; Trial:1773 w:42; Trial:6106 w:40; pErr:0.3679, weight 40 CW found:4905, wDict:40:1,42:1,48:3,50:1,52:7,54:11,56:11,58:10,60:15,62:19,64:33,66:25,68:43,70:55,72:52,74:91,76:115,78:128,80:158,82:175,84:233,86:265,88:336,90:377,92:479,94:555,96:598,98:658,100:716,102:766,104:725,106:726,108:686,110:568,112:452,114:351,116:224,118:143,120:89,122:46,124:38,126:13,128:1,130:1</t>
  </si>
  <si>
    <t>Trial:0 w:86; Trial:10 w:84; Trial:23 w:82; Trial:29 w:70; Trial:43 w:54; Trial:1095 w:50; Trial:1597 w:46; Trial:1742 w:44; Trial:6252 w:42; Trial:6520 w:38; pErr:0.3679, weight 38 CW found:4393, wDict:38:1,42:1,44:1,46:1,48:4,50:4,52:4,54:12,56:13,58:12,60:15,62:22,64:33,66:32,68:40,70:63,72:68,74:78,76:98,78:123,80:160,82:173,84:256,86:275,88:327,90:393,92:496,94:570,96:576,98:670,100:734,102:767,104:720,106:721,108:677,110:519,112:432,114:352,116:240,118:130,120:86,122:50,124:34,126:13,128:1,130:2,132:1</t>
  </si>
  <si>
    <t>Trial:0 w:114; Trial:1 w:98; Trial:5 w:96; Trial:6 w:84; Trial:35 w:76; Trial:80 w:74; Trial:112 w:62; Trial:121 w:60; Trial:150 w:50; Trial:1821 w:48; Trial:2995 w:38; pErr:0.3679, weight 38 CW found:8813, wDict:38:1,44:1,46:1,48:4,50:9,52:11,54:9,56:9,58:10,60:20,62:24,64:22,66:38,68:40,70:54,72:68,74:67,76:106,78:130,80:162,82:205,84:252,86:288,88:351,90:399,92:482,94:511,96:601,98:635,100:713,102:696,104:800,106:735,108:626,110:544,112:460,114:346,116:254,118:141,120:102,122:42,124:18,126:5,128:5,130:2,132:1</t>
  </si>
  <si>
    <t>Trial:0 w:92; Trial:3 w:88; Trial:4 w:82; Trial:5 w:72; Trial:15 w:60; Trial:425 w:56; Trial:610 w:42; Trial:8017 w:40; pErr:0.3679, weight 40 CW found:2506, wDict:40:1,42:2,46:1,48:3,50:2,52:4,54:7,56:14,58:12,60:17,62:25,64:34,66:41,68:54,70:47,72:75,74:94,76:110,78:115,80:176,82:180,84:236,86:297,88:345,90:411,92:449,94:503,96:650,98:655,100:718,102:770,104:728,106:709,108:658,110:543,112:438,114:345,116:239,118:140,120:81,122:44,124:15,126:6,128:5,130:1</t>
  </si>
  <si>
    <t>Trial:0 w:82; Trial:6 w:74; Trial:22 w:58; Trial:101 w:56; Trial:464 w:52; Trial:638 w:50; Trial:2382 w:46; Trial:6069 w:44; Trial:8643 w:40; pErr:0.3679, weight 40 CW found:1720, wDict:40:1,44:1,46:3,48:5,50:5,52:4,54:8,56:12,58:15,60:15,62:21,64:22,66:31,68:41,70:58,72:68,74:83,76:116,78:116,80:152,82:206,84:218,86:268,88:313,90:404,92:481,94:567,96:622,98:671,100:711,102:794,104:767,106:666,108:659,110:538,112:441,114:325,116:235,118:159,120:77,122:54,124:24,126:18,128:4,130:1</t>
  </si>
  <si>
    <t>Trial:0 w:108; Trial:2 w:98; Trial:6 w:72; Trial:49 w:60; Trial:51 w:50; Trial:456 w:48; Trial:2477 w:42; pErr:0.3679, weight 42 CW found:9510, wDict:42:1,44:3,46:2,48:2,50:3,52:7,54:9,56:14,58:14,60:15,62:27,64:24,66:39,68:41,70:61,72:56,74:76,76:88,78:123,80:148,82:167,84:231,86:286,88:298,90:409,92:461,94:548,96:639,98:662,100:786,102:731,104:755,106:742,108:631,110:546,112:435,114:333,116:250,118:162,120:80,122:54,124:20,126:10,128:8,130:2,132:1</t>
  </si>
  <si>
    <t>Trial:0 w:90; Trial:4 w:72; Trial:9 w:68; Trial:12 w:66; Trial:82 w:60; Trial:204 w:58; Trial:233 w:56; Trial:858 w:46; Trial:1432 w:44; Trial:8262 w:42; pErr:0.3679, weight 42 CW found:2170, wDict:42:1,44:3,46:4,48:3,50:3,52:6,54:10,56:12,58:11,60:19,62:25,64:27,66:52,68:56,70:57,72:57,74:82,76:101,78:120,80:153,82:185,84:233,86:280,88:344,90:405,92:492,94:498,96:614,98:674,100:727,102:722,104:742,106:726,108:682,110:582,112:410,114:330,116:226,118:140,120:94,122:56,124:23,126:10,128:2,132:1</t>
  </si>
  <si>
    <t>Trial:0 w:114; Trial:1 w:96; Trial:2 w:86; Trial:6 w:84; Trial:28 w:78; Trial:31 w:76; Trial:60 w:72; Trial:205 w:58; Trial:461 w:46; Trial:1702 w:40; pErr:0.3679, weight 40 CW found:10505, wDict:40:1,42:2,44:1,46:4,48:1,50:4,52:8,54:4,56:11,58:11,60:17,62:21,64:27,66:32,68:48,70:66,72:76,74:93,76:101,78:120,80:143,82:208,84:253,86:260,88:351,90:408,92:491,94:545,96:636,98:672,100:688,102:741,104:743,106:712,108:656,110:538,112:413,114:331,116:234,118:148,120:90,122:51,124:20,126:15,128:4,130:1</t>
  </si>
  <si>
    <t>Trial:0 w:106; Trial:1 w:94; Trial:2 w:90; Trial:6 w:82; Trial:11 w:74; Trial:23 w:62; Trial:33 w:60; Trial:34 w:58; Trial:314 w:48; Trial:7085 w:44; pErr:0.3679, weight 44 CW found:3663, wDict:44:1,48:4,50:1,52:8,54:7,56:10,58:13,60:17,62:21,64:30,66:47,68:43,70:56,72:71,74:83,76:96,78:119,80:156,82:183,84:246,86:298,88:346,90:404,92:487,94:553,96:608,98:668,100:694,102:761,104:754,106:691,108:608,110:546,112:447,114:366,116:241,118:145,120:82,122:45,124:21,126:18,128:4,132:1</t>
  </si>
  <si>
    <t>Trial:0 w:84; Trial:15 w:80; Trial:27 w:74; Trial:56 w:66; Trial:121 w:50; Trial:2582 w:48; Trial:6284 w:40; pErr:0.3679, weight 40 CW found:4721, wDict:40:1,48:3,50:9,52:2,54:3,56:11,58:7,60:16,62:26,64:32,66:29,68:36,70:50,72:81,74:101,76:88,78:124,80:150,82:179,84:233,86:300,88:313,90:421,92:467,94:598,96:602,98:695,100:710,102:784,104:726,106:706,108:647,110:539,112:440,114:336,116:225,118:149,120:83,122:42,124:24,126:5,128:5,130:2</t>
  </si>
  <si>
    <t>Trial:0 w:76; Trial:48 w:58; Trial:948 w:54; Trial:2411 w:50; Trial:2750 w:48; Trial:4457 w:46; Trial:9406 w:42; pErr:0.3679, weight 42 CW found:736, wDict:42:1,46:1,48:4,50:4,52:6,54:8,56:13,58:15,60:19,62:25,64:38,66:36,68:40,70:39,72:62,74:86,76:95,78:113,80:163,82:218,84:224,86:278,88:321,90:395,92:473,94:518,96:613,98:652,100:731,102:766,104:772,106:691,108:651,110:545,112:438,114:374,116:255,118:150,120:93,122:46,124:16,126:9,128:3</t>
  </si>
  <si>
    <t>Trial:0 w:108; Trial:1 w:104; Trial:2 w:98; Trial:5 w:76; Trial:29 w:60; Trial:394 w:58; Trial:585 w:56; Trial:830 w:50; Trial:4007 w:48; Trial:4417 w:42; pErr:0.3679, weight 42 CW found:7005, wDict:42:2,46:1,48:1,50:5,52:6,54:8,56:13,58:18,60:23,62:22,64:26,66:34,68:48,70:60,72:59,74:82,76:110,78:126,80:171,82:196,84:203,86:294,88:314,90:387,92:492,94:563,96:613,98:715,100:746,102:748,104:699,106:679,108:631,110:540,112:472,114:326,116:220,118:160,120:105,122:47,124:22,126:10,128:2,130:1</t>
  </si>
  <si>
    <t>Trial:0 w:98; Trial:2 w:72; Trial:27 w:66; Trial:125 w:64; Trial:147 w:60; Trial:233 w:54; Trial:1303 w:42; Trial:7703 w:36; pErr:0.3679, weight 36 CW found:2856, wDict:36:1,42:2,44:2,46:2,50:5,52:7,54:6,56:15,58:17,60:18,62:18,64:25,66:48,68:38,70:52,72:65,74:86,76:96,78:111,80:144,82:201,84:255,86:296,88:329,90:414,92:503,94:547,96:611,98:697,100:715,102:745,104:780,106:724,108:597,110:526,112:449,114:325,116:234,118:138,120:76,122:55,124:16,126:6,128:2,134:1</t>
  </si>
  <si>
    <t>Trial:0 w:92; Trial:4 w:58; Trial:288 w:54; Trial:1637 w:50; Trial:2186 w:48; Trial:2421 w:44; Trial:3424 w:40; Trial:8279 w:38; pErr:0.3679, weight 38 CW found:2200, wDict:38:1,40:1,42:2,44:1,46:1,48:3,50:4,52:7,54:12,56:10,58:14,60:17,62:22,64:31,66:37,68:46,70:46,72:67,74:73,76:95,78:122,80:152,82:210,84:238,86:295,88:304,90:411,92:478,94:528,96:609,98:694,100:770,102:728,104:718,106:718,108:631,110:547,112:444,114:316,116:240,118:179,120:97,122:44,124:20,126:11,128:5,130:1</t>
  </si>
  <si>
    <t>Trial:0 w:96; Trial:4 w:84; Trial:5 w:74; Trial:19 w:70; Trial:54 w:62; Trial:119 w:60; Trial:364 w:56; Trial:1165 w:54; Trial:1497 w:50; Trial:2004 w:44; pErr:0.3679, weight 44 CW found:10079, wDict:44:2,46:1,48:3,50:3,52:3,54:10,56:16,58:16,60:22,62:27,64:28,66:41,68:49,70:53,72:64,74:85,76:110,78:139,80:152,82:193,84:241,86:294,88:336,90:395,92:445,94:535,96:603,98:698,100:735,102:715,104:729,106:697,108:655,110:574,112:435,114:341,116:246,118:148,120:90,122:38,124:22,126:5,128:5,130:1</t>
  </si>
  <si>
    <t>Trial:0 w:108; Trial:1 w:106; Trial:3 w:102; Trial:4 w:94; Trial:6 w:78; Trial:16 w:66; Trial:45 w:60; Trial:84 w:54; Trial:2068 w:52; Trial:2282 w:48; Trial:3874 w:42; pErr:0.3679, weight 42 CW found:7719, wDict:42:2,46:1,48:3,50:5,52:7,54:7,56:9,58:16,60:23,62:19,64:30,66:40,68:41,70:36,72:65,74:70,76:96,78:123,80:151,82:193,84:217,86:277,88:345,90:418,92:444,94:569,96:659,98:664,100:725,102:752,104:733,106:692,108:639,110:579,112:463,114:321,116:244,118:148,120:90,122:44,124:26,126:12,130:2</t>
  </si>
  <si>
    <t>Trial:0 w:92; Trial:5 w:90; Trial:9 w:68; Trial:41 w:64; Trial:45 w:60; Trial:535 w:58; Trial:564 w:52; Trial:664 w:50; Trial:880 w:48; Trial:1859 w:40; pErr:0.3679, weight 40 CW found:10245, wDict:40:1,42:1,48:5,50:10,52:7,54:10,56:11,58:9,60:21,62:19,64:28,66:37,68:38,70:51,72:66,74:74,76:93,78:133,80:156,82:177,84:261,86:284,88:322,90:413,92:467,94:585,96:602,98:659,100:704,102:741,104:760,106:749,108:633,110:568,112:444,114:315,116:239,118:144,120:75,122:44,124:28,126:10,128:5,130:1</t>
  </si>
  <si>
    <t>Trial:0 w:100; Trial:2 w:94; Trial:13 w:86; Trial:16 w:78; Trial:44 w:76; Trial:57 w:72; Trial:60 w:68; Trial:95 w:58; Trial:189 w:52; Trial:425 w:40; pErr:0.3679, weight 40 CW found:12055, wDict:40:1,44:1,46:1,48:3,50:5,52:10,54:12,56:10,58:16,60:11,62:23,64:38,66:39,68:46,70:59,72:78,74:102,76:100,78:121,80:163,82:175,84:232,86:279,88:319,90:411,92:504,94:512,96:643,98:681,100:714,102:780,104:714,106:683,108:627,110:560,112:415,114:356,116:251,118:145,120:91,122:34,124:23,126:10,128:1,130:1</t>
  </si>
  <si>
    <t>Trial:0 w:82; Trial:7 w:70; Trial:74 w:62; Trial:202 w:60; Trial:446 w:58; Trial:476 w:56; Trial:611 w:54; Trial:758 w:46; Trial:1778 w:42; Trial:4462 w:40; pErr:0.3679, weight 40 CW found:6943, wDict:40:1,42:1,44:2,46:1,48:2,50:1,52:4,54:8,56:15,58:10,60:11,62:27,64:29,66:39,68:50,70:36,72:78,74:87,76:87,78:144,80:166,82:192,84:235,86:303,88:344,90:403,92:461,94:520,96:629,98:674,100:701,102:762,104:755,106:688,108:657,110:571,112:416,114:334,116:238,118:151,120:78,122:53,124:18,126:8,128:7,130:2,132:1</t>
  </si>
  <si>
    <t>Trial:0 w:108; Trial:2 w:100; Trial:4 w:94; Trial:8 w:76; Trial:13 w:72; Trial:72 w:60; Trial:226 w:44; Trial:5077 w:38; pErr:0.3679, weight 38 CW found:6139, wDict:38:1,40:1,42:1,44:2,46:1,48:1,50:3,52:5,54:5,56:6,58:11,60:16,62:20,64:31,66:46,68:45,70:62,72:71,74:85,76:99,78:124,80:163,82:174,84:260,86:255,88:332,90:385,92:468,94:541,96:643,98:623,100:741,102:792,104:778,106:692,108:639,110:543,112:447,114:333,116:217,118:153,120:94,122:51,124:24,126:9,128:5,130:2</t>
  </si>
  <si>
    <t>Trial:0 w:94; Trial:1 w:82; Trial:9 w:80; Trial:48 w:74; Trial:50 w:64; Trial:52 w:62; Trial:63 w:56; Trial:146 w:50; Trial:418 w:48; Trial:498 w:46; pErr:0.3679, weight 46 CW found:11899, wDict:46:1,48:4,50:8,52:3,54:6,56:9,58:18,60:21,62:29,64:32,66:41,68:45,70:48,72:55,74:87,76:106,78:145,80:170,82:173,84:248,86:269,88:332,90:412,92:462,94:556,96:589,98:631,100:726,102:779,104:726,106:716,108:626,110:585,112:477,114:339,116:216,118:150,120:79,122:46,124:21,126:11,128:2,130:1</t>
  </si>
  <si>
    <t>Trial:0 w:100; Trial:2 w:52; Trial:641 w:50; Trial:1010 w:44; pErr:0.3679, weight 44 CW found:11369, wDict:44:1,46:3,48:5,50:4,52:5,54:7,56:11,58:17,60:17,62:18,64:21,66:40,68:42,70:54,72:79,74:60,76:111,78:110,80:139,82:192,84:242,86:280,88:338,90:419,92:490,94:554,96:617,98:695,100:732,102:770,104:765,106:688,108:569,110:540,112:451,114:349,116:242,118:154,120:99,122:33,124:26,126:8,128:2,130:1</t>
  </si>
  <si>
    <t>Trial:0 w:104; Trial:1 w:102; Trial:5 w:94; Trial:7 w:70; Trial:15 w:68; Trial:40 w:62; Trial:172 w:60; Trial:392 w:54; Trial:1091 w:52; Trial:3690 w:50; Trial:4260 w:48; Trial:4331 w:46; Trial:4956 w:44; Trial:9566 w:42; pErr:0.3679, weight 42 CW found:558, wDict:42:1,44:1,46:2,48:3,50:6,52:7,54:8,56:12,58:14,60:15,62:20,64:29,66:38,68:43,70:52,72:58,74:80,76:118,78:121,80:151,82:192,84:204,86:299,88:317,90:432,92:447,94:544,96:589,98:663,100:754,102:745,104:763,106:727,108:640,110:600,112:436,114:322,116:219,118:165,120:74,122:51,124:24,126:3,128:9,132:2</t>
  </si>
  <si>
    <t>Trial:0 w:90; Trial:5 w:86; Trial:11 w:68; Trial:62 w:54; Trial:1985 w:44; Trial:9261 w:42; pErr:0.3679, weight 42 CW found:935, wDict:42:1,44:3,46:3,48:1,50:3,52:5,54:7,56:5,58:20,60:16,62:24,64:30,66:35,68:45,70:57,72:55,74:85,76:97,78:126,80:134,82:178,84:218,86:277,88:313,90:389,92:528,94:545,96:623,98:674,100:708,102:767,104:753,106:741,108:673,110:560,112:433,114:328,116:224,118:149,120:102,122:36,124:17,126:7,128:5</t>
  </si>
  <si>
    <t>Trial:0 w:98; Trial:1 w:94; Trial:6 w:80; Trial:51 w:76; Trial:125 w:74; Trial:135 w:58; Trial:180 w:48; Trial:2784 w:46; Trial:4016 w:44; Trial:4718 w:42; pErr:0.3679, weight 42 CW found:6708, wDict:42:1,44:2,46:3,48:4,50:2,52:5,54:6,56:11,58:13,60:17,62:26,64:25,66:54,68:51,70:58,72:69,74:93,76:103,78:134,80:147,82:184,84:238,86:262,88:346,90:345,92:479,94:478,96:643,98:687,100:719,102:784,104:762,106:728,108:587,110:590,112:444,114:351,116:242,118:150,120:82,122:51,124:14,126:5,128:3,130:2</t>
  </si>
  <si>
    <t>Trial:0 w:92; Trial:2 w:88; Trial:7 w:84; Trial:10 w:82; Trial:16 w:64; Trial:107 w:62; Trial:373 w:58; Trial:732 w:56; Trial:1165 w:48; Trial:5106 w:46; Trial:7635 w:44; pErr:0.3679, weight 44 CW found:3025, wDict:44:3,46:1,48:9,50:6,52:4,54:7,56:14,58:13,60:16,62:21,64:33,66:35,68:52,70:56,72:78,74:82,76:102,78:124,80:168,82:168,84:213,86:284,88:301,90:383,92:477,94:555,96:599,98:700,100:714,102:729,104:749,106:737,108:640,110:564,112:466,114:334,116:251,118:134,120:83,122:52,124:22,126:14,128:5,130:2</t>
  </si>
  <si>
    <t>Trial:0 w:110; Trial:1 w:104; Trial:3 w:102; Trial:4 w:92; Trial:7 w:82; Trial:22 w:72; Trial:35 w:70; Trial:61 w:62; Trial:239 w:56; Trial:784 w:50; Trial:803 w:46; Trial:1475 w:44; Trial:6152 w:42; pErr:0.3679, weight 42 CW found:4806, wDict:42:2,44:2,46:2,48:2,50:8,52:6,54:7,56:15,58:12,60:12,62:24,64:22,66:39,68:46,70:54,72:69,74:86,76:103,78:104,80:166,82:198,84:226,86:276,88:332,90:412,92:490,94:552,96:603,98:666,100:724,102:754,104:770,106:702,108:657,110:585,112:438,114:342,116:215,118:122,120:84,122:37,124:16,126:9,128:4,130:3,132:2</t>
  </si>
  <si>
    <t>Trial:0 w:102; Trial:2 w:90; Trial:5 w:78; Trial:11 w:76; Trial:32 w:62; Trial:41 w:48; Trial:1429 w:42; Trial:5663 w:40; pErr:0.3679, weight 40 CW found:5460, wDict:40:1,42:3,46:2,48:3,50:3,52:3,54:4,56:8,58:21,60:15,62:20,64:29,66:36,68:32,70:46,72:72,74:74,76:82,78:114,80:165,82:198,84:257,86:282,88:314,90:420,92:469,94:569,96:649,98:720,100:701,102:741,104:774,106:681,108:632,110:529,112:453,114:320,116:240,118:154,120:90,122:49,124:12,126:9,128:3,130:1</t>
  </si>
  <si>
    <t>Trial:0 w:86; Trial:11 w:82; Trial:18 w:72; Trial:70 w:68; Trial:95 w:62; Trial:162 w:54; Trial:1662 w:46; Trial:3493 w:44; pErr:0.3679, weight 44 CW found:8174, wDict:44:1,46:5,48:1,50:6,52:4,54:8,56:7,58:18,60:25,62:22,64:28,66:40,68:43,70:59,72:54,74:100,76:102,78:131,80:149,82:195,84:217,86:296,88:321,90:372,92:483,94:572,96:619,98:689,100:712,102:710,104:712,106:703,108:677,110:548,112:453,114:352,116:240,118:138,120:105,122:37,124:29,126:10,128:6,130:1</t>
  </si>
  <si>
    <t>Trial:0 w:104; Trial:1 w:102; Trial:2 w:74; Trial:40 w:66; Trial:74 w:60; Trial:196 w:54; Trial:1947 w:44; pErr:0.3679, weight 44 CW found:10108, wDict:44:1,46:1,48:3,50:5,52:6,54:9,56:8,58:12,60:22,62:19,64:24,66:36,68:44,70:51,72:68,74:67,76:105,78:133,80:171,82:209,84:219,86:245,88:366,90:403,92:455,94:547,96:623,98:697,100:709,102:775,104:750,106:734,108:664,110:544,112:434,114:344,116:205,118:142,120:79,122:44,124:14,126:11,128:2</t>
  </si>
  <si>
    <t>Trial:0 w:110; Trial:2 w:78; Trial:21 w:54; Trial:1487 w:44; pErr:0.3679, weight 44 CW found:10745, wDict:44:2,46:4,48:2,50:2,52:7,54:8,56:4,58:15,60:19,62:20,64:25,66:32,68:42,70:63,72:77,74:98,76:121,78:115,80:170,82:192,84:211,86:271,88:352,90:409,92:468,94:568,96:622,98:669,100:667,102:774,104:745,106:691,108:642,110:578,112:455,114:316,116:227,118:157,120:80,122:44,124:18,126:12,128:4,130:2</t>
  </si>
  <si>
    <t>Trial:0 w:74; Trial:53 w:72; Trial:224 w:70; Trial:259 w:58; Trial:634 w:46; Trial:7390 w:44; Trial:7747 w:42; pErr:0.3679, weight 42 CW found:2802, wDict:42:1,44:1,46:1,48:2,50:5,52:6,54:4,56:10,58:15,60:18,62:24,64:22,66:40,68:50,70:42,72:78,74:105,76:109,78:136,80:172,82:171,84:278,86:256,88:356,90:404,92:493,94:568,96:612,98:620,100:719,102:757,104:686,106:678,108:687,110:552,112:460,114:365,116:195,118:162,120:75,122:36,124:18,126:11</t>
  </si>
  <si>
    <t>Trial:0 w:82; Trial:9 w:74; Trial:37 w:60; Trial:77 w:46; Trial:3570 w:44; Trial:6697 w:40; pErr:0.3679, weight 40 CW found:4129, wDict:40:1,44:1,46:1,48:6,50:4,52:8,54:8,56:12,58:13,60:25,62:22,64:24,66:36,68:39,70:57,72:75,74:79,76:119,78:145,80:151,82:175,84:229,86:292,88:330,90:429,92:505,94:525,96:604,98:694,100:692,102:761,104:769,106:670,108:630,110:549,112:452,114:309,116:232,118:146,120:83,122:57,124:25,126:10,128:4,130:2</t>
  </si>
  <si>
    <t>Trial:0 w:104; Trial:3 w:98; Trial:6 w:88; Trial:26 w:66; Trial:142 w:54; Trial:1056 w:48; Trial:2615 w:44; Trial:7316 w:42; pErr:0.3679, weight 42 CW found:3374, wDict:42:1,44:1,46:1,48:2,50:6,52:7,54:8,56:8,58:15,60:28,62:16,64:34,66:34,68:45,70:55,72:62,74:99,76:124,78:107,80:162,82:204,84:229,86:300,88:328,90:401,92:511,94:556,96:592,98:672,100:667,102:726,104:731,106:747,108:607,110:588,112:460,114:332,116:203,118:142,120:89,122:63,124:21,126:8,128:8</t>
  </si>
  <si>
    <t>Trial:0 w:124; Trial:1 w:120; Trial:2 w:98; Trial:9 w:92; Trial:12 w:82; Trial:53 w:76; Trial:76 w:70; Trial:174 w:68; Trial:484 w:52; Trial:1239 w:42; pErr:0.3679, weight 42 CW found:11074, wDict:42:2,44:1,46:2,48:4,50:3,52:4,54:5,56:7,58:21,60:16,62:27,64:31,66:38,68:47,70:58,72:68,74:82,76:109,78:136,80:168,82:172,84:221,86:290,88:346,90:410,92:484,94:552,96:640,98:656,100:734,102:734,104:732,106:715,108:632,110:576,112:444,114:296,116:218,118:153,120:83,122:42,124:25,126:13,128:1,130:2</t>
  </si>
  <si>
    <t>Trial:0 w:114; Trial:1 w:106; Trial:2 w:104; Trial:3 w:48; Trial:1693 w:46; Trial:7798 w:44; pErr:0.3679, weight 44 CW found:2715, wDict:44:1,46:2,48:3,50:6,52:6,54:6,56:2,58:8,60:16,62:21,64:29,66:38,68:38,70:52,72:70,74:83,76:93,78:106,80:157,82:174,84:230,86:311,88:360,90:404,92:458,94:564,96:592,98:681,100:760,102:778,104:729,106:701,108:625,110:586,112:431,114:353,116:218,118:154,120:89,122:36,124:22,126:4,128:3</t>
  </si>
  <si>
    <t>Trial:0 w:66; Trial:1 w:58; Trial:70 w:52; Trial:425 w:50; Trial:1993 w:48; Trial:6511 w:46; Trial:9111 w:42; pErr:0.3679, weight 42 CW found:1115, wDict:42:1,46:1,48:2,50:7,52:5,54:12,56:7,58:13,60:15,62:24,64:26,66:35,68:35,70:45,72:76,74:72,76:104,78:120,80:184,82:190,84:257,86:270,88:299,90:385,92:489,94:518,96:586,98:682,100:760,102:751,104:777,106:718,108:649,110:558,112:442,114:340,116:218,118:140,120:81,122:57,124:29,126:10,128:6,130:3,132:1</t>
  </si>
  <si>
    <t>Trial:0 w:102; Trial:1 w:72; Trial:14 w:70; Trial:61 w:68; Trial:81 w:60; Trial:94 w:56; Trial:585 w:52; Trial:2497 w:46; Trial:9952 w:44; pErr:0.3679, weight 44 CW found:52, wDict:44:1,46:3,48:1,50:3,52:8,54:10,56:10,58:12,60:19,62:22,64:31,66:26,68:52,70:46,72:69,74:97,76:114,78:110,80:149,82:187,84:242,86:290,88:335,90:411,92:475,94:545,96:602,98:694,100:702,102:765,104:754,106:689,108:654,110:567,112:434,114:350,116:210,118:154,120:85,122:44,124:17,126:7,128:2,130:1,132:1</t>
  </si>
  <si>
    <t>Trial:0 w:74; Trial:36 w:48; Trial:885 w:40; pErr:0.3679, weight 40 CW found:11512, wDict:40:1,42:2,44:3,46:1,48:5,50:1,52:4,54:7,56:8,58:20,60:22,62:23,64:22,66:36,68:33,70:52,72:64,74:78,76:114,78:133,80:136,82:184,84:222,86:275,88:313,90:400,92:475,94:538,96:632,98:696,100:739,102:758,104:766,106:652,108:691,110:593,112:423,114:329,116:247,118:128,120:86,122:50,124:22,126:13,128:2,130:1</t>
  </si>
  <si>
    <t>Trial:0 w:106; Trial:1 w:94; Trial:9 w:88; Trial:17 w:72; Trial:54 w:64; Trial:125 w:50; Trial:177 w:46; Trial:1696 w:44; Trial:5237 w:42; pErr:0.3679, weight 42 CW found:5929, wDict:42:3,44:3,46:3,48:3,50:3,52:9,54:5,56:14,58:17,60:21,62:28,64:26,66:33,68:61,70:46,72:75,74:76,76:83,78:123,80:162,82:190,84:229,86:311,88:338,90:411,92:466,94:580,96:610,98:697,100:669,102:787,104:726,106:711,108:658,110:522,112:423,114:340,116:240,118:133,120:91,122:40,124:21,126:10,128:3</t>
  </si>
  <si>
    <t>Trial:0 w:94; Trial:3 w:82; Trial:4 w:78; Trial:6 w:66; Trial:135 w:60; Trial:584 w:54; Trial:2184 w:48; Trial:2343 w:42; Trial:5847 w:38; pErr:0.3679, weight 38 CW found:5250, wDict:38:1,42:2,44:1,48:4,52:2,54:7,56:14,58:13,60:16,62:34,64:28,66:34,68:51,70:57,72:67,74:88,76:93,78:120,80:154,82:179,84:246,86:292,88:340,90:389,92:509,94:490,96:648,98:670,100:713,102:753,104:708,106:754,108:682,110:552,112:469,114:297,116:231,118:124,120:93,122:43,124:17,126:9,128:6</t>
  </si>
  <si>
    <t>Trial:0 w:92; Trial:1 w:78; Trial:5 w:70; Trial:250 w:58; Trial:869 w:56; Trial:889 w:54; Trial:1402 w:50; Trial:3986 w:48; Trial:6903 w:46; pErr:0.3679, weight 46 CW found:3885, wDict:46:2,48:3,50:7,52:3,54:6,56:13,58:11,60:16,62:19,64:22,66:50,68:43,70:58,72:80,74:82,76:98,78:108,80:135,82:200,84:235,86:269,88:321,90:433,92:450,94:504,96:627,98:676,100:738,102:745,104:766,106:658,108:689,110:558,112:438,114:368,116:221,118:166,120:93,122:54,124:21,126:10,128:4</t>
  </si>
  <si>
    <t>Trial:0 w:84; Trial:22 w:68; Trial:23 w:66; Trial:74 w:64; Trial:114 w:62; Trial:334 w:52; Trial:2069 w:42; pErr:0.3679, weight 42 CW found:10067, wDict:42:4,44:2,48:1,50:3,52:3,54:7,56:15,58:16,60:17,62:23,64:27,66:24,68:51,70:48,72:73,74:73,76:111,78:152,80:154,82:203,84:237,86:248,88:352,90:433,92:490,94:538,96:628,98:642,100:736,102:787,104:724,106:717,108:603,110:553,112:432,114:327,116:237,118:158,120:73,122:45,124:17,126:9,128:6,132:1</t>
  </si>
  <si>
    <t>Trial:0 w:94; Trial:15 w:66; Trial:41 w:58; Trial:344 w:56; Trial:619 w:52; Trial:1862 w:46; pErr:0.3679, weight 46 CW found:10211, wDict:46:2,48:2,50:5,52:6,54:4,56:11,58:15,60:16,62:24,64:28,66:38,68:35,70:58,72:56,74:82,76:117,78:124,80:132,82:175,84:226,86:291,88:339,90:405,92:509,94:518,96:628,98:720,100:720,102:720,104:744,106:757,108:671,110:567,112:414,114:329,116:202,118:150,120:84,122:36,124:23,126:11,128:4,130:2</t>
  </si>
  <si>
    <t>Trial:0 w:112; Trial:1 w:102; Trial:2 w:82; Trial:3 w:80; Trial:17 w:76; Trial:47 w:74; Trial:109 w:72; Trial:121 w:70; Trial:133 w:68; Trial:181 w:62; Trial:422 w:56; Trial:810 w:50; Trial:1820 w:48; Trial:2037 w:42; pErr:0.3679, weight 42 CW found:10063, wDict:42:2,46:1,48:3,50:4,52:4,54:5,56:9,58:8,60:19,62:33,64:31,66:31,68:50,70:55,72:79,74:86,76:118,78:112,80:156,82:206,84:196,86:305,88:358,90:387,92:511,94:543,96:588,98:666,100:703,102:788,104:754,106:677,108:628,110:534,112:473,114:367,116:245,118:130,120:66,122:41,124:20,126:2,128:4,130:2</t>
  </si>
  <si>
    <t>Trial:0 w:90; Trial:5 w:88; Trial:17 w:70; Trial:38 w:68; Trial:66 w:50; Trial:3965 w:42; pErr:0.3679, weight 42 CW found:7602, wDict:42:2,44:1,48:2,50:6,52:6,54:8,56:13,58:11,60:23,62:31,64:22,66:46,68:45,70:66,72:77,74:95,76:101,78:113,80:155,82:176,84:234,86:287,88:325,90:402,92:476,94:556,96:666,98:672,100:714,102:718,104:737,106:700,108:649,110:554,112:448,114:321,116:223,118:154,120:84,122:46,124:21,126:4,128:8,132:1,134:1</t>
  </si>
  <si>
    <t>Trial:0 w:102; Trial:1 w:96; Trial:8 w:94; Trial:9 w:72; Trial:57 w:64; Trial:218 w:60; Trial:474 w:54; Trial:492 w:52; Trial:2477 w:48; Trial:5449 w:46; Trial:8309 w:44; Trial:8687 w:40; pErr:0.3679, weight 40 CW found:1653, wDict:40:1,44:1,46:1,48:3,50:4,52:4,54:13,56:9,58:13,60:24,62:15,64:30,66:35,68:47,70:57,72:70,74:68,76:118,78:143,80:165,82:185,84:205,86:273,88:339,90:389,92:477,94:552,96:599,98:676,100:721,102:750,104:729,106:753,108:632,110:577,112:447,114:310,116:258,118:141,120:82,122:52,124:16,126:10,128:2,130:4</t>
  </si>
  <si>
    <t>Trial:0 w:92; Trial:4 w:90; Trial:9 w:74; Trial:19 w:72; Trial:58 w:66; Trial:65 w:64; Trial:144 w:52; Trial:240 w:46; pErr:0.3679, weight 46 CW found:12374, wDict:46:3,48:1,50:4,52:7,54:5,56:12,58:12,60:18,62:30,64:30,66:33,68:40,70:71,72:70,74:75,76:102,78:128,80:161,82:180,84:238,86:284,88:308,90:384,92:443,94:579,96:573,98:693,100:756,102:764,104:764,106:688,108:668,110:559,112:429,114:346,116:215,118:156,120:89,122:47,124:19,126:11,128:3,130:2</t>
  </si>
  <si>
    <t>Trial:0 w:76; Trial:56 w:68; Trial:118 w:60; Trial:219 w:54; Trial:413 w:44; pErr:0.3679, weight 44 CW found:12015, wDict:44:3,46:3,48:6,50:6,52:8,54:10,56:9,58:17,60:14,62:17,64:28,66:26,68:60,70:55,72:65,74:73,76:105,78:117,80:145,82:204,84:231,86:290,88:347,90:386,92:460,94:560,96:621,98:673,100:698,102:708,104:763,106:723,108:679,110:567,112:433,114:327,116:250,118:148,120:77,122:50,124:21,126:10,128:6,130:1</t>
  </si>
  <si>
    <t>Trial:0 w:92; Trial:15 w:86; Trial:21 w:74; Trial:50 w:58; Trial:318 w:56; Trial:319 w:46; Trial:1163 w:44; pErr:0.3679, weight 44 CW found:11159, wDict:44:2,46:2,48:1,50:6,52:8,54:14,56:12,58:18,60:16,62:22,64:16,66:31,68:37,70:52,72:64,74:91,76:107,78:118,80:183,82:197,84:248,86:299,88:318,90:422,92:474,94:530,96:626,98:661,100:749,102:741,104:729,106:739,108:615,110:540,112:441,114:329,116:217,118:148,120:89,122:52,124:25,126:5,128:5,132:1</t>
  </si>
  <si>
    <t>Trial:0 w:110; Trial:1 w:82; Trial:19 w:74; Trial:59 w:72; Trial:122 w:64; Trial:302 w:62; Trial:492 w:58; Trial:547 w:56; Trial:1155 w:52; Trial:2351 w:46; Trial:7278 w:44; pErr:0.3679, weight 44 CW found:3482, wDict:44:1,46:1,48:3,50:2,52:4,54:10,56:12,58:19,60:16,62:19,64:25,66:38,68:41,70:53,72:58,74:82,76:115,78:127,80:155,82:208,84:218,86:275,88:360,90:405,92:491,94:549,96:583,98:658,100:746,102:739,104:777,106:639,108:630,110:582,112:448,114:338,116:230,118:167,120:78,122:56,124:23,126:14,128:2,130:2,132:1</t>
  </si>
  <si>
    <t>Trial:0 w:108; Trial:1 w:82; Trial:2 w:76; Trial:192 w:70; Trial:230 w:64; Trial:312 w:52; Trial:1455 w:46; pErr:0.3679, weight 46 CW found:10781, wDict:46:4,48:2,50:5,52:7,54:4,56:13,58:19,60:18,62:23,64:28,66:39,68:41,70:59,72:63,74:83,76:105,78:121,80:160,82:194,84:244,86:285,88:329,90:379,92:462,94:572,96:586,98:695,100:728,102:710,104:745,106:716,108:660,110:541,112:452,114:338,116:242,118:152,120:92,122:51,124:24,126:7,128:1,130:1</t>
  </si>
  <si>
    <t>Trial:0 w:106; Trial:1 w:98; Trial:5 w:90; Trial:14 w:82; Trial:21 w:76; Trial:164 w:70; Trial:170 w:52; Trial:218 w:50; Trial:843 w:46; Trial:2869 w:44; Trial:6110 w:40; pErr:0.3679, weight 40 CW found:4941, wDict:40:1,44:1,46:3,48:5,50:5,52:5,54:13,56:9,58:15,60:18,62:23,64:22,66:38,68:54,70:50,72:71,74:82,76:111,78:137,80:150,82:204,84:249,86:281,88:344,90:386,92:442,94:554,96:596,98:642,100:722,102:748,104:719,106:735,108:632,110:567,112:436,114:386,116:222,118:157,120:88,122:45,124:21,126:6,128:2,130:3</t>
  </si>
  <si>
    <t>Trial:0 w:110; Trial:1 w:88; Trial:9 w:80; Trial:43 w:68; Trial:154 w:60; Trial:167 w:46; Trial:3567 w:44; Trial:8253 w:40; pErr:0.3679, weight 40 CW found:2190, wDict:40:1,44:3,46:1,48:5,50:2,52:6,54:6,56:16,58:15,60:22,62:21,64:30,66:28,68:50,70:59,72:53,74:84,76:82,78:145,80:157,82:194,84:240,86:292,88:338,90:405,92:453,94:574,96:579,98:686,100:683,102:762,104:735,106:731,108:679,110:584,112:437,114:324,116:215,118:145,120:80,122:49,124:19,126:7,128:2,130:1</t>
  </si>
  <si>
    <t>Trial:0 w:72; Trial:1 w:68; Trial:2 w:66; Trial:279 w:64; Trial:459 w:60; Trial:639 w:54; Trial:1233 w:52; Trial:1851 w:46; Trial:6613 w:40; pErr:0.3679, weight 40 CW found:4268, wDict:40:1,46:3,48:3,50:4,52:9,54:5,56:8,58:19,60:21,62:24,64:24,66:40,68:50,70:60,72:64,74:83,76:103,78:115,80:164,82:185,84:215,86:296,88:332,90:392,92:482,94:536,96:604,98:739,100:728,102:727,104:736,106:706,108:643,110:556,112:426,114:347,116:227,118:150,120:85,122:46,124:25,126:10,128:6,130:1</t>
  </si>
  <si>
    <t>Trial:0 w:114; Trial:1 w:112; Trial:2 w:76; Trial:5 w:72; Trial:37 w:70; Trial:145 w:64; Trial:190 w:62; Trial:254 w:58; Trial:506 w:56; Trial:791 w:48; Trial:3667 w:42; pErr:0.3679, weight 42 CW found:8013, wDict:42:2,44:1,46:1,48:2,50:4,52:3,54:6,56:9,58:16,60:15,62:29,64:29,66:33,68:35,70:55,72:65,74:83,76:120,78:152,80:153,82:209,84:213,86:296,88:319,90:380,92:448,94:525,96:599,98:662,100:703,102:761,104:753,106:723,108:648,110:583,112:434,114:357,116:242,118:158,120:85,122:51,124:21,126:9,128:7,130:1</t>
  </si>
  <si>
    <t>Trial:0 w:104; Trial:3 w:94; Trial:4 w:84; Trial:16 w:80; Trial:37 w:68; Trial:126 w:66; Trial:446 w:48; Trial:697 w:44; Trial:1205 w:42; pErr:0.3679, weight 42 CW found:11016, wDict:42:2,44:3,46:1,48:5,50:2,52:10,54:9,56:10,58:18,60:19,62:18,64:23,66:42,68:44,70:45,72:80,74:71,76:83,78:140,80:135,82:202,84:219,86:275,88:319,90:395,92:497,94:563,96:553,98:664,100:774,102:768,104:773,106:743,108:621,110:547,112:459,114:321,116:222,118:143,120:103,122:49,124:18,126:10,130:1,134:1</t>
  </si>
  <si>
    <t>Trial:0 w:92; Trial:9 w:90; Trial:13 w:72; Trial:110 w:66; Trial:164 w:64; Trial:472 w:60; Trial:600 w:58; Trial:611 w:56; Trial:2457 w:52; Trial:4529 w:50; Trial:8240 w:36; pErr:0.3679, weight 36 CW found:2225, wDict:36:1,44:1,48:3,50:3,52:7,54:5,56:9,58:13,60:15,62:21,64:37,66:43,68:45,70:68,72:70,74:91,76:108,78:126,80:144,82:158,84:220,86:295,88:344,90:391,92:482,94:527,96:607,98:680,100:688,102:761,104:779,106:754,108:584,110:605,112:405,114:331,116:279,118:151,120:78,122:44,124:17,126:3,128:4,130:2,132:1</t>
  </si>
  <si>
    <t>Trial:0 w:94; Trial:2 w:86; Trial:4 w:84; Trial:21 w:66; Trial:52 w:64; Trial:258 w:52; Trial:399 w:46; Trial:3236 w:36; pErr:0.3679, weight 36 CW found:8571, wDict:36:1,42:1,44:2,46:2,48:1,50:5,52:6,54:7,56:16,58:12,60:18,62:23,64:29,66:40,68:50,70:61,72:78,74:88,76:98,78:147,80:172,82:176,84:207,86:268,88:327,90:401,92:479,94:580,96:610,98:655,100:725,102:726,104:731,106:722,108:651,110:553,112:456,114:351,116:246,118:136,120:74,122:40,124:15,126:10,128:3,130:1</t>
  </si>
  <si>
    <t>Trial:0 w:56; Trial:789 w:48; Trial:2378 w:44; pErr:0.3679, weight 44 CW found:9630, wDict:44:1,48:5,50:4,52:2,54:8,56:11,58:16,60:14,62:13,64:21,66:30,68:39,70:56,72:62,74:59,76:101,78:131,80:161,82:218,84:258,86:310,88:330,90:405,92:500,94:521,96:601,98:661,100:752,102:763,104:760,106:709,108:670,110:521,112:455,114:318,116:235,118:131,120:77,122:37,124:23,126:10,128:1</t>
  </si>
  <si>
    <t>Trial:0 w:112; Trial:1 w:102; Trial:2 w:64; Trial:251 w:60; Trial:449 w:56; Trial:1389 w:52; Trial:1622 w:48; Trial:5945 w:42; pErr:0.3679, weight 42 CW found:5113, wDict:42:1,48:3,50:5,52:4,54:6,56:15,58:12,60:12,62:16,64:19,66:34,68:34,70:64,72:77,74:87,76:115,78:141,80:181,82:203,84:235,86:276,88:350,90:395,92:457,94:568,96:654,98:657,100:702,102:757,104:718,106:714,108:633,110:554,112:467,114:312,116:232,118:147,120:72,122:45,124:16,126:7,128:2,130:1</t>
  </si>
  <si>
    <t>Trial:0 w:98; Trial:2 w:92; Trial:8 w:88; Trial:12 w:84; Trial:13 w:74; Trial:33 w:68; Trial:40 w:60; Trial:135 w:54; Trial:891 w:52; Trial:1648 w:48; Trial:7453 w:46; pErr:0.3679, weight 46 CW found:3208, wDict:46:2,48:3,50:2,52:12,54:8,56:7,58:18,60:17,62:28,64:29,66:34,68:53,70:52,72:74,74:97,76:88,78:116,80:154,82:193,84:230,86:283,88:341,90:403,92:463,94:583,96:611,98:671,100:688,102:752,104:745,106:671,108:692,110:605,112:444,114:300,116:194,118:161,120:92,122:50,124:18,126:14,128:1,130:1</t>
  </si>
  <si>
    <t>Trial:0 w:104; Trial:4 w:98; Trial:10 w:96; Trial:12 w:94; Trial:15 w:76; Trial:26 w:70; Trial:71 w:66; Trial:157 w:64; Trial:381 w:60; Trial:594 w:56; Trial:2011 w:50; Trial:2958 w:48; Trial:9623 w:46; pErr:0.3679, weight 46 CW found:462, wDict:46:1,48:1,50:4,52:6,54:7,56:15,58:12,60:17,62:16,64:25,66:26,68:45,70:61,72:80,74:93,76:110,78:144,80:156,82:204,84:213,86:261,88:329,90:392,92:471,94:537,96:622,98:689,100:710,102:780,104:740,106:733,108:621,110:589,112:441,114:311,116:234,118:143,120:80,122:37,124:31,126:10,128:1,130:2</t>
  </si>
  <si>
    <t>Trial:0 w:96; Trial:5 w:82; Trial:7 w:74; Trial:55 w:70; Trial:60 w:48; Trial:626 w:44; Trial:4788 w:42; pErr:0.3679, weight 42 CW found:6555, wDict:42:1,44:2,46:3,48:6,50:5,52:7,54:7,56:6,58:10,60:18,62:17,64:29,66:39,68:36,70:59,72:65,74:91,76:93,78:127,80:169,82:186,84:235,86:275,88:325,90:419,92:508,94:511,96:576,98:685,100:725,102:783,104:730,106:733,108:624,110:570,112:449,114:340,116:235,118:138,120:89,122:40,124:14,126:15,128:3,132:1,136:1</t>
  </si>
  <si>
    <t>Trial:0 w:106; Trial:1 w:102; Trial:2 w:86; Trial:3 w:58; Trial:978 w:54; Trial:3036 w:52; Trial:4447 w:50; Trial:5381 w:48; Trial:6280 w:46; pErr:0.3679, weight 46 CW found:4724, wDict:46:1,48:2,50:3,52:9,54:10,56:9,58:13,60:18,62:17,64:24,66:34,68:55,70:47,72:55,74:75,76:115,78:128,80:154,82:204,84:247,86:240,88:347,90:392,92:455,94:532,96:611,98:658,100:741,102:808,104:785,106:739,108:621,110:555,112:434,114:338,116:212,118:140,120:92,122:43,124:20,126:9,128:6,130:2</t>
  </si>
  <si>
    <t>Trial:0 w:106; Trial:1 w:94; Trial:3 w:88; Trial:6 w:64; Trial:345 w:60; Trial:435 w:58; Trial:752 w:50; Trial:2573 w:46; Trial:5720 w:44; pErr:0.3679, weight 44 CW found:5377, wDict:44:2,46:1,48:3,50:3,52:6,54:9,56:8,58:10,60:24,62:18,64:35,66:30,68:43,70:48,72:65,74:97,76:128,78:112,80:163,82:177,84:224,86:304,88:321,90:392,92:480,94:501,96:649,98:661,100:715,102:769,104:707,106:715,108:686,110:561,112:428,114:352,116:236,118:150,120:87,122:43,124:19,126:11,128:6,130:1</t>
  </si>
  <si>
    <t>Trial:0 w:98; Trial:2 w:92; Trial:3 w:84; Trial:28 w:68; Trial:100 w:56; Trial:281 w:42; pErr:0.3679, weight 42 CW found:12161, wDict:42:2,44:1,46:2,50:4,52:5,54:6,56:9,58:15,60:10,62:23,64:23,66:41,68:42,70:48,72:42,74:103,76:96,78:125,80:152,82:182,84:244,86:261,88:356,90:460,92:455,94:558,96:590,98:688,100:735,102:715,104:769,106:741,108:623,110:531,112:447,114:341,116:241,118:145,120:97,122:36,124:22,126:10,128:1,130:3</t>
  </si>
  <si>
    <t>Trial:0 w:102; Trial:2 w:82; Trial:30 w:80; Trial:31 w:66; Trial:236 w:54; Trial:346 w:46; Trial:2350 w:42; pErr:0.3679, weight 42 CW found:9625, wDict:42:2,46:2,48:3,50:7,52:6,54:8,56:13,58:12,60:20,62:24,64:26,66:38,68:44,70:64,72:80,74:89,76:98,78:127,80:180,82:181,84:234,86:267,88:307,90:434,92:480,94:558,96:586,98:698,100:727,102:773,104:761,106:689,108:644,110:577,112:398,114:333,116:223,118:135,120:85,122:44,124:10,126:10,128:3</t>
  </si>
  <si>
    <t>Trial:0 w:102; Trial:1 w:80; Trial:17 w:72; Trial:72 w:58; Trial:96 w:52; Trial:883 w:42; Trial:1430 w:34; pErr:0.3679, weight 34 CW found:10873, wDict:34:1,42:3,44:1,48:3,50:6,52:7,54:9,56:12,58:13,60:15,62:22,64:32,66:24,68:41,70:54,72:57,74:88,76:111,78:133,80:161,82:168,84:230,86:267,88:364,90:375,92:507,94:547,96:623,98:668,100:727,102:776,104:726,106:674,108:650,110:558,112:453,114:350,116:235,118:146,120:86,122:41,124:22,126:10,128:3,130:1</t>
  </si>
  <si>
    <t>Trial:0 w:114; Trial:1 w:94; Trial:5 w:90; Trial:12 w:80; Trial:13 w:72; Trial:71 w:68; Trial:122 w:62; Trial:365 w:58; Trial:414 w:56; Trial:723 w:52; Trial:772 w:42; pErr:0.3679, weight 42 CW found:11593, wDict:42:1,44:1,46:1,48:1,50:3,52:5,54:11,56:16,58:17,60:19,62:20,64:38,66:30,68:51,70:56,72:58,74:82,76:96,78:136,80:159,82:162,84:226,86:282,88:348,90:423,92:500,94:537,96:567,98:653,100:740,102:744,104:725,106:746,108:632,110:557,112:435,114:337,116:232,118:170,120:97,122:52,124:22,126:9,128:3</t>
  </si>
  <si>
    <t>Trial:0 w:88; Trial:7 w:84; Trial:10 w:74; Trial:11 w:70; Trial:43 w:68; Trial:51 w:62; Trial:119 w:58; Trial:298 w:46; pErr:0.3679, weight 46 CW found:12280, wDict:46:4,48:4,50:4,52:8,54:13,56:11,58:17,60:19,62:14,64:41,66:26,68:38,70:55,72:76,74:85,76:101,78:115,80:167,82:175,84:234,86:282,88:353,90:429,92:471,94:550,96:643,98:639,100:729,102:761,104:762,106:708,108:625,110:544,112:418,114:340,116:229,118:139,120:73,122:55,124:33,126:7,128:2,130:1</t>
  </si>
  <si>
    <t>Trial:0 w:90; Trial:1 w:84; Trial:4 w:78; Trial:43 w:70; Trial:47 w:64; Trial:65 w:52; Trial:649 w:46; Trial:1152 w:44; pErr:0.3679, weight 44 CW found:11157, wDict:44:1,46:4,48:3,50:2,52:1,54:5,56:11,58:15,60:19,62:21,64:27,66:40,68:56,70:51,72:56,74:83,76:97,78:120,80:148,82:202,84:207,86:296,88:331,90:435,92:454,94:530,96:582,98:676,100:691,102:789,104:772,106:768,108:652,110:530,112:424,114:359,116:220,118:146,120:84,122:56,124:26,126:7,128:2,130:1</t>
  </si>
  <si>
    <t>Trial:0 w:114; Trial:1 w:82; Trial:4 w:80; Trial:17 w:78; Trial:18 w:74; Trial:34 w:60; Trial:122 w:56; Trial:435 w:46; Trial:2613 w:42; pErr:0.3679, weight 42 CW found:9308, wDict:42:1,44:2,46:4,48:4,50:2,52:10,54:6,56:13,58:15,60:23,62:28,64:30,66:35,68:46,70:55,72:58,74:73,76:82,78:147,80:138,82:170,84:255,86:282,88:354,90:431,92:460,94:558,96:613,98:627,100:730,102:768,104:748,106:667,108:678,110:531,112:453,114:353,116:224,118:157,120:91,122:44,124:22,126:9,128:2,130:1</t>
  </si>
  <si>
    <t>Trial:0 w:116; Trial:1 w:114; Trial:3 w:98; Trial:8 w:96; Trial:10 w:94; Trial:15 w:84; Trial:31 w:82; Trial:59 w:76; Trial:62 w:68; Trial:102 w:62; Trial:156 w:52; Trial:1494 w:50; Trial:3785 w:48; pErr:0.3679, weight 48 CW found:7846, wDict:48:4,50:1,52:7,54:8,56:17,58:10,60:19,62:26,64:35,66:51,68:33,70:49,72:60,74:67,76:90,78:138,80:151,82:170,84:254,86:289,88:338,90:401,92:468,94:546,96:665,98:691,100:724,102:781,104:720,106:708,108:644,110:522,112:421,114:328,116:239,118:161,120:72,122:51,124:25,126:10,128:5,130:1</t>
  </si>
  <si>
    <t>Trial:0 w:98; Trial:1 w:84; Trial:11 w:76; Trial:39 w:68; Trial:46 w:64; Trial:190 w:60; Trial:385 w:58; Trial:774 w:54; Trial:821 w:50; Trial:2444 w:48; Trial:3044 w:44; Trial:7181 w:42; pErr:0.3679, weight 42 CW found:3479, wDict:42:2,44:1,48:5,50:2,52:6,54:8,56:11,58:18,60:16,62:31,64:31,66:28,68:53,70:57,72:69,74:77,76:109,78:114,80:136,82:195,84:248,86:258,88:339,90:433,92:488,94:534,96:616,98:666,100:733,102:738,104:759,106:748,108:590,110:551,112:436,114:325,116:254,118:155,120:83,122:41,124:24,126:10,128:1,130:1</t>
  </si>
  <si>
    <t>Trial:0 w:102; Trial:1 w:70; Trial:35 w:62; Trial:111 w:58; Trial:181 w:54; Trial:416 w:52; Trial:1218 w:48; Trial:4689 w:42; Trial:5987 w:36; pErr:0.3679, weight 36 CW found:5015, wDict:36:1,42:1,48:2,50:4,52:6,54:6,56:13,58:19,60:18,62:25,64:23,66:33,68:37,70:51,72:78,74:80,76:133,78:125,80:155,82:208,84:221,86:288,88:357,90:408,92:455,94:529,96:630,98:671,100:713,102:723,104:781,106:701,108:613,110:560,112:454,114:313,116:251,118:151,120:86,122:47,124:20,126:6,128:3,132:1</t>
  </si>
  <si>
    <t>Trial:0 w:102; Trial:3 w:100; Trial:5 w:66; Trial:189 w:58; Trial:250 w:52; Trial:423 w:48; Trial:1666 w:44; Trial:3704 w:42; pErr:0.3679, weight 42 CW found:8030, wDict:42:1,44:1,46:2,48:3,50:10,52:7,54:7,56:10,58:13,60:15,62:27,64:33,66:37,68:43,70:56,72:59,74:92,76:110,78:132,80:173,82:194,84:245,86:287,88:321,90:395,92:477,94:561,96:605,98:648,100:751,102:737,104:711,106:669,108:622,110:542,112:452,114:347,116:279,118:147,120:84,122:55,124:25,126:10,128:3,132:2</t>
  </si>
  <si>
    <t>Trial:0 w:96; Trial:1 w:94; Trial:2 w:80; Trial:5 w:78; Trial:9 w:76; Trial:10 w:70; Trial:138 w:64; Trial:168 w:62; Trial:200 w:60; Trial:328 w:54; Trial:2523 w:44; pErr:0.3679, weight 44 CW found:9492, wDict:44:3,46:5,48:3,50:5,52:5,54:10,56:13,58:10,60:23,62:23,64:38,66:40,68:33,70:61,72:60,74:92,76:110,78:119,80:139,82:188,84:239,86:299,88:342,90:391,92:450,94:531,96:633,98:667,100:722,102:792,104:761,106:705,108:640,110:537,112:454,114:317,116:222,118:153,120:76,122:44,124:28,126:14,128:1,130:2</t>
  </si>
  <si>
    <t>Trial:0 w:98; Trial:1 w:90; Trial:8 w:88; Trial:11 w:66; Trial:35 w:58; Trial:121 w:52; Trial:132 w:50; Trial:758 w:48; Trial:3629 w:42; pErr:0.3679, weight 42 CW found:8013, wDict:42:2,44:1,46:1,48:2,50:5,52:6,54:7,56:9,58:20,60:17,62:17,64:33,66:36,68:39,70:43,72:76,74:73,76:109,78:133,80:168,82:212,84:213,86:300,88:357,90:379,92:452,94:566,96:645,98:682,100:710,102:727,104:723,106:686,108:674,110:529,112:484,114:327,116:208,118:154,120:85,122:45,124:26,126:14,128:1,130:4</t>
  </si>
  <si>
    <t>Trial:0 w:70; Trial:68 w:68; Trial:115 w:66; Trial:243 w:64; Trial:251 w:60; Trial:382 w:56; Trial:670 w:52; Trial:2124 w:50; Trial:3118 w:46; Trial:9446 w:44; pErr:0.3679, weight 44 CW found:742, wDict:44:1,46:1,48:3,50:4,52:5,54:3,56:7,58:14,60:24,62:32,64:37,66:37,68:49,70:59,72:61,74:72,76:99,78:113,80:139,82:193,84:255,86:270,88:327,90:417,92:462,94:548,96:605,98:703,100:743,102:700,104:744,106:724,108:628,110:575,112:433,114:340,116:240,118:147,120:90,122:59,124:23,126:10,128:4</t>
  </si>
  <si>
    <t>Trial:0 w:92; Trial:3 w:90; Trial:15 w:86; Trial:17 w:84; Trial:22 w:78; Trial:23 w:74; Trial:35 w:72; Trial:62 w:62; Trial:223 w:56; Trial:811 w:46; Trial:6887 w:44; pErr:0.3679, weight 44 CW found:3864, wDict:44:1,46:2,48:1,50:5,52:2,54:6,56:11,58:16,60:19,62:23,64:34,66:35,68:40,70:63,72:47,74:80,76:99,78:139,80:153,82:182,84:246,86:255,88:346,90:389,92:493,94:537,96:642,98:673,100:727,102:743,104:758,106:671,108:702,110:557,112:443,114:317,116:248,118:143,120:79,122:44,124:20,126:4,128:3,130:1,134:1</t>
  </si>
  <si>
    <t>Trial:0 w:100; Trial:3 w:94; Trial:4 w:92; Trial:5 w:56; Trial:253 w:52; Trial:2533 w:50; Trial:2701 w:42; pErr:0.3679, weight 42 CW found:9194, wDict:42:2,46:2,48:4,50:5,52:7,54:3,56:14,58:9,60:16,62:26,64:18,66:31,68:35,70:49,72:65,74:82,76:100,78:124,80:163,82:210,84:201,86:292,88:336,90:400,92:472,94:539,96:631,98:672,100:719,102:736,104:794,106:753,108:633,110:530,112:441,114:319,116:244,118:148,120:83,122:46,124:28,126:16,128:1,132:1</t>
  </si>
  <si>
    <t>Trial:0 w:74; Trial:65 w:70; Trial:174 w:58; Trial:413 w:52; Trial:1284 w:50; Trial:1999 w:48; Trial:3323 w:44; Trial:7614 w:42; pErr:0.3679, weight 42 CW found:3005, wDict:42:1,44:2,46:3,48:5,50:6,52:5,54:9,56:15,58:16,60:14,62:22,64:27,66:32,68:33,70:52,72:62,74:84,76:109,78:119,80:155,82:196,84:232,86:305,88:339,90:379,92:481,94:531,96:605,98:689,100:748,102:730,104:742,106:699,108:692,110:550,112:437,114:363,116:220,118:137,120:79,122:44,124:19,126:7,128:2,130:3</t>
  </si>
  <si>
    <t>Trial:0 w:104; Trial:2 w:92; Trial:7 w:90; Trial:11 w:86; Trial:14 w:82; Trial:17 w:80; Trial:25 w:76; Trial:64 w:66; Trial:105 w:64; Trial:152 w:50; Trial:662 w:44; pErr:0.3679, weight 44 CW found:11743, wDict:44:5,46:3,48:2,50:4,52:6,54:7,56:12,58:12,60:16,62:20,64:27,66:40,68:52,70:47,72:70,74:85,76:96,78:137,80:135,82:203,84:245,86:295,88:303,90:447,92:499,94:550,96:590,98:703,100:707,102:744,104:710,106:734,108:615,110:569,112:425,114:344,116:198,118:157,120:98,122:50,124:21,126:15,128:2</t>
  </si>
  <si>
    <t>Trial:0 w:110; Trial:1 w:104; Trial:2 w:92; Trial:7 w:88; Trial:10 w:82; Trial:14 w:70; Trial:20 w:66; Trial:67 w:64; Trial:89 w:50; Trial:2836 w:48; Trial:5381 w:44; Trial:5843 w:40; pErr:0.3679, weight 40 CW found:5240, wDict:40:1,44:2,46:1,48:1,50:4,52:4,54:8,56:7,58:12,60:24,62:35,64:37,66:33,68:43,70:62,72:69,74:88,76:118,78:105,80:151,82:212,84:238,86:263,88:341,90:430,92:486,94:543,96:647,98:682,100:695,102:733,104:731,106:709,108:616,110:527,112:409,114:340,116:250,118:144,120:96,122:58,124:32,126:10,128:3</t>
  </si>
  <si>
    <t>Trial:0 w:92; Trial:7 w:88; Trial:12 w:82; Trial:15 w:72; Trial:27 w:56; Trial:32 w:54; Trial:914 w:48; Trial:6573 w:42; pErr:0.3679, weight 42 CW found:4343, wDict:42:1,48:6,50:3,52:5,54:6,56:11,58:18,60:18,62:23,64:14,66:24,68:38,70:53,72:61,74:78,76:107,78:115,80:157,82:179,84:228,86:275,88:324,90:406,92:470,94:492,96:618,98:726,100:732,102:808,104:755,106:732,108:675,110:557,112:413,114:377,116:198,118:140,120:81,122:41,124:21,126:6,128:4,130:2,132:1,134:1</t>
  </si>
  <si>
    <t>Trial:0 w:102; Trial:2 w:78; Trial:16 w:64; Trial:28 w:58; Trial:425 w:50; Trial:1821 w:44; Trial:8106 w:34; pErr:0.3679, weight 34 CW found:2406, wDict:34:1,44:4,48:4,50:6,52:5,54:6,56:11,58:10,60:21,62:28,64:14,66:33,68:54,70:48,72:64,74:79,76:119,78:153,80:148,82:195,84:197,86:258,88:373,90:410,92:465,94:588,96:590,98:667,100:749,102:730,104:727,106:683,108:649,110:553,112:448,114:338,116:246,118:170,120:68,122:58,124:16,126:8,128:5,134:1</t>
  </si>
  <si>
    <t>Trial:0 w:104; Trial:1 w:94; Trial:2 w:82; Trial:5 w:72; Trial:42 w:68; Trial:145 w:60; Trial:469 w:58; Trial:490 w:54; Trial:1688 w:46; Trial:5714 w:44; pErr:0.3679, weight 44 CW found:5459, wDict:44:1,46:1,48:3,50:1,52:9,54:10,56:6,58:7,60:14,62:13,64:21,66:30,68:48,70:43,72:73,74:89,76:95,78:119,80:154,82:190,84:228,86:275,88:383,90:413,92:448,94:528,96:617,98:693,100:722,102:745,104:747,106:709,108:639,110:557,112:432,114:348,116:260,118:154,120:90,122:50,124:17,126:10,128:4,130:3,132:1</t>
  </si>
  <si>
    <t>Trial:0 w:108; Trial:2 w:106; Trial:4 w:100; Trial:5 w:96; Trial:9 w:92; Trial:14 w:88; Trial:23 w:82; Trial:29 w:76; Trial:41 w:72; Trial:78 w:50; Trial:1745 w:46; Trial:2573 w:44; Trial:4440 w:42; Trial:7393 w:38; pErr:0.3679, weight 38 CW found:3299, wDict:38:1,42:3,44:2,46:2,48:5,50:6,52:4,54:9,56:13,58:14,60:15,62:20,64:39,66:30,68:45,70:51,72:75,74:85,76:85,78:120,80:153,82:162,84:216,86:302,88:391,90:410,92:465,94:532,96:588,98:693,100:703,102:732,104:784,106:723,108:612,110:562,112:453,114:338,116:249,118:146,120:69,122:54,124:22,126:8,128:7,130:2</t>
  </si>
  <si>
    <t>Trial:0 w:106; Trial:1 w:92; Trial:5 w:90; Trial:14 w:84; Trial:15 w:74; Trial:43 w:58; Trial:109 w:56; Trial:324 w:54; Trial:1099 w:48; Trial:3433 w:46; Trial:4879 w:44; Trial:7793 w:42; pErr:0.3679, weight 42 CW found:2779, wDict:42:1,44:2,46:1,48:3,50:4,52:6,54:7,56:10,58:15,60:10,62:19,64:31,66:47,68:47,70:56,72:70,74:64,76:90,78:126,80:158,82:173,84:235,86:250,88:370,90:399,92:473,94:565,96:612,98:638,100:749,102:737,104:699,106:749,108:646,110:572,112:421,114:350,116:250,118:154,120:105,122:49,124:24,126:9,128:3,130:1</t>
  </si>
  <si>
    <t>Trial:0 w:74; Trial:8 w:62; Trial:163 w:56; Trial:556 w:50; Trial:1535 w:46; Trial:3808 w:40; pErr:0.3679, weight 40 CW found:7798, wDict:40:2,46:2,48:4,50:6,52:9,54:9,56:14,58:11,60:18,62:22,64:32,66:41,68:38,70:50,72:73,74:88,76:106,78:129,80:140,82:196,84:224,86:279,88:336,90:360,92:484,94:524,96:620,98:656,100:736,102:748,104:760,106:698,108:650,110:561,112:455,114:334,116:260,118:143,120:84,122:55,124:27,126:12,128:3,132:1</t>
  </si>
  <si>
    <t>Trial:0 w:110; Trial:2 w:98; Trial:4 w:96; Trial:6 w:90; Trial:25 w:82; Trial:49 w:74; Trial:84 w:72; Trial:120 w:54; Trial:408 w:50; Trial:2397 w:44; Trial:6547 w:42; pErr:0.3679, weight 42 CW found:4339, wDict:42:1,44:1,46:5,48:2,50:8,52:5,54:12,56:14,58:11,60:18,62:23,64:31,66:41,68:49,70:55,72:67,74:77,76:106,78:108,80:164,82:165,84:216,86:279,88:307,90:429,92:463,94:533,96:611,98:709,100:748,102:771,104:749,106:688,108:665,110:556,112:419,114:367,116:230,118:117,120:87,122:52,124:28,126:10,128:2,132:1</t>
  </si>
  <si>
    <t>Trial:0 w:100; Trial:1 w:96; Trial:2 w:88; Trial:7 w:84; Trial:24 w:58; Trial:149 w:52; Trial:309 w:44; Trial:549 w:42; Trial:1979 w:38; pErr:0.3679, weight 38 CW found:10130, wDict:38:1,42:1,44:2,46:1,48:1,50:3,52:10,54:8,56:10,58:20,60:12,62:18,64:24,66:39,68:31,70:63,72:74,74:78,76:110,78:117,80:168,82:200,84:239,86:321,88:338,90:390,92:497,94:605,96:596,98:651,100:704,102:703,104:733,106:744,108:621,110:572,112:436,114:325,116:227,118:147,120:73,122:47,124:24,126:10,128:5,130:1</t>
  </si>
  <si>
    <t>Trial:0 w:98; Trial:3 w:54; Trial:1006 w:52; Trial:1708 w:42; pErr:0.3679, weight 42 CW found:10479, wDict:42:2,46:1,48:1,50:3,52:5,54:16,56:11,58:19,60:16,62:22,64:27,66:29,68:52,70:47,72:72,74:86,76:90,78:119,80:160,82:181,84:237,86:288,88:312,90:383,92:479,94:558,96:628,98:699,100:736,102:768,104:711,106:701,108:667,110:547,112:489,114:329,116:200,118:148,120:87,122:47,124:10,126:8,128:7,130:2</t>
  </si>
  <si>
    <t>Trial:0 w:92; Trial:5 w:88; Trial:6 w:86; Trial:21 w:70; Trial:29 w:68; Trial:88 w:60; Trial:757 w:46; Trial:4307 w:44; Trial:5171 w:42; pErr:0.3679, weight 42 CW found:6116, wDict:42:2,44:2,46:4,48:2,50:7,52:5,54:7,56:12,58:14,60:16,62:19,64:33,66:40,68:55,70:53,72:58,74:77,76:103,78:123,80:173,82:196,84:230,86:281,88:311,90:410,92:471,94:522,96:616,98:673,100:753,102:739,104:754,106:717,108:639,110:558,112:460,114:323,116:227,118:147,120:97,122:32,124:21,126:11,128:6,130:1</t>
  </si>
  <si>
    <t>Trial:0 w:120; Trial:1 w:106; Trial:2 w:86; Trial:29 w:76; Trial:62 w:58; Trial:261 w:48; Trial:817 w:46; pErr:0.3679, weight 46 CW found:11529, wDict:46:2,48:3,50:6,52:6,54:7,56:15,58:11,60:17,62:22,64:33,66:44,68:48,70:53,72:65,74:78,76:106,78:129,80:139,82:211,84:236,86:273,88:320,90:415,92:478,94:534,96:643,98:655,100:760,102:712,104:734,106:737,108:643,110:556,112:409,114:337,116:231,118:158,120:95,122:40,124:26,126:11,130:1,132:1</t>
  </si>
  <si>
    <t>Trial:0 w:52; Trial:1508 w:48; Trial:4246 w:46; pErr:0.3679, weight 46 CW found:7216, wDict:46:2,48:4,50:7,52:4,54:7,56:11,58:15,60:18,62:19,64:31,66:30,68:38,70:44,72:64,74:87,76:94,78:127,80:155,82:185,84:226,86:286,88:346,90:447,92:462,94:558,96:638,98:693,100:719,102:730,104:762,106:727,108:607,110:516,112:454,114:341,116:229,118:142,120:87,122:45,124:27,126:14,128:2</t>
  </si>
  <si>
    <t>LOCheck: 0</t>
  </si>
  <si>
    <t>pMutScale: 50</t>
  </si>
  <si>
    <t>permuteDEM: 0</t>
  </si>
  <si>
    <t>outfile: /home/ucapmwe/dist-benchmark/results/bivariate_bicycle-QDistEvol-20260221_200808.963556_85062422.txt</t>
  </si>
  <si>
    <t>Gen:0 Trial:0 w:6; pErr:0.0000, weight 6 CW found:319, wDict:6:49959,8:41</t>
  </si>
  <si>
    <t>Gen:0 Trial:0 w:10; pErr:0.0000, weight 10 CW found:1763, wDict:10:49654,12:342,14:4</t>
  </si>
  <si>
    <t>Gen:0 Trial:0 w:14; Trial:1 w:12; Trial:12 w:10; pErr:0.0000, weight 10 CW found:2629, wDict:10:37629,12:12171,14:186,16:12,18:2</t>
  </si>
  <si>
    <t>Gen:0 Trial:0 w:12; pErr:0.0000, weight 12 CW found:3073, wDict:12:49270,14:654,16:71,18:5</t>
  </si>
  <si>
    <t>Gen:0 Trial:0 w:28; Trial:2 w:26; Trial:9 w:24; Trial:46 w:22; Trial:187 w:20; Trial:350 w:18; pErr:0.0101, weight 18 CW found:16285, wDict:18:29628,20:1322,22:5571,24:5145,26:4098,28:2343,30:941,32:450,34:241,36:138,38:74,40:35,42:11,44:1,46:2</t>
  </si>
  <si>
    <t>Gen:0 Trial:0 w:36; Trial:3 w:30; Trial:5 w:28; Trial:10 w:24; pErr:0.0527, weight 24 CW found:27853, wDict:24:25064,26:7434,28:7702,30:4730,32:2287,34:1061,36:539,38:379,40:251,42:209,44:155,46:95,48:44,50:30,52:13,54:3,56:4</t>
  </si>
  <si>
    <t>Gen:0 Trial:0 w:82; Trial:1 w:78; Trial:11 w:68; Trial:18 w:66; Trial:29 w:64; Trial:42 w:56; Trial:184 w:54; Gen:2 Trial:1002 w:52; Trial:1020 w:50; Gen:3 Trial:1512 w:44; Gen:5 Trial:2574 w:40; Gen:8 Trial:4040 w:36; Gen:79 Trial:39859 w:34; pErr:0.2126, weight 34 CW found:7774, wDict:34:2367,36:10229,38:1897,40:2251,42:995,44:1051,46:922,48:881,50:888,52:941,54:1042,56:1214,58:1288,60:1386,62:1399,64:1543,66:1440,68:1402,70:1431,72:1341,74:1317,76:1256,78:1261,80:1169,82:1046,84:880,86:907,88:765,90:754,92:741,94:644,96:568,98:510,100:467,102:415,104:323,106:317,108:231,110:173,112:140,114:81,116:63,118:36,120:15,122:7,124:3,128:3</t>
  </si>
  <si>
    <t>Gen:0 Trial:0 w:12; Trial:1 w:10; pErr:0.0000, weight 10 CW found:1973, wDict:10:48639,12:1299,14:59,16:3</t>
  </si>
  <si>
    <t>Gen:0 Trial:0 w:76; Trial:1 w:72; Trial:2 w:46; Trial:22 w:40; Trial:25 w:36; Trial:101 w:28; Gen:1 Trial:880 w:26; Gen:2 Trial:1107 w:24; pErr:0.0665, weight 24 CW found:21821, wDict:24:21258,26:2909,28:5909,30:3844,32:3704,34:2992,36:2224,38:1682,40:1208,42:846,44:575,46:441,48:324,50:260,52:225,54:181,56:161,58:121,60:121,62:87,64:100,66:75,68:87,70:100,72:81,74:55,76:87,78:78,80:84,82:52,84:41,86:29,88:25,90:20,92:7,94:4,96:2,98:1</t>
  </si>
  <si>
    <t>Gen:0 Trial:0 w:104; Trial:135 w:86; Gen:1 Trial:523 w:80; Gen:2 Trial:1020 w:74; Gen:3 Trial:1507 w:66; Trial:1566 w:60; Gen:4 Trial:2000 w:50; Gen:8 Trial:4093 w:48; Gen:9 Trial:4531 w:46; Trial:4804 w:44; Gen:11 Trial:5500 w:42; Trial:5839 w:40; pErr:0.2418, weight 40 CW found:37313, wDict:40:9396,42:2322,44:2495,46:1468,48:1366,50:1020,52:1024,54:868,56:767,58:659,60:578,62:488,64:474,66:450,68:408,70:388,72:395,74:423,76:412,78:425,80:450,82:446,84:459,86:494,88:503,90:581,92:601,94:625,96:782,98:771,100:935,102:1006,104:1107,106:1272,108:1288,110:1381,112:1377,114:1361,116:1360,118:1184,120:1070,122:1052,124:847,126:786,128:569,130:479,132:396,134:292,136:219,138:167,140:118,142:89,144:47,146:31,148:15,150:6,152:5,154:3</t>
  </si>
  <si>
    <t>Gen:0 Trial:0 w:110; Trial:1 w:108; Trial:2 w:76; Trial:10 w:74; Trial:51 w:72; Trial:80 w:66; Trial:154 w:60; Trial:159 w:54; Trial:342 w:46; Gen:1 Trial:658 w:44; Gen:2 Trial:1051 w:42; Gen:3 Trial:1521 w:38; Trial:1525 w:36; Gen:5 Trial:2820 w:34; Gen:7 Trial:3527 w:32; pErr:0.1890, weight 32 CW found:32749, wDict:32:14065,34:2173,36:2976,38:1732,40:1724,42:1348,44:1266,46:1048,48:926,50:833,52:831,54:903,56:830,58:900,60:985,62:967,64:1091,66:1160,68:1216,70:1261,72:1282,74:1229,76:1238,78:1081,80:1019,82:886,84:797,86:651,88:593,90:562,92:494,94:482,96:399,98:321,100:258,102:187,104:141,106:70,108:41,110:24,112:8,114:1,116:1</t>
  </si>
  <si>
    <t>Gen:0 Trial:0 w:174; Trial:1 w:172; Trial:2 w:168; Trial:4 w:162; Trial:5 w:160; Trial:8 w:126; Trial:126 w:110; Gen:1 Trial:775 w:108; Trial:779 w:106; Gen:2 Trial:1011 w:90; Trial:1293 w:88; Trial:1296 w:82; Gen:3 Trial:1653 w:80; Gen:5 Trial:2520 w:78; Gen:6 Trial:3093 w:76; Gen:7 Trial:3510 w:74; Gen:8 Trial:4001 w:72; Trial:4492 w:66; Gen:12 Trial:6011 w:64; Gen:17 Trial:8663 w:62; Gen:20 Trial:10045 w:58; Gen:24 Trial:12033 w:56; pErr:0.3041, weight 56 CW found:39223, wDict:56:4445,58:1948,60:1689,62:1255,64:1144,66:986,68:1040,70:962,72:832,74:755,76:721,78:704,80:688,82:662,84:702,86:677,88:625,90:679,92:725,94:732,96:752,98:760,100:767,102:752,104:697,106:756,108:680,110:674,112:730,114:657,116:657,118:666,120:620,122:649,124:629,126:612,128:618,130:651,132:658,134:686,136:685,138:718,140:666,142:739,144:799,146:868,148:865,150:803,152:859,154:850,156:872,158:765,160:742,162:717,164:658,166:565,168:521,170:424,172:350,174:254,176:203,178:156,180:106,182:73,184:37,186:32,188:15,190:7,192:7,196:2</t>
  </si>
  <si>
    <t>Gen:0 Trial:0 w:208; Trial:1 w:202; Trial:5 w:188; Trial:9 w:182; Trial:67 w:178; Trial:76 w:172; Trial:105 w:164; Trial:216 w:148; Trial:380 w:114; Gen:6 Trial:3068 w:106; Trial:3114 w:104; Gen:7 Trial:3527 w:86; Gen:10 Trial:5003 w:84; Gen:11 Trial:5503 w:82; Gen:12 Trial:6017 w:74; Trial:6198 w:68; Gen:13 Trial:6502 w:66; Trial:6503 w:60; Gen:15 Trial:7501 w:48; Gen:16 Trial:8011 w:40; Gen:20 Trial:10317 w:36; pErr:0.2453, weight 36 CW found:32214, wDict:36:9678,40:2355,42:485,44:1055,46:412,48:679,50:358,52:423,54:295,56:283,58:227,60:204,62:169,64:183,66:136,68:146,70:117,72:107,74:129,76:103,78:103,80:135,82:112,84:129,86:144,88:131,90:132,92:139,94:137,96:117,98:118,100:139,102:110,104:120,106:137,108:124,110:147,112:163,114:147,116:155,118:178,120:157,122:170,124:176,126:199,128:239,130:225,132:286,134:304,136:332,138:361,140:362,142:438,144:461,146:493,148:527,150:532,152:649,154:661,156:689,158:721,160:791,162:821,164:907,166:920,168:969,170:975,172:1002,174:1031,176:1030,178:1001,180:1040,182:1002,184:975,186:939,188:964,190:881,192:827,194:763,196:729,198:674,200:599,202:549,204:446,206:408,208:372,210:286,212:199,214:174,216:118,218:88,220:67,222:43,224:25,226:23,228:7,230:6,232:4,234:2</t>
  </si>
  <si>
    <t>Gen:0 Trial:0 w:114; Trial:62 w:110; Gen:1 Trial:762 w:104; Trial:965 w:96; Gen:2 Trial:1007 w:94; Gen:3 Trial:1515 w:86; Gen:4 Trial:2025 w:84; Gen:5 Trial:2543 w:80; Trial:2578 w:74; Gen:7 Trial:3573 w:72; Trial:3744 w:68; Gen:9 Trial:4502 w:64; Trial:4548 w:62; Gen:12 Trial:6043 w:58; Trial:6049 w:56; Gen:14 Trial:7019 w:54; Gen:15 Trial:7505 w:52; Gen:17 Trial:8581 w:50; Gen:18 Trial:9002 w:48; Gen:20 Trial:10017 w:46; Gen:23 Trial:11628 w:44; Gen:26 Trial:13035 w:40; Gen:58 Trial:29069 w:36; pErr:0.2245, weight 36 CW found:15764, wDict:36:5098,40:5149,42:639,44:1754,46:836,48:980,50:657,52:737,54:527,56:501,58:442,60:427,62:404,64:355,66:355,68:291,70:296,72:274,74:255,76:241,78:216,80:227,82:203,84:179,86:168,88:171,90:182,92:167,94:169,96:168,98:172,100:155,102:163,104:162,106:154,108:143,110:137,112:166,114:154,116:158,118:158,120:171,122:161,124:223,126:215,128:225,130:281,132:298,134:340,136:404,138:404,140:506,142:517,144:593,146:678,148:735,150:784,152:883,154:943,156:1097,158:1126,160:1113,162:1248,164:1256,166:1210,168:1294,170:1195,172:1195,174:1103,176:1035,178:886,180:864,182:726,184:635,186:502,188:386,190:334,192:218,194:171,196:120,198:57,200:40,202:19,204:13,206:6</t>
  </si>
  <si>
    <t>Gen:0 Trial:0 w:300; Trial:1 w:286; Trial:2 w:282; Trial:3 w:266; Trial:5 w:262; Trial:18 w:252; Trial:72 w:238; Trial:107 w:226; Gen:1 Trial:587 w:188; Trial:833 w:160; Gen:2 Trial:1013 w:136; Gen:3 Trial:1597 w:122; Gen:5 Trial:2527 w:120; Gen:7 Trial:3512 w:112; Gen:9 Trial:4595 w:110; Trial:4598 w:96; Gen:32 Trial:16104 w:92; Gen:34 Trial:17001 w:90; Trial:17029 w:88; Gen:35 Trial:17580 w:86; Gen:38 Trial:19209 w:84; Gen:39 Trial:19522 w:82; Gen:53 Trial:26550 w:76; Gen:86 Trial:43088 w:74; Gen:93 Trial:46500 w:72; pErr:0.3538, weight 72 CW found:4141, wDict:72:4,74:15,76:58,78:125,80:325,82:537,84:700,86:629,88:596,90:539,92:399,94:385,96:369,98:316,100:327,102:356,104:314,106:255,108:286,110:267,112:259,114:231,116:232,118:224,120:247,122:225,124:215,126:231,128:230,130:224,132:239,134:202,136:214,138:214,140:208,142:244,144:241,146:223,148:277,150:252,152:235,154:244,156:270,158:227,160:225,162:266,164:237,166:239,168:278,170:253,172:244,174:210,176:204,178:202,180:199,182:190,184:184,186:187,188:177,190:193,192:173,194:157,196:146,198:131,200:138,202:153,204:145,206:159,208:148,210:150,212:115,214:156,216:150,218:176,220:157,222:184,224:198,226:196,228:234,230:272,232:280,234:312,236:351,238:392,240:434,242:467,244:555,246:575,248:664,250:760,252:811,254:924,256:1019,258:1046,260:1173,262:1230,264:1335,266:1412,268:1527,270:1425,272:1498,274:1439,276:1429,278:1431,280:1264,282:1254,284:1120,286:995,288:879,290:711,292:546,294:445,296:312,298:252,300:173,302:141,304:71,306:48,308:39,310:11,312:6,314:8</t>
  </si>
  <si>
    <t>Gen:0 Trial:0 w:108; Trial:3 w:106; Trial:8 w:102; Trial:22 w:86; Trial:89 w:76; Gen:1 Trial:902 w:74; Gen:2 Trial:1180 w:70; Gen:4 Trial:2226 w:68; Gen:6 Trial:3061 w:66; Trial:3070 w:64; Gen:7 Trial:3515 w:62; Gen:10 Trial:5099 w:60; Gen:11 Trial:5509 w:58; Gen:14 Trial:7127 w:56; Gen:17 Trial:8598 w:54; pErr:0.2999, weight 54 CW found:42437, wDict:54:5746,56:1961,58:1655,60:1196,62:990,64:838,66:735,68:662,70:586,72:601,74:634,76:586,78:571,80:570,82:567,84:605,86:688,88:696,90:735,92:812,94:824,96:848,98:899,100:935,102:915,104:1029,106:1085,108:1004,110:1079,112:1116,114:1087,116:1149,118:1143,120:1118,122:1075,124:1154,126:1086,128:1137,130:1062,132:1098,134:986,136:965,138:918,140:859,142:771,144:674,146:632,148:489,150:415,152:301,154:246,156:165,158:128,160:84,162:50,164:23,166:8,168:6,170:1,172:1,180:1</t>
  </si>
  <si>
    <t>Gen:0 Trial:0 w:374; Trial:1 w:340; Trial:2 w:328; Trial:41 w:254; Gen:2 Trial:1021 w:250; Trial:1292 w:220; Trial:1350 w:154; Gen:3 Trial:1902 w:146; Gen:4 Trial:2041 w:134; Gen:5 Trial:2507 w:128; Gen:6 Trial:3013 w:122; Trial:3256 w:110; Gen:7 Trial:3506 w:98; Gen:11 Trial:5504 w:96; Gen:14 Trial:7007 w:94; Gen:16 Trial:8007 w:92; Gen:17 Trial:8514 w:84; Gen:21 Trial:10526 w:80; Gen:26 Trial:13005 w:76; Gen:32 Trial:16011 w:74; Gen:34 Trial:17081 w:72; Gen:39 Trial:19640 w:70; Gen:63 Trial:31537 w:68; Trial:31605 w:66; Gen:81 Trial:40510 w:64; Gen:93 Trial:46664 w:62; pErr:0.3319, weight 62 CW found:3568, wDict:62:25,64:101,66:506,68:727,70:625,72:667,74:1005,76:994,78:750,80:583,82:504,84:466,86:498,88:406,90:403,92:341,94:308,96:290,98:253,100:251,102:230,104:229,106:187,108:197,110:185,112:143,114:152,116:125,118:135,120:116,122:116,124:111,126:94,128:97,130:77,132:103,134:91,136:106,138:68,140:77,142:79,144:50,146:67,148:82,150:68,152:66,154:87,156:55,158:70,160:67,162:65,164:58,166:75,168:61,170:78,172:62,174:50,176:64,178:65,180:70,182:62,184:69,186:77,188:73,190:75,192:45,194:63,196:70,198:67,200:71,202:66,204:69,206:87,208:75,210:58,212:72,214:67,216:75,218:74,220:89,222:69,224:73,226:76,228:70,230:106,232:93,234:70,236:80,238:99,240:89,242:77,244:90,246:109,248:80,250:99,252:98,254:108,256:113,258:101,260:105,262:146,264:106,266:152,268:141,270:130,272:134,274:148,276:173,278:180,280:205,282:201,284:215,286:210,288:231,290:242,292:264,294:283,296:333,298:325,300:389,302:391,304:396,306:448,308:471,310:526,312:566,314:584,316:680,318:716,320:749,322:806,324:898,326:932,328:972,330:1045,332:1048,334:1143,336:1188,338:1225,340:1218,342:1280,344:1250,346:1224,348:1125,350:1140,352:1009,354:960,356:881,358:729,360:665,362:602,364:519,366:390,368:294,370:253,372:162,374:135,376:108,378:62,380:43,382:28,384:21,386:9,388:4,390:3,392:3,394:1</t>
  </si>
  <si>
    <t>Gen:0 Trial:0 w:178; Trial:2 w:176; Trial:4 w:162; Trial:5 w:146; Trial:23 w:142; Trial:24 w:104; Trial:38 w:98; Trial:140 w:86; Gen:1 Trial:509 w:82; Gen:2 Trial:1006 w:76; Trial:1178 w:74; Gen:4 Trial:2018 w:70; Trial:2061 w:66; Gen:7 Trial:3795 w:60; Gen:13 Trial:6584 w:58; Gen:15 Trial:7513 w:56; Gen:17 Trial:8509 w:54; Gen:31 Trial:15949 w:52; pErr:0.3049, weight 52 CW found:34289, wDict:52:1537,54:3598,56:1695,58:1560,60:1087,62:982,64:880,66:810,68:732,70:634,72:648,74:612,76:645,78:635,80:585,82:616,84:679,86:715,88:803,90:778,92:856,94:940,96:961,98:1017,100:1013,102:994,104:1058,106:1014,108:1027,110:1007,112:926,114:999,116:884,118:848,120:823,122:778,124:770,126:687,128:674,130:635,132:649,134:552,136:508,138:512,140:497,142:490,144:445,146:429,148:429,150:392,152:366,154:380,156:381,158:393,160:331,162:378,164:335,166:376,168:364,170:300,172:364,174:304,176:316,178:288,180:317,182:253,184:252,186:211,188:220,190:179,192:153,194:129,196:111,198:89,200:50,202:38,204:31,206:27,208:9,210:5,212:2,214:3</t>
  </si>
  <si>
    <t>Gen:0 Trial:0 w:208; Trial:1 w:200; Trial:2 w:180; Trial:11 w:140; Trial:153 w:138; Trial:160 w:136; Trial:228 w:130; Trial:294 w:106; Trial:485 w:100; Gen:1 Trial:518 w:74; Gen:2 Trial:1106 w:72; Trial:1441 w:58; Gen:3 Trial:1510 w:48; Gen:5 Trial:2509 w:44; Gen:6 Trial:3004 w:42; Gen:9 Trial:4804 w:40; Gen:12 Trial:6009 w:38; Gen:16 Trial:8084 w:36; pErr:0.2100, weight 36 CW found:29971, wDict:36:10724,38:2081,40:2974,42:1104,44:1551,46:869,48:846,50:672,52:595,54:498,56:465,58:424,60:378,62:376,64:343,66:340,68:310,70:318,72:276,74:300,76:291,78:292,80:309,82:289,84:311,86:305,88:373,90:369,92:396,94:424,96:451,98:426,100:475,102:511,104:452,106:542,108:509,110:562,112:559,114:558,116:484,118:476,120:517,122:468,124:476,126:411,128:443,130:420,132:420,134:378,136:381,138:323,140:335,142:316,144:294,146:273,148:278,150:280,152:299,154:282,156:312,158:297,160:301,162:286,164:307,166:293,168:341,170:354,172:346,174:343,176:366,178:371,180:411,182:357,184:414,186:446,188:395,190:363,192:351,194:334,196:319,198:299,200:235,202:191,204:181,206:143,208:103,210:51,212:41,214:24,216:11,218:6,220:5,224:1</t>
  </si>
  <si>
    <t>Gen:0 Trial:0 w:496; Trial:2 w:480; Trial:3 w:408; Trial:14 w:308; Trial:26 w:200; Trial:391 w:172; Gen:3 Trial:1586 w:168; Trial:1722 w:166; Gen:4 Trial:2030 w:164; Trial:2061 w:160; Trial:2143 w:158; Gen:5 Trial:2526 w:152; Gen:6 Trial:3016 w:150; Trial:3168 w:142; Gen:7 Trial:3527 w:138; Trial:3545 w:132; Gen:11 Trial:5567 w:130; Trial:5934 w:128; Gen:13 Trial:6714 w:118; Gen:14 Trial:7003 w:116; Gen:18 Trial:9252 w:114; Trial:9448 w:110; Gen:20 Trial:10018 w:108; Gen:26 Trial:13127 w:106; Gen:27 Trial:13524 w:104; Gen:30 Trial:15052 w:102; Trial:15201 w:98; Gen:58 Trial:29059 w:96; Gen:60 Trial:30003 w:92; Gen:71 Trial:35501 w:90; Gen:75 Trial:37505 w:88; Gen:91 Trial:45501 w:86; pErr:0.3649, weight 86 CW found:5363, wDict:86:1,88:2,90:6,92:9,94:30,96:66,98:120,100:190,102:210,104:281,106:312,108:354,110:412,112:442,114:470,116:497,118:535,120:547,122:560,124:578,126:586,128:579,130:618,132:605,134:594,136:631,138:634,140:673,142:772,144:727,146:672,148:739,150:756,152:759,154:769,156:766,158:768,160:801,162:822,164:768,166:814,168:773,170:748,172:758,174:694,176:714,178:679,180:677,182:693,184:641,186:668,188:641,190:566,192:561,194:535,196:500,198:493,200:483,202:509,204:480,206:449,208:405,210:391,212:389,214:331,216:338,218:347,220:308,222:340,224:314,226:268,228:305,230:298,232:254,234:271,236:208,238:226,240:216,242:211,244:191,246:202,248:205,250:183,252:188,254:158,256:164,258:148,260:146,262:146,264:140,266:148,268:146,270:121,272:133,274:128,276:110,278:116,280:112,282:124,284:93,286:101,288:97,290:86,292:100,294:77,296:79,298:86,300:97,302:67,304:61,306:91,308:79,310:73,312:68,314:65,316:61,318:55,320:58,322:71,324:60,326:53,328:53,330:51,332:53,334:59,336:49,338:52,340:41,342:49,344:54,346:46,348:48,350:48,352:40,354:53,356:30,358:35,360:45,362:45,364:48,366:42,368:43,370:37,372:49,374:44,376:45,378:42,380:38,382:41,384:45,386:55,388:44,390:37,392:44,394:35,396:45,398:40,400:39,402:38,404:32,406:39,408:46,410:51,412:43,414:45,416:45,418:36,420:49,422:48,424:78,426:56,428:52,430:63,432:64,434:63,436:68,438:52,440:73,442:77,444:75,446:71,448:103,450:87,452:62,454:84,456:83,458:85,460:82,462:94,464:97,466:109,468:108,470:108,472:111,474:116,476:132,478:127,480:140,482:126,484:150,486:121,488:140,490:120,492:117,494:129,496:130,498:128,500:134,502:118,504:99,506:116,508:100,510:86,512:76,514:88,516:68,518:65,520:65,522:45,524:54,526:33,528:38,530:42,532:24,534:19,536:15,538:12,540:10,542:12,544:6,546:2,548:3,550:3,552:3,554:2,562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</si>
</sst>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E+00"/>
    <numFmt numFmtId="166" formatCode="0.0000%"/>
  </numFmts>
  <fonts count="8" x14ac:knownFonts="1">
    <font>
      <sz val="12"/>
      <color theme="1"/>
      <name val="Aptos Narrow"/>
      <family val="2"/>
      <scheme val="minor"/>
    </font>
    <font>
      <sz val="12"/>
      <color rgb="FF000000"/>
      <name val="Aptos Narrow"/>
      <family val="2"/>
      <scheme val="minor"/>
    </font>
    <font>
      <b/>
      <sz val="16"/>
      <color theme="1"/>
      <name val="Aptos Narrow"/>
      <scheme val="minor"/>
    </font>
    <font>
      <b/>
      <sz val="12"/>
      <color theme="1"/>
      <name val="Aptos Narrow"/>
      <scheme val="minor"/>
    </font>
    <font>
      <b/>
      <sz val="12"/>
      <color rgb="FFFF0000"/>
      <name val="Aptos Narrow"/>
      <scheme val="minor"/>
    </font>
    <font>
      <sz val="12"/>
      <color theme="1"/>
      <name val="Aptos Narrow"/>
      <scheme val="minor"/>
    </font>
    <font>
      <b/>
      <sz val="14"/>
      <color theme="1"/>
      <name val="Aptos Narrow"/>
      <scheme val="minor"/>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20">
    <xf numFmtId="0" fontId="0" fillId="0" borderId="0" xfId="0"/>
    <xf numFmtId="164" fontId="0" fillId="0" borderId="0" xfId="0" applyNumberFormat="1"/>
    <xf numFmtId="0" fontId="1" fillId="0" borderId="0" xfId="0" applyFont="1"/>
    <xf numFmtId="0" fontId="2" fillId="0" borderId="0" xfId="0" applyFont="1"/>
    <xf numFmtId="0" fontId="3" fillId="0" borderId="0" xfId="0" applyFont="1" applyAlignment="1">
      <alignment horizontal="right"/>
    </xf>
    <xf numFmtId="165" fontId="0" fillId="0" borderId="0" xfId="0" applyNumberFormat="1"/>
    <xf numFmtId="0" fontId="0" fillId="0" borderId="0" xfId="0" applyAlignment="1">
      <alignment horizontal="left"/>
    </xf>
    <xf numFmtId="0" fontId="3" fillId="0" borderId="0" xfId="0" applyFont="1"/>
    <xf numFmtId="0" fontId="4" fillId="0" borderId="0" xfId="0" applyFont="1"/>
    <xf numFmtId="0" fontId="5" fillId="0" borderId="0" xfId="0" applyFont="1"/>
    <xf numFmtId="0" fontId="0" fillId="0" borderId="0" xfId="0" quotePrefix="1"/>
    <xf numFmtId="3" fontId="0" fillId="0" borderId="0" xfId="0" applyNumberFormat="1"/>
    <xf numFmtId="3" fontId="3" fillId="0" borderId="0" xfId="0" applyNumberFormat="1" applyFont="1"/>
    <xf numFmtId="11" fontId="0" fillId="0" borderId="0" xfId="0" quotePrefix="1" applyNumberFormat="1"/>
    <xf numFmtId="11" fontId="0" fillId="0" borderId="0" xfId="0" applyNumberFormat="1"/>
    <xf numFmtId="165" fontId="3" fillId="0" borderId="0" xfId="0" applyNumberFormat="1" applyFont="1"/>
    <xf numFmtId="0" fontId="6" fillId="0" borderId="0" xfId="0" applyFont="1"/>
    <xf numFmtId="0" fontId="7" fillId="0" borderId="0" xfId="1"/>
    <xf numFmtId="0" fontId="0" fillId="0" borderId="0" xfId="0" applyAlignment="1">
      <alignment wrapText="1"/>
    </xf>
    <xf numFmtId="166"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66F72-023E-FA41-AD4F-09C16B5A0C71}">
  <dimension ref="A1:FX188"/>
  <sheetViews>
    <sheetView tabSelected="1" zoomScaleNormal="100" workbookViewId="0">
      <selection activeCell="B65" sqref="B65"/>
    </sheetView>
  </sheetViews>
  <sheetFormatPr baseColWidth="10" defaultRowHeight="16" x14ac:dyDescent="0.2"/>
  <cols>
    <col min="1" max="1" width="27.1640625" bestFit="1" customWidth="1"/>
    <col min="2" max="2" width="10.1640625" bestFit="1" customWidth="1"/>
    <col min="3" max="3" width="12.33203125" bestFit="1" customWidth="1"/>
    <col min="4" max="4" width="17.1640625" bestFit="1" customWidth="1"/>
    <col min="5" max="5" width="14" bestFit="1" customWidth="1"/>
    <col min="6" max="6" width="9" bestFit="1" customWidth="1"/>
    <col min="7" max="8" width="8.6640625" bestFit="1" customWidth="1"/>
    <col min="9" max="9" width="20" customWidth="1"/>
    <col min="10" max="10" width="8.6640625" bestFit="1" customWidth="1"/>
    <col min="11" max="11" width="6.1640625" customWidth="1"/>
    <col min="12" max="12" width="13" bestFit="1" customWidth="1"/>
    <col min="13" max="15" width="12.1640625" bestFit="1" customWidth="1"/>
    <col min="16" max="16" width="11.1640625" bestFit="1" customWidth="1"/>
    <col min="17" max="17" width="11" bestFit="1" customWidth="1"/>
    <col min="18" max="20" width="11" customWidth="1"/>
    <col min="21" max="21" width="9.83203125" customWidth="1"/>
    <col min="22" max="22" width="7" bestFit="1" customWidth="1"/>
    <col min="23" max="23" width="7.6640625" bestFit="1" customWidth="1"/>
    <col min="24" max="24" width="6.1640625" bestFit="1" customWidth="1"/>
    <col min="25" max="25" width="8.5" bestFit="1" customWidth="1"/>
    <col min="26" max="26" width="8.6640625" bestFit="1" customWidth="1"/>
    <col min="27" max="27" width="7.33203125" bestFit="1" customWidth="1"/>
    <col min="28" max="28" width="6.6640625" bestFit="1" customWidth="1"/>
    <col min="29" max="29" width="9" bestFit="1" customWidth="1"/>
    <col min="30" max="30" width="9.33203125" bestFit="1" customWidth="1"/>
    <col min="31" max="31" width="12.33203125" bestFit="1" customWidth="1"/>
    <col min="32" max="32" width="7.1640625" bestFit="1" customWidth="1"/>
    <col min="33" max="34" width="11.5" bestFit="1" customWidth="1"/>
    <col min="35" max="37" width="11.5" customWidth="1"/>
    <col min="39" max="50" width="7.83203125" customWidth="1"/>
    <col min="51" max="51" width="11.5" bestFit="1" customWidth="1"/>
    <col min="52" max="54" width="11.5" customWidth="1"/>
    <col min="55" max="55" width="7.83203125" customWidth="1"/>
    <col min="56" max="56" width="22.1640625" bestFit="1" customWidth="1"/>
    <col min="57" max="57" width="7.6640625" bestFit="1" customWidth="1"/>
    <col min="58" max="58" width="6.1640625" bestFit="1" customWidth="1"/>
    <col min="59" max="59" width="8.5" bestFit="1" customWidth="1"/>
    <col min="60" max="60" width="8.6640625" bestFit="1" customWidth="1"/>
    <col min="61" max="61" width="7.33203125" bestFit="1" customWidth="1"/>
    <col min="62" max="62" width="6.6640625" bestFit="1" customWidth="1"/>
    <col min="63" max="63" width="9" bestFit="1" customWidth="1"/>
    <col min="64" max="64" width="9.33203125" bestFit="1" customWidth="1"/>
    <col min="65" max="65" width="12.33203125" bestFit="1" customWidth="1"/>
    <col min="66" max="66" width="7.1640625" bestFit="1" customWidth="1"/>
    <col min="67" max="68" width="11.5" bestFit="1" customWidth="1"/>
    <col min="69" max="71" width="11.5" customWidth="1"/>
    <col min="73" max="73" width="7" bestFit="1" customWidth="1"/>
    <col min="74" max="74" width="7.6640625" bestFit="1" customWidth="1"/>
    <col min="75" max="75" width="6.1640625" bestFit="1" customWidth="1"/>
    <col min="76" max="76" width="8.5" bestFit="1" customWidth="1"/>
    <col min="77" max="77" width="8.6640625" bestFit="1" customWidth="1"/>
    <col min="78" max="78" width="7.33203125" bestFit="1" customWidth="1"/>
    <col min="79" max="79" width="6.6640625" bestFit="1" customWidth="1"/>
    <col min="80" max="80" width="9" bestFit="1" customWidth="1"/>
    <col min="81" max="81" width="9.33203125" bestFit="1" customWidth="1"/>
    <col min="82" max="82" width="12.33203125" bestFit="1" customWidth="1"/>
    <col min="83" max="83" width="7.1640625" bestFit="1" customWidth="1"/>
    <col min="84" max="85" width="11.5" bestFit="1" customWidth="1"/>
    <col min="86" max="88" width="11.5" customWidth="1"/>
    <col min="90" max="90" width="8.5" bestFit="1" customWidth="1"/>
    <col min="91" max="91" width="7.6640625" bestFit="1" customWidth="1"/>
    <col min="92" max="92" width="6.1640625" bestFit="1" customWidth="1"/>
    <col min="93" max="93" width="8.5" bestFit="1" customWidth="1"/>
    <col min="94" max="94" width="8.6640625" bestFit="1" customWidth="1"/>
    <col min="95" max="95" width="7.33203125" bestFit="1" customWidth="1"/>
    <col min="96" max="96" width="6.6640625" bestFit="1" customWidth="1"/>
    <col min="97" max="97" width="9" bestFit="1" customWidth="1"/>
    <col min="98" max="98" width="9.33203125" bestFit="1" customWidth="1"/>
    <col min="99" max="99" width="12.33203125" bestFit="1" customWidth="1"/>
    <col min="100" max="100" width="7.1640625" bestFit="1" customWidth="1"/>
    <col min="101" max="102" width="11.5" bestFit="1" customWidth="1"/>
    <col min="103" max="105" width="11.5" customWidth="1"/>
    <col min="107" max="107" width="20.6640625" bestFit="1" customWidth="1"/>
    <col min="108" max="108" width="7.6640625" bestFit="1" customWidth="1"/>
    <col min="109" max="111" width="12.1640625" bestFit="1" customWidth="1"/>
    <col min="112" max="112" width="7.33203125" bestFit="1" customWidth="1"/>
    <col min="113" max="115" width="12.1640625" bestFit="1" customWidth="1"/>
    <col min="116" max="116" width="12.33203125" bestFit="1" customWidth="1"/>
    <col min="117" max="119" width="12.1640625" bestFit="1" customWidth="1"/>
    <col min="120" max="122" width="12.1640625" customWidth="1"/>
    <col min="124" max="124" width="20.6640625" bestFit="1" customWidth="1"/>
    <col min="125" max="125" width="7.6640625" bestFit="1" customWidth="1"/>
    <col min="126" max="128" width="12.1640625" bestFit="1" customWidth="1"/>
    <col min="129" max="129" width="7.33203125" bestFit="1" customWidth="1"/>
    <col min="130" max="132" width="12.1640625" bestFit="1" customWidth="1"/>
    <col min="133" max="133" width="12.33203125" bestFit="1" customWidth="1"/>
    <col min="134" max="136" width="12.1640625" bestFit="1" customWidth="1"/>
    <col min="137" max="139" width="12.1640625" customWidth="1"/>
    <col min="141" max="141" width="7" bestFit="1" customWidth="1"/>
    <col min="142" max="142" width="7.6640625" bestFit="1" customWidth="1"/>
    <col min="143" max="143" width="6.1640625" bestFit="1" customWidth="1"/>
    <col min="144" max="144" width="8.5" bestFit="1" customWidth="1"/>
    <col min="145" max="145" width="8.6640625" bestFit="1" customWidth="1"/>
    <col min="146" max="146" width="7.33203125" bestFit="1" customWidth="1"/>
    <col min="147" max="147" width="6.6640625" bestFit="1" customWidth="1"/>
    <col min="148" max="148" width="9" bestFit="1" customWidth="1"/>
    <col min="149" max="149" width="9.33203125" bestFit="1" customWidth="1"/>
    <col min="150" max="150" width="12.33203125" bestFit="1" customWidth="1"/>
    <col min="151" max="151" width="7.1640625" bestFit="1" customWidth="1"/>
    <col min="152" max="153" width="11.5" bestFit="1" customWidth="1"/>
    <col min="154" max="156" width="11.5" customWidth="1"/>
    <col min="158" max="158" width="7" bestFit="1" customWidth="1"/>
    <col min="159" max="159" width="7.6640625" bestFit="1" customWidth="1"/>
    <col min="160" max="160" width="6.1640625" bestFit="1" customWidth="1"/>
    <col min="161" max="161" width="8.5" bestFit="1" customWidth="1"/>
    <col min="162" max="162" width="8.6640625" bestFit="1" customWidth="1"/>
    <col min="163" max="163" width="7.33203125" bestFit="1" customWidth="1"/>
    <col min="164" max="164" width="6.6640625" bestFit="1" customWidth="1"/>
    <col min="165" max="165" width="9" bestFit="1" customWidth="1"/>
    <col min="166" max="166" width="9.33203125" bestFit="1" customWidth="1"/>
    <col min="167" max="167" width="12.33203125" bestFit="1" customWidth="1"/>
    <col min="168" max="168" width="7.1640625" bestFit="1" customWidth="1"/>
    <col min="169" max="170" width="11.5" bestFit="1" customWidth="1"/>
    <col min="171" max="173" width="11.5" customWidth="1"/>
    <col min="176" max="176" width="12.1640625" bestFit="1" customWidth="1"/>
  </cols>
  <sheetData>
    <row r="1" spans="1:26" ht="22" x14ac:dyDescent="0.3">
      <c r="A1" s="3" t="str" cm="1">
        <f t="array" aca="1" ref="A1" ca="1">MID(CELL("filename"),SEARCH("[",CELL("filename"))+1,SEARCH("]",CELL("filename"))-SEARCH("[",CELL("filename"))-1)</f>
        <v>BB-Rnd-v-Evol.xlsx</v>
      </c>
      <c r="B1" s="3"/>
      <c r="U1" s="4"/>
      <c r="V1" s="4"/>
    </row>
    <row r="2" spans="1:26" x14ac:dyDescent="0.2">
      <c r="Y2" s="1"/>
      <c r="Z2" s="5"/>
    </row>
    <row r="3" spans="1:26" x14ac:dyDescent="0.2">
      <c r="A3" s="4" t="s">
        <v>312</v>
      </c>
      <c r="B3" s="6">
        <f>COUNT(AB:AB)</f>
        <v>0</v>
      </c>
      <c r="C3" s="4" t="s">
        <v>313</v>
      </c>
      <c r="D3" s="6">
        <f ca="1">MAX(B68:B300)</f>
        <v>3024</v>
      </c>
      <c r="E3" s="4" t="s">
        <v>314</v>
      </c>
      <c r="F3" s="6">
        <f ca="1">MIN(B68:B300)</f>
        <v>72</v>
      </c>
      <c r="M3" s="7"/>
      <c r="Y3" s="1"/>
      <c r="Z3" s="5"/>
    </row>
    <row r="4" spans="1:26" x14ac:dyDescent="0.2">
      <c r="A4" s="4" t="s">
        <v>315</v>
      </c>
      <c r="B4" s="6">
        <f ca="1">SUM(C68:C188)</f>
        <v>710</v>
      </c>
      <c r="C4" s="4" t="s">
        <v>316</v>
      </c>
      <c r="D4" s="6">
        <f ca="1">B4</f>
        <v>710</v>
      </c>
      <c r="Y4" s="1"/>
      <c r="Z4" s="5"/>
    </row>
    <row r="5" spans="1:26" x14ac:dyDescent="0.2">
      <c r="A5" s="8" t="s">
        <v>317</v>
      </c>
      <c r="M5" s="8"/>
      <c r="Y5" s="1"/>
      <c r="Z5" s="5"/>
    </row>
    <row r="6" spans="1:26" x14ac:dyDescent="0.2">
      <c r="B6" s="7" t="s">
        <v>360</v>
      </c>
      <c r="C6" s="7" t="s">
        <v>346</v>
      </c>
      <c r="D6" s="7" t="s">
        <v>348</v>
      </c>
      <c r="E6" s="7"/>
      <c r="F6" s="7"/>
      <c r="G6" s="7"/>
      <c r="H6" s="7"/>
      <c r="I6" s="7"/>
      <c r="N6" s="7"/>
      <c r="O6" s="7"/>
      <c r="P6" s="7"/>
      <c r="Q6" s="7"/>
      <c r="R6" s="7"/>
      <c r="S6" s="7"/>
      <c r="T6" s="7"/>
      <c r="U6" s="7"/>
      <c r="Y6" s="1"/>
      <c r="Z6" s="5"/>
    </row>
    <row r="7" spans="1:26" x14ac:dyDescent="0.2">
      <c r="A7" s="7" t="s">
        <v>318</v>
      </c>
      <c r="B7">
        <f ca="1">SUM(BD:BD)</f>
        <v>20</v>
      </c>
      <c r="C7">
        <f t="shared" ref="C7:D7" ca="1" si="0">SUM(BE:BE)</f>
        <v>20</v>
      </c>
      <c r="D7">
        <f t="shared" ca="1" si="0"/>
        <v>20</v>
      </c>
      <c r="H7" s="9"/>
      <c r="I7" s="9"/>
      <c r="J7" s="10" t="s">
        <v>319</v>
      </c>
      <c r="K7" s="9"/>
      <c r="M7" s="7"/>
      <c r="S7" s="10"/>
      <c r="Y7" s="1"/>
      <c r="Z7" s="5"/>
    </row>
    <row r="8" spans="1:26" x14ac:dyDescent="0.2">
      <c r="A8" s="7" t="s">
        <v>320</v>
      </c>
      <c r="B8">
        <f ca="1">SUM(CL:CL)</f>
        <v>8</v>
      </c>
      <c r="C8">
        <f t="shared" ref="C8:D8" ca="1" si="1">SUM(CM:CM)</f>
        <v>8</v>
      </c>
      <c r="D8">
        <f t="shared" ca="1" si="1"/>
        <v>20</v>
      </c>
      <c r="J8" s="10" t="s">
        <v>319</v>
      </c>
      <c r="M8" s="7"/>
      <c r="S8" s="10"/>
      <c r="Y8" s="1"/>
      <c r="Z8" s="5"/>
    </row>
    <row r="9" spans="1:26" x14ac:dyDescent="0.2">
      <c r="A9" s="7" t="s">
        <v>321</v>
      </c>
      <c r="B9" s="1">
        <f ca="1">IF(B7,B8/B7,"")</f>
        <v>0.4</v>
      </c>
      <c r="C9" s="1">
        <f t="shared" ref="C9:D9" ca="1" si="2">IF(C7,C8/C7,"")</f>
        <v>0.4</v>
      </c>
      <c r="D9" s="1">
        <f t="shared" ca="1" si="2"/>
        <v>1</v>
      </c>
      <c r="E9" s="1"/>
      <c r="G9" s="1"/>
      <c r="H9" s="11"/>
      <c r="I9" s="11"/>
      <c r="J9" s="10" t="s">
        <v>322</v>
      </c>
      <c r="M9" s="7"/>
      <c r="N9" s="1"/>
      <c r="S9" s="10"/>
      <c r="Y9" s="1"/>
      <c r="Z9" s="5"/>
    </row>
    <row r="10" spans="1:26" x14ac:dyDescent="0.2">
      <c r="A10" s="7" t="s">
        <v>472</v>
      </c>
      <c r="B10">
        <f ca="1">(SUM(V:V)-$D$4)/B7</f>
        <v>17.8</v>
      </c>
      <c r="C10">
        <f t="shared" ref="C10:D10" ca="1" si="3">(SUM(W:W)-$D$4)/C7</f>
        <v>20.9</v>
      </c>
      <c r="D10">
        <f t="shared" ca="1" si="3"/>
        <v>0</v>
      </c>
      <c r="H10" s="5"/>
      <c r="I10" s="5"/>
      <c r="J10" s="10" t="s">
        <v>473</v>
      </c>
      <c r="M10" s="12"/>
      <c r="O10" s="5"/>
      <c r="P10" s="5"/>
      <c r="Q10" s="5"/>
      <c r="R10" s="5"/>
      <c r="S10" s="13"/>
      <c r="T10" s="5"/>
      <c r="U10" s="5"/>
      <c r="Y10" s="1"/>
      <c r="Z10" s="5"/>
    </row>
    <row r="11" spans="1:26" x14ac:dyDescent="0.2">
      <c r="A11" s="7" t="s">
        <v>323</v>
      </c>
      <c r="B11" s="11"/>
      <c r="C11" s="11">
        <f t="shared" ref="C11:D11" ca="1" si="4">SUM(FC:FC)</f>
        <v>1000000</v>
      </c>
      <c r="D11" s="11">
        <f t="shared" ca="1" si="4"/>
        <v>1000000</v>
      </c>
      <c r="E11" s="11"/>
      <c r="G11" s="11"/>
      <c r="H11" s="14"/>
      <c r="I11" s="14"/>
      <c r="J11" s="10" t="s">
        <v>319</v>
      </c>
      <c r="M11" s="15"/>
      <c r="N11" s="11"/>
      <c r="O11" s="5"/>
      <c r="P11" s="5"/>
      <c r="Q11" s="5"/>
      <c r="R11" s="5"/>
      <c r="S11" s="13"/>
      <c r="T11" s="5"/>
      <c r="U11" s="5"/>
      <c r="Y11" s="1"/>
      <c r="Z11" s="5"/>
    </row>
    <row r="12" spans="1:26" x14ac:dyDescent="0.2">
      <c r="A12" s="7" t="s">
        <v>324</v>
      </c>
      <c r="C12">
        <f t="shared" ref="C12:D12" ca="1" si="5">SUM(EL:EL)</f>
        <v>148856</v>
      </c>
      <c r="D12">
        <f t="shared" ca="1" si="5"/>
        <v>374187</v>
      </c>
      <c r="J12" s="10" t="s">
        <v>319</v>
      </c>
      <c r="M12" s="7"/>
      <c r="S12" s="10"/>
      <c r="Y12" s="1"/>
      <c r="Z12" s="5"/>
    </row>
    <row r="13" spans="1:26" x14ac:dyDescent="0.2">
      <c r="A13" s="7" t="s">
        <v>325</v>
      </c>
      <c r="B13" s="1"/>
      <c r="C13" s="1">
        <f t="shared" ref="C13:D13" ca="1" si="6">IF(C12,C12/C11,"")</f>
        <v>0.14885599999999999</v>
      </c>
      <c r="D13" s="1">
        <f t="shared" ca="1" si="6"/>
        <v>0.37418699999999999</v>
      </c>
      <c r="E13" s="1"/>
      <c r="G13" s="1"/>
      <c r="H13" s="11"/>
      <c r="I13" s="11"/>
      <c r="J13" s="10" t="s">
        <v>322</v>
      </c>
      <c r="M13" s="7"/>
      <c r="N13" s="1"/>
      <c r="S13" s="10"/>
      <c r="Y13" s="1"/>
      <c r="Z13" s="5"/>
    </row>
    <row r="14" spans="1:26" x14ac:dyDescent="0.2">
      <c r="A14" s="7" t="s">
        <v>326</v>
      </c>
      <c r="B14" s="5">
        <f ca="1">SUM(DC:DC)</f>
        <v>112.32264214754105</v>
      </c>
      <c r="C14" s="5">
        <f t="shared" ref="C14:D14" ca="1" si="7">SUM(DD:DD)</f>
        <v>47449.721100114206</v>
      </c>
      <c r="D14" s="5">
        <f t="shared" ca="1" si="7"/>
        <v>46856.610353337499</v>
      </c>
      <c r="E14" s="5"/>
      <c r="G14" s="5"/>
      <c r="H14" s="1"/>
      <c r="I14" s="1"/>
      <c r="J14" s="13" t="s">
        <v>327</v>
      </c>
      <c r="M14" s="7"/>
      <c r="N14" s="5"/>
      <c r="O14" s="11"/>
      <c r="P14" s="11"/>
      <c r="Q14" s="11"/>
      <c r="R14" s="11"/>
      <c r="S14" s="10"/>
      <c r="Y14" s="1"/>
      <c r="Z14" s="5"/>
    </row>
    <row r="15" spans="1:26" x14ac:dyDescent="0.2">
      <c r="A15" s="7" t="s">
        <v>328</v>
      </c>
      <c r="B15" s="14" t="str">
        <f>IF(B11,B14/B11,"")</f>
        <v/>
      </c>
      <c r="C15" s="14">
        <f t="shared" ref="C15:D15" ca="1" si="8">IF(C11,C14/C11,"")</f>
        <v>4.7449721100114209E-2</v>
      </c>
      <c r="D15" s="14">
        <f t="shared" ca="1" si="8"/>
        <v>4.6856610353337498E-2</v>
      </c>
      <c r="E15" s="14"/>
      <c r="G15" s="14"/>
      <c r="H15" s="11"/>
      <c r="I15" s="11"/>
      <c r="J15" s="13" t="s">
        <v>327</v>
      </c>
      <c r="M15" s="15"/>
      <c r="N15" s="14" t="str">
        <f>IF(N11,N14/N11,"")</f>
        <v/>
      </c>
      <c r="O15" s="1"/>
      <c r="P15" s="1"/>
      <c r="Q15" s="1"/>
      <c r="R15" s="1"/>
      <c r="S15" s="10"/>
      <c r="T15" s="11"/>
      <c r="U15" s="11"/>
      <c r="Y15" s="1"/>
      <c r="Z15" s="5"/>
    </row>
    <row r="16" spans="1:26" x14ac:dyDescent="0.2">
      <c r="A16" s="7" t="s">
        <v>329</v>
      </c>
      <c r="B16" s="14" t="str">
        <f>IF(B12,B14/B12,"")</f>
        <v/>
      </c>
      <c r="C16" s="14">
        <f t="shared" ref="C16:D16" ca="1" si="9">IF(C12,C14/C12,"")</f>
        <v>0.31876256986694662</v>
      </c>
      <c r="D16" s="14">
        <f t="shared" ca="1" si="9"/>
        <v>0.12522244319908896</v>
      </c>
      <c r="E16" s="14"/>
      <c r="G16" s="14"/>
      <c r="H16" s="11"/>
      <c r="I16" s="11"/>
      <c r="J16" s="13" t="s">
        <v>327</v>
      </c>
      <c r="M16" s="15"/>
      <c r="N16" s="14" t="str">
        <f>IF(N12,N14/N12,"")</f>
        <v/>
      </c>
      <c r="O16" s="1"/>
      <c r="P16" s="1"/>
      <c r="Q16" s="1"/>
      <c r="R16" s="1"/>
      <c r="S16" s="10"/>
      <c r="T16" s="11"/>
      <c r="U16" s="11"/>
      <c r="Y16" s="1"/>
      <c r="Z16" s="5"/>
    </row>
    <row r="17" spans="1:180" x14ac:dyDescent="0.2">
      <c r="A17" s="7"/>
      <c r="B17" s="1"/>
      <c r="C17" s="1"/>
      <c r="D17" s="1"/>
      <c r="E17" s="1"/>
      <c r="F17" s="1"/>
      <c r="G17" s="1"/>
      <c r="H17" s="1"/>
      <c r="I17" s="1"/>
      <c r="J17" s="10"/>
      <c r="M17" s="5"/>
      <c r="N17" s="5"/>
      <c r="O17" s="5"/>
      <c r="P17" s="5"/>
      <c r="Y17" s="1"/>
      <c r="Z17" s="5"/>
    </row>
    <row r="18" spans="1:180" x14ac:dyDescent="0.2">
      <c r="L18" s="5"/>
      <c r="M18" s="5"/>
      <c r="N18" s="5"/>
      <c r="O18" s="5"/>
      <c r="P18" s="5"/>
      <c r="Y18" s="1"/>
      <c r="Z18" s="5"/>
    </row>
    <row r="19" spans="1:180" hidden="1" x14ac:dyDescent="0.2">
      <c r="A19" s="7"/>
      <c r="B19" s="7"/>
      <c r="O19" s="5"/>
      <c r="P19" s="5"/>
      <c r="Y19" s="1"/>
      <c r="Z19" s="5"/>
    </row>
    <row r="20" spans="1:180" hidden="1" x14ac:dyDescent="0.2">
      <c r="O20" s="5"/>
      <c r="P20" s="5"/>
      <c r="Y20" s="1"/>
      <c r="Z20" s="5"/>
      <c r="FW20" s="1"/>
      <c r="FX20" s="5"/>
    </row>
    <row r="21" spans="1:180" ht="19" hidden="1" x14ac:dyDescent="0.25">
      <c r="A21" s="16"/>
      <c r="B21" s="16"/>
      <c r="C21" s="16"/>
      <c r="D21" s="16"/>
      <c r="E21" s="16"/>
      <c r="F21" s="16"/>
      <c r="G21" s="16"/>
      <c r="H21" s="16"/>
      <c r="I21" s="16"/>
      <c r="K21" s="16"/>
      <c r="L21" s="16"/>
      <c r="M21" s="16"/>
      <c r="N21" s="16"/>
      <c r="O21" s="5"/>
      <c r="P21" s="5"/>
      <c r="Y21" s="1"/>
      <c r="Z21" s="5"/>
      <c r="FW21" s="1"/>
      <c r="FX21" s="5"/>
    </row>
    <row r="22" spans="1:180" hidden="1" x14ac:dyDescent="0.2">
      <c r="O22" s="5"/>
      <c r="P22" s="5"/>
      <c r="Y22" s="1"/>
      <c r="Z22" s="5"/>
      <c r="FW22" s="1"/>
      <c r="FX22" s="5"/>
    </row>
    <row r="23" spans="1:180" hidden="1" x14ac:dyDescent="0.2">
      <c r="O23" s="5"/>
      <c r="P23" s="5"/>
      <c r="Y23" s="1"/>
      <c r="Z23" s="5"/>
      <c r="FW23" s="1"/>
      <c r="FX23" s="5"/>
    </row>
    <row r="24" spans="1:180" hidden="1" x14ac:dyDescent="0.2">
      <c r="O24" s="5"/>
      <c r="P24" s="5"/>
      <c r="Y24" s="1"/>
      <c r="Z24" s="5"/>
      <c r="FW24" s="1"/>
      <c r="FX24" s="5"/>
    </row>
    <row r="25" spans="1:180" hidden="1" x14ac:dyDescent="0.2">
      <c r="O25" s="5"/>
      <c r="P25" s="5"/>
      <c r="Y25" s="1"/>
      <c r="Z25" s="5"/>
      <c r="FW25" s="1"/>
      <c r="FX25" s="5"/>
    </row>
    <row r="26" spans="1:180" hidden="1" x14ac:dyDescent="0.2">
      <c r="O26" s="5"/>
      <c r="P26" s="5"/>
      <c r="Y26" s="1"/>
      <c r="Z26" s="5"/>
      <c r="FW26" s="1"/>
      <c r="FX26" s="5"/>
    </row>
    <row r="27" spans="1:180" hidden="1" x14ac:dyDescent="0.2">
      <c r="O27" s="5"/>
      <c r="P27" s="5"/>
      <c r="Y27" s="1"/>
      <c r="Z27" s="5"/>
      <c r="FW27" s="1"/>
      <c r="FX27" s="5"/>
    </row>
    <row r="28" spans="1:180" hidden="1" x14ac:dyDescent="0.2">
      <c r="O28" s="5"/>
      <c r="P28" s="5"/>
      <c r="Y28" s="1"/>
      <c r="Z28" s="5"/>
      <c r="FW28" s="1"/>
      <c r="FX28" s="5"/>
    </row>
    <row r="29" spans="1:180" hidden="1" x14ac:dyDescent="0.2">
      <c r="O29" s="5"/>
      <c r="P29" s="5"/>
      <c r="Y29" s="1"/>
      <c r="Z29" s="5"/>
      <c r="FW29" s="1"/>
      <c r="FX29" s="5"/>
    </row>
    <row r="30" spans="1:180" hidden="1" x14ac:dyDescent="0.2">
      <c r="Y30" s="1"/>
      <c r="Z30" s="5"/>
      <c r="FW30" s="1"/>
      <c r="FX30" s="5"/>
    </row>
    <row r="31" spans="1:180" hidden="1" x14ac:dyDescent="0.2">
      <c r="Y31" s="1"/>
      <c r="Z31" s="5"/>
      <c r="FW31" s="1"/>
      <c r="FX31" s="5"/>
    </row>
    <row r="32" spans="1:180" hidden="1" x14ac:dyDescent="0.2">
      <c r="Y32" s="1"/>
      <c r="Z32" s="5"/>
      <c r="FW32" s="1"/>
      <c r="FX32" s="5"/>
    </row>
    <row r="33" spans="1:180" hidden="1" x14ac:dyDescent="0.2">
      <c r="Y33" s="1"/>
      <c r="Z33" s="5"/>
      <c r="FW33" s="1"/>
      <c r="FX33" s="5"/>
    </row>
    <row r="34" spans="1:180" hidden="1" x14ac:dyDescent="0.2">
      <c r="Y34" s="1"/>
      <c r="Z34" s="5"/>
      <c r="FW34" s="1"/>
      <c r="FX34" s="5" t="str">
        <f t="shared" ref="FX34:FX38" si="10">IF(FU34,FT34/FU34,"")</f>
        <v/>
      </c>
    </row>
    <row r="35" spans="1:180" hidden="1" x14ac:dyDescent="0.2">
      <c r="Y35" s="1"/>
      <c r="Z35" s="5"/>
      <c r="FW35" s="1"/>
      <c r="FX35" s="5" t="str">
        <f t="shared" si="10"/>
        <v/>
      </c>
    </row>
    <row r="36" spans="1:180" hidden="1" x14ac:dyDescent="0.2">
      <c r="Y36" s="1"/>
      <c r="Z36" s="5"/>
      <c r="FW36" s="1"/>
      <c r="FX36" s="5" t="str">
        <f t="shared" si="10"/>
        <v/>
      </c>
    </row>
    <row r="37" spans="1:180" hidden="1" x14ac:dyDescent="0.2">
      <c r="Y37" s="1"/>
      <c r="Z37" s="5"/>
      <c r="FW37" s="1"/>
      <c r="FX37" s="5" t="str">
        <f t="shared" si="10"/>
        <v/>
      </c>
    </row>
    <row r="38" spans="1:180" hidden="1" x14ac:dyDescent="0.2">
      <c r="Y38" s="1"/>
      <c r="Z38" s="5"/>
      <c r="FW38" s="1"/>
      <c r="FX38" s="5" t="str">
        <f t="shared" si="10"/>
        <v/>
      </c>
    </row>
    <row r="39" spans="1:180" hidden="1" x14ac:dyDescent="0.2">
      <c r="Y39" s="1"/>
      <c r="Z39" s="5"/>
      <c r="FW39" s="1"/>
      <c r="FX39" s="5"/>
    </row>
    <row r="40" spans="1:180" hidden="1" x14ac:dyDescent="0.2">
      <c r="Y40" s="1"/>
      <c r="Z40" s="5"/>
      <c r="FW40" s="1"/>
      <c r="FX40" s="5"/>
    </row>
    <row r="41" spans="1:180" hidden="1" x14ac:dyDescent="0.2">
      <c r="Y41" s="1"/>
      <c r="Z41" s="5"/>
      <c r="FW41" s="1"/>
      <c r="FX41" s="5"/>
    </row>
    <row r="43" spans="1:180" x14ac:dyDescent="0.2">
      <c r="A43" t="s">
        <v>330</v>
      </c>
    </row>
    <row r="44" spans="1:180" x14ac:dyDescent="0.2">
      <c r="A44" t="s">
        <v>331</v>
      </c>
      <c r="B44" t="s">
        <v>332</v>
      </c>
      <c r="C44" t="s">
        <v>332</v>
      </c>
      <c r="D44" t="s">
        <v>332</v>
      </c>
      <c r="E44" t="s">
        <v>333</v>
      </c>
      <c r="F44" t="s">
        <v>334</v>
      </c>
    </row>
    <row r="45" spans="1:180" x14ac:dyDescent="0.2">
      <c r="A45" t="str">
        <f>A2&amp;" &amp;"</f>
        <v xml:space="preserve"> &amp;</v>
      </c>
      <c r="B45" t="str">
        <f>"\textbf{"&amp;B6&amp;"}"&amp;IF(C45="\\",""," &amp;")</f>
        <v>\textbf{m4riRW} &amp;</v>
      </c>
      <c r="C45" t="str">
        <f>"\textbf{"&amp;C6&amp;"}"&amp;IF(D45="\\",""," &amp;")</f>
        <v>\textbf{QDistRndMW} &amp;</v>
      </c>
      <c r="D45" t="str">
        <f>"\textbf{"&amp;D6&amp;"}"&amp;IF(E45="\\",""," &amp;")</f>
        <v>\textbf{QDistEvol}</v>
      </c>
      <c r="E45" s="17" t="s">
        <v>335</v>
      </c>
      <c r="F45" t="s">
        <v>334</v>
      </c>
      <c r="S45" s="17"/>
      <c r="V45" s="17"/>
    </row>
    <row r="46" spans="1:180" x14ac:dyDescent="0.2">
      <c r="A46" t="str">
        <f t="shared" ref="A46:A55" si="11">"\textbf{"&amp;A7&amp;"} &amp;"</f>
        <v>\textbf{Codes completed} &amp;</v>
      </c>
      <c r="B46" t="str">
        <f t="shared" ref="B46:D55" ca="1" si="12">SUBSTITUTE(TEXT(B7,$J7)&amp;IF(C46="\\",""," &amp;"),"%","\%")</f>
        <v>20 &amp;</v>
      </c>
      <c r="C46" t="str">
        <f t="shared" ca="1" si="12"/>
        <v>20 &amp;</v>
      </c>
      <c r="D46" t="str">
        <f t="shared" ca="1" si="12"/>
        <v>20</v>
      </c>
      <c r="E46" s="17" t="s">
        <v>335</v>
      </c>
      <c r="S46" s="17"/>
      <c r="V46" s="17"/>
    </row>
    <row r="47" spans="1:180" x14ac:dyDescent="0.2">
      <c r="A47" t="str">
        <f t="shared" si="11"/>
        <v>\textbf{Codes at lowest distance} &amp;</v>
      </c>
      <c r="B47" t="str">
        <f t="shared" ca="1" si="12"/>
        <v>8 &amp;</v>
      </c>
      <c r="C47" t="str">
        <f t="shared" ca="1" si="12"/>
        <v>8 &amp;</v>
      </c>
      <c r="D47" t="str">
        <f t="shared" ca="1" si="12"/>
        <v>20</v>
      </c>
      <c r="E47" s="17" t="s">
        <v>335</v>
      </c>
      <c r="S47" s="17"/>
      <c r="V47" s="17"/>
    </row>
    <row r="48" spans="1:180" x14ac:dyDescent="0.2">
      <c r="A48" t="str">
        <f t="shared" si="11"/>
        <v>\textbf{Overall Success Rate} &amp;</v>
      </c>
      <c r="B48" t="str">
        <f t="shared" ca="1" si="12"/>
        <v>40.0\% &amp;</v>
      </c>
      <c r="C48" t="str">
        <f t="shared" ca="1" si="12"/>
        <v>40.0\% &amp;</v>
      </c>
      <c r="D48" t="str">
        <f t="shared" ca="1" si="12"/>
        <v>100.0\%</v>
      </c>
      <c r="E48" s="17" t="s">
        <v>335</v>
      </c>
      <c r="S48" s="17"/>
      <c r="V48" s="17"/>
    </row>
    <row r="49" spans="1:180" x14ac:dyDescent="0.2">
      <c r="A49" t="str">
        <f t="shared" si="11"/>
        <v>\textbf{Avg Delta d} &amp;</v>
      </c>
      <c r="B49" t="str">
        <f t="shared" ca="1" si="12"/>
        <v>17.8 &amp;</v>
      </c>
      <c r="C49" t="str">
        <f t="shared" ca="1" si="12"/>
        <v>20.9 &amp;</v>
      </c>
      <c r="D49" t="str">
        <f t="shared" ca="1" si="12"/>
        <v>0.0</v>
      </c>
      <c r="E49" s="17" t="s">
        <v>335</v>
      </c>
      <c r="F49" t="s">
        <v>334</v>
      </c>
      <c r="S49" s="17"/>
      <c r="V49" s="17"/>
    </row>
    <row r="50" spans="1:180" x14ac:dyDescent="0.2">
      <c r="A50" t="str">
        <f t="shared" si="11"/>
        <v>\textbf{Trials} &amp;</v>
      </c>
      <c r="B50" t="str">
        <f t="shared" ca="1" si="12"/>
        <v xml:space="preserve"> &amp;</v>
      </c>
      <c r="C50" t="str">
        <f t="shared" ca="1" si="12"/>
        <v>1,000,000 &amp;</v>
      </c>
      <c r="D50" t="str">
        <f t="shared" ca="1" si="12"/>
        <v>1,000,000</v>
      </c>
      <c r="E50" s="17" t="s">
        <v>335</v>
      </c>
      <c r="S50" s="17"/>
      <c r="V50" s="17"/>
    </row>
    <row r="51" spans="1:180" x14ac:dyDescent="0.2">
      <c r="A51" t="str">
        <f t="shared" si="11"/>
        <v>\textbf{Trials at lowest distance} &amp;</v>
      </c>
      <c r="B51" t="str">
        <f t="shared" ca="1" si="12"/>
        <v xml:space="preserve"> &amp;</v>
      </c>
      <c r="C51" t="str">
        <f t="shared" ca="1" si="12"/>
        <v>148,856 &amp;</v>
      </c>
      <c r="D51" t="str">
        <f t="shared" ca="1" si="12"/>
        <v>374,187</v>
      </c>
      <c r="E51" s="17" t="s">
        <v>335</v>
      </c>
      <c r="S51" s="17"/>
      <c r="V51" s="17"/>
    </row>
    <row r="52" spans="1:180" x14ac:dyDescent="0.2">
      <c r="A52" t="str">
        <f t="shared" si="11"/>
        <v>\textbf{Trial Success Rate} &amp;</v>
      </c>
      <c r="B52" t="str">
        <f t="shared" ca="1" si="12"/>
        <v xml:space="preserve"> &amp;</v>
      </c>
      <c r="C52" t="str">
        <f t="shared" ca="1" si="12"/>
        <v>14.9\% &amp;</v>
      </c>
      <c r="D52" t="str">
        <f t="shared" ca="1" si="12"/>
        <v>37.4\%</v>
      </c>
      <c r="E52" s="17" t="s">
        <v>335</v>
      </c>
      <c r="F52" t="s">
        <v>334</v>
      </c>
      <c r="S52" s="17"/>
      <c r="V52" s="17"/>
    </row>
    <row r="53" spans="1:180" x14ac:dyDescent="0.2">
      <c r="A53" t="str">
        <f t="shared" si="11"/>
        <v>\textbf{Total Processing Time (s)} &amp;</v>
      </c>
      <c r="B53" t="str">
        <f t="shared" ca="1" si="12"/>
        <v>1.1E+02 &amp;</v>
      </c>
      <c r="C53" t="str">
        <f t="shared" ca="1" si="12"/>
        <v>4.7E+04 &amp;</v>
      </c>
      <c r="D53" t="str">
        <f t="shared" ca="1" si="12"/>
        <v>4.7E+04</v>
      </c>
      <c r="E53" s="17" t="s">
        <v>335</v>
      </c>
      <c r="S53" s="17"/>
      <c r="V53" s="17"/>
    </row>
    <row r="54" spans="1:180" x14ac:dyDescent="0.2">
      <c r="A54" t="str">
        <f t="shared" si="11"/>
        <v>\textbf{Time/Trial} &amp;</v>
      </c>
      <c r="B54" t="str">
        <f t="shared" ca="1" si="12"/>
        <v xml:space="preserve"> &amp;</v>
      </c>
      <c r="C54" t="str">
        <f t="shared" ca="1" si="12"/>
        <v>4.7E-02 &amp;</v>
      </c>
      <c r="D54" t="str">
        <f t="shared" ca="1" si="12"/>
        <v>4.7E-02</v>
      </c>
      <c r="E54" s="17" t="s">
        <v>335</v>
      </c>
      <c r="V54" s="17"/>
    </row>
    <row r="55" spans="1:180" x14ac:dyDescent="0.2">
      <c r="A55" t="str">
        <f t="shared" si="11"/>
        <v>\textbf{Time/Successful Trial} &amp;</v>
      </c>
      <c r="B55" t="str">
        <f t="shared" ca="1" si="12"/>
        <v xml:space="preserve"> &amp;</v>
      </c>
      <c r="C55" t="str">
        <f t="shared" ca="1" si="12"/>
        <v>3.2E-01 &amp;</v>
      </c>
      <c r="D55" t="str">
        <f t="shared" ca="1" si="12"/>
        <v>1.3E-01</v>
      </c>
      <c r="E55" s="17" t="s">
        <v>335</v>
      </c>
      <c r="F55" t="s">
        <v>334</v>
      </c>
      <c r="V55" s="17"/>
    </row>
    <row r="56" spans="1:180" x14ac:dyDescent="0.2">
      <c r="A56" t="s">
        <v>336</v>
      </c>
      <c r="G56" s="17"/>
      <c r="V56" s="17"/>
    </row>
    <row r="57" spans="1:180" x14ac:dyDescent="0.2">
      <c r="A57" t="s">
        <v>337</v>
      </c>
      <c r="H57" s="17"/>
      <c r="V57" s="17"/>
    </row>
    <row r="59" spans="1:180" x14ac:dyDescent="0.2">
      <c r="V59" s="1"/>
      <c r="W59" s="5"/>
    </row>
    <row r="60" spans="1:180" x14ac:dyDescent="0.2">
      <c r="M60" s="7"/>
      <c r="N60" s="7"/>
      <c r="O60" s="7"/>
      <c r="V60" s="1"/>
      <c r="W60" s="5"/>
    </row>
    <row r="61" spans="1:180" x14ac:dyDescent="0.2">
      <c r="V61" s="1"/>
      <c r="W61" s="5"/>
    </row>
    <row r="62" spans="1:180" x14ac:dyDescent="0.2">
      <c r="E62" s="7"/>
      <c r="F62" s="7"/>
      <c r="G62" s="7"/>
      <c r="H62" s="7"/>
      <c r="I62" s="7"/>
      <c r="J62" s="7"/>
      <c r="K62" s="7"/>
      <c r="L62" s="7"/>
      <c r="M62" s="7"/>
      <c r="N62" s="7"/>
      <c r="O62" s="7"/>
      <c r="Y62" s="1"/>
      <c r="Z62" s="5"/>
      <c r="FW62" s="1"/>
      <c r="FX62" s="5"/>
    </row>
    <row r="63" spans="1:180" x14ac:dyDescent="0.2">
      <c r="Y63" s="1"/>
      <c r="Z63" s="5"/>
      <c r="FW63" s="1"/>
      <c r="FX63" s="5"/>
    </row>
    <row r="64" spans="1:180" x14ac:dyDescent="0.2">
      <c r="Y64" s="1"/>
      <c r="Z64" s="5"/>
      <c r="FW64" s="1"/>
      <c r="FX64" s="5"/>
    </row>
    <row r="65" spans="1:180" x14ac:dyDescent="0.2">
      <c r="A65" t="s">
        <v>338</v>
      </c>
      <c r="B65">
        <f>35-ROW(D68)</f>
        <v>-33</v>
      </c>
      <c r="Y65" s="1"/>
      <c r="Z65" s="5"/>
      <c r="FW65" s="1"/>
      <c r="FX65" s="5"/>
    </row>
    <row r="66" spans="1:180" s="7" customFormat="1" x14ac:dyDescent="0.2">
      <c r="E66" s="7" t="s">
        <v>339</v>
      </c>
      <c r="V66" s="7" t="s">
        <v>340</v>
      </c>
      <c r="AM66" s="7" t="s">
        <v>341</v>
      </c>
      <c r="BD66" s="7" t="s">
        <v>342</v>
      </c>
      <c r="BU66" s="7" t="s">
        <v>343</v>
      </c>
      <c r="CL66" s="7" t="s">
        <v>310</v>
      </c>
      <c r="DC66" s="7" t="s">
        <v>344</v>
      </c>
      <c r="DT66" s="7" t="s">
        <v>345</v>
      </c>
      <c r="EK66" s="7" t="s">
        <v>29</v>
      </c>
      <c r="FB66" s="7" t="s">
        <v>30</v>
      </c>
      <c r="FT66"/>
      <c r="FU66"/>
      <c r="FV66"/>
      <c r="FW66" s="1"/>
      <c r="FX66" s="5"/>
    </row>
    <row r="67" spans="1:180" s="7" customFormat="1" x14ac:dyDescent="0.2">
      <c r="A67" s="7" t="s">
        <v>349</v>
      </c>
      <c r="B67" s="7" t="s">
        <v>24</v>
      </c>
      <c r="C67" s="7" t="s">
        <v>347</v>
      </c>
      <c r="E67" s="7" t="s">
        <v>350</v>
      </c>
      <c r="F67" s="7" t="s">
        <v>359</v>
      </c>
      <c r="G67" s="7" t="s">
        <v>349</v>
      </c>
      <c r="V67" s="7" t="str">
        <f t="shared" ref="V67:X67" si="13">E67</f>
        <v>m4ri_RW_all</v>
      </c>
      <c r="W67" s="7" t="str">
        <f t="shared" si="13"/>
        <v>QDistRndMW_all</v>
      </c>
      <c r="X67" s="7" t="str">
        <f t="shared" si="13"/>
        <v>QDistEvol_all</v>
      </c>
      <c r="AM67" s="7" t="str">
        <f t="shared" ref="AM67:AO67" si="14">E67</f>
        <v>m4ri_RW_all</v>
      </c>
      <c r="AN67" s="7" t="str">
        <f t="shared" si="14"/>
        <v>QDistRndMW_all</v>
      </c>
      <c r="AO67" s="7" t="str">
        <f t="shared" si="14"/>
        <v>QDistEvol_all</v>
      </c>
      <c r="BD67" s="7" t="str">
        <f t="shared" ref="BD67:BF67" si="15">V67</f>
        <v>m4ri_RW_all</v>
      </c>
      <c r="BE67" s="7" t="str">
        <f t="shared" si="15"/>
        <v>QDistRndMW_all</v>
      </c>
      <c r="BF67" s="7" t="str">
        <f t="shared" si="15"/>
        <v>QDistEvol_all</v>
      </c>
      <c r="BU67" s="7" t="str">
        <f t="shared" ref="BU67:BW67" si="16">BD67</f>
        <v>m4ri_RW_all</v>
      </c>
      <c r="BV67" s="7" t="str">
        <f t="shared" si="16"/>
        <v>QDistRndMW_all</v>
      </c>
      <c r="BW67" s="7" t="str">
        <f t="shared" si="16"/>
        <v>QDistEvol_all</v>
      </c>
      <c r="CL67" s="7" t="str">
        <f t="shared" ref="CL67:CN67" si="17">BU67</f>
        <v>m4ri_RW_all</v>
      </c>
      <c r="CM67" s="7" t="str">
        <f t="shared" si="17"/>
        <v>QDistRndMW_all</v>
      </c>
      <c r="CN67" s="7" t="str">
        <f t="shared" si="17"/>
        <v>QDistEvol_all</v>
      </c>
      <c r="DC67" s="7" t="str">
        <f t="shared" ref="DC67:DE67" si="18">CL67</f>
        <v>m4ri_RW_all</v>
      </c>
      <c r="DD67" s="7" t="str">
        <f t="shared" si="18"/>
        <v>QDistRndMW_all</v>
      </c>
      <c r="DE67" s="7" t="str">
        <f t="shared" si="18"/>
        <v>QDistEvol_all</v>
      </c>
      <c r="DT67" s="7" t="str">
        <f t="shared" ref="DT67:DV67" si="19">DC67</f>
        <v>m4ri_RW_all</v>
      </c>
      <c r="DU67" s="7" t="str">
        <f t="shared" si="19"/>
        <v>QDistRndMW_all</v>
      </c>
      <c r="DV67" s="7" t="str">
        <f t="shared" si="19"/>
        <v>QDistEvol_all</v>
      </c>
      <c r="EK67" s="7" t="str">
        <f t="shared" ref="EK67:EM67" si="20">DT67</f>
        <v>m4ri_RW_all</v>
      </c>
      <c r="EL67" s="7" t="str">
        <f t="shared" si="20"/>
        <v>QDistRndMW_all</v>
      </c>
      <c r="EM67" s="7" t="str">
        <f t="shared" si="20"/>
        <v>QDistEvol_all</v>
      </c>
      <c r="FB67" s="7" t="str">
        <f t="shared" ref="FB67:FD67" si="21">EK67</f>
        <v>m4ri_RW_all</v>
      </c>
      <c r="FC67" s="7" t="str">
        <f t="shared" si="21"/>
        <v>QDistRndMW_all</v>
      </c>
      <c r="FD67" s="7" t="str">
        <f t="shared" si="21"/>
        <v>QDistEvol_all</v>
      </c>
      <c r="FS67" s="4"/>
      <c r="FT67" s="4"/>
      <c r="FU67"/>
      <c r="FV67"/>
      <c r="FW67"/>
      <c r="FX67"/>
    </row>
    <row r="68" spans="1:180" x14ac:dyDescent="0.2">
      <c r="A68" t="str" cm="1">
        <f t="array" aca="1" ref="A68" ca="1">INDIRECT($A$67&amp;"!A"&amp;ROW(C68)+$B$65)</f>
        <v>[[72,12,6]]</v>
      </c>
      <c r="B68" cm="1">
        <f t="array" aca="1" ref="B68" ca="1">INDIRECT($A$67&amp;"!b"&amp;ROW(C68)+$B$65)</f>
        <v>72</v>
      </c>
      <c r="C68">
        <f ca="1">MIN(V68:X68)</f>
        <v>6</v>
      </c>
      <c r="D68">
        <v>6</v>
      </c>
      <c r="E68">
        <f ca="1">MATCH($B68,INDIRECT("'"&amp;E$67&amp;"'!b:b"),)</f>
        <v>32</v>
      </c>
      <c r="F68">
        <f t="shared" ref="F68:G68" ca="1" si="22">MATCH($B68,INDIRECT("'"&amp;F$67&amp;"'!b:b"),)</f>
        <v>32</v>
      </c>
      <c r="G68">
        <f t="shared" ca="1" si="22"/>
        <v>35</v>
      </c>
      <c r="V68" cm="1">
        <f t="array" aca="1" ref="V68" ca="1">IF(ISNA(E68),$B68,OFFSET(INDIRECT("'"&amp;V$67&amp;"'!d1"),E68-1,))</f>
        <v>6</v>
      </c>
      <c r="W68" cm="1">
        <f t="array" aca="1" ref="W68" ca="1">IF(ISNA(F68),,OFFSET(INDIRECT("'"&amp;W$67&amp;"'!d1"),F68-1,))</f>
        <v>6</v>
      </c>
      <c r="X68" cm="1">
        <f t="array" aca="1" ref="X68" ca="1">IF(ISNA(G68),,OFFSET(INDIRECT("'"&amp;X$67&amp;"'!d1"),G68-1,))</f>
        <v>6</v>
      </c>
      <c r="AM68">
        <f t="shared" ref="AM68:AO84" ca="1" si="23">IF(DC68&gt; $N$3,0,1)</f>
        <v>0</v>
      </c>
      <c r="AN68">
        <f t="shared" ca="1" si="23"/>
        <v>0</v>
      </c>
      <c r="AO68">
        <f t="shared" ca="1" si="23"/>
        <v>0</v>
      </c>
      <c r="BD68">
        <f t="shared" ref="BD68:BF84" ca="1" si="24">IF(AND(V68&gt;0,V68&lt;$B68),1,0)</f>
        <v>1</v>
      </c>
      <c r="BE68">
        <f t="shared" ca="1" si="24"/>
        <v>1</v>
      </c>
      <c r="BF68">
        <f t="shared" ca="1" si="24"/>
        <v>1</v>
      </c>
      <c r="BU68">
        <f t="shared" ref="BU68:BW84" ca="1" si="25">IF(BD68,V68,$B68)</f>
        <v>6</v>
      </c>
      <c r="BV68">
        <f t="shared" ca="1" si="25"/>
        <v>6</v>
      </c>
      <c r="BW68">
        <f t="shared" ca="1" si="25"/>
        <v>6</v>
      </c>
      <c r="CL68">
        <f t="shared" ref="CL68:CN84" ca="1" si="26">IF(BU68=$C68,1,0)</f>
        <v>1</v>
      </c>
      <c r="CM68">
        <f t="shared" ca="1" si="26"/>
        <v>1</v>
      </c>
      <c r="CN68">
        <f t="shared" ca="1" si="26"/>
        <v>1</v>
      </c>
      <c r="DC68" t="str" cm="1">
        <f t="array" aca="1" ref="DC68" ca="1">IF(BD68,OFFSET(INDIRECT("'"&amp;DT$67&amp;"'!f1"),E68-1,),"")</f>
        <v>0.5121673261746764</v>
      </c>
      <c r="DD68" cm="1">
        <f t="array" aca="1" ref="DD68" ca="1">IF(BE68,OFFSET(INDIRECT("'"&amp;DU$67&amp;"'!f1"),F68-1,),"")</f>
        <v>13.753416689112701</v>
      </c>
      <c r="DE68" cm="1">
        <f t="array" aca="1" ref="DE68" ca="1">IF(BF68,OFFSET(INDIRECT("'"&amp;DV$67&amp;"'!f1"),G68-1,),"")</f>
        <v>19.267281759530299</v>
      </c>
      <c r="DT68" t="str" cm="1">
        <f t="array" aca="1" ref="DT68" ca="1">IF(CL68,OFFSET(INDIRECT("'"&amp;DT$67&amp;"'!f1"),E68-1,),"")</f>
        <v>0.5121673261746764</v>
      </c>
      <c r="DU68" cm="1">
        <f t="array" aca="1" ref="DU68" ca="1">IF(CM68,OFFSET(INDIRECT("'"&amp;DU$67&amp;"'!f1"),F68-1,),"")</f>
        <v>13.753416689112701</v>
      </c>
      <c r="DV68" cm="1">
        <f t="array" aca="1" ref="DV68" ca="1">IF(CN68,OFFSET(INDIRECT("'"&amp;DV$67&amp;"'!f1"),G68-1,),"")</f>
        <v>19.267281759530299</v>
      </c>
      <c r="EK68" cm="1">
        <f t="array" aca="1" ref="EK68" ca="1">IF(ISNA(E68),0,OFFSET(INDIRECT("'"&amp;EK$67&amp;"'!g1"),E68-1,)*CL68)</f>
        <v>1</v>
      </c>
      <c r="EL68" cm="1">
        <f t="array" aca="1" ref="EL68" ca="1">IF(ISNA(F68),0,OFFSET(INDIRECT("'"&amp;EL$67&amp;"'!g1"),F68-1,)*CM68)</f>
        <v>47412</v>
      </c>
      <c r="EM68" cm="1">
        <f t="array" aca="1" ref="EM68" ca="1">IF(ISNA(G68),0,OFFSET(INDIRECT("'"&amp;EM$67&amp;"'!g1"),G68-1,)*CN68)</f>
        <v>49959</v>
      </c>
      <c r="FB68" s="18" cm="1">
        <f t="array" aca="1" ref="FB68" ca="1">IF(ISNA(E68),0,OFFSET(INDIRECT("'"&amp;EK$67&amp;"'!h1"),E68-1,))</f>
        <v>1</v>
      </c>
      <c r="FC68" s="18" cm="1">
        <f t="array" aca="1" ref="FC68" ca="1">IF(ISNA(F68),0,OFFSET(INDIRECT("'"&amp;EL$67&amp;"'!h1"),F68-1,))</f>
        <v>50000</v>
      </c>
      <c r="FD68" s="18" cm="1">
        <f t="array" aca="1" ref="FD68" ca="1">IF(ISNA(G68),0,OFFSET(INDIRECT("'"&amp;EM$67&amp;"'!h1"),G68-1,))</f>
        <v>50000</v>
      </c>
      <c r="FE68" s="18"/>
      <c r="FF68" s="18"/>
      <c r="FG68" s="18"/>
      <c r="FH68" s="18"/>
      <c r="FI68" s="18"/>
      <c r="FJ68" s="18"/>
      <c r="FK68" s="18"/>
      <c r="FL68" s="18"/>
      <c r="FM68" s="18"/>
      <c r="FN68" s="18"/>
      <c r="FO68" s="18"/>
      <c r="FP68" s="18"/>
      <c r="FQ68" s="18"/>
      <c r="FW68" s="1"/>
      <c r="FX68" s="5"/>
    </row>
    <row r="69" spans="1:180" x14ac:dyDescent="0.2">
      <c r="A69" t="str" cm="1">
        <f t="array" aca="1" ref="A69" ca="1">INDIRECT($A$67&amp;"!A"&amp;ROW(C69)+$B$65)</f>
        <v>[[90,8,10]]</v>
      </c>
      <c r="B69" cm="1">
        <f t="array" aca="1" ref="B69" ca="1">INDIRECT($A$67&amp;"!b"&amp;ROW(C69)+$B$65)</f>
        <v>90</v>
      </c>
      <c r="C69">
        <f t="shared" ref="C69:C87" ca="1" si="27">MIN(V69:X69)</f>
        <v>10</v>
      </c>
      <c r="D69">
        <v>10</v>
      </c>
      <c r="E69">
        <f t="shared" ref="E69:G87" ca="1" si="28">MATCH($B69,INDIRECT("'"&amp;E$67&amp;"'!b:b"),)</f>
        <v>33</v>
      </c>
      <c r="F69">
        <f t="shared" ca="1" si="28"/>
        <v>33</v>
      </c>
      <c r="G69">
        <f t="shared" ca="1" si="28"/>
        <v>36</v>
      </c>
      <c r="V69" cm="1">
        <f t="array" aca="1" ref="V69" ca="1">IF(ISNA(E69),,OFFSET(INDIRECT("'"&amp;V$67&amp;"'!d1"),E69-1,))</f>
        <v>10</v>
      </c>
      <c r="W69" cm="1">
        <f t="array" aca="1" ref="W69" ca="1">IF(ISNA(F69),,OFFSET(INDIRECT("'"&amp;W$67&amp;"'!d1"),F69-1,))</f>
        <v>10</v>
      </c>
      <c r="X69" cm="1">
        <f t="array" aca="1" ref="X69" ca="1">IF(ISNA(G69),,OFFSET(INDIRECT("'"&amp;X$67&amp;"'!d1"),G69-1,))</f>
        <v>10</v>
      </c>
      <c r="AM69">
        <f t="shared" ca="1" si="23"/>
        <v>0</v>
      </c>
      <c r="AN69">
        <f t="shared" ca="1" si="23"/>
        <v>0</v>
      </c>
      <c r="AO69">
        <f t="shared" ca="1" si="23"/>
        <v>0</v>
      </c>
      <c r="BD69">
        <f t="shared" ca="1" si="24"/>
        <v>1</v>
      </c>
      <c r="BE69">
        <f t="shared" ca="1" si="24"/>
        <v>1</v>
      </c>
      <c r="BF69">
        <f t="shared" ca="1" si="24"/>
        <v>1</v>
      </c>
      <c r="BU69">
        <f t="shared" ca="1" si="25"/>
        <v>10</v>
      </c>
      <c r="BV69">
        <f t="shared" ca="1" si="25"/>
        <v>10</v>
      </c>
      <c r="BW69">
        <f t="shared" ca="1" si="25"/>
        <v>10</v>
      </c>
      <c r="CL69">
        <f t="shared" ca="1" si="26"/>
        <v>1</v>
      </c>
      <c r="CM69">
        <f t="shared" ca="1" si="26"/>
        <v>1</v>
      </c>
      <c r="CN69">
        <f t="shared" ca="1" si="26"/>
        <v>1</v>
      </c>
      <c r="DC69" cm="1">
        <f t="array" aca="1" ref="DC69" ca="1">IF(BD69,OFFSET(INDIRECT("'"&amp;DT$67&amp;"'!f1"),E69-1,),"")</f>
        <v>0.89620366320014</v>
      </c>
      <c r="DD69" cm="1">
        <f t="array" aca="1" ref="DD69" ca="1">IF(BE69,OFFSET(INDIRECT("'"&amp;DU$67&amp;"'!f1"),F69-1,),"")</f>
        <v>16.089497470296902</v>
      </c>
      <c r="DE69" cm="1">
        <f t="array" aca="1" ref="DE69" ca="1">IF(BF69,OFFSET(INDIRECT("'"&amp;DV$67&amp;"'!f1"),G69-1,),"")</f>
        <v>21.447925969026901</v>
      </c>
      <c r="DT69" cm="1">
        <f t="array" aca="1" ref="DT69" ca="1">IF(CL69,OFFSET(INDIRECT("'"&amp;DT$67&amp;"'!f1"),E69-1,),"")</f>
        <v>0.89620366320014</v>
      </c>
      <c r="DU69" cm="1">
        <f t="array" aca="1" ref="DU69" ca="1">IF(CM69,OFFSET(INDIRECT("'"&amp;DU$67&amp;"'!f1"),F69-1,),"")</f>
        <v>16.089497470296902</v>
      </c>
      <c r="DV69" cm="1">
        <f t="array" aca="1" ref="DV69" ca="1">IF(CN69,OFFSET(INDIRECT("'"&amp;DV$67&amp;"'!f1"),G69-1,),"")</f>
        <v>21.447925969026901</v>
      </c>
      <c r="EK69" cm="1">
        <f t="array" aca="1" ref="EK69" ca="1">IF(ISNA(E69),0,OFFSET(INDIRECT("'"&amp;EK$67&amp;"'!g1"),E69-1,)*CL69)</f>
        <v>1</v>
      </c>
      <c r="EL69" cm="1">
        <f t="array" aca="1" ref="EL69" ca="1">IF(ISNA(F69),0,OFFSET(INDIRECT("'"&amp;EL$67&amp;"'!g1"),F69-1,)*CM69)</f>
        <v>35187</v>
      </c>
      <c r="EM69" cm="1">
        <f t="array" aca="1" ref="EM69" ca="1">IF(ISNA(G69),0,OFFSET(INDIRECT("'"&amp;EM$67&amp;"'!g1"),G69-1,)*CN69)</f>
        <v>49654</v>
      </c>
      <c r="FB69" s="18" cm="1">
        <f t="array" aca="1" ref="FB69" ca="1">IF(ISNA(E69),0,OFFSET(INDIRECT("'"&amp;EK$67&amp;"'!h1"),E69-1,))</f>
        <v>1</v>
      </c>
      <c r="FC69" s="18" cm="1">
        <f t="array" aca="1" ref="FC69" ca="1">IF(ISNA(F69),0,OFFSET(INDIRECT("'"&amp;EL$67&amp;"'!h1"),F69-1,))</f>
        <v>50000</v>
      </c>
      <c r="FD69" s="18" cm="1">
        <f t="array" aca="1" ref="FD69" ca="1">IF(ISNA(G69),0,OFFSET(INDIRECT("'"&amp;EM$67&amp;"'!h1"),G69-1,))</f>
        <v>50000</v>
      </c>
      <c r="FE69" s="18"/>
      <c r="FF69" s="18"/>
      <c r="FG69" s="18"/>
      <c r="FH69" s="18"/>
      <c r="FI69" s="18"/>
      <c r="FJ69" s="18"/>
      <c r="FK69" s="18"/>
      <c r="FL69" s="18"/>
      <c r="FM69" s="18"/>
      <c r="FN69" s="18"/>
      <c r="FO69" s="18"/>
      <c r="FP69" s="18"/>
      <c r="FQ69" s="18"/>
      <c r="FW69" s="1"/>
      <c r="FX69" s="5"/>
    </row>
    <row r="70" spans="1:180" x14ac:dyDescent="0.2">
      <c r="A70" t="str" cm="1">
        <f t="array" aca="1" ref="A70" ca="1">INDIRECT($A$67&amp;"!A"&amp;ROW(C70)+$B$65)</f>
        <v>[[108,8,10]]</v>
      </c>
      <c r="B70" cm="1">
        <f t="array" aca="1" ref="B70" ca="1">INDIRECT($A$67&amp;"!b"&amp;ROW(C70)+$B$65)</f>
        <v>108</v>
      </c>
      <c r="C70">
        <f t="shared" ca="1" si="27"/>
        <v>10</v>
      </c>
      <c r="D70">
        <v>10</v>
      </c>
      <c r="E70">
        <f t="shared" ca="1" si="28"/>
        <v>34</v>
      </c>
      <c r="F70">
        <f t="shared" ca="1" si="28"/>
        <v>34</v>
      </c>
      <c r="G70">
        <f t="shared" ca="1" si="28"/>
        <v>37</v>
      </c>
      <c r="V70" cm="1">
        <f t="array" aca="1" ref="V70" ca="1">IF(ISNA(E70),,OFFSET(INDIRECT("'"&amp;V$67&amp;"'!d1"),E70-1,))</f>
        <v>10</v>
      </c>
      <c r="W70" cm="1">
        <f t="array" aca="1" ref="W70" ca="1">IF(ISNA(F70),,OFFSET(INDIRECT("'"&amp;W$67&amp;"'!d1"),F70-1,))</f>
        <v>10</v>
      </c>
      <c r="X70" cm="1">
        <f t="array" aca="1" ref="X70" ca="1">IF(ISNA(G70),,OFFSET(INDIRECT("'"&amp;X$67&amp;"'!d1"),G70-1,))</f>
        <v>10</v>
      </c>
      <c r="AM70">
        <f t="shared" ca="1" si="23"/>
        <v>0</v>
      </c>
      <c r="AN70">
        <f t="shared" ca="1" si="23"/>
        <v>0</v>
      </c>
      <c r="AO70">
        <f t="shared" ca="1" si="23"/>
        <v>0</v>
      </c>
      <c r="BD70">
        <f t="shared" ca="1" si="24"/>
        <v>1</v>
      </c>
      <c r="BE70">
        <f t="shared" ca="1" si="24"/>
        <v>1</v>
      </c>
      <c r="BF70">
        <f t="shared" ca="1" si="24"/>
        <v>1</v>
      </c>
      <c r="BU70">
        <f t="shared" ca="1" si="25"/>
        <v>10</v>
      </c>
      <c r="BV70">
        <f t="shared" ca="1" si="25"/>
        <v>10</v>
      </c>
      <c r="BW70">
        <f t="shared" ca="1" si="25"/>
        <v>10</v>
      </c>
      <c r="CL70">
        <f t="shared" ca="1" si="26"/>
        <v>1</v>
      </c>
      <c r="CM70">
        <f t="shared" ca="1" si="26"/>
        <v>1</v>
      </c>
      <c r="CN70">
        <f t="shared" ca="1" si="26"/>
        <v>1</v>
      </c>
      <c r="DC70" t="str" cm="1">
        <f t="array" aca="1" ref="DC70" ca="1">IF(BD70,OFFSET(INDIRECT("'"&amp;DT$67&amp;"'!f1"),E70-1,),"")</f>
        <v>1.1873942716047168</v>
      </c>
      <c r="DD70" cm="1">
        <f t="array" aca="1" ref="DD70" ca="1">IF(BE70,OFFSET(INDIRECT("'"&amp;DU$67&amp;"'!f1"),F70-1,),"")</f>
        <v>19.683480443432899</v>
      </c>
      <c r="DE70" cm="1">
        <f t="array" aca="1" ref="DE70" ca="1">IF(BF70,OFFSET(INDIRECT("'"&amp;DV$67&amp;"'!f1"),G70-1,),"")</f>
        <v>22.8849351909011</v>
      </c>
      <c r="DT70" t="str" cm="1">
        <f t="array" aca="1" ref="DT70" ca="1">IF(CL70,OFFSET(INDIRECT("'"&amp;DT$67&amp;"'!f1"),E70-1,),"")</f>
        <v>1.1873942716047168</v>
      </c>
      <c r="DU70" cm="1">
        <f t="array" aca="1" ref="DU70" ca="1">IF(CM70,OFFSET(INDIRECT("'"&amp;DU$67&amp;"'!f1"),F70-1,),"")</f>
        <v>19.683480443432899</v>
      </c>
      <c r="DV70" cm="1">
        <f t="array" aca="1" ref="DV70" ca="1">IF(CN70,OFFSET(INDIRECT("'"&amp;DV$67&amp;"'!f1"),G70-1,),"")</f>
        <v>22.8849351909011</v>
      </c>
      <c r="EK70" cm="1">
        <f t="array" aca="1" ref="EK70" ca="1">IF(ISNA(E70),0,OFFSET(INDIRECT("'"&amp;EK$67&amp;"'!g1"),E70-1,)*CL70)</f>
        <v>1</v>
      </c>
      <c r="EL70" cm="1">
        <f t="array" aca="1" ref="EL70" ca="1">IF(ISNA(F70),0,OFFSET(INDIRECT("'"&amp;EL$67&amp;"'!g1"),F70-1,)*CM70)</f>
        <v>7200</v>
      </c>
      <c r="EM70" cm="1">
        <f t="array" aca="1" ref="EM70" ca="1">IF(ISNA(G70),0,OFFSET(INDIRECT("'"&amp;EM$67&amp;"'!g1"),G70-1,)*CN70)</f>
        <v>37629</v>
      </c>
      <c r="FB70" s="18" cm="1">
        <f t="array" aca="1" ref="FB70" ca="1">IF(ISNA(E70),0,OFFSET(INDIRECT("'"&amp;EK$67&amp;"'!h1"),E70-1,))</f>
        <v>1</v>
      </c>
      <c r="FC70" s="18" cm="1">
        <f t="array" aca="1" ref="FC70" ca="1">IF(ISNA(F70),0,OFFSET(INDIRECT("'"&amp;EL$67&amp;"'!h1"),F70-1,))</f>
        <v>50000</v>
      </c>
      <c r="FD70" s="18" cm="1">
        <f t="array" aca="1" ref="FD70" ca="1">IF(ISNA(G70),0,OFFSET(INDIRECT("'"&amp;EM$67&amp;"'!h1"),G70-1,))</f>
        <v>50000</v>
      </c>
      <c r="FE70" s="18"/>
      <c r="FF70" s="18"/>
      <c r="FG70" s="18"/>
      <c r="FH70" s="18"/>
      <c r="FI70" s="18"/>
      <c r="FJ70" s="18"/>
      <c r="FK70" s="18"/>
      <c r="FL70" s="18"/>
      <c r="FM70" s="18"/>
      <c r="FN70" s="18"/>
      <c r="FO70" s="18"/>
      <c r="FP70" s="18"/>
      <c r="FQ70" s="18"/>
      <c r="FW70" s="1"/>
      <c r="FX70" s="5"/>
    </row>
    <row r="71" spans="1:180" x14ac:dyDescent="0.2">
      <c r="A71" t="str" cm="1">
        <f t="array" aca="1" ref="A71" ca="1">INDIRECT($A$67&amp;"!A"&amp;ROW(C71)+$B$65)</f>
        <v>[[144,12,12]]</v>
      </c>
      <c r="B71" cm="1">
        <f t="array" aca="1" ref="B71" ca="1">INDIRECT($A$67&amp;"!b"&amp;ROW(C71)+$B$65)</f>
        <v>144</v>
      </c>
      <c r="C71">
        <f t="shared" ca="1" si="27"/>
        <v>12</v>
      </c>
      <c r="D71">
        <v>12</v>
      </c>
      <c r="E71">
        <f t="shared" ca="1" si="28"/>
        <v>35</v>
      </c>
      <c r="F71">
        <f t="shared" ca="1" si="28"/>
        <v>35</v>
      </c>
      <c r="G71">
        <f t="shared" ca="1" si="28"/>
        <v>38</v>
      </c>
      <c r="V71" cm="1">
        <f t="array" aca="1" ref="V71" ca="1">IF(ISNA(E71),,OFFSET(INDIRECT("'"&amp;V$67&amp;"'!d1"),E71-1,))</f>
        <v>12</v>
      </c>
      <c r="W71" cm="1">
        <f t="array" aca="1" ref="W71" ca="1">IF(ISNA(F71),,OFFSET(INDIRECT("'"&amp;W$67&amp;"'!d1"),F71-1,))</f>
        <v>12</v>
      </c>
      <c r="X71" cm="1">
        <f t="array" aca="1" ref="X71" ca="1">IF(ISNA(G71),,OFFSET(INDIRECT("'"&amp;X$67&amp;"'!d1"),G71-1,))</f>
        <v>12</v>
      </c>
      <c r="AM71">
        <f t="shared" ca="1" si="23"/>
        <v>0</v>
      </c>
      <c r="AN71">
        <f t="shared" ca="1" si="23"/>
        <v>0</v>
      </c>
      <c r="AO71">
        <f t="shared" ca="1" si="23"/>
        <v>0</v>
      </c>
      <c r="BD71">
        <f t="shared" ca="1" si="24"/>
        <v>1</v>
      </c>
      <c r="BE71">
        <f t="shared" ca="1" si="24"/>
        <v>1</v>
      </c>
      <c r="BF71">
        <f t="shared" ca="1" si="24"/>
        <v>1</v>
      </c>
      <c r="BU71">
        <f t="shared" ca="1" si="25"/>
        <v>12</v>
      </c>
      <c r="BV71">
        <f t="shared" ca="1" si="25"/>
        <v>12</v>
      </c>
      <c r="BW71">
        <f t="shared" ca="1" si="25"/>
        <v>12</v>
      </c>
      <c r="CL71">
        <f t="shared" ca="1" si="26"/>
        <v>1</v>
      </c>
      <c r="CM71">
        <f t="shared" ca="1" si="26"/>
        <v>1</v>
      </c>
      <c r="CN71">
        <f t="shared" ca="1" si="26"/>
        <v>1</v>
      </c>
      <c r="DC71" t="str" cm="1">
        <f t="array" aca="1" ref="DC71" ca="1">IF(BD71,OFFSET(INDIRECT("'"&amp;DT$67&amp;"'!f1"),E71-1,),"")</f>
        <v>1.9778669895604253</v>
      </c>
      <c r="DD71" cm="1">
        <f t="array" aca="1" ref="DD71" ca="1">IF(BE71,OFFSET(INDIRECT("'"&amp;DU$67&amp;"'!f1"),F71-1,),"")</f>
        <v>32.531665494665504</v>
      </c>
      <c r="DE71" cm="1">
        <f t="array" aca="1" ref="DE71" ca="1">IF(BF71,OFFSET(INDIRECT("'"&amp;DV$67&amp;"'!f1"),G71-1,),"")</f>
        <v>39.625184168107801</v>
      </c>
      <c r="DT71" t="str" cm="1">
        <f t="array" aca="1" ref="DT71" ca="1">IF(CL71,OFFSET(INDIRECT("'"&amp;DT$67&amp;"'!f1"),E71-1,),"")</f>
        <v>1.9778669895604253</v>
      </c>
      <c r="DU71" cm="1">
        <f t="array" aca="1" ref="DU71" ca="1">IF(CM71,OFFSET(INDIRECT("'"&amp;DU$67&amp;"'!f1"),F71-1,),"")</f>
        <v>32.531665494665504</v>
      </c>
      <c r="DV71" cm="1">
        <f t="array" aca="1" ref="DV71" ca="1">IF(CN71,OFFSET(INDIRECT("'"&amp;DV$67&amp;"'!f1"),G71-1,),"")</f>
        <v>39.625184168107801</v>
      </c>
      <c r="EK71" cm="1">
        <f t="array" aca="1" ref="EK71" ca="1">IF(ISNA(E71),0,OFFSET(INDIRECT("'"&amp;EK$67&amp;"'!g1"),E71-1,)*CL71)</f>
        <v>1</v>
      </c>
      <c r="EL71" cm="1">
        <f t="array" aca="1" ref="EL71" ca="1">IF(ISNA(F71),0,OFFSET(INDIRECT("'"&amp;EL$67&amp;"'!g1"),F71-1,)*CM71)</f>
        <v>28622</v>
      </c>
      <c r="EM71" cm="1">
        <f t="array" aca="1" ref="EM71" ca="1">IF(ISNA(G71),0,OFFSET(INDIRECT("'"&amp;EM$67&amp;"'!g1"),G71-1,)*CN71)</f>
        <v>49270</v>
      </c>
      <c r="FB71" s="18" cm="1">
        <f t="array" aca="1" ref="FB71" ca="1">IF(ISNA(E71),0,OFFSET(INDIRECT("'"&amp;EK$67&amp;"'!h1"),E71-1,))</f>
        <v>1</v>
      </c>
      <c r="FC71" s="18" cm="1">
        <f t="array" aca="1" ref="FC71" ca="1">IF(ISNA(F71),0,OFFSET(INDIRECT("'"&amp;EL$67&amp;"'!h1"),F71-1,))</f>
        <v>50000</v>
      </c>
      <c r="FD71" s="18" cm="1">
        <f t="array" aca="1" ref="FD71" ca="1">IF(ISNA(G71),0,OFFSET(INDIRECT("'"&amp;EM$67&amp;"'!h1"),G71-1,))</f>
        <v>50000</v>
      </c>
      <c r="FE71" s="18"/>
      <c r="FF71" s="18"/>
      <c r="FG71" s="18"/>
      <c r="FH71" s="18"/>
      <c r="FI71" s="18"/>
      <c r="FJ71" s="18"/>
      <c r="FK71" s="18"/>
      <c r="FL71" s="18"/>
      <c r="FM71" s="18"/>
      <c r="FN71" s="18"/>
      <c r="FO71" s="18"/>
      <c r="FP71" s="18"/>
      <c r="FQ71" s="18"/>
      <c r="FW71" s="1"/>
      <c r="FX71" s="5"/>
    </row>
    <row r="72" spans="1:180" x14ac:dyDescent="0.2">
      <c r="A72" t="str" cm="1">
        <f t="array" aca="1" ref="A72" ca="1">INDIRECT($A$67&amp;"!A"&amp;ROW(C72)+$B$65)</f>
        <v>[[288,12,18]]</v>
      </c>
      <c r="B72" cm="1">
        <f t="array" aca="1" ref="B72" ca="1">INDIRECT($A$67&amp;"!b"&amp;ROW(C72)+$B$65)</f>
        <v>288</v>
      </c>
      <c r="C72">
        <f t="shared" ca="1" si="27"/>
        <v>18</v>
      </c>
      <c r="D72">
        <v>18</v>
      </c>
      <c r="E72">
        <f t="shared" ca="1" si="28"/>
        <v>36</v>
      </c>
      <c r="F72">
        <f t="shared" ca="1" si="28"/>
        <v>36</v>
      </c>
      <c r="G72">
        <f t="shared" ca="1" si="28"/>
        <v>39</v>
      </c>
      <c r="V72" cm="1">
        <f t="array" aca="1" ref="V72" ca="1">IF(ISNA(E72),,OFFSET(INDIRECT("'"&amp;V$67&amp;"'!d1"),E72-1,))</f>
        <v>18</v>
      </c>
      <c r="W72" cm="1">
        <f t="array" aca="1" ref="W72" ca="1">IF(ISNA(F72),,OFFSET(INDIRECT("'"&amp;W$67&amp;"'!d1"),F72-1,))</f>
        <v>18</v>
      </c>
      <c r="X72" cm="1">
        <f t="array" aca="1" ref="X72" ca="1">IF(ISNA(G72),,OFFSET(INDIRECT("'"&amp;X$67&amp;"'!d1"),G72-1,))</f>
        <v>18</v>
      </c>
      <c r="AM72">
        <f t="shared" ca="1" si="23"/>
        <v>0</v>
      </c>
      <c r="AN72">
        <f t="shared" ca="1" si="23"/>
        <v>0</v>
      </c>
      <c r="AO72">
        <f t="shared" ca="1" si="23"/>
        <v>0</v>
      </c>
      <c r="BD72">
        <f t="shared" ca="1" si="24"/>
        <v>1</v>
      </c>
      <c r="BE72">
        <f t="shared" ca="1" si="24"/>
        <v>1</v>
      </c>
      <c r="BF72">
        <f t="shared" ca="1" si="24"/>
        <v>1</v>
      </c>
      <c r="BU72">
        <f t="shared" ca="1" si="25"/>
        <v>18</v>
      </c>
      <c r="BV72">
        <f t="shared" ca="1" si="25"/>
        <v>18</v>
      </c>
      <c r="BW72">
        <f t="shared" ca="1" si="25"/>
        <v>18</v>
      </c>
      <c r="CL72">
        <f t="shared" ca="1" si="26"/>
        <v>1</v>
      </c>
      <c r="CM72">
        <f t="shared" ca="1" si="26"/>
        <v>1</v>
      </c>
      <c r="CN72">
        <f t="shared" ca="1" si="26"/>
        <v>1</v>
      </c>
      <c r="DC72" t="str" cm="1">
        <f t="array" aca="1" ref="DC72" ca="1">IF(BD72,OFFSET(INDIRECT("'"&amp;DT$67&amp;"'!f1"),E72-1,),"")</f>
        <v>8.368582014925778</v>
      </c>
      <c r="DD72" cm="1">
        <f t="array" aca="1" ref="DD72" ca="1">IF(BE72,OFFSET(INDIRECT("'"&amp;DU$67&amp;"'!f1"),F72-1,),"")</f>
        <v>102.747573680244</v>
      </c>
      <c r="DE72" cm="1">
        <f t="array" aca="1" ref="DE72" ca="1">IF(BF72,OFFSET(INDIRECT("'"&amp;DV$67&amp;"'!f1"),G72-1,),"")</f>
        <v>106.84269461967</v>
      </c>
      <c r="DT72" t="str" cm="1">
        <f t="array" aca="1" ref="DT72" ca="1">IF(CL72,OFFSET(INDIRECT("'"&amp;DT$67&amp;"'!f1"),E72-1,),"")</f>
        <v>8.368582014925778</v>
      </c>
      <c r="DU72" cm="1">
        <f t="array" aca="1" ref="DU72" ca="1">IF(CM72,OFFSET(INDIRECT("'"&amp;DU$67&amp;"'!f1"),F72-1,),"")</f>
        <v>102.747573680244</v>
      </c>
      <c r="DV72" cm="1">
        <f t="array" aca="1" ref="DV72" ca="1">IF(CN72,OFFSET(INDIRECT("'"&amp;DV$67&amp;"'!f1"),G72-1,),"")</f>
        <v>106.84269461967</v>
      </c>
      <c r="EK72" cm="1">
        <f t="array" aca="1" ref="EK72" ca="1">IF(ISNA(E72),0,OFFSET(INDIRECT("'"&amp;EK$67&amp;"'!g1"),E72-1,)*CL72)</f>
        <v>1</v>
      </c>
      <c r="EL72" cm="1">
        <f t="array" aca="1" ref="EL72" ca="1">IF(ISNA(F72),0,OFFSET(INDIRECT("'"&amp;EL$67&amp;"'!g1"),F72-1,)*CM72)</f>
        <v>216</v>
      </c>
      <c r="EM72" cm="1">
        <f t="array" aca="1" ref="EM72" ca="1">IF(ISNA(G72),0,OFFSET(INDIRECT("'"&amp;EM$67&amp;"'!g1"),G72-1,)*CN72)</f>
        <v>29628</v>
      </c>
      <c r="FB72" s="18" cm="1">
        <f t="array" aca="1" ref="FB72" ca="1">IF(ISNA(E72),0,OFFSET(INDIRECT("'"&amp;EK$67&amp;"'!h1"),E72-1,))</f>
        <v>1</v>
      </c>
      <c r="FC72" s="18" cm="1">
        <f t="array" aca="1" ref="FC72" ca="1">IF(ISNA(F72),0,OFFSET(INDIRECT("'"&amp;EL$67&amp;"'!h1"),F72-1,))</f>
        <v>50000</v>
      </c>
      <c r="FD72" s="18" cm="1">
        <f t="array" aca="1" ref="FD72" ca="1">IF(ISNA(G72),0,OFFSET(INDIRECT("'"&amp;EM$67&amp;"'!h1"),G72-1,))</f>
        <v>50000</v>
      </c>
      <c r="FE72" s="18"/>
      <c r="FF72" s="18"/>
      <c r="FG72" s="18"/>
      <c r="FH72" s="18"/>
      <c r="FI72" s="18"/>
      <c r="FJ72" s="18"/>
      <c r="FK72" s="18"/>
      <c r="FL72" s="18"/>
      <c r="FM72" s="18"/>
      <c r="FN72" s="18"/>
      <c r="FO72" s="18"/>
      <c r="FP72" s="18"/>
      <c r="FQ72" s="18"/>
      <c r="FW72" s="1"/>
      <c r="FX72" s="5"/>
    </row>
    <row r="73" spans="1:180" x14ac:dyDescent="0.2">
      <c r="A73" t="str" cm="1">
        <f t="array" aca="1" ref="A73" ca="1">INDIRECT($A$67&amp;"!A"&amp;ROW(C73)+$B$65)</f>
        <v>[[360,12,24]]</v>
      </c>
      <c r="B73" cm="1">
        <f t="array" aca="1" ref="B73" ca="1">INDIRECT($A$67&amp;"!b"&amp;ROW(C73)+$B$65)</f>
        <v>360</v>
      </c>
      <c r="C73">
        <f t="shared" ca="1" si="27"/>
        <v>24</v>
      </c>
      <c r="D73">
        <v>24</v>
      </c>
      <c r="E73">
        <f t="shared" ca="1" si="28"/>
        <v>37</v>
      </c>
      <c r="F73">
        <f t="shared" ca="1" si="28"/>
        <v>37</v>
      </c>
      <c r="G73">
        <f t="shared" ca="1" si="28"/>
        <v>40</v>
      </c>
      <c r="V73" cm="1">
        <f t="array" aca="1" ref="V73" ca="1">IF(ISNA(E73),,OFFSET(INDIRECT("'"&amp;V$67&amp;"'!d1"),E73-1,))</f>
        <v>24</v>
      </c>
      <c r="W73" cm="1">
        <f t="array" aca="1" ref="W73" ca="1">IF(ISNA(F73),,OFFSET(INDIRECT("'"&amp;W$67&amp;"'!d1"),F73-1,))</f>
        <v>24</v>
      </c>
      <c r="X73" cm="1">
        <f t="array" aca="1" ref="X73" ca="1">IF(ISNA(G73),,OFFSET(INDIRECT("'"&amp;X$67&amp;"'!d1"),G73-1,))</f>
        <v>24</v>
      </c>
      <c r="AM73">
        <f t="shared" ca="1" si="23"/>
        <v>0</v>
      </c>
      <c r="AN73">
        <f t="shared" ca="1" si="23"/>
        <v>0</v>
      </c>
      <c r="AO73">
        <f t="shared" ca="1" si="23"/>
        <v>0</v>
      </c>
      <c r="BD73">
        <f t="shared" ca="1" si="24"/>
        <v>1</v>
      </c>
      <c r="BE73">
        <f t="shared" ca="1" si="24"/>
        <v>1</v>
      </c>
      <c r="BF73">
        <f t="shared" ca="1" si="24"/>
        <v>1</v>
      </c>
      <c r="BU73">
        <f t="shared" ca="1" si="25"/>
        <v>24</v>
      </c>
      <c r="BV73">
        <f t="shared" ca="1" si="25"/>
        <v>24</v>
      </c>
      <c r="BW73">
        <f t="shared" ca="1" si="25"/>
        <v>24</v>
      </c>
      <c r="CL73">
        <f t="shared" ca="1" si="26"/>
        <v>1</v>
      </c>
      <c r="CM73">
        <f t="shared" ca="1" si="26"/>
        <v>1</v>
      </c>
      <c r="CN73">
        <f t="shared" ca="1" si="26"/>
        <v>1</v>
      </c>
      <c r="DC73" t="str" cm="1">
        <f t="array" aca="1" ref="DC73" ca="1">IF(BD73,OFFSET(INDIRECT("'"&amp;DT$67&amp;"'!f1"),E73-1,),"")</f>
        <v>12.563259687274694</v>
      </c>
      <c r="DD73" cm="1">
        <f t="array" aca="1" ref="DD73" ca="1">IF(BE73,OFFSET(INDIRECT("'"&amp;DU$67&amp;"'!f1"),F73-1,),"")</f>
        <v>155.246647560969</v>
      </c>
      <c r="DE73" cm="1">
        <f t="array" aca="1" ref="DE73" ca="1">IF(BF73,OFFSET(INDIRECT("'"&amp;DV$67&amp;"'!f1"),G73-1,),"")</f>
        <v>156.10034049209199</v>
      </c>
      <c r="DT73" t="str" cm="1">
        <f t="array" aca="1" ref="DT73" ca="1">IF(CL73,OFFSET(INDIRECT("'"&amp;DT$67&amp;"'!f1"),E73-1,),"")</f>
        <v>12.563259687274694</v>
      </c>
      <c r="DU73" cm="1">
        <f t="array" aca="1" ref="DU73" ca="1">IF(CM73,OFFSET(INDIRECT("'"&amp;DU$67&amp;"'!f1"),F73-1,),"")</f>
        <v>155.246647560969</v>
      </c>
      <c r="DV73" cm="1">
        <f t="array" aca="1" ref="DV73" ca="1">IF(CN73,OFFSET(INDIRECT("'"&amp;DV$67&amp;"'!f1"),G73-1,),"")</f>
        <v>156.10034049209199</v>
      </c>
      <c r="EK73" cm="1">
        <f t="array" aca="1" ref="EK73" ca="1">IF(ISNA(E73),0,OFFSET(INDIRECT("'"&amp;EK$67&amp;"'!g1"),E73-1,)*CL73)</f>
        <v>1</v>
      </c>
      <c r="EL73" cm="1">
        <f t="array" aca="1" ref="EL73" ca="1">IF(ISNA(F73),0,OFFSET(INDIRECT("'"&amp;EL$67&amp;"'!g1"),F73-1,)*CM73)</f>
        <v>152</v>
      </c>
      <c r="EM73" cm="1">
        <f t="array" aca="1" ref="EM73" ca="1">IF(ISNA(G73),0,OFFSET(INDIRECT("'"&amp;EM$67&amp;"'!g1"),G73-1,)*CN73)</f>
        <v>25064</v>
      </c>
      <c r="FB73" s="18" cm="1">
        <f t="array" aca="1" ref="FB73" ca="1">IF(ISNA(E73),0,OFFSET(INDIRECT("'"&amp;EK$67&amp;"'!h1"),E73-1,))</f>
        <v>1</v>
      </c>
      <c r="FC73" s="18" cm="1">
        <f t="array" aca="1" ref="FC73" ca="1">IF(ISNA(F73),0,OFFSET(INDIRECT("'"&amp;EL$67&amp;"'!h1"),F73-1,))</f>
        <v>50000</v>
      </c>
      <c r="FD73" s="18" cm="1">
        <f t="array" aca="1" ref="FD73" ca="1">IF(ISNA(G73),0,OFFSET(INDIRECT("'"&amp;EM$67&amp;"'!h1"),G73-1,))</f>
        <v>50000</v>
      </c>
      <c r="FE73" s="18"/>
      <c r="FF73" s="18"/>
      <c r="FG73" s="18"/>
      <c r="FH73" s="18"/>
      <c r="FI73" s="18"/>
      <c r="FJ73" s="18"/>
      <c r="FK73" s="18"/>
      <c r="FL73" s="18"/>
      <c r="FM73" s="18"/>
      <c r="FN73" s="18"/>
      <c r="FO73" s="18"/>
      <c r="FP73" s="18"/>
      <c r="FQ73" s="18"/>
      <c r="FW73" s="1"/>
      <c r="FX73" s="5"/>
    </row>
    <row r="74" spans="1:180" x14ac:dyDescent="0.2">
      <c r="A74" t="str" cm="1">
        <f t="array" aca="1" ref="A74" ca="1">INDIRECT($A$67&amp;"!A"&amp;ROW(C74)+$B$65)</f>
        <v>[[756,16,34]]</v>
      </c>
      <c r="B74" cm="1">
        <f t="array" aca="1" ref="B74" ca="1">INDIRECT($A$67&amp;"!b"&amp;ROW(C74)+$B$65)</f>
        <v>756</v>
      </c>
      <c r="C74">
        <f t="shared" ca="1" si="27"/>
        <v>34</v>
      </c>
      <c r="D74">
        <v>34</v>
      </c>
      <c r="E74">
        <f t="shared" ca="1" si="28"/>
        <v>38</v>
      </c>
      <c r="F74">
        <f t="shared" ca="1" si="28"/>
        <v>38</v>
      </c>
      <c r="G74">
        <f t="shared" ca="1" si="28"/>
        <v>41</v>
      </c>
      <c r="V74" cm="1">
        <f t="array" aca="1" ref="V74" ca="1">IF(ISNA(E74),,OFFSET(INDIRECT("'"&amp;V$67&amp;"'!d1"),E74-1,))</f>
        <v>40</v>
      </c>
      <c r="W74" cm="1">
        <f t="array" aca="1" ref="W74" ca="1">IF(ISNA(F74),,OFFSET(INDIRECT("'"&amp;W$67&amp;"'!d1"),F74-1,))</f>
        <v>40</v>
      </c>
      <c r="X74" cm="1">
        <f t="array" aca="1" ref="X74" ca="1">IF(ISNA(G74),,OFFSET(INDIRECT("'"&amp;X$67&amp;"'!d1"),G74-1,))</f>
        <v>34</v>
      </c>
      <c r="AM74">
        <f t="shared" ca="1" si="23"/>
        <v>0</v>
      </c>
      <c r="AN74">
        <f t="shared" ca="1" si="23"/>
        <v>0</v>
      </c>
      <c r="AO74">
        <f t="shared" ca="1" si="23"/>
        <v>0</v>
      </c>
      <c r="BD74">
        <f t="shared" ca="1" si="24"/>
        <v>1</v>
      </c>
      <c r="BE74">
        <f t="shared" ca="1" si="24"/>
        <v>1</v>
      </c>
      <c r="BF74">
        <f t="shared" ca="1" si="24"/>
        <v>1</v>
      </c>
      <c r="BU74">
        <f t="shared" ca="1" si="25"/>
        <v>40</v>
      </c>
      <c r="BV74">
        <f t="shared" ca="1" si="25"/>
        <v>40</v>
      </c>
      <c r="BW74">
        <f t="shared" ca="1" si="25"/>
        <v>34</v>
      </c>
      <c r="CL74">
        <f t="shared" ca="1" si="26"/>
        <v>0</v>
      </c>
      <c r="CM74">
        <f t="shared" ca="1" si="26"/>
        <v>0</v>
      </c>
      <c r="CN74">
        <f t="shared" ca="1" si="26"/>
        <v>1</v>
      </c>
      <c r="DC74" t="str" cm="1">
        <f t="array" aca="1" ref="DC74" ca="1">IF(BD74,OFFSET(INDIRECT("'"&amp;DT$67&amp;"'!f1"),E74-1,),"")</f>
        <v>58.45441651623696</v>
      </c>
      <c r="DD74" cm="1">
        <f t="array" aca="1" ref="DD74" ca="1">IF(BE74,OFFSET(INDIRECT("'"&amp;DU$67&amp;"'!f1"),F74-1,),"")</f>
        <v>791.58970517478804</v>
      </c>
      <c r="DE74" cm="1">
        <f t="array" aca="1" ref="DE74" ca="1">IF(BF74,OFFSET(INDIRECT("'"&amp;DV$67&amp;"'!f1"),G74-1,),"")</f>
        <v>770.16963102202806</v>
      </c>
      <c r="DT74" t="str" cm="1">
        <f t="array" aca="1" ref="DT74" ca="1">IF(CL74,OFFSET(INDIRECT("'"&amp;DT$67&amp;"'!f1"),E74-1,),"")</f>
        <v/>
      </c>
      <c r="DU74" t="str" cm="1">
        <f t="array" aca="1" ref="DU74" ca="1">IF(CM74,OFFSET(INDIRECT("'"&amp;DU$67&amp;"'!f1"),F74-1,),"")</f>
        <v/>
      </c>
      <c r="DV74" cm="1">
        <f t="array" aca="1" ref="DV74" ca="1">IF(CN74,OFFSET(INDIRECT("'"&amp;DV$67&amp;"'!f1"),G74-1,),"")</f>
        <v>770.16963102202806</v>
      </c>
      <c r="EK74" cm="1">
        <f t="array" aca="1" ref="EK74" ca="1">IF(ISNA(E74),0,OFFSET(INDIRECT("'"&amp;EK$67&amp;"'!g1"),E74-1,)*CL74)</f>
        <v>0</v>
      </c>
      <c r="EL74" cm="1">
        <f t="array" aca="1" ref="EL74" ca="1">IF(ISNA(F74),0,OFFSET(INDIRECT("'"&amp;EL$67&amp;"'!g1"),F74-1,)*CM74)</f>
        <v>0</v>
      </c>
      <c r="EM74" cm="1">
        <f t="array" aca="1" ref="EM74" ca="1">IF(ISNA(G74),0,OFFSET(INDIRECT("'"&amp;EM$67&amp;"'!g1"),G74-1,)*CN74)</f>
        <v>2367</v>
      </c>
      <c r="FB74" s="18" cm="1">
        <f t="array" aca="1" ref="FB74" ca="1">IF(ISNA(E74),0,OFFSET(INDIRECT("'"&amp;EK$67&amp;"'!h1"),E74-1,))</f>
        <v>1</v>
      </c>
      <c r="FC74" s="18" cm="1">
        <f t="array" aca="1" ref="FC74" ca="1">IF(ISNA(F74),0,OFFSET(INDIRECT("'"&amp;EL$67&amp;"'!h1"),F74-1,))</f>
        <v>50000</v>
      </c>
      <c r="FD74" s="18" cm="1">
        <f t="array" aca="1" ref="FD74" ca="1">IF(ISNA(G74),0,OFFSET(INDIRECT("'"&amp;EM$67&amp;"'!h1"),G74-1,))</f>
        <v>50000</v>
      </c>
      <c r="FE74" s="18"/>
      <c r="FF74" s="18"/>
      <c r="FG74" s="18"/>
      <c r="FH74" s="18"/>
      <c r="FI74" s="18"/>
      <c r="FJ74" s="18"/>
      <c r="FK74" s="18"/>
      <c r="FL74" s="18"/>
      <c r="FM74" s="18"/>
      <c r="FN74" s="18"/>
      <c r="FO74" s="18"/>
      <c r="FP74" s="18"/>
      <c r="FQ74" s="18"/>
      <c r="FW74" s="1"/>
      <c r="FX74" s="5"/>
    </row>
    <row r="75" spans="1:180" x14ac:dyDescent="0.2">
      <c r="A75" t="str" cm="1">
        <f t="array" aca="1" ref="A75" ca="1">INDIRECT($A$67&amp;"!A"&amp;ROW(C75)+$B$65)</f>
        <v>[[216,8,10]]</v>
      </c>
      <c r="B75" cm="1">
        <f t="array" aca="1" ref="B75" ca="1">INDIRECT($A$67&amp;"!b"&amp;ROW(C75)+$B$65)</f>
        <v>216</v>
      </c>
      <c r="C75">
        <f t="shared" ca="1" si="27"/>
        <v>10</v>
      </c>
      <c r="D75">
        <v>10</v>
      </c>
      <c r="E75">
        <f t="shared" ca="1" si="28"/>
        <v>39</v>
      </c>
      <c r="F75">
        <f t="shared" ca="1" si="28"/>
        <v>39</v>
      </c>
      <c r="G75">
        <f t="shared" ca="1" si="28"/>
        <v>42</v>
      </c>
      <c r="V75" cm="1">
        <f t="array" aca="1" ref="V75" ca="1">IF(ISNA(E75),,OFFSET(INDIRECT("'"&amp;V$67&amp;"'!d1"),E75-1,))</f>
        <v>10</v>
      </c>
      <c r="W75" cm="1">
        <f t="array" aca="1" ref="W75" ca="1">IF(ISNA(F75),,OFFSET(INDIRECT("'"&amp;W$67&amp;"'!d1"),F75-1,))</f>
        <v>10</v>
      </c>
      <c r="X75" cm="1">
        <f t="array" aca="1" ref="X75" ca="1">IF(ISNA(G75),,OFFSET(INDIRECT("'"&amp;X$67&amp;"'!d1"),G75-1,))</f>
        <v>10</v>
      </c>
      <c r="AM75">
        <f t="shared" ca="1" si="23"/>
        <v>0</v>
      </c>
      <c r="AN75">
        <f t="shared" ca="1" si="23"/>
        <v>0</v>
      </c>
      <c r="AO75">
        <f t="shared" ca="1" si="23"/>
        <v>0</v>
      </c>
      <c r="BD75">
        <f t="shared" ca="1" si="24"/>
        <v>1</v>
      </c>
      <c r="BE75">
        <f t="shared" ca="1" si="24"/>
        <v>1</v>
      </c>
      <c r="BF75">
        <f t="shared" ca="1" si="24"/>
        <v>1</v>
      </c>
      <c r="BU75">
        <f t="shared" ca="1" si="25"/>
        <v>10</v>
      </c>
      <c r="BV75">
        <f t="shared" ca="1" si="25"/>
        <v>10</v>
      </c>
      <c r="BW75">
        <f t="shared" ca="1" si="25"/>
        <v>10</v>
      </c>
      <c r="CL75">
        <f t="shared" ca="1" si="26"/>
        <v>1</v>
      </c>
      <c r="CM75">
        <f t="shared" ca="1" si="26"/>
        <v>1</v>
      </c>
      <c r="CN75">
        <f t="shared" ca="1" si="26"/>
        <v>1</v>
      </c>
      <c r="DC75" t="str" cm="1">
        <f t="array" aca="1" ref="DC75" ca="1">IF(BD75,OFFSET(INDIRECT("'"&amp;DT$67&amp;"'!f1"),E75-1,),"")</f>
        <v>3.2927756188437343</v>
      </c>
      <c r="DD75" cm="1">
        <f t="array" aca="1" ref="DD75" ca="1">IF(BE75,OFFSET(INDIRECT("'"&amp;DU$67&amp;"'!f1"),F75-1,),"")</f>
        <v>50.0843930346891</v>
      </c>
      <c r="DE75" cm="1">
        <f t="array" aca="1" ref="DE75" ca="1">IF(BF75,OFFSET(INDIRECT("'"&amp;DV$67&amp;"'!f1"),G75-1,),"")</f>
        <v>55.203774296678603</v>
      </c>
      <c r="DT75" t="str" cm="1">
        <f t="array" aca="1" ref="DT75" ca="1">IF(CL75,OFFSET(INDIRECT("'"&amp;DT$67&amp;"'!f1"),E75-1,),"")</f>
        <v>3.2927756188437343</v>
      </c>
      <c r="DU75" cm="1">
        <f t="array" aca="1" ref="DU75" ca="1">IF(CM75,OFFSET(INDIRECT("'"&amp;DU$67&amp;"'!f1"),F75-1,),"")</f>
        <v>50.0843930346891</v>
      </c>
      <c r="DV75" cm="1">
        <f t="array" aca="1" ref="DV75" ca="1">IF(CN75,OFFSET(INDIRECT("'"&amp;DV$67&amp;"'!f1"),G75-1,),"")</f>
        <v>55.203774296678603</v>
      </c>
      <c r="EK75" cm="1">
        <f t="array" aca="1" ref="EK75" ca="1">IF(ISNA(E75),0,OFFSET(INDIRECT("'"&amp;EK$67&amp;"'!g1"),E75-1,)*CL75)</f>
        <v>1</v>
      </c>
      <c r="EL75" cm="1">
        <f t="array" aca="1" ref="EL75" ca="1">IF(ISNA(F75),0,OFFSET(INDIRECT("'"&amp;EL$67&amp;"'!g1"),F75-1,)*CM75)</f>
        <v>30052</v>
      </c>
      <c r="EM75" cm="1">
        <f t="array" aca="1" ref="EM75" ca="1">IF(ISNA(G75),0,OFFSET(INDIRECT("'"&amp;EM$67&amp;"'!g1"),G75-1,)*CN75)</f>
        <v>48639</v>
      </c>
      <c r="FB75" s="18" cm="1">
        <f t="array" aca="1" ref="FB75" ca="1">IF(ISNA(E75),0,OFFSET(INDIRECT("'"&amp;EK$67&amp;"'!h1"),E75-1,))</f>
        <v>1</v>
      </c>
      <c r="FC75" s="18" cm="1">
        <f t="array" aca="1" ref="FC75" ca="1">IF(ISNA(F75),0,OFFSET(INDIRECT("'"&amp;EL$67&amp;"'!h1"),F75-1,))</f>
        <v>50000</v>
      </c>
      <c r="FD75" s="18" cm="1">
        <f t="array" aca="1" ref="FD75" ca="1">IF(ISNA(G75),0,OFFSET(INDIRECT("'"&amp;EM$67&amp;"'!h1"),G75-1,))</f>
        <v>50000</v>
      </c>
      <c r="FE75" s="18"/>
      <c r="FF75" s="18"/>
      <c r="FG75" s="18"/>
      <c r="FH75" s="18"/>
      <c r="FI75" s="18"/>
      <c r="FJ75" s="18"/>
      <c r="FK75" s="18"/>
      <c r="FL75" s="18"/>
      <c r="FM75" s="18"/>
      <c r="FN75" s="18"/>
      <c r="FO75" s="18"/>
      <c r="FP75" s="18"/>
      <c r="FQ75" s="18"/>
      <c r="FW75" s="1"/>
      <c r="FX75" s="5"/>
    </row>
    <row r="76" spans="1:180" x14ac:dyDescent="0.2">
      <c r="A76" t="str" cm="1">
        <f t="array" aca="1" ref="A76" ca="1">INDIRECT($A$67&amp;"!A"&amp;ROW(C76)+$B$65)</f>
        <v>[[576,8,24]]</v>
      </c>
      <c r="B76" cm="1">
        <f t="array" aca="1" ref="B76" ca="1">INDIRECT($A$67&amp;"!b"&amp;ROW(C76)+$B$65)</f>
        <v>576</v>
      </c>
      <c r="C76">
        <f t="shared" ca="1" si="27"/>
        <v>24</v>
      </c>
      <c r="D76">
        <v>24</v>
      </c>
      <c r="E76">
        <f t="shared" ca="1" si="28"/>
        <v>40</v>
      </c>
      <c r="F76">
        <f t="shared" ca="1" si="28"/>
        <v>40</v>
      </c>
      <c r="G76">
        <f t="shared" ca="1" si="28"/>
        <v>43</v>
      </c>
      <c r="V76" cm="1">
        <f t="array" aca="1" ref="V76" ca="1">IF(ISNA(E76),,OFFSET(INDIRECT("'"&amp;V$67&amp;"'!d1"),E76-1,))</f>
        <v>24</v>
      </c>
      <c r="W76" cm="1">
        <f t="array" aca="1" ref="W76" ca="1">IF(ISNA(F76),,OFFSET(INDIRECT("'"&amp;W$67&amp;"'!d1"),F76-1,))</f>
        <v>24</v>
      </c>
      <c r="X76" cm="1">
        <f t="array" aca="1" ref="X76" ca="1">IF(ISNA(G76),,OFFSET(INDIRECT("'"&amp;X$67&amp;"'!d1"),G76-1,))</f>
        <v>24</v>
      </c>
      <c r="AM76">
        <f t="shared" ca="1" si="23"/>
        <v>0</v>
      </c>
      <c r="AN76">
        <f t="shared" ca="1" si="23"/>
        <v>0</v>
      </c>
      <c r="AO76">
        <f t="shared" ca="1" si="23"/>
        <v>0</v>
      </c>
      <c r="BD76">
        <f t="shared" ca="1" si="24"/>
        <v>1</v>
      </c>
      <c r="BE76">
        <f t="shared" ca="1" si="24"/>
        <v>1</v>
      </c>
      <c r="BF76">
        <f t="shared" ca="1" si="24"/>
        <v>1</v>
      </c>
      <c r="BU76">
        <f t="shared" ca="1" si="25"/>
        <v>24</v>
      </c>
      <c r="BV76">
        <f t="shared" ca="1" si="25"/>
        <v>24</v>
      </c>
      <c r="BW76">
        <f t="shared" ca="1" si="25"/>
        <v>24</v>
      </c>
      <c r="CL76">
        <f t="shared" ca="1" si="26"/>
        <v>1</v>
      </c>
      <c r="CM76">
        <f t="shared" ca="1" si="26"/>
        <v>1</v>
      </c>
      <c r="CN76">
        <f t="shared" ca="1" si="26"/>
        <v>1</v>
      </c>
      <c r="DC76" t="str" cm="1">
        <f t="array" aca="1" ref="DC76" ca="1">IF(BD76,OFFSET(INDIRECT("'"&amp;DT$67&amp;"'!f1"),E76-1,),"")</f>
        <v>31.007136520929635</v>
      </c>
      <c r="DD76" cm="1">
        <f t="array" aca="1" ref="DD76" ca="1">IF(BE76,OFFSET(INDIRECT("'"&amp;DU$67&amp;"'!f1"),F76-1,),"")</f>
        <v>343.46415240410698</v>
      </c>
      <c r="DE76" cm="1">
        <f t="array" aca="1" ref="DE76" ca="1">IF(BF76,OFFSET(INDIRECT("'"&amp;DV$67&amp;"'!f1"),G76-1,),"")</f>
        <v>334.95818474795601</v>
      </c>
      <c r="DT76" t="str" cm="1">
        <f t="array" aca="1" ref="DT76" ca="1">IF(CL76,OFFSET(INDIRECT("'"&amp;DT$67&amp;"'!f1"),E76-1,),"")</f>
        <v>31.007136520929635</v>
      </c>
      <c r="DU76" cm="1">
        <f t="array" aca="1" ref="DU76" ca="1">IF(CM76,OFFSET(INDIRECT("'"&amp;DU$67&amp;"'!f1"),F76-1,),"")</f>
        <v>343.46415240410698</v>
      </c>
      <c r="DV76" cm="1">
        <f t="array" aca="1" ref="DV76" ca="1">IF(CN76,OFFSET(INDIRECT("'"&amp;DV$67&amp;"'!f1"),G76-1,),"")</f>
        <v>334.95818474795601</v>
      </c>
      <c r="EK76" cm="1">
        <f t="array" aca="1" ref="EK76" ca="1">IF(ISNA(E76),0,OFFSET(INDIRECT("'"&amp;EK$67&amp;"'!g1"),E76-1,)*CL76)</f>
        <v>1</v>
      </c>
      <c r="EL76" cm="1">
        <f t="array" aca="1" ref="EL76" ca="1">IF(ISNA(F76),0,OFFSET(INDIRECT("'"&amp;EL$67&amp;"'!g1"),F76-1,)*CM76)</f>
        <v>15</v>
      </c>
      <c r="EM76" cm="1">
        <f t="array" aca="1" ref="EM76" ca="1">IF(ISNA(G76),0,OFFSET(INDIRECT("'"&amp;EM$67&amp;"'!g1"),G76-1,)*CN76)</f>
        <v>21258</v>
      </c>
      <c r="FB76" s="18" cm="1">
        <f t="array" aca="1" ref="FB76" ca="1">IF(ISNA(E76),0,OFFSET(INDIRECT("'"&amp;EK$67&amp;"'!h1"),E76-1,))</f>
        <v>1</v>
      </c>
      <c r="FC76" s="18" cm="1">
        <f t="array" aca="1" ref="FC76" ca="1">IF(ISNA(F76),0,OFFSET(INDIRECT("'"&amp;EL$67&amp;"'!h1"),F76-1,))</f>
        <v>50000</v>
      </c>
      <c r="FD76" s="18" cm="1">
        <f t="array" aca="1" ref="FD76" ca="1">IF(ISNA(G76),0,OFFSET(INDIRECT("'"&amp;EM$67&amp;"'!h1"),G76-1,))</f>
        <v>50000</v>
      </c>
      <c r="FE76" s="18"/>
      <c r="FF76" s="18"/>
      <c r="FG76" s="18"/>
      <c r="FH76" s="18"/>
      <c r="FI76" s="18"/>
      <c r="FJ76" s="18"/>
      <c r="FK76" s="18"/>
      <c r="FL76" s="18"/>
      <c r="FM76" s="18"/>
      <c r="FN76" s="18"/>
      <c r="FO76" s="18"/>
      <c r="FP76" s="18"/>
      <c r="FQ76" s="18"/>
      <c r="FW76" s="1"/>
      <c r="FX76" s="5"/>
    </row>
    <row r="77" spans="1:180" x14ac:dyDescent="0.2">
      <c r="A77" t="str" cm="1">
        <f t="array" aca="1" ref="A77" ca="1">INDIRECT($A$67&amp;"!A"&amp;ROW(C77)+$B$65)</f>
        <v>[[864,4,40]]</v>
      </c>
      <c r="B77" cm="1">
        <f t="array" aca="1" ref="B77" ca="1">INDIRECT($A$67&amp;"!b"&amp;ROW(C77)+$B$65)</f>
        <v>864</v>
      </c>
      <c r="C77">
        <f t="shared" ca="1" si="27"/>
        <v>40</v>
      </c>
      <c r="D77">
        <v>40</v>
      </c>
      <c r="E77">
        <f t="shared" ca="1" si="28"/>
        <v>41</v>
      </c>
      <c r="F77">
        <f t="shared" ca="1" si="28"/>
        <v>41</v>
      </c>
      <c r="G77">
        <f t="shared" ca="1" si="28"/>
        <v>44</v>
      </c>
      <c r="V77" cm="1">
        <f t="array" aca="1" ref="V77" ca="1">IF(ISNA(E77),,OFFSET(INDIRECT("'"&amp;V$67&amp;"'!d1"),E77-1,))</f>
        <v>54</v>
      </c>
      <c r="W77" cm="1">
        <f t="array" aca="1" ref="W77" ca="1">IF(ISNA(F77),,OFFSET(INDIRECT("'"&amp;W$67&amp;"'!d1"),F77-1,))</f>
        <v>56</v>
      </c>
      <c r="X77" cm="1">
        <f t="array" aca="1" ref="X77" ca="1">IF(ISNA(G77),,OFFSET(INDIRECT("'"&amp;X$67&amp;"'!d1"),G77-1,))</f>
        <v>40</v>
      </c>
      <c r="AM77">
        <f t="shared" ca="1" si="23"/>
        <v>0</v>
      </c>
      <c r="AN77">
        <f t="shared" ca="1" si="23"/>
        <v>0</v>
      </c>
      <c r="AO77">
        <f t="shared" ca="1" si="23"/>
        <v>0</v>
      </c>
      <c r="BD77">
        <f t="shared" ca="1" si="24"/>
        <v>1</v>
      </c>
      <c r="BE77">
        <f t="shared" ca="1" si="24"/>
        <v>1</v>
      </c>
      <c r="BF77">
        <f t="shared" ca="1" si="24"/>
        <v>1</v>
      </c>
      <c r="BU77">
        <f t="shared" ca="1" si="25"/>
        <v>54</v>
      </c>
      <c r="BV77">
        <f t="shared" ca="1" si="25"/>
        <v>56</v>
      </c>
      <c r="BW77">
        <f t="shared" ca="1" si="25"/>
        <v>40</v>
      </c>
      <c r="CL77">
        <f t="shared" ca="1" si="26"/>
        <v>0</v>
      </c>
      <c r="CM77">
        <f t="shared" ca="1" si="26"/>
        <v>0</v>
      </c>
      <c r="CN77">
        <f t="shared" ca="1" si="26"/>
        <v>1</v>
      </c>
      <c r="DC77" cm="1">
        <f t="array" aca="1" ref="DC77" ca="1">IF(BD77,OFFSET(INDIRECT("'"&amp;DT$67&amp;"'!f1"),E77-1,),"")</f>
        <v>72.219161769375205</v>
      </c>
      <c r="DD77" cm="1">
        <f t="array" aca="1" ref="DD77" ca="1">IF(BE77,OFFSET(INDIRECT("'"&amp;DU$67&amp;"'!f1"),F77-1,),"")</f>
        <v>691.14442823641002</v>
      </c>
      <c r="DE77" cm="1">
        <f t="array" aca="1" ref="DE77" ca="1">IF(BF77,OFFSET(INDIRECT("'"&amp;DV$67&amp;"'!f1"),G77-1,),"")</f>
        <v>699.95548416301597</v>
      </c>
      <c r="DT77" t="str" cm="1">
        <f t="array" aca="1" ref="DT77" ca="1">IF(CL77,OFFSET(INDIRECT("'"&amp;DT$67&amp;"'!f1"),E77-1,),"")</f>
        <v/>
      </c>
      <c r="DU77" t="str" cm="1">
        <f t="array" aca="1" ref="DU77" ca="1">IF(CM77,OFFSET(INDIRECT("'"&amp;DU$67&amp;"'!f1"),F77-1,),"")</f>
        <v/>
      </c>
      <c r="DV77" cm="1">
        <f t="array" aca="1" ref="DV77" ca="1">IF(CN77,OFFSET(INDIRECT("'"&amp;DV$67&amp;"'!f1"),G77-1,),"")</f>
        <v>699.95548416301597</v>
      </c>
      <c r="EK77" cm="1">
        <f t="array" aca="1" ref="EK77" ca="1">IF(ISNA(E77),0,OFFSET(INDIRECT("'"&amp;EK$67&amp;"'!g1"),E77-1,)*CL77)</f>
        <v>0</v>
      </c>
      <c r="EL77" cm="1">
        <f t="array" aca="1" ref="EL77" ca="1">IF(ISNA(F77),0,OFFSET(INDIRECT("'"&amp;EL$67&amp;"'!g1"),F77-1,)*CM77)</f>
        <v>0</v>
      </c>
      <c r="EM77" cm="1">
        <f t="array" aca="1" ref="EM77" ca="1">IF(ISNA(G77),0,OFFSET(INDIRECT("'"&amp;EM$67&amp;"'!g1"),G77-1,)*CN77)</f>
        <v>9396</v>
      </c>
      <c r="FB77" s="18" cm="1">
        <f t="array" aca="1" ref="FB77" ca="1">IF(ISNA(E77),0,OFFSET(INDIRECT("'"&amp;EK$67&amp;"'!h1"),E77-1,))</f>
        <v>1</v>
      </c>
      <c r="FC77" s="18" cm="1">
        <f t="array" aca="1" ref="FC77" ca="1">IF(ISNA(F77),0,OFFSET(INDIRECT("'"&amp;EL$67&amp;"'!h1"),F77-1,))</f>
        <v>50000</v>
      </c>
      <c r="FD77" s="18" cm="1">
        <f t="array" aca="1" ref="FD77" ca="1">IF(ISNA(G77),0,OFFSET(INDIRECT("'"&amp;EM$67&amp;"'!h1"),G77-1,))</f>
        <v>50000</v>
      </c>
      <c r="FE77" s="18"/>
      <c r="FF77" s="18"/>
      <c r="FG77" s="18"/>
      <c r="FH77" s="18"/>
      <c r="FI77" s="18"/>
      <c r="FJ77" s="18"/>
      <c r="FK77" s="18"/>
      <c r="FL77" s="18"/>
      <c r="FM77" s="18"/>
      <c r="FN77" s="18"/>
      <c r="FO77" s="18"/>
      <c r="FP77" s="18"/>
      <c r="FQ77" s="18"/>
      <c r="FW77" s="1"/>
      <c r="FX77" s="5"/>
    </row>
    <row r="78" spans="1:180" x14ac:dyDescent="0.2">
      <c r="A78" t="str" cm="1">
        <f t="array" aca="1" ref="A78" ca="1">INDIRECT($A$67&amp;"!A"&amp;ROW(C78)+$B$65)</f>
        <v>[[648,4,32]]</v>
      </c>
      <c r="B78" cm="1">
        <f t="array" aca="1" ref="B78" ca="1">INDIRECT($A$67&amp;"!b"&amp;ROW(C78)+$B$65)</f>
        <v>648</v>
      </c>
      <c r="C78">
        <f t="shared" ca="1" si="27"/>
        <v>32</v>
      </c>
      <c r="D78">
        <v>32</v>
      </c>
      <c r="E78">
        <f t="shared" ca="1" si="28"/>
        <v>42</v>
      </c>
      <c r="F78">
        <f t="shared" ca="1" si="28"/>
        <v>42</v>
      </c>
      <c r="G78">
        <f t="shared" ca="1" si="28"/>
        <v>45</v>
      </c>
      <c r="V78" cm="1">
        <f t="array" aca="1" ref="V78" ca="1">IF(ISNA(E78),,OFFSET(INDIRECT("'"&amp;V$67&amp;"'!d1"),E78-1,))</f>
        <v>36</v>
      </c>
      <c r="W78" cm="1">
        <f t="array" aca="1" ref="W78" ca="1">IF(ISNA(F78),,OFFSET(INDIRECT("'"&amp;W$67&amp;"'!d1"),F78-1,))</f>
        <v>34</v>
      </c>
      <c r="X78" cm="1">
        <f t="array" aca="1" ref="X78" ca="1">IF(ISNA(G78),,OFFSET(INDIRECT("'"&amp;X$67&amp;"'!d1"),G78-1,))</f>
        <v>32</v>
      </c>
      <c r="AM78">
        <f t="shared" ca="1" si="23"/>
        <v>0</v>
      </c>
      <c r="AN78">
        <f t="shared" ca="1" si="23"/>
        <v>0</v>
      </c>
      <c r="AO78">
        <f t="shared" ca="1" si="23"/>
        <v>0</v>
      </c>
      <c r="BD78">
        <f t="shared" ca="1" si="24"/>
        <v>1</v>
      </c>
      <c r="BE78">
        <f t="shared" ca="1" si="24"/>
        <v>1</v>
      </c>
      <c r="BF78">
        <f t="shared" ca="1" si="24"/>
        <v>1</v>
      </c>
      <c r="BU78">
        <f t="shared" ca="1" si="25"/>
        <v>36</v>
      </c>
      <c r="BV78">
        <f t="shared" ca="1" si="25"/>
        <v>34</v>
      </c>
      <c r="BW78">
        <f t="shared" ca="1" si="25"/>
        <v>32</v>
      </c>
      <c r="CL78">
        <f t="shared" ca="1" si="26"/>
        <v>0</v>
      </c>
      <c r="CM78">
        <f t="shared" ca="1" si="26"/>
        <v>0</v>
      </c>
      <c r="CN78">
        <f t="shared" ca="1" si="26"/>
        <v>1</v>
      </c>
      <c r="DC78" cm="1">
        <f t="array" aca="1" ref="DC78" ca="1">IF(BD78,OFFSET(INDIRECT("'"&amp;DT$67&amp;"'!f1"),E78-1,),"")</f>
        <v>39.207276714965701</v>
      </c>
      <c r="DD78" cm="1">
        <f t="array" aca="1" ref="DD78" ca="1">IF(BE78,OFFSET(INDIRECT("'"&amp;DU$67&amp;"'!f1"),F78-1,),"")</f>
        <v>358.49673005007202</v>
      </c>
      <c r="DE78" cm="1">
        <f t="array" aca="1" ref="DE78" ca="1">IF(BF78,OFFSET(INDIRECT("'"&amp;DV$67&amp;"'!f1"),G78-1,),"")</f>
        <v>375.59538043290303</v>
      </c>
      <c r="DT78" t="str" cm="1">
        <f t="array" aca="1" ref="DT78" ca="1">IF(CL78,OFFSET(INDIRECT("'"&amp;DT$67&amp;"'!f1"),E78-1,),"")</f>
        <v/>
      </c>
      <c r="DU78" t="str" cm="1">
        <f t="array" aca="1" ref="DU78" ca="1">IF(CM78,OFFSET(INDIRECT("'"&amp;DU$67&amp;"'!f1"),F78-1,),"")</f>
        <v/>
      </c>
      <c r="DV78" cm="1">
        <f t="array" aca="1" ref="DV78" ca="1">IF(CN78,OFFSET(INDIRECT("'"&amp;DV$67&amp;"'!f1"),G78-1,),"")</f>
        <v>375.59538043290303</v>
      </c>
      <c r="EK78" cm="1">
        <f t="array" aca="1" ref="EK78" ca="1">IF(ISNA(E78),0,OFFSET(INDIRECT("'"&amp;EK$67&amp;"'!g1"),E78-1,)*CL78)</f>
        <v>0</v>
      </c>
      <c r="EL78" cm="1">
        <f t="array" aca="1" ref="EL78" ca="1">IF(ISNA(F78),0,OFFSET(INDIRECT("'"&amp;EL$67&amp;"'!g1"),F78-1,)*CM78)</f>
        <v>0</v>
      </c>
      <c r="EM78" cm="1">
        <f t="array" aca="1" ref="EM78" ca="1">IF(ISNA(G78),0,OFFSET(INDIRECT("'"&amp;EM$67&amp;"'!g1"),G78-1,)*CN78)</f>
        <v>14065</v>
      </c>
      <c r="FB78" s="18" cm="1">
        <f t="array" aca="1" ref="FB78" ca="1">IF(ISNA(E78),0,OFFSET(INDIRECT("'"&amp;EK$67&amp;"'!h1"),E78-1,))</f>
        <v>1</v>
      </c>
      <c r="FC78" s="18" cm="1">
        <f t="array" aca="1" ref="FC78" ca="1">IF(ISNA(F78),0,OFFSET(INDIRECT("'"&amp;EL$67&amp;"'!h1"),F78-1,))</f>
        <v>50000</v>
      </c>
      <c r="FD78" s="18" cm="1">
        <f t="array" aca="1" ref="FD78" ca="1">IF(ISNA(G78),0,OFFSET(INDIRECT("'"&amp;EM$67&amp;"'!h1"),G78-1,))</f>
        <v>50000</v>
      </c>
      <c r="FE78" s="18"/>
      <c r="FF78" s="18"/>
      <c r="FG78" s="18"/>
      <c r="FH78" s="18"/>
      <c r="FI78" s="18"/>
      <c r="FJ78" s="18"/>
      <c r="FK78" s="18"/>
      <c r="FL78" s="18"/>
      <c r="FM78" s="18"/>
      <c r="FN78" s="18"/>
      <c r="FO78" s="18"/>
      <c r="FP78" s="18"/>
      <c r="FQ78" s="18"/>
      <c r="FW78" s="1"/>
      <c r="FX78" s="5"/>
    </row>
    <row r="79" spans="1:180" x14ac:dyDescent="0.2">
      <c r="A79" t="str" cm="1">
        <f t="array" aca="1" ref="A79" ca="1">INDIRECT($A$67&amp;"!A"&amp;ROW(C79)+$B$65)</f>
        <v>[[1080,4,56]]</v>
      </c>
      <c r="B79" cm="1">
        <f t="array" aca="1" ref="B79" ca="1">INDIRECT($A$67&amp;"!b"&amp;ROW(C79)+$B$65)</f>
        <v>1080</v>
      </c>
      <c r="C79">
        <f t="shared" ca="1" si="27"/>
        <v>56</v>
      </c>
      <c r="D79">
        <v>54</v>
      </c>
      <c r="E79">
        <f t="shared" ca="1" si="28"/>
        <v>43</v>
      </c>
      <c r="F79">
        <f t="shared" ca="1" si="28"/>
        <v>43</v>
      </c>
      <c r="G79">
        <f t="shared" ca="1" si="28"/>
        <v>46</v>
      </c>
      <c r="V79" cm="1">
        <f t="array" aca="1" ref="V79" ca="1">IF(ISNA(E79),,OFFSET(INDIRECT("'"&amp;V$67&amp;"'!d1"),E79-1,))</f>
        <v>72</v>
      </c>
      <c r="W79" cm="1">
        <f t="array" aca="1" ref="W79" ca="1">IF(ISNA(F79),,OFFSET(INDIRECT("'"&amp;W$67&amp;"'!d1"),F79-1,))</f>
        <v>78</v>
      </c>
      <c r="X79" cm="1">
        <f t="array" aca="1" ref="X79" ca="1">IF(ISNA(G79),,OFFSET(INDIRECT("'"&amp;X$67&amp;"'!d1"),G79-1,))</f>
        <v>56</v>
      </c>
      <c r="AM79">
        <f t="shared" ca="1" si="23"/>
        <v>0</v>
      </c>
      <c r="AN79">
        <f t="shared" ca="1" si="23"/>
        <v>0</v>
      </c>
      <c r="AO79">
        <f t="shared" ca="1" si="23"/>
        <v>0</v>
      </c>
      <c r="BD79">
        <f t="shared" ca="1" si="24"/>
        <v>1</v>
      </c>
      <c r="BE79">
        <f t="shared" ca="1" si="24"/>
        <v>1</v>
      </c>
      <c r="BF79">
        <f t="shared" ca="1" si="24"/>
        <v>1</v>
      </c>
      <c r="BU79">
        <f t="shared" ca="1" si="25"/>
        <v>72</v>
      </c>
      <c r="BV79">
        <f t="shared" ca="1" si="25"/>
        <v>78</v>
      </c>
      <c r="BW79">
        <f t="shared" ca="1" si="25"/>
        <v>56</v>
      </c>
      <c r="CL79">
        <f t="shared" ca="1" si="26"/>
        <v>0</v>
      </c>
      <c r="CM79">
        <f t="shared" ca="1" si="26"/>
        <v>0</v>
      </c>
      <c r="CN79">
        <f t="shared" ca="1" si="26"/>
        <v>1</v>
      </c>
      <c r="DC79" t="str" cm="1">
        <f t="array" aca="1" ref="DC79" ca="1">IF(BD79,OFFSET(INDIRECT("'"&amp;DT$67&amp;"'!f1"),E79-1,),"")</f>
        <v>113.05983931571245</v>
      </c>
      <c r="DD79" cm="1">
        <f t="array" aca="1" ref="DD79" ca="1">IF(BE79,OFFSET(INDIRECT("'"&amp;DU$67&amp;"'!f1"),F79-1,),"")</f>
        <v>1107.8913775011799</v>
      </c>
      <c r="DE79" cm="1">
        <f t="array" aca="1" ref="DE79" ca="1">IF(BF79,OFFSET(INDIRECT("'"&amp;DV$67&amp;"'!f1"),G79-1,),"")</f>
        <v>1132.9726030714801</v>
      </c>
      <c r="DT79" t="str" cm="1">
        <f t="array" aca="1" ref="DT79" ca="1">IF(CL79,OFFSET(INDIRECT("'"&amp;DT$67&amp;"'!f1"),E79-1,),"")</f>
        <v/>
      </c>
      <c r="DU79" t="str" cm="1">
        <f t="array" aca="1" ref="DU79" ca="1">IF(CM79,OFFSET(INDIRECT("'"&amp;DU$67&amp;"'!f1"),F79-1,),"")</f>
        <v/>
      </c>
      <c r="DV79" cm="1">
        <f t="array" aca="1" ref="DV79" ca="1">IF(CN79,OFFSET(INDIRECT("'"&amp;DV$67&amp;"'!f1"),G79-1,),"")</f>
        <v>1132.9726030714801</v>
      </c>
      <c r="EK79" cm="1">
        <f t="array" aca="1" ref="EK79" ca="1">IF(ISNA(E79),0,OFFSET(INDIRECT("'"&amp;EK$67&amp;"'!g1"),E79-1,)*CL79)</f>
        <v>0</v>
      </c>
      <c r="EL79" cm="1">
        <f t="array" aca="1" ref="EL79" ca="1">IF(ISNA(F79),0,OFFSET(INDIRECT("'"&amp;EL$67&amp;"'!g1"),F79-1,)*CM79)</f>
        <v>0</v>
      </c>
      <c r="EM79" cm="1">
        <f t="array" aca="1" ref="EM79" ca="1">IF(ISNA(G79),0,OFFSET(INDIRECT("'"&amp;EM$67&amp;"'!g1"),G79-1,)*CN79)</f>
        <v>4445</v>
      </c>
      <c r="FB79" s="18" cm="1">
        <f t="array" aca="1" ref="FB79" ca="1">IF(ISNA(E79),0,OFFSET(INDIRECT("'"&amp;EK$67&amp;"'!h1"),E79-1,))</f>
        <v>1</v>
      </c>
      <c r="FC79" s="18" cm="1">
        <f t="array" aca="1" ref="FC79" ca="1">IF(ISNA(F79),0,OFFSET(INDIRECT("'"&amp;EL$67&amp;"'!h1"),F79-1,))</f>
        <v>50000</v>
      </c>
      <c r="FD79" s="18" cm="1">
        <f t="array" aca="1" ref="FD79" ca="1">IF(ISNA(G79),0,OFFSET(INDIRECT("'"&amp;EM$67&amp;"'!h1"),G79-1,))</f>
        <v>50000</v>
      </c>
      <c r="FE79" s="18"/>
      <c r="FF79" s="18"/>
      <c r="FG79" s="18"/>
      <c r="FH79" s="18"/>
      <c r="FI79" s="18"/>
      <c r="FJ79" s="18"/>
      <c r="FK79" s="18"/>
      <c r="FL79" s="18"/>
      <c r="FM79" s="18"/>
      <c r="FN79" s="18"/>
      <c r="FO79" s="18"/>
      <c r="FP79" s="18"/>
      <c r="FQ79" s="18"/>
      <c r="FW79" s="1"/>
      <c r="FX79" s="5"/>
    </row>
    <row r="80" spans="1:180" x14ac:dyDescent="0.2">
      <c r="A80" t="str" cm="1">
        <f t="array" aca="1" ref="A80" ca="1">INDIRECT($A$67&amp;"!A"&amp;ROW(C80)+$B$65)</f>
        <v>[[1296,4,50]]</v>
      </c>
      <c r="B80" cm="1">
        <f t="array" aca="1" ref="B80" ca="1">INDIRECT($A$67&amp;"!b"&amp;ROW(C80)+$B$65)</f>
        <v>1296</v>
      </c>
      <c r="C80">
        <f t="shared" ca="1" si="27"/>
        <v>36</v>
      </c>
      <c r="D80">
        <v>46</v>
      </c>
      <c r="E80">
        <f t="shared" ca="1" si="28"/>
        <v>44</v>
      </c>
      <c r="F80">
        <f t="shared" ca="1" si="28"/>
        <v>44</v>
      </c>
      <c r="G80">
        <f t="shared" ca="1" si="28"/>
        <v>47</v>
      </c>
      <c r="V80" cm="1">
        <f t="array" aca="1" ref="V80" ca="1">IF(ISNA(E80),,OFFSET(INDIRECT("'"&amp;V$67&amp;"'!d1"),E80-1,))</f>
        <v>80</v>
      </c>
      <c r="W80" cm="1">
        <f t="array" aca="1" ref="W80" ca="1">IF(ISNA(F80),,OFFSET(INDIRECT("'"&amp;W$67&amp;"'!d1"),F80-1,))</f>
        <v>96</v>
      </c>
      <c r="X80" cm="1">
        <f t="array" aca="1" ref="X80" ca="1">IF(ISNA(G80),,OFFSET(INDIRECT("'"&amp;X$67&amp;"'!d1"),G80-1,))</f>
        <v>36</v>
      </c>
      <c r="AM80">
        <f t="shared" ca="1" si="23"/>
        <v>0</v>
      </c>
      <c r="AN80">
        <f t="shared" ca="1" si="23"/>
        <v>0</v>
      </c>
      <c r="AO80">
        <f t="shared" ca="1" si="23"/>
        <v>0</v>
      </c>
      <c r="BD80">
        <f t="shared" ca="1" si="24"/>
        <v>1</v>
      </c>
      <c r="BE80">
        <f t="shared" ca="1" si="24"/>
        <v>1</v>
      </c>
      <c r="BF80">
        <f t="shared" ca="1" si="24"/>
        <v>1</v>
      </c>
      <c r="BU80">
        <f t="shared" ca="1" si="25"/>
        <v>80</v>
      </c>
      <c r="BV80">
        <f t="shared" ca="1" si="25"/>
        <v>96</v>
      </c>
      <c r="BW80">
        <f t="shared" ca="1" si="25"/>
        <v>36</v>
      </c>
      <c r="CL80">
        <f t="shared" ca="1" si="26"/>
        <v>0</v>
      </c>
      <c r="CM80">
        <f t="shared" ca="1" si="26"/>
        <v>0</v>
      </c>
      <c r="CN80">
        <f t="shared" ca="1" si="26"/>
        <v>1</v>
      </c>
      <c r="DC80" t="str" cm="1">
        <f t="array" aca="1" ref="DC80" ca="1">IF(BD80,OFFSET(INDIRECT("'"&amp;DT$67&amp;"'!f1"),E80-1,),"")</f>
        <v>168.68845832441002</v>
      </c>
      <c r="DD80" cm="1">
        <f t="array" aca="1" ref="DD80" ca="1">IF(BE80,OFFSET(INDIRECT("'"&amp;DU$67&amp;"'!f1"),F80-1,),"")</f>
        <v>1621.4472790928501</v>
      </c>
      <c r="DE80" cm="1">
        <f t="array" aca="1" ref="DE80" ca="1">IF(BF80,OFFSET(INDIRECT("'"&amp;DV$67&amp;"'!f1"),G80-1,),"")</f>
        <v>1786.42777791246</v>
      </c>
      <c r="DT80" t="str" cm="1">
        <f t="array" aca="1" ref="DT80" ca="1">IF(CL80,OFFSET(INDIRECT("'"&amp;DT$67&amp;"'!f1"),E80-1,),"")</f>
        <v/>
      </c>
      <c r="DU80" t="str" cm="1">
        <f t="array" aca="1" ref="DU80" ca="1">IF(CM80,OFFSET(INDIRECT("'"&amp;DU$67&amp;"'!f1"),F80-1,),"")</f>
        <v/>
      </c>
      <c r="DV80" cm="1">
        <f t="array" aca="1" ref="DV80" ca="1">IF(CN80,OFFSET(INDIRECT("'"&amp;DV$67&amp;"'!f1"),G80-1,),"")</f>
        <v>1786.42777791246</v>
      </c>
      <c r="EK80" cm="1">
        <f t="array" aca="1" ref="EK80" ca="1">IF(ISNA(E80),0,OFFSET(INDIRECT("'"&amp;EK$67&amp;"'!g1"),E80-1,)*CL80)</f>
        <v>0</v>
      </c>
      <c r="EL80" cm="1">
        <f t="array" aca="1" ref="EL80" ca="1">IF(ISNA(F80),0,OFFSET(INDIRECT("'"&amp;EL$67&amp;"'!g1"),F80-1,)*CM80)</f>
        <v>0</v>
      </c>
      <c r="EM80" cm="1">
        <f t="array" aca="1" ref="EM80" ca="1">IF(ISNA(G80),0,OFFSET(INDIRECT("'"&amp;EM$67&amp;"'!g1"),G80-1,)*CN80)</f>
        <v>9678</v>
      </c>
      <c r="FB80" s="18" cm="1">
        <f t="array" aca="1" ref="FB80" ca="1">IF(ISNA(E80),0,OFFSET(INDIRECT("'"&amp;EK$67&amp;"'!h1"),E80-1,))</f>
        <v>1</v>
      </c>
      <c r="FC80" s="18" cm="1">
        <f t="array" aca="1" ref="FC80" ca="1">IF(ISNA(F80),0,OFFSET(INDIRECT("'"&amp;EL$67&amp;"'!h1"),F80-1,))</f>
        <v>50000</v>
      </c>
      <c r="FD80" s="18" cm="1">
        <f t="array" aca="1" ref="FD80" ca="1">IF(ISNA(G80),0,OFFSET(INDIRECT("'"&amp;EM$67&amp;"'!h1"),G80-1,))</f>
        <v>50000</v>
      </c>
      <c r="FE80" s="18"/>
      <c r="FF80" s="18"/>
      <c r="FG80" s="18"/>
      <c r="FH80" s="18"/>
      <c r="FI80" s="18"/>
      <c r="FJ80" s="18"/>
      <c r="FK80" s="18"/>
      <c r="FL80" s="18"/>
      <c r="FM80" s="18"/>
      <c r="FN80" s="18"/>
      <c r="FO80" s="18"/>
      <c r="FP80" s="18"/>
      <c r="FQ80" s="18"/>
      <c r="FW80" s="1"/>
      <c r="FX80" s="5"/>
    </row>
    <row r="81" spans="1:180" x14ac:dyDescent="0.2">
      <c r="A81" t="str" cm="1">
        <f t="array" aca="1" ref="A81" ca="1">INDIRECT($A$67&amp;"!A"&amp;ROW(C81)+$B$65)</f>
        <v>[[1152,4,42]]</v>
      </c>
      <c r="B81" cm="1">
        <f t="array" aca="1" ref="B81" ca="1">INDIRECT($A$67&amp;"!b"&amp;ROW(C81)+$B$65)</f>
        <v>1152</v>
      </c>
      <c r="C81">
        <f t="shared" ca="1" si="27"/>
        <v>36</v>
      </c>
      <c r="D81">
        <v>36</v>
      </c>
      <c r="E81">
        <f t="shared" ca="1" si="28"/>
        <v>45</v>
      </c>
      <c r="F81">
        <f t="shared" ca="1" si="28"/>
        <v>45</v>
      </c>
      <c r="G81">
        <f t="shared" ca="1" si="28"/>
        <v>48</v>
      </c>
      <c r="V81" cm="1">
        <f t="array" aca="1" ref="V81" ca="1">IF(ISNA(E81),,OFFSET(INDIRECT("'"&amp;V$67&amp;"'!d1"),E81-1,))</f>
        <v>56</v>
      </c>
      <c r="W81" cm="1">
        <f t="array" aca="1" ref="W81" ca="1">IF(ISNA(F81),,OFFSET(INDIRECT("'"&amp;W$67&amp;"'!d1"),F81-1,))</f>
        <v>62</v>
      </c>
      <c r="X81" cm="1">
        <f t="array" aca="1" ref="X81" ca="1">IF(ISNA(G81),,OFFSET(INDIRECT("'"&amp;X$67&amp;"'!d1"),G81-1,))</f>
        <v>36</v>
      </c>
      <c r="AM81">
        <f t="shared" ca="1" si="23"/>
        <v>0</v>
      </c>
      <c r="AN81">
        <f t="shared" ca="1" si="23"/>
        <v>0</v>
      </c>
      <c r="AO81">
        <f t="shared" ca="1" si="23"/>
        <v>0</v>
      </c>
      <c r="BD81">
        <f t="shared" ca="1" si="24"/>
        <v>1</v>
      </c>
      <c r="BE81">
        <f t="shared" ca="1" si="24"/>
        <v>1</v>
      </c>
      <c r="BF81">
        <f t="shared" ca="1" si="24"/>
        <v>1</v>
      </c>
      <c r="BU81">
        <f t="shared" ca="1" si="25"/>
        <v>56</v>
      </c>
      <c r="BV81">
        <f t="shared" ca="1" si="25"/>
        <v>62</v>
      </c>
      <c r="BW81">
        <f t="shared" ca="1" si="25"/>
        <v>36</v>
      </c>
      <c r="CL81">
        <f t="shared" ca="1" si="26"/>
        <v>0</v>
      </c>
      <c r="CM81">
        <f t="shared" ca="1" si="26"/>
        <v>0</v>
      </c>
      <c r="CN81">
        <f t="shared" ca="1" si="26"/>
        <v>1</v>
      </c>
      <c r="DC81" t="str" cm="1">
        <f t="array" aca="1" ref="DC81" ca="1">IF(BD81,OFFSET(INDIRECT("'"&amp;DT$67&amp;"'!f1"),E81-1,),"")</f>
        <v>128.32605897262692</v>
      </c>
      <c r="DD81" cm="1">
        <f t="array" aca="1" ref="DD81" ca="1">IF(BE81,OFFSET(INDIRECT("'"&amp;DU$67&amp;"'!f1"),F81-1,),"")</f>
        <v>1251.6752740750001</v>
      </c>
      <c r="DE81" cm="1">
        <f t="array" aca="1" ref="DE81" ca="1">IF(BF81,OFFSET(INDIRECT("'"&amp;DV$67&amp;"'!f1"),G81-1,),"")</f>
        <v>1358.5003169653901</v>
      </c>
      <c r="DT81" t="str" cm="1">
        <f t="array" aca="1" ref="DT81" ca="1">IF(CL81,OFFSET(INDIRECT("'"&amp;DT$67&amp;"'!f1"),E81-1,),"")</f>
        <v/>
      </c>
      <c r="DU81" t="str" cm="1">
        <f t="array" aca="1" ref="DU81" ca="1">IF(CM81,OFFSET(INDIRECT("'"&amp;DU$67&amp;"'!f1"),F81-1,),"")</f>
        <v/>
      </c>
      <c r="DV81" cm="1">
        <f t="array" aca="1" ref="DV81" ca="1">IF(CN81,OFFSET(INDIRECT("'"&amp;DV$67&amp;"'!f1"),G81-1,),"")</f>
        <v>1358.5003169653901</v>
      </c>
      <c r="EK81" cm="1">
        <f t="array" aca="1" ref="EK81" ca="1">IF(ISNA(E81),0,OFFSET(INDIRECT("'"&amp;EK$67&amp;"'!g1"),E81-1,)*CL81)</f>
        <v>0</v>
      </c>
      <c r="EL81" cm="1">
        <f t="array" aca="1" ref="EL81" ca="1">IF(ISNA(F81),0,OFFSET(INDIRECT("'"&amp;EL$67&amp;"'!g1"),F81-1,)*CM81)</f>
        <v>0</v>
      </c>
      <c r="EM81" cm="1">
        <f t="array" aca="1" ref="EM81" ca="1">IF(ISNA(G81),0,OFFSET(INDIRECT("'"&amp;EM$67&amp;"'!g1"),G81-1,)*CN81)</f>
        <v>5098</v>
      </c>
      <c r="FB81" s="18" cm="1">
        <f t="array" aca="1" ref="FB81" ca="1">IF(ISNA(E81),0,OFFSET(INDIRECT("'"&amp;EK$67&amp;"'!h1"),E81-1,))</f>
        <v>1</v>
      </c>
      <c r="FC81" s="18" cm="1">
        <f t="array" aca="1" ref="FC81" ca="1">IF(ISNA(F81),0,OFFSET(INDIRECT("'"&amp;EL$67&amp;"'!h1"),F81-1,))</f>
        <v>50000</v>
      </c>
      <c r="FD81" s="18" cm="1">
        <f t="array" aca="1" ref="FD81" ca="1">IF(ISNA(G81),0,OFFSET(INDIRECT("'"&amp;EM$67&amp;"'!h1"),G81-1,))</f>
        <v>50000</v>
      </c>
      <c r="FE81" s="18"/>
      <c r="FF81" s="18"/>
      <c r="FG81" s="18"/>
      <c r="FH81" s="18"/>
      <c r="FI81" s="18"/>
      <c r="FJ81" s="18"/>
      <c r="FK81" s="18"/>
      <c r="FL81" s="18"/>
      <c r="FM81" s="18"/>
      <c r="FN81" s="18"/>
      <c r="FO81" s="18"/>
      <c r="FP81" s="18"/>
      <c r="FQ81" s="18"/>
      <c r="FW81" s="1"/>
      <c r="FX81" s="5"/>
    </row>
    <row r="82" spans="1:180" x14ac:dyDescent="0.2">
      <c r="A82" t="str" cm="1">
        <f t="array" aca="1" ref="A82" ca="1">INDIRECT($A$67&amp;"!A"&amp;ROW(C82)+$B$65)</f>
        <v>[[1728,4,64]]</v>
      </c>
      <c r="B82" cm="1">
        <f t="array" aca="1" ref="B82" ca="1">INDIRECT($A$67&amp;"!b"&amp;ROW(C82)+$B$65)</f>
        <v>1728</v>
      </c>
      <c r="C82">
        <f t="shared" ca="1" si="27"/>
        <v>72</v>
      </c>
      <c r="D82">
        <v>64</v>
      </c>
      <c r="E82">
        <f t="shared" ca="1" si="28"/>
        <v>46</v>
      </c>
      <c r="F82">
        <f t="shared" ca="1" si="28"/>
        <v>46</v>
      </c>
      <c r="G82">
        <f t="shared" ca="1" si="28"/>
        <v>49</v>
      </c>
      <c r="V82" cm="1">
        <f t="array" aca="1" ref="V82" ca="1">IF(ISNA(E82),,OFFSET(INDIRECT("'"&amp;V$67&amp;"'!d1"),E82-1,))</f>
        <v>128</v>
      </c>
      <c r="W82" cm="1">
        <f t="array" aca="1" ref="W82" ca="1">IF(ISNA(F82),,OFFSET(INDIRECT("'"&amp;W$67&amp;"'!d1"),F82-1,))</f>
        <v>132</v>
      </c>
      <c r="X82" cm="1">
        <f t="array" aca="1" ref="X82" ca="1">IF(ISNA(G82),,OFFSET(INDIRECT("'"&amp;X$67&amp;"'!d1"),G82-1,))</f>
        <v>72</v>
      </c>
      <c r="AM82">
        <f t="shared" ca="1" si="23"/>
        <v>0</v>
      </c>
      <c r="AN82">
        <f t="shared" ca="1" si="23"/>
        <v>0</v>
      </c>
      <c r="AO82">
        <f t="shared" ca="1" si="23"/>
        <v>0</v>
      </c>
      <c r="BD82">
        <f t="shared" ca="1" si="24"/>
        <v>1</v>
      </c>
      <c r="BE82">
        <f t="shared" ca="1" si="24"/>
        <v>1</v>
      </c>
      <c r="BF82">
        <f t="shared" ca="1" si="24"/>
        <v>1</v>
      </c>
      <c r="BU82">
        <f t="shared" ca="1" si="25"/>
        <v>128</v>
      </c>
      <c r="BV82">
        <f t="shared" ca="1" si="25"/>
        <v>132</v>
      </c>
      <c r="BW82">
        <f t="shared" ca="1" si="25"/>
        <v>72</v>
      </c>
      <c r="CL82">
        <f t="shared" ca="1" si="26"/>
        <v>0</v>
      </c>
      <c r="CM82">
        <f t="shared" ca="1" si="26"/>
        <v>0</v>
      </c>
      <c r="CN82">
        <f t="shared" ca="1" si="26"/>
        <v>1</v>
      </c>
      <c r="DC82" t="str" cm="1">
        <f t="array" aca="1" ref="DC82" ca="1">IF(BD82,OFFSET(INDIRECT("'"&amp;DT$67&amp;"'!f1"),E82-1,),"")</f>
        <v>317.35790168400854</v>
      </c>
      <c r="DD82" cm="1">
        <f t="array" aca="1" ref="DD82" ca="1">IF(BE82,OFFSET(INDIRECT("'"&amp;DU$67&amp;"'!f1"),F82-1,),"")</f>
        <v>3302.6954445950601</v>
      </c>
      <c r="DE82" cm="1">
        <f t="array" aca="1" ref="DE82" ca="1">IF(BF82,OFFSET(INDIRECT("'"&amp;DV$67&amp;"'!f1"),G82-1,),"")</f>
        <v>3525.5766237759899</v>
      </c>
      <c r="DT82" t="str" cm="1">
        <f t="array" aca="1" ref="DT82" ca="1">IF(CL82,OFFSET(INDIRECT("'"&amp;DT$67&amp;"'!f1"),E82-1,),"")</f>
        <v/>
      </c>
      <c r="DU82" t="str" cm="1">
        <f t="array" aca="1" ref="DU82" ca="1">IF(CM82,OFFSET(INDIRECT("'"&amp;DU$67&amp;"'!f1"),F82-1,),"")</f>
        <v/>
      </c>
      <c r="DV82" cm="1">
        <f t="array" aca="1" ref="DV82" ca="1">IF(CN82,OFFSET(INDIRECT("'"&amp;DV$67&amp;"'!f1"),G82-1,),"")</f>
        <v>3525.5766237759899</v>
      </c>
      <c r="EK82" cm="1">
        <f t="array" aca="1" ref="EK82" ca="1">IF(ISNA(E82),0,OFFSET(INDIRECT("'"&amp;EK$67&amp;"'!g1"),E82-1,)*CL82)</f>
        <v>0</v>
      </c>
      <c r="EL82" cm="1">
        <f t="array" aca="1" ref="EL82" ca="1">IF(ISNA(F82),0,OFFSET(INDIRECT("'"&amp;EL$67&amp;"'!g1"),F82-1,)*CM82)</f>
        <v>0</v>
      </c>
      <c r="EM82" cm="1">
        <f t="array" aca="1" ref="EM82" ca="1">IF(ISNA(G82),0,OFFSET(INDIRECT("'"&amp;EM$67&amp;"'!g1"),G82-1,)*CN82)</f>
        <v>4</v>
      </c>
      <c r="FB82" s="18" cm="1">
        <f t="array" aca="1" ref="FB82" ca="1">IF(ISNA(E82),0,OFFSET(INDIRECT("'"&amp;EK$67&amp;"'!h1"),E82-1,))</f>
        <v>1</v>
      </c>
      <c r="FC82" s="18" cm="1">
        <f t="array" aca="1" ref="FC82" ca="1">IF(ISNA(F82),0,OFFSET(INDIRECT("'"&amp;EL$67&amp;"'!h1"),F82-1,))</f>
        <v>50000</v>
      </c>
      <c r="FD82" s="18" cm="1">
        <f t="array" aca="1" ref="FD82" ca="1">IF(ISNA(G82),0,OFFSET(INDIRECT("'"&amp;EM$67&amp;"'!h1"),G82-1,))</f>
        <v>50000</v>
      </c>
      <c r="FE82" s="18"/>
      <c r="FF82" s="18"/>
      <c r="FG82" s="18"/>
      <c r="FH82" s="18"/>
      <c r="FI82" s="18"/>
      <c r="FJ82" s="18"/>
      <c r="FK82" s="18"/>
      <c r="FL82" s="18"/>
      <c r="FM82" s="18"/>
      <c r="FN82" s="18"/>
      <c r="FO82" s="18"/>
      <c r="FP82" s="18"/>
      <c r="FQ82" s="18"/>
      <c r="FW82" s="1"/>
      <c r="FX82" s="5"/>
    </row>
    <row r="83" spans="1:180" x14ac:dyDescent="0.2">
      <c r="A83" t="str" cm="1">
        <f t="array" aca="1" ref="A83" ca="1">INDIRECT($A$67&amp;"!A"&amp;ROW(C83)+$B$65)</f>
        <v>[[2016,8,54]]</v>
      </c>
      <c r="B83" cm="1">
        <f t="array" aca="1" ref="B83" ca="1">INDIRECT($A$67&amp;"!b"&amp;ROW(C83)+$B$65)</f>
        <v>2016</v>
      </c>
      <c r="C83">
        <f t="shared" ca="1" si="27"/>
        <v>54</v>
      </c>
      <c r="D83">
        <v>54</v>
      </c>
      <c r="E83">
        <f t="shared" ca="1" si="28"/>
        <v>47</v>
      </c>
      <c r="F83">
        <f t="shared" ca="1" si="28"/>
        <v>47</v>
      </c>
      <c r="G83">
        <f t="shared" ca="1" si="28"/>
        <v>50</v>
      </c>
      <c r="V83" cm="1">
        <f t="array" aca="1" ref="V83" ca="1">IF(ISNA(E83),,OFFSET(INDIRECT("'"&amp;V$67&amp;"'!d1"),E83-1,))</f>
        <v>62</v>
      </c>
      <c r="W83" cm="1">
        <f t="array" aca="1" ref="W83" ca="1">IF(ISNA(F83),,OFFSET(INDIRECT("'"&amp;W$67&amp;"'!d1"),F83-1,))</f>
        <v>70</v>
      </c>
      <c r="X83" cm="1">
        <f t="array" aca="1" ref="X83" ca="1">IF(ISNA(G83),,OFFSET(INDIRECT("'"&amp;X$67&amp;"'!d1"),G83-1,))</f>
        <v>54</v>
      </c>
      <c r="AM83">
        <f t="shared" ca="1" si="23"/>
        <v>0</v>
      </c>
      <c r="AN83">
        <f t="shared" ca="1" si="23"/>
        <v>0</v>
      </c>
      <c r="AO83">
        <f t="shared" ca="1" si="23"/>
        <v>0</v>
      </c>
      <c r="BD83">
        <f t="shared" ca="1" si="24"/>
        <v>1</v>
      </c>
      <c r="BE83">
        <f t="shared" ca="1" si="24"/>
        <v>1</v>
      </c>
      <c r="BF83">
        <f t="shared" ca="1" si="24"/>
        <v>1</v>
      </c>
      <c r="BU83">
        <f t="shared" ca="1" si="25"/>
        <v>62</v>
      </c>
      <c r="BV83">
        <f t="shared" ca="1" si="25"/>
        <v>70</v>
      </c>
      <c r="BW83">
        <f t="shared" ca="1" si="25"/>
        <v>54</v>
      </c>
      <c r="CL83">
        <f t="shared" ca="1" si="26"/>
        <v>0</v>
      </c>
      <c r="CM83">
        <f t="shared" ca="1" si="26"/>
        <v>0</v>
      </c>
      <c r="CN83">
        <f t="shared" ca="1" si="26"/>
        <v>1</v>
      </c>
      <c r="DC83" t="str" cm="1">
        <f t="array" aca="1" ref="DC83" ca="1">IF(BD83,OFFSET(INDIRECT("'"&amp;DT$67&amp;"'!f1"),E83-1,),"")</f>
        <v>272.9686442911625</v>
      </c>
      <c r="DD83" cm="1">
        <f t="array" aca="1" ref="DD83" ca="1">IF(BE83,OFFSET(INDIRECT("'"&amp;DU$67&amp;"'!f1"),F83-1,),"")</f>
        <v>3875.9886611225002</v>
      </c>
      <c r="DE83" cm="1">
        <f t="array" aca="1" ref="DE83" ca="1">IF(BF83,OFFSET(INDIRECT("'"&amp;DV$67&amp;"'!f1"),G83-1,),"")</f>
        <v>4113.87846516631</v>
      </c>
      <c r="DT83" t="str" cm="1">
        <f t="array" aca="1" ref="DT83" ca="1">IF(CL83,OFFSET(INDIRECT("'"&amp;DT$67&amp;"'!f1"),E83-1,),"")</f>
        <v/>
      </c>
      <c r="DU83" t="str" cm="1">
        <f t="array" aca="1" ref="DU83" ca="1">IF(CM83,OFFSET(INDIRECT("'"&amp;DU$67&amp;"'!f1"),F83-1,),"")</f>
        <v/>
      </c>
      <c r="DV83" cm="1">
        <f t="array" aca="1" ref="DV83" ca="1">IF(CN83,OFFSET(INDIRECT("'"&amp;DV$67&amp;"'!f1"),G83-1,),"")</f>
        <v>4113.87846516631</v>
      </c>
      <c r="EK83" cm="1">
        <f t="array" aca="1" ref="EK83" ca="1">IF(ISNA(E83),0,OFFSET(INDIRECT("'"&amp;EK$67&amp;"'!g1"),E83-1,)*CL83)</f>
        <v>0</v>
      </c>
      <c r="EL83" cm="1">
        <f t="array" aca="1" ref="EL83" ca="1">IF(ISNA(F83),0,OFFSET(INDIRECT("'"&amp;EL$67&amp;"'!g1"),F83-1,)*CM83)</f>
        <v>0</v>
      </c>
      <c r="EM83" cm="1">
        <f t="array" aca="1" ref="EM83" ca="1">IF(ISNA(G83),0,OFFSET(INDIRECT("'"&amp;EM$67&amp;"'!g1"),G83-1,)*CN83)</f>
        <v>5746</v>
      </c>
      <c r="FB83" s="18" cm="1">
        <f t="array" aca="1" ref="FB83" ca="1">IF(ISNA(E83),0,OFFSET(INDIRECT("'"&amp;EK$67&amp;"'!h1"),E83-1,))</f>
        <v>1</v>
      </c>
      <c r="FC83" s="18" cm="1">
        <f t="array" aca="1" ref="FC83" ca="1">IF(ISNA(F83),0,OFFSET(INDIRECT("'"&amp;EL$67&amp;"'!h1"),F83-1,))</f>
        <v>50000</v>
      </c>
      <c r="FD83" s="18" cm="1">
        <f t="array" aca="1" ref="FD83" ca="1">IF(ISNA(G83),0,OFFSET(INDIRECT("'"&amp;EM$67&amp;"'!h1"),G83-1,))</f>
        <v>50000</v>
      </c>
      <c r="FE83" s="18"/>
      <c r="FF83" s="18"/>
      <c r="FG83" s="18"/>
      <c r="FH83" s="18"/>
      <c r="FI83" s="18"/>
      <c r="FJ83" s="18"/>
      <c r="FK83" s="18"/>
      <c r="FL83" s="18"/>
      <c r="FM83" s="18"/>
      <c r="FN83" s="18"/>
      <c r="FO83" s="18"/>
      <c r="FP83" s="18"/>
      <c r="FQ83" s="18"/>
      <c r="FW83" s="1"/>
      <c r="FX83" s="5"/>
    </row>
    <row r="84" spans="1:180" x14ac:dyDescent="0.2">
      <c r="A84" t="str" cm="1">
        <f t="array" aca="1" ref="A84" ca="1">INDIRECT($A$67&amp;"!A"&amp;ROW(C84)+$B$65)</f>
        <v>[[2160,8,64]]</v>
      </c>
      <c r="B84" cm="1">
        <f t="array" aca="1" ref="B84" ca="1">INDIRECT($A$67&amp;"!b"&amp;ROW(C84)+$B$65)</f>
        <v>2160</v>
      </c>
      <c r="C84">
        <f t="shared" ca="1" si="27"/>
        <v>62</v>
      </c>
      <c r="D84">
        <v>64</v>
      </c>
      <c r="E84">
        <f t="shared" ca="1" si="28"/>
        <v>48</v>
      </c>
      <c r="F84">
        <f t="shared" ca="1" si="28"/>
        <v>48</v>
      </c>
      <c r="G84">
        <f t="shared" ca="1" si="28"/>
        <v>51</v>
      </c>
      <c r="V84" cm="1">
        <f t="array" aca="1" ref="V84" ca="1">IF(ISNA(E84),,OFFSET(INDIRECT("'"&amp;V$67&amp;"'!d1"),E84-1,))</f>
        <v>164</v>
      </c>
      <c r="W84" cm="1">
        <f t="array" aca="1" ref="W84" ca="1">IF(ISNA(F84),,OFFSET(INDIRECT("'"&amp;W$67&amp;"'!d1"),F84-1,))</f>
        <v>168</v>
      </c>
      <c r="X84" cm="1">
        <f t="array" aca="1" ref="X84" ca="1">IF(ISNA(G84),,OFFSET(INDIRECT("'"&amp;X$67&amp;"'!d1"),G84-1,))</f>
        <v>62</v>
      </c>
      <c r="AM84">
        <f t="shared" ca="1" si="23"/>
        <v>0</v>
      </c>
      <c r="AN84">
        <f t="shared" ca="1" si="23"/>
        <v>0</v>
      </c>
      <c r="AO84">
        <f t="shared" ca="1" si="23"/>
        <v>0</v>
      </c>
      <c r="BD84">
        <f t="shared" ca="1" si="24"/>
        <v>1</v>
      </c>
      <c r="BE84">
        <f t="shared" ca="1" si="24"/>
        <v>1</v>
      </c>
      <c r="BF84">
        <f t="shared" ca="1" si="24"/>
        <v>1</v>
      </c>
      <c r="BU84">
        <f t="shared" ca="1" si="25"/>
        <v>164</v>
      </c>
      <c r="BV84">
        <f t="shared" ca="1" si="25"/>
        <v>168</v>
      </c>
      <c r="BW84">
        <f t="shared" ca="1" si="25"/>
        <v>62</v>
      </c>
      <c r="CL84">
        <f t="shared" ca="1" si="26"/>
        <v>0</v>
      </c>
      <c r="CM84">
        <f t="shared" ca="1" si="26"/>
        <v>0</v>
      </c>
      <c r="CN84">
        <f t="shared" ca="1" si="26"/>
        <v>1</v>
      </c>
      <c r="DC84" t="str" cm="1">
        <f t="array" aca="1" ref="DC84" ca="1">IF(BD84,OFFSET(INDIRECT("'"&amp;DT$67&amp;"'!f1"),E84-1,),"")</f>
        <v>516.5733281616122</v>
      </c>
      <c r="DD84" cm="1">
        <f t="array" aca="1" ref="DD84" ca="1">IF(BE84,OFFSET(INDIRECT("'"&amp;DU$67&amp;"'!f1"),F84-1,),"")</f>
        <v>6338.3674835674401</v>
      </c>
      <c r="DE84" cm="1">
        <f t="array" aca="1" ref="DE84" ca="1">IF(BF84,OFFSET(INDIRECT("'"&amp;DV$67&amp;"'!f1"),G84-1,),"")</f>
        <v>6359.15292170457</v>
      </c>
      <c r="DT84" t="str" cm="1">
        <f t="array" aca="1" ref="DT84" ca="1">IF(CL84,OFFSET(INDIRECT("'"&amp;DT$67&amp;"'!f1"),E84-1,),"")</f>
        <v/>
      </c>
      <c r="DU84" t="str" cm="1">
        <f t="array" aca="1" ref="DU84" ca="1">IF(CM84,OFFSET(INDIRECT("'"&amp;DU$67&amp;"'!f1"),F84-1,),"")</f>
        <v/>
      </c>
      <c r="DV84" cm="1">
        <f t="array" aca="1" ref="DV84" ca="1">IF(CN84,OFFSET(INDIRECT("'"&amp;DV$67&amp;"'!f1"),G84-1,),"")</f>
        <v>6359.15292170457</v>
      </c>
      <c r="EK84" cm="1">
        <f t="array" aca="1" ref="EK84" ca="1">IF(ISNA(E84),0,OFFSET(INDIRECT("'"&amp;EK$67&amp;"'!g1"),E84-1,)*CL84)</f>
        <v>0</v>
      </c>
      <c r="EL84" cm="1">
        <f t="array" aca="1" ref="EL84" ca="1">IF(ISNA(F84),0,OFFSET(INDIRECT("'"&amp;EL$67&amp;"'!g1"),F84-1,)*CM84)</f>
        <v>0</v>
      </c>
      <c r="EM84" cm="1">
        <f t="array" aca="1" ref="EM84" ca="1">IF(ISNA(G84),0,OFFSET(INDIRECT("'"&amp;EM$67&amp;"'!g1"),G84-1,)*CN84)</f>
        <v>25</v>
      </c>
      <c r="FB84" s="18" cm="1">
        <f t="array" aca="1" ref="FB84" ca="1">IF(ISNA(E84),0,OFFSET(INDIRECT("'"&amp;EK$67&amp;"'!h1"),E84-1,))</f>
        <v>1</v>
      </c>
      <c r="FC84" s="18" cm="1">
        <f t="array" aca="1" ref="FC84" ca="1">IF(ISNA(F84),0,OFFSET(INDIRECT("'"&amp;EL$67&amp;"'!h1"),F84-1,))</f>
        <v>50000</v>
      </c>
      <c r="FD84" s="18" cm="1">
        <f t="array" aca="1" ref="FD84" ca="1">IF(ISNA(G84),0,OFFSET(INDIRECT("'"&amp;EM$67&amp;"'!h1"),G84-1,))</f>
        <v>50000</v>
      </c>
      <c r="FE84" s="18"/>
      <c r="FF84" s="18"/>
      <c r="FG84" s="18"/>
      <c r="FH84" s="18"/>
      <c r="FI84" s="18"/>
      <c r="FJ84" s="18"/>
      <c r="FK84" s="18"/>
      <c r="FL84" s="18"/>
      <c r="FM84" s="18"/>
      <c r="FN84" s="18"/>
      <c r="FO84" s="18"/>
      <c r="FP84" s="18"/>
      <c r="FQ84" s="18"/>
      <c r="FW84" s="1"/>
      <c r="FX84" s="5"/>
    </row>
    <row r="85" spans="1:180" x14ac:dyDescent="0.2">
      <c r="A85" t="str" cm="1">
        <f t="array" aca="1" ref="A85" ca="1">INDIRECT($A$67&amp;"!A"&amp;ROW(C85)+$B$65)</f>
        <v>[[2520,8,54]]</v>
      </c>
      <c r="B85" cm="1">
        <f t="array" aca="1" ref="B85" ca="1">INDIRECT($A$67&amp;"!b"&amp;ROW(C85)+$B$65)</f>
        <v>2520</v>
      </c>
      <c r="C85">
        <f t="shared" ca="1" si="27"/>
        <v>52</v>
      </c>
      <c r="D85">
        <v>50</v>
      </c>
      <c r="E85">
        <f t="shared" ca="1" si="28"/>
        <v>49</v>
      </c>
      <c r="F85">
        <f t="shared" ca="1" si="28"/>
        <v>49</v>
      </c>
      <c r="G85">
        <f t="shared" ca="1" si="28"/>
        <v>52</v>
      </c>
      <c r="V85" cm="1">
        <f t="array" aca="1" ref="V85" ca="1">IF(ISNA(E85),,OFFSET(INDIRECT("'"&amp;V$67&amp;"'!d1"),E85-1,))</f>
        <v>66</v>
      </c>
      <c r="W85" cm="1">
        <f t="array" aca="1" ref="W85" ca="1">IF(ISNA(F85),,OFFSET(INDIRECT("'"&amp;W$67&amp;"'!d1"),F85-1,))</f>
        <v>70</v>
      </c>
      <c r="X85" cm="1">
        <f t="array" aca="1" ref="X85" ca="1">IF(ISNA(G85),,OFFSET(INDIRECT("'"&amp;X$67&amp;"'!d1"),G85-1,))</f>
        <v>52</v>
      </c>
      <c r="AM85">
        <f t="shared" ref="AM85:AO87" ca="1" si="29">IF(DC85&gt; $N$3,0,1)</f>
        <v>0</v>
      </c>
      <c r="AN85">
        <f t="shared" ca="1" si="29"/>
        <v>0</v>
      </c>
      <c r="AO85">
        <f t="shared" ca="1" si="29"/>
        <v>0</v>
      </c>
      <c r="BD85">
        <f t="shared" ref="BD85:BF87" ca="1" si="30">IF(AND(V85&gt;0,V85&lt;$B85),1,0)</f>
        <v>1</v>
      </c>
      <c r="BE85">
        <f t="shared" ca="1" si="30"/>
        <v>1</v>
      </c>
      <c r="BF85">
        <f t="shared" ca="1" si="30"/>
        <v>1</v>
      </c>
      <c r="BU85">
        <f t="shared" ref="BU85:BW87" ca="1" si="31">IF(BD85,V85,$B85)</f>
        <v>66</v>
      </c>
      <c r="BV85">
        <f t="shared" ca="1" si="31"/>
        <v>70</v>
      </c>
      <c r="BW85">
        <f t="shared" ca="1" si="31"/>
        <v>52</v>
      </c>
      <c r="CL85">
        <f t="shared" ref="CL85:CN87" ca="1" si="32">IF(BU85=$C85,1,0)</f>
        <v>0</v>
      </c>
      <c r="CM85">
        <f t="shared" ca="1" si="32"/>
        <v>0</v>
      </c>
      <c r="CN85">
        <f t="shared" ca="1" si="32"/>
        <v>1</v>
      </c>
      <c r="DC85" t="str" cm="1">
        <f t="array" aca="1" ref="DC85" ca="1">IF(BD85,OFFSET(INDIRECT("'"&amp;DT$67&amp;"'!f1"),E85-1,),"")</f>
        <v>408.75091727171093</v>
      </c>
      <c r="DD85" cm="1">
        <f t="array" aca="1" ref="DD85" ca="1">IF(BE85,OFFSET(INDIRECT("'"&amp;DU$67&amp;"'!f1"),F85-1,),"")</f>
        <v>6508.0122042009598</v>
      </c>
      <c r="DE85" cm="1">
        <f t="array" aca="1" ref="DE85" ca="1">IF(BF85,OFFSET(INDIRECT("'"&amp;DV$67&amp;"'!f1"),G85-1,),"")</f>
        <v>6464.72508580051</v>
      </c>
      <c r="DT85" t="str" cm="1">
        <f t="array" aca="1" ref="DT85" ca="1">IF(CL85,OFFSET(INDIRECT("'"&amp;DT$67&amp;"'!f1"),E85-1,),"")</f>
        <v/>
      </c>
      <c r="DU85" t="str" cm="1">
        <f t="array" aca="1" ref="DU85" ca="1">IF(CM85,OFFSET(INDIRECT("'"&amp;DU$67&amp;"'!f1"),F85-1,),"")</f>
        <v/>
      </c>
      <c r="DV85" cm="1">
        <f t="array" aca="1" ref="DV85" ca="1">IF(CN85,OFFSET(INDIRECT("'"&amp;DV$67&amp;"'!f1"),G85-1,),"")</f>
        <v>6464.72508580051</v>
      </c>
      <c r="EK85" cm="1">
        <f t="array" aca="1" ref="EK85" ca="1">IF(ISNA(E85),0,OFFSET(INDIRECT("'"&amp;EK$67&amp;"'!g1"),E85-1,)*CL85)</f>
        <v>0</v>
      </c>
      <c r="EL85" cm="1">
        <f t="array" aca="1" ref="EL85" ca="1">IF(ISNA(F85),0,OFFSET(INDIRECT("'"&amp;EL$67&amp;"'!g1"),F85-1,)*CM85)</f>
        <v>0</v>
      </c>
      <c r="EM85" cm="1">
        <f t="array" aca="1" ref="EM85" ca="1">IF(ISNA(G85),0,OFFSET(INDIRECT("'"&amp;EM$67&amp;"'!g1"),G85-1,)*CN85)</f>
        <v>1537</v>
      </c>
      <c r="FB85" s="18" cm="1">
        <f t="array" aca="1" ref="FB85" ca="1">IF(ISNA(E85),0,OFFSET(INDIRECT("'"&amp;EK$67&amp;"'!h1"),E85-1,))</f>
        <v>1</v>
      </c>
      <c r="FC85" s="18" cm="1">
        <f t="array" aca="1" ref="FC85" ca="1">IF(ISNA(F85),0,OFFSET(INDIRECT("'"&amp;EL$67&amp;"'!h1"),F85-1,))</f>
        <v>50000</v>
      </c>
      <c r="FD85" s="18" cm="1">
        <f t="array" aca="1" ref="FD85" ca="1">IF(ISNA(G85),0,OFFSET(INDIRECT("'"&amp;EM$67&amp;"'!h1"),G85-1,))</f>
        <v>50000</v>
      </c>
      <c r="FE85" s="18"/>
      <c r="FF85" s="18"/>
      <c r="FG85" s="18"/>
      <c r="FH85" s="18"/>
      <c r="FI85" s="18"/>
      <c r="FJ85" s="18"/>
      <c r="FK85" s="18"/>
      <c r="FL85" s="18"/>
      <c r="FM85" s="18"/>
      <c r="FN85" s="18"/>
      <c r="FO85" s="18"/>
      <c r="FP85" s="18"/>
      <c r="FQ85" s="18"/>
      <c r="FW85" s="1"/>
      <c r="FX85" s="5"/>
    </row>
    <row r="86" spans="1:180" x14ac:dyDescent="0.2">
      <c r="A86" t="str" cm="1">
        <f t="array" aca="1" ref="A86" ca="1">INDIRECT($A$67&amp;"!A"&amp;ROW(C86)+$B$65)</f>
        <v>[[2592,8,36]]</v>
      </c>
      <c r="B86" cm="1">
        <f t="array" aca="1" ref="B86" ca="1">INDIRECT($A$67&amp;"!b"&amp;ROW(C86)+$B$65)</f>
        <v>2592</v>
      </c>
      <c r="C86">
        <f t="shared" ca="1" si="27"/>
        <v>36</v>
      </c>
      <c r="D86">
        <v>36</v>
      </c>
      <c r="E86">
        <f t="shared" ca="1" si="28"/>
        <v>50</v>
      </c>
      <c r="F86">
        <f t="shared" ref="F86:G87" ca="1" si="33">MATCH($B86,INDIRECT("'"&amp;F$67&amp;"'!b:b"),)</f>
        <v>50</v>
      </c>
      <c r="G86">
        <f t="shared" ca="1" si="33"/>
        <v>53</v>
      </c>
      <c r="V86" cm="1">
        <f t="array" aca="1" ref="V86" ca="1">IF(ISNA(E86),,OFFSET(INDIRECT("'"&amp;V$67&amp;"'!d1"),E86-1,))</f>
        <v>38</v>
      </c>
      <c r="W86" cm="1">
        <f t="array" aca="1" ref="W86" ca="1">IF(ISNA(F86),,OFFSET(INDIRECT("'"&amp;W$67&amp;"'!d1"),F86-1,))</f>
        <v>54</v>
      </c>
      <c r="X86" cm="1">
        <f t="array" aca="1" ref="X86" ca="1">IF(ISNA(G86),,OFFSET(INDIRECT("'"&amp;X$67&amp;"'!d1"),G86-1,))</f>
        <v>36</v>
      </c>
      <c r="AM86">
        <f t="shared" ca="1" si="29"/>
        <v>0</v>
      </c>
      <c r="AN86">
        <f t="shared" ca="1" si="29"/>
        <v>0</v>
      </c>
      <c r="AO86">
        <f t="shared" ca="1" si="29"/>
        <v>0</v>
      </c>
      <c r="BD86">
        <f t="shared" ca="1" si="30"/>
        <v>1</v>
      </c>
      <c r="BE86">
        <f t="shared" ca="1" si="30"/>
        <v>1</v>
      </c>
      <c r="BF86">
        <f t="shared" ca="1" si="30"/>
        <v>1</v>
      </c>
      <c r="BU86">
        <f t="shared" ca="1" si="31"/>
        <v>38</v>
      </c>
      <c r="BV86">
        <f t="shared" ca="1" si="31"/>
        <v>54</v>
      </c>
      <c r="BW86">
        <f t="shared" ca="1" si="31"/>
        <v>36</v>
      </c>
      <c r="CL86">
        <f t="shared" ca="1" si="32"/>
        <v>0</v>
      </c>
      <c r="CM86">
        <f t="shared" ca="1" si="32"/>
        <v>0</v>
      </c>
      <c r="CN86">
        <f t="shared" ca="1" si="32"/>
        <v>1</v>
      </c>
      <c r="DC86" t="str" cm="1">
        <f t="array" aca="1" ref="DC86" ca="1">IF(BD86,OFFSET(INDIRECT("'"&amp;DT$67&amp;"'!f1"),E86-1,),"")</f>
        <v>428.5089987628162</v>
      </c>
      <c r="DD86" cm="1">
        <f t="array" aca="1" ref="DD86" ca="1">IF(BE86,OFFSET(INDIRECT("'"&amp;DU$67&amp;"'!f1"),F86-1,),"")</f>
        <v>7062.8844740437298</v>
      </c>
      <c r="DE86" cm="1">
        <f t="array" aca="1" ref="DE86" ca="1">IF(BF86,OFFSET(INDIRECT("'"&amp;DV$67&amp;"'!f1"),G86-1,),"")</f>
        <v>6983.47319073788</v>
      </c>
      <c r="DT86" t="str" cm="1">
        <f t="array" aca="1" ref="DT86" ca="1">IF(CL86,OFFSET(INDIRECT("'"&amp;DT$67&amp;"'!f1"),E86-1,),"")</f>
        <v/>
      </c>
      <c r="DU86" t="str" cm="1">
        <f t="array" aca="1" ref="DU86" ca="1">IF(CM86,OFFSET(INDIRECT("'"&amp;DU$67&amp;"'!f1"),F86-1,),"")</f>
        <v/>
      </c>
      <c r="DV86" cm="1">
        <f t="array" aca="1" ref="DV86" ca="1">IF(CN86,OFFSET(INDIRECT("'"&amp;DV$67&amp;"'!f1"),G86-1,),"")</f>
        <v>6983.47319073788</v>
      </c>
      <c r="EK86" cm="1">
        <f t="array" aca="1" ref="EK86" ca="1">IF(ISNA(E86),0,OFFSET(INDIRECT("'"&amp;EK$67&amp;"'!g1"),E86-1,)*CL86)</f>
        <v>0</v>
      </c>
      <c r="EL86" cm="1">
        <f t="array" aca="1" ref="EL86" ca="1">IF(ISNA(F86),0,OFFSET(INDIRECT("'"&amp;EL$67&amp;"'!g1"),F86-1,)*CM86)</f>
        <v>0</v>
      </c>
      <c r="EM86" cm="1">
        <f t="array" aca="1" ref="EM86" ca="1">IF(ISNA(G86),0,OFFSET(INDIRECT("'"&amp;EM$67&amp;"'!g1"),G86-1,)*CN86)</f>
        <v>10724</v>
      </c>
      <c r="FB86" s="18" cm="1">
        <f t="array" aca="1" ref="FB86" ca="1">IF(ISNA(E86),0,OFFSET(INDIRECT("'"&amp;EK$67&amp;"'!h1"),E86-1,))</f>
        <v>1</v>
      </c>
      <c r="FC86" s="18" cm="1">
        <f t="array" aca="1" ref="FC86" ca="1">IF(ISNA(F86),0,OFFSET(INDIRECT("'"&amp;EL$67&amp;"'!h1"),F86-1,))</f>
        <v>50000</v>
      </c>
      <c r="FD86" s="18" cm="1">
        <f t="array" aca="1" ref="FD86" ca="1">IF(ISNA(G86),0,OFFSET(INDIRECT("'"&amp;EM$67&amp;"'!h1"),G86-1,))</f>
        <v>50000</v>
      </c>
      <c r="FE86" s="18"/>
      <c r="FF86" s="18"/>
      <c r="FG86" s="18"/>
      <c r="FH86" s="18"/>
      <c r="FI86" s="18"/>
      <c r="FJ86" s="18"/>
      <c r="FK86" s="18"/>
      <c r="FL86" s="18"/>
      <c r="FM86" s="18"/>
      <c r="FN86" s="18"/>
      <c r="FO86" s="18"/>
      <c r="FP86" s="18"/>
      <c r="FQ86" s="18"/>
      <c r="FW86" s="1"/>
      <c r="FX86" s="5"/>
    </row>
    <row r="87" spans="1:180" x14ac:dyDescent="0.2">
      <c r="A87" t="str" cm="1">
        <f t="array" aca="1" ref="A87" ca="1">INDIRECT($A$67&amp;"!A"&amp;ROW(C87)+$B$65)</f>
        <v>[[3024,4,84]]</v>
      </c>
      <c r="B87" cm="1">
        <f t="array" aca="1" ref="B87" ca="1">INDIRECT($A$67&amp;"!b"&amp;ROW(C87)+$B$65)</f>
        <v>3024</v>
      </c>
      <c r="C87">
        <f t="shared" ca="1" si="27"/>
        <v>86</v>
      </c>
      <c r="D87">
        <v>78</v>
      </c>
      <c r="E87">
        <f t="shared" ca="1" si="28"/>
        <v>51</v>
      </c>
      <c r="F87">
        <f t="shared" ca="1" si="33"/>
        <v>51</v>
      </c>
      <c r="G87">
        <f t="shared" ca="1" si="33"/>
        <v>54</v>
      </c>
      <c r="V87" cm="1">
        <f t="array" aca="1" ref="V87" ca="1">IF(ISNA(E87),,OFFSET(INDIRECT("'"&amp;V$67&amp;"'!d1"),E87-1,))</f>
        <v>156</v>
      </c>
      <c r="W87" cm="1">
        <f t="array" aca="1" ref="W87" ca="1">IF(ISNA(F87),,OFFSET(INDIRECT("'"&amp;W$67&amp;"'!d1"),F87-1,))</f>
        <v>154</v>
      </c>
      <c r="X87" cm="1">
        <f t="array" aca="1" ref="X87" ca="1">IF(ISNA(G87),,OFFSET(INDIRECT("'"&amp;X$67&amp;"'!d1"),G87-1,))</f>
        <v>86</v>
      </c>
      <c r="AM87">
        <f t="shared" ca="1" si="29"/>
        <v>0</v>
      </c>
      <c r="AN87">
        <f t="shared" ca="1" si="29"/>
        <v>0</v>
      </c>
      <c r="AO87">
        <f t="shared" ca="1" si="29"/>
        <v>0</v>
      </c>
      <c r="BD87">
        <f t="shared" ca="1" si="30"/>
        <v>1</v>
      </c>
      <c r="BE87">
        <f t="shared" ca="1" si="30"/>
        <v>1</v>
      </c>
      <c r="BF87">
        <f t="shared" ca="1" si="30"/>
        <v>1</v>
      </c>
      <c r="BU87">
        <f t="shared" ca="1" si="31"/>
        <v>156</v>
      </c>
      <c r="BV87">
        <f t="shared" ca="1" si="31"/>
        <v>154</v>
      </c>
      <c r="BW87">
        <f t="shared" ca="1" si="31"/>
        <v>86</v>
      </c>
      <c r="CL87">
        <f t="shared" ca="1" si="32"/>
        <v>0</v>
      </c>
      <c r="CM87">
        <f t="shared" ca="1" si="32"/>
        <v>0</v>
      </c>
      <c r="CN87">
        <f t="shared" ca="1" si="32"/>
        <v>1</v>
      </c>
      <c r="DC87" t="str" cm="1">
        <f t="array" aca="1" ref="DC87" ca="1">IF(BD87,OFFSET(INDIRECT("'"&amp;DT$67&amp;"'!f1"),E87-1,),"")</f>
        <v>1023.7913884082809</v>
      </c>
      <c r="DD87" cm="1">
        <f t="array" aca="1" ref="DD87" ca="1">IF(BE87,OFFSET(INDIRECT("'"&amp;DU$67&amp;"'!f1"),F87-1,),"")</f>
        <v>13805.927211676701</v>
      </c>
      <c r="DE87" cm="1">
        <f t="array" aca="1" ref="DE87" ca="1">IF(BF87,OFFSET(INDIRECT("'"&amp;DV$67&amp;"'!f1"),G87-1,),"")</f>
        <v>12529.852551341</v>
      </c>
      <c r="DT87" t="str" cm="1">
        <f t="array" aca="1" ref="DT87" ca="1">IF(CL87,OFFSET(INDIRECT("'"&amp;DT$67&amp;"'!f1"),E87-1,),"")</f>
        <v/>
      </c>
      <c r="DU87" t="str" cm="1">
        <f t="array" aca="1" ref="DU87" ca="1">IF(CM87,OFFSET(INDIRECT("'"&amp;DU$67&amp;"'!f1"),F87-1,),"")</f>
        <v/>
      </c>
      <c r="DV87" cm="1">
        <f t="array" aca="1" ref="DV87" ca="1">IF(CN87,OFFSET(INDIRECT("'"&amp;DV$67&amp;"'!f1"),G87-1,),"")</f>
        <v>12529.852551341</v>
      </c>
      <c r="EK87" cm="1">
        <f t="array" aca="1" ref="EK87" ca="1">IF(ISNA(E87),0,OFFSET(INDIRECT("'"&amp;EK$67&amp;"'!g1"),E87-1,)*CL87)</f>
        <v>0</v>
      </c>
      <c r="EL87" cm="1">
        <f t="array" aca="1" ref="EL87" ca="1">IF(ISNA(F87),0,OFFSET(INDIRECT("'"&amp;EL$67&amp;"'!g1"),F87-1,)*CM87)</f>
        <v>0</v>
      </c>
      <c r="EM87" cm="1">
        <f t="array" aca="1" ref="EM87" ca="1">IF(ISNA(G87),0,OFFSET(INDIRECT("'"&amp;EM$67&amp;"'!g1"),G87-1,)*CN87)</f>
        <v>1</v>
      </c>
      <c r="FB87" s="18" cm="1">
        <f t="array" aca="1" ref="FB87" ca="1">IF(ISNA(E87),0,OFFSET(INDIRECT("'"&amp;EK$67&amp;"'!h1"),E87-1,))</f>
        <v>1</v>
      </c>
      <c r="FC87" s="18" cm="1">
        <f t="array" aca="1" ref="FC87" ca="1">IF(ISNA(F87),0,OFFSET(INDIRECT("'"&amp;EL$67&amp;"'!h1"),F87-1,))</f>
        <v>50000</v>
      </c>
      <c r="FD87" s="18" cm="1">
        <f t="array" aca="1" ref="FD87" ca="1">IF(ISNA(G87),0,OFFSET(INDIRECT("'"&amp;EM$67&amp;"'!h1"),G87-1,))</f>
        <v>50000</v>
      </c>
      <c r="FE87" s="18"/>
      <c r="FF87" s="18"/>
      <c r="FG87" s="18"/>
      <c r="FH87" s="18"/>
      <c r="FI87" s="18"/>
      <c r="FJ87" s="18"/>
      <c r="FK87" s="18"/>
      <c r="FL87" s="18"/>
      <c r="FM87" s="18"/>
      <c r="FN87" s="18"/>
      <c r="FO87" s="18"/>
      <c r="FP87" s="18"/>
      <c r="FQ87" s="18"/>
      <c r="FW87" s="1"/>
      <c r="FX87" s="5"/>
    </row>
    <row r="88" spans="1:180" x14ac:dyDescent="0.2">
      <c r="FB88" s="18"/>
      <c r="FC88" s="18"/>
      <c r="FD88" s="18"/>
      <c r="FE88" s="18"/>
      <c r="FF88" s="18"/>
      <c r="FG88" s="18"/>
      <c r="FH88" s="18"/>
      <c r="FI88" s="18"/>
      <c r="FJ88" s="18"/>
      <c r="FK88" s="18"/>
      <c r="FL88" s="18"/>
      <c r="FM88" s="18"/>
      <c r="FN88" s="18"/>
      <c r="FO88" s="18"/>
      <c r="FP88" s="18"/>
      <c r="FQ88" s="18"/>
      <c r="FW88" s="1"/>
      <c r="FX88" s="5"/>
    </row>
    <row r="89" spans="1:180" x14ac:dyDescent="0.2">
      <c r="FB89" s="18"/>
      <c r="FC89" s="18"/>
      <c r="FD89" s="18"/>
      <c r="FE89" s="18"/>
      <c r="FF89" s="18"/>
      <c r="FG89" s="18"/>
      <c r="FH89" s="18"/>
      <c r="FI89" s="18"/>
      <c r="FJ89" s="18"/>
      <c r="FK89" s="18"/>
      <c r="FL89" s="18"/>
      <c r="FM89" s="18"/>
      <c r="FN89" s="18"/>
      <c r="FO89" s="18"/>
      <c r="FP89" s="18"/>
      <c r="FQ89" s="18"/>
      <c r="FW89" s="1"/>
      <c r="FX89" s="5"/>
    </row>
    <row r="90" spans="1:180" x14ac:dyDescent="0.2">
      <c r="FB90" s="18"/>
      <c r="FC90" s="18"/>
      <c r="FD90" s="18"/>
      <c r="FE90" s="18"/>
      <c r="FF90" s="18"/>
      <c r="FG90" s="18"/>
      <c r="FH90" s="18"/>
      <c r="FI90" s="18"/>
      <c r="FJ90" s="18"/>
      <c r="FK90" s="18"/>
      <c r="FL90" s="18"/>
      <c r="FM90" s="18"/>
      <c r="FN90" s="18"/>
      <c r="FO90" s="18"/>
      <c r="FP90" s="18"/>
      <c r="FQ90" s="18"/>
      <c r="FW90" s="1"/>
      <c r="FX90" s="5"/>
    </row>
    <row r="91" spans="1:180" x14ac:dyDescent="0.2">
      <c r="FB91" s="18"/>
      <c r="FC91" s="18"/>
      <c r="FD91" s="18"/>
      <c r="FE91" s="18"/>
      <c r="FF91" s="18"/>
      <c r="FG91" s="18"/>
      <c r="FH91" s="18"/>
      <c r="FI91" s="18"/>
      <c r="FJ91" s="18"/>
      <c r="FK91" s="18"/>
      <c r="FL91" s="18"/>
      <c r="FM91" s="18"/>
      <c r="FN91" s="18"/>
      <c r="FO91" s="18"/>
      <c r="FP91" s="18"/>
      <c r="FQ91" s="18"/>
      <c r="FW91" s="1"/>
      <c r="FX91" s="5"/>
    </row>
    <row r="92" spans="1:180" x14ac:dyDescent="0.2">
      <c r="FB92" s="18"/>
      <c r="FC92" s="18"/>
      <c r="FD92" s="18"/>
      <c r="FE92" s="18"/>
      <c r="FF92" s="18"/>
      <c r="FG92" s="18"/>
      <c r="FH92" s="18"/>
      <c r="FI92" s="18"/>
      <c r="FJ92" s="18"/>
      <c r="FK92" s="18"/>
      <c r="FL92" s="18"/>
      <c r="FM92" s="18"/>
      <c r="FN92" s="18"/>
      <c r="FO92" s="18"/>
      <c r="FP92" s="18"/>
      <c r="FQ92" s="18"/>
      <c r="FW92" s="1"/>
      <c r="FX92" s="5"/>
    </row>
    <row r="93" spans="1:180" x14ac:dyDescent="0.2">
      <c r="FB93" s="18"/>
      <c r="FC93" s="18"/>
      <c r="FD93" s="18"/>
      <c r="FE93" s="18"/>
      <c r="FF93" s="18"/>
      <c r="FG93" s="18"/>
      <c r="FH93" s="18"/>
      <c r="FI93" s="18"/>
      <c r="FJ93" s="18"/>
      <c r="FK93" s="18"/>
      <c r="FL93" s="18"/>
      <c r="FM93" s="18"/>
      <c r="FN93" s="18"/>
      <c r="FO93" s="18"/>
      <c r="FP93" s="18"/>
      <c r="FQ93" s="18"/>
      <c r="FW93" s="1"/>
      <c r="FX93" s="5"/>
    </row>
    <row r="94" spans="1:180" x14ac:dyDescent="0.2">
      <c r="FB94" s="18"/>
      <c r="FC94" s="18"/>
      <c r="FD94" s="18"/>
      <c r="FE94" s="18"/>
      <c r="FF94" s="18"/>
      <c r="FG94" s="18"/>
      <c r="FH94" s="18"/>
      <c r="FI94" s="18"/>
      <c r="FJ94" s="18"/>
      <c r="FK94" s="18"/>
      <c r="FL94" s="18"/>
      <c r="FM94" s="18"/>
      <c r="FN94" s="18"/>
      <c r="FO94" s="18"/>
      <c r="FP94" s="18"/>
      <c r="FQ94" s="18"/>
      <c r="FW94" s="1"/>
      <c r="FX94" s="5"/>
    </row>
    <row r="95" spans="1:180" x14ac:dyDescent="0.2">
      <c r="FB95" s="18"/>
      <c r="FC95" s="18"/>
      <c r="FD95" s="18"/>
      <c r="FE95" s="18"/>
      <c r="FF95" s="18"/>
      <c r="FG95" s="18"/>
      <c r="FH95" s="18"/>
      <c r="FI95" s="18"/>
      <c r="FJ95" s="18"/>
      <c r="FK95" s="18"/>
      <c r="FL95" s="18"/>
      <c r="FM95" s="18"/>
      <c r="FN95" s="18"/>
      <c r="FO95" s="18"/>
      <c r="FP95" s="18"/>
      <c r="FQ95" s="18"/>
      <c r="FW95" s="1"/>
      <c r="FX95" s="5"/>
    </row>
    <row r="96" spans="1:180" x14ac:dyDescent="0.2">
      <c r="FB96" s="18"/>
      <c r="FC96" s="18"/>
      <c r="FD96" s="18"/>
      <c r="FE96" s="18"/>
      <c r="FF96" s="18"/>
      <c r="FG96" s="18"/>
      <c r="FH96" s="18"/>
      <c r="FI96" s="18"/>
      <c r="FJ96" s="18"/>
      <c r="FK96" s="18"/>
      <c r="FL96" s="18"/>
      <c r="FM96" s="18"/>
      <c r="FN96" s="18"/>
      <c r="FO96" s="18"/>
      <c r="FP96" s="18"/>
      <c r="FQ96" s="18"/>
      <c r="FW96" s="1"/>
      <c r="FX96" s="5"/>
    </row>
    <row r="97" spans="158:180" x14ac:dyDescent="0.2">
      <c r="FB97" s="18"/>
      <c r="FC97" s="18"/>
      <c r="FD97" s="18"/>
      <c r="FE97" s="18"/>
      <c r="FF97" s="18"/>
      <c r="FG97" s="18"/>
      <c r="FH97" s="18"/>
      <c r="FI97" s="18"/>
      <c r="FJ97" s="18"/>
      <c r="FK97" s="18"/>
      <c r="FL97" s="18"/>
      <c r="FM97" s="18"/>
      <c r="FN97" s="18"/>
      <c r="FO97" s="18"/>
      <c r="FP97" s="18"/>
      <c r="FQ97" s="18"/>
      <c r="FW97" s="1"/>
      <c r="FX97" s="5"/>
    </row>
    <row r="98" spans="158:180" x14ac:dyDescent="0.2">
      <c r="FB98" s="18"/>
      <c r="FC98" s="18"/>
      <c r="FD98" s="18"/>
      <c r="FE98" s="18"/>
      <c r="FF98" s="18"/>
      <c r="FG98" s="18"/>
      <c r="FH98" s="18"/>
      <c r="FI98" s="18"/>
      <c r="FJ98" s="18"/>
      <c r="FK98" s="18"/>
      <c r="FL98" s="18"/>
      <c r="FM98" s="18"/>
      <c r="FN98" s="18"/>
      <c r="FO98" s="18"/>
      <c r="FP98" s="18"/>
      <c r="FQ98" s="18"/>
      <c r="FW98" s="1"/>
      <c r="FX98" s="5"/>
    </row>
    <row r="99" spans="158:180" x14ac:dyDescent="0.2">
      <c r="FB99" s="18"/>
      <c r="FC99" s="18"/>
      <c r="FD99" s="18"/>
      <c r="FE99" s="18"/>
      <c r="FF99" s="18"/>
      <c r="FG99" s="18"/>
      <c r="FH99" s="18"/>
      <c r="FI99" s="18"/>
      <c r="FJ99" s="18"/>
      <c r="FK99" s="18"/>
      <c r="FL99" s="18"/>
      <c r="FM99" s="18"/>
      <c r="FN99" s="18"/>
      <c r="FO99" s="18"/>
      <c r="FP99" s="18"/>
      <c r="FQ99" s="18"/>
      <c r="FW99" s="1"/>
      <c r="FX99" s="5"/>
    </row>
    <row r="100" spans="158:180" x14ac:dyDescent="0.2">
      <c r="FB100" s="18"/>
      <c r="FC100" s="18"/>
      <c r="FD100" s="18"/>
      <c r="FE100" s="18"/>
      <c r="FF100" s="18"/>
      <c r="FG100" s="18"/>
      <c r="FH100" s="18"/>
      <c r="FI100" s="18"/>
      <c r="FJ100" s="18"/>
      <c r="FK100" s="18"/>
      <c r="FL100" s="18"/>
      <c r="FM100" s="18"/>
      <c r="FN100" s="18"/>
      <c r="FO100" s="18"/>
      <c r="FP100" s="18"/>
      <c r="FQ100" s="18"/>
      <c r="FW100" s="1"/>
      <c r="FX100" s="5"/>
    </row>
    <row r="101" spans="158:180" x14ac:dyDescent="0.2">
      <c r="FB101" s="18"/>
      <c r="FC101" s="18"/>
      <c r="FD101" s="18"/>
      <c r="FE101" s="18"/>
      <c r="FF101" s="18"/>
      <c r="FG101" s="18"/>
      <c r="FH101" s="18"/>
      <c r="FI101" s="18"/>
      <c r="FJ101" s="18"/>
      <c r="FK101" s="18"/>
      <c r="FL101" s="18"/>
      <c r="FM101" s="18"/>
      <c r="FN101" s="18"/>
      <c r="FO101" s="18"/>
      <c r="FP101" s="18"/>
      <c r="FQ101" s="18"/>
      <c r="FW101" s="1"/>
      <c r="FX101" s="5"/>
    </row>
    <row r="102" spans="158:180" x14ac:dyDescent="0.2">
      <c r="FB102" s="18"/>
      <c r="FC102" s="18"/>
      <c r="FD102" s="18"/>
      <c r="FE102" s="18"/>
      <c r="FF102" s="18"/>
      <c r="FG102" s="18"/>
      <c r="FH102" s="18"/>
      <c r="FI102" s="18"/>
      <c r="FJ102" s="18"/>
      <c r="FK102" s="18"/>
      <c r="FL102" s="18"/>
      <c r="FM102" s="18"/>
      <c r="FN102" s="18"/>
      <c r="FO102" s="18"/>
      <c r="FP102" s="18"/>
      <c r="FQ102" s="18"/>
      <c r="FW102" s="1"/>
      <c r="FX102" s="5"/>
    </row>
    <row r="103" spans="158:180" x14ac:dyDescent="0.2">
      <c r="FB103" s="18"/>
      <c r="FC103" s="18"/>
      <c r="FD103" s="18"/>
      <c r="FE103" s="18"/>
      <c r="FF103" s="18"/>
      <c r="FG103" s="18"/>
      <c r="FH103" s="18"/>
      <c r="FI103" s="18"/>
      <c r="FJ103" s="18"/>
      <c r="FK103" s="18"/>
      <c r="FL103" s="18"/>
      <c r="FM103" s="18"/>
      <c r="FN103" s="18"/>
      <c r="FO103" s="18"/>
      <c r="FP103" s="18"/>
      <c r="FQ103" s="18"/>
      <c r="FW103" s="1"/>
      <c r="FX103" s="5"/>
    </row>
    <row r="104" spans="158:180" x14ac:dyDescent="0.2">
      <c r="FB104" s="18"/>
      <c r="FC104" s="18"/>
      <c r="FD104" s="18"/>
      <c r="FE104" s="18"/>
      <c r="FF104" s="18"/>
      <c r="FG104" s="18"/>
      <c r="FH104" s="18"/>
      <c r="FI104" s="18"/>
      <c r="FJ104" s="18"/>
      <c r="FK104" s="18"/>
      <c r="FL104" s="18"/>
      <c r="FM104" s="18"/>
      <c r="FN104" s="18"/>
      <c r="FO104" s="18"/>
      <c r="FP104" s="18"/>
      <c r="FQ104" s="18"/>
      <c r="FW104" s="1"/>
      <c r="FX104" s="5"/>
    </row>
    <row r="105" spans="158:180" x14ac:dyDescent="0.2">
      <c r="FB105" s="18"/>
      <c r="FC105" s="18"/>
      <c r="FD105" s="18"/>
      <c r="FE105" s="18"/>
      <c r="FF105" s="18"/>
      <c r="FG105" s="18"/>
      <c r="FH105" s="18"/>
      <c r="FI105" s="18"/>
      <c r="FJ105" s="18"/>
      <c r="FK105" s="18"/>
      <c r="FL105" s="18"/>
      <c r="FM105" s="18"/>
      <c r="FN105" s="18"/>
      <c r="FO105" s="18"/>
      <c r="FP105" s="18"/>
      <c r="FQ105" s="18"/>
      <c r="FW105" s="1"/>
      <c r="FX105" s="5"/>
    </row>
    <row r="106" spans="158:180" x14ac:dyDescent="0.2">
      <c r="FB106" s="18"/>
      <c r="FC106" s="18"/>
      <c r="FD106" s="18"/>
      <c r="FE106" s="18"/>
      <c r="FF106" s="18"/>
      <c r="FG106" s="18"/>
      <c r="FH106" s="18"/>
      <c r="FI106" s="18"/>
      <c r="FJ106" s="18"/>
      <c r="FK106" s="18"/>
      <c r="FL106" s="18"/>
      <c r="FM106" s="18"/>
      <c r="FN106" s="18"/>
      <c r="FO106" s="18"/>
      <c r="FP106" s="18"/>
      <c r="FQ106" s="18"/>
      <c r="FW106" s="1"/>
      <c r="FX106" s="5"/>
    </row>
    <row r="107" spans="158:180" x14ac:dyDescent="0.2">
      <c r="FB107" s="18"/>
      <c r="FC107" s="18"/>
      <c r="FD107" s="18"/>
      <c r="FE107" s="18"/>
      <c r="FF107" s="18"/>
      <c r="FG107" s="18"/>
      <c r="FH107" s="18"/>
      <c r="FI107" s="18"/>
      <c r="FJ107" s="18"/>
      <c r="FK107" s="18"/>
      <c r="FL107" s="18"/>
      <c r="FM107" s="18"/>
      <c r="FN107" s="18"/>
      <c r="FO107" s="18"/>
      <c r="FP107" s="18"/>
      <c r="FQ107" s="18"/>
      <c r="FW107" s="1"/>
      <c r="FX107" s="5"/>
    </row>
    <row r="108" spans="158:180" x14ac:dyDescent="0.2">
      <c r="FB108" s="18"/>
      <c r="FC108" s="18"/>
      <c r="FD108" s="18"/>
      <c r="FE108" s="18"/>
      <c r="FF108" s="18"/>
      <c r="FG108" s="18"/>
      <c r="FH108" s="18"/>
      <c r="FI108" s="18"/>
      <c r="FJ108" s="18"/>
      <c r="FK108" s="18"/>
      <c r="FL108" s="18"/>
      <c r="FM108" s="18"/>
      <c r="FN108" s="18"/>
      <c r="FO108" s="18"/>
      <c r="FP108" s="18"/>
      <c r="FQ108" s="18"/>
      <c r="FW108" s="1"/>
      <c r="FX108" s="5"/>
    </row>
    <row r="109" spans="158:180" x14ac:dyDescent="0.2">
      <c r="FB109" s="18"/>
      <c r="FC109" s="18"/>
      <c r="FD109" s="18"/>
      <c r="FE109" s="18"/>
      <c r="FF109" s="18"/>
      <c r="FG109" s="18"/>
      <c r="FH109" s="18"/>
      <c r="FI109" s="18"/>
      <c r="FJ109" s="18"/>
      <c r="FK109" s="18"/>
      <c r="FL109" s="18"/>
      <c r="FM109" s="18"/>
      <c r="FN109" s="18"/>
      <c r="FO109" s="18"/>
      <c r="FP109" s="18"/>
      <c r="FQ109" s="18"/>
      <c r="FW109" s="1"/>
      <c r="FX109" s="5"/>
    </row>
    <row r="110" spans="158:180" x14ac:dyDescent="0.2">
      <c r="FB110" s="18"/>
      <c r="FC110" s="18"/>
      <c r="FD110" s="18"/>
      <c r="FE110" s="18"/>
      <c r="FF110" s="18"/>
      <c r="FG110" s="18"/>
      <c r="FH110" s="18"/>
      <c r="FI110" s="18"/>
      <c r="FJ110" s="18"/>
      <c r="FK110" s="18"/>
      <c r="FL110" s="18"/>
      <c r="FM110" s="18"/>
      <c r="FN110" s="18"/>
      <c r="FO110" s="18"/>
      <c r="FP110" s="18"/>
      <c r="FQ110" s="18"/>
      <c r="FW110" s="1"/>
      <c r="FX110" s="5"/>
    </row>
    <row r="111" spans="158:180" x14ac:dyDescent="0.2">
      <c r="FB111" s="18"/>
      <c r="FC111" s="18"/>
      <c r="FD111" s="18"/>
      <c r="FE111" s="18"/>
      <c r="FF111" s="18"/>
      <c r="FG111" s="18"/>
      <c r="FH111" s="18"/>
      <c r="FI111" s="18"/>
      <c r="FJ111" s="18"/>
      <c r="FK111" s="18"/>
      <c r="FL111" s="18"/>
      <c r="FM111" s="18"/>
      <c r="FN111" s="18"/>
      <c r="FO111" s="18"/>
      <c r="FP111" s="18"/>
      <c r="FQ111" s="18"/>
      <c r="FW111" s="1"/>
      <c r="FX111" s="5"/>
    </row>
    <row r="112" spans="158:180" x14ac:dyDescent="0.2">
      <c r="FB112" s="18"/>
      <c r="FC112" s="18"/>
      <c r="FD112" s="18"/>
      <c r="FE112" s="18"/>
      <c r="FF112" s="18"/>
      <c r="FG112" s="18"/>
      <c r="FH112" s="18"/>
      <c r="FI112" s="18"/>
      <c r="FJ112" s="18"/>
      <c r="FK112" s="18"/>
      <c r="FL112" s="18"/>
      <c r="FM112" s="18"/>
      <c r="FN112" s="18"/>
      <c r="FO112" s="18"/>
      <c r="FP112" s="18"/>
      <c r="FQ112" s="18"/>
      <c r="FW112" s="1"/>
      <c r="FX112" s="5"/>
    </row>
    <row r="113" spans="158:180" x14ac:dyDescent="0.2">
      <c r="FB113" s="18"/>
      <c r="FC113" s="18"/>
      <c r="FD113" s="18"/>
      <c r="FE113" s="18"/>
      <c r="FF113" s="18"/>
      <c r="FG113" s="18"/>
      <c r="FH113" s="18"/>
      <c r="FI113" s="18"/>
      <c r="FJ113" s="18"/>
      <c r="FK113" s="18"/>
      <c r="FL113" s="18"/>
      <c r="FM113" s="18"/>
      <c r="FN113" s="18"/>
      <c r="FO113" s="18"/>
      <c r="FP113" s="18"/>
      <c r="FQ113" s="18"/>
      <c r="FW113" s="1"/>
      <c r="FX113" s="5"/>
    </row>
    <row r="114" spans="158:180" x14ac:dyDescent="0.2">
      <c r="FB114" s="18"/>
      <c r="FC114" s="18"/>
      <c r="FD114" s="18"/>
      <c r="FE114" s="18"/>
      <c r="FF114" s="18"/>
      <c r="FG114" s="18"/>
      <c r="FH114" s="18"/>
      <c r="FI114" s="18"/>
      <c r="FJ114" s="18"/>
      <c r="FK114" s="18"/>
      <c r="FL114" s="18"/>
      <c r="FM114" s="18"/>
      <c r="FN114" s="18"/>
      <c r="FO114" s="18"/>
      <c r="FP114" s="18"/>
      <c r="FQ114" s="18"/>
      <c r="FW114" s="1"/>
      <c r="FX114" s="5"/>
    </row>
    <row r="115" spans="158:180" x14ac:dyDescent="0.2">
      <c r="FB115" s="18"/>
      <c r="FC115" s="18"/>
      <c r="FD115" s="18"/>
      <c r="FE115" s="18"/>
      <c r="FF115" s="18"/>
      <c r="FG115" s="18"/>
      <c r="FH115" s="18"/>
      <c r="FI115" s="18"/>
      <c r="FJ115" s="18"/>
      <c r="FK115" s="18"/>
      <c r="FL115" s="18"/>
      <c r="FM115" s="18"/>
      <c r="FN115" s="18"/>
      <c r="FO115" s="18"/>
      <c r="FP115" s="18"/>
      <c r="FQ115" s="18"/>
      <c r="FW115" s="1"/>
      <c r="FX115" s="5"/>
    </row>
    <row r="116" spans="158:180" x14ac:dyDescent="0.2">
      <c r="FB116" s="18"/>
      <c r="FC116" s="18"/>
      <c r="FD116" s="18"/>
      <c r="FE116" s="18"/>
      <c r="FF116" s="18"/>
      <c r="FG116" s="18"/>
      <c r="FH116" s="18"/>
      <c r="FI116" s="18"/>
      <c r="FJ116" s="18"/>
      <c r="FK116" s="18"/>
      <c r="FL116" s="18"/>
      <c r="FM116" s="18"/>
      <c r="FN116" s="18"/>
      <c r="FO116" s="18"/>
      <c r="FP116" s="18"/>
      <c r="FQ116" s="18"/>
      <c r="FW116" s="1"/>
      <c r="FX116" s="5"/>
    </row>
    <row r="117" spans="158:180" x14ac:dyDescent="0.2">
      <c r="FB117" s="18"/>
      <c r="FC117" s="18"/>
      <c r="FD117" s="18"/>
      <c r="FE117" s="18"/>
      <c r="FF117" s="18"/>
      <c r="FG117" s="18"/>
      <c r="FH117" s="18"/>
      <c r="FI117" s="18"/>
      <c r="FJ117" s="18"/>
      <c r="FK117" s="18"/>
      <c r="FL117" s="18"/>
      <c r="FM117" s="18"/>
      <c r="FN117" s="18"/>
      <c r="FO117" s="18"/>
      <c r="FP117" s="18"/>
      <c r="FQ117" s="18"/>
      <c r="FW117" s="1"/>
      <c r="FX117" s="5"/>
    </row>
    <row r="118" spans="158:180" x14ac:dyDescent="0.2">
      <c r="FB118" s="18"/>
      <c r="FC118" s="18"/>
      <c r="FD118" s="18"/>
      <c r="FE118" s="18"/>
      <c r="FF118" s="18"/>
      <c r="FG118" s="18"/>
      <c r="FH118" s="18"/>
      <c r="FI118" s="18"/>
      <c r="FJ118" s="18"/>
      <c r="FK118" s="18"/>
      <c r="FL118" s="18"/>
      <c r="FM118" s="18"/>
      <c r="FN118" s="18"/>
      <c r="FO118" s="18"/>
      <c r="FP118" s="18"/>
      <c r="FQ118" s="18"/>
      <c r="FW118" s="1"/>
      <c r="FX118" s="5"/>
    </row>
    <row r="119" spans="158:180" x14ac:dyDescent="0.2">
      <c r="FB119" s="18"/>
      <c r="FC119" s="18"/>
      <c r="FD119" s="18"/>
      <c r="FE119" s="18"/>
      <c r="FF119" s="18"/>
      <c r="FG119" s="18"/>
      <c r="FH119" s="18"/>
      <c r="FI119" s="18"/>
      <c r="FJ119" s="18"/>
      <c r="FK119" s="18"/>
      <c r="FL119" s="18"/>
      <c r="FM119" s="18"/>
      <c r="FN119" s="18"/>
      <c r="FO119" s="18"/>
      <c r="FP119" s="18"/>
      <c r="FQ119" s="18"/>
      <c r="FW119" s="1"/>
      <c r="FX119" s="5"/>
    </row>
    <row r="120" spans="158:180" x14ac:dyDescent="0.2">
      <c r="FB120" s="18"/>
      <c r="FC120" s="18"/>
      <c r="FD120" s="18"/>
      <c r="FE120" s="18"/>
      <c r="FF120" s="18"/>
      <c r="FG120" s="18"/>
      <c r="FH120" s="18"/>
      <c r="FI120" s="18"/>
      <c r="FJ120" s="18"/>
      <c r="FK120" s="18"/>
      <c r="FL120" s="18"/>
      <c r="FM120" s="18"/>
      <c r="FN120" s="18"/>
      <c r="FO120" s="18"/>
      <c r="FP120" s="18"/>
      <c r="FQ120" s="18"/>
      <c r="FW120" s="1"/>
      <c r="FX120" s="5"/>
    </row>
    <row r="121" spans="158:180" x14ac:dyDescent="0.2">
      <c r="FB121" s="18"/>
      <c r="FC121" s="18"/>
      <c r="FD121" s="18"/>
      <c r="FE121" s="18"/>
      <c r="FF121" s="18"/>
      <c r="FG121" s="18"/>
      <c r="FH121" s="18"/>
      <c r="FI121" s="18"/>
      <c r="FJ121" s="18"/>
      <c r="FK121" s="18"/>
      <c r="FL121" s="18"/>
      <c r="FM121" s="18"/>
      <c r="FN121" s="18"/>
      <c r="FO121" s="18"/>
      <c r="FP121" s="18"/>
      <c r="FQ121" s="18"/>
      <c r="FW121" s="1"/>
      <c r="FX121" s="5"/>
    </row>
    <row r="122" spans="158:180" x14ac:dyDescent="0.2">
      <c r="FB122" s="18"/>
      <c r="FC122" s="18"/>
      <c r="FD122" s="18"/>
      <c r="FE122" s="18"/>
      <c r="FF122" s="18"/>
      <c r="FG122" s="18"/>
      <c r="FH122" s="18"/>
      <c r="FI122" s="18"/>
      <c r="FJ122" s="18"/>
      <c r="FK122" s="18"/>
      <c r="FL122" s="18"/>
      <c r="FM122" s="18"/>
      <c r="FN122" s="18"/>
      <c r="FO122" s="18"/>
      <c r="FP122" s="18"/>
      <c r="FQ122" s="18"/>
      <c r="FW122" s="1"/>
      <c r="FX122" s="5"/>
    </row>
    <row r="123" spans="158:180" x14ac:dyDescent="0.2">
      <c r="FB123" s="18"/>
      <c r="FC123" s="18"/>
      <c r="FD123" s="18"/>
      <c r="FE123" s="18"/>
      <c r="FF123" s="18"/>
      <c r="FG123" s="18"/>
      <c r="FH123" s="18"/>
      <c r="FI123" s="18"/>
      <c r="FJ123" s="18"/>
      <c r="FK123" s="18"/>
      <c r="FL123" s="18"/>
      <c r="FM123" s="18"/>
      <c r="FN123" s="18"/>
      <c r="FO123" s="18"/>
      <c r="FP123" s="18"/>
      <c r="FQ123" s="18"/>
      <c r="FW123" s="1"/>
      <c r="FX123" s="5"/>
    </row>
    <row r="124" spans="158:180" x14ac:dyDescent="0.2">
      <c r="FB124" s="18"/>
      <c r="FC124" s="18"/>
      <c r="FD124" s="18"/>
      <c r="FE124" s="18"/>
      <c r="FF124" s="18"/>
      <c r="FG124" s="18"/>
      <c r="FH124" s="18"/>
      <c r="FI124" s="18"/>
      <c r="FJ124" s="18"/>
      <c r="FK124" s="18"/>
      <c r="FL124" s="18"/>
      <c r="FM124" s="18"/>
      <c r="FN124" s="18"/>
      <c r="FO124" s="18"/>
      <c r="FP124" s="18"/>
      <c r="FQ124" s="18"/>
      <c r="FW124" s="1"/>
      <c r="FX124" s="5"/>
    </row>
    <row r="125" spans="158:180" x14ac:dyDescent="0.2">
      <c r="FB125" s="18"/>
      <c r="FC125" s="18"/>
      <c r="FD125" s="18"/>
      <c r="FE125" s="18"/>
      <c r="FF125" s="18"/>
      <c r="FG125" s="18"/>
      <c r="FH125" s="18"/>
      <c r="FI125" s="18"/>
      <c r="FJ125" s="18"/>
      <c r="FK125" s="18"/>
      <c r="FL125" s="18"/>
      <c r="FM125" s="18"/>
      <c r="FN125" s="18"/>
      <c r="FO125" s="18"/>
      <c r="FP125" s="18"/>
      <c r="FQ125" s="18"/>
      <c r="FW125" s="1"/>
      <c r="FX125" s="5"/>
    </row>
    <row r="126" spans="158:180" x14ac:dyDescent="0.2">
      <c r="FB126" s="18"/>
      <c r="FC126" s="18"/>
      <c r="FD126" s="18"/>
      <c r="FE126" s="18"/>
      <c r="FF126" s="18"/>
      <c r="FG126" s="18"/>
      <c r="FH126" s="18"/>
      <c r="FI126" s="18"/>
      <c r="FJ126" s="18"/>
      <c r="FK126" s="18"/>
      <c r="FL126" s="18"/>
      <c r="FM126" s="18"/>
      <c r="FN126" s="18"/>
      <c r="FO126" s="18"/>
      <c r="FP126" s="18"/>
      <c r="FQ126" s="18"/>
      <c r="FW126" s="1"/>
      <c r="FX126" s="5"/>
    </row>
    <row r="127" spans="158:180" x14ac:dyDescent="0.2">
      <c r="FB127" s="18"/>
      <c r="FC127" s="18"/>
      <c r="FD127" s="18"/>
      <c r="FE127" s="18"/>
      <c r="FF127" s="18"/>
      <c r="FG127" s="18"/>
      <c r="FH127" s="18"/>
      <c r="FI127" s="18"/>
      <c r="FJ127" s="18"/>
      <c r="FK127" s="18"/>
      <c r="FL127" s="18"/>
      <c r="FM127" s="18"/>
      <c r="FN127" s="18"/>
      <c r="FO127" s="18"/>
      <c r="FP127" s="18"/>
      <c r="FQ127" s="18"/>
      <c r="FW127" s="1"/>
      <c r="FX127" s="5"/>
    </row>
    <row r="128" spans="158:180" x14ac:dyDescent="0.2">
      <c r="FB128" s="18"/>
      <c r="FC128" s="18"/>
      <c r="FD128" s="18"/>
      <c r="FE128" s="18"/>
      <c r="FF128" s="18"/>
      <c r="FG128" s="18"/>
      <c r="FH128" s="18"/>
      <c r="FI128" s="18"/>
      <c r="FJ128" s="18"/>
      <c r="FK128" s="18"/>
      <c r="FL128" s="18"/>
      <c r="FM128" s="18"/>
      <c r="FN128" s="18"/>
      <c r="FO128" s="18"/>
      <c r="FP128" s="18"/>
      <c r="FQ128" s="18"/>
      <c r="FW128" s="1"/>
      <c r="FX128" s="5"/>
    </row>
    <row r="129" spans="158:180" x14ac:dyDescent="0.2">
      <c r="FB129" s="18"/>
      <c r="FC129" s="18"/>
      <c r="FD129" s="18"/>
      <c r="FE129" s="18"/>
      <c r="FF129" s="18"/>
      <c r="FG129" s="18"/>
      <c r="FH129" s="18"/>
      <c r="FI129" s="18"/>
      <c r="FJ129" s="18"/>
      <c r="FK129" s="18"/>
      <c r="FL129" s="18"/>
      <c r="FM129" s="18"/>
      <c r="FN129" s="18"/>
      <c r="FO129" s="18"/>
      <c r="FP129" s="18"/>
      <c r="FQ129" s="18"/>
      <c r="FW129" s="1"/>
      <c r="FX129" s="5"/>
    </row>
    <row r="130" spans="158:180" x14ac:dyDescent="0.2">
      <c r="FB130" s="18"/>
      <c r="FC130" s="18"/>
      <c r="FD130" s="18"/>
      <c r="FE130" s="18"/>
      <c r="FF130" s="18"/>
      <c r="FG130" s="18"/>
      <c r="FH130" s="18"/>
      <c r="FI130" s="18"/>
      <c r="FJ130" s="18"/>
      <c r="FK130" s="18"/>
      <c r="FL130" s="18"/>
      <c r="FM130" s="18"/>
      <c r="FN130" s="18"/>
      <c r="FO130" s="18"/>
      <c r="FP130" s="18"/>
      <c r="FQ130" s="18"/>
      <c r="FW130" s="1"/>
      <c r="FX130" s="5"/>
    </row>
    <row r="131" spans="158:180" x14ac:dyDescent="0.2">
      <c r="FB131" s="18"/>
      <c r="FC131" s="18"/>
      <c r="FD131" s="18"/>
      <c r="FE131" s="18"/>
      <c r="FF131" s="18"/>
      <c r="FG131" s="18"/>
      <c r="FH131" s="18"/>
      <c r="FI131" s="18"/>
      <c r="FJ131" s="18"/>
      <c r="FK131" s="18"/>
      <c r="FL131" s="18"/>
      <c r="FM131" s="18"/>
      <c r="FN131" s="18"/>
      <c r="FO131" s="18"/>
      <c r="FP131" s="18"/>
      <c r="FQ131" s="18"/>
      <c r="FW131" s="1"/>
      <c r="FX131" s="5"/>
    </row>
    <row r="132" spans="158:180" x14ac:dyDescent="0.2">
      <c r="FB132" s="18"/>
      <c r="FC132" s="18"/>
      <c r="FD132" s="18"/>
      <c r="FE132" s="18"/>
      <c r="FF132" s="18"/>
      <c r="FG132" s="18"/>
      <c r="FH132" s="18"/>
      <c r="FI132" s="18"/>
      <c r="FJ132" s="18"/>
      <c r="FK132" s="18"/>
      <c r="FL132" s="18"/>
      <c r="FM132" s="18"/>
      <c r="FN132" s="18"/>
      <c r="FO132" s="18"/>
      <c r="FP132" s="18"/>
      <c r="FQ132" s="18"/>
      <c r="FW132" s="1"/>
      <c r="FX132" s="5"/>
    </row>
    <row r="133" spans="158:180" x14ac:dyDescent="0.2">
      <c r="FB133" s="18"/>
      <c r="FC133" s="18"/>
      <c r="FD133" s="18"/>
      <c r="FE133" s="18"/>
      <c r="FF133" s="18"/>
      <c r="FG133" s="18"/>
      <c r="FH133" s="18"/>
      <c r="FI133" s="18"/>
      <c r="FJ133" s="18"/>
      <c r="FK133" s="18"/>
      <c r="FL133" s="18"/>
      <c r="FM133" s="18"/>
      <c r="FN133" s="18"/>
      <c r="FO133" s="18"/>
      <c r="FP133" s="18"/>
      <c r="FQ133" s="18"/>
      <c r="FW133" s="1"/>
      <c r="FX133" s="5"/>
    </row>
    <row r="134" spans="158:180" x14ac:dyDescent="0.2">
      <c r="FB134" s="18"/>
      <c r="FC134" s="18"/>
      <c r="FD134" s="18"/>
      <c r="FE134" s="18"/>
      <c r="FF134" s="18"/>
      <c r="FG134" s="18"/>
      <c r="FH134" s="18"/>
      <c r="FI134" s="18"/>
      <c r="FJ134" s="18"/>
      <c r="FK134" s="18"/>
      <c r="FL134" s="18"/>
      <c r="FM134" s="18"/>
      <c r="FN134" s="18"/>
      <c r="FO134" s="18"/>
      <c r="FP134" s="18"/>
      <c r="FQ134" s="18"/>
      <c r="FW134" s="1"/>
      <c r="FX134" s="5"/>
    </row>
    <row r="135" spans="158:180" x14ac:dyDescent="0.2">
      <c r="FB135" s="18"/>
      <c r="FC135" s="18"/>
      <c r="FD135" s="18"/>
      <c r="FE135" s="18"/>
      <c r="FF135" s="18"/>
      <c r="FG135" s="18"/>
      <c r="FH135" s="18"/>
      <c r="FI135" s="18"/>
      <c r="FJ135" s="18"/>
      <c r="FK135" s="18"/>
      <c r="FL135" s="18"/>
      <c r="FM135" s="18"/>
      <c r="FN135" s="18"/>
      <c r="FO135" s="18"/>
      <c r="FP135" s="18"/>
      <c r="FQ135" s="18"/>
      <c r="FW135" s="1"/>
      <c r="FX135" s="5"/>
    </row>
    <row r="136" spans="158:180" x14ac:dyDescent="0.2">
      <c r="FB136" s="18"/>
      <c r="FC136" s="18"/>
      <c r="FD136" s="18"/>
      <c r="FE136" s="18"/>
      <c r="FF136" s="18"/>
      <c r="FG136" s="18"/>
      <c r="FH136" s="18"/>
      <c r="FI136" s="18"/>
      <c r="FJ136" s="18"/>
      <c r="FK136" s="18"/>
      <c r="FL136" s="18"/>
      <c r="FM136" s="18"/>
      <c r="FN136" s="18"/>
      <c r="FO136" s="18"/>
      <c r="FP136" s="18"/>
      <c r="FQ136" s="18"/>
      <c r="FW136" s="1"/>
      <c r="FX136" s="5"/>
    </row>
    <row r="137" spans="158:180" x14ac:dyDescent="0.2">
      <c r="FB137" s="18"/>
      <c r="FC137" s="18"/>
      <c r="FD137" s="18"/>
      <c r="FE137" s="18"/>
      <c r="FF137" s="18"/>
      <c r="FG137" s="18"/>
      <c r="FH137" s="18"/>
      <c r="FI137" s="18"/>
      <c r="FJ137" s="18"/>
      <c r="FK137" s="18"/>
      <c r="FL137" s="18"/>
      <c r="FM137" s="18"/>
      <c r="FN137" s="18"/>
      <c r="FO137" s="18"/>
      <c r="FP137" s="18"/>
      <c r="FQ137" s="18"/>
      <c r="FW137" s="1"/>
      <c r="FX137" s="5"/>
    </row>
    <row r="138" spans="158:180" x14ac:dyDescent="0.2">
      <c r="FB138" s="18"/>
      <c r="FC138" s="18"/>
      <c r="FD138" s="18"/>
      <c r="FE138" s="18"/>
      <c r="FF138" s="18"/>
      <c r="FG138" s="18"/>
      <c r="FH138" s="18"/>
      <c r="FI138" s="18"/>
      <c r="FJ138" s="18"/>
      <c r="FK138" s="18"/>
      <c r="FL138" s="18"/>
      <c r="FM138" s="18"/>
      <c r="FN138" s="18"/>
      <c r="FO138" s="18"/>
      <c r="FP138" s="18"/>
      <c r="FQ138" s="18"/>
      <c r="FW138" s="1"/>
      <c r="FX138" s="5"/>
    </row>
    <row r="139" spans="158:180" x14ac:dyDescent="0.2">
      <c r="FB139" s="18"/>
      <c r="FC139" s="18"/>
      <c r="FD139" s="18"/>
      <c r="FE139" s="18"/>
      <c r="FF139" s="18"/>
      <c r="FG139" s="18"/>
      <c r="FH139" s="18"/>
      <c r="FI139" s="18"/>
      <c r="FJ139" s="18"/>
      <c r="FK139" s="18"/>
      <c r="FL139" s="18"/>
      <c r="FM139" s="18"/>
      <c r="FN139" s="18"/>
      <c r="FO139" s="18"/>
      <c r="FP139" s="18"/>
      <c r="FQ139" s="18"/>
      <c r="FW139" s="1"/>
      <c r="FX139" s="5"/>
    </row>
    <row r="140" spans="158:180" x14ac:dyDescent="0.2">
      <c r="FB140" s="18"/>
      <c r="FC140" s="18"/>
      <c r="FD140" s="18"/>
      <c r="FE140" s="18"/>
      <c r="FF140" s="18"/>
      <c r="FG140" s="18"/>
      <c r="FH140" s="18"/>
      <c r="FI140" s="18"/>
      <c r="FJ140" s="18"/>
      <c r="FK140" s="18"/>
      <c r="FL140" s="18"/>
      <c r="FM140" s="18"/>
      <c r="FN140" s="18"/>
      <c r="FO140" s="18"/>
      <c r="FP140" s="18"/>
      <c r="FQ140" s="18"/>
      <c r="FW140" s="1"/>
      <c r="FX140" s="5"/>
    </row>
    <row r="141" spans="158:180" x14ac:dyDescent="0.2">
      <c r="FB141" s="18"/>
      <c r="FC141" s="18"/>
      <c r="FD141" s="18"/>
      <c r="FE141" s="18"/>
      <c r="FF141" s="18"/>
      <c r="FG141" s="18"/>
      <c r="FH141" s="18"/>
      <c r="FI141" s="18"/>
      <c r="FJ141" s="18"/>
      <c r="FK141" s="18"/>
      <c r="FL141" s="18"/>
      <c r="FM141" s="18"/>
      <c r="FN141" s="18"/>
      <c r="FO141" s="18"/>
      <c r="FP141" s="18"/>
      <c r="FQ141" s="18"/>
      <c r="FW141" s="1"/>
      <c r="FX141" s="5"/>
    </row>
    <row r="142" spans="158:180" x14ac:dyDescent="0.2">
      <c r="FB142" s="18"/>
      <c r="FC142" s="18"/>
      <c r="FD142" s="18"/>
      <c r="FE142" s="18"/>
      <c r="FF142" s="18"/>
      <c r="FG142" s="18"/>
      <c r="FH142" s="18"/>
      <c r="FI142" s="18"/>
      <c r="FJ142" s="18"/>
      <c r="FK142" s="18"/>
      <c r="FL142" s="18"/>
      <c r="FM142" s="18"/>
      <c r="FN142" s="18"/>
      <c r="FO142" s="18"/>
      <c r="FP142" s="18"/>
      <c r="FQ142" s="18"/>
      <c r="FW142" s="1"/>
      <c r="FX142" s="5"/>
    </row>
    <row r="143" spans="158:180" x14ac:dyDescent="0.2">
      <c r="FB143" s="18"/>
      <c r="FC143" s="18"/>
      <c r="FD143" s="18"/>
      <c r="FE143" s="18"/>
      <c r="FF143" s="18"/>
      <c r="FG143" s="18"/>
      <c r="FH143" s="18"/>
      <c r="FI143" s="18"/>
      <c r="FJ143" s="18"/>
      <c r="FK143" s="18"/>
      <c r="FL143" s="18"/>
      <c r="FM143" s="18"/>
      <c r="FN143" s="18"/>
      <c r="FO143" s="18"/>
      <c r="FP143" s="18"/>
      <c r="FQ143" s="18"/>
      <c r="FW143" s="1"/>
      <c r="FX143" s="5"/>
    </row>
    <row r="144" spans="158:180" x14ac:dyDescent="0.2">
      <c r="FB144" s="18"/>
      <c r="FC144" s="18"/>
      <c r="FD144" s="18"/>
      <c r="FE144" s="18"/>
      <c r="FF144" s="18"/>
      <c r="FG144" s="18"/>
      <c r="FH144" s="18"/>
      <c r="FI144" s="18"/>
      <c r="FJ144" s="18"/>
      <c r="FK144" s="18"/>
      <c r="FL144" s="18"/>
      <c r="FM144" s="18"/>
      <c r="FN144" s="18"/>
      <c r="FO144" s="18"/>
      <c r="FP144" s="18"/>
      <c r="FQ144" s="18"/>
      <c r="FW144" s="1"/>
      <c r="FX144" s="5"/>
    </row>
    <row r="145" spans="158:180" x14ac:dyDescent="0.2">
      <c r="FB145" s="18"/>
      <c r="FC145" s="18"/>
      <c r="FD145" s="18"/>
      <c r="FE145" s="18"/>
      <c r="FF145" s="18"/>
      <c r="FG145" s="18"/>
      <c r="FH145" s="18"/>
      <c r="FI145" s="18"/>
      <c r="FJ145" s="18"/>
      <c r="FK145" s="18"/>
      <c r="FL145" s="18"/>
      <c r="FM145" s="18"/>
      <c r="FN145" s="18"/>
      <c r="FO145" s="18"/>
      <c r="FP145" s="18"/>
      <c r="FQ145" s="18"/>
      <c r="FW145" s="1"/>
      <c r="FX145" s="5"/>
    </row>
    <row r="146" spans="158:180" x14ac:dyDescent="0.2">
      <c r="FB146" s="18"/>
      <c r="FC146" s="18"/>
      <c r="FD146" s="18"/>
      <c r="FE146" s="18"/>
      <c r="FF146" s="18"/>
      <c r="FG146" s="18"/>
      <c r="FH146" s="18"/>
      <c r="FI146" s="18"/>
      <c r="FJ146" s="18"/>
      <c r="FK146" s="18"/>
      <c r="FL146" s="18"/>
      <c r="FM146" s="18"/>
      <c r="FN146" s="18"/>
      <c r="FO146" s="18"/>
      <c r="FP146" s="18"/>
      <c r="FQ146" s="18"/>
      <c r="FW146" s="1"/>
      <c r="FX146" s="5"/>
    </row>
    <row r="147" spans="158:180" x14ac:dyDescent="0.2">
      <c r="FB147" s="18"/>
      <c r="FC147" s="18"/>
      <c r="FD147" s="18"/>
      <c r="FE147" s="18"/>
      <c r="FF147" s="18"/>
      <c r="FG147" s="18"/>
      <c r="FH147" s="18"/>
      <c r="FI147" s="18"/>
      <c r="FJ147" s="18"/>
      <c r="FK147" s="18"/>
      <c r="FL147" s="18"/>
      <c r="FM147" s="18"/>
      <c r="FN147" s="18"/>
      <c r="FO147" s="18"/>
      <c r="FP147" s="18"/>
      <c r="FQ147" s="18"/>
      <c r="FW147" s="1"/>
      <c r="FX147" s="5"/>
    </row>
    <row r="148" spans="158:180" x14ac:dyDescent="0.2">
      <c r="FB148" s="18"/>
      <c r="FC148" s="18"/>
      <c r="FD148" s="18"/>
      <c r="FE148" s="18"/>
      <c r="FF148" s="18"/>
      <c r="FG148" s="18"/>
      <c r="FH148" s="18"/>
      <c r="FI148" s="18"/>
      <c r="FJ148" s="18"/>
      <c r="FK148" s="18"/>
      <c r="FL148" s="18"/>
      <c r="FM148" s="18"/>
      <c r="FN148" s="18"/>
      <c r="FO148" s="18"/>
      <c r="FP148" s="18"/>
      <c r="FQ148" s="18"/>
      <c r="FW148" s="1"/>
      <c r="FX148" s="5"/>
    </row>
    <row r="149" spans="158:180" x14ac:dyDescent="0.2">
      <c r="FB149" s="18"/>
      <c r="FC149" s="18"/>
      <c r="FD149" s="18"/>
      <c r="FE149" s="18"/>
      <c r="FF149" s="18"/>
      <c r="FG149" s="18"/>
      <c r="FH149" s="18"/>
      <c r="FI149" s="18"/>
      <c r="FJ149" s="18"/>
      <c r="FK149" s="18"/>
      <c r="FL149" s="18"/>
      <c r="FM149" s="18"/>
      <c r="FN149" s="18"/>
      <c r="FO149" s="18"/>
      <c r="FP149" s="18"/>
      <c r="FQ149" s="18"/>
      <c r="FW149" s="1"/>
      <c r="FX149" s="5"/>
    </row>
    <row r="150" spans="158:180" x14ac:dyDescent="0.2">
      <c r="FB150" s="18"/>
      <c r="FC150" s="18"/>
      <c r="FD150" s="18"/>
      <c r="FE150" s="18"/>
      <c r="FF150" s="18"/>
      <c r="FG150" s="18"/>
      <c r="FH150" s="18"/>
      <c r="FI150" s="18"/>
      <c r="FJ150" s="18"/>
      <c r="FK150" s="18"/>
      <c r="FL150" s="18"/>
      <c r="FM150" s="18"/>
      <c r="FN150" s="18"/>
      <c r="FO150" s="18"/>
      <c r="FP150" s="18"/>
      <c r="FQ150" s="18"/>
      <c r="FW150" s="1"/>
      <c r="FX150" s="5"/>
    </row>
    <row r="151" spans="158:180" x14ac:dyDescent="0.2">
      <c r="FB151" s="18"/>
      <c r="FC151" s="18"/>
      <c r="FD151" s="18"/>
      <c r="FE151" s="18"/>
      <c r="FF151" s="18"/>
      <c r="FG151" s="18"/>
      <c r="FH151" s="18"/>
      <c r="FI151" s="18"/>
      <c r="FJ151" s="18"/>
      <c r="FK151" s="18"/>
      <c r="FL151" s="18"/>
      <c r="FM151" s="18"/>
      <c r="FN151" s="18"/>
      <c r="FO151" s="18"/>
      <c r="FP151" s="18"/>
      <c r="FQ151" s="18"/>
      <c r="FW151" s="1"/>
      <c r="FX151" s="5"/>
    </row>
    <row r="152" spans="158:180" x14ac:dyDescent="0.2">
      <c r="FB152" s="18"/>
      <c r="FC152" s="18"/>
      <c r="FD152" s="18"/>
      <c r="FE152" s="18"/>
      <c r="FF152" s="18"/>
      <c r="FG152" s="18"/>
      <c r="FH152" s="18"/>
      <c r="FI152" s="18"/>
      <c r="FJ152" s="18"/>
      <c r="FK152" s="18"/>
      <c r="FL152" s="18"/>
      <c r="FM152" s="18"/>
      <c r="FN152" s="18"/>
      <c r="FO152" s="18"/>
      <c r="FP152" s="18"/>
      <c r="FQ152" s="18"/>
      <c r="FW152" s="1"/>
      <c r="FX152" s="5"/>
    </row>
    <row r="153" spans="158:180" x14ac:dyDescent="0.2">
      <c r="FB153" s="18"/>
      <c r="FC153" s="18"/>
      <c r="FD153" s="18"/>
      <c r="FE153" s="18"/>
      <c r="FF153" s="18"/>
      <c r="FG153" s="18"/>
      <c r="FH153" s="18"/>
      <c r="FI153" s="18"/>
      <c r="FJ153" s="18"/>
      <c r="FK153" s="18"/>
      <c r="FL153" s="18"/>
      <c r="FM153" s="18"/>
      <c r="FN153" s="18"/>
      <c r="FO153" s="18"/>
      <c r="FP153" s="18"/>
      <c r="FQ153" s="18"/>
      <c r="FW153" s="1"/>
      <c r="FX153" s="5"/>
    </row>
    <row r="154" spans="158:180" x14ac:dyDescent="0.2">
      <c r="FB154" s="18"/>
      <c r="FC154" s="18"/>
      <c r="FD154" s="18"/>
      <c r="FE154" s="18"/>
      <c r="FF154" s="18"/>
      <c r="FG154" s="18"/>
      <c r="FH154" s="18"/>
      <c r="FI154" s="18"/>
      <c r="FJ154" s="18"/>
      <c r="FK154" s="18"/>
      <c r="FL154" s="18"/>
      <c r="FM154" s="18"/>
      <c r="FN154" s="18"/>
      <c r="FO154" s="18"/>
      <c r="FP154" s="18"/>
      <c r="FQ154" s="18"/>
      <c r="FW154" s="1"/>
      <c r="FX154" s="5"/>
    </row>
    <row r="155" spans="158:180" x14ac:dyDescent="0.2">
      <c r="FB155" s="18"/>
      <c r="FC155" s="18"/>
      <c r="FD155" s="18"/>
      <c r="FE155" s="18"/>
      <c r="FF155" s="18"/>
      <c r="FG155" s="18"/>
      <c r="FH155" s="18"/>
      <c r="FI155" s="18"/>
      <c r="FJ155" s="18"/>
      <c r="FK155" s="18"/>
      <c r="FL155" s="18"/>
      <c r="FM155" s="18"/>
      <c r="FN155" s="18"/>
      <c r="FO155" s="18"/>
      <c r="FP155" s="18"/>
      <c r="FQ155" s="18"/>
      <c r="FW155" s="1"/>
      <c r="FX155" s="5"/>
    </row>
    <row r="156" spans="158:180" x14ac:dyDescent="0.2">
      <c r="FB156" s="18"/>
      <c r="FC156" s="18"/>
      <c r="FD156" s="18"/>
      <c r="FE156" s="18"/>
      <c r="FF156" s="18"/>
      <c r="FG156" s="18"/>
      <c r="FH156" s="18"/>
      <c r="FI156" s="18"/>
      <c r="FJ156" s="18"/>
      <c r="FK156" s="18"/>
      <c r="FL156" s="18"/>
      <c r="FM156" s="18"/>
      <c r="FN156" s="18"/>
      <c r="FO156" s="18"/>
      <c r="FP156" s="18"/>
      <c r="FQ156" s="18"/>
      <c r="FW156" s="1"/>
      <c r="FX156" s="5"/>
    </row>
    <row r="157" spans="158:180" x14ac:dyDescent="0.2">
      <c r="FB157" s="18"/>
      <c r="FC157" s="18"/>
      <c r="FD157" s="18"/>
      <c r="FE157" s="18"/>
      <c r="FF157" s="18"/>
      <c r="FG157" s="18"/>
      <c r="FH157" s="18"/>
      <c r="FI157" s="18"/>
      <c r="FJ157" s="18"/>
      <c r="FK157" s="18"/>
      <c r="FL157" s="18"/>
      <c r="FM157" s="18"/>
      <c r="FN157" s="18"/>
      <c r="FO157" s="18"/>
      <c r="FP157" s="18"/>
      <c r="FQ157" s="18"/>
      <c r="FW157" s="1"/>
      <c r="FX157" s="5"/>
    </row>
    <row r="158" spans="158:180" x14ac:dyDescent="0.2">
      <c r="FB158" s="18"/>
      <c r="FC158" s="18"/>
      <c r="FD158" s="18"/>
      <c r="FE158" s="18"/>
      <c r="FF158" s="18"/>
      <c r="FG158" s="18"/>
      <c r="FH158" s="18"/>
      <c r="FI158" s="18"/>
      <c r="FJ158" s="18"/>
      <c r="FK158" s="18"/>
      <c r="FL158" s="18"/>
      <c r="FM158" s="18"/>
      <c r="FN158" s="18"/>
      <c r="FO158" s="18"/>
      <c r="FP158" s="18"/>
      <c r="FQ158" s="18"/>
      <c r="FW158" s="1"/>
      <c r="FX158" s="5"/>
    </row>
    <row r="159" spans="158:180" x14ac:dyDescent="0.2">
      <c r="FB159" s="18"/>
      <c r="FC159" s="18"/>
      <c r="FD159" s="18"/>
      <c r="FE159" s="18"/>
      <c r="FF159" s="18"/>
      <c r="FG159" s="18"/>
      <c r="FH159" s="18"/>
      <c r="FI159" s="18"/>
      <c r="FJ159" s="18"/>
      <c r="FK159" s="18"/>
      <c r="FL159" s="18"/>
      <c r="FM159" s="18"/>
      <c r="FN159" s="18"/>
      <c r="FO159" s="18"/>
      <c r="FP159" s="18"/>
      <c r="FQ159" s="18"/>
      <c r="FW159" s="1"/>
      <c r="FX159" s="5"/>
    </row>
    <row r="160" spans="158:180" x14ac:dyDescent="0.2">
      <c r="FB160" s="18"/>
      <c r="FC160" s="18"/>
      <c r="FD160" s="18"/>
      <c r="FE160" s="18"/>
      <c r="FF160" s="18"/>
      <c r="FG160" s="18"/>
      <c r="FH160" s="18"/>
      <c r="FI160" s="18"/>
      <c r="FJ160" s="18"/>
      <c r="FK160" s="18"/>
      <c r="FL160" s="18"/>
      <c r="FM160" s="18"/>
      <c r="FN160" s="18"/>
      <c r="FO160" s="18"/>
      <c r="FP160" s="18"/>
      <c r="FQ160" s="18"/>
      <c r="FW160" s="1"/>
      <c r="FX160" s="5"/>
    </row>
    <row r="161" spans="158:180" x14ac:dyDescent="0.2">
      <c r="FB161" s="18"/>
      <c r="FC161" s="18"/>
      <c r="FD161" s="18"/>
      <c r="FE161" s="18"/>
      <c r="FF161" s="18"/>
      <c r="FG161" s="18"/>
      <c r="FH161" s="18"/>
      <c r="FI161" s="18"/>
      <c r="FJ161" s="18"/>
      <c r="FK161" s="18"/>
      <c r="FL161" s="18"/>
      <c r="FM161" s="18"/>
      <c r="FN161" s="18"/>
      <c r="FO161" s="18"/>
      <c r="FP161" s="18"/>
      <c r="FQ161" s="18"/>
      <c r="FW161" s="1"/>
      <c r="FX161" s="5"/>
    </row>
    <row r="162" spans="158:180" x14ac:dyDescent="0.2">
      <c r="FB162" s="18"/>
      <c r="FC162" s="18"/>
      <c r="FD162" s="18"/>
      <c r="FE162" s="18"/>
      <c r="FF162" s="18"/>
      <c r="FG162" s="18"/>
      <c r="FH162" s="18"/>
      <c r="FI162" s="18"/>
      <c r="FJ162" s="18"/>
      <c r="FK162" s="18"/>
      <c r="FL162" s="18"/>
      <c r="FM162" s="18"/>
      <c r="FN162" s="18"/>
      <c r="FO162" s="18"/>
      <c r="FP162" s="18"/>
      <c r="FQ162" s="18"/>
      <c r="FW162" s="1"/>
      <c r="FX162" s="5"/>
    </row>
    <row r="163" spans="158:180" x14ac:dyDescent="0.2">
      <c r="FB163" s="18"/>
      <c r="FC163" s="18"/>
      <c r="FD163" s="18"/>
      <c r="FE163" s="18"/>
      <c r="FF163" s="18"/>
      <c r="FG163" s="18"/>
      <c r="FH163" s="18"/>
      <c r="FI163" s="18"/>
      <c r="FJ163" s="18"/>
      <c r="FK163" s="18"/>
      <c r="FL163" s="18"/>
      <c r="FM163" s="18"/>
      <c r="FN163" s="18"/>
      <c r="FO163" s="18"/>
      <c r="FP163" s="18"/>
      <c r="FQ163" s="18"/>
      <c r="FW163" s="1"/>
      <c r="FX163" s="5"/>
    </row>
    <row r="164" spans="158:180" x14ac:dyDescent="0.2">
      <c r="FB164" s="18"/>
      <c r="FC164" s="18"/>
      <c r="FD164" s="18"/>
      <c r="FE164" s="18"/>
      <c r="FF164" s="18"/>
      <c r="FG164" s="18"/>
      <c r="FH164" s="18"/>
      <c r="FI164" s="18"/>
      <c r="FJ164" s="18"/>
      <c r="FK164" s="18"/>
      <c r="FL164" s="18"/>
      <c r="FM164" s="18"/>
      <c r="FN164" s="18"/>
      <c r="FO164" s="18"/>
      <c r="FP164" s="18"/>
      <c r="FQ164" s="18"/>
      <c r="FW164" s="1"/>
      <c r="FX164" s="5"/>
    </row>
    <row r="165" spans="158:180" x14ac:dyDescent="0.2">
      <c r="FB165" s="18"/>
      <c r="FC165" s="18"/>
      <c r="FD165" s="18"/>
      <c r="FE165" s="18"/>
      <c r="FF165" s="18"/>
      <c r="FG165" s="18"/>
      <c r="FH165" s="18"/>
      <c r="FI165" s="18"/>
      <c r="FJ165" s="18"/>
      <c r="FK165" s="18"/>
      <c r="FL165" s="18"/>
      <c r="FM165" s="18"/>
      <c r="FN165" s="18"/>
      <c r="FO165" s="18"/>
      <c r="FP165" s="18"/>
      <c r="FQ165" s="18"/>
      <c r="FW165" s="1"/>
      <c r="FX165" s="5"/>
    </row>
    <row r="166" spans="158:180" x14ac:dyDescent="0.2">
      <c r="FB166" s="18"/>
      <c r="FC166" s="18"/>
      <c r="FD166" s="18"/>
      <c r="FE166" s="18"/>
      <c r="FF166" s="18"/>
      <c r="FG166" s="18"/>
      <c r="FH166" s="18"/>
      <c r="FI166" s="18"/>
      <c r="FJ166" s="18"/>
      <c r="FK166" s="18"/>
      <c r="FL166" s="18"/>
      <c r="FM166" s="18"/>
      <c r="FN166" s="18"/>
      <c r="FO166" s="18"/>
      <c r="FP166" s="18"/>
      <c r="FQ166" s="18"/>
      <c r="FW166" s="1"/>
      <c r="FX166" s="5"/>
    </row>
    <row r="167" spans="158:180" x14ac:dyDescent="0.2">
      <c r="FB167" s="18"/>
      <c r="FC167" s="18"/>
      <c r="FD167" s="18"/>
      <c r="FE167" s="18"/>
      <c r="FF167" s="18"/>
      <c r="FG167" s="18"/>
      <c r="FH167" s="18"/>
      <c r="FI167" s="18"/>
      <c r="FJ167" s="18"/>
      <c r="FK167" s="18"/>
      <c r="FL167" s="18"/>
      <c r="FM167" s="18"/>
      <c r="FN167" s="18"/>
      <c r="FO167" s="18"/>
      <c r="FP167" s="18"/>
      <c r="FQ167" s="18"/>
      <c r="FW167" s="1"/>
      <c r="FX167" s="5"/>
    </row>
    <row r="168" spans="158:180" x14ac:dyDescent="0.2">
      <c r="FB168" s="18"/>
      <c r="FC168" s="18"/>
      <c r="FD168" s="18"/>
      <c r="FE168" s="18"/>
      <c r="FF168" s="18"/>
      <c r="FG168" s="18"/>
      <c r="FH168" s="18"/>
      <c r="FI168" s="18"/>
      <c r="FJ168" s="18"/>
      <c r="FK168" s="18"/>
      <c r="FL168" s="18"/>
      <c r="FM168" s="18"/>
      <c r="FN168" s="18"/>
      <c r="FO168" s="18"/>
      <c r="FP168" s="18"/>
      <c r="FQ168" s="18"/>
      <c r="FW168" s="1"/>
      <c r="FX168" s="5"/>
    </row>
    <row r="169" spans="158:180" x14ac:dyDescent="0.2">
      <c r="FB169" s="18"/>
      <c r="FC169" s="18"/>
      <c r="FD169" s="18"/>
      <c r="FE169" s="18"/>
      <c r="FF169" s="18"/>
      <c r="FG169" s="18"/>
      <c r="FH169" s="18"/>
      <c r="FI169" s="18"/>
      <c r="FJ169" s="18"/>
      <c r="FK169" s="18"/>
      <c r="FL169" s="18"/>
      <c r="FM169" s="18"/>
      <c r="FN169" s="18"/>
      <c r="FO169" s="18"/>
      <c r="FP169" s="18"/>
      <c r="FQ169" s="18"/>
      <c r="FW169" s="1"/>
      <c r="FX169" s="5"/>
    </row>
    <row r="170" spans="158:180" x14ac:dyDescent="0.2">
      <c r="FB170" s="18"/>
      <c r="FC170" s="18"/>
      <c r="FD170" s="18"/>
      <c r="FE170" s="18"/>
      <c r="FF170" s="18"/>
      <c r="FG170" s="18"/>
      <c r="FH170" s="18"/>
      <c r="FI170" s="18"/>
      <c r="FJ170" s="18"/>
      <c r="FK170" s="18"/>
      <c r="FL170" s="18"/>
      <c r="FM170" s="18"/>
      <c r="FN170" s="18"/>
      <c r="FO170" s="18"/>
      <c r="FP170" s="18"/>
      <c r="FQ170" s="18"/>
      <c r="FW170" s="1"/>
      <c r="FX170" s="5"/>
    </row>
    <row r="171" spans="158:180" x14ac:dyDescent="0.2">
      <c r="FB171" s="18"/>
      <c r="FC171" s="18"/>
      <c r="FD171" s="18"/>
      <c r="FE171" s="18"/>
      <c r="FF171" s="18"/>
      <c r="FG171" s="18"/>
      <c r="FH171" s="18"/>
      <c r="FI171" s="18"/>
      <c r="FJ171" s="18"/>
      <c r="FK171" s="18"/>
      <c r="FL171" s="18"/>
      <c r="FM171" s="18"/>
      <c r="FN171" s="18"/>
      <c r="FO171" s="18"/>
      <c r="FP171" s="18"/>
      <c r="FQ171" s="18"/>
      <c r="FW171" s="1"/>
      <c r="FX171" s="5"/>
    </row>
    <row r="172" spans="158:180" x14ac:dyDescent="0.2">
      <c r="FB172" s="18"/>
      <c r="FC172" s="18"/>
      <c r="FD172" s="18"/>
      <c r="FE172" s="18"/>
      <c r="FF172" s="18"/>
      <c r="FG172" s="18"/>
      <c r="FH172" s="18"/>
      <c r="FI172" s="18"/>
      <c r="FJ172" s="18"/>
      <c r="FK172" s="18"/>
      <c r="FL172" s="18"/>
      <c r="FM172" s="18"/>
      <c r="FN172" s="18"/>
      <c r="FO172" s="18"/>
      <c r="FP172" s="18"/>
      <c r="FQ172" s="18"/>
      <c r="FW172" s="1"/>
      <c r="FX172" s="5"/>
    </row>
    <row r="173" spans="158:180" x14ac:dyDescent="0.2">
      <c r="FB173" s="18"/>
      <c r="FC173" s="18"/>
      <c r="FD173" s="18"/>
      <c r="FE173" s="18"/>
      <c r="FF173" s="18"/>
      <c r="FG173" s="18"/>
      <c r="FH173" s="18"/>
      <c r="FI173" s="18"/>
      <c r="FJ173" s="18"/>
      <c r="FK173" s="18"/>
      <c r="FL173" s="18"/>
      <c r="FM173" s="18"/>
      <c r="FN173" s="18"/>
      <c r="FO173" s="18"/>
      <c r="FP173" s="18"/>
      <c r="FQ173" s="18"/>
      <c r="FW173" s="1"/>
      <c r="FX173" s="5"/>
    </row>
    <row r="174" spans="158:180" x14ac:dyDescent="0.2">
      <c r="FB174" s="18"/>
      <c r="FC174" s="18"/>
      <c r="FD174" s="18"/>
      <c r="FE174" s="18"/>
      <c r="FF174" s="18"/>
      <c r="FG174" s="18"/>
      <c r="FH174" s="18"/>
      <c r="FI174" s="18"/>
      <c r="FJ174" s="18"/>
      <c r="FK174" s="18"/>
      <c r="FL174" s="18"/>
      <c r="FM174" s="18"/>
      <c r="FN174" s="18"/>
      <c r="FO174" s="18"/>
      <c r="FP174" s="18"/>
      <c r="FQ174" s="18"/>
      <c r="FW174" s="1"/>
      <c r="FX174" s="5"/>
    </row>
    <row r="175" spans="158:180" x14ac:dyDescent="0.2">
      <c r="FB175" s="18"/>
      <c r="FC175" s="18"/>
      <c r="FD175" s="18"/>
      <c r="FE175" s="18"/>
      <c r="FF175" s="18"/>
      <c r="FG175" s="18"/>
      <c r="FH175" s="18"/>
      <c r="FI175" s="18"/>
      <c r="FJ175" s="18"/>
      <c r="FK175" s="18"/>
      <c r="FL175" s="18"/>
      <c r="FM175" s="18"/>
      <c r="FN175" s="18"/>
      <c r="FO175" s="18"/>
      <c r="FP175" s="18"/>
      <c r="FQ175" s="18"/>
      <c r="FW175" s="1"/>
      <c r="FX175" s="5"/>
    </row>
    <row r="176" spans="158:180" x14ac:dyDescent="0.2">
      <c r="FB176" s="18"/>
      <c r="FC176" s="18"/>
      <c r="FD176" s="18"/>
      <c r="FE176" s="18"/>
      <c r="FF176" s="18"/>
      <c r="FG176" s="18"/>
      <c r="FH176" s="18"/>
      <c r="FI176" s="18"/>
      <c r="FJ176" s="18"/>
      <c r="FK176" s="18"/>
      <c r="FL176" s="18"/>
      <c r="FM176" s="18"/>
      <c r="FN176" s="18"/>
      <c r="FO176" s="18"/>
      <c r="FP176" s="18"/>
      <c r="FQ176" s="18"/>
      <c r="FW176" s="1"/>
      <c r="FX176" s="5"/>
    </row>
    <row r="177" spans="158:180" x14ac:dyDescent="0.2">
      <c r="FB177" s="18"/>
      <c r="FC177" s="18"/>
      <c r="FD177" s="18"/>
      <c r="FE177" s="18"/>
      <c r="FF177" s="18"/>
      <c r="FG177" s="18"/>
      <c r="FH177" s="18"/>
      <c r="FI177" s="18"/>
      <c r="FJ177" s="18"/>
      <c r="FK177" s="18"/>
      <c r="FL177" s="18"/>
      <c r="FM177" s="18"/>
      <c r="FN177" s="18"/>
      <c r="FO177" s="18"/>
      <c r="FP177" s="18"/>
      <c r="FQ177" s="18"/>
      <c r="FW177" s="1"/>
      <c r="FX177" s="5"/>
    </row>
    <row r="178" spans="158:180" x14ac:dyDescent="0.2">
      <c r="FB178" s="18"/>
      <c r="FC178" s="18"/>
      <c r="FD178" s="18"/>
      <c r="FE178" s="18"/>
      <c r="FF178" s="18"/>
      <c r="FG178" s="18"/>
      <c r="FH178" s="18"/>
      <c r="FI178" s="18"/>
      <c r="FJ178" s="18"/>
      <c r="FK178" s="18"/>
      <c r="FL178" s="18"/>
      <c r="FM178" s="18"/>
      <c r="FN178" s="18"/>
      <c r="FO178" s="18"/>
      <c r="FP178" s="18"/>
      <c r="FQ178" s="18"/>
      <c r="FW178" s="1"/>
      <c r="FX178" s="5"/>
    </row>
    <row r="179" spans="158:180" x14ac:dyDescent="0.2">
      <c r="FB179" s="18"/>
      <c r="FC179" s="18"/>
      <c r="FD179" s="18"/>
      <c r="FE179" s="18"/>
      <c r="FF179" s="18"/>
      <c r="FG179" s="18"/>
      <c r="FH179" s="18"/>
      <c r="FI179" s="18"/>
      <c r="FJ179" s="18"/>
      <c r="FK179" s="18"/>
      <c r="FL179" s="18"/>
      <c r="FM179" s="18"/>
      <c r="FN179" s="18"/>
      <c r="FO179" s="18"/>
      <c r="FP179" s="18"/>
      <c r="FQ179" s="18"/>
      <c r="FW179" s="1"/>
      <c r="FX179" s="5"/>
    </row>
    <row r="180" spans="158:180" x14ac:dyDescent="0.2">
      <c r="FB180" s="18"/>
      <c r="FC180" s="18"/>
      <c r="FD180" s="18"/>
      <c r="FE180" s="18"/>
      <c r="FF180" s="18"/>
      <c r="FG180" s="18"/>
      <c r="FH180" s="18"/>
      <c r="FI180" s="18"/>
      <c r="FJ180" s="18"/>
      <c r="FK180" s="18"/>
      <c r="FL180" s="18"/>
      <c r="FM180" s="18"/>
      <c r="FN180" s="18"/>
      <c r="FO180" s="18"/>
      <c r="FP180" s="18"/>
      <c r="FQ180" s="18"/>
      <c r="FW180" s="1"/>
      <c r="FX180" s="5"/>
    </row>
    <row r="181" spans="158:180" x14ac:dyDescent="0.2">
      <c r="FB181" s="18"/>
      <c r="FC181" s="18"/>
      <c r="FD181" s="18"/>
      <c r="FE181" s="18"/>
      <c r="FF181" s="18"/>
      <c r="FG181" s="18"/>
      <c r="FH181" s="18"/>
      <c r="FI181" s="18"/>
      <c r="FJ181" s="18"/>
      <c r="FK181" s="18"/>
      <c r="FL181" s="18"/>
      <c r="FM181" s="18"/>
      <c r="FN181" s="18"/>
      <c r="FO181" s="18"/>
      <c r="FP181" s="18"/>
      <c r="FQ181" s="18"/>
      <c r="FW181" s="1"/>
      <c r="FX181" s="5"/>
    </row>
    <row r="182" spans="158:180" x14ac:dyDescent="0.2">
      <c r="FB182" s="18"/>
      <c r="FC182" s="18"/>
      <c r="FD182" s="18"/>
      <c r="FE182" s="18"/>
      <c r="FF182" s="18"/>
      <c r="FG182" s="18"/>
      <c r="FH182" s="18"/>
      <c r="FI182" s="18"/>
      <c r="FJ182" s="18"/>
      <c r="FK182" s="18"/>
      <c r="FL182" s="18"/>
      <c r="FM182" s="18"/>
      <c r="FN182" s="18"/>
      <c r="FO182" s="18"/>
      <c r="FP182" s="18"/>
      <c r="FQ182" s="18"/>
      <c r="FW182" s="1"/>
      <c r="FX182" s="5"/>
    </row>
    <row r="183" spans="158:180" x14ac:dyDescent="0.2">
      <c r="FB183" s="18"/>
      <c r="FC183" s="18"/>
      <c r="FD183" s="18"/>
      <c r="FE183" s="18"/>
      <c r="FF183" s="18"/>
      <c r="FG183" s="18"/>
      <c r="FH183" s="18"/>
      <c r="FI183" s="18"/>
      <c r="FJ183" s="18"/>
      <c r="FK183" s="18"/>
      <c r="FL183" s="18"/>
      <c r="FM183" s="18"/>
      <c r="FN183" s="18"/>
      <c r="FO183" s="18"/>
      <c r="FP183" s="18"/>
      <c r="FQ183" s="18"/>
      <c r="FW183" s="1"/>
      <c r="FX183" s="5"/>
    </row>
    <row r="184" spans="158:180" x14ac:dyDescent="0.2">
      <c r="FB184" s="18"/>
      <c r="FC184" s="18"/>
      <c r="FD184" s="18"/>
      <c r="FE184" s="18"/>
      <c r="FF184" s="18"/>
      <c r="FG184" s="18"/>
      <c r="FH184" s="18"/>
      <c r="FI184" s="18"/>
      <c r="FJ184" s="18"/>
      <c r="FK184" s="18"/>
      <c r="FL184" s="18"/>
      <c r="FM184" s="18"/>
      <c r="FN184" s="18"/>
      <c r="FO184" s="18"/>
      <c r="FP184" s="18"/>
      <c r="FQ184" s="18"/>
      <c r="FW184" s="1"/>
      <c r="FX184" s="5"/>
    </row>
    <row r="185" spans="158:180" x14ac:dyDescent="0.2">
      <c r="FB185" s="18"/>
      <c r="FC185" s="18"/>
      <c r="FD185" s="18"/>
      <c r="FE185" s="18"/>
      <c r="FF185" s="18"/>
      <c r="FG185" s="18"/>
      <c r="FH185" s="18"/>
      <c r="FI185" s="18"/>
      <c r="FJ185" s="18"/>
      <c r="FK185" s="18"/>
      <c r="FL185" s="18"/>
      <c r="FM185" s="18"/>
      <c r="FN185" s="18"/>
      <c r="FO185" s="18"/>
      <c r="FP185" s="18"/>
      <c r="FQ185" s="18"/>
      <c r="FW185" s="1"/>
      <c r="FX185" s="5"/>
    </row>
    <row r="186" spans="158:180" x14ac:dyDescent="0.2">
      <c r="FB186" s="18"/>
      <c r="FC186" s="18"/>
      <c r="FD186" s="18"/>
      <c r="FE186" s="18"/>
      <c r="FF186" s="18"/>
      <c r="FG186" s="18"/>
      <c r="FH186" s="18"/>
      <c r="FI186" s="18"/>
      <c r="FJ186" s="18"/>
      <c r="FK186" s="18"/>
      <c r="FL186" s="18"/>
      <c r="FM186" s="18"/>
      <c r="FN186" s="18"/>
      <c r="FO186" s="18"/>
      <c r="FP186" s="18"/>
      <c r="FQ186" s="18"/>
      <c r="FW186" s="1"/>
      <c r="FX186" s="5"/>
    </row>
    <row r="187" spans="158:180" x14ac:dyDescent="0.2">
      <c r="FB187" s="18"/>
      <c r="FC187" s="18"/>
      <c r="FD187" s="18"/>
      <c r="FE187" s="18"/>
      <c r="FF187" s="18"/>
      <c r="FG187" s="18"/>
      <c r="FH187" s="18"/>
      <c r="FI187" s="18"/>
      <c r="FJ187" s="18"/>
      <c r="FK187" s="18"/>
      <c r="FL187" s="18"/>
      <c r="FM187" s="18"/>
      <c r="FN187" s="18"/>
      <c r="FO187" s="18"/>
      <c r="FP187" s="18"/>
      <c r="FQ187" s="18"/>
      <c r="FW187" s="1"/>
      <c r="FX187" s="5"/>
    </row>
    <row r="188" spans="158:180" x14ac:dyDescent="0.2">
      <c r="FB188" s="18"/>
      <c r="FC188" s="18"/>
      <c r="FD188" s="18"/>
      <c r="FE188" s="18"/>
      <c r="FF188" s="18"/>
      <c r="FG188" s="18"/>
      <c r="FH188" s="18"/>
      <c r="FI188" s="18"/>
      <c r="FJ188" s="18"/>
      <c r="FK188" s="18"/>
      <c r="FL188" s="18"/>
      <c r="FM188" s="18"/>
      <c r="FN188" s="18"/>
      <c r="FO188" s="18"/>
      <c r="FP188" s="18"/>
      <c r="FQ188" s="18"/>
      <c r="FW188" s="1"/>
      <c r="FX188"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7E5D3-B48A-1443-A0F4-701E703788D8}">
  <dimension ref="A1:FX188"/>
  <sheetViews>
    <sheetView zoomScaleNormal="100" workbookViewId="0">
      <pane xSplit="1" ySplit="6" topLeftCell="B141" activePane="bottomRight" state="frozen"/>
      <selection pane="topRight" activeCell="B1" sqref="B1"/>
      <selection pane="bottomLeft" activeCell="A7" sqref="A7"/>
      <selection pane="bottomRight" activeCell="A167" sqref="A167"/>
    </sheetView>
  </sheetViews>
  <sheetFormatPr baseColWidth="10" defaultRowHeight="16" x14ac:dyDescent="0.2"/>
  <cols>
    <col min="1" max="1" width="27.1640625" bestFit="1" customWidth="1"/>
    <col min="2" max="2" width="10.1640625" bestFit="1" customWidth="1"/>
    <col min="3" max="3" width="12.33203125" bestFit="1" customWidth="1"/>
    <col min="4" max="4" width="17.1640625" bestFit="1" customWidth="1"/>
    <col min="5" max="5" width="14" bestFit="1" customWidth="1"/>
    <col min="6" max="6" width="9" bestFit="1" customWidth="1"/>
    <col min="7" max="8" width="8.6640625" bestFit="1" customWidth="1"/>
    <col min="9" max="9" width="20" customWidth="1"/>
    <col min="10" max="10" width="8.6640625" bestFit="1" customWidth="1"/>
    <col min="11" max="11" width="6.1640625" customWidth="1"/>
    <col min="12" max="12" width="13" bestFit="1" customWidth="1"/>
    <col min="13" max="15" width="12.1640625" bestFit="1" customWidth="1"/>
    <col min="16" max="16" width="11.1640625" bestFit="1" customWidth="1"/>
    <col min="17" max="17" width="11" bestFit="1" customWidth="1"/>
    <col min="18" max="20" width="11" customWidth="1"/>
    <col min="21" max="21" width="9.83203125" customWidth="1"/>
    <col min="22" max="22" width="7" bestFit="1" customWidth="1"/>
    <col min="23" max="23" width="7.6640625" bestFit="1" customWidth="1"/>
    <col min="24" max="24" width="6.1640625" bestFit="1" customWidth="1"/>
    <col min="25" max="25" width="11" bestFit="1" customWidth="1"/>
    <col min="26" max="26" width="11" customWidth="1"/>
    <col min="27" max="27" width="7.33203125" bestFit="1" customWidth="1"/>
    <col min="28" max="28" width="6.6640625" bestFit="1" customWidth="1"/>
    <col min="29" max="29" width="9" bestFit="1" customWidth="1"/>
    <col min="30" max="30" width="9.33203125" bestFit="1" customWidth="1"/>
    <col min="31" max="31" width="12.33203125" bestFit="1" customWidth="1"/>
    <col min="32" max="32" width="7.1640625" bestFit="1" customWidth="1"/>
    <col min="33" max="34" width="11.5" bestFit="1" customWidth="1"/>
    <col min="35" max="37" width="11.5" customWidth="1"/>
    <col min="39" max="50" width="7.83203125" customWidth="1"/>
    <col min="51" max="51" width="11.5" bestFit="1" customWidth="1"/>
    <col min="52" max="54" width="11.5" customWidth="1"/>
    <col min="55" max="55" width="7.83203125" customWidth="1"/>
    <col min="56" max="56" width="22.1640625" bestFit="1" customWidth="1"/>
    <col min="57" max="57" width="7.6640625" bestFit="1" customWidth="1"/>
    <col min="58" max="58" width="6.1640625" bestFit="1" customWidth="1"/>
    <col min="59" max="59" width="8.5" bestFit="1" customWidth="1"/>
    <col min="60" max="60" width="8.6640625" bestFit="1" customWidth="1"/>
    <col min="61" max="61" width="7.33203125" bestFit="1" customWidth="1"/>
    <col min="62" max="62" width="6.6640625" bestFit="1" customWidth="1"/>
    <col min="63" max="63" width="9" bestFit="1" customWidth="1"/>
    <col min="64" max="64" width="9.33203125" bestFit="1" customWidth="1"/>
    <col min="65" max="65" width="12.33203125" bestFit="1" customWidth="1"/>
    <col min="66" max="66" width="7.1640625" bestFit="1" customWidth="1"/>
    <col min="67" max="68" width="11.5" bestFit="1" customWidth="1"/>
    <col min="69" max="71" width="11.5" customWidth="1"/>
    <col min="73" max="73" width="7" bestFit="1" customWidth="1"/>
    <col min="74" max="74" width="7.6640625" bestFit="1" customWidth="1"/>
    <col min="75" max="75" width="6.1640625" bestFit="1" customWidth="1"/>
    <col min="76" max="76" width="8.5" bestFit="1" customWidth="1"/>
    <col min="77" max="77" width="8.6640625" bestFit="1" customWidth="1"/>
    <col min="78" max="78" width="7.33203125" bestFit="1" customWidth="1"/>
    <col min="79" max="79" width="6.6640625" bestFit="1" customWidth="1"/>
    <col min="80" max="80" width="9" bestFit="1" customWidth="1"/>
    <col min="81" max="81" width="9.33203125" bestFit="1" customWidth="1"/>
    <col min="82" max="82" width="12.33203125" bestFit="1" customWidth="1"/>
    <col min="83" max="83" width="7.1640625" bestFit="1" customWidth="1"/>
    <col min="84" max="85" width="11.5" bestFit="1" customWidth="1"/>
    <col min="86" max="88" width="11.5" customWidth="1"/>
    <col min="90" max="90" width="8.5" bestFit="1" customWidth="1"/>
    <col min="91" max="91" width="7.6640625" bestFit="1" customWidth="1"/>
    <col min="92" max="92" width="6.1640625" bestFit="1" customWidth="1"/>
    <col min="93" max="93" width="8.5" bestFit="1" customWidth="1"/>
    <col min="94" max="94" width="8.6640625" bestFit="1" customWidth="1"/>
    <col min="95" max="95" width="7.33203125" bestFit="1" customWidth="1"/>
    <col min="96" max="96" width="6.6640625" bestFit="1" customWidth="1"/>
    <col min="97" max="97" width="9" bestFit="1" customWidth="1"/>
    <col min="98" max="98" width="9.33203125" bestFit="1" customWidth="1"/>
    <col min="99" max="99" width="12.33203125" bestFit="1" customWidth="1"/>
    <col min="100" max="100" width="7.1640625" bestFit="1" customWidth="1"/>
    <col min="101" max="102" width="11.5" bestFit="1" customWidth="1"/>
    <col min="103" max="105" width="11.5" customWidth="1"/>
    <col min="107" max="107" width="20.6640625" bestFit="1" customWidth="1"/>
    <col min="108" max="108" width="7.6640625" bestFit="1" customWidth="1"/>
    <col min="109" max="111" width="12.1640625" bestFit="1" customWidth="1"/>
    <col min="112" max="112" width="7.33203125" bestFit="1" customWidth="1"/>
    <col min="113" max="115" width="12.1640625" bestFit="1" customWidth="1"/>
    <col min="116" max="116" width="12.33203125" bestFit="1" customWidth="1"/>
    <col min="117" max="119" width="12.1640625" bestFit="1" customWidth="1"/>
    <col min="120" max="122" width="12.1640625" customWidth="1"/>
    <col min="124" max="124" width="20.6640625" bestFit="1" customWidth="1"/>
    <col min="125" max="125" width="7.6640625" bestFit="1" customWidth="1"/>
    <col min="126" max="128" width="12.1640625" bestFit="1" customWidth="1"/>
    <col min="129" max="129" width="7.33203125" bestFit="1" customWidth="1"/>
    <col min="130" max="132" width="12.1640625" bestFit="1" customWidth="1"/>
    <col min="133" max="133" width="12.33203125" bestFit="1" customWidth="1"/>
    <col min="134" max="136" width="12.1640625" bestFit="1" customWidth="1"/>
    <col min="137" max="139" width="12.1640625" customWidth="1"/>
    <col min="141" max="141" width="7" bestFit="1" customWidth="1"/>
    <col min="142" max="142" width="7.6640625" bestFit="1" customWidth="1"/>
    <col min="143" max="143" width="6.1640625" bestFit="1" customWidth="1"/>
    <col min="144" max="144" width="8.5" bestFit="1" customWidth="1"/>
    <col min="145" max="145" width="8.6640625" bestFit="1" customWidth="1"/>
    <col min="146" max="146" width="7.33203125" bestFit="1" customWidth="1"/>
    <col min="147" max="147" width="6.6640625" bestFit="1" customWidth="1"/>
    <col min="148" max="148" width="9" bestFit="1" customWidth="1"/>
    <col min="149" max="149" width="9.33203125" bestFit="1" customWidth="1"/>
    <col min="150" max="150" width="12.33203125" bestFit="1" customWidth="1"/>
    <col min="151" max="151" width="7.1640625" bestFit="1" customWidth="1"/>
    <col min="152" max="153" width="11.5" bestFit="1" customWidth="1"/>
    <col min="154" max="156" width="11.5" customWidth="1"/>
    <col min="158" max="158" width="7" bestFit="1" customWidth="1"/>
    <col min="159" max="159" width="7.6640625" bestFit="1" customWidth="1"/>
    <col min="160" max="160" width="6.1640625" bestFit="1" customWidth="1"/>
    <col min="161" max="161" width="8.5" bestFit="1" customWidth="1"/>
    <col min="162" max="162" width="8.6640625" bestFit="1" customWidth="1"/>
    <col min="163" max="163" width="7.33203125" bestFit="1" customWidth="1"/>
    <col min="164" max="164" width="6.6640625" bestFit="1" customWidth="1"/>
    <col min="165" max="165" width="9" bestFit="1" customWidth="1"/>
    <col min="166" max="166" width="9.33203125" bestFit="1" customWidth="1"/>
    <col min="167" max="167" width="12.33203125" bestFit="1" customWidth="1"/>
    <col min="168" max="168" width="7.1640625" bestFit="1" customWidth="1"/>
    <col min="169" max="170" width="11.5" bestFit="1" customWidth="1"/>
    <col min="171" max="173" width="11.5" customWidth="1"/>
    <col min="176" max="176" width="12.1640625" bestFit="1" customWidth="1"/>
  </cols>
  <sheetData>
    <row r="1" spans="1:26" ht="22" x14ac:dyDescent="0.3">
      <c r="A1" s="3" t="str" cm="1">
        <f t="array" aca="1" ref="A1" ca="1">MID(CELL("filename"),SEARCH("[",CELL("filename"))+1,SEARCH("]",CELL("filename"))-SEARCH("[",CELL("filename"))-1)</f>
        <v>BB-Rnd-v-Evol.xlsx</v>
      </c>
      <c r="B1" s="3"/>
      <c r="U1" s="4"/>
      <c r="V1" s="4"/>
    </row>
    <row r="3" spans="1:26" x14ac:dyDescent="0.2">
      <c r="A3" s="4" t="s">
        <v>312</v>
      </c>
      <c r="B3" s="6">
        <f>COUNT(AB:AB)</f>
        <v>0</v>
      </c>
      <c r="C3" s="4" t="s">
        <v>313</v>
      </c>
      <c r="D3" s="6">
        <f>MAX(B68:B300)</f>
        <v>756</v>
      </c>
      <c r="E3" s="4" t="s">
        <v>314</v>
      </c>
      <c r="F3" s="6">
        <f>MIN(B68:B300)</f>
        <v>756</v>
      </c>
      <c r="M3" s="7"/>
    </row>
    <row r="4" spans="1:26" x14ac:dyDescent="0.2">
      <c r="A4" s="4" t="s">
        <v>315</v>
      </c>
      <c r="B4" s="6">
        <f>SUM(C68:C188)</f>
        <v>3400</v>
      </c>
      <c r="C4" s="4" t="s">
        <v>316</v>
      </c>
      <c r="D4" s="6">
        <f>B4</f>
        <v>3400</v>
      </c>
    </row>
    <row r="5" spans="1:26" x14ac:dyDescent="0.2">
      <c r="A5" s="8" t="s">
        <v>317</v>
      </c>
      <c r="M5" s="8"/>
    </row>
    <row r="6" spans="1:26" x14ac:dyDescent="0.2">
      <c r="B6" s="7" t="s">
        <v>360</v>
      </c>
      <c r="C6" s="7" t="s">
        <v>346</v>
      </c>
      <c r="D6" s="7" t="s">
        <v>348</v>
      </c>
      <c r="E6" s="7"/>
      <c r="F6" s="7"/>
      <c r="G6" s="7"/>
      <c r="H6" s="7"/>
      <c r="I6" s="7"/>
      <c r="N6" s="7"/>
      <c r="O6" s="7"/>
      <c r="P6" s="7"/>
      <c r="Q6" s="7"/>
      <c r="R6" s="7"/>
      <c r="S6" s="7"/>
      <c r="T6" s="7"/>
      <c r="U6" s="7"/>
      <c r="Y6" s="7"/>
      <c r="Z6" s="7"/>
    </row>
    <row r="7" spans="1:26" x14ac:dyDescent="0.2">
      <c r="A7" s="7" t="s">
        <v>363</v>
      </c>
      <c r="B7">
        <f ca="1">COUNT(M:M)</f>
        <v>100</v>
      </c>
      <c r="C7">
        <f ca="1">COUNT(N:N)</f>
        <v>100</v>
      </c>
      <c r="D7">
        <f ca="1">COUNT(O:O)</f>
        <v>100</v>
      </c>
      <c r="H7" s="9"/>
      <c r="I7" s="9"/>
      <c r="J7" s="10" t="s">
        <v>319</v>
      </c>
      <c r="K7" s="9"/>
      <c r="M7" s="7"/>
      <c r="S7" s="10"/>
    </row>
    <row r="8" spans="1:26" x14ac:dyDescent="0.2">
      <c r="A8" s="7" t="s">
        <v>364</v>
      </c>
      <c r="B8">
        <f ca="1">COUNTIF(I:I,0)</f>
        <v>4</v>
      </c>
      <c r="C8">
        <f ca="1">COUNTIF(J:J,0)</f>
        <v>2</v>
      </c>
      <c r="D8">
        <f ca="1">COUNTIF(K:K,0)</f>
        <v>57</v>
      </c>
      <c r="J8" s="10" t="s">
        <v>319</v>
      </c>
      <c r="M8" s="7"/>
      <c r="S8" s="10"/>
    </row>
    <row r="9" spans="1:26" x14ac:dyDescent="0.2">
      <c r="A9" s="7" t="s">
        <v>321</v>
      </c>
      <c r="B9" s="1">
        <f ca="1">IF(B7,B8/B7,"")</f>
        <v>0.04</v>
      </c>
      <c r="C9" s="1">
        <f ca="1">IF(C7,C8/C7,"")</f>
        <v>0.02</v>
      </c>
      <c r="D9" s="1">
        <f ca="1">IF(D7,D8/D7,"")</f>
        <v>0.56999999999999995</v>
      </c>
      <c r="G9" s="1"/>
      <c r="H9" s="11"/>
      <c r="I9" s="11"/>
      <c r="J9" s="10" t="s">
        <v>322</v>
      </c>
      <c r="M9" s="7"/>
      <c r="N9" s="1"/>
      <c r="S9" s="10"/>
    </row>
    <row r="10" spans="1:26" x14ac:dyDescent="0.2">
      <c r="A10" s="7" t="s">
        <v>472</v>
      </c>
      <c r="B10">
        <f ca="1">SUM(I:I)/B7</f>
        <v>7.2</v>
      </c>
      <c r="C10">
        <f t="shared" ref="C10:D10" ca="1" si="0">SUM(J:J)/C7</f>
        <v>7.88</v>
      </c>
      <c r="D10">
        <f t="shared" ca="1" si="0"/>
        <v>1.22</v>
      </c>
      <c r="H10" s="5"/>
      <c r="I10" s="5"/>
      <c r="J10" s="10" t="s">
        <v>473</v>
      </c>
      <c r="M10" s="12"/>
      <c r="O10" s="5"/>
      <c r="P10" s="5"/>
      <c r="Q10" s="5"/>
      <c r="R10" s="5"/>
      <c r="S10" s="13"/>
      <c r="T10" s="5"/>
      <c r="U10" s="5"/>
      <c r="Y10" s="5"/>
      <c r="Z10" s="5"/>
    </row>
    <row r="11" spans="1:26" x14ac:dyDescent="0.2">
      <c r="A11" s="7" t="s">
        <v>323</v>
      </c>
      <c r="B11" s="11"/>
      <c r="C11" s="11">
        <f ca="1">SUM(V:V)</f>
        <v>1000000</v>
      </c>
      <c r="D11" s="11">
        <f ca="1">SUM(W:W)</f>
        <v>1000000</v>
      </c>
      <c r="G11" s="11"/>
      <c r="H11" s="14"/>
      <c r="I11" s="14"/>
      <c r="J11" s="10" t="s">
        <v>319</v>
      </c>
      <c r="M11" s="15"/>
      <c r="N11" s="11"/>
      <c r="O11" s="5"/>
      <c r="P11" s="5"/>
      <c r="Q11" s="5"/>
      <c r="R11" s="5"/>
      <c r="S11" s="13"/>
      <c r="T11" s="5"/>
      <c r="U11" s="5"/>
      <c r="Y11" s="5"/>
      <c r="Z11" s="5"/>
    </row>
    <row r="12" spans="1:26" x14ac:dyDescent="0.2">
      <c r="A12" s="7" t="s">
        <v>324</v>
      </c>
      <c r="C12">
        <f ca="1">SUM(Z:Z)</f>
        <v>2</v>
      </c>
      <c r="D12">
        <f ca="1">SUM(AA:AA)</f>
        <v>158898</v>
      </c>
      <c r="J12" s="10" t="s">
        <v>319</v>
      </c>
      <c r="M12" s="7"/>
      <c r="S12" s="10"/>
    </row>
    <row r="13" spans="1:26" x14ac:dyDescent="0.2">
      <c r="A13" s="7" t="s">
        <v>325</v>
      </c>
      <c r="B13" s="1"/>
      <c r="C13" s="1">
        <f ca="1">IF(C12,C12/C11,"")</f>
        <v>1.9999999999999999E-6</v>
      </c>
      <c r="D13" s="1">
        <f ca="1">IF(D12,D12/D11,"")</f>
        <v>0.15889800000000001</v>
      </c>
      <c r="G13" s="1"/>
      <c r="H13" s="11"/>
      <c r="I13" s="11"/>
      <c r="J13" s="10" t="s">
        <v>322</v>
      </c>
      <c r="M13" s="7"/>
      <c r="N13" s="1"/>
      <c r="S13" s="10"/>
    </row>
    <row r="14" spans="1:26" x14ac:dyDescent="0.2">
      <c r="A14" s="7" t="s">
        <v>326</v>
      </c>
      <c r="B14" s="5">
        <f ca="1">SUM(M:M)</f>
        <v>1149.3475830409948</v>
      </c>
      <c r="C14" s="5">
        <f ca="1">SUM(N:N)</f>
        <v>14208.769191841558</v>
      </c>
      <c r="D14" s="5">
        <f ca="1">SUM(O:O)</f>
        <v>13855.731485076209</v>
      </c>
      <c r="G14" s="5"/>
      <c r="H14" s="1"/>
      <c r="I14" s="1"/>
      <c r="J14" s="13" t="s">
        <v>327</v>
      </c>
      <c r="M14" s="7"/>
      <c r="N14" s="5"/>
      <c r="O14" s="11"/>
      <c r="P14" s="11"/>
      <c r="Q14" s="11"/>
      <c r="R14" s="11"/>
      <c r="S14" s="10"/>
      <c r="Y14" s="11"/>
      <c r="Z14" s="11"/>
    </row>
    <row r="15" spans="1:26" x14ac:dyDescent="0.2">
      <c r="A15" s="7" t="s">
        <v>328</v>
      </c>
      <c r="B15" s="14"/>
      <c r="C15" s="14">
        <f ca="1">IF(C11,C14/C11,"")</f>
        <v>1.4208769191841558E-2</v>
      </c>
      <c r="D15" s="14">
        <f ca="1">IF(D11,D14/D11,"")</f>
        <v>1.3855731485076208E-2</v>
      </c>
      <c r="G15" s="14"/>
      <c r="H15" s="11"/>
      <c r="I15" s="11"/>
      <c r="J15" s="13" t="s">
        <v>327</v>
      </c>
      <c r="M15" s="15"/>
      <c r="N15" s="14"/>
      <c r="O15" s="1"/>
      <c r="P15" s="1"/>
      <c r="Q15" s="1"/>
      <c r="R15" s="1"/>
      <c r="S15" s="10"/>
      <c r="T15" s="11"/>
      <c r="U15" s="11"/>
      <c r="Y15" s="1"/>
      <c r="Z15" s="1"/>
    </row>
    <row r="16" spans="1:26" x14ac:dyDescent="0.2">
      <c r="A16" s="7" t="s">
        <v>329</v>
      </c>
      <c r="B16" s="14"/>
      <c r="C16" s="14">
        <f ca="1">IF(C12,C14/C12,"")</f>
        <v>7104.3845959207792</v>
      </c>
      <c r="D16" s="14">
        <f t="shared" ref="D16" ca="1" si="1">IF(D12,D14/D12,"")</f>
        <v>8.719890423464241E-2</v>
      </c>
      <c r="G16" s="14"/>
      <c r="H16" s="11"/>
      <c r="I16" s="11"/>
      <c r="J16" s="13" t="s">
        <v>327</v>
      </c>
      <c r="M16" s="15"/>
      <c r="N16" s="14"/>
      <c r="O16" s="1"/>
      <c r="P16" s="1"/>
      <c r="Q16" s="1"/>
      <c r="R16" s="1"/>
      <c r="S16" s="10"/>
      <c r="T16" s="11"/>
      <c r="U16" s="11"/>
      <c r="Y16" s="1"/>
      <c r="Z16" s="1"/>
    </row>
    <row r="17" spans="1:180" x14ac:dyDescent="0.2">
      <c r="A17" s="7"/>
      <c r="B17" s="1"/>
      <c r="C17" s="1"/>
      <c r="D17" s="1"/>
      <c r="E17" s="1"/>
      <c r="F17" s="1"/>
      <c r="G17" s="1"/>
      <c r="H17" s="1"/>
      <c r="I17" s="1"/>
      <c r="J17" s="10"/>
      <c r="M17" s="5"/>
      <c r="N17" s="5"/>
      <c r="O17" s="5"/>
      <c r="P17" s="5"/>
    </row>
    <row r="18" spans="1:180" x14ac:dyDescent="0.2">
      <c r="L18" s="5"/>
      <c r="M18" s="5"/>
      <c r="N18" s="5"/>
      <c r="O18" s="5"/>
      <c r="P18" s="5"/>
    </row>
    <row r="19" spans="1:180" hidden="1" x14ac:dyDescent="0.2">
      <c r="A19" s="7"/>
      <c r="B19" s="7"/>
      <c r="O19" s="5"/>
      <c r="P19" s="5"/>
    </row>
    <row r="20" spans="1:180" hidden="1" x14ac:dyDescent="0.2">
      <c r="O20" s="5"/>
      <c r="P20" s="5"/>
      <c r="FW20" s="1"/>
      <c r="FX20" s="5"/>
    </row>
    <row r="21" spans="1:180" ht="19" hidden="1" x14ac:dyDescent="0.25">
      <c r="A21" s="16"/>
      <c r="B21" s="16"/>
      <c r="C21" s="16"/>
      <c r="D21" s="16"/>
      <c r="E21" s="16"/>
      <c r="F21" s="16"/>
      <c r="G21" s="16"/>
      <c r="H21" s="16"/>
      <c r="I21" s="16"/>
      <c r="K21" s="16"/>
      <c r="L21" s="16"/>
      <c r="M21" s="16"/>
      <c r="N21" s="16"/>
      <c r="O21" s="5"/>
      <c r="P21" s="5"/>
      <c r="FW21" s="1"/>
      <c r="FX21" s="5"/>
    </row>
    <row r="22" spans="1:180" hidden="1" x14ac:dyDescent="0.2">
      <c r="O22" s="5"/>
      <c r="P22" s="5"/>
      <c r="FW22" s="1"/>
      <c r="FX22" s="5"/>
    </row>
    <row r="23" spans="1:180" hidden="1" x14ac:dyDescent="0.2">
      <c r="O23" s="5"/>
      <c r="P23" s="5"/>
      <c r="FW23" s="1"/>
      <c r="FX23" s="5"/>
    </row>
    <row r="24" spans="1:180" hidden="1" x14ac:dyDescent="0.2">
      <c r="O24" s="5"/>
      <c r="P24" s="5"/>
      <c r="FW24" s="1"/>
      <c r="FX24" s="5"/>
    </row>
    <row r="25" spans="1:180" hidden="1" x14ac:dyDescent="0.2">
      <c r="O25" s="5"/>
      <c r="P25" s="5"/>
      <c r="FW25" s="1"/>
      <c r="FX25" s="5"/>
    </row>
    <row r="26" spans="1:180" hidden="1" x14ac:dyDescent="0.2">
      <c r="O26" s="5"/>
      <c r="P26" s="5"/>
      <c r="FW26" s="1"/>
      <c r="FX26" s="5"/>
    </row>
    <row r="27" spans="1:180" hidden="1" x14ac:dyDescent="0.2">
      <c r="O27" s="5"/>
      <c r="P27" s="5"/>
      <c r="FW27" s="1"/>
      <c r="FX27" s="5"/>
    </row>
    <row r="28" spans="1:180" hidden="1" x14ac:dyDescent="0.2">
      <c r="O28" s="5"/>
      <c r="P28" s="5"/>
      <c r="FW28" s="1"/>
      <c r="FX28" s="5"/>
    </row>
    <row r="29" spans="1:180" hidden="1" x14ac:dyDescent="0.2">
      <c r="O29" s="5"/>
      <c r="P29" s="5"/>
      <c r="FW29" s="1"/>
      <c r="FX29" s="5"/>
    </row>
    <row r="30" spans="1:180" hidden="1" x14ac:dyDescent="0.2">
      <c r="FW30" s="1"/>
      <c r="FX30" s="5"/>
    </row>
    <row r="31" spans="1:180" hidden="1" x14ac:dyDescent="0.2">
      <c r="FW31" s="1"/>
      <c r="FX31" s="5"/>
    </row>
    <row r="32" spans="1:180" hidden="1" x14ac:dyDescent="0.2">
      <c r="FW32" s="1"/>
      <c r="FX32" s="5"/>
    </row>
    <row r="33" spans="1:180" hidden="1" x14ac:dyDescent="0.2">
      <c r="FW33" s="1"/>
      <c r="FX33" s="5"/>
    </row>
    <row r="34" spans="1:180" hidden="1" x14ac:dyDescent="0.2">
      <c r="FW34" s="1"/>
      <c r="FX34" s="5" t="str">
        <f t="shared" ref="FX34:FX38" si="2">IF(FU34,FT34/FU34,"")</f>
        <v/>
      </c>
    </row>
    <row r="35" spans="1:180" hidden="1" x14ac:dyDescent="0.2">
      <c r="FW35" s="1"/>
      <c r="FX35" s="5" t="str">
        <f t="shared" si="2"/>
        <v/>
      </c>
    </row>
    <row r="36" spans="1:180" hidden="1" x14ac:dyDescent="0.2">
      <c r="FW36" s="1"/>
      <c r="FX36" s="5" t="str">
        <f t="shared" si="2"/>
        <v/>
      </c>
    </row>
    <row r="37" spans="1:180" hidden="1" x14ac:dyDescent="0.2">
      <c r="FW37" s="1"/>
      <c r="FX37" s="5" t="str">
        <f t="shared" si="2"/>
        <v/>
      </c>
    </row>
    <row r="38" spans="1:180" hidden="1" x14ac:dyDescent="0.2">
      <c r="FW38" s="1"/>
      <c r="FX38" s="5" t="str">
        <f t="shared" si="2"/>
        <v/>
      </c>
    </row>
    <row r="39" spans="1:180" hidden="1" x14ac:dyDescent="0.2">
      <c r="FW39" s="1"/>
      <c r="FX39" s="5"/>
    </row>
    <row r="40" spans="1:180" hidden="1" x14ac:dyDescent="0.2">
      <c r="FW40" s="1"/>
      <c r="FX40" s="5"/>
    </row>
    <row r="41" spans="1:180" hidden="1" x14ac:dyDescent="0.2">
      <c r="FW41" s="1"/>
      <c r="FX41" s="5"/>
    </row>
    <row r="43" spans="1:180" x14ac:dyDescent="0.2">
      <c r="A43" t="s">
        <v>330</v>
      </c>
    </row>
    <row r="44" spans="1:180" x14ac:dyDescent="0.2">
      <c r="A44" t="s">
        <v>331</v>
      </c>
      <c r="B44" t="s">
        <v>332</v>
      </c>
      <c r="C44" t="s">
        <v>332</v>
      </c>
      <c r="D44" t="s">
        <v>332</v>
      </c>
      <c r="G44" t="s">
        <v>333</v>
      </c>
      <c r="H44" t="s">
        <v>334</v>
      </c>
    </row>
    <row r="45" spans="1:180" x14ac:dyDescent="0.2">
      <c r="A45" t="str">
        <f>A2&amp;" &amp;"</f>
        <v xml:space="preserve"> &amp;</v>
      </c>
      <c r="B45" t="str">
        <f>"\textbf{"&amp;B6&amp;"}"&amp;IF(C45="\\",""," &amp;")</f>
        <v>\textbf{m4riRW} &amp;</v>
      </c>
      <c r="C45" t="str">
        <f>"\textbf{"&amp;C6&amp;"}"&amp;IF(D45="\\",""," &amp;")</f>
        <v>\textbf{QDistRndMW} &amp;</v>
      </c>
      <c r="D45" t="str">
        <f>"\textbf{"&amp;D6&amp;"}"&amp;IF(E45="\\",""," &amp;")</f>
        <v>\textbf{QDistEvol} &amp;</v>
      </c>
      <c r="G45" s="17" t="s">
        <v>335</v>
      </c>
      <c r="H45" t="s">
        <v>334</v>
      </c>
      <c r="S45" s="17"/>
      <c r="V45" s="17"/>
    </row>
    <row r="46" spans="1:180" x14ac:dyDescent="0.2">
      <c r="A46" t="str">
        <f t="shared" ref="A46:A55" si="3">"\textbf{"&amp;A7&amp;"} &amp;"</f>
        <v>\textbf{Runs completed} &amp;</v>
      </c>
      <c r="B46" t="str">
        <f t="shared" ref="B46" ca="1" si="4">SUBSTITUTE(TEXT(B7,$J7)&amp;IF(C46="\\",""," &amp;"),"%","\%")</f>
        <v>100 &amp;</v>
      </c>
      <c r="C46" t="str">
        <f t="shared" ref="C46:D46" ca="1" si="5">SUBSTITUTE(TEXT(C7,$J7)&amp;IF(D46="\\",""," &amp;"),"%","\%")</f>
        <v>100 &amp;</v>
      </c>
      <c r="D46" t="str">
        <f t="shared" ca="1" si="5"/>
        <v>100 &amp;</v>
      </c>
      <c r="G46" s="17" t="s">
        <v>335</v>
      </c>
      <c r="S46" s="17"/>
      <c r="V46" s="17"/>
    </row>
    <row r="47" spans="1:180" x14ac:dyDescent="0.2">
      <c r="A47" t="str">
        <f t="shared" si="3"/>
        <v>\textbf{Runs at lowest distance} &amp;</v>
      </c>
      <c r="B47" t="str">
        <f t="shared" ref="B47" ca="1" si="6">SUBSTITUTE(TEXT(B8,$J8)&amp;IF(C47="\\",""," &amp;"),"%","\%")</f>
        <v>4 &amp;</v>
      </c>
      <c r="C47" t="str">
        <f t="shared" ref="C47:D47" ca="1" si="7">SUBSTITUTE(TEXT(C8,$J8)&amp;IF(D47="\\",""," &amp;"),"%","\%")</f>
        <v>2 &amp;</v>
      </c>
      <c r="D47" t="str">
        <f t="shared" ca="1" si="7"/>
        <v>57 &amp;</v>
      </c>
      <c r="G47" s="17" t="s">
        <v>335</v>
      </c>
      <c r="S47" s="17"/>
      <c r="V47" s="17"/>
    </row>
    <row r="48" spans="1:180" x14ac:dyDescent="0.2">
      <c r="A48" t="str">
        <f t="shared" si="3"/>
        <v>\textbf{Overall Success Rate} &amp;</v>
      </c>
      <c r="B48" t="str">
        <f t="shared" ref="B48" ca="1" si="8">SUBSTITUTE(TEXT(B9,$J9)&amp;IF(C48="\\",""," &amp;"),"%","\%")</f>
        <v>4.0\% &amp;</v>
      </c>
      <c r="C48" t="str">
        <f t="shared" ref="C48:D48" ca="1" si="9">SUBSTITUTE(TEXT(C9,$J9)&amp;IF(D48="\\",""," &amp;"),"%","\%")</f>
        <v>2.0\% &amp;</v>
      </c>
      <c r="D48" t="str">
        <f t="shared" ca="1" si="9"/>
        <v>57.0\% &amp;</v>
      </c>
      <c r="G48" s="17" t="s">
        <v>335</v>
      </c>
      <c r="S48" s="17"/>
      <c r="V48" s="17"/>
    </row>
    <row r="49" spans="1:180" x14ac:dyDescent="0.2">
      <c r="A49" t="str">
        <f t="shared" si="3"/>
        <v>\textbf{Avg Delta d} &amp;</v>
      </c>
      <c r="B49" t="str">
        <f t="shared" ref="B49" ca="1" si="10">SUBSTITUTE(TEXT(B10,$J10)&amp;IF(C49="\\",""," &amp;"),"%","\%")</f>
        <v>7.2 &amp;</v>
      </c>
      <c r="C49" t="str">
        <f t="shared" ref="C49:D49" ca="1" si="11">SUBSTITUTE(TEXT(C10,$J10)&amp;IF(D49="\\",""," &amp;"),"%","\%")</f>
        <v>7.9 &amp;</v>
      </c>
      <c r="D49" t="str">
        <f t="shared" ca="1" si="11"/>
        <v>1.2 &amp;</v>
      </c>
      <c r="G49" s="17" t="s">
        <v>335</v>
      </c>
      <c r="H49" t="s">
        <v>334</v>
      </c>
      <c r="S49" s="17"/>
      <c r="V49" s="17"/>
    </row>
    <row r="50" spans="1:180" x14ac:dyDescent="0.2">
      <c r="A50" t="str">
        <f t="shared" si="3"/>
        <v>\textbf{Trials} &amp;</v>
      </c>
      <c r="B50" t="str">
        <f t="shared" ref="B50" ca="1" si="12">SUBSTITUTE(TEXT(B11,$J11)&amp;IF(C50="\\",""," &amp;"),"%","\%")</f>
        <v xml:space="preserve"> &amp;</v>
      </c>
      <c r="C50" t="str">
        <f t="shared" ref="C50:D50" ca="1" si="13">SUBSTITUTE(TEXT(C11,$J11)&amp;IF(D50="\\",""," &amp;"),"%","\%")</f>
        <v>1,000,000 &amp;</v>
      </c>
      <c r="D50" t="str">
        <f t="shared" ca="1" si="13"/>
        <v>1,000,000 &amp;</v>
      </c>
      <c r="G50" s="17" t="s">
        <v>335</v>
      </c>
      <c r="S50" s="17"/>
      <c r="V50" s="17"/>
    </row>
    <row r="51" spans="1:180" x14ac:dyDescent="0.2">
      <c r="A51" t="str">
        <f t="shared" si="3"/>
        <v>\textbf{Trials at lowest distance} &amp;</v>
      </c>
      <c r="B51" t="str">
        <f t="shared" ref="B51" ca="1" si="14">SUBSTITUTE(TEXT(B12,$J12)&amp;IF(C51="\\",""," &amp;"),"%","\%")</f>
        <v xml:space="preserve"> &amp;</v>
      </c>
      <c r="C51" t="str">
        <f t="shared" ref="C51:D51" ca="1" si="15">SUBSTITUTE(TEXT(C12,$J12)&amp;IF(D51="\\",""," &amp;"),"%","\%")</f>
        <v>2 &amp;</v>
      </c>
      <c r="D51" t="str">
        <f t="shared" ca="1" si="15"/>
        <v>158,898 &amp;</v>
      </c>
      <c r="G51" s="17" t="s">
        <v>335</v>
      </c>
      <c r="S51" s="17"/>
      <c r="V51" s="17"/>
    </row>
    <row r="52" spans="1:180" x14ac:dyDescent="0.2">
      <c r="A52" t="str">
        <f t="shared" si="3"/>
        <v>\textbf{Trial Success Rate} &amp;</v>
      </c>
      <c r="B52" t="str">
        <f t="shared" ref="B52" ca="1" si="16">SUBSTITUTE(TEXT(B13,$J13)&amp;IF(C52="\\",""," &amp;"),"%","\%")</f>
        <v xml:space="preserve"> &amp;</v>
      </c>
      <c r="C52" t="str">
        <f t="shared" ref="C52:D52" ca="1" si="17">SUBSTITUTE(TEXT(C13,$J13)&amp;IF(D52="\\",""," &amp;"),"%","\%")</f>
        <v>0.0\% &amp;</v>
      </c>
      <c r="D52" t="str">
        <f t="shared" ca="1" si="17"/>
        <v>15.9\% &amp;</v>
      </c>
      <c r="G52" s="17" t="s">
        <v>335</v>
      </c>
      <c r="H52" t="s">
        <v>334</v>
      </c>
      <c r="S52" s="17"/>
      <c r="V52" s="17"/>
    </row>
    <row r="53" spans="1:180" x14ac:dyDescent="0.2">
      <c r="A53" t="str">
        <f t="shared" si="3"/>
        <v>\textbf{Total Processing Time (s)} &amp;</v>
      </c>
      <c r="B53" t="str">
        <f t="shared" ref="B53" ca="1" si="18">SUBSTITUTE(TEXT(B14,$J14)&amp;IF(C53="\\",""," &amp;"),"%","\%")</f>
        <v>1.1E+03 &amp;</v>
      </c>
      <c r="C53" t="str">
        <f t="shared" ref="C53:D53" ca="1" si="19">SUBSTITUTE(TEXT(C14,$J14)&amp;IF(D53="\\",""," &amp;"),"%","\%")</f>
        <v>1.4E+04 &amp;</v>
      </c>
      <c r="D53" t="str">
        <f t="shared" ca="1" si="19"/>
        <v>1.4E+04 &amp;</v>
      </c>
      <c r="G53" s="17" t="s">
        <v>335</v>
      </c>
      <c r="S53" s="17"/>
      <c r="V53" s="17"/>
    </row>
    <row r="54" spans="1:180" x14ac:dyDescent="0.2">
      <c r="A54" t="str">
        <f t="shared" si="3"/>
        <v>\textbf{Time/Trial} &amp;</v>
      </c>
      <c r="B54" t="str">
        <f t="shared" ref="B54" ca="1" si="20">SUBSTITUTE(TEXT(B15,$J15)&amp;IF(C54="\\",""," &amp;"),"%","\%")</f>
        <v xml:space="preserve"> &amp;</v>
      </c>
      <c r="C54" t="str">
        <f t="shared" ref="C54:D54" ca="1" si="21">SUBSTITUTE(TEXT(C15,$J15)&amp;IF(D54="\\",""," &amp;"),"%","\%")</f>
        <v>1.4E-02 &amp;</v>
      </c>
      <c r="D54" t="str">
        <f t="shared" ca="1" si="21"/>
        <v>1.4E-02 &amp;</v>
      </c>
      <c r="G54" s="17" t="s">
        <v>335</v>
      </c>
      <c r="V54" s="17"/>
    </row>
    <row r="55" spans="1:180" x14ac:dyDescent="0.2">
      <c r="A55" t="str">
        <f t="shared" si="3"/>
        <v>\textbf{Time/Successful Trial} &amp;</v>
      </c>
      <c r="B55" t="str">
        <f t="shared" ref="B55" ca="1" si="22">SUBSTITUTE(TEXT(B16,$J16)&amp;IF(C55="\\",""," &amp;"),"%","\%")</f>
        <v xml:space="preserve"> &amp;</v>
      </c>
      <c r="C55" t="str">
        <f t="shared" ref="C55:D55" ca="1" si="23">SUBSTITUTE(TEXT(C16,$J16)&amp;IF(D55="\\",""," &amp;"),"%","\%")</f>
        <v>7.1E+03 &amp;</v>
      </c>
      <c r="D55" t="str">
        <f t="shared" ca="1" si="23"/>
        <v>8.7E-02 &amp;</v>
      </c>
      <c r="G55" s="17" t="s">
        <v>335</v>
      </c>
      <c r="H55" t="s">
        <v>334</v>
      </c>
      <c r="V55" s="17"/>
    </row>
    <row r="56" spans="1:180" x14ac:dyDescent="0.2">
      <c r="A56" t="s">
        <v>336</v>
      </c>
      <c r="I56" s="17"/>
      <c r="V56" s="17"/>
    </row>
    <row r="57" spans="1:180" x14ac:dyDescent="0.2">
      <c r="A57" t="s">
        <v>337</v>
      </c>
      <c r="J57" s="17"/>
      <c r="V57" s="17"/>
    </row>
    <row r="59" spans="1:180" x14ac:dyDescent="0.2">
      <c r="V59" s="1"/>
      <c r="W59" s="5"/>
    </row>
    <row r="60" spans="1:180" x14ac:dyDescent="0.2">
      <c r="M60" s="7"/>
      <c r="N60" s="7"/>
      <c r="O60" s="7"/>
      <c r="V60" s="1"/>
      <c r="W60" s="5"/>
    </row>
    <row r="61" spans="1:180" x14ac:dyDescent="0.2">
      <c r="V61" s="1"/>
      <c r="W61" s="5"/>
    </row>
    <row r="62" spans="1:180" x14ac:dyDescent="0.2">
      <c r="E62" s="7"/>
      <c r="F62" s="7"/>
      <c r="G62" s="7"/>
      <c r="H62" s="7"/>
      <c r="I62" s="7"/>
      <c r="J62" s="7"/>
      <c r="K62" s="7"/>
      <c r="L62" s="7"/>
      <c r="M62" s="7"/>
      <c r="N62" s="7"/>
      <c r="O62" s="7"/>
      <c r="FW62" s="1"/>
      <c r="FX62" s="5"/>
    </row>
    <row r="63" spans="1:180" x14ac:dyDescent="0.2">
      <c r="FW63" s="1"/>
      <c r="FX63" s="5"/>
    </row>
    <row r="64" spans="1:180" x14ac:dyDescent="0.2">
      <c r="FW64" s="1"/>
      <c r="FX64" s="5"/>
    </row>
    <row r="65" spans="1:180" x14ac:dyDescent="0.2">
      <c r="A65" t="s">
        <v>338</v>
      </c>
      <c r="B65">
        <f>25-ROW(D68)</f>
        <v>-43</v>
      </c>
      <c r="E65" t="s">
        <v>467</v>
      </c>
      <c r="F65" t="str">
        <f>E65</f>
        <v>D</v>
      </c>
      <c r="G65" t="str">
        <f t="shared" ref="G65:L65" si="24">F65</f>
        <v>D</v>
      </c>
      <c r="H65" t="str">
        <f t="shared" si="24"/>
        <v>D</v>
      </c>
      <c r="I65" t="str">
        <f t="shared" si="24"/>
        <v>D</v>
      </c>
      <c r="J65" t="str">
        <f t="shared" si="24"/>
        <v>D</v>
      </c>
      <c r="K65" t="str">
        <f t="shared" si="24"/>
        <v>D</v>
      </c>
      <c r="L65" t="str">
        <f t="shared" si="24"/>
        <v>D</v>
      </c>
      <c r="M65" t="s">
        <v>468</v>
      </c>
      <c r="N65" t="str">
        <f t="shared" ref="N65:P65" si="25">M65</f>
        <v>F</v>
      </c>
      <c r="O65" t="str">
        <f t="shared" si="25"/>
        <v>F</v>
      </c>
      <c r="P65" t="str">
        <f t="shared" si="25"/>
        <v>F</v>
      </c>
      <c r="Q65" t="s">
        <v>469</v>
      </c>
      <c r="R65" t="str">
        <f t="shared" ref="R65:T65" si="26">Q65</f>
        <v>G</v>
      </c>
      <c r="S65" t="str">
        <f t="shared" si="26"/>
        <v>G</v>
      </c>
      <c r="T65" t="str">
        <f t="shared" si="26"/>
        <v>G</v>
      </c>
      <c r="U65" t="s">
        <v>470</v>
      </c>
      <c r="V65" t="str">
        <f t="shared" ref="V65:W65" si="27">U65</f>
        <v>H</v>
      </c>
      <c r="W65" t="str">
        <f t="shared" si="27"/>
        <v>H</v>
      </c>
      <c r="FW65" s="1"/>
      <c r="FX65" s="5"/>
    </row>
    <row r="66" spans="1:180" s="7" customFormat="1" x14ac:dyDescent="0.2">
      <c r="E66" s="7" t="s">
        <v>340</v>
      </c>
      <c r="I66" s="7" t="s">
        <v>27</v>
      </c>
      <c r="M66" s="7" t="s">
        <v>28</v>
      </c>
      <c r="Q66" s="7" t="s">
        <v>29</v>
      </c>
      <c r="U66" s="7" t="s">
        <v>30</v>
      </c>
      <c r="Y66" s="7" t="s">
        <v>365</v>
      </c>
      <c r="BU66" s="7" t="s">
        <v>343</v>
      </c>
      <c r="CL66" s="7" t="s">
        <v>310</v>
      </c>
      <c r="DC66" s="7" t="s">
        <v>344</v>
      </c>
      <c r="DT66" s="7" t="s">
        <v>345</v>
      </c>
      <c r="EK66" s="7" t="s">
        <v>29</v>
      </c>
      <c r="FB66" s="7" t="s">
        <v>30</v>
      </c>
      <c r="FT66"/>
      <c r="FU66"/>
      <c r="FV66"/>
      <c r="FW66" s="1"/>
      <c r="FX66" s="5"/>
    </row>
    <row r="67" spans="1:180" s="7" customFormat="1" x14ac:dyDescent="0.2">
      <c r="A67" s="7" t="s">
        <v>349</v>
      </c>
      <c r="B67" s="7" t="s">
        <v>24</v>
      </c>
      <c r="C67" s="7" t="s">
        <v>347</v>
      </c>
      <c r="E67" s="7" t="s">
        <v>471</v>
      </c>
      <c r="F67" s="7" t="s">
        <v>361</v>
      </c>
      <c r="G67" s="7" t="s">
        <v>362</v>
      </c>
      <c r="I67" s="7" t="str">
        <f>E67</f>
        <v>m4riRW_756</v>
      </c>
      <c r="J67" s="7" t="str">
        <f t="shared" ref="J67:K67" si="28">F67</f>
        <v>QDistRnd_756</v>
      </c>
      <c r="K67" s="7" t="str">
        <f t="shared" si="28"/>
        <v>QDistEvol_756</v>
      </c>
      <c r="M67" s="7" t="str">
        <f>I67</f>
        <v>m4riRW_756</v>
      </c>
      <c r="N67" s="7" t="str">
        <f t="shared" ref="N67" si="29">J67</f>
        <v>QDistRnd_756</v>
      </c>
      <c r="O67" s="7" t="str">
        <f t="shared" ref="O67" si="30">K67</f>
        <v>QDistEvol_756</v>
      </c>
      <c r="Q67" s="7" t="str">
        <f>M67</f>
        <v>m4riRW_756</v>
      </c>
      <c r="R67" s="7" t="str">
        <f t="shared" ref="R67" si="31">N67</f>
        <v>QDistRnd_756</v>
      </c>
      <c r="S67" s="7" t="str">
        <f t="shared" ref="S67" si="32">O67</f>
        <v>QDistEvol_756</v>
      </c>
      <c r="U67" s="7" t="str">
        <f>Q67</f>
        <v>m4riRW_756</v>
      </c>
      <c r="V67" s="7" t="str">
        <f t="shared" ref="V67" si="33">R67</f>
        <v>QDistRnd_756</v>
      </c>
      <c r="W67" s="7" t="str">
        <f t="shared" ref="W67" si="34">S67</f>
        <v>QDistEvol_756</v>
      </c>
      <c r="Y67" s="7" t="str">
        <f>U67</f>
        <v>m4riRW_756</v>
      </c>
      <c r="Z67" s="7" t="str">
        <f t="shared" ref="Z67" si="35">V67</f>
        <v>QDistRnd_756</v>
      </c>
      <c r="AA67" s="7" t="str">
        <f t="shared" ref="AA67" si="36">W67</f>
        <v>QDistEvol_756</v>
      </c>
      <c r="BU67" s="7">
        <f t="shared" ref="BU67:BW67" si="37">BD67</f>
        <v>0</v>
      </c>
      <c r="BV67" s="7">
        <f t="shared" si="37"/>
        <v>0</v>
      </c>
      <c r="BW67" s="7">
        <f t="shared" si="37"/>
        <v>0</v>
      </c>
      <c r="CL67" s="7">
        <f t="shared" ref="CL67:CN67" si="38">BU67</f>
        <v>0</v>
      </c>
      <c r="CM67" s="7">
        <f t="shared" si="38"/>
        <v>0</v>
      </c>
      <c r="CN67" s="7">
        <f t="shared" si="38"/>
        <v>0</v>
      </c>
      <c r="DC67" s="7">
        <f t="shared" ref="DC67:DE67" si="39">CL67</f>
        <v>0</v>
      </c>
      <c r="DD67" s="7">
        <f t="shared" si="39"/>
        <v>0</v>
      </c>
      <c r="DE67" s="7">
        <f t="shared" si="39"/>
        <v>0</v>
      </c>
      <c r="DT67" s="7">
        <f t="shared" ref="DT67:DV67" si="40">DC67</f>
        <v>0</v>
      </c>
      <c r="DU67" s="7">
        <f t="shared" si="40"/>
        <v>0</v>
      </c>
      <c r="DV67" s="7">
        <f t="shared" si="40"/>
        <v>0</v>
      </c>
      <c r="EK67" s="7">
        <f t="shared" ref="EK67:EM67" si="41">DT67</f>
        <v>0</v>
      </c>
      <c r="EL67" s="7">
        <f t="shared" si="41"/>
        <v>0</v>
      </c>
      <c r="EM67" s="7">
        <f t="shared" si="41"/>
        <v>0</v>
      </c>
      <c r="FB67" s="7">
        <f t="shared" ref="FB67:FD67" si="42">EK67</f>
        <v>0</v>
      </c>
      <c r="FC67" s="7">
        <f t="shared" si="42"/>
        <v>0</v>
      </c>
      <c r="FD67" s="7">
        <f t="shared" si="42"/>
        <v>0</v>
      </c>
      <c r="FS67" s="4"/>
      <c r="FT67" s="4"/>
      <c r="FU67"/>
      <c r="FV67"/>
      <c r="FW67"/>
      <c r="FX67"/>
    </row>
    <row r="68" spans="1:180" x14ac:dyDescent="0.2">
      <c r="A68" t="str">
        <f>QDistRnd_756_20251225!A28</f>
        <v>[[756,16,34]]</v>
      </c>
      <c r="B68">
        <f>QDistRnd_756_20251225!B28</f>
        <v>756</v>
      </c>
      <c r="C68">
        <v>34</v>
      </c>
      <c r="E68" cm="1">
        <f t="array" aca="1" ref="E68" ca="1">INDIRECT(E$67&amp;"!"&amp;E$65&amp;ROW(E28))</f>
        <v>38</v>
      </c>
      <c r="F68" cm="1">
        <f t="array" aca="1" ref="F68" ca="1">INDIRECT(F$67&amp;"!"&amp;F$65&amp;ROW(F32))</f>
        <v>40</v>
      </c>
      <c r="G68" cm="1">
        <f t="array" aca="1" ref="G68" ca="1">INDIRECT(G$67&amp;"!"&amp;G$65&amp;ROW(G32))</f>
        <v>34</v>
      </c>
      <c r="I68">
        <f ca="1">E68-$C68</f>
        <v>4</v>
      </c>
      <c r="J68">
        <f t="shared" ref="J68:J131" ca="1" si="43">F68-$C68</f>
        <v>6</v>
      </c>
      <c r="K68">
        <f t="shared" ref="K68:K131" ca="1" si="44">G68-$C68</f>
        <v>0</v>
      </c>
      <c r="M68" cm="1">
        <f t="array" aca="1" ref="M68" ca="1">INDIRECT(M$67&amp;"!"&amp;M$65&amp;ROW(M28))</f>
        <v>11.064749249999201</v>
      </c>
      <c r="N68" cm="1">
        <f t="array" aca="1" ref="N68" ca="1">INDIRECT(N$67&amp;"!"&amp;N$65&amp;ROW(N32))</f>
        <v>158.90274091344301</v>
      </c>
      <c r="O68" cm="1">
        <f t="array" aca="1" ref="O68" ca="1">INDIRECT(O$67&amp;"!"&amp;O$65&amp;ROW(O32))</f>
        <v>153.94660436641399</v>
      </c>
      <c r="Q68" cm="1">
        <f t="array" aca="1" ref="Q68" ca="1">INDIRECT(Q$67&amp;"!"&amp;Q$65&amp;ROW(Q28))</f>
        <v>1</v>
      </c>
      <c r="R68" cm="1">
        <f t="array" aca="1" ref="R68" ca="1">INDIRECT(R$67&amp;"!"&amp;R$65&amp;ROW(R32))</f>
        <v>1</v>
      </c>
      <c r="S68" cm="1">
        <f t="array" aca="1" ref="S68" ca="1">INDIRECT(S$67&amp;"!"&amp;S$65&amp;ROW(S32))</f>
        <v>3986</v>
      </c>
      <c r="U68" cm="1">
        <f t="array" aca="1" ref="U68" ca="1">INDIRECT(U$67&amp;"!"&amp;U$65&amp;ROW(U28))</f>
        <v>1</v>
      </c>
      <c r="V68" cm="1">
        <f t="array" aca="1" ref="V68" ca="1">INDIRECT(V$67&amp;"!"&amp;V$65&amp;ROW(V32))</f>
        <v>10000</v>
      </c>
      <c r="W68" cm="1">
        <f t="array" aca="1" ref="W68" ca="1">INDIRECT(W$67&amp;"!"&amp;W$65&amp;ROW(W32))</f>
        <v>10000</v>
      </c>
      <c r="Y68">
        <f ca="1">IF(I68=0,Q68,0)</f>
        <v>0</v>
      </c>
      <c r="Z68">
        <f t="shared" ref="Z68:AA131" ca="1" si="45">IF(J68=0,R68,0)</f>
        <v>0</v>
      </c>
      <c r="AA68">
        <f t="shared" ca="1" si="45"/>
        <v>3986</v>
      </c>
      <c r="BU68">
        <f>IF(BD68,#REF!,$B68)</f>
        <v>756</v>
      </c>
      <c r="BV68">
        <f t="shared" ref="BU68:BW87" si="46">IF(BE68,W68,$B68)</f>
        <v>756</v>
      </c>
      <c r="BW68">
        <f t="shared" si="46"/>
        <v>756</v>
      </c>
      <c r="CL68">
        <f t="shared" ref="CL68:CN87" si="47">IF(BU68=$C68,1,0)</f>
        <v>0</v>
      </c>
      <c r="CM68">
        <f t="shared" si="47"/>
        <v>0</v>
      </c>
      <c r="CN68">
        <f t="shared" si="47"/>
        <v>0</v>
      </c>
      <c r="DC68" t="str" cm="1">
        <f t="array" aca="1" ref="DC68" ca="1">IF(BD68,OFFSET(INDIRECT("'"&amp;DT$67&amp;"'!f1"),E68-1,),"")</f>
        <v/>
      </c>
      <c r="DD68" t="str" cm="1">
        <f t="array" aca="1" ref="DD68" ca="1">IF(BE68,OFFSET(INDIRECT("'"&amp;DU$67&amp;"'!f1"),F68-1,),"")</f>
        <v/>
      </c>
      <c r="DE68" t="str" cm="1">
        <f t="array" aca="1" ref="DE68" ca="1">IF(BF68,OFFSET(INDIRECT("'"&amp;DV$67&amp;"'!f1"),G68-1,),"")</f>
        <v/>
      </c>
      <c r="DT68" t="str" cm="1">
        <f t="array" aca="1" ref="DT68" ca="1">IF(CL68,OFFSET(INDIRECT("'"&amp;DT$67&amp;"'!f1"),E68-1,),"")</f>
        <v/>
      </c>
      <c r="DU68" t="str" cm="1">
        <f t="array" aca="1" ref="DU68" ca="1">IF(CM68,OFFSET(INDIRECT("'"&amp;DU$67&amp;"'!f1"),F68-1,),"")</f>
        <v/>
      </c>
      <c r="DV68" t="str" cm="1">
        <f t="array" aca="1" ref="DV68" ca="1">IF(CN68,OFFSET(INDIRECT("'"&amp;DV$67&amp;"'!f1"),G68-1,),"")</f>
        <v/>
      </c>
      <c r="EK68" t="e" cm="1">
        <f t="array" aca="1" ref="EK68" ca="1">IF(ISNA(E68),0,OFFSET(INDIRECT("'"&amp;EK$67&amp;"'!g1"),E68-1,)*CL68)</f>
        <v>#REF!</v>
      </c>
      <c r="EL68" t="e" cm="1">
        <f t="array" aca="1" ref="EL68" ca="1">IF(ISNA(F68),0,OFFSET(INDIRECT("'"&amp;EL$67&amp;"'!g1"),F68-1,)*CM68)</f>
        <v>#REF!</v>
      </c>
      <c r="EM68" t="e" cm="1">
        <f t="array" aca="1" ref="EM68" ca="1">IF(ISNA(G68),0,OFFSET(INDIRECT("'"&amp;EM$67&amp;"'!g1"),G68-1,)*CN68)</f>
        <v>#REF!</v>
      </c>
      <c r="FB68" s="18" t="e" cm="1">
        <f t="array" aca="1" ref="FB68" ca="1">IF(ISNA(E68),0,OFFSET(INDIRECT("'"&amp;EK$67&amp;"'!h1"),E68-1,))</f>
        <v>#REF!</v>
      </c>
      <c r="FC68" s="18" t="e" cm="1">
        <f t="array" aca="1" ref="FC68" ca="1">IF(ISNA(F68),0,OFFSET(INDIRECT("'"&amp;EL$67&amp;"'!h1"),F68-1,))</f>
        <v>#REF!</v>
      </c>
      <c r="FD68" s="18" t="e" cm="1">
        <f t="array" aca="1" ref="FD68" ca="1">IF(ISNA(G68),0,OFFSET(INDIRECT("'"&amp;EM$67&amp;"'!h1"),G68-1,))</f>
        <v>#REF!</v>
      </c>
      <c r="FE68" s="18"/>
      <c r="FF68" s="18"/>
      <c r="FG68" s="18"/>
      <c r="FH68" s="18"/>
      <c r="FI68" s="18"/>
      <c r="FJ68" s="18"/>
      <c r="FK68" s="18"/>
      <c r="FL68" s="18"/>
      <c r="FM68" s="18"/>
      <c r="FN68" s="18"/>
      <c r="FO68" s="18"/>
      <c r="FP68" s="18"/>
      <c r="FQ68" s="18"/>
      <c r="FW68" s="1"/>
      <c r="FX68" s="5"/>
    </row>
    <row r="69" spans="1:180" x14ac:dyDescent="0.2">
      <c r="A69" t="str">
        <f>QDistRnd_756_20251225!A29</f>
        <v>[[756,16,34]]</v>
      </c>
      <c r="B69">
        <f>QDistRnd_756_20251225!B29</f>
        <v>756</v>
      </c>
      <c r="C69">
        <v>34</v>
      </c>
      <c r="E69" cm="1">
        <f t="array" aca="1" ref="E69" ca="1">INDIRECT(E$67&amp;"!"&amp;E$65&amp;ROW(E29))</f>
        <v>46</v>
      </c>
      <c r="F69" cm="1">
        <f t="array" aca="1" ref="F69" ca="1">INDIRECT(F$67&amp;"!"&amp;F$65&amp;ROW(F33))</f>
        <v>42</v>
      </c>
      <c r="G69" cm="1">
        <f t="array" aca="1" ref="G69" ca="1">INDIRECT(G$67&amp;"!"&amp;G$65&amp;ROW(G33))</f>
        <v>36</v>
      </c>
      <c r="I69">
        <f t="shared" ref="I69:I132" ca="1" si="48">E69-$C69</f>
        <v>12</v>
      </c>
      <c r="J69">
        <f t="shared" ca="1" si="43"/>
        <v>8</v>
      </c>
      <c r="K69">
        <f t="shared" ca="1" si="44"/>
        <v>2</v>
      </c>
      <c r="M69" cm="1">
        <f t="array" aca="1" ref="M69" ca="1">INDIRECT(M$67&amp;"!"&amp;M$65&amp;ROW(M29))</f>
        <v>11.1684698330027</v>
      </c>
      <c r="N69" cm="1">
        <f t="array" aca="1" ref="N69" ca="1">INDIRECT(N$67&amp;"!"&amp;N$65&amp;ROW(N33))</f>
        <v>159.94450234435499</v>
      </c>
      <c r="O69" cm="1">
        <f t="array" aca="1" ref="O69" ca="1">INDIRECT(O$67&amp;"!"&amp;O$65&amp;ROW(O33))</f>
        <v>155.90221253037399</v>
      </c>
      <c r="Q69" cm="1">
        <f t="array" aca="1" ref="Q69" ca="1">INDIRECT(Q$67&amp;"!"&amp;Q$65&amp;ROW(Q29))</f>
        <v>1</v>
      </c>
      <c r="R69" cm="1">
        <f t="array" aca="1" ref="R69" ca="1">INDIRECT(R$67&amp;"!"&amp;R$65&amp;ROW(R33))</f>
        <v>1</v>
      </c>
      <c r="S69" cm="1">
        <f t="array" aca="1" ref="S69" ca="1">INDIRECT(S$67&amp;"!"&amp;S$65&amp;ROW(S33))</f>
        <v>3168</v>
      </c>
      <c r="U69" cm="1">
        <f t="array" aca="1" ref="U69" ca="1">INDIRECT(U$67&amp;"!"&amp;U$65&amp;ROW(U29))</f>
        <v>1</v>
      </c>
      <c r="V69" cm="1">
        <f t="array" aca="1" ref="V69" ca="1">INDIRECT(V$67&amp;"!"&amp;V$65&amp;ROW(V33))</f>
        <v>10000</v>
      </c>
      <c r="W69" cm="1">
        <f t="array" aca="1" ref="W69" ca="1">INDIRECT(W$67&amp;"!"&amp;W$65&amp;ROW(W33))</f>
        <v>10000</v>
      </c>
      <c r="Y69">
        <f t="shared" ref="Y69:Y132" ca="1" si="49">IF(I69=0,Q69,0)</f>
        <v>0</v>
      </c>
      <c r="Z69">
        <f t="shared" ca="1" si="45"/>
        <v>0</v>
      </c>
      <c r="AA69">
        <f t="shared" ca="1" si="45"/>
        <v>0</v>
      </c>
      <c r="BU69">
        <f t="shared" si="46"/>
        <v>756</v>
      </c>
      <c r="BV69">
        <f t="shared" si="46"/>
        <v>756</v>
      </c>
      <c r="BW69">
        <f t="shared" si="46"/>
        <v>756</v>
      </c>
      <c r="CL69">
        <f t="shared" si="47"/>
        <v>0</v>
      </c>
      <c r="CM69">
        <f t="shared" si="47"/>
        <v>0</v>
      </c>
      <c r="CN69">
        <f t="shared" si="47"/>
        <v>0</v>
      </c>
      <c r="DC69" t="str" cm="1">
        <f t="array" aca="1" ref="DC69" ca="1">IF(BD69,OFFSET(INDIRECT("'"&amp;DT$67&amp;"'!f1"),E69-1,),"")</f>
        <v/>
      </c>
      <c r="DD69" t="str" cm="1">
        <f t="array" aca="1" ref="DD69" ca="1">IF(BE69,OFFSET(INDIRECT("'"&amp;DU$67&amp;"'!f1"),F69-1,),"")</f>
        <v/>
      </c>
      <c r="DE69" t="str" cm="1">
        <f t="array" aca="1" ref="DE69" ca="1">IF(BF69,OFFSET(INDIRECT("'"&amp;DV$67&amp;"'!f1"),G69-1,),"")</f>
        <v/>
      </c>
      <c r="DT69" t="str" cm="1">
        <f t="array" aca="1" ref="DT69" ca="1">IF(CL69,OFFSET(INDIRECT("'"&amp;DT$67&amp;"'!f1"),E69-1,),"")</f>
        <v/>
      </c>
      <c r="DU69" t="str" cm="1">
        <f t="array" aca="1" ref="DU69" ca="1">IF(CM69,OFFSET(INDIRECT("'"&amp;DU$67&amp;"'!f1"),F69-1,),"")</f>
        <v/>
      </c>
      <c r="DV69" t="str" cm="1">
        <f t="array" aca="1" ref="DV69" ca="1">IF(CN69,OFFSET(INDIRECT("'"&amp;DV$67&amp;"'!f1"),G69-1,),"")</f>
        <v/>
      </c>
      <c r="EK69" t="e" cm="1">
        <f t="array" aca="1" ref="EK69" ca="1">IF(ISNA(E69),0,OFFSET(INDIRECT("'"&amp;EK$67&amp;"'!g1"),E69-1,)*CL69)</f>
        <v>#REF!</v>
      </c>
      <c r="EL69" t="e" cm="1">
        <f t="array" aca="1" ref="EL69" ca="1">IF(ISNA(F69),0,OFFSET(INDIRECT("'"&amp;EL$67&amp;"'!g1"),F69-1,)*CM69)</f>
        <v>#REF!</v>
      </c>
      <c r="EM69" t="e" cm="1">
        <f t="array" aca="1" ref="EM69" ca="1">IF(ISNA(G69),0,OFFSET(INDIRECT("'"&amp;EM$67&amp;"'!g1"),G69-1,)*CN69)</f>
        <v>#REF!</v>
      </c>
      <c r="FB69" s="18" t="e" cm="1">
        <f t="array" aca="1" ref="FB69" ca="1">IF(ISNA(E69),0,OFFSET(INDIRECT("'"&amp;EK$67&amp;"'!h1"),E69-1,))</f>
        <v>#REF!</v>
      </c>
      <c r="FC69" s="18" t="e" cm="1">
        <f t="array" aca="1" ref="FC69" ca="1">IF(ISNA(F69),0,OFFSET(INDIRECT("'"&amp;EL$67&amp;"'!h1"),F69-1,))</f>
        <v>#REF!</v>
      </c>
      <c r="FD69" s="18" t="e" cm="1">
        <f t="array" aca="1" ref="FD69" ca="1">IF(ISNA(G69),0,OFFSET(INDIRECT("'"&amp;EM$67&amp;"'!h1"),G69-1,))</f>
        <v>#REF!</v>
      </c>
      <c r="FE69" s="18"/>
      <c r="FF69" s="18"/>
      <c r="FG69" s="18"/>
      <c r="FH69" s="18"/>
      <c r="FI69" s="18"/>
      <c r="FJ69" s="18"/>
      <c r="FK69" s="18"/>
      <c r="FL69" s="18"/>
      <c r="FM69" s="18"/>
      <c r="FN69" s="18"/>
      <c r="FO69" s="18"/>
      <c r="FP69" s="18"/>
      <c r="FQ69" s="18"/>
      <c r="FW69" s="1"/>
      <c r="FX69" s="5"/>
    </row>
    <row r="70" spans="1:180" x14ac:dyDescent="0.2">
      <c r="A70" t="str">
        <f>QDistRnd_756_20251225!A30</f>
        <v>[[756,16,34]]</v>
      </c>
      <c r="B70">
        <f>QDistRnd_756_20251225!B30</f>
        <v>756</v>
      </c>
      <c r="C70">
        <v>34</v>
      </c>
      <c r="E70" cm="1">
        <f t="array" aca="1" ref="E70" ca="1">INDIRECT(E$67&amp;"!"&amp;E$65&amp;ROW(E30))</f>
        <v>40</v>
      </c>
      <c r="F70" cm="1">
        <f t="array" aca="1" ref="F70" ca="1">INDIRECT(F$67&amp;"!"&amp;F$65&amp;ROW(F34))</f>
        <v>44</v>
      </c>
      <c r="G70" cm="1">
        <f t="array" aca="1" ref="G70" ca="1">INDIRECT(G$67&amp;"!"&amp;G$65&amp;ROW(G34))</f>
        <v>36</v>
      </c>
      <c r="I70">
        <f t="shared" ca="1" si="48"/>
        <v>6</v>
      </c>
      <c r="J70">
        <f t="shared" ca="1" si="43"/>
        <v>10</v>
      </c>
      <c r="K70">
        <f t="shared" ca="1" si="44"/>
        <v>2</v>
      </c>
      <c r="M70" cm="1">
        <f t="array" aca="1" ref="M70" ca="1">INDIRECT(M$67&amp;"!"&amp;M$65&amp;ROW(M30))</f>
        <v>10.8981735419984</v>
      </c>
      <c r="N70" cm="1">
        <f t="array" aca="1" ref="N70" ca="1">INDIRECT(N$67&amp;"!"&amp;N$65&amp;ROW(N34))</f>
        <v>159.58642673213001</v>
      </c>
      <c r="O70" cm="1">
        <f t="array" aca="1" ref="O70" ca="1">INDIRECT(O$67&amp;"!"&amp;O$65&amp;ROW(O34))</f>
        <v>156.10852218233001</v>
      </c>
      <c r="Q70" cm="1">
        <f t="array" aca="1" ref="Q70" ca="1">INDIRECT(Q$67&amp;"!"&amp;Q$65&amp;ROW(Q30))</f>
        <v>1</v>
      </c>
      <c r="R70" cm="1">
        <f t="array" aca="1" ref="R70" ca="1">INDIRECT(R$67&amp;"!"&amp;R$65&amp;ROW(R34))</f>
        <v>2</v>
      </c>
      <c r="S70" cm="1">
        <f t="array" aca="1" ref="S70" ca="1">INDIRECT(S$67&amp;"!"&amp;S$65&amp;ROW(S34))</f>
        <v>2053</v>
      </c>
      <c r="U70" cm="1">
        <f t="array" aca="1" ref="U70" ca="1">INDIRECT(U$67&amp;"!"&amp;U$65&amp;ROW(U30))</f>
        <v>1</v>
      </c>
      <c r="V70" cm="1">
        <f t="array" aca="1" ref="V70" ca="1">INDIRECT(V$67&amp;"!"&amp;V$65&amp;ROW(V34))</f>
        <v>10000</v>
      </c>
      <c r="W70" cm="1">
        <f t="array" aca="1" ref="W70" ca="1">INDIRECT(W$67&amp;"!"&amp;W$65&amp;ROW(W34))</f>
        <v>10000</v>
      </c>
      <c r="Y70">
        <f t="shared" ca="1" si="49"/>
        <v>0</v>
      </c>
      <c r="Z70">
        <f t="shared" ca="1" si="45"/>
        <v>0</v>
      </c>
      <c r="AA70">
        <f t="shared" ca="1" si="45"/>
        <v>0</v>
      </c>
      <c r="BU70">
        <f t="shared" si="46"/>
        <v>756</v>
      </c>
      <c r="BV70">
        <f t="shared" si="46"/>
        <v>756</v>
      </c>
      <c r="BW70">
        <f t="shared" si="46"/>
        <v>756</v>
      </c>
      <c r="CL70">
        <f t="shared" si="47"/>
        <v>0</v>
      </c>
      <c r="CM70">
        <f t="shared" si="47"/>
        <v>0</v>
      </c>
      <c r="CN70">
        <f t="shared" si="47"/>
        <v>0</v>
      </c>
      <c r="DC70" t="str" cm="1">
        <f t="array" aca="1" ref="DC70" ca="1">IF(BD70,OFFSET(INDIRECT("'"&amp;DT$67&amp;"'!f1"),E70-1,),"")</f>
        <v/>
      </c>
      <c r="DD70" t="str" cm="1">
        <f t="array" aca="1" ref="DD70" ca="1">IF(BE70,OFFSET(INDIRECT("'"&amp;DU$67&amp;"'!f1"),F70-1,),"")</f>
        <v/>
      </c>
      <c r="DE70" t="str" cm="1">
        <f t="array" aca="1" ref="DE70" ca="1">IF(BF70,OFFSET(INDIRECT("'"&amp;DV$67&amp;"'!f1"),G70-1,),"")</f>
        <v/>
      </c>
      <c r="DT70" t="str" cm="1">
        <f t="array" aca="1" ref="DT70" ca="1">IF(CL70,OFFSET(INDIRECT("'"&amp;DT$67&amp;"'!f1"),E70-1,),"")</f>
        <v/>
      </c>
      <c r="DU70" t="str" cm="1">
        <f t="array" aca="1" ref="DU70" ca="1">IF(CM70,OFFSET(INDIRECT("'"&amp;DU$67&amp;"'!f1"),F70-1,),"")</f>
        <v/>
      </c>
      <c r="DV70" t="str" cm="1">
        <f t="array" aca="1" ref="DV70" ca="1">IF(CN70,OFFSET(INDIRECT("'"&amp;DV$67&amp;"'!f1"),G70-1,),"")</f>
        <v/>
      </c>
      <c r="EK70" t="e" cm="1">
        <f t="array" aca="1" ref="EK70" ca="1">IF(ISNA(E70),0,OFFSET(INDIRECT("'"&amp;EK$67&amp;"'!g1"),E70-1,)*CL70)</f>
        <v>#REF!</v>
      </c>
      <c r="EL70" t="e" cm="1">
        <f t="array" aca="1" ref="EL70" ca="1">IF(ISNA(F70),0,OFFSET(INDIRECT("'"&amp;EL$67&amp;"'!g1"),F70-1,)*CM70)</f>
        <v>#REF!</v>
      </c>
      <c r="EM70" t="e" cm="1">
        <f t="array" aca="1" ref="EM70" ca="1">IF(ISNA(G70),0,OFFSET(INDIRECT("'"&amp;EM$67&amp;"'!g1"),G70-1,)*CN70)</f>
        <v>#REF!</v>
      </c>
      <c r="FB70" s="18" t="e" cm="1">
        <f t="array" aca="1" ref="FB70" ca="1">IF(ISNA(E70),0,OFFSET(INDIRECT("'"&amp;EK$67&amp;"'!h1"),E70-1,))</f>
        <v>#REF!</v>
      </c>
      <c r="FC70" s="18" t="e" cm="1">
        <f t="array" aca="1" ref="FC70" ca="1">IF(ISNA(F70),0,OFFSET(INDIRECT("'"&amp;EL$67&amp;"'!h1"),F70-1,))</f>
        <v>#REF!</v>
      </c>
      <c r="FD70" s="18" t="e" cm="1">
        <f t="array" aca="1" ref="FD70" ca="1">IF(ISNA(G70),0,OFFSET(INDIRECT("'"&amp;EM$67&amp;"'!h1"),G70-1,))</f>
        <v>#REF!</v>
      </c>
      <c r="FE70" s="18"/>
      <c r="FF70" s="18"/>
      <c r="FG70" s="18"/>
      <c r="FH70" s="18"/>
      <c r="FI70" s="18"/>
      <c r="FJ70" s="18"/>
      <c r="FK70" s="18"/>
      <c r="FL70" s="18"/>
      <c r="FM70" s="18"/>
      <c r="FN70" s="18"/>
      <c r="FO70" s="18"/>
      <c r="FP70" s="18"/>
      <c r="FQ70" s="18"/>
      <c r="FW70" s="1"/>
      <c r="FX70" s="5"/>
    </row>
    <row r="71" spans="1:180" x14ac:dyDescent="0.2">
      <c r="A71" t="str">
        <f>QDistRnd_756_20251225!A31</f>
        <v>[[756,16,34]]</v>
      </c>
      <c r="B71">
        <f>QDistRnd_756_20251225!B31</f>
        <v>756</v>
      </c>
      <c r="C71">
        <v>34</v>
      </c>
      <c r="E71" cm="1">
        <f t="array" aca="1" ref="E71" ca="1">INDIRECT(E$67&amp;"!"&amp;E$65&amp;ROW(E31))</f>
        <v>44</v>
      </c>
      <c r="F71" cm="1">
        <f t="array" aca="1" ref="F71" ca="1">INDIRECT(F$67&amp;"!"&amp;F$65&amp;ROW(F35))</f>
        <v>40</v>
      </c>
      <c r="G71" cm="1">
        <f t="array" aca="1" ref="G71" ca="1">INDIRECT(G$67&amp;"!"&amp;G$65&amp;ROW(G35))</f>
        <v>34</v>
      </c>
      <c r="I71">
        <f t="shared" ca="1" si="48"/>
        <v>10</v>
      </c>
      <c r="J71">
        <f t="shared" ca="1" si="43"/>
        <v>6</v>
      </c>
      <c r="K71">
        <f t="shared" ca="1" si="44"/>
        <v>0</v>
      </c>
      <c r="M71" cm="1">
        <f t="array" aca="1" ref="M71" ca="1">INDIRECT(M$67&amp;"!"&amp;M$65&amp;ROW(M31))</f>
        <v>11.1304911250008</v>
      </c>
      <c r="N71" cm="1">
        <f t="array" aca="1" ref="N71" ca="1">INDIRECT(N$67&amp;"!"&amp;N$65&amp;ROW(N35))</f>
        <v>159.86425393167801</v>
      </c>
      <c r="O71" cm="1">
        <f t="array" aca="1" ref="O71" ca="1">INDIRECT(O$67&amp;"!"&amp;O$65&amp;ROW(O35))</f>
        <v>154.03610622789699</v>
      </c>
      <c r="Q71" cm="1">
        <f t="array" aca="1" ref="Q71" ca="1">INDIRECT(Q$67&amp;"!"&amp;Q$65&amp;ROW(Q31))</f>
        <v>1</v>
      </c>
      <c r="R71" cm="1">
        <f t="array" aca="1" ref="R71" ca="1">INDIRECT(R$67&amp;"!"&amp;R$65&amp;ROW(R35))</f>
        <v>1</v>
      </c>
      <c r="S71" cm="1">
        <f t="array" aca="1" ref="S71" ca="1">INDIRECT(S$67&amp;"!"&amp;S$65&amp;ROW(S35))</f>
        <v>3718</v>
      </c>
      <c r="U71" cm="1">
        <f t="array" aca="1" ref="U71" ca="1">INDIRECT(U$67&amp;"!"&amp;U$65&amp;ROW(U31))</f>
        <v>1</v>
      </c>
      <c r="V71" cm="1">
        <f t="array" aca="1" ref="V71" ca="1">INDIRECT(V$67&amp;"!"&amp;V$65&amp;ROW(V35))</f>
        <v>10000</v>
      </c>
      <c r="W71" cm="1">
        <f t="array" aca="1" ref="W71" ca="1">INDIRECT(W$67&amp;"!"&amp;W$65&amp;ROW(W35))</f>
        <v>10000</v>
      </c>
      <c r="Y71">
        <f t="shared" ca="1" si="49"/>
        <v>0</v>
      </c>
      <c r="Z71">
        <f t="shared" ca="1" si="45"/>
        <v>0</v>
      </c>
      <c r="AA71">
        <f t="shared" ca="1" si="45"/>
        <v>3718</v>
      </c>
      <c r="BU71">
        <f t="shared" si="46"/>
        <v>756</v>
      </c>
      <c r="BV71">
        <f t="shared" si="46"/>
        <v>756</v>
      </c>
      <c r="BW71">
        <f t="shared" si="46"/>
        <v>756</v>
      </c>
      <c r="CL71">
        <f t="shared" si="47"/>
        <v>0</v>
      </c>
      <c r="CM71">
        <f t="shared" si="47"/>
        <v>0</v>
      </c>
      <c r="CN71">
        <f t="shared" si="47"/>
        <v>0</v>
      </c>
      <c r="DC71" t="str" cm="1">
        <f t="array" aca="1" ref="DC71" ca="1">IF(BD71,OFFSET(INDIRECT("'"&amp;DT$67&amp;"'!f1"),E71-1,),"")</f>
        <v/>
      </c>
      <c r="DD71" t="str" cm="1">
        <f t="array" aca="1" ref="DD71" ca="1">IF(BE71,OFFSET(INDIRECT("'"&amp;DU$67&amp;"'!f1"),F71-1,),"")</f>
        <v/>
      </c>
      <c r="DE71" t="str" cm="1">
        <f t="array" aca="1" ref="DE71" ca="1">IF(BF71,OFFSET(INDIRECT("'"&amp;DV$67&amp;"'!f1"),G71-1,),"")</f>
        <v/>
      </c>
      <c r="DT71" t="str" cm="1">
        <f t="array" aca="1" ref="DT71" ca="1">IF(CL71,OFFSET(INDIRECT("'"&amp;DT$67&amp;"'!f1"),E71-1,),"")</f>
        <v/>
      </c>
      <c r="DU71" t="str" cm="1">
        <f t="array" aca="1" ref="DU71" ca="1">IF(CM71,OFFSET(INDIRECT("'"&amp;DU$67&amp;"'!f1"),F71-1,),"")</f>
        <v/>
      </c>
      <c r="DV71" t="str" cm="1">
        <f t="array" aca="1" ref="DV71" ca="1">IF(CN71,OFFSET(INDIRECT("'"&amp;DV$67&amp;"'!f1"),G71-1,),"")</f>
        <v/>
      </c>
      <c r="EK71" t="e" cm="1">
        <f t="array" aca="1" ref="EK71" ca="1">IF(ISNA(E71),0,OFFSET(INDIRECT("'"&amp;EK$67&amp;"'!g1"),E71-1,)*CL71)</f>
        <v>#REF!</v>
      </c>
      <c r="EL71" t="e" cm="1">
        <f t="array" aca="1" ref="EL71" ca="1">IF(ISNA(F71),0,OFFSET(INDIRECT("'"&amp;EL$67&amp;"'!g1"),F71-1,)*CM71)</f>
        <v>#REF!</v>
      </c>
      <c r="EM71" t="e" cm="1">
        <f t="array" aca="1" ref="EM71" ca="1">IF(ISNA(G71),0,OFFSET(INDIRECT("'"&amp;EM$67&amp;"'!g1"),G71-1,)*CN71)</f>
        <v>#REF!</v>
      </c>
      <c r="FB71" s="18" t="e" cm="1">
        <f t="array" aca="1" ref="FB71" ca="1">IF(ISNA(E71),0,OFFSET(INDIRECT("'"&amp;EK$67&amp;"'!h1"),E71-1,))</f>
        <v>#REF!</v>
      </c>
      <c r="FC71" s="18" t="e" cm="1">
        <f t="array" aca="1" ref="FC71" ca="1">IF(ISNA(F71),0,OFFSET(INDIRECT("'"&amp;EL$67&amp;"'!h1"),F71-1,))</f>
        <v>#REF!</v>
      </c>
      <c r="FD71" s="18" t="e" cm="1">
        <f t="array" aca="1" ref="FD71" ca="1">IF(ISNA(G71),0,OFFSET(INDIRECT("'"&amp;EM$67&amp;"'!h1"),G71-1,))</f>
        <v>#REF!</v>
      </c>
      <c r="FE71" s="18"/>
      <c r="FF71" s="18"/>
      <c r="FG71" s="18"/>
      <c r="FH71" s="18"/>
      <c r="FI71" s="18"/>
      <c r="FJ71" s="18"/>
      <c r="FK71" s="18"/>
      <c r="FL71" s="18"/>
      <c r="FM71" s="18"/>
      <c r="FN71" s="18"/>
      <c r="FO71" s="18"/>
      <c r="FP71" s="18"/>
      <c r="FQ71" s="18"/>
      <c r="FW71" s="1"/>
      <c r="FX71" s="5"/>
    </row>
    <row r="72" spans="1:180" x14ac:dyDescent="0.2">
      <c r="A72" t="str">
        <f>QDistRnd_756_20251225!A32</f>
        <v>[[756,16,34]]</v>
      </c>
      <c r="B72">
        <f>QDistRnd_756_20251225!B32</f>
        <v>756</v>
      </c>
      <c r="C72">
        <v>34</v>
      </c>
      <c r="E72" cm="1">
        <f t="array" aca="1" ref="E72" ca="1">INDIRECT(E$67&amp;"!"&amp;E$65&amp;ROW(E32))</f>
        <v>40</v>
      </c>
      <c r="F72" cm="1">
        <f t="array" aca="1" ref="F72" ca="1">INDIRECT(F$67&amp;"!"&amp;F$65&amp;ROW(F36))</f>
        <v>38</v>
      </c>
      <c r="G72" cm="1">
        <f t="array" aca="1" ref="G72" ca="1">INDIRECT(G$67&amp;"!"&amp;G$65&amp;ROW(G36))</f>
        <v>34</v>
      </c>
      <c r="I72">
        <f t="shared" ca="1" si="48"/>
        <v>6</v>
      </c>
      <c r="J72">
        <f t="shared" ca="1" si="43"/>
        <v>4</v>
      </c>
      <c r="K72">
        <f t="shared" ca="1" si="44"/>
        <v>0</v>
      </c>
      <c r="M72" cm="1">
        <f t="array" aca="1" ref="M72" ca="1">INDIRECT(M$67&amp;"!"&amp;M$65&amp;ROW(M32))</f>
        <v>11.451295457998601</v>
      </c>
      <c r="N72" cm="1">
        <f t="array" aca="1" ref="N72" ca="1">INDIRECT(N$67&amp;"!"&amp;N$65&amp;ROW(N36))</f>
        <v>159.75504545681099</v>
      </c>
      <c r="O72" cm="1">
        <f t="array" aca="1" ref="O72" ca="1">INDIRECT(O$67&amp;"!"&amp;O$65&amp;ROW(O36))</f>
        <v>153.71473122760599</v>
      </c>
      <c r="Q72" cm="1">
        <f t="array" aca="1" ref="Q72" ca="1">INDIRECT(Q$67&amp;"!"&amp;Q$65&amp;ROW(Q32))</f>
        <v>1</v>
      </c>
      <c r="R72" cm="1">
        <f t="array" aca="1" ref="R72" ca="1">INDIRECT(R$67&amp;"!"&amp;R$65&amp;ROW(R36))</f>
        <v>1</v>
      </c>
      <c r="S72" cm="1">
        <f t="array" aca="1" ref="S72" ca="1">INDIRECT(S$67&amp;"!"&amp;S$65&amp;ROW(S36))</f>
        <v>2994</v>
      </c>
      <c r="U72" cm="1">
        <f t="array" aca="1" ref="U72" ca="1">INDIRECT(U$67&amp;"!"&amp;U$65&amp;ROW(U32))</f>
        <v>1</v>
      </c>
      <c r="V72" cm="1">
        <f t="array" aca="1" ref="V72" ca="1">INDIRECT(V$67&amp;"!"&amp;V$65&amp;ROW(V36))</f>
        <v>10000</v>
      </c>
      <c r="W72" cm="1">
        <f t="array" aca="1" ref="W72" ca="1">INDIRECT(W$67&amp;"!"&amp;W$65&amp;ROW(W36))</f>
        <v>10000</v>
      </c>
      <c r="Y72">
        <f t="shared" ca="1" si="49"/>
        <v>0</v>
      </c>
      <c r="Z72">
        <f t="shared" ca="1" si="45"/>
        <v>0</v>
      </c>
      <c r="AA72">
        <f t="shared" ca="1" si="45"/>
        <v>2994</v>
      </c>
      <c r="BU72">
        <f t="shared" si="46"/>
        <v>756</v>
      </c>
      <c r="BV72">
        <f t="shared" si="46"/>
        <v>756</v>
      </c>
      <c r="BW72">
        <f t="shared" si="46"/>
        <v>756</v>
      </c>
      <c r="CL72">
        <f t="shared" si="47"/>
        <v>0</v>
      </c>
      <c r="CM72">
        <f t="shared" si="47"/>
        <v>0</v>
      </c>
      <c r="CN72">
        <f t="shared" si="47"/>
        <v>0</v>
      </c>
      <c r="DC72" t="str" cm="1">
        <f t="array" aca="1" ref="DC72" ca="1">IF(BD72,OFFSET(INDIRECT("'"&amp;DT$67&amp;"'!f1"),E72-1,),"")</f>
        <v/>
      </c>
      <c r="DD72" t="str" cm="1">
        <f t="array" aca="1" ref="DD72" ca="1">IF(BE72,OFFSET(INDIRECT("'"&amp;DU$67&amp;"'!f1"),F72-1,),"")</f>
        <v/>
      </c>
      <c r="DE72" t="str" cm="1">
        <f t="array" aca="1" ref="DE72" ca="1">IF(BF72,OFFSET(INDIRECT("'"&amp;DV$67&amp;"'!f1"),G72-1,),"")</f>
        <v/>
      </c>
      <c r="DT72" t="str" cm="1">
        <f t="array" aca="1" ref="DT72" ca="1">IF(CL72,OFFSET(INDIRECT("'"&amp;DT$67&amp;"'!f1"),E72-1,),"")</f>
        <v/>
      </c>
      <c r="DU72" t="str" cm="1">
        <f t="array" aca="1" ref="DU72" ca="1">IF(CM72,OFFSET(INDIRECT("'"&amp;DU$67&amp;"'!f1"),F72-1,),"")</f>
        <v/>
      </c>
      <c r="DV72" t="str" cm="1">
        <f t="array" aca="1" ref="DV72" ca="1">IF(CN72,OFFSET(INDIRECT("'"&amp;DV$67&amp;"'!f1"),G72-1,),"")</f>
        <v/>
      </c>
      <c r="EK72" t="e" cm="1">
        <f t="array" aca="1" ref="EK72" ca="1">IF(ISNA(E72),0,OFFSET(INDIRECT("'"&amp;EK$67&amp;"'!g1"),E72-1,)*CL72)</f>
        <v>#REF!</v>
      </c>
      <c r="EL72" t="e" cm="1">
        <f t="array" aca="1" ref="EL72" ca="1">IF(ISNA(F72),0,OFFSET(INDIRECT("'"&amp;EL$67&amp;"'!g1"),F72-1,)*CM72)</f>
        <v>#REF!</v>
      </c>
      <c r="EM72" t="e" cm="1">
        <f t="array" aca="1" ref="EM72" ca="1">IF(ISNA(G72),0,OFFSET(INDIRECT("'"&amp;EM$67&amp;"'!g1"),G72-1,)*CN72)</f>
        <v>#REF!</v>
      </c>
      <c r="FB72" s="18" t="e" cm="1">
        <f t="array" aca="1" ref="FB72" ca="1">IF(ISNA(E72),0,OFFSET(INDIRECT("'"&amp;EK$67&amp;"'!h1"),E72-1,))</f>
        <v>#REF!</v>
      </c>
      <c r="FC72" s="18" t="e" cm="1">
        <f t="array" aca="1" ref="FC72" ca="1">IF(ISNA(F72),0,OFFSET(INDIRECT("'"&amp;EL$67&amp;"'!h1"),F72-1,))</f>
        <v>#REF!</v>
      </c>
      <c r="FD72" s="18" t="e" cm="1">
        <f t="array" aca="1" ref="FD72" ca="1">IF(ISNA(G72),0,OFFSET(INDIRECT("'"&amp;EM$67&amp;"'!h1"),G72-1,))</f>
        <v>#REF!</v>
      </c>
      <c r="FE72" s="18"/>
      <c r="FF72" s="18"/>
      <c r="FG72" s="18"/>
      <c r="FH72" s="18"/>
      <c r="FI72" s="18"/>
      <c r="FJ72" s="18"/>
      <c r="FK72" s="18"/>
      <c r="FL72" s="18"/>
      <c r="FM72" s="18"/>
      <c r="FN72" s="18"/>
      <c r="FO72" s="18"/>
      <c r="FP72" s="18"/>
      <c r="FQ72" s="18"/>
      <c r="FW72" s="1"/>
      <c r="FX72" s="5"/>
    </row>
    <row r="73" spans="1:180" x14ac:dyDescent="0.2">
      <c r="A73" t="str">
        <f>QDistRnd_756_20251225!A33</f>
        <v>[[756,16,34]]</v>
      </c>
      <c r="B73">
        <f>QDistRnd_756_20251225!B33</f>
        <v>756</v>
      </c>
      <c r="C73">
        <v>34</v>
      </c>
      <c r="E73" cm="1">
        <f t="array" aca="1" ref="E73" ca="1">INDIRECT(E$67&amp;"!"&amp;E$65&amp;ROW(E33))</f>
        <v>38</v>
      </c>
      <c r="F73" cm="1">
        <f t="array" aca="1" ref="F73" ca="1">INDIRECT(F$67&amp;"!"&amp;F$65&amp;ROW(F37))</f>
        <v>38</v>
      </c>
      <c r="G73" cm="1">
        <f t="array" aca="1" ref="G73" ca="1">INDIRECT(G$67&amp;"!"&amp;G$65&amp;ROW(G37))</f>
        <v>34</v>
      </c>
      <c r="I73">
        <f t="shared" ca="1" si="48"/>
        <v>4</v>
      </c>
      <c r="J73">
        <f t="shared" ca="1" si="43"/>
        <v>4</v>
      </c>
      <c r="K73">
        <f t="shared" ca="1" si="44"/>
        <v>0</v>
      </c>
      <c r="M73" cm="1">
        <f t="array" aca="1" ref="M73" ca="1">INDIRECT(M$67&amp;"!"&amp;M$65&amp;ROW(M33))</f>
        <v>11.109812624999901</v>
      </c>
      <c r="N73" cm="1">
        <f t="array" aca="1" ref="N73" ca="1">INDIRECT(N$67&amp;"!"&amp;N$65&amp;ROW(N37))</f>
        <v>159.829997708089</v>
      </c>
      <c r="O73" cm="1">
        <f t="array" aca="1" ref="O73" ca="1">INDIRECT(O$67&amp;"!"&amp;O$65&amp;ROW(O37))</f>
        <v>158.08562122750999</v>
      </c>
      <c r="Q73" cm="1">
        <f t="array" aca="1" ref="Q73" ca="1">INDIRECT(Q$67&amp;"!"&amp;Q$65&amp;ROW(Q33))</f>
        <v>1</v>
      </c>
      <c r="R73" cm="1">
        <f t="array" aca="1" ref="R73" ca="1">INDIRECT(R$67&amp;"!"&amp;R$65&amp;ROW(R37))</f>
        <v>1</v>
      </c>
      <c r="S73" cm="1">
        <f t="array" aca="1" ref="S73" ca="1">INDIRECT(S$67&amp;"!"&amp;S$65&amp;ROW(S37))</f>
        <v>3774</v>
      </c>
      <c r="U73" cm="1">
        <f t="array" aca="1" ref="U73" ca="1">INDIRECT(U$67&amp;"!"&amp;U$65&amp;ROW(U33))</f>
        <v>1</v>
      </c>
      <c r="V73" cm="1">
        <f t="array" aca="1" ref="V73" ca="1">INDIRECT(V$67&amp;"!"&amp;V$65&amp;ROW(V37))</f>
        <v>10000</v>
      </c>
      <c r="W73" cm="1">
        <f t="array" aca="1" ref="W73" ca="1">INDIRECT(W$67&amp;"!"&amp;W$65&amp;ROW(W37))</f>
        <v>10000</v>
      </c>
      <c r="Y73">
        <f t="shared" ca="1" si="49"/>
        <v>0</v>
      </c>
      <c r="Z73">
        <f t="shared" ca="1" si="45"/>
        <v>0</v>
      </c>
      <c r="AA73">
        <f t="shared" ca="1" si="45"/>
        <v>3774</v>
      </c>
      <c r="BU73">
        <f t="shared" si="46"/>
        <v>756</v>
      </c>
      <c r="BV73">
        <f t="shared" si="46"/>
        <v>756</v>
      </c>
      <c r="BW73">
        <f t="shared" si="46"/>
        <v>756</v>
      </c>
      <c r="CL73">
        <f t="shared" si="47"/>
        <v>0</v>
      </c>
      <c r="CM73">
        <f t="shared" si="47"/>
        <v>0</v>
      </c>
      <c r="CN73">
        <f t="shared" si="47"/>
        <v>0</v>
      </c>
      <c r="DC73" t="str" cm="1">
        <f t="array" aca="1" ref="DC73" ca="1">IF(BD73,OFFSET(INDIRECT("'"&amp;DT$67&amp;"'!f1"),E73-1,),"")</f>
        <v/>
      </c>
      <c r="DD73" t="str" cm="1">
        <f t="array" aca="1" ref="DD73" ca="1">IF(BE73,OFFSET(INDIRECT("'"&amp;DU$67&amp;"'!f1"),F73-1,),"")</f>
        <v/>
      </c>
      <c r="DE73" t="str" cm="1">
        <f t="array" aca="1" ref="DE73" ca="1">IF(BF73,OFFSET(INDIRECT("'"&amp;DV$67&amp;"'!f1"),G73-1,),"")</f>
        <v/>
      </c>
      <c r="DT73" t="str" cm="1">
        <f t="array" aca="1" ref="DT73" ca="1">IF(CL73,OFFSET(INDIRECT("'"&amp;DT$67&amp;"'!f1"),E73-1,),"")</f>
        <v/>
      </c>
      <c r="DU73" t="str" cm="1">
        <f t="array" aca="1" ref="DU73" ca="1">IF(CM73,OFFSET(INDIRECT("'"&amp;DU$67&amp;"'!f1"),F73-1,),"")</f>
        <v/>
      </c>
      <c r="DV73" t="str" cm="1">
        <f t="array" aca="1" ref="DV73" ca="1">IF(CN73,OFFSET(INDIRECT("'"&amp;DV$67&amp;"'!f1"),G73-1,),"")</f>
        <v/>
      </c>
      <c r="EK73" t="e" cm="1">
        <f t="array" aca="1" ref="EK73" ca="1">IF(ISNA(E73),0,OFFSET(INDIRECT("'"&amp;EK$67&amp;"'!g1"),E73-1,)*CL73)</f>
        <v>#REF!</v>
      </c>
      <c r="EL73" t="e" cm="1">
        <f t="array" aca="1" ref="EL73" ca="1">IF(ISNA(F73),0,OFFSET(INDIRECT("'"&amp;EL$67&amp;"'!g1"),F73-1,)*CM73)</f>
        <v>#REF!</v>
      </c>
      <c r="EM73" t="e" cm="1">
        <f t="array" aca="1" ref="EM73" ca="1">IF(ISNA(G73),0,OFFSET(INDIRECT("'"&amp;EM$67&amp;"'!g1"),G73-1,)*CN73)</f>
        <v>#REF!</v>
      </c>
      <c r="FB73" s="18" t="e" cm="1">
        <f t="array" aca="1" ref="FB73" ca="1">IF(ISNA(E73),0,OFFSET(INDIRECT("'"&amp;EK$67&amp;"'!h1"),E73-1,))</f>
        <v>#REF!</v>
      </c>
      <c r="FC73" s="18" t="e" cm="1">
        <f t="array" aca="1" ref="FC73" ca="1">IF(ISNA(F73),0,OFFSET(INDIRECT("'"&amp;EL$67&amp;"'!h1"),F73-1,))</f>
        <v>#REF!</v>
      </c>
      <c r="FD73" s="18" t="e" cm="1">
        <f t="array" aca="1" ref="FD73" ca="1">IF(ISNA(G73),0,OFFSET(INDIRECT("'"&amp;EM$67&amp;"'!h1"),G73-1,))</f>
        <v>#REF!</v>
      </c>
      <c r="FE73" s="18"/>
      <c r="FF73" s="18"/>
      <c r="FG73" s="18"/>
      <c r="FH73" s="18"/>
      <c r="FI73" s="18"/>
      <c r="FJ73" s="18"/>
      <c r="FK73" s="18"/>
      <c r="FL73" s="18"/>
      <c r="FM73" s="18"/>
      <c r="FN73" s="18"/>
      <c r="FO73" s="18"/>
      <c r="FP73" s="18"/>
      <c r="FQ73" s="18"/>
      <c r="FW73" s="1"/>
      <c r="FX73" s="5"/>
    </row>
    <row r="74" spans="1:180" x14ac:dyDescent="0.2">
      <c r="A74" t="str">
        <f>QDistRnd_756_20251225!A34</f>
        <v>[[756,16,34]]</v>
      </c>
      <c r="B74">
        <f>QDistRnd_756_20251225!B34</f>
        <v>756</v>
      </c>
      <c r="C74">
        <v>34</v>
      </c>
      <c r="E74" cm="1">
        <f t="array" aca="1" ref="E74" ca="1">INDIRECT(E$67&amp;"!"&amp;E$65&amp;ROW(E34))</f>
        <v>44</v>
      </c>
      <c r="F74" cm="1">
        <f t="array" aca="1" ref="F74" ca="1">INDIRECT(F$67&amp;"!"&amp;F$65&amp;ROW(F38))</f>
        <v>40</v>
      </c>
      <c r="G74" cm="1">
        <f t="array" aca="1" ref="G74" ca="1">INDIRECT(G$67&amp;"!"&amp;G$65&amp;ROW(G38))</f>
        <v>38</v>
      </c>
      <c r="I74">
        <f t="shared" ca="1" si="48"/>
        <v>10</v>
      </c>
      <c r="J74">
        <f t="shared" ca="1" si="43"/>
        <v>6</v>
      </c>
      <c r="K74">
        <f t="shared" ca="1" si="44"/>
        <v>4</v>
      </c>
      <c r="M74" cm="1">
        <f t="array" aca="1" ref="M74" ca="1">INDIRECT(M$67&amp;"!"&amp;M$65&amp;ROW(M34))</f>
        <v>11.3858073330011</v>
      </c>
      <c r="N74" cm="1">
        <f t="array" aca="1" ref="N74" ca="1">INDIRECT(N$67&amp;"!"&amp;N$65&amp;ROW(N38))</f>
        <v>159.73749522492199</v>
      </c>
      <c r="O74" cm="1">
        <f t="array" aca="1" ref="O74" ca="1">INDIRECT(O$67&amp;"!"&amp;O$65&amp;ROW(O38))</f>
        <v>155.46875211596401</v>
      </c>
      <c r="Q74" cm="1">
        <f t="array" aca="1" ref="Q74" ca="1">INDIRECT(Q$67&amp;"!"&amp;Q$65&amp;ROW(Q34))</f>
        <v>1</v>
      </c>
      <c r="R74" cm="1">
        <f t="array" aca="1" ref="R74" ca="1">INDIRECT(R$67&amp;"!"&amp;R$65&amp;ROW(R38))</f>
        <v>1</v>
      </c>
      <c r="S74" cm="1">
        <f t="array" aca="1" ref="S74" ca="1">INDIRECT(S$67&amp;"!"&amp;S$65&amp;ROW(S38))</f>
        <v>3264</v>
      </c>
      <c r="U74" cm="1">
        <f t="array" aca="1" ref="U74" ca="1">INDIRECT(U$67&amp;"!"&amp;U$65&amp;ROW(U34))</f>
        <v>1</v>
      </c>
      <c r="V74" cm="1">
        <f t="array" aca="1" ref="V74" ca="1">INDIRECT(V$67&amp;"!"&amp;V$65&amp;ROW(V38))</f>
        <v>10000</v>
      </c>
      <c r="W74" cm="1">
        <f t="array" aca="1" ref="W74" ca="1">INDIRECT(W$67&amp;"!"&amp;W$65&amp;ROW(W38))</f>
        <v>10000</v>
      </c>
      <c r="Y74">
        <f t="shared" ca="1" si="49"/>
        <v>0</v>
      </c>
      <c r="Z74">
        <f t="shared" ca="1" si="45"/>
        <v>0</v>
      </c>
      <c r="AA74">
        <f t="shared" ca="1" si="45"/>
        <v>0</v>
      </c>
      <c r="BU74">
        <f t="shared" si="46"/>
        <v>756</v>
      </c>
      <c r="BV74">
        <f t="shared" si="46"/>
        <v>756</v>
      </c>
      <c r="BW74">
        <f t="shared" si="46"/>
        <v>756</v>
      </c>
      <c r="CL74">
        <f t="shared" si="47"/>
        <v>0</v>
      </c>
      <c r="CM74">
        <f t="shared" si="47"/>
        <v>0</v>
      </c>
      <c r="CN74">
        <f t="shared" si="47"/>
        <v>0</v>
      </c>
      <c r="DC74" t="str" cm="1">
        <f t="array" aca="1" ref="DC74" ca="1">IF(BD74,OFFSET(INDIRECT("'"&amp;DT$67&amp;"'!f1"),E74-1,),"")</f>
        <v/>
      </c>
      <c r="DD74" t="str" cm="1">
        <f t="array" aca="1" ref="DD74" ca="1">IF(BE74,OFFSET(INDIRECT("'"&amp;DU$67&amp;"'!f1"),F74-1,),"")</f>
        <v/>
      </c>
      <c r="DE74" t="str" cm="1">
        <f t="array" aca="1" ref="DE74" ca="1">IF(BF74,OFFSET(INDIRECT("'"&amp;DV$67&amp;"'!f1"),G74-1,),"")</f>
        <v/>
      </c>
      <c r="DT74" t="str" cm="1">
        <f t="array" aca="1" ref="DT74" ca="1">IF(CL74,OFFSET(INDIRECT("'"&amp;DT$67&amp;"'!f1"),E74-1,),"")</f>
        <v/>
      </c>
      <c r="DU74" t="str" cm="1">
        <f t="array" aca="1" ref="DU74" ca="1">IF(CM74,OFFSET(INDIRECT("'"&amp;DU$67&amp;"'!f1"),F74-1,),"")</f>
        <v/>
      </c>
      <c r="DV74" t="str" cm="1">
        <f t="array" aca="1" ref="DV74" ca="1">IF(CN74,OFFSET(INDIRECT("'"&amp;DV$67&amp;"'!f1"),G74-1,),"")</f>
        <v/>
      </c>
      <c r="EK74" t="e" cm="1">
        <f t="array" aca="1" ref="EK74" ca="1">IF(ISNA(E74),0,OFFSET(INDIRECT("'"&amp;EK$67&amp;"'!g1"),E74-1,)*CL74)</f>
        <v>#REF!</v>
      </c>
      <c r="EL74" t="e" cm="1">
        <f t="array" aca="1" ref="EL74" ca="1">IF(ISNA(F74),0,OFFSET(INDIRECT("'"&amp;EL$67&amp;"'!g1"),F74-1,)*CM74)</f>
        <v>#REF!</v>
      </c>
      <c r="EM74" t="e" cm="1">
        <f t="array" aca="1" ref="EM74" ca="1">IF(ISNA(G74),0,OFFSET(INDIRECT("'"&amp;EM$67&amp;"'!g1"),G74-1,)*CN74)</f>
        <v>#REF!</v>
      </c>
      <c r="FB74" s="18" t="e" cm="1">
        <f t="array" aca="1" ref="FB74" ca="1">IF(ISNA(E74),0,OFFSET(INDIRECT("'"&amp;EK$67&amp;"'!h1"),E74-1,))</f>
        <v>#REF!</v>
      </c>
      <c r="FC74" s="18" t="e" cm="1">
        <f t="array" aca="1" ref="FC74" ca="1">IF(ISNA(F74),0,OFFSET(INDIRECT("'"&amp;EL$67&amp;"'!h1"),F74-1,))</f>
        <v>#REF!</v>
      </c>
      <c r="FD74" s="18" t="e" cm="1">
        <f t="array" aca="1" ref="FD74" ca="1">IF(ISNA(G74),0,OFFSET(INDIRECT("'"&amp;EM$67&amp;"'!h1"),G74-1,))</f>
        <v>#REF!</v>
      </c>
      <c r="FE74" s="18"/>
      <c r="FF74" s="18"/>
      <c r="FG74" s="18"/>
      <c r="FH74" s="18"/>
      <c r="FI74" s="18"/>
      <c r="FJ74" s="18"/>
      <c r="FK74" s="18"/>
      <c r="FL74" s="18"/>
      <c r="FM74" s="18"/>
      <c r="FN74" s="18"/>
      <c r="FO74" s="18"/>
      <c r="FP74" s="18"/>
      <c r="FQ74" s="18"/>
      <c r="FW74" s="1"/>
      <c r="FX74" s="5"/>
    </row>
    <row r="75" spans="1:180" x14ac:dyDescent="0.2">
      <c r="A75" t="str">
        <f>QDistRnd_756_20251225!A35</f>
        <v>[[756,16,34]]</v>
      </c>
      <c r="B75">
        <f>QDistRnd_756_20251225!B35</f>
        <v>756</v>
      </c>
      <c r="C75">
        <v>34</v>
      </c>
      <c r="E75" cm="1">
        <f t="array" aca="1" ref="E75" ca="1">INDIRECT(E$67&amp;"!"&amp;E$65&amp;ROW(E35))</f>
        <v>40</v>
      </c>
      <c r="F75" cm="1">
        <f t="array" aca="1" ref="F75" ca="1">INDIRECT(F$67&amp;"!"&amp;F$65&amp;ROW(F39))</f>
        <v>40</v>
      </c>
      <c r="G75" cm="1">
        <f t="array" aca="1" ref="G75" ca="1">INDIRECT(G$67&amp;"!"&amp;G$65&amp;ROW(G39))</f>
        <v>34</v>
      </c>
      <c r="I75">
        <f t="shared" ca="1" si="48"/>
        <v>6</v>
      </c>
      <c r="J75">
        <f t="shared" ca="1" si="43"/>
        <v>6</v>
      </c>
      <c r="K75">
        <f t="shared" ca="1" si="44"/>
        <v>0</v>
      </c>
      <c r="M75" cm="1">
        <f t="array" aca="1" ref="M75" ca="1">INDIRECT(M$67&amp;"!"&amp;M$65&amp;ROW(M35))</f>
        <v>11.341180584000501</v>
      </c>
      <c r="N75" cm="1">
        <f t="array" aca="1" ref="N75" ca="1">INDIRECT(N$67&amp;"!"&amp;N$65&amp;ROW(N39))</f>
        <v>159.67952505219699</v>
      </c>
      <c r="O75" cm="1">
        <f t="array" aca="1" ref="O75" ca="1">INDIRECT(O$67&amp;"!"&amp;O$65&amp;ROW(O39))</f>
        <v>153.783553536981</v>
      </c>
      <c r="Q75" cm="1">
        <f t="array" aca="1" ref="Q75" ca="1">INDIRECT(Q$67&amp;"!"&amp;Q$65&amp;ROW(Q35))</f>
        <v>1</v>
      </c>
      <c r="R75" cm="1">
        <f t="array" aca="1" ref="R75" ca="1">INDIRECT(R$67&amp;"!"&amp;R$65&amp;ROW(R39))</f>
        <v>1</v>
      </c>
      <c r="S75" cm="1">
        <f t="array" aca="1" ref="S75" ca="1">INDIRECT(S$67&amp;"!"&amp;S$65&amp;ROW(S39))</f>
        <v>2383</v>
      </c>
      <c r="U75" cm="1">
        <f t="array" aca="1" ref="U75" ca="1">INDIRECT(U$67&amp;"!"&amp;U$65&amp;ROW(U35))</f>
        <v>1</v>
      </c>
      <c r="V75" cm="1">
        <f t="array" aca="1" ref="V75" ca="1">INDIRECT(V$67&amp;"!"&amp;V$65&amp;ROW(V39))</f>
        <v>10000</v>
      </c>
      <c r="W75" cm="1">
        <f t="array" aca="1" ref="W75" ca="1">INDIRECT(W$67&amp;"!"&amp;W$65&amp;ROW(W39))</f>
        <v>10000</v>
      </c>
      <c r="Y75">
        <f t="shared" ca="1" si="49"/>
        <v>0</v>
      </c>
      <c r="Z75">
        <f t="shared" ca="1" si="45"/>
        <v>0</v>
      </c>
      <c r="AA75">
        <f t="shared" ca="1" si="45"/>
        <v>2383</v>
      </c>
      <c r="BU75">
        <f t="shared" si="46"/>
        <v>756</v>
      </c>
      <c r="BV75">
        <f t="shared" si="46"/>
        <v>756</v>
      </c>
      <c r="BW75">
        <f t="shared" si="46"/>
        <v>756</v>
      </c>
      <c r="CL75">
        <f t="shared" si="47"/>
        <v>0</v>
      </c>
      <c r="CM75">
        <f t="shared" si="47"/>
        <v>0</v>
      </c>
      <c r="CN75">
        <f t="shared" si="47"/>
        <v>0</v>
      </c>
      <c r="DC75" t="str" cm="1">
        <f t="array" aca="1" ref="DC75" ca="1">IF(BD75,OFFSET(INDIRECT("'"&amp;DT$67&amp;"'!f1"),E75-1,),"")</f>
        <v/>
      </c>
      <c r="DD75" t="str" cm="1">
        <f t="array" aca="1" ref="DD75" ca="1">IF(BE75,OFFSET(INDIRECT("'"&amp;DU$67&amp;"'!f1"),F75-1,),"")</f>
        <v/>
      </c>
      <c r="DE75" t="str" cm="1">
        <f t="array" aca="1" ref="DE75" ca="1">IF(BF75,OFFSET(INDIRECT("'"&amp;DV$67&amp;"'!f1"),G75-1,),"")</f>
        <v/>
      </c>
      <c r="DT75" t="str" cm="1">
        <f t="array" aca="1" ref="DT75" ca="1">IF(CL75,OFFSET(INDIRECT("'"&amp;DT$67&amp;"'!f1"),E75-1,),"")</f>
        <v/>
      </c>
      <c r="DU75" t="str" cm="1">
        <f t="array" aca="1" ref="DU75" ca="1">IF(CM75,OFFSET(INDIRECT("'"&amp;DU$67&amp;"'!f1"),F75-1,),"")</f>
        <v/>
      </c>
      <c r="DV75" t="str" cm="1">
        <f t="array" aca="1" ref="DV75" ca="1">IF(CN75,OFFSET(INDIRECT("'"&amp;DV$67&amp;"'!f1"),G75-1,),"")</f>
        <v/>
      </c>
      <c r="EK75" t="e" cm="1">
        <f t="array" aca="1" ref="EK75" ca="1">IF(ISNA(E75),0,OFFSET(INDIRECT("'"&amp;EK$67&amp;"'!g1"),E75-1,)*CL75)</f>
        <v>#REF!</v>
      </c>
      <c r="EL75" t="e" cm="1">
        <f t="array" aca="1" ref="EL75" ca="1">IF(ISNA(F75),0,OFFSET(INDIRECT("'"&amp;EL$67&amp;"'!g1"),F75-1,)*CM75)</f>
        <v>#REF!</v>
      </c>
      <c r="EM75" t="e" cm="1">
        <f t="array" aca="1" ref="EM75" ca="1">IF(ISNA(G75),0,OFFSET(INDIRECT("'"&amp;EM$67&amp;"'!g1"),G75-1,)*CN75)</f>
        <v>#REF!</v>
      </c>
      <c r="FB75" s="18" t="e" cm="1">
        <f t="array" aca="1" ref="FB75" ca="1">IF(ISNA(E75),0,OFFSET(INDIRECT("'"&amp;EK$67&amp;"'!h1"),E75-1,))</f>
        <v>#REF!</v>
      </c>
      <c r="FC75" s="18" t="e" cm="1">
        <f t="array" aca="1" ref="FC75" ca="1">IF(ISNA(F75),0,OFFSET(INDIRECT("'"&amp;EL$67&amp;"'!h1"),F75-1,))</f>
        <v>#REF!</v>
      </c>
      <c r="FD75" s="18" t="e" cm="1">
        <f t="array" aca="1" ref="FD75" ca="1">IF(ISNA(G75),0,OFFSET(INDIRECT("'"&amp;EM$67&amp;"'!h1"),G75-1,))</f>
        <v>#REF!</v>
      </c>
      <c r="FE75" s="18"/>
      <c r="FF75" s="18"/>
      <c r="FG75" s="18"/>
      <c r="FH75" s="18"/>
      <c r="FI75" s="18"/>
      <c r="FJ75" s="18"/>
      <c r="FK75" s="18"/>
      <c r="FL75" s="18"/>
      <c r="FM75" s="18"/>
      <c r="FN75" s="18"/>
      <c r="FO75" s="18"/>
      <c r="FP75" s="18"/>
      <c r="FQ75" s="18"/>
      <c r="FW75" s="1"/>
      <c r="FX75" s="5"/>
    </row>
    <row r="76" spans="1:180" x14ac:dyDescent="0.2">
      <c r="A76" t="str">
        <f>QDistRnd_756_20251225!A36</f>
        <v>[[756,16,34]]</v>
      </c>
      <c r="B76">
        <f>QDistRnd_756_20251225!B36</f>
        <v>756</v>
      </c>
      <c r="C76">
        <v>34</v>
      </c>
      <c r="E76" cm="1">
        <f t="array" aca="1" ref="E76" ca="1">INDIRECT(E$67&amp;"!"&amp;E$65&amp;ROW(E36))</f>
        <v>40</v>
      </c>
      <c r="F76" cm="1">
        <f t="array" aca="1" ref="F76" ca="1">INDIRECT(F$67&amp;"!"&amp;F$65&amp;ROW(F40))</f>
        <v>42</v>
      </c>
      <c r="G76" cm="1">
        <f t="array" aca="1" ref="G76" ca="1">INDIRECT(G$67&amp;"!"&amp;G$65&amp;ROW(G40))</f>
        <v>36</v>
      </c>
      <c r="I76">
        <f t="shared" ca="1" si="48"/>
        <v>6</v>
      </c>
      <c r="J76">
        <f t="shared" ca="1" si="43"/>
        <v>8</v>
      </c>
      <c r="K76">
        <f t="shared" ca="1" si="44"/>
        <v>2</v>
      </c>
      <c r="M76" cm="1">
        <f t="array" aca="1" ref="M76" ca="1">INDIRECT(M$67&amp;"!"&amp;M$65&amp;ROW(M36))</f>
        <v>11.907020708000299</v>
      </c>
      <c r="N76" cm="1">
        <f t="array" aca="1" ref="N76" ca="1">INDIRECT(N$67&amp;"!"&amp;N$65&amp;ROW(N40))</f>
        <v>159.654830683022</v>
      </c>
      <c r="O76" cm="1">
        <f t="array" aca="1" ref="O76" ca="1">INDIRECT(O$67&amp;"!"&amp;O$65&amp;ROW(O40))</f>
        <v>158.966631586663</v>
      </c>
      <c r="Q76" cm="1">
        <f t="array" aca="1" ref="Q76" ca="1">INDIRECT(Q$67&amp;"!"&amp;Q$65&amp;ROW(Q36))</f>
        <v>1</v>
      </c>
      <c r="R76" cm="1">
        <f t="array" aca="1" ref="R76" ca="1">INDIRECT(R$67&amp;"!"&amp;R$65&amp;ROW(R40))</f>
        <v>1</v>
      </c>
      <c r="S76" cm="1">
        <f t="array" aca="1" ref="S76" ca="1">INDIRECT(S$67&amp;"!"&amp;S$65&amp;ROW(S40))</f>
        <v>4277</v>
      </c>
      <c r="U76" cm="1">
        <f t="array" aca="1" ref="U76" ca="1">INDIRECT(U$67&amp;"!"&amp;U$65&amp;ROW(U36))</f>
        <v>1</v>
      </c>
      <c r="V76" cm="1">
        <f t="array" aca="1" ref="V76" ca="1">INDIRECT(V$67&amp;"!"&amp;V$65&amp;ROW(V40))</f>
        <v>10000</v>
      </c>
      <c r="W76" cm="1">
        <f t="array" aca="1" ref="W76" ca="1">INDIRECT(W$67&amp;"!"&amp;W$65&amp;ROW(W40))</f>
        <v>10000</v>
      </c>
      <c r="Y76">
        <f t="shared" ca="1" si="49"/>
        <v>0</v>
      </c>
      <c r="Z76">
        <f t="shared" ca="1" si="45"/>
        <v>0</v>
      </c>
      <c r="AA76">
        <f t="shared" ca="1" si="45"/>
        <v>0</v>
      </c>
      <c r="BU76">
        <f t="shared" si="46"/>
        <v>756</v>
      </c>
      <c r="BV76">
        <f t="shared" si="46"/>
        <v>756</v>
      </c>
      <c r="BW76">
        <f t="shared" si="46"/>
        <v>756</v>
      </c>
      <c r="CL76">
        <f t="shared" si="47"/>
        <v>0</v>
      </c>
      <c r="CM76">
        <f t="shared" si="47"/>
        <v>0</v>
      </c>
      <c r="CN76">
        <f t="shared" si="47"/>
        <v>0</v>
      </c>
      <c r="DC76" t="str" cm="1">
        <f t="array" aca="1" ref="DC76" ca="1">IF(BD76,OFFSET(INDIRECT("'"&amp;DT$67&amp;"'!f1"),E76-1,),"")</f>
        <v/>
      </c>
      <c r="DD76" t="str" cm="1">
        <f t="array" aca="1" ref="DD76" ca="1">IF(BE76,OFFSET(INDIRECT("'"&amp;DU$67&amp;"'!f1"),F76-1,),"")</f>
        <v/>
      </c>
      <c r="DE76" t="str" cm="1">
        <f t="array" aca="1" ref="DE76" ca="1">IF(BF76,OFFSET(INDIRECT("'"&amp;DV$67&amp;"'!f1"),G76-1,),"")</f>
        <v/>
      </c>
      <c r="DT76" t="str" cm="1">
        <f t="array" aca="1" ref="DT76" ca="1">IF(CL76,OFFSET(INDIRECT("'"&amp;DT$67&amp;"'!f1"),E76-1,),"")</f>
        <v/>
      </c>
      <c r="DU76" t="str" cm="1">
        <f t="array" aca="1" ref="DU76" ca="1">IF(CM76,OFFSET(INDIRECT("'"&amp;DU$67&amp;"'!f1"),F76-1,),"")</f>
        <v/>
      </c>
      <c r="DV76" t="str" cm="1">
        <f t="array" aca="1" ref="DV76" ca="1">IF(CN76,OFFSET(INDIRECT("'"&amp;DV$67&amp;"'!f1"),G76-1,),"")</f>
        <v/>
      </c>
      <c r="EK76" t="e" cm="1">
        <f t="array" aca="1" ref="EK76" ca="1">IF(ISNA(E76),0,OFFSET(INDIRECT("'"&amp;EK$67&amp;"'!g1"),E76-1,)*CL76)</f>
        <v>#REF!</v>
      </c>
      <c r="EL76" t="e" cm="1">
        <f t="array" aca="1" ref="EL76" ca="1">IF(ISNA(F76),0,OFFSET(INDIRECT("'"&amp;EL$67&amp;"'!g1"),F76-1,)*CM76)</f>
        <v>#REF!</v>
      </c>
      <c r="EM76" t="e" cm="1">
        <f t="array" aca="1" ref="EM76" ca="1">IF(ISNA(G76),0,OFFSET(INDIRECT("'"&amp;EM$67&amp;"'!g1"),G76-1,)*CN76)</f>
        <v>#REF!</v>
      </c>
      <c r="FB76" s="18" t="e" cm="1">
        <f t="array" aca="1" ref="FB76" ca="1">IF(ISNA(E76),0,OFFSET(INDIRECT("'"&amp;EK$67&amp;"'!h1"),E76-1,))</f>
        <v>#REF!</v>
      </c>
      <c r="FC76" s="18" t="e" cm="1">
        <f t="array" aca="1" ref="FC76" ca="1">IF(ISNA(F76),0,OFFSET(INDIRECT("'"&amp;EL$67&amp;"'!h1"),F76-1,))</f>
        <v>#REF!</v>
      </c>
      <c r="FD76" s="18" t="e" cm="1">
        <f t="array" aca="1" ref="FD76" ca="1">IF(ISNA(G76),0,OFFSET(INDIRECT("'"&amp;EM$67&amp;"'!h1"),G76-1,))</f>
        <v>#REF!</v>
      </c>
      <c r="FE76" s="18"/>
      <c r="FF76" s="18"/>
      <c r="FG76" s="18"/>
      <c r="FH76" s="18"/>
      <c r="FI76" s="18"/>
      <c r="FJ76" s="18"/>
      <c r="FK76" s="18"/>
      <c r="FL76" s="18"/>
      <c r="FM76" s="18"/>
      <c r="FN76" s="18"/>
      <c r="FO76" s="18"/>
      <c r="FP76" s="18"/>
      <c r="FQ76" s="18"/>
      <c r="FW76" s="1"/>
      <c r="FX76" s="5"/>
    </row>
    <row r="77" spans="1:180" x14ac:dyDescent="0.2">
      <c r="A77" t="str">
        <f>QDistRnd_756_20251225!A37</f>
        <v>[[756,16,34]]</v>
      </c>
      <c r="B77">
        <f>QDistRnd_756_20251225!B37</f>
        <v>756</v>
      </c>
      <c r="C77">
        <v>34</v>
      </c>
      <c r="E77" cm="1">
        <f t="array" aca="1" ref="E77" ca="1">INDIRECT(E$67&amp;"!"&amp;E$65&amp;ROW(E37))</f>
        <v>46</v>
      </c>
      <c r="F77" cm="1">
        <f t="array" aca="1" ref="F77" ca="1">INDIRECT(F$67&amp;"!"&amp;F$65&amp;ROW(F41))</f>
        <v>42</v>
      </c>
      <c r="G77" cm="1">
        <f t="array" aca="1" ref="G77" ca="1">INDIRECT(G$67&amp;"!"&amp;G$65&amp;ROW(G41))</f>
        <v>34</v>
      </c>
      <c r="I77">
        <f t="shared" ca="1" si="48"/>
        <v>12</v>
      </c>
      <c r="J77">
        <f t="shared" ca="1" si="43"/>
        <v>8</v>
      </c>
      <c r="K77">
        <f t="shared" ca="1" si="44"/>
        <v>0</v>
      </c>
      <c r="M77" cm="1">
        <f t="array" aca="1" ref="M77" ca="1">INDIRECT(M$67&amp;"!"&amp;M$65&amp;ROW(M37))</f>
        <v>11.8693661669967</v>
      </c>
      <c r="N77" cm="1">
        <f t="array" aca="1" ref="N77" ca="1">INDIRECT(N$67&amp;"!"&amp;N$65&amp;ROW(N41))</f>
        <v>152.07110708299999</v>
      </c>
      <c r="O77" cm="1">
        <f t="array" aca="1" ref="O77" ca="1">INDIRECT(O$67&amp;"!"&amp;O$65&amp;ROW(O41))</f>
        <v>150.12771839182801</v>
      </c>
      <c r="Q77" cm="1">
        <f t="array" aca="1" ref="Q77" ca="1">INDIRECT(Q$67&amp;"!"&amp;Q$65&amp;ROW(Q37))</f>
        <v>1</v>
      </c>
      <c r="R77" cm="1">
        <f t="array" aca="1" ref="R77" ca="1">INDIRECT(R$67&amp;"!"&amp;R$65&amp;ROW(R41))</f>
        <v>1</v>
      </c>
      <c r="S77" cm="1">
        <f t="array" aca="1" ref="S77" ca="1">INDIRECT(S$67&amp;"!"&amp;S$65&amp;ROW(S41))</f>
        <v>1549</v>
      </c>
      <c r="U77" cm="1">
        <f t="array" aca="1" ref="U77" ca="1">INDIRECT(U$67&amp;"!"&amp;U$65&amp;ROW(U37))</f>
        <v>1</v>
      </c>
      <c r="V77" cm="1">
        <f t="array" aca="1" ref="V77" ca="1">INDIRECT(V$67&amp;"!"&amp;V$65&amp;ROW(V41))</f>
        <v>10000</v>
      </c>
      <c r="W77" cm="1">
        <f t="array" aca="1" ref="W77" ca="1">INDIRECT(W$67&amp;"!"&amp;W$65&amp;ROW(W41))</f>
        <v>10000</v>
      </c>
      <c r="Y77">
        <f t="shared" ca="1" si="49"/>
        <v>0</v>
      </c>
      <c r="Z77">
        <f t="shared" ca="1" si="45"/>
        <v>0</v>
      </c>
      <c r="AA77">
        <f t="shared" ca="1" si="45"/>
        <v>1549</v>
      </c>
      <c r="BU77">
        <f t="shared" si="46"/>
        <v>756</v>
      </c>
      <c r="BV77">
        <f t="shared" si="46"/>
        <v>756</v>
      </c>
      <c r="BW77">
        <f t="shared" si="46"/>
        <v>756</v>
      </c>
      <c r="CL77">
        <f t="shared" si="47"/>
        <v>0</v>
      </c>
      <c r="CM77">
        <f t="shared" si="47"/>
        <v>0</v>
      </c>
      <c r="CN77">
        <f t="shared" si="47"/>
        <v>0</v>
      </c>
      <c r="DC77" t="str" cm="1">
        <f t="array" aca="1" ref="DC77" ca="1">IF(BD77,OFFSET(INDIRECT("'"&amp;DT$67&amp;"'!f1"),E77-1,),"")</f>
        <v/>
      </c>
      <c r="DD77" t="str" cm="1">
        <f t="array" aca="1" ref="DD77" ca="1">IF(BE77,OFFSET(INDIRECT("'"&amp;DU$67&amp;"'!f1"),F77-1,),"")</f>
        <v/>
      </c>
      <c r="DE77" t="str" cm="1">
        <f t="array" aca="1" ref="DE77" ca="1">IF(BF77,OFFSET(INDIRECT("'"&amp;DV$67&amp;"'!f1"),G77-1,),"")</f>
        <v/>
      </c>
      <c r="DT77" t="str" cm="1">
        <f t="array" aca="1" ref="DT77" ca="1">IF(CL77,OFFSET(INDIRECT("'"&amp;DT$67&amp;"'!f1"),E77-1,),"")</f>
        <v/>
      </c>
      <c r="DU77" t="str" cm="1">
        <f t="array" aca="1" ref="DU77" ca="1">IF(CM77,OFFSET(INDIRECT("'"&amp;DU$67&amp;"'!f1"),F77-1,),"")</f>
        <v/>
      </c>
      <c r="DV77" t="str" cm="1">
        <f t="array" aca="1" ref="DV77" ca="1">IF(CN77,OFFSET(INDIRECT("'"&amp;DV$67&amp;"'!f1"),G77-1,),"")</f>
        <v/>
      </c>
      <c r="EK77" t="e" cm="1">
        <f t="array" aca="1" ref="EK77" ca="1">IF(ISNA(E77),0,OFFSET(INDIRECT("'"&amp;EK$67&amp;"'!g1"),E77-1,)*CL77)</f>
        <v>#REF!</v>
      </c>
      <c r="EL77" t="e" cm="1">
        <f t="array" aca="1" ref="EL77" ca="1">IF(ISNA(F77),0,OFFSET(INDIRECT("'"&amp;EL$67&amp;"'!g1"),F77-1,)*CM77)</f>
        <v>#REF!</v>
      </c>
      <c r="EM77" t="e" cm="1">
        <f t="array" aca="1" ref="EM77" ca="1">IF(ISNA(G77),0,OFFSET(INDIRECT("'"&amp;EM$67&amp;"'!g1"),G77-1,)*CN77)</f>
        <v>#REF!</v>
      </c>
      <c r="FB77" s="18" t="e" cm="1">
        <f t="array" aca="1" ref="FB77" ca="1">IF(ISNA(E77),0,OFFSET(INDIRECT("'"&amp;EK$67&amp;"'!h1"),E77-1,))</f>
        <v>#REF!</v>
      </c>
      <c r="FC77" s="18" t="e" cm="1">
        <f t="array" aca="1" ref="FC77" ca="1">IF(ISNA(F77),0,OFFSET(INDIRECT("'"&amp;EL$67&amp;"'!h1"),F77-1,))</f>
        <v>#REF!</v>
      </c>
      <c r="FD77" s="18" t="e" cm="1">
        <f t="array" aca="1" ref="FD77" ca="1">IF(ISNA(G77),0,OFFSET(INDIRECT("'"&amp;EM$67&amp;"'!h1"),G77-1,))</f>
        <v>#REF!</v>
      </c>
      <c r="FE77" s="18"/>
      <c r="FF77" s="18"/>
      <c r="FG77" s="18"/>
      <c r="FH77" s="18"/>
      <c r="FI77" s="18"/>
      <c r="FJ77" s="18"/>
      <c r="FK77" s="18"/>
      <c r="FL77" s="18"/>
      <c r="FM77" s="18"/>
      <c r="FN77" s="18"/>
      <c r="FO77" s="18"/>
      <c r="FP77" s="18"/>
      <c r="FQ77" s="18"/>
      <c r="FW77" s="1"/>
      <c r="FX77" s="5"/>
    </row>
    <row r="78" spans="1:180" x14ac:dyDescent="0.2">
      <c r="A78" t="str">
        <f>QDistRnd_756_20251225!A38</f>
        <v>[[756,16,34]]</v>
      </c>
      <c r="B78">
        <f>QDistRnd_756_20251225!B38</f>
        <v>756</v>
      </c>
      <c r="C78">
        <v>34</v>
      </c>
      <c r="E78" cm="1">
        <f t="array" aca="1" ref="E78" ca="1">INDIRECT(E$67&amp;"!"&amp;E$65&amp;ROW(E38))</f>
        <v>42</v>
      </c>
      <c r="F78" cm="1">
        <f t="array" aca="1" ref="F78" ca="1">INDIRECT(F$67&amp;"!"&amp;F$65&amp;ROW(F42))</f>
        <v>40</v>
      </c>
      <c r="G78" cm="1">
        <f t="array" aca="1" ref="G78" ca="1">INDIRECT(G$67&amp;"!"&amp;G$65&amp;ROW(G42))</f>
        <v>34</v>
      </c>
      <c r="I78">
        <f t="shared" ca="1" si="48"/>
        <v>8</v>
      </c>
      <c r="J78">
        <f t="shared" ca="1" si="43"/>
        <v>6</v>
      </c>
      <c r="K78">
        <f t="shared" ca="1" si="44"/>
        <v>0</v>
      </c>
      <c r="M78" cm="1">
        <f t="array" aca="1" ref="M78" ca="1">INDIRECT(M$67&amp;"!"&amp;M$65&amp;ROW(M38))</f>
        <v>11.0618100830033</v>
      </c>
      <c r="N78" cm="1">
        <f t="array" aca="1" ref="N78" ca="1">INDIRECT(N$67&amp;"!"&amp;N$65&amp;ROW(N42))</f>
        <v>150.74027185328299</v>
      </c>
      <c r="O78" cm="1">
        <f t="array" aca="1" ref="O78" ca="1">INDIRECT(O$67&amp;"!"&amp;O$65&amp;ROW(O42))</f>
        <v>147.344389765523</v>
      </c>
      <c r="Q78" cm="1">
        <f t="array" aca="1" ref="Q78" ca="1">INDIRECT(Q$67&amp;"!"&amp;Q$65&amp;ROW(Q38))</f>
        <v>1</v>
      </c>
      <c r="R78" cm="1">
        <f t="array" aca="1" ref="R78" ca="1">INDIRECT(R$67&amp;"!"&amp;R$65&amp;ROW(R42))</f>
        <v>1</v>
      </c>
      <c r="S78" cm="1">
        <f t="array" aca="1" ref="S78" ca="1">INDIRECT(S$67&amp;"!"&amp;S$65&amp;ROW(S42))</f>
        <v>1869</v>
      </c>
      <c r="U78" cm="1">
        <f t="array" aca="1" ref="U78" ca="1">INDIRECT(U$67&amp;"!"&amp;U$65&amp;ROW(U38))</f>
        <v>1</v>
      </c>
      <c r="V78" cm="1">
        <f t="array" aca="1" ref="V78" ca="1">INDIRECT(V$67&amp;"!"&amp;V$65&amp;ROW(V42))</f>
        <v>10000</v>
      </c>
      <c r="W78" cm="1">
        <f t="array" aca="1" ref="W78" ca="1">INDIRECT(W$67&amp;"!"&amp;W$65&amp;ROW(W42))</f>
        <v>10000</v>
      </c>
      <c r="Y78">
        <f t="shared" ca="1" si="49"/>
        <v>0</v>
      </c>
      <c r="Z78">
        <f t="shared" ca="1" si="45"/>
        <v>0</v>
      </c>
      <c r="AA78">
        <f t="shared" ca="1" si="45"/>
        <v>1869</v>
      </c>
      <c r="BU78">
        <f t="shared" si="46"/>
        <v>756</v>
      </c>
      <c r="BV78">
        <f t="shared" si="46"/>
        <v>756</v>
      </c>
      <c r="BW78">
        <f t="shared" si="46"/>
        <v>756</v>
      </c>
      <c r="CL78">
        <f t="shared" si="47"/>
        <v>0</v>
      </c>
      <c r="CM78">
        <f t="shared" si="47"/>
        <v>0</v>
      </c>
      <c r="CN78">
        <f t="shared" si="47"/>
        <v>0</v>
      </c>
      <c r="DC78" t="str" cm="1">
        <f t="array" aca="1" ref="DC78" ca="1">IF(BD78,OFFSET(INDIRECT("'"&amp;DT$67&amp;"'!f1"),E78-1,),"")</f>
        <v/>
      </c>
      <c r="DD78" t="str" cm="1">
        <f t="array" aca="1" ref="DD78" ca="1">IF(BE78,OFFSET(INDIRECT("'"&amp;DU$67&amp;"'!f1"),F78-1,),"")</f>
        <v/>
      </c>
      <c r="DE78" t="str" cm="1">
        <f t="array" aca="1" ref="DE78" ca="1">IF(BF78,OFFSET(INDIRECT("'"&amp;DV$67&amp;"'!f1"),G78-1,),"")</f>
        <v/>
      </c>
      <c r="DT78" t="str" cm="1">
        <f t="array" aca="1" ref="DT78" ca="1">IF(CL78,OFFSET(INDIRECT("'"&amp;DT$67&amp;"'!f1"),E78-1,),"")</f>
        <v/>
      </c>
      <c r="DU78" t="str" cm="1">
        <f t="array" aca="1" ref="DU78" ca="1">IF(CM78,OFFSET(INDIRECT("'"&amp;DU$67&amp;"'!f1"),F78-1,),"")</f>
        <v/>
      </c>
      <c r="DV78" t="str" cm="1">
        <f t="array" aca="1" ref="DV78" ca="1">IF(CN78,OFFSET(INDIRECT("'"&amp;DV$67&amp;"'!f1"),G78-1,),"")</f>
        <v/>
      </c>
      <c r="EK78" t="e" cm="1">
        <f t="array" aca="1" ref="EK78" ca="1">IF(ISNA(E78),0,OFFSET(INDIRECT("'"&amp;EK$67&amp;"'!g1"),E78-1,)*CL78)</f>
        <v>#REF!</v>
      </c>
      <c r="EL78" t="e" cm="1">
        <f t="array" aca="1" ref="EL78" ca="1">IF(ISNA(F78),0,OFFSET(INDIRECT("'"&amp;EL$67&amp;"'!g1"),F78-1,)*CM78)</f>
        <v>#REF!</v>
      </c>
      <c r="EM78" t="e" cm="1">
        <f t="array" aca="1" ref="EM78" ca="1">IF(ISNA(G78),0,OFFSET(INDIRECT("'"&amp;EM$67&amp;"'!g1"),G78-1,)*CN78)</f>
        <v>#REF!</v>
      </c>
      <c r="FB78" s="18" t="e" cm="1">
        <f t="array" aca="1" ref="FB78" ca="1">IF(ISNA(E78),0,OFFSET(INDIRECT("'"&amp;EK$67&amp;"'!h1"),E78-1,))</f>
        <v>#REF!</v>
      </c>
      <c r="FC78" s="18" t="e" cm="1">
        <f t="array" aca="1" ref="FC78" ca="1">IF(ISNA(F78),0,OFFSET(INDIRECT("'"&amp;EL$67&amp;"'!h1"),F78-1,))</f>
        <v>#REF!</v>
      </c>
      <c r="FD78" s="18" t="e" cm="1">
        <f t="array" aca="1" ref="FD78" ca="1">IF(ISNA(G78),0,OFFSET(INDIRECT("'"&amp;EM$67&amp;"'!h1"),G78-1,))</f>
        <v>#REF!</v>
      </c>
      <c r="FE78" s="18"/>
      <c r="FF78" s="18"/>
      <c r="FG78" s="18"/>
      <c r="FH78" s="18"/>
      <c r="FI78" s="18"/>
      <c r="FJ78" s="18"/>
      <c r="FK78" s="18"/>
      <c r="FL78" s="18"/>
      <c r="FM78" s="18"/>
      <c r="FN78" s="18"/>
      <c r="FO78" s="18"/>
      <c r="FP78" s="18"/>
      <c r="FQ78" s="18"/>
      <c r="FW78" s="1"/>
      <c r="FX78" s="5"/>
    </row>
    <row r="79" spans="1:180" x14ac:dyDescent="0.2">
      <c r="A79" t="str">
        <f>QDistRnd_756_20251225!A39</f>
        <v>[[756,16,34]]</v>
      </c>
      <c r="B79">
        <f>QDistRnd_756_20251225!B39</f>
        <v>756</v>
      </c>
      <c r="C79">
        <v>34</v>
      </c>
      <c r="E79" cm="1">
        <f t="array" aca="1" ref="E79" ca="1">INDIRECT(E$67&amp;"!"&amp;E$65&amp;ROW(E39))</f>
        <v>44</v>
      </c>
      <c r="F79" cm="1">
        <f t="array" aca="1" ref="F79" ca="1">INDIRECT(F$67&amp;"!"&amp;F$65&amp;ROW(F43))</f>
        <v>44</v>
      </c>
      <c r="G79" cm="1">
        <f t="array" aca="1" ref="G79" ca="1">INDIRECT(G$67&amp;"!"&amp;G$65&amp;ROW(G43))</f>
        <v>38</v>
      </c>
      <c r="I79">
        <f t="shared" ca="1" si="48"/>
        <v>10</v>
      </c>
      <c r="J79">
        <f t="shared" ca="1" si="43"/>
        <v>10</v>
      </c>
      <c r="K79">
        <f t="shared" ca="1" si="44"/>
        <v>4</v>
      </c>
      <c r="M79" cm="1">
        <f t="array" aca="1" ref="M79" ca="1">INDIRECT(M$67&amp;"!"&amp;M$65&amp;ROW(M39))</f>
        <v>11.1455824999975</v>
      </c>
      <c r="N79" cm="1">
        <f t="array" aca="1" ref="N79" ca="1">INDIRECT(N$67&amp;"!"&amp;N$65&amp;ROW(N43))</f>
        <v>149.48735839501001</v>
      </c>
      <c r="O79" cm="1">
        <f t="array" aca="1" ref="O79" ca="1">INDIRECT(O$67&amp;"!"&amp;O$65&amp;ROW(O43))</f>
        <v>147.171632971614</v>
      </c>
      <c r="Q79" cm="1">
        <f t="array" aca="1" ref="Q79" ca="1">INDIRECT(Q$67&amp;"!"&amp;Q$65&amp;ROW(Q39))</f>
        <v>1</v>
      </c>
      <c r="R79" cm="1">
        <f t="array" aca="1" ref="R79" ca="1">INDIRECT(R$67&amp;"!"&amp;R$65&amp;ROW(R43))</f>
        <v>1</v>
      </c>
      <c r="S79" cm="1">
        <f t="array" aca="1" ref="S79" ca="1">INDIRECT(S$67&amp;"!"&amp;S$65&amp;ROW(S43))</f>
        <v>1259</v>
      </c>
      <c r="U79" cm="1">
        <f t="array" aca="1" ref="U79" ca="1">INDIRECT(U$67&amp;"!"&amp;U$65&amp;ROW(U39))</f>
        <v>1</v>
      </c>
      <c r="V79" cm="1">
        <f t="array" aca="1" ref="V79" ca="1">INDIRECT(V$67&amp;"!"&amp;V$65&amp;ROW(V43))</f>
        <v>10000</v>
      </c>
      <c r="W79" cm="1">
        <f t="array" aca="1" ref="W79" ca="1">INDIRECT(W$67&amp;"!"&amp;W$65&amp;ROW(W43))</f>
        <v>10000</v>
      </c>
      <c r="Y79">
        <f t="shared" ca="1" si="49"/>
        <v>0</v>
      </c>
      <c r="Z79">
        <f t="shared" ca="1" si="45"/>
        <v>0</v>
      </c>
      <c r="AA79">
        <f t="shared" ca="1" si="45"/>
        <v>0</v>
      </c>
      <c r="BU79">
        <f t="shared" si="46"/>
        <v>756</v>
      </c>
      <c r="BV79">
        <f t="shared" si="46"/>
        <v>756</v>
      </c>
      <c r="BW79">
        <f t="shared" si="46"/>
        <v>756</v>
      </c>
      <c r="CL79">
        <f t="shared" si="47"/>
        <v>0</v>
      </c>
      <c r="CM79">
        <f t="shared" si="47"/>
        <v>0</v>
      </c>
      <c r="CN79">
        <f t="shared" si="47"/>
        <v>0</v>
      </c>
      <c r="DC79" t="str" cm="1">
        <f t="array" aca="1" ref="DC79" ca="1">IF(BD79,OFFSET(INDIRECT("'"&amp;DT$67&amp;"'!f1"),E79-1,),"")</f>
        <v/>
      </c>
      <c r="DD79" t="str" cm="1">
        <f t="array" aca="1" ref="DD79" ca="1">IF(BE79,OFFSET(INDIRECT("'"&amp;DU$67&amp;"'!f1"),F79-1,),"")</f>
        <v/>
      </c>
      <c r="DE79" t="str" cm="1">
        <f t="array" aca="1" ref="DE79" ca="1">IF(BF79,OFFSET(INDIRECT("'"&amp;DV$67&amp;"'!f1"),G79-1,),"")</f>
        <v/>
      </c>
      <c r="DT79" t="str" cm="1">
        <f t="array" aca="1" ref="DT79" ca="1">IF(CL79,OFFSET(INDIRECT("'"&amp;DT$67&amp;"'!f1"),E79-1,),"")</f>
        <v/>
      </c>
      <c r="DU79" t="str" cm="1">
        <f t="array" aca="1" ref="DU79" ca="1">IF(CM79,OFFSET(INDIRECT("'"&amp;DU$67&amp;"'!f1"),F79-1,),"")</f>
        <v/>
      </c>
      <c r="DV79" t="str" cm="1">
        <f t="array" aca="1" ref="DV79" ca="1">IF(CN79,OFFSET(INDIRECT("'"&amp;DV$67&amp;"'!f1"),G79-1,),"")</f>
        <v/>
      </c>
      <c r="EK79" t="e" cm="1">
        <f t="array" aca="1" ref="EK79" ca="1">IF(ISNA(E79),0,OFFSET(INDIRECT("'"&amp;EK$67&amp;"'!g1"),E79-1,)*CL79)</f>
        <v>#REF!</v>
      </c>
      <c r="EL79" t="e" cm="1">
        <f t="array" aca="1" ref="EL79" ca="1">IF(ISNA(F79),0,OFFSET(INDIRECT("'"&amp;EL$67&amp;"'!g1"),F79-1,)*CM79)</f>
        <v>#REF!</v>
      </c>
      <c r="EM79" t="e" cm="1">
        <f t="array" aca="1" ref="EM79" ca="1">IF(ISNA(G79),0,OFFSET(INDIRECT("'"&amp;EM$67&amp;"'!g1"),G79-1,)*CN79)</f>
        <v>#REF!</v>
      </c>
      <c r="FB79" s="18" t="e" cm="1">
        <f t="array" aca="1" ref="FB79" ca="1">IF(ISNA(E79),0,OFFSET(INDIRECT("'"&amp;EK$67&amp;"'!h1"),E79-1,))</f>
        <v>#REF!</v>
      </c>
      <c r="FC79" s="18" t="e" cm="1">
        <f t="array" aca="1" ref="FC79" ca="1">IF(ISNA(F79),0,OFFSET(INDIRECT("'"&amp;EL$67&amp;"'!h1"),F79-1,))</f>
        <v>#REF!</v>
      </c>
      <c r="FD79" s="18" t="e" cm="1">
        <f t="array" aca="1" ref="FD79" ca="1">IF(ISNA(G79),0,OFFSET(INDIRECT("'"&amp;EM$67&amp;"'!h1"),G79-1,))</f>
        <v>#REF!</v>
      </c>
      <c r="FE79" s="18"/>
      <c r="FF79" s="18"/>
      <c r="FG79" s="18"/>
      <c r="FH79" s="18"/>
      <c r="FI79" s="18"/>
      <c r="FJ79" s="18"/>
      <c r="FK79" s="18"/>
      <c r="FL79" s="18"/>
      <c r="FM79" s="18"/>
      <c r="FN79" s="18"/>
      <c r="FO79" s="18"/>
      <c r="FP79" s="18"/>
      <c r="FQ79" s="18"/>
      <c r="FW79" s="1"/>
      <c r="FX79" s="5"/>
    </row>
    <row r="80" spans="1:180" x14ac:dyDescent="0.2">
      <c r="A80" t="str">
        <f>QDistRnd_756_20251225!A40</f>
        <v>[[756,16,34]]</v>
      </c>
      <c r="B80">
        <f>QDistRnd_756_20251225!B40</f>
        <v>756</v>
      </c>
      <c r="C80">
        <v>34</v>
      </c>
      <c r="E80" cm="1">
        <f t="array" aca="1" ref="E80" ca="1">INDIRECT(E$67&amp;"!"&amp;E$65&amp;ROW(E40))</f>
        <v>44</v>
      </c>
      <c r="F80" cm="1">
        <f t="array" aca="1" ref="F80" ca="1">INDIRECT(F$67&amp;"!"&amp;F$65&amp;ROW(F44))</f>
        <v>40</v>
      </c>
      <c r="G80" cm="1">
        <f t="array" aca="1" ref="G80" ca="1">INDIRECT(G$67&amp;"!"&amp;G$65&amp;ROW(G44))</f>
        <v>36</v>
      </c>
      <c r="I80">
        <f t="shared" ca="1" si="48"/>
        <v>10</v>
      </c>
      <c r="J80">
        <f t="shared" ca="1" si="43"/>
        <v>6</v>
      </c>
      <c r="K80">
        <f t="shared" ca="1" si="44"/>
        <v>2</v>
      </c>
      <c r="M80" cm="1">
        <f t="array" aca="1" ref="M80" ca="1">INDIRECT(M$67&amp;"!"&amp;M$65&amp;ROW(M40))</f>
        <v>11.150217124999401</v>
      </c>
      <c r="N80" cm="1">
        <f t="array" aca="1" ref="N80" ca="1">INDIRECT(N$67&amp;"!"&amp;N$65&amp;ROW(N44))</f>
        <v>148.798632499761</v>
      </c>
      <c r="O80" cm="1">
        <f t="array" aca="1" ref="O80" ca="1">INDIRECT(O$67&amp;"!"&amp;O$65&amp;ROW(O44))</f>
        <v>145.60336927790101</v>
      </c>
      <c r="Q80" cm="1">
        <f t="array" aca="1" ref="Q80" ca="1">INDIRECT(Q$67&amp;"!"&amp;Q$65&amp;ROW(Q40))</f>
        <v>1</v>
      </c>
      <c r="R80" cm="1">
        <f t="array" aca="1" ref="R80" ca="1">INDIRECT(R$67&amp;"!"&amp;R$65&amp;ROW(R44))</f>
        <v>1</v>
      </c>
      <c r="S80" cm="1">
        <f t="array" aca="1" ref="S80" ca="1">INDIRECT(S$67&amp;"!"&amp;S$65&amp;ROW(S44))</f>
        <v>2157</v>
      </c>
      <c r="U80" cm="1">
        <f t="array" aca="1" ref="U80" ca="1">INDIRECT(U$67&amp;"!"&amp;U$65&amp;ROW(U40))</f>
        <v>1</v>
      </c>
      <c r="V80" cm="1">
        <f t="array" aca="1" ref="V80" ca="1">INDIRECT(V$67&amp;"!"&amp;V$65&amp;ROW(V44))</f>
        <v>10000</v>
      </c>
      <c r="W80" cm="1">
        <f t="array" aca="1" ref="W80" ca="1">INDIRECT(W$67&amp;"!"&amp;W$65&amp;ROW(W44))</f>
        <v>10000</v>
      </c>
      <c r="Y80">
        <f t="shared" ca="1" si="49"/>
        <v>0</v>
      </c>
      <c r="Z80">
        <f t="shared" ca="1" si="45"/>
        <v>0</v>
      </c>
      <c r="AA80">
        <f t="shared" ca="1" si="45"/>
        <v>0</v>
      </c>
      <c r="BU80">
        <f t="shared" si="46"/>
        <v>756</v>
      </c>
      <c r="BV80">
        <f t="shared" si="46"/>
        <v>756</v>
      </c>
      <c r="BW80">
        <f t="shared" si="46"/>
        <v>756</v>
      </c>
      <c r="CL80">
        <f t="shared" si="47"/>
        <v>0</v>
      </c>
      <c r="CM80">
        <f t="shared" si="47"/>
        <v>0</v>
      </c>
      <c r="CN80">
        <f t="shared" si="47"/>
        <v>0</v>
      </c>
      <c r="DC80" t="str" cm="1">
        <f t="array" aca="1" ref="DC80" ca="1">IF(BD80,OFFSET(INDIRECT("'"&amp;DT$67&amp;"'!f1"),E80-1,),"")</f>
        <v/>
      </c>
      <c r="DD80" t="str" cm="1">
        <f t="array" aca="1" ref="DD80" ca="1">IF(BE80,OFFSET(INDIRECT("'"&amp;DU$67&amp;"'!f1"),F80-1,),"")</f>
        <v/>
      </c>
      <c r="DE80" t="str" cm="1">
        <f t="array" aca="1" ref="DE80" ca="1">IF(BF80,OFFSET(INDIRECT("'"&amp;DV$67&amp;"'!f1"),G80-1,),"")</f>
        <v/>
      </c>
      <c r="DT80" t="str" cm="1">
        <f t="array" aca="1" ref="DT80" ca="1">IF(CL80,OFFSET(INDIRECT("'"&amp;DT$67&amp;"'!f1"),E80-1,),"")</f>
        <v/>
      </c>
      <c r="DU80" t="str" cm="1">
        <f t="array" aca="1" ref="DU80" ca="1">IF(CM80,OFFSET(INDIRECT("'"&amp;DU$67&amp;"'!f1"),F80-1,),"")</f>
        <v/>
      </c>
      <c r="DV80" t="str" cm="1">
        <f t="array" aca="1" ref="DV80" ca="1">IF(CN80,OFFSET(INDIRECT("'"&amp;DV$67&amp;"'!f1"),G80-1,),"")</f>
        <v/>
      </c>
      <c r="EK80" t="e" cm="1">
        <f t="array" aca="1" ref="EK80" ca="1">IF(ISNA(E80),0,OFFSET(INDIRECT("'"&amp;EK$67&amp;"'!g1"),E80-1,)*CL80)</f>
        <v>#REF!</v>
      </c>
      <c r="EL80" t="e" cm="1">
        <f t="array" aca="1" ref="EL80" ca="1">IF(ISNA(F80),0,OFFSET(INDIRECT("'"&amp;EL$67&amp;"'!g1"),F80-1,)*CM80)</f>
        <v>#REF!</v>
      </c>
      <c r="EM80" t="e" cm="1">
        <f t="array" aca="1" ref="EM80" ca="1">IF(ISNA(G80),0,OFFSET(INDIRECT("'"&amp;EM$67&amp;"'!g1"),G80-1,)*CN80)</f>
        <v>#REF!</v>
      </c>
      <c r="FB80" s="18" t="e" cm="1">
        <f t="array" aca="1" ref="FB80" ca="1">IF(ISNA(E80),0,OFFSET(INDIRECT("'"&amp;EK$67&amp;"'!h1"),E80-1,))</f>
        <v>#REF!</v>
      </c>
      <c r="FC80" s="18" t="e" cm="1">
        <f t="array" aca="1" ref="FC80" ca="1">IF(ISNA(F80),0,OFFSET(INDIRECT("'"&amp;EL$67&amp;"'!h1"),F80-1,))</f>
        <v>#REF!</v>
      </c>
      <c r="FD80" s="18" t="e" cm="1">
        <f t="array" aca="1" ref="FD80" ca="1">IF(ISNA(G80),0,OFFSET(INDIRECT("'"&amp;EM$67&amp;"'!h1"),G80-1,))</f>
        <v>#REF!</v>
      </c>
      <c r="FE80" s="18"/>
      <c r="FF80" s="18"/>
      <c r="FG80" s="18"/>
      <c r="FH80" s="18"/>
      <c r="FI80" s="18"/>
      <c r="FJ80" s="18"/>
      <c r="FK80" s="18"/>
      <c r="FL80" s="18"/>
      <c r="FM80" s="18"/>
      <c r="FN80" s="18"/>
      <c r="FO80" s="18"/>
      <c r="FP80" s="18"/>
      <c r="FQ80" s="18"/>
      <c r="FW80" s="1"/>
      <c r="FX80" s="5"/>
    </row>
    <row r="81" spans="1:180" x14ac:dyDescent="0.2">
      <c r="A81" t="str">
        <f>QDistRnd_756_20251225!A41</f>
        <v>[[756,16,34]]</v>
      </c>
      <c r="B81">
        <f>QDistRnd_756_20251225!B41</f>
        <v>756</v>
      </c>
      <c r="C81">
        <v>34</v>
      </c>
      <c r="E81" cm="1">
        <f t="array" aca="1" ref="E81" ca="1">INDIRECT(E$67&amp;"!"&amp;E$65&amp;ROW(E41))</f>
        <v>34</v>
      </c>
      <c r="F81" cm="1">
        <f t="array" aca="1" ref="F81" ca="1">INDIRECT(F$67&amp;"!"&amp;F$65&amp;ROW(F45))</f>
        <v>42</v>
      </c>
      <c r="G81" cm="1">
        <f t="array" aca="1" ref="G81" ca="1">INDIRECT(G$67&amp;"!"&amp;G$65&amp;ROW(G45))</f>
        <v>34</v>
      </c>
      <c r="I81">
        <f t="shared" ca="1" si="48"/>
        <v>0</v>
      </c>
      <c r="J81">
        <f t="shared" ca="1" si="43"/>
        <v>8</v>
      </c>
      <c r="K81">
        <f t="shared" ca="1" si="44"/>
        <v>0</v>
      </c>
      <c r="M81" cm="1">
        <f t="array" aca="1" ref="M81" ca="1">INDIRECT(M$67&amp;"!"&amp;M$65&amp;ROW(M41))</f>
        <v>11.3591832080019</v>
      </c>
      <c r="N81" cm="1">
        <f t="array" aca="1" ref="N81" ca="1">INDIRECT(N$67&amp;"!"&amp;N$65&amp;ROW(N45))</f>
        <v>148.71235794201399</v>
      </c>
      <c r="O81" cm="1">
        <f t="array" aca="1" ref="O81" ca="1">INDIRECT(O$67&amp;"!"&amp;O$65&amp;ROW(O45))</f>
        <v>144.24821713752999</v>
      </c>
      <c r="Q81" cm="1">
        <f t="array" aca="1" ref="Q81" ca="1">INDIRECT(Q$67&amp;"!"&amp;Q$65&amp;ROW(Q41))</f>
        <v>1</v>
      </c>
      <c r="R81" cm="1">
        <f t="array" aca="1" ref="R81" ca="1">INDIRECT(R$67&amp;"!"&amp;R$65&amp;ROW(R45))</f>
        <v>1</v>
      </c>
      <c r="S81" cm="1">
        <f t="array" aca="1" ref="S81" ca="1">INDIRECT(S$67&amp;"!"&amp;S$65&amp;ROW(S45))</f>
        <v>4535</v>
      </c>
      <c r="U81" cm="1">
        <f t="array" aca="1" ref="U81" ca="1">INDIRECT(U$67&amp;"!"&amp;U$65&amp;ROW(U41))</f>
        <v>1</v>
      </c>
      <c r="V81" cm="1">
        <f t="array" aca="1" ref="V81" ca="1">INDIRECT(V$67&amp;"!"&amp;V$65&amp;ROW(V45))</f>
        <v>10000</v>
      </c>
      <c r="W81" cm="1">
        <f t="array" aca="1" ref="W81" ca="1">INDIRECT(W$67&amp;"!"&amp;W$65&amp;ROW(W45))</f>
        <v>10000</v>
      </c>
      <c r="Y81">
        <f t="shared" ca="1" si="49"/>
        <v>1</v>
      </c>
      <c r="Z81">
        <f t="shared" ca="1" si="45"/>
        <v>0</v>
      </c>
      <c r="AA81">
        <f t="shared" ca="1" si="45"/>
        <v>4535</v>
      </c>
      <c r="BU81">
        <f t="shared" si="46"/>
        <v>756</v>
      </c>
      <c r="BV81">
        <f t="shared" si="46"/>
        <v>756</v>
      </c>
      <c r="BW81">
        <f t="shared" si="46"/>
        <v>756</v>
      </c>
      <c r="CL81">
        <f t="shared" si="47"/>
        <v>0</v>
      </c>
      <c r="CM81">
        <f t="shared" si="47"/>
        <v>0</v>
      </c>
      <c r="CN81">
        <f t="shared" si="47"/>
        <v>0</v>
      </c>
      <c r="DC81" t="str" cm="1">
        <f t="array" aca="1" ref="DC81" ca="1">IF(BD81,OFFSET(INDIRECT("'"&amp;DT$67&amp;"'!f1"),E81-1,),"")</f>
        <v/>
      </c>
      <c r="DD81" t="str" cm="1">
        <f t="array" aca="1" ref="DD81" ca="1">IF(BE81,OFFSET(INDIRECT("'"&amp;DU$67&amp;"'!f1"),F81-1,),"")</f>
        <v/>
      </c>
      <c r="DE81" t="str" cm="1">
        <f t="array" aca="1" ref="DE81" ca="1">IF(BF81,OFFSET(INDIRECT("'"&amp;DV$67&amp;"'!f1"),G81-1,),"")</f>
        <v/>
      </c>
      <c r="DT81" t="str" cm="1">
        <f t="array" aca="1" ref="DT81" ca="1">IF(CL81,OFFSET(INDIRECT("'"&amp;DT$67&amp;"'!f1"),E81-1,),"")</f>
        <v/>
      </c>
      <c r="DU81" t="str" cm="1">
        <f t="array" aca="1" ref="DU81" ca="1">IF(CM81,OFFSET(INDIRECT("'"&amp;DU$67&amp;"'!f1"),F81-1,),"")</f>
        <v/>
      </c>
      <c r="DV81" t="str" cm="1">
        <f t="array" aca="1" ref="DV81" ca="1">IF(CN81,OFFSET(INDIRECT("'"&amp;DV$67&amp;"'!f1"),G81-1,),"")</f>
        <v/>
      </c>
      <c r="EK81" t="e" cm="1">
        <f t="array" aca="1" ref="EK81" ca="1">IF(ISNA(E81),0,OFFSET(INDIRECT("'"&amp;EK$67&amp;"'!g1"),E81-1,)*CL81)</f>
        <v>#REF!</v>
      </c>
      <c r="EL81" t="e" cm="1">
        <f t="array" aca="1" ref="EL81" ca="1">IF(ISNA(F81),0,OFFSET(INDIRECT("'"&amp;EL$67&amp;"'!g1"),F81-1,)*CM81)</f>
        <v>#REF!</v>
      </c>
      <c r="EM81" t="e" cm="1">
        <f t="array" aca="1" ref="EM81" ca="1">IF(ISNA(G81),0,OFFSET(INDIRECT("'"&amp;EM$67&amp;"'!g1"),G81-1,)*CN81)</f>
        <v>#REF!</v>
      </c>
      <c r="FB81" s="18" t="e" cm="1">
        <f t="array" aca="1" ref="FB81" ca="1">IF(ISNA(E81),0,OFFSET(INDIRECT("'"&amp;EK$67&amp;"'!h1"),E81-1,))</f>
        <v>#REF!</v>
      </c>
      <c r="FC81" s="18" t="e" cm="1">
        <f t="array" aca="1" ref="FC81" ca="1">IF(ISNA(F81),0,OFFSET(INDIRECT("'"&amp;EL$67&amp;"'!h1"),F81-1,))</f>
        <v>#REF!</v>
      </c>
      <c r="FD81" s="18" t="e" cm="1">
        <f t="array" aca="1" ref="FD81" ca="1">IF(ISNA(G81),0,OFFSET(INDIRECT("'"&amp;EM$67&amp;"'!h1"),G81-1,))</f>
        <v>#REF!</v>
      </c>
      <c r="FE81" s="18"/>
      <c r="FF81" s="18"/>
      <c r="FG81" s="18"/>
      <c r="FH81" s="18"/>
      <c r="FI81" s="18"/>
      <c r="FJ81" s="18"/>
      <c r="FK81" s="18"/>
      <c r="FL81" s="18"/>
      <c r="FM81" s="18"/>
      <c r="FN81" s="18"/>
      <c r="FO81" s="18"/>
      <c r="FP81" s="18"/>
      <c r="FQ81" s="18"/>
      <c r="FW81" s="1"/>
      <c r="FX81" s="5"/>
    </row>
    <row r="82" spans="1:180" x14ac:dyDescent="0.2">
      <c r="A82" t="str">
        <f>QDistRnd_756_20251225!A42</f>
        <v>[[756,16,34]]</v>
      </c>
      <c r="B82">
        <f>QDistRnd_756_20251225!B42</f>
        <v>756</v>
      </c>
      <c r="C82">
        <v>34</v>
      </c>
      <c r="E82" cm="1">
        <f t="array" aca="1" ref="E82" ca="1">INDIRECT(E$67&amp;"!"&amp;E$65&amp;ROW(E42))</f>
        <v>46</v>
      </c>
      <c r="F82" cm="1">
        <f t="array" aca="1" ref="F82" ca="1">INDIRECT(F$67&amp;"!"&amp;F$65&amp;ROW(F46))</f>
        <v>42</v>
      </c>
      <c r="G82" cm="1">
        <f t="array" aca="1" ref="G82" ca="1">INDIRECT(G$67&amp;"!"&amp;G$65&amp;ROW(G46))</f>
        <v>34</v>
      </c>
      <c r="I82">
        <f t="shared" ca="1" si="48"/>
        <v>12</v>
      </c>
      <c r="J82">
        <f t="shared" ca="1" si="43"/>
        <v>8</v>
      </c>
      <c r="K82">
        <f t="shared" ca="1" si="44"/>
        <v>0</v>
      </c>
      <c r="M82" cm="1">
        <f t="array" aca="1" ref="M82" ca="1">INDIRECT(M$67&amp;"!"&amp;M$65&amp;ROW(M42))</f>
        <v>11.493235416997701</v>
      </c>
      <c r="N82" cm="1">
        <f t="array" aca="1" ref="N82" ca="1">INDIRECT(N$67&amp;"!"&amp;N$65&amp;ROW(N46))</f>
        <v>148.682626686058</v>
      </c>
      <c r="O82" cm="1">
        <f t="array" aca="1" ref="O82" ca="1">INDIRECT(O$67&amp;"!"&amp;O$65&amp;ROW(O46))</f>
        <v>146.28633719217001</v>
      </c>
      <c r="Q82" cm="1">
        <f t="array" aca="1" ref="Q82" ca="1">INDIRECT(Q$67&amp;"!"&amp;Q$65&amp;ROW(Q42))</f>
        <v>1</v>
      </c>
      <c r="R82" cm="1">
        <f t="array" aca="1" ref="R82" ca="1">INDIRECT(R$67&amp;"!"&amp;R$65&amp;ROW(R46))</f>
        <v>2</v>
      </c>
      <c r="S82" cm="1">
        <f t="array" aca="1" ref="S82" ca="1">INDIRECT(S$67&amp;"!"&amp;S$65&amp;ROW(S46))</f>
        <v>291</v>
      </c>
      <c r="U82" cm="1">
        <f t="array" aca="1" ref="U82" ca="1">INDIRECT(U$67&amp;"!"&amp;U$65&amp;ROW(U42))</f>
        <v>1</v>
      </c>
      <c r="V82" cm="1">
        <f t="array" aca="1" ref="V82" ca="1">INDIRECT(V$67&amp;"!"&amp;V$65&amp;ROW(V46))</f>
        <v>10000</v>
      </c>
      <c r="W82" cm="1">
        <f t="array" aca="1" ref="W82" ca="1">INDIRECT(W$67&amp;"!"&amp;W$65&amp;ROW(W46))</f>
        <v>10000</v>
      </c>
      <c r="Y82">
        <f t="shared" ca="1" si="49"/>
        <v>0</v>
      </c>
      <c r="Z82">
        <f t="shared" ca="1" si="45"/>
        <v>0</v>
      </c>
      <c r="AA82">
        <f t="shared" ca="1" si="45"/>
        <v>291</v>
      </c>
      <c r="BU82">
        <f t="shared" si="46"/>
        <v>756</v>
      </c>
      <c r="BV82">
        <f t="shared" si="46"/>
        <v>756</v>
      </c>
      <c r="BW82">
        <f t="shared" si="46"/>
        <v>756</v>
      </c>
      <c r="CL82">
        <f t="shared" si="47"/>
        <v>0</v>
      </c>
      <c r="CM82">
        <f t="shared" si="47"/>
        <v>0</v>
      </c>
      <c r="CN82">
        <f t="shared" si="47"/>
        <v>0</v>
      </c>
      <c r="DC82" t="str" cm="1">
        <f t="array" aca="1" ref="DC82" ca="1">IF(BD82,OFFSET(INDIRECT("'"&amp;DT$67&amp;"'!f1"),E82-1,),"")</f>
        <v/>
      </c>
      <c r="DD82" t="str" cm="1">
        <f t="array" aca="1" ref="DD82" ca="1">IF(BE82,OFFSET(INDIRECT("'"&amp;DU$67&amp;"'!f1"),F82-1,),"")</f>
        <v/>
      </c>
      <c r="DE82" t="str" cm="1">
        <f t="array" aca="1" ref="DE82" ca="1">IF(BF82,OFFSET(INDIRECT("'"&amp;DV$67&amp;"'!f1"),G82-1,),"")</f>
        <v/>
      </c>
      <c r="DT82" t="str" cm="1">
        <f t="array" aca="1" ref="DT82" ca="1">IF(CL82,OFFSET(INDIRECT("'"&amp;DT$67&amp;"'!f1"),E82-1,),"")</f>
        <v/>
      </c>
      <c r="DU82" t="str" cm="1">
        <f t="array" aca="1" ref="DU82" ca="1">IF(CM82,OFFSET(INDIRECT("'"&amp;DU$67&amp;"'!f1"),F82-1,),"")</f>
        <v/>
      </c>
      <c r="DV82" t="str" cm="1">
        <f t="array" aca="1" ref="DV82" ca="1">IF(CN82,OFFSET(INDIRECT("'"&amp;DV$67&amp;"'!f1"),G82-1,),"")</f>
        <v/>
      </c>
      <c r="EK82" t="e" cm="1">
        <f t="array" aca="1" ref="EK82" ca="1">IF(ISNA(E82),0,OFFSET(INDIRECT("'"&amp;EK$67&amp;"'!g1"),E82-1,)*CL82)</f>
        <v>#REF!</v>
      </c>
      <c r="EL82" t="e" cm="1">
        <f t="array" aca="1" ref="EL82" ca="1">IF(ISNA(F82),0,OFFSET(INDIRECT("'"&amp;EL$67&amp;"'!g1"),F82-1,)*CM82)</f>
        <v>#REF!</v>
      </c>
      <c r="EM82" t="e" cm="1">
        <f t="array" aca="1" ref="EM82" ca="1">IF(ISNA(G82),0,OFFSET(INDIRECT("'"&amp;EM$67&amp;"'!g1"),G82-1,)*CN82)</f>
        <v>#REF!</v>
      </c>
      <c r="FB82" s="18" t="e" cm="1">
        <f t="array" aca="1" ref="FB82" ca="1">IF(ISNA(E82),0,OFFSET(INDIRECT("'"&amp;EK$67&amp;"'!h1"),E82-1,))</f>
        <v>#REF!</v>
      </c>
      <c r="FC82" s="18" t="e" cm="1">
        <f t="array" aca="1" ref="FC82" ca="1">IF(ISNA(F82),0,OFFSET(INDIRECT("'"&amp;EL$67&amp;"'!h1"),F82-1,))</f>
        <v>#REF!</v>
      </c>
      <c r="FD82" s="18" t="e" cm="1">
        <f t="array" aca="1" ref="FD82" ca="1">IF(ISNA(G82),0,OFFSET(INDIRECT("'"&amp;EM$67&amp;"'!h1"),G82-1,))</f>
        <v>#REF!</v>
      </c>
      <c r="FE82" s="18"/>
      <c r="FF82" s="18"/>
      <c r="FG82" s="18"/>
      <c r="FH82" s="18"/>
      <c r="FI82" s="18"/>
      <c r="FJ82" s="18"/>
      <c r="FK82" s="18"/>
      <c r="FL82" s="18"/>
      <c r="FM82" s="18"/>
      <c r="FN82" s="18"/>
      <c r="FO82" s="18"/>
      <c r="FP82" s="18"/>
      <c r="FQ82" s="18"/>
      <c r="FW82" s="1"/>
      <c r="FX82" s="5"/>
    </row>
    <row r="83" spans="1:180" x14ac:dyDescent="0.2">
      <c r="A83" t="str">
        <f>QDistRnd_756_20251225!A43</f>
        <v>[[756,16,34]]</v>
      </c>
      <c r="B83">
        <f>QDistRnd_756_20251225!B43</f>
        <v>756</v>
      </c>
      <c r="C83">
        <v>34</v>
      </c>
      <c r="E83" cm="1">
        <f t="array" aca="1" ref="E83" ca="1">INDIRECT(E$67&amp;"!"&amp;E$65&amp;ROW(E43))</f>
        <v>42</v>
      </c>
      <c r="F83" cm="1">
        <f t="array" aca="1" ref="F83" ca="1">INDIRECT(F$67&amp;"!"&amp;F$65&amp;ROW(F47))</f>
        <v>36</v>
      </c>
      <c r="G83" cm="1">
        <f t="array" aca="1" ref="G83" ca="1">INDIRECT(G$67&amp;"!"&amp;G$65&amp;ROW(G47))</f>
        <v>34</v>
      </c>
      <c r="I83">
        <f t="shared" ca="1" si="48"/>
        <v>8</v>
      </c>
      <c r="J83">
        <f t="shared" ca="1" si="43"/>
        <v>2</v>
      </c>
      <c r="K83">
        <f t="shared" ca="1" si="44"/>
        <v>0</v>
      </c>
      <c r="M83" cm="1">
        <f t="array" aca="1" ref="M83" ca="1">INDIRECT(M$67&amp;"!"&amp;M$65&amp;ROW(M43))</f>
        <v>11.253429125001199</v>
      </c>
      <c r="N83" cm="1">
        <f t="array" aca="1" ref="N83" ca="1">INDIRECT(N$67&amp;"!"&amp;N$65&amp;ROW(N47))</f>
        <v>148.599061120301</v>
      </c>
      <c r="O83" cm="1">
        <f t="array" aca="1" ref="O83" ca="1">INDIRECT(O$67&amp;"!"&amp;O$65&amp;ROW(O47))</f>
        <v>145.344864794053</v>
      </c>
      <c r="Q83" cm="1">
        <f t="array" aca="1" ref="Q83" ca="1">INDIRECT(Q$67&amp;"!"&amp;Q$65&amp;ROW(Q43))</f>
        <v>1</v>
      </c>
      <c r="R83" cm="1">
        <f t="array" aca="1" ref="R83" ca="1">INDIRECT(R$67&amp;"!"&amp;R$65&amp;ROW(R47))</f>
        <v>1</v>
      </c>
      <c r="S83" cm="1">
        <f t="array" aca="1" ref="S83" ca="1">INDIRECT(S$67&amp;"!"&amp;S$65&amp;ROW(S47))</f>
        <v>3519</v>
      </c>
      <c r="U83" cm="1">
        <f t="array" aca="1" ref="U83" ca="1">INDIRECT(U$67&amp;"!"&amp;U$65&amp;ROW(U43))</f>
        <v>1</v>
      </c>
      <c r="V83" cm="1">
        <f t="array" aca="1" ref="V83" ca="1">INDIRECT(V$67&amp;"!"&amp;V$65&amp;ROW(V47))</f>
        <v>10000</v>
      </c>
      <c r="W83" cm="1">
        <f t="array" aca="1" ref="W83" ca="1">INDIRECT(W$67&amp;"!"&amp;W$65&amp;ROW(W47))</f>
        <v>10000</v>
      </c>
      <c r="Y83">
        <f t="shared" ca="1" si="49"/>
        <v>0</v>
      </c>
      <c r="Z83">
        <f t="shared" ca="1" si="45"/>
        <v>0</v>
      </c>
      <c r="AA83">
        <f t="shared" ca="1" si="45"/>
        <v>3519</v>
      </c>
      <c r="BU83">
        <f t="shared" si="46"/>
        <v>756</v>
      </c>
      <c r="BV83">
        <f t="shared" si="46"/>
        <v>756</v>
      </c>
      <c r="BW83">
        <f t="shared" si="46"/>
        <v>756</v>
      </c>
      <c r="CL83">
        <f t="shared" si="47"/>
        <v>0</v>
      </c>
      <c r="CM83">
        <f t="shared" si="47"/>
        <v>0</v>
      </c>
      <c r="CN83">
        <f t="shared" si="47"/>
        <v>0</v>
      </c>
      <c r="DC83" t="str" cm="1">
        <f t="array" aca="1" ref="DC83" ca="1">IF(BD83,OFFSET(INDIRECT("'"&amp;DT$67&amp;"'!f1"),E83-1,),"")</f>
        <v/>
      </c>
      <c r="DD83" t="str" cm="1">
        <f t="array" aca="1" ref="DD83" ca="1">IF(BE83,OFFSET(INDIRECT("'"&amp;DU$67&amp;"'!f1"),F83-1,),"")</f>
        <v/>
      </c>
      <c r="DE83" t="str" cm="1">
        <f t="array" aca="1" ref="DE83" ca="1">IF(BF83,OFFSET(INDIRECT("'"&amp;DV$67&amp;"'!f1"),G83-1,),"")</f>
        <v/>
      </c>
      <c r="DT83" t="str" cm="1">
        <f t="array" aca="1" ref="DT83" ca="1">IF(CL83,OFFSET(INDIRECT("'"&amp;DT$67&amp;"'!f1"),E83-1,),"")</f>
        <v/>
      </c>
      <c r="DU83" t="str" cm="1">
        <f t="array" aca="1" ref="DU83" ca="1">IF(CM83,OFFSET(INDIRECT("'"&amp;DU$67&amp;"'!f1"),F83-1,),"")</f>
        <v/>
      </c>
      <c r="DV83" t="str" cm="1">
        <f t="array" aca="1" ref="DV83" ca="1">IF(CN83,OFFSET(INDIRECT("'"&amp;DV$67&amp;"'!f1"),G83-1,),"")</f>
        <v/>
      </c>
      <c r="EK83" t="e" cm="1">
        <f t="array" aca="1" ref="EK83" ca="1">IF(ISNA(E83),0,OFFSET(INDIRECT("'"&amp;EK$67&amp;"'!g1"),E83-1,)*CL83)</f>
        <v>#REF!</v>
      </c>
      <c r="EL83" t="e" cm="1">
        <f t="array" aca="1" ref="EL83" ca="1">IF(ISNA(F83),0,OFFSET(INDIRECT("'"&amp;EL$67&amp;"'!g1"),F83-1,)*CM83)</f>
        <v>#REF!</v>
      </c>
      <c r="EM83" t="e" cm="1">
        <f t="array" aca="1" ref="EM83" ca="1">IF(ISNA(G83),0,OFFSET(INDIRECT("'"&amp;EM$67&amp;"'!g1"),G83-1,)*CN83)</f>
        <v>#REF!</v>
      </c>
      <c r="FB83" s="18" t="e" cm="1">
        <f t="array" aca="1" ref="FB83" ca="1">IF(ISNA(E83),0,OFFSET(INDIRECT("'"&amp;EK$67&amp;"'!h1"),E83-1,))</f>
        <v>#REF!</v>
      </c>
      <c r="FC83" s="18" t="e" cm="1">
        <f t="array" aca="1" ref="FC83" ca="1">IF(ISNA(F83),0,OFFSET(INDIRECT("'"&amp;EL$67&amp;"'!h1"),F83-1,))</f>
        <v>#REF!</v>
      </c>
      <c r="FD83" s="18" t="e" cm="1">
        <f t="array" aca="1" ref="FD83" ca="1">IF(ISNA(G83),0,OFFSET(INDIRECT("'"&amp;EM$67&amp;"'!h1"),G83-1,))</f>
        <v>#REF!</v>
      </c>
      <c r="FE83" s="18"/>
      <c r="FF83" s="18"/>
      <c r="FG83" s="18"/>
      <c r="FH83" s="18"/>
      <c r="FI83" s="18"/>
      <c r="FJ83" s="18"/>
      <c r="FK83" s="18"/>
      <c r="FL83" s="18"/>
      <c r="FM83" s="18"/>
      <c r="FN83" s="18"/>
      <c r="FO83" s="18"/>
      <c r="FP83" s="18"/>
      <c r="FQ83" s="18"/>
      <c r="FW83" s="1"/>
      <c r="FX83" s="5"/>
    </row>
    <row r="84" spans="1:180" x14ac:dyDescent="0.2">
      <c r="A84" t="str">
        <f>QDistRnd_756_20251225!A44</f>
        <v>[[756,16,34]]</v>
      </c>
      <c r="B84">
        <f>QDistRnd_756_20251225!B44</f>
        <v>756</v>
      </c>
      <c r="C84">
        <v>34</v>
      </c>
      <c r="E84" cm="1">
        <f t="array" aca="1" ref="E84" ca="1">INDIRECT(E$67&amp;"!"&amp;E$65&amp;ROW(E44))</f>
        <v>44</v>
      </c>
      <c r="F84" cm="1">
        <f t="array" aca="1" ref="F84" ca="1">INDIRECT(F$67&amp;"!"&amp;F$65&amp;ROW(F48))</f>
        <v>38</v>
      </c>
      <c r="G84" cm="1">
        <f t="array" aca="1" ref="G84" ca="1">INDIRECT(G$67&amp;"!"&amp;G$65&amp;ROW(G48))</f>
        <v>34</v>
      </c>
      <c r="I84">
        <f t="shared" ca="1" si="48"/>
        <v>10</v>
      </c>
      <c r="J84">
        <f t="shared" ca="1" si="43"/>
        <v>4</v>
      </c>
      <c r="K84">
        <f t="shared" ca="1" si="44"/>
        <v>0</v>
      </c>
      <c r="M84" cm="1">
        <f t="array" aca="1" ref="M84" ca="1">INDIRECT(M$67&amp;"!"&amp;M$65&amp;ROW(M44))</f>
        <v>11.540795291999499</v>
      </c>
      <c r="N84" cm="1">
        <f t="array" aca="1" ref="N84" ca="1">INDIRECT(N$67&amp;"!"&amp;N$65&amp;ROW(N48))</f>
        <v>148.38674215693001</v>
      </c>
      <c r="O84" cm="1">
        <f t="array" aca="1" ref="O84" ca="1">INDIRECT(O$67&amp;"!"&amp;O$65&amp;ROW(O48))</f>
        <v>147.438987093977</v>
      </c>
      <c r="Q84" cm="1">
        <f t="array" aca="1" ref="Q84" ca="1">INDIRECT(Q$67&amp;"!"&amp;Q$65&amp;ROW(Q44))</f>
        <v>1</v>
      </c>
      <c r="R84" cm="1">
        <f t="array" aca="1" ref="R84" ca="1">INDIRECT(R$67&amp;"!"&amp;R$65&amp;ROW(R48))</f>
        <v>1</v>
      </c>
      <c r="S84" cm="1">
        <f t="array" aca="1" ref="S84" ca="1">INDIRECT(S$67&amp;"!"&amp;S$65&amp;ROW(S48))</f>
        <v>4359</v>
      </c>
      <c r="U84" cm="1">
        <f t="array" aca="1" ref="U84" ca="1">INDIRECT(U$67&amp;"!"&amp;U$65&amp;ROW(U44))</f>
        <v>1</v>
      </c>
      <c r="V84" cm="1">
        <f t="array" aca="1" ref="V84" ca="1">INDIRECT(V$67&amp;"!"&amp;V$65&amp;ROW(V48))</f>
        <v>10000</v>
      </c>
      <c r="W84" cm="1">
        <f t="array" aca="1" ref="W84" ca="1">INDIRECT(W$67&amp;"!"&amp;W$65&amp;ROW(W48))</f>
        <v>10000</v>
      </c>
      <c r="Y84">
        <f t="shared" ca="1" si="49"/>
        <v>0</v>
      </c>
      <c r="Z84">
        <f t="shared" ca="1" si="45"/>
        <v>0</v>
      </c>
      <c r="AA84">
        <f t="shared" ca="1" si="45"/>
        <v>4359</v>
      </c>
      <c r="BU84">
        <f t="shared" si="46"/>
        <v>756</v>
      </c>
      <c r="BV84">
        <f t="shared" si="46"/>
        <v>756</v>
      </c>
      <c r="BW84">
        <f t="shared" si="46"/>
        <v>756</v>
      </c>
      <c r="CL84">
        <f t="shared" si="47"/>
        <v>0</v>
      </c>
      <c r="CM84">
        <f t="shared" si="47"/>
        <v>0</v>
      </c>
      <c r="CN84">
        <f t="shared" si="47"/>
        <v>0</v>
      </c>
      <c r="DC84" t="str" cm="1">
        <f t="array" aca="1" ref="DC84" ca="1">IF(BD84,OFFSET(INDIRECT("'"&amp;DT$67&amp;"'!f1"),E84-1,),"")</f>
        <v/>
      </c>
      <c r="DD84" t="str" cm="1">
        <f t="array" aca="1" ref="DD84" ca="1">IF(BE84,OFFSET(INDIRECT("'"&amp;DU$67&amp;"'!f1"),F84-1,),"")</f>
        <v/>
      </c>
      <c r="DE84" t="str" cm="1">
        <f t="array" aca="1" ref="DE84" ca="1">IF(BF84,OFFSET(INDIRECT("'"&amp;DV$67&amp;"'!f1"),G84-1,),"")</f>
        <v/>
      </c>
      <c r="DT84" t="str" cm="1">
        <f t="array" aca="1" ref="DT84" ca="1">IF(CL84,OFFSET(INDIRECT("'"&amp;DT$67&amp;"'!f1"),E84-1,),"")</f>
        <v/>
      </c>
      <c r="DU84" t="str" cm="1">
        <f t="array" aca="1" ref="DU84" ca="1">IF(CM84,OFFSET(INDIRECT("'"&amp;DU$67&amp;"'!f1"),F84-1,),"")</f>
        <v/>
      </c>
      <c r="DV84" t="str" cm="1">
        <f t="array" aca="1" ref="DV84" ca="1">IF(CN84,OFFSET(INDIRECT("'"&amp;DV$67&amp;"'!f1"),G84-1,),"")</f>
        <v/>
      </c>
      <c r="EK84" t="e" cm="1">
        <f t="array" aca="1" ref="EK84" ca="1">IF(ISNA(E84),0,OFFSET(INDIRECT("'"&amp;EK$67&amp;"'!g1"),E84-1,)*CL84)</f>
        <v>#REF!</v>
      </c>
      <c r="EL84" t="e" cm="1">
        <f t="array" aca="1" ref="EL84" ca="1">IF(ISNA(F84),0,OFFSET(INDIRECT("'"&amp;EL$67&amp;"'!g1"),F84-1,)*CM84)</f>
        <v>#REF!</v>
      </c>
      <c r="EM84" t="e" cm="1">
        <f t="array" aca="1" ref="EM84" ca="1">IF(ISNA(G84),0,OFFSET(INDIRECT("'"&amp;EM$67&amp;"'!g1"),G84-1,)*CN84)</f>
        <v>#REF!</v>
      </c>
      <c r="FB84" s="18" t="e" cm="1">
        <f t="array" aca="1" ref="FB84" ca="1">IF(ISNA(E84),0,OFFSET(INDIRECT("'"&amp;EK$67&amp;"'!h1"),E84-1,))</f>
        <v>#REF!</v>
      </c>
      <c r="FC84" s="18" t="e" cm="1">
        <f t="array" aca="1" ref="FC84" ca="1">IF(ISNA(F84),0,OFFSET(INDIRECT("'"&amp;EL$67&amp;"'!h1"),F84-1,))</f>
        <v>#REF!</v>
      </c>
      <c r="FD84" s="18" t="e" cm="1">
        <f t="array" aca="1" ref="FD84" ca="1">IF(ISNA(G84),0,OFFSET(INDIRECT("'"&amp;EM$67&amp;"'!h1"),G84-1,))</f>
        <v>#REF!</v>
      </c>
      <c r="FE84" s="18"/>
      <c r="FF84" s="18"/>
      <c r="FG84" s="18"/>
      <c r="FH84" s="18"/>
      <c r="FI84" s="18"/>
      <c r="FJ84" s="18"/>
      <c r="FK84" s="18"/>
      <c r="FL84" s="18"/>
      <c r="FM84" s="18"/>
      <c r="FN84" s="18"/>
      <c r="FO84" s="18"/>
      <c r="FP84" s="18"/>
      <c r="FQ84" s="18"/>
      <c r="FW84" s="1"/>
      <c r="FX84" s="5"/>
    </row>
    <row r="85" spans="1:180" x14ac:dyDescent="0.2">
      <c r="A85" t="str">
        <f>QDistRnd_756_20251225!A45</f>
        <v>[[756,16,34]]</v>
      </c>
      <c r="B85">
        <f>QDistRnd_756_20251225!B45</f>
        <v>756</v>
      </c>
      <c r="C85">
        <v>34</v>
      </c>
      <c r="E85" cm="1">
        <f t="array" aca="1" ref="E85" ca="1">INDIRECT(E$67&amp;"!"&amp;E$65&amp;ROW(E45))</f>
        <v>40</v>
      </c>
      <c r="F85" cm="1">
        <f t="array" aca="1" ref="F85" ca="1">INDIRECT(F$67&amp;"!"&amp;F$65&amp;ROW(F49))</f>
        <v>44</v>
      </c>
      <c r="G85" cm="1">
        <f t="array" aca="1" ref="G85" ca="1">INDIRECT(G$67&amp;"!"&amp;G$65&amp;ROW(G49))</f>
        <v>36</v>
      </c>
      <c r="I85">
        <f t="shared" ca="1" si="48"/>
        <v>6</v>
      </c>
      <c r="J85">
        <f t="shared" ca="1" si="43"/>
        <v>10</v>
      </c>
      <c r="K85">
        <f t="shared" ca="1" si="44"/>
        <v>2</v>
      </c>
      <c r="M85" cm="1">
        <f t="array" aca="1" ref="M85" ca="1">INDIRECT(M$67&amp;"!"&amp;M$65&amp;ROW(M45))</f>
        <v>11.0313240409996</v>
      </c>
      <c r="N85" cm="1">
        <f t="array" aca="1" ref="N85" ca="1">INDIRECT(N$67&amp;"!"&amp;N$65&amp;ROW(N49))</f>
        <v>148.405426660552</v>
      </c>
      <c r="O85" cm="1">
        <f t="array" aca="1" ref="O85" ca="1">INDIRECT(O$67&amp;"!"&amp;O$65&amp;ROW(O49))</f>
        <v>145.50857086107101</v>
      </c>
      <c r="Q85" cm="1">
        <f t="array" aca="1" ref="Q85" ca="1">INDIRECT(Q$67&amp;"!"&amp;Q$65&amp;ROW(Q45))</f>
        <v>1</v>
      </c>
      <c r="R85" cm="1">
        <f t="array" aca="1" ref="R85" ca="1">INDIRECT(R$67&amp;"!"&amp;R$65&amp;ROW(R49))</f>
        <v>2</v>
      </c>
      <c r="S85" cm="1">
        <f t="array" aca="1" ref="S85" ca="1">INDIRECT(S$67&amp;"!"&amp;S$65&amp;ROW(S49))</f>
        <v>3434</v>
      </c>
      <c r="U85" cm="1">
        <f t="array" aca="1" ref="U85" ca="1">INDIRECT(U$67&amp;"!"&amp;U$65&amp;ROW(U45))</f>
        <v>1</v>
      </c>
      <c r="V85" cm="1">
        <f t="array" aca="1" ref="V85" ca="1">INDIRECT(V$67&amp;"!"&amp;V$65&amp;ROW(V49))</f>
        <v>10000</v>
      </c>
      <c r="W85" cm="1">
        <f t="array" aca="1" ref="W85" ca="1">INDIRECT(W$67&amp;"!"&amp;W$65&amp;ROW(W49))</f>
        <v>10000</v>
      </c>
      <c r="Y85">
        <f t="shared" ca="1" si="49"/>
        <v>0</v>
      </c>
      <c r="Z85">
        <f t="shared" ca="1" si="45"/>
        <v>0</v>
      </c>
      <c r="AA85">
        <f t="shared" ca="1" si="45"/>
        <v>0</v>
      </c>
      <c r="BU85">
        <f t="shared" si="46"/>
        <v>756</v>
      </c>
      <c r="BV85">
        <f t="shared" si="46"/>
        <v>756</v>
      </c>
      <c r="BW85">
        <f t="shared" si="46"/>
        <v>756</v>
      </c>
      <c r="CL85">
        <f t="shared" si="47"/>
        <v>0</v>
      </c>
      <c r="CM85">
        <f t="shared" si="47"/>
        <v>0</v>
      </c>
      <c r="CN85">
        <f t="shared" si="47"/>
        <v>0</v>
      </c>
      <c r="DC85" t="str" cm="1">
        <f t="array" aca="1" ref="DC85" ca="1">IF(BD85,OFFSET(INDIRECT("'"&amp;DT$67&amp;"'!f1"),E85-1,),"")</f>
        <v/>
      </c>
      <c r="DD85" t="str" cm="1">
        <f t="array" aca="1" ref="DD85" ca="1">IF(BE85,OFFSET(INDIRECT("'"&amp;DU$67&amp;"'!f1"),F85-1,),"")</f>
        <v/>
      </c>
      <c r="DE85" t="str" cm="1">
        <f t="array" aca="1" ref="DE85" ca="1">IF(BF85,OFFSET(INDIRECT("'"&amp;DV$67&amp;"'!f1"),G85-1,),"")</f>
        <v/>
      </c>
      <c r="DT85" t="str" cm="1">
        <f t="array" aca="1" ref="DT85" ca="1">IF(CL85,OFFSET(INDIRECT("'"&amp;DT$67&amp;"'!f1"),E85-1,),"")</f>
        <v/>
      </c>
      <c r="DU85" t="str" cm="1">
        <f t="array" aca="1" ref="DU85" ca="1">IF(CM85,OFFSET(INDIRECT("'"&amp;DU$67&amp;"'!f1"),F85-1,),"")</f>
        <v/>
      </c>
      <c r="DV85" t="str" cm="1">
        <f t="array" aca="1" ref="DV85" ca="1">IF(CN85,OFFSET(INDIRECT("'"&amp;DV$67&amp;"'!f1"),G85-1,),"")</f>
        <v/>
      </c>
      <c r="EK85" t="e" cm="1">
        <f t="array" aca="1" ref="EK85" ca="1">IF(ISNA(E85),0,OFFSET(INDIRECT("'"&amp;EK$67&amp;"'!g1"),E85-1,)*CL85)</f>
        <v>#REF!</v>
      </c>
      <c r="EL85" t="e" cm="1">
        <f t="array" aca="1" ref="EL85" ca="1">IF(ISNA(F85),0,OFFSET(INDIRECT("'"&amp;EL$67&amp;"'!g1"),F85-1,)*CM85)</f>
        <v>#REF!</v>
      </c>
      <c r="EM85" t="e" cm="1">
        <f t="array" aca="1" ref="EM85" ca="1">IF(ISNA(G85),0,OFFSET(INDIRECT("'"&amp;EM$67&amp;"'!g1"),G85-1,)*CN85)</f>
        <v>#REF!</v>
      </c>
      <c r="FB85" s="18" t="e" cm="1">
        <f t="array" aca="1" ref="FB85" ca="1">IF(ISNA(E85),0,OFFSET(INDIRECT("'"&amp;EK$67&amp;"'!h1"),E85-1,))</f>
        <v>#REF!</v>
      </c>
      <c r="FC85" s="18" t="e" cm="1">
        <f t="array" aca="1" ref="FC85" ca="1">IF(ISNA(F85),0,OFFSET(INDIRECT("'"&amp;EL$67&amp;"'!h1"),F85-1,))</f>
        <v>#REF!</v>
      </c>
      <c r="FD85" s="18" t="e" cm="1">
        <f t="array" aca="1" ref="FD85" ca="1">IF(ISNA(G85),0,OFFSET(INDIRECT("'"&amp;EM$67&amp;"'!h1"),G85-1,))</f>
        <v>#REF!</v>
      </c>
      <c r="FE85" s="18"/>
      <c r="FF85" s="18"/>
      <c r="FG85" s="18"/>
      <c r="FH85" s="18"/>
      <c r="FI85" s="18"/>
      <c r="FJ85" s="18"/>
      <c r="FK85" s="18"/>
      <c r="FL85" s="18"/>
      <c r="FM85" s="18"/>
      <c r="FN85" s="18"/>
      <c r="FO85" s="18"/>
      <c r="FP85" s="18"/>
      <c r="FQ85" s="18"/>
      <c r="FW85" s="1"/>
      <c r="FX85" s="5"/>
    </row>
    <row r="86" spans="1:180" x14ac:dyDescent="0.2">
      <c r="A86" t="str">
        <f>QDistRnd_756_20251225!A46</f>
        <v>[[756,16,34]]</v>
      </c>
      <c r="B86">
        <f>QDistRnd_756_20251225!B46</f>
        <v>756</v>
      </c>
      <c r="C86">
        <v>34</v>
      </c>
      <c r="E86" cm="1">
        <f t="array" aca="1" ref="E86" ca="1">INDIRECT(E$67&amp;"!"&amp;E$65&amp;ROW(E46))</f>
        <v>46</v>
      </c>
      <c r="F86" cm="1">
        <f t="array" aca="1" ref="F86" ca="1">INDIRECT(F$67&amp;"!"&amp;F$65&amp;ROW(F50))</f>
        <v>42</v>
      </c>
      <c r="G86" cm="1">
        <f t="array" aca="1" ref="G86" ca="1">INDIRECT(G$67&amp;"!"&amp;G$65&amp;ROW(G50))</f>
        <v>34</v>
      </c>
      <c r="I86">
        <f t="shared" ca="1" si="48"/>
        <v>12</v>
      </c>
      <c r="J86">
        <f t="shared" ca="1" si="43"/>
        <v>8</v>
      </c>
      <c r="K86">
        <f t="shared" ca="1" si="44"/>
        <v>0</v>
      </c>
      <c r="M86" cm="1">
        <f t="array" aca="1" ref="M86" ca="1">INDIRECT(M$67&amp;"!"&amp;M$65&amp;ROW(M46))</f>
        <v>11.0692965420021</v>
      </c>
      <c r="N86" cm="1">
        <f t="array" aca="1" ref="N86" ca="1">INDIRECT(N$67&amp;"!"&amp;N$65&amp;ROW(N50))</f>
        <v>148.41448977030799</v>
      </c>
      <c r="O86" cm="1">
        <f t="array" aca="1" ref="O86" ca="1">INDIRECT(O$67&amp;"!"&amp;O$65&amp;ROW(O50))</f>
        <v>145.56258372776199</v>
      </c>
      <c r="Q86" cm="1">
        <f t="array" aca="1" ref="Q86" ca="1">INDIRECT(Q$67&amp;"!"&amp;Q$65&amp;ROW(Q46))</f>
        <v>1</v>
      </c>
      <c r="R86" cm="1">
        <f t="array" aca="1" ref="R86" ca="1">INDIRECT(R$67&amp;"!"&amp;R$65&amp;ROW(R50))</f>
        <v>2</v>
      </c>
      <c r="S86" cm="1">
        <f t="array" aca="1" ref="S86" ca="1">INDIRECT(S$67&amp;"!"&amp;S$65&amp;ROW(S50))</f>
        <v>1618</v>
      </c>
      <c r="U86" cm="1">
        <f t="array" aca="1" ref="U86" ca="1">INDIRECT(U$67&amp;"!"&amp;U$65&amp;ROW(U46))</f>
        <v>1</v>
      </c>
      <c r="V86" cm="1">
        <f t="array" aca="1" ref="V86" ca="1">INDIRECT(V$67&amp;"!"&amp;V$65&amp;ROW(V50))</f>
        <v>10000</v>
      </c>
      <c r="W86" cm="1">
        <f t="array" aca="1" ref="W86" ca="1">INDIRECT(W$67&amp;"!"&amp;W$65&amp;ROW(W50))</f>
        <v>10000</v>
      </c>
      <c r="Y86">
        <f t="shared" ca="1" si="49"/>
        <v>0</v>
      </c>
      <c r="Z86">
        <f t="shared" ca="1" si="45"/>
        <v>0</v>
      </c>
      <c r="AA86">
        <f t="shared" ca="1" si="45"/>
        <v>1618</v>
      </c>
      <c r="BU86">
        <f t="shared" si="46"/>
        <v>756</v>
      </c>
      <c r="BV86">
        <f t="shared" si="46"/>
        <v>756</v>
      </c>
      <c r="BW86">
        <f t="shared" si="46"/>
        <v>756</v>
      </c>
      <c r="CL86">
        <f t="shared" si="47"/>
        <v>0</v>
      </c>
      <c r="CM86">
        <f t="shared" si="47"/>
        <v>0</v>
      </c>
      <c r="CN86">
        <f t="shared" si="47"/>
        <v>0</v>
      </c>
      <c r="DC86" t="str" cm="1">
        <f t="array" aca="1" ref="DC86" ca="1">IF(BD86,OFFSET(INDIRECT("'"&amp;DT$67&amp;"'!f1"),E86-1,),"")</f>
        <v/>
      </c>
      <c r="DD86" t="str" cm="1">
        <f t="array" aca="1" ref="DD86" ca="1">IF(BE86,OFFSET(INDIRECT("'"&amp;DU$67&amp;"'!f1"),F86-1,),"")</f>
        <v/>
      </c>
      <c r="DE86" t="str" cm="1">
        <f t="array" aca="1" ref="DE86" ca="1">IF(BF86,OFFSET(INDIRECT("'"&amp;DV$67&amp;"'!f1"),G86-1,),"")</f>
        <v/>
      </c>
      <c r="DT86" t="str" cm="1">
        <f t="array" aca="1" ref="DT86" ca="1">IF(CL86,OFFSET(INDIRECT("'"&amp;DT$67&amp;"'!f1"),E86-1,),"")</f>
        <v/>
      </c>
      <c r="DU86" t="str" cm="1">
        <f t="array" aca="1" ref="DU86" ca="1">IF(CM86,OFFSET(INDIRECT("'"&amp;DU$67&amp;"'!f1"),F86-1,),"")</f>
        <v/>
      </c>
      <c r="DV86" t="str" cm="1">
        <f t="array" aca="1" ref="DV86" ca="1">IF(CN86,OFFSET(INDIRECT("'"&amp;DV$67&amp;"'!f1"),G86-1,),"")</f>
        <v/>
      </c>
      <c r="EK86" t="e" cm="1">
        <f t="array" aca="1" ref="EK86" ca="1">IF(ISNA(E86),0,OFFSET(INDIRECT("'"&amp;EK$67&amp;"'!g1"),E86-1,)*CL86)</f>
        <v>#REF!</v>
      </c>
      <c r="EL86" t="e" cm="1">
        <f t="array" aca="1" ref="EL86" ca="1">IF(ISNA(F86),0,OFFSET(INDIRECT("'"&amp;EL$67&amp;"'!g1"),F86-1,)*CM86)</f>
        <v>#REF!</v>
      </c>
      <c r="EM86" t="e" cm="1">
        <f t="array" aca="1" ref="EM86" ca="1">IF(ISNA(G86),0,OFFSET(INDIRECT("'"&amp;EM$67&amp;"'!g1"),G86-1,)*CN86)</f>
        <v>#REF!</v>
      </c>
      <c r="FB86" s="18" t="e" cm="1">
        <f t="array" aca="1" ref="FB86" ca="1">IF(ISNA(E86),0,OFFSET(INDIRECT("'"&amp;EK$67&amp;"'!h1"),E86-1,))</f>
        <v>#REF!</v>
      </c>
      <c r="FC86" s="18" t="e" cm="1">
        <f t="array" aca="1" ref="FC86" ca="1">IF(ISNA(F86),0,OFFSET(INDIRECT("'"&amp;EL$67&amp;"'!h1"),F86-1,))</f>
        <v>#REF!</v>
      </c>
      <c r="FD86" s="18" t="e" cm="1">
        <f t="array" aca="1" ref="FD86" ca="1">IF(ISNA(G86),0,OFFSET(INDIRECT("'"&amp;EM$67&amp;"'!h1"),G86-1,))</f>
        <v>#REF!</v>
      </c>
      <c r="FE86" s="18"/>
      <c r="FF86" s="18"/>
      <c r="FG86" s="18"/>
      <c r="FH86" s="18"/>
      <c r="FI86" s="18"/>
      <c r="FJ86" s="18"/>
      <c r="FK86" s="18"/>
      <c r="FL86" s="18"/>
      <c r="FM86" s="18"/>
      <c r="FN86" s="18"/>
      <c r="FO86" s="18"/>
      <c r="FP86" s="18"/>
      <c r="FQ86" s="18"/>
      <c r="FW86" s="1"/>
      <c r="FX86" s="5"/>
    </row>
    <row r="87" spans="1:180" x14ac:dyDescent="0.2">
      <c r="A87" t="str">
        <f>QDistRnd_756_20251225!A47</f>
        <v>[[756,16,34]]</v>
      </c>
      <c r="B87">
        <f>QDistRnd_756_20251225!B47</f>
        <v>756</v>
      </c>
      <c r="C87">
        <v>34</v>
      </c>
      <c r="E87" cm="1">
        <f t="array" aca="1" ref="E87" ca="1">INDIRECT(E$67&amp;"!"&amp;E$65&amp;ROW(E47))</f>
        <v>40</v>
      </c>
      <c r="F87" cm="1">
        <f t="array" aca="1" ref="F87" ca="1">INDIRECT(F$67&amp;"!"&amp;F$65&amp;ROW(F51))</f>
        <v>40</v>
      </c>
      <c r="G87" cm="1">
        <f t="array" aca="1" ref="G87" ca="1">INDIRECT(G$67&amp;"!"&amp;G$65&amp;ROW(G51))</f>
        <v>38</v>
      </c>
      <c r="I87">
        <f t="shared" ca="1" si="48"/>
        <v>6</v>
      </c>
      <c r="J87">
        <f t="shared" ca="1" si="43"/>
        <v>6</v>
      </c>
      <c r="K87">
        <f t="shared" ca="1" si="44"/>
        <v>4</v>
      </c>
      <c r="M87" cm="1">
        <f t="array" aca="1" ref="M87" ca="1">INDIRECT(M$67&amp;"!"&amp;M$65&amp;ROW(M47))</f>
        <v>11.0338730000003</v>
      </c>
      <c r="N87" cm="1">
        <f t="array" aca="1" ref="N87" ca="1">INDIRECT(N$67&amp;"!"&amp;N$65&amp;ROW(N51))</f>
        <v>148.58620516303901</v>
      </c>
      <c r="O87" cm="1">
        <f t="array" aca="1" ref="O87" ca="1">INDIRECT(O$67&amp;"!"&amp;O$65&amp;ROW(O51))</f>
        <v>144.83156419638499</v>
      </c>
      <c r="Q87" cm="1">
        <f t="array" aca="1" ref="Q87" ca="1">INDIRECT(Q$67&amp;"!"&amp;Q$65&amp;ROW(Q47))</f>
        <v>1</v>
      </c>
      <c r="R87" cm="1">
        <f t="array" aca="1" ref="R87" ca="1">INDIRECT(R$67&amp;"!"&amp;R$65&amp;ROW(R51))</f>
        <v>1</v>
      </c>
      <c r="S87" cm="1">
        <f t="array" aca="1" ref="S87" ca="1">INDIRECT(S$67&amp;"!"&amp;S$65&amp;ROW(S51))</f>
        <v>3731</v>
      </c>
      <c r="U87" cm="1">
        <f t="array" aca="1" ref="U87" ca="1">INDIRECT(U$67&amp;"!"&amp;U$65&amp;ROW(U47))</f>
        <v>1</v>
      </c>
      <c r="V87" cm="1">
        <f t="array" aca="1" ref="V87" ca="1">INDIRECT(V$67&amp;"!"&amp;V$65&amp;ROW(V51))</f>
        <v>10000</v>
      </c>
      <c r="W87" cm="1">
        <f t="array" aca="1" ref="W87" ca="1">INDIRECT(W$67&amp;"!"&amp;W$65&amp;ROW(W51))</f>
        <v>10000</v>
      </c>
      <c r="Y87">
        <f t="shared" ca="1" si="49"/>
        <v>0</v>
      </c>
      <c r="Z87">
        <f t="shared" ca="1" si="45"/>
        <v>0</v>
      </c>
      <c r="AA87">
        <f t="shared" ca="1" si="45"/>
        <v>0</v>
      </c>
      <c r="BU87">
        <f t="shared" si="46"/>
        <v>756</v>
      </c>
      <c r="BV87">
        <f t="shared" si="46"/>
        <v>756</v>
      </c>
      <c r="BW87">
        <f t="shared" si="46"/>
        <v>756</v>
      </c>
      <c r="CL87">
        <f t="shared" si="47"/>
        <v>0</v>
      </c>
      <c r="CM87">
        <f t="shared" si="47"/>
        <v>0</v>
      </c>
      <c r="CN87">
        <f t="shared" si="47"/>
        <v>0</v>
      </c>
      <c r="DC87" t="str" cm="1">
        <f t="array" aca="1" ref="DC87" ca="1">IF(BD87,OFFSET(INDIRECT("'"&amp;DT$67&amp;"'!f1"),E87-1,),"")</f>
        <v/>
      </c>
      <c r="DD87" t="str" cm="1">
        <f t="array" aca="1" ref="DD87" ca="1">IF(BE87,OFFSET(INDIRECT("'"&amp;DU$67&amp;"'!f1"),F87-1,),"")</f>
        <v/>
      </c>
      <c r="DE87" t="str" cm="1">
        <f t="array" aca="1" ref="DE87" ca="1">IF(BF87,OFFSET(INDIRECT("'"&amp;DV$67&amp;"'!f1"),G87-1,),"")</f>
        <v/>
      </c>
      <c r="DT87" t="str" cm="1">
        <f t="array" aca="1" ref="DT87" ca="1">IF(CL87,OFFSET(INDIRECT("'"&amp;DT$67&amp;"'!f1"),E87-1,),"")</f>
        <v/>
      </c>
      <c r="DU87" t="str" cm="1">
        <f t="array" aca="1" ref="DU87" ca="1">IF(CM87,OFFSET(INDIRECT("'"&amp;DU$67&amp;"'!f1"),F87-1,),"")</f>
        <v/>
      </c>
      <c r="DV87" t="str" cm="1">
        <f t="array" aca="1" ref="DV87" ca="1">IF(CN87,OFFSET(INDIRECT("'"&amp;DV$67&amp;"'!f1"),G87-1,),"")</f>
        <v/>
      </c>
      <c r="EK87" t="e" cm="1">
        <f t="array" aca="1" ref="EK87" ca="1">IF(ISNA(E87),0,OFFSET(INDIRECT("'"&amp;EK$67&amp;"'!g1"),E87-1,)*CL87)</f>
        <v>#REF!</v>
      </c>
      <c r="EL87" t="e" cm="1">
        <f t="array" aca="1" ref="EL87" ca="1">IF(ISNA(F87),0,OFFSET(INDIRECT("'"&amp;EL$67&amp;"'!g1"),F87-1,)*CM87)</f>
        <v>#REF!</v>
      </c>
      <c r="EM87" t="e" cm="1">
        <f t="array" aca="1" ref="EM87" ca="1">IF(ISNA(G87),0,OFFSET(INDIRECT("'"&amp;EM$67&amp;"'!g1"),G87-1,)*CN87)</f>
        <v>#REF!</v>
      </c>
      <c r="FB87" s="18" t="e" cm="1">
        <f t="array" aca="1" ref="FB87" ca="1">IF(ISNA(E87),0,OFFSET(INDIRECT("'"&amp;EK$67&amp;"'!h1"),E87-1,))</f>
        <v>#REF!</v>
      </c>
      <c r="FC87" s="18" t="e" cm="1">
        <f t="array" aca="1" ref="FC87" ca="1">IF(ISNA(F87),0,OFFSET(INDIRECT("'"&amp;EL$67&amp;"'!h1"),F87-1,))</f>
        <v>#REF!</v>
      </c>
      <c r="FD87" s="18" t="e" cm="1">
        <f t="array" aca="1" ref="FD87" ca="1">IF(ISNA(G87),0,OFFSET(INDIRECT("'"&amp;EM$67&amp;"'!h1"),G87-1,))</f>
        <v>#REF!</v>
      </c>
      <c r="FE87" s="18"/>
      <c r="FF87" s="18"/>
      <c r="FG87" s="18"/>
      <c r="FH87" s="18"/>
      <c r="FI87" s="18"/>
      <c r="FJ87" s="18"/>
      <c r="FK87" s="18"/>
      <c r="FL87" s="18"/>
      <c r="FM87" s="18"/>
      <c r="FN87" s="18"/>
      <c r="FO87" s="18"/>
      <c r="FP87" s="18"/>
      <c r="FQ87" s="18"/>
      <c r="FW87" s="1"/>
      <c r="FX87" s="5"/>
    </row>
    <row r="88" spans="1:180" x14ac:dyDescent="0.2">
      <c r="A88" t="str">
        <f>QDistRnd_756_20251225!A48</f>
        <v>[[756,16,34]]</v>
      </c>
      <c r="B88">
        <f>QDistRnd_756_20251225!B48</f>
        <v>756</v>
      </c>
      <c r="C88">
        <v>34</v>
      </c>
      <c r="E88" cm="1">
        <f t="array" aca="1" ref="E88" ca="1">INDIRECT(E$67&amp;"!"&amp;E$65&amp;ROW(E48))</f>
        <v>44</v>
      </c>
      <c r="F88" cm="1">
        <f t="array" aca="1" ref="F88" ca="1">INDIRECT(F$67&amp;"!"&amp;F$65&amp;ROW(F52))</f>
        <v>40</v>
      </c>
      <c r="G88" cm="1">
        <f t="array" aca="1" ref="G88" ca="1">INDIRECT(G$67&amp;"!"&amp;G$65&amp;ROW(G52))</f>
        <v>34</v>
      </c>
      <c r="I88">
        <f t="shared" ca="1" si="48"/>
        <v>10</v>
      </c>
      <c r="J88">
        <f t="shared" ca="1" si="43"/>
        <v>6</v>
      </c>
      <c r="K88">
        <f t="shared" ca="1" si="44"/>
        <v>0</v>
      </c>
      <c r="M88" cm="1">
        <f t="array" aca="1" ref="M88" ca="1">INDIRECT(M$67&amp;"!"&amp;M$65&amp;ROW(M48))</f>
        <v>11.5860908329996</v>
      </c>
      <c r="N88" cm="1">
        <f t="array" aca="1" ref="N88" ca="1">INDIRECT(N$67&amp;"!"&amp;N$65&amp;ROW(N52))</f>
        <v>148.545221295207</v>
      </c>
      <c r="O88" cm="1">
        <f t="array" aca="1" ref="O88" ca="1">INDIRECT(O$67&amp;"!"&amp;O$65&amp;ROW(O52))</f>
        <v>143.29172760900099</v>
      </c>
      <c r="Q88" cm="1">
        <f t="array" aca="1" ref="Q88" ca="1">INDIRECT(Q$67&amp;"!"&amp;Q$65&amp;ROW(Q48))</f>
        <v>1</v>
      </c>
      <c r="R88" cm="1">
        <f t="array" aca="1" ref="R88" ca="1">INDIRECT(R$67&amp;"!"&amp;R$65&amp;ROW(R52))</f>
        <v>1</v>
      </c>
      <c r="S88" cm="1">
        <f t="array" aca="1" ref="S88" ca="1">INDIRECT(S$67&amp;"!"&amp;S$65&amp;ROW(S52))</f>
        <v>1213</v>
      </c>
      <c r="U88" cm="1">
        <f t="array" aca="1" ref="U88" ca="1">INDIRECT(U$67&amp;"!"&amp;U$65&amp;ROW(U48))</f>
        <v>1</v>
      </c>
      <c r="V88" cm="1">
        <f t="array" aca="1" ref="V88" ca="1">INDIRECT(V$67&amp;"!"&amp;V$65&amp;ROW(V52))</f>
        <v>10000</v>
      </c>
      <c r="W88" cm="1">
        <f t="array" aca="1" ref="W88" ca="1">INDIRECT(W$67&amp;"!"&amp;W$65&amp;ROW(W52))</f>
        <v>10000</v>
      </c>
      <c r="Y88">
        <f t="shared" ca="1" si="49"/>
        <v>0</v>
      </c>
      <c r="Z88">
        <f t="shared" ca="1" si="45"/>
        <v>0</v>
      </c>
      <c r="AA88">
        <f t="shared" ca="1" si="45"/>
        <v>1213</v>
      </c>
      <c r="FB88" s="18"/>
      <c r="FC88" s="18"/>
      <c r="FD88" s="18"/>
      <c r="FE88" s="18"/>
      <c r="FF88" s="18"/>
      <c r="FG88" s="18"/>
      <c r="FH88" s="18"/>
      <c r="FI88" s="18"/>
      <c r="FJ88" s="18"/>
      <c r="FK88" s="18"/>
      <c r="FL88" s="18"/>
      <c r="FM88" s="18"/>
      <c r="FN88" s="18"/>
      <c r="FO88" s="18"/>
      <c r="FP88" s="18"/>
      <c r="FQ88" s="18"/>
      <c r="FW88" s="1"/>
      <c r="FX88" s="5"/>
    </row>
    <row r="89" spans="1:180" x14ac:dyDescent="0.2">
      <c r="A89" t="str">
        <f>QDistRnd_756_20251225!A49</f>
        <v>[[756,16,34]]</v>
      </c>
      <c r="B89">
        <f>QDistRnd_756_20251225!B49</f>
        <v>756</v>
      </c>
      <c r="C89">
        <v>34</v>
      </c>
      <c r="E89" cm="1">
        <f t="array" aca="1" ref="E89" ca="1">INDIRECT(E$67&amp;"!"&amp;E$65&amp;ROW(E49))</f>
        <v>40</v>
      </c>
      <c r="F89" cm="1">
        <f t="array" aca="1" ref="F89" ca="1">INDIRECT(F$67&amp;"!"&amp;F$65&amp;ROW(F53))</f>
        <v>40</v>
      </c>
      <c r="G89" cm="1">
        <f t="array" aca="1" ref="G89" ca="1">INDIRECT(G$67&amp;"!"&amp;G$65&amp;ROW(G53))</f>
        <v>34</v>
      </c>
      <c r="I89">
        <f t="shared" ca="1" si="48"/>
        <v>6</v>
      </c>
      <c r="J89">
        <f t="shared" ca="1" si="43"/>
        <v>6</v>
      </c>
      <c r="K89">
        <f t="shared" ca="1" si="44"/>
        <v>0</v>
      </c>
      <c r="M89" cm="1">
        <f t="array" aca="1" ref="M89" ca="1">INDIRECT(M$67&amp;"!"&amp;M$65&amp;ROW(M49))</f>
        <v>11.0656757920005</v>
      </c>
      <c r="N89" cm="1">
        <f t="array" aca="1" ref="N89" ca="1">INDIRECT(N$67&amp;"!"&amp;N$65&amp;ROW(N53))</f>
        <v>148.50015756580899</v>
      </c>
      <c r="O89" cm="1">
        <f t="array" aca="1" ref="O89" ca="1">INDIRECT(O$67&amp;"!"&amp;O$65&amp;ROW(O53))</f>
        <v>144.715115606784</v>
      </c>
      <c r="Q89" cm="1">
        <f t="array" aca="1" ref="Q89" ca="1">INDIRECT(Q$67&amp;"!"&amp;Q$65&amp;ROW(Q49))</f>
        <v>1</v>
      </c>
      <c r="R89" cm="1">
        <f t="array" aca="1" ref="R89" ca="1">INDIRECT(R$67&amp;"!"&amp;R$65&amp;ROW(R53))</f>
        <v>1</v>
      </c>
      <c r="S89" cm="1">
        <f t="array" aca="1" ref="S89" ca="1">INDIRECT(S$67&amp;"!"&amp;S$65&amp;ROW(S53))</f>
        <v>4437</v>
      </c>
      <c r="U89" cm="1">
        <f t="array" aca="1" ref="U89" ca="1">INDIRECT(U$67&amp;"!"&amp;U$65&amp;ROW(U49))</f>
        <v>1</v>
      </c>
      <c r="V89" cm="1">
        <f t="array" aca="1" ref="V89" ca="1">INDIRECT(V$67&amp;"!"&amp;V$65&amp;ROW(V53))</f>
        <v>10000</v>
      </c>
      <c r="W89" cm="1">
        <f t="array" aca="1" ref="W89" ca="1">INDIRECT(W$67&amp;"!"&amp;W$65&amp;ROW(W53))</f>
        <v>10000</v>
      </c>
      <c r="Y89">
        <f t="shared" ca="1" si="49"/>
        <v>0</v>
      </c>
      <c r="Z89">
        <f t="shared" ca="1" si="45"/>
        <v>0</v>
      </c>
      <c r="AA89">
        <f t="shared" ca="1" si="45"/>
        <v>4437</v>
      </c>
      <c r="FB89" s="18"/>
      <c r="FC89" s="18"/>
      <c r="FD89" s="18"/>
      <c r="FE89" s="18"/>
      <c r="FF89" s="18"/>
      <c r="FG89" s="18"/>
      <c r="FH89" s="18"/>
      <c r="FI89" s="18"/>
      <c r="FJ89" s="18"/>
      <c r="FK89" s="18"/>
      <c r="FL89" s="18"/>
      <c r="FM89" s="18"/>
      <c r="FN89" s="18"/>
      <c r="FO89" s="18"/>
      <c r="FP89" s="18"/>
      <c r="FQ89" s="18"/>
      <c r="FW89" s="1"/>
      <c r="FX89" s="5"/>
    </row>
    <row r="90" spans="1:180" x14ac:dyDescent="0.2">
      <c r="A90" t="str">
        <f>QDistRnd_756_20251225!A50</f>
        <v>[[756,16,34]]</v>
      </c>
      <c r="B90">
        <f>QDistRnd_756_20251225!B50</f>
        <v>756</v>
      </c>
      <c r="C90">
        <v>34</v>
      </c>
      <c r="E90" cm="1">
        <f t="array" aca="1" ref="E90" ca="1">INDIRECT(E$67&amp;"!"&amp;E$65&amp;ROW(E50))</f>
        <v>42</v>
      </c>
      <c r="F90" cm="1">
        <f t="array" aca="1" ref="F90" ca="1">INDIRECT(F$67&amp;"!"&amp;F$65&amp;ROW(F54))</f>
        <v>38</v>
      </c>
      <c r="G90" cm="1">
        <f t="array" aca="1" ref="G90" ca="1">INDIRECT(G$67&amp;"!"&amp;G$65&amp;ROW(G54))</f>
        <v>36</v>
      </c>
      <c r="I90">
        <f t="shared" ca="1" si="48"/>
        <v>8</v>
      </c>
      <c r="J90">
        <f t="shared" ca="1" si="43"/>
        <v>4</v>
      </c>
      <c r="K90">
        <f t="shared" ca="1" si="44"/>
        <v>2</v>
      </c>
      <c r="M90" cm="1">
        <f t="array" aca="1" ref="M90" ca="1">INDIRECT(M$67&amp;"!"&amp;M$65&amp;ROW(M50))</f>
        <v>11.1111559579985</v>
      </c>
      <c r="N90" cm="1">
        <f t="array" aca="1" ref="N90" ca="1">INDIRECT(N$67&amp;"!"&amp;N$65&amp;ROW(N54))</f>
        <v>148.60356454923701</v>
      </c>
      <c r="O90" cm="1">
        <f t="array" aca="1" ref="O90" ca="1">INDIRECT(O$67&amp;"!"&amp;O$65&amp;ROW(O54))</f>
        <v>145.677167745307</v>
      </c>
      <c r="Q90" cm="1">
        <f t="array" aca="1" ref="Q90" ca="1">INDIRECT(Q$67&amp;"!"&amp;Q$65&amp;ROW(Q50))</f>
        <v>1</v>
      </c>
      <c r="R90" cm="1">
        <f t="array" aca="1" ref="R90" ca="1">INDIRECT(R$67&amp;"!"&amp;R$65&amp;ROW(R54))</f>
        <v>1</v>
      </c>
      <c r="S90" cm="1">
        <f t="array" aca="1" ref="S90" ca="1">INDIRECT(S$67&amp;"!"&amp;S$65&amp;ROW(S54))</f>
        <v>2809</v>
      </c>
      <c r="U90" cm="1">
        <f t="array" aca="1" ref="U90" ca="1">INDIRECT(U$67&amp;"!"&amp;U$65&amp;ROW(U50))</f>
        <v>1</v>
      </c>
      <c r="V90" cm="1">
        <f t="array" aca="1" ref="V90" ca="1">INDIRECT(V$67&amp;"!"&amp;V$65&amp;ROW(V54))</f>
        <v>10000</v>
      </c>
      <c r="W90" cm="1">
        <f t="array" aca="1" ref="W90" ca="1">INDIRECT(W$67&amp;"!"&amp;W$65&amp;ROW(W54))</f>
        <v>10000</v>
      </c>
      <c r="Y90">
        <f t="shared" ca="1" si="49"/>
        <v>0</v>
      </c>
      <c r="Z90">
        <f t="shared" ca="1" si="45"/>
        <v>0</v>
      </c>
      <c r="AA90">
        <f t="shared" ca="1" si="45"/>
        <v>0</v>
      </c>
      <c r="FB90" s="18"/>
      <c r="FC90" s="18"/>
      <c r="FD90" s="18"/>
      <c r="FE90" s="18"/>
      <c r="FF90" s="18"/>
      <c r="FG90" s="18"/>
      <c r="FH90" s="18"/>
      <c r="FI90" s="18"/>
      <c r="FJ90" s="18"/>
      <c r="FK90" s="18"/>
      <c r="FL90" s="18"/>
      <c r="FM90" s="18"/>
      <c r="FN90" s="18"/>
      <c r="FO90" s="18"/>
      <c r="FP90" s="18"/>
      <c r="FQ90" s="18"/>
      <c r="FW90" s="1"/>
      <c r="FX90" s="5"/>
    </row>
    <row r="91" spans="1:180" x14ac:dyDescent="0.2">
      <c r="A91" t="str">
        <f>QDistRnd_756_20251225!A51</f>
        <v>[[756,16,34]]</v>
      </c>
      <c r="B91">
        <f>QDistRnd_756_20251225!B51</f>
        <v>756</v>
      </c>
      <c r="C91">
        <v>34</v>
      </c>
      <c r="E91" cm="1">
        <f t="array" aca="1" ref="E91" ca="1">INDIRECT(E$67&amp;"!"&amp;E$65&amp;ROW(E51))</f>
        <v>38</v>
      </c>
      <c r="F91" cm="1">
        <f t="array" aca="1" ref="F91" ca="1">INDIRECT(F$67&amp;"!"&amp;F$65&amp;ROW(F55))</f>
        <v>46</v>
      </c>
      <c r="G91" cm="1">
        <f t="array" aca="1" ref="G91" ca="1">INDIRECT(G$67&amp;"!"&amp;G$65&amp;ROW(G55))</f>
        <v>36</v>
      </c>
      <c r="I91">
        <f t="shared" ca="1" si="48"/>
        <v>4</v>
      </c>
      <c r="J91">
        <f t="shared" ca="1" si="43"/>
        <v>12</v>
      </c>
      <c r="K91">
        <f t="shared" ca="1" si="44"/>
        <v>2</v>
      </c>
      <c r="M91" cm="1">
        <f t="array" aca="1" ref="M91" ca="1">INDIRECT(M$67&amp;"!"&amp;M$65&amp;ROW(M51))</f>
        <v>10.863884792001</v>
      </c>
      <c r="N91" cm="1">
        <f t="array" aca="1" ref="N91" ca="1">INDIRECT(N$67&amp;"!"&amp;N$65&amp;ROW(N55))</f>
        <v>145.034766974858</v>
      </c>
      <c r="O91" cm="1">
        <f t="array" aca="1" ref="O91" ca="1">INDIRECT(O$67&amp;"!"&amp;O$65&amp;ROW(O55))</f>
        <v>144.44728786312001</v>
      </c>
      <c r="Q91" cm="1">
        <f t="array" aca="1" ref="Q91" ca="1">INDIRECT(Q$67&amp;"!"&amp;Q$65&amp;ROW(Q51))</f>
        <v>1</v>
      </c>
      <c r="R91" cm="1">
        <f t="array" aca="1" ref="R91" ca="1">INDIRECT(R$67&amp;"!"&amp;R$65&amp;ROW(R55))</f>
        <v>1</v>
      </c>
      <c r="S91" cm="1">
        <f t="array" aca="1" ref="S91" ca="1">INDIRECT(S$67&amp;"!"&amp;S$65&amp;ROW(S55))</f>
        <v>3652</v>
      </c>
      <c r="U91" cm="1">
        <f t="array" aca="1" ref="U91" ca="1">INDIRECT(U$67&amp;"!"&amp;U$65&amp;ROW(U51))</f>
        <v>1</v>
      </c>
      <c r="V91" cm="1">
        <f t="array" aca="1" ref="V91" ca="1">INDIRECT(V$67&amp;"!"&amp;V$65&amp;ROW(V55))</f>
        <v>10000</v>
      </c>
      <c r="W91" cm="1">
        <f t="array" aca="1" ref="W91" ca="1">INDIRECT(W$67&amp;"!"&amp;W$65&amp;ROW(W55))</f>
        <v>10000</v>
      </c>
      <c r="Y91">
        <f t="shared" ca="1" si="49"/>
        <v>0</v>
      </c>
      <c r="Z91">
        <f t="shared" ca="1" si="45"/>
        <v>0</v>
      </c>
      <c r="AA91">
        <f t="shared" ca="1" si="45"/>
        <v>0</v>
      </c>
      <c r="FB91" s="18"/>
      <c r="FC91" s="18"/>
      <c r="FD91" s="18"/>
      <c r="FE91" s="18"/>
      <c r="FF91" s="18"/>
      <c r="FG91" s="18"/>
      <c r="FH91" s="18"/>
      <c r="FI91" s="18"/>
      <c r="FJ91" s="18"/>
      <c r="FK91" s="18"/>
      <c r="FL91" s="18"/>
      <c r="FM91" s="18"/>
      <c r="FN91" s="18"/>
      <c r="FO91" s="18"/>
      <c r="FP91" s="18"/>
      <c r="FQ91" s="18"/>
      <c r="FW91" s="1"/>
      <c r="FX91" s="5"/>
    </row>
    <row r="92" spans="1:180" x14ac:dyDescent="0.2">
      <c r="A92" t="str">
        <f>QDistRnd_756_20251225!A52</f>
        <v>[[756,16,34]]</v>
      </c>
      <c r="B92">
        <f>QDistRnd_756_20251225!B52</f>
        <v>756</v>
      </c>
      <c r="C92">
        <v>34</v>
      </c>
      <c r="E92" cm="1">
        <f t="array" aca="1" ref="E92" ca="1">INDIRECT(E$67&amp;"!"&amp;E$65&amp;ROW(E52))</f>
        <v>42</v>
      </c>
      <c r="F92" cm="1">
        <f t="array" aca="1" ref="F92" ca="1">INDIRECT(F$67&amp;"!"&amp;F$65&amp;ROW(F56))</f>
        <v>44</v>
      </c>
      <c r="G92" cm="1">
        <f t="array" aca="1" ref="G92" ca="1">INDIRECT(G$67&amp;"!"&amp;G$65&amp;ROW(G56))</f>
        <v>34</v>
      </c>
      <c r="I92">
        <f t="shared" ca="1" si="48"/>
        <v>8</v>
      </c>
      <c r="J92">
        <f t="shared" ca="1" si="43"/>
        <v>10</v>
      </c>
      <c r="K92">
        <f t="shared" ca="1" si="44"/>
        <v>0</v>
      </c>
      <c r="M92" cm="1">
        <f t="array" aca="1" ref="M92" ca="1">INDIRECT(M$67&amp;"!"&amp;M$65&amp;ROW(M52))</f>
        <v>10.883556332999399</v>
      </c>
      <c r="N92" cm="1">
        <f t="array" aca="1" ref="N92" ca="1">INDIRECT(N$67&amp;"!"&amp;N$65&amp;ROW(N56))</f>
        <v>140.46913151722401</v>
      </c>
      <c r="O92" cm="1">
        <f t="array" aca="1" ref="O92" ca="1">INDIRECT(O$67&amp;"!"&amp;O$65&amp;ROW(O56))</f>
        <v>133.915707173757</v>
      </c>
      <c r="Q92" cm="1">
        <f t="array" aca="1" ref="Q92" ca="1">INDIRECT(Q$67&amp;"!"&amp;Q$65&amp;ROW(Q52))</f>
        <v>1</v>
      </c>
      <c r="R92" cm="1">
        <f t="array" aca="1" ref="R92" ca="1">INDIRECT(R$67&amp;"!"&amp;R$65&amp;ROW(R56))</f>
        <v>1</v>
      </c>
      <c r="S92" cm="1">
        <f t="array" aca="1" ref="S92" ca="1">INDIRECT(S$67&amp;"!"&amp;S$65&amp;ROW(S56))</f>
        <v>2672</v>
      </c>
      <c r="U92" cm="1">
        <f t="array" aca="1" ref="U92" ca="1">INDIRECT(U$67&amp;"!"&amp;U$65&amp;ROW(U52))</f>
        <v>1</v>
      </c>
      <c r="V92" cm="1">
        <f t="array" aca="1" ref="V92" ca="1">INDIRECT(V$67&amp;"!"&amp;V$65&amp;ROW(V56))</f>
        <v>10000</v>
      </c>
      <c r="W92" cm="1">
        <f t="array" aca="1" ref="W92" ca="1">INDIRECT(W$67&amp;"!"&amp;W$65&amp;ROW(W56))</f>
        <v>10000</v>
      </c>
      <c r="Y92">
        <f t="shared" ca="1" si="49"/>
        <v>0</v>
      </c>
      <c r="Z92">
        <f t="shared" ca="1" si="45"/>
        <v>0</v>
      </c>
      <c r="AA92">
        <f t="shared" ca="1" si="45"/>
        <v>2672</v>
      </c>
      <c r="FB92" s="18"/>
      <c r="FC92" s="18"/>
      <c r="FD92" s="18"/>
      <c r="FE92" s="18"/>
      <c r="FF92" s="18"/>
      <c r="FG92" s="18"/>
      <c r="FH92" s="18"/>
      <c r="FI92" s="18"/>
      <c r="FJ92" s="18"/>
      <c r="FK92" s="18"/>
      <c r="FL92" s="18"/>
      <c r="FM92" s="18"/>
      <c r="FN92" s="18"/>
      <c r="FO92" s="18"/>
      <c r="FP92" s="18"/>
      <c r="FQ92" s="18"/>
      <c r="FW92" s="1"/>
      <c r="FX92" s="5"/>
    </row>
    <row r="93" spans="1:180" x14ac:dyDescent="0.2">
      <c r="A93" t="str">
        <f>QDistRnd_756_20251225!A53</f>
        <v>[[756,16,34]]</v>
      </c>
      <c r="B93">
        <f>QDistRnd_756_20251225!B53</f>
        <v>756</v>
      </c>
      <c r="C93">
        <v>34</v>
      </c>
      <c r="E93" cm="1">
        <f t="array" aca="1" ref="E93" ca="1">INDIRECT(E$67&amp;"!"&amp;E$65&amp;ROW(E53))</f>
        <v>46</v>
      </c>
      <c r="F93" cm="1">
        <f t="array" aca="1" ref="F93" ca="1">INDIRECT(F$67&amp;"!"&amp;F$65&amp;ROW(F57))</f>
        <v>42</v>
      </c>
      <c r="G93" cm="1">
        <f t="array" aca="1" ref="G93" ca="1">INDIRECT(G$67&amp;"!"&amp;G$65&amp;ROW(G57))</f>
        <v>34</v>
      </c>
      <c r="I93">
        <f t="shared" ca="1" si="48"/>
        <v>12</v>
      </c>
      <c r="J93">
        <f t="shared" ca="1" si="43"/>
        <v>8</v>
      </c>
      <c r="K93">
        <f t="shared" ca="1" si="44"/>
        <v>0</v>
      </c>
      <c r="M93" cm="1">
        <f t="array" aca="1" ref="M93" ca="1">INDIRECT(M$67&amp;"!"&amp;M$65&amp;ROW(M53))</f>
        <v>11.1613977919987</v>
      </c>
      <c r="N93" cm="1">
        <f t="array" aca="1" ref="N93" ca="1">INDIRECT(N$67&amp;"!"&amp;N$65&amp;ROW(N57))</f>
        <v>140.731675726361</v>
      </c>
      <c r="O93" cm="1">
        <f t="array" aca="1" ref="O93" ca="1">INDIRECT(O$67&amp;"!"&amp;O$65&amp;ROW(O57))</f>
        <v>135.51425016857601</v>
      </c>
      <c r="Q93" cm="1">
        <f t="array" aca="1" ref="Q93" ca="1">INDIRECT(Q$67&amp;"!"&amp;Q$65&amp;ROW(Q53))</f>
        <v>1</v>
      </c>
      <c r="R93" cm="1">
        <f t="array" aca="1" ref="R93" ca="1">INDIRECT(R$67&amp;"!"&amp;R$65&amp;ROW(R57))</f>
        <v>1</v>
      </c>
      <c r="S93" cm="1">
        <f t="array" aca="1" ref="S93" ca="1">INDIRECT(S$67&amp;"!"&amp;S$65&amp;ROW(S57))</f>
        <v>1686</v>
      </c>
      <c r="U93" cm="1">
        <f t="array" aca="1" ref="U93" ca="1">INDIRECT(U$67&amp;"!"&amp;U$65&amp;ROW(U53))</f>
        <v>1</v>
      </c>
      <c r="V93" cm="1">
        <f t="array" aca="1" ref="V93" ca="1">INDIRECT(V$67&amp;"!"&amp;V$65&amp;ROW(V57))</f>
        <v>10000</v>
      </c>
      <c r="W93" cm="1">
        <f t="array" aca="1" ref="W93" ca="1">INDIRECT(W$67&amp;"!"&amp;W$65&amp;ROW(W57))</f>
        <v>10000</v>
      </c>
      <c r="Y93">
        <f t="shared" ca="1" si="49"/>
        <v>0</v>
      </c>
      <c r="Z93">
        <f t="shared" ca="1" si="45"/>
        <v>0</v>
      </c>
      <c r="AA93">
        <f t="shared" ca="1" si="45"/>
        <v>1686</v>
      </c>
      <c r="FB93" s="18"/>
      <c r="FC93" s="18"/>
      <c r="FD93" s="18"/>
      <c r="FE93" s="18"/>
      <c r="FF93" s="18"/>
      <c r="FG93" s="18"/>
      <c r="FH93" s="18"/>
      <c r="FI93" s="18"/>
      <c r="FJ93" s="18"/>
      <c r="FK93" s="18"/>
      <c r="FL93" s="18"/>
      <c r="FM93" s="18"/>
      <c r="FN93" s="18"/>
      <c r="FO93" s="18"/>
      <c r="FP93" s="18"/>
      <c r="FQ93" s="18"/>
      <c r="FW93" s="1"/>
      <c r="FX93" s="5"/>
    </row>
    <row r="94" spans="1:180" x14ac:dyDescent="0.2">
      <c r="A94" t="str">
        <f>QDistRnd_756_20251225!A54</f>
        <v>[[756,16,34]]</v>
      </c>
      <c r="B94">
        <f>QDistRnd_756_20251225!B54</f>
        <v>756</v>
      </c>
      <c r="C94">
        <v>34</v>
      </c>
      <c r="E94" cm="1">
        <f t="array" aca="1" ref="E94" ca="1">INDIRECT(E$67&amp;"!"&amp;E$65&amp;ROW(E54))</f>
        <v>34</v>
      </c>
      <c r="F94" cm="1">
        <f t="array" aca="1" ref="F94" ca="1">INDIRECT(F$67&amp;"!"&amp;F$65&amp;ROW(F58))</f>
        <v>42</v>
      </c>
      <c r="G94" cm="1">
        <f t="array" aca="1" ref="G94" ca="1">INDIRECT(G$67&amp;"!"&amp;G$65&amp;ROW(G58))</f>
        <v>34</v>
      </c>
      <c r="I94">
        <f t="shared" ca="1" si="48"/>
        <v>0</v>
      </c>
      <c r="J94">
        <f t="shared" ca="1" si="43"/>
        <v>8</v>
      </c>
      <c r="K94">
        <f t="shared" ca="1" si="44"/>
        <v>0</v>
      </c>
      <c r="M94" cm="1">
        <f t="array" aca="1" ref="M94" ca="1">INDIRECT(M$67&amp;"!"&amp;M$65&amp;ROW(M54))</f>
        <v>10.7943282080013</v>
      </c>
      <c r="N94" cm="1">
        <f t="array" aca="1" ref="N94" ca="1">INDIRECT(N$67&amp;"!"&amp;N$65&amp;ROW(N58))</f>
        <v>140.23692125733899</v>
      </c>
      <c r="O94" cm="1">
        <f t="array" aca="1" ref="O94" ca="1">INDIRECT(O$67&amp;"!"&amp;O$65&amp;ROW(O58))</f>
        <v>140.81354876141901</v>
      </c>
      <c r="Q94" cm="1">
        <f t="array" aca="1" ref="Q94" ca="1">INDIRECT(Q$67&amp;"!"&amp;Q$65&amp;ROW(Q54))</f>
        <v>1</v>
      </c>
      <c r="R94" cm="1">
        <f t="array" aca="1" ref="R94" ca="1">INDIRECT(R$67&amp;"!"&amp;R$65&amp;ROW(R58))</f>
        <v>1</v>
      </c>
      <c r="S94" cm="1">
        <f t="array" aca="1" ref="S94" ca="1">INDIRECT(S$67&amp;"!"&amp;S$65&amp;ROW(S58))</f>
        <v>2878</v>
      </c>
      <c r="U94" cm="1">
        <f t="array" aca="1" ref="U94" ca="1">INDIRECT(U$67&amp;"!"&amp;U$65&amp;ROW(U54))</f>
        <v>1</v>
      </c>
      <c r="V94" cm="1">
        <f t="array" aca="1" ref="V94" ca="1">INDIRECT(V$67&amp;"!"&amp;V$65&amp;ROW(V58))</f>
        <v>10000</v>
      </c>
      <c r="W94" cm="1">
        <f t="array" aca="1" ref="W94" ca="1">INDIRECT(W$67&amp;"!"&amp;W$65&amp;ROW(W58))</f>
        <v>10000</v>
      </c>
      <c r="Y94">
        <f t="shared" ca="1" si="49"/>
        <v>1</v>
      </c>
      <c r="Z94">
        <f t="shared" ca="1" si="45"/>
        <v>0</v>
      </c>
      <c r="AA94">
        <f t="shared" ca="1" si="45"/>
        <v>2878</v>
      </c>
      <c r="FB94" s="18"/>
      <c r="FC94" s="18"/>
      <c r="FD94" s="18"/>
      <c r="FE94" s="18"/>
      <c r="FF94" s="18"/>
      <c r="FG94" s="18"/>
      <c r="FH94" s="18"/>
      <c r="FI94" s="18"/>
      <c r="FJ94" s="18"/>
      <c r="FK94" s="18"/>
      <c r="FL94" s="18"/>
      <c r="FM94" s="18"/>
      <c r="FN94" s="18"/>
      <c r="FO94" s="18"/>
      <c r="FP94" s="18"/>
      <c r="FQ94" s="18"/>
      <c r="FW94" s="1"/>
      <c r="FX94" s="5"/>
    </row>
    <row r="95" spans="1:180" x14ac:dyDescent="0.2">
      <c r="A95" t="str">
        <f>QDistRnd_756_20251225!A55</f>
        <v>[[756,16,34]]</v>
      </c>
      <c r="B95">
        <f>QDistRnd_756_20251225!B55</f>
        <v>756</v>
      </c>
      <c r="C95">
        <v>34</v>
      </c>
      <c r="E95" cm="1">
        <f t="array" aca="1" ref="E95" ca="1">INDIRECT(E$67&amp;"!"&amp;E$65&amp;ROW(E55))</f>
        <v>38</v>
      </c>
      <c r="F95" cm="1">
        <f t="array" aca="1" ref="F95" ca="1">INDIRECT(F$67&amp;"!"&amp;F$65&amp;ROW(F59))</f>
        <v>42</v>
      </c>
      <c r="G95" cm="1">
        <f t="array" aca="1" ref="G95" ca="1">INDIRECT(G$67&amp;"!"&amp;G$65&amp;ROW(G59))</f>
        <v>36</v>
      </c>
      <c r="I95">
        <f t="shared" ca="1" si="48"/>
        <v>4</v>
      </c>
      <c r="J95">
        <f t="shared" ca="1" si="43"/>
        <v>8</v>
      </c>
      <c r="K95">
        <f t="shared" ca="1" si="44"/>
        <v>2</v>
      </c>
      <c r="M95" cm="1">
        <f t="array" aca="1" ref="M95" ca="1">INDIRECT(M$67&amp;"!"&amp;M$65&amp;ROW(M55))</f>
        <v>10.892813250000399</v>
      </c>
      <c r="N95" cm="1">
        <f t="array" aca="1" ref="N95" ca="1">INDIRECT(N$67&amp;"!"&amp;N$65&amp;ROW(N59))</f>
        <v>139.68169013597</v>
      </c>
      <c r="O95" cm="1">
        <f t="array" aca="1" ref="O95" ca="1">INDIRECT(O$67&amp;"!"&amp;O$65&amp;ROW(O59))</f>
        <v>135.077756261453</v>
      </c>
      <c r="Q95" cm="1">
        <f t="array" aca="1" ref="Q95" ca="1">INDIRECT(Q$67&amp;"!"&amp;Q$65&amp;ROW(Q55))</f>
        <v>1</v>
      </c>
      <c r="R95" cm="1">
        <f t="array" aca="1" ref="R95" ca="1">INDIRECT(R$67&amp;"!"&amp;R$65&amp;ROW(R59))</f>
        <v>1</v>
      </c>
      <c r="S95" cm="1">
        <f t="array" aca="1" ref="S95" ca="1">INDIRECT(S$67&amp;"!"&amp;S$65&amp;ROW(S59))</f>
        <v>2992</v>
      </c>
      <c r="U95" cm="1">
        <f t="array" aca="1" ref="U95" ca="1">INDIRECT(U$67&amp;"!"&amp;U$65&amp;ROW(U55))</f>
        <v>1</v>
      </c>
      <c r="V95" cm="1">
        <f t="array" aca="1" ref="V95" ca="1">INDIRECT(V$67&amp;"!"&amp;V$65&amp;ROW(V59))</f>
        <v>10000</v>
      </c>
      <c r="W95" cm="1">
        <f t="array" aca="1" ref="W95" ca="1">INDIRECT(W$67&amp;"!"&amp;W$65&amp;ROW(W59))</f>
        <v>10000</v>
      </c>
      <c r="Y95">
        <f t="shared" ca="1" si="49"/>
        <v>0</v>
      </c>
      <c r="Z95">
        <f t="shared" ca="1" si="45"/>
        <v>0</v>
      </c>
      <c r="AA95">
        <f t="shared" ca="1" si="45"/>
        <v>0</v>
      </c>
      <c r="FB95" s="18"/>
      <c r="FC95" s="18"/>
      <c r="FD95" s="18"/>
      <c r="FE95" s="18"/>
      <c r="FF95" s="18"/>
      <c r="FG95" s="18"/>
      <c r="FH95" s="18"/>
      <c r="FI95" s="18"/>
      <c r="FJ95" s="18"/>
      <c r="FK95" s="18"/>
      <c r="FL95" s="18"/>
      <c r="FM95" s="18"/>
      <c r="FN95" s="18"/>
      <c r="FO95" s="18"/>
      <c r="FP95" s="18"/>
      <c r="FQ95" s="18"/>
      <c r="FW95" s="1"/>
      <c r="FX95" s="5"/>
    </row>
    <row r="96" spans="1:180" x14ac:dyDescent="0.2">
      <c r="A96" t="str">
        <f>QDistRnd_756_20251225!A56</f>
        <v>[[756,16,34]]</v>
      </c>
      <c r="B96">
        <f>QDistRnd_756_20251225!B56</f>
        <v>756</v>
      </c>
      <c r="C96">
        <v>34</v>
      </c>
      <c r="E96" cm="1">
        <f t="array" aca="1" ref="E96" ca="1">INDIRECT(E$67&amp;"!"&amp;E$65&amp;ROW(E56))</f>
        <v>40</v>
      </c>
      <c r="F96" cm="1">
        <f t="array" aca="1" ref="F96" ca="1">INDIRECT(F$67&amp;"!"&amp;F$65&amp;ROW(F60))</f>
        <v>44</v>
      </c>
      <c r="G96" cm="1">
        <f t="array" aca="1" ref="G96" ca="1">INDIRECT(G$67&amp;"!"&amp;G$65&amp;ROW(G60))</f>
        <v>36</v>
      </c>
      <c r="I96">
        <f t="shared" ca="1" si="48"/>
        <v>6</v>
      </c>
      <c r="J96">
        <f t="shared" ca="1" si="43"/>
        <v>10</v>
      </c>
      <c r="K96">
        <f t="shared" ca="1" si="44"/>
        <v>2</v>
      </c>
      <c r="M96" cm="1">
        <f t="array" aca="1" ref="M96" ca="1">INDIRECT(M$67&amp;"!"&amp;M$65&amp;ROW(M56))</f>
        <v>10.800581084000401</v>
      </c>
      <c r="N96" cm="1">
        <f t="array" aca="1" ref="N96" ca="1">INDIRECT(N$67&amp;"!"&amp;N$65&amp;ROW(N60))</f>
        <v>139.296012326143</v>
      </c>
      <c r="O96" cm="1">
        <f t="array" aca="1" ref="O96" ca="1">INDIRECT(O$67&amp;"!"&amp;O$65&amp;ROW(O60))</f>
        <v>136.60668904241101</v>
      </c>
      <c r="Q96" cm="1">
        <f t="array" aca="1" ref="Q96" ca="1">INDIRECT(Q$67&amp;"!"&amp;Q$65&amp;ROW(Q56))</f>
        <v>1</v>
      </c>
      <c r="R96" cm="1">
        <f t="array" aca="1" ref="R96" ca="1">INDIRECT(R$67&amp;"!"&amp;R$65&amp;ROW(R60))</f>
        <v>3</v>
      </c>
      <c r="S96" cm="1">
        <f t="array" aca="1" ref="S96" ca="1">INDIRECT(S$67&amp;"!"&amp;S$65&amp;ROW(S60))</f>
        <v>4288</v>
      </c>
      <c r="U96" cm="1">
        <f t="array" aca="1" ref="U96" ca="1">INDIRECT(U$67&amp;"!"&amp;U$65&amp;ROW(U56))</f>
        <v>1</v>
      </c>
      <c r="V96" cm="1">
        <f t="array" aca="1" ref="V96" ca="1">INDIRECT(V$67&amp;"!"&amp;V$65&amp;ROW(V60))</f>
        <v>10000</v>
      </c>
      <c r="W96" cm="1">
        <f t="array" aca="1" ref="W96" ca="1">INDIRECT(W$67&amp;"!"&amp;W$65&amp;ROW(W60))</f>
        <v>10000</v>
      </c>
      <c r="Y96">
        <f t="shared" ca="1" si="49"/>
        <v>0</v>
      </c>
      <c r="Z96">
        <f t="shared" ca="1" si="45"/>
        <v>0</v>
      </c>
      <c r="AA96">
        <f t="shared" ca="1" si="45"/>
        <v>0</v>
      </c>
      <c r="FB96" s="18"/>
      <c r="FC96" s="18"/>
      <c r="FD96" s="18"/>
      <c r="FE96" s="18"/>
      <c r="FF96" s="18"/>
      <c r="FG96" s="18"/>
      <c r="FH96" s="18"/>
      <c r="FI96" s="18"/>
      <c r="FJ96" s="18"/>
      <c r="FK96" s="18"/>
      <c r="FL96" s="18"/>
      <c r="FM96" s="18"/>
      <c r="FN96" s="18"/>
      <c r="FO96" s="18"/>
      <c r="FP96" s="18"/>
      <c r="FQ96" s="18"/>
      <c r="FW96" s="1"/>
      <c r="FX96" s="5"/>
    </row>
    <row r="97" spans="1:180" x14ac:dyDescent="0.2">
      <c r="A97" t="str">
        <f>QDistRnd_756_20251225!A57</f>
        <v>[[756,16,34]]</v>
      </c>
      <c r="B97">
        <f>QDistRnd_756_20251225!B57</f>
        <v>756</v>
      </c>
      <c r="C97">
        <v>34</v>
      </c>
      <c r="E97" cm="1">
        <f t="array" aca="1" ref="E97" ca="1">INDIRECT(E$67&amp;"!"&amp;E$65&amp;ROW(E57))</f>
        <v>44</v>
      </c>
      <c r="F97" cm="1">
        <f t="array" aca="1" ref="F97" ca="1">INDIRECT(F$67&amp;"!"&amp;F$65&amp;ROW(F61))</f>
        <v>42</v>
      </c>
      <c r="G97" cm="1">
        <f t="array" aca="1" ref="G97" ca="1">INDIRECT(G$67&amp;"!"&amp;G$65&amp;ROW(G61))</f>
        <v>34</v>
      </c>
      <c r="I97">
        <f t="shared" ca="1" si="48"/>
        <v>10</v>
      </c>
      <c r="J97">
        <f t="shared" ca="1" si="43"/>
        <v>8</v>
      </c>
      <c r="K97">
        <f t="shared" ca="1" si="44"/>
        <v>0</v>
      </c>
      <c r="M97" cm="1">
        <f t="array" aca="1" ref="M97" ca="1">INDIRECT(M$67&amp;"!"&amp;M$65&amp;ROW(M57))</f>
        <v>10.976220332999199</v>
      </c>
      <c r="N97" cm="1">
        <f t="array" aca="1" ref="N97" ca="1">INDIRECT(N$67&amp;"!"&amp;N$65&amp;ROW(N61))</f>
        <v>139.372598850168</v>
      </c>
      <c r="O97" cm="1">
        <f t="array" aca="1" ref="O97" ca="1">INDIRECT(O$67&amp;"!"&amp;O$65&amp;ROW(O61))</f>
        <v>135.648297957144</v>
      </c>
      <c r="Q97" cm="1">
        <f t="array" aca="1" ref="Q97" ca="1">INDIRECT(Q$67&amp;"!"&amp;Q$65&amp;ROW(Q57))</f>
        <v>1</v>
      </c>
      <c r="R97" cm="1">
        <f t="array" aca="1" ref="R97" ca="1">INDIRECT(R$67&amp;"!"&amp;R$65&amp;ROW(R61))</f>
        <v>2</v>
      </c>
      <c r="S97" cm="1">
        <f t="array" aca="1" ref="S97" ca="1">INDIRECT(S$67&amp;"!"&amp;S$65&amp;ROW(S61))</f>
        <v>2475</v>
      </c>
      <c r="U97" cm="1">
        <f t="array" aca="1" ref="U97" ca="1">INDIRECT(U$67&amp;"!"&amp;U$65&amp;ROW(U57))</f>
        <v>1</v>
      </c>
      <c r="V97" cm="1">
        <f t="array" aca="1" ref="V97" ca="1">INDIRECT(V$67&amp;"!"&amp;V$65&amp;ROW(V61))</f>
        <v>10000</v>
      </c>
      <c r="W97" cm="1">
        <f t="array" aca="1" ref="W97" ca="1">INDIRECT(W$67&amp;"!"&amp;W$65&amp;ROW(W61))</f>
        <v>10000</v>
      </c>
      <c r="Y97">
        <f t="shared" ca="1" si="49"/>
        <v>0</v>
      </c>
      <c r="Z97">
        <f t="shared" ca="1" si="45"/>
        <v>0</v>
      </c>
      <c r="AA97">
        <f t="shared" ca="1" si="45"/>
        <v>2475</v>
      </c>
      <c r="FB97" s="18"/>
      <c r="FC97" s="18"/>
      <c r="FD97" s="18"/>
      <c r="FE97" s="18"/>
      <c r="FF97" s="18"/>
      <c r="FG97" s="18"/>
      <c r="FH97" s="18"/>
      <c r="FI97" s="18"/>
      <c r="FJ97" s="18"/>
      <c r="FK97" s="18"/>
      <c r="FL97" s="18"/>
      <c r="FM97" s="18"/>
      <c r="FN97" s="18"/>
      <c r="FO97" s="18"/>
      <c r="FP97" s="18"/>
      <c r="FQ97" s="18"/>
      <c r="FW97" s="1"/>
      <c r="FX97" s="5"/>
    </row>
    <row r="98" spans="1:180" x14ac:dyDescent="0.2">
      <c r="A98" t="str">
        <f>QDistRnd_756_20251225!A58</f>
        <v>[[756,16,34]]</v>
      </c>
      <c r="B98">
        <f>QDistRnd_756_20251225!B58</f>
        <v>756</v>
      </c>
      <c r="C98">
        <v>34</v>
      </c>
      <c r="E98" cm="1">
        <f t="array" aca="1" ref="E98" ca="1">INDIRECT(E$67&amp;"!"&amp;E$65&amp;ROW(E58))</f>
        <v>40</v>
      </c>
      <c r="F98" cm="1">
        <f t="array" aca="1" ref="F98" ca="1">INDIRECT(F$67&amp;"!"&amp;F$65&amp;ROW(F62))</f>
        <v>40</v>
      </c>
      <c r="G98" cm="1">
        <f t="array" aca="1" ref="G98" ca="1">INDIRECT(G$67&amp;"!"&amp;G$65&amp;ROW(G62))</f>
        <v>34</v>
      </c>
      <c r="I98">
        <f t="shared" ca="1" si="48"/>
        <v>6</v>
      </c>
      <c r="J98">
        <f t="shared" ca="1" si="43"/>
        <v>6</v>
      </c>
      <c r="K98">
        <f t="shared" ca="1" si="44"/>
        <v>0</v>
      </c>
      <c r="M98" cm="1">
        <f t="array" aca="1" ref="M98" ca="1">INDIRECT(M$67&amp;"!"&amp;M$65&amp;ROW(M58))</f>
        <v>10.8900741670004</v>
      </c>
      <c r="N98" cm="1">
        <f t="array" aca="1" ref="N98" ca="1">INDIRECT(N$67&amp;"!"&amp;N$65&amp;ROW(N62))</f>
        <v>139.404148366302</v>
      </c>
      <c r="O98" cm="1">
        <f t="array" aca="1" ref="O98" ca="1">INDIRECT(O$67&amp;"!"&amp;O$65&amp;ROW(O62))</f>
        <v>133.89313193690001</v>
      </c>
      <c r="Q98" cm="1">
        <f t="array" aca="1" ref="Q98" ca="1">INDIRECT(Q$67&amp;"!"&amp;Q$65&amp;ROW(Q58))</f>
        <v>1</v>
      </c>
      <c r="R98" cm="1">
        <f t="array" aca="1" ref="R98" ca="1">INDIRECT(R$67&amp;"!"&amp;R$65&amp;ROW(R62))</f>
        <v>1</v>
      </c>
      <c r="S98" cm="1">
        <f t="array" aca="1" ref="S98" ca="1">INDIRECT(S$67&amp;"!"&amp;S$65&amp;ROW(S62))</f>
        <v>1341</v>
      </c>
      <c r="U98" cm="1">
        <f t="array" aca="1" ref="U98" ca="1">INDIRECT(U$67&amp;"!"&amp;U$65&amp;ROW(U58))</f>
        <v>1</v>
      </c>
      <c r="V98" cm="1">
        <f t="array" aca="1" ref="V98" ca="1">INDIRECT(V$67&amp;"!"&amp;V$65&amp;ROW(V62))</f>
        <v>10000</v>
      </c>
      <c r="W98" cm="1">
        <f t="array" aca="1" ref="W98" ca="1">INDIRECT(W$67&amp;"!"&amp;W$65&amp;ROW(W62))</f>
        <v>10000</v>
      </c>
      <c r="Y98">
        <f t="shared" ca="1" si="49"/>
        <v>0</v>
      </c>
      <c r="Z98">
        <f t="shared" ca="1" si="45"/>
        <v>0</v>
      </c>
      <c r="AA98">
        <f t="shared" ca="1" si="45"/>
        <v>1341</v>
      </c>
      <c r="FB98" s="18"/>
      <c r="FC98" s="18"/>
      <c r="FD98" s="18"/>
      <c r="FE98" s="18"/>
      <c r="FF98" s="18"/>
      <c r="FG98" s="18"/>
      <c r="FH98" s="18"/>
      <c r="FI98" s="18"/>
      <c r="FJ98" s="18"/>
      <c r="FK98" s="18"/>
      <c r="FL98" s="18"/>
      <c r="FM98" s="18"/>
      <c r="FN98" s="18"/>
      <c r="FO98" s="18"/>
      <c r="FP98" s="18"/>
      <c r="FQ98" s="18"/>
      <c r="FW98" s="1"/>
      <c r="FX98" s="5"/>
    </row>
    <row r="99" spans="1:180" x14ac:dyDescent="0.2">
      <c r="A99" t="str">
        <f>QDistRnd_756_20251225!A59</f>
        <v>[[756,16,34]]</v>
      </c>
      <c r="B99">
        <f>QDistRnd_756_20251225!B59</f>
        <v>756</v>
      </c>
      <c r="C99">
        <v>34</v>
      </c>
      <c r="E99" cm="1">
        <f t="array" aca="1" ref="E99" ca="1">INDIRECT(E$67&amp;"!"&amp;E$65&amp;ROW(E59))</f>
        <v>42</v>
      </c>
      <c r="F99" cm="1">
        <f t="array" aca="1" ref="F99" ca="1">INDIRECT(F$67&amp;"!"&amp;F$65&amp;ROW(F63))</f>
        <v>44</v>
      </c>
      <c r="G99" cm="1">
        <f t="array" aca="1" ref="G99" ca="1">INDIRECT(G$67&amp;"!"&amp;G$65&amp;ROW(G63))</f>
        <v>36</v>
      </c>
      <c r="I99">
        <f t="shared" ca="1" si="48"/>
        <v>8</v>
      </c>
      <c r="J99">
        <f t="shared" ca="1" si="43"/>
        <v>10</v>
      </c>
      <c r="K99">
        <f t="shared" ca="1" si="44"/>
        <v>2</v>
      </c>
      <c r="M99" cm="1">
        <f t="array" aca="1" ref="M99" ca="1">INDIRECT(M$67&amp;"!"&amp;M$65&amp;ROW(M59))</f>
        <v>11.186813290998501</v>
      </c>
      <c r="N99" cm="1">
        <f t="array" aca="1" ref="N99" ca="1">INDIRECT(N$67&amp;"!"&amp;N$65&amp;ROW(N63))</f>
        <v>139.40002826042399</v>
      </c>
      <c r="O99" cm="1">
        <f t="array" aca="1" ref="O99" ca="1">INDIRECT(O$67&amp;"!"&amp;O$65&amp;ROW(O63))</f>
        <v>137.90047775860799</v>
      </c>
      <c r="Q99" cm="1">
        <f t="array" aca="1" ref="Q99" ca="1">INDIRECT(Q$67&amp;"!"&amp;Q$65&amp;ROW(Q59))</f>
        <v>1</v>
      </c>
      <c r="R99" cm="1">
        <f t="array" aca="1" ref="R99" ca="1">INDIRECT(R$67&amp;"!"&amp;R$65&amp;ROW(R63))</f>
        <v>1</v>
      </c>
      <c r="S99" cm="1">
        <f t="array" aca="1" ref="S99" ca="1">INDIRECT(S$67&amp;"!"&amp;S$65&amp;ROW(S63))</f>
        <v>332</v>
      </c>
      <c r="U99" cm="1">
        <f t="array" aca="1" ref="U99" ca="1">INDIRECT(U$67&amp;"!"&amp;U$65&amp;ROW(U59))</f>
        <v>1</v>
      </c>
      <c r="V99" cm="1">
        <f t="array" aca="1" ref="V99" ca="1">INDIRECT(V$67&amp;"!"&amp;V$65&amp;ROW(V63))</f>
        <v>10000</v>
      </c>
      <c r="W99" cm="1">
        <f t="array" aca="1" ref="W99" ca="1">INDIRECT(W$67&amp;"!"&amp;W$65&amp;ROW(W63))</f>
        <v>10000</v>
      </c>
      <c r="Y99">
        <f t="shared" ca="1" si="49"/>
        <v>0</v>
      </c>
      <c r="Z99">
        <f t="shared" ca="1" si="45"/>
        <v>0</v>
      </c>
      <c r="AA99">
        <f t="shared" ca="1" si="45"/>
        <v>0</v>
      </c>
      <c r="FB99" s="18"/>
      <c r="FC99" s="18"/>
      <c r="FD99" s="18"/>
      <c r="FE99" s="18"/>
      <c r="FF99" s="18"/>
      <c r="FG99" s="18"/>
      <c r="FH99" s="18"/>
      <c r="FI99" s="18"/>
      <c r="FJ99" s="18"/>
      <c r="FK99" s="18"/>
      <c r="FL99" s="18"/>
      <c r="FM99" s="18"/>
      <c r="FN99" s="18"/>
      <c r="FO99" s="18"/>
      <c r="FP99" s="18"/>
      <c r="FQ99" s="18"/>
      <c r="FW99" s="1"/>
      <c r="FX99" s="5"/>
    </row>
    <row r="100" spans="1:180" x14ac:dyDescent="0.2">
      <c r="A100" t="str">
        <f>QDistRnd_756_20251225!A60</f>
        <v>[[756,16,34]]</v>
      </c>
      <c r="B100">
        <f>QDistRnd_756_20251225!B60</f>
        <v>756</v>
      </c>
      <c r="C100">
        <v>34</v>
      </c>
      <c r="E100" cm="1">
        <f t="array" aca="1" ref="E100" ca="1">INDIRECT(E$67&amp;"!"&amp;E$65&amp;ROW(E60))</f>
        <v>38</v>
      </c>
      <c r="F100" cm="1">
        <f t="array" aca="1" ref="F100" ca="1">INDIRECT(F$67&amp;"!"&amp;F$65&amp;ROW(F64))</f>
        <v>44</v>
      </c>
      <c r="G100" cm="1">
        <f t="array" aca="1" ref="G100" ca="1">INDIRECT(G$67&amp;"!"&amp;G$65&amp;ROW(G64))</f>
        <v>34</v>
      </c>
      <c r="I100">
        <f t="shared" ca="1" si="48"/>
        <v>4</v>
      </c>
      <c r="J100">
        <f t="shared" ca="1" si="43"/>
        <v>10</v>
      </c>
      <c r="K100">
        <f t="shared" ca="1" si="44"/>
        <v>0</v>
      </c>
      <c r="M100" cm="1">
        <f t="array" aca="1" ref="M100" ca="1">INDIRECT(M$67&amp;"!"&amp;M$65&amp;ROW(M60))</f>
        <v>11.5919039170003</v>
      </c>
      <c r="N100" cm="1">
        <f t="array" aca="1" ref="N100" ca="1">INDIRECT(N$67&amp;"!"&amp;N$65&amp;ROW(N64))</f>
        <v>139.15977481193801</v>
      </c>
      <c r="O100" cm="1">
        <f t="array" aca="1" ref="O100" ca="1">INDIRECT(O$67&amp;"!"&amp;O$65&amp;ROW(O64))</f>
        <v>135.976896548643</v>
      </c>
      <c r="Q100" cm="1">
        <f t="array" aca="1" ref="Q100" ca="1">INDIRECT(Q$67&amp;"!"&amp;Q$65&amp;ROW(Q60))</f>
        <v>1</v>
      </c>
      <c r="R100" cm="1">
        <f t="array" aca="1" ref="R100" ca="1">INDIRECT(R$67&amp;"!"&amp;R$65&amp;ROW(R64))</f>
        <v>1</v>
      </c>
      <c r="S100" cm="1">
        <f t="array" aca="1" ref="S100" ca="1">INDIRECT(S$67&amp;"!"&amp;S$65&amp;ROW(S64))</f>
        <v>4076</v>
      </c>
      <c r="U100" cm="1">
        <f t="array" aca="1" ref="U100" ca="1">INDIRECT(U$67&amp;"!"&amp;U$65&amp;ROW(U60))</f>
        <v>1</v>
      </c>
      <c r="V100" cm="1">
        <f t="array" aca="1" ref="V100" ca="1">INDIRECT(V$67&amp;"!"&amp;V$65&amp;ROW(V64))</f>
        <v>10000</v>
      </c>
      <c r="W100" cm="1">
        <f t="array" aca="1" ref="W100" ca="1">INDIRECT(W$67&amp;"!"&amp;W$65&amp;ROW(W64))</f>
        <v>10000</v>
      </c>
      <c r="Y100">
        <f t="shared" ca="1" si="49"/>
        <v>0</v>
      </c>
      <c r="Z100">
        <f t="shared" ca="1" si="45"/>
        <v>0</v>
      </c>
      <c r="AA100">
        <f t="shared" ca="1" si="45"/>
        <v>4076</v>
      </c>
      <c r="FB100" s="18"/>
      <c r="FC100" s="18"/>
      <c r="FD100" s="18"/>
      <c r="FE100" s="18"/>
      <c r="FF100" s="18"/>
      <c r="FG100" s="18"/>
      <c r="FH100" s="18"/>
      <c r="FI100" s="18"/>
      <c r="FJ100" s="18"/>
      <c r="FK100" s="18"/>
      <c r="FL100" s="18"/>
      <c r="FM100" s="18"/>
      <c r="FN100" s="18"/>
      <c r="FO100" s="18"/>
      <c r="FP100" s="18"/>
      <c r="FQ100" s="18"/>
      <c r="FW100" s="1"/>
      <c r="FX100" s="5"/>
    </row>
    <row r="101" spans="1:180" x14ac:dyDescent="0.2">
      <c r="A101" t="str">
        <f>QDistRnd_756_20251225!A61</f>
        <v>[[756,16,34]]</v>
      </c>
      <c r="B101">
        <f>QDistRnd_756_20251225!B61</f>
        <v>756</v>
      </c>
      <c r="C101">
        <v>34</v>
      </c>
      <c r="E101" cm="1">
        <f t="array" aca="1" ref="E101" ca="1">INDIRECT(E$67&amp;"!"&amp;E$65&amp;ROW(E61))</f>
        <v>38</v>
      </c>
      <c r="F101" cm="1">
        <f t="array" aca="1" ref="F101" ca="1">INDIRECT(F$67&amp;"!"&amp;F$65&amp;ROW(F65))</f>
        <v>44</v>
      </c>
      <c r="G101" cm="1">
        <f t="array" aca="1" ref="G101" ca="1">INDIRECT(G$67&amp;"!"&amp;G$65&amp;ROW(G65))</f>
        <v>34</v>
      </c>
      <c r="I101">
        <f t="shared" ca="1" si="48"/>
        <v>4</v>
      </c>
      <c r="J101">
        <f t="shared" ca="1" si="43"/>
        <v>10</v>
      </c>
      <c r="K101">
        <f t="shared" ca="1" si="44"/>
        <v>0</v>
      </c>
      <c r="M101" cm="1">
        <f t="array" aca="1" ref="M101" ca="1">INDIRECT(M$67&amp;"!"&amp;M$65&amp;ROW(M61))</f>
        <v>11.912714541998801</v>
      </c>
      <c r="N101" cm="1">
        <f t="array" aca="1" ref="N101" ca="1">INDIRECT(N$67&amp;"!"&amp;N$65&amp;ROW(N65))</f>
        <v>139.249769733287</v>
      </c>
      <c r="O101" cm="1">
        <f t="array" aca="1" ref="O101" ca="1">INDIRECT(O$67&amp;"!"&amp;O$65&amp;ROW(O65))</f>
        <v>135.23418503906501</v>
      </c>
      <c r="Q101" cm="1">
        <f t="array" aca="1" ref="Q101" ca="1">INDIRECT(Q$67&amp;"!"&amp;Q$65&amp;ROW(Q61))</f>
        <v>1</v>
      </c>
      <c r="R101" cm="1">
        <f t="array" aca="1" ref="R101" ca="1">INDIRECT(R$67&amp;"!"&amp;R$65&amp;ROW(R65))</f>
        <v>2</v>
      </c>
      <c r="S101" cm="1">
        <f t="array" aca="1" ref="S101" ca="1">INDIRECT(S$67&amp;"!"&amp;S$65&amp;ROW(S65))</f>
        <v>2936</v>
      </c>
      <c r="U101" cm="1">
        <f t="array" aca="1" ref="U101" ca="1">INDIRECT(U$67&amp;"!"&amp;U$65&amp;ROW(U61))</f>
        <v>1</v>
      </c>
      <c r="V101" cm="1">
        <f t="array" aca="1" ref="V101" ca="1">INDIRECT(V$67&amp;"!"&amp;V$65&amp;ROW(V65))</f>
        <v>10000</v>
      </c>
      <c r="W101" cm="1">
        <f t="array" aca="1" ref="W101" ca="1">INDIRECT(W$67&amp;"!"&amp;W$65&amp;ROW(W65))</f>
        <v>10000</v>
      </c>
      <c r="Y101">
        <f t="shared" ca="1" si="49"/>
        <v>0</v>
      </c>
      <c r="Z101">
        <f t="shared" ca="1" si="45"/>
        <v>0</v>
      </c>
      <c r="AA101">
        <f t="shared" ca="1" si="45"/>
        <v>2936</v>
      </c>
      <c r="FB101" s="18"/>
      <c r="FC101" s="18"/>
      <c r="FD101" s="18"/>
      <c r="FE101" s="18"/>
      <c r="FF101" s="18"/>
      <c r="FG101" s="18"/>
      <c r="FH101" s="18"/>
      <c r="FI101" s="18"/>
      <c r="FJ101" s="18"/>
      <c r="FK101" s="18"/>
      <c r="FL101" s="18"/>
      <c r="FM101" s="18"/>
      <c r="FN101" s="18"/>
      <c r="FO101" s="18"/>
      <c r="FP101" s="18"/>
      <c r="FQ101" s="18"/>
      <c r="FW101" s="1"/>
      <c r="FX101" s="5"/>
    </row>
    <row r="102" spans="1:180" x14ac:dyDescent="0.2">
      <c r="A102" t="str">
        <f>QDistRnd_756_20251225!A62</f>
        <v>[[756,16,34]]</v>
      </c>
      <c r="B102">
        <f>QDistRnd_756_20251225!B62</f>
        <v>756</v>
      </c>
      <c r="C102">
        <v>34</v>
      </c>
      <c r="E102" cm="1">
        <f t="array" aca="1" ref="E102" ca="1">INDIRECT(E$67&amp;"!"&amp;E$65&amp;ROW(E62))</f>
        <v>44</v>
      </c>
      <c r="F102" cm="1">
        <f t="array" aca="1" ref="F102" ca="1">INDIRECT(F$67&amp;"!"&amp;F$65&amp;ROW(F66))</f>
        <v>42</v>
      </c>
      <c r="G102" cm="1">
        <f t="array" aca="1" ref="G102" ca="1">INDIRECT(G$67&amp;"!"&amp;G$65&amp;ROW(G66))</f>
        <v>36</v>
      </c>
      <c r="I102">
        <f t="shared" ca="1" si="48"/>
        <v>10</v>
      </c>
      <c r="J102">
        <f t="shared" ca="1" si="43"/>
        <v>8</v>
      </c>
      <c r="K102">
        <f t="shared" ca="1" si="44"/>
        <v>2</v>
      </c>
      <c r="M102" cm="1">
        <f t="array" aca="1" ref="M102" ca="1">INDIRECT(M$67&amp;"!"&amp;M$65&amp;ROW(M62))</f>
        <v>11.617790874999599</v>
      </c>
      <c r="N102" cm="1">
        <f t="array" aca="1" ref="N102" ca="1">INDIRECT(N$67&amp;"!"&amp;N$65&amp;ROW(N66))</f>
        <v>139.250296531245</v>
      </c>
      <c r="O102" cm="1">
        <f t="array" aca="1" ref="O102" ca="1">INDIRECT(O$67&amp;"!"&amp;O$65&amp;ROW(O66))</f>
        <v>136.06292017176699</v>
      </c>
      <c r="Q102" cm="1">
        <f t="array" aca="1" ref="Q102" ca="1">INDIRECT(Q$67&amp;"!"&amp;Q$65&amp;ROW(Q62))</f>
        <v>1</v>
      </c>
      <c r="R102" cm="1">
        <f t="array" aca="1" ref="R102" ca="1">INDIRECT(R$67&amp;"!"&amp;R$65&amp;ROW(R66))</f>
        <v>1</v>
      </c>
      <c r="S102" cm="1">
        <f t="array" aca="1" ref="S102" ca="1">INDIRECT(S$67&amp;"!"&amp;S$65&amp;ROW(S66))</f>
        <v>3119</v>
      </c>
      <c r="U102" cm="1">
        <f t="array" aca="1" ref="U102" ca="1">INDIRECT(U$67&amp;"!"&amp;U$65&amp;ROW(U62))</f>
        <v>1</v>
      </c>
      <c r="V102" cm="1">
        <f t="array" aca="1" ref="V102" ca="1">INDIRECT(V$67&amp;"!"&amp;V$65&amp;ROW(V66))</f>
        <v>10000</v>
      </c>
      <c r="W102" cm="1">
        <f t="array" aca="1" ref="W102" ca="1">INDIRECT(W$67&amp;"!"&amp;W$65&amp;ROW(W66))</f>
        <v>10000</v>
      </c>
      <c r="Y102">
        <f t="shared" ca="1" si="49"/>
        <v>0</v>
      </c>
      <c r="Z102">
        <f t="shared" ca="1" si="45"/>
        <v>0</v>
      </c>
      <c r="AA102">
        <f t="shared" ca="1" si="45"/>
        <v>0</v>
      </c>
      <c r="FB102" s="18"/>
      <c r="FC102" s="18"/>
      <c r="FD102" s="18"/>
      <c r="FE102" s="18"/>
      <c r="FF102" s="18"/>
      <c r="FG102" s="18"/>
      <c r="FH102" s="18"/>
      <c r="FI102" s="18"/>
      <c r="FJ102" s="18"/>
      <c r="FK102" s="18"/>
      <c r="FL102" s="18"/>
      <c r="FM102" s="18"/>
      <c r="FN102" s="18"/>
      <c r="FO102" s="18"/>
      <c r="FP102" s="18"/>
      <c r="FQ102" s="18"/>
      <c r="FW102" s="1"/>
      <c r="FX102" s="5"/>
    </row>
    <row r="103" spans="1:180" x14ac:dyDescent="0.2">
      <c r="A103" t="str">
        <f>QDistRnd_756_20251225!A63</f>
        <v>[[756,16,34]]</v>
      </c>
      <c r="B103">
        <f>QDistRnd_756_20251225!B63</f>
        <v>756</v>
      </c>
      <c r="C103">
        <v>34</v>
      </c>
      <c r="E103" cm="1">
        <f t="array" aca="1" ref="E103" ca="1">INDIRECT(E$67&amp;"!"&amp;E$65&amp;ROW(E63))</f>
        <v>46</v>
      </c>
      <c r="F103" cm="1">
        <f t="array" aca="1" ref="F103" ca="1">INDIRECT(F$67&amp;"!"&amp;F$65&amp;ROW(F67))</f>
        <v>40</v>
      </c>
      <c r="G103" cm="1">
        <f t="array" aca="1" ref="G103" ca="1">INDIRECT(G$67&amp;"!"&amp;G$65&amp;ROW(G67))</f>
        <v>36</v>
      </c>
      <c r="I103">
        <f t="shared" ca="1" si="48"/>
        <v>12</v>
      </c>
      <c r="J103">
        <f t="shared" ca="1" si="43"/>
        <v>6</v>
      </c>
      <c r="K103">
        <f t="shared" ca="1" si="44"/>
        <v>2</v>
      </c>
      <c r="M103" cm="1">
        <f t="array" aca="1" ref="M103" ca="1">INDIRECT(M$67&amp;"!"&amp;M$65&amp;ROW(M63))</f>
        <v>11.757907541003</v>
      </c>
      <c r="N103" cm="1">
        <f t="array" aca="1" ref="N103" ca="1">INDIRECT(N$67&amp;"!"&amp;N$65&amp;ROW(N67))</f>
        <v>139.60368661861801</v>
      </c>
      <c r="O103" cm="1">
        <f t="array" aca="1" ref="O103" ca="1">INDIRECT(O$67&amp;"!"&amp;O$65&amp;ROW(O67))</f>
        <v>138.01321730576399</v>
      </c>
      <c r="Q103" cm="1">
        <f t="array" aca="1" ref="Q103" ca="1">INDIRECT(Q$67&amp;"!"&amp;Q$65&amp;ROW(Q63))</f>
        <v>1</v>
      </c>
      <c r="R103" cm="1">
        <f t="array" aca="1" ref="R103" ca="1">INDIRECT(R$67&amp;"!"&amp;R$65&amp;ROW(R67))</f>
        <v>1</v>
      </c>
      <c r="S103" cm="1">
        <f t="array" aca="1" ref="S103" ca="1">INDIRECT(S$67&amp;"!"&amp;S$65&amp;ROW(S67))</f>
        <v>4440</v>
      </c>
      <c r="U103" cm="1">
        <f t="array" aca="1" ref="U103" ca="1">INDIRECT(U$67&amp;"!"&amp;U$65&amp;ROW(U63))</f>
        <v>1</v>
      </c>
      <c r="V103" cm="1">
        <f t="array" aca="1" ref="V103" ca="1">INDIRECT(V$67&amp;"!"&amp;V$65&amp;ROW(V67))</f>
        <v>10000</v>
      </c>
      <c r="W103" cm="1">
        <f t="array" aca="1" ref="W103" ca="1">INDIRECT(W$67&amp;"!"&amp;W$65&amp;ROW(W67))</f>
        <v>10000</v>
      </c>
      <c r="Y103">
        <f t="shared" ca="1" si="49"/>
        <v>0</v>
      </c>
      <c r="Z103">
        <f t="shared" ca="1" si="45"/>
        <v>0</v>
      </c>
      <c r="AA103">
        <f t="shared" ca="1" si="45"/>
        <v>0</v>
      </c>
      <c r="FB103" s="18"/>
      <c r="FC103" s="18"/>
      <c r="FD103" s="18"/>
      <c r="FE103" s="18"/>
      <c r="FF103" s="18"/>
      <c r="FG103" s="18"/>
      <c r="FH103" s="18"/>
      <c r="FI103" s="18"/>
      <c r="FJ103" s="18"/>
      <c r="FK103" s="18"/>
      <c r="FL103" s="18"/>
      <c r="FM103" s="18"/>
      <c r="FN103" s="18"/>
      <c r="FO103" s="18"/>
      <c r="FP103" s="18"/>
      <c r="FQ103" s="18"/>
      <c r="FW103" s="1"/>
      <c r="FX103" s="5"/>
    </row>
    <row r="104" spans="1:180" x14ac:dyDescent="0.2">
      <c r="A104" t="str">
        <f>QDistRnd_756_20251225!A64</f>
        <v>[[756,16,34]]</v>
      </c>
      <c r="B104">
        <f>QDistRnd_756_20251225!B64</f>
        <v>756</v>
      </c>
      <c r="C104">
        <v>34</v>
      </c>
      <c r="E104" cm="1">
        <f t="array" aca="1" ref="E104" ca="1">INDIRECT(E$67&amp;"!"&amp;E$65&amp;ROW(E64))</f>
        <v>42</v>
      </c>
      <c r="F104" cm="1">
        <f t="array" aca="1" ref="F104" ca="1">INDIRECT(F$67&amp;"!"&amp;F$65&amp;ROW(F68))</f>
        <v>42</v>
      </c>
      <c r="G104" cm="1">
        <f t="array" aca="1" ref="G104" ca="1">INDIRECT(G$67&amp;"!"&amp;G$65&amp;ROW(G68))</f>
        <v>34</v>
      </c>
      <c r="I104">
        <f t="shared" ca="1" si="48"/>
        <v>8</v>
      </c>
      <c r="J104">
        <f t="shared" ca="1" si="43"/>
        <v>8</v>
      </c>
      <c r="K104">
        <f t="shared" ca="1" si="44"/>
        <v>0</v>
      </c>
      <c r="M104" cm="1">
        <f t="array" aca="1" ref="M104" ca="1">INDIRECT(M$67&amp;"!"&amp;M$65&amp;ROW(M64))</f>
        <v>11.969039249997801</v>
      </c>
      <c r="N104" cm="1">
        <f t="array" aca="1" ref="N104" ca="1">INDIRECT(N$67&amp;"!"&amp;N$65&amp;ROW(N68))</f>
        <v>138.94527742639099</v>
      </c>
      <c r="O104" cm="1">
        <f t="array" aca="1" ref="O104" ca="1">INDIRECT(O$67&amp;"!"&amp;O$65&amp;ROW(O68))</f>
        <v>137.73357213195399</v>
      </c>
      <c r="Q104" cm="1">
        <f t="array" aca="1" ref="Q104" ca="1">INDIRECT(Q$67&amp;"!"&amp;Q$65&amp;ROW(Q64))</f>
        <v>1</v>
      </c>
      <c r="R104" cm="1">
        <f t="array" aca="1" ref="R104" ca="1">INDIRECT(R$67&amp;"!"&amp;R$65&amp;ROW(R68))</f>
        <v>1</v>
      </c>
      <c r="S104" cm="1">
        <f t="array" aca="1" ref="S104" ca="1">INDIRECT(S$67&amp;"!"&amp;S$65&amp;ROW(S68))</f>
        <v>3033</v>
      </c>
      <c r="U104" cm="1">
        <f t="array" aca="1" ref="U104" ca="1">INDIRECT(U$67&amp;"!"&amp;U$65&amp;ROW(U64))</f>
        <v>1</v>
      </c>
      <c r="V104" cm="1">
        <f t="array" aca="1" ref="V104" ca="1">INDIRECT(V$67&amp;"!"&amp;V$65&amp;ROW(V68))</f>
        <v>10000</v>
      </c>
      <c r="W104" cm="1">
        <f t="array" aca="1" ref="W104" ca="1">INDIRECT(W$67&amp;"!"&amp;W$65&amp;ROW(W68))</f>
        <v>10000</v>
      </c>
      <c r="Y104">
        <f t="shared" ca="1" si="49"/>
        <v>0</v>
      </c>
      <c r="Z104">
        <f t="shared" ca="1" si="45"/>
        <v>0</v>
      </c>
      <c r="AA104">
        <f t="shared" ca="1" si="45"/>
        <v>3033</v>
      </c>
      <c r="FB104" s="18"/>
      <c r="FC104" s="18"/>
      <c r="FD104" s="18"/>
      <c r="FE104" s="18"/>
      <c r="FF104" s="18"/>
      <c r="FG104" s="18"/>
      <c r="FH104" s="18"/>
      <c r="FI104" s="18"/>
      <c r="FJ104" s="18"/>
      <c r="FK104" s="18"/>
      <c r="FL104" s="18"/>
      <c r="FM104" s="18"/>
      <c r="FN104" s="18"/>
      <c r="FO104" s="18"/>
      <c r="FP104" s="18"/>
      <c r="FQ104" s="18"/>
      <c r="FW104" s="1"/>
      <c r="FX104" s="5"/>
    </row>
    <row r="105" spans="1:180" x14ac:dyDescent="0.2">
      <c r="A105" t="str">
        <f>QDistRnd_756_20251225!A65</f>
        <v>[[756,16,34]]</v>
      </c>
      <c r="B105">
        <f>QDistRnd_756_20251225!B65</f>
        <v>756</v>
      </c>
      <c r="C105">
        <v>34</v>
      </c>
      <c r="E105" cm="1">
        <f t="array" aca="1" ref="E105" ca="1">INDIRECT(E$67&amp;"!"&amp;E$65&amp;ROW(E65))</f>
        <v>40</v>
      </c>
      <c r="F105" cm="1">
        <f t="array" aca="1" ref="F105" ca="1">INDIRECT(F$67&amp;"!"&amp;F$65&amp;ROW(F69))</f>
        <v>42</v>
      </c>
      <c r="G105" cm="1">
        <f t="array" aca="1" ref="G105" ca="1">INDIRECT(G$67&amp;"!"&amp;G$65&amp;ROW(G69))</f>
        <v>36</v>
      </c>
      <c r="I105">
        <f t="shared" ca="1" si="48"/>
        <v>6</v>
      </c>
      <c r="J105">
        <f t="shared" ca="1" si="43"/>
        <v>8</v>
      </c>
      <c r="K105">
        <f t="shared" ca="1" si="44"/>
        <v>2</v>
      </c>
      <c r="M105" cm="1">
        <f t="array" aca="1" ref="M105" ca="1">INDIRECT(M$67&amp;"!"&amp;M$65&amp;ROW(M65))</f>
        <v>11.689215459002201</v>
      </c>
      <c r="N105" cm="1">
        <f t="array" aca="1" ref="N105" ca="1">INDIRECT(N$67&amp;"!"&amp;N$65&amp;ROW(N69))</f>
        <v>138.74226746521799</v>
      </c>
      <c r="O105" cm="1">
        <f t="array" aca="1" ref="O105" ca="1">INDIRECT(O$67&amp;"!"&amp;O$65&amp;ROW(O69))</f>
        <v>134.61872846074399</v>
      </c>
      <c r="Q105" cm="1">
        <f t="array" aca="1" ref="Q105" ca="1">INDIRECT(Q$67&amp;"!"&amp;Q$65&amp;ROW(Q65))</f>
        <v>1</v>
      </c>
      <c r="R105" cm="1">
        <f t="array" aca="1" ref="R105" ca="1">INDIRECT(R$67&amp;"!"&amp;R$65&amp;ROW(R69))</f>
        <v>2</v>
      </c>
      <c r="S105" cm="1">
        <f t="array" aca="1" ref="S105" ca="1">INDIRECT(S$67&amp;"!"&amp;S$65&amp;ROW(S69))</f>
        <v>3205</v>
      </c>
      <c r="U105" cm="1">
        <f t="array" aca="1" ref="U105" ca="1">INDIRECT(U$67&amp;"!"&amp;U$65&amp;ROW(U65))</f>
        <v>1</v>
      </c>
      <c r="V105" cm="1">
        <f t="array" aca="1" ref="V105" ca="1">INDIRECT(V$67&amp;"!"&amp;V$65&amp;ROW(V69))</f>
        <v>10000</v>
      </c>
      <c r="W105" cm="1">
        <f t="array" aca="1" ref="W105" ca="1">INDIRECT(W$67&amp;"!"&amp;W$65&amp;ROW(W69))</f>
        <v>10000</v>
      </c>
      <c r="Y105">
        <f t="shared" ca="1" si="49"/>
        <v>0</v>
      </c>
      <c r="Z105">
        <f t="shared" ca="1" si="45"/>
        <v>0</v>
      </c>
      <c r="AA105">
        <f t="shared" ca="1" si="45"/>
        <v>0</v>
      </c>
      <c r="FB105" s="18"/>
      <c r="FC105" s="18"/>
      <c r="FD105" s="18"/>
      <c r="FE105" s="18"/>
      <c r="FF105" s="18"/>
      <c r="FG105" s="18"/>
      <c r="FH105" s="18"/>
      <c r="FI105" s="18"/>
      <c r="FJ105" s="18"/>
      <c r="FK105" s="18"/>
      <c r="FL105" s="18"/>
      <c r="FM105" s="18"/>
      <c r="FN105" s="18"/>
      <c r="FO105" s="18"/>
      <c r="FP105" s="18"/>
      <c r="FQ105" s="18"/>
      <c r="FW105" s="1"/>
      <c r="FX105" s="5"/>
    </row>
    <row r="106" spans="1:180" x14ac:dyDescent="0.2">
      <c r="A106" t="str">
        <f>QDistRnd_756_20251225!A66</f>
        <v>[[756,16,34]]</v>
      </c>
      <c r="B106">
        <f>QDistRnd_756_20251225!B66</f>
        <v>756</v>
      </c>
      <c r="C106">
        <v>34</v>
      </c>
      <c r="E106" cm="1">
        <f t="array" aca="1" ref="E106" ca="1">INDIRECT(E$67&amp;"!"&amp;E$65&amp;ROW(E66))</f>
        <v>40</v>
      </c>
      <c r="F106" cm="1">
        <f t="array" aca="1" ref="F106" ca="1">INDIRECT(F$67&amp;"!"&amp;F$65&amp;ROW(F70))</f>
        <v>44</v>
      </c>
      <c r="G106" cm="1">
        <f t="array" aca="1" ref="G106" ca="1">INDIRECT(G$67&amp;"!"&amp;G$65&amp;ROW(G70))</f>
        <v>34</v>
      </c>
      <c r="I106">
        <f t="shared" ca="1" si="48"/>
        <v>6</v>
      </c>
      <c r="J106">
        <f t="shared" ca="1" si="43"/>
        <v>10</v>
      </c>
      <c r="K106">
        <f t="shared" ca="1" si="44"/>
        <v>0</v>
      </c>
      <c r="M106" cm="1">
        <f t="array" aca="1" ref="M106" ca="1">INDIRECT(M$67&amp;"!"&amp;M$65&amp;ROW(M66))</f>
        <v>11.577902582997901</v>
      </c>
      <c r="N106" cm="1">
        <f t="array" aca="1" ref="N106" ca="1">INDIRECT(N$67&amp;"!"&amp;N$65&amp;ROW(N70))</f>
        <v>138.38264263328099</v>
      </c>
      <c r="O106" cm="1">
        <f t="array" aca="1" ref="O106" ca="1">INDIRECT(O$67&amp;"!"&amp;O$65&amp;ROW(O70))</f>
        <v>138.05368097685201</v>
      </c>
      <c r="Q106" cm="1">
        <f t="array" aca="1" ref="Q106" ca="1">INDIRECT(Q$67&amp;"!"&amp;Q$65&amp;ROW(Q66))</f>
        <v>1</v>
      </c>
      <c r="R106" cm="1">
        <f t="array" aca="1" ref="R106" ca="1">INDIRECT(R$67&amp;"!"&amp;R$65&amp;ROW(R70))</f>
        <v>1</v>
      </c>
      <c r="S106" cm="1">
        <f t="array" aca="1" ref="S106" ca="1">INDIRECT(S$67&amp;"!"&amp;S$65&amp;ROW(S70))</f>
        <v>3401</v>
      </c>
      <c r="U106" cm="1">
        <f t="array" aca="1" ref="U106" ca="1">INDIRECT(U$67&amp;"!"&amp;U$65&amp;ROW(U66))</f>
        <v>1</v>
      </c>
      <c r="V106" cm="1">
        <f t="array" aca="1" ref="V106" ca="1">INDIRECT(V$67&amp;"!"&amp;V$65&amp;ROW(V70))</f>
        <v>10000</v>
      </c>
      <c r="W106" cm="1">
        <f t="array" aca="1" ref="W106" ca="1">INDIRECT(W$67&amp;"!"&amp;W$65&amp;ROW(W70))</f>
        <v>10000</v>
      </c>
      <c r="Y106">
        <f t="shared" ca="1" si="49"/>
        <v>0</v>
      </c>
      <c r="Z106">
        <f t="shared" ca="1" si="45"/>
        <v>0</v>
      </c>
      <c r="AA106">
        <f t="shared" ca="1" si="45"/>
        <v>3401</v>
      </c>
      <c r="FB106" s="18"/>
      <c r="FC106" s="18"/>
      <c r="FD106" s="18"/>
      <c r="FE106" s="18"/>
      <c r="FF106" s="18"/>
      <c r="FG106" s="18"/>
      <c r="FH106" s="18"/>
      <c r="FI106" s="18"/>
      <c r="FJ106" s="18"/>
      <c r="FK106" s="18"/>
      <c r="FL106" s="18"/>
      <c r="FM106" s="18"/>
      <c r="FN106" s="18"/>
      <c r="FO106" s="18"/>
      <c r="FP106" s="18"/>
      <c r="FQ106" s="18"/>
      <c r="FW106" s="1"/>
      <c r="FX106" s="5"/>
    </row>
    <row r="107" spans="1:180" x14ac:dyDescent="0.2">
      <c r="A107" t="str">
        <f>QDistRnd_756_20251225!A67</f>
        <v>[[756,16,34]]</v>
      </c>
      <c r="B107">
        <f>QDistRnd_756_20251225!B67</f>
        <v>756</v>
      </c>
      <c r="C107">
        <v>34</v>
      </c>
      <c r="E107" cm="1">
        <f t="array" aca="1" ref="E107" ca="1">INDIRECT(E$67&amp;"!"&amp;E$65&amp;ROW(E67))</f>
        <v>44</v>
      </c>
      <c r="F107" cm="1">
        <f t="array" aca="1" ref="F107" ca="1">INDIRECT(F$67&amp;"!"&amp;F$65&amp;ROW(F71))</f>
        <v>42</v>
      </c>
      <c r="G107" cm="1">
        <f t="array" aca="1" ref="G107" ca="1">INDIRECT(G$67&amp;"!"&amp;G$65&amp;ROW(G71))</f>
        <v>34</v>
      </c>
      <c r="I107">
        <f t="shared" ca="1" si="48"/>
        <v>10</v>
      </c>
      <c r="J107">
        <f t="shared" ca="1" si="43"/>
        <v>8</v>
      </c>
      <c r="K107">
        <f t="shared" ca="1" si="44"/>
        <v>0</v>
      </c>
      <c r="M107" cm="1">
        <f t="array" aca="1" ref="M107" ca="1">INDIRECT(M$67&amp;"!"&amp;M$65&amp;ROW(M67))</f>
        <v>11.635158000000899</v>
      </c>
      <c r="N107" cm="1">
        <f t="array" aca="1" ref="N107" ca="1">INDIRECT(N$67&amp;"!"&amp;N$65&amp;ROW(N71))</f>
        <v>138.44007480517001</v>
      </c>
      <c r="O107" cm="1">
        <f t="array" aca="1" ref="O107" ca="1">INDIRECT(O$67&amp;"!"&amp;O$65&amp;ROW(O71))</f>
        <v>134.561104423366</v>
      </c>
      <c r="Q107" cm="1">
        <f t="array" aca="1" ref="Q107" ca="1">INDIRECT(Q$67&amp;"!"&amp;Q$65&amp;ROW(Q67))</f>
        <v>1</v>
      </c>
      <c r="R107" cm="1">
        <f t="array" aca="1" ref="R107" ca="1">INDIRECT(R$67&amp;"!"&amp;R$65&amp;ROW(R71))</f>
        <v>1</v>
      </c>
      <c r="S107" cm="1">
        <f t="array" aca="1" ref="S107" ca="1">INDIRECT(S$67&amp;"!"&amp;S$65&amp;ROW(S71))</f>
        <v>2715</v>
      </c>
      <c r="U107" cm="1">
        <f t="array" aca="1" ref="U107" ca="1">INDIRECT(U$67&amp;"!"&amp;U$65&amp;ROW(U67))</f>
        <v>1</v>
      </c>
      <c r="V107" cm="1">
        <f t="array" aca="1" ref="V107" ca="1">INDIRECT(V$67&amp;"!"&amp;V$65&amp;ROW(V71))</f>
        <v>10000</v>
      </c>
      <c r="W107" cm="1">
        <f t="array" aca="1" ref="W107" ca="1">INDIRECT(W$67&amp;"!"&amp;W$65&amp;ROW(W71))</f>
        <v>10000</v>
      </c>
      <c r="Y107">
        <f t="shared" ca="1" si="49"/>
        <v>0</v>
      </c>
      <c r="Z107">
        <f t="shared" ca="1" si="45"/>
        <v>0</v>
      </c>
      <c r="AA107">
        <f t="shared" ca="1" si="45"/>
        <v>2715</v>
      </c>
      <c r="FB107" s="18"/>
      <c r="FC107" s="18"/>
      <c r="FD107" s="18"/>
      <c r="FE107" s="18"/>
      <c r="FF107" s="18"/>
      <c r="FG107" s="18"/>
      <c r="FH107" s="18"/>
      <c r="FI107" s="18"/>
      <c r="FJ107" s="18"/>
      <c r="FK107" s="18"/>
      <c r="FL107" s="18"/>
      <c r="FM107" s="18"/>
      <c r="FN107" s="18"/>
      <c r="FO107" s="18"/>
      <c r="FP107" s="18"/>
      <c r="FQ107" s="18"/>
      <c r="FW107" s="1"/>
      <c r="FX107" s="5"/>
    </row>
    <row r="108" spans="1:180" x14ac:dyDescent="0.2">
      <c r="A108" t="str">
        <f>QDistRnd_756_20251225!A68</f>
        <v>[[756,16,34]]</v>
      </c>
      <c r="B108">
        <f>QDistRnd_756_20251225!B68</f>
        <v>756</v>
      </c>
      <c r="C108">
        <v>34</v>
      </c>
      <c r="E108" cm="1">
        <f t="array" aca="1" ref="E108" ca="1">INDIRECT(E$67&amp;"!"&amp;E$65&amp;ROW(E68))</f>
        <v>42</v>
      </c>
      <c r="F108" cm="1">
        <f t="array" aca="1" ref="F108" ca="1">INDIRECT(F$67&amp;"!"&amp;F$65&amp;ROW(F72))</f>
        <v>44</v>
      </c>
      <c r="G108" cm="1">
        <f t="array" aca="1" ref="G108" ca="1">INDIRECT(G$67&amp;"!"&amp;G$65&amp;ROW(G72))</f>
        <v>34</v>
      </c>
      <c r="I108">
        <f t="shared" ca="1" si="48"/>
        <v>8</v>
      </c>
      <c r="J108">
        <f t="shared" ca="1" si="43"/>
        <v>10</v>
      </c>
      <c r="K108">
        <f t="shared" ca="1" si="44"/>
        <v>0</v>
      </c>
      <c r="M108" cm="1">
        <f t="array" aca="1" ref="M108" ca="1">INDIRECT(M$67&amp;"!"&amp;M$65&amp;ROW(M68))</f>
        <v>11.8318129170002</v>
      </c>
      <c r="N108" cm="1">
        <f t="array" aca="1" ref="N108" ca="1">INDIRECT(N$67&amp;"!"&amp;N$65&amp;ROW(N72))</f>
        <v>138.461306819692</v>
      </c>
      <c r="O108" cm="1">
        <f t="array" aca="1" ref="O108" ca="1">INDIRECT(O$67&amp;"!"&amp;O$65&amp;ROW(O72))</f>
        <v>138.88381825387401</v>
      </c>
      <c r="Q108" cm="1">
        <f t="array" aca="1" ref="Q108" ca="1">INDIRECT(Q$67&amp;"!"&amp;Q$65&amp;ROW(Q68))</f>
        <v>1</v>
      </c>
      <c r="R108" cm="1">
        <f t="array" aca="1" ref="R108" ca="1">INDIRECT(R$67&amp;"!"&amp;R$65&amp;ROW(R72))</f>
        <v>1</v>
      </c>
      <c r="S108" cm="1">
        <f t="array" aca="1" ref="S108" ca="1">INDIRECT(S$67&amp;"!"&amp;S$65&amp;ROW(S72))</f>
        <v>4723</v>
      </c>
      <c r="U108" cm="1">
        <f t="array" aca="1" ref="U108" ca="1">INDIRECT(U$67&amp;"!"&amp;U$65&amp;ROW(U68))</f>
        <v>1</v>
      </c>
      <c r="V108" cm="1">
        <f t="array" aca="1" ref="V108" ca="1">INDIRECT(V$67&amp;"!"&amp;V$65&amp;ROW(V72))</f>
        <v>10000</v>
      </c>
      <c r="W108" cm="1">
        <f t="array" aca="1" ref="W108" ca="1">INDIRECT(W$67&amp;"!"&amp;W$65&amp;ROW(W72))</f>
        <v>10000</v>
      </c>
      <c r="Y108">
        <f t="shared" ca="1" si="49"/>
        <v>0</v>
      </c>
      <c r="Z108">
        <f t="shared" ca="1" si="45"/>
        <v>0</v>
      </c>
      <c r="AA108">
        <f t="shared" ca="1" si="45"/>
        <v>4723</v>
      </c>
      <c r="FB108" s="18"/>
      <c r="FC108" s="18"/>
      <c r="FD108" s="18"/>
      <c r="FE108" s="18"/>
      <c r="FF108" s="18"/>
      <c r="FG108" s="18"/>
      <c r="FH108" s="18"/>
      <c r="FI108" s="18"/>
      <c r="FJ108" s="18"/>
      <c r="FK108" s="18"/>
      <c r="FL108" s="18"/>
      <c r="FM108" s="18"/>
      <c r="FN108" s="18"/>
      <c r="FO108" s="18"/>
      <c r="FP108" s="18"/>
      <c r="FQ108" s="18"/>
      <c r="FW108" s="1"/>
      <c r="FX108" s="5"/>
    </row>
    <row r="109" spans="1:180" x14ac:dyDescent="0.2">
      <c r="A109" t="str">
        <f>QDistRnd_756_20251225!A69</f>
        <v>[[756,16,34]]</v>
      </c>
      <c r="B109">
        <f>QDistRnd_756_20251225!B69</f>
        <v>756</v>
      </c>
      <c r="C109">
        <v>34</v>
      </c>
      <c r="E109" cm="1">
        <f t="array" aca="1" ref="E109" ca="1">INDIRECT(E$67&amp;"!"&amp;E$65&amp;ROW(E69))</f>
        <v>46</v>
      </c>
      <c r="F109" cm="1">
        <f t="array" aca="1" ref="F109" ca="1">INDIRECT(F$67&amp;"!"&amp;F$65&amp;ROW(F73))</f>
        <v>40</v>
      </c>
      <c r="G109" cm="1">
        <f t="array" aca="1" ref="G109" ca="1">INDIRECT(G$67&amp;"!"&amp;G$65&amp;ROW(G73))</f>
        <v>36</v>
      </c>
      <c r="I109">
        <f t="shared" ca="1" si="48"/>
        <v>12</v>
      </c>
      <c r="J109">
        <f t="shared" ca="1" si="43"/>
        <v>6</v>
      </c>
      <c r="K109">
        <f t="shared" ca="1" si="44"/>
        <v>2</v>
      </c>
      <c r="M109" cm="1">
        <f t="array" aca="1" ref="M109" ca="1">INDIRECT(M$67&amp;"!"&amp;M$65&amp;ROW(M69))</f>
        <v>11.8245022499977</v>
      </c>
      <c r="N109" cm="1">
        <f t="array" aca="1" ref="N109" ca="1">INDIRECT(N$67&amp;"!"&amp;N$65&amp;ROW(N73))</f>
        <v>138.502493045292</v>
      </c>
      <c r="O109" cm="1">
        <f t="array" aca="1" ref="O109" ca="1">INDIRECT(O$67&amp;"!"&amp;O$65&amp;ROW(O73))</f>
        <v>133.56139427516601</v>
      </c>
      <c r="Q109" cm="1">
        <f t="array" aca="1" ref="Q109" ca="1">INDIRECT(Q$67&amp;"!"&amp;Q$65&amp;ROW(Q69))</f>
        <v>1</v>
      </c>
      <c r="R109" cm="1">
        <f t="array" aca="1" ref="R109" ca="1">INDIRECT(R$67&amp;"!"&amp;R$65&amp;ROW(R73))</f>
        <v>1</v>
      </c>
      <c r="S109" cm="1">
        <f t="array" aca="1" ref="S109" ca="1">INDIRECT(S$67&amp;"!"&amp;S$65&amp;ROW(S73))</f>
        <v>1168</v>
      </c>
      <c r="U109" cm="1">
        <f t="array" aca="1" ref="U109" ca="1">INDIRECT(U$67&amp;"!"&amp;U$65&amp;ROW(U69))</f>
        <v>1</v>
      </c>
      <c r="V109" cm="1">
        <f t="array" aca="1" ref="V109" ca="1">INDIRECT(V$67&amp;"!"&amp;V$65&amp;ROW(V73))</f>
        <v>10000</v>
      </c>
      <c r="W109" cm="1">
        <f t="array" aca="1" ref="W109" ca="1">INDIRECT(W$67&amp;"!"&amp;W$65&amp;ROW(W73))</f>
        <v>10000</v>
      </c>
      <c r="Y109">
        <f t="shared" ca="1" si="49"/>
        <v>0</v>
      </c>
      <c r="Z109">
        <f t="shared" ca="1" si="45"/>
        <v>0</v>
      </c>
      <c r="AA109">
        <f t="shared" ca="1" si="45"/>
        <v>0</v>
      </c>
      <c r="FB109" s="18"/>
      <c r="FC109" s="18"/>
      <c r="FD109" s="18"/>
      <c r="FE109" s="18"/>
      <c r="FF109" s="18"/>
      <c r="FG109" s="18"/>
      <c r="FH109" s="18"/>
      <c r="FI109" s="18"/>
      <c r="FJ109" s="18"/>
      <c r="FK109" s="18"/>
      <c r="FL109" s="18"/>
      <c r="FM109" s="18"/>
      <c r="FN109" s="18"/>
      <c r="FO109" s="18"/>
      <c r="FP109" s="18"/>
      <c r="FQ109" s="18"/>
      <c r="FW109" s="1"/>
      <c r="FX109" s="5"/>
    </row>
    <row r="110" spans="1:180" x14ac:dyDescent="0.2">
      <c r="A110" t="str">
        <f>QDistRnd_756_20251225!A70</f>
        <v>[[756,16,34]]</v>
      </c>
      <c r="B110">
        <f>QDistRnd_756_20251225!B70</f>
        <v>756</v>
      </c>
      <c r="C110">
        <v>34</v>
      </c>
      <c r="E110" cm="1">
        <f t="array" aca="1" ref="E110" ca="1">INDIRECT(E$67&amp;"!"&amp;E$65&amp;ROW(E70))</f>
        <v>36</v>
      </c>
      <c r="F110" cm="1">
        <f t="array" aca="1" ref="F110" ca="1">INDIRECT(F$67&amp;"!"&amp;F$65&amp;ROW(F74))</f>
        <v>42</v>
      </c>
      <c r="G110" cm="1">
        <f t="array" aca="1" ref="G110" ca="1">INDIRECT(G$67&amp;"!"&amp;G$65&amp;ROW(G74))</f>
        <v>34</v>
      </c>
      <c r="I110">
        <f t="shared" ca="1" si="48"/>
        <v>2</v>
      </c>
      <c r="J110">
        <f t="shared" ca="1" si="43"/>
        <v>8</v>
      </c>
      <c r="K110">
        <f t="shared" ca="1" si="44"/>
        <v>0</v>
      </c>
      <c r="M110" cm="1">
        <f t="array" aca="1" ref="M110" ca="1">INDIRECT(M$67&amp;"!"&amp;M$65&amp;ROW(M70))</f>
        <v>11.571189333000801</v>
      </c>
      <c r="N110" cm="1">
        <f t="array" aca="1" ref="N110" ca="1">INDIRECT(N$67&amp;"!"&amp;N$65&amp;ROW(N74))</f>
        <v>138.53183433786</v>
      </c>
      <c r="O110" cm="1">
        <f t="array" aca="1" ref="O110" ca="1">INDIRECT(O$67&amp;"!"&amp;O$65&amp;ROW(O74))</f>
        <v>132.28987790085301</v>
      </c>
      <c r="Q110" cm="1">
        <f t="array" aca="1" ref="Q110" ca="1">INDIRECT(Q$67&amp;"!"&amp;Q$65&amp;ROW(Q70))</f>
        <v>1</v>
      </c>
      <c r="R110" cm="1">
        <f t="array" aca="1" ref="R110" ca="1">INDIRECT(R$67&amp;"!"&amp;R$65&amp;ROW(R74))</f>
        <v>3</v>
      </c>
      <c r="S110" cm="1">
        <f t="array" aca="1" ref="S110" ca="1">INDIRECT(S$67&amp;"!"&amp;S$65&amp;ROW(S74))</f>
        <v>177</v>
      </c>
      <c r="U110" cm="1">
        <f t="array" aca="1" ref="U110" ca="1">INDIRECT(U$67&amp;"!"&amp;U$65&amp;ROW(U70))</f>
        <v>1</v>
      </c>
      <c r="V110" cm="1">
        <f t="array" aca="1" ref="V110" ca="1">INDIRECT(V$67&amp;"!"&amp;V$65&amp;ROW(V74))</f>
        <v>10000</v>
      </c>
      <c r="W110" cm="1">
        <f t="array" aca="1" ref="W110" ca="1">INDIRECT(W$67&amp;"!"&amp;W$65&amp;ROW(W74))</f>
        <v>10000</v>
      </c>
      <c r="Y110">
        <f t="shared" ca="1" si="49"/>
        <v>0</v>
      </c>
      <c r="Z110">
        <f t="shared" ca="1" si="45"/>
        <v>0</v>
      </c>
      <c r="AA110">
        <f t="shared" ca="1" si="45"/>
        <v>177</v>
      </c>
      <c r="FB110" s="18"/>
      <c r="FC110" s="18"/>
      <c r="FD110" s="18"/>
      <c r="FE110" s="18"/>
      <c r="FF110" s="18"/>
      <c r="FG110" s="18"/>
      <c r="FH110" s="18"/>
      <c r="FI110" s="18"/>
      <c r="FJ110" s="18"/>
      <c r="FK110" s="18"/>
      <c r="FL110" s="18"/>
      <c r="FM110" s="18"/>
      <c r="FN110" s="18"/>
      <c r="FO110" s="18"/>
      <c r="FP110" s="18"/>
      <c r="FQ110" s="18"/>
      <c r="FW110" s="1"/>
      <c r="FX110" s="5"/>
    </row>
    <row r="111" spans="1:180" x14ac:dyDescent="0.2">
      <c r="A111" t="str">
        <f>QDistRnd_756_20251225!A71</f>
        <v>[[756,16,34]]</v>
      </c>
      <c r="B111">
        <f>QDistRnd_756_20251225!B71</f>
        <v>756</v>
      </c>
      <c r="C111">
        <v>34</v>
      </c>
      <c r="E111" cm="1">
        <f t="array" aca="1" ref="E111" ca="1">INDIRECT(E$67&amp;"!"&amp;E$65&amp;ROW(E71))</f>
        <v>40</v>
      </c>
      <c r="F111" cm="1">
        <f t="array" aca="1" ref="F111" ca="1">INDIRECT(F$67&amp;"!"&amp;F$65&amp;ROW(F75))</f>
        <v>38</v>
      </c>
      <c r="G111" cm="1">
        <f t="array" aca="1" ref="G111" ca="1">INDIRECT(G$67&amp;"!"&amp;G$65&amp;ROW(G75))</f>
        <v>36</v>
      </c>
      <c r="I111">
        <f t="shared" ca="1" si="48"/>
        <v>6</v>
      </c>
      <c r="J111">
        <f t="shared" ca="1" si="43"/>
        <v>4</v>
      </c>
      <c r="K111">
        <f t="shared" ca="1" si="44"/>
        <v>2</v>
      </c>
      <c r="M111" cm="1">
        <f t="array" aca="1" ref="M111" ca="1">INDIRECT(M$67&amp;"!"&amp;M$65&amp;ROW(M71))</f>
        <v>11.8881383330008</v>
      </c>
      <c r="N111" cm="1">
        <f t="array" aca="1" ref="N111" ca="1">INDIRECT(N$67&amp;"!"&amp;N$65&amp;ROW(N75))</f>
        <v>138.39939578436301</v>
      </c>
      <c r="O111" cm="1">
        <f t="array" aca="1" ref="O111" ca="1">INDIRECT(O$67&amp;"!"&amp;O$65&amp;ROW(O75))</f>
        <v>134.697469945997</v>
      </c>
      <c r="Q111" cm="1">
        <f t="array" aca="1" ref="Q111" ca="1">INDIRECT(Q$67&amp;"!"&amp;Q$65&amp;ROW(Q71))</f>
        <v>1</v>
      </c>
      <c r="R111" cm="1">
        <f t="array" aca="1" ref="R111" ca="1">INDIRECT(R$67&amp;"!"&amp;R$65&amp;ROW(R75))</f>
        <v>1</v>
      </c>
      <c r="S111" cm="1">
        <f t="array" aca="1" ref="S111" ca="1">INDIRECT(S$67&amp;"!"&amp;S$65&amp;ROW(S75))</f>
        <v>2632</v>
      </c>
      <c r="U111" cm="1">
        <f t="array" aca="1" ref="U111" ca="1">INDIRECT(U$67&amp;"!"&amp;U$65&amp;ROW(U71))</f>
        <v>1</v>
      </c>
      <c r="V111" cm="1">
        <f t="array" aca="1" ref="V111" ca="1">INDIRECT(V$67&amp;"!"&amp;V$65&amp;ROW(V75))</f>
        <v>10000</v>
      </c>
      <c r="W111" cm="1">
        <f t="array" aca="1" ref="W111" ca="1">INDIRECT(W$67&amp;"!"&amp;W$65&amp;ROW(W75))</f>
        <v>10000</v>
      </c>
      <c r="Y111">
        <f t="shared" ca="1" si="49"/>
        <v>0</v>
      </c>
      <c r="Z111">
        <f t="shared" ca="1" si="45"/>
        <v>0</v>
      </c>
      <c r="AA111">
        <f t="shared" ca="1" si="45"/>
        <v>0</v>
      </c>
      <c r="FB111" s="18"/>
      <c r="FC111" s="18"/>
      <c r="FD111" s="18"/>
      <c r="FE111" s="18"/>
      <c r="FF111" s="18"/>
      <c r="FG111" s="18"/>
      <c r="FH111" s="18"/>
      <c r="FI111" s="18"/>
      <c r="FJ111" s="18"/>
      <c r="FK111" s="18"/>
      <c r="FL111" s="18"/>
      <c r="FM111" s="18"/>
      <c r="FN111" s="18"/>
      <c r="FO111" s="18"/>
      <c r="FP111" s="18"/>
      <c r="FQ111" s="18"/>
      <c r="FW111" s="1"/>
      <c r="FX111" s="5"/>
    </row>
    <row r="112" spans="1:180" x14ac:dyDescent="0.2">
      <c r="A112" t="str">
        <f>QDistRnd_756_20251225!A72</f>
        <v>[[756,16,34]]</v>
      </c>
      <c r="B112">
        <f>QDistRnd_756_20251225!B72</f>
        <v>756</v>
      </c>
      <c r="C112">
        <v>34</v>
      </c>
      <c r="E112" cm="1">
        <f t="array" aca="1" ref="E112" ca="1">INDIRECT(E$67&amp;"!"&amp;E$65&amp;ROW(E72))</f>
        <v>44</v>
      </c>
      <c r="F112" cm="1">
        <f t="array" aca="1" ref="F112" ca="1">INDIRECT(F$67&amp;"!"&amp;F$65&amp;ROW(F76))</f>
        <v>46</v>
      </c>
      <c r="G112" cm="1">
        <f t="array" aca="1" ref="G112" ca="1">INDIRECT(G$67&amp;"!"&amp;G$65&amp;ROW(G76))</f>
        <v>36</v>
      </c>
      <c r="I112">
        <f t="shared" ca="1" si="48"/>
        <v>10</v>
      </c>
      <c r="J112">
        <f t="shared" ca="1" si="43"/>
        <v>12</v>
      </c>
      <c r="K112">
        <f t="shared" ca="1" si="44"/>
        <v>2</v>
      </c>
      <c r="M112" cm="1">
        <f t="array" aca="1" ref="M112" ca="1">INDIRECT(M$67&amp;"!"&amp;M$65&amp;ROW(M72))</f>
        <v>11.580556666998699</v>
      </c>
      <c r="N112" cm="1">
        <f t="array" aca="1" ref="N112" ca="1">INDIRECT(N$67&amp;"!"&amp;N$65&amp;ROW(N76))</f>
        <v>138.40787382144401</v>
      </c>
      <c r="O112" cm="1">
        <f t="array" aca="1" ref="O112" ca="1">INDIRECT(O$67&amp;"!"&amp;O$65&amp;ROW(O76))</f>
        <v>132.894350659102</v>
      </c>
      <c r="Q112" cm="1">
        <f t="array" aca="1" ref="Q112" ca="1">INDIRECT(Q$67&amp;"!"&amp;Q$65&amp;ROW(Q72))</f>
        <v>1</v>
      </c>
      <c r="R112" cm="1">
        <f t="array" aca="1" ref="R112" ca="1">INDIRECT(R$67&amp;"!"&amp;R$65&amp;ROW(R76))</f>
        <v>2</v>
      </c>
      <c r="S112" cm="1">
        <f t="array" aca="1" ref="S112" ca="1">INDIRECT(S$67&amp;"!"&amp;S$65&amp;ROW(S76))</f>
        <v>4359</v>
      </c>
      <c r="U112" cm="1">
        <f t="array" aca="1" ref="U112" ca="1">INDIRECT(U$67&amp;"!"&amp;U$65&amp;ROW(U72))</f>
        <v>1</v>
      </c>
      <c r="V112" cm="1">
        <f t="array" aca="1" ref="V112" ca="1">INDIRECT(V$67&amp;"!"&amp;V$65&amp;ROW(V76))</f>
        <v>10000</v>
      </c>
      <c r="W112" cm="1">
        <f t="array" aca="1" ref="W112" ca="1">INDIRECT(W$67&amp;"!"&amp;W$65&amp;ROW(W76))</f>
        <v>10000</v>
      </c>
      <c r="Y112">
        <f t="shared" ca="1" si="49"/>
        <v>0</v>
      </c>
      <c r="Z112">
        <f t="shared" ca="1" si="45"/>
        <v>0</v>
      </c>
      <c r="AA112">
        <f t="shared" ca="1" si="45"/>
        <v>0</v>
      </c>
      <c r="FB112" s="18"/>
      <c r="FC112" s="18"/>
      <c r="FD112" s="18"/>
      <c r="FE112" s="18"/>
      <c r="FF112" s="18"/>
      <c r="FG112" s="18"/>
      <c r="FH112" s="18"/>
      <c r="FI112" s="18"/>
      <c r="FJ112" s="18"/>
      <c r="FK112" s="18"/>
      <c r="FL112" s="18"/>
      <c r="FM112" s="18"/>
      <c r="FN112" s="18"/>
      <c r="FO112" s="18"/>
      <c r="FP112" s="18"/>
      <c r="FQ112" s="18"/>
      <c r="FW112" s="1"/>
      <c r="FX112" s="5"/>
    </row>
    <row r="113" spans="1:180" x14ac:dyDescent="0.2">
      <c r="A113" t="str">
        <f>QDistRnd_756_20251225!A73</f>
        <v>[[756,16,34]]</v>
      </c>
      <c r="B113">
        <f>QDistRnd_756_20251225!B73</f>
        <v>756</v>
      </c>
      <c r="C113">
        <v>34</v>
      </c>
      <c r="E113" cm="1">
        <f t="array" aca="1" ref="E113" ca="1">INDIRECT(E$67&amp;"!"&amp;E$65&amp;ROW(E73))</f>
        <v>44</v>
      </c>
      <c r="F113" cm="1">
        <f t="array" aca="1" ref="F113" ca="1">INDIRECT(F$67&amp;"!"&amp;F$65&amp;ROW(F77))</f>
        <v>42</v>
      </c>
      <c r="G113" cm="1">
        <f t="array" aca="1" ref="G113" ca="1">INDIRECT(G$67&amp;"!"&amp;G$65&amp;ROW(G77))</f>
        <v>36</v>
      </c>
      <c r="I113">
        <f t="shared" ca="1" si="48"/>
        <v>10</v>
      </c>
      <c r="J113">
        <f t="shared" ca="1" si="43"/>
        <v>8</v>
      </c>
      <c r="K113">
        <f t="shared" ca="1" si="44"/>
        <v>2</v>
      </c>
      <c r="M113" cm="1">
        <f t="array" aca="1" ref="M113" ca="1">INDIRECT(M$67&amp;"!"&amp;M$65&amp;ROW(M73))</f>
        <v>11.647730374999799</v>
      </c>
      <c r="N113" cm="1">
        <f t="array" aca="1" ref="N113" ca="1">INDIRECT(N$67&amp;"!"&amp;N$65&amp;ROW(N77))</f>
        <v>138.523275155574</v>
      </c>
      <c r="O113" cm="1">
        <f t="array" aca="1" ref="O113" ca="1">INDIRECT(O$67&amp;"!"&amp;O$65&amp;ROW(O77))</f>
        <v>134.438317727297</v>
      </c>
      <c r="Q113" cm="1">
        <f t="array" aca="1" ref="Q113" ca="1">INDIRECT(Q$67&amp;"!"&amp;Q$65&amp;ROW(Q73))</f>
        <v>1</v>
      </c>
      <c r="R113" cm="1">
        <f t="array" aca="1" ref="R113" ca="1">INDIRECT(R$67&amp;"!"&amp;R$65&amp;ROW(R77))</f>
        <v>4</v>
      </c>
      <c r="S113" cm="1">
        <f t="array" aca="1" ref="S113" ca="1">INDIRECT(S$67&amp;"!"&amp;S$65&amp;ROW(S77))</f>
        <v>3470</v>
      </c>
      <c r="U113" cm="1">
        <f t="array" aca="1" ref="U113" ca="1">INDIRECT(U$67&amp;"!"&amp;U$65&amp;ROW(U73))</f>
        <v>1</v>
      </c>
      <c r="V113" cm="1">
        <f t="array" aca="1" ref="V113" ca="1">INDIRECT(V$67&amp;"!"&amp;V$65&amp;ROW(V77))</f>
        <v>10000</v>
      </c>
      <c r="W113" cm="1">
        <f t="array" aca="1" ref="W113" ca="1">INDIRECT(W$67&amp;"!"&amp;W$65&amp;ROW(W77))</f>
        <v>10000</v>
      </c>
      <c r="Y113">
        <f t="shared" ca="1" si="49"/>
        <v>0</v>
      </c>
      <c r="Z113">
        <f t="shared" ca="1" si="45"/>
        <v>0</v>
      </c>
      <c r="AA113">
        <f t="shared" ca="1" si="45"/>
        <v>0</v>
      </c>
      <c r="FB113" s="18"/>
      <c r="FC113" s="18"/>
      <c r="FD113" s="18"/>
      <c r="FE113" s="18"/>
      <c r="FF113" s="18"/>
      <c r="FG113" s="18"/>
      <c r="FH113" s="18"/>
      <c r="FI113" s="18"/>
      <c r="FJ113" s="18"/>
      <c r="FK113" s="18"/>
      <c r="FL113" s="18"/>
      <c r="FM113" s="18"/>
      <c r="FN113" s="18"/>
      <c r="FO113" s="18"/>
      <c r="FP113" s="18"/>
      <c r="FQ113" s="18"/>
      <c r="FW113" s="1"/>
      <c r="FX113" s="5"/>
    </row>
    <row r="114" spans="1:180" x14ac:dyDescent="0.2">
      <c r="A114" t="str">
        <f>QDistRnd_756_20251225!A74</f>
        <v>[[756,16,34]]</v>
      </c>
      <c r="B114">
        <f>QDistRnd_756_20251225!B74</f>
        <v>756</v>
      </c>
      <c r="C114">
        <v>34</v>
      </c>
      <c r="E114" cm="1">
        <f t="array" aca="1" ref="E114" ca="1">INDIRECT(E$67&amp;"!"&amp;E$65&amp;ROW(E74))</f>
        <v>46</v>
      </c>
      <c r="F114" cm="1">
        <f t="array" aca="1" ref="F114" ca="1">INDIRECT(F$67&amp;"!"&amp;F$65&amp;ROW(F78))</f>
        <v>46</v>
      </c>
      <c r="G114" cm="1">
        <f t="array" aca="1" ref="G114" ca="1">INDIRECT(G$67&amp;"!"&amp;G$65&amp;ROW(G78))</f>
        <v>36</v>
      </c>
      <c r="I114">
        <f t="shared" ca="1" si="48"/>
        <v>12</v>
      </c>
      <c r="J114">
        <f t="shared" ca="1" si="43"/>
        <v>12</v>
      </c>
      <c r="K114">
        <f t="shared" ca="1" si="44"/>
        <v>2</v>
      </c>
      <c r="M114" cm="1">
        <f t="array" aca="1" ref="M114" ca="1">INDIRECT(M$67&amp;"!"&amp;M$65&amp;ROW(M74))</f>
        <v>11.8525872080026</v>
      </c>
      <c r="N114" cm="1">
        <f t="array" aca="1" ref="N114" ca="1">INDIRECT(N$67&amp;"!"&amp;N$65&amp;ROW(N78))</f>
        <v>138.505739058367</v>
      </c>
      <c r="O114" cm="1">
        <f t="array" aca="1" ref="O114" ca="1">INDIRECT(O$67&amp;"!"&amp;O$65&amp;ROW(O78))</f>
        <v>139.019112200476</v>
      </c>
      <c r="Q114" cm="1">
        <f t="array" aca="1" ref="Q114" ca="1">INDIRECT(Q$67&amp;"!"&amp;Q$65&amp;ROW(Q74))</f>
        <v>1</v>
      </c>
      <c r="R114" cm="1">
        <f t="array" aca="1" ref="R114" ca="1">INDIRECT(R$67&amp;"!"&amp;R$65&amp;ROW(R78))</f>
        <v>2</v>
      </c>
      <c r="S114" cm="1">
        <f t="array" aca="1" ref="S114" ca="1">INDIRECT(S$67&amp;"!"&amp;S$65&amp;ROW(S78))</f>
        <v>2288</v>
      </c>
      <c r="U114" cm="1">
        <f t="array" aca="1" ref="U114" ca="1">INDIRECT(U$67&amp;"!"&amp;U$65&amp;ROW(U74))</f>
        <v>1</v>
      </c>
      <c r="V114" cm="1">
        <f t="array" aca="1" ref="V114" ca="1">INDIRECT(V$67&amp;"!"&amp;V$65&amp;ROW(V78))</f>
        <v>10000</v>
      </c>
      <c r="W114" cm="1">
        <f t="array" aca="1" ref="W114" ca="1">INDIRECT(W$67&amp;"!"&amp;W$65&amp;ROW(W78))</f>
        <v>10000</v>
      </c>
      <c r="Y114">
        <f t="shared" ca="1" si="49"/>
        <v>0</v>
      </c>
      <c r="Z114">
        <f t="shared" ca="1" si="45"/>
        <v>0</v>
      </c>
      <c r="AA114">
        <f t="shared" ca="1" si="45"/>
        <v>0</v>
      </c>
      <c r="FB114" s="18"/>
      <c r="FC114" s="18"/>
      <c r="FD114" s="18"/>
      <c r="FE114" s="18"/>
      <c r="FF114" s="18"/>
      <c r="FG114" s="18"/>
      <c r="FH114" s="18"/>
      <c r="FI114" s="18"/>
      <c r="FJ114" s="18"/>
      <c r="FK114" s="18"/>
      <c r="FL114" s="18"/>
      <c r="FM114" s="18"/>
      <c r="FN114" s="18"/>
      <c r="FO114" s="18"/>
      <c r="FP114" s="18"/>
      <c r="FQ114" s="18"/>
      <c r="FW114" s="1"/>
      <c r="FX114" s="5"/>
    </row>
    <row r="115" spans="1:180" x14ac:dyDescent="0.2">
      <c r="A115" t="str">
        <f>QDistRnd_756_20251225!A75</f>
        <v>[[756,16,34]]</v>
      </c>
      <c r="B115">
        <f>QDistRnd_756_20251225!B75</f>
        <v>756</v>
      </c>
      <c r="C115">
        <v>34</v>
      </c>
      <c r="E115" cm="1">
        <f t="array" aca="1" ref="E115" ca="1">INDIRECT(E$67&amp;"!"&amp;E$65&amp;ROW(E75))</f>
        <v>40</v>
      </c>
      <c r="F115" cm="1">
        <f t="array" aca="1" ref="F115" ca="1">INDIRECT(F$67&amp;"!"&amp;F$65&amp;ROW(F79))</f>
        <v>42</v>
      </c>
      <c r="G115" cm="1">
        <f t="array" aca="1" ref="G115" ca="1">INDIRECT(G$67&amp;"!"&amp;G$65&amp;ROW(G79))</f>
        <v>34</v>
      </c>
      <c r="I115">
        <f t="shared" ca="1" si="48"/>
        <v>6</v>
      </c>
      <c r="J115">
        <f t="shared" ca="1" si="43"/>
        <v>8</v>
      </c>
      <c r="K115">
        <f t="shared" ca="1" si="44"/>
        <v>0</v>
      </c>
      <c r="M115" cm="1">
        <f t="array" aca="1" ref="M115" ca="1">INDIRECT(M$67&amp;"!"&amp;M$65&amp;ROW(M75))</f>
        <v>11.717223374998801</v>
      </c>
      <c r="N115" cm="1">
        <f t="array" aca="1" ref="N115" ca="1">INDIRECT(N$67&amp;"!"&amp;N$65&amp;ROW(N79))</f>
        <v>138.511550883762</v>
      </c>
      <c r="O115" cm="1">
        <f t="array" aca="1" ref="O115" ca="1">INDIRECT(O$67&amp;"!"&amp;O$65&amp;ROW(O79))</f>
        <v>130.92357849515901</v>
      </c>
      <c r="Q115" cm="1">
        <f t="array" aca="1" ref="Q115" ca="1">INDIRECT(Q$67&amp;"!"&amp;Q$65&amp;ROW(Q75))</f>
        <v>1</v>
      </c>
      <c r="R115" cm="1">
        <f t="array" aca="1" ref="R115" ca="1">INDIRECT(R$67&amp;"!"&amp;R$65&amp;ROW(R79))</f>
        <v>2</v>
      </c>
      <c r="S115" cm="1">
        <f t="array" aca="1" ref="S115" ca="1">INDIRECT(S$67&amp;"!"&amp;S$65&amp;ROW(S79))</f>
        <v>3533</v>
      </c>
      <c r="U115" cm="1">
        <f t="array" aca="1" ref="U115" ca="1">INDIRECT(U$67&amp;"!"&amp;U$65&amp;ROW(U75))</f>
        <v>1</v>
      </c>
      <c r="V115" cm="1">
        <f t="array" aca="1" ref="V115" ca="1">INDIRECT(V$67&amp;"!"&amp;V$65&amp;ROW(V79))</f>
        <v>10000</v>
      </c>
      <c r="W115" cm="1">
        <f t="array" aca="1" ref="W115" ca="1">INDIRECT(W$67&amp;"!"&amp;W$65&amp;ROW(W79))</f>
        <v>10000</v>
      </c>
      <c r="Y115">
        <f t="shared" ca="1" si="49"/>
        <v>0</v>
      </c>
      <c r="Z115">
        <f t="shared" ca="1" si="45"/>
        <v>0</v>
      </c>
      <c r="AA115">
        <f t="shared" ca="1" si="45"/>
        <v>3533</v>
      </c>
      <c r="FB115" s="18"/>
      <c r="FC115" s="18"/>
      <c r="FD115" s="18"/>
      <c r="FE115" s="18"/>
      <c r="FF115" s="18"/>
      <c r="FG115" s="18"/>
      <c r="FH115" s="18"/>
      <c r="FI115" s="18"/>
      <c r="FJ115" s="18"/>
      <c r="FK115" s="18"/>
      <c r="FL115" s="18"/>
      <c r="FM115" s="18"/>
      <c r="FN115" s="18"/>
      <c r="FO115" s="18"/>
      <c r="FP115" s="18"/>
      <c r="FQ115" s="18"/>
      <c r="FW115" s="1"/>
      <c r="FX115" s="5"/>
    </row>
    <row r="116" spans="1:180" x14ac:dyDescent="0.2">
      <c r="A116" t="str">
        <f>QDistRnd_756_20251225!A76</f>
        <v>[[756,16,34]]</v>
      </c>
      <c r="B116">
        <f>QDistRnd_756_20251225!B76</f>
        <v>756</v>
      </c>
      <c r="C116">
        <v>34</v>
      </c>
      <c r="E116" cm="1">
        <f t="array" aca="1" ref="E116" ca="1">INDIRECT(E$67&amp;"!"&amp;E$65&amp;ROW(E76))</f>
        <v>38</v>
      </c>
      <c r="F116" cm="1">
        <f t="array" aca="1" ref="F116" ca="1">INDIRECT(F$67&amp;"!"&amp;F$65&amp;ROW(F80))</f>
        <v>42</v>
      </c>
      <c r="G116" cm="1">
        <f t="array" aca="1" ref="G116" ca="1">INDIRECT(G$67&amp;"!"&amp;G$65&amp;ROW(G80))</f>
        <v>34</v>
      </c>
      <c r="I116">
        <f t="shared" ca="1" si="48"/>
        <v>4</v>
      </c>
      <c r="J116">
        <f t="shared" ca="1" si="43"/>
        <v>8</v>
      </c>
      <c r="K116">
        <f t="shared" ca="1" si="44"/>
        <v>0</v>
      </c>
      <c r="M116" cm="1">
        <f t="array" aca="1" ref="M116" ca="1">INDIRECT(M$67&amp;"!"&amp;M$65&amp;ROW(M76))</f>
        <v>11.715774166997999</v>
      </c>
      <c r="N116" cm="1">
        <f t="array" aca="1" ref="N116" ca="1">INDIRECT(N$67&amp;"!"&amp;N$65&amp;ROW(N80))</f>
        <v>138.41041655000299</v>
      </c>
      <c r="O116" cm="1">
        <f t="array" aca="1" ref="O116" ca="1">INDIRECT(O$67&amp;"!"&amp;O$65&amp;ROW(O80))</f>
        <v>134.93111647758599</v>
      </c>
      <c r="Q116" cm="1">
        <f t="array" aca="1" ref="Q116" ca="1">INDIRECT(Q$67&amp;"!"&amp;Q$65&amp;ROW(Q76))</f>
        <v>1</v>
      </c>
      <c r="R116" cm="1">
        <f t="array" aca="1" ref="R116" ca="1">INDIRECT(R$67&amp;"!"&amp;R$65&amp;ROW(R80))</f>
        <v>2</v>
      </c>
      <c r="S116" cm="1">
        <f t="array" aca="1" ref="S116" ca="1">INDIRECT(S$67&amp;"!"&amp;S$65&amp;ROW(S80))</f>
        <v>3953</v>
      </c>
      <c r="U116" cm="1">
        <f t="array" aca="1" ref="U116" ca="1">INDIRECT(U$67&amp;"!"&amp;U$65&amp;ROW(U76))</f>
        <v>1</v>
      </c>
      <c r="V116" cm="1">
        <f t="array" aca="1" ref="V116" ca="1">INDIRECT(V$67&amp;"!"&amp;V$65&amp;ROW(V80))</f>
        <v>10000</v>
      </c>
      <c r="W116" cm="1">
        <f t="array" aca="1" ref="W116" ca="1">INDIRECT(W$67&amp;"!"&amp;W$65&amp;ROW(W80))</f>
        <v>10000</v>
      </c>
      <c r="Y116">
        <f t="shared" ca="1" si="49"/>
        <v>0</v>
      </c>
      <c r="Z116">
        <f t="shared" ca="1" si="45"/>
        <v>0</v>
      </c>
      <c r="AA116">
        <f t="shared" ca="1" si="45"/>
        <v>3953</v>
      </c>
      <c r="FB116" s="18"/>
      <c r="FC116" s="18"/>
      <c r="FD116" s="18"/>
      <c r="FE116" s="18"/>
      <c r="FF116" s="18"/>
      <c r="FG116" s="18"/>
      <c r="FH116" s="18"/>
      <c r="FI116" s="18"/>
      <c r="FJ116" s="18"/>
      <c r="FK116" s="18"/>
      <c r="FL116" s="18"/>
      <c r="FM116" s="18"/>
      <c r="FN116" s="18"/>
      <c r="FO116" s="18"/>
      <c r="FP116" s="18"/>
      <c r="FQ116" s="18"/>
      <c r="FW116" s="1"/>
      <c r="FX116" s="5"/>
    </row>
    <row r="117" spans="1:180" x14ac:dyDescent="0.2">
      <c r="A117" t="str">
        <f>QDistRnd_756_20251225!A77</f>
        <v>[[756,16,34]]</v>
      </c>
      <c r="B117">
        <f>QDistRnd_756_20251225!B77</f>
        <v>756</v>
      </c>
      <c r="C117">
        <v>34</v>
      </c>
      <c r="E117" cm="1">
        <f t="array" aca="1" ref="E117" ca="1">INDIRECT(E$67&amp;"!"&amp;E$65&amp;ROW(E77))</f>
        <v>38</v>
      </c>
      <c r="F117" cm="1">
        <f t="array" aca="1" ref="F117" ca="1">INDIRECT(F$67&amp;"!"&amp;F$65&amp;ROW(F81))</f>
        <v>40</v>
      </c>
      <c r="G117" cm="1">
        <f t="array" aca="1" ref="G117" ca="1">INDIRECT(G$67&amp;"!"&amp;G$65&amp;ROW(G81))</f>
        <v>34</v>
      </c>
      <c r="I117">
        <f t="shared" ca="1" si="48"/>
        <v>4</v>
      </c>
      <c r="J117">
        <f t="shared" ca="1" si="43"/>
        <v>6</v>
      </c>
      <c r="K117">
        <f t="shared" ca="1" si="44"/>
        <v>0</v>
      </c>
      <c r="M117" cm="1">
        <f t="array" aca="1" ref="M117" ca="1">INDIRECT(M$67&amp;"!"&amp;M$65&amp;ROW(M77))</f>
        <v>11.7261999170004</v>
      </c>
      <c r="N117" cm="1">
        <f t="array" aca="1" ref="N117" ca="1">INDIRECT(N$67&amp;"!"&amp;N$65&amp;ROW(N81))</f>
        <v>138.388256054371</v>
      </c>
      <c r="O117" cm="1">
        <f t="array" aca="1" ref="O117" ca="1">INDIRECT(O$67&amp;"!"&amp;O$65&amp;ROW(O81))</f>
        <v>135.828062435612</v>
      </c>
      <c r="Q117" cm="1">
        <f t="array" aca="1" ref="Q117" ca="1">INDIRECT(Q$67&amp;"!"&amp;Q$65&amp;ROW(Q77))</f>
        <v>1</v>
      </c>
      <c r="R117" cm="1">
        <f t="array" aca="1" ref="R117" ca="1">INDIRECT(R$67&amp;"!"&amp;R$65&amp;ROW(R81))</f>
        <v>1</v>
      </c>
      <c r="S117" cm="1">
        <f t="array" aca="1" ref="S117" ca="1">INDIRECT(S$67&amp;"!"&amp;S$65&amp;ROW(S81))</f>
        <v>2653</v>
      </c>
      <c r="U117" cm="1">
        <f t="array" aca="1" ref="U117" ca="1">INDIRECT(U$67&amp;"!"&amp;U$65&amp;ROW(U77))</f>
        <v>1</v>
      </c>
      <c r="V117" cm="1">
        <f t="array" aca="1" ref="V117" ca="1">INDIRECT(V$67&amp;"!"&amp;V$65&amp;ROW(V81))</f>
        <v>10000</v>
      </c>
      <c r="W117" cm="1">
        <f t="array" aca="1" ref="W117" ca="1">INDIRECT(W$67&amp;"!"&amp;W$65&amp;ROW(W81))</f>
        <v>10000</v>
      </c>
      <c r="Y117">
        <f t="shared" ca="1" si="49"/>
        <v>0</v>
      </c>
      <c r="Z117">
        <f t="shared" ca="1" si="45"/>
        <v>0</v>
      </c>
      <c r="AA117">
        <f t="shared" ca="1" si="45"/>
        <v>2653</v>
      </c>
      <c r="FB117" s="18"/>
      <c r="FC117" s="18"/>
      <c r="FD117" s="18"/>
      <c r="FE117" s="18"/>
      <c r="FF117" s="18"/>
      <c r="FG117" s="18"/>
      <c r="FH117" s="18"/>
      <c r="FI117" s="18"/>
      <c r="FJ117" s="18"/>
      <c r="FK117" s="18"/>
      <c r="FL117" s="18"/>
      <c r="FM117" s="18"/>
      <c r="FN117" s="18"/>
      <c r="FO117" s="18"/>
      <c r="FP117" s="18"/>
      <c r="FQ117" s="18"/>
      <c r="FW117" s="1"/>
      <c r="FX117" s="5"/>
    </row>
    <row r="118" spans="1:180" x14ac:dyDescent="0.2">
      <c r="A118" t="str">
        <f>QDistRnd_756_20251225!A78</f>
        <v>[[756,16,34]]</v>
      </c>
      <c r="B118">
        <f>QDistRnd_756_20251225!B78</f>
        <v>756</v>
      </c>
      <c r="C118">
        <v>34</v>
      </c>
      <c r="E118" cm="1">
        <f t="array" aca="1" ref="E118" ca="1">INDIRECT(E$67&amp;"!"&amp;E$65&amp;ROW(E78))</f>
        <v>42</v>
      </c>
      <c r="F118" cm="1">
        <f t="array" aca="1" ref="F118" ca="1">INDIRECT(F$67&amp;"!"&amp;F$65&amp;ROW(F82))</f>
        <v>46</v>
      </c>
      <c r="G118" cm="1">
        <f t="array" aca="1" ref="G118" ca="1">INDIRECT(G$67&amp;"!"&amp;G$65&amp;ROW(G82))</f>
        <v>34</v>
      </c>
      <c r="I118">
        <f t="shared" ca="1" si="48"/>
        <v>8</v>
      </c>
      <c r="J118">
        <f t="shared" ca="1" si="43"/>
        <v>12</v>
      </c>
      <c r="K118">
        <f t="shared" ca="1" si="44"/>
        <v>0</v>
      </c>
      <c r="M118" cm="1">
        <f t="array" aca="1" ref="M118" ca="1">INDIRECT(M$67&amp;"!"&amp;M$65&amp;ROW(M78))</f>
        <v>11.708365208</v>
      </c>
      <c r="N118" cm="1">
        <f t="array" aca="1" ref="N118" ca="1">INDIRECT(N$67&amp;"!"&amp;N$65&amp;ROW(N82))</f>
        <v>138.58780040964399</v>
      </c>
      <c r="O118" cm="1">
        <f t="array" aca="1" ref="O118" ca="1">INDIRECT(O$67&amp;"!"&amp;O$65&amp;ROW(O82))</f>
        <v>134.78443024307401</v>
      </c>
      <c r="Q118" cm="1">
        <f t="array" aca="1" ref="Q118" ca="1">INDIRECT(Q$67&amp;"!"&amp;Q$65&amp;ROW(Q78))</f>
        <v>1</v>
      </c>
      <c r="R118" cm="1">
        <f t="array" aca="1" ref="R118" ca="1">INDIRECT(R$67&amp;"!"&amp;R$65&amp;ROW(R82))</f>
        <v>3</v>
      </c>
      <c r="S118" cm="1">
        <f t="array" aca="1" ref="S118" ca="1">INDIRECT(S$67&amp;"!"&amp;S$65&amp;ROW(S82))</f>
        <v>3755</v>
      </c>
      <c r="U118" cm="1">
        <f t="array" aca="1" ref="U118" ca="1">INDIRECT(U$67&amp;"!"&amp;U$65&amp;ROW(U78))</f>
        <v>1</v>
      </c>
      <c r="V118" cm="1">
        <f t="array" aca="1" ref="V118" ca="1">INDIRECT(V$67&amp;"!"&amp;V$65&amp;ROW(V82))</f>
        <v>10000</v>
      </c>
      <c r="W118" cm="1">
        <f t="array" aca="1" ref="W118" ca="1">INDIRECT(W$67&amp;"!"&amp;W$65&amp;ROW(W82))</f>
        <v>10000</v>
      </c>
      <c r="Y118">
        <f t="shared" ca="1" si="49"/>
        <v>0</v>
      </c>
      <c r="Z118">
        <f t="shared" ca="1" si="45"/>
        <v>0</v>
      </c>
      <c r="AA118">
        <f t="shared" ca="1" si="45"/>
        <v>3755</v>
      </c>
      <c r="FB118" s="18"/>
      <c r="FC118" s="18"/>
      <c r="FD118" s="18"/>
      <c r="FE118" s="18"/>
      <c r="FF118" s="18"/>
      <c r="FG118" s="18"/>
      <c r="FH118" s="18"/>
      <c r="FI118" s="18"/>
      <c r="FJ118" s="18"/>
      <c r="FK118" s="18"/>
      <c r="FL118" s="18"/>
      <c r="FM118" s="18"/>
      <c r="FN118" s="18"/>
      <c r="FO118" s="18"/>
      <c r="FP118" s="18"/>
      <c r="FQ118" s="18"/>
      <c r="FW118" s="1"/>
      <c r="FX118" s="5"/>
    </row>
    <row r="119" spans="1:180" x14ac:dyDescent="0.2">
      <c r="A119" t="str">
        <f>QDistRnd_756_20251225!A79</f>
        <v>[[756,16,34]]</v>
      </c>
      <c r="B119">
        <f>QDistRnd_756_20251225!B79</f>
        <v>756</v>
      </c>
      <c r="C119">
        <v>34</v>
      </c>
      <c r="E119" cm="1">
        <f t="array" aca="1" ref="E119" ca="1">INDIRECT(E$67&amp;"!"&amp;E$65&amp;ROW(E79))</f>
        <v>44</v>
      </c>
      <c r="F119" cm="1">
        <f t="array" aca="1" ref="F119" ca="1">INDIRECT(F$67&amp;"!"&amp;F$65&amp;ROW(F83))</f>
        <v>44</v>
      </c>
      <c r="G119" cm="1">
        <f t="array" aca="1" ref="G119" ca="1">INDIRECT(G$67&amp;"!"&amp;G$65&amp;ROW(G83))</f>
        <v>40</v>
      </c>
      <c r="I119">
        <f t="shared" ca="1" si="48"/>
        <v>10</v>
      </c>
      <c r="J119">
        <f t="shared" ca="1" si="43"/>
        <v>10</v>
      </c>
      <c r="K119">
        <f t="shared" ca="1" si="44"/>
        <v>6</v>
      </c>
      <c r="M119" cm="1">
        <f t="array" aca="1" ref="M119" ca="1">INDIRECT(M$67&amp;"!"&amp;M$65&amp;ROW(M79))</f>
        <v>11.893359083001901</v>
      </c>
      <c r="N119" cm="1">
        <f t="array" aca="1" ref="N119" ca="1">INDIRECT(N$67&amp;"!"&amp;N$65&amp;ROW(N83))</f>
        <v>138.53402345068699</v>
      </c>
      <c r="O119" cm="1">
        <f t="array" aca="1" ref="O119" ca="1">INDIRECT(O$67&amp;"!"&amp;O$65&amp;ROW(O83))</f>
        <v>135.61231213249201</v>
      </c>
      <c r="Q119" cm="1">
        <f t="array" aca="1" ref="Q119" ca="1">INDIRECT(Q$67&amp;"!"&amp;Q$65&amp;ROW(Q79))</f>
        <v>1</v>
      </c>
      <c r="R119" cm="1">
        <f t="array" aca="1" ref="R119" ca="1">INDIRECT(R$67&amp;"!"&amp;R$65&amp;ROW(R83))</f>
        <v>3</v>
      </c>
      <c r="S119" cm="1">
        <f t="array" aca="1" ref="S119" ca="1">INDIRECT(S$67&amp;"!"&amp;S$65&amp;ROW(S83))</f>
        <v>3980</v>
      </c>
      <c r="U119" cm="1">
        <f t="array" aca="1" ref="U119" ca="1">INDIRECT(U$67&amp;"!"&amp;U$65&amp;ROW(U79))</f>
        <v>1</v>
      </c>
      <c r="V119" cm="1">
        <f t="array" aca="1" ref="V119" ca="1">INDIRECT(V$67&amp;"!"&amp;V$65&amp;ROW(V83))</f>
        <v>10000</v>
      </c>
      <c r="W119" cm="1">
        <f t="array" aca="1" ref="W119" ca="1">INDIRECT(W$67&amp;"!"&amp;W$65&amp;ROW(W83))</f>
        <v>10000</v>
      </c>
      <c r="Y119">
        <f t="shared" ca="1" si="49"/>
        <v>0</v>
      </c>
      <c r="Z119">
        <f t="shared" ca="1" si="45"/>
        <v>0</v>
      </c>
      <c r="AA119">
        <f t="shared" ca="1" si="45"/>
        <v>0</v>
      </c>
      <c r="FB119" s="18"/>
      <c r="FC119" s="18"/>
      <c r="FD119" s="18"/>
      <c r="FE119" s="18"/>
      <c r="FF119" s="18"/>
      <c r="FG119" s="18"/>
      <c r="FH119" s="18"/>
      <c r="FI119" s="18"/>
      <c r="FJ119" s="18"/>
      <c r="FK119" s="18"/>
      <c r="FL119" s="18"/>
      <c r="FM119" s="18"/>
      <c r="FN119" s="18"/>
      <c r="FO119" s="18"/>
      <c r="FP119" s="18"/>
      <c r="FQ119" s="18"/>
      <c r="FW119" s="1"/>
      <c r="FX119" s="5"/>
    </row>
    <row r="120" spans="1:180" x14ac:dyDescent="0.2">
      <c r="A120" t="str">
        <f>QDistRnd_756_20251225!A80</f>
        <v>[[756,16,34]]</v>
      </c>
      <c r="B120">
        <f>QDistRnd_756_20251225!B80</f>
        <v>756</v>
      </c>
      <c r="C120">
        <v>34</v>
      </c>
      <c r="E120" cm="1">
        <f t="array" aca="1" ref="E120" ca="1">INDIRECT(E$67&amp;"!"&amp;E$65&amp;ROW(E80))</f>
        <v>38</v>
      </c>
      <c r="F120" cm="1">
        <f t="array" aca="1" ref="F120" ca="1">INDIRECT(F$67&amp;"!"&amp;F$65&amp;ROW(F84))</f>
        <v>44</v>
      </c>
      <c r="G120" cm="1">
        <f t="array" aca="1" ref="G120" ca="1">INDIRECT(G$67&amp;"!"&amp;G$65&amp;ROW(G84))</f>
        <v>34</v>
      </c>
      <c r="I120">
        <f t="shared" ca="1" si="48"/>
        <v>4</v>
      </c>
      <c r="J120">
        <f t="shared" ca="1" si="43"/>
        <v>10</v>
      </c>
      <c r="K120">
        <f t="shared" ca="1" si="44"/>
        <v>0</v>
      </c>
      <c r="M120" cm="1">
        <f t="array" aca="1" ref="M120" ca="1">INDIRECT(M$67&amp;"!"&amp;M$65&amp;ROW(M80))</f>
        <v>11.9971224170003</v>
      </c>
      <c r="N120" cm="1">
        <f t="array" aca="1" ref="N120" ca="1">INDIRECT(N$67&amp;"!"&amp;N$65&amp;ROW(N84))</f>
        <v>138.487422675825</v>
      </c>
      <c r="O120" cm="1">
        <f t="array" aca="1" ref="O120" ca="1">INDIRECT(O$67&amp;"!"&amp;O$65&amp;ROW(O84))</f>
        <v>136.27771108783699</v>
      </c>
      <c r="Q120" cm="1">
        <f t="array" aca="1" ref="Q120" ca="1">INDIRECT(Q$67&amp;"!"&amp;Q$65&amp;ROW(Q80))</f>
        <v>1</v>
      </c>
      <c r="R120" cm="1">
        <f t="array" aca="1" ref="R120" ca="1">INDIRECT(R$67&amp;"!"&amp;R$65&amp;ROW(R84))</f>
        <v>2</v>
      </c>
      <c r="S120" cm="1">
        <f t="array" aca="1" ref="S120" ca="1">INDIRECT(S$67&amp;"!"&amp;S$65&amp;ROW(S84))</f>
        <v>3493</v>
      </c>
      <c r="U120" cm="1">
        <f t="array" aca="1" ref="U120" ca="1">INDIRECT(U$67&amp;"!"&amp;U$65&amp;ROW(U80))</f>
        <v>1</v>
      </c>
      <c r="V120" cm="1">
        <f t="array" aca="1" ref="V120" ca="1">INDIRECT(V$67&amp;"!"&amp;V$65&amp;ROW(V84))</f>
        <v>10000</v>
      </c>
      <c r="W120" cm="1">
        <f t="array" aca="1" ref="W120" ca="1">INDIRECT(W$67&amp;"!"&amp;W$65&amp;ROW(W84))</f>
        <v>10000</v>
      </c>
      <c r="Y120">
        <f t="shared" ca="1" si="49"/>
        <v>0</v>
      </c>
      <c r="Z120">
        <f t="shared" ca="1" si="45"/>
        <v>0</v>
      </c>
      <c r="AA120">
        <f t="shared" ca="1" si="45"/>
        <v>3493</v>
      </c>
      <c r="FB120" s="18"/>
      <c r="FC120" s="18"/>
      <c r="FD120" s="18"/>
      <c r="FE120" s="18"/>
      <c r="FF120" s="18"/>
      <c r="FG120" s="18"/>
      <c r="FH120" s="18"/>
      <c r="FI120" s="18"/>
      <c r="FJ120" s="18"/>
      <c r="FK120" s="18"/>
      <c r="FL120" s="18"/>
      <c r="FM120" s="18"/>
      <c r="FN120" s="18"/>
      <c r="FO120" s="18"/>
      <c r="FP120" s="18"/>
      <c r="FQ120" s="18"/>
      <c r="FW120" s="1"/>
      <c r="FX120" s="5"/>
    </row>
    <row r="121" spans="1:180" x14ac:dyDescent="0.2">
      <c r="A121" t="str">
        <f>QDistRnd_756_20251225!A81</f>
        <v>[[756,16,34]]</v>
      </c>
      <c r="B121">
        <f>QDistRnd_756_20251225!B81</f>
        <v>756</v>
      </c>
      <c r="C121">
        <v>34</v>
      </c>
      <c r="E121" cm="1">
        <f t="array" aca="1" ref="E121" ca="1">INDIRECT(E$67&amp;"!"&amp;E$65&amp;ROW(E81))</f>
        <v>46</v>
      </c>
      <c r="F121" cm="1">
        <f t="array" aca="1" ref="F121" ca="1">INDIRECT(F$67&amp;"!"&amp;F$65&amp;ROW(F85))</f>
        <v>44</v>
      </c>
      <c r="G121" cm="1">
        <f t="array" aca="1" ref="G121" ca="1">INDIRECT(G$67&amp;"!"&amp;G$65&amp;ROW(G85))</f>
        <v>34</v>
      </c>
      <c r="I121">
        <f t="shared" ca="1" si="48"/>
        <v>12</v>
      </c>
      <c r="J121">
        <f t="shared" ca="1" si="43"/>
        <v>10</v>
      </c>
      <c r="K121">
        <f t="shared" ca="1" si="44"/>
        <v>0</v>
      </c>
      <c r="M121" cm="1">
        <f t="array" aca="1" ref="M121" ca="1">INDIRECT(M$67&amp;"!"&amp;M$65&amp;ROW(M81))</f>
        <v>11.7692632079997</v>
      </c>
      <c r="N121" cm="1">
        <f t="array" aca="1" ref="N121" ca="1">INDIRECT(N$67&amp;"!"&amp;N$65&amp;ROW(N85))</f>
        <v>138.412235318683</v>
      </c>
      <c r="O121" cm="1">
        <f t="array" aca="1" ref="O121" ca="1">INDIRECT(O$67&amp;"!"&amp;O$65&amp;ROW(O85))</f>
        <v>137.93342709541301</v>
      </c>
      <c r="Q121" cm="1">
        <f t="array" aca="1" ref="Q121" ca="1">INDIRECT(Q$67&amp;"!"&amp;Q$65&amp;ROW(Q81))</f>
        <v>1</v>
      </c>
      <c r="R121" cm="1">
        <f t="array" aca="1" ref="R121" ca="1">INDIRECT(R$67&amp;"!"&amp;R$65&amp;ROW(R85))</f>
        <v>1</v>
      </c>
      <c r="S121" cm="1">
        <f t="array" aca="1" ref="S121" ca="1">INDIRECT(S$67&amp;"!"&amp;S$65&amp;ROW(S85))</f>
        <v>1</v>
      </c>
      <c r="U121" cm="1">
        <f t="array" aca="1" ref="U121" ca="1">INDIRECT(U$67&amp;"!"&amp;U$65&amp;ROW(U81))</f>
        <v>1</v>
      </c>
      <c r="V121" cm="1">
        <f t="array" aca="1" ref="V121" ca="1">INDIRECT(V$67&amp;"!"&amp;V$65&amp;ROW(V85))</f>
        <v>10000</v>
      </c>
      <c r="W121" cm="1">
        <f t="array" aca="1" ref="W121" ca="1">INDIRECT(W$67&amp;"!"&amp;W$65&amp;ROW(W85))</f>
        <v>10000</v>
      </c>
      <c r="Y121">
        <f t="shared" ca="1" si="49"/>
        <v>0</v>
      </c>
      <c r="Z121">
        <f t="shared" ca="1" si="45"/>
        <v>0</v>
      </c>
      <c r="AA121">
        <f t="shared" ca="1" si="45"/>
        <v>1</v>
      </c>
      <c r="FB121" s="18"/>
      <c r="FC121" s="18"/>
      <c r="FD121" s="18"/>
      <c r="FE121" s="18"/>
      <c r="FF121" s="18"/>
      <c r="FG121" s="18"/>
      <c r="FH121" s="18"/>
      <c r="FI121" s="18"/>
      <c r="FJ121" s="18"/>
      <c r="FK121" s="18"/>
      <c r="FL121" s="18"/>
      <c r="FM121" s="18"/>
      <c r="FN121" s="18"/>
      <c r="FO121" s="18"/>
      <c r="FP121" s="18"/>
      <c r="FQ121" s="18"/>
      <c r="FW121" s="1"/>
      <c r="FX121" s="5"/>
    </row>
    <row r="122" spans="1:180" x14ac:dyDescent="0.2">
      <c r="A122" t="str">
        <f>QDistRnd_756_20251225!A82</f>
        <v>[[756,16,34]]</v>
      </c>
      <c r="B122">
        <f>QDistRnd_756_20251225!B82</f>
        <v>756</v>
      </c>
      <c r="C122">
        <v>34</v>
      </c>
      <c r="E122" cm="1">
        <f t="array" aca="1" ref="E122" ca="1">INDIRECT(E$67&amp;"!"&amp;E$65&amp;ROW(E82))</f>
        <v>38</v>
      </c>
      <c r="F122" cm="1">
        <f t="array" aca="1" ref="F122" ca="1">INDIRECT(F$67&amp;"!"&amp;F$65&amp;ROW(F86))</f>
        <v>46</v>
      </c>
      <c r="G122" cm="1">
        <f t="array" aca="1" ref="G122" ca="1">INDIRECT(G$67&amp;"!"&amp;G$65&amp;ROW(G86))</f>
        <v>34</v>
      </c>
      <c r="I122">
        <f t="shared" ca="1" si="48"/>
        <v>4</v>
      </c>
      <c r="J122">
        <f t="shared" ca="1" si="43"/>
        <v>12</v>
      </c>
      <c r="K122">
        <f t="shared" ca="1" si="44"/>
        <v>0</v>
      </c>
      <c r="M122" cm="1">
        <f t="array" aca="1" ref="M122" ca="1">INDIRECT(M$67&amp;"!"&amp;M$65&amp;ROW(M82))</f>
        <v>11.9169436249976</v>
      </c>
      <c r="N122" cm="1">
        <f t="array" aca="1" ref="N122" ca="1">INDIRECT(N$67&amp;"!"&amp;N$65&amp;ROW(N86))</f>
        <v>138.55943481437799</v>
      </c>
      <c r="O122" cm="1">
        <f t="array" aca="1" ref="O122" ca="1">INDIRECT(O$67&amp;"!"&amp;O$65&amp;ROW(O86))</f>
        <v>135.735240729525</v>
      </c>
      <c r="Q122" cm="1">
        <f t="array" aca="1" ref="Q122" ca="1">INDIRECT(Q$67&amp;"!"&amp;Q$65&amp;ROW(Q82))</f>
        <v>1</v>
      </c>
      <c r="R122" cm="1">
        <f t="array" aca="1" ref="R122" ca="1">INDIRECT(R$67&amp;"!"&amp;R$65&amp;ROW(R86))</f>
        <v>4</v>
      </c>
      <c r="S122" cm="1">
        <f t="array" aca="1" ref="S122" ca="1">INDIRECT(S$67&amp;"!"&amp;S$65&amp;ROW(S86))</f>
        <v>3570</v>
      </c>
      <c r="U122" cm="1">
        <f t="array" aca="1" ref="U122" ca="1">INDIRECT(U$67&amp;"!"&amp;U$65&amp;ROW(U82))</f>
        <v>1</v>
      </c>
      <c r="V122" cm="1">
        <f t="array" aca="1" ref="V122" ca="1">INDIRECT(V$67&amp;"!"&amp;V$65&amp;ROW(V86))</f>
        <v>10000</v>
      </c>
      <c r="W122" cm="1">
        <f t="array" aca="1" ref="W122" ca="1">INDIRECT(W$67&amp;"!"&amp;W$65&amp;ROW(W86))</f>
        <v>10000</v>
      </c>
      <c r="Y122">
        <f t="shared" ca="1" si="49"/>
        <v>0</v>
      </c>
      <c r="Z122">
        <f t="shared" ca="1" si="45"/>
        <v>0</v>
      </c>
      <c r="AA122">
        <f t="shared" ca="1" si="45"/>
        <v>3570</v>
      </c>
      <c r="FB122" s="18"/>
      <c r="FC122" s="18"/>
      <c r="FD122" s="18"/>
      <c r="FE122" s="18"/>
      <c r="FF122" s="18"/>
      <c r="FG122" s="18"/>
      <c r="FH122" s="18"/>
      <c r="FI122" s="18"/>
      <c r="FJ122" s="18"/>
      <c r="FK122" s="18"/>
      <c r="FL122" s="18"/>
      <c r="FM122" s="18"/>
      <c r="FN122" s="18"/>
      <c r="FO122" s="18"/>
      <c r="FP122" s="18"/>
      <c r="FQ122" s="18"/>
      <c r="FW122" s="1"/>
      <c r="FX122" s="5"/>
    </row>
    <row r="123" spans="1:180" x14ac:dyDescent="0.2">
      <c r="A123" t="str">
        <f>QDistRnd_756_20251225!A83</f>
        <v>[[756,16,34]]</v>
      </c>
      <c r="B123">
        <f>QDistRnd_756_20251225!B83</f>
        <v>756</v>
      </c>
      <c r="C123">
        <v>34</v>
      </c>
      <c r="E123" cm="1">
        <f t="array" aca="1" ref="E123" ca="1">INDIRECT(E$67&amp;"!"&amp;E$65&amp;ROW(E83))</f>
        <v>44</v>
      </c>
      <c r="F123" cm="1">
        <f t="array" aca="1" ref="F123" ca="1">INDIRECT(F$67&amp;"!"&amp;F$65&amp;ROW(F87))</f>
        <v>40</v>
      </c>
      <c r="G123" cm="1">
        <f t="array" aca="1" ref="G123" ca="1">INDIRECT(G$67&amp;"!"&amp;G$65&amp;ROW(G87))</f>
        <v>34</v>
      </c>
      <c r="I123">
        <f t="shared" ca="1" si="48"/>
        <v>10</v>
      </c>
      <c r="J123">
        <f t="shared" ca="1" si="43"/>
        <v>6</v>
      </c>
      <c r="K123">
        <f t="shared" ca="1" si="44"/>
        <v>0</v>
      </c>
      <c r="M123" cm="1">
        <f t="array" aca="1" ref="M123" ca="1">INDIRECT(M$67&amp;"!"&amp;M$65&amp;ROW(M83))</f>
        <v>11.763311500002599</v>
      </c>
      <c r="N123" cm="1">
        <f t="array" aca="1" ref="N123" ca="1">INDIRECT(N$67&amp;"!"&amp;N$65&amp;ROW(N87))</f>
        <v>138.42103156261101</v>
      </c>
      <c r="O123" cm="1">
        <f t="array" aca="1" ref="O123" ca="1">INDIRECT(O$67&amp;"!"&amp;O$65&amp;ROW(O87))</f>
        <v>132.85864438302801</v>
      </c>
      <c r="Q123" cm="1">
        <f t="array" aca="1" ref="Q123" ca="1">INDIRECT(Q$67&amp;"!"&amp;Q$65&amp;ROW(Q83))</f>
        <v>1</v>
      </c>
      <c r="R123" cm="1">
        <f t="array" aca="1" ref="R123" ca="1">INDIRECT(R$67&amp;"!"&amp;R$65&amp;ROW(R87))</f>
        <v>1</v>
      </c>
      <c r="S123" cm="1">
        <f t="array" aca="1" ref="S123" ca="1">INDIRECT(S$67&amp;"!"&amp;S$65&amp;ROW(S87))</f>
        <v>1</v>
      </c>
      <c r="U123" cm="1">
        <f t="array" aca="1" ref="U123" ca="1">INDIRECT(U$67&amp;"!"&amp;U$65&amp;ROW(U83))</f>
        <v>1</v>
      </c>
      <c r="V123" cm="1">
        <f t="array" aca="1" ref="V123" ca="1">INDIRECT(V$67&amp;"!"&amp;V$65&amp;ROW(V87))</f>
        <v>10000</v>
      </c>
      <c r="W123" cm="1">
        <f t="array" aca="1" ref="W123" ca="1">INDIRECT(W$67&amp;"!"&amp;W$65&amp;ROW(W87))</f>
        <v>10000</v>
      </c>
      <c r="Y123">
        <f t="shared" ca="1" si="49"/>
        <v>0</v>
      </c>
      <c r="Z123">
        <f t="shared" ca="1" si="45"/>
        <v>0</v>
      </c>
      <c r="AA123">
        <f t="shared" ca="1" si="45"/>
        <v>1</v>
      </c>
      <c r="FB123" s="18"/>
      <c r="FC123" s="18"/>
      <c r="FD123" s="18"/>
      <c r="FE123" s="18"/>
      <c r="FF123" s="18"/>
      <c r="FG123" s="18"/>
      <c r="FH123" s="18"/>
      <c r="FI123" s="18"/>
      <c r="FJ123" s="18"/>
      <c r="FK123" s="18"/>
      <c r="FL123" s="18"/>
      <c r="FM123" s="18"/>
      <c r="FN123" s="18"/>
      <c r="FO123" s="18"/>
      <c r="FP123" s="18"/>
      <c r="FQ123" s="18"/>
      <c r="FW123" s="1"/>
      <c r="FX123" s="5"/>
    </row>
    <row r="124" spans="1:180" x14ac:dyDescent="0.2">
      <c r="A124" t="str">
        <f>QDistRnd_756_20251225!A84</f>
        <v>[[756,16,34]]</v>
      </c>
      <c r="B124">
        <f>QDistRnd_756_20251225!B84</f>
        <v>756</v>
      </c>
      <c r="C124">
        <v>34</v>
      </c>
      <c r="E124" cm="1">
        <f t="array" aca="1" ref="E124" ca="1">INDIRECT(E$67&amp;"!"&amp;E$65&amp;ROW(E84))</f>
        <v>44</v>
      </c>
      <c r="F124" cm="1">
        <f t="array" aca="1" ref="F124" ca="1">INDIRECT(F$67&amp;"!"&amp;F$65&amp;ROW(F88))</f>
        <v>40</v>
      </c>
      <c r="G124" cm="1">
        <f t="array" aca="1" ref="G124" ca="1">INDIRECT(G$67&amp;"!"&amp;G$65&amp;ROW(G88))</f>
        <v>36</v>
      </c>
      <c r="I124">
        <f t="shared" ca="1" si="48"/>
        <v>10</v>
      </c>
      <c r="J124">
        <f t="shared" ca="1" si="43"/>
        <v>6</v>
      </c>
      <c r="K124">
        <f t="shared" ca="1" si="44"/>
        <v>2</v>
      </c>
      <c r="M124" cm="1">
        <f t="array" aca="1" ref="M124" ca="1">INDIRECT(M$67&amp;"!"&amp;M$65&amp;ROW(M84))</f>
        <v>11.9861779999992</v>
      </c>
      <c r="N124" cm="1">
        <f t="array" aca="1" ref="N124" ca="1">INDIRECT(N$67&amp;"!"&amp;N$65&amp;ROW(N88))</f>
        <v>138.548965823836</v>
      </c>
      <c r="O124" cm="1">
        <f t="array" aca="1" ref="O124" ca="1">INDIRECT(O$67&amp;"!"&amp;O$65&amp;ROW(O88))</f>
        <v>132.394306180998</v>
      </c>
      <c r="Q124" cm="1">
        <f t="array" aca="1" ref="Q124" ca="1">INDIRECT(Q$67&amp;"!"&amp;Q$65&amp;ROW(Q84))</f>
        <v>1</v>
      </c>
      <c r="R124" cm="1">
        <f t="array" aca="1" ref="R124" ca="1">INDIRECT(R$67&amp;"!"&amp;R$65&amp;ROW(R88))</f>
        <v>1</v>
      </c>
      <c r="S124" cm="1">
        <f t="array" aca="1" ref="S124" ca="1">INDIRECT(S$67&amp;"!"&amp;S$65&amp;ROW(S88))</f>
        <v>4367</v>
      </c>
      <c r="U124" cm="1">
        <f t="array" aca="1" ref="U124" ca="1">INDIRECT(U$67&amp;"!"&amp;U$65&amp;ROW(U84))</f>
        <v>1</v>
      </c>
      <c r="V124" cm="1">
        <f t="array" aca="1" ref="V124" ca="1">INDIRECT(V$67&amp;"!"&amp;V$65&amp;ROW(V88))</f>
        <v>10000</v>
      </c>
      <c r="W124" cm="1">
        <f t="array" aca="1" ref="W124" ca="1">INDIRECT(W$67&amp;"!"&amp;W$65&amp;ROW(W88))</f>
        <v>10000</v>
      </c>
      <c r="Y124">
        <f t="shared" ca="1" si="49"/>
        <v>0</v>
      </c>
      <c r="Z124">
        <f t="shared" ca="1" si="45"/>
        <v>0</v>
      </c>
      <c r="AA124">
        <f t="shared" ca="1" si="45"/>
        <v>0</v>
      </c>
      <c r="FB124" s="18"/>
      <c r="FC124" s="18"/>
      <c r="FD124" s="18"/>
      <c r="FE124" s="18"/>
      <c r="FF124" s="18"/>
      <c r="FG124" s="18"/>
      <c r="FH124" s="18"/>
      <c r="FI124" s="18"/>
      <c r="FJ124" s="18"/>
      <c r="FK124" s="18"/>
      <c r="FL124" s="18"/>
      <c r="FM124" s="18"/>
      <c r="FN124" s="18"/>
      <c r="FO124" s="18"/>
      <c r="FP124" s="18"/>
      <c r="FQ124" s="18"/>
      <c r="FW124" s="1"/>
      <c r="FX124" s="5"/>
    </row>
    <row r="125" spans="1:180" x14ac:dyDescent="0.2">
      <c r="A125" t="str">
        <f>QDistRnd_756_20251225!A85</f>
        <v>[[756,16,34]]</v>
      </c>
      <c r="B125">
        <f>QDistRnd_756_20251225!B85</f>
        <v>756</v>
      </c>
      <c r="C125">
        <v>34</v>
      </c>
      <c r="E125" cm="1">
        <f t="array" aca="1" ref="E125" ca="1">INDIRECT(E$67&amp;"!"&amp;E$65&amp;ROW(E85))</f>
        <v>42</v>
      </c>
      <c r="F125" cm="1">
        <f t="array" aca="1" ref="F125" ca="1">INDIRECT(F$67&amp;"!"&amp;F$65&amp;ROW(F89))</f>
        <v>40</v>
      </c>
      <c r="G125" cm="1">
        <f t="array" aca="1" ref="G125" ca="1">INDIRECT(G$67&amp;"!"&amp;G$65&amp;ROW(G89))</f>
        <v>34</v>
      </c>
      <c r="I125">
        <f t="shared" ca="1" si="48"/>
        <v>8</v>
      </c>
      <c r="J125">
        <f t="shared" ca="1" si="43"/>
        <v>6</v>
      </c>
      <c r="K125">
        <f t="shared" ca="1" si="44"/>
        <v>0</v>
      </c>
      <c r="M125" cm="1">
        <f t="array" aca="1" ref="M125" ca="1">INDIRECT(M$67&amp;"!"&amp;M$65&amp;ROW(M85))</f>
        <v>11.628400834000701</v>
      </c>
      <c r="N125" cm="1">
        <f t="array" aca="1" ref="N125" ca="1">INDIRECT(N$67&amp;"!"&amp;N$65&amp;ROW(N89))</f>
        <v>138.472395129501</v>
      </c>
      <c r="O125" cm="1">
        <f t="array" aca="1" ref="O125" ca="1">INDIRECT(O$67&amp;"!"&amp;O$65&amp;ROW(O89))</f>
        <v>130.99329324997899</v>
      </c>
      <c r="Q125" cm="1">
        <f t="array" aca="1" ref="Q125" ca="1">INDIRECT(Q$67&amp;"!"&amp;Q$65&amp;ROW(Q85))</f>
        <v>1</v>
      </c>
      <c r="R125" cm="1">
        <f t="array" aca="1" ref="R125" ca="1">INDIRECT(R$67&amp;"!"&amp;R$65&amp;ROW(R89))</f>
        <v>1</v>
      </c>
      <c r="S125" cm="1">
        <f t="array" aca="1" ref="S125" ca="1">INDIRECT(S$67&amp;"!"&amp;S$65&amp;ROW(S89))</f>
        <v>2237</v>
      </c>
      <c r="U125" cm="1">
        <f t="array" aca="1" ref="U125" ca="1">INDIRECT(U$67&amp;"!"&amp;U$65&amp;ROW(U85))</f>
        <v>1</v>
      </c>
      <c r="V125" cm="1">
        <f t="array" aca="1" ref="V125" ca="1">INDIRECT(V$67&amp;"!"&amp;V$65&amp;ROW(V89))</f>
        <v>10000</v>
      </c>
      <c r="W125" cm="1">
        <f t="array" aca="1" ref="W125" ca="1">INDIRECT(W$67&amp;"!"&amp;W$65&amp;ROW(W89))</f>
        <v>10000</v>
      </c>
      <c r="Y125">
        <f t="shared" ca="1" si="49"/>
        <v>0</v>
      </c>
      <c r="Z125">
        <f t="shared" ca="1" si="45"/>
        <v>0</v>
      </c>
      <c r="AA125">
        <f t="shared" ca="1" si="45"/>
        <v>2237</v>
      </c>
      <c r="FB125" s="18"/>
      <c r="FC125" s="18"/>
      <c r="FD125" s="18"/>
      <c r="FE125" s="18"/>
      <c r="FF125" s="18"/>
      <c r="FG125" s="18"/>
      <c r="FH125" s="18"/>
      <c r="FI125" s="18"/>
      <c r="FJ125" s="18"/>
      <c r="FK125" s="18"/>
      <c r="FL125" s="18"/>
      <c r="FM125" s="18"/>
      <c r="FN125" s="18"/>
      <c r="FO125" s="18"/>
      <c r="FP125" s="18"/>
      <c r="FQ125" s="18"/>
      <c r="FW125" s="1"/>
      <c r="FX125" s="5"/>
    </row>
    <row r="126" spans="1:180" x14ac:dyDescent="0.2">
      <c r="A126" t="str">
        <f>QDistRnd_756_20251225!A86</f>
        <v>[[756,16,34]]</v>
      </c>
      <c r="B126">
        <f>QDistRnd_756_20251225!B86</f>
        <v>756</v>
      </c>
      <c r="C126">
        <v>34</v>
      </c>
      <c r="E126" cm="1">
        <f t="array" aca="1" ref="E126" ca="1">INDIRECT(E$67&amp;"!"&amp;E$65&amp;ROW(E86))</f>
        <v>38</v>
      </c>
      <c r="F126" cm="1">
        <f t="array" aca="1" ref="F126" ca="1">INDIRECT(F$67&amp;"!"&amp;F$65&amp;ROW(F90))</f>
        <v>42</v>
      </c>
      <c r="G126" cm="1">
        <f t="array" aca="1" ref="G126" ca="1">INDIRECT(G$67&amp;"!"&amp;G$65&amp;ROW(G90))</f>
        <v>36</v>
      </c>
      <c r="I126">
        <f t="shared" ca="1" si="48"/>
        <v>4</v>
      </c>
      <c r="J126">
        <f t="shared" ca="1" si="43"/>
        <v>8</v>
      </c>
      <c r="K126">
        <f t="shared" ca="1" si="44"/>
        <v>2</v>
      </c>
      <c r="M126" cm="1">
        <f t="array" aca="1" ref="M126" ca="1">INDIRECT(M$67&amp;"!"&amp;M$65&amp;ROW(M86))</f>
        <v>11.793655999998</v>
      </c>
      <c r="N126" cm="1">
        <f t="array" aca="1" ref="N126" ca="1">INDIRECT(N$67&amp;"!"&amp;N$65&amp;ROW(N90))</f>
        <v>138.53746082168001</v>
      </c>
      <c r="O126" cm="1">
        <f t="array" aca="1" ref="O126" ca="1">INDIRECT(O$67&amp;"!"&amp;O$65&amp;ROW(O90))</f>
        <v>137.882041578181</v>
      </c>
      <c r="Q126" cm="1">
        <f t="array" aca="1" ref="Q126" ca="1">INDIRECT(Q$67&amp;"!"&amp;Q$65&amp;ROW(Q86))</f>
        <v>1</v>
      </c>
      <c r="R126" cm="1">
        <f t="array" aca="1" ref="R126" ca="1">INDIRECT(R$67&amp;"!"&amp;R$65&amp;ROW(R90))</f>
        <v>2</v>
      </c>
      <c r="S126" cm="1">
        <f t="array" aca="1" ref="S126" ca="1">INDIRECT(S$67&amp;"!"&amp;S$65&amp;ROW(S90))</f>
        <v>2241</v>
      </c>
      <c r="U126" cm="1">
        <f t="array" aca="1" ref="U126" ca="1">INDIRECT(U$67&amp;"!"&amp;U$65&amp;ROW(U86))</f>
        <v>1</v>
      </c>
      <c r="V126" cm="1">
        <f t="array" aca="1" ref="V126" ca="1">INDIRECT(V$67&amp;"!"&amp;V$65&amp;ROW(V90))</f>
        <v>10000</v>
      </c>
      <c r="W126" cm="1">
        <f t="array" aca="1" ref="W126" ca="1">INDIRECT(W$67&amp;"!"&amp;W$65&amp;ROW(W90))</f>
        <v>10000</v>
      </c>
      <c r="Y126">
        <f t="shared" ca="1" si="49"/>
        <v>0</v>
      </c>
      <c r="Z126">
        <f t="shared" ca="1" si="45"/>
        <v>0</v>
      </c>
      <c r="AA126">
        <f t="shared" ca="1" si="45"/>
        <v>0</v>
      </c>
      <c r="FB126" s="18"/>
      <c r="FC126" s="18"/>
      <c r="FD126" s="18"/>
      <c r="FE126" s="18"/>
      <c r="FF126" s="18"/>
      <c r="FG126" s="18"/>
      <c r="FH126" s="18"/>
      <c r="FI126" s="18"/>
      <c r="FJ126" s="18"/>
      <c r="FK126" s="18"/>
      <c r="FL126" s="18"/>
      <c r="FM126" s="18"/>
      <c r="FN126" s="18"/>
      <c r="FO126" s="18"/>
      <c r="FP126" s="18"/>
      <c r="FQ126" s="18"/>
      <c r="FW126" s="1"/>
      <c r="FX126" s="5"/>
    </row>
    <row r="127" spans="1:180" x14ac:dyDescent="0.2">
      <c r="A127" t="str">
        <f>QDistRnd_756_20251225!A87</f>
        <v>[[756,16,34]]</v>
      </c>
      <c r="B127">
        <f>QDistRnd_756_20251225!B87</f>
        <v>756</v>
      </c>
      <c r="C127">
        <v>34</v>
      </c>
      <c r="E127" cm="1">
        <f t="array" aca="1" ref="E127" ca="1">INDIRECT(E$67&amp;"!"&amp;E$65&amp;ROW(E87))</f>
        <v>40</v>
      </c>
      <c r="F127" cm="1">
        <f t="array" aca="1" ref="F127" ca="1">INDIRECT(F$67&amp;"!"&amp;F$65&amp;ROW(F91))</f>
        <v>42</v>
      </c>
      <c r="G127" cm="1">
        <f t="array" aca="1" ref="G127" ca="1">INDIRECT(G$67&amp;"!"&amp;G$65&amp;ROW(G91))</f>
        <v>34</v>
      </c>
      <c r="I127">
        <f t="shared" ca="1" si="48"/>
        <v>6</v>
      </c>
      <c r="J127">
        <f t="shared" ca="1" si="43"/>
        <v>8</v>
      </c>
      <c r="K127">
        <f t="shared" ca="1" si="44"/>
        <v>0</v>
      </c>
      <c r="M127" cm="1">
        <f t="array" aca="1" ref="M127" ca="1">INDIRECT(M$67&amp;"!"&amp;M$65&amp;ROW(M87))</f>
        <v>12.3563906660019</v>
      </c>
      <c r="N127" cm="1">
        <f t="array" aca="1" ref="N127" ca="1">INDIRECT(N$67&amp;"!"&amp;N$65&amp;ROW(N91))</f>
        <v>138.610197340138</v>
      </c>
      <c r="O127" cm="1">
        <f t="array" aca="1" ref="O127" ca="1">INDIRECT(O$67&amp;"!"&amp;O$65&amp;ROW(O91))</f>
        <v>132.72338080778701</v>
      </c>
      <c r="Q127" cm="1">
        <f t="array" aca="1" ref="Q127" ca="1">INDIRECT(Q$67&amp;"!"&amp;Q$65&amp;ROW(Q87))</f>
        <v>1</v>
      </c>
      <c r="R127" cm="1">
        <f t="array" aca="1" ref="R127" ca="1">INDIRECT(R$67&amp;"!"&amp;R$65&amp;ROW(R91))</f>
        <v>2</v>
      </c>
      <c r="S127" cm="1">
        <f t="array" aca="1" ref="S127" ca="1">INDIRECT(S$67&amp;"!"&amp;S$65&amp;ROW(S91))</f>
        <v>4703</v>
      </c>
      <c r="U127" cm="1">
        <f t="array" aca="1" ref="U127" ca="1">INDIRECT(U$67&amp;"!"&amp;U$65&amp;ROW(U87))</f>
        <v>1</v>
      </c>
      <c r="V127" cm="1">
        <f t="array" aca="1" ref="V127" ca="1">INDIRECT(V$67&amp;"!"&amp;V$65&amp;ROW(V91))</f>
        <v>10000</v>
      </c>
      <c r="W127" cm="1">
        <f t="array" aca="1" ref="W127" ca="1">INDIRECT(W$67&amp;"!"&amp;W$65&amp;ROW(W91))</f>
        <v>10000</v>
      </c>
      <c r="Y127">
        <f t="shared" ca="1" si="49"/>
        <v>0</v>
      </c>
      <c r="Z127">
        <f t="shared" ca="1" si="45"/>
        <v>0</v>
      </c>
      <c r="AA127">
        <f t="shared" ca="1" si="45"/>
        <v>4703</v>
      </c>
      <c r="FB127" s="18"/>
      <c r="FC127" s="18"/>
      <c r="FD127" s="18"/>
      <c r="FE127" s="18"/>
      <c r="FF127" s="18"/>
      <c r="FG127" s="18"/>
      <c r="FH127" s="18"/>
      <c r="FI127" s="18"/>
      <c r="FJ127" s="18"/>
      <c r="FK127" s="18"/>
      <c r="FL127" s="18"/>
      <c r="FM127" s="18"/>
      <c r="FN127" s="18"/>
      <c r="FO127" s="18"/>
      <c r="FP127" s="18"/>
      <c r="FQ127" s="18"/>
      <c r="FW127" s="1"/>
      <c r="FX127" s="5"/>
    </row>
    <row r="128" spans="1:180" x14ac:dyDescent="0.2">
      <c r="A128" t="str">
        <f>QDistRnd_756_20251225!A88</f>
        <v>[[756,16,34]]</v>
      </c>
      <c r="B128">
        <f>QDistRnd_756_20251225!B88</f>
        <v>756</v>
      </c>
      <c r="C128">
        <v>34</v>
      </c>
      <c r="E128" cm="1">
        <f t="array" aca="1" ref="E128" ca="1">INDIRECT(E$67&amp;"!"&amp;E$65&amp;ROW(E88))</f>
        <v>40</v>
      </c>
      <c r="F128" cm="1">
        <f t="array" aca="1" ref="F128" ca="1">INDIRECT(F$67&amp;"!"&amp;F$65&amp;ROW(F92))</f>
        <v>36</v>
      </c>
      <c r="G128" cm="1">
        <f t="array" aca="1" ref="G128" ca="1">INDIRECT(G$67&amp;"!"&amp;G$65&amp;ROW(G92))</f>
        <v>36</v>
      </c>
      <c r="I128">
        <f t="shared" ca="1" si="48"/>
        <v>6</v>
      </c>
      <c r="J128">
        <f t="shared" ca="1" si="43"/>
        <v>2</v>
      </c>
      <c r="K128">
        <f t="shared" ca="1" si="44"/>
        <v>2</v>
      </c>
      <c r="M128" cm="1">
        <f t="array" aca="1" ref="M128" ca="1">INDIRECT(M$67&amp;"!"&amp;M$65&amp;ROW(M88))</f>
        <v>12.7076204589975</v>
      </c>
      <c r="N128" cm="1">
        <f t="array" aca="1" ref="N128" ca="1">INDIRECT(N$67&amp;"!"&amp;N$65&amp;ROW(N92))</f>
        <v>138.485872838646</v>
      </c>
      <c r="O128" cm="1">
        <f t="array" aca="1" ref="O128" ca="1">INDIRECT(O$67&amp;"!"&amp;O$65&amp;ROW(O92))</f>
        <v>135.919921823777</v>
      </c>
      <c r="Q128" cm="1">
        <f t="array" aca="1" ref="Q128" ca="1">INDIRECT(Q$67&amp;"!"&amp;Q$65&amp;ROW(Q88))</f>
        <v>1</v>
      </c>
      <c r="R128" cm="1">
        <f t="array" aca="1" ref="R128" ca="1">INDIRECT(R$67&amp;"!"&amp;R$65&amp;ROW(R92))</f>
        <v>1</v>
      </c>
      <c r="S128" cm="1">
        <f t="array" aca="1" ref="S128" ca="1">INDIRECT(S$67&amp;"!"&amp;S$65&amp;ROW(S92))</f>
        <v>3208</v>
      </c>
      <c r="U128" cm="1">
        <f t="array" aca="1" ref="U128" ca="1">INDIRECT(U$67&amp;"!"&amp;U$65&amp;ROW(U88))</f>
        <v>1</v>
      </c>
      <c r="V128" cm="1">
        <f t="array" aca="1" ref="V128" ca="1">INDIRECT(V$67&amp;"!"&amp;V$65&amp;ROW(V92))</f>
        <v>10000</v>
      </c>
      <c r="W128" cm="1">
        <f t="array" aca="1" ref="W128" ca="1">INDIRECT(W$67&amp;"!"&amp;W$65&amp;ROW(W92))</f>
        <v>10000</v>
      </c>
      <c r="Y128">
        <f t="shared" ca="1" si="49"/>
        <v>0</v>
      </c>
      <c r="Z128">
        <f t="shared" ca="1" si="45"/>
        <v>0</v>
      </c>
      <c r="AA128">
        <f t="shared" ca="1" si="45"/>
        <v>0</v>
      </c>
      <c r="FB128" s="18"/>
      <c r="FC128" s="18"/>
      <c r="FD128" s="18"/>
      <c r="FE128" s="18"/>
      <c r="FF128" s="18"/>
      <c r="FG128" s="18"/>
      <c r="FH128" s="18"/>
      <c r="FI128" s="18"/>
      <c r="FJ128" s="18"/>
      <c r="FK128" s="18"/>
      <c r="FL128" s="18"/>
      <c r="FM128" s="18"/>
      <c r="FN128" s="18"/>
      <c r="FO128" s="18"/>
      <c r="FP128" s="18"/>
      <c r="FQ128" s="18"/>
      <c r="FW128" s="1"/>
      <c r="FX128" s="5"/>
    </row>
    <row r="129" spans="1:180" x14ac:dyDescent="0.2">
      <c r="A129" t="str">
        <f>QDistRnd_756_20251225!A89</f>
        <v>[[756,16,34]]</v>
      </c>
      <c r="B129">
        <f>QDistRnd_756_20251225!B89</f>
        <v>756</v>
      </c>
      <c r="C129">
        <v>34</v>
      </c>
      <c r="E129" cm="1">
        <f t="array" aca="1" ref="E129" ca="1">INDIRECT(E$67&amp;"!"&amp;E$65&amp;ROW(E89))</f>
        <v>34</v>
      </c>
      <c r="F129" cm="1">
        <f t="array" aca="1" ref="F129" ca="1">INDIRECT(F$67&amp;"!"&amp;F$65&amp;ROW(F93))</f>
        <v>36</v>
      </c>
      <c r="G129" cm="1">
        <f t="array" aca="1" ref="G129" ca="1">INDIRECT(G$67&amp;"!"&amp;G$65&amp;ROW(G93))</f>
        <v>34</v>
      </c>
      <c r="I129">
        <f t="shared" ca="1" si="48"/>
        <v>0</v>
      </c>
      <c r="J129">
        <f t="shared" ca="1" si="43"/>
        <v>2</v>
      </c>
      <c r="K129">
        <f t="shared" ca="1" si="44"/>
        <v>0</v>
      </c>
      <c r="M129" cm="1">
        <f t="array" aca="1" ref="M129" ca="1">INDIRECT(M$67&amp;"!"&amp;M$65&amp;ROW(M89))</f>
        <v>12.5674589580012</v>
      </c>
      <c r="N129" cm="1">
        <f t="array" aca="1" ref="N129" ca="1">INDIRECT(N$67&amp;"!"&amp;N$65&amp;ROW(N93))</f>
        <v>138.47581508848799</v>
      </c>
      <c r="O129" cm="1">
        <f t="array" aca="1" ref="O129" ca="1">INDIRECT(O$67&amp;"!"&amp;O$65&amp;ROW(O93))</f>
        <v>132.16946597117899</v>
      </c>
      <c r="Q129" cm="1">
        <f t="array" aca="1" ref="Q129" ca="1">INDIRECT(Q$67&amp;"!"&amp;Q$65&amp;ROW(Q89))</f>
        <v>1</v>
      </c>
      <c r="R129" cm="1">
        <f t="array" aca="1" ref="R129" ca="1">INDIRECT(R$67&amp;"!"&amp;R$65&amp;ROW(R93))</f>
        <v>1</v>
      </c>
      <c r="S129" cm="1">
        <f t="array" aca="1" ref="S129" ca="1">INDIRECT(S$67&amp;"!"&amp;S$65&amp;ROW(S93))</f>
        <v>3335</v>
      </c>
      <c r="U129" cm="1">
        <f t="array" aca="1" ref="U129" ca="1">INDIRECT(U$67&amp;"!"&amp;U$65&amp;ROW(U89))</f>
        <v>1</v>
      </c>
      <c r="V129" cm="1">
        <f t="array" aca="1" ref="V129" ca="1">INDIRECT(V$67&amp;"!"&amp;V$65&amp;ROW(V93))</f>
        <v>10000</v>
      </c>
      <c r="W129" cm="1">
        <f t="array" aca="1" ref="W129" ca="1">INDIRECT(W$67&amp;"!"&amp;W$65&amp;ROW(W93))</f>
        <v>10000</v>
      </c>
      <c r="Y129">
        <f t="shared" ca="1" si="49"/>
        <v>1</v>
      </c>
      <c r="Z129">
        <f t="shared" ca="1" si="45"/>
        <v>0</v>
      </c>
      <c r="AA129">
        <f t="shared" ca="1" si="45"/>
        <v>3335</v>
      </c>
      <c r="FB129" s="18"/>
      <c r="FC129" s="18"/>
      <c r="FD129" s="18"/>
      <c r="FE129" s="18"/>
      <c r="FF129" s="18"/>
      <c r="FG129" s="18"/>
      <c r="FH129" s="18"/>
      <c r="FI129" s="18"/>
      <c r="FJ129" s="18"/>
      <c r="FK129" s="18"/>
      <c r="FL129" s="18"/>
      <c r="FM129" s="18"/>
      <c r="FN129" s="18"/>
      <c r="FO129" s="18"/>
      <c r="FP129" s="18"/>
      <c r="FQ129" s="18"/>
      <c r="FW129" s="1"/>
      <c r="FX129" s="5"/>
    </row>
    <row r="130" spans="1:180" x14ac:dyDescent="0.2">
      <c r="A130" t="str">
        <f>QDistRnd_756_20251225!A90</f>
        <v>[[756,16,34]]</v>
      </c>
      <c r="B130">
        <f>QDistRnd_756_20251225!B90</f>
        <v>756</v>
      </c>
      <c r="C130">
        <v>34</v>
      </c>
      <c r="E130" cm="1">
        <f t="array" aca="1" ref="E130" ca="1">INDIRECT(E$67&amp;"!"&amp;E$65&amp;ROW(E90))</f>
        <v>44</v>
      </c>
      <c r="F130" cm="1">
        <f t="array" aca="1" ref="F130" ca="1">INDIRECT(F$67&amp;"!"&amp;F$65&amp;ROW(F94))</f>
        <v>44</v>
      </c>
      <c r="G130" cm="1">
        <f t="array" aca="1" ref="G130" ca="1">INDIRECT(G$67&amp;"!"&amp;G$65&amp;ROW(G94))</f>
        <v>34</v>
      </c>
      <c r="I130">
        <f t="shared" ca="1" si="48"/>
        <v>10</v>
      </c>
      <c r="J130">
        <f t="shared" ca="1" si="43"/>
        <v>10</v>
      </c>
      <c r="K130">
        <f t="shared" ca="1" si="44"/>
        <v>0</v>
      </c>
      <c r="M130" cm="1">
        <f t="array" aca="1" ref="M130" ca="1">INDIRECT(M$67&amp;"!"&amp;M$65&amp;ROW(M90))</f>
        <v>12.084490583001701</v>
      </c>
      <c r="N130" cm="1">
        <f t="array" aca="1" ref="N130" ca="1">INDIRECT(N$67&amp;"!"&amp;N$65&amp;ROW(N94))</f>
        <v>138.510394003242</v>
      </c>
      <c r="O130" cm="1">
        <f t="array" aca="1" ref="O130" ca="1">INDIRECT(O$67&amp;"!"&amp;O$65&amp;ROW(O94))</f>
        <v>138.32874249759999</v>
      </c>
      <c r="Q130" cm="1">
        <f t="array" aca="1" ref="Q130" ca="1">INDIRECT(Q$67&amp;"!"&amp;Q$65&amp;ROW(Q90))</f>
        <v>1</v>
      </c>
      <c r="R130" cm="1">
        <f t="array" aca="1" ref="R130" ca="1">INDIRECT(R$67&amp;"!"&amp;R$65&amp;ROW(R94))</f>
        <v>1</v>
      </c>
      <c r="S130" cm="1">
        <f t="array" aca="1" ref="S130" ca="1">INDIRECT(S$67&amp;"!"&amp;S$65&amp;ROW(S94))</f>
        <v>2001</v>
      </c>
      <c r="U130" cm="1">
        <f t="array" aca="1" ref="U130" ca="1">INDIRECT(U$67&amp;"!"&amp;U$65&amp;ROW(U90))</f>
        <v>1</v>
      </c>
      <c r="V130" cm="1">
        <f t="array" aca="1" ref="V130" ca="1">INDIRECT(V$67&amp;"!"&amp;V$65&amp;ROW(V94))</f>
        <v>10000</v>
      </c>
      <c r="W130" cm="1">
        <f t="array" aca="1" ref="W130" ca="1">INDIRECT(W$67&amp;"!"&amp;W$65&amp;ROW(W94))</f>
        <v>10000</v>
      </c>
      <c r="Y130">
        <f t="shared" ca="1" si="49"/>
        <v>0</v>
      </c>
      <c r="Z130">
        <f t="shared" ca="1" si="45"/>
        <v>0</v>
      </c>
      <c r="AA130">
        <f t="shared" ca="1" si="45"/>
        <v>2001</v>
      </c>
      <c r="FB130" s="18"/>
      <c r="FC130" s="18"/>
      <c r="FD130" s="18"/>
      <c r="FE130" s="18"/>
      <c r="FF130" s="18"/>
      <c r="FG130" s="18"/>
      <c r="FH130" s="18"/>
      <c r="FI130" s="18"/>
      <c r="FJ130" s="18"/>
      <c r="FK130" s="18"/>
      <c r="FL130" s="18"/>
      <c r="FM130" s="18"/>
      <c r="FN130" s="18"/>
      <c r="FO130" s="18"/>
      <c r="FP130" s="18"/>
      <c r="FQ130" s="18"/>
      <c r="FW130" s="1"/>
      <c r="FX130" s="5"/>
    </row>
    <row r="131" spans="1:180" x14ac:dyDescent="0.2">
      <c r="A131" t="str">
        <f>QDistRnd_756_20251225!A91</f>
        <v>[[756,16,34]]</v>
      </c>
      <c r="B131">
        <f>QDistRnd_756_20251225!B91</f>
        <v>756</v>
      </c>
      <c r="C131">
        <v>34</v>
      </c>
      <c r="E131" cm="1">
        <f t="array" aca="1" ref="E131" ca="1">INDIRECT(E$67&amp;"!"&amp;E$65&amp;ROW(E91))</f>
        <v>42</v>
      </c>
      <c r="F131" cm="1">
        <f t="array" aca="1" ref="F131" ca="1">INDIRECT(F$67&amp;"!"&amp;F$65&amp;ROW(F95))</f>
        <v>42</v>
      </c>
      <c r="G131" cm="1">
        <f t="array" aca="1" ref="G131" ca="1">INDIRECT(G$67&amp;"!"&amp;G$65&amp;ROW(G95))</f>
        <v>34</v>
      </c>
      <c r="I131">
        <f t="shared" ca="1" si="48"/>
        <v>8</v>
      </c>
      <c r="J131">
        <f t="shared" ca="1" si="43"/>
        <v>8</v>
      </c>
      <c r="K131">
        <f t="shared" ca="1" si="44"/>
        <v>0</v>
      </c>
      <c r="M131" cm="1">
        <f t="array" aca="1" ref="M131" ca="1">INDIRECT(M$67&amp;"!"&amp;M$65&amp;ROW(M91))</f>
        <v>11.9756911669974</v>
      </c>
      <c r="N131" cm="1">
        <f t="array" aca="1" ref="N131" ca="1">INDIRECT(N$67&amp;"!"&amp;N$65&amp;ROW(N95))</f>
        <v>138.489773983135</v>
      </c>
      <c r="O131" cm="1">
        <f t="array" aca="1" ref="O131" ca="1">INDIRECT(O$67&amp;"!"&amp;O$65&amp;ROW(O95))</f>
        <v>135.04717615898599</v>
      </c>
      <c r="Q131" cm="1">
        <f t="array" aca="1" ref="Q131" ca="1">INDIRECT(Q$67&amp;"!"&amp;Q$65&amp;ROW(Q91))</f>
        <v>1</v>
      </c>
      <c r="R131" cm="1">
        <f t="array" aca="1" ref="R131" ca="1">INDIRECT(R$67&amp;"!"&amp;R$65&amp;ROW(R95))</f>
        <v>1</v>
      </c>
      <c r="S131" cm="1">
        <f t="array" aca="1" ref="S131" ca="1">INDIRECT(S$67&amp;"!"&amp;S$65&amp;ROW(S95))</f>
        <v>2471</v>
      </c>
      <c r="U131" cm="1">
        <f t="array" aca="1" ref="U131" ca="1">INDIRECT(U$67&amp;"!"&amp;U$65&amp;ROW(U91))</f>
        <v>1</v>
      </c>
      <c r="V131" cm="1">
        <f t="array" aca="1" ref="V131" ca="1">INDIRECT(V$67&amp;"!"&amp;V$65&amp;ROW(V95))</f>
        <v>10000</v>
      </c>
      <c r="W131" cm="1">
        <f t="array" aca="1" ref="W131" ca="1">INDIRECT(W$67&amp;"!"&amp;W$65&amp;ROW(W95))</f>
        <v>10000</v>
      </c>
      <c r="Y131">
        <f t="shared" ca="1" si="49"/>
        <v>0</v>
      </c>
      <c r="Z131">
        <f t="shared" ca="1" si="45"/>
        <v>0</v>
      </c>
      <c r="AA131">
        <f t="shared" ca="1" si="45"/>
        <v>2471</v>
      </c>
      <c r="FB131" s="18"/>
      <c r="FC131" s="18"/>
      <c r="FD131" s="18"/>
      <c r="FE131" s="18"/>
      <c r="FF131" s="18"/>
      <c r="FG131" s="18"/>
      <c r="FH131" s="18"/>
      <c r="FI131" s="18"/>
      <c r="FJ131" s="18"/>
      <c r="FK131" s="18"/>
      <c r="FL131" s="18"/>
      <c r="FM131" s="18"/>
      <c r="FN131" s="18"/>
      <c r="FO131" s="18"/>
      <c r="FP131" s="18"/>
      <c r="FQ131" s="18"/>
      <c r="FW131" s="1"/>
      <c r="FX131" s="5"/>
    </row>
    <row r="132" spans="1:180" x14ac:dyDescent="0.2">
      <c r="A132" t="str">
        <f>QDistRnd_756_20251225!A92</f>
        <v>[[756,16,34]]</v>
      </c>
      <c r="B132">
        <f>QDistRnd_756_20251225!B92</f>
        <v>756</v>
      </c>
      <c r="C132">
        <v>34</v>
      </c>
      <c r="E132" cm="1">
        <f t="array" aca="1" ref="E132" ca="1">INDIRECT(E$67&amp;"!"&amp;E$65&amp;ROW(E92))</f>
        <v>42</v>
      </c>
      <c r="F132" cm="1">
        <f t="array" aca="1" ref="F132" ca="1">INDIRECT(F$67&amp;"!"&amp;F$65&amp;ROW(F96))</f>
        <v>46</v>
      </c>
      <c r="G132" cm="1">
        <f t="array" aca="1" ref="G132" ca="1">INDIRECT(G$67&amp;"!"&amp;G$65&amp;ROW(G96))</f>
        <v>34</v>
      </c>
      <c r="I132">
        <f t="shared" ca="1" si="48"/>
        <v>8</v>
      </c>
      <c r="J132">
        <f t="shared" ref="J132:J167" ca="1" si="50">F132-$C132</f>
        <v>12</v>
      </c>
      <c r="K132">
        <f t="shared" ref="K132:K167" ca="1" si="51">G132-$C132</f>
        <v>0</v>
      </c>
      <c r="M132" cm="1">
        <f t="array" aca="1" ref="M132" ca="1">INDIRECT(M$67&amp;"!"&amp;M$65&amp;ROW(M92))</f>
        <v>11.8200195419995</v>
      </c>
      <c r="N132" cm="1">
        <f t="array" aca="1" ref="N132" ca="1">INDIRECT(N$67&amp;"!"&amp;N$65&amp;ROW(N96))</f>
        <v>138.600600364618</v>
      </c>
      <c r="O132" cm="1">
        <f t="array" aca="1" ref="O132" ca="1">INDIRECT(O$67&amp;"!"&amp;O$65&amp;ROW(O96))</f>
        <v>133.39754680637199</v>
      </c>
      <c r="Q132" cm="1">
        <f t="array" aca="1" ref="Q132" ca="1">INDIRECT(Q$67&amp;"!"&amp;Q$65&amp;ROW(Q92))</f>
        <v>1</v>
      </c>
      <c r="R132" cm="1">
        <f t="array" aca="1" ref="R132" ca="1">INDIRECT(R$67&amp;"!"&amp;R$65&amp;ROW(R96))</f>
        <v>2</v>
      </c>
      <c r="S132" cm="1">
        <f t="array" aca="1" ref="S132" ca="1">INDIRECT(S$67&amp;"!"&amp;S$65&amp;ROW(S96))</f>
        <v>3357</v>
      </c>
      <c r="U132" cm="1">
        <f t="array" aca="1" ref="U132" ca="1">INDIRECT(U$67&amp;"!"&amp;U$65&amp;ROW(U92))</f>
        <v>1</v>
      </c>
      <c r="V132" cm="1">
        <f t="array" aca="1" ref="V132" ca="1">INDIRECT(V$67&amp;"!"&amp;V$65&amp;ROW(V96))</f>
        <v>10000</v>
      </c>
      <c r="W132" cm="1">
        <f t="array" aca="1" ref="W132" ca="1">INDIRECT(W$67&amp;"!"&amp;W$65&amp;ROW(W96))</f>
        <v>10000</v>
      </c>
      <c r="Y132">
        <f t="shared" ca="1" si="49"/>
        <v>0</v>
      </c>
      <c r="Z132">
        <f t="shared" ref="Z132:AA167" ca="1" si="52">IF(J132=0,R132,0)</f>
        <v>0</v>
      </c>
      <c r="AA132">
        <f t="shared" ca="1" si="52"/>
        <v>3357</v>
      </c>
      <c r="FB132" s="18"/>
      <c r="FC132" s="18"/>
      <c r="FD132" s="18"/>
      <c r="FE132" s="18"/>
      <c r="FF132" s="18"/>
      <c r="FG132" s="18"/>
      <c r="FH132" s="18"/>
      <c r="FI132" s="18"/>
      <c r="FJ132" s="18"/>
      <c r="FK132" s="18"/>
      <c r="FL132" s="18"/>
      <c r="FM132" s="18"/>
      <c r="FN132" s="18"/>
      <c r="FO132" s="18"/>
      <c r="FP132" s="18"/>
      <c r="FQ132" s="18"/>
      <c r="FW132" s="1"/>
      <c r="FX132" s="5"/>
    </row>
    <row r="133" spans="1:180" x14ac:dyDescent="0.2">
      <c r="A133" t="str">
        <f>QDistRnd_756_20251225!A93</f>
        <v>[[756,16,34]]</v>
      </c>
      <c r="B133">
        <f>QDistRnd_756_20251225!B93</f>
        <v>756</v>
      </c>
      <c r="C133">
        <v>34</v>
      </c>
      <c r="E133" cm="1">
        <f t="array" aca="1" ref="E133" ca="1">INDIRECT(E$67&amp;"!"&amp;E$65&amp;ROW(E93))</f>
        <v>40</v>
      </c>
      <c r="F133" cm="1">
        <f t="array" aca="1" ref="F133" ca="1">INDIRECT(F$67&amp;"!"&amp;F$65&amp;ROW(F97))</f>
        <v>46</v>
      </c>
      <c r="G133" cm="1">
        <f t="array" aca="1" ref="G133" ca="1">INDIRECT(G$67&amp;"!"&amp;G$65&amp;ROW(G97))</f>
        <v>34</v>
      </c>
      <c r="I133">
        <f t="shared" ref="I133:I167" ca="1" si="53">E133-$C133</f>
        <v>6</v>
      </c>
      <c r="J133">
        <f t="shared" ca="1" si="50"/>
        <v>12</v>
      </c>
      <c r="K133">
        <f t="shared" ca="1" si="51"/>
        <v>0</v>
      </c>
      <c r="M133" cm="1">
        <f t="array" aca="1" ref="M133" ca="1">INDIRECT(M$67&amp;"!"&amp;M$65&amp;ROW(M93))</f>
        <v>11.9755500829996</v>
      </c>
      <c r="N133" cm="1">
        <f t="array" aca="1" ref="N133" ca="1">INDIRECT(N$67&amp;"!"&amp;N$65&amp;ROW(N97))</f>
        <v>138.41822949238099</v>
      </c>
      <c r="O133" cm="1">
        <f t="array" aca="1" ref="O133" ca="1">INDIRECT(O$67&amp;"!"&amp;O$65&amp;ROW(O97))</f>
        <v>136.56812163814899</v>
      </c>
      <c r="Q133" cm="1">
        <f t="array" aca="1" ref="Q133" ca="1">INDIRECT(Q$67&amp;"!"&amp;Q$65&amp;ROW(Q93))</f>
        <v>1</v>
      </c>
      <c r="R133" cm="1">
        <f t="array" aca="1" ref="R133" ca="1">INDIRECT(R$67&amp;"!"&amp;R$65&amp;ROW(R97))</f>
        <v>1</v>
      </c>
      <c r="S133" cm="1">
        <f t="array" aca="1" ref="S133" ca="1">INDIRECT(S$67&amp;"!"&amp;S$65&amp;ROW(S97))</f>
        <v>3080</v>
      </c>
      <c r="U133" cm="1">
        <f t="array" aca="1" ref="U133" ca="1">INDIRECT(U$67&amp;"!"&amp;U$65&amp;ROW(U93))</f>
        <v>1</v>
      </c>
      <c r="V133" cm="1">
        <f t="array" aca="1" ref="V133" ca="1">INDIRECT(V$67&amp;"!"&amp;V$65&amp;ROW(V97))</f>
        <v>10000</v>
      </c>
      <c r="W133" cm="1">
        <f t="array" aca="1" ref="W133" ca="1">INDIRECT(W$67&amp;"!"&amp;W$65&amp;ROW(W97))</f>
        <v>10000</v>
      </c>
      <c r="Y133">
        <f t="shared" ref="Y133:Y167" ca="1" si="54">IF(I133=0,Q133,0)</f>
        <v>0</v>
      </c>
      <c r="Z133">
        <f t="shared" ca="1" si="52"/>
        <v>0</v>
      </c>
      <c r="AA133">
        <f t="shared" ca="1" si="52"/>
        <v>3080</v>
      </c>
      <c r="FB133" s="18"/>
      <c r="FC133" s="18"/>
      <c r="FD133" s="18"/>
      <c r="FE133" s="18"/>
      <c r="FF133" s="18"/>
      <c r="FG133" s="18"/>
      <c r="FH133" s="18"/>
      <c r="FI133" s="18"/>
      <c r="FJ133" s="18"/>
      <c r="FK133" s="18"/>
      <c r="FL133" s="18"/>
      <c r="FM133" s="18"/>
      <c r="FN133" s="18"/>
      <c r="FO133" s="18"/>
      <c r="FP133" s="18"/>
      <c r="FQ133" s="18"/>
      <c r="FW133" s="1"/>
      <c r="FX133" s="5"/>
    </row>
    <row r="134" spans="1:180" x14ac:dyDescent="0.2">
      <c r="A134" t="str">
        <f>QDistRnd_756_20251225!A94</f>
        <v>[[756,16,34]]</v>
      </c>
      <c r="B134">
        <f>QDistRnd_756_20251225!B94</f>
        <v>756</v>
      </c>
      <c r="C134">
        <v>34</v>
      </c>
      <c r="E134" cm="1">
        <f t="array" aca="1" ref="E134" ca="1">INDIRECT(E$67&amp;"!"&amp;E$65&amp;ROW(E94))</f>
        <v>38</v>
      </c>
      <c r="F134" cm="1">
        <f t="array" aca="1" ref="F134" ca="1">INDIRECT(F$67&amp;"!"&amp;F$65&amp;ROW(F98))</f>
        <v>42</v>
      </c>
      <c r="G134" cm="1">
        <f t="array" aca="1" ref="G134" ca="1">INDIRECT(G$67&amp;"!"&amp;G$65&amp;ROW(G98))</f>
        <v>34</v>
      </c>
      <c r="I134">
        <f t="shared" ca="1" si="53"/>
        <v>4</v>
      </c>
      <c r="J134">
        <f t="shared" ca="1" si="50"/>
        <v>8</v>
      </c>
      <c r="K134">
        <f t="shared" ca="1" si="51"/>
        <v>0</v>
      </c>
      <c r="M134" cm="1">
        <f t="array" aca="1" ref="M134" ca="1">INDIRECT(M$67&amp;"!"&amp;M$65&amp;ROW(M94))</f>
        <v>12.1665371250019</v>
      </c>
      <c r="N134" cm="1">
        <f t="array" aca="1" ref="N134" ca="1">INDIRECT(N$67&amp;"!"&amp;N$65&amp;ROW(N98))</f>
        <v>138.60973815247399</v>
      </c>
      <c r="O134" cm="1">
        <f t="array" aca="1" ref="O134" ca="1">INDIRECT(O$67&amp;"!"&amp;O$65&amp;ROW(O98))</f>
        <v>133.574802760034</v>
      </c>
      <c r="Q134" cm="1">
        <f t="array" aca="1" ref="Q134" ca="1">INDIRECT(Q$67&amp;"!"&amp;Q$65&amp;ROW(Q94))</f>
        <v>1</v>
      </c>
      <c r="R134" cm="1">
        <f t="array" aca="1" ref="R134" ca="1">INDIRECT(R$67&amp;"!"&amp;R$65&amp;ROW(R98))</f>
        <v>1</v>
      </c>
      <c r="S134" cm="1">
        <f t="array" aca="1" ref="S134" ca="1">INDIRECT(S$67&amp;"!"&amp;S$65&amp;ROW(S98))</f>
        <v>4072</v>
      </c>
      <c r="U134" cm="1">
        <f t="array" aca="1" ref="U134" ca="1">INDIRECT(U$67&amp;"!"&amp;U$65&amp;ROW(U94))</f>
        <v>1</v>
      </c>
      <c r="V134" cm="1">
        <f t="array" aca="1" ref="V134" ca="1">INDIRECT(V$67&amp;"!"&amp;V$65&amp;ROW(V98))</f>
        <v>10000</v>
      </c>
      <c r="W134" cm="1">
        <f t="array" aca="1" ref="W134" ca="1">INDIRECT(W$67&amp;"!"&amp;W$65&amp;ROW(W98))</f>
        <v>10000</v>
      </c>
      <c r="Y134">
        <f t="shared" ca="1" si="54"/>
        <v>0</v>
      </c>
      <c r="Z134">
        <f t="shared" ca="1" si="52"/>
        <v>0</v>
      </c>
      <c r="AA134">
        <f t="shared" ca="1" si="52"/>
        <v>4072</v>
      </c>
      <c r="FB134" s="18"/>
      <c r="FC134" s="18"/>
      <c r="FD134" s="18"/>
      <c r="FE134" s="18"/>
      <c r="FF134" s="18"/>
      <c r="FG134" s="18"/>
      <c r="FH134" s="18"/>
      <c r="FI134" s="18"/>
      <c r="FJ134" s="18"/>
      <c r="FK134" s="18"/>
      <c r="FL134" s="18"/>
      <c r="FM134" s="18"/>
      <c r="FN134" s="18"/>
      <c r="FO134" s="18"/>
      <c r="FP134" s="18"/>
      <c r="FQ134" s="18"/>
      <c r="FW134" s="1"/>
      <c r="FX134" s="5"/>
    </row>
    <row r="135" spans="1:180" x14ac:dyDescent="0.2">
      <c r="A135" t="str">
        <f>QDistRnd_756_20251225!A95</f>
        <v>[[756,16,34]]</v>
      </c>
      <c r="B135">
        <f>QDistRnd_756_20251225!B95</f>
        <v>756</v>
      </c>
      <c r="C135">
        <v>34</v>
      </c>
      <c r="E135" cm="1">
        <f t="array" aca="1" ref="E135" ca="1">INDIRECT(E$67&amp;"!"&amp;E$65&amp;ROW(E95))</f>
        <v>46</v>
      </c>
      <c r="F135" cm="1">
        <f t="array" aca="1" ref="F135" ca="1">INDIRECT(F$67&amp;"!"&amp;F$65&amp;ROW(F99))</f>
        <v>46</v>
      </c>
      <c r="G135" cm="1">
        <f t="array" aca="1" ref="G135" ca="1">INDIRECT(G$67&amp;"!"&amp;G$65&amp;ROW(G99))</f>
        <v>34</v>
      </c>
      <c r="I135">
        <f t="shared" ca="1" si="53"/>
        <v>12</v>
      </c>
      <c r="J135">
        <f t="shared" ca="1" si="50"/>
        <v>12</v>
      </c>
      <c r="K135">
        <f t="shared" ca="1" si="51"/>
        <v>0</v>
      </c>
      <c r="M135" cm="1">
        <f t="array" aca="1" ref="M135" ca="1">INDIRECT(M$67&amp;"!"&amp;M$65&amp;ROW(M95))</f>
        <v>11.915903291999699</v>
      </c>
      <c r="N135" cm="1">
        <f t="array" aca="1" ref="N135" ca="1">INDIRECT(N$67&amp;"!"&amp;N$65&amp;ROW(N99))</f>
        <v>138.44876347854699</v>
      </c>
      <c r="O135" cm="1">
        <f t="array" aca="1" ref="O135" ca="1">INDIRECT(O$67&amp;"!"&amp;O$65&amp;ROW(O99))</f>
        <v>136.118663732893</v>
      </c>
      <c r="Q135" cm="1">
        <f t="array" aca="1" ref="Q135" ca="1">INDIRECT(Q$67&amp;"!"&amp;Q$65&amp;ROW(Q95))</f>
        <v>1</v>
      </c>
      <c r="R135" cm="1">
        <f t="array" aca="1" ref="R135" ca="1">INDIRECT(R$67&amp;"!"&amp;R$65&amp;ROW(R99))</f>
        <v>1</v>
      </c>
      <c r="S135" cm="1">
        <f t="array" aca="1" ref="S135" ca="1">INDIRECT(S$67&amp;"!"&amp;S$65&amp;ROW(S99))</f>
        <v>2864</v>
      </c>
      <c r="U135" cm="1">
        <f t="array" aca="1" ref="U135" ca="1">INDIRECT(U$67&amp;"!"&amp;U$65&amp;ROW(U95))</f>
        <v>1</v>
      </c>
      <c r="V135" cm="1">
        <f t="array" aca="1" ref="V135" ca="1">INDIRECT(V$67&amp;"!"&amp;V$65&amp;ROW(V99))</f>
        <v>10000</v>
      </c>
      <c r="W135" cm="1">
        <f t="array" aca="1" ref="W135" ca="1">INDIRECT(W$67&amp;"!"&amp;W$65&amp;ROW(W99))</f>
        <v>10000</v>
      </c>
      <c r="Y135">
        <f t="shared" ca="1" si="54"/>
        <v>0</v>
      </c>
      <c r="Z135">
        <f t="shared" ca="1" si="52"/>
        <v>0</v>
      </c>
      <c r="AA135">
        <f t="shared" ca="1" si="52"/>
        <v>2864</v>
      </c>
      <c r="FB135" s="18"/>
      <c r="FC135" s="18"/>
      <c r="FD135" s="18"/>
      <c r="FE135" s="18"/>
      <c r="FF135" s="18"/>
      <c r="FG135" s="18"/>
      <c r="FH135" s="18"/>
      <c r="FI135" s="18"/>
      <c r="FJ135" s="18"/>
      <c r="FK135" s="18"/>
      <c r="FL135" s="18"/>
      <c r="FM135" s="18"/>
      <c r="FN135" s="18"/>
      <c r="FO135" s="18"/>
      <c r="FP135" s="18"/>
      <c r="FQ135" s="18"/>
      <c r="FW135" s="1"/>
      <c r="FX135" s="5"/>
    </row>
    <row r="136" spans="1:180" x14ac:dyDescent="0.2">
      <c r="A136" t="str">
        <f>QDistRnd_756_20251225!A96</f>
        <v>[[756,16,34]]</v>
      </c>
      <c r="B136">
        <f>QDistRnd_756_20251225!B96</f>
        <v>756</v>
      </c>
      <c r="C136">
        <v>34</v>
      </c>
      <c r="E136" cm="1">
        <f t="array" aca="1" ref="E136" ca="1">INDIRECT(E$67&amp;"!"&amp;E$65&amp;ROW(E96))</f>
        <v>42</v>
      </c>
      <c r="F136" cm="1">
        <f t="array" aca="1" ref="F136" ca="1">INDIRECT(F$67&amp;"!"&amp;F$65&amp;ROW(F100))</f>
        <v>44</v>
      </c>
      <c r="G136" cm="1">
        <f t="array" aca="1" ref="G136" ca="1">INDIRECT(G$67&amp;"!"&amp;G$65&amp;ROW(G100))</f>
        <v>38</v>
      </c>
      <c r="I136">
        <f t="shared" ca="1" si="53"/>
        <v>8</v>
      </c>
      <c r="J136">
        <f t="shared" ca="1" si="50"/>
        <v>10</v>
      </c>
      <c r="K136">
        <f t="shared" ca="1" si="51"/>
        <v>4</v>
      </c>
      <c r="M136" cm="1">
        <f t="array" aca="1" ref="M136" ca="1">INDIRECT(M$67&amp;"!"&amp;M$65&amp;ROW(M96))</f>
        <v>11.8539312499997</v>
      </c>
      <c r="N136" cm="1">
        <f t="array" aca="1" ref="N136" ca="1">INDIRECT(N$67&amp;"!"&amp;N$65&amp;ROW(N100))</f>
        <v>138.46403996832601</v>
      </c>
      <c r="O136" cm="1">
        <f t="array" aca="1" ref="O136" ca="1">INDIRECT(O$67&amp;"!"&amp;O$65&amp;ROW(O100))</f>
        <v>136.57572565879599</v>
      </c>
      <c r="Q136" cm="1">
        <f t="array" aca="1" ref="Q136" ca="1">INDIRECT(Q$67&amp;"!"&amp;Q$65&amp;ROW(Q96))</f>
        <v>1</v>
      </c>
      <c r="R136" cm="1">
        <f t="array" aca="1" ref="R136" ca="1">INDIRECT(R$67&amp;"!"&amp;R$65&amp;ROW(R100))</f>
        <v>2</v>
      </c>
      <c r="S136" cm="1">
        <f t="array" aca="1" ref="S136" ca="1">INDIRECT(S$67&amp;"!"&amp;S$65&amp;ROW(S100))</f>
        <v>4281</v>
      </c>
      <c r="U136" cm="1">
        <f t="array" aca="1" ref="U136" ca="1">INDIRECT(U$67&amp;"!"&amp;U$65&amp;ROW(U96))</f>
        <v>1</v>
      </c>
      <c r="V136" cm="1">
        <f t="array" aca="1" ref="V136" ca="1">INDIRECT(V$67&amp;"!"&amp;V$65&amp;ROW(V100))</f>
        <v>10000</v>
      </c>
      <c r="W136" cm="1">
        <f t="array" aca="1" ref="W136" ca="1">INDIRECT(W$67&amp;"!"&amp;W$65&amp;ROW(W100))</f>
        <v>10000</v>
      </c>
      <c r="Y136">
        <f t="shared" ca="1" si="54"/>
        <v>0</v>
      </c>
      <c r="Z136">
        <f t="shared" ca="1" si="52"/>
        <v>0</v>
      </c>
      <c r="AA136">
        <f t="shared" ca="1" si="52"/>
        <v>0</v>
      </c>
      <c r="FB136" s="18"/>
      <c r="FC136" s="18"/>
      <c r="FD136" s="18"/>
      <c r="FE136" s="18"/>
      <c r="FF136" s="18"/>
      <c r="FG136" s="18"/>
      <c r="FH136" s="18"/>
      <c r="FI136" s="18"/>
      <c r="FJ136" s="18"/>
      <c r="FK136" s="18"/>
      <c r="FL136" s="18"/>
      <c r="FM136" s="18"/>
      <c r="FN136" s="18"/>
      <c r="FO136" s="18"/>
      <c r="FP136" s="18"/>
      <c r="FQ136" s="18"/>
      <c r="FW136" s="1"/>
      <c r="FX136" s="5"/>
    </row>
    <row r="137" spans="1:180" x14ac:dyDescent="0.2">
      <c r="A137" t="str">
        <f>QDistRnd_756_20251225!A97</f>
        <v>[[756,16,34]]</v>
      </c>
      <c r="B137">
        <f>QDistRnd_756_20251225!B97</f>
        <v>756</v>
      </c>
      <c r="C137">
        <v>34</v>
      </c>
      <c r="E137" cm="1">
        <f t="array" aca="1" ref="E137" ca="1">INDIRECT(E$67&amp;"!"&amp;E$65&amp;ROW(E97))</f>
        <v>40</v>
      </c>
      <c r="F137" cm="1">
        <f t="array" aca="1" ref="F137" ca="1">INDIRECT(F$67&amp;"!"&amp;F$65&amp;ROW(F101))</f>
        <v>42</v>
      </c>
      <c r="G137" cm="1">
        <f t="array" aca="1" ref="G137" ca="1">INDIRECT(G$67&amp;"!"&amp;G$65&amp;ROW(G101))</f>
        <v>38</v>
      </c>
      <c r="I137">
        <f t="shared" ca="1" si="53"/>
        <v>6</v>
      </c>
      <c r="J137">
        <f t="shared" ca="1" si="50"/>
        <v>8</v>
      </c>
      <c r="K137">
        <f t="shared" ca="1" si="51"/>
        <v>4</v>
      </c>
      <c r="M137" cm="1">
        <f t="array" aca="1" ref="M137" ca="1">INDIRECT(M$67&amp;"!"&amp;M$65&amp;ROW(M97))</f>
        <v>11.7609779580016</v>
      </c>
      <c r="N137" cm="1">
        <f t="array" aca="1" ref="N137" ca="1">INDIRECT(N$67&amp;"!"&amp;N$65&amp;ROW(N101))</f>
        <v>138.58943578321399</v>
      </c>
      <c r="O137" cm="1">
        <f t="array" aca="1" ref="O137" ca="1">INDIRECT(O$67&amp;"!"&amp;O$65&amp;ROW(O101))</f>
        <v>134.54103286471201</v>
      </c>
      <c r="Q137" cm="1">
        <f t="array" aca="1" ref="Q137" ca="1">INDIRECT(Q$67&amp;"!"&amp;Q$65&amp;ROW(Q97))</f>
        <v>1</v>
      </c>
      <c r="R137" cm="1">
        <f t="array" aca="1" ref="R137" ca="1">INDIRECT(R$67&amp;"!"&amp;R$65&amp;ROW(R101))</f>
        <v>2</v>
      </c>
      <c r="S137" cm="1">
        <f t="array" aca="1" ref="S137" ca="1">INDIRECT(S$67&amp;"!"&amp;S$65&amp;ROW(S101))</f>
        <v>1805</v>
      </c>
      <c r="U137" cm="1">
        <f t="array" aca="1" ref="U137" ca="1">INDIRECT(U$67&amp;"!"&amp;U$65&amp;ROW(U97))</f>
        <v>1</v>
      </c>
      <c r="V137" cm="1">
        <f t="array" aca="1" ref="V137" ca="1">INDIRECT(V$67&amp;"!"&amp;V$65&amp;ROW(V101))</f>
        <v>10000</v>
      </c>
      <c r="W137" cm="1">
        <f t="array" aca="1" ref="W137" ca="1">INDIRECT(W$67&amp;"!"&amp;W$65&amp;ROW(W101))</f>
        <v>10000</v>
      </c>
      <c r="Y137">
        <f t="shared" ca="1" si="54"/>
        <v>0</v>
      </c>
      <c r="Z137">
        <f t="shared" ca="1" si="52"/>
        <v>0</v>
      </c>
      <c r="AA137">
        <f t="shared" ca="1" si="52"/>
        <v>0</v>
      </c>
      <c r="FB137" s="18"/>
      <c r="FC137" s="18"/>
      <c r="FD137" s="18"/>
      <c r="FE137" s="18"/>
      <c r="FF137" s="18"/>
      <c r="FG137" s="18"/>
      <c r="FH137" s="18"/>
      <c r="FI137" s="18"/>
      <c r="FJ137" s="18"/>
      <c r="FK137" s="18"/>
      <c r="FL137" s="18"/>
      <c r="FM137" s="18"/>
      <c r="FN137" s="18"/>
      <c r="FO137" s="18"/>
      <c r="FP137" s="18"/>
      <c r="FQ137" s="18"/>
      <c r="FW137" s="1"/>
      <c r="FX137" s="5"/>
    </row>
    <row r="138" spans="1:180" x14ac:dyDescent="0.2">
      <c r="A138" t="str">
        <f>QDistRnd_756_20251225!A98</f>
        <v>[[756,16,34]]</v>
      </c>
      <c r="B138">
        <f>QDistRnd_756_20251225!B98</f>
        <v>756</v>
      </c>
      <c r="C138">
        <v>34</v>
      </c>
      <c r="E138" cm="1">
        <f t="array" aca="1" ref="E138" ca="1">INDIRECT(E$67&amp;"!"&amp;E$65&amp;ROW(E98))</f>
        <v>40</v>
      </c>
      <c r="F138" cm="1">
        <f t="array" aca="1" ref="F138" ca="1">INDIRECT(F$67&amp;"!"&amp;F$65&amp;ROW(F102))</f>
        <v>42</v>
      </c>
      <c r="G138" cm="1">
        <f t="array" aca="1" ref="G138" ca="1">INDIRECT(G$67&amp;"!"&amp;G$65&amp;ROW(G102))</f>
        <v>34</v>
      </c>
      <c r="I138">
        <f t="shared" ca="1" si="53"/>
        <v>6</v>
      </c>
      <c r="J138">
        <f t="shared" ca="1" si="50"/>
        <v>8</v>
      </c>
      <c r="K138">
        <f t="shared" ca="1" si="51"/>
        <v>0</v>
      </c>
      <c r="M138" cm="1">
        <f t="array" aca="1" ref="M138" ca="1">INDIRECT(M$67&amp;"!"&amp;M$65&amp;ROW(M98))</f>
        <v>11.858330125</v>
      </c>
      <c r="N138" cm="1">
        <f t="array" aca="1" ref="N138" ca="1">INDIRECT(N$67&amp;"!"&amp;N$65&amp;ROW(N102))</f>
        <v>138.552027895115</v>
      </c>
      <c r="O138" cm="1">
        <f t="array" aca="1" ref="O138" ca="1">INDIRECT(O$67&amp;"!"&amp;O$65&amp;ROW(O102))</f>
        <v>133.47147799283201</v>
      </c>
      <c r="Q138" cm="1">
        <f t="array" aca="1" ref="Q138" ca="1">INDIRECT(Q$67&amp;"!"&amp;Q$65&amp;ROW(Q98))</f>
        <v>1</v>
      </c>
      <c r="R138" cm="1">
        <f t="array" aca="1" ref="R138" ca="1">INDIRECT(R$67&amp;"!"&amp;R$65&amp;ROW(R102))</f>
        <v>2</v>
      </c>
      <c r="S138" cm="1">
        <f t="array" aca="1" ref="S138" ca="1">INDIRECT(S$67&amp;"!"&amp;S$65&amp;ROW(S102))</f>
        <v>2867</v>
      </c>
      <c r="U138" cm="1">
        <f t="array" aca="1" ref="U138" ca="1">INDIRECT(U$67&amp;"!"&amp;U$65&amp;ROW(U98))</f>
        <v>1</v>
      </c>
      <c r="V138" cm="1">
        <f t="array" aca="1" ref="V138" ca="1">INDIRECT(V$67&amp;"!"&amp;V$65&amp;ROW(V102))</f>
        <v>10000</v>
      </c>
      <c r="W138" cm="1">
        <f t="array" aca="1" ref="W138" ca="1">INDIRECT(W$67&amp;"!"&amp;W$65&amp;ROW(W102))</f>
        <v>10000</v>
      </c>
      <c r="Y138">
        <f t="shared" ca="1" si="54"/>
        <v>0</v>
      </c>
      <c r="Z138">
        <f t="shared" ca="1" si="52"/>
        <v>0</v>
      </c>
      <c r="AA138">
        <f t="shared" ca="1" si="52"/>
        <v>2867</v>
      </c>
      <c r="FB138" s="18"/>
      <c r="FC138" s="18"/>
      <c r="FD138" s="18"/>
      <c r="FE138" s="18"/>
      <c r="FF138" s="18"/>
      <c r="FG138" s="18"/>
      <c r="FH138" s="18"/>
      <c r="FI138" s="18"/>
      <c r="FJ138" s="18"/>
      <c r="FK138" s="18"/>
      <c r="FL138" s="18"/>
      <c r="FM138" s="18"/>
      <c r="FN138" s="18"/>
      <c r="FO138" s="18"/>
      <c r="FP138" s="18"/>
      <c r="FQ138" s="18"/>
      <c r="FW138" s="1"/>
      <c r="FX138" s="5"/>
    </row>
    <row r="139" spans="1:180" x14ac:dyDescent="0.2">
      <c r="A139" t="str">
        <f>QDistRnd_756_20251225!A99</f>
        <v>[[756,16,34]]</v>
      </c>
      <c r="B139">
        <f>QDistRnd_756_20251225!B99</f>
        <v>756</v>
      </c>
      <c r="C139">
        <v>34</v>
      </c>
      <c r="E139" cm="1">
        <f t="array" aca="1" ref="E139" ca="1">INDIRECT(E$67&amp;"!"&amp;E$65&amp;ROW(E99))</f>
        <v>44</v>
      </c>
      <c r="F139" cm="1">
        <f t="array" aca="1" ref="F139" ca="1">INDIRECT(F$67&amp;"!"&amp;F$65&amp;ROW(F103))</f>
        <v>34</v>
      </c>
      <c r="G139" cm="1">
        <f t="array" aca="1" ref="G139" ca="1">INDIRECT(G$67&amp;"!"&amp;G$65&amp;ROW(G103))</f>
        <v>36</v>
      </c>
      <c r="I139">
        <f t="shared" ca="1" si="53"/>
        <v>10</v>
      </c>
      <c r="J139">
        <f t="shared" ca="1" si="50"/>
        <v>0</v>
      </c>
      <c r="K139">
        <f t="shared" ca="1" si="51"/>
        <v>2</v>
      </c>
      <c r="M139" cm="1">
        <f t="array" aca="1" ref="M139" ca="1">INDIRECT(M$67&amp;"!"&amp;M$65&amp;ROW(M99))</f>
        <v>11.8229975829999</v>
      </c>
      <c r="N139" cm="1">
        <f t="array" aca="1" ref="N139" ca="1">INDIRECT(N$67&amp;"!"&amp;N$65&amp;ROW(N103))</f>
        <v>138.652719195</v>
      </c>
      <c r="O139" cm="1">
        <f t="array" aca="1" ref="O139" ca="1">INDIRECT(O$67&amp;"!"&amp;O$65&amp;ROW(O103))</f>
        <v>133.904443370178</v>
      </c>
      <c r="Q139" cm="1">
        <f t="array" aca="1" ref="Q139" ca="1">INDIRECT(Q$67&amp;"!"&amp;Q$65&amp;ROW(Q99))</f>
        <v>1</v>
      </c>
      <c r="R139" cm="1">
        <f t="array" aca="1" ref="R139" ca="1">INDIRECT(R$67&amp;"!"&amp;R$65&amp;ROW(R103))</f>
        <v>1</v>
      </c>
      <c r="S139" cm="1">
        <f t="array" aca="1" ref="S139" ca="1">INDIRECT(S$67&amp;"!"&amp;S$65&amp;ROW(S103))</f>
        <v>29</v>
      </c>
      <c r="U139" cm="1">
        <f t="array" aca="1" ref="U139" ca="1">INDIRECT(U$67&amp;"!"&amp;U$65&amp;ROW(U99))</f>
        <v>1</v>
      </c>
      <c r="V139" cm="1">
        <f t="array" aca="1" ref="V139" ca="1">INDIRECT(V$67&amp;"!"&amp;V$65&amp;ROW(V103))</f>
        <v>10000</v>
      </c>
      <c r="W139" cm="1">
        <f t="array" aca="1" ref="W139" ca="1">INDIRECT(W$67&amp;"!"&amp;W$65&amp;ROW(W103))</f>
        <v>10000</v>
      </c>
      <c r="Y139">
        <f t="shared" ca="1" si="54"/>
        <v>0</v>
      </c>
      <c r="Z139">
        <f t="shared" ca="1" si="52"/>
        <v>1</v>
      </c>
      <c r="AA139">
        <f t="shared" ca="1" si="52"/>
        <v>0</v>
      </c>
      <c r="FB139" s="18"/>
      <c r="FC139" s="18"/>
      <c r="FD139" s="18"/>
      <c r="FE139" s="18"/>
      <c r="FF139" s="18"/>
      <c r="FG139" s="18"/>
      <c r="FH139" s="18"/>
      <c r="FI139" s="18"/>
      <c r="FJ139" s="18"/>
      <c r="FK139" s="18"/>
      <c r="FL139" s="18"/>
      <c r="FM139" s="18"/>
      <c r="FN139" s="18"/>
      <c r="FO139" s="18"/>
      <c r="FP139" s="18"/>
      <c r="FQ139" s="18"/>
      <c r="FW139" s="1"/>
      <c r="FX139" s="5"/>
    </row>
    <row r="140" spans="1:180" x14ac:dyDescent="0.2">
      <c r="A140" t="str">
        <f>QDistRnd_756_20251225!A100</f>
        <v>[[756,16,34]]</v>
      </c>
      <c r="B140">
        <f>QDistRnd_756_20251225!B100</f>
        <v>756</v>
      </c>
      <c r="C140">
        <v>34</v>
      </c>
      <c r="E140" cm="1">
        <f t="array" aca="1" ref="E140" ca="1">INDIRECT(E$67&amp;"!"&amp;E$65&amp;ROW(E100))</f>
        <v>44</v>
      </c>
      <c r="F140" cm="1">
        <f t="array" aca="1" ref="F140" ca="1">INDIRECT(F$67&amp;"!"&amp;F$65&amp;ROW(F104))</f>
        <v>42</v>
      </c>
      <c r="G140" cm="1">
        <f t="array" aca="1" ref="G140" ca="1">INDIRECT(G$67&amp;"!"&amp;G$65&amp;ROW(G104))</f>
        <v>34</v>
      </c>
      <c r="I140">
        <f t="shared" ca="1" si="53"/>
        <v>10</v>
      </c>
      <c r="J140">
        <f t="shared" ca="1" si="50"/>
        <v>8</v>
      </c>
      <c r="K140">
        <f t="shared" ca="1" si="51"/>
        <v>0</v>
      </c>
      <c r="M140" cm="1">
        <f t="array" aca="1" ref="M140" ca="1">INDIRECT(M$67&amp;"!"&amp;M$65&amp;ROW(M100))</f>
        <v>11.813553708998301</v>
      </c>
      <c r="N140" cm="1">
        <f t="array" aca="1" ref="N140" ca="1">INDIRECT(N$67&amp;"!"&amp;N$65&amp;ROW(N104))</f>
        <v>138.62394613958801</v>
      </c>
      <c r="O140" cm="1">
        <f t="array" aca="1" ref="O140" ca="1">INDIRECT(O$67&amp;"!"&amp;O$65&amp;ROW(O104))</f>
        <v>134.66848493088</v>
      </c>
      <c r="Q140" cm="1">
        <f t="array" aca="1" ref="Q140" ca="1">INDIRECT(Q$67&amp;"!"&amp;Q$65&amp;ROW(Q100))</f>
        <v>1</v>
      </c>
      <c r="R140" cm="1">
        <f t="array" aca="1" ref="R140" ca="1">INDIRECT(R$67&amp;"!"&amp;R$65&amp;ROW(R104))</f>
        <v>1</v>
      </c>
      <c r="S140" cm="1">
        <f t="array" aca="1" ref="S140" ca="1">INDIRECT(S$67&amp;"!"&amp;S$65&amp;ROW(S104))</f>
        <v>3826</v>
      </c>
      <c r="U140" cm="1">
        <f t="array" aca="1" ref="U140" ca="1">INDIRECT(U$67&amp;"!"&amp;U$65&amp;ROW(U100))</f>
        <v>1</v>
      </c>
      <c r="V140" cm="1">
        <f t="array" aca="1" ref="V140" ca="1">INDIRECT(V$67&amp;"!"&amp;V$65&amp;ROW(V104))</f>
        <v>10000</v>
      </c>
      <c r="W140" cm="1">
        <f t="array" aca="1" ref="W140" ca="1">INDIRECT(W$67&amp;"!"&amp;W$65&amp;ROW(W104))</f>
        <v>10000</v>
      </c>
      <c r="Y140">
        <f t="shared" ca="1" si="54"/>
        <v>0</v>
      </c>
      <c r="Z140">
        <f t="shared" ca="1" si="52"/>
        <v>0</v>
      </c>
      <c r="AA140">
        <f t="shared" ca="1" si="52"/>
        <v>3826</v>
      </c>
      <c r="FB140" s="18"/>
      <c r="FC140" s="18"/>
      <c r="FD140" s="18"/>
      <c r="FE140" s="18"/>
      <c r="FF140" s="18"/>
      <c r="FG140" s="18"/>
      <c r="FH140" s="18"/>
      <c r="FI140" s="18"/>
      <c r="FJ140" s="18"/>
      <c r="FK140" s="18"/>
      <c r="FL140" s="18"/>
      <c r="FM140" s="18"/>
      <c r="FN140" s="18"/>
      <c r="FO140" s="18"/>
      <c r="FP140" s="18"/>
      <c r="FQ140" s="18"/>
      <c r="FW140" s="1"/>
      <c r="FX140" s="5"/>
    </row>
    <row r="141" spans="1:180" x14ac:dyDescent="0.2">
      <c r="A141" t="str">
        <f>QDistRnd_756_20251225!A101</f>
        <v>[[756,16,34]]</v>
      </c>
      <c r="B141">
        <f>QDistRnd_756_20251225!B101</f>
        <v>756</v>
      </c>
      <c r="C141">
        <v>34</v>
      </c>
      <c r="E141" cm="1">
        <f t="array" aca="1" ref="E141" ca="1">INDIRECT(E$67&amp;"!"&amp;E$65&amp;ROW(E101))</f>
        <v>40</v>
      </c>
      <c r="F141" cm="1">
        <f t="array" aca="1" ref="F141" ca="1">INDIRECT(F$67&amp;"!"&amp;F$65&amp;ROW(F105))</f>
        <v>46</v>
      </c>
      <c r="G141" cm="1">
        <f t="array" aca="1" ref="G141" ca="1">INDIRECT(G$67&amp;"!"&amp;G$65&amp;ROW(G105))</f>
        <v>34</v>
      </c>
      <c r="I141">
        <f t="shared" ca="1" si="53"/>
        <v>6</v>
      </c>
      <c r="J141">
        <f t="shared" ca="1" si="50"/>
        <v>12</v>
      </c>
      <c r="K141">
        <f t="shared" ca="1" si="51"/>
        <v>0</v>
      </c>
      <c r="M141" cm="1">
        <f t="array" aca="1" ref="M141" ca="1">INDIRECT(M$67&amp;"!"&amp;M$65&amp;ROW(M101))</f>
        <v>11.8852078330019</v>
      </c>
      <c r="N141" cm="1">
        <f t="array" aca="1" ref="N141" ca="1">INDIRECT(N$67&amp;"!"&amp;N$65&amp;ROW(N105))</f>
        <v>138.64609464257899</v>
      </c>
      <c r="O141" cm="1">
        <f t="array" aca="1" ref="O141" ca="1">INDIRECT(O$67&amp;"!"&amp;O$65&amp;ROW(O105))</f>
        <v>135.717031571082</v>
      </c>
      <c r="Q141" cm="1">
        <f t="array" aca="1" ref="Q141" ca="1">INDIRECT(Q$67&amp;"!"&amp;Q$65&amp;ROW(Q101))</f>
        <v>1</v>
      </c>
      <c r="R141" cm="1">
        <f t="array" aca="1" ref="R141" ca="1">INDIRECT(R$67&amp;"!"&amp;R$65&amp;ROW(R105))</f>
        <v>4</v>
      </c>
      <c r="S141" cm="1">
        <f t="array" aca="1" ref="S141" ca="1">INDIRECT(S$67&amp;"!"&amp;S$65&amp;ROW(S105))</f>
        <v>2084</v>
      </c>
      <c r="U141" cm="1">
        <f t="array" aca="1" ref="U141" ca="1">INDIRECT(U$67&amp;"!"&amp;U$65&amp;ROW(U101))</f>
        <v>1</v>
      </c>
      <c r="V141" cm="1">
        <f t="array" aca="1" ref="V141" ca="1">INDIRECT(V$67&amp;"!"&amp;V$65&amp;ROW(V105))</f>
        <v>10000</v>
      </c>
      <c r="W141" cm="1">
        <f t="array" aca="1" ref="W141" ca="1">INDIRECT(W$67&amp;"!"&amp;W$65&amp;ROW(W105))</f>
        <v>10000</v>
      </c>
      <c r="Y141">
        <f t="shared" ca="1" si="54"/>
        <v>0</v>
      </c>
      <c r="Z141">
        <f t="shared" ca="1" si="52"/>
        <v>0</v>
      </c>
      <c r="AA141">
        <f t="shared" ca="1" si="52"/>
        <v>2084</v>
      </c>
      <c r="FB141" s="18"/>
      <c r="FC141" s="18"/>
      <c r="FD141" s="18"/>
      <c r="FE141" s="18"/>
      <c r="FF141" s="18"/>
      <c r="FG141" s="18"/>
      <c r="FH141" s="18"/>
      <c r="FI141" s="18"/>
      <c r="FJ141" s="18"/>
      <c r="FK141" s="18"/>
      <c r="FL141" s="18"/>
      <c r="FM141" s="18"/>
      <c r="FN141" s="18"/>
      <c r="FO141" s="18"/>
      <c r="FP141" s="18"/>
      <c r="FQ141" s="18"/>
      <c r="FW141" s="1"/>
      <c r="FX141" s="5"/>
    </row>
    <row r="142" spans="1:180" x14ac:dyDescent="0.2">
      <c r="A142" t="str">
        <f>QDistRnd_756_20251225!A102</f>
        <v>[[756,16,34]]</v>
      </c>
      <c r="B142">
        <f>QDistRnd_756_20251225!B102</f>
        <v>756</v>
      </c>
      <c r="C142">
        <v>34</v>
      </c>
      <c r="E142" cm="1">
        <f t="array" aca="1" ref="E142" ca="1">INDIRECT(E$67&amp;"!"&amp;E$65&amp;ROW(E102))</f>
        <v>44</v>
      </c>
      <c r="F142" cm="1">
        <f t="array" aca="1" ref="F142" ca="1">INDIRECT(F$67&amp;"!"&amp;F$65&amp;ROW(F106))</f>
        <v>44</v>
      </c>
      <c r="G142" cm="1">
        <f t="array" aca="1" ref="G142" ca="1">INDIRECT(G$67&amp;"!"&amp;G$65&amp;ROW(G106))</f>
        <v>42</v>
      </c>
      <c r="I142">
        <f t="shared" ca="1" si="53"/>
        <v>10</v>
      </c>
      <c r="J142">
        <f t="shared" ca="1" si="50"/>
        <v>10</v>
      </c>
      <c r="K142">
        <f t="shared" ca="1" si="51"/>
        <v>8</v>
      </c>
      <c r="M142" cm="1">
        <f t="array" aca="1" ref="M142" ca="1">INDIRECT(M$67&amp;"!"&amp;M$65&amp;ROW(M102))</f>
        <v>11.6816721249997</v>
      </c>
      <c r="N142" cm="1">
        <f t="array" aca="1" ref="N142" ca="1">INDIRECT(N$67&amp;"!"&amp;N$65&amp;ROW(N106))</f>
        <v>138.62976332940099</v>
      </c>
      <c r="O142" cm="1">
        <f t="array" aca="1" ref="O142" ca="1">INDIRECT(O$67&amp;"!"&amp;O$65&amp;ROW(O106))</f>
        <v>134.017008448019</v>
      </c>
      <c r="Q142" cm="1">
        <f t="array" aca="1" ref="Q142" ca="1">INDIRECT(Q$67&amp;"!"&amp;Q$65&amp;ROW(Q102))</f>
        <v>1</v>
      </c>
      <c r="R142" cm="1">
        <f t="array" aca="1" ref="R142" ca="1">INDIRECT(R$67&amp;"!"&amp;R$65&amp;ROW(R106))</f>
        <v>1</v>
      </c>
      <c r="S142" cm="1">
        <f t="array" aca="1" ref="S142" ca="1">INDIRECT(S$67&amp;"!"&amp;S$65&amp;ROW(S106))</f>
        <v>3409</v>
      </c>
      <c r="U142" cm="1">
        <f t="array" aca="1" ref="U142" ca="1">INDIRECT(U$67&amp;"!"&amp;U$65&amp;ROW(U102))</f>
        <v>1</v>
      </c>
      <c r="V142" cm="1">
        <f t="array" aca="1" ref="V142" ca="1">INDIRECT(V$67&amp;"!"&amp;V$65&amp;ROW(V106))</f>
        <v>10000</v>
      </c>
      <c r="W142" cm="1">
        <f t="array" aca="1" ref="W142" ca="1">INDIRECT(W$67&amp;"!"&amp;W$65&amp;ROW(W106))</f>
        <v>10000</v>
      </c>
      <c r="Y142">
        <f t="shared" ca="1" si="54"/>
        <v>0</v>
      </c>
      <c r="Z142">
        <f t="shared" ca="1" si="52"/>
        <v>0</v>
      </c>
      <c r="AA142">
        <f t="shared" ca="1" si="52"/>
        <v>0</v>
      </c>
      <c r="FB142" s="18"/>
      <c r="FC142" s="18"/>
      <c r="FD142" s="18"/>
      <c r="FE142" s="18"/>
      <c r="FF142" s="18"/>
      <c r="FG142" s="18"/>
      <c r="FH142" s="18"/>
      <c r="FI142" s="18"/>
      <c r="FJ142" s="18"/>
      <c r="FK142" s="18"/>
      <c r="FL142" s="18"/>
      <c r="FM142" s="18"/>
      <c r="FN142" s="18"/>
      <c r="FO142" s="18"/>
      <c r="FP142" s="18"/>
      <c r="FQ142" s="18"/>
      <c r="FW142" s="1"/>
      <c r="FX142" s="5"/>
    </row>
    <row r="143" spans="1:180" x14ac:dyDescent="0.2">
      <c r="A143" t="str">
        <f>QDistRnd_756_20251225!A103</f>
        <v>[[756,16,34]]</v>
      </c>
      <c r="B143">
        <f>QDistRnd_756_20251225!B103</f>
        <v>756</v>
      </c>
      <c r="C143">
        <v>34</v>
      </c>
      <c r="E143" cm="1">
        <f t="array" aca="1" ref="E143" ca="1">INDIRECT(E$67&amp;"!"&amp;E$65&amp;ROW(E103))</f>
        <v>38</v>
      </c>
      <c r="F143" cm="1">
        <f t="array" aca="1" ref="F143" ca="1">INDIRECT(F$67&amp;"!"&amp;F$65&amp;ROW(F107))</f>
        <v>42</v>
      </c>
      <c r="G143" cm="1">
        <f t="array" aca="1" ref="G143" ca="1">INDIRECT(G$67&amp;"!"&amp;G$65&amp;ROW(G107))</f>
        <v>38</v>
      </c>
      <c r="I143">
        <f t="shared" ca="1" si="53"/>
        <v>4</v>
      </c>
      <c r="J143">
        <f t="shared" ca="1" si="50"/>
        <v>8</v>
      </c>
      <c r="K143">
        <f t="shared" ca="1" si="51"/>
        <v>4</v>
      </c>
      <c r="M143" cm="1">
        <f t="array" aca="1" ref="M143" ca="1">INDIRECT(M$67&amp;"!"&amp;M$65&amp;ROW(M103))</f>
        <v>11.892998832998201</v>
      </c>
      <c r="N143" cm="1">
        <f t="array" aca="1" ref="N143" ca="1">INDIRECT(N$67&amp;"!"&amp;N$65&amp;ROW(N107))</f>
        <v>138.53007807116899</v>
      </c>
      <c r="O143" cm="1">
        <f t="array" aca="1" ref="O143" ca="1">INDIRECT(O$67&amp;"!"&amp;O$65&amp;ROW(O107))</f>
        <v>135.747548388317</v>
      </c>
      <c r="Q143" cm="1">
        <f t="array" aca="1" ref="Q143" ca="1">INDIRECT(Q$67&amp;"!"&amp;Q$65&amp;ROW(Q103))</f>
        <v>1</v>
      </c>
      <c r="R143" cm="1">
        <f t="array" aca="1" ref="R143" ca="1">INDIRECT(R$67&amp;"!"&amp;R$65&amp;ROW(R107))</f>
        <v>1</v>
      </c>
      <c r="S143" cm="1">
        <f t="array" aca="1" ref="S143" ca="1">INDIRECT(S$67&amp;"!"&amp;S$65&amp;ROW(S107))</f>
        <v>1352</v>
      </c>
      <c r="U143" cm="1">
        <f t="array" aca="1" ref="U143" ca="1">INDIRECT(U$67&amp;"!"&amp;U$65&amp;ROW(U103))</f>
        <v>1</v>
      </c>
      <c r="V143" cm="1">
        <f t="array" aca="1" ref="V143" ca="1">INDIRECT(V$67&amp;"!"&amp;V$65&amp;ROW(V107))</f>
        <v>10000</v>
      </c>
      <c r="W143" cm="1">
        <f t="array" aca="1" ref="W143" ca="1">INDIRECT(W$67&amp;"!"&amp;W$65&amp;ROW(W107))</f>
        <v>10000</v>
      </c>
      <c r="Y143">
        <f t="shared" ca="1" si="54"/>
        <v>0</v>
      </c>
      <c r="Z143">
        <f t="shared" ca="1" si="52"/>
        <v>0</v>
      </c>
      <c r="AA143">
        <f t="shared" ca="1" si="52"/>
        <v>0</v>
      </c>
      <c r="FB143" s="18"/>
      <c r="FC143" s="18"/>
      <c r="FD143" s="18"/>
      <c r="FE143" s="18"/>
      <c r="FF143" s="18"/>
      <c r="FG143" s="18"/>
      <c r="FH143" s="18"/>
      <c r="FI143" s="18"/>
      <c r="FJ143" s="18"/>
      <c r="FK143" s="18"/>
      <c r="FL143" s="18"/>
      <c r="FM143" s="18"/>
      <c r="FN143" s="18"/>
      <c r="FO143" s="18"/>
      <c r="FP143" s="18"/>
      <c r="FQ143" s="18"/>
      <c r="FW143" s="1"/>
      <c r="FX143" s="5"/>
    </row>
    <row r="144" spans="1:180" x14ac:dyDescent="0.2">
      <c r="A144" t="str">
        <f>QDistRnd_756_20251225!A104</f>
        <v>[[756,16,34]]</v>
      </c>
      <c r="B144">
        <f>QDistRnd_756_20251225!B104</f>
        <v>756</v>
      </c>
      <c r="C144">
        <v>34</v>
      </c>
      <c r="E144" cm="1">
        <f t="array" aca="1" ref="E144" ca="1">INDIRECT(E$67&amp;"!"&amp;E$65&amp;ROW(E104))</f>
        <v>44</v>
      </c>
      <c r="F144" cm="1">
        <f t="array" aca="1" ref="F144" ca="1">INDIRECT(F$67&amp;"!"&amp;F$65&amp;ROW(F108))</f>
        <v>48</v>
      </c>
      <c r="G144" cm="1">
        <f t="array" aca="1" ref="G144" ca="1">INDIRECT(G$67&amp;"!"&amp;G$65&amp;ROW(G108))</f>
        <v>42</v>
      </c>
      <c r="I144">
        <f t="shared" ca="1" si="53"/>
        <v>10</v>
      </c>
      <c r="J144">
        <f t="shared" ca="1" si="50"/>
        <v>14</v>
      </c>
      <c r="K144">
        <f t="shared" ca="1" si="51"/>
        <v>8</v>
      </c>
      <c r="M144" cm="1">
        <f t="array" aca="1" ref="M144" ca="1">INDIRECT(M$67&amp;"!"&amp;M$65&amp;ROW(M104))</f>
        <v>11.8473891249996</v>
      </c>
      <c r="N144" cm="1">
        <f t="array" aca="1" ref="N144" ca="1">INDIRECT(N$67&amp;"!"&amp;N$65&amp;ROW(N108))</f>
        <v>138.51156426500501</v>
      </c>
      <c r="O144" cm="1">
        <f t="array" aca="1" ref="O144" ca="1">INDIRECT(O$67&amp;"!"&amp;O$65&amp;ROW(O108))</f>
        <v>136.884009235538</v>
      </c>
      <c r="Q144" cm="1">
        <f t="array" aca="1" ref="Q144" ca="1">INDIRECT(Q$67&amp;"!"&amp;Q$65&amp;ROW(Q104))</f>
        <v>1</v>
      </c>
      <c r="R144" cm="1">
        <f t="array" aca="1" ref="R144" ca="1">INDIRECT(R$67&amp;"!"&amp;R$65&amp;ROW(R108))</f>
        <v>4</v>
      </c>
      <c r="S144" cm="1">
        <f t="array" aca="1" ref="S144" ca="1">INDIRECT(S$67&amp;"!"&amp;S$65&amp;ROW(S108))</f>
        <v>4494</v>
      </c>
      <c r="U144" cm="1">
        <f t="array" aca="1" ref="U144" ca="1">INDIRECT(U$67&amp;"!"&amp;U$65&amp;ROW(U104))</f>
        <v>1</v>
      </c>
      <c r="V144" cm="1">
        <f t="array" aca="1" ref="V144" ca="1">INDIRECT(V$67&amp;"!"&amp;V$65&amp;ROW(V108))</f>
        <v>10000</v>
      </c>
      <c r="W144" cm="1">
        <f t="array" aca="1" ref="W144" ca="1">INDIRECT(W$67&amp;"!"&amp;W$65&amp;ROW(W108))</f>
        <v>10000</v>
      </c>
      <c r="Y144">
        <f t="shared" ca="1" si="54"/>
        <v>0</v>
      </c>
      <c r="Z144">
        <f t="shared" ca="1" si="52"/>
        <v>0</v>
      </c>
      <c r="AA144">
        <f t="shared" ca="1" si="52"/>
        <v>0</v>
      </c>
      <c r="FB144" s="18"/>
      <c r="FC144" s="18"/>
      <c r="FD144" s="18"/>
      <c r="FE144" s="18"/>
      <c r="FF144" s="18"/>
      <c r="FG144" s="18"/>
      <c r="FH144" s="18"/>
      <c r="FI144" s="18"/>
      <c r="FJ144" s="18"/>
      <c r="FK144" s="18"/>
      <c r="FL144" s="18"/>
      <c r="FM144" s="18"/>
      <c r="FN144" s="18"/>
      <c r="FO144" s="18"/>
      <c r="FP144" s="18"/>
      <c r="FQ144" s="18"/>
      <c r="FW144" s="1"/>
      <c r="FX144" s="5"/>
    </row>
    <row r="145" spans="1:180" x14ac:dyDescent="0.2">
      <c r="A145" t="str">
        <f>QDistRnd_756_20251225!A105</f>
        <v>[[756,16,34]]</v>
      </c>
      <c r="B145">
        <f>QDistRnd_756_20251225!B105</f>
        <v>756</v>
      </c>
      <c r="C145">
        <v>34</v>
      </c>
      <c r="E145" cm="1">
        <f t="array" aca="1" ref="E145" ca="1">INDIRECT(E$67&amp;"!"&amp;E$65&amp;ROW(E105))</f>
        <v>42</v>
      </c>
      <c r="F145" cm="1">
        <f t="array" aca="1" ref="F145" ca="1">INDIRECT(F$67&amp;"!"&amp;F$65&amp;ROW(F109))</f>
        <v>42</v>
      </c>
      <c r="G145" cm="1">
        <f t="array" aca="1" ref="G145" ca="1">INDIRECT(G$67&amp;"!"&amp;G$65&amp;ROW(G109))</f>
        <v>34</v>
      </c>
      <c r="I145">
        <f t="shared" ca="1" si="53"/>
        <v>8</v>
      </c>
      <c r="J145">
        <f t="shared" ca="1" si="50"/>
        <v>8</v>
      </c>
      <c r="K145">
        <f t="shared" ca="1" si="51"/>
        <v>0</v>
      </c>
      <c r="M145" cm="1">
        <f t="array" aca="1" ref="M145" ca="1">INDIRECT(M$67&amp;"!"&amp;M$65&amp;ROW(M105))</f>
        <v>11.7938931249991</v>
      </c>
      <c r="N145" cm="1">
        <f t="array" aca="1" ref="N145" ca="1">INDIRECT(N$67&amp;"!"&amp;N$65&amp;ROW(N109))</f>
        <v>138.47055738884899</v>
      </c>
      <c r="O145" cm="1">
        <f t="array" aca="1" ref="O145" ca="1">INDIRECT(O$67&amp;"!"&amp;O$65&amp;ROW(O109))</f>
        <v>135.499622685834</v>
      </c>
      <c r="Q145" cm="1">
        <f t="array" aca="1" ref="Q145" ca="1">INDIRECT(Q$67&amp;"!"&amp;Q$65&amp;ROW(Q105))</f>
        <v>1</v>
      </c>
      <c r="R145" cm="1">
        <f t="array" aca="1" ref="R145" ca="1">INDIRECT(R$67&amp;"!"&amp;R$65&amp;ROW(R109))</f>
        <v>2</v>
      </c>
      <c r="S145" cm="1">
        <f t="array" aca="1" ref="S145" ca="1">INDIRECT(S$67&amp;"!"&amp;S$65&amp;ROW(S109))</f>
        <v>3061</v>
      </c>
      <c r="U145" cm="1">
        <f t="array" aca="1" ref="U145" ca="1">INDIRECT(U$67&amp;"!"&amp;U$65&amp;ROW(U105))</f>
        <v>1</v>
      </c>
      <c r="V145" cm="1">
        <f t="array" aca="1" ref="V145" ca="1">INDIRECT(V$67&amp;"!"&amp;V$65&amp;ROW(V109))</f>
        <v>10000</v>
      </c>
      <c r="W145" cm="1">
        <f t="array" aca="1" ref="W145" ca="1">INDIRECT(W$67&amp;"!"&amp;W$65&amp;ROW(W109))</f>
        <v>10000</v>
      </c>
      <c r="Y145">
        <f t="shared" ca="1" si="54"/>
        <v>0</v>
      </c>
      <c r="Z145">
        <f t="shared" ca="1" si="52"/>
        <v>0</v>
      </c>
      <c r="AA145">
        <f t="shared" ca="1" si="52"/>
        <v>3061</v>
      </c>
      <c r="FB145" s="18"/>
      <c r="FC145" s="18"/>
      <c r="FD145" s="18"/>
      <c r="FE145" s="18"/>
      <c r="FF145" s="18"/>
      <c r="FG145" s="18"/>
      <c r="FH145" s="18"/>
      <c r="FI145" s="18"/>
      <c r="FJ145" s="18"/>
      <c r="FK145" s="18"/>
      <c r="FL145" s="18"/>
      <c r="FM145" s="18"/>
      <c r="FN145" s="18"/>
      <c r="FO145" s="18"/>
      <c r="FP145" s="18"/>
      <c r="FQ145" s="18"/>
      <c r="FW145" s="1"/>
      <c r="FX145" s="5"/>
    </row>
    <row r="146" spans="1:180" x14ac:dyDescent="0.2">
      <c r="A146" t="str">
        <f>QDistRnd_756_20251225!A106</f>
        <v>[[756,16,34]]</v>
      </c>
      <c r="B146">
        <f>QDistRnd_756_20251225!B106</f>
        <v>756</v>
      </c>
      <c r="C146">
        <v>34</v>
      </c>
      <c r="E146" cm="1">
        <f t="array" aca="1" ref="E146" ca="1">INDIRECT(E$67&amp;"!"&amp;E$65&amp;ROW(E106))</f>
        <v>44</v>
      </c>
      <c r="F146" cm="1">
        <f t="array" aca="1" ref="F146" ca="1">INDIRECT(F$67&amp;"!"&amp;F$65&amp;ROW(F110))</f>
        <v>36</v>
      </c>
      <c r="G146" cm="1">
        <f t="array" aca="1" ref="G146" ca="1">INDIRECT(G$67&amp;"!"&amp;G$65&amp;ROW(G110))</f>
        <v>34</v>
      </c>
      <c r="I146">
        <f t="shared" ca="1" si="53"/>
        <v>10</v>
      </c>
      <c r="J146">
        <f t="shared" ca="1" si="50"/>
        <v>2</v>
      </c>
      <c r="K146">
        <f t="shared" ca="1" si="51"/>
        <v>0</v>
      </c>
      <c r="M146" cm="1">
        <f t="array" aca="1" ref="M146" ca="1">INDIRECT(M$67&amp;"!"&amp;M$65&amp;ROW(M106))</f>
        <v>11.7733669170011</v>
      </c>
      <c r="N146" cm="1">
        <f t="array" aca="1" ref="N146" ca="1">INDIRECT(N$67&amp;"!"&amp;N$65&amp;ROW(N110))</f>
        <v>138.455213676206</v>
      </c>
      <c r="O146" cm="1">
        <f t="array" aca="1" ref="O146" ca="1">INDIRECT(O$67&amp;"!"&amp;O$65&amp;ROW(O110))</f>
        <v>134.06749059259801</v>
      </c>
      <c r="Q146" cm="1">
        <f t="array" aca="1" ref="Q146" ca="1">INDIRECT(Q$67&amp;"!"&amp;Q$65&amp;ROW(Q106))</f>
        <v>1</v>
      </c>
      <c r="R146" cm="1">
        <f t="array" aca="1" ref="R146" ca="1">INDIRECT(R$67&amp;"!"&amp;R$65&amp;ROW(R110))</f>
        <v>1</v>
      </c>
      <c r="S146" cm="1">
        <f t="array" aca="1" ref="S146" ca="1">INDIRECT(S$67&amp;"!"&amp;S$65&amp;ROW(S110))</f>
        <v>4117</v>
      </c>
      <c r="U146" cm="1">
        <f t="array" aca="1" ref="U146" ca="1">INDIRECT(U$67&amp;"!"&amp;U$65&amp;ROW(U106))</f>
        <v>1</v>
      </c>
      <c r="V146" cm="1">
        <f t="array" aca="1" ref="V146" ca="1">INDIRECT(V$67&amp;"!"&amp;V$65&amp;ROW(V110))</f>
        <v>10000</v>
      </c>
      <c r="W146" cm="1">
        <f t="array" aca="1" ref="W146" ca="1">INDIRECT(W$67&amp;"!"&amp;W$65&amp;ROW(W110))</f>
        <v>10000</v>
      </c>
      <c r="Y146">
        <f t="shared" ca="1" si="54"/>
        <v>0</v>
      </c>
      <c r="Z146">
        <f t="shared" ca="1" si="52"/>
        <v>0</v>
      </c>
      <c r="AA146">
        <f t="shared" ca="1" si="52"/>
        <v>4117</v>
      </c>
      <c r="FB146" s="18"/>
      <c r="FC146" s="18"/>
      <c r="FD146" s="18"/>
      <c r="FE146" s="18"/>
      <c r="FF146" s="18"/>
      <c r="FG146" s="18"/>
      <c r="FH146" s="18"/>
      <c r="FI146" s="18"/>
      <c r="FJ146" s="18"/>
      <c r="FK146" s="18"/>
      <c r="FL146" s="18"/>
      <c r="FM146" s="18"/>
      <c r="FN146" s="18"/>
      <c r="FO146" s="18"/>
      <c r="FP146" s="18"/>
      <c r="FQ146" s="18"/>
      <c r="FW146" s="1"/>
      <c r="FX146" s="5"/>
    </row>
    <row r="147" spans="1:180" x14ac:dyDescent="0.2">
      <c r="A147" t="str">
        <f>QDistRnd_756_20251225!A107</f>
        <v>[[756,16,34]]</v>
      </c>
      <c r="B147">
        <f>QDistRnd_756_20251225!B107</f>
        <v>756</v>
      </c>
      <c r="C147">
        <v>34</v>
      </c>
      <c r="E147" cm="1">
        <f t="array" aca="1" ref="E147" ca="1">INDIRECT(E$67&amp;"!"&amp;E$65&amp;ROW(E107))</f>
        <v>40</v>
      </c>
      <c r="F147" cm="1">
        <f t="array" aca="1" ref="F147" ca="1">INDIRECT(F$67&amp;"!"&amp;F$65&amp;ROW(F111))</f>
        <v>42</v>
      </c>
      <c r="G147" cm="1">
        <f t="array" aca="1" ref="G147" ca="1">INDIRECT(G$67&amp;"!"&amp;G$65&amp;ROW(G111))</f>
        <v>36</v>
      </c>
      <c r="I147">
        <f t="shared" ca="1" si="53"/>
        <v>6</v>
      </c>
      <c r="J147">
        <f t="shared" ca="1" si="50"/>
        <v>8</v>
      </c>
      <c r="K147">
        <f t="shared" ca="1" si="51"/>
        <v>2</v>
      </c>
      <c r="M147" cm="1">
        <f t="array" aca="1" ref="M147" ca="1">INDIRECT(M$67&amp;"!"&amp;M$65&amp;ROW(M107))</f>
        <v>12.493394332999699</v>
      </c>
      <c r="N147" cm="1">
        <f t="array" aca="1" ref="N147" ca="1">INDIRECT(N$67&amp;"!"&amp;N$65&amp;ROW(N111))</f>
        <v>138.43474486935801</v>
      </c>
      <c r="O147" cm="1">
        <f t="array" aca="1" ref="O147" ca="1">INDIRECT(O$67&amp;"!"&amp;O$65&amp;ROW(O111))</f>
        <v>136.78990932926499</v>
      </c>
      <c r="Q147" cm="1">
        <f t="array" aca="1" ref="Q147" ca="1">INDIRECT(Q$67&amp;"!"&amp;Q$65&amp;ROW(Q107))</f>
        <v>1</v>
      </c>
      <c r="R147" cm="1">
        <f t="array" aca="1" ref="R147" ca="1">INDIRECT(R$67&amp;"!"&amp;R$65&amp;ROW(R111))</f>
        <v>1</v>
      </c>
      <c r="S147" cm="1">
        <f t="array" aca="1" ref="S147" ca="1">INDIRECT(S$67&amp;"!"&amp;S$65&amp;ROW(S111))</f>
        <v>580</v>
      </c>
      <c r="U147" cm="1">
        <f t="array" aca="1" ref="U147" ca="1">INDIRECT(U$67&amp;"!"&amp;U$65&amp;ROW(U107))</f>
        <v>1</v>
      </c>
      <c r="V147" cm="1">
        <f t="array" aca="1" ref="V147" ca="1">INDIRECT(V$67&amp;"!"&amp;V$65&amp;ROW(V111))</f>
        <v>10000</v>
      </c>
      <c r="W147" cm="1">
        <f t="array" aca="1" ref="W147" ca="1">INDIRECT(W$67&amp;"!"&amp;W$65&amp;ROW(W111))</f>
        <v>10000</v>
      </c>
      <c r="Y147">
        <f t="shared" ca="1" si="54"/>
        <v>0</v>
      </c>
      <c r="Z147">
        <f t="shared" ca="1" si="52"/>
        <v>0</v>
      </c>
      <c r="AA147">
        <f t="shared" ca="1" si="52"/>
        <v>0</v>
      </c>
      <c r="FB147" s="18"/>
      <c r="FC147" s="18"/>
      <c r="FD147" s="18"/>
      <c r="FE147" s="18"/>
      <c r="FF147" s="18"/>
      <c r="FG147" s="18"/>
      <c r="FH147" s="18"/>
      <c r="FI147" s="18"/>
      <c r="FJ147" s="18"/>
      <c r="FK147" s="18"/>
      <c r="FL147" s="18"/>
      <c r="FM147" s="18"/>
      <c r="FN147" s="18"/>
      <c r="FO147" s="18"/>
      <c r="FP147" s="18"/>
      <c r="FQ147" s="18"/>
      <c r="FW147" s="1"/>
      <c r="FX147" s="5"/>
    </row>
    <row r="148" spans="1:180" x14ac:dyDescent="0.2">
      <c r="A148" t="str">
        <f>QDistRnd_756_20251225!A108</f>
        <v>[[756,16,34]]</v>
      </c>
      <c r="B148">
        <f>QDistRnd_756_20251225!B108</f>
        <v>756</v>
      </c>
      <c r="C148">
        <v>34</v>
      </c>
      <c r="E148" cm="1">
        <f t="array" aca="1" ref="E148" ca="1">INDIRECT(E$67&amp;"!"&amp;E$65&amp;ROW(E108))</f>
        <v>36</v>
      </c>
      <c r="F148" cm="1">
        <f t="array" aca="1" ref="F148" ca="1">INDIRECT(F$67&amp;"!"&amp;F$65&amp;ROW(F112))</f>
        <v>44</v>
      </c>
      <c r="G148" cm="1">
        <f t="array" aca="1" ref="G148" ca="1">INDIRECT(G$67&amp;"!"&amp;G$65&amp;ROW(G112))</f>
        <v>38</v>
      </c>
      <c r="I148">
        <f t="shared" ca="1" si="53"/>
        <v>2</v>
      </c>
      <c r="J148">
        <f t="shared" ca="1" si="50"/>
        <v>10</v>
      </c>
      <c r="K148">
        <f t="shared" ca="1" si="51"/>
        <v>4</v>
      </c>
      <c r="M148" cm="1">
        <f t="array" aca="1" ref="M148" ca="1">INDIRECT(M$67&amp;"!"&amp;M$65&amp;ROW(M108))</f>
        <v>11.540217000001499</v>
      </c>
      <c r="N148" cm="1">
        <f t="array" aca="1" ref="N148" ca="1">INDIRECT(N$67&amp;"!"&amp;N$65&amp;ROW(N112))</f>
        <v>138.49039416573899</v>
      </c>
      <c r="O148" cm="1">
        <f t="array" aca="1" ref="O148" ca="1">INDIRECT(O$67&amp;"!"&amp;O$65&amp;ROW(O112))</f>
        <v>134.97418220713701</v>
      </c>
      <c r="Q148" cm="1">
        <f t="array" aca="1" ref="Q148" ca="1">INDIRECT(Q$67&amp;"!"&amp;Q$65&amp;ROW(Q108))</f>
        <v>1</v>
      </c>
      <c r="R148" cm="1">
        <f t="array" aca="1" ref="R148" ca="1">INDIRECT(R$67&amp;"!"&amp;R$65&amp;ROW(R112))</f>
        <v>3</v>
      </c>
      <c r="S148" cm="1">
        <f t="array" aca="1" ref="S148" ca="1">INDIRECT(S$67&amp;"!"&amp;S$65&amp;ROW(S112))</f>
        <v>987</v>
      </c>
      <c r="U148" cm="1">
        <f t="array" aca="1" ref="U148" ca="1">INDIRECT(U$67&amp;"!"&amp;U$65&amp;ROW(U108))</f>
        <v>1</v>
      </c>
      <c r="V148" cm="1">
        <f t="array" aca="1" ref="V148" ca="1">INDIRECT(V$67&amp;"!"&amp;V$65&amp;ROW(V112))</f>
        <v>10000</v>
      </c>
      <c r="W148" cm="1">
        <f t="array" aca="1" ref="W148" ca="1">INDIRECT(W$67&amp;"!"&amp;W$65&amp;ROW(W112))</f>
        <v>10000</v>
      </c>
      <c r="Y148">
        <f t="shared" ca="1" si="54"/>
        <v>0</v>
      </c>
      <c r="Z148">
        <f t="shared" ca="1" si="52"/>
        <v>0</v>
      </c>
      <c r="AA148">
        <f t="shared" ca="1" si="52"/>
        <v>0</v>
      </c>
      <c r="FB148" s="18"/>
      <c r="FC148" s="18"/>
      <c r="FD148" s="18"/>
      <c r="FE148" s="18"/>
      <c r="FF148" s="18"/>
      <c r="FG148" s="18"/>
      <c r="FH148" s="18"/>
      <c r="FI148" s="18"/>
      <c r="FJ148" s="18"/>
      <c r="FK148" s="18"/>
      <c r="FL148" s="18"/>
      <c r="FM148" s="18"/>
      <c r="FN148" s="18"/>
      <c r="FO148" s="18"/>
      <c r="FP148" s="18"/>
      <c r="FQ148" s="18"/>
      <c r="FW148" s="1"/>
      <c r="FX148" s="5"/>
    </row>
    <row r="149" spans="1:180" x14ac:dyDescent="0.2">
      <c r="A149" t="str">
        <f>QDistRnd_756_20251225!A109</f>
        <v>[[756,16,34]]</v>
      </c>
      <c r="B149">
        <f>QDistRnd_756_20251225!B109</f>
        <v>756</v>
      </c>
      <c r="C149">
        <v>34</v>
      </c>
      <c r="E149" cm="1">
        <f t="array" aca="1" ref="E149" ca="1">INDIRECT(E$67&amp;"!"&amp;E$65&amp;ROW(E109))</f>
        <v>46</v>
      </c>
      <c r="F149" cm="1">
        <f t="array" aca="1" ref="F149" ca="1">INDIRECT(F$67&amp;"!"&amp;F$65&amp;ROW(F113))</f>
        <v>42</v>
      </c>
      <c r="G149" cm="1">
        <f t="array" aca="1" ref="G149" ca="1">INDIRECT(G$67&amp;"!"&amp;G$65&amp;ROW(G113))</f>
        <v>34</v>
      </c>
      <c r="I149">
        <f t="shared" ca="1" si="53"/>
        <v>12</v>
      </c>
      <c r="J149">
        <f t="shared" ca="1" si="50"/>
        <v>8</v>
      </c>
      <c r="K149">
        <f t="shared" ca="1" si="51"/>
        <v>0</v>
      </c>
      <c r="M149" cm="1">
        <f t="array" aca="1" ref="M149" ca="1">INDIRECT(M$67&amp;"!"&amp;M$65&amp;ROW(M109))</f>
        <v>11.5687552499985</v>
      </c>
      <c r="N149" cm="1">
        <f t="array" aca="1" ref="N149" ca="1">INDIRECT(N$67&amp;"!"&amp;N$65&amp;ROW(N113))</f>
        <v>138.48509417288</v>
      </c>
      <c r="O149" cm="1">
        <f t="array" aca="1" ref="O149" ca="1">INDIRECT(O$67&amp;"!"&amp;O$65&amp;ROW(O113))</f>
        <v>135.275668976828</v>
      </c>
      <c r="Q149" cm="1">
        <f t="array" aca="1" ref="Q149" ca="1">INDIRECT(Q$67&amp;"!"&amp;Q$65&amp;ROW(Q109))</f>
        <v>1</v>
      </c>
      <c r="R149" cm="1">
        <f t="array" aca="1" ref="R149" ca="1">INDIRECT(R$67&amp;"!"&amp;R$65&amp;ROW(R113))</f>
        <v>2</v>
      </c>
      <c r="S149" cm="1">
        <f t="array" aca="1" ref="S149" ca="1">INDIRECT(S$67&amp;"!"&amp;S$65&amp;ROW(S113))</f>
        <v>1985</v>
      </c>
      <c r="U149" cm="1">
        <f t="array" aca="1" ref="U149" ca="1">INDIRECT(U$67&amp;"!"&amp;U$65&amp;ROW(U109))</f>
        <v>1</v>
      </c>
      <c r="V149" cm="1">
        <f t="array" aca="1" ref="V149" ca="1">INDIRECT(V$67&amp;"!"&amp;V$65&amp;ROW(V113))</f>
        <v>10000</v>
      </c>
      <c r="W149" cm="1">
        <f t="array" aca="1" ref="W149" ca="1">INDIRECT(W$67&amp;"!"&amp;W$65&amp;ROW(W113))</f>
        <v>10000</v>
      </c>
      <c r="Y149">
        <f t="shared" ca="1" si="54"/>
        <v>0</v>
      </c>
      <c r="Z149">
        <f t="shared" ca="1" si="52"/>
        <v>0</v>
      </c>
      <c r="AA149">
        <f t="shared" ca="1" si="52"/>
        <v>1985</v>
      </c>
      <c r="FB149" s="18"/>
      <c r="FC149" s="18"/>
      <c r="FD149" s="18"/>
      <c r="FE149" s="18"/>
      <c r="FF149" s="18"/>
      <c r="FG149" s="18"/>
      <c r="FH149" s="18"/>
      <c r="FI149" s="18"/>
      <c r="FJ149" s="18"/>
      <c r="FK149" s="18"/>
      <c r="FL149" s="18"/>
      <c r="FM149" s="18"/>
      <c r="FN149" s="18"/>
      <c r="FO149" s="18"/>
      <c r="FP149" s="18"/>
      <c r="FQ149" s="18"/>
      <c r="FW149" s="1"/>
      <c r="FX149" s="5"/>
    </row>
    <row r="150" spans="1:180" x14ac:dyDescent="0.2">
      <c r="A150" t="str">
        <f>QDistRnd_756_20251225!A110</f>
        <v>[[756,16,34]]</v>
      </c>
      <c r="B150">
        <f>QDistRnd_756_20251225!B110</f>
        <v>756</v>
      </c>
      <c r="C150">
        <v>34</v>
      </c>
      <c r="E150" cm="1">
        <f t="array" aca="1" ref="E150" ca="1">INDIRECT(E$67&amp;"!"&amp;E$65&amp;ROW(E110))</f>
        <v>42</v>
      </c>
      <c r="F150" cm="1">
        <f t="array" aca="1" ref="F150" ca="1">INDIRECT(F$67&amp;"!"&amp;F$65&amp;ROW(F114))</f>
        <v>44</v>
      </c>
      <c r="G150" cm="1">
        <f t="array" aca="1" ref="G150" ca="1">INDIRECT(G$67&amp;"!"&amp;G$65&amp;ROW(G114))</f>
        <v>36</v>
      </c>
      <c r="I150">
        <f t="shared" ca="1" si="53"/>
        <v>8</v>
      </c>
      <c r="J150">
        <f t="shared" ca="1" si="50"/>
        <v>10</v>
      </c>
      <c r="K150">
        <f t="shared" ca="1" si="51"/>
        <v>2</v>
      </c>
      <c r="M150" cm="1">
        <f t="array" aca="1" ref="M150" ca="1">INDIRECT(M$67&amp;"!"&amp;M$65&amp;ROW(M110))</f>
        <v>11.0444070420016</v>
      </c>
      <c r="N150" cm="1">
        <f t="array" aca="1" ref="N150" ca="1">INDIRECT(N$67&amp;"!"&amp;N$65&amp;ROW(N114))</f>
        <v>138.47265488095499</v>
      </c>
      <c r="O150" cm="1">
        <f t="array" aca="1" ref="O150" ca="1">INDIRECT(O$67&amp;"!"&amp;O$65&amp;ROW(O114))</f>
        <v>133.18546513095399</v>
      </c>
      <c r="Q150" cm="1">
        <f t="array" aca="1" ref="Q150" ca="1">INDIRECT(Q$67&amp;"!"&amp;Q$65&amp;ROW(Q110))</f>
        <v>1</v>
      </c>
      <c r="R150" cm="1">
        <f t="array" aca="1" ref="R150" ca="1">INDIRECT(R$67&amp;"!"&amp;R$65&amp;ROW(R114))</f>
        <v>1</v>
      </c>
      <c r="S150" cm="1">
        <f t="array" aca="1" ref="S150" ca="1">INDIRECT(S$67&amp;"!"&amp;S$65&amp;ROW(S114))</f>
        <v>8</v>
      </c>
      <c r="U150" cm="1">
        <f t="array" aca="1" ref="U150" ca="1">INDIRECT(U$67&amp;"!"&amp;U$65&amp;ROW(U110))</f>
        <v>1</v>
      </c>
      <c r="V150" cm="1">
        <f t="array" aca="1" ref="V150" ca="1">INDIRECT(V$67&amp;"!"&amp;V$65&amp;ROW(V114))</f>
        <v>10000</v>
      </c>
      <c r="W150" cm="1">
        <f t="array" aca="1" ref="W150" ca="1">INDIRECT(W$67&amp;"!"&amp;W$65&amp;ROW(W114))</f>
        <v>10000</v>
      </c>
      <c r="Y150">
        <f t="shared" ca="1" si="54"/>
        <v>0</v>
      </c>
      <c r="Z150">
        <f t="shared" ca="1" si="52"/>
        <v>0</v>
      </c>
      <c r="AA150">
        <f t="shared" ca="1" si="52"/>
        <v>0</v>
      </c>
      <c r="FB150" s="18"/>
      <c r="FC150" s="18"/>
      <c r="FD150" s="18"/>
      <c r="FE150" s="18"/>
      <c r="FF150" s="18"/>
      <c r="FG150" s="18"/>
      <c r="FH150" s="18"/>
      <c r="FI150" s="18"/>
      <c r="FJ150" s="18"/>
      <c r="FK150" s="18"/>
      <c r="FL150" s="18"/>
      <c r="FM150" s="18"/>
      <c r="FN150" s="18"/>
      <c r="FO150" s="18"/>
      <c r="FP150" s="18"/>
      <c r="FQ150" s="18"/>
      <c r="FW150" s="1"/>
      <c r="FX150" s="5"/>
    </row>
    <row r="151" spans="1:180" x14ac:dyDescent="0.2">
      <c r="A151" t="str">
        <f>QDistRnd_756_20251225!A111</f>
        <v>[[756,16,34]]</v>
      </c>
      <c r="B151">
        <f>QDistRnd_756_20251225!B111</f>
        <v>756</v>
      </c>
      <c r="C151">
        <v>34</v>
      </c>
      <c r="E151" cm="1">
        <f t="array" aca="1" ref="E151" ca="1">INDIRECT(E$67&amp;"!"&amp;E$65&amp;ROW(E111))</f>
        <v>36</v>
      </c>
      <c r="F151" cm="1">
        <f t="array" aca="1" ref="F151" ca="1">INDIRECT(F$67&amp;"!"&amp;F$65&amp;ROW(F115))</f>
        <v>44</v>
      </c>
      <c r="G151" cm="1">
        <f t="array" aca="1" ref="G151" ca="1">INDIRECT(G$67&amp;"!"&amp;G$65&amp;ROW(G115))</f>
        <v>36</v>
      </c>
      <c r="I151">
        <f t="shared" ca="1" si="53"/>
        <v>2</v>
      </c>
      <c r="J151">
        <f t="shared" ca="1" si="50"/>
        <v>10</v>
      </c>
      <c r="K151">
        <f t="shared" ca="1" si="51"/>
        <v>2</v>
      </c>
      <c r="M151" cm="1">
        <f t="array" aca="1" ref="M151" ca="1">INDIRECT(M$67&amp;"!"&amp;M$65&amp;ROW(M111))</f>
        <v>10.9810783749999</v>
      </c>
      <c r="N151" cm="1">
        <f t="array" aca="1" ref="N151" ca="1">INDIRECT(N$67&amp;"!"&amp;N$65&amp;ROW(N115))</f>
        <v>138.44104588497399</v>
      </c>
      <c r="O151" cm="1">
        <f t="array" aca="1" ref="O151" ca="1">INDIRECT(O$67&amp;"!"&amp;O$65&amp;ROW(O115))</f>
        <v>138.51016364339699</v>
      </c>
      <c r="Q151" cm="1">
        <f t="array" aca="1" ref="Q151" ca="1">INDIRECT(Q$67&amp;"!"&amp;Q$65&amp;ROW(Q111))</f>
        <v>1</v>
      </c>
      <c r="R151" cm="1">
        <f t="array" aca="1" ref="R151" ca="1">INDIRECT(R$67&amp;"!"&amp;R$65&amp;ROW(R115))</f>
        <v>1</v>
      </c>
      <c r="S151" cm="1">
        <f t="array" aca="1" ref="S151" ca="1">INDIRECT(S$67&amp;"!"&amp;S$65&amp;ROW(S115))</f>
        <v>4129</v>
      </c>
      <c r="U151" cm="1">
        <f t="array" aca="1" ref="U151" ca="1">INDIRECT(U$67&amp;"!"&amp;U$65&amp;ROW(U111))</f>
        <v>1</v>
      </c>
      <c r="V151" cm="1">
        <f t="array" aca="1" ref="V151" ca="1">INDIRECT(V$67&amp;"!"&amp;V$65&amp;ROW(V115))</f>
        <v>10000</v>
      </c>
      <c r="W151" cm="1">
        <f t="array" aca="1" ref="W151" ca="1">INDIRECT(W$67&amp;"!"&amp;W$65&amp;ROW(W115))</f>
        <v>10000</v>
      </c>
      <c r="Y151">
        <f t="shared" ca="1" si="54"/>
        <v>0</v>
      </c>
      <c r="Z151">
        <f t="shared" ca="1" si="52"/>
        <v>0</v>
      </c>
      <c r="AA151">
        <f t="shared" ca="1" si="52"/>
        <v>0</v>
      </c>
      <c r="FB151" s="18"/>
      <c r="FC151" s="18"/>
      <c r="FD151" s="18"/>
      <c r="FE151" s="18"/>
      <c r="FF151" s="18"/>
      <c r="FG151" s="18"/>
      <c r="FH151" s="18"/>
      <c r="FI151" s="18"/>
      <c r="FJ151" s="18"/>
      <c r="FK151" s="18"/>
      <c r="FL151" s="18"/>
      <c r="FM151" s="18"/>
      <c r="FN151" s="18"/>
      <c r="FO151" s="18"/>
      <c r="FP151" s="18"/>
      <c r="FQ151" s="18"/>
      <c r="FW151" s="1"/>
      <c r="FX151" s="5"/>
    </row>
    <row r="152" spans="1:180" x14ac:dyDescent="0.2">
      <c r="A152" t="str">
        <f>QDistRnd_756_20251225!A112</f>
        <v>[[756,16,34]]</v>
      </c>
      <c r="B152">
        <f>QDistRnd_756_20251225!B112</f>
        <v>756</v>
      </c>
      <c r="C152">
        <v>34</v>
      </c>
      <c r="E152" cm="1">
        <f t="array" aca="1" ref="E152" ca="1">INDIRECT(E$67&amp;"!"&amp;E$65&amp;ROW(E112))</f>
        <v>42</v>
      </c>
      <c r="F152" cm="1">
        <f t="array" aca="1" ref="F152" ca="1">INDIRECT(F$67&amp;"!"&amp;F$65&amp;ROW(F116))</f>
        <v>42</v>
      </c>
      <c r="G152" cm="1">
        <f t="array" aca="1" ref="G152" ca="1">INDIRECT(G$67&amp;"!"&amp;G$65&amp;ROW(G116))</f>
        <v>34</v>
      </c>
      <c r="I152">
        <f t="shared" ca="1" si="53"/>
        <v>8</v>
      </c>
      <c r="J152">
        <f t="shared" ca="1" si="50"/>
        <v>8</v>
      </c>
      <c r="K152">
        <f t="shared" ca="1" si="51"/>
        <v>0</v>
      </c>
      <c r="M152" cm="1">
        <f t="array" aca="1" ref="M152" ca="1">INDIRECT(M$67&amp;"!"&amp;M$65&amp;ROW(M112))</f>
        <v>11.105553957997399</v>
      </c>
      <c r="N152" cm="1">
        <f t="array" aca="1" ref="N152" ca="1">INDIRECT(N$67&amp;"!"&amp;N$65&amp;ROW(N116))</f>
        <v>138.53150802384999</v>
      </c>
      <c r="O152" cm="1">
        <f t="array" aca="1" ref="O152" ca="1">INDIRECT(O$67&amp;"!"&amp;O$65&amp;ROW(O116))</f>
        <v>132.71002920158199</v>
      </c>
      <c r="Q152" cm="1">
        <f t="array" aca="1" ref="Q152" ca="1">INDIRECT(Q$67&amp;"!"&amp;Q$65&amp;ROW(Q112))</f>
        <v>1</v>
      </c>
      <c r="R152" cm="1">
        <f t="array" aca="1" ref="R152" ca="1">INDIRECT(R$67&amp;"!"&amp;R$65&amp;ROW(R116))</f>
        <v>2</v>
      </c>
      <c r="S152" cm="1">
        <f t="array" aca="1" ref="S152" ca="1">INDIRECT(S$67&amp;"!"&amp;S$65&amp;ROW(S116))</f>
        <v>892</v>
      </c>
      <c r="U152" cm="1">
        <f t="array" aca="1" ref="U152" ca="1">INDIRECT(U$67&amp;"!"&amp;U$65&amp;ROW(U112))</f>
        <v>1</v>
      </c>
      <c r="V152" cm="1">
        <f t="array" aca="1" ref="V152" ca="1">INDIRECT(V$67&amp;"!"&amp;V$65&amp;ROW(V116))</f>
        <v>10000</v>
      </c>
      <c r="W152" cm="1">
        <f t="array" aca="1" ref="W152" ca="1">INDIRECT(W$67&amp;"!"&amp;W$65&amp;ROW(W116))</f>
        <v>10000</v>
      </c>
      <c r="Y152">
        <f t="shared" ca="1" si="54"/>
        <v>0</v>
      </c>
      <c r="Z152">
        <f t="shared" ca="1" si="52"/>
        <v>0</v>
      </c>
      <c r="AA152">
        <f t="shared" ca="1" si="52"/>
        <v>892</v>
      </c>
      <c r="FB152" s="18"/>
      <c r="FC152" s="18"/>
      <c r="FD152" s="18"/>
      <c r="FE152" s="18"/>
      <c r="FF152" s="18"/>
      <c r="FG152" s="18"/>
      <c r="FH152" s="18"/>
      <c r="FI152" s="18"/>
      <c r="FJ152" s="18"/>
      <c r="FK152" s="18"/>
      <c r="FL152" s="18"/>
      <c r="FM152" s="18"/>
      <c r="FN152" s="18"/>
      <c r="FO152" s="18"/>
      <c r="FP152" s="18"/>
      <c r="FQ152" s="18"/>
      <c r="FW152" s="1"/>
      <c r="FX152" s="5"/>
    </row>
    <row r="153" spans="1:180" x14ac:dyDescent="0.2">
      <c r="A153" t="str">
        <f>QDistRnd_756_20251225!A113</f>
        <v>[[756,16,34]]</v>
      </c>
      <c r="B153">
        <f>QDistRnd_756_20251225!B113</f>
        <v>756</v>
      </c>
      <c r="C153">
        <v>34</v>
      </c>
      <c r="E153" cm="1">
        <f t="array" aca="1" ref="E153" ca="1">INDIRECT(E$67&amp;"!"&amp;E$65&amp;ROW(E113))</f>
        <v>42</v>
      </c>
      <c r="F153" cm="1">
        <f t="array" aca="1" ref="F153" ca="1">INDIRECT(F$67&amp;"!"&amp;F$65&amp;ROW(F117))</f>
        <v>42</v>
      </c>
      <c r="G153" cm="1">
        <f t="array" aca="1" ref="G153" ca="1">INDIRECT(G$67&amp;"!"&amp;G$65&amp;ROW(G117))</f>
        <v>34</v>
      </c>
      <c r="I153">
        <f t="shared" ca="1" si="53"/>
        <v>8</v>
      </c>
      <c r="J153">
        <f t="shared" ca="1" si="50"/>
        <v>8</v>
      </c>
      <c r="K153">
        <f t="shared" ca="1" si="51"/>
        <v>0</v>
      </c>
      <c r="M153" cm="1">
        <f t="array" aca="1" ref="M153" ca="1">INDIRECT(M$67&amp;"!"&amp;M$65&amp;ROW(M113))</f>
        <v>10.842230500002101</v>
      </c>
      <c r="N153" cm="1">
        <f t="array" aca="1" ref="N153" ca="1">INDIRECT(N$67&amp;"!"&amp;N$65&amp;ROW(N117))</f>
        <v>138.45482189208201</v>
      </c>
      <c r="O153" cm="1">
        <f t="array" aca="1" ref="O153" ca="1">INDIRECT(O$67&amp;"!"&amp;O$65&amp;ROW(O117))</f>
        <v>133.77805792353999</v>
      </c>
      <c r="Q153" cm="1">
        <f t="array" aca="1" ref="Q153" ca="1">INDIRECT(Q$67&amp;"!"&amp;Q$65&amp;ROW(Q113))</f>
        <v>1</v>
      </c>
      <c r="R153" cm="1">
        <f t="array" aca="1" ref="R153" ca="1">INDIRECT(R$67&amp;"!"&amp;R$65&amp;ROW(R117))</f>
        <v>1</v>
      </c>
      <c r="S153" cm="1">
        <f t="array" aca="1" ref="S153" ca="1">INDIRECT(S$67&amp;"!"&amp;S$65&amp;ROW(S117))</f>
        <v>3507</v>
      </c>
      <c r="U153" cm="1">
        <f t="array" aca="1" ref="U153" ca="1">INDIRECT(U$67&amp;"!"&amp;U$65&amp;ROW(U113))</f>
        <v>1</v>
      </c>
      <c r="V153" cm="1">
        <f t="array" aca="1" ref="V153" ca="1">INDIRECT(V$67&amp;"!"&amp;V$65&amp;ROW(V117))</f>
        <v>10000</v>
      </c>
      <c r="W153" cm="1">
        <f t="array" aca="1" ref="W153" ca="1">INDIRECT(W$67&amp;"!"&amp;W$65&amp;ROW(W117))</f>
        <v>10000</v>
      </c>
      <c r="Y153">
        <f t="shared" ca="1" si="54"/>
        <v>0</v>
      </c>
      <c r="Z153">
        <f t="shared" ca="1" si="52"/>
        <v>0</v>
      </c>
      <c r="AA153">
        <f t="shared" ca="1" si="52"/>
        <v>3507</v>
      </c>
      <c r="FB153" s="18"/>
      <c r="FC153" s="18"/>
      <c r="FD153" s="18"/>
      <c r="FE153" s="18"/>
      <c r="FF153" s="18"/>
      <c r="FG153" s="18"/>
      <c r="FH153" s="18"/>
      <c r="FI153" s="18"/>
      <c r="FJ153" s="18"/>
      <c r="FK153" s="18"/>
      <c r="FL153" s="18"/>
      <c r="FM153" s="18"/>
      <c r="FN153" s="18"/>
      <c r="FO153" s="18"/>
      <c r="FP153" s="18"/>
      <c r="FQ153" s="18"/>
      <c r="FW153" s="1"/>
      <c r="FX153" s="5"/>
    </row>
    <row r="154" spans="1:180" x14ac:dyDescent="0.2">
      <c r="A154" t="str">
        <f>QDistRnd_756_20251225!A114</f>
        <v>[[756,16,34]]</v>
      </c>
      <c r="B154">
        <f>QDistRnd_756_20251225!B114</f>
        <v>756</v>
      </c>
      <c r="C154">
        <v>34</v>
      </c>
      <c r="E154" cm="1">
        <f t="array" aca="1" ref="E154" ca="1">INDIRECT(E$67&amp;"!"&amp;E$65&amp;ROW(E114))</f>
        <v>40</v>
      </c>
      <c r="F154" cm="1">
        <f t="array" aca="1" ref="F154" ca="1">INDIRECT(F$67&amp;"!"&amp;F$65&amp;ROW(F118))</f>
        <v>44</v>
      </c>
      <c r="G154" cm="1">
        <f t="array" aca="1" ref="G154" ca="1">INDIRECT(G$67&amp;"!"&amp;G$65&amp;ROW(G118))</f>
        <v>34</v>
      </c>
      <c r="I154">
        <f t="shared" ca="1" si="53"/>
        <v>6</v>
      </c>
      <c r="J154">
        <f t="shared" ca="1" si="50"/>
        <v>10</v>
      </c>
      <c r="K154">
        <f t="shared" ca="1" si="51"/>
        <v>0</v>
      </c>
      <c r="M154" cm="1">
        <f t="array" aca="1" ref="M154" ca="1">INDIRECT(M$67&amp;"!"&amp;M$65&amp;ROW(M114))</f>
        <v>10.7575727500006</v>
      </c>
      <c r="N154" cm="1">
        <f t="array" aca="1" ref="N154" ca="1">INDIRECT(N$67&amp;"!"&amp;N$65&amp;ROW(N118))</f>
        <v>138.55159247666501</v>
      </c>
      <c r="O154" cm="1">
        <f t="array" aca="1" ref="O154" ca="1">INDIRECT(O$67&amp;"!"&amp;O$65&amp;ROW(O118))</f>
        <v>130.04091621097101</v>
      </c>
      <c r="Q154" cm="1">
        <f t="array" aca="1" ref="Q154" ca="1">INDIRECT(Q$67&amp;"!"&amp;Q$65&amp;ROW(Q114))</f>
        <v>1</v>
      </c>
      <c r="R154" cm="1">
        <f t="array" aca="1" ref="R154" ca="1">INDIRECT(R$67&amp;"!"&amp;R$65&amp;ROW(R118))</f>
        <v>5</v>
      </c>
      <c r="S154" cm="1">
        <f t="array" aca="1" ref="S154" ca="1">INDIRECT(S$67&amp;"!"&amp;S$65&amp;ROW(S118))</f>
        <v>1693</v>
      </c>
      <c r="U154" cm="1">
        <f t="array" aca="1" ref="U154" ca="1">INDIRECT(U$67&amp;"!"&amp;U$65&amp;ROW(U114))</f>
        <v>1</v>
      </c>
      <c r="V154" cm="1">
        <f t="array" aca="1" ref="V154" ca="1">INDIRECT(V$67&amp;"!"&amp;V$65&amp;ROW(V118))</f>
        <v>10000</v>
      </c>
      <c r="W154" cm="1">
        <f t="array" aca="1" ref="W154" ca="1">INDIRECT(W$67&amp;"!"&amp;W$65&amp;ROW(W118))</f>
        <v>10000</v>
      </c>
      <c r="Y154">
        <f t="shared" ca="1" si="54"/>
        <v>0</v>
      </c>
      <c r="Z154">
        <f t="shared" ca="1" si="52"/>
        <v>0</v>
      </c>
      <c r="AA154">
        <f t="shared" ca="1" si="52"/>
        <v>1693</v>
      </c>
      <c r="FB154" s="18"/>
      <c r="FC154" s="18"/>
      <c r="FD154" s="18"/>
      <c r="FE154" s="18"/>
      <c r="FF154" s="18"/>
      <c r="FG154" s="18"/>
      <c r="FH154" s="18"/>
      <c r="FI154" s="18"/>
      <c r="FJ154" s="18"/>
      <c r="FK154" s="18"/>
      <c r="FL154" s="18"/>
      <c r="FM154" s="18"/>
      <c r="FN154" s="18"/>
      <c r="FO154" s="18"/>
      <c r="FP154" s="18"/>
      <c r="FQ154" s="18"/>
      <c r="FW154" s="1"/>
      <c r="FX154" s="5"/>
    </row>
    <row r="155" spans="1:180" x14ac:dyDescent="0.2">
      <c r="A155" t="str">
        <f>QDistRnd_756_20251225!A115</f>
        <v>[[756,16,34]]</v>
      </c>
      <c r="B155">
        <f>QDistRnd_756_20251225!B115</f>
        <v>756</v>
      </c>
      <c r="C155">
        <v>34</v>
      </c>
      <c r="E155" cm="1">
        <f t="array" aca="1" ref="E155" ca="1">INDIRECT(E$67&amp;"!"&amp;E$65&amp;ROW(E115))</f>
        <v>40</v>
      </c>
      <c r="F155" cm="1">
        <f t="array" aca="1" ref="F155" ca="1">INDIRECT(F$67&amp;"!"&amp;F$65&amp;ROW(F119))</f>
        <v>40</v>
      </c>
      <c r="G155" cm="1">
        <f t="array" aca="1" ref="G155" ca="1">INDIRECT(G$67&amp;"!"&amp;G$65&amp;ROW(G119))</f>
        <v>36</v>
      </c>
      <c r="I155">
        <f t="shared" ca="1" si="53"/>
        <v>6</v>
      </c>
      <c r="J155">
        <f t="shared" ca="1" si="50"/>
        <v>6</v>
      </c>
      <c r="K155">
        <f t="shared" ca="1" si="51"/>
        <v>2</v>
      </c>
      <c r="M155" cm="1">
        <f t="array" aca="1" ref="M155" ca="1">INDIRECT(M$67&amp;"!"&amp;M$65&amp;ROW(M115))</f>
        <v>11.2295565839995</v>
      </c>
      <c r="N155" cm="1">
        <f t="array" aca="1" ref="N155" ca="1">INDIRECT(N$67&amp;"!"&amp;N$65&amp;ROW(N119))</f>
        <v>138.47331732604599</v>
      </c>
      <c r="O155" cm="1">
        <f t="array" aca="1" ref="O155" ca="1">INDIRECT(O$67&amp;"!"&amp;O$65&amp;ROW(O119))</f>
        <v>134.265752066858</v>
      </c>
      <c r="Q155" cm="1">
        <f t="array" aca="1" ref="Q155" ca="1">INDIRECT(Q$67&amp;"!"&amp;Q$65&amp;ROW(Q115))</f>
        <v>1</v>
      </c>
      <c r="R155" cm="1">
        <f t="array" aca="1" ref="R155" ca="1">INDIRECT(R$67&amp;"!"&amp;R$65&amp;ROW(R119))</f>
        <v>1</v>
      </c>
      <c r="S155" cm="1">
        <f t="array" aca="1" ref="S155" ca="1">INDIRECT(S$67&amp;"!"&amp;S$65&amp;ROW(S119))</f>
        <v>2648</v>
      </c>
      <c r="U155" cm="1">
        <f t="array" aca="1" ref="U155" ca="1">INDIRECT(U$67&amp;"!"&amp;U$65&amp;ROW(U115))</f>
        <v>1</v>
      </c>
      <c r="V155" cm="1">
        <f t="array" aca="1" ref="V155" ca="1">INDIRECT(V$67&amp;"!"&amp;V$65&amp;ROW(V119))</f>
        <v>10000</v>
      </c>
      <c r="W155" cm="1">
        <f t="array" aca="1" ref="W155" ca="1">INDIRECT(W$67&amp;"!"&amp;W$65&amp;ROW(W119))</f>
        <v>10000</v>
      </c>
      <c r="Y155">
        <f t="shared" ca="1" si="54"/>
        <v>0</v>
      </c>
      <c r="Z155">
        <f t="shared" ca="1" si="52"/>
        <v>0</v>
      </c>
      <c r="AA155">
        <f t="shared" ca="1" si="52"/>
        <v>0</v>
      </c>
      <c r="FB155" s="18"/>
      <c r="FC155" s="18"/>
      <c r="FD155" s="18"/>
      <c r="FE155" s="18"/>
      <c r="FF155" s="18"/>
      <c r="FG155" s="18"/>
      <c r="FH155" s="18"/>
      <c r="FI155" s="18"/>
      <c r="FJ155" s="18"/>
      <c r="FK155" s="18"/>
      <c r="FL155" s="18"/>
      <c r="FM155" s="18"/>
      <c r="FN155" s="18"/>
      <c r="FO155" s="18"/>
      <c r="FP155" s="18"/>
      <c r="FQ155" s="18"/>
      <c r="FW155" s="1"/>
      <c r="FX155" s="5"/>
    </row>
    <row r="156" spans="1:180" x14ac:dyDescent="0.2">
      <c r="A156" t="str">
        <f>QDistRnd_756_20251225!A116</f>
        <v>[[756,16,34]]</v>
      </c>
      <c r="B156">
        <f>QDistRnd_756_20251225!B116</f>
        <v>756</v>
      </c>
      <c r="C156">
        <v>34</v>
      </c>
      <c r="E156" cm="1">
        <f t="array" aca="1" ref="E156" ca="1">INDIRECT(E$67&amp;"!"&amp;E$65&amp;ROW(E116))</f>
        <v>34</v>
      </c>
      <c r="F156" cm="1">
        <f t="array" aca="1" ref="F156" ca="1">INDIRECT(F$67&amp;"!"&amp;F$65&amp;ROW(F120))</f>
        <v>42</v>
      </c>
      <c r="G156" cm="1">
        <f t="array" aca="1" ref="G156" ca="1">INDIRECT(G$67&amp;"!"&amp;G$65&amp;ROW(G120))</f>
        <v>34</v>
      </c>
      <c r="I156">
        <f t="shared" ca="1" si="53"/>
        <v>0</v>
      </c>
      <c r="J156">
        <f t="shared" ca="1" si="50"/>
        <v>8</v>
      </c>
      <c r="K156">
        <f t="shared" ca="1" si="51"/>
        <v>0</v>
      </c>
      <c r="M156" cm="1">
        <f t="array" aca="1" ref="M156" ca="1">INDIRECT(M$67&amp;"!"&amp;M$65&amp;ROW(M116))</f>
        <v>10.805093415998201</v>
      </c>
      <c r="N156" cm="1">
        <f t="array" aca="1" ref="N156" ca="1">INDIRECT(N$67&amp;"!"&amp;N$65&amp;ROW(N120))</f>
        <v>138.49437417834901</v>
      </c>
      <c r="O156" cm="1">
        <f t="array" aca="1" ref="O156" ca="1">INDIRECT(O$67&amp;"!"&amp;O$65&amp;ROW(O120))</f>
        <v>136.964412044733</v>
      </c>
      <c r="Q156" cm="1">
        <f t="array" aca="1" ref="Q156" ca="1">INDIRECT(Q$67&amp;"!"&amp;Q$65&amp;ROW(Q116))</f>
        <v>1</v>
      </c>
      <c r="R156" cm="1">
        <f t="array" aca="1" ref="R156" ca="1">INDIRECT(R$67&amp;"!"&amp;R$65&amp;ROW(R120))</f>
        <v>1</v>
      </c>
      <c r="S156" cm="1">
        <f t="array" aca="1" ref="S156" ca="1">INDIRECT(S$67&amp;"!"&amp;S$65&amp;ROW(S120))</f>
        <v>74</v>
      </c>
      <c r="U156" cm="1">
        <f t="array" aca="1" ref="U156" ca="1">INDIRECT(U$67&amp;"!"&amp;U$65&amp;ROW(U116))</f>
        <v>1</v>
      </c>
      <c r="V156" cm="1">
        <f t="array" aca="1" ref="V156" ca="1">INDIRECT(V$67&amp;"!"&amp;V$65&amp;ROW(V120))</f>
        <v>10000</v>
      </c>
      <c r="W156" cm="1">
        <f t="array" aca="1" ref="W156" ca="1">INDIRECT(W$67&amp;"!"&amp;W$65&amp;ROW(W120))</f>
        <v>10000</v>
      </c>
      <c r="Y156">
        <f t="shared" ca="1" si="54"/>
        <v>1</v>
      </c>
      <c r="Z156">
        <f t="shared" ca="1" si="52"/>
        <v>0</v>
      </c>
      <c r="AA156">
        <f t="shared" ca="1" si="52"/>
        <v>74</v>
      </c>
      <c r="FB156" s="18"/>
      <c r="FC156" s="18"/>
      <c r="FD156" s="18"/>
      <c r="FE156" s="18"/>
      <c r="FF156" s="18"/>
      <c r="FG156" s="18"/>
      <c r="FH156" s="18"/>
      <c r="FI156" s="18"/>
      <c r="FJ156" s="18"/>
      <c r="FK156" s="18"/>
      <c r="FL156" s="18"/>
      <c r="FM156" s="18"/>
      <c r="FN156" s="18"/>
      <c r="FO156" s="18"/>
      <c r="FP156" s="18"/>
      <c r="FQ156" s="18"/>
      <c r="FW156" s="1"/>
      <c r="FX156" s="5"/>
    </row>
    <row r="157" spans="1:180" x14ac:dyDescent="0.2">
      <c r="A157" t="str">
        <f>QDistRnd_756_20251225!A117</f>
        <v>[[756,16,34]]</v>
      </c>
      <c r="B157">
        <f>QDistRnd_756_20251225!B117</f>
        <v>756</v>
      </c>
      <c r="C157">
        <v>34</v>
      </c>
      <c r="E157" cm="1">
        <f t="array" aca="1" ref="E157" ca="1">INDIRECT(E$67&amp;"!"&amp;E$65&amp;ROW(E117))</f>
        <v>46</v>
      </c>
      <c r="F157" cm="1">
        <f t="array" aca="1" ref="F157" ca="1">INDIRECT(F$67&amp;"!"&amp;F$65&amp;ROW(F121))</f>
        <v>34</v>
      </c>
      <c r="G157" cm="1">
        <f t="array" aca="1" ref="G157" ca="1">INDIRECT(G$67&amp;"!"&amp;G$65&amp;ROW(G121))</f>
        <v>34</v>
      </c>
      <c r="I157">
        <f t="shared" ca="1" si="53"/>
        <v>12</v>
      </c>
      <c r="J157">
        <f t="shared" ca="1" si="50"/>
        <v>0</v>
      </c>
      <c r="K157">
        <f t="shared" ca="1" si="51"/>
        <v>0</v>
      </c>
      <c r="M157" cm="1">
        <f t="array" aca="1" ref="M157" ca="1">INDIRECT(M$67&amp;"!"&amp;M$65&amp;ROW(M117))</f>
        <v>10.990934875000599</v>
      </c>
      <c r="N157" cm="1">
        <f t="array" aca="1" ref="N157" ca="1">INDIRECT(N$67&amp;"!"&amp;N$65&amp;ROW(N121))</f>
        <v>138.51447027362801</v>
      </c>
      <c r="O157" cm="1">
        <f t="array" aca="1" ref="O157" ca="1">INDIRECT(O$67&amp;"!"&amp;O$65&amp;ROW(O121))</f>
        <v>134.805878967046</v>
      </c>
      <c r="Q157" cm="1">
        <f t="array" aca="1" ref="Q157" ca="1">INDIRECT(Q$67&amp;"!"&amp;Q$65&amp;ROW(Q117))</f>
        <v>1</v>
      </c>
      <c r="R157" cm="1">
        <f t="array" aca="1" ref="R157" ca="1">INDIRECT(R$67&amp;"!"&amp;R$65&amp;ROW(R121))</f>
        <v>1</v>
      </c>
      <c r="S157" cm="1">
        <f t="array" aca="1" ref="S157" ca="1">INDIRECT(S$67&amp;"!"&amp;S$65&amp;ROW(S121))</f>
        <v>4010</v>
      </c>
      <c r="U157" cm="1">
        <f t="array" aca="1" ref="U157" ca="1">INDIRECT(U$67&amp;"!"&amp;U$65&amp;ROW(U117))</f>
        <v>1</v>
      </c>
      <c r="V157" cm="1">
        <f t="array" aca="1" ref="V157" ca="1">INDIRECT(V$67&amp;"!"&amp;V$65&amp;ROW(V121))</f>
        <v>10000</v>
      </c>
      <c r="W157" cm="1">
        <f t="array" aca="1" ref="W157" ca="1">INDIRECT(W$67&amp;"!"&amp;W$65&amp;ROW(W121))</f>
        <v>10000</v>
      </c>
      <c r="Y157">
        <f t="shared" ca="1" si="54"/>
        <v>0</v>
      </c>
      <c r="Z157">
        <f t="shared" ca="1" si="52"/>
        <v>1</v>
      </c>
      <c r="AA157">
        <f t="shared" ca="1" si="52"/>
        <v>4010</v>
      </c>
      <c r="FB157" s="18"/>
      <c r="FC157" s="18"/>
      <c r="FD157" s="18"/>
      <c r="FE157" s="18"/>
      <c r="FF157" s="18"/>
      <c r="FG157" s="18"/>
      <c r="FH157" s="18"/>
      <c r="FI157" s="18"/>
      <c r="FJ157" s="18"/>
      <c r="FK157" s="18"/>
      <c r="FL157" s="18"/>
      <c r="FM157" s="18"/>
      <c r="FN157" s="18"/>
      <c r="FO157" s="18"/>
      <c r="FP157" s="18"/>
      <c r="FQ157" s="18"/>
      <c r="FW157" s="1"/>
      <c r="FX157" s="5"/>
    </row>
    <row r="158" spans="1:180" x14ac:dyDescent="0.2">
      <c r="A158" t="str">
        <f>QDistRnd_756_20251225!A118</f>
        <v>[[756,16,34]]</v>
      </c>
      <c r="B158">
        <f>QDistRnd_756_20251225!B118</f>
        <v>756</v>
      </c>
      <c r="C158">
        <v>34</v>
      </c>
      <c r="E158" cm="1">
        <f t="array" aca="1" ref="E158" ca="1">INDIRECT(E$67&amp;"!"&amp;E$65&amp;ROW(E118))</f>
        <v>44</v>
      </c>
      <c r="F158" cm="1">
        <f t="array" aca="1" ref="F158" ca="1">INDIRECT(F$67&amp;"!"&amp;F$65&amp;ROW(F122))</f>
        <v>44</v>
      </c>
      <c r="G158" cm="1">
        <f t="array" aca="1" ref="G158" ca="1">INDIRECT(G$67&amp;"!"&amp;G$65&amp;ROW(G122))</f>
        <v>34</v>
      </c>
      <c r="I158">
        <f t="shared" ca="1" si="53"/>
        <v>10</v>
      </c>
      <c r="J158">
        <f t="shared" ca="1" si="50"/>
        <v>10</v>
      </c>
      <c r="K158">
        <f t="shared" ca="1" si="51"/>
        <v>0</v>
      </c>
      <c r="M158" cm="1">
        <f t="array" aca="1" ref="M158" ca="1">INDIRECT(M$67&amp;"!"&amp;M$65&amp;ROW(M118))</f>
        <v>11.0209294170017</v>
      </c>
      <c r="N158" cm="1">
        <f t="array" aca="1" ref="N158" ca="1">INDIRECT(N$67&amp;"!"&amp;N$65&amp;ROW(N122))</f>
        <v>138.46066256985</v>
      </c>
      <c r="O158" cm="1">
        <f t="array" aca="1" ref="O158" ca="1">INDIRECT(O$67&amp;"!"&amp;O$65&amp;ROW(O122))</f>
        <v>135.154332508333</v>
      </c>
      <c r="Q158" cm="1">
        <f t="array" aca="1" ref="Q158" ca="1">INDIRECT(Q$67&amp;"!"&amp;Q$65&amp;ROW(Q118))</f>
        <v>1</v>
      </c>
      <c r="R158" cm="1">
        <f t="array" aca="1" ref="R158" ca="1">INDIRECT(R$67&amp;"!"&amp;R$65&amp;ROW(R122))</f>
        <v>1</v>
      </c>
      <c r="S158" cm="1">
        <f t="array" aca="1" ref="S158" ca="1">INDIRECT(S$67&amp;"!"&amp;S$65&amp;ROW(S122))</f>
        <v>1640</v>
      </c>
      <c r="U158" cm="1">
        <f t="array" aca="1" ref="U158" ca="1">INDIRECT(U$67&amp;"!"&amp;U$65&amp;ROW(U118))</f>
        <v>1</v>
      </c>
      <c r="V158" cm="1">
        <f t="array" aca="1" ref="V158" ca="1">INDIRECT(V$67&amp;"!"&amp;V$65&amp;ROW(V122))</f>
        <v>10000</v>
      </c>
      <c r="W158" cm="1">
        <f t="array" aca="1" ref="W158" ca="1">INDIRECT(W$67&amp;"!"&amp;W$65&amp;ROW(W122))</f>
        <v>10000</v>
      </c>
      <c r="Y158">
        <f t="shared" ca="1" si="54"/>
        <v>0</v>
      </c>
      <c r="Z158">
        <f t="shared" ca="1" si="52"/>
        <v>0</v>
      </c>
      <c r="AA158">
        <f t="shared" ca="1" si="52"/>
        <v>1640</v>
      </c>
      <c r="FB158" s="18"/>
      <c r="FC158" s="18"/>
      <c r="FD158" s="18"/>
      <c r="FE158" s="18"/>
      <c r="FF158" s="18"/>
      <c r="FG158" s="18"/>
      <c r="FH158" s="18"/>
      <c r="FI158" s="18"/>
      <c r="FJ158" s="18"/>
      <c r="FK158" s="18"/>
      <c r="FL158" s="18"/>
      <c r="FM158" s="18"/>
      <c r="FN158" s="18"/>
      <c r="FO158" s="18"/>
      <c r="FP158" s="18"/>
      <c r="FQ158" s="18"/>
      <c r="FW158" s="1"/>
      <c r="FX158" s="5"/>
    </row>
    <row r="159" spans="1:180" x14ac:dyDescent="0.2">
      <c r="A159" t="str">
        <f>QDistRnd_756_20251225!A119</f>
        <v>[[756,16,34]]</v>
      </c>
      <c r="B159">
        <f>QDistRnd_756_20251225!B119</f>
        <v>756</v>
      </c>
      <c r="C159">
        <v>34</v>
      </c>
      <c r="E159" cm="1">
        <f t="array" aca="1" ref="E159" ca="1">INDIRECT(E$67&amp;"!"&amp;E$65&amp;ROW(E119))</f>
        <v>38</v>
      </c>
      <c r="F159" cm="1">
        <f t="array" aca="1" ref="F159" ca="1">INDIRECT(F$67&amp;"!"&amp;F$65&amp;ROW(F123))</f>
        <v>38</v>
      </c>
      <c r="G159" cm="1">
        <f t="array" aca="1" ref="G159" ca="1">INDIRECT(G$67&amp;"!"&amp;G$65&amp;ROW(G123))</f>
        <v>40</v>
      </c>
      <c r="I159">
        <f t="shared" ca="1" si="53"/>
        <v>4</v>
      </c>
      <c r="J159">
        <f t="shared" ca="1" si="50"/>
        <v>4</v>
      </c>
      <c r="K159">
        <f t="shared" ca="1" si="51"/>
        <v>6</v>
      </c>
      <c r="M159" cm="1">
        <f t="array" aca="1" ref="M159" ca="1">INDIRECT(M$67&amp;"!"&amp;M$65&amp;ROW(M119))</f>
        <v>10.916827707998801</v>
      </c>
      <c r="N159" cm="1">
        <f t="array" aca="1" ref="N159" ca="1">INDIRECT(N$67&amp;"!"&amp;N$65&amp;ROW(N123))</f>
        <v>138.400564624927</v>
      </c>
      <c r="O159" cm="1">
        <f t="array" aca="1" ref="O159" ca="1">INDIRECT(O$67&amp;"!"&amp;O$65&amp;ROW(O123))</f>
        <v>132.380942638032</v>
      </c>
      <c r="Q159" cm="1">
        <f t="array" aca="1" ref="Q159" ca="1">INDIRECT(Q$67&amp;"!"&amp;Q$65&amp;ROW(Q119))</f>
        <v>1</v>
      </c>
      <c r="R159" cm="1">
        <f t="array" aca="1" ref="R159" ca="1">INDIRECT(R$67&amp;"!"&amp;R$65&amp;ROW(R123))</f>
        <v>1</v>
      </c>
      <c r="S159" cm="1">
        <f t="array" aca="1" ref="S159" ca="1">INDIRECT(S$67&amp;"!"&amp;S$65&amp;ROW(S123))</f>
        <v>2320</v>
      </c>
      <c r="U159" cm="1">
        <f t="array" aca="1" ref="U159" ca="1">INDIRECT(U$67&amp;"!"&amp;U$65&amp;ROW(U119))</f>
        <v>1</v>
      </c>
      <c r="V159" cm="1">
        <f t="array" aca="1" ref="V159" ca="1">INDIRECT(V$67&amp;"!"&amp;V$65&amp;ROW(V123))</f>
        <v>10000</v>
      </c>
      <c r="W159" cm="1">
        <f t="array" aca="1" ref="W159" ca="1">INDIRECT(W$67&amp;"!"&amp;W$65&amp;ROW(W123))</f>
        <v>10000</v>
      </c>
      <c r="Y159">
        <f t="shared" ca="1" si="54"/>
        <v>0</v>
      </c>
      <c r="Z159">
        <f t="shared" ca="1" si="52"/>
        <v>0</v>
      </c>
      <c r="AA159">
        <f t="shared" ca="1" si="52"/>
        <v>0</v>
      </c>
      <c r="FB159" s="18"/>
      <c r="FC159" s="18"/>
      <c r="FD159" s="18"/>
      <c r="FE159" s="18"/>
      <c r="FF159" s="18"/>
      <c r="FG159" s="18"/>
      <c r="FH159" s="18"/>
      <c r="FI159" s="18"/>
      <c r="FJ159" s="18"/>
      <c r="FK159" s="18"/>
      <c r="FL159" s="18"/>
      <c r="FM159" s="18"/>
      <c r="FN159" s="18"/>
      <c r="FO159" s="18"/>
      <c r="FP159" s="18"/>
      <c r="FQ159" s="18"/>
      <c r="FW159" s="1"/>
      <c r="FX159" s="5"/>
    </row>
    <row r="160" spans="1:180" x14ac:dyDescent="0.2">
      <c r="A160" t="str">
        <f>QDistRnd_756_20251225!A120</f>
        <v>[[756,16,34]]</v>
      </c>
      <c r="B160">
        <f>QDistRnd_756_20251225!B120</f>
        <v>756</v>
      </c>
      <c r="C160">
        <v>34</v>
      </c>
      <c r="E160" cm="1">
        <f t="array" aca="1" ref="E160" ca="1">INDIRECT(E$67&amp;"!"&amp;E$65&amp;ROW(E120))</f>
        <v>40</v>
      </c>
      <c r="F160" cm="1">
        <f t="array" aca="1" ref="F160" ca="1">INDIRECT(F$67&amp;"!"&amp;F$65&amp;ROW(F124))</f>
        <v>42</v>
      </c>
      <c r="G160" cm="1">
        <f t="array" aca="1" ref="G160" ca="1">INDIRECT(G$67&amp;"!"&amp;G$65&amp;ROW(G124))</f>
        <v>38</v>
      </c>
      <c r="I160">
        <f t="shared" ca="1" si="53"/>
        <v>6</v>
      </c>
      <c r="J160">
        <f t="shared" ca="1" si="50"/>
        <v>8</v>
      </c>
      <c r="K160">
        <f t="shared" ca="1" si="51"/>
        <v>4</v>
      </c>
      <c r="M160" cm="1">
        <f t="array" aca="1" ref="M160" ca="1">INDIRECT(M$67&amp;"!"&amp;M$65&amp;ROW(M120))</f>
        <v>11.216662458999</v>
      </c>
      <c r="N160" cm="1">
        <f t="array" aca="1" ref="N160" ca="1">INDIRECT(N$67&amp;"!"&amp;N$65&amp;ROW(N124))</f>
        <v>138.426349034532</v>
      </c>
      <c r="O160" cm="1">
        <f t="array" aca="1" ref="O160" ca="1">INDIRECT(O$67&amp;"!"&amp;O$65&amp;ROW(O124))</f>
        <v>136.308756017126</v>
      </c>
      <c r="Q160" cm="1">
        <f t="array" aca="1" ref="Q160" ca="1">INDIRECT(Q$67&amp;"!"&amp;Q$65&amp;ROW(Q120))</f>
        <v>1</v>
      </c>
      <c r="R160" cm="1">
        <f t="array" aca="1" ref="R160" ca="1">INDIRECT(R$67&amp;"!"&amp;R$65&amp;ROW(R124))</f>
        <v>1</v>
      </c>
      <c r="S160" cm="1">
        <f t="array" aca="1" ref="S160" ca="1">INDIRECT(S$67&amp;"!"&amp;S$65&amp;ROW(S124))</f>
        <v>3703</v>
      </c>
      <c r="U160" cm="1">
        <f t="array" aca="1" ref="U160" ca="1">INDIRECT(U$67&amp;"!"&amp;U$65&amp;ROW(U120))</f>
        <v>1</v>
      </c>
      <c r="V160" cm="1">
        <f t="array" aca="1" ref="V160" ca="1">INDIRECT(V$67&amp;"!"&amp;V$65&amp;ROW(V124))</f>
        <v>10000</v>
      </c>
      <c r="W160" cm="1">
        <f t="array" aca="1" ref="W160" ca="1">INDIRECT(W$67&amp;"!"&amp;W$65&amp;ROW(W124))</f>
        <v>10000</v>
      </c>
      <c r="Y160">
        <f t="shared" ca="1" si="54"/>
        <v>0</v>
      </c>
      <c r="Z160">
        <f t="shared" ca="1" si="52"/>
        <v>0</v>
      </c>
      <c r="AA160">
        <f t="shared" ca="1" si="52"/>
        <v>0</v>
      </c>
      <c r="FB160" s="18"/>
      <c r="FC160" s="18"/>
      <c r="FD160" s="18"/>
      <c r="FE160" s="18"/>
      <c r="FF160" s="18"/>
      <c r="FG160" s="18"/>
      <c r="FH160" s="18"/>
      <c r="FI160" s="18"/>
      <c r="FJ160" s="18"/>
      <c r="FK160" s="18"/>
      <c r="FL160" s="18"/>
      <c r="FM160" s="18"/>
      <c r="FN160" s="18"/>
      <c r="FO160" s="18"/>
      <c r="FP160" s="18"/>
      <c r="FQ160" s="18"/>
      <c r="FW160" s="1"/>
      <c r="FX160" s="5"/>
    </row>
    <row r="161" spans="1:180" x14ac:dyDescent="0.2">
      <c r="A161" t="str">
        <f>QDistRnd_756_20251225!A121</f>
        <v>[[756,16,34]]</v>
      </c>
      <c r="B161">
        <f>QDistRnd_756_20251225!B121</f>
        <v>756</v>
      </c>
      <c r="C161">
        <v>34</v>
      </c>
      <c r="E161" cm="1">
        <f t="array" aca="1" ref="E161" ca="1">INDIRECT(E$67&amp;"!"&amp;E$65&amp;ROW(E121))</f>
        <v>40</v>
      </c>
      <c r="F161" cm="1">
        <f t="array" aca="1" ref="F161" ca="1">INDIRECT(F$67&amp;"!"&amp;F$65&amp;ROW(F125))</f>
        <v>40</v>
      </c>
      <c r="G161" cm="1">
        <f t="array" aca="1" ref="G161" ca="1">INDIRECT(G$67&amp;"!"&amp;G$65&amp;ROW(G125))</f>
        <v>36</v>
      </c>
      <c r="I161">
        <f t="shared" ca="1" si="53"/>
        <v>6</v>
      </c>
      <c r="J161">
        <f t="shared" ca="1" si="50"/>
        <v>6</v>
      </c>
      <c r="K161">
        <f t="shared" ca="1" si="51"/>
        <v>2</v>
      </c>
      <c r="M161" cm="1">
        <f t="array" aca="1" ref="M161" ca="1">INDIRECT(M$67&amp;"!"&amp;M$65&amp;ROW(M121))</f>
        <v>10.8712645410014</v>
      </c>
      <c r="N161" cm="1">
        <f t="array" aca="1" ref="N161" ca="1">INDIRECT(N$67&amp;"!"&amp;N$65&amp;ROW(N125))</f>
        <v>138.39418080076501</v>
      </c>
      <c r="O161" cm="1">
        <f t="array" aca="1" ref="O161" ca="1">INDIRECT(O$67&amp;"!"&amp;O$65&amp;ROW(O125))</f>
        <v>136.05420087743499</v>
      </c>
      <c r="Q161" cm="1">
        <f t="array" aca="1" ref="Q161" ca="1">INDIRECT(Q$67&amp;"!"&amp;Q$65&amp;ROW(Q121))</f>
        <v>1</v>
      </c>
      <c r="R161" cm="1">
        <f t="array" aca="1" ref="R161" ca="1">INDIRECT(R$67&amp;"!"&amp;R$65&amp;ROW(R125))</f>
        <v>2</v>
      </c>
      <c r="S161" cm="1">
        <f t="array" aca="1" ref="S161" ca="1">INDIRECT(S$67&amp;"!"&amp;S$65&amp;ROW(S125))</f>
        <v>1833</v>
      </c>
      <c r="U161" cm="1">
        <f t="array" aca="1" ref="U161" ca="1">INDIRECT(U$67&amp;"!"&amp;U$65&amp;ROW(U121))</f>
        <v>1</v>
      </c>
      <c r="V161" cm="1">
        <f t="array" aca="1" ref="V161" ca="1">INDIRECT(V$67&amp;"!"&amp;V$65&amp;ROW(V125))</f>
        <v>10000</v>
      </c>
      <c r="W161" cm="1">
        <f t="array" aca="1" ref="W161" ca="1">INDIRECT(W$67&amp;"!"&amp;W$65&amp;ROW(W125))</f>
        <v>10000</v>
      </c>
      <c r="Y161">
        <f t="shared" ca="1" si="54"/>
        <v>0</v>
      </c>
      <c r="Z161">
        <f t="shared" ca="1" si="52"/>
        <v>0</v>
      </c>
      <c r="AA161">
        <f t="shared" ca="1" si="52"/>
        <v>0</v>
      </c>
      <c r="FB161" s="18"/>
      <c r="FC161" s="18"/>
      <c r="FD161" s="18"/>
      <c r="FE161" s="18"/>
      <c r="FF161" s="18"/>
      <c r="FG161" s="18"/>
      <c r="FH161" s="18"/>
      <c r="FI161" s="18"/>
      <c r="FJ161" s="18"/>
      <c r="FK161" s="18"/>
      <c r="FL161" s="18"/>
      <c r="FM161" s="18"/>
      <c r="FN161" s="18"/>
      <c r="FO161" s="18"/>
      <c r="FP161" s="18"/>
      <c r="FQ161" s="18"/>
      <c r="FW161" s="1"/>
      <c r="FX161" s="5"/>
    </row>
    <row r="162" spans="1:180" x14ac:dyDescent="0.2">
      <c r="A162" t="str">
        <f>QDistRnd_756_20251225!A122</f>
        <v>[[756,16,34]]</v>
      </c>
      <c r="B162">
        <f>QDistRnd_756_20251225!B122</f>
        <v>756</v>
      </c>
      <c r="C162">
        <v>34</v>
      </c>
      <c r="E162" cm="1">
        <f t="array" aca="1" ref="E162" ca="1">INDIRECT(E$67&amp;"!"&amp;E$65&amp;ROW(E122))</f>
        <v>38</v>
      </c>
      <c r="F162" cm="1">
        <f t="array" aca="1" ref="F162" ca="1">INDIRECT(F$67&amp;"!"&amp;F$65&amp;ROW(F126))</f>
        <v>42</v>
      </c>
      <c r="G162" cm="1">
        <f t="array" aca="1" ref="G162" ca="1">INDIRECT(G$67&amp;"!"&amp;G$65&amp;ROW(G126))</f>
        <v>36</v>
      </c>
      <c r="I162">
        <f t="shared" ca="1" si="53"/>
        <v>4</v>
      </c>
      <c r="J162">
        <f t="shared" ca="1" si="50"/>
        <v>8</v>
      </c>
      <c r="K162">
        <f t="shared" ca="1" si="51"/>
        <v>2</v>
      </c>
      <c r="M162" cm="1">
        <f t="array" aca="1" ref="M162" ca="1">INDIRECT(M$67&amp;"!"&amp;M$65&amp;ROW(M122))</f>
        <v>10.791570124998501</v>
      </c>
      <c r="N162" cm="1">
        <f t="array" aca="1" ref="N162" ca="1">INDIRECT(N$67&amp;"!"&amp;N$65&amp;ROW(N126))</f>
        <v>138.406204128637</v>
      </c>
      <c r="O162" cm="1">
        <f t="array" aca="1" ref="O162" ca="1">INDIRECT(O$67&amp;"!"&amp;O$65&amp;ROW(O126))</f>
        <v>134.67408447246899</v>
      </c>
      <c r="Q162" cm="1">
        <f t="array" aca="1" ref="Q162" ca="1">INDIRECT(Q$67&amp;"!"&amp;Q$65&amp;ROW(Q122))</f>
        <v>1</v>
      </c>
      <c r="R162" cm="1">
        <f t="array" aca="1" ref="R162" ca="1">INDIRECT(R$67&amp;"!"&amp;R$65&amp;ROW(R126))</f>
        <v>1</v>
      </c>
      <c r="S162" cm="1">
        <f t="array" aca="1" ref="S162" ca="1">INDIRECT(S$67&amp;"!"&amp;S$65&amp;ROW(S126))</f>
        <v>4304</v>
      </c>
      <c r="U162" cm="1">
        <f t="array" aca="1" ref="U162" ca="1">INDIRECT(U$67&amp;"!"&amp;U$65&amp;ROW(U122))</f>
        <v>1</v>
      </c>
      <c r="V162" cm="1">
        <f t="array" aca="1" ref="V162" ca="1">INDIRECT(V$67&amp;"!"&amp;V$65&amp;ROW(V126))</f>
        <v>10000</v>
      </c>
      <c r="W162" cm="1">
        <f t="array" aca="1" ref="W162" ca="1">INDIRECT(W$67&amp;"!"&amp;W$65&amp;ROW(W126))</f>
        <v>10000</v>
      </c>
      <c r="Y162">
        <f t="shared" ca="1" si="54"/>
        <v>0</v>
      </c>
      <c r="Z162">
        <f t="shared" ca="1" si="52"/>
        <v>0</v>
      </c>
      <c r="AA162">
        <f t="shared" ca="1" si="52"/>
        <v>0</v>
      </c>
      <c r="FB162" s="18"/>
      <c r="FC162" s="18"/>
      <c r="FD162" s="18"/>
      <c r="FE162" s="18"/>
      <c r="FF162" s="18"/>
      <c r="FG162" s="18"/>
      <c r="FH162" s="18"/>
      <c r="FI162" s="18"/>
      <c r="FJ162" s="18"/>
      <c r="FK162" s="18"/>
      <c r="FL162" s="18"/>
      <c r="FM162" s="18"/>
      <c r="FN162" s="18"/>
      <c r="FO162" s="18"/>
      <c r="FP162" s="18"/>
      <c r="FQ162" s="18"/>
      <c r="FW162" s="1"/>
      <c r="FX162" s="5"/>
    </row>
    <row r="163" spans="1:180" x14ac:dyDescent="0.2">
      <c r="A163" t="str">
        <f>QDistRnd_756_20251225!A123</f>
        <v>[[756,16,34]]</v>
      </c>
      <c r="B163">
        <f>QDistRnd_756_20251225!B123</f>
        <v>756</v>
      </c>
      <c r="C163">
        <v>34</v>
      </c>
      <c r="E163" cm="1">
        <f t="array" aca="1" ref="E163" ca="1">INDIRECT(E$67&amp;"!"&amp;E$65&amp;ROW(E123))</f>
        <v>38</v>
      </c>
      <c r="F163" cm="1">
        <f t="array" aca="1" ref="F163" ca="1">INDIRECT(F$67&amp;"!"&amp;F$65&amp;ROW(F127))</f>
        <v>38</v>
      </c>
      <c r="G163" cm="1">
        <f t="array" aca="1" ref="G163" ca="1">INDIRECT(G$67&amp;"!"&amp;G$65&amp;ROW(G127))</f>
        <v>36</v>
      </c>
      <c r="I163">
        <f t="shared" ca="1" si="53"/>
        <v>4</v>
      </c>
      <c r="J163">
        <f t="shared" ca="1" si="50"/>
        <v>4</v>
      </c>
      <c r="K163">
        <f t="shared" ca="1" si="51"/>
        <v>2</v>
      </c>
      <c r="M163" cm="1">
        <f t="array" aca="1" ref="M163" ca="1">INDIRECT(M$67&amp;"!"&amp;M$65&amp;ROW(M123))</f>
        <v>10.746907708999</v>
      </c>
      <c r="N163" cm="1">
        <f t="array" aca="1" ref="N163" ca="1">INDIRECT(N$67&amp;"!"&amp;N$65&amp;ROW(N127))</f>
        <v>138.526032424531</v>
      </c>
      <c r="O163" cm="1">
        <f t="array" aca="1" ref="O163" ca="1">INDIRECT(O$67&amp;"!"&amp;O$65&amp;ROW(O127))</f>
        <v>135.69922969117701</v>
      </c>
      <c r="Q163" cm="1">
        <f t="array" aca="1" ref="Q163" ca="1">INDIRECT(Q$67&amp;"!"&amp;Q$65&amp;ROW(Q123))</f>
        <v>1</v>
      </c>
      <c r="R163" cm="1">
        <f t="array" aca="1" ref="R163" ca="1">INDIRECT(R$67&amp;"!"&amp;R$65&amp;ROW(R127))</f>
        <v>1</v>
      </c>
      <c r="S163" cm="1">
        <f t="array" aca="1" ref="S163" ca="1">INDIRECT(S$67&amp;"!"&amp;S$65&amp;ROW(S127))</f>
        <v>2222</v>
      </c>
      <c r="U163" cm="1">
        <f t="array" aca="1" ref="U163" ca="1">INDIRECT(U$67&amp;"!"&amp;U$65&amp;ROW(U123))</f>
        <v>1</v>
      </c>
      <c r="V163" cm="1">
        <f t="array" aca="1" ref="V163" ca="1">INDIRECT(V$67&amp;"!"&amp;V$65&amp;ROW(V127))</f>
        <v>10000</v>
      </c>
      <c r="W163" cm="1">
        <f t="array" aca="1" ref="W163" ca="1">INDIRECT(W$67&amp;"!"&amp;W$65&amp;ROW(W127))</f>
        <v>10000</v>
      </c>
      <c r="Y163">
        <f t="shared" ca="1" si="54"/>
        <v>0</v>
      </c>
      <c r="Z163">
        <f t="shared" ca="1" si="52"/>
        <v>0</v>
      </c>
      <c r="AA163">
        <f t="shared" ca="1" si="52"/>
        <v>0</v>
      </c>
      <c r="FB163" s="18"/>
      <c r="FC163" s="18"/>
      <c r="FD163" s="18"/>
      <c r="FE163" s="18"/>
      <c r="FF163" s="18"/>
      <c r="FG163" s="18"/>
      <c r="FH163" s="18"/>
      <c r="FI163" s="18"/>
      <c r="FJ163" s="18"/>
      <c r="FK163" s="18"/>
      <c r="FL163" s="18"/>
      <c r="FM163" s="18"/>
      <c r="FN163" s="18"/>
      <c r="FO163" s="18"/>
      <c r="FP163" s="18"/>
      <c r="FQ163" s="18"/>
      <c r="FW163" s="1"/>
      <c r="FX163" s="5"/>
    </row>
    <row r="164" spans="1:180" x14ac:dyDescent="0.2">
      <c r="A164" t="str">
        <f>QDistRnd_756_20251225!A124</f>
        <v>[[756,16,34]]</v>
      </c>
      <c r="B164">
        <f>QDistRnd_756_20251225!B124</f>
        <v>756</v>
      </c>
      <c r="C164">
        <v>34</v>
      </c>
      <c r="E164" cm="1">
        <f t="array" aca="1" ref="E164" ca="1">INDIRECT(E$67&amp;"!"&amp;E$65&amp;ROW(E124))</f>
        <v>42</v>
      </c>
      <c r="F164" cm="1">
        <f t="array" aca="1" ref="F164" ca="1">INDIRECT(F$67&amp;"!"&amp;F$65&amp;ROW(F128))</f>
        <v>42</v>
      </c>
      <c r="G164" cm="1">
        <f t="array" aca="1" ref="G164" ca="1">INDIRECT(G$67&amp;"!"&amp;G$65&amp;ROW(G128))</f>
        <v>36</v>
      </c>
      <c r="I164">
        <f t="shared" ca="1" si="53"/>
        <v>8</v>
      </c>
      <c r="J164">
        <f t="shared" ca="1" si="50"/>
        <v>8</v>
      </c>
      <c r="K164">
        <f t="shared" ca="1" si="51"/>
        <v>2</v>
      </c>
      <c r="M164" cm="1">
        <f t="array" aca="1" ref="M164" ca="1">INDIRECT(M$67&amp;"!"&amp;M$65&amp;ROW(M124))</f>
        <v>11.1797233750003</v>
      </c>
      <c r="N164" cm="1">
        <f t="array" aca="1" ref="N164" ca="1">INDIRECT(N$67&amp;"!"&amp;N$65&amp;ROW(N128))</f>
        <v>138.554223612882</v>
      </c>
      <c r="O164" cm="1">
        <f t="array" aca="1" ref="O164" ca="1">INDIRECT(O$67&amp;"!"&amp;O$65&amp;ROW(O128))</f>
        <v>135.936961947008</v>
      </c>
      <c r="Q164" cm="1">
        <f t="array" aca="1" ref="Q164" ca="1">INDIRECT(Q$67&amp;"!"&amp;Q$65&amp;ROW(Q124))</f>
        <v>1</v>
      </c>
      <c r="R164" cm="1">
        <f t="array" aca="1" ref="R164" ca="1">INDIRECT(R$67&amp;"!"&amp;R$65&amp;ROW(R128))</f>
        <v>2</v>
      </c>
      <c r="S164" cm="1">
        <f t="array" aca="1" ref="S164" ca="1">INDIRECT(S$67&amp;"!"&amp;S$65&amp;ROW(S128))</f>
        <v>3458</v>
      </c>
      <c r="U164" cm="1">
        <f t="array" aca="1" ref="U164" ca="1">INDIRECT(U$67&amp;"!"&amp;U$65&amp;ROW(U124))</f>
        <v>1</v>
      </c>
      <c r="V164" cm="1">
        <f t="array" aca="1" ref="V164" ca="1">INDIRECT(V$67&amp;"!"&amp;V$65&amp;ROW(V128))</f>
        <v>10000</v>
      </c>
      <c r="W164" cm="1">
        <f t="array" aca="1" ref="W164" ca="1">INDIRECT(W$67&amp;"!"&amp;W$65&amp;ROW(W128))</f>
        <v>10000</v>
      </c>
      <c r="Y164">
        <f t="shared" ca="1" si="54"/>
        <v>0</v>
      </c>
      <c r="Z164">
        <f t="shared" ca="1" si="52"/>
        <v>0</v>
      </c>
      <c r="AA164">
        <f t="shared" ca="1" si="52"/>
        <v>0</v>
      </c>
      <c r="FB164" s="18"/>
      <c r="FC164" s="18"/>
      <c r="FD164" s="18"/>
      <c r="FE164" s="18"/>
      <c r="FF164" s="18"/>
      <c r="FG164" s="18"/>
      <c r="FH164" s="18"/>
      <c r="FI164" s="18"/>
      <c r="FJ164" s="18"/>
      <c r="FK164" s="18"/>
      <c r="FL164" s="18"/>
      <c r="FM164" s="18"/>
      <c r="FN164" s="18"/>
      <c r="FO164" s="18"/>
      <c r="FP164" s="18"/>
      <c r="FQ164" s="18"/>
      <c r="FW164" s="1"/>
      <c r="FX164" s="5"/>
    </row>
    <row r="165" spans="1:180" x14ac:dyDescent="0.2">
      <c r="A165" t="str">
        <f>QDistRnd_756_20251225!A125</f>
        <v>[[756,16,34]]</v>
      </c>
      <c r="B165">
        <f>QDistRnd_756_20251225!B125</f>
        <v>756</v>
      </c>
      <c r="C165">
        <v>34</v>
      </c>
      <c r="E165" cm="1">
        <f t="array" aca="1" ref="E165" ca="1">INDIRECT(E$67&amp;"!"&amp;E$65&amp;ROW(E125))</f>
        <v>42</v>
      </c>
      <c r="F165" cm="1">
        <f t="array" aca="1" ref="F165" ca="1">INDIRECT(F$67&amp;"!"&amp;F$65&amp;ROW(F129))</f>
        <v>42</v>
      </c>
      <c r="G165" cm="1">
        <f t="array" aca="1" ref="G165" ca="1">INDIRECT(G$67&amp;"!"&amp;G$65&amp;ROW(G129))</f>
        <v>34</v>
      </c>
      <c r="I165">
        <f t="shared" ca="1" si="53"/>
        <v>8</v>
      </c>
      <c r="J165">
        <f t="shared" ca="1" si="50"/>
        <v>8</v>
      </c>
      <c r="K165">
        <f t="shared" ca="1" si="51"/>
        <v>0</v>
      </c>
      <c r="M165" cm="1">
        <f t="array" aca="1" ref="M165" ca="1">INDIRECT(M$67&amp;"!"&amp;M$65&amp;ROW(M125))</f>
        <v>11.5920772080025</v>
      </c>
      <c r="N165" cm="1">
        <f t="array" aca="1" ref="N165" ca="1">INDIRECT(N$67&amp;"!"&amp;N$65&amp;ROW(N129))</f>
        <v>138.45154551696001</v>
      </c>
      <c r="O165" cm="1">
        <f t="array" aca="1" ref="O165" ca="1">INDIRECT(O$67&amp;"!"&amp;O$65&amp;ROW(O129))</f>
        <v>130.80232699587901</v>
      </c>
      <c r="Q165" cm="1">
        <f t="array" aca="1" ref="Q165" ca="1">INDIRECT(Q$67&amp;"!"&amp;Q$65&amp;ROW(Q125))</f>
        <v>1</v>
      </c>
      <c r="R165" cm="1">
        <f t="array" aca="1" ref="R165" ca="1">INDIRECT(R$67&amp;"!"&amp;R$65&amp;ROW(R129))</f>
        <v>2</v>
      </c>
      <c r="S165" cm="1">
        <f t="array" aca="1" ref="S165" ca="1">INDIRECT(S$67&amp;"!"&amp;S$65&amp;ROW(S129))</f>
        <v>4512</v>
      </c>
      <c r="U165" cm="1">
        <f t="array" aca="1" ref="U165" ca="1">INDIRECT(U$67&amp;"!"&amp;U$65&amp;ROW(U125))</f>
        <v>1</v>
      </c>
      <c r="V165" cm="1">
        <f t="array" aca="1" ref="V165" ca="1">INDIRECT(V$67&amp;"!"&amp;V$65&amp;ROW(V129))</f>
        <v>10000</v>
      </c>
      <c r="W165" cm="1">
        <f t="array" aca="1" ref="W165" ca="1">INDIRECT(W$67&amp;"!"&amp;W$65&amp;ROW(W129))</f>
        <v>10000</v>
      </c>
      <c r="Y165">
        <f t="shared" ca="1" si="54"/>
        <v>0</v>
      </c>
      <c r="Z165">
        <f t="shared" ca="1" si="52"/>
        <v>0</v>
      </c>
      <c r="AA165">
        <f t="shared" ca="1" si="52"/>
        <v>4512</v>
      </c>
      <c r="FB165" s="18"/>
      <c r="FC165" s="18"/>
      <c r="FD165" s="18"/>
      <c r="FE165" s="18"/>
      <c r="FF165" s="18"/>
      <c r="FG165" s="18"/>
      <c r="FH165" s="18"/>
      <c r="FI165" s="18"/>
      <c r="FJ165" s="18"/>
      <c r="FK165" s="18"/>
      <c r="FL165" s="18"/>
      <c r="FM165" s="18"/>
      <c r="FN165" s="18"/>
      <c r="FO165" s="18"/>
      <c r="FP165" s="18"/>
      <c r="FQ165" s="18"/>
      <c r="FW165" s="1"/>
      <c r="FX165" s="5"/>
    </row>
    <row r="166" spans="1:180" x14ac:dyDescent="0.2">
      <c r="A166" t="str">
        <f>QDistRnd_756_20251225!A126</f>
        <v>[[756,16,34]]</v>
      </c>
      <c r="B166">
        <f>QDistRnd_756_20251225!B126</f>
        <v>756</v>
      </c>
      <c r="C166">
        <v>34</v>
      </c>
      <c r="E166" cm="1">
        <f t="array" aca="1" ref="E166" ca="1">INDIRECT(E$67&amp;"!"&amp;E$65&amp;ROW(E126))</f>
        <v>38</v>
      </c>
      <c r="F166" cm="1">
        <f t="array" aca="1" ref="F166" ca="1">INDIRECT(F$67&amp;"!"&amp;F$65&amp;ROW(F130))</f>
        <v>46</v>
      </c>
      <c r="G166" cm="1">
        <f t="array" aca="1" ref="G166" ca="1">INDIRECT(G$67&amp;"!"&amp;G$65&amp;ROW(G130))</f>
        <v>34</v>
      </c>
      <c r="I166">
        <f t="shared" ca="1" si="53"/>
        <v>4</v>
      </c>
      <c r="J166">
        <f t="shared" ca="1" si="50"/>
        <v>12</v>
      </c>
      <c r="K166">
        <f t="shared" ca="1" si="51"/>
        <v>0</v>
      </c>
      <c r="M166" cm="1">
        <f t="array" aca="1" ref="M166" ca="1">INDIRECT(M$67&amp;"!"&amp;M$65&amp;ROW(M126))</f>
        <v>11.537830832999999</v>
      </c>
      <c r="N166" cm="1">
        <f t="array" aca="1" ref="N166" ca="1">INDIRECT(N$67&amp;"!"&amp;N$65&amp;ROW(N130))</f>
        <v>138.49033491499699</v>
      </c>
      <c r="O166" cm="1">
        <f t="array" aca="1" ref="O166" ca="1">INDIRECT(O$67&amp;"!"&amp;O$65&amp;ROW(O130))</f>
        <v>134.44435543380601</v>
      </c>
      <c r="Q166" cm="1">
        <f t="array" aca="1" ref="Q166" ca="1">INDIRECT(Q$67&amp;"!"&amp;Q$65&amp;ROW(Q126))</f>
        <v>1</v>
      </c>
      <c r="R166" cm="1">
        <f t="array" aca="1" ref="R166" ca="1">INDIRECT(R$67&amp;"!"&amp;R$65&amp;ROW(R130))</f>
        <v>2</v>
      </c>
      <c r="S166" cm="1">
        <f t="array" aca="1" ref="S166" ca="1">INDIRECT(S$67&amp;"!"&amp;S$65&amp;ROW(S130))</f>
        <v>3193</v>
      </c>
      <c r="U166" cm="1">
        <f t="array" aca="1" ref="U166" ca="1">INDIRECT(U$67&amp;"!"&amp;U$65&amp;ROW(U126))</f>
        <v>1</v>
      </c>
      <c r="V166" cm="1">
        <f t="array" aca="1" ref="V166" ca="1">INDIRECT(V$67&amp;"!"&amp;V$65&amp;ROW(V130))</f>
        <v>10000</v>
      </c>
      <c r="W166" cm="1">
        <f t="array" aca="1" ref="W166" ca="1">INDIRECT(W$67&amp;"!"&amp;W$65&amp;ROW(W130))</f>
        <v>10000</v>
      </c>
      <c r="Y166">
        <f t="shared" ca="1" si="54"/>
        <v>0</v>
      </c>
      <c r="Z166">
        <f t="shared" ca="1" si="52"/>
        <v>0</v>
      </c>
      <c r="AA166">
        <f t="shared" ca="1" si="52"/>
        <v>3193</v>
      </c>
      <c r="FB166" s="18"/>
      <c r="FC166" s="18"/>
      <c r="FD166" s="18"/>
      <c r="FE166" s="18"/>
      <c r="FF166" s="18"/>
      <c r="FG166" s="18"/>
      <c r="FH166" s="18"/>
      <c r="FI166" s="18"/>
      <c r="FJ166" s="18"/>
      <c r="FK166" s="18"/>
      <c r="FL166" s="18"/>
      <c r="FM166" s="18"/>
      <c r="FN166" s="18"/>
      <c r="FO166" s="18"/>
      <c r="FP166" s="18"/>
      <c r="FQ166" s="18"/>
      <c r="FW166" s="1"/>
      <c r="FX166" s="5"/>
    </row>
    <row r="167" spans="1:180" x14ac:dyDescent="0.2">
      <c r="A167" t="str">
        <f>QDistRnd_756_20251225!A127</f>
        <v>[[756,16,34]]</v>
      </c>
      <c r="B167">
        <f>QDistRnd_756_20251225!B127</f>
        <v>756</v>
      </c>
      <c r="C167">
        <v>34</v>
      </c>
      <c r="E167" cm="1">
        <f t="array" aca="1" ref="E167" ca="1">INDIRECT(E$67&amp;"!"&amp;E$65&amp;ROW(E127))</f>
        <v>38</v>
      </c>
      <c r="F167" cm="1">
        <f t="array" aca="1" ref="F167" ca="1">INDIRECT(F$67&amp;"!"&amp;F$65&amp;ROW(F131))</f>
        <v>46</v>
      </c>
      <c r="G167" cm="1">
        <f t="array" aca="1" ref="G167" ca="1">INDIRECT(G$67&amp;"!"&amp;G$65&amp;ROW(G131))</f>
        <v>36</v>
      </c>
      <c r="I167">
        <f t="shared" ca="1" si="53"/>
        <v>4</v>
      </c>
      <c r="J167">
        <f t="shared" ca="1" si="50"/>
        <v>12</v>
      </c>
      <c r="K167">
        <f t="shared" ca="1" si="51"/>
        <v>2</v>
      </c>
      <c r="M167" cm="1">
        <f t="array" aca="1" ref="M167" ca="1">INDIRECT(M$67&amp;"!"&amp;M$65&amp;ROW(M127))</f>
        <v>11.3193637499971</v>
      </c>
      <c r="N167" cm="1">
        <f t="array" aca="1" ref="N167" ca="1">INDIRECT(N$67&amp;"!"&amp;N$65&amp;ROW(N131))</f>
        <v>138.44853522814799</v>
      </c>
      <c r="O167" cm="1">
        <f t="array" aca="1" ref="O167" ca="1">INDIRECT(O$67&amp;"!"&amp;O$65&amp;ROW(O131))</f>
        <v>134.85922245122401</v>
      </c>
      <c r="Q167" cm="1">
        <f t="array" aca="1" ref="Q167" ca="1">INDIRECT(Q$67&amp;"!"&amp;Q$65&amp;ROW(Q127))</f>
        <v>1</v>
      </c>
      <c r="R167" cm="1">
        <f t="array" aca="1" ref="R167" ca="1">INDIRECT(R$67&amp;"!"&amp;R$65&amp;ROW(R131))</f>
        <v>2</v>
      </c>
      <c r="S167" cm="1">
        <f t="array" aca="1" ref="S167" ca="1">INDIRECT(S$67&amp;"!"&amp;S$65&amp;ROW(S131))</f>
        <v>4429</v>
      </c>
      <c r="U167" cm="1">
        <f t="array" aca="1" ref="U167" ca="1">INDIRECT(U$67&amp;"!"&amp;U$65&amp;ROW(U127))</f>
        <v>1</v>
      </c>
      <c r="V167" cm="1">
        <f t="array" aca="1" ref="V167" ca="1">INDIRECT(V$67&amp;"!"&amp;V$65&amp;ROW(V131))</f>
        <v>10000</v>
      </c>
      <c r="W167" cm="1">
        <f t="array" aca="1" ref="W167" ca="1">INDIRECT(W$67&amp;"!"&amp;W$65&amp;ROW(W131))</f>
        <v>10000</v>
      </c>
      <c r="Y167">
        <f t="shared" ca="1" si="54"/>
        <v>0</v>
      </c>
      <c r="Z167">
        <f t="shared" ca="1" si="52"/>
        <v>0</v>
      </c>
      <c r="AA167">
        <f t="shared" ca="1" si="52"/>
        <v>0</v>
      </c>
      <c r="FB167" s="18"/>
      <c r="FC167" s="18"/>
      <c r="FD167" s="18"/>
      <c r="FE167" s="18"/>
      <c r="FF167" s="18"/>
      <c r="FG167" s="18"/>
      <c r="FH167" s="18"/>
      <c r="FI167" s="18"/>
      <c r="FJ167" s="18"/>
      <c r="FK167" s="18"/>
      <c r="FL167" s="18"/>
      <c r="FM167" s="18"/>
      <c r="FN167" s="18"/>
      <c r="FO167" s="18"/>
      <c r="FP167" s="18"/>
      <c r="FQ167" s="18"/>
      <c r="FW167" s="1"/>
      <c r="FX167" s="5"/>
    </row>
    <row r="168" spans="1:180" x14ac:dyDescent="0.2">
      <c r="FB168" s="18"/>
      <c r="FC168" s="18"/>
      <c r="FD168" s="18"/>
      <c r="FE168" s="18"/>
      <c r="FF168" s="18"/>
      <c r="FG168" s="18"/>
      <c r="FH168" s="18"/>
      <c r="FI168" s="18"/>
      <c r="FJ168" s="18"/>
      <c r="FK168" s="18"/>
      <c r="FL168" s="18"/>
      <c r="FM168" s="18"/>
      <c r="FN168" s="18"/>
      <c r="FO168" s="18"/>
      <c r="FP168" s="18"/>
      <c r="FQ168" s="18"/>
      <c r="FW168" s="1"/>
      <c r="FX168" s="5"/>
    </row>
    <row r="169" spans="1:180" x14ac:dyDescent="0.2">
      <c r="FB169" s="18"/>
      <c r="FC169" s="18"/>
      <c r="FD169" s="18"/>
      <c r="FE169" s="18"/>
      <c r="FF169" s="18"/>
      <c r="FG169" s="18"/>
      <c r="FH169" s="18"/>
      <c r="FI169" s="18"/>
      <c r="FJ169" s="18"/>
      <c r="FK169" s="18"/>
      <c r="FL169" s="18"/>
      <c r="FM169" s="18"/>
      <c r="FN169" s="18"/>
      <c r="FO169" s="18"/>
      <c r="FP169" s="18"/>
      <c r="FQ169" s="18"/>
      <c r="FW169" s="1"/>
      <c r="FX169" s="5"/>
    </row>
    <row r="170" spans="1:180" x14ac:dyDescent="0.2">
      <c r="FB170" s="18"/>
      <c r="FC170" s="18"/>
      <c r="FD170" s="18"/>
      <c r="FE170" s="18"/>
      <c r="FF170" s="18"/>
      <c r="FG170" s="18"/>
      <c r="FH170" s="18"/>
      <c r="FI170" s="18"/>
      <c r="FJ170" s="18"/>
      <c r="FK170" s="18"/>
      <c r="FL170" s="18"/>
      <c r="FM170" s="18"/>
      <c r="FN170" s="18"/>
      <c r="FO170" s="18"/>
      <c r="FP170" s="18"/>
      <c r="FQ170" s="18"/>
      <c r="FW170" s="1"/>
      <c r="FX170" s="5"/>
    </row>
    <row r="171" spans="1:180" x14ac:dyDescent="0.2">
      <c r="FB171" s="18"/>
      <c r="FC171" s="18"/>
      <c r="FD171" s="18"/>
      <c r="FE171" s="18"/>
      <c r="FF171" s="18"/>
      <c r="FG171" s="18"/>
      <c r="FH171" s="18"/>
      <c r="FI171" s="18"/>
      <c r="FJ171" s="18"/>
      <c r="FK171" s="18"/>
      <c r="FL171" s="18"/>
      <c r="FM171" s="18"/>
      <c r="FN171" s="18"/>
      <c r="FO171" s="18"/>
      <c r="FP171" s="18"/>
      <c r="FQ171" s="18"/>
      <c r="FW171" s="1"/>
      <c r="FX171" s="5"/>
    </row>
    <row r="172" spans="1:180" x14ac:dyDescent="0.2">
      <c r="FB172" s="18"/>
      <c r="FC172" s="18"/>
      <c r="FD172" s="18"/>
      <c r="FE172" s="18"/>
      <c r="FF172" s="18"/>
      <c r="FG172" s="18"/>
      <c r="FH172" s="18"/>
      <c r="FI172" s="18"/>
      <c r="FJ172" s="18"/>
      <c r="FK172" s="18"/>
      <c r="FL172" s="18"/>
      <c r="FM172" s="18"/>
      <c r="FN172" s="18"/>
      <c r="FO172" s="18"/>
      <c r="FP172" s="18"/>
      <c r="FQ172" s="18"/>
      <c r="FW172" s="1"/>
      <c r="FX172" s="5"/>
    </row>
    <row r="173" spans="1:180" x14ac:dyDescent="0.2">
      <c r="FB173" s="18"/>
      <c r="FC173" s="18"/>
      <c r="FD173" s="18"/>
      <c r="FE173" s="18"/>
      <c r="FF173" s="18"/>
      <c r="FG173" s="18"/>
      <c r="FH173" s="18"/>
      <c r="FI173" s="18"/>
      <c r="FJ173" s="18"/>
      <c r="FK173" s="18"/>
      <c r="FL173" s="18"/>
      <c r="FM173" s="18"/>
      <c r="FN173" s="18"/>
      <c r="FO173" s="18"/>
      <c r="FP173" s="18"/>
      <c r="FQ173" s="18"/>
      <c r="FW173" s="1"/>
      <c r="FX173" s="5"/>
    </row>
    <row r="174" spans="1:180" x14ac:dyDescent="0.2">
      <c r="FB174" s="18"/>
      <c r="FC174" s="18"/>
      <c r="FD174" s="18"/>
      <c r="FE174" s="18"/>
      <c r="FF174" s="18"/>
      <c r="FG174" s="18"/>
      <c r="FH174" s="18"/>
      <c r="FI174" s="18"/>
      <c r="FJ174" s="18"/>
      <c r="FK174" s="18"/>
      <c r="FL174" s="18"/>
      <c r="FM174" s="18"/>
      <c r="FN174" s="18"/>
      <c r="FO174" s="18"/>
      <c r="FP174" s="18"/>
      <c r="FQ174" s="18"/>
      <c r="FW174" s="1"/>
      <c r="FX174" s="5"/>
    </row>
    <row r="175" spans="1:180" x14ac:dyDescent="0.2">
      <c r="FB175" s="18"/>
      <c r="FC175" s="18"/>
      <c r="FD175" s="18"/>
      <c r="FE175" s="18"/>
      <c r="FF175" s="18"/>
      <c r="FG175" s="18"/>
      <c r="FH175" s="18"/>
      <c r="FI175" s="18"/>
      <c r="FJ175" s="18"/>
      <c r="FK175" s="18"/>
      <c r="FL175" s="18"/>
      <c r="FM175" s="18"/>
      <c r="FN175" s="18"/>
      <c r="FO175" s="18"/>
      <c r="FP175" s="18"/>
      <c r="FQ175" s="18"/>
      <c r="FW175" s="1"/>
      <c r="FX175" s="5"/>
    </row>
    <row r="176" spans="1:180" x14ac:dyDescent="0.2">
      <c r="FB176" s="18"/>
      <c r="FC176" s="18"/>
      <c r="FD176" s="18"/>
      <c r="FE176" s="18"/>
      <c r="FF176" s="18"/>
      <c r="FG176" s="18"/>
      <c r="FH176" s="18"/>
      <c r="FI176" s="18"/>
      <c r="FJ176" s="18"/>
      <c r="FK176" s="18"/>
      <c r="FL176" s="18"/>
      <c r="FM176" s="18"/>
      <c r="FN176" s="18"/>
      <c r="FO176" s="18"/>
      <c r="FP176" s="18"/>
      <c r="FQ176" s="18"/>
      <c r="FW176" s="1"/>
      <c r="FX176" s="5"/>
    </row>
    <row r="177" spans="158:180" x14ac:dyDescent="0.2">
      <c r="FB177" s="18"/>
      <c r="FC177" s="18"/>
      <c r="FD177" s="18"/>
      <c r="FE177" s="18"/>
      <c r="FF177" s="18"/>
      <c r="FG177" s="18"/>
      <c r="FH177" s="18"/>
      <c r="FI177" s="18"/>
      <c r="FJ177" s="18"/>
      <c r="FK177" s="18"/>
      <c r="FL177" s="18"/>
      <c r="FM177" s="18"/>
      <c r="FN177" s="18"/>
      <c r="FO177" s="18"/>
      <c r="FP177" s="18"/>
      <c r="FQ177" s="18"/>
      <c r="FW177" s="1"/>
      <c r="FX177" s="5"/>
    </row>
    <row r="178" spans="158:180" x14ac:dyDescent="0.2">
      <c r="FB178" s="18"/>
      <c r="FC178" s="18"/>
      <c r="FD178" s="18"/>
      <c r="FE178" s="18"/>
      <c r="FF178" s="18"/>
      <c r="FG178" s="18"/>
      <c r="FH178" s="18"/>
      <c r="FI178" s="18"/>
      <c r="FJ178" s="18"/>
      <c r="FK178" s="18"/>
      <c r="FL178" s="18"/>
      <c r="FM178" s="18"/>
      <c r="FN178" s="18"/>
      <c r="FO178" s="18"/>
      <c r="FP178" s="18"/>
      <c r="FQ178" s="18"/>
      <c r="FW178" s="1"/>
      <c r="FX178" s="5"/>
    </row>
    <row r="179" spans="158:180" x14ac:dyDescent="0.2">
      <c r="FB179" s="18"/>
      <c r="FC179" s="18"/>
      <c r="FD179" s="18"/>
      <c r="FE179" s="18"/>
      <c r="FF179" s="18"/>
      <c r="FG179" s="18"/>
      <c r="FH179" s="18"/>
      <c r="FI179" s="18"/>
      <c r="FJ179" s="18"/>
      <c r="FK179" s="18"/>
      <c r="FL179" s="18"/>
      <c r="FM179" s="18"/>
      <c r="FN179" s="18"/>
      <c r="FO179" s="18"/>
      <c r="FP179" s="18"/>
      <c r="FQ179" s="18"/>
      <c r="FW179" s="1"/>
      <c r="FX179" s="5"/>
    </row>
    <row r="180" spans="158:180" x14ac:dyDescent="0.2">
      <c r="FB180" s="18"/>
      <c r="FC180" s="18"/>
      <c r="FD180" s="18"/>
      <c r="FE180" s="18"/>
      <c r="FF180" s="18"/>
      <c r="FG180" s="18"/>
      <c r="FH180" s="18"/>
      <c r="FI180" s="18"/>
      <c r="FJ180" s="18"/>
      <c r="FK180" s="18"/>
      <c r="FL180" s="18"/>
      <c r="FM180" s="18"/>
      <c r="FN180" s="18"/>
      <c r="FO180" s="18"/>
      <c r="FP180" s="18"/>
      <c r="FQ180" s="18"/>
      <c r="FW180" s="1"/>
      <c r="FX180" s="5"/>
    </row>
    <row r="181" spans="158:180" x14ac:dyDescent="0.2">
      <c r="FB181" s="18"/>
      <c r="FC181" s="18"/>
      <c r="FD181" s="18"/>
      <c r="FE181" s="18"/>
      <c r="FF181" s="18"/>
      <c r="FG181" s="18"/>
      <c r="FH181" s="18"/>
      <c r="FI181" s="18"/>
      <c r="FJ181" s="18"/>
      <c r="FK181" s="18"/>
      <c r="FL181" s="18"/>
      <c r="FM181" s="18"/>
      <c r="FN181" s="18"/>
      <c r="FO181" s="18"/>
      <c r="FP181" s="18"/>
      <c r="FQ181" s="18"/>
      <c r="FW181" s="1"/>
      <c r="FX181" s="5"/>
    </row>
    <row r="182" spans="158:180" x14ac:dyDescent="0.2">
      <c r="FB182" s="18"/>
      <c r="FC182" s="18"/>
      <c r="FD182" s="18"/>
      <c r="FE182" s="18"/>
      <c r="FF182" s="18"/>
      <c r="FG182" s="18"/>
      <c r="FH182" s="18"/>
      <c r="FI182" s="18"/>
      <c r="FJ182" s="18"/>
      <c r="FK182" s="18"/>
      <c r="FL182" s="18"/>
      <c r="FM182" s="18"/>
      <c r="FN182" s="18"/>
      <c r="FO182" s="18"/>
      <c r="FP182" s="18"/>
      <c r="FQ182" s="18"/>
      <c r="FW182" s="1"/>
      <c r="FX182" s="5"/>
    </row>
    <row r="183" spans="158:180" x14ac:dyDescent="0.2">
      <c r="FB183" s="18"/>
      <c r="FC183" s="18"/>
      <c r="FD183" s="18"/>
      <c r="FE183" s="18"/>
      <c r="FF183" s="18"/>
      <c r="FG183" s="18"/>
      <c r="FH183" s="18"/>
      <c r="FI183" s="18"/>
      <c r="FJ183" s="18"/>
      <c r="FK183" s="18"/>
      <c r="FL183" s="18"/>
      <c r="FM183" s="18"/>
      <c r="FN183" s="18"/>
      <c r="FO183" s="18"/>
      <c r="FP183" s="18"/>
      <c r="FQ183" s="18"/>
      <c r="FW183" s="1"/>
      <c r="FX183" s="5"/>
    </row>
    <row r="184" spans="158:180" x14ac:dyDescent="0.2">
      <c r="FB184" s="18"/>
      <c r="FC184" s="18"/>
      <c r="FD184" s="18"/>
      <c r="FE184" s="18"/>
      <c r="FF184" s="18"/>
      <c r="FG184" s="18"/>
      <c r="FH184" s="18"/>
      <c r="FI184" s="18"/>
      <c r="FJ184" s="18"/>
      <c r="FK184" s="18"/>
      <c r="FL184" s="18"/>
      <c r="FM184" s="18"/>
      <c r="FN184" s="18"/>
      <c r="FO184" s="18"/>
      <c r="FP184" s="18"/>
      <c r="FQ184" s="18"/>
      <c r="FW184" s="1"/>
      <c r="FX184" s="5"/>
    </row>
    <row r="185" spans="158:180" x14ac:dyDescent="0.2">
      <c r="FB185" s="18"/>
      <c r="FC185" s="18"/>
      <c r="FD185" s="18"/>
      <c r="FE185" s="18"/>
      <c r="FF185" s="18"/>
      <c r="FG185" s="18"/>
      <c r="FH185" s="18"/>
      <c r="FI185" s="18"/>
      <c r="FJ185" s="18"/>
      <c r="FK185" s="18"/>
      <c r="FL185" s="18"/>
      <c r="FM185" s="18"/>
      <c r="FN185" s="18"/>
      <c r="FO185" s="18"/>
      <c r="FP185" s="18"/>
      <c r="FQ185" s="18"/>
      <c r="FW185" s="1"/>
      <c r="FX185" s="5"/>
    </row>
    <row r="186" spans="158:180" x14ac:dyDescent="0.2">
      <c r="FB186" s="18"/>
      <c r="FC186" s="18"/>
      <c r="FD186" s="18"/>
      <c r="FE186" s="18"/>
      <c r="FF186" s="18"/>
      <c r="FG186" s="18"/>
      <c r="FH186" s="18"/>
      <c r="FI186" s="18"/>
      <c r="FJ186" s="18"/>
      <c r="FK186" s="18"/>
      <c r="FL186" s="18"/>
      <c r="FM186" s="18"/>
      <c r="FN186" s="18"/>
      <c r="FO186" s="18"/>
      <c r="FP186" s="18"/>
      <c r="FQ186" s="18"/>
      <c r="FW186" s="1"/>
      <c r="FX186" s="5"/>
    </row>
    <row r="187" spans="158:180" x14ac:dyDescent="0.2">
      <c r="FB187" s="18"/>
      <c r="FC187" s="18"/>
      <c r="FD187" s="18"/>
      <c r="FE187" s="18"/>
      <c r="FF187" s="18"/>
      <c r="FG187" s="18"/>
      <c r="FH187" s="18"/>
      <c r="FI187" s="18"/>
      <c r="FJ187" s="18"/>
      <c r="FK187" s="18"/>
      <c r="FL187" s="18"/>
      <c r="FM187" s="18"/>
      <c r="FN187" s="18"/>
      <c r="FO187" s="18"/>
      <c r="FP187" s="18"/>
      <c r="FQ187" s="18"/>
      <c r="FW187" s="1"/>
      <c r="FX187" s="5"/>
    </row>
    <row r="188" spans="158:180" x14ac:dyDescent="0.2">
      <c r="FB188" s="18"/>
      <c r="FC188" s="18"/>
      <c r="FD188" s="18"/>
      <c r="FE188" s="18"/>
      <c r="FF188" s="18"/>
      <c r="FG188" s="18"/>
      <c r="FH188" s="18"/>
      <c r="FI188" s="18"/>
      <c r="FJ188" s="18"/>
      <c r="FK188" s="18"/>
      <c r="FL188" s="18"/>
      <c r="FM188" s="18"/>
      <c r="FN188" s="18"/>
      <c r="FO188" s="18"/>
      <c r="FP188" s="18"/>
      <c r="FQ188" s="18"/>
      <c r="FW188" s="1"/>
      <c r="FX188"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1E05A-105F-C447-BCC6-0FD7BEDDCAB1}">
  <dimension ref="A1:I51"/>
  <sheetViews>
    <sheetView topLeftCell="A22" workbookViewId="0">
      <selection activeCell="D25" sqref="D25"/>
    </sheetView>
  </sheetViews>
  <sheetFormatPr baseColWidth="10" defaultRowHeight="16" x14ac:dyDescent="0.2"/>
  <sheetData>
    <row r="1" spans="1:1" x14ac:dyDescent="0.2">
      <c r="A1" t="s">
        <v>0</v>
      </c>
    </row>
    <row r="2" spans="1:1" x14ac:dyDescent="0.2">
      <c r="A2" t="s">
        <v>1</v>
      </c>
    </row>
    <row r="3" spans="1:1" x14ac:dyDescent="0.2">
      <c r="A3" t="s">
        <v>351</v>
      </c>
    </row>
    <row r="4" spans="1:1" x14ac:dyDescent="0.2">
      <c r="A4" t="s">
        <v>2</v>
      </c>
    </row>
    <row r="5" spans="1:1" x14ac:dyDescent="0.2">
      <c r="A5" t="s">
        <v>3</v>
      </c>
    </row>
    <row r="6" spans="1:1" x14ac:dyDescent="0.2">
      <c r="A6" t="s">
        <v>66</v>
      </c>
    </row>
    <row r="7" spans="1:1" x14ac:dyDescent="0.2">
      <c r="A7" t="s">
        <v>5</v>
      </c>
    </row>
    <row r="8" spans="1:1" x14ac:dyDescent="0.2">
      <c r="A8" t="s">
        <v>6</v>
      </c>
    </row>
    <row r="9" spans="1:1" x14ac:dyDescent="0.2">
      <c r="A9" t="s">
        <v>489</v>
      </c>
    </row>
    <row r="10" spans="1:1" x14ac:dyDescent="0.2">
      <c r="A10" t="s">
        <v>490</v>
      </c>
    </row>
    <row r="11" spans="1:1" x14ac:dyDescent="0.2">
      <c r="A11" t="s">
        <v>7</v>
      </c>
    </row>
    <row r="12" spans="1:1" x14ac:dyDescent="0.2">
      <c r="A12" t="s">
        <v>8</v>
      </c>
    </row>
    <row r="13" spans="1:1" x14ac:dyDescent="0.2">
      <c r="A13" t="s">
        <v>9</v>
      </c>
    </row>
    <row r="14" spans="1:1" x14ac:dyDescent="0.2">
      <c r="A14" t="s">
        <v>10</v>
      </c>
    </row>
    <row r="15" spans="1:1" x14ac:dyDescent="0.2">
      <c r="A15" t="s">
        <v>11</v>
      </c>
    </row>
    <row r="16" spans="1:1" x14ac:dyDescent="0.2">
      <c r="A16" t="s">
        <v>494</v>
      </c>
    </row>
    <row r="17" spans="1:9" x14ac:dyDescent="0.2">
      <c r="A17" t="s">
        <v>495</v>
      </c>
    </row>
    <row r="18" spans="1:9" x14ac:dyDescent="0.2">
      <c r="A18" t="s">
        <v>12</v>
      </c>
    </row>
    <row r="19" spans="1:9" x14ac:dyDescent="0.2">
      <c r="A19" t="s">
        <v>16</v>
      </c>
    </row>
    <row r="20" spans="1:9" x14ac:dyDescent="0.2">
      <c r="A20" t="s">
        <v>107</v>
      </c>
    </row>
    <row r="21" spans="1:9" x14ac:dyDescent="0.2">
      <c r="A21" t="s">
        <v>18</v>
      </c>
    </row>
    <row r="22" spans="1:9" x14ac:dyDescent="0.2">
      <c r="A22" t="s">
        <v>500</v>
      </c>
    </row>
    <row r="23" spans="1:9" x14ac:dyDescent="0.2">
      <c r="A23" t="s">
        <v>496</v>
      </c>
    </row>
    <row r="24" spans="1:9" x14ac:dyDescent="0.2">
      <c r="A24" t="s">
        <v>497</v>
      </c>
    </row>
    <row r="25" spans="1:9" x14ac:dyDescent="0.2">
      <c r="A25" t="s">
        <v>498</v>
      </c>
    </row>
    <row r="26" spans="1:9" x14ac:dyDescent="0.2">
      <c r="A26" t="s">
        <v>499</v>
      </c>
    </row>
    <row r="27" spans="1:9" x14ac:dyDescent="0.2">
      <c r="A27" t="s">
        <v>491</v>
      </c>
    </row>
    <row r="28" spans="1:9" x14ac:dyDescent="0.2">
      <c r="A28" t="s">
        <v>20</v>
      </c>
    </row>
    <row r="29" spans="1:9" x14ac:dyDescent="0.2">
      <c r="A29" t="s">
        <v>501</v>
      </c>
    </row>
    <row r="30" spans="1:9" x14ac:dyDescent="0.2">
      <c r="A30" t="s">
        <v>22</v>
      </c>
    </row>
    <row r="31" spans="1:9" x14ac:dyDescent="0.2">
      <c r="A31" t="s">
        <v>23</v>
      </c>
      <c r="B31" t="s">
        <v>24</v>
      </c>
      <c r="C31" t="s">
        <v>25</v>
      </c>
      <c r="D31" t="s">
        <v>26</v>
      </c>
      <c r="E31" t="s">
        <v>27</v>
      </c>
      <c r="F31" t="s">
        <v>28</v>
      </c>
      <c r="G31" t="s">
        <v>29</v>
      </c>
      <c r="H31" t="s">
        <v>30</v>
      </c>
      <c r="I31" t="s">
        <v>31</v>
      </c>
    </row>
    <row r="32" spans="1:9" x14ac:dyDescent="0.2">
      <c r="A32" t="s">
        <v>32</v>
      </c>
      <c r="B32">
        <v>72</v>
      </c>
      <c r="C32">
        <v>12</v>
      </c>
      <c r="D32">
        <v>6</v>
      </c>
      <c r="E32">
        <v>0</v>
      </c>
      <c r="F32" s="10" t="s">
        <v>502</v>
      </c>
      <c r="G32">
        <v>1</v>
      </c>
      <c r="H32">
        <v>1</v>
      </c>
      <c r="I32" t="s">
        <v>503</v>
      </c>
    </row>
    <row r="33" spans="1:9" x14ac:dyDescent="0.2">
      <c r="A33" t="s">
        <v>34</v>
      </c>
      <c r="B33">
        <v>90</v>
      </c>
      <c r="C33">
        <v>8</v>
      </c>
      <c r="D33">
        <v>10</v>
      </c>
      <c r="E33">
        <v>0</v>
      </c>
      <c r="F33">
        <v>0.89620366320014</v>
      </c>
      <c r="G33">
        <v>1</v>
      </c>
      <c r="H33">
        <v>1</v>
      </c>
      <c r="I33" t="s">
        <v>504</v>
      </c>
    </row>
    <row r="34" spans="1:9" x14ac:dyDescent="0.2">
      <c r="A34" t="s">
        <v>36</v>
      </c>
      <c r="B34">
        <v>108</v>
      </c>
      <c r="C34">
        <v>8</v>
      </c>
      <c r="D34">
        <v>10</v>
      </c>
      <c r="E34">
        <v>0</v>
      </c>
      <c r="F34" s="10" t="s">
        <v>505</v>
      </c>
      <c r="G34">
        <v>1</v>
      </c>
      <c r="H34">
        <v>1</v>
      </c>
      <c r="I34" t="s">
        <v>506</v>
      </c>
    </row>
    <row r="35" spans="1:9" x14ac:dyDescent="0.2">
      <c r="A35" t="s">
        <v>38</v>
      </c>
      <c r="B35">
        <v>144</v>
      </c>
      <c r="C35">
        <v>12</v>
      </c>
      <c r="D35">
        <v>12</v>
      </c>
      <c r="E35">
        <v>0</v>
      </c>
      <c r="F35" s="10" t="s">
        <v>507</v>
      </c>
      <c r="G35">
        <v>1</v>
      </c>
      <c r="H35">
        <v>1</v>
      </c>
      <c r="I35" t="s">
        <v>508</v>
      </c>
    </row>
    <row r="36" spans="1:9" x14ac:dyDescent="0.2">
      <c r="A36" t="s">
        <v>40</v>
      </c>
      <c r="B36">
        <v>288</v>
      </c>
      <c r="C36">
        <v>12</v>
      </c>
      <c r="D36">
        <v>18</v>
      </c>
      <c r="E36">
        <v>0</v>
      </c>
      <c r="F36" s="10" t="s">
        <v>509</v>
      </c>
      <c r="G36">
        <v>1</v>
      </c>
      <c r="H36">
        <v>1</v>
      </c>
      <c r="I36" t="s">
        <v>510</v>
      </c>
    </row>
    <row r="37" spans="1:9" x14ac:dyDescent="0.2">
      <c r="A37" t="s">
        <v>42</v>
      </c>
      <c r="B37">
        <v>360</v>
      </c>
      <c r="C37">
        <v>12</v>
      </c>
      <c r="D37">
        <v>24</v>
      </c>
      <c r="E37">
        <v>0</v>
      </c>
      <c r="F37" s="10" t="s">
        <v>511</v>
      </c>
      <c r="G37">
        <v>1</v>
      </c>
      <c r="H37">
        <v>1</v>
      </c>
      <c r="I37" t="s">
        <v>512</v>
      </c>
    </row>
    <row r="38" spans="1:9" x14ac:dyDescent="0.2">
      <c r="A38" t="s">
        <v>44</v>
      </c>
      <c r="B38">
        <v>756</v>
      </c>
      <c r="C38">
        <v>16</v>
      </c>
      <c r="D38">
        <v>40</v>
      </c>
      <c r="E38">
        <v>6</v>
      </c>
      <c r="F38" s="10" t="s">
        <v>513</v>
      </c>
      <c r="G38">
        <v>1</v>
      </c>
      <c r="H38">
        <v>1</v>
      </c>
      <c r="I38" t="s">
        <v>514</v>
      </c>
    </row>
    <row r="39" spans="1:9" x14ac:dyDescent="0.2">
      <c r="A39" t="s">
        <v>46</v>
      </c>
      <c r="B39">
        <v>216</v>
      </c>
      <c r="C39">
        <v>8</v>
      </c>
      <c r="D39">
        <v>10</v>
      </c>
      <c r="E39">
        <v>0</v>
      </c>
      <c r="F39" s="10" t="s">
        <v>515</v>
      </c>
      <c r="G39">
        <v>1</v>
      </c>
      <c r="H39">
        <v>1</v>
      </c>
      <c r="I39" t="s">
        <v>516</v>
      </c>
    </row>
    <row r="40" spans="1:9" x14ac:dyDescent="0.2">
      <c r="A40" t="s">
        <v>48</v>
      </c>
      <c r="B40">
        <v>576</v>
      </c>
      <c r="C40">
        <v>8</v>
      </c>
      <c r="D40">
        <v>24</v>
      </c>
      <c r="E40">
        <v>0</v>
      </c>
      <c r="F40" s="10" t="s">
        <v>517</v>
      </c>
      <c r="G40">
        <v>1</v>
      </c>
      <c r="H40">
        <v>1</v>
      </c>
      <c r="I40" t="s">
        <v>518</v>
      </c>
    </row>
    <row r="41" spans="1:9" x14ac:dyDescent="0.2">
      <c r="A41" t="s">
        <v>50</v>
      </c>
      <c r="B41">
        <v>864</v>
      </c>
      <c r="C41">
        <v>4</v>
      </c>
      <c r="D41">
        <v>54</v>
      </c>
      <c r="E41">
        <v>14</v>
      </c>
      <c r="F41">
        <v>72.219161769375205</v>
      </c>
      <c r="G41">
        <v>1</v>
      </c>
      <c r="H41">
        <v>1</v>
      </c>
      <c r="I41" t="s">
        <v>519</v>
      </c>
    </row>
    <row r="42" spans="1:9" x14ac:dyDescent="0.2">
      <c r="A42" t="s">
        <v>52</v>
      </c>
      <c r="B42">
        <v>648</v>
      </c>
      <c r="C42">
        <v>4</v>
      </c>
      <c r="D42">
        <v>36</v>
      </c>
      <c r="E42">
        <v>4</v>
      </c>
      <c r="F42">
        <v>39.207276714965701</v>
      </c>
      <c r="G42">
        <v>1</v>
      </c>
      <c r="H42">
        <v>1</v>
      </c>
      <c r="I42" t="s">
        <v>520</v>
      </c>
    </row>
    <row r="43" spans="1:9" x14ac:dyDescent="0.2">
      <c r="A43" t="s">
        <v>54</v>
      </c>
      <c r="B43">
        <v>1080</v>
      </c>
      <c r="C43">
        <v>4</v>
      </c>
      <c r="D43">
        <v>72</v>
      </c>
      <c r="E43">
        <v>16</v>
      </c>
      <c r="F43" s="10" t="s">
        <v>521</v>
      </c>
      <c r="G43">
        <v>1</v>
      </c>
      <c r="H43">
        <v>1</v>
      </c>
      <c r="I43" t="s">
        <v>522</v>
      </c>
    </row>
    <row r="44" spans="1:9" x14ac:dyDescent="0.2">
      <c r="A44" t="s">
        <v>56</v>
      </c>
      <c r="B44">
        <v>1296</v>
      </c>
      <c r="C44">
        <v>4</v>
      </c>
      <c r="D44">
        <v>80</v>
      </c>
      <c r="E44">
        <v>30</v>
      </c>
      <c r="F44" s="10" t="s">
        <v>523</v>
      </c>
      <c r="G44">
        <v>1</v>
      </c>
      <c r="H44">
        <v>1</v>
      </c>
      <c r="I44" t="s">
        <v>524</v>
      </c>
    </row>
    <row r="45" spans="1:9" x14ac:dyDescent="0.2">
      <c r="A45" t="s">
        <v>58</v>
      </c>
      <c r="B45">
        <v>1152</v>
      </c>
      <c r="C45">
        <v>4</v>
      </c>
      <c r="D45">
        <v>56</v>
      </c>
      <c r="E45">
        <v>14</v>
      </c>
      <c r="F45" s="10" t="s">
        <v>525</v>
      </c>
      <c r="G45">
        <v>1</v>
      </c>
      <c r="H45">
        <v>1</v>
      </c>
      <c r="I45" t="s">
        <v>526</v>
      </c>
    </row>
    <row r="46" spans="1:9" x14ac:dyDescent="0.2">
      <c r="A46" t="s">
        <v>60</v>
      </c>
      <c r="B46">
        <v>1728</v>
      </c>
      <c r="C46">
        <v>4</v>
      </c>
      <c r="D46">
        <v>128</v>
      </c>
      <c r="E46">
        <v>64</v>
      </c>
      <c r="F46" s="10" t="s">
        <v>527</v>
      </c>
      <c r="G46">
        <v>1</v>
      </c>
      <c r="H46">
        <v>1</v>
      </c>
      <c r="I46" t="s">
        <v>528</v>
      </c>
    </row>
    <row r="47" spans="1:9" x14ac:dyDescent="0.2">
      <c r="A47" t="s">
        <v>62</v>
      </c>
      <c r="B47">
        <v>2016</v>
      </c>
      <c r="C47">
        <v>8</v>
      </c>
      <c r="D47">
        <v>62</v>
      </c>
      <c r="E47">
        <v>8</v>
      </c>
      <c r="F47" s="10" t="s">
        <v>529</v>
      </c>
      <c r="G47">
        <v>1</v>
      </c>
      <c r="H47">
        <v>1</v>
      </c>
      <c r="I47" t="s">
        <v>530</v>
      </c>
    </row>
    <row r="48" spans="1:9" x14ac:dyDescent="0.2">
      <c r="A48" t="s">
        <v>64</v>
      </c>
      <c r="B48">
        <v>2160</v>
      </c>
      <c r="C48">
        <v>8</v>
      </c>
      <c r="D48">
        <v>164</v>
      </c>
      <c r="E48">
        <v>100</v>
      </c>
      <c r="F48" s="10" t="s">
        <v>531</v>
      </c>
      <c r="G48">
        <v>1</v>
      </c>
      <c r="H48">
        <v>1</v>
      </c>
      <c r="I48" t="s">
        <v>532</v>
      </c>
    </row>
    <row r="49" spans="1:9" x14ac:dyDescent="0.2">
      <c r="A49" t="s">
        <v>89</v>
      </c>
      <c r="B49">
        <v>2520</v>
      </c>
      <c r="C49">
        <v>8</v>
      </c>
      <c r="D49">
        <v>66</v>
      </c>
      <c r="E49">
        <v>12</v>
      </c>
      <c r="F49" s="10" t="s">
        <v>533</v>
      </c>
      <c r="G49">
        <v>1</v>
      </c>
      <c r="H49">
        <v>1</v>
      </c>
      <c r="I49" t="s">
        <v>534</v>
      </c>
    </row>
    <row r="50" spans="1:9" x14ac:dyDescent="0.2">
      <c r="A50" t="s">
        <v>91</v>
      </c>
      <c r="B50">
        <v>2592</v>
      </c>
      <c r="C50">
        <v>8</v>
      </c>
      <c r="D50">
        <v>38</v>
      </c>
      <c r="E50">
        <v>2</v>
      </c>
      <c r="F50" s="10" t="s">
        <v>535</v>
      </c>
      <c r="G50">
        <v>1</v>
      </c>
      <c r="H50">
        <v>1</v>
      </c>
      <c r="I50" t="s">
        <v>536</v>
      </c>
    </row>
    <row r="51" spans="1:9" x14ac:dyDescent="0.2">
      <c r="A51" t="s">
        <v>93</v>
      </c>
      <c r="B51">
        <v>3024</v>
      </c>
      <c r="C51">
        <v>4</v>
      </c>
      <c r="D51">
        <v>156</v>
      </c>
      <c r="E51">
        <v>72</v>
      </c>
      <c r="F51" s="10" t="s">
        <v>537</v>
      </c>
      <c r="G51">
        <v>1</v>
      </c>
      <c r="H51">
        <v>1</v>
      </c>
      <c r="I51" t="s">
        <v>538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47E03-733D-404C-91DC-8084496AE80E}">
  <dimension ref="A1:I51"/>
  <sheetViews>
    <sheetView workbookViewId="0"/>
  </sheetViews>
  <sheetFormatPr baseColWidth="10" defaultRowHeight="16" x14ac:dyDescent="0.2"/>
  <sheetData>
    <row r="1" spans="1:1" x14ac:dyDescent="0.2">
      <c r="A1" t="s">
        <v>0</v>
      </c>
    </row>
    <row r="2" spans="1:1" x14ac:dyDescent="0.2">
      <c r="A2" t="s">
        <v>1</v>
      </c>
    </row>
    <row r="3" spans="1:1" x14ac:dyDescent="0.2">
      <c r="A3" t="s">
        <v>351</v>
      </c>
    </row>
    <row r="4" spans="1:1" x14ac:dyDescent="0.2">
      <c r="A4" t="s">
        <v>2</v>
      </c>
    </row>
    <row r="5" spans="1:1" x14ac:dyDescent="0.2">
      <c r="A5" t="s">
        <v>3</v>
      </c>
    </row>
    <row r="6" spans="1:1" x14ac:dyDescent="0.2">
      <c r="A6" t="s">
        <v>103</v>
      </c>
    </row>
    <row r="7" spans="1:1" x14ac:dyDescent="0.2">
      <c r="A7" t="s">
        <v>5</v>
      </c>
    </row>
    <row r="8" spans="1:1" x14ac:dyDescent="0.2">
      <c r="A8" t="s">
        <v>6</v>
      </c>
    </row>
    <row r="9" spans="1:1" x14ac:dyDescent="0.2">
      <c r="A9" t="s">
        <v>489</v>
      </c>
    </row>
    <row r="10" spans="1:1" x14ac:dyDescent="0.2">
      <c r="A10" t="s">
        <v>490</v>
      </c>
    </row>
    <row r="11" spans="1:1" x14ac:dyDescent="0.2">
      <c r="A11" t="s">
        <v>7</v>
      </c>
    </row>
    <row r="12" spans="1:1" x14ac:dyDescent="0.2">
      <c r="A12" t="s">
        <v>8</v>
      </c>
    </row>
    <row r="13" spans="1:1" x14ac:dyDescent="0.2">
      <c r="A13" t="s">
        <v>9</v>
      </c>
    </row>
    <row r="14" spans="1:1" x14ac:dyDescent="0.2">
      <c r="A14" t="s">
        <v>10</v>
      </c>
    </row>
    <row r="15" spans="1:1" x14ac:dyDescent="0.2">
      <c r="A15" t="s">
        <v>11</v>
      </c>
    </row>
    <row r="16" spans="1:1" x14ac:dyDescent="0.2">
      <c r="A16" t="s">
        <v>494</v>
      </c>
    </row>
    <row r="17" spans="1:9" x14ac:dyDescent="0.2">
      <c r="A17" t="s">
        <v>495</v>
      </c>
    </row>
    <row r="18" spans="1:9" x14ac:dyDescent="0.2">
      <c r="A18" t="s">
        <v>12</v>
      </c>
    </row>
    <row r="19" spans="1:9" x14ac:dyDescent="0.2">
      <c r="A19" t="s">
        <v>16</v>
      </c>
    </row>
    <row r="20" spans="1:9" x14ac:dyDescent="0.2">
      <c r="A20" t="s">
        <v>107</v>
      </c>
    </row>
    <row r="21" spans="1:9" x14ac:dyDescent="0.2">
      <c r="A21" t="s">
        <v>18</v>
      </c>
    </row>
    <row r="22" spans="1:9" x14ac:dyDescent="0.2">
      <c r="A22" t="s">
        <v>500</v>
      </c>
    </row>
    <row r="23" spans="1:9" x14ac:dyDescent="0.2">
      <c r="A23" t="s">
        <v>496</v>
      </c>
    </row>
    <row r="24" spans="1:9" x14ac:dyDescent="0.2">
      <c r="A24" t="s">
        <v>497</v>
      </c>
    </row>
    <row r="25" spans="1:9" x14ac:dyDescent="0.2">
      <c r="A25" t="s">
        <v>498</v>
      </c>
    </row>
    <row r="26" spans="1:9" x14ac:dyDescent="0.2">
      <c r="A26" t="s">
        <v>499</v>
      </c>
    </row>
    <row r="27" spans="1:9" x14ac:dyDescent="0.2">
      <c r="A27" t="s">
        <v>491</v>
      </c>
    </row>
    <row r="28" spans="1:9" x14ac:dyDescent="0.2">
      <c r="A28" t="s">
        <v>20</v>
      </c>
    </row>
    <row r="29" spans="1:9" x14ac:dyDescent="0.2">
      <c r="A29" t="s">
        <v>560</v>
      </c>
    </row>
    <row r="30" spans="1:9" x14ac:dyDescent="0.2">
      <c r="A30" t="s">
        <v>22</v>
      </c>
    </row>
    <row r="31" spans="1:9" x14ac:dyDescent="0.2">
      <c r="A31" t="s">
        <v>23</v>
      </c>
      <c r="B31" t="s">
        <v>24</v>
      </c>
      <c r="C31" t="s">
        <v>25</v>
      </c>
      <c r="D31" t="s">
        <v>26</v>
      </c>
      <c r="E31" t="s">
        <v>27</v>
      </c>
      <c r="F31" t="s">
        <v>28</v>
      </c>
      <c r="G31" t="s">
        <v>29</v>
      </c>
      <c r="H31" t="s">
        <v>30</v>
      </c>
      <c r="I31" t="s">
        <v>31</v>
      </c>
    </row>
    <row r="32" spans="1:9" x14ac:dyDescent="0.2">
      <c r="A32" t="s">
        <v>32</v>
      </c>
      <c r="B32">
        <v>72</v>
      </c>
      <c r="C32">
        <v>12</v>
      </c>
      <c r="D32">
        <v>6</v>
      </c>
      <c r="E32">
        <v>0</v>
      </c>
      <c r="F32">
        <v>13.753416689112701</v>
      </c>
      <c r="G32">
        <v>47412</v>
      </c>
      <c r="H32">
        <v>50000</v>
      </c>
      <c r="I32" t="s">
        <v>561</v>
      </c>
    </row>
    <row r="33" spans="1:9" x14ac:dyDescent="0.2">
      <c r="A33" t="s">
        <v>34</v>
      </c>
      <c r="B33">
        <v>90</v>
      </c>
      <c r="C33">
        <v>8</v>
      </c>
      <c r="D33">
        <v>10</v>
      </c>
      <c r="E33">
        <v>0</v>
      </c>
      <c r="F33">
        <v>16.089497470296902</v>
      </c>
      <c r="G33">
        <v>35187</v>
      </c>
      <c r="H33">
        <v>50000</v>
      </c>
      <c r="I33" t="s">
        <v>562</v>
      </c>
    </row>
    <row r="34" spans="1:9" x14ac:dyDescent="0.2">
      <c r="A34" t="s">
        <v>36</v>
      </c>
      <c r="B34">
        <v>108</v>
      </c>
      <c r="C34">
        <v>8</v>
      </c>
      <c r="D34">
        <v>10</v>
      </c>
      <c r="E34">
        <v>0</v>
      </c>
      <c r="F34">
        <v>19.683480443432899</v>
      </c>
      <c r="G34">
        <v>7200</v>
      </c>
      <c r="H34">
        <v>50000</v>
      </c>
      <c r="I34" t="s">
        <v>563</v>
      </c>
    </row>
    <row r="35" spans="1:9" x14ac:dyDescent="0.2">
      <c r="A35" t="s">
        <v>38</v>
      </c>
      <c r="B35">
        <v>144</v>
      </c>
      <c r="C35">
        <v>12</v>
      </c>
      <c r="D35">
        <v>12</v>
      </c>
      <c r="E35">
        <v>0</v>
      </c>
      <c r="F35">
        <v>32.531665494665504</v>
      </c>
      <c r="G35">
        <v>28622</v>
      </c>
      <c r="H35">
        <v>50000</v>
      </c>
      <c r="I35" t="s">
        <v>564</v>
      </c>
    </row>
    <row r="36" spans="1:9" x14ac:dyDescent="0.2">
      <c r="A36" t="s">
        <v>40</v>
      </c>
      <c r="B36">
        <v>288</v>
      </c>
      <c r="C36">
        <v>12</v>
      </c>
      <c r="D36">
        <v>18</v>
      </c>
      <c r="E36">
        <v>0</v>
      </c>
      <c r="F36">
        <v>102.747573680244</v>
      </c>
      <c r="G36">
        <v>216</v>
      </c>
      <c r="H36">
        <v>50000</v>
      </c>
      <c r="I36" t="s">
        <v>565</v>
      </c>
    </row>
    <row r="37" spans="1:9" x14ac:dyDescent="0.2">
      <c r="A37" t="s">
        <v>42</v>
      </c>
      <c r="B37">
        <v>360</v>
      </c>
      <c r="C37">
        <v>12</v>
      </c>
      <c r="D37">
        <v>24</v>
      </c>
      <c r="E37">
        <v>0</v>
      </c>
      <c r="F37">
        <v>155.246647560969</v>
      </c>
      <c r="G37">
        <v>152</v>
      </c>
      <c r="H37">
        <v>50000</v>
      </c>
      <c r="I37" t="s">
        <v>566</v>
      </c>
    </row>
    <row r="38" spans="1:9" x14ac:dyDescent="0.2">
      <c r="A38" t="s">
        <v>44</v>
      </c>
      <c r="B38">
        <v>756</v>
      </c>
      <c r="C38">
        <v>16</v>
      </c>
      <c r="D38">
        <v>40</v>
      </c>
      <c r="E38">
        <v>6</v>
      </c>
      <c r="F38">
        <v>791.58970517478804</v>
      </c>
      <c r="G38">
        <v>1</v>
      </c>
      <c r="H38">
        <v>50000</v>
      </c>
      <c r="I38" t="s">
        <v>567</v>
      </c>
    </row>
    <row r="39" spans="1:9" x14ac:dyDescent="0.2">
      <c r="A39" t="s">
        <v>46</v>
      </c>
      <c r="B39">
        <v>216</v>
      </c>
      <c r="C39">
        <v>8</v>
      </c>
      <c r="D39">
        <v>10</v>
      </c>
      <c r="E39">
        <v>0</v>
      </c>
      <c r="F39">
        <v>50.0843930346891</v>
      </c>
      <c r="G39">
        <v>30052</v>
      </c>
      <c r="H39">
        <v>50000</v>
      </c>
      <c r="I39" t="s">
        <v>568</v>
      </c>
    </row>
    <row r="40" spans="1:9" x14ac:dyDescent="0.2">
      <c r="A40" t="s">
        <v>48</v>
      </c>
      <c r="B40">
        <v>576</v>
      </c>
      <c r="C40">
        <v>8</v>
      </c>
      <c r="D40">
        <v>24</v>
      </c>
      <c r="E40">
        <v>0</v>
      </c>
      <c r="F40">
        <v>343.46415240410698</v>
      </c>
      <c r="G40">
        <v>15</v>
      </c>
      <c r="H40">
        <v>50000</v>
      </c>
      <c r="I40" t="s">
        <v>569</v>
      </c>
    </row>
    <row r="41" spans="1:9" x14ac:dyDescent="0.2">
      <c r="A41" t="s">
        <v>50</v>
      </c>
      <c r="B41">
        <v>864</v>
      </c>
      <c r="C41">
        <v>4</v>
      </c>
      <c r="D41">
        <v>56</v>
      </c>
      <c r="E41">
        <v>16</v>
      </c>
      <c r="F41">
        <v>691.14442823641002</v>
      </c>
      <c r="G41">
        <v>2</v>
      </c>
      <c r="H41">
        <v>50000</v>
      </c>
      <c r="I41" t="s">
        <v>570</v>
      </c>
    </row>
    <row r="42" spans="1:9" x14ac:dyDescent="0.2">
      <c r="A42" t="s">
        <v>52</v>
      </c>
      <c r="B42">
        <v>648</v>
      </c>
      <c r="C42">
        <v>4</v>
      </c>
      <c r="D42">
        <v>34</v>
      </c>
      <c r="E42">
        <v>2</v>
      </c>
      <c r="F42">
        <v>358.49673005007202</v>
      </c>
      <c r="G42">
        <v>2</v>
      </c>
      <c r="H42">
        <v>50000</v>
      </c>
      <c r="I42" t="s">
        <v>571</v>
      </c>
    </row>
    <row r="43" spans="1:9" x14ac:dyDescent="0.2">
      <c r="A43" t="s">
        <v>54</v>
      </c>
      <c r="B43">
        <v>1080</v>
      </c>
      <c r="C43">
        <v>4</v>
      </c>
      <c r="D43">
        <v>78</v>
      </c>
      <c r="E43">
        <v>22</v>
      </c>
      <c r="F43">
        <v>1107.8913775011799</v>
      </c>
      <c r="G43">
        <v>1</v>
      </c>
      <c r="H43">
        <v>50000</v>
      </c>
      <c r="I43" t="s">
        <v>572</v>
      </c>
    </row>
    <row r="44" spans="1:9" x14ac:dyDescent="0.2">
      <c r="A44" t="s">
        <v>56</v>
      </c>
      <c r="B44">
        <v>1296</v>
      </c>
      <c r="C44">
        <v>4</v>
      </c>
      <c r="D44">
        <v>96</v>
      </c>
      <c r="E44">
        <v>46</v>
      </c>
      <c r="F44">
        <v>1621.4472790928501</v>
      </c>
      <c r="G44">
        <v>1</v>
      </c>
      <c r="H44">
        <v>50000</v>
      </c>
      <c r="I44" t="s">
        <v>573</v>
      </c>
    </row>
    <row r="45" spans="1:9" x14ac:dyDescent="0.2">
      <c r="A45" t="s">
        <v>58</v>
      </c>
      <c r="B45">
        <v>1152</v>
      </c>
      <c r="C45">
        <v>4</v>
      </c>
      <c r="D45">
        <v>62</v>
      </c>
      <c r="E45">
        <v>20</v>
      </c>
      <c r="F45">
        <v>1251.6752740750001</v>
      </c>
      <c r="G45">
        <v>1</v>
      </c>
      <c r="H45">
        <v>50000</v>
      </c>
      <c r="I45" t="s">
        <v>574</v>
      </c>
    </row>
    <row r="46" spans="1:9" x14ac:dyDescent="0.2">
      <c r="A46" t="s">
        <v>60</v>
      </c>
      <c r="B46">
        <v>1728</v>
      </c>
      <c r="C46">
        <v>4</v>
      </c>
      <c r="D46">
        <v>132</v>
      </c>
      <c r="E46">
        <v>68</v>
      </c>
      <c r="F46">
        <v>3302.6954445950601</v>
      </c>
      <c r="G46">
        <v>1</v>
      </c>
      <c r="H46">
        <v>50000</v>
      </c>
      <c r="I46" t="s">
        <v>575</v>
      </c>
    </row>
    <row r="47" spans="1:9" x14ac:dyDescent="0.2">
      <c r="A47" t="s">
        <v>62</v>
      </c>
      <c r="B47">
        <v>2016</v>
      </c>
      <c r="C47">
        <v>8</v>
      </c>
      <c r="D47">
        <v>70</v>
      </c>
      <c r="E47">
        <v>16</v>
      </c>
      <c r="F47">
        <v>3875.9886611225002</v>
      </c>
      <c r="G47">
        <v>2</v>
      </c>
      <c r="H47">
        <v>50000</v>
      </c>
      <c r="I47" t="s">
        <v>576</v>
      </c>
    </row>
    <row r="48" spans="1:9" x14ac:dyDescent="0.2">
      <c r="A48" t="s">
        <v>64</v>
      </c>
      <c r="B48">
        <v>2160</v>
      </c>
      <c r="C48">
        <v>8</v>
      </c>
      <c r="D48">
        <v>168</v>
      </c>
      <c r="E48">
        <v>104</v>
      </c>
      <c r="F48">
        <v>6338.3674835674401</v>
      </c>
      <c r="G48">
        <v>1</v>
      </c>
      <c r="H48">
        <v>50000</v>
      </c>
      <c r="I48" t="s">
        <v>577</v>
      </c>
    </row>
    <row r="49" spans="1:9" x14ac:dyDescent="0.2">
      <c r="A49" t="s">
        <v>89</v>
      </c>
      <c r="B49">
        <v>2520</v>
      </c>
      <c r="C49">
        <v>8</v>
      </c>
      <c r="D49">
        <v>70</v>
      </c>
      <c r="E49">
        <v>16</v>
      </c>
      <c r="F49">
        <v>6508.0122042009598</v>
      </c>
      <c r="G49">
        <v>2</v>
      </c>
      <c r="H49">
        <v>50000</v>
      </c>
      <c r="I49" t="s">
        <v>578</v>
      </c>
    </row>
    <row r="50" spans="1:9" x14ac:dyDescent="0.2">
      <c r="A50" t="s">
        <v>91</v>
      </c>
      <c r="B50">
        <v>2592</v>
      </c>
      <c r="C50">
        <v>8</v>
      </c>
      <c r="D50">
        <v>54</v>
      </c>
      <c r="E50">
        <v>18</v>
      </c>
      <c r="F50">
        <v>7062.8844740437298</v>
      </c>
      <c r="G50">
        <v>2</v>
      </c>
      <c r="H50">
        <v>50000</v>
      </c>
      <c r="I50" t="s">
        <v>579</v>
      </c>
    </row>
    <row r="51" spans="1:9" x14ac:dyDescent="0.2">
      <c r="A51" t="s">
        <v>93</v>
      </c>
      <c r="B51">
        <v>3024</v>
      </c>
      <c r="C51">
        <v>4</v>
      </c>
      <c r="D51">
        <v>154</v>
      </c>
      <c r="E51">
        <v>70</v>
      </c>
      <c r="F51">
        <v>13805.927211676701</v>
      </c>
      <c r="G51">
        <v>1</v>
      </c>
      <c r="H51">
        <v>50000</v>
      </c>
      <c r="I51" t="s">
        <v>580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F90BC-66C8-8040-ADBC-D6548BE86227}">
  <dimension ref="A1:I51"/>
  <sheetViews>
    <sheetView topLeftCell="A11" workbookViewId="0">
      <selection activeCell="A38" sqref="A38:XFD38"/>
    </sheetView>
  </sheetViews>
  <sheetFormatPr baseColWidth="10" defaultRowHeight="16" x14ac:dyDescent="0.2"/>
  <sheetData>
    <row r="1" spans="1:1" x14ac:dyDescent="0.2">
      <c r="A1" t="s">
        <v>0</v>
      </c>
    </row>
    <row r="2" spans="1:1" x14ac:dyDescent="0.2">
      <c r="A2" t="s">
        <v>1</v>
      </c>
    </row>
    <row r="3" spans="1:1" x14ac:dyDescent="0.2">
      <c r="A3" t="s">
        <v>351</v>
      </c>
    </row>
    <row r="4" spans="1:1" x14ac:dyDescent="0.2">
      <c r="A4" t="s">
        <v>2</v>
      </c>
    </row>
    <row r="5" spans="1:1" x14ac:dyDescent="0.2">
      <c r="A5" t="s">
        <v>3</v>
      </c>
    </row>
    <row r="6" spans="1:1" x14ac:dyDescent="0.2">
      <c r="A6" t="s">
        <v>4</v>
      </c>
    </row>
    <row r="7" spans="1:1" x14ac:dyDescent="0.2">
      <c r="A7" t="s">
        <v>5</v>
      </c>
    </row>
    <row r="8" spans="1:1" x14ac:dyDescent="0.2">
      <c r="A8" t="s">
        <v>6</v>
      </c>
    </row>
    <row r="9" spans="1:1" x14ac:dyDescent="0.2">
      <c r="A9" t="s">
        <v>489</v>
      </c>
    </row>
    <row r="10" spans="1:1" x14ac:dyDescent="0.2">
      <c r="A10" t="s">
        <v>490</v>
      </c>
    </row>
    <row r="11" spans="1:1" x14ac:dyDescent="0.2">
      <c r="A11" t="s">
        <v>7</v>
      </c>
    </row>
    <row r="12" spans="1:1" x14ac:dyDescent="0.2">
      <c r="A12" t="s">
        <v>8</v>
      </c>
    </row>
    <row r="13" spans="1:1" x14ac:dyDescent="0.2">
      <c r="A13" t="s">
        <v>9</v>
      </c>
    </row>
    <row r="14" spans="1:1" x14ac:dyDescent="0.2">
      <c r="A14" t="s">
        <v>10</v>
      </c>
    </row>
    <row r="15" spans="1:1" x14ac:dyDescent="0.2">
      <c r="A15" t="s">
        <v>11</v>
      </c>
    </row>
    <row r="16" spans="1:1" x14ac:dyDescent="0.2">
      <c r="A16" t="s">
        <v>494</v>
      </c>
    </row>
    <row r="17" spans="1:9" x14ac:dyDescent="0.2">
      <c r="A17" t="s">
        <v>495</v>
      </c>
    </row>
    <row r="18" spans="1:9" x14ac:dyDescent="0.2">
      <c r="A18" t="s">
        <v>12</v>
      </c>
    </row>
    <row r="19" spans="1:9" x14ac:dyDescent="0.2">
      <c r="A19" t="s">
        <v>16</v>
      </c>
    </row>
    <row r="20" spans="1:9" x14ac:dyDescent="0.2">
      <c r="A20" t="s">
        <v>107</v>
      </c>
    </row>
    <row r="21" spans="1:9" x14ac:dyDescent="0.2">
      <c r="A21" t="s">
        <v>18</v>
      </c>
    </row>
    <row r="22" spans="1:9" x14ac:dyDescent="0.2">
      <c r="A22" t="s">
        <v>500</v>
      </c>
    </row>
    <row r="23" spans="1:9" x14ac:dyDescent="0.2">
      <c r="A23" t="s">
        <v>496</v>
      </c>
    </row>
    <row r="24" spans="1:9" x14ac:dyDescent="0.2">
      <c r="A24" t="s">
        <v>497</v>
      </c>
    </row>
    <row r="25" spans="1:9" x14ac:dyDescent="0.2">
      <c r="A25" t="s">
        <v>498</v>
      </c>
    </row>
    <row r="26" spans="1:9" x14ac:dyDescent="0.2">
      <c r="A26" t="s">
        <v>499</v>
      </c>
    </row>
    <row r="27" spans="1:9" x14ac:dyDescent="0.2">
      <c r="A27" t="s">
        <v>491</v>
      </c>
    </row>
    <row r="28" spans="1:9" x14ac:dyDescent="0.2">
      <c r="A28" t="s">
        <v>20</v>
      </c>
    </row>
    <row r="29" spans="1:9" x14ac:dyDescent="0.2">
      <c r="A29" t="s">
        <v>539</v>
      </c>
    </row>
    <row r="30" spans="1:9" x14ac:dyDescent="0.2">
      <c r="A30" t="s">
        <v>22</v>
      </c>
    </row>
    <row r="31" spans="1:9" x14ac:dyDescent="0.2">
      <c r="A31" t="s">
        <v>23</v>
      </c>
      <c r="B31" t="s">
        <v>24</v>
      </c>
      <c r="C31" t="s">
        <v>25</v>
      </c>
      <c r="D31" t="s">
        <v>26</v>
      </c>
      <c r="E31" t="s">
        <v>27</v>
      </c>
      <c r="F31" t="s">
        <v>28</v>
      </c>
      <c r="G31" t="s">
        <v>29</v>
      </c>
      <c r="H31" t="s">
        <v>30</v>
      </c>
      <c r="I31" t="s">
        <v>31</v>
      </c>
    </row>
    <row r="32" spans="1:9" x14ac:dyDescent="0.2">
      <c r="A32" t="s">
        <v>32</v>
      </c>
      <c r="B32">
        <v>72</v>
      </c>
      <c r="C32">
        <v>12</v>
      </c>
      <c r="D32">
        <v>6</v>
      </c>
      <c r="E32">
        <v>0</v>
      </c>
      <c r="F32">
        <v>17.4303340949118</v>
      </c>
      <c r="G32">
        <v>49052</v>
      </c>
      <c r="H32">
        <v>50000</v>
      </c>
      <c r="I32" t="s">
        <v>540</v>
      </c>
    </row>
    <row r="33" spans="1:9" x14ac:dyDescent="0.2">
      <c r="A33" t="s">
        <v>34</v>
      </c>
      <c r="B33">
        <v>90</v>
      </c>
      <c r="C33">
        <v>8</v>
      </c>
      <c r="D33">
        <v>10</v>
      </c>
      <c r="E33">
        <v>0</v>
      </c>
      <c r="F33">
        <v>19.8481598552316</v>
      </c>
      <c r="G33">
        <v>44850</v>
      </c>
      <c r="H33">
        <v>50000</v>
      </c>
      <c r="I33" t="s">
        <v>541</v>
      </c>
    </row>
    <row r="34" spans="1:9" x14ac:dyDescent="0.2">
      <c r="A34" t="s">
        <v>36</v>
      </c>
      <c r="B34">
        <v>108</v>
      </c>
      <c r="C34">
        <v>8</v>
      </c>
      <c r="D34">
        <v>10</v>
      </c>
      <c r="E34">
        <v>0</v>
      </c>
      <c r="F34">
        <v>23.103622598573502</v>
      </c>
      <c r="G34">
        <v>29364</v>
      </c>
      <c r="H34">
        <v>50000</v>
      </c>
      <c r="I34" t="s">
        <v>542</v>
      </c>
    </row>
    <row r="35" spans="1:9" x14ac:dyDescent="0.2">
      <c r="A35" t="s">
        <v>38</v>
      </c>
      <c r="B35">
        <v>144</v>
      </c>
      <c r="C35">
        <v>12</v>
      </c>
      <c r="D35">
        <v>12</v>
      </c>
      <c r="E35">
        <v>0</v>
      </c>
      <c r="F35">
        <v>37.968411810696097</v>
      </c>
      <c r="G35">
        <v>46842</v>
      </c>
      <c r="H35">
        <v>50000</v>
      </c>
      <c r="I35" t="s">
        <v>543</v>
      </c>
    </row>
    <row r="36" spans="1:9" x14ac:dyDescent="0.2">
      <c r="A36" t="s">
        <v>40</v>
      </c>
      <c r="B36">
        <v>288</v>
      </c>
      <c r="C36">
        <v>12</v>
      </c>
      <c r="D36">
        <v>18</v>
      </c>
      <c r="E36">
        <v>0</v>
      </c>
      <c r="F36">
        <v>106.18903655745</v>
      </c>
      <c r="G36">
        <v>29354</v>
      </c>
      <c r="H36">
        <v>50000</v>
      </c>
      <c r="I36" t="s">
        <v>544</v>
      </c>
    </row>
    <row r="37" spans="1:9" x14ac:dyDescent="0.2">
      <c r="A37" t="s">
        <v>42</v>
      </c>
      <c r="B37">
        <v>360</v>
      </c>
      <c r="C37">
        <v>12</v>
      </c>
      <c r="D37">
        <v>24</v>
      </c>
      <c r="E37">
        <v>0</v>
      </c>
      <c r="F37">
        <v>156.95588146895099</v>
      </c>
      <c r="G37">
        <v>26570</v>
      </c>
      <c r="H37">
        <v>50000</v>
      </c>
      <c r="I37" t="s">
        <v>545</v>
      </c>
    </row>
    <row r="38" spans="1:9" x14ac:dyDescent="0.2">
      <c r="A38" t="s">
        <v>44</v>
      </c>
      <c r="B38">
        <v>756</v>
      </c>
      <c r="C38">
        <v>16</v>
      </c>
      <c r="D38">
        <v>34</v>
      </c>
      <c r="E38">
        <v>0</v>
      </c>
      <c r="F38">
        <v>764.06540508568196</v>
      </c>
      <c r="G38">
        <v>20136</v>
      </c>
      <c r="H38">
        <v>50000</v>
      </c>
      <c r="I38" t="s">
        <v>546</v>
      </c>
    </row>
    <row r="39" spans="1:9" x14ac:dyDescent="0.2">
      <c r="A39" t="s">
        <v>46</v>
      </c>
      <c r="B39">
        <v>216</v>
      </c>
      <c r="C39">
        <v>8</v>
      </c>
      <c r="D39">
        <v>10</v>
      </c>
      <c r="E39">
        <v>0</v>
      </c>
      <c r="F39">
        <v>54.763332094065802</v>
      </c>
      <c r="G39">
        <v>47397</v>
      </c>
      <c r="H39">
        <v>50000</v>
      </c>
      <c r="I39" t="s">
        <v>547</v>
      </c>
    </row>
    <row r="40" spans="1:9" x14ac:dyDescent="0.2">
      <c r="A40" t="s">
        <v>48</v>
      </c>
      <c r="B40">
        <v>576</v>
      </c>
      <c r="C40">
        <v>8</v>
      </c>
      <c r="D40">
        <v>24</v>
      </c>
      <c r="E40">
        <v>0</v>
      </c>
      <c r="F40">
        <v>325.27681407891203</v>
      </c>
      <c r="G40">
        <v>32046</v>
      </c>
      <c r="H40">
        <v>50000</v>
      </c>
      <c r="I40" t="s">
        <v>548</v>
      </c>
    </row>
    <row r="41" spans="1:9" x14ac:dyDescent="0.2">
      <c r="A41" t="s">
        <v>50</v>
      </c>
      <c r="B41">
        <v>864</v>
      </c>
      <c r="C41">
        <v>4</v>
      </c>
      <c r="D41">
        <v>50</v>
      </c>
      <c r="E41">
        <v>10</v>
      </c>
      <c r="F41">
        <v>639.88106434047199</v>
      </c>
      <c r="G41">
        <v>13988</v>
      </c>
      <c r="H41">
        <v>50000</v>
      </c>
      <c r="I41" t="s">
        <v>549</v>
      </c>
    </row>
    <row r="42" spans="1:9" x14ac:dyDescent="0.2">
      <c r="A42" t="s">
        <v>52</v>
      </c>
      <c r="B42">
        <v>648</v>
      </c>
      <c r="C42">
        <v>4</v>
      </c>
      <c r="D42">
        <v>32</v>
      </c>
      <c r="E42">
        <v>0</v>
      </c>
      <c r="F42">
        <v>343.94581247959201</v>
      </c>
      <c r="G42">
        <v>22032</v>
      </c>
      <c r="H42">
        <v>50000</v>
      </c>
      <c r="I42" t="s">
        <v>550</v>
      </c>
    </row>
    <row r="43" spans="1:9" x14ac:dyDescent="0.2">
      <c r="A43" t="s">
        <v>54</v>
      </c>
      <c r="B43">
        <v>1080</v>
      </c>
      <c r="C43">
        <v>4</v>
      </c>
      <c r="D43">
        <v>56</v>
      </c>
      <c r="E43">
        <v>0</v>
      </c>
      <c r="F43">
        <v>1047.5064919814399</v>
      </c>
      <c r="G43">
        <v>5119</v>
      </c>
      <c r="H43">
        <v>50000</v>
      </c>
      <c r="I43" t="s">
        <v>551</v>
      </c>
    </row>
    <row r="44" spans="1:9" x14ac:dyDescent="0.2">
      <c r="A44" t="s">
        <v>56</v>
      </c>
      <c r="B44">
        <v>1296</v>
      </c>
      <c r="C44">
        <v>4</v>
      </c>
      <c r="D44">
        <v>50</v>
      </c>
      <c r="E44">
        <v>0</v>
      </c>
      <c r="F44">
        <v>1535.6627236455599</v>
      </c>
      <c r="G44">
        <v>20781</v>
      </c>
      <c r="H44">
        <v>50000</v>
      </c>
      <c r="I44" t="s">
        <v>552</v>
      </c>
    </row>
    <row r="45" spans="1:9" x14ac:dyDescent="0.2">
      <c r="A45" t="s">
        <v>58</v>
      </c>
      <c r="B45">
        <v>1152</v>
      </c>
      <c r="C45">
        <v>4</v>
      </c>
      <c r="D45">
        <v>52</v>
      </c>
      <c r="E45">
        <v>10</v>
      </c>
      <c r="F45">
        <v>1182.33860750589</v>
      </c>
      <c r="G45">
        <v>183</v>
      </c>
      <c r="H45">
        <v>50000</v>
      </c>
      <c r="I45" t="s">
        <v>553</v>
      </c>
    </row>
    <row r="46" spans="1:9" x14ac:dyDescent="0.2">
      <c r="A46" t="s">
        <v>60</v>
      </c>
      <c r="B46">
        <v>1728</v>
      </c>
      <c r="C46">
        <v>4</v>
      </c>
      <c r="D46">
        <v>64</v>
      </c>
      <c r="E46">
        <v>0</v>
      </c>
      <c r="F46">
        <v>3243.0013497946702</v>
      </c>
      <c r="G46">
        <v>8780</v>
      </c>
      <c r="H46">
        <v>50000</v>
      </c>
      <c r="I46" t="s">
        <v>554</v>
      </c>
    </row>
    <row r="47" spans="1:9" x14ac:dyDescent="0.2">
      <c r="A47" t="s">
        <v>62</v>
      </c>
      <c r="B47">
        <v>2016</v>
      </c>
      <c r="C47">
        <v>8</v>
      </c>
      <c r="D47">
        <v>54</v>
      </c>
      <c r="E47">
        <v>0</v>
      </c>
      <c r="F47">
        <v>3776.2359707662799</v>
      </c>
      <c r="G47">
        <v>24061</v>
      </c>
      <c r="H47">
        <v>50000</v>
      </c>
      <c r="I47" t="s">
        <v>555</v>
      </c>
    </row>
    <row r="48" spans="1:9" x14ac:dyDescent="0.2">
      <c r="A48" t="s">
        <v>64</v>
      </c>
      <c r="B48">
        <v>2160</v>
      </c>
      <c r="C48">
        <v>8</v>
      </c>
      <c r="D48">
        <v>66</v>
      </c>
      <c r="E48">
        <v>2</v>
      </c>
      <c r="F48">
        <v>5801.38984477333</v>
      </c>
      <c r="G48">
        <v>2570</v>
      </c>
      <c r="H48">
        <v>50000</v>
      </c>
      <c r="I48" t="s">
        <v>556</v>
      </c>
    </row>
    <row r="49" spans="1:9" x14ac:dyDescent="0.2">
      <c r="A49" t="s">
        <v>89</v>
      </c>
      <c r="B49">
        <v>2520</v>
      </c>
      <c r="C49">
        <v>8</v>
      </c>
      <c r="D49">
        <v>54</v>
      </c>
      <c r="E49">
        <v>0</v>
      </c>
      <c r="F49">
        <v>6300.9080727733599</v>
      </c>
      <c r="G49">
        <v>22915</v>
      </c>
      <c r="H49">
        <v>50000</v>
      </c>
      <c r="I49" t="s">
        <v>557</v>
      </c>
    </row>
    <row r="50" spans="1:9" x14ac:dyDescent="0.2">
      <c r="A50" t="s">
        <v>91</v>
      </c>
      <c r="B50">
        <v>2592</v>
      </c>
      <c r="C50">
        <v>8</v>
      </c>
      <c r="D50">
        <v>36</v>
      </c>
      <c r="E50">
        <v>0</v>
      </c>
      <c r="F50">
        <v>6754.6712783901003</v>
      </c>
      <c r="G50">
        <v>32530</v>
      </c>
      <c r="H50">
        <v>50000</v>
      </c>
      <c r="I50" t="s">
        <v>558</v>
      </c>
    </row>
    <row r="51" spans="1:9" x14ac:dyDescent="0.2">
      <c r="A51" t="s">
        <v>93</v>
      </c>
      <c r="B51">
        <v>3024</v>
      </c>
      <c r="C51">
        <v>4</v>
      </c>
      <c r="D51">
        <v>88</v>
      </c>
      <c r="E51">
        <v>4</v>
      </c>
      <c r="F51">
        <v>12652.6758589334</v>
      </c>
      <c r="G51">
        <v>2035</v>
      </c>
      <c r="H51">
        <v>50000</v>
      </c>
      <c r="I51" t="s">
        <v>559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37607-3CF1-FB48-95B4-CD97F9D2068E}">
  <dimension ref="A1:I54"/>
  <sheetViews>
    <sheetView topLeftCell="A27" workbookViewId="0">
      <selection activeCell="D40" sqref="D40"/>
    </sheetView>
  </sheetViews>
  <sheetFormatPr baseColWidth="10" defaultRowHeight="16" x14ac:dyDescent="0.2"/>
  <sheetData>
    <row r="1" spans="1:1" x14ac:dyDescent="0.2">
      <c r="A1" t="s">
        <v>0</v>
      </c>
    </row>
    <row r="2" spans="1:1" x14ac:dyDescent="0.2">
      <c r="A2" t="s">
        <v>1</v>
      </c>
    </row>
    <row r="3" spans="1:1" x14ac:dyDescent="0.2">
      <c r="A3" t="s">
        <v>351</v>
      </c>
    </row>
    <row r="4" spans="1:1" x14ac:dyDescent="0.2">
      <c r="A4" t="s">
        <v>783</v>
      </c>
    </row>
    <row r="5" spans="1:1" x14ac:dyDescent="0.2">
      <c r="A5" t="s">
        <v>2</v>
      </c>
    </row>
    <row r="6" spans="1:1" x14ac:dyDescent="0.2">
      <c r="A6" t="s">
        <v>3</v>
      </c>
    </row>
    <row r="7" spans="1:1" x14ac:dyDescent="0.2">
      <c r="A7" t="s">
        <v>4</v>
      </c>
    </row>
    <row r="8" spans="1:1" x14ac:dyDescent="0.2">
      <c r="A8" t="s">
        <v>5</v>
      </c>
    </row>
    <row r="9" spans="1:1" x14ac:dyDescent="0.2">
      <c r="A9" t="s">
        <v>6</v>
      </c>
    </row>
    <row r="10" spans="1:1" x14ac:dyDescent="0.2">
      <c r="A10" t="s">
        <v>489</v>
      </c>
    </row>
    <row r="11" spans="1:1" x14ac:dyDescent="0.2">
      <c r="A11" t="s">
        <v>490</v>
      </c>
    </row>
    <row r="12" spans="1:1" x14ac:dyDescent="0.2">
      <c r="A12" t="s">
        <v>7</v>
      </c>
    </row>
    <row r="13" spans="1:1" x14ac:dyDescent="0.2">
      <c r="A13" t="s">
        <v>8</v>
      </c>
    </row>
    <row r="14" spans="1:1" x14ac:dyDescent="0.2">
      <c r="A14" t="s">
        <v>9</v>
      </c>
    </row>
    <row r="15" spans="1:1" x14ac:dyDescent="0.2">
      <c r="A15" t="s">
        <v>10</v>
      </c>
    </row>
    <row r="16" spans="1:1" x14ac:dyDescent="0.2">
      <c r="A16" t="s">
        <v>11</v>
      </c>
    </row>
    <row r="17" spans="1:1" x14ac:dyDescent="0.2">
      <c r="A17" t="s">
        <v>494</v>
      </c>
    </row>
    <row r="18" spans="1:1" x14ac:dyDescent="0.2">
      <c r="A18" t="s">
        <v>495</v>
      </c>
    </row>
    <row r="19" spans="1:1" x14ac:dyDescent="0.2">
      <c r="A19" t="s">
        <v>12</v>
      </c>
    </row>
    <row r="20" spans="1:1" x14ac:dyDescent="0.2">
      <c r="A20" t="s">
        <v>16</v>
      </c>
    </row>
    <row r="21" spans="1:1" x14ac:dyDescent="0.2">
      <c r="A21" t="s">
        <v>107</v>
      </c>
    </row>
    <row r="22" spans="1:1" x14ac:dyDescent="0.2">
      <c r="A22" t="s">
        <v>18</v>
      </c>
    </row>
    <row r="23" spans="1:1" x14ac:dyDescent="0.2">
      <c r="A23" t="s">
        <v>105</v>
      </c>
    </row>
    <row r="24" spans="1:1" x14ac:dyDescent="0.2">
      <c r="A24" t="s">
        <v>496</v>
      </c>
    </row>
    <row r="25" spans="1:1" x14ac:dyDescent="0.2">
      <c r="A25" t="s">
        <v>497</v>
      </c>
    </row>
    <row r="26" spans="1:1" x14ac:dyDescent="0.2">
      <c r="A26" t="s">
        <v>498</v>
      </c>
    </row>
    <row r="27" spans="1:1" x14ac:dyDescent="0.2">
      <c r="A27" t="s">
        <v>499</v>
      </c>
    </row>
    <row r="28" spans="1:1" x14ac:dyDescent="0.2">
      <c r="A28" t="s">
        <v>784</v>
      </c>
    </row>
    <row r="29" spans="1:1" x14ac:dyDescent="0.2">
      <c r="A29" t="s">
        <v>491</v>
      </c>
    </row>
    <row r="30" spans="1:1" x14ac:dyDescent="0.2">
      <c r="A30" t="s">
        <v>20</v>
      </c>
    </row>
    <row r="31" spans="1:1" x14ac:dyDescent="0.2">
      <c r="A31" t="s">
        <v>785</v>
      </c>
    </row>
    <row r="32" spans="1:1" x14ac:dyDescent="0.2">
      <c r="A32" t="s">
        <v>786</v>
      </c>
    </row>
    <row r="33" spans="1:9" x14ac:dyDescent="0.2">
      <c r="A33" t="s">
        <v>22</v>
      </c>
    </row>
    <row r="34" spans="1:9" x14ac:dyDescent="0.2">
      <c r="A34" t="s">
        <v>23</v>
      </c>
      <c r="B34" t="s">
        <v>24</v>
      </c>
      <c r="C34" t="s">
        <v>25</v>
      </c>
      <c r="D34" t="s">
        <v>26</v>
      </c>
      <c r="E34" t="s">
        <v>27</v>
      </c>
      <c r="F34" t="s">
        <v>28</v>
      </c>
      <c r="G34" t="s">
        <v>29</v>
      </c>
      <c r="H34" t="s">
        <v>30</v>
      </c>
      <c r="I34" t="s">
        <v>31</v>
      </c>
    </row>
    <row r="35" spans="1:9" x14ac:dyDescent="0.2">
      <c r="A35" t="s">
        <v>32</v>
      </c>
      <c r="B35">
        <v>72</v>
      </c>
      <c r="C35">
        <v>12</v>
      </c>
      <c r="D35">
        <v>6</v>
      </c>
      <c r="E35">
        <v>0</v>
      </c>
      <c r="F35">
        <v>19.267281759530299</v>
      </c>
      <c r="G35">
        <v>49959</v>
      </c>
      <c r="H35">
        <v>50000</v>
      </c>
      <c r="I35" t="s">
        <v>787</v>
      </c>
    </row>
    <row r="36" spans="1:9" x14ac:dyDescent="0.2">
      <c r="A36" t="s">
        <v>34</v>
      </c>
      <c r="B36">
        <v>90</v>
      </c>
      <c r="C36">
        <v>8</v>
      </c>
      <c r="D36">
        <v>10</v>
      </c>
      <c r="E36">
        <v>0</v>
      </c>
      <c r="F36">
        <v>21.447925969026901</v>
      </c>
      <c r="G36">
        <v>49654</v>
      </c>
      <c r="H36">
        <v>50000</v>
      </c>
      <c r="I36" t="s">
        <v>788</v>
      </c>
    </row>
    <row r="37" spans="1:9" x14ac:dyDescent="0.2">
      <c r="A37" t="s">
        <v>36</v>
      </c>
      <c r="B37">
        <v>108</v>
      </c>
      <c r="C37">
        <v>8</v>
      </c>
      <c r="D37">
        <v>10</v>
      </c>
      <c r="E37">
        <v>0</v>
      </c>
      <c r="F37">
        <v>22.8849351909011</v>
      </c>
      <c r="G37">
        <v>37629</v>
      </c>
      <c r="H37">
        <v>50000</v>
      </c>
      <c r="I37" t="s">
        <v>789</v>
      </c>
    </row>
    <row r="38" spans="1:9" x14ac:dyDescent="0.2">
      <c r="A38" t="s">
        <v>38</v>
      </c>
      <c r="B38">
        <v>144</v>
      </c>
      <c r="C38">
        <v>12</v>
      </c>
      <c r="D38">
        <v>12</v>
      </c>
      <c r="E38">
        <v>0</v>
      </c>
      <c r="F38">
        <v>39.625184168107801</v>
      </c>
      <c r="G38">
        <v>49270</v>
      </c>
      <c r="H38">
        <v>50000</v>
      </c>
      <c r="I38" t="s">
        <v>790</v>
      </c>
    </row>
    <row r="39" spans="1:9" x14ac:dyDescent="0.2">
      <c r="A39" t="s">
        <v>40</v>
      </c>
      <c r="B39">
        <v>288</v>
      </c>
      <c r="C39">
        <v>12</v>
      </c>
      <c r="D39">
        <v>18</v>
      </c>
      <c r="E39">
        <v>0</v>
      </c>
      <c r="F39">
        <v>106.84269461967</v>
      </c>
      <c r="G39">
        <v>29628</v>
      </c>
      <c r="H39">
        <v>50000</v>
      </c>
      <c r="I39" t="s">
        <v>791</v>
      </c>
    </row>
    <row r="40" spans="1:9" x14ac:dyDescent="0.2">
      <c r="A40" t="s">
        <v>42</v>
      </c>
      <c r="B40">
        <v>360</v>
      </c>
      <c r="C40">
        <v>12</v>
      </c>
      <c r="D40">
        <v>24</v>
      </c>
      <c r="E40">
        <v>0</v>
      </c>
      <c r="F40">
        <v>156.10034049209199</v>
      </c>
      <c r="G40">
        <v>25064</v>
      </c>
      <c r="H40">
        <v>50000</v>
      </c>
      <c r="I40" t="s">
        <v>792</v>
      </c>
    </row>
    <row r="41" spans="1:9" x14ac:dyDescent="0.2">
      <c r="A41" t="s">
        <v>44</v>
      </c>
      <c r="B41">
        <v>756</v>
      </c>
      <c r="C41">
        <v>16</v>
      </c>
      <c r="D41">
        <v>34</v>
      </c>
      <c r="E41">
        <v>0</v>
      </c>
      <c r="F41">
        <v>770.16963102202806</v>
      </c>
      <c r="G41">
        <v>2367</v>
      </c>
      <c r="H41">
        <v>50000</v>
      </c>
      <c r="I41" t="s">
        <v>793</v>
      </c>
    </row>
    <row r="42" spans="1:9" x14ac:dyDescent="0.2">
      <c r="A42" t="s">
        <v>46</v>
      </c>
      <c r="B42">
        <v>216</v>
      </c>
      <c r="C42">
        <v>8</v>
      </c>
      <c r="D42">
        <v>10</v>
      </c>
      <c r="E42">
        <v>0</v>
      </c>
      <c r="F42">
        <v>55.203774296678603</v>
      </c>
      <c r="G42">
        <v>48639</v>
      </c>
      <c r="H42">
        <v>50000</v>
      </c>
      <c r="I42" t="s">
        <v>794</v>
      </c>
    </row>
    <row r="43" spans="1:9" x14ac:dyDescent="0.2">
      <c r="A43" t="s">
        <v>48</v>
      </c>
      <c r="B43">
        <v>576</v>
      </c>
      <c r="C43">
        <v>8</v>
      </c>
      <c r="D43">
        <v>24</v>
      </c>
      <c r="E43">
        <v>0</v>
      </c>
      <c r="F43">
        <v>334.95818474795601</v>
      </c>
      <c r="G43">
        <v>21258</v>
      </c>
      <c r="H43">
        <v>50000</v>
      </c>
      <c r="I43" t="s">
        <v>795</v>
      </c>
    </row>
    <row r="44" spans="1:9" x14ac:dyDescent="0.2">
      <c r="A44" t="s">
        <v>50</v>
      </c>
      <c r="B44">
        <v>864</v>
      </c>
      <c r="C44">
        <v>4</v>
      </c>
      <c r="D44">
        <v>40</v>
      </c>
      <c r="E44">
        <v>0</v>
      </c>
      <c r="F44">
        <v>699.95548416301597</v>
      </c>
      <c r="G44">
        <v>9396</v>
      </c>
      <c r="H44">
        <v>50000</v>
      </c>
      <c r="I44" t="s">
        <v>796</v>
      </c>
    </row>
    <row r="45" spans="1:9" x14ac:dyDescent="0.2">
      <c r="A45" t="s">
        <v>52</v>
      </c>
      <c r="B45">
        <v>648</v>
      </c>
      <c r="C45">
        <v>4</v>
      </c>
      <c r="D45">
        <v>32</v>
      </c>
      <c r="E45">
        <v>0</v>
      </c>
      <c r="F45">
        <v>375.59538043290303</v>
      </c>
      <c r="G45">
        <v>14065</v>
      </c>
      <c r="H45">
        <v>50000</v>
      </c>
      <c r="I45" t="s">
        <v>797</v>
      </c>
    </row>
    <row r="46" spans="1:9" x14ac:dyDescent="0.2">
      <c r="A46" t="s">
        <v>54</v>
      </c>
      <c r="B46">
        <v>1080</v>
      </c>
      <c r="C46">
        <v>4</v>
      </c>
      <c r="D46">
        <v>56</v>
      </c>
      <c r="E46">
        <v>0</v>
      </c>
      <c r="F46">
        <v>1132.9726030714801</v>
      </c>
      <c r="G46">
        <v>4445</v>
      </c>
      <c r="H46">
        <v>50000</v>
      </c>
      <c r="I46" t="s">
        <v>798</v>
      </c>
    </row>
    <row r="47" spans="1:9" x14ac:dyDescent="0.2">
      <c r="A47" t="s">
        <v>56</v>
      </c>
      <c r="B47">
        <v>1296</v>
      </c>
      <c r="C47">
        <v>4</v>
      </c>
      <c r="D47">
        <v>36</v>
      </c>
      <c r="E47">
        <v>-14</v>
      </c>
      <c r="F47">
        <v>1786.42777791246</v>
      </c>
      <c r="G47">
        <v>9678</v>
      </c>
      <c r="H47">
        <v>50000</v>
      </c>
      <c r="I47" t="s">
        <v>799</v>
      </c>
    </row>
    <row r="48" spans="1:9" x14ac:dyDescent="0.2">
      <c r="A48" t="s">
        <v>58</v>
      </c>
      <c r="B48">
        <v>1152</v>
      </c>
      <c r="C48">
        <v>4</v>
      </c>
      <c r="D48">
        <v>36</v>
      </c>
      <c r="E48">
        <v>-6</v>
      </c>
      <c r="F48">
        <v>1358.5003169653901</v>
      </c>
      <c r="G48">
        <v>5098</v>
      </c>
      <c r="H48">
        <v>50000</v>
      </c>
      <c r="I48" t="s">
        <v>800</v>
      </c>
    </row>
    <row r="49" spans="1:9" x14ac:dyDescent="0.2">
      <c r="A49" t="s">
        <v>60</v>
      </c>
      <c r="B49">
        <v>1728</v>
      </c>
      <c r="C49">
        <v>4</v>
      </c>
      <c r="D49">
        <v>72</v>
      </c>
      <c r="E49">
        <v>8</v>
      </c>
      <c r="F49">
        <v>3525.5766237759899</v>
      </c>
      <c r="G49">
        <v>4</v>
      </c>
      <c r="H49">
        <v>50000</v>
      </c>
      <c r="I49" t="s">
        <v>801</v>
      </c>
    </row>
    <row r="50" spans="1:9" x14ac:dyDescent="0.2">
      <c r="A50" t="s">
        <v>62</v>
      </c>
      <c r="B50">
        <v>2016</v>
      </c>
      <c r="C50">
        <v>8</v>
      </c>
      <c r="D50">
        <v>54</v>
      </c>
      <c r="E50">
        <v>0</v>
      </c>
      <c r="F50">
        <v>4113.87846516631</v>
      </c>
      <c r="G50">
        <v>5746</v>
      </c>
      <c r="H50">
        <v>50000</v>
      </c>
      <c r="I50" t="s">
        <v>802</v>
      </c>
    </row>
    <row r="51" spans="1:9" x14ac:dyDescent="0.2">
      <c r="A51" t="s">
        <v>64</v>
      </c>
      <c r="B51">
        <v>2160</v>
      </c>
      <c r="C51">
        <v>8</v>
      </c>
      <c r="D51">
        <v>62</v>
      </c>
      <c r="E51">
        <v>-2</v>
      </c>
      <c r="F51">
        <v>6359.15292170457</v>
      </c>
      <c r="G51">
        <v>25</v>
      </c>
      <c r="H51">
        <v>50000</v>
      </c>
      <c r="I51" t="s">
        <v>803</v>
      </c>
    </row>
    <row r="52" spans="1:9" x14ac:dyDescent="0.2">
      <c r="A52" t="s">
        <v>89</v>
      </c>
      <c r="B52">
        <v>2520</v>
      </c>
      <c r="C52">
        <v>8</v>
      </c>
      <c r="D52">
        <v>52</v>
      </c>
      <c r="E52">
        <v>-2</v>
      </c>
      <c r="F52">
        <v>6464.72508580051</v>
      </c>
      <c r="G52">
        <v>1537</v>
      </c>
      <c r="H52">
        <v>50000</v>
      </c>
      <c r="I52" t="s">
        <v>804</v>
      </c>
    </row>
    <row r="53" spans="1:9" x14ac:dyDescent="0.2">
      <c r="A53" t="s">
        <v>91</v>
      </c>
      <c r="B53">
        <v>2592</v>
      </c>
      <c r="C53">
        <v>8</v>
      </c>
      <c r="D53">
        <v>36</v>
      </c>
      <c r="E53">
        <v>0</v>
      </c>
      <c r="F53">
        <v>6983.47319073788</v>
      </c>
      <c r="G53">
        <v>10724</v>
      </c>
      <c r="H53">
        <v>50000</v>
      </c>
      <c r="I53" t="s">
        <v>805</v>
      </c>
    </row>
    <row r="54" spans="1:9" x14ac:dyDescent="0.2">
      <c r="A54" t="s">
        <v>93</v>
      </c>
      <c r="B54">
        <v>3024</v>
      </c>
      <c r="C54">
        <v>4</v>
      </c>
      <c r="D54">
        <v>86</v>
      </c>
      <c r="E54">
        <v>2</v>
      </c>
      <c r="F54">
        <v>12529.852551341</v>
      </c>
      <c r="G54">
        <v>1</v>
      </c>
      <c r="H54">
        <v>50000</v>
      </c>
      <c r="I54" t="s">
        <v>806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E5EFB-4A73-D840-B3A8-076BF51582CC}">
  <dimension ref="A1:I46"/>
  <sheetViews>
    <sheetView topLeftCell="A12" workbookViewId="0">
      <selection activeCell="D44" sqref="D44"/>
    </sheetView>
  </sheetViews>
  <sheetFormatPr baseColWidth="10" defaultRowHeight="16" x14ac:dyDescent="0.2"/>
  <sheetData>
    <row r="1" spans="1:1" x14ac:dyDescent="0.2">
      <c r="A1" t="s">
        <v>0</v>
      </c>
    </row>
    <row r="2" spans="1:1" x14ac:dyDescent="0.2">
      <c r="A2" t="s">
        <v>1</v>
      </c>
    </row>
    <row r="3" spans="1:1" x14ac:dyDescent="0.2">
      <c r="A3" t="s">
        <v>2</v>
      </c>
    </row>
    <row r="4" spans="1:1" x14ac:dyDescent="0.2">
      <c r="A4" t="s">
        <v>3</v>
      </c>
    </row>
    <row r="5" spans="1:1" x14ac:dyDescent="0.2">
      <c r="A5" t="s">
        <v>66</v>
      </c>
    </row>
    <row r="6" spans="1:1" x14ac:dyDescent="0.2">
      <c r="A6" t="s">
        <v>5</v>
      </c>
    </row>
    <row r="7" spans="1:1" x14ac:dyDescent="0.2">
      <c r="A7" t="s">
        <v>6</v>
      </c>
    </row>
    <row r="8" spans="1:1" x14ac:dyDescent="0.2">
      <c r="A8" t="s">
        <v>7</v>
      </c>
    </row>
    <row r="9" spans="1:1" x14ac:dyDescent="0.2">
      <c r="A9" t="s">
        <v>8</v>
      </c>
    </row>
    <row r="10" spans="1:1" x14ac:dyDescent="0.2">
      <c r="A10" t="s">
        <v>9</v>
      </c>
    </row>
    <row r="11" spans="1:1" x14ac:dyDescent="0.2">
      <c r="A11" t="s">
        <v>10</v>
      </c>
    </row>
    <row r="12" spans="1:1" x14ac:dyDescent="0.2">
      <c r="A12" t="s">
        <v>11</v>
      </c>
    </row>
    <row r="13" spans="1:1" x14ac:dyDescent="0.2">
      <c r="A13" t="s">
        <v>12</v>
      </c>
    </row>
    <row r="14" spans="1:1" x14ac:dyDescent="0.2">
      <c r="A14" t="s">
        <v>13</v>
      </c>
    </row>
    <row r="15" spans="1:1" x14ac:dyDescent="0.2">
      <c r="A15" t="s">
        <v>14</v>
      </c>
    </row>
    <row r="16" spans="1:1" x14ac:dyDescent="0.2">
      <c r="A16" t="s">
        <v>15</v>
      </c>
    </row>
    <row r="17" spans="1:9" x14ac:dyDescent="0.2">
      <c r="A17" t="s">
        <v>16</v>
      </c>
    </row>
    <row r="18" spans="1:9" x14ac:dyDescent="0.2">
      <c r="A18" t="s">
        <v>17</v>
      </c>
    </row>
    <row r="19" spans="1:9" x14ac:dyDescent="0.2">
      <c r="A19" t="s">
        <v>18</v>
      </c>
    </row>
    <row r="20" spans="1:9" x14ac:dyDescent="0.2">
      <c r="A20" t="s">
        <v>19</v>
      </c>
    </row>
    <row r="21" spans="1:9" x14ac:dyDescent="0.2">
      <c r="A21" t="s">
        <v>20</v>
      </c>
    </row>
    <row r="22" spans="1:9" x14ac:dyDescent="0.2">
      <c r="A22" t="s">
        <v>67</v>
      </c>
    </row>
    <row r="23" spans="1:9" x14ac:dyDescent="0.2">
      <c r="A23" t="s">
        <v>22</v>
      </c>
    </row>
    <row r="24" spans="1:9" x14ac:dyDescent="0.2">
      <c r="A24" t="s">
        <v>23</v>
      </c>
      <c r="B24" t="s">
        <v>24</v>
      </c>
      <c r="C24" t="s">
        <v>25</v>
      </c>
      <c r="D24" t="s">
        <v>26</v>
      </c>
      <c r="E24" t="s">
        <v>27</v>
      </c>
      <c r="F24" t="s">
        <v>28</v>
      </c>
      <c r="G24" t="s">
        <v>29</v>
      </c>
      <c r="H24" t="s">
        <v>30</v>
      </c>
      <c r="I24" t="s">
        <v>31</v>
      </c>
    </row>
    <row r="25" spans="1:9" x14ac:dyDescent="0.2">
      <c r="A25" t="s">
        <v>32</v>
      </c>
      <c r="B25">
        <v>72</v>
      </c>
      <c r="C25">
        <v>12</v>
      </c>
      <c r="D25">
        <v>6</v>
      </c>
      <c r="E25">
        <v>0</v>
      </c>
      <c r="F25">
        <v>0.34659212499900599</v>
      </c>
      <c r="G25">
        <v>1</v>
      </c>
      <c r="H25">
        <v>1</v>
      </c>
      <c r="I25" t="s">
        <v>68</v>
      </c>
    </row>
    <row r="26" spans="1:9" x14ac:dyDescent="0.2">
      <c r="A26" t="s">
        <v>34</v>
      </c>
      <c r="B26">
        <v>90</v>
      </c>
      <c r="C26">
        <v>8</v>
      </c>
      <c r="D26">
        <v>10</v>
      </c>
      <c r="E26">
        <v>0</v>
      </c>
      <c r="F26">
        <v>0.54003216599812698</v>
      </c>
      <c r="G26">
        <v>1</v>
      </c>
      <c r="H26">
        <v>1</v>
      </c>
      <c r="I26" t="s">
        <v>69</v>
      </c>
    </row>
    <row r="27" spans="1:9" x14ac:dyDescent="0.2">
      <c r="A27" t="s">
        <v>36</v>
      </c>
      <c r="B27">
        <v>108</v>
      </c>
      <c r="C27">
        <v>8</v>
      </c>
      <c r="D27">
        <v>10</v>
      </c>
      <c r="E27">
        <v>0</v>
      </c>
      <c r="F27">
        <v>0.73250650000045403</v>
      </c>
      <c r="G27">
        <v>1</v>
      </c>
      <c r="H27">
        <v>1</v>
      </c>
      <c r="I27" t="s">
        <v>70</v>
      </c>
    </row>
    <row r="28" spans="1:9" x14ac:dyDescent="0.2">
      <c r="A28" t="s">
        <v>38</v>
      </c>
      <c r="B28">
        <v>144</v>
      </c>
      <c r="C28">
        <v>12</v>
      </c>
      <c r="D28">
        <v>12</v>
      </c>
      <c r="E28">
        <v>0</v>
      </c>
      <c r="F28">
        <v>1.2449684999992301</v>
      </c>
      <c r="G28">
        <v>1</v>
      </c>
      <c r="H28">
        <v>1</v>
      </c>
      <c r="I28" t="s">
        <v>71</v>
      </c>
    </row>
    <row r="29" spans="1:9" x14ac:dyDescent="0.2">
      <c r="A29" t="s">
        <v>40</v>
      </c>
      <c r="B29">
        <v>288</v>
      </c>
      <c r="C29">
        <v>12</v>
      </c>
      <c r="D29">
        <v>18</v>
      </c>
      <c r="E29">
        <v>0</v>
      </c>
      <c r="F29">
        <v>5.1799307500004899</v>
      </c>
      <c r="G29">
        <v>1</v>
      </c>
      <c r="H29">
        <v>1</v>
      </c>
      <c r="I29" t="s">
        <v>72</v>
      </c>
    </row>
    <row r="30" spans="1:9" x14ac:dyDescent="0.2">
      <c r="A30" t="s">
        <v>42</v>
      </c>
      <c r="B30">
        <v>360</v>
      </c>
      <c r="C30">
        <v>12</v>
      </c>
      <c r="D30">
        <v>24</v>
      </c>
      <c r="E30">
        <v>0</v>
      </c>
      <c r="F30">
        <v>8.0352538750012101</v>
      </c>
      <c r="G30">
        <v>1</v>
      </c>
      <c r="H30">
        <v>1</v>
      </c>
      <c r="I30" t="s">
        <v>73</v>
      </c>
    </row>
    <row r="31" spans="1:9" x14ac:dyDescent="0.2">
      <c r="A31" t="s">
        <v>44</v>
      </c>
      <c r="B31">
        <v>756</v>
      </c>
      <c r="C31">
        <v>16</v>
      </c>
      <c r="D31">
        <v>36</v>
      </c>
      <c r="E31">
        <v>2</v>
      </c>
      <c r="F31">
        <v>37.934442292000298</v>
      </c>
      <c r="G31">
        <v>1</v>
      </c>
      <c r="H31">
        <v>1</v>
      </c>
      <c r="I31" t="s">
        <v>74</v>
      </c>
    </row>
    <row r="32" spans="1:9" x14ac:dyDescent="0.2">
      <c r="A32" t="s">
        <v>46</v>
      </c>
      <c r="B32">
        <v>216</v>
      </c>
      <c r="C32">
        <v>8</v>
      </c>
      <c r="D32">
        <v>10</v>
      </c>
      <c r="E32">
        <v>0</v>
      </c>
      <c r="F32">
        <v>1.9151467500014401</v>
      </c>
      <c r="G32">
        <v>1</v>
      </c>
      <c r="H32">
        <v>1</v>
      </c>
      <c r="I32" t="s">
        <v>75</v>
      </c>
    </row>
    <row r="33" spans="1:9" x14ac:dyDescent="0.2">
      <c r="A33" t="s">
        <v>48</v>
      </c>
      <c r="B33">
        <v>576</v>
      </c>
      <c r="C33">
        <v>8</v>
      </c>
      <c r="D33">
        <v>24</v>
      </c>
      <c r="E33">
        <v>0</v>
      </c>
      <c r="F33">
        <v>19.019621041999901</v>
      </c>
      <c r="G33">
        <v>1</v>
      </c>
      <c r="H33">
        <v>1</v>
      </c>
      <c r="I33" t="s">
        <v>76</v>
      </c>
    </row>
    <row r="34" spans="1:9" x14ac:dyDescent="0.2">
      <c r="A34" t="s">
        <v>50</v>
      </c>
      <c r="B34">
        <v>864</v>
      </c>
      <c r="C34">
        <v>4</v>
      </c>
      <c r="D34">
        <v>62</v>
      </c>
      <c r="E34">
        <v>22</v>
      </c>
      <c r="F34">
        <v>46.365798749997303</v>
      </c>
      <c r="G34">
        <v>1</v>
      </c>
      <c r="H34">
        <v>1</v>
      </c>
      <c r="I34" t="s">
        <v>77</v>
      </c>
    </row>
    <row r="35" spans="1:9" x14ac:dyDescent="0.2">
      <c r="A35" t="s">
        <v>52</v>
      </c>
      <c r="B35">
        <v>648</v>
      </c>
      <c r="C35">
        <v>4</v>
      </c>
      <c r="D35">
        <v>34</v>
      </c>
      <c r="E35">
        <v>2</v>
      </c>
      <c r="F35">
        <v>24.228109083000099</v>
      </c>
      <c r="G35">
        <v>1</v>
      </c>
      <c r="H35">
        <v>1</v>
      </c>
      <c r="I35" t="s">
        <v>78</v>
      </c>
    </row>
    <row r="36" spans="1:9" x14ac:dyDescent="0.2">
      <c r="A36" t="s">
        <v>79</v>
      </c>
      <c r="B36">
        <v>1080</v>
      </c>
      <c r="C36">
        <v>4</v>
      </c>
      <c r="D36">
        <v>78</v>
      </c>
      <c r="E36">
        <v>24</v>
      </c>
      <c r="F36">
        <v>66.739971167000405</v>
      </c>
      <c r="G36">
        <v>1</v>
      </c>
      <c r="H36">
        <v>1</v>
      </c>
      <c r="I36" t="s">
        <v>80</v>
      </c>
    </row>
    <row r="37" spans="1:9" x14ac:dyDescent="0.2">
      <c r="A37" t="s">
        <v>81</v>
      </c>
      <c r="B37">
        <v>1296</v>
      </c>
      <c r="C37">
        <v>4</v>
      </c>
      <c r="D37">
        <v>98</v>
      </c>
      <c r="E37">
        <v>50</v>
      </c>
      <c r="F37">
        <v>106.48098475</v>
      </c>
      <c r="G37">
        <v>1</v>
      </c>
      <c r="H37">
        <v>1</v>
      </c>
      <c r="I37" t="s">
        <v>82</v>
      </c>
    </row>
    <row r="38" spans="1:9" x14ac:dyDescent="0.2">
      <c r="A38" t="s">
        <v>83</v>
      </c>
      <c r="B38">
        <v>1152</v>
      </c>
      <c r="C38">
        <v>4</v>
      </c>
      <c r="D38">
        <v>54</v>
      </c>
      <c r="E38">
        <v>18</v>
      </c>
      <c r="F38">
        <v>77.808817125001895</v>
      </c>
      <c r="G38">
        <v>1</v>
      </c>
      <c r="H38">
        <v>1</v>
      </c>
      <c r="I38" t="s">
        <v>84</v>
      </c>
    </row>
    <row r="39" spans="1:9" x14ac:dyDescent="0.2">
      <c r="A39" t="s">
        <v>60</v>
      </c>
      <c r="B39">
        <v>1728</v>
      </c>
      <c r="C39">
        <v>4</v>
      </c>
      <c r="D39">
        <v>128</v>
      </c>
      <c r="E39">
        <v>64</v>
      </c>
      <c r="F39">
        <v>219.87987716599599</v>
      </c>
      <c r="G39">
        <v>1</v>
      </c>
      <c r="H39">
        <v>1</v>
      </c>
      <c r="I39" t="s">
        <v>85</v>
      </c>
    </row>
    <row r="40" spans="1:9" x14ac:dyDescent="0.2">
      <c r="A40" t="s">
        <v>62</v>
      </c>
      <c r="B40">
        <v>2016</v>
      </c>
      <c r="C40">
        <v>8</v>
      </c>
      <c r="D40">
        <v>64</v>
      </c>
      <c r="E40">
        <v>10</v>
      </c>
      <c r="F40">
        <v>219.29586770900201</v>
      </c>
      <c r="G40">
        <v>1</v>
      </c>
      <c r="H40">
        <v>1</v>
      </c>
      <c r="I40" t="s">
        <v>86</v>
      </c>
    </row>
    <row r="41" spans="1:9" x14ac:dyDescent="0.2">
      <c r="A41" t="s">
        <v>64</v>
      </c>
      <c r="B41">
        <v>2160</v>
      </c>
      <c r="C41">
        <v>8</v>
      </c>
      <c r="D41">
        <v>114</v>
      </c>
      <c r="E41">
        <v>50</v>
      </c>
      <c r="F41">
        <v>401.38881741599801</v>
      </c>
      <c r="G41">
        <v>1</v>
      </c>
      <c r="H41">
        <v>1</v>
      </c>
      <c r="I41" t="s">
        <v>87</v>
      </c>
    </row>
    <row r="42" spans="1:9" x14ac:dyDescent="0.2">
      <c r="A42" t="s">
        <v>88</v>
      </c>
    </row>
    <row r="43" spans="1:9" x14ac:dyDescent="0.2">
      <c r="A43" t="s">
        <v>89</v>
      </c>
      <c r="B43">
        <v>2520</v>
      </c>
      <c r="C43">
        <v>8</v>
      </c>
      <c r="D43">
        <v>68</v>
      </c>
      <c r="E43">
        <v>14</v>
      </c>
      <c r="F43">
        <v>366.89730220899901</v>
      </c>
      <c r="G43">
        <v>1</v>
      </c>
      <c r="H43">
        <v>1</v>
      </c>
      <c r="I43" t="s">
        <v>90</v>
      </c>
    </row>
    <row r="44" spans="1:9" x14ac:dyDescent="0.2">
      <c r="A44" t="s">
        <v>91</v>
      </c>
      <c r="B44">
        <v>2592</v>
      </c>
      <c r="C44">
        <v>8</v>
      </c>
      <c r="D44">
        <v>50</v>
      </c>
      <c r="E44">
        <v>14</v>
      </c>
      <c r="F44">
        <v>382.75115225000201</v>
      </c>
      <c r="G44">
        <v>1</v>
      </c>
      <c r="H44">
        <v>1</v>
      </c>
      <c r="I44" t="s">
        <v>92</v>
      </c>
    </row>
    <row r="45" spans="1:9" x14ac:dyDescent="0.2">
      <c r="A45" t="s">
        <v>93</v>
      </c>
      <c r="B45">
        <v>3024</v>
      </c>
      <c r="C45">
        <v>4</v>
      </c>
      <c r="D45">
        <v>148</v>
      </c>
      <c r="E45">
        <v>64</v>
      </c>
      <c r="F45">
        <v>1107.7705135409899</v>
      </c>
      <c r="G45">
        <v>1</v>
      </c>
      <c r="H45">
        <v>1</v>
      </c>
      <c r="I45" t="s">
        <v>94</v>
      </c>
    </row>
    <row r="46" spans="1:9" x14ac:dyDescent="0.2">
      <c r="A46" t="s">
        <v>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A1CF2-5C6C-A64D-A21E-2FABF0B63621}">
  <dimension ref="A1:I47"/>
  <sheetViews>
    <sheetView workbookViewId="0">
      <selection activeCell="A34" sqref="A34:XFD34"/>
    </sheetView>
  </sheetViews>
  <sheetFormatPr baseColWidth="10" defaultRowHeight="16" x14ac:dyDescent="0.2"/>
  <sheetData>
    <row r="1" spans="1:1" x14ac:dyDescent="0.2">
      <c r="A1" t="s">
        <v>0</v>
      </c>
    </row>
    <row r="2" spans="1:1" x14ac:dyDescent="0.2">
      <c r="A2" t="s">
        <v>1</v>
      </c>
    </row>
    <row r="3" spans="1:1" x14ac:dyDescent="0.2">
      <c r="A3" t="s">
        <v>351</v>
      </c>
    </row>
    <row r="4" spans="1:1" x14ac:dyDescent="0.2">
      <c r="A4" t="s">
        <v>2</v>
      </c>
    </row>
    <row r="5" spans="1:1" x14ac:dyDescent="0.2">
      <c r="A5" t="s">
        <v>3</v>
      </c>
    </row>
    <row r="6" spans="1:1" x14ac:dyDescent="0.2">
      <c r="A6" t="s">
        <v>103</v>
      </c>
    </row>
    <row r="7" spans="1:1" x14ac:dyDescent="0.2">
      <c r="A7" t="s">
        <v>5</v>
      </c>
    </row>
    <row r="8" spans="1:1" x14ac:dyDescent="0.2">
      <c r="A8" t="s">
        <v>6</v>
      </c>
    </row>
    <row r="9" spans="1:1" x14ac:dyDescent="0.2">
      <c r="A9" t="s">
        <v>7</v>
      </c>
    </row>
    <row r="10" spans="1:1" x14ac:dyDescent="0.2">
      <c r="A10" t="s">
        <v>8</v>
      </c>
    </row>
    <row r="11" spans="1:1" x14ac:dyDescent="0.2">
      <c r="A11" t="s">
        <v>9</v>
      </c>
    </row>
    <row r="12" spans="1:1" x14ac:dyDescent="0.2">
      <c r="A12" t="s">
        <v>10</v>
      </c>
    </row>
    <row r="13" spans="1:1" x14ac:dyDescent="0.2">
      <c r="A13" t="s">
        <v>11</v>
      </c>
    </row>
    <row r="14" spans="1:1" x14ac:dyDescent="0.2">
      <c r="A14" t="s">
        <v>12</v>
      </c>
    </row>
    <row r="15" spans="1:1" x14ac:dyDescent="0.2">
      <c r="A15" t="s">
        <v>13</v>
      </c>
    </row>
    <row r="16" spans="1:1" x14ac:dyDescent="0.2">
      <c r="A16" t="s">
        <v>14</v>
      </c>
    </row>
    <row r="17" spans="1:9" x14ac:dyDescent="0.2">
      <c r="A17" t="s">
        <v>15</v>
      </c>
    </row>
    <row r="18" spans="1:9" x14ac:dyDescent="0.2">
      <c r="A18" t="s">
        <v>16</v>
      </c>
    </row>
    <row r="19" spans="1:9" x14ac:dyDescent="0.2">
      <c r="A19" t="s">
        <v>107</v>
      </c>
    </row>
    <row r="20" spans="1:9" x14ac:dyDescent="0.2">
      <c r="A20" t="s">
        <v>18</v>
      </c>
    </row>
    <row r="21" spans="1:9" x14ac:dyDescent="0.2">
      <c r="A21" t="s">
        <v>105</v>
      </c>
    </row>
    <row r="22" spans="1:9" x14ac:dyDescent="0.2">
      <c r="A22" t="s">
        <v>106</v>
      </c>
    </row>
    <row r="23" spans="1:9" x14ac:dyDescent="0.2">
      <c r="A23" t="s">
        <v>19</v>
      </c>
    </row>
    <row r="24" spans="1:9" x14ac:dyDescent="0.2">
      <c r="A24" t="s">
        <v>20</v>
      </c>
    </row>
    <row r="25" spans="1:9" x14ac:dyDescent="0.2">
      <c r="A25" t="s">
        <v>352</v>
      </c>
    </row>
    <row r="26" spans="1:9" x14ac:dyDescent="0.2">
      <c r="A26" t="s">
        <v>22</v>
      </c>
    </row>
    <row r="27" spans="1:9" x14ac:dyDescent="0.2">
      <c r="A27" t="s">
        <v>23</v>
      </c>
      <c r="B27" t="s">
        <v>24</v>
      </c>
      <c r="C27" t="s">
        <v>25</v>
      </c>
      <c r="D27" t="s">
        <v>26</v>
      </c>
      <c r="E27" t="s">
        <v>27</v>
      </c>
      <c r="F27" t="s">
        <v>28</v>
      </c>
      <c r="G27" t="s">
        <v>29</v>
      </c>
      <c r="H27" t="s">
        <v>30</v>
      </c>
      <c r="I27" t="s">
        <v>31</v>
      </c>
    </row>
    <row r="28" spans="1:9" x14ac:dyDescent="0.2">
      <c r="A28" t="s">
        <v>32</v>
      </c>
      <c r="B28">
        <v>72</v>
      </c>
      <c r="C28">
        <v>12</v>
      </c>
      <c r="D28">
        <v>6</v>
      </c>
      <c r="E28">
        <v>0</v>
      </c>
      <c r="F28">
        <v>8.9469081249990197</v>
      </c>
      <c r="G28">
        <v>47238</v>
      </c>
      <c r="H28">
        <v>50000</v>
      </c>
      <c r="I28" t="s">
        <v>353</v>
      </c>
    </row>
    <row r="29" spans="1:9" x14ac:dyDescent="0.2">
      <c r="A29" t="s">
        <v>34</v>
      </c>
      <c r="B29">
        <v>90</v>
      </c>
      <c r="C29">
        <v>8</v>
      </c>
      <c r="D29">
        <v>10</v>
      </c>
      <c r="E29">
        <v>0</v>
      </c>
      <c r="F29">
        <v>12.023882082999901</v>
      </c>
      <c r="G29">
        <v>35021</v>
      </c>
      <c r="H29">
        <v>50000</v>
      </c>
      <c r="I29" t="s">
        <v>354</v>
      </c>
    </row>
    <row r="30" spans="1:9" x14ac:dyDescent="0.2">
      <c r="A30" t="s">
        <v>36</v>
      </c>
      <c r="B30">
        <v>108</v>
      </c>
      <c r="C30">
        <v>8</v>
      </c>
      <c r="D30">
        <v>10</v>
      </c>
      <c r="E30">
        <v>0</v>
      </c>
      <c r="F30">
        <v>16.146591209000601</v>
      </c>
      <c r="G30">
        <v>7132</v>
      </c>
      <c r="H30">
        <v>50000</v>
      </c>
      <c r="I30" t="s">
        <v>355</v>
      </c>
    </row>
    <row r="31" spans="1:9" x14ac:dyDescent="0.2">
      <c r="A31" t="s">
        <v>38</v>
      </c>
      <c r="B31">
        <v>144</v>
      </c>
      <c r="C31">
        <v>12</v>
      </c>
      <c r="D31">
        <v>12</v>
      </c>
      <c r="E31">
        <v>0</v>
      </c>
      <c r="F31">
        <v>25.131618458000901</v>
      </c>
      <c r="G31">
        <v>28698</v>
      </c>
      <c r="H31">
        <v>50000</v>
      </c>
      <c r="I31" t="s">
        <v>356</v>
      </c>
    </row>
    <row r="32" spans="1:9" x14ac:dyDescent="0.2">
      <c r="A32" t="s">
        <v>40</v>
      </c>
      <c r="B32">
        <v>288</v>
      </c>
      <c r="C32">
        <v>12</v>
      </c>
      <c r="D32">
        <v>18</v>
      </c>
      <c r="E32">
        <v>0</v>
      </c>
      <c r="F32">
        <v>102.641986166998</v>
      </c>
      <c r="G32">
        <v>235</v>
      </c>
      <c r="H32">
        <v>50000</v>
      </c>
      <c r="I32" t="s">
        <v>357</v>
      </c>
    </row>
    <row r="33" spans="1:9" x14ac:dyDescent="0.2">
      <c r="A33" t="s">
        <v>42</v>
      </c>
      <c r="B33">
        <v>360</v>
      </c>
      <c r="C33">
        <v>12</v>
      </c>
      <c r="D33">
        <v>24</v>
      </c>
      <c r="E33">
        <v>0</v>
      </c>
      <c r="F33">
        <v>162.480833625</v>
      </c>
      <c r="G33">
        <v>174</v>
      </c>
      <c r="H33">
        <v>50000</v>
      </c>
      <c r="I33" t="s">
        <v>358</v>
      </c>
    </row>
    <row r="34" spans="1:9" x14ac:dyDescent="0.2">
      <c r="A34" t="s">
        <v>44</v>
      </c>
      <c r="B34">
        <v>756</v>
      </c>
      <c r="C34">
        <v>16</v>
      </c>
      <c r="D34">
        <v>40</v>
      </c>
      <c r="E34">
        <v>6</v>
      </c>
      <c r="F34">
        <v>983.49004137499799</v>
      </c>
      <c r="G34">
        <v>3</v>
      </c>
      <c r="H34">
        <v>50000</v>
      </c>
      <c r="I34" t="s">
        <v>474</v>
      </c>
    </row>
    <row r="35" spans="1:9" x14ac:dyDescent="0.2">
      <c r="A35" t="s">
        <v>46</v>
      </c>
      <c r="B35">
        <v>216</v>
      </c>
      <c r="C35">
        <v>8</v>
      </c>
      <c r="D35">
        <v>10</v>
      </c>
      <c r="E35">
        <v>0</v>
      </c>
      <c r="F35">
        <v>43.853060500001398</v>
      </c>
      <c r="G35">
        <v>29909</v>
      </c>
      <c r="H35">
        <v>50000</v>
      </c>
      <c r="I35" t="s">
        <v>475</v>
      </c>
    </row>
    <row r="36" spans="1:9" x14ac:dyDescent="0.2">
      <c r="A36" t="s">
        <v>48</v>
      </c>
      <c r="B36">
        <v>576</v>
      </c>
      <c r="C36">
        <v>8</v>
      </c>
      <c r="D36">
        <v>24</v>
      </c>
      <c r="E36">
        <v>0</v>
      </c>
      <c r="F36">
        <v>511.77756837499999</v>
      </c>
      <c r="G36">
        <v>17</v>
      </c>
      <c r="H36">
        <v>50000</v>
      </c>
      <c r="I36" t="s">
        <v>476</v>
      </c>
    </row>
    <row r="37" spans="1:9" x14ac:dyDescent="0.2">
      <c r="A37" t="s">
        <v>50</v>
      </c>
      <c r="B37">
        <v>864</v>
      </c>
      <c r="C37">
        <v>4</v>
      </c>
      <c r="D37">
        <v>68</v>
      </c>
      <c r="E37">
        <v>28</v>
      </c>
      <c r="F37">
        <v>1511.3388319579999</v>
      </c>
      <c r="G37">
        <v>2</v>
      </c>
      <c r="H37">
        <v>50000</v>
      </c>
      <c r="I37" t="s">
        <v>477</v>
      </c>
    </row>
    <row r="38" spans="1:9" x14ac:dyDescent="0.2">
      <c r="A38" t="s">
        <v>52</v>
      </c>
      <c r="B38">
        <v>648</v>
      </c>
      <c r="C38">
        <v>4</v>
      </c>
      <c r="D38">
        <v>36</v>
      </c>
      <c r="E38">
        <v>4</v>
      </c>
      <c r="F38">
        <v>765.50314487499702</v>
      </c>
      <c r="G38">
        <v>2</v>
      </c>
      <c r="H38">
        <v>50000</v>
      </c>
      <c r="I38" t="s">
        <v>478</v>
      </c>
    </row>
    <row r="39" spans="1:9" x14ac:dyDescent="0.2">
      <c r="A39" t="s">
        <v>79</v>
      </c>
      <c r="B39">
        <v>1080</v>
      </c>
      <c r="C39">
        <v>4</v>
      </c>
      <c r="D39">
        <v>78</v>
      </c>
      <c r="E39">
        <v>24</v>
      </c>
      <c r="F39">
        <v>2582.2837329579902</v>
      </c>
      <c r="G39">
        <v>1</v>
      </c>
      <c r="H39">
        <v>50000</v>
      </c>
      <c r="I39" t="s">
        <v>479</v>
      </c>
    </row>
    <row r="40" spans="1:9" x14ac:dyDescent="0.2">
      <c r="A40" t="s">
        <v>81</v>
      </c>
      <c r="B40">
        <v>1296</v>
      </c>
      <c r="C40">
        <v>4</v>
      </c>
      <c r="D40">
        <v>90</v>
      </c>
      <c r="E40">
        <v>42</v>
      </c>
      <c r="F40">
        <v>3924.7513409590001</v>
      </c>
      <c r="G40">
        <v>1</v>
      </c>
      <c r="H40">
        <v>50000</v>
      </c>
      <c r="I40" t="s">
        <v>480</v>
      </c>
    </row>
    <row r="41" spans="1:9" x14ac:dyDescent="0.2">
      <c r="A41" t="s">
        <v>83</v>
      </c>
      <c r="B41">
        <v>1152</v>
      </c>
      <c r="C41">
        <v>4</v>
      </c>
      <c r="D41">
        <v>64</v>
      </c>
      <c r="E41">
        <v>28</v>
      </c>
      <c r="F41">
        <v>2835.7287448749898</v>
      </c>
      <c r="G41">
        <v>1</v>
      </c>
      <c r="H41">
        <v>50000</v>
      </c>
      <c r="I41" t="s">
        <v>481</v>
      </c>
    </row>
    <row r="42" spans="1:9" x14ac:dyDescent="0.2">
      <c r="A42" t="s">
        <v>60</v>
      </c>
      <c r="B42">
        <v>1728</v>
      </c>
      <c r="C42">
        <v>4</v>
      </c>
      <c r="D42">
        <v>140</v>
      </c>
      <c r="E42">
        <v>76</v>
      </c>
      <c r="F42">
        <v>8795.7569591249903</v>
      </c>
      <c r="G42">
        <v>1</v>
      </c>
      <c r="H42">
        <v>50000</v>
      </c>
      <c r="I42" t="s">
        <v>482</v>
      </c>
    </row>
    <row r="43" spans="1:9" x14ac:dyDescent="0.2">
      <c r="A43" t="s">
        <v>62</v>
      </c>
      <c r="B43">
        <v>2016</v>
      </c>
      <c r="C43">
        <v>8</v>
      </c>
      <c r="D43">
        <v>66</v>
      </c>
      <c r="E43">
        <v>12</v>
      </c>
      <c r="F43">
        <v>11460.33334325</v>
      </c>
      <c r="G43">
        <v>1</v>
      </c>
      <c r="H43">
        <v>50000</v>
      </c>
      <c r="I43" t="s">
        <v>483</v>
      </c>
    </row>
    <row r="44" spans="1:9" x14ac:dyDescent="0.2">
      <c r="A44" t="s">
        <v>64</v>
      </c>
      <c r="B44">
        <v>2160</v>
      </c>
      <c r="C44">
        <v>8</v>
      </c>
      <c r="D44">
        <v>142</v>
      </c>
      <c r="E44">
        <v>78</v>
      </c>
      <c r="F44">
        <v>19079.924866665999</v>
      </c>
      <c r="G44">
        <v>1</v>
      </c>
      <c r="H44">
        <v>50000</v>
      </c>
      <c r="I44" t="s">
        <v>484</v>
      </c>
    </row>
    <row r="45" spans="1:9" x14ac:dyDescent="0.2">
      <c r="A45" t="s">
        <v>89</v>
      </c>
      <c r="B45">
        <v>2520</v>
      </c>
      <c r="C45">
        <v>8</v>
      </c>
      <c r="D45">
        <v>66</v>
      </c>
      <c r="E45">
        <v>12</v>
      </c>
      <c r="F45">
        <v>7737.9213394169901</v>
      </c>
      <c r="G45">
        <v>1</v>
      </c>
      <c r="H45">
        <v>50000</v>
      </c>
      <c r="I45" t="s">
        <v>485</v>
      </c>
    </row>
    <row r="46" spans="1:9" x14ac:dyDescent="0.2">
      <c r="A46" t="s">
        <v>91</v>
      </c>
      <c r="B46">
        <v>2592</v>
      </c>
      <c r="C46">
        <v>8</v>
      </c>
      <c r="D46">
        <v>50</v>
      </c>
      <c r="E46">
        <v>14</v>
      </c>
      <c r="F46">
        <v>8550.2142646249995</v>
      </c>
      <c r="G46">
        <v>1</v>
      </c>
      <c r="H46">
        <v>50000</v>
      </c>
      <c r="I46" t="s">
        <v>486</v>
      </c>
    </row>
    <row r="47" spans="1:9" x14ac:dyDescent="0.2">
      <c r="A47" t="s">
        <v>487</v>
      </c>
      <c r="B47">
        <v>3024</v>
      </c>
      <c r="C47">
        <v>4</v>
      </c>
      <c r="D47">
        <v>154</v>
      </c>
      <c r="E47">
        <v>76</v>
      </c>
      <c r="F47">
        <v>21792.501286125</v>
      </c>
      <c r="G47">
        <v>1</v>
      </c>
      <c r="H47">
        <v>50000</v>
      </c>
      <c r="I47" t="s">
        <v>488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55294-D47E-264B-A5F4-ADB77B3D8FF0}">
  <dimension ref="A1:N44"/>
  <sheetViews>
    <sheetView topLeftCell="A12" workbookViewId="0">
      <selection activeCell="D44" sqref="D44"/>
    </sheetView>
  </sheetViews>
  <sheetFormatPr baseColWidth="10" defaultRowHeight="16" x14ac:dyDescent="0.2"/>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0" spans="1:1" x14ac:dyDescent="0.2">
      <c r="A10" t="s">
        <v>9</v>
      </c>
    </row>
    <row r="11" spans="1:1" x14ac:dyDescent="0.2">
      <c r="A11" t="s">
        <v>10</v>
      </c>
    </row>
    <row r="12" spans="1:1" x14ac:dyDescent="0.2">
      <c r="A12" t="s">
        <v>11</v>
      </c>
    </row>
    <row r="13" spans="1:1" x14ac:dyDescent="0.2">
      <c r="A13" t="s">
        <v>12</v>
      </c>
    </row>
    <row r="14" spans="1:1" x14ac:dyDescent="0.2">
      <c r="A14" t="s">
        <v>13</v>
      </c>
    </row>
    <row r="15" spans="1:1" x14ac:dyDescent="0.2">
      <c r="A15" t="s">
        <v>14</v>
      </c>
    </row>
    <row r="16" spans="1:1" x14ac:dyDescent="0.2">
      <c r="A16" t="s">
        <v>15</v>
      </c>
    </row>
    <row r="17" spans="1:14" x14ac:dyDescent="0.2">
      <c r="A17" t="s">
        <v>16</v>
      </c>
    </row>
    <row r="18" spans="1:14" x14ac:dyDescent="0.2">
      <c r="A18" t="s">
        <v>17</v>
      </c>
    </row>
    <row r="19" spans="1:14" x14ac:dyDescent="0.2">
      <c r="A19" t="s">
        <v>18</v>
      </c>
    </row>
    <row r="20" spans="1:14" x14ac:dyDescent="0.2">
      <c r="A20" t="s">
        <v>19</v>
      </c>
    </row>
    <row r="21" spans="1:14" x14ac:dyDescent="0.2">
      <c r="A21" t="s">
        <v>20</v>
      </c>
    </row>
    <row r="22" spans="1:14" x14ac:dyDescent="0.2">
      <c r="A22" t="s">
        <v>21</v>
      </c>
    </row>
    <row r="23" spans="1:14" x14ac:dyDescent="0.2">
      <c r="A23" t="s">
        <v>22</v>
      </c>
    </row>
    <row r="24" spans="1:14" x14ac:dyDescent="0.2">
      <c r="A24" t="s">
        <v>23</v>
      </c>
      <c r="B24" t="s">
        <v>24</v>
      </c>
      <c r="C24" t="s">
        <v>25</v>
      </c>
      <c r="D24" t="s">
        <v>26</v>
      </c>
      <c r="E24" t="s">
        <v>27</v>
      </c>
      <c r="F24" t="s">
        <v>28</v>
      </c>
      <c r="G24" t="s">
        <v>29</v>
      </c>
      <c r="H24" t="s">
        <v>30</v>
      </c>
      <c r="I24" t="s">
        <v>31</v>
      </c>
      <c r="K24" t="s">
        <v>26</v>
      </c>
      <c r="L24" t="s">
        <v>27</v>
      </c>
      <c r="M24" t="s">
        <v>96</v>
      </c>
      <c r="N24" t="s">
        <v>97</v>
      </c>
    </row>
    <row r="25" spans="1:14" x14ac:dyDescent="0.2">
      <c r="A25" t="s">
        <v>32</v>
      </c>
      <c r="B25">
        <v>72</v>
      </c>
      <c r="C25">
        <v>12</v>
      </c>
      <c r="D25">
        <v>6</v>
      </c>
      <c r="E25">
        <v>0</v>
      </c>
      <c r="F25">
        <v>8.3818779999999702</v>
      </c>
      <c r="G25">
        <v>49984</v>
      </c>
      <c r="H25">
        <v>50000</v>
      </c>
      <c r="I25" t="s">
        <v>33</v>
      </c>
      <c r="K25">
        <f>SUMIF(m4ri_RW_mac!$B:$B,$B25,m4ri_RW_mac!D:D)</f>
        <v>6</v>
      </c>
      <c r="L25">
        <f>K25-D25</f>
        <v>0</v>
      </c>
      <c r="M25">
        <f>SUMIF(m4ri_RW_mac!$B:$B,$B25,m4ri_RW_mac!F:F)</f>
        <v>0.34659212499900599</v>
      </c>
      <c r="N25">
        <f>F25-M25</f>
        <v>8.0352858750009641</v>
      </c>
    </row>
    <row r="26" spans="1:14" x14ac:dyDescent="0.2">
      <c r="A26" t="s">
        <v>34</v>
      </c>
      <c r="B26">
        <v>90</v>
      </c>
      <c r="C26">
        <v>8</v>
      </c>
      <c r="D26">
        <v>10</v>
      </c>
      <c r="E26">
        <v>0</v>
      </c>
      <c r="F26">
        <v>11.168553167000001</v>
      </c>
      <c r="G26">
        <v>49923</v>
      </c>
      <c r="H26">
        <v>50000</v>
      </c>
      <c r="I26" t="s">
        <v>35</v>
      </c>
      <c r="K26">
        <f>SUMIF(m4ri_RW_mac!$B:$B,$B26,m4ri_RW_mac!D:D)</f>
        <v>10</v>
      </c>
      <c r="L26">
        <f t="shared" ref="L26:L44" si="0">K26-D26</f>
        <v>0</v>
      </c>
      <c r="M26">
        <f>SUMIF(m4ri_RW_mac!$B:$B,$B26,m4ri_RW_mac!F:F)</f>
        <v>0.54003216599812698</v>
      </c>
      <c r="N26">
        <f t="shared" ref="N26:N44" si="1">F26-M26</f>
        <v>10.628521001001873</v>
      </c>
    </row>
    <row r="27" spans="1:14" x14ac:dyDescent="0.2">
      <c r="A27" t="s">
        <v>36</v>
      </c>
      <c r="B27">
        <v>108</v>
      </c>
      <c r="C27">
        <v>8</v>
      </c>
      <c r="D27">
        <v>10</v>
      </c>
      <c r="E27">
        <v>0</v>
      </c>
      <c r="F27">
        <v>12.5656455</v>
      </c>
      <c r="G27">
        <v>39926</v>
      </c>
      <c r="H27">
        <v>50000</v>
      </c>
      <c r="I27" t="s">
        <v>37</v>
      </c>
      <c r="K27">
        <f>SUMIF(m4ri_RW_mac!$B:$B,$B27,m4ri_RW_mac!D:D)</f>
        <v>10</v>
      </c>
      <c r="L27">
        <f t="shared" si="0"/>
        <v>0</v>
      </c>
      <c r="M27">
        <f>SUMIF(m4ri_RW_mac!$B:$B,$B27,m4ri_RW_mac!F:F)</f>
        <v>0.73250650000045403</v>
      </c>
      <c r="N27">
        <f t="shared" si="1"/>
        <v>11.833138999999546</v>
      </c>
    </row>
    <row r="28" spans="1:14" x14ac:dyDescent="0.2">
      <c r="A28" t="s">
        <v>38</v>
      </c>
      <c r="B28">
        <v>144</v>
      </c>
      <c r="C28">
        <v>12</v>
      </c>
      <c r="D28">
        <v>12</v>
      </c>
      <c r="E28">
        <v>0</v>
      </c>
      <c r="F28">
        <v>21.186879957999899</v>
      </c>
      <c r="G28">
        <v>49635</v>
      </c>
      <c r="H28">
        <v>50000</v>
      </c>
      <c r="I28" t="s">
        <v>39</v>
      </c>
      <c r="K28">
        <f>SUMIF(m4ri_RW_mac!$B:$B,$B28,m4ri_RW_mac!D:D)</f>
        <v>12</v>
      </c>
      <c r="L28">
        <f t="shared" si="0"/>
        <v>0</v>
      </c>
      <c r="M28">
        <f>SUMIF(m4ri_RW_mac!$B:$B,$B28,m4ri_RW_mac!F:F)</f>
        <v>1.2449684999992301</v>
      </c>
      <c r="N28">
        <f t="shared" si="1"/>
        <v>19.941911458000668</v>
      </c>
    </row>
    <row r="29" spans="1:14" x14ac:dyDescent="0.2">
      <c r="A29" t="s">
        <v>40</v>
      </c>
      <c r="B29">
        <v>288</v>
      </c>
      <c r="C29">
        <v>12</v>
      </c>
      <c r="D29">
        <v>18</v>
      </c>
      <c r="E29">
        <v>0</v>
      </c>
      <c r="F29">
        <v>74.294767958999898</v>
      </c>
      <c r="G29">
        <v>33570</v>
      </c>
      <c r="H29">
        <v>50000</v>
      </c>
      <c r="I29" t="s">
        <v>41</v>
      </c>
      <c r="K29">
        <f>SUMIF(m4ri_RW_mac!$B:$B,$B29,m4ri_RW_mac!D:D)</f>
        <v>18</v>
      </c>
      <c r="L29">
        <f t="shared" si="0"/>
        <v>0</v>
      </c>
      <c r="M29">
        <f>SUMIF(m4ri_RW_mac!$B:$B,$B29,m4ri_RW_mac!F:F)</f>
        <v>5.1799307500004899</v>
      </c>
      <c r="N29">
        <f t="shared" si="1"/>
        <v>69.114837208999404</v>
      </c>
    </row>
    <row r="30" spans="1:14" x14ac:dyDescent="0.2">
      <c r="A30" t="s">
        <v>42</v>
      </c>
      <c r="B30">
        <v>360</v>
      </c>
      <c r="C30">
        <v>12</v>
      </c>
      <c r="D30">
        <v>24</v>
      </c>
      <c r="E30">
        <v>0</v>
      </c>
      <c r="F30">
        <v>117.41349825</v>
      </c>
      <c r="G30">
        <v>27224</v>
      </c>
      <c r="H30">
        <v>50000</v>
      </c>
      <c r="I30" t="s">
        <v>43</v>
      </c>
      <c r="K30">
        <f>SUMIF(m4ri_RW_mac!$B:$B,$B30,m4ri_RW_mac!D:D)</f>
        <v>24</v>
      </c>
      <c r="L30">
        <f t="shared" si="0"/>
        <v>0</v>
      </c>
      <c r="M30">
        <f>SUMIF(m4ri_RW_mac!$B:$B,$B30,m4ri_RW_mac!F:F)</f>
        <v>8.0352538750012101</v>
      </c>
      <c r="N30">
        <f t="shared" si="1"/>
        <v>109.37824437499879</v>
      </c>
    </row>
    <row r="31" spans="1:14" x14ac:dyDescent="0.2">
      <c r="A31" t="s">
        <v>44</v>
      </c>
      <c r="B31">
        <v>756</v>
      </c>
      <c r="C31">
        <v>16</v>
      </c>
      <c r="D31">
        <v>34</v>
      </c>
      <c r="E31">
        <v>0</v>
      </c>
      <c r="F31">
        <v>625.813588457999</v>
      </c>
      <c r="G31">
        <v>16153</v>
      </c>
      <c r="H31">
        <v>50000</v>
      </c>
      <c r="I31" t="s">
        <v>45</v>
      </c>
      <c r="K31">
        <f>SUMIF(m4ri_RW_mac!$B:$B,$B31,m4ri_RW_mac!D:D)</f>
        <v>36</v>
      </c>
      <c r="L31">
        <f t="shared" si="0"/>
        <v>2</v>
      </c>
      <c r="M31">
        <f>SUMIF(m4ri_RW_mac!$B:$B,$B31,m4ri_RW_mac!F:F)</f>
        <v>37.934442292000298</v>
      </c>
      <c r="N31">
        <f t="shared" si="1"/>
        <v>587.87914616599869</v>
      </c>
    </row>
    <row r="32" spans="1:14" x14ac:dyDescent="0.2">
      <c r="A32" t="s">
        <v>46</v>
      </c>
      <c r="B32">
        <v>216</v>
      </c>
      <c r="C32">
        <v>8</v>
      </c>
      <c r="D32">
        <v>10</v>
      </c>
      <c r="E32">
        <v>0</v>
      </c>
      <c r="F32">
        <v>33.795787707999999</v>
      </c>
      <c r="G32">
        <v>49512</v>
      </c>
      <c r="H32">
        <v>50000</v>
      </c>
      <c r="I32" t="s">
        <v>47</v>
      </c>
      <c r="K32">
        <f>SUMIF(m4ri_RW_mac!$B:$B,$B32,m4ri_RW_mac!D:D)</f>
        <v>10</v>
      </c>
      <c r="L32">
        <f t="shared" si="0"/>
        <v>0</v>
      </c>
      <c r="M32">
        <f>SUMIF(m4ri_RW_mac!$B:$B,$B32,m4ri_RW_mac!F:F)</f>
        <v>1.9151467500014401</v>
      </c>
      <c r="N32">
        <f t="shared" si="1"/>
        <v>31.880640957998558</v>
      </c>
    </row>
    <row r="33" spans="1:14" x14ac:dyDescent="0.2">
      <c r="A33" t="s">
        <v>48</v>
      </c>
      <c r="B33">
        <v>576</v>
      </c>
      <c r="C33">
        <v>8</v>
      </c>
      <c r="D33">
        <v>24</v>
      </c>
      <c r="E33">
        <v>0</v>
      </c>
      <c r="F33">
        <v>318.17922470899998</v>
      </c>
      <c r="G33">
        <v>24329</v>
      </c>
      <c r="H33">
        <v>50000</v>
      </c>
      <c r="I33" t="s">
        <v>49</v>
      </c>
      <c r="K33">
        <f>SUMIF(m4ri_RW_mac!$B:$B,$B33,m4ri_RW_mac!D:D)</f>
        <v>24</v>
      </c>
      <c r="L33">
        <f t="shared" si="0"/>
        <v>0</v>
      </c>
      <c r="M33">
        <f>SUMIF(m4ri_RW_mac!$B:$B,$B33,m4ri_RW_mac!F:F)</f>
        <v>19.019621041999901</v>
      </c>
      <c r="N33">
        <f t="shared" si="1"/>
        <v>299.15960366700006</v>
      </c>
    </row>
    <row r="34" spans="1:14" x14ac:dyDescent="0.2">
      <c r="A34" t="s">
        <v>50</v>
      </c>
      <c r="B34">
        <v>864</v>
      </c>
      <c r="C34">
        <v>4</v>
      </c>
      <c r="D34">
        <v>40</v>
      </c>
      <c r="E34">
        <v>0</v>
      </c>
      <c r="F34">
        <v>888.13477983300004</v>
      </c>
      <c r="G34">
        <v>1568</v>
      </c>
      <c r="H34">
        <v>50000</v>
      </c>
      <c r="I34" t="s">
        <v>51</v>
      </c>
      <c r="K34">
        <f>SUMIF(m4ri_RW_mac!$B:$B,$B34,m4ri_RW_mac!D:D)</f>
        <v>62</v>
      </c>
      <c r="L34">
        <f t="shared" si="0"/>
        <v>22</v>
      </c>
      <c r="M34">
        <f>SUMIF(m4ri_RW_mac!$B:$B,$B34,m4ri_RW_mac!F:F)</f>
        <v>46.365798749997303</v>
      </c>
      <c r="N34">
        <f t="shared" si="1"/>
        <v>841.7689810830027</v>
      </c>
    </row>
    <row r="35" spans="1:14" x14ac:dyDescent="0.2">
      <c r="A35" t="s">
        <v>52</v>
      </c>
      <c r="B35">
        <v>648</v>
      </c>
      <c r="C35">
        <v>4</v>
      </c>
      <c r="D35">
        <v>32</v>
      </c>
      <c r="E35">
        <v>0</v>
      </c>
      <c r="F35">
        <v>430.61867704199898</v>
      </c>
      <c r="G35">
        <v>10928</v>
      </c>
      <c r="H35">
        <v>50000</v>
      </c>
      <c r="I35" t="s">
        <v>53</v>
      </c>
      <c r="K35">
        <f>SUMIF(m4ri_RW_mac!$B:$B,$B35,m4ri_RW_mac!D:D)</f>
        <v>34</v>
      </c>
      <c r="L35">
        <f t="shared" si="0"/>
        <v>2</v>
      </c>
      <c r="M35">
        <f>SUMIF(m4ri_RW_mac!$B:$B,$B35,m4ri_RW_mac!F:F)</f>
        <v>24.228109083000099</v>
      </c>
      <c r="N35">
        <f t="shared" si="1"/>
        <v>406.39056795899887</v>
      </c>
    </row>
    <row r="36" spans="1:14" x14ac:dyDescent="0.2">
      <c r="A36" t="s">
        <v>54</v>
      </c>
      <c r="B36">
        <v>1080</v>
      </c>
      <c r="C36">
        <v>4</v>
      </c>
      <c r="D36">
        <v>54</v>
      </c>
      <c r="E36">
        <v>-2</v>
      </c>
      <c r="F36">
        <v>1426.144470708</v>
      </c>
      <c r="G36">
        <v>6435</v>
      </c>
      <c r="H36">
        <v>50000</v>
      </c>
      <c r="I36" t="s">
        <v>55</v>
      </c>
      <c r="K36">
        <f>SUMIF(m4ri_RW_mac!$B:$B,$B36,m4ri_RW_mac!D:D)</f>
        <v>78</v>
      </c>
      <c r="L36">
        <f t="shared" si="0"/>
        <v>24</v>
      </c>
      <c r="M36">
        <f>SUMIF(m4ri_RW_mac!$B:$B,$B36,m4ri_RW_mac!F:F)</f>
        <v>66.739971167000405</v>
      </c>
      <c r="N36">
        <f t="shared" si="1"/>
        <v>1359.4044995409995</v>
      </c>
    </row>
    <row r="37" spans="1:14" x14ac:dyDescent="0.2">
      <c r="A37" t="s">
        <v>56</v>
      </c>
      <c r="B37">
        <v>1296</v>
      </c>
      <c r="C37">
        <v>4</v>
      </c>
      <c r="D37">
        <v>48</v>
      </c>
      <c r="E37">
        <v>-2</v>
      </c>
      <c r="F37">
        <v>2342.053341542</v>
      </c>
      <c r="G37">
        <v>9818</v>
      </c>
      <c r="H37">
        <v>50000</v>
      </c>
      <c r="I37" t="s">
        <v>57</v>
      </c>
      <c r="K37">
        <f>SUMIF(m4ri_RW_mac!$B:$B,$B37,m4ri_RW_mac!D:D)</f>
        <v>98</v>
      </c>
      <c r="L37">
        <f t="shared" si="0"/>
        <v>50</v>
      </c>
      <c r="M37">
        <f>SUMIF(m4ri_RW_mac!$B:$B,$B37,m4ri_RW_mac!F:F)</f>
        <v>106.48098475</v>
      </c>
      <c r="N37">
        <f t="shared" si="1"/>
        <v>2235.5723567919999</v>
      </c>
    </row>
    <row r="38" spans="1:14" x14ac:dyDescent="0.2">
      <c r="A38" t="s">
        <v>58</v>
      </c>
      <c r="B38">
        <v>1152</v>
      </c>
      <c r="C38">
        <v>4</v>
      </c>
      <c r="D38">
        <v>36</v>
      </c>
      <c r="E38">
        <v>-6</v>
      </c>
      <c r="F38">
        <v>1765.6325120409899</v>
      </c>
      <c r="G38">
        <v>17003</v>
      </c>
      <c r="H38">
        <v>50000</v>
      </c>
      <c r="I38" t="s">
        <v>59</v>
      </c>
      <c r="K38">
        <f>SUMIF(m4ri_RW_mac!$B:$B,$B38,m4ri_RW_mac!D:D)</f>
        <v>54</v>
      </c>
      <c r="L38">
        <f t="shared" si="0"/>
        <v>18</v>
      </c>
      <c r="M38">
        <f>SUMIF(m4ri_RW_mac!$B:$B,$B38,m4ri_RW_mac!F:F)</f>
        <v>77.808817125001895</v>
      </c>
      <c r="N38">
        <f t="shared" si="1"/>
        <v>1687.823694915988</v>
      </c>
    </row>
    <row r="39" spans="1:14" x14ac:dyDescent="0.2">
      <c r="A39" t="s">
        <v>60</v>
      </c>
      <c r="B39">
        <v>1728</v>
      </c>
      <c r="C39">
        <v>4</v>
      </c>
      <c r="D39">
        <v>64</v>
      </c>
      <c r="E39">
        <v>0</v>
      </c>
      <c r="F39">
        <v>5012.7791956669998</v>
      </c>
      <c r="G39">
        <v>3516</v>
      </c>
      <c r="H39">
        <v>50000</v>
      </c>
      <c r="I39" t="s">
        <v>61</v>
      </c>
      <c r="K39">
        <f>SUMIF(m4ri_RW_mac!$B:$B,$B39,m4ri_RW_mac!D:D)</f>
        <v>128</v>
      </c>
      <c r="L39">
        <f t="shared" si="0"/>
        <v>64</v>
      </c>
      <c r="M39">
        <f>SUMIF(m4ri_RW_mac!$B:$B,$B39,m4ri_RW_mac!F:F)</f>
        <v>219.87987716599599</v>
      </c>
      <c r="N39">
        <f t="shared" si="1"/>
        <v>4792.899318501004</v>
      </c>
    </row>
    <row r="40" spans="1:14" x14ac:dyDescent="0.2">
      <c r="A40" t="s">
        <v>62</v>
      </c>
      <c r="B40">
        <v>2016</v>
      </c>
      <c r="C40">
        <v>8</v>
      </c>
      <c r="D40">
        <v>54</v>
      </c>
      <c r="E40">
        <v>0</v>
      </c>
      <c r="F40">
        <v>5574.666250833</v>
      </c>
      <c r="G40">
        <v>9325</v>
      </c>
      <c r="H40">
        <v>50000</v>
      </c>
      <c r="I40" t="s">
        <v>63</v>
      </c>
      <c r="K40">
        <f>SUMIF(m4ri_RW_mac!$B:$B,$B40,m4ri_RW_mac!D:D)</f>
        <v>64</v>
      </c>
      <c r="L40">
        <f t="shared" si="0"/>
        <v>10</v>
      </c>
      <c r="M40">
        <f>SUMIF(m4ri_RW_mac!$B:$B,$B40,m4ri_RW_mac!F:F)</f>
        <v>219.29586770900201</v>
      </c>
      <c r="N40">
        <f t="shared" si="1"/>
        <v>5355.3703831239982</v>
      </c>
    </row>
    <row r="41" spans="1:14" x14ac:dyDescent="0.2">
      <c r="A41" t="s">
        <v>64</v>
      </c>
      <c r="B41">
        <v>2160</v>
      </c>
      <c r="C41">
        <v>8</v>
      </c>
      <c r="D41">
        <v>64</v>
      </c>
      <c r="E41">
        <v>0</v>
      </c>
      <c r="F41">
        <v>12024.6170959589</v>
      </c>
      <c r="G41">
        <v>4369</v>
      </c>
      <c r="H41">
        <v>50000</v>
      </c>
      <c r="I41" t="s">
        <v>65</v>
      </c>
      <c r="K41">
        <f>SUMIF(m4ri_RW_mac!$B:$B,$B41,m4ri_RW_mac!D:D)</f>
        <v>114</v>
      </c>
      <c r="L41">
        <f t="shared" si="0"/>
        <v>50</v>
      </c>
      <c r="M41">
        <f>SUMIF(m4ri_RW_mac!$B:$B,$B41,m4ri_RW_mac!F:F)</f>
        <v>401.38881741599801</v>
      </c>
      <c r="N41">
        <f t="shared" si="1"/>
        <v>11623.228278542902</v>
      </c>
    </row>
    <row r="42" spans="1:14" x14ac:dyDescent="0.2">
      <c r="A42" t="s">
        <v>89</v>
      </c>
      <c r="B42">
        <v>2520</v>
      </c>
      <c r="C42">
        <v>8</v>
      </c>
      <c r="D42">
        <v>54</v>
      </c>
      <c r="E42">
        <v>0</v>
      </c>
      <c r="F42">
        <v>9425.4729411659991</v>
      </c>
      <c r="G42">
        <v>8292</v>
      </c>
      <c r="H42">
        <v>50000</v>
      </c>
      <c r="I42" t="s">
        <v>98</v>
      </c>
      <c r="K42">
        <f>SUMIF(m4ri_RW_mac!$B:$B,$B42,m4ri_RW_mac!D:D)</f>
        <v>68</v>
      </c>
      <c r="L42">
        <f t="shared" si="0"/>
        <v>14</v>
      </c>
      <c r="M42">
        <f>SUMIF(m4ri_RW_mac!$B:$B,$B42,m4ri_RW_mac!F:F)</f>
        <v>366.89730220899901</v>
      </c>
      <c r="N42">
        <f t="shared" si="1"/>
        <v>9058.5756389569997</v>
      </c>
    </row>
    <row r="43" spans="1:14" x14ac:dyDescent="0.2">
      <c r="A43" t="s">
        <v>91</v>
      </c>
      <c r="B43">
        <v>2592</v>
      </c>
      <c r="C43">
        <v>8</v>
      </c>
      <c r="D43">
        <v>36</v>
      </c>
      <c r="E43">
        <v>0</v>
      </c>
      <c r="F43">
        <v>10159.195467625001</v>
      </c>
      <c r="G43">
        <v>15831</v>
      </c>
      <c r="H43">
        <v>50000</v>
      </c>
      <c r="I43" t="s">
        <v>99</v>
      </c>
      <c r="K43">
        <f>SUMIF(m4ri_RW_mac!$B:$B,$B43,m4ri_RW_mac!D:D)</f>
        <v>50</v>
      </c>
      <c r="L43">
        <f t="shared" si="0"/>
        <v>14</v>
      </c>
      <c r="M43">
        <f>SUMIF(m4ri_RW_mac!$B:$B,$B43,m4ri_RW_mac!F:F)</f>
        <v>382.75115225000201</v>
      </c>
      <c r="N43">
        <f t="shared" si="1"/>
        <v>9776.444315374998</v>
      </c>
    </row>
    <row r="44" spans="1:14" x14ac:dyDescent="0.2">
      <c r="A44" t="s">
        <v>93</v>
      </c>
      <c r="B44">
        <v>3024</v>
      </c>
      <c r="C44">
        <v>4</v>
      </c>
      <c r="D44">
        <v>78</v>
      </c>
      <c r="E44">
        <v>-6</v>
      </c>
      <c r="F44">
        <v>22193.873152958899</v>
      </c>
      <c r="G44">
        <v>491</v>
      </c>
      <c r="H44">
        <v>50000</v>
      </c>
      <c r="I44" t="s">
        <v>100</v>
      </c>
      <c r="K44">
        <f>SUMIF(m4ri_RW_mac!$B:$B,$B44,m4ri_RW_mac!D:D)</f>
        <v>148</v>
      </c>
      <c r="L44">
        <f t="shared" si="0"/>
        <v>70</v>
      </c>
      <c r="M44">
        <f>SUMIF(m4ri_RW_mac!$B:$B,$B44,m4ri_RW_mac!F:F)</f>
        <v>1107.7705135409899</v>
      </c>
      <c r="N44">
        <f t="shared" si="1"/>
        <v>21086.10263941791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C4177-E1D2-4748-B0B1-32390954F2E9}">
  <dimension ref="A1:O127"/>
  <sheetViews>
    <sheetView topLeftCell="A9" workbookViewId="0">
      <selection activeCell="D9" sqref="D1:D1048576"/>
    </sheetView>
  </sheetViews>
  <sheetFormatPr baseColWidth="10" defaultRowHeight="16" x14ac:dyDescent="0.2"/>
  <sheetData>
    <row r="1" spans="1:12" x14ac:dyDescent="0.2">
      <c r="A1" t="s">
        <v>0</v>
      </c>
    </row>
    <row r="2" spans="1:12" x14ac:dyDescent="0.2">
      <c r="A2" t="s">
        <v>1</v>
      </c>
    </row>
    <row r="3" spans="1:12" x14ac:dyDescent="0.2">
      <c r="A3" t="s">
        <v>101</v>
      </c>
    </row>
    <row r="4" spans="1:12" x14ac:dyDescent="0.2">
      <c r="A4" t="s">
        <v>102</v>
      </c>
    </row>
    <row r="5" spans="1:12" x14ac:dyDescent="0.2">
      <c r="A5" t="s">
        <v>3</v>
      </c>
      <c r="K5" t="s">
        <v>310</v>
      </c>
      <c r="L5">
        <f>COUNTIF(J:J,"&gt;0")</f>
        <v>0</v>
      </c>
    </row>
    <row r="6" spans="1:12" x14ac:dyDescent="0.2">
      <c r="A6" t="s">
        <v>103</v>
      </c>
      <c r="K6" t="s">
        <v>311</v>
      </c>
      <c r="L6">
        <f>COUNTIF(B:B,"&gt;0")</f>
        <v>100</v>
      </c>
    </row>
    <row r="7" spans="1:12" x14ac:dyDescent="0.2">
      <c r="A7" t="s">
        <v>5</v>
      </c>
      <c r="L7" s="1">
        <f>L5/L6</f>
        <v>0</v>
      </c>
    </row>
    <row r="8" spans="1:12" x14ac:dyDescent="0.2">
      <c r="A8" t="s">
        <v>6</v>
      </c>
    </row>
    <row r="9" spans="1:12" x14ac:dyDescent="0.2">
      <c r="A9" t="s">
        <v>104</v>
      </c>
      <c r="K9" t="s">
        <v>29</v>
      </c>
      <c r="L9" s="2">
        <f>SUM(J:J)</f>
        <v>0</v>
      </c>
    </row>
    <row r="10" spans="1:12" x14ac:dyDescent="0.2">
      <c r="A10" t="s">
        <v>8</v>
      </c>
      <c r="K10" t="s">
        <v>30</v>
      </c>
      <c r="L10">
        <f>SUM(H:H)</f>
        <v>1000000</v>
      </c>
    </row>
    <row r="11" spans="1:12" x14ac:dyDescent="0.2">
      <c r="A11" t="s">
        <v>9</v>
      </c>
      <c r="L11" s="1">
        <f>L9/L10</f>
        <v>0</v>
      </c>
    </row>
    <row r="12" spans="1:12" x14ac:dyDescent="0.2">
      <c r="A12" t="s">
        <v>10</v>
      </c>
    </row>
    <row r="13" spans="1:12" x14ac:dyDescent="0.2">
      <c r="A13" t="s">
        <v>11</v>
      </c>
    </row>
    <row r="14" spans="1:12" x14ac:dyDescent="0.2">
      <c r="A14" t="s">
        <v>12</v>
      </c>
    </row>
    <row r="15" spans="1:12" x14ac:dyDescent="0.2">
      <c r="A15" t="s">
        <v>13</v>
      </c>
    </row>
    <row r="16" spans="1:12" x14ac:dyDescent="0.2">
      <c r="A16" t="s">
        <v>14</v>
      </c>
    </row>
    <row r="17" spans="1:15" x14ac:dyDescent="0.2">
      <c r="A17" t="s">
        <v>15</v>
      </c>
    </row>
    <row r="18" spans="1:15" x14ac:dyDescent="0.2">
      <c r="A18" t="s">
        <v>16</v>
      </c>
    </row>
    <row r="19" spans="1:15" x14ac:dyDescent="0.2">
      <c r="A19" t="s">
        <v>107</v>
      </c>
    </row>
    <row r="20" spans="1:15" x14ac:dyDescent="0.2">
      <c r="A20" t="s">
        <v>18</v>
      </c>
    </row>
    <row r="21" spans="1:15" x14ac:dyDescent="0.2">
      <c r="A21" t="s">
        <v>105</v>
      </c>
    </row>
    <row r="22" spans="1:15" x14ac:dyDescent="0.2">
      <c r="A22" t="s">
        <v>106</v>
      </c>
    </row>
    <row r="23" spans="1:15" x14ac:dyDescent="0.2">
      <c r="A23" t="s">
        <v>19</v>
      </c>
    </row>
    <row r="24" spans="1:15" x14ac:dyDescent="0.2">
      <c r="A24" t="s">
        <v>20</v>
      </c>
    </row>
    <row r="25" spans="1:15" x14ac:dyDescent="0.2">
      <c r="A25" t="s">
        <v>192</v>
      </c>
    </row>
    <row r="26" spans="1:15" x14ac:dyDescent="0.2">
      <c r="A26" t="s">
        <v>22</v>
      </c>
    </row>
    <row r="27" spans="1:15" x14ac:dyDescent="0.2">
      <c r="A27" t="s">
        <v>23</v>
      </c>
      <c r="B27" t="s">
        <v>24</v>
      </c>
      <c r="C27" t="s">
        <v>25</v>
      </c>
      <c r="D27" t="s">
        <v>26</v>
      </c>
      <c r="E27" t="s">
        <v>27</v>
      </c>
      <c r="F27" t="s">
        <v>28</v>
      </c>
      <c r="G27" t="s">
        <v>29</v>
      </c>
      <c r="H27" t="s">
        <v>30</v>
      </c>
      <c r="I27" t="s">
        <v>31</v>
      </c>
      <c r="M27" t="s">
        <v>360</v>
      </c>
      <c r="N27" t="s">
        <v>346</v>
      </c>
      <c r="O27" t="s">
        <v>348</v>
      </c>
    </row>
    <row r="28" spans="1:15" x14ac:dyDescent="0.2">
      <c r="A28" t="s">
        <v>44</v>
      </c>
      <c r="B28">
        <v>756</v>
      </c>
      <c r="C28">
        <v>16</v>
      </c>
      <c r="D28">
        <v>38</v>
      </c>
      <c r="E28">
        <v>4</v>
      </c>
      <c r="F28">
        <v>122.329254583004</v>
      </c>
      <c r="G28">
        <v>1</v>
      </c>
      <c r="H28">
        <v>10000</v>
      </c>
      <c r="I28" t="s">
        <v>193</v>
      </c>
      <c r="J28">
        <f t="shared" ref="J28:J91" si="0">IF(E28=0,G28,)</f>
        <v>0</v>
      </c>
    </row>
    <row r="29" spans="1:15" x14ac:dyDescent="0.2">
      <c r="A29" t="s">
        <v>44</v>
      </c>
      <c r="B29">
        <v>756</v>
      </c>
      <c r="C29">
        <v>16</v>
      </c>
      <c r="D29">
        <v>40</v>
      </c>
      <c r="E29">
        <v>6</v>
      </c>
      <c r="F29">
        <v>121.605874208995</v>
      </c>
      <c r="G29">
        <v>1</v>
      </c>
      <c r="H29">
        <v>10000</v>
      </c>
      <c r="I29" t="s">
        <v>194</v>
      </c>
      <c r="J29">
        <f t="shared" si="0"/>
        <v>0</v>
      </c>
    </row>
    <row r="30" spans="1:15" x14ac:dyDescent="0.2">
      <c r="A30" t="s">
        <v>44</v>
      </c>
      <c r="B30">
        <v>756</v>
      </c>
      <c r="C30">
        <v>16</v>
      </c>
      <c r="D30">
        <v>38</v>
      </c>
      <c r="E30">
        <v>4</v>
      </c>
      <c r="F30">
        <v>121.37346816599801</v>
      </c>
      <c r="G30">
        <v>1</v>
      </c>
      <c r="H30">
        <v>10000</v>
      </c>
      <c r="I30" t="s">
        <v>195</v>
      </c>
      <c r="J30">
        <f t="shared" si="0"/>
        <v>0</v>
      </c>
    </row>
    <row r="31" spans="1:15" x14ac:dyDescent="0.2">
      <c r="A31" t="s">
        <v>44</v>
      </c>
      <c r="B31">
        <v>756</v>
      </c>
      <c r="C31">
        <v>16</v>
      </c>
      <c r="D31">
        <v>42</v>
      </c>
      <c r="E31">
        <v>8</v>
      </c>
      <c r="F31">
        <v>120.927761750004</v>
      </c>
      <c r="G31">
        <v>1</v>
      </c>
      <c r="H31">
        <v>10000</v>
      </c>
      <c r="I31" t="s">
        <v>196</v>
      </c>
      <c r="J31">
        <f t="shared" si="0"/>
        <v>0</v>
      </c>
    </row>
    <row r="32" spans="1:15" x14ac:dyDescent="0.2">
      <c r="A32" t="s">
        <v>44</v>
      </c>
      <c r="B32">
        <v>756</v>
      </c>
      <c r="C32">
        <v>16</v>
      </c>
      <c r="D32">
        <v>42</v>
      </c>
      <c r="E32">
        <v>8</v>
      </c>
      <c r="F32">
        <v>121.400274125</v>
      </c>
      <c r="G32">
        <v>1</v>
      </c>
      <c r="H32">
        <v>10000</v>
      </c>
      <c r="I32" t="s">
        <v>197</v>
      </c>
      <c r="J32">
        <f t="shared" si="0"/>
        <v>0</v>
      </c>
    </row>
    <row r="33" spans="1:10" x14ac:dyDescent="0.2">
      <c r="A33" t="s">
        <v>44</v>
      </c>
      <c r="B33">
        <v>756</v>
      </c>
      <c r="C33">
        <v>16</v>
      </c>
      <c r="D33">
        <v>42</v>
      </c>
      <c r="E33">
        <v>8</v>
      </c>
      <c r="F33">
        <v>120.918437458996</v>
      </c>
      <c r="G33">
        <v>1</v>
      </c>
      <c r="H33">
        <v>10000</v>
      </c>
      <c r="I33" t="s">
        <v>198</v>
      </c>
      <c r="J33">
        <f t="shared" si="0"/>
        <v>0</v>
      </c>
    </row>
    <row r="34" spans="1:10" x14ac:dyDescent="0.2">
      <c r="A34" t="s">
        <v>44</v>
      </c>
      <c r="B34">
        <v>756</v>
      </c>
      <c r="C34">
        <v>16</v>
      </c>
      <c r="D34">
        <v>46</v>
      </c>
      <c r="E34">
        <v>12</v>
      </c>
      <c r="F34">
        <v>121.27104587499301</v>
      </c>
      <c r="G34">
        <v>3</v>
      </c>
      <c r="H34">
        <v>10000</v>
      </c>
      <c r="I34" t="s">
        <v>199</v>
      </c>
      <c r="J34">
        <f t="shared" si="0"/>
        <v>0</v>
      </c>
    </row>
    <row r="35" spans="1:10" x14ac:dyDescent="0.2">
      <c r="A35" t="s">
        <v>44</v>
      </c>
      <c r="B35">
        <v>756</v>
      </c>
      <c r="C35">
        <v>16</v>
      </c>
      <c r="D35">
        <v>44</v>
      </c>
      <c r="E35">
        <v>10</v>
      </c>
      <c r="F35">
        <v>121.576329916002</v>
      </c>
      <c r="G35">
        <v>2</v>
      </c>
      <c r="H35">
        <v>10000</v>
      </c>
      <c r="I35" t="s">
        <v>200</v>
      </c>
      <c r="J35">
        <f t="shared" si="0"/>
        <v>0</v>
      </c>
    </row>
    <row r="36" spans="1:10" x14ac:dyDescent="0.2">
      <c r="A36" t="s">
        <v>44</v>
      </c>
      <c r="B36">
        <v>756</v>
      </c>
      <c r="C36">
        <v>16</v>
      </c>
      <c r="D36">
        <v>46</v>
      </c>
      <c r="E36">
        <v>12</v>
      </c>
      <c r="F36">
        <v>121.54814795899399</v>
      </c>
      <c r="G36">
        <v>1</v>
      </c>
      <c r="H36">
        <v>10000</v>
      </c>
      <c r="I36" t="s">
        <v>201</v>
      </c>
      <c r="J36">
        <f t="shared" si="0"/>
        <v>0</v>
      </c>
    </row>
    <row r="37" spans="1:10" x14ac:dyDescent="0.2">
      <c r="A37" t="s">
        <v>44</v>
      </c>
      <c r="B37">
        <v>756</v>
      </c>
      <c r="C37">
        <v>16</v>
      </c>
      <c r="D37">
        <v>44</v>
      </c>
      <c r="E37">
        <v>10</v>
      </c>
      <c r="F37">
        <v>121.187022750003</v>
      </c>
      <c r="G37">
        <v>2</v>
      </c>
      <c r="H37">
        <v>10000</v>
      </c>
      <c r="I37" t="s">
        <v>202</v>
      </c>
      <c r="J37">
        <f t="shared" si="0"/>
        <v>0</v>
      </c>
    </row>
    <row r="38" spans="1:10" x14ac:dyDescent="0.2">
      <c r="A38" t="s">
        <v>44</v>
      </c>
      <c r="B38">
        <v>756</v>
      </c>
      <c r="C38">
        <v>16</v>
      </c>
      <c r="D38">
        <v>44</v>
      </c>
      <c r="E38">
        <v>10</v>
      </c>
      <c r="F38">
        <v>121.641082750007</v>
      </c>
      <c r="G38">
        <v>1</v>
      </c>
      <c r="H38">
        <v>10000</v>
      </c>
      <c r="I38" t="s">
        <v>203</v>
      </c>
      <c r="J38">
        <f t="shared" si="0"/>
        <v>0</v>
      </c>
    </row>
    <row r="39" spans="1:10" x14ac:dyDescent="0.2">
      <c r="A39" t="s">
        <v>44</v>
      </c>
      <c r="B39">
        <v>756</v>
      </c>
      <c r="C39">
        <v>16</v>
      </c>
      <c r="D39">
        <v>42</v>
      </c>
      <c r="E39">
        <v>8</v>
      </c>
      <c r="F39">
        <v>122.89026970799</v>
      </c>
      <c r="G39">
        <v>1</v>
      </c>
      <c r="H39">
        <v>10000</v>
      </c>
      <c r="I39" t="s">
        <v>204</v>
      </c>
      <c r="J39">
        <f t="shared" si="0"/>
        <v>0</v>
      </c>
    </row>
    <row r="40" spans="1:10" x14ac:dyDescent="0.2">
      <c r="A40" t="s">
        <v>44</v>
      </c>
      <c r="B40">
        <v>756</v>
      </c>
      <c r="C40">
        <v>16</v>
      </c>
      <c r="D40">
        <v>48</v>
      </c>
      <c r="E40">
        <v>14</v>
      </c>
      <c r="F40">
        <v>122.968074958</v>
      </c>
      <c r="G40">
        <v>3</v>
      </c>
      <c r="H40">
        <v>10000</v>
      </c>
      <c r="I40" t="s">
        <v>205</v>
      </c>
      <c r="J40">
        <f t="shared" si="0"/>
        <v>0</v>
      </c>
    </row>
    <row r="41" spans="1:10" x14ac:dyDescent="0.2">
      <c r="A41" t="s">
        <v>44</v>
      </c>
      <c r="B41">
        <v>756</v>
      </c>
      <c r="C41">
        <v>16</v>
      </c>
      <c r="D41">
        <v>38</v>
      </c>
      <c r="E41">
        <v>4</v>
      </c>
      <c r="F41">
        <v>122.855507125001</v>
      </c>
      <c r="G41">
        <v>1</v>
      </c>
      <c r="H41">
        <v>10000</v>
      </c>
      <c r="I41" t="s">
        <v>206</v>
      </c>
      <c r="J41">
        <f t="shared" si="0"/>
        <v>0</v>
      </c>
    </row>
    <row r="42" spans="1:10" x14ac:dyDescent="0.2">
      <c r="A42" t="s">
        <v>44</v>
      </c>
      <c r="B42">
        <v>756</v>
      </c>
      <c r="C42">
        <v>16</v>
      </c>
      <c r="D42">
        <v>36</v>
      </c>
      <c r="E42">
        <v>2</v>
      </c>
      <c r="F42">
        <v>122.889038000008</v>
      </c>
      <c r="G42">
        <v>1</v>
      </c>
      <c r="H42">
        <v>10000</v>
      </c>
      <c r="I42" t="s">
        <v>207</v>
      </c>
      <c r="J42">
        <f t="shared" si="0"/>
        <v>0</v>
      </c>
    </row>
    <row r="43" spans="1:10" x14ac:dyDescent="0.2">
      <c r="A43" t="s">
        <v>44</v>
      </c>
      <c r="B43">
        <v>756</v>
      </c>
      <c r="C43">
        <v>16</v>
      </c>
      <c r="D43">
        <v>42</v>
      </c>
      <c r="E43">
        <v>8</v>
      </c>
      <c r="F43">
        <v>122.979000624996</v>
      </c>
      <c r="G43">
        <v>1</v>
      </c>
      <c r="H43">
        <v>10000</v>
      </c>
      <c r="I43" t="s">
        <v>208</v>
      </c>
      <c r="J43">
        <f t="shared" si="0"/>
        <v>0</v>
      </c>
    </row>
    <row r="44" spans="1:10" x14ac:dyDescent="0.2">
      <c r="A44" t="s">
        <v>44</v>
      </c>
      <c r="B44">
        <v>756</v>
      </c>
      <c r="C44">
        <v>16</v>
      </c>
      <c r="D44">
        <v>40</v>
      </c>
      <c r="E44">
        <v>6</v>
      </c>
      <c r="F44">
        <v>123.346299750002</v>
      </c>
      <c r="G44">
        <v>2</v>
      </c>
      <c r="H44">
        <v>10000</v>
      </c>
      <c r="I44" t="s">
        <v>209</v>
      </c>
      <c r="J44">
        <f t="shared" si="0"/>
        <v>0</v>
      </c>
    </row>
    <row r="45" spans="1:10" x14ac:dyDescent="0.2">
      <c r="A45" t="s">
        <v>44</v>
      </c>
      <c r="B45">
        <v>756</v>
      </c>
      <c r="C45">
        <v>16</v>
      </c>
      <c r="D45">
        <v>38</v>
      </c>
      <c r="E45">
        <v>4</v>
      </c>
      <c r="F45">
        <v>123.308616166992</v>
      </c>
      <c r="G45">
        <v>1</v>
      </c>
      <c r="H45">
        <v>10000</v>
      </c>
      <c r="I45" t="s">
        <v>210</v>
      </c>
      <c r="J45">
        <f t="shared" si="0"/>
        <v>0</v>
      </c>
    </row>
    <row r="46" spans="1:10" x14ac:dyDescent="0.2">
      <c r="A46" t="s">
        <v>44</v>
      </c>
      <c r="B46">
        <v>756</v>
      </c>
      <c r="C46">
        <v>16</v>
      </c>
      <c r="D46">
        <v>44</v>
      </c>
      <c r="E46">
        <v>10</v>
      </c>
      <c r="F46">
        <v>124.378338666996</v>
      </c>
      <c r="G46">
        <v>1</v>
      </c>
      <c r="H46">
        <v>10000</v>
      </c>
      <c r="I46" t="s">
        <v>211</v>
      </c>
      <c r="J46">
        <f t="shared" si="0"/>
        <v>0</v>
      </c>
    </row>
    <row r="47" spans="1:10" x14ac:dyDescent="0.2">
      <c r="A47" t="s">
        <v>44</v>
      </c>
      <c r="B47">
        <v>756</v>
      </c>
      <c r="C47">
        <v>16</v>
      </c>
      <c r="D47">
        <v>48</v>
      </c>
      <c r="E47">
        <v>14</v>
      </c>
      <c r="F47">
        <v>124.24952270800701</v>
      </c>
      <c r="G47">
        <v>7</v>
      </c>
      <c r="H47">
        <v>10000</v>
      </c>
      <c r="I47" t="s">
        <v>212</v>
      </c>
      <c r="J47">
        <f t="shared" si="0"/>
        <v>0</v>
      </c>
    </row>
    <row r="48" spans="1:10" x14ac:dyDescent="0.2">
      <c r="A48" t="s">
        <v>44</v>
      </c>
      <c r="B48">
        <v>756</v>
      </c>
      <c r="C48">
        <v>16</v>
      </c>
      <c r="D48">
        <v>36</v>
      </c>
      <c r="E48">
        <v>2</v>
      </c>
      <c r="F48">
        <v>123.32775983300201</v>
      </c>
      <c r="G48">
        <v>1</v>
      </c>
      <c r="H48">
        <v>10000</v>
      </c>
      <c r="I48" t="s">
        <v>213</v>
      </c>
      <c r="J48">
        <f t="shared" si="0"/>
        <v>0</v>
      </c>
    </row>
    <row r="49" spans="1:10" x14ac:dyDescent="0.2">
      <c r="A49" t="s">
        <v>44</v>
      </c>
      <c r="B49">
        <v>756</v>
      </c>
      <c r="C49">
        <v>16</v>
      </c>
      <c r="D49">
        <v>40</v>
      </c>
      <c r="E49">
        <v>6</v>
      </c>
      <c r="F49">
        <v>124.058391667</v>
      </c>
      <c r="G49">
        <v>1</v>
      </c>
      <c r="H49">
        <v>10000</v>
      </c>
      <c r="I49" t="s">
        <v>214</v>
      </c>
      <c r="J49">
        <f t="shared" si="0"/>
        <v>0</v>
      </c>
    </row>
    <row r="50" spans="1:10" x14ac:dyDescent="0.2">
      <c r="A50" t="s">
        <v>44</v>
      </c>
      <c r="B50">
        <v>756</v>
      </c>
      <c r="C50">
        <v>16</v>
      </c>
      <c r="D50">
        <v>46</v>
      </c>
      <c r="E50">
        <v>12</v>
      </c>
      <c r="F50">
        <v>123.516914082996</v>
      </c>
      <c r="G50">
        <v>1</v>
      </c>
      <c r="H50">
        <v>10000</v>
      </c>
      <c r="I50" t="s">
        <v>215</v>
      </c>
      <c r="J50">
        <f t="shared" si="0"/>
        <v>0</v>
      </c>
    </row>
    <row r="51" spans="1:10" x14ac:dyDescent="0.2">
      <c r="A51" t="s">
        <v>44</v>
      </c>
      <c r="B51">
        <v>756</v>
      </c>
      <c r="C51">
        <v>16</v>
      </c>
      <c r="D51">
        <v>42</v>
      </c>
      <c r="E51">
        <v>8</v>
      </c>
      <c r="F51">
        <v>123.413750084</v>
      </c>
      <c r="G51">
        <v>1</v>
      </c>
      <c r="H51">
        <v>10000</v>
      </c>
      <c r="I51" t="s">
        <v>216</v>
      </c>
      <c r="J51">
        <f t="shared" si="0"/>
        <v>0</v>
      </c>
    </row>
    <row r="52" spans="1:10" x14ac:dyDescent="0.2">
      <c r="A52" t="s">
        <v>44</v>
      </c>
      <c r="B52">
        <v>756</v>
      </c>
      <c r="C52">
        <v>16</v>
      </c>
      <c r="D52">
        <v>40</v>
      </c>
      <c r="E52">
        <v>6</v>
      </c>
      <c r="F52">
        <v>124.189114499997</v>
      </c>
      <c r="G52">
        <v>1</v>
      </c>
      <c r="H52">
        <v>10000</v>
      </c>
      <c r="I52" t="s">
        <v>217</v>
      </c>
      <c r="J52">
        <f t="shared" si="0"/>
        <v>0</v>
      </c>
    </row>
    <row r="53" spans="1:10" x14ac:dyDescent="0.2">
      <c r="A53" t="s">
        <v>44</v>
      </c>
      <c r="B53">
        <v>756</v>
      </c>
      <c r="C53">
        <v>16</v>
      </c>
      <c r="D53">
        <v>40</v>
      </c>
      <c r="E53">
        <v>6</v>
      </c>
      <c r="F53">
        <v>124.27203474999899</v>
      </c>
      <c r="G53">
        <v>2</v>
      </c>
      <c r="H53">
        <v>10000</v>
      </c>
      <c r="I53" t="s">
        <v>218</v>
      </c>
      <c r="J53">
        <f t="shared" si="0"/>
        <v>0</v>
      </c>
    </row>
    <row r="54" spans="1:10" x14ac:dyDescent="0.2">
      <c r="A54" t="s">
        <v>44</v>
      </c>
      <c r="B54">
        <v>756</v>
      </c>
      <c r="C54">
        <v>16</v>
      </c>
      <c r="D54">
        <v>42</v>
      </c>
      <c r="E54">
        <v>8</v>
      </c>
      <c r="F54">
        <v>124.86828037499799</v>
      </c>
      <c r="G54">
        <v>2</v>
      </c>
      <c r="H54">
        <v>10000</v>
      </c>
      <c r="I54" t="s">
        <v>219</v>
      </c>
      <c r="J54">
        <f t="shared" si="0"/>
        <v>0</v>
      </c>
    </row>
    <row r="55" spans="1:10" x14ac:dyDescent="0.2">
      <c r="A55" t="s">
        <v>44</v>
      </c>
      <c r="B55">
        <v>756</v>
      </c>
      <c r="C55">
        <v>16</v>
      </c>
      <c r="D55">
        <v>44</v>
      </c>
      <c r="E55">
        <v>10</v>
      </c>
      <c r="F55">
        <v>124.075481457999</v>
      </c>
      <c r="G55">
        <v>3</v>
      </c>
      <c r="H55">
        <v>10000</v>
      </c>
      <c r="I55" t="s">
        <v>220</v>
      </c>
      <c r="J55">
        <f t="shared" si="0"/>
        <v>0</v>
      </c>
    </row>
    <row r="56" spans="1:10" x14ac:dyDescent="0.2">
      <c r="A56" t="s">
        <v>44</v>
      </c>
      <c r="B56">
        <v>756</v>
      </c>
      <c r="C56">
        <v>16</v>
      </c>
      <c r="D56">
        <v>48</v>
      </c>
      <c r="E56">
        <v>14</v>
      </c>
      <c r="F56">
        <v>123.480783375009</v>
      </c>
      <c r="G56">
        <v>3</v>
      </c>
      <c r="H56">
        <v>10000</v>
      </c>
      <c r="I56" t="s">
        <v>221</v>
      </c>
      <c r="J56">
        <f t="shared" si="0"/>
        <v>0</v>
      </c>
    </row>
    <row r="57" spans="1:10" x14ac:dyDescent="0.2">
      <c r="A57" t="s">
        <v>44</v>
      </c>
      <c r="B57">
        <v>756</v>
      </c>
      <c r="C57">
        <v>16</v>
      </c>
      <c r="D57">
        <v>42</v>
      </c>
      <c r="E57">
        <v>8</v>
      </c>
      <c r="F57">
        <v>122.882578791992</v>
      </c>
      <c r="G57">
        <v>1</v>
      </c>
      <c r="H57">
        <v>10000</v>
      </c>
      <c r="I57" t="s">
        <v>222</v>
      </c>
      <c r="J57">
        <f t="shared" si="0"/>
        <v>0</v>
      </c>
    </row>
    <row r="58" spans="1:10" x14ac:dyDescent="0.2">
      <c r="A58" t="s">
        <v>44</v>
      </c>
      <c r="B58">
        <v>756</v>
      </c>
      <c r="C58">
        <v>16</v>
      </c>
      <c r="D58">
        <v>38</v>
      </c>
      <c r="E58">
        <v>4</v>
      </c>
      <c r="F58">
        <v>123.773412458001</v>
      </c>
      <c r="G58">
        <v>1</v>
      </c>
      <c r="H58">
        <v>10000</v>
      </c>
      <c r="I58" t="s">
        <v>223</v>
      </c>
      <c r="J58">
        <f t="shared" si="0"/>
        <v>0</v>
      </c>
    </row>
    <row r="59" spans="1:10" x14ac:dyDescent="0.2">
      <c r="A59" t="s">
        <v>44</v>
      </c>
      <c r="B59">
        <v>756</v>
      </c>
      <c r="C59">
        <v>16</v>
      </c>
      <c r="D59">
        <v>44</v>
      </c>
      <c r="E59">
        <v>10</v>
      </c>
      <c r="F59">
        <v>125.805131917004</v>
      </c>
      <c r="G59">
        <v>2</v>
      </c>
      <c r="H59">
        <v>10000</v>
      </c>
      <c r="I59" t="s">
        <v>224</v>
      </c>
      <c r="J59">
        <f t="shared" si="0"/>
        <v>0</v>
      </c>
    </row>
    <row r="60" spans="1:10" x14ac:dyDescent="0.2">
      <c r="A60" t="s">
        <v>44</v>
      </c>
      <c r="B60">
        <v>756</v>
      </c>
      <c r="C60">
        <v>16</v>
      </c>
      <c r="D60">
        <v>44</v>
      </c>
      <c r="E60">
        <v>10</v>
      </c>
      <c r="F60">
        <v>127.02793641599401</v>
      </c>
      <c r="G60">
        <v>1</v>
      </c>
      <c r="H60">
        <v>10000</v>
      </c>
      <c r="I60" t="s">
        <v>225</v>
      </c>
      <c r="J60">
        <f t="shared" si="0"/>
        <v>0</v>
      </c>
    </row>
    <row r="61" spans="1:10" x14ac:dyDescent="0.2">
      <c r="A61" t="s">
        <v>44</v>
      </c>
      <c r="B61">
        <v>756</v>
      </c>
      <c r="C61">
        <v>16</v>
      </c>
      <c r="D61">
        <v>42</v>
      </c>
      <c r="E61">
        <v>8</v>
      </c>
      <c r="F61">
        <v>128.320322209008</v>
      </c>
      <c r="G61">
        <v>1</v>
      </c>
      <c r="H61">
        <v>10000</v>
      </c>
      <c r="I61" t="s">
        <v>226</v>
      </c>
      <c r="J61">
        <f t="shared" si="0"/>
        <v>0</v>
      </c>
    </row>
    <row r="62" spans="1:10" x14ac:dyDescent="0.2">
      <c r="A62" t="s">
        <v>44</v>
      </c>
      <c r="B62">
        <v>756</v>
      </c>
      <c r="C62">
        <v>16</v>
      </c>
      <c r="D62">
        <v>40</v>
      </c>
      <c r="E62">
        <v>6</v>
      </c>
      <c r="F62">
        <v>128.969840332996</v>
      </c>
      <c r="G62">
        <v>1</v>
      </c>
      <c r="H62">
        <v>10000</v>
      </c>
      <c r="I62" t="s">
        <v>227</v>
      </c>
      <c r="J62">
        <f t="shared" si="0"/>
        <v>0</v>
      </c>
    </row>
    <row r="63" spans="1:10" x14ac:dyDescent="0.2">
      <c r="A63" t="s">
        <v>44</v>
      </c>
      <c r="B63">
        <v>756</v>
      </c>
      <c r="C63">
        <v>16</v>
      </c>
      <c r="D63">
        <v>40</v>
      </c>
      <c r="E63">
        <v>6</v>
      </c>
      <c r="F63">
        <v>127.222576874992</v>
      </c>
      <c r="G63">
        <v>1</v>
      </c>
      <c r="H63">
        <v>10000</v>
      </c>
      <c r="I63" t="s">
        <v>228</v>
      </c>
      <c r="J63">
        <f t="shared" si="0"/>
        <v>0</v>
      </c>
    </row>
    <row r="64" spans="1:10" x14ac:dyDescent="0.2">
      <c r="A64" t="s">
        <v>44</v>
      </c>
      <c r="B64">
        <v>756</v>
      </c>
      <c r="C64">
        <v>16</v>
      </c>
      <c r="D64">
        <v>40</v>
      </c>
      <c r="E64">
        <v>6</v>
      </c>
      <c r="F64">
        <v>127.424489917</v>
      </c>
      <c r="G64">
        <v>1</v>
      </c>
      <c r="H64">
        <v>10000</v>
      </c>
      <c r="I64" t="s">
        <v>229</v>
      </c>
      <c r="J64">
        <f t="shared" si="0"/>
        <v>0</v>
      </c>
    </row>
    <row r="65" spans="1:10" x14ac:dyDescent="0.2">
      <c r="A65" t="s">
        <v>44</v>
      </c>
      <c r="B65">
        <v>756</v>
      </c>
      <c r="C65">
        <v>16</v>
      </c>
      <c r="D65">
        <v>42</v>
      </c>
      <c r="E65">
        <v>8</v>
      </c>
      <c r="F65">
        <v>126.66177070800001</v>
      </c>
      <c r="G65">
        <v>1</v>
      </c>
      <c r="H65">
        <v>10000</v>
      </c>
      <c r="I65" t="s">
        <v>230</v>
      </c>
      <c r="J65">
        <f t="shared" si="0"/>
        <v>0</v>
      </c>
    </row>
    <row r="66" spans="1:10" x14ac:dyDescent="0.2">
      <c r="A66" t="s">
        <v>44</v>
      </c>
      <c r="B66">
        <v>756</v>
      </c>
      <c r="C66">
        <v>16</v>
      </c>
      <c r="D66">
        <v>40</v>
      </c>
      <c r="E66">
        <v>6</v>
      </c>
      <c r="F66">
        <v>127.61599874999899</v>
      </c>
      <c r="G66">
        <v>1</v>
      </c>
      <c r="H66">
        <v>10000</v>
      </c>
      <c r="I66" t="s">
        <v>231</v>
      </c>
      <c r="J66">
        <f t="shared" si="0"/>
        <v>0</v>
      </c>
    </row>
    <row r="67" spans="1:10" x14ac:dyDescent="0.2">
      <c r="A67" t="s">
        <v>44</v>
      </c>
      <c r="B67">
        <v>756</v>
      </c>
      <c r="C67">
        <v>16</v>
      </c>
      <c r="D67">
        <v>42</v>
      </c>
      <c r="E67">
        <v>8</v>
      </c>
      <c r="F67">
        <v>127.232805874999</v>
      </c>
      <c r="G67">
        <v>1</v>
      </c>
      <c r="H67">
        <v>10000</v>
      </c>
      <c r="I67" t="s">
        <v>232</v>
      </c>
      <c r="J67">
        <f t="shared" si="0"/>
        <v>0</v>
      </c>
    </row>
    <row r="68" spans="1:10" x14ac:dyDescent="0.2">
      <c r="A68" t="s">
        <v>44</v>
      </c>
      <c r="B68">
        <v>756</v>
      </c>
      <c r="C68">
        <v>16</v>
      </c>
      <c r="D68">
        <v>40</v>
      </c>
      <c r="E68">
        <v>6</v>
      </c>
      <c r="F68">
        <v>128.756400124999</v>
      </c>
      <c r="G68">
        <v>1</v>
      </c>
      <c r="H68">
        <v>10000</v>
      </c>
      <c r="I68" t="s">
        <v>233</v>
      </c>
      <c r="J68">
        <f t="shared" si="0"/>
        <v>0</v>
      </c>
    </row>
    <row r="69" spans="1:10" x14ac:dyDescent="0.2">
      <c r="A69" t="s">
        <v>44</v>
      </c>
      <c r="B69">
        <v>756</v>
      </c>
      <c r="C69">
        <v>16</v>
      </c>
      <c r="D69">
        <v>46</v>
      </c>
      <c r="E69">
        <v>12</v>
      </c>
      <c r="F69">
        <v>127.040731583008</v>
      </c>
      <c r="G69">
        <v>1</v>
      </c>
      <c r="H69">
        <v>10000</v>
      </c>
      <c r="I69" t="s">
        <v>234</v>
      </c>
      <c r="J69">
        <f t="shared" si="0"/>
        <v>0</v>
      </c>
    </row>
    <row r="70" spans="1:10" x14ac:dyDescent="0.2">
      <c r="A70" t="s">
        <v>44</v>
      </c>
      <c r="B70">
        <v>756</v>
      </c>
      <c r="C70">
        <v>16</v>
      </c>
      <c r="D70">
        <v>36</v>
      </c>
      <c r="E70">
        <v>2</v>
      </c>
      <c r="F70">
        <v>127.84474595899501</v>
      </c>
      <c r="G70">
        <v>1</v>
      </c>
      <c r="H70">
        <v>10000</v>
      </c>
      <c r="I70" t="s">
        <v>235</v>
      </c>
      <c r="J70">
        <f t="shared" si="0"/>
        <v>0</v>
      </c>
    </row>
    <row r="71" spans="1:10" x14ac:dyDescent="0.2">
      <c r="A71" t="s">
        <v>44</v>
      </c>
      <c r="B71">
        <v>756</v>
      </c>
      <c r="C71">
        <v>16</v>
      </c>
      <c r="D71">
        <v>42</v>
      </c>
      <c r="E71">
        <v>8</v>
      </c>
      <c r="F71">
        <v>127.12042045799799</v>
      </c>
      <c r="G71">
        <v>1</v>
      </c>
      <c r="H71">
        <v>10000</v>
      </c>
      <c r="I71" t="s">
        <v>236</v>
      </c>
      <c r="J71">
        <f t="shared" si="0"/>
        <v>0</v>
      </c>
    </row>
    <row r="72" spans="1:10" x14ac:dyDescent="0.2">
      <c r="A72" t="s">
        <v>44</v>
      </c>
      <c r="B72">
        <v>756</v>
      </c>
      <c r="C72">
        <v>16</v>
      </c>
      <c r="D72">
        <v>38</v>
      </c>
      <c r="E72">
        <v>4</v>
      </c>
      <c r="F72">
        <v>128.15484216700099</v>
      </c>
      <c r="G72">
        <v>2</v>
      </c>
      <c r="H72">
        <v>10000</v>
      </c>
      <c r="I72" t="s">
        <v>237</v>
      </c>
      <c r="J72">
        <f t="shared" si="0"/>
        <v>0</v>
      </c>
    </row>
    <row r="73" spans="1:10" x14ac:dyDescent="0.2">
      <c r="A73" t="s">
        <v>44</v>
      </c>
      <c r="B73">
        <v>756</v>
      </c>
      <c r="C73">
        <v>16</v>
      </c>
      <c r="D73">
        <v>44</v>
      </c>
      <c r="E73">
        <v>10</v>
      </c>
      <c r="F73">
        <v>127.185222665997</v>
      </c>
      <c r="G73">
        <v>2</v>
      </c>
      <c r="H73">
        <v>10000</v>
      </c>
      <c r="I73" t="s">
        <v>238</v>
      </c>
      <c r="J73">
        <f t="shared" si="0"/>
        <v>0</v>
      </c>
    </row>
    <row r="74" spans="1:10" x14ac:dyDescent="0.2">
      <c r="A74" t="s">
        <v>44</v>
      </c>
      <c r="B74">
        <v>756</v>
      </c>
      <c r="C74">
        <v>16</v>
      </c>
      <c r="D74">
        <v>40</v>
      </c>
      <c r="E74">
        <v>6</v>
      </c>
      <c r="F74">
        <v>127.33553750001001</v>
      </c>
      <c r="G74">
        <v>2</v>
      </c>
      <c r="H74">
        <v>10000</v>
      </c>
      <c r="I74" t="s">
        <v>239</v>
      </c>
      <c r="J74">
        <f t="shared" si="0"/>
        <v>0</v>
      </c>
    </row>
    <row r="75" spans="1:10" x14ac:dyDescent="0.2">
      <c r="A75" t="s">
        <v>44</v>
      </c>
      <c r="B75">
        <v>756</v>
      </c>
      <c r="C75">
        <v>16</v>
      </c>
      <c r="D75">
        <v>40</v>
      </c>
      <c r="E75">
        <v>6</v>
      </c>
      <c r="F75">
        <v>128.09454870899199</v>
      </c>
      <c r="G75">
        <v>1</v>
      </c>
      <c r="H75">
        <v>10000</v>
      </c>
      <c r="I75" t="s">
        <v>240</v>
      </c>
      <c r="J75">
        <f t="shared" si="0"/>
        <v>0</v>
      </c>
    </row>
    <row r="76" spans="1:10" x14ac:dyDescent="0.2">
      <c r="A76" t="s">
        <v>44</v>
      </c>
      <c r="B76">
        <v>756</v>
      </c>
      <c r="C76">
        <v>16</v>
      </c>
      <c r="D76">
        <v>42</v>
      </c>
      <c r="E76">
        <v>8</v>
      </c>
      <c r="F76">
        <v>124.866121540995</v>
      </c>
      <c r="G76">
        <v>1</v>
      </c>
      <c r="H76">
        <v>10000</v>
      </c>
      <c r="I76" t="s">
        <v>241</v>
      </c>
      <c r="J76">
        <f t="shared" si="0"/>
        <v>0</v>
      </c>
    </row>
    <row r="77" spans="1:10" x14ac:dyDescent="0.2">
      <c r="A77" t="s">
        <v>44</v>
      </c>
      <c r="B77">
        <v>756</v>
      </c>
      <c r="C77">
        <v>16</v>
      </c>
      <c r="D77">
        <v>38</v>
      </c>
      <c r="E77">
        <v>4</v>
      </c>
      <c r="F77">
        <v>123.393554542009</v>
      </c>
      <c r="G77">
        <v>1</v>
      </c>
      <c r="H77">
        <v>10000</v>
      </c>
      <c r="I77" t="s">
        <v>242</v>
      </c>
      <c r="J77">
        <f t="shared" si="0"/>
        <v>0</v>
      </c>
    </row>
    <row r="78" spans="1:10" x14ac:dyDescent="0.2">
      <c r="A78" t="s">
        <v>44</v>
      </c>
      <c r="B78">
        <v>756</v>
      </c>
      <c r="C78">
        <v>16</v>
      </c>
      <c r="D78">
        <v>48</v>
      </c>
      <c r="E78">
        <v>14</v>
      </c>
      <c r="F78">
        <v>123.396068666988</v>
      </c>
      <c r="G78">
        <v>4</v>
      </c>
      <c r="H78">
        <v>10000</v>
      </c>
      <c r="I78" t="s">
        <v>243</v>
      </c>
      <c r="J78">
        <f t="shared" si="0"/>
        <v>0</v>
      </c>
    </row>
    <row r="79" spans="1:10" x14ac:dyDescent="0.2">
      <c r="A79" t="s">
        <v>44</v>
      </c>
      <c r="B79">
        <v>756</v>
      </c>
      <c r="C79">
        <v>16</v>
      </c>
      <c r="D79">
        <v>36</v>
      </c>
      <c r="E79">
        <v>2</v>
      </c>
      <c r="F79">
        <v>123.879171125008</v>
      </c>
      <c r="G79">
        <v>1</v>
      </c>
      <c r="H79">
        <v>10000</v>
      </c>
      <c r="I79" t="s">
        <v>244</v>
      </c>
      <c r="J79">
        <f t="shared" si="0"/>
        <v>0</v>
      </c>
    </row>
    <row r="80" spans="1:10" x14ac:dyDescent="0.2">
      <c r="A80" t="s">
        <v>44</v>
      </c>
      <c r="B80">
        <v>756</v>
      </c>
      <c r="C80">
        <v>16</v>
      </c>
      <c r="D80">
        <v>40</v>
      </c>
      <c r="E80">
        <v>6</v>
      </c>
      <c r="F80">
        <v>126.08607770799399</v>
      </c>
      <c r="G80">
        <v>1</v>
      </c>
      <c r="H80">
        <v>10000</v>
      </c>
      <c r="I80" t="s">
        <v>245</v>
      </c>
      <c r="J80">
        <f t="shared" si="0"/>
        <v>0</v>
      </c>
    </row>
    <row r="81" spans="1:10" x14ac:dyDescent="0.2">
      <c r="A81" t="s">
        <v>44</v>
      </c>
      <c r="B81">
        <v>756</v>
      </c>
      <c r="C81">
        <v>16</v>
      </c>
      <c r="D81">
        <v>42</v>
      </c>
      <c r="E81">
        <v>8</v>
      </c>
      <c r="F81">
        <v>124.394061500002</v>
      </c>
      <c r="G81">
        <v>2</v>
      </c>
      <c r="H81">
        <v>10000</v>
      </c>
      <c r="I81" t="s">
        <v>246</v>
      </c>
      <c r="J81">
        <f t="shared" si="0"/>
        <v>0</v>
      </c>
    </row>
    <row r="82" spans="1:10" x14ac:dyDescent="0.2">
      <c r="A82" t="s">
        <v>44</v>
      </c>
      <c r="B82">
        <v>756</v>
      </c>
      <c r="C82">
        <v>16</v>
      </c>
      <c r="D82">
        <v>42</v>
      </c>
      <c r="E82">
        <v>8</v>
      </c>
      <c r="F82">
        <v>125.206927207997</v>
      </c>
      <c r="G82">
        <v>2</v>
      </c>
      <c r="H82">
        <v>10000</v>
      </c>
      <c r="I82" t="s">
        <v>247</v>
      </c>
      <c r="J82">
        <f t="shared" si="0"/>
        <v>0</v>
      </c>
    </row>
    <row r="83" spans="1:10" x14ac:dyDescent="0.2">
      <c r="A83" t="s">
        <v>44</v>
      </c>
      <c r="B83">
        <v>756</v>
      </c>
      <c r="C83">
        <v>16</v>
      </c>
      <c r="D83">
        <v>42</v>
      </c>
      <c r="E83">
        <v>8</v>
      </c>
      <c r="F83">
        <v>124.704367375001</v>
      </c>
      <c r="G83">
        <v>2</v>
      </c>
      <c r="H83">
        <v>10000</v>
      </c>
      <c r="I83" t="s">
        <v>248</v>
      </c>
      <c r="J83">
        <f t="shared" si="0"/>
        <v>0</v>
      </c>
    </row>
    <row r="84" spans="1:10" x14ac:dyDescent="0.2">
      <c r="A84" t="s">
        <v>44</v>
      </c>
      <c r="B84">
        <v>756</v>
      </c>
      <c r="C84">
        <v>16</v>
      </c>
      <c r="D84">
        <v>44</v>
      </c>
      <c r="E84">
        <v>10</v>
      </c>
      <c r="F84">
        <v>124.526967249999</v>
      </c>
      <c r="G84">
        <v>1</v>
      </c>
      <c r="H84">
        <v>10000</v>
      </c>
      <c r="I84" t="s">
        <v>249</v>
      </c>
      <c r="J84">
        <f t="shared" si="0"/>
        <v>0</v>
      </c>
    </row>
    <row r="85" spans="1:10" x14ac:dyDescent="0.2">
      <c r="A85" t="s">
        <v>44</v>
      </c>
      <c r="B85">
        <v>756</v>
      </c>
      <c r="C85">
        <v>16</v>
      </c>
      <c r="D85">
        <v>44</v>
      </c>
      <c r="E85">
        <v>10</v>
      </c>
      <c r="F85">
        <v>124.757439624998</v>
      </c>
      <c r="G85">
        <v>1</v>
      </c>
      <c r="H85">
        <v>10000</v>
      </c>
      <c r="I85" t="s">
        <v>250</v>
      </c>
      <c r="J85">
        <f t="shared" si="0"/>
        <v>0</v>
      </c>
    </row>
    <row r="86" spans="1:10" x14ac:dyDescent="0.2">
      <c r="A86" t="s">
        <v>44</v>
      </c>
      <c r="B86">
        <v>756</v>
      </c>
      <c r="C86">
        <v>16</v>
      </c>
      <c r="D86">
        <v>42</v>
      </c>
      <c r="E86">
        <v>8</v>
      </c>
      <c r="F86">
        <v>124.529183083999</v>
      </c>
      <c r="G86">
        <v>2</v>
      </c>
      <c r="H86">
        <v>10000</v>
      </c>
      <c r="I86" t="s">
        <v>251</v>
      </c>
      <c r="J86">
        <f t="shared" si="0"/>
        <v>0</v>
      </c>
    </row>
    <row r="87" spans="1:10" x14ac:dyDescent="0.2">
      <c r="A87" t="s">
        <v>44</v>
      </c>
      <c r="B87">
        <v>756</v>
      </c>
      <c r="C87">
        <v>16</v>
      </c>
      <c r="D87">
        <v>40</v>
      </c>
      <c r="E87">
        <v>6</v>
      </c>
      <c r="F87">
        <v>124.008511708001</v>
      </c>
      <c r="G87">
        <v>1</v>
      </c>
      <c r="H87">
        <v>10000</v>
      </c>
      <c r="I87" t="s">
        <v>252</v>
      </c>
      <c r="J87">
        <f t="shared" si="0"/>
        <v>0</v>
      </c>
    </row>
    <row r="88" spans="1:10" x14ac:dyDescent="0.2">
      <c r="A88" t="s">
        <v>44</v>
      </c>
      <c r="B88">
        <v>756</v>
      </c>
      <c r="C88">
        <v>16</v>
      </c>
      <c r="D88">
        <v>42</v>
      </c>
      <c r="E88">
        <v>8</v>
      </c>
      <c r="F88">
        <v>124.244263083004</v>
      </c>
      <c r="G88">
        <v>1</v>
      </c>
      <c r="H88">
        <v>10000</v>
      </c>
      <c r="I88" t="s">
        <v>253</v>
      </c>
      <c r="J88">
        <f t="shared" si="0"/>
        <v>0</v>
      </c>
    </row>
    <row r="89" spans="1:10" x14ac:dyDescent="0.2">
      <c r="A89" t="s">
        <v>44</v>
      </c>
      <c r="B89">
        <v>756</v>
      </c>
      <c r="C89">
        <v>16</v>
      </c>
      <c r="D89">
        <v>42</v>
      </c>
      <c r="E89">
        <v>8</v>
      </c>
      <c r="F89">
        <v>123.900815917004</v>
      </c>
      <c r="G89">
        <v>1</v>
      </c>
      <c r="H89">
        <v>10000</v>
      </c>
      <c r="I89" t="s">
        <v>254</v>
      </c>
      <c r="J89">
        <f t="shared" si="0"/>
        <v>0</v>
      </c>
    </row>
    <row r="90" spans="1:10" x14ac:dyDescent="0.2">
      <c r="A90" t="s">
        <v>44</v>
      </c>
      <c r="B90">
        <v>756</v>
      </c>
      <c r="C90">
        <v>16</v>
      </c>
      <c r="D90">
        <v>40</v>
      </c>
      <c r="E90">
        <v>6</v>
      </c>
      <c r="F90">
        <v>123.68472074999499</v>
      </c>
      <c r="G90">
        <v>1</v>
      </c>
      <c r="H90">
        <v>10000</v>
      </c>
      <c r="I90" t="s">
        <v>255</v>
      </c>
      <c r="J90">
        <f t="shared" si="0"/>
        <v>0</v>
      </c>
    </row>
    <row r="91" spans="1:10" x14ac:dyDescent="0.2">
      <c r="A91" t="s">
        <v>44</v>
      </c>
      <c r="B91">
        <v>756</v>
      </c>
      <c r="C91">
        <v>16</v>
      </c>
      <c r="D91">
        <v>38</v>
      </c>
      <c r="E91">
        <v>4</v>
      </c>
      <c r="F91">
        <v>124.86340579199801</v>
      </c>
      <c r="G91">
        <v>1</v>
      </c>
      <c r="H91">
        <v>10000</v>
      </c>
      <c r="I91" t="s">
        <v>256</v>
      </c>
      <c r="J91">
        <f t="shared" si="0"/>
        <v>0</v>
      </c>
    </row>
    <row r="92" spans="1:10" x14ac:dyDescent="0.2">
      <c r="A92" t="s">
        <v>44</v>
      </c>
      <c r="B92">
        <v>756</v>
      </c>
      <c r="C92">
        <v>16</v>
      </c>
      <c r="D92">
        <v>38</v>
      </c>
      <c r="E92">
        <v>4</v>
      </c>
      <c r="F92">
        <v>122.998360249999</v>
      </c>
      <c r="G92">
        <v>1</v>
      </c>
      <c r="H92">
        <v>10000</v>
      </c>
      <c r="I92" t="s">
        <v>257</v>
      </c>
      <c r="J92">
        <f t="shared" ref="J92:J126" si="1">IF(E92=0,G92,)</f>
        <v>0</v>
      </c>
    </row>
    <row r="93" spans="1:10" x14ac:dyDescent="0.2">
      <c r="A93" t="s">
        <v>44</v>
      </c>
      <c r="B93">
        <v>756</v>
      </c>
      <c r="C93">
        <v>16</v>
      </c>
      <c r="D93">
        <v>46</v>
      </c>
      <c r="E93">
        <v>12</v>
      </c>
      <c r="F93">
        <v>123.77485541600601</v>
      </c>
      <c r="G93">
        <v>4</v>
      </c>
      <c r="H93">
        <v>10000</v>
      </c>
      <c r="I93" t="s">
        <v>258</v>
      </c>
      <c r="J93">
        <f t="shared" si="1"/>
        <v>0</v>
      </c>
    </row>
    <row r="94" spans="1:10" x14ac:dyDescent="0.2">
      <c r="A94" t="s">
        <v>44</v>
      </c>
      <c r="B94">
        <v>756</v>
      </c>
      <c r="C94">
        <v>16</v>
      </c>
      <c r="D94">
        <v>44</v>
      </c>
      <c r="E94">
        <v>10</v>
      </c>
      <c r="F94">
        <v>123.626177833997</v>
      </c>
      <c r="G94">
        <v>1</v>
      </c>
      <c r="H94">
        <v>10000</v>
      </c>
      <c r="I94" t="s">
        <v>259</v>
      </c>
      <c r="J94">
        <f t="shared" si="1"/>
        <v>0</v>
      </c>
    </row>
    <row r="95" spans="1:10" x14ac:dyDescent="0.2">
      <c r="A95" t="s">
        <v>44</v>
      </c>
      <c r="B95">
        <v>756</v>
      </c>
      <c r="C95">
        <v>16</v>
      </c>
      <c r="D95">
        <v>42</v>
      </c>
      <c r="E95">
        <v>8</v>
      </c>
      <c r="F95">
        <v>122.501432165998</v>
      </c>
      <c r="G95">
        <v>1</v>
      </c>
      <c r="H95">
        <v>10000</v>
      </c>
      <c r="I95" t="s">
        <v>260</v>
      </c>
      <c r="J95">
        <f t="shared" si="1"/>
        <v>0</v>
      </c>
    </row>
    <row r="96" spans="1:10" x14ac:dyDescent="0.2">
      <c r="A96" t="s">
        <v>44</v>
      </c>
      <c r="B96">
        <v>756</v>
      </c>
      <c r="C96">
        <v>16</v>
      </c>
      <c r="D96">
        <v>46</v>
      </c>
      <c r="E96">
        <v>12</v>
      </c>
      <c r="F96">
        <v>123.31423175000199</v>
      </c>
      <c r="G96">
        <v>3</v>
      </c>
      <c r="H96">
        <v>10000</v>
      </c>
      <c r="I96" t="s">
        <v>261</v>
      </c>
      <c r="J96">
        <f t="shared" si="1"/>
        <v>0</v>
      </c>
    </row>
    <row r="97" spans="1:10" x14ac:dyDescent="0.2">
      <c r="A97" t="s">
        <v>44</v>
      </c>
      <c r="B97">
        <v>756</v>
      </c>
      <c r="C97">
        <v>16</v>
      </c>
      <c r="D97">
        <v>44</v>
      </c>
      <c r="E97">
        <v>10</v>
      </c>
      <c r="F97">
        <v>123.397255374991</v>
      </c>
      <c r="G97">
        <v>2</v>
      </c>
      <c r="H97">
        <v>10000</v>
      </c>
      <c r="I97" t="s">
        <v>262</v>
      </c>
      <c r="J97">
        <f t="shared" si="1"/>
        <v>0</v>
      </c>
    </row>
    <row r="98" spans="1:10" x14ac:dyDescent="0.2">
      <c r="A98" t="s">
        <v>44</v>
      </c>
      <c r="B98">
        <v>756</v>
      </c>
      <c r="C98">
        <v>16</v>
      </c>
      <c r="D98">
        <v>44</v>
      </c>
      <c r="E98">
        <v>10</v>
      </c>
      <c r="F98">
        <v>123.761144250005</v>
      </c>
      <c r="G98">
        <v>2</v>
      </c>
      <c r="H98">
        <v>10000</v>
      </c>
      <c r="I98" t="s">
        <v>263</v>
      </c>
      <c r="J98">
        <f t="shared" si="1"/>
        <v>0</v>
      </c>
    </row>
    <row r="99" spans="1:10" x14ac:dyDescent="0.2">
      <c r="A99" t="s">
        <v>44</v>
      </c>
      <c r="B99">
        <v>756</v>
      </c>
      <c r="C99">
        <v>16</v>
      </c>
      <c r="D99">
        <v>42</v>
      </c>
      <c r="E99">
        <v>8</v>
      </c>
      <c r="F99">
        <v>123.88054316700401</v>
      </c>
      <c r="G99">
        <v>1</v>
      </c>
      <c r="H99">
        <v>10000</v>
      </c>
      <c r="I99" t="s">
        <v>264</v>
      </c>
      <c r="J99">
        <f t="shared" si="1"/>
        <v>0</v>
      </c>
    </row>
    <row r="100" spans="1:10" x14ac:dyDescent="0.2">
      <c r="A100" t="s">
        <v>44</v>
      </c>
      <c r="B100">
        <v>756</v>
      </c>
      <c r="C100">
        <v>16</v>
      </c>
      <c r="D100">
        <v>38</v>
      </c>
      <c r="E100">
        <v>4</v>
      </c>
      <c r="F100">
        <v>124.252718082992</v>
      </c>
      <c r="G100">
        <v>1</v>
      </c>
      <c r="H100">
        <v>10000</v>
      </c>
      <c r="I100" t="s">
        <v>265</v>
      </c>
      <c r="J100">
        <f t="shared" si="1"/>
        <v>0</v>
      </c>
    </row>
    <row r="101" spans="1:10" x14ac:dyDescent="0.2">
      <c r="A101" t="s">
        <v>44</v>
      </c>
      <c r="B101">
        <v>756</v>
      </c>
      <c r="C101">
        <v>16</v>
      </c>
      <c r="D101">
        <v>38</v>
      </c>
      <c r="E101">
        <v>4</v>
      </c>
      <c r="F101">
        <v>124.570700917</v>
      </c>
      <c r="G101">
        <v>1</v>
      </c>
      <c r="H101">
        <v>10000</v>
      </c>
      <c r="I101" t="s">
        <v>266</v>
      </c>
      <c r="J101">
        <f t="shared" si="1"/>
        <v>0</v>
      </c>
    </row>
    <row r="102" spans="1:10" x14ac:dyDescent="0.2">
      <c r="A102" t="s">
        <v>44</v>
      </c>
      <c r="B102">
        <v>756</v>
      </c>
      <c r="C102">
        <v>16</v>
      </c>
      <c r="D102">
        <v>40</v>
      </c>
      <c r="E102">
        <v>6</v>
      </c>
      <c r="F102">
        <v>124.244518499996</v>
      </c>
      <c r="G102">
        <v>1</v>
      </c>
      <c r="H102">
        <v>10000</v>
      </c>
      <c r="I102" t="s">
        <v>267</v>
      </c>
      <c r="J102">
        <f t="shared" si="1"/>
        <v>0</v>
      </c>
    </row>
    <row r="103" spans="1:10" x14ac:dyDescent="0.2">
      <c r="A103" t="s">
        <v>44</v>
      </c>
      <c r="B103">
        <v>756</v>
      </c>
      <c r="C103">
        <v>16</v>
      </c>
      <c r="D103">
        <v>42</v>
      </c>
      <c r="E103">
        <v>8</v>
      </c>
      <c r="F103">
        <v>123.916134875005</v>
      </c>
      <c r="G103">
        <v>2</v>
      </c>
      <c r="H103">
        <v>10000</v>
      </c>
      <c r="I103" t="s">
        <v>268</v>
      </c>
      <c r="J103">
        <f t="shared" si="1"/>
        <v>0</v>
      </c>
    </row>
    <row r="104" spans="1:10" x14ac:dyDescent="0.2">
      <c r="A104" t="s">
        <v>44</v>
      </c>
      <c r="B104">
        <v>756</v>
      </c>
      <c r="C104">
        <v>16</v>
      </c>
      <c r="D104">
        <v>40</v>
      </c>
      <c r="E104">
        <v>6</v>
      </c>
      <c r="F104">
        <v>125.14895916699599</v>
      </c>
      <c r="G104">
        <v>1</v>
      </c>
      <c r="H104">
        <v>10000</v>
      </c>
      <c r="I104" t="s">
        <v>269</v>
      </c>
      <c r="J104">
        <f t="shared" si="1"/>
        <v>0</v>
      </c>
    </row>
    <row r="105" spans="1:10" x14ac:dyDescent="0.2">
      <c r="A105" t="s">
        <v>44</v>
      </c>
      <c r="B105">
        <v>756</v>
      </c>
      <c r="C105">
        <v>16</v>
      </c>
      <c r="D105">
        <v>48</v>
      </c>
      <c r="E105">
        <v>14</v>
      </c>
      <c r="F105">
        <v>125.564858375</v>
      </c>
      <c r="G105">
        <v>3</v>
      </c>
      <c r="H105">
        <v>10000</v>
      </c>
      <c r="I105" t="s">
        <v>270</v>
      </c>
      <c r="J105">
        <f t="shared" si="1"/>
        <v>0</v>
      </c>
    </row>
    <row r="106" spans="1:10" x14ac:dyDescent="0.2">
      <c r="A106" t="s">
        <v>44</v>
      </c>
      <c r="B106">
        <v>756</v>
      </c>
      <c r="C106">
        <v>16</v>
      </c>
      <c r="D106">
        <v>40</v>
      </c>
      <c r="E106">
        <v>6</v>
      </c>
      <c r="F106">
        <v>125.95913854100201</v>
      </c>
      <c r="G106">
        <v>1</v>
      </c>
      <c r="H106">
        <v>10000</v>
      </c>
      <c r="I106" t="s">
        <v>271</v>
      </c>
      <c r="J106">
        <f t="shared" si="1"/>
        <v>0</v>
      </c>
    </row>
    <row r="107" spans="1:10" x14ac:dyDescent="0.2">
      <c r="A107" t="s">
        <v>44</v>
      </c>
      <c r="B107">
        <v>756</v>
      </c>
      <c r="C107">
        <v>16</v>
      </c>
      <c r="D107">
        <v>40</v>
      </c>
      <c r="E107">
        <v>6</v>
      </c>
      <c r="F107">
        <v>125.24954241700399</v>
      </c>
      <c r="G107">
        <v>1</v>
      </c>
      <c r="H107">
        <v>10000</v>
      </c>
      <c r="I107" t="s">
        <v>272</v>
      </c>
      <c r="J107">
        <f t="shared" si="1"/>
        <v>0</v>
      </c>
    </row>
    <row r="108" spans="1:10" x14ac:dyDescent="0.2">
      <c r="A108" t="s">
        <v>44</v>
      </c>
      <c r="B108">
        <v>756</v>
      </c>
      <c r="C108">
        <v>16</v>
      </c>
      <c r="D108">
        <v>40</v>
      </c>
      <c r="E108">
        <v>6</v>
      </c>
      <c r="F108">
        <v>124.97535766699001</v>
      </c>
      <c r="G108">
        <v>2</v>
      </c>
      <c r="H108">
        <v>10000</v>
      </c>
      <c r="I108" t="s">
        <v>273</v>
      </c>
      <c r="J108">
        <f t="shared" si="1"/>
        <v>0</v>
      </c>
    </row>
    <row r="109" spans="1:10" x14ac:dyDescent="0.2">
      <c r="A109" t="s">
        <v>44</v>
      </c>
      <c r="B109">
        <v>756</v>
      </c>
      <c r="C109">
        <v>16</v>
      </c>
      <c r="D109">
        <v>48</v>
      </c>
      <c r="E109">
        <v>14</v>
      </c>
      <c r="F109">
        <v>124.410441625004</v>
      </c>
      <c r="G109">
        <v>3</v>
      </c>
      <c r="H109">
        <v>10000</v>
      </c>
      <c r="I109" t="s">
        <v>274</v>
      </c>
      <c r="J109">
        <f t="shared" si="1"/>
        <v>0</v>
      </c>
    </row>
    <row r="110" spans="1:10" x14ac:dyDescent="0.2">
      <c r="A110" t="s">
        <v>44</v>
      </c>
      <c r="B110">
        <v>756</v>
      </c>
      <c r="C110">
        <v>16</v>
      </c>
      <c r="D110">
        <v>40</v>
      </c>
      <c r="E110">
        <v>6</v>
      </c>
      <c r="F110">
        <v>126.688503333003</v>
      </c>
      <c r="G110">
        <v>2</v>
      </c>
      <c r="H110">
        <v>10000</v>
      </c>
      <c r="I110" t="s">
        <v>275</v>
      </c>
      <c r="J110">
        <f t="shared" si="1"/>
        <v>0</v>
      </c>
    </row>
    <row r="111" spans="1:10" x14ac:dyDescent="0.2">
      <c r="A111" t="s">
        <v>44</v>
      </c>
      <c r="B111">
        <v>756</v>
      </c>
      <c r="C111">
        <v>16</v>
      </c>
      <c r="D111">
        <v>42</v>
      </c>
      <c r="E111">
        <v>8</v>
      </c>
      <c r="F111">
        <v>124.793401207993</v>
      </c>
      <c r="G111">
        <v>1</v>
      </c>
      <c r="H111">
        <v>10000</v>
      </c>
      <c r="I111" t="s">
        <v>276</v>
      </c>
      <c r="J111">
        <f t="shared" si="1"/>
        <v>0</v>
      </c>
    </row>
    <row r="112" spans="1:10" x14ac:dyDescent="0.2">
      <c r="A112" t="s">
        <v>44</v>
      </c>
      <c r="B112">
        <v>756</v>
      </c>
      <c r="C112">
        <v>16</v>
      </c>
      <c r="D112">
        <v>44</v>
      </c>
      <c r="E112">
        <v>10</v>
      </c>
      <c r="F112">
        <v>124.74882129199899</v>
      </c>
      <c r="G112">
        <v>1</v>
      </c>
      <c r="H112">
        <v>10000</v>
      </c>
      <c r="I112" t="s">
        <v>277</v>
      </c>
      <c r="J112">
        <f t="shared" si="1"/>
        <v>0</v>
      </c>
    </row>
    <row r="113" spans="1:10" x14ac:dyDescent="0.2">
      <c r="A113" t="s">
        <v>44</v>
      </c>
      <c r="B113">
        <v>756</v>
      </c>
      <c r="C113">
        <v>16</v>
      </c>
      <c r="D113">
        <v>40</v>
      </c>
      <c r="E113">
        <v>6</v>
      </c>
      <c r="F113">
        <v>125.62887083301</v>
      </c>
      <c r="G113">
        <v>1</v>
      </c>
      <c r="H113">
        <v>10000</v>
      </c>
      <c r="I113" t="s">
        <v>278</v>
      </c>
      <c r="J113">
        <f t="shared" si="1"/>
        <v>0</v>
      </c>
    </row>
    <row r="114" spans="1:10" x14ac:dyDescent="0.2">
      <c r="A114" t="s">
        <v>44</v>
      </c>
      <c r="B114">
        <v>756</v>
      </c>
      <c r="C114">
        <v>16</v>
      </c>
      <c r="D114">
        <v>42</v>
      </c>
      <c r="E114">
        <v>8</v>
      </c>
      <c r="F114">
        <v>125.728467083987</v>
      </c>
      <c r="G114">
        <v>2</v>
      </c>
      <c r="H114">
        <v>10000</v>
      </c>
      <c r="I114" t="s">
        <v>296</v>
      </c>
      <c r="J114">
        <f t="shared" si="1"/>
        <v>0</v>
      </c>
    </row>
    <row r="115" spans="1:10" x14ac:dyDescent="0.2">
      <c r="A115" t="s">
        <v>44</v>
      </c>
      <c r="B115">
        <v>756</v>
      </c>
      <c r="C115">
        <v>16</v>
      </c>
      <c r="D115">
        <v>44</v>
      </c>
      <c r="E115">
        <v>10</v>
      </c>
      <c r="F115">
        <v>120.446763166008</v>
      </c>
      <c r="G115">
        <v>2</v>
      </c>
      <c r="H115">
        <v>10000</v>
      </c>
      <c r="I115" t="s">
        <v>297</v>
      </c>
      <c r="J115">
        <f t="shared" si="1"/>
        <v>0</v>
      </c>
    </row>
    <row r="116" spans="1:10" x14ac:dyDescent="0.2">
      <c r="A116" t="s">
        <v>44</v>
      </c>
      <c r="B116">
        <v>756</v>
      </c>
      <c r="C116">
        <v>16</v>
      </c>
      <c r="D116">
        <v>44</v>
      </c>
      <c r="E116">
        <v>10</v>
      </c>
      <c r="F116">
        <v>118.760655749996</v>
      </c>
      <c r="G116">
        <v>1</v>
      </c>
      <c r="H116">
        <v>10000</v>
      </c>
      <c r="I116" t="s">
        <v>298</v>
      </c>
      <c r="J116">
        <f t="shared" si="1"/>
        <v>0</v>
      </c>
    </row>
    <row r="117" spans="1:10" x14ac:dyDescent="0.2">
      <c r="A117" t="s">
        <v>44</v>
      </c>
      <c r="B117">
        <v>756</v>
      </c>
      <c r="C117">
        <v>16</v>
      </c>
      <c r="D117">
        <v>38</v>
      </c>
      <c r="E117">
        <v>4</v>
      </c>
      <c r="F117">
        <v>118.840254499998</v>
      </c>
      <c r="G117">
        <v>1</v>
      </c>
      <c r="H117">
        <v>10000</v>
      </c>
      <c r="I117" t="s">
        <v>299</v>
      </c>
      <c r="J117">
        <f t="shared" si="1"/>
        <v>0</v>
      </c>
    </row>
    <row r="118" spans="1:10" x14ac:dyDescent="0.2">
      <c r="A118" t="s">
        <v>44</v>
      </c>
      <c r="B118">
        <v>756</v>
      </c>
      <c r="C118">
        <v>16</v>
      </c>
      <c r="D118">
        <v>44</v>
      </c>
      <c r="E118">
        <v>10</v>
      </c>
      <c r="F118">
        <v>119.16894937500101</v>
      </c>
      <c r="G118">
        <v>1</v>
      </c>
      <c r="H118">
        <v>10000</v>
      </c>
      <c r="I118" t="s">
        <v>300</v>
      </c>
      <c r="J118">
        <f t="shared" si="1"/>
        <v>0</v>
      </c>
    </row>
    <row r="119" spans="1:10" x14ac:dyDescent="0.2">
      <c r="A119" t="s">
        <v>44</v>
      </c>
      <c r="B119">
        <v>756</v>
      </c>
      <c r="C119">
        <v>16</v>
      </c>
      <c r="D119">
        <v>40</v>
      </c>
      <c r="E119">
        <v>6</v>
      </c>
      <c r="F119">
        <v>120.41681150000601</v>
      </c>
      <c r="G119">
        <v>1</v>
      </c>
      <c r="H119">
        <v>10000</v>
      </c>
      <c r="I119" t="s">
        <v>301</v>
      </c>
      <c r="J119">
        <f t="shared" si="1"/>
        <v>0</v>
      </c>
    </row>
    <row r="120" spans="1:10" x14ac:dyDescent="0.2">
      <c r="A120" t="s">
        <v>44</v>
      </c>
      <c r="B120">
        <v>756</v>
      </c>
      <c r="C120">
        <v>16</v>
      </c>
      <c r="D120">
        <v>40</v>
      </c>
      <c r="E120">
        <v>6</v>
      </c>
      <c r="F120">
        <v>121.734847166997</v>
      </c>
      <c r="G120">
        <v>1</v>
      </c>
      <c r="H120">
        <v>10000</v>
      </c>
      <c r="I120" t="s">
        <v>302</v>
      </c>
      <c r="J120">
        <f t="shared" si="1"/>
        <v>0</v>
      </c>
    </row>
    <row r="121" spans="1:10" x14ac:dyDescent="0.2">
      <c r="A121" t="s">
        <v>44</v>
      </c>
      <c r="B121">
        <v>756</v>
      </c>
      <c r="C121">
        <v>16</v>
      </c>
      <c r="D121">
        <v>42</v>
      </c>
      <c r="E121">
        <v>8</v>
      </c>
      <c r="F121">
        <v>120.477914707997</v>
      </c>
      <c r="G121">
        <v>1</v>
      </c>
      <c r="H121">
        <v>10000</v>
      </c>
      <c r="I121" t="s">
        <v>303</v>
      </c>
      <c r="J121">
        <f t="shared" si="1"/>
        <v>0</v>
      </c>
    </row>
    <row r="122" spans="1:10" x14ac:dyDescent="0.2">
      <c r="A122" t="s">
        <v>44</v>
      </c>
      <c r="B122">
        <v>756</v>
      </c>
      <c r="C122">
        <v>16</v>
      </c>
      <c r="D122">
        <v>44</v>
      </c>
      <c r="E122">
        <v>10</v>
      </c>
      <c r="F122">
        <v>120.417122041995</v>
      </c>
      <c r="G122">
        <v>2</v>
      </c>
      <c r="H122">
        <v>10000</v>
      </c>
      <c r="I122" t="s">
        <v>304</v>
      </c>
      <c r="J122">
        <f t="shared" si="1"/>
        <v>0</v>
      </c>
    </row>
    <row r="123" spans="1:10" x14ac:dyDescent="0.2">
      <c r="A123" t="s">
        <v>44</v>
      </c>
      <c r="B123">
        <v>756</v>
      </c>
      <c r="C123">
        <v>16</v>
      </c>
      <c r="D123">
        <v>38</v>
      </c>
      <c r="E123">
        <v>4</v>
      </c>
      <c r="F123">
        <v>119.492136667002</v>
      </c>
      <c r="G123">
        <v>1</v>
      </c>
      <c r="H123">
        <v>10000</v>
      </c>
      <c r="I123" t="s">
        <v>305</v>
      </c>
      <c r="J123">
        <f t="shared" si="1"/>
        <v>0</v>
      </c>
    </row>
    <row r="124" spans="1:10" x14ac:dyDescent="0.2">
      <c r="A124" t="s">
        <v>44</v>
      </c>
      <c r="B124">
        <v>756</v>
      </c>
      <c r="C124">
        <v>16</v>
      </c>
      <c r="D124">
        <v>44</v>
      </c>
      <c r="E124">
        <v>10</v>
      </c>
      <c r="F124">
        <v>121.502023416003</v>
      </c>
      <c r="G124">
        <v>3</v>
      </c>
      <c r="H124">
        <v>10000</v>
      </c>
      <c r="I124" t="s">
        <v>306</v>
      </c>
      <c r="J124">
        <f t="shared" si="1"/>
        <v>0</v>
      </c>
    </row>
    <row r="125" spans="1:10" x14ac:dyDescent="0.2">
      <c r="A125" t="s">
        <v>44</v>
      </c>
      <c r="B125">
        <v>756</v>
      </c>
      <c r="C125">
        <v>16</v>
      </c>
      <c r="D125">
        <v>38</v>
      </c>
      <c r="E125">
        <v>4</v>
      </c>
      <c r="F125">
        <v>122.385058500003</v>
      </c>
      <c r="G125">
        <v>1</v>
      </c>
      <c r="H125">
        <v>10000</v>
      </c>
      <c r="I125" t="s">
        <v>307</v>
      </c>
      <c r="J125">
        <f t="shared" si="1"/>
        <v>0</v>
      </c>
    </row>
    <row r="126" spans="1:10" x14ac:dyDescent="0.2">
      <c r="A126" t="s">
        <v>44</v>
      </c>
      <c r="B126">
        <v>756</v>
      </c>
      <c r="C126">
        <v>16</v>
      </c>
      <c r="D126">
        <v>46</v>
      </c>
      <c r="E126">
        <v>12</v>
      </c>
      <c r="F126">
        <v>120.004150499997</v>
      </c>
      <c r="G126">
        <v>2</v>
      </c>
      <c r="H126">
        <v>10000</v>
      </c>
      <c r="I126" t="s">
        <v>308</v>
      </c>
      <c r="J126">
        <f t="shared" si="1"/>
        <v>0</v>
      </c>
    </row>
    <row r="127" spans="1:10" x14ac:dyDescent="0.2">
      <c r="A127" t="s">
        <v>44</v>
      </c>
      <c r="B127">
        <v>756</v>
      </c>
      <c r="C127">
        <v>16</v>
      </c>
      <c r="D127">
        <v>40</v>
      </c>
      <c r="E127">
        <v>6</v>
      </c>
      <c r="F127">
        <v>118.01851612499701</v>
      </c>
      <c r="G127">
        <v>1</v>
      </c>
      <c r="H127">
        <v>10000</v>
      </c>
      <c r="I127" t="s">
        <v>309</v>
      </c>
      <c r="J127">
        <f>IF(E127=0,G127,)</f>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7B2BA-D4C7-0546-A0A5-2B7F8B3B76C6}">
  <dimension ref="A1:J135"/>
  <sheetViews>
    <sheetView topLeftCell="A114" workbookViewId="0">
      <selection activeCell="I146" sqref="I146"/>
    </sheetView>
  </sheetViews>
  <sheetFormatPr baseColWidth="10" defaultRowHeight="16" x14ac:dyDescent="0.2"/>
  <sheetData>
    <row r="1" spans="1:1" x14ac:dyDescent="0.2">
      <c r="A1" t="s">
        <v>0</v>
      </c>
    </row>
    <row r="2" spans="1:1" x14ac:dyDescent="0.2">
      <c r="A2" t="s">
        <v>1</v>
      </c>
    </row>
    <row r="3" spans="1:1" x14ac:dyDescent="0.2">
      <c r="A3" t="s">
        <v>101</v>
      </c>
    </row>
    <row r="4" spans="1:1" x14ac:dyDescent="0.2">
      <c r="A4" t="s">
        <v>2</v>
      </c>
    </row>
    <row r="5" spans="1:1" x14ac:dyDescent="0.2">
      <c r="A5" t="s">
        <v>3</v>
      </c>
    </row>
    <row r="6" spans="1:1" x14ac:dyDescent="0.2">
      <c r="A6" t="s">
        <v>103</v>
      </c>
    </row>
    <row r="7" spans="1:1" x14ac:dyDescent="0.2">
      <c r="A7" t="s">
        <v>5</v>
      </c>
    </row>
    <row r="8" spans="1:1" x14ac:dyDescent="0.2">
      <c r="A8" t="s">
        <v>6</v>
      </c>
    </row>
    <row r="9" spans="1:1" x14ac:dyDescent="0.2">
      <c r="A9" t="s">
        <v>492</v>
      </c>
    </row>
    <row r="10" spans="1:1" x14ac:dyDescent="0.2">
      <c r="A10" t="s">
        <v>493</v>
      </c>
    </row>
    <row r="11" spans="1:1" x14ac:dyDescent="0.2">
      <c r="A11" t="s">
        <v>104</v>
      </c>
    </row>
    <row r="12" spans="1:1" x14ac:dyDescent="0.2">
      <c r="A12" t="s">
        <v>8</v>
      </c>
    </row>
    <row r="13" spans="1:1" x14ac:dyDescent="0.2">
      <c r="A13" t="s">
        <v>9</v>
      </c>
    </row>
    <row r="14" spans="1:1" x14ac:dyDescent="0.2">
      <c r="A14" t="s">
        <v>10</v>
      </c>
    </row>
    <row r="15" spans="1:1" x14ac:dyDescent="0.2">
      <c r="A15" t="s">
        <v>11</v>
      </c>
    </row>
    <row r="16" spans="1:1" x14ac:dyDescent="0.2">
      <c r="A16" t="s">
        <v>494</v>
      </c>
    </row>
    <row r="17" spans="1:10" x14ac:dyDescent="0.2">
      <c r="A17" t="s">
        <v>495</v>
      </c>
    </row>
    <row r="18" spans="1:10" x14ac:dyDescent="0.2">
      <c r="A18" t="s">
        <v>12</v>
      </c>
    </row>
    <row r="19" spans="1:10" x14ac:dyDescent="0.2">
      <c r="A19" t="s">
        <v>16</v>
      </c>
    </row>
    <row r="20" spans="1:10" x14ac:dyDescent="0.2">
      <c r="A20" t="s">
        <v>107</v>
      </c>
    </row>
    <row r="21" spans="1:10" x14ac:dyDescent="0.2">
      <c r="A21" t="s">
        <v>18</v>
      </c>
    </row>
    <row r="22" spans="1:10" x14ac:dyDescent="0.2">
      <c r="A22" t="s">
        <v>500</v>
      </c>
    </row>
    <row r="23" spans="1:10" x14ac:dyDescent="0.2">
      <c r="A23" t="s">
        <v>496</v>
      </c>
    </row>
    <row r="24" spans="1:10" x14ac:dyDescent="0.2">
      <c r="A24" t="s">
        <v>497</v>
      </c>
    </row>
    <row r="25" spans="1:10" x14ac:dyDescent="0.2">
      <c r="A25" t="s">
        <v>498</v>
      </c>
    </row>
    <row r="26" spans="1:10" x14ac:dyDescent="0.2">
      <c r="A26" t="s">
        <v>499</v>
      </c>
    </row>
    <row r="27" spans="1:10" x14ac:dyDescent="0.2">
      <c r="A27" t="s">
        <v>491</v>
      </c>
    </row>
    <row r="28" spans="1:10" x14ac:dyDescent="0.2">
      <c r="A28" t="s">
        <v>20</v>
      </c>
    </row>
    <row r="29" spans="1:10" x14ac:dyDescent="0.2">
      <c r="A29" t="s">
        <v>682</v>
      </c>
    </row>
    <row r="30" spans="1:10" x14ac:dyDescent="0.2">
      <c r="A30" t="s">
        <v>22</v>
      </c>
    </row>
    <row r="31" spans="1:10" x14ac:dyDescent="0.2">
      <c r="A31" t="s">
        <v>23</v>
      </c>
      <c r="B31" t="s">
        <v>24</v>
      </c>
      <c r="C31" t="s">
        <v>25</v>
      </c>
      <c r="D31" t="s">
        <v>26</v>
      </c>
      <c r="E31" t="s">
        <v>27</v>
      </c>
      <c r="F31" t="s">
        <v>28</v>
      </c>
      <c r="G31" t="s">
        <v>29</v>
      </c>
      <c r="H31" t="s">
        <v>30</v>
      </c>
      <c r="I31" t="s">
        <v>31</v>
      </c>
    </row>
    <row r="32" spans="1:10" x14ac:dyDescent="0.2">
      <c r="A32" t="s">
        <v>44</v>
      </c>
      <c r="B32">
        <v>756</v>
      </c>
      <c r="C32">
        <v>16</v>
      </c>
      <c r="D32">
        <v>40</v>
      </c>
      <c r="E32">
        <v>6</v>
      </c>
      <c r="F32">
        <v>158.90274091344301</v>
      </c>
      <c r="G32">
        <v>1</v>
      </c>
      <c r="H32">
        <v>10000</v>
      </c>
      <c r="I32" t="s">
        <v>683</v>
      </c>
      <c r="J32">
        <f>IF(D32=34,G32,0)</f>
        <v>0</v>
      </c>
    </row>
    <row r="33" spans="1:10" x14ac:dyDescent="0.2">
      <c r="A33" t="s">
        <v>44</v>
      </c>
      <c r="B33">
        <v>756</v>
      </c>
      <c r="C33">
        <v>16</v>
      </c>
      <c r="D33">
        <v>42</v>
      </c>
      <c r="E33">
        <v>8</v>
      </c>
      <c r="F33">
        <v>159.94450234435499</v>
      </c>
      <c r="G33">
        <v>1</v>
      </c>
      <c r="H33">
        <v>10000</v>
      </c>
      <c r="I33" t="s">
        <v>684</v>
      </c>
      <c r="J33">
        <f t="shared" ref="J33:J96" si="0">IF(D33=34,G33,0)</f>
        <v>0</v>
      </c>
    </row>
    <row r="34" spans="1:10" x14ac:dyDescent="0.2">
      <c r="A34" t="s">
        <v>44</v>
      </c>
      <c r="B34">
        <v>756</v>
      </c>
      <c r="C34">
        <v>16</v>
      </c>
      <c r="D34">
        <v>44</v>
      </c>
      <c r="E34">
        <v>10</v>
      </c>
      <c r="F34">
        <v>159.58642673213001</v>
      </c>
      <c r="G34">
        <v>2</v>
      </c>
      <c r="H34">
        <v>10000</v>
      </c>
      <c r="I34" t="s">
        <v>685</v>
      </c>
      <c r="J34">
        <f t="shared" si="0"/>
        <v>0</v>
      </c>
    </row>
    <row r="35" spans="1:10" x14ac:dyDescent="0.2">
      <c r="A35" t="s">
        <v>44</v>
      </c>
      <c r="B35">
        <v>756</v>
      </c>
      <c r="C35">
        <v>16</v>
      </c>
      <c r="D35">
        <v>40</v>
      </c>
      <c r="E35">
        <v>6</v>
      </c>
      <c r="F35">
        <v>159.86425393167801</v>
      </c>
      <c r="G35">
        <v>1</v>
      </c>
      <c r="H35">
        <v>10000</v>
      </c>
      <c r="I35" t="s">
        <v>686</v>
      </c>
      <c r="J35">
        <f t="shared" si="0"/>
        <v>0</v>
      </c>
    </row>
    <row r="36" spans="1:10" x14ac:dyDescent="0.2">
      <c r="A36" t="s">
        <v>44</v>
      </c>
      <c r="B36">
        <v>756</v>
      </c>
      <c r="C36">
        <v>16</v>
      </c>
      <c r="D36">
        <v>38</v>
      </c>
      <c r="E36">
        <v>4</v>
      </c>
      <c r="F36">
        <v>159.75504545681099</v>
      </c>
      <c r="G36">
        <v>1</v>
      </c>
      <c r="H36">
        <v>10000</v>
      </c>
      <c r="I36" t="s">
        <v>687</v>
      </c>
      <c r="J36">
        <f t="shared" si="0"/>
        <v>0</v>
      </c>
    </row>
    <row r="37" spans="1:10" x14ac:dyDescent="0.2">
      <c r="A37" t="s">
        <v>44</v>
      </c>
      <c r="B37">
        <v>756</v>
      </c>
      <c r="C37">
        <v>16</v>
      </c>
      <c r="D37">
        <v>38</v>
      </c>
      <c r="E37">
        <v>4</v>
      </c>
      <c r="F37">
        <v>159.829997708089</v>
      </c>
      <c r="G37">
        <v>1</v>
      </c>
      <c r="H37">
        <v>10000</v>
      </c>
      <c r="I37" t="s">
        <v>688</v>
      </c>
      <c r="J37">
        <f t="shared" si="0"/>
        <v>0</v>
      </c>
    </row>
    <row r="38" spans="1:10" x14ac:dyDescent="0.2">
      <c r="A38" t="s">
        <v>44</v>
      </c>
      <c r="B38">
        <v>756</v>
      </c>
      <c r="C38">
        <v>16</v>
      </c>
      <c r="D38">
        <v>40</v>
      </c>
      <c r="E38">
        <v>6</v>
      </c>
      <c r="F38">
        <v>159.73749522492199</v>
      </c>
      <c r="G38">
        <v>1</v>
      </c>
      <c r="H38">
        <v>10000</v>
      </c>
      <c r="I38" t="s">
        <v>689</v>
      </c>
      <c r="J38">
        <f t="shared" si="0"/>
        <v>0</v>
      </c>
    </row>
    <row r="39" spans="1:10" x14ac:dyDescent="0.2">
      <c r="A39" t="s">
        <v>44</v>
      </c>
      <c r="B39">
        <v>756</v>
      </c>
      <c r="C39">
        <v>16</v>
      </c>
      <c r="D39">
        <v>40</v>
      </c>
      <c r="E39">
        <v>6</v>
      </c>
      <c r="F39">
        <v>159.67952505219699</v>
      </c>
      <c r="G39">
        <v>1</v>
      </c>
      <c r="H39">
        <v>10000</v>
      </c>
      <c r="I39" t="s">
        <v>690</v>
      </c>
      <c r="J39">
        <f t="shared" si="0"/>
        <v>0</v>
      </c>
    </row>
    <row r="40" spans="1:10" x14ac:dyDescent="0.2">
      <c r="A40" t="s">
        <v>44</v>
      </c>
      <c r="B40">
        <v>756</v>
      </c>
      <c r="C40">
        <v>16</v>
      </c>
      <c r="D40">
        <v>42</v>
      </c>
      <c r="E40">
        <v>8</v>
      </c>
      <c r="F40">
        <v>159.654830683022</v>
      </c>
      <c r="G40">
        <v>1</v>
      </c>
      <c r="H40">
        <v>10000</v>
      </c>
      <c r="I40" t="s">
        <v>691</v>
      </c>
      <c r="J40">
        <f t="shared" si="0"/>
        <v>0</v>
      </c>
    </row>
    <row r="41" spans="1:10" x14ac:dyDescent="0.2">
      <c r="A41" t="s">
        <v>44</v>
      </c>
      <c r="B41">
        <v>756</v>
      </c>
      <c r="C41">
        <v>16</v>
      </c>
      <c r="D41">
        <v>42</v>
      </c>
      <c r="E41">
        <v>8</v>
      </c>
      <c r="F41">
        <v>152.07110708299999</v>
      </c>
      <c r="G41">
        <v>1</v>
      </c>
      <c r="H41">
        <v>10000</v>
      </c>
      <c r="I41" t="s">
        <v>692</v>
      </c>
      <c r="J41">
        <f t="shared" si="0"/>
        <v>0</v>
      </c>
    </row>
    <row r="42" spans="1:10" x14ac:dyDescent="0.2">
      <c r="A42" t="s">
        <v>44</v>
      </c>
      <c r="B42">
        <v>756</v>
      </c>
      <c r="C42">
        <v>16</v>
      </c>
      <c r="D42">
        <v>40</v>
      </c>
      <c r="E42">
        <v>6</v>
      </c>
      <c r="F42">
        <v>150.74027185328299</v>
      </c>
      <c r="G42">
        <v>1</v>
      </c>
      <c r="H42">
        <v>10000</v>
      </c>
      <c r="I42" t="s">
        <v>693</v>
      </c>
      <c r="J42">
        <f t="shared" si="0"/>
        <v>0</v>
      </c>
    </row>
    <row r="43" spans="1:10" x14ac:dyDescent="0.2">
      <c r="A43" t="s">
        <v>44</v>
      </c>
      <c r="B43">
        <v>756</v>
      </c>
      <c r="C43">
        <v>16</v>
      </c>
      <c r="D43">
        <v>44</v>
      </c>
      <c r="E43">
        <v>10</v>
      </c>
      <c r="F43">
        <v>149.48735839501001</v>
      </c>
      <c r="G43">
        <v>1</v>
      </c>
      <c r="H43">
        <v>10000</v>
      </c>
      <c r="I43" t="s">
        <v>694</v>
      </c>
      <c r="J43">
        <f t="shared" si="0"/>
        <v>0</v>
      </c>
    </row>
    <row r="44" spans="1:10" x14ac:dyDescent="0.2">
      <c r="A44" t="s">
        <v>44</v>
      </c>
      <c r="B44">
        <v>756</v>
      </c>
      <c r="C44">
        <v>16</v>
      </c>
      <c r="D44">
        <v>40</v>
      </c>
      <c r="E44">
        <v>6</v>
      </c>
      <c r="F44">
        <v>148.798632499761</v>
      </c>
      <c r="G44">
        <v>1</v>
      </c>
      <c r="H44">
        <v>10000</v>
      </c>
      <c r="I44" t="s">
        <v>695</v>
      </c>
      <c r="J44">
        <f t="shared" si="0"/>
        <v>0</v>
      </c>
    </row>
    <row r="45" spans="1:10" x14ac:dyDescent="0.2">
      <c r="A45" t="s">
        <v>44</v>
      </c>
      <c r="B45">
        <v>756</v>
      </c>
      <c r="C45">
        <v>16</v>
      </c>
      <c r="D45">
        <v>42</v>
      </c>
      <c r="E45">
        <v>8</v>
      </c>
      <c r="F45">
        <v>148.71235794201399</v>
      </c>
      <c r="G45">
        <v>1</v>
      </c>
      <c r="H45">
        <v>10000</v>
      </c>
      <c r="I45" t="s">
        <v>696</v>
      </c>
      <c r="J45">
        <f t="shared" si="0"/>
        <v>0</v>
      </c>
    </row>
    <row r="46" spans="1:10" x14ac:dyDescent="0.2">
      <c r="A46" t="s">
        <v>44</v>
      </c>
      <c r="B46">
        <v>756</v>
      </c>
      <c r="C46">
        <v>16</v>
      </c>
      <c r="D46">
        <v>42</v>
      </c>
      <c r="E46">
        <v>8</v>
      </c>
      <c r="F46">
        <v>148.682626686058</v>
      </c>
      <c r="G46">
        <v>2</v>
      </c>
      <c r="H46">
        <v>10000</v>
      </c>
      <c r="I46" t="s">
        <v>697</v>
      </c>
      <c r="J46">
        <f t="shared" si="0"/>
        <v>0</v>
      </c>
    </row>
    <row r="47" spans="1:10" x14ac:dyDescent="0.2">
      <c r="A47" t="s">
        <v>44</v>
      </c>
      <c r="B47">
        <v>756</v>
      </c>
      <c r="C47">
        <v>16</v>
      </c>
      <c r="D47">
        <v>36</v>
      </c>
      <c r="E47">
        <v>2</v>
      </c>
      <c r="F47">
        <v>148.599061120301</v>
      </c>
      <c r="G47">
        <v>1</v>
      </c>
      <c r="H47">
        <v>10000</v>
      </c>
      <c r="I47" t="s">
        <v>698</v>
      </c>
      <c r="J47">
        <f t="shared" si="0"/>
        <v>0</v>
      </c>
    </row>
    <row r="48" spans="1:10" x14ac:dyDescent="0.2">
      <c r="A48" t="s">
        <v>44</v>
      </c>
      <c r="B48">
        <v>756</v>
      </c>
      <c r="C48">
        <v>16</v>
      </c>
      <c r="D48">
        <v>38</v>
      </c>
      <c r="E48">
        <v>4</v>
      </c>
      <c r="F48">
        <v>148.38674215693001</v>
      </c>
      <c r="G48">
        <v>1</v>
      </c>
      <c r="H48">
        <v>10000</v>
      </c>
      <c r="I48" t="s">
        <v>699</v>
      </c>
      <c r="J48">
        <f t="shared" si="0"/>
        <v>0</v>
      </c>
    </row>
    <row r="49" spans="1:10" x14ac:dyDescent="0.2">
      <c r="A49" t="s">
        <v>44</v>
      </c>
      <c r="B49">
        <v>756</v>
      </c>
      <c r="C49">
        <v>16</v>
      </c>
      <c r="D49">
        <v>44</v>
      </c>
      <c r="E49">
        <v>10</v>
      </c>
      <c r="F49">
        <v>148.405426660552</v>
      </c>
      <c r="G49">
        <v>2</v>
      </c>
      <c r="H49">
        <v>10000</v>
      </c>
      <c r="I49" t="s">
        <v>700</v>
      </c>
      <c r="J49">
        <f t="shared" si="0"/>
        <v>0</v>
      </c>
    </row>
    <row r="50" spans="1:10" x14ac:dyDescent="0.2">
      <c r="A50" t="s">
        <v>44</v>
      </c>
      <c r="B50">
        <v>756</v>
      </c>
      <c r="C50">
        <v>16</v>
      </c>
      <c r="D50">
        <v>42</v>
      </c>
      <c r="E50">
        <v>8</v>
      </c>
      <c r="F50">
        <v>148.41448977030799</v>
      </c>
      <c r="G50">
        <v>2</v>
      </c>
      <c r="H50">
        <v>10000</v>
      </c>
      <c r="I50" t="s">
        <v>701</v>
      </c>
      <c r="J50">
        <f t="shared" si="0"/>
        <v>0</v>
      </c>
    </row>
    <row r="51" spans="1:10" x14ac:dyDescent="0.2">
      <c r="A51" t="s">
        <v>44</v>
      </c>
      <c r="B51">
        <v>756</v>
      </c>
      <c r="C51">
        <v>16</v>
      </c>
      <c r="D51">
        <v>40</v>
      </c>
      <c r="E51">
        <v>6</v>
      </c>
      <c r="F51">
        <v>148.58620516303901</v>
      </c>
      <c r="G51">
        <v>1</v>
      </c>
      <c r="H51">
        <v>10000</v>
      </c>
      <c r="I51" t="s">
        <v>702</v>
      </c>
      <c r="J51">
        <f t="shared" si="0"/>
        <v>0</v>
      </c>
    </row>
    <row r="52" spans="1:10" x14ac:dyDescent="0.2">
      <c r="A52" t="s">
        <v>44</v>
      </c>
      <c r="B52">
        <v>756</v>
      </c>
      <c r="C52">
        <v>16</v>
      </c>
      <c r="D52">
        <v>40</v>
      </c>
      <c r="E52">
        <v>6</v>
      </c>
      <c r="F52">
        <v>148.545221295207</v>
      </c>
      <c r="G52">
        <v>1</v>
      </c>
      <c r="H52">
        <v>10000</v>
      </c>
      <c r="I52" t="s">
        <v>703</v>
      </c>
      <c r="J52">
        <f t="shared" si="0"/>
        <v>0</v>
      </c>
    </row>
    <row r="53" spans="1:10" x14ac:dyDescent="0.2">
      <c r="A53" t="s">
        <v>44</v>
      </c>
      <c r="B53">
        <v>756</v>
      </c>
      <c r="C53">
        <v>16</v>
      </c>
      <c r="D53">
        <v>40</v>
      </c>
      <c r="E53">
        <v>6</v>
      </c>
      <c r="F53">
        <v>148.50015756580899</v>
      </c>
      <c r="G53">
        <v>1</v>
      </c>
      <c r="H53">
        <v>10000</v>
      </c>
      <c r="I53" t="s">
        <v>704</v>
      </c>
      <c r="J53">
        <f t="shared" si="0"/>
        <v>0</v>
      </c>
    </row>
    <row r="54" spans="1:10" x14ac:dyDescent="0.2">
      <c r="A54" t="s">
        <v>44</v>
      </c>
      <c r="B54">
        <v>756</v>
      </c>
      <c r="C54">
        <v>16</v>
      </c>
      <c r="D54">
        <v>38</v>
      </c>
      <c r="E54">
        <v>4</v>
      </c>
      <c r="F54">
        <v>148.60356454923701</v>
      </c>
      <c r="G54">
        <v>1</v>
      </c>
      <c r="H54">
        <v>10000</v>
      </c>
      <c r="I54" t="s">
        <v>705</v>
      </c>
      <c r="J54">
        <f t="shared" si="0"/>
        <v>0</v>
      </c>
    </row>
    <row r="55" spans="1:10" x14ac:dyDescent="0.2">
      <c r="A55" t="s">
        <v>44</v>
      </c>
      <c r="B55">
        <v>756</v>
      </c>
      <c r="C55">
        <v>16</v>
      </c>
      <c r="D55">
        <v>46</v>
      </c>
      <c r="E55">
        <v>12</v>
      </c>
      <c r="F55">
        <v>145.034766974858</v>
      </c>
      <c r="G55">
        <v>1</v>
      </c>
      <c r="H55">
        <v>10000</v>
      </c>
      <c r="I55" t="s">
        <v>706</v>
      </c>
      <c r="J55">
        <f t="shared" si="0"/>
        <v>0</v>
      </c>
    </row>
    <row r="56" spans="1:10" x14ac:dyDescent="0.2">
      <c r="A56" t="s">
        <v>44</v>
      </c>
      <c r="B56">
        <v>756</v>
      </c>
      <c r="C56">
        <v>16</v>
      </c>
      <c r="D56">
        <v>44</v>
      </c>
      <c r="E56">
        <v>10</v>
      </c>
      <c r="F56">
        <v>140.46913151722401</v>
      </c>
      <c r="G56">
        <v>1</v>
      </c>
      <c r="H56">
        <v>10000</v>
      </c>
      <c r="I56" t="s">
        <v>707</v>
      </c>
      <c r="J56">
        <f t="shared" si="0"/>
        <v>0</v>
      </c>
    </row>
    <row r="57" spans="1:10" x14ac:dyDescent="0.2">
      <c r="A57" t="s">
        <v>44</v>
      </c>
      <c r="B57">
        <v>756</v>
      </c>
      <c r="C57">
        <v>16</v>
      </c>
      <c r="D57">
        <v>42</v>
      </c>
      <c r="E57">
        <v>8</v>
      </c>
      <c r="F57">
        <v>140.731675726361</v>
      </c>
      <c r="G57">
        <v>1</v>
      </c>
      <c r="H57">
        <v>10000</v>
      </c>
      <c r="I57" t="s">
        <v>708</v>
      </c>
      <c r="J57">
        <f t="shared" si="0"/>
        <v>0</v>
      </c>
    </row>
    <row r="58" spans="1:10" x14ac:dyDescent="0.2">
      <c r="A58" t="s">
        <v>44</v>
      </c>
      <c r="B58">
        <v>756</v>
      </c>
      <c r="C58">
        <v>16</v>
      </c>
      <c r="D58">
        <v>42</v>
      </c>
      <c r="E58">
        <v>8</v>
      </c>
      <c r="F58">
        <v>140.23692125733899</v>
      </c>
      <c r="G58">
        <v>1</v>
      </c>
      <c r="H58">
        <v>10000</v>
      </c>
      <c r="I58" t="s">
        <v>709</v>
      </c>
      <c r="J58">
        <f t="shared" si="0"/>
        <v>0</v>
      </c>
    </row>
    <row r="59" spans="1:10" x14ac:dyDescent="0.2">
      <c r="A59" t="s">
        <v>44</v>
      </c>
      <c r="B59">
        <v>756</v>
      </c>
      <c r="C59">
        <v>16</v>
      </c>
      <c r="D59">
        <v>42</v>
      </c>
      <c r="E59">
        <v>8</v>
      </c>
      <c r="F59">
        <v>139.68169013597</v>
      </c>
      <c r="G59">
        <v>1</v>
      </c>
      <c r="H59">
        <v>10000</v>
      </c>
      <c r="I59" t="s">
        <v>710</v>
      </c>
      <c r="J59">
        <f t="shared" si="0"/>
        <v>0</v>
      </c>
    </row>
    <row r="60" spans="1:10" x14ac:dyDescent="0.2">
      <c r="A60" t="s">
        <v>44</v>
      </c>
      <c r="B60">
        <v>756</v>
      </c>
      <c r="C60">
        <v>16</v>
      </c>
      <c r="D60">
        <v>44</v>
      </c>
      <c r="E60">
        <v>10</v>
      </c>
      <c r="F60">
        <v>139.296012326143</v>
      </c>
      <c r="G60">
        <v>3</v>
      </c>
      <c r="H60">
        <v>10000</v>
      </c>
      <c r="I60" t="s">
        <v>711</v>
      </c>
      <c r="J60">
        <f t="shared" si="0"/>
        <v>0</v>
      </c>
    </row>
    <row r="61" spans="1:10" x14ac:dyDescent="0.2">
      <c r="A61" t="s">
        <v>44</v>
      </c>
      <c r="B61">
        <v>756</v>
      </c>
      <c r="C61">
        <v>16</v>
      </c>
      <c r="D61">
        <v>42</v>
      </c>
      <c r="E61">
        <v>8</v>
      </c>
      <c r="F61">
        <v>139.372598850168</v>
      </c>
      <c r="G61">
        <v>2</v>
      </c>
      <c r="H61">
        <v>10000</v>
      </c>
      <c r="I61" t="s">
        <v>712</v>
      </c>
      <c r="J61">
        <f t="shared" si="0"/>
        <v>0</v>
      </c>
    </row>
    <row r="62" spans="1:10" x14ac:dyDescent="0.2">
      <c r="A62" t="s">
        <v>44</v>
      </c>
      <c r="B62">
        <v>756</v>
      </c>
      <c r="C62">
        <v>16</v>
      </c>
      <c r="D62">
        <v>40</v>
      </c>
      <c r="E62">
        <v>6</v>
      </c>
      <c r="F62">
        <v>139.404148366302</v>
      </c>
      <c r="G62">
        <v>1</v>
      </c>
      <c r="H62">
        <v>10000</v>
      </c>
      <c r="I62" t="s">
        <v>713</v>
      </c>
      <c r="J62">
        <f t="shared" si="0"/>
        <v>0</v>
      </c>
    </row>
    <row r="63" spans="1:10" x14ac:dyDescent="0.2">
      <c r="A63" t="s">
        <v>44</v>
      </c>
      <c r="B63">
        <v>756</v>
      </c>
      <c r="C63">
        <v>16</v>
      </c>
      <c r="D63">
        <v>44</v>
      </c>
      <c r="E63">
        <v>10</v>
      </c>
      <c r="F63">
        <v>139.40002826042399</v>
      </c>
      <c r="G63">
        <v>1</v>
      </c>
      <c r="H63">
        <v>10000</v>
      </c>
      <c r="I63" t="s">
        <v>714</v>
      </c>
      <c r="J63">
        <f t="shared" si="0"/>
        <v>0</v>
      </c>
    </row>
    <row r="64" spans="1:10" x14ac:dyDescent="0.2">
      <c r="A64" t="s">
        <v>44</v>
      </c>
      <c r="B64">
        <v>756</v>
      </c>
      <c r="C64">
        <v>16</v>
      </c>
      <c r="D64">
        <v>44</v>
      </c>
      <c r="E64">
        <v>10</v>
      </c>
      <c r="F64">
        <v>139.15977481193801</v>
      </c>
      <c r="G64">
        <v>1</v>
      </c>
      <c r="H64">
        <v>10000</v>
      </c>
      <c r="I64" t="s">
        <v>715</v>
      </c>
      <c r="J64">
        <f t="shared" si="0"/>
        <v>0</v>
      </c>
    </row>
    <row r="65" spans="1:10" x14ac:dyDescent="0.2">
      <c r="A65" t="s">
        <v>44</v>
      </c>
      <c r="B65">
        <v>756</v>
      </c>
      <c r="C65">
        <v>16</v>
      </c>
      <c r="D65">
        <v>44</v>
      </c>
      <c r="E65">
        <v>10</v>
      </c>
      <c r="F65">
        <v>139.249769733287</v>
      </c>
      <c r="G65">
        <v>2</v>
      </c>
      <c r="H65">
        <v>10000</v>
      </c>
      <c r="I65" t="s">
        <v>716</v>
      </c>
      <c r="J65">
        <f t="shared" si="0"/>
        <v>0</v>
      </c>
    </row>
    <row r="66" spans="1:10" x14ac:dyDescent="0.2">
      <c r="A66" t="s">
        <v>44</v>
      </c>
      <c r="B66">
        <v>756</v>
      </c>
      <c r="C66">
        <v>16</v>
      </c>
      <c r="D66">
        <v>42</v>
      </c>
      <c r="E66">
        <v>8</v>
      </c>
      <c r="F66">
        <v>139.250296531245</v>
      </c>
      <c r="G66">
        <v>1</v>
      </c>
      <c r="H66">
        <v>10000</v>
      </c>
      <c r="I66" t="s">
        <v>717</v>
      </c>
      <c r="J66">
        <f t="shared" si="0"/>
        <v>0</v>
      </c>
    </row>
    <row r="67" spans="1:10" x14ac:dyDescent="0.2">
      <c r="A67" t="s">
        <v>44</v>
      </c>
      <c r="B67">
        <v>756</v>
      </c>
      <c r="C67">
        <v>16</v>
      </c>
      <c r="D67">
        <v>40</v>
      </c>
      <c r="E67">
        <v>6</v>
      </c>
      <c r="F67">
        <v>139.60368661861801</v>
      </c>
      <c r="G67">
        <v>1</v>
      </c>
      <c r="H67">
        <v>10000</v>
      </c>
      <c r="I67" t="s">
        <v>718</v>
      </c>
      <c r="J67">
        <f t="shared" si="0"/>
        <v>0</v>
      </c>
    </row>
    <row r="68" spans="1:10" x14ac:dyDescent="0.2">
      <c r="A68" t="s">
        <v>44</v>
      </c>
      <c r="B68">
        <v>756</v>
      </c>
      <c r="C68">
        <v>16</v>
      </c>
      <c r="D68">
        <v>42</v>
      </c>
      <c r="E68">
        <v>8</v>
      </c>
      <c r="F68">
        <v>138.94527742639099</v>
      </c>
      <c r="G68">
        <v>1</v>
      </c>
      <c r="H68">
        <v>10000</v>
      </c>
      <c r="I68" t="s">
        <v>719</v>
      </c>
      <c r="J68">
        <f t="shared" si="0"/>
        <v>0</v>
      </c>
    </row>
    <row r="69" spans="1:10" x14ac:dyDescent="0.2">
      <c r="A69" t="s">
        <v>44</v>
      </c>
      <c r="B69">
        <v>756</v>
      </c>
      <c r="C69">
        <v>16</v>
      </c>
      <c r="D69">
        <v>42</v>
      </c>
      <c r="E69">
        <v>8</v>
      </c>
      <c r="F69">
        <v>138.74226746521799</v>
      </c>
      <c r="G69">
        <v>2</v>
      </c>
      <c r="H69">
        <v>10000</v>
      </c>
      <c r="I69" t="s">
        <v>720</v>
      </c>
      <c r="J69">
        <f t="shared" si="0"/>
        <v>0</v>
      </c>
    </row>
    <row r="70" spans="1:10" x14ac:dyDescent="0.2">
      <c r="A70" t="s">
        <v>44</v>
      </c>
      <c r="B70">
        <v>756</v>
      </c>
      <c r="C70">
        <v>16</v>
      </c>
      <c r="D70">
        <v>44</v>
      </c>
      <c r="E70">
        <v>10</v>
      </c>
      <c r="F70">
        <v>138.38264263328099</v>
      </c>
      <c r="G70">
        <v>1</v>
      </c>
      <c r="H70">
        <v>10000</v>
      </c>
      <c r="I70" t="s">
        <v>721</v>
      </c>
      <c r="J70">
        <f t="shared" si="0"/>
        <v>0</v>
      </c>
    </row>
    <row r="71" spans="1:10" x14ac:dyDescent="0.2">
      <c r="A71" t="s">
        <v>44</v>
      </c>
      <c r="B71">
        <v>756</v>
      </c>
      <c r="C71">
        <v>16</v>
      </c>
      <c r="D71">
        <v>42</v>
      </c>
      <c r="E71">
        <v>8</v>
      </c>
      <c r="F71">
        <v>138.44007480517001</v>
      </c>
      <c r="G71">
        <v>1</v>
      </c>
      <c r="H71">
        <v>10000</v>
      </c>
      <c r="I71" t="s">
        <v>722</v>
      </c>
      <c r="J71">
        <f t="shared" si="0"/>
        <v>0</v>
      </c>
    </row>
    <row r="72" spans="1:10" x14ac:dyDescent="0.2">
      <c r="A72" t="s">
        <v>44</v>
      </c>
      <c r="B72">
        <v>756</v>
      </c>
      <c r="C72">
        <v>16</v>
      </c>
      <c r="D72">
        <v>44</v>
      </c>
      <c r="E72">
        <v>10</v>
      </c>
      <c r="F72">
        <v>138.461306819692</v>
      </c>
      <c r="G72">
        <v>1</v>
      </c>
      <c r="H72">
        <v>10000</v>
      </c>
      <c r="I72" t="s">
        <v>723</v>
      </c>
      <c r="J72">
        <f t="shared" si="0"/>
        <v>0</v>
      </c>
    </row>
    <row r="73" spans="1:10" x14ac:dyDescent="0.2">
      <c r="A73" t="s">
        <v>44</v>
      </c>
      <c r="B73">
        <v>756</v>
      </c>
      <c r="C73">
        <v>16</v>
      </c>
      <c r="D73">
        <v>40</v>
      </c>
      <c r="E73">
        <v>6</v>
      </c>
      <c r="F73">
        <v>138.502493045292</v>
      </c>
      <c r="G73">
        <v>1</v>
      </c>
      <c r="H73">
        <v>10000</v>
      </c>
      <c r="I73" t="s">
        <v>724</v>
      </c>
      <c r="J73">
        <f t="shared" si="0"/>
        <v>0</v>
      </c>
    </row>
    <row r="74" spans="1:10" x14ac:dyDescent="0.2">
      <c r="A74" t="s">
        <v>44</v>
      </c>
      <c r="B74">
        <v>756</v>
      </c>
      <c r="C74">
        <v>16</v>
      </c>
      <c r="D74">
        <v>42</v>
      </c>
      <c r="E74">
        <v>8</v>
      </c>
      <c r="F74">
        <v>138.53183433786</v>
      </c>
      <c r="G74">
        <v>3</v>
      </c>
      <c r="H74">
        <v>10000</v>
      </c>
      <c r="I74" t="s">
        <v>725</v>
      </c>
      <c r="J74">
        <f t="shared" si="0"/>
        <v>0</v>
      </c>
    </row>
    <row r="75" spans="1:10" x14ac:dyDescent="0.2">
      <c r="A75" t="s">
        <v>44</v>
      </c>
      <c r="B75">
        <v>756</v>
      </c>
      <c r="C75">
        <v>16</v>
      </c>
      <c r="D75">
        <v>38</v>
      </c>
      <c r="E75">
        <v>4</v>
      </c>
      <c r="F75">
        <v>138.39939578436301</v>
      </c>
      <c r="G75">
        <v>1</v>
      </c>
      <c r="H75">
        <v>10000</v>
      </c>
      <c r="I75" t="s">
        <v>726</v>
      </c>
      <c r="J75">
        <f t="shared" si="0"/>
        <v>0</v>
      </c>
    </row>
    <row r="76" spans="1:10" x14ac:dyDescent="0.2">
      <c r="A76" t="s">
        <v>44</v>
      </c>
      <c r="B76">
        <v>756</v>
      </c>
      <c r="C76">
        <v>16</v>
      </c>
      <c r="D76">
        <v>46</v>
      </c>
      <c r="E76">
        <v>12</v>
      </c>
      <c r="F76">
        <v>138.40787382144401</v>
      </c>
      <c r="G76">
        <v>2</v>
      </c>
      <c r="H76">
        <v>10000</v>
      </c>
      <c r="I76" t="s">
        <v>727</v>
      </c>
      <c r="J76">
        <f t="shared" si="0"/>
        <v>0</v>
      </c>
    </row>
    <row r="77" spans="1:10" x14ac:dyDescent="0.2">
      <c r="A77" t="s">
        <v>44</v>
      </c>
      <c r="B77">
        <v>756</v>
      </c>
      <c r="C77">
        <v>16</v>
      </c>
      <c r="D77">
        <v>42</v>
      </c>
      <c r="E77">
        <v>8</v>
      </c>
      <c r="F77">
        <v>138.523275155574</v>
      </c>
      <c r="G77">
        <v>4</v>
      </c>
      <c r="H77">
        <v>10000</v>
      </c>
      <c r="I77" t="s">
        <v>728</v>
      </c>
      <c r="J77">
        <f t="shared" si="0"/>
        <v>0</v>
      </c>
    </row>
    <row r="78" spans="1:10" x14ac:dyDescent="0.2">
      <c r="A78" t="s">
        <v>44</v>
      </c>
      <c r="B78">
        <v>756</v>
      </c>
      <c r="C78">
        <v>16</v>
      </c>
      <c r="D78">
        <v>46</v>
      </c>
      <c r="E78">
        <v>12</v>
      </c>
      <c r="F78">
        <v>138.505739058367</v>
      </c>
      <c r="G78">
        <v>2</v>
      </c>
      <c r="H78">
        <v>10000</v>
      </c>
      <c r="I78" t="s">
        <v>729</v>
      </c>
      <c r="J78">
        <f t="shared" si="0"/>
        <v>0</v>
      </c>
    </row>
    <row r="79" spans="1:10" x14ac:dyDescent="0.2">
      <c r="A79" t="s">
        <v>44</v>
      </c>
      <c r="B79">
        <v>756</v>
      </c>
      <c r="C79">
        <v>16</v>
      </c>
      <c r="D79">
        <v>42</v>
      </c>
      <c r="E79">
        <v>8</v>
      </c>
      <c r="F79">
        <v>138.511550883762</v>
      </c>
      <c r="G79">
        <v>2</v>
      </c>
      <c r="H79">
        <v>10000</v>
      </c>
      <c r="I79" t="s">
        <v>730</v>
      </c>
      <c r="J79">
        <f t="shared" si="0"/>
        <v>0</v>
      </c>
    </row>
    <row r="80" spans="1:10" x14ac:dyDescent="0.2">
      <c r="A80" t="s">
        <v>44</v>
      </c>
      <c r="B80">
        <v>756</v>
      </c>
      <c r="C80">
        <v>16</v>
      </c>
      <c r="D80">
        <v>42</v>
      </c>
      <c r="E80">
        <v>8</v>
      </c>
      <c r="F80">
        <v>138.41041655000299</v>
      </c>
      <c r="G80">
        <v>2</v>
      </c>
      <c r="H80">
        <v>10000</v>
      </c>
      <c r="I80" t="s">
        <v>731</v>
      </c>
      <c r="J80">
        <f t="shared" si="0"/>
        <v>0</v>
      </c>
    </row>
    <row r="81" spans="1:10" x14ac:dyDescent="0.2">
      <c r="A81" t="s">
        <v>44</v>
      </c>
      <c r="B81">
        <v>756</v>
      </c>
      <c r="C81">
        <v>16</v>
      </c>
      <c r="D81">
        <v>40</v>
      </c>
      <c r="E81">
        <v>6</v>
      </c>
      <c r="F81">
        <v>138.388256054371</v>
      </c>
      <c r="G81">
        <v>1</v>
      </c>
      <c r="H81">
        <v>10000</v>
      </c>
      <c r="I81" t="s">
        <v>732</v>
      </c>
      <c r="J81">
        <f t="shared" si="0"/>
        <v>0</v>
      </c>
    </row>
    <row r="82" spans="1:10" x14ac:dyDescent="0.2">
      <c r="A82" t="s">
        <v>44</v>
      </c>
      <c r="B82">
        <v>756</v>
      </c>
      <c r="C82">
        <v>16</v>
      </c>
      <c r="D82">
        <v>46</v>
      </c>
      <c r="E82">
        <v>12</v>
      </c>
      <c r="F82">
        <v>138.58780040964399</v>
      </c>
      <c r="G82">
        <v>3</v>
      </c>
      <c r="H82">
        <v>10000</v>
      </c>
      <c r="I82" t="s">
        <v>733</v>
      </c>
      <c r="J82">
        <f t="shared" si="0"/>
        <v>0</v>
      </c>
    </row>
    <row r="83" spans="1:10" x14ac:dyDescent="0.2">
      <c r="A83" t="s">
        <v>44</v>
      </c>
      <c r="B83">
        <v>756</v>
      </c>
      <c r="C83">
        <v>16</v>
      </c>
      <c r="D83">
        <v>44</v>
      </c>
      <c r="E83">
        <v>10</v>
      </c>
      <c r="F83">
        <v>138.53402345068699</v>
      </c>
      <c r="G83">
        <v>3</v>
      </c>
      <c r="H83">
        <v>10000</v>
      </c>
      <c r="I83" t="s">
        <v>734</v>
      </c>
      <c r="J83">
        <f t="shared" si="0"/>
        <v>0</v>
      </c>
    </row>
    <row r="84" spans="1:10" x14ac:dyDescent="0.2">
      <c r="A84" t="s">
        <v>44</v>
      </c>
      <c r="B84">
        <v>756</v>
      </c>
      <c r="C84">
        <v>16</v>
      </c>
      <c r="D84">
        <v>44</v>
      </c>
      <c r="E84">
        <v>10</v>
      </c>
      <c r="F84">
        <v>138.487422675825</v>
      </c>
      <c r="G84">
        <v>2</v>
      </c>
      <c r="H84">
        <v>10000</v>
      </c>
      <c r="I84" t="s">
        <v>735</v>
      </c>
      <c r="J84">
        <f t="shared" si="0"/>
        <v>0</v>
      </c>
    </row>
    <row r="85" spans="1:10" x14ac:dyDescent="0.2">
      <c r="A85" t="s">
        <v>44</v>
      </c>
      <c r="B85">
        <v>756</v>
      </c>
      <c r="C85">
        <v>16</v>
      </c>
      <c r="D85">
        <v>44</v>
      </c>
      <c r="E85">
        <v>10</v>
      </c>
      <c r="F85">
        <v>138.412235318683</v>
      </c>
      <c r="G85">
        <v>1</v>
      </c>
      <c r="H85">
        <v>10000</v>
      </c>
      <c r="I85" t="s">
        <v>736</v>
      </c>
      <c r="J85">
        <f t="shared" si="0"/>
        <v>0</v>
      </c>
    </row>
    <row r="86" spans="1:10" x14ac:dyDescent="0.2">
      <c r="A86" t="s">
        <v>44</v>
      </c>
      <c r="B86">
        <v>756</v>
      </c>
      <c r="C86">
        <v>16</v>
      </c>
      <c r="D86">
        <v>46</v>
      </c>
      <c r="E86">
        <v>12</v>
      </c>
      <c r="F86">
        <v>138.55943481437799</v>
      </c>
      <c r="G86">
        <v>4</v>
      </c>
      <c r="H86">
        <v>10000</v>
      </c>
      <c r="I86" t="s">
        <v>737</v>
      </c>
      <c r="J86">
        <f t="shared" si="0"/>
        <v>0</v>
      </c>
    </row>
    <row r="87" spans="1:10" x14ac:dyDescent="0.2">
      <c r="A87" t="s">
        <v>44</v>
      </c>
      <c r="B87">
        <v>756</v>
      </c>
      <c r="C87">
        <v>16</v>
      </c>
      <c r="D87">
        <v>40</v>
      </c>
      <c r="E87">
        <v>6</v>
      </c>
      <c r="F87">
        <v>138.42103156261101</v>
      </c>
      <c r="G87">
        <v>1</v>
      </c>
      <c r="H87">
        <v>10000</v>
      </c>
      <c r="I87" t="s">
        <v>738</v>
      </c>
      <c r="J87">
        <f t="shared" si="0"/>
        <v>0</v>
      </c>
    </row>
    <row r="88" spans="1:10" x14ac:dyDescent="0.2">
      <c r="A88" t="s">
        <v>44</v>
      </c>
      <c r="B88">
        <v>756</v>
      </c>
      <c r="C88">
        <v>16</v>
      </c>
      <c r="D88">
        <v>40</v>
      </c>
      <c r="E88">
        <v>6</v>
      </c>
      <c r="F88">
        <v>138.548965823836</v>
      </c>
      <c r="G88">
        <v>1</v>
      </c>
      <c r="H88">
        <v>10000</v>
      </c>
      <c r="I88" t="s">
        <v>739</v>
      </c>
      <c r="J88">
        <f t="shared" si="0"/>
        <v>0</v>
      </c>
    </row>
    <row r="89" spans="1:10" x14ac:dyDescent="0.2">
      <c r="A89" t="s">
        <v>44</v>
      </c>
      <c r="B89">
        <v>756</v>
      </c>
      <c r="C89">
        <v>16</v>
      </c>
      <c r="D89">
        <v>40</v>
      </c>
      <c r="E89">
        <v>6</v>
      </c>
      <c r="F89">
        <v>138.472395129501</v>
      </c>
      <c r="G89">
        <v>1</v>
      </c>
      <c r="H89">
        <v>10000</v>
      </c>
      <c r="I89" t="s">
        <v>740</v>
      </c>
      <c r="J89">
        <f t="shared" si="0"/>
        <v>0</v>
      </c>
    </row>
    <row r="90" spans="1:10" x14ac:dyDescent="0.2">
      <c r="A90" t="s">
        <v>44</v>
      </c>
      <c r="B90">
        <v>756</v>
      </c>
      <c r="C90">
        <v>16</v>
      </c>
      <c r="D90">
        <v>42</v>
      </c>
      <c r="E90">
        <v>8</v>
      </c>
      <c r="F90">
        <v>138.53746082168001</v>
      </c>
      <c r="G90">
        <v>2</v>
      </c>
      <c r="H90">
        <v>10000</v>
      </c>
      <c r="I90" t="s">
        <v>741</v>
      </c>
      <c r="J90">
        <f t="shared" si="0"/>
        <v>0</v>
      </c>
    </row>
    <row r="91" spans="1:10" x14ac:dyDescent="0.2">
      <c r="A91" t="s">
        <v>44</v>
      </c>
      <c r="B91">
        <v>756</v>
      </c>
      <c r="C91">
        <v>16</v>
      </c>
      <c r="D91">
        <v>42</v>
      </c>
      <c r="E91">
        <v>8</v>
      </c>
      <c r="F91">
        <v>138.610197340138</v>
      </c>
      <c r="G91">
        <v>2</v>
      </c>
      <c r="H91">
        <v>10000</v>
      </c>
      <c r="I91" t="s">
        <v>742</v>
      </c>
      <c r="J91">
        <f t="shared" si="0"/>
        <v>0</v>
      </c>
    </row>
    <row r="92" spans="1:10" x14ac:dyDescent="0.2">
      <c r="A92" t="s">
        <v>44</v>
      </c>
      <c r="B92">
        <v>756</v>
      </c>
      <c r="C92">
        <v>16</v>
      </c>
      <c r="D92">
        <v>36</v>
      </c>
      <c r="E92">
        <v>2</v>
      </c>
      <c r="F92">
        <v>138.485872838646</v>
      </c>
      <c r="G92">
        <v>1</v>
      </c>
      <c r="H92">
        <v>10000</v>
      </c>
      <c r="I92" t="s">
        <v>743</v>
      </c>
      <c r="J92">
        <f t="shared" si="0"/>
        <v>0</v>
      </c>
    </row>
    <row r="93" spans="1:10" x14ac:dyDescent="0.2">
      <c r="A93" t="s">
        <v>44</v>
      </c>
      <c r="B93">
        <v>756</v>
      </c>
      <c r="C93">
        <v>16</v>
      </c>
      <c r="D93">
        <v>36</v>
      </c>
      <c r="E93">
        <v>2</v>
      </c>
      <c r="F93">
        <v>138.47581508848799</v>
      </c>
      <c r="G93">
        <v>1</v>
      </c>
      <c r="H93">
        <v>10000</v>
      </c>
      <c r="I93" t="s">
        <v>744</v>
      </c>
      <c r="J93">
        <f t="shared" si="0"/>
        <v>0</v>
      </c>
    </row>
    <row r="94" spans="1:10" x14ac:dyDescent="0.2">
      <c r="A94" t="s">
        <v>44</v>
      </c>
      <c r="B94">
        <v>756</v>
      </c>
      <c r="C94">
        <v>16</v>
      </c>
      <c r="D94">
        <v>44</v>
      </c>
      <c r="E94">
        <v>10</v>
      </c>
      <c r="F94">
        <v>138.510394003242</v>
      </c>
      <c r="G94">
        <v>1</v>
      </c>
      <c r="H94">
        <v>10000</v>
      </c>
      <c r="I94" t="s">
        <v>745</v>
      </c>
      <c r="J94">
        <f t="shared" si="0"/>
        <v>0</v>
      </c>
    </row>
    <row r="95" spans="1:10" x14ac:dyDescent="0.2">
      <c r="A95" t="s">
        <v>44</v>
      </c>
      <c r="B95">
        <v>756</v>
      </c>
      <c r="C95">
        <v>16</v>
      </c>
      <c r="D95">
        <v>42</v>
      </c>
      <c r="E95">
        <v>8</v>
      </c>
      <c r="F95">
        <v>138.489773983135</v>
      </c>
      <c r="G95">
        <v>1</v>
      </c>
      <c r="H95">
        <v>10000</v>
      </c>
      <c r="I95" t="s">
        <v>746</v>
      </c>
      <c r="J95">
        <f t="shared" si="0"/>
        <v>0</v>
      </c>
    </row>
    <row r="96" spans="1:10" x14ac:dyDescent="0.2">
      <c r="A96" t="s">
        <v>44</v>
      </c>
      <c r="B96">
        <v>756</v>
      </c>
      <c r="C96">
        <v>16</v>
      </c>
      <c r="D96">
        <v>46</v>
      </c>
      <c r="E96">
        <v>12</v>
      </c>
      <c r="F96">
        <v>138.600600364618</v>
      </c>
      <c r="G96">
        <v>2</v>
      </c>
      <c r="H96">
        <v>10000</v>
      </c>
      <c r="I96" t="s">
        <v>747</v>
      </c>
      <c r="J96">
        <f t="shared" si="0"/>
        <v>0</v>
      </c>
    </row>
    <row r="97" spans="1:10" x14ac:dyDescent="0.2">
      <c r="A97" t="s">
        <v>44</v>
      </c>
      <c r="B97">
        <v>756</v>
      </c>
      <c r="C97">
        <v>16</v>
      </c>
      <c r="D97">
        <v>46</v>
      </c>
      <c r="E97">
        <v>12</v>
      </c>
      <c r="F97">
        <v>138.41822949238099</v>
      </c>
      <c r="G97">
        <v>1</v>
      </c>
      <c r="H97">
        <v>10000</v>
      </c>
      <c r="I97" t="s">
        <v>748</v>
      </c>
      <c r="J97">
        <f t="shared" ref="J97:J131" si="1">IF(D97=34,G97,0)</f>
        <v>0</v>
      </c>
    </row>
    <row r="98" spans="1:10" x14ac:dyDescent="0.2">
      <c r="A98" t="s">
        <v>44</v>
      </c>
      <c r="B98">
        <v>756</v>
      </c>
      <c r="C98">
        <v>16</v>
      </c>
      <c r="D98">
        <v>42</v>
      </c>
      <c r="E98">
        <v>8</v>
      </c>
      <c r="F98">
        <v>138.60973815247399</v>
      </c>
      <c r="G98">
        <v>1</v>
      </c>
      <c r="H98">
        <v>10000</v>
      </c>
      <c r="I98" t="s">
        <v>749</v>
      </c>
      <c r="J98">
        <f t="shared" si="1"/>
        <v>0</v>
      </c>
    </row>
    <row r="99" spans="1:10" x14ac:dyDescent="0.2">
      <c r="A99" t="s">
        <v>44</v>
      </c>
      <c r="B99">
        <v>756</v>
      </c>
      <c r="C99">
        <v>16</v>
      </c>
      <c r="D99">
        <v>46</v>
      </c>
      <c r="E99">
        <v>12</v>
      </c>
      <c r="F99">
        <v>138.44876347854699</v>
      </c>
      <c r="G99">
        <v>1</v>
      </c>
      <c r="H99">
        <v>10000</v>
      </c>
      <c r="I99" t="s">
        <v>750</v>
      </c>
      <c r="J99">
        <f t="shared" si="1"/>
        <v>0</v>
      </c>
    </row>
    <row r="100" spans="1:10" x14ac:dyDescent="0.2">
      <c r="A100" t="s">
        <v>44</v>
      </c>
      <c r="B100">
        <v>756</v>
      </c>
      <c r="C100">
        <v>16</v>
      </c>
      <c r="D100">
        <v>44</v>
      </c>
      <c r="E100">
        <v>10</v>
      </c>
      <c r="F100">
        <v>138.46403996832601</v>
      </c>
      <c r="G100">
        <v>2</v>
      </c>
      <c r="H100">
        <v>10000</v>
      </c>
      <c r="I100" t="s">
        <v>751</v>
      </c>
      <c r="J100">
        <f t="shared" si="1"/>
        <v>0</v>
      </c>
    </row>
    <row r="101" spans="1:10" x14ac:dyDescent="0.2">
      <c r="A101" t="s">
        <v>44</v>
      </c>
      <c r="B101">
        <v>756</v>
      </c>
      <c r="C101">
        <v>16</v>
      </c>
      <c r="D101">
        <v>42</v>
      </c>
      <c r="E101">
        <v>8</v>
      </c>
      <c r="F101">
        <v>138.58943578321399</v>
      </c>
      <c r="G101">
        <v>2</v>
      </c>
      <c r="H101">
        <v>10000</v>
      </c>
      <c r="I101" t="s">
        <v>752</v>
      </c>
      <c r="J101">
        <f t="shared" si="1"/>
        <v>0</v>
      </c>
    </row>
    <row r="102" spans="1:10" x14ac:dyDescent="0.2">
      <c r="A102" t="s">
        <v>44</v>
      </c>
      <c r="B102">
        <v>756</v>
      </c>
      <c r="C102">
        <v>16</v>
      </c>
      <c r="D102">
        <v>42</v>
      </c>
      <c r="E102">
        <v>8</v>
      </c>
      <c r="F102">
        <v>138.552027895115</v>
      </c>
      <c r="G102">
        <v>2</v>
      </c>
      <c r="H102">
        <v>10000</v>
      </c>
      <c r="I102" t="s">
        <v>753</v>
      </c>
      <c r="J102">
        <f t="shared" si="1"/>
        <v>0</v>
      </c>
    </row>
    <row r="103" spans="1:10" x14ac:dyDescent="0.2">
      <c r="A103" t="s">
        <v>44</v>
      </c>
      <c r="B103">
        <v>756</v>
      </c>
      <c r="C103">
        <v>16</v>
      </c>
      <c r="D103">
        <v>34</v>
      </c>
      <c r="E103">
        <v>0</v>
      </c>
      <c r="F103">
        <v>138.652719195</v>
      </c>
      <c r="G103">
        <v>1</v>
      </c>
      <c r="H103">
        <v>10000</v>
      </c>
      <c r="I103" t="s">
        <v>754</v>
      </c>
      <c r="J103">
        <f t="shared" si="1"/>
        <v>1</v>
      </c>
    </row>
    <row r="104" spans="1:10" x14ac:dyDescent="0.2">
      <c r="A104" t="s">
        <v>44</v>
      </c>
      <c r="B104">
        <v>756</v>
      </c>
      <c r="C104">
        <v>16</v>
      </c>
      <c r="D104">
        <v>42</v>
      </c>
      <c r="E104">
        <v>8</v>
      </c>
      <c r="F104">
        <v>138.62394613958801</v>
      </c>
      <c r="G104">
        <v>1</v>
      </c>
      <c r="H104">
        <v>10000</v>
      </c>
      <c r="I104" t="s">
        <v>755</v>
      </c>
      <c r="J104">
        <f t="shared" si="1"/>
        <v>0</v>
      </c>
    </row>
    <row r="105" spans="1:10" x14ac:dyDescent="0.2">
      <c r="A105" t="s">
        <v>44</v>
      </c>
      <c r="B105">
        <v>756</v>
      </c>
      <c r="C105">
        <v>16</v>
      </c>
      <c r="D105">
        <v>46</v>
      </c>
      <c r="E105">
        <v>12</v>
      </c>
      <c r="F105">
        <v>138.64609464257899</v>
      </c>
      <c r="G105">
        <v>4</v>
      </c>
      <c r="H105">
        <v>10000</v>
      </c>
      <c r="I105" t="s">
        <v>756</v>
      </c>
      <c r="J105">
        <f t="shared" si="1"/>
        <v>0</v>
      </c>
    </row>
    <row r="106" spans="1:10" x14ac:dyDescent="0.2">
      <c r="A106" t="s">
        <v>44</v>
      </c>
      <c r="B106">
        <v>756</v>
      </c>
      <c r="C106">
        <v>16</v>
      </c>
      <c r="D106">
        <v>44</v>
      </c>
      <c r="E106">
        <v>10</v>
      </c>
      <c r="F106">
        <v>138.62976332940099</v>
      </c>
      <c r="G106">
        <v>1</v>
      </c>
      <c r="H106">
        <v>10000</v>
      </c>
      <c r="I106" t="s">
        <v>757</v>
      </c>
      <c r="J106">
        <f t="shared" si="1"/>
        <v>0</v>
      </c>
    </row>
    <row r="107" spans="1:10" x14ac:dyDescent="0.2">
      <c r="A107" t="s">
        <v>44</v>
      </c>
      <c r="B107">
        <v>756</v>
      </c>
      <c r="C107">
        <v>16</v>
      </c>
      <c r="D107">
        <v>42</v>
      </c>
      <c r="E107">
        <v>8</v>
      </c>
      <c r="F107">
        <v>138.53007807116899</v>
      </c>
      <c r="G107">
        <v>1</v>
      </c>
      <c r="H107">
        <v>10000</v>
      </c>
      <c r="I107" t="s">
        <v>758</v>
      </c>
      <c r="J107">
        <f t="shared" si="1"/>
        <v>0</v>
      </c>
    </row>
    <row r="108" spans="1:10" x14ac:dyDescent="0.2">
      <c r="A108" t="s">
        <v>44</v>
      </c>
      <c r="B108">
        <v>756</v>
      </c>
      <c r="C108">
        <v>16</v>
      </c>
      <c r="D108">
        <v>48</v>
      </c>
      <c r="E108">
        <v>14</v>
      </c>
      <c r="F108">
        <v>138.51156426500501</v>
      </c>
      <c r="G108">
        <v>4</v>
      </c>
      <c r="H108">
        <v>10000</v>
      </c>
      <c r="I108" t="s">
        <v>759</v>
      </c>
      <c r="J108">
        <f t="shared" si="1"/>
        <v>0</v>
      </c>
    </row>
    <row r="109" spans="1:10" x14ac:dyDescent="0.2">
      <c r="A109" t="s">
        <v>44</v>
      </c>
      <c r="B109">
        <v>756</v>
      </c>
      <c r="C109">
        <v>16</v>
      </c>
      <c r="D109">
        <v>42</v>
      </c>
      <c r="E109">
        <v>8</v>
      </c>
      <c r="F109">
        <v>138.47055738884899</v>
      </c>
      <c r="G109">
        <v>2</v>
      </c>
      <c r="H109">
        <v>10000</v>
      </c>
      <c r="I109" t="s">
        <v>760</v>
      </c>
      <c r="J109">
        <f t="shared" si="1"/>
        <v>0</v>
      </c>
    </row>
    <row r="110" spans="1:10" x14ac:dyDescent="0.2">
      <c r="A110" t="s">
        <v>44</v>
      </c>
      <c r="B110">
        <v>756</v>
      </c>
      <c r="C110">
        <v>16</v>
      </c>
      <c r="D110">
        <v>36</v>
      </c>
      <c r="E110">
        <v>2</v>
      </c>
      <c r="F110">
        <v>138.455213676206</v>
      </c>
      <c r="G110">
        <v>1</v>
      </c>
      <c r="H110">
        <v>10000</v>
      </c>
      <c r="I110" t="s">
        <v>761</v>
      </c>
      <c r="J110">
        <f t="shared" si="1"/>
        <v>0</v>
      </c>
    </row>
    <row r="111" spans="1:10" x14ac:dyDescent="0.2">
      <c r="A111" t="s">
        <v>44</v>
      </c>
      <c r="B111">
        <v>756</v>
      </c>
      <c r="C111">
        <v>16</v>
      </c>
      <c r="D111">
        <v>42</v>
      </c>
      <c r="E111">
        <v>8</v>
      </c>
      <c r="F111">
        <v>138.43474486935801</v>
      </c>
      <c r="G111">
        <v>1</v>
      </c>
      <c r="H111">
        <v>10000</v>
      </c>
      <c r="I111" t="s">
        <v>762</v>
      </c>
      <c r="J111">
        <f t="shared" si="1"/>
        <v>0</v>
      </c>
    </row>
    <row r="112" spans="1:10" x14ac:dyDescent="0.2">
      <c r="A112" t="s">
        <v>44</v>
      </c>
      <c r="B112">
        <v>756</v>
      </c>
      <c r="C112">
        <v>16</v>
      </c>
      <c r="D112">
        <v>44</v>
      </c>
      <c r="E112">
        <v>10</v>
      </c>
      <c r="F112">
        <v>138.49039416573899</v>
      </c>
      <c r="G112">
        <v>3</v>
      </c>
      <c r="H112">
        <v>10000</v>
      </c>
      <c r="I112" t="s">
        <v>763</v>
      </c>
      <c r="J112">
        <f t="shared" si="1"/>
        <v>0</v>
      </c>
    </row>
    <row r="113" spans="1:10" x14ac:dyDescent="0.2">
      <c r="A113" t="s">
        <v>44</v>
      </c>
      <c r="B113">
        <v>756</v>
      </c>
      <c r="C113">
        <v>16</v>
      </c>
      <c r="D113">
        <v>42</v>
      </c>
      <c r="E113">
        <v>8</v>
      </c>
      <c r="F113">
        <v>138.48509417288</v>
      </c>
      <c r="G113">
        <v>2</v>
      </c>
      <c r="H113">
        <v>10000</v>
      </c>
      <c r="I113" t="s">
        <v>764</v>
      </c>
      <c r="J113">
        <f t="shared" si="1"/>
        <v>0</v>
      </c>
    </row>
    <row r="114" spans="1:10" x14ac:dyDescent="0.2">
      <c r="A114" t="s">
        <v>44</v>
      </c>
      <c r="B114">
        <v>756</v>
      </c>
      <c r="C114">
        <v>16</v>
      </c>
      <c r="D114">
        <v>44</v>
      </c>
      <c r="E114">
        <v>10</v>
      </c>
      <c r="F114">
        <v>138.47265488095499</v>
      </c>
      <c r="G114">
        <v>1</v>
      </c>
      <c r="H114">
        <v>10000</v>
      </c>
      <c r="I114" t="s">
        <v>765</v>
      </c>
      <c r="J114">
        <f t="shared" si="1"/>
        <v>0</v>
      </c>
    </row>
    <row r="115" spans="1:10" x14ac:dyDescent="0.2">
      <c r="A115" t="s">
        <v>44</v>
      </c>
      <c r="B115">
        <v>756</v>
      </c>
      <c r="C115">
        <v>16</v>
      </c>
      <c r="D115">
        <v>44</v>
      </c>
      <c r="E115">
        <v>10</v>
      </c>
      <c r="F115">
        <v>138.44104588497399</v>
      </c>
      <c r="G115">
        <v>1</v>
      </c>
      <c r="H115">
        <v>10000</v>
      </c>
      <c r="I115" t="s">
        <v>766</v>
      </c>
      <c r="J115">
        <f t="shared" si="1"/>
        <v>0</v>
      </c>
    </row>
    <row r="116" spans="1:10" x14ac:dyDescent="0.2">
      <c r="A116" t="s">
        <v>44</v>
      </c>
      <c r="B116">
        <v>756</v>
      </c>
      <c r="C116">
        <v>16</v>
      </c>
      <c r="D116">
        <v>42</v>
      </c>
      <c r="E116">
        <v>8</v>
      </c>
      <c r="F116">
        <v>138.53150802384999</v>
      </c>
      <c r="G116">
        <v>2</v>
      </c>
      <c r="H116">
        <v>10000</v>
      </c>
      <c r="I116" t="s">
        <v>767</v>
      </c>
      <c r="J116">
        <f t="shared" si="1"/>
        <v>0</v>
      </c>
    </row>
    <row r="117" spans="1:10" x14ac:dyDescent="0.2">
      <c r="A117" t="s">
        <v>44</v>
      </c>
      <c r="B117">
        <v>756</v>
      </c>
      <c r="C117">
        <v>16</v>
      </c>
      <c r="D117">
        <v>42</v>
      </c>
      <c r="E117">
        <v>8</v>
      </c>
      <c r="F117">
        <v>138.45482189208201</v>
      </c>
      <c r="G117">
        <v>1</v>
      </c>
      <c r="H117">
        <v>10000</v>
      </c>
      <c r="I117" t="s">
        <v>768</v>
      </c>
      <c r="J117">
        <f t="shared" si="1"/>
        <v>0</v>
      </c>
    </row>
    <row r="118" spans="1:10" x14ac:dyDescent="0.2">
      <c r="A118" t="s">
        <v>44</v>
      </c>
      <c r="B118">
        <v>756</v>
      </c>
      <c r="C118">
        <v>16</v>
      </c>
      <c r="D118">
        <v>44</v>
      </c>
      <c r="E118">
        <v>10</v>
      </c>
      <c r="F118">
        <v>138.55159247666501</v>
      </c>
      <c r="G118">
        <v>5</v>
      </c>
      <c r="H118">
        <v>10000</v>
      </c>
      <c r="I118" t="s">
        <v>769</v>
      </c>
      <c r="J118">
        <f t="shared" si="1"/>
        <v>0</v>
      </c>
    </row>
    <row r="119" spans="1:10" x14ac:dyDescent="0.2">
      <c r="A119" t="s">
        <v>44</v>
      </c>
      <c r="B119">
        <v>756</v>
      </c>
      <c r="C119">
        <v>16</v>
      </c>
      <c r="D119">
        <v>40</v>
      </c>
      <c r="E119">
        <v>6</v>
      </c>
      <c r="F119">
        <v>138.47331732604599</v>
      </c>
      <c r="G119">
        <v>1</v>
      </c>
      <c r="H119">
        <v>10000</v>
      </c>
      <c r="I119" t="s">
        <v>770</v>
      </c>
      <c r="J119">
        <f t="shared" si="1"/>
        <v>0</v>
      </c>
    </row>
    <row r="120" spans="1:10" x14ac:dyDescent="0.2">
      <c r="A120" t="s">
        <v>44</v>
      </c>
      <c r="B120">
        <v>756</v>
      </c>
      <c r="C120">
        <v>16</v>
      </c>
      <c r="D120">
        <v>42</v>
      </c>
      <c r="E120">
        <v>8</v>
      </c>
      <c r="F120">
        <v>138.49437417834901</v>
      </c>
      <c r="G120">
        <v>1</v>
      </c>
      <c r="H120">
        <v>10000</v>
      </c>
      <c r="I120" t="s">
        <v>771</v>
      </c>
      <c r="J120">
        <f t="shared" si="1"/>
        <v>0</v>
      </c>
    </row>
    <row r="121" spans="1:10" x14ac:dyDescent="0.2">
      <c r="A121" t="s">
        <v>44</v>
      </c>
      <c r="B121">
        <v>756</v>
      </c>
      <c r="C121">
        <v>16</v>
      </c>
      <c r="D121">
        <v>34</v>
      </c>
      <c r="E121">
        <v>0</v>
      </c>
      <c r="F121">
        <v>138.51447027362801</v>
      </c>
      <c r="G121">
        <v>1</v>
      </c>
      <c r="H121">
        <v>10000</v>
      </c>
      <c r="I121" t="s">
        <v>772</v>
      </c>
      <c r="J121">
        <f t="shared" si="1"/>
        <v>1</v>
      </c>
    </row>
    <row r="122" spans="1:10" x14ac:dyDescent="0.2">
      <c r="A122" t="s">
        <v>44</v>
      </c>
      <c r="B122">
        <v>756</v>
      </c>
      <c r="C122">
        <v>16</v>
      </c>
      <c r="D122">
        <v>44</v>
      </c>
      <c r="E122">
        <v>10</v>
      </c>
      <c r="F122">
        <v>138.46066256985</v>
      </c>
      <c r="G122">
        <v>1</v>
      </c>
      <c r="H122">
        <v>10000</v>
      </c>
      <c r="I122" t="s">
        <v>773</v>
      </c>
      <c r="J122">
        <f t="shared" si="1"/>
        <v>0</v>
      </c>
    </row>
    <row r="123" spans="1:10" x14ac:dyDescent="0.2">
      <c r="A123" t="s">
        <v>44</v>
      </c>
      <c r="B123">
        <v>756</v>
      </c>
      <c r="C123">
        <v>16</v>
      </c>
      <c r="D123">
        <v>38</v>
      </c>
      <c r="E123">
        <v>4</v>
      </c>
      <c r="F123">
        <v>138.400564624927</v>
      </c>
      <c r="G123">
        <v>1</v>
      </c>
      <c r="H123">
        <v>10000</v>
      </c>
      <c r="I123" t="s">
        <v>774</v>
      </c>
      <c r="J123">
        <f t="shared" si="1"/>
        <v>0</v>
      </c>
    </row>
    <row r="124" spans="1:10" x14ac:dyDescent="0.2">
      <c r="A124" t="s">
        <v>44</v>
      </c>
      <c r="B124">
        <v>756</v>
      </c>
      <c r="C124">
        <v>16</v>
      </c>
      <c r="D124">
        <v>42</v>
      </c>
      <c r="E124">
        <v>8</v>
      </c>
      <c r="F124">
        <v>138.426349034532</v>
      </c>
      <c r="G124">
        <v>1</v>
      </c>
      <c r="H124">
        <v>10000</v>
      </c>
      <c r="I124" t="s">
        <v>775</v>
      </c>
      <c r="J124">
        <f t="shared" si="1"/>
        <v>0</v>
      </c>
    </row>
    <row r="125" spans="1:10" x14ac:dyDescent="0.2">
      <c r="A125" t="s">
        <v>44</v>
      </c>
      <c r="B125">
        <v>756</v>
      </c>
      <c r="C125">
        <v>16</v>
      </c>
      <c r="D125">
        <v>40</v>
      </c>
      <c r="E125">
        <v>6</v>
      </c>
      <c r="F125">
        <v>138.39418080076501</v>
      </c>
      <c r="G125">
        <v>2</v>
      </c>
      <c r="H125">
        <v>10000</v>
      </c>
      <c r="I125" t="s">
        <v>776</v>
      </c>
      <c r="J125">
        <f t="shared" si="1"/>
        <v>0</v>
      </c>
    </row>
    <row r="126" spans="1:10" x14ac:dyDescent="0.2">
      <c r="A126" t="s">
        <v>44</v>
      </c>
      <c r="B126">
        <v>756</v>
      </c>
      <c r="C126">
        <v>16</v>
      </c>
      <c r="D126">
        <v>42</v>
      </c>
      <c r="E126">
        <v>8</v>
      </c>
      <c r="F126">
        <v>138.406204128637</v>
      </c>
      <c r="G126">
        <v>1</v>
      </c>
      <c r="H126">
        <v>10000</v>
      </c>
      <c r="I126" t="s">
        <v>777</v>
      </c>
      <c r="J126">
        <f t="shared" si="1"/>
        <v>0</v>
      </c>
    </row>
    <row r="127" spans="1:10" x14ac:dyDescent="0.2">
      <c r="A127" t="s">
        <v>44</v>
      </c>
      <c r="B127">
        <v>756</v>
      </c>
      <c r="C127">
        <v>16</v>
      </c>
      <c r="D127">
        <v>38</v>
      </c>
      <c r="E127">
        <v>4</v>
      </c>
      <c r="F127">
        <v>138.526032424531</v>
      </c>
      <c r="G127">
        <v>1</v>
      </c>
      <c r="H127">
        <v>10000</v>
      </c>
      <c r="I127" t="s">
        <v>778</v>
      </c>
      <c r="J127">
        <f t="shared" si="1"/>
        <v>0</v>
      </c>
    </row>
    <row r="128" spans="1:10" x14ac:dyDescent="0.2">
      <c r="A128" t="s">
        <v>44</v>
      </c>
      <c r="B128">
        <v>756</v>
      </c>
      <c r="C128">
        <v>16</v>
      </c>
      <c r="D128">
        <v>42</v>
      </c>
      <c r="E128">
        <v>8</v>
      </c>
      <c r="F128">
        <v>138.554223612882</v>
      </c>
      <c r="G128">
        <v>2</v>
      </c>
      <c r="H128">
        <v>10000</v>
      </c>
      <c r="I128" t="s">
        <v>779</v>
      </c>
      <c r="J128">
        <f t="shared" si="1"/>
        <v>0</v>
      </c>
    </row>
    <row r="129" spans="1:10" x14ac:dyDescent="0.2">
      <c r="A129" t="s">
        <v>44</v>
      </c>
      <c r="B129">
        <v>756</v>
      </c>
      <c r="C129">
        <v>16</v>
      </c>
      <c r="D129">
        <v>42</v>
      </c>
      <c r="E129">
        <v>8</v>
      </c>
      <c r="F129">
        <v>138.45154551696001</v>
      </c>
      <c r="G129">
        <v>2</v>
      </c>
      <c r="H129">
        <v>10000</v>
      </c>
      <c r="I129" t="s">
        <v>780</v>
      </c>
      <c r="J129">
        <f t="shared" si="1"/>
        <v>0</v>
      </c>
    </row>
    <row r="130" spans="1:10" x14ac:dyDescent="0.2">
      <c r="A130" t="s">
        <v>44</v>
      </c>
      <c r="B130">
        <v>756</v>
      </c>
      <c r="C130">
        <v>16</v>
      </c>
      <c r="D130">
        <v>46</v>
      </c>
      <c r="E130">
        <v>12</v>
      </c>
      <c r="F130">
        <v>138.49033491499699</v>
      </c>
      <c r="G130">
        <v>2</v>
      </c>
      <c r="H130">
        <v>10000</v>
      </c>
      <c r="I130" t="s">
        <v>781</v>
      </c>
      <c r="J130">
        <f t="shared" si="1"/>
        <v>0</v>
      </c>
    </row>
    <row r="131" spans="1:10" x14ac:dyDescent="0.2">
      <c r="A131" t="s">
        <v>44</v>
      </c>
      <c r="B131">
        <v>756</v>
      </c>
      <c r="C131">
        <v>16</v>
      </c>
      <c r="D131">
        <v>46</v>
      </c>
      <c r="E131">
        <v>12</v>
      </c>
      <c r="F131">
        <v>138.44853522814799</v>
      </c>
      <c r="G131">
        <v>2</v>
      </c>
      <c r="H131">
        <v>10000</v>
      </c>
      <c r="I131" t="s">
        <v>782</v>
      </c>
      <c r="J131">
        <f t="shared" si="1"/>
        <v>0</v>
      </c>
    </row>
    <row r="134" spans="1:10" x14ac:dyDescent="0.2">
      <c r="H134">
        <f>SUM(H32:H133)</f>
        <v>1000000</v>
      </c>
      <c r="J134">
        <f>SUM(J32:J133)</f>
        <v>2</v>
      </c>
    </row>
    <row r="135" spans="1:10" x14ac:dyDescent="0.2">
      <c r="H135" s="19">
        <f>J134/H134</f>
        <v>1.9999999999999999E-6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02FB2-F65A-DE43-8EC8-D8A619C61AC0}">
  <dimension ref="A1:L127"/>
  <sheetViews>
    <sheetView workbookViewId="0">
      <selection activeCell="S32" sqref="S32"/>
    </sheetView>
  </sheetViews>
  <sheetFormatPr baseColWidth="10" defaultRowHeight="16" x14ac:dyDescent="0.2"/>
  <sheetData>
    <row r="1" spans="1:12" x14ac:dyDescent="0.2">
      <c r="A1" t="s">
        <v>0</v>
      </c>
    </row>
    <row r="2" spans="1:12" x14ac:dyDescent="0.2">
      <c r="A2" t="s">
        <v>1</v>
      </c>
    </row>
    <row r="3" spans="1:12" x14ac:dyDescent="0.2">
      <c r="A3" t="s">
        <v>101</v>
      </c>
    </row>
    <row r="4" spans="1:12" x14ac:dyDescent="0.2">
      <c r="A4" t="s">
        <v>102</v>
      </c>
    </row>
    <row r="5" spans="1:12" x14ac:dyDescent="0.2">
      <c r="A5" t="s">
        <v>3</v>
      </c>
      <c r="K5" t="s">
        <v>310</v>
      </c>
      <c r="L5">
        <f>COUNTIF(J:J,"&gt;0")</f>
        <v>13</v>
      </c>
    </row>
    <row r="6" spans="1:12" x14ac:dyDescent="0.2">
      <c r="A6" t="s">
        <v>4</v>
      </c>
      <c r="K6" t="s">
        <v>311</v>
      </c>
      <c r="L6">
        <f>COUNTIF(B:B,"&gt;0")</f>
        <v>100</v>
      </c>
    </row>
    <row r="7" spans="1:12" x14ac:dyDescent="0.2">
      <c r="A7" t="s">
        <v>5</v>
      </c>
      <c r="L7" s="1">
        <f>L5/L6</f>
        <v>0.13</v>
      </c>
    </row>
    <row r="8" spans="1:12" x14ac:dyDescent="0.2">
      <c r="A8" t="s">
        <v>6</v>
      </c>
    </row>
    <row r="9" spans="1:12" x14ac:dyDescent="0.2">
      <c r="A9" t="s">
        <v>104</v>
      </c>
      <c r="K9" t="s">
        <v>29</v>
      </c>
      <c r="L9" s="2">
        <f>SUM(J:J)</f>
        <v>40456</v>
      </c>
    </row>
    <row r="10" spans="1:12" x14ac:dyDescent="0.2">
      <c r="A10" t="s">
        <v>8</v>
      </c>
      <c r="K10" t="s">
        <v>30</v>
      </c>
      <c r="L10">
        <f>SUM(H:H)</f>
        <v>1000000</v>
      </c>
    </row>
    <row r="11" spans="1:12" x14ac:dyDescent="0.2">
      <c r="A11" t="s">
        <v>9</v>
      </c>
      <c r="L11" s="1">
        <f>L9/L10</f>
        <v>4.0455999999999999E-2</v>
      </c>
    </row>
    <row r="12" spans="1:12" x14ac:dyDescent="0.2">
      <c r="A12" t="s">
        <v>10</v>
      </c>
    </row>
    <row r="13" spans="1:12" x14ac:dyDescent="0.2">
      <c r="A13" t="s">
        <v>11</v>
      </c>
    </row>
    <row r="14" spans="1:12" x14ac:dyDescent="0.2">
      <c r="A14" t="s">
        <v>12</v>
      </c>
    </row>
    <row r="15" spans="1:12" x14ac:dyDescent="0.2">
      <c r="A15" t="s">
        <v>13</v>
      </c>
    </row>
    <row r="16" spans="1:12" x14ac:dyDescent="0.2">
      <c r="A16" t="s">
        <v>14</v>
      </c>
    </row>
    <row r="17" spans="1:10" x14ac:dyDescent="0.2">
      <c r="A17" t="s">
        <v>15</v>
      </c>
    </row>
    <row r="18" spans="1:10" x14ac:dyDescent="0.2">
      <c r="A18" t="s">
        <v>16</v>
      </c>
    </row>
    <row r="19" spans="1:10" x14ac:dyDescent="0.2">
      <c r="A19" t="s">
        <v>107</v>
      </c>
    </row>
    <row r="20" spans="1:10" x14ac:dyDescent="0.2">
      <c r="A20" t="s">
        <v>18</v>
      </c>
    </row>
    <row r="21" spans="1:10" x14ac:dyDescent="0.2">
      <c r="A21" t="s">
        <v>105</v>
      </c>
    </row>
    <row r="22" spans="1:10" x14ac:dyDescent="0.2">
      <c r="A22" t="s">
        <v>106</v>
      </c>
    </row>
    <row r="23" spans="1:10" x14ac:dyDescent="0.2">
      <c r="A23" t="s">
        <v>19</v>
      </c>
    </row>
    <row r="24" spans="1:10" x14ac:dyDescent="0.2">
      <c r="A24" t="s">
        <v>20</v>
      </c>
    </row>
    <row r="25" spans="1:10" x14ac:dyDescent="0.2">
      <c r="A25" t="s">
        <v>108</v>
      </c>
    </row>
    <row r="26" spans="1:10" x14ac:dyDescent="0.2">
      <c r="A26" t="s">
        <v>22</v>
      </c>
    </row>
    <row r="27" spans="1:10" x14ac:dyDescent="0.2">
      <c r="A27" t="s">
        <v>23</v>
      </c>
      <c r="B27" t="s">
        <v>24</v>
      </c>
      <c r="C27" t="s">
        <v>25</v>
      </c>
      <c r="D27" t="s">
        <v>26</v>
      </c>
      <c r="E27" t="s">
        <v>27</v>
      </c>
      <c r="F27" t="s">
        <v>28</v>
      </c>
      <c r="G27" t="s">
        <v>29</v>
      </c>
      <c r="H27" t="s">
        <v>30</v>
      </c>
      <c r="I27" t="s">
        <v>31</v>
      </c>
    </row>
    <row r="28" spans="1:10" x14ac:dyDescent="0.2">
      <c r="A28" t="s">
        <v>44</v>
      </c>
      <c r="B28">
        <v>756</v>
      </c>
      <c r="C28">
        <v>16</v>
      </c>
      <c r="D28">
        <v>38</v>
      </c>
      <c r="E28">
        <v>4</v>
      </c>
      <c r="F28">
        <v>172.24872329199499</v>
      </c>
      <c r="G28">
        <v>6922</v>
      </c>
      <c r="H28">
        <v>10000</v>
      </c>
      <c r="I28" t="s">
        <v>109</v>
      </c>
      <c r="J28">
        <f t="shared" ref="J28:J91" si="0">IF(E28=0,G28,)</f>
        <v>0</v>
      </c>
    </row>
    <row r="29" spans="1:10" x14ac:dyDescent="0.2">
      <c r="A29" t="s">
        <v>44</v>
      </c>
      <c r="B29">
        <v>756</v>
      </c>
      <c r="C29">
        <v>16</v>
      </c>
      <c r="D29">
        <v>34</v>
      </c>
      <c r="E29">
        <v>0</v>
      </c>
      <c r="F29">
        <v>173.50536612499801</v>
      </c>
      <c r="G29">
        <v>6176</v>
      </c>
      <c r="H29">
        <v>10000</v>
      </c>
      <c r="I29" t="s">
        <v>110</v>
      </c>
      <c r="J29">
        <f t="shared" si="0"/>
        <v>6176</v>
      </c>
    </row>
    <row r="30" spans="1:10" x14ac:dyDescent="0.2">
      <c r="A30" t="s">
        <v>44</v>
      </c>
      <c r="B30">
        <v>756</v>
      </c>
      <c r="C30">
        <v>16</v>
      </c>
      <c r="D30">
        <v>36</v>
      </c>
      <c r="E30">
        <v>2</v>
      </c>
      <c r="F30">
        <v>173.48402629200399</v>
      </c>
      <c r="G30">
        <v>5690</v>
      </c>
      <c r="H30">
        <v>10000</v>
      </c>
      <c r="I30" t="s">
        <v>111</v>
      </c>
      <c r="J30">
        <f t="shared" si="0"/>
        <v>0</v>
      </c>
    </row>
    <row r="31" spans="1:10" x14ac:dyDescent="0.2">
      <c r="A31" t="s">
        <v>44</v>
      </c>
      <c r="B31">
        <v>756</v>
      </c>
      <c r="C31">
        <v>16</v>
      </c>
      <c r="D31">
        <v>34</v>
      </c>
      <c r="E31">
        <v>0</v>
      </c>
      <c r="F31">
        <v>168.414387124998</v>
      </c>
      <c r="G31">
        <v>5767</v>
      </c>
      <c r="H31">
        <v>10000</v>
      </c>
      <c r="I31" t="s">
        <v>112</v>
      </c>
      <c r="J31">
        <f t="shared" si="0"/>
        <v>5767</v>
      </c>
    </row>
    <row r="32" spans="1:10" x14ac:dyDescent="0.2">
      <c r="A32" t="s">
        <v>44</v>
      </c>
      <c r="B32">
        <v>756</v>
      </c>
      <c r="C32">
        <v>16</v>
      </c>
      <c r="D32">
        <v>34</v>
      </c>
      <c r="E32">
        <v>0</v>
      </c>
      <c r="F32">
        <v>177.661437999995</v>
      </c>
      <c r="G32">
        <v>5090</v>
      </c>
      <c r="H32">
        <v>10000</v>
      </c>
      <c r="I32" t="s">
        <v>113</v>
      </c>
      <c r="J32">
        <f t="shared" si="0"/>
        <v>5090</v>
      </c>
    </row>
    <row r="33" spans="1:10" x14ac:dyDescent="0.2">
      <c r="A33" t="s">
        <v>44</v>
      </c>
      <c r="B33">
        <v>756</v>
      </c>
      <c r="C33">
        <v>16</v>
      </c>
      <c r="D33">
        <v>40</v>
      </c>
      <c r="E33">
        <v>6</v>
      </c>
      <c r="F33">
        <v>168.97653895801301</v>
      </c>
      <c r="G33">
        <v>4378</v>
      </c>
      <c r="H33">
        <v>10000</v>
      </c>
      <c r="I33" t="s">
        <v>114</v>
      </c>
      <c r="J33">
        <f t="shared" si="0"/>
        <v>0</v>
      </c>
    </row>
    <row r="34" spans="1:10" x14ac:dyDescent="0.2">
      <c r="A34" t="s">
        <v>44</v>
      </c>
      <c r="B34">
        <v>756</v>
      </c>
      <c r="C34">
        <v>16</v>
      </c>
      <c r="D34">
        <v>36</v>
      </c>
      <c r="E34">
        <v>2</v>
      </c>
      <c r="F34">
        <v>182.37082995798801</v>
      </c>
      <c r="G34">
        <v>5312</v>
      </c>
      <c r="H34">
        <v>10000</v>
      </c>
      <c r="I34" t="s">
        <v>115</v>
      </c>
      <c r="J34">
        <f t="shared" si="0"/>
        <v>0</v>
      </c>
    </row>
    <row r="35" spans="1:10" x14ac:dyDescent="0.2">
      <c r="A35" t="s">
        <v>44</v>
      </c>
      <c r="B35">
        <v>756</v>
      </c>
      <c r="C35">
        <v>16</v>
      </c>
      <c r="D35">
        <v>36</v>
      </c>
      <c r="E35">
        <v>2</v>
      </c>
      <c r="F35">
        <v>172.455937750011</v>
      </c>
      <c r="G35">
        <v>6733</v>
      </c>
      <c r="H35">
        <v>10000</v>
      </c>
      <c r="I35" t="s">
        <v>116</v>
      </c>
      <c r="J35">
        <f t="shared" si="0"/>
        <v>0</v>
      </c>
    </row>
    <row r="36" spans="1:10" x14ac:dyDescent="0.2">
      <c r="A36" t="s">
        <v>44</v>
      </c>
      <c r="B36">
        <v>756</v>
      </c>
      <c r="C36">
        <v>16</v>
      </c>
      <c r="D36">
        <v>34</v>
      </c>
      <c r="E36">
        <v>0</v>
      </c>
      <c r="F36">
        <v>177.590642416995</v>
      </c>
      <c r="G36">
        <v>3495</v>
      </c>
      <c r="H36">
        <v>10000</v>
      </c>
      <c r="I36" t="s">
        <v>117</v>
      </c>
      <c r="J36">
        <f t="shared" si="0"/>
        <v>3495</v>
      </c>
    </row>
    <row r="37" spans="1:10" x14ac:dyDescent="0.2">
      <c r="A37" t="s">
        <v>44</v>
      </c>
      <c r="B37">
        <v>756</v>
      </c>
      <c r="C37">
        <v>16</v>
      </c>
      <c r="D37">
        <v>40</v>
      </c>
      <c r="E37">
        <v>6</v>
      </c>
      <c r="F37">
        <v>177.442816541995</v>
      </c>
      <c r="G37">
        <v>4737</v>
      </c>
      <c r="H37">
        <v>10000</v>
      </c>
      <c r="I37" t="s">
        <v>118</v>
      </c>
      <c r="J37">
        <f t="shared" si="0"/>
        <v>0</v>
      </c>
    </row>
    <row r="38" spans="1:10" x14ac:dyDescent="0.2">
      <c r="A38" t="s">
        <v>44</v>
      </c>
      <c r="B38">
        <v>756</v>
      </c>
      <c r="C38">
        <v>16</v>
      </c>
      <c r="D38">
        <v>44</v>
      </c>
      <c r="E38">
        <v>10</v>
      </c>
      <c r="F38">
        <v>173.17249120799499</v>
      </c>
      <c r="G38">
        <v>4842</v>
      </c>
      <c r="H38">
        <v>10000</v>
      </c>
      <c r="I38" t="s">
        <v>119</v>
      </c>
      <c r="J38">
        <f t="shared" si="0"/>
        <v>0</v>
      </c>
    </row>
    <row r="39" spans="1:10" x14ac:dyDescent="0.2">
      <c r="A39" t="s">
        <v>44</v>
      </c>
      <c r="B39">
        <v>756</v>
      </c>
      <c r="C39">
        <v>16</v>
      </c>
      <c r="D39">
        <v>42</v>
      </c>
      <c r="E39">
        <v>8</v>
      </c>
      <c r="F39">
        <v>171.402928875002</v>
      </c>
      <c r="G39">
        <v>5848</v>
      </c>
      <c r="H39">
        <v>10000</v>
      </c>
      <c r="I39" t="s">
        <v>120</v>
      </c>
      <c r="J39">
        <f t="shared" si="0"/>
        <v>0</v>
      </c>
    </row>
    <row r="40" spans="1:10" x14ac:dyDescent="0.2">
      <c r="A40" t="s">
        <v>44</v>
      </c>
      <c r="B40">
        <v>756</v>
      </c>
      <c r="C40">
        <v>16</v>
      </c>
      <c r="D40">
        <v>42</v>
      </c>
      <c r="E40">
        <v>8</v>
      </c>
      <c r="F40">
        <v>170.035139833009</v>
      </c>
      <c r="G40">
        <v>3525</v>
      </c>
      <c r="H40">
        <v>10000</v>
      </c>
      <c r="I40" t="s">
        <v>121</v>
      </c>
      <c r="J40">
        <f t="shared" si="0"/>
        <v>0</v>
      </c>
    </row>
    <row r="41" spans="1:10" x14ac:dyDescent="0.2">
      <c r="A41" t="s">
        <v>44</v>
      </c>
      <c r="B41">
        <v>756</v>
      </c>
      <c r="C41">
        <v>16</v>
      </c>
      <c r="D41">
        <v>38</v>
      </c>
      <c r="E41">
        <v>4</v>
      </c>
      <c r="F41">
        <v>167.379070708993</v>
      </c>
      <c r="G41">
        <v>5842</v>
      </c>
      <c r="H41">
        <v>10000</v>
      </c>
      <c r="I41" t="s">
        <v>122</v>
      </c>
      <c r="J41">
        <f t="shared" si="0"/>
        <v>0</v>
      </c>
    </row>
    <row r="42" spans="1:10" x14ac:dyDescent="0.2">
      <c r="A42" t="s">
        <v>44</v>
      </c>
      <c r="B42">
        <v>756</v>
      </c>
      <c r="C42">
        <v>16</v>
      </c>
      <c r="D42">
        <v>44</v>
      </c>
      <c r="E42">
        <v>10</v>
      </c>
      <c r="F42">
        <v>166.54263549999399</v>
      </c>
      <c r="G42">
        <v>1369</v>
      </c>
      <c r="H42">
        <v>10000</v>
      </c>
      <c r="I42" t="s">
        <v>123</v>
      </c>
      <c r="J42">
        <f t="shared" si="0"/>
        <v>0</v>
      </c>
    </row>
    <row r="43" spans="1:10" x14ac:dyDescent="0.2">
      <c r="A43" t="s">
        <v>44</v>
      </c>
      <c r="B43">
        <v>756</v>
      </c>
      <c r="C43">
        <v>16</v>
      </c>
      <c r="D43">
        <v>44</v>
      </c>
      <c r="E43">
        <v>10</v>
      </c>
      <c r="F43">
        <v>165.49043787500699</v>
      </c>
      <c r="G43">
        <v>6686</v>
      </c>
      <c r="H43">
        <v>10000</v>
      </c>
      <c r="I43" t="s">
        <v>124</v>
      </c>
      <c r="J43">
        <f t="shared" si="0"/>
        <v>0</v>
      </c>
    </row>
    <row r="44" spans="1:10" x14ac:dyDescent="0.2">
      <c r="A44" t="s">
        <v>44</v>
      </c>
      <c r="B44">
        <v>756</v>
      </c>
      <c r="C44">
        <v>16</v>
      </c>
      <c r="D44">
        <v>36</v>
      </c>
      <c r="E44">
        <v>2</v>
      </c>
      <c r="F44">
        <v>179.23836175000099</v>
      </c>
      <c r="G44">
        <v>5552</v>
      </c>
      <c r="H44">
        <v>10000</v>
      </c>
      <c r="I44" t="s">
        <v>125</v>
      </c>
      <c r="J44">
        <f t="shared" si="0"/>
        <v>0</v>
      </c>
    </row>
    <row r="45" spans="1:10" x14ac:dyDescent="0.2">
      <c r="A45" t="s">
        <v>44</v>
      </c>
      <c r="B45">
        <v>756</v>
      </c>
      <c r="C45">
        <v>16</v>
      </c>
      <c r="D45">
        <v>42</v>
      </c>
      <c r="E45">
        <v>8</v>
      </c>
      <c r="F45">
        <v>173.43443004100101</v>
      </c>
      <c r="G45">
        <v>5766</v>
      </c>
      <c r="H45">
        <v>10000</v>
      </c>
      <c r="I45" t="s">
        <v>126</v>
      </c>
      <c r="J45">
        <f t="shared" si="0"/>
        <v>0</v>
      </c>
    </row>
    <row r="46" spans="1:10" x14ac:dyDescent="0.2">
      <c r="A46" t="s">
        <v>44</v>
      </c>
      <c r="B46">
        <v>756</v>
      </c>
      <c r="C46">
        <v>16</v>
      </c>
      <c r="D46">
        <v>40</v>
      </c>
      <c r="E46">
        <v>6</v>
      </c>
      <c r="F46">
        <v>178.51245441699501</v>
      </c>
      <c r="G46">
        <v>7224</v>
      </c>
      <c r="H46">
        <v>10000</v>
      </c>
      <c r="I46" t="s">
        <v>127</v>
      </c>
      <c r="J46">
        <f t="shared" si="0"/>
        <v>0</v>
      </c>
    </row>
    <row r="47" spans="1:10" x14ac:dyDescent="0.2">
      <c r="A47" t="s">
        <v>44</v>
      </c>
      <c r="B47">
        <v>756</v>
      </c>
      <c r="C47">
        <v>16</v>
      </c>
      <c r="D47">
        <v>38</v>
      </c>
      <c r="E47">
        <v>4</v>
      </c>
      <c r="F47">
        <v>175.691033916999</v>
      </c>
      <c r="G47">
        <v>3683</v>
      </c>
      <c r="H47">
        <v>10000</v>
      </c>
      <c r="I47" t="s">
        <v>128</v>
      </c>
      <c r="J47">
        <f t="shared" si="0"/>
        <v>0</v>
      </c>
    </row>
    <row r="48" spans="1:10" x14ac:dyDescent="0.2">
      <c r="A48" t="s">
        <v>44</v>
      </c>
      <c r="B48">
        <v>756</v>
      </c>
      <c r="C48">
        <v>16</v>
      </c>
      <c r="D48">
        <v>38</v>
      </c>
      <c r="E48">
        <v>4</v>
      </c>
      <c r="F48">
        <v>162.77192820800701</v>
      </c>
      <c r="G48">
        <v>4728</v>
      </c>
      <c r="H48">
        <v>10000</v>
      </c>
      <c r="I48" t="s">
        <v>129</v>
      </c>
      <c r="J48">
        <f t="shared" si="0"/>
        <v>0</v>
      </c>
    </row>
    <row r="49" spans="1:10" x14ac:dyDescent="0.2">
      <c r="A49" t="s">
        <v>44</v>
      </c>
      <c r="B49">
        <v>756</v>
      </c>
      <c r="C49">
        <v>16</v>
      </c>
      <c r="D49">
        <v>40</v>
      </c>
      <c r="E49">
        <v>6</v>
      </c>
      <c r="F49">
        <v>166.886346667</v>
      </c>
      <c r="G49">
        <v>4187</v>
      </c>
      <c r="H49">
        <v>10000</v>
      </c>
      <c r="I49" t="s">
        <v>130</v>
      </c>
      <c r="J49">
        <f t="shared" si="0"/>
        <v>0</v>
      </c>
    </row>
    <row r="50" spans="1:10" x14ac:dyDescent="0.2">
      <c r="A50" t="s">
        <v>44</v>
      </c>
      <c r="B50">
        <v>756</v>
      </c>
      <c r="C50">
        <v>16</v>
      </c>
      <c r="D50">
        <v>34</v>
      </c>
      <c r="E50">
        <v>0</v>
      </c>
      <c r="F50">
        <v>172.313536582994</v>
      </c>
      <c r="G50">
        <v>4439</v>
      </c>
      <c r="H50">
        <v>10000</v>
      </c>
      <c r="I50" t="s">
        <v>131</v>
      </c>
      <c r="J50">
        <f t="shared" si="0"/>
        <v>4439</v>
      </c>
    </row>
    <row r="51" spans="1:10" x14ac:dyDescent="0.2">
      <c r="A51" t="s">
        <v>44</v>
      </c>
      <c r="B51">
        <v>756</v>
      </c>
      <c r="C51">
        <v>16</v>
      </c>
      <c r="D51">
        <v>40</v>
      </c>
      <c r="E51">
        <v>6</v>
      </c>
      <c r="F51">
        <v>178.58910466699999</v>
      </c>
      <c r="G51">
        <v>5362</v>
      </c>
      <c r="H51">
        <v>10000</v>
      </c>
      <c r="I51" t="s">
        <v>132</v>
      </c>
      <c r="J51">
        <f t="shared" si="0"/>
        <v>0</v>
      </c>
    </row>
    <row r="52" spans="1:10" x14ac:dyDescent="0.2">
      <c r="A52" t="s">
        <v>44</v>
      </c>
      <c r="B52">
        <v>756</v>
      </c>
      <c r="C52">
        <v>16</v>
      </c>
      <c r="D52">
        <v>40</v>
      </c>
      <c r="E52">
        <v>6</v>
      </c>
      <c r="F52">
        <v>175.23878320799801</v>
      </c>
      <c r="G52">
        <v>1331</v>
      </c>
      <c r="H52">
        <v>10000</v>
      </c>
      <c r="I52" t="s">
        <v>133</v>
      </c>
      <c r="J52">
        <f t="shared" si="0"/>
        <v>0</v>
      </c>
    </row>
    <row r="53" spans="1:10" x14ac:dyDescent="0.2">
      <c r="A53" t="s">
        <v>44</v>
      </c>
      <c r="B53">
        <v>756</v>
      </c>
      <c r="C53">
        <v>16</v>
      </c>
      <c r="D53">
        <v>36</v>
      </c>
      <c r="E53">
        <v>2</v>
      </c>
      <c r="F53">
        <v>169.16811462500399</v>
      </c>
      <c r="G53">
        <v>329</v>
      </c>
      <c r="H53">
        <v>10000</v>
      </c>
      <c r="I53" t="s">
        <v>134</v>
      </c>
      <c r="J53">
        <f t="shared" si="0"/>
        <v>0</v>
      </c>
    </row>
    <row r="54" spans="1:10" x14ac:dyDescent="0.2">
      <c r="A54" t="s">
        <v>44</v>
      </c>
      <c r="B54">
        <v>756</v>
      </c>
      <c r="C54">
        <v>16</v>
      </c>
      <c r="D54">
        <v>36</v>
      </c>
      <c r="E54">
        <v>2</v>
      </c>
      <c r="F54">
        <v>176.910270583</v>
      </c>
      <c r="G54">
        <v>3163</v>
      </c>
      <c r="H54">
        <v>10000</v>
      </c>
      <c r="I54" t="s">
        <v>135</v>
      </c>
      <c r="J54">
        <f t="shared" si="0"/>
        <v>0</v>
      </c>
    </row>
    <row r="55" spans="1:10" x14ac:dyDescent="0.2">
      <c r="A55" t="s">
        <v>44</v>
      </c>
      <c r="B55">
        <v>756</v>
      </c>
      <c r="C55">
        <v>16</v>
      </c>
      <c r="D55">
        <v>46</v>
      </c>
      <c r="E55">
        <v>12</v>
      </c>
      <c r="F55">
        <v>171.45023249999201</v>
      </c>
      <c r="G55">
        <v>2467</v>
      </c>
      <c r="H55">
        <v>10000</v>
      </c>
      <c r="I55" t="s">
        <v>136</v>
      </c>
      <c r="J55">
        <f t="shared" si="0"/>
        <v>0</v>
      </c>
    </row>
    <row r="56" spans="1:10" x14ac:dyDescent="0.2">
      <c r="A56" t="s">
        <v>44</v>
      </c>
      <c r="B56">
        <v>756</v>
      </c>
      <c r="C56">
        <v>16</v>
      </c>
      <c r="D56">
        <v>36</v>
      </c>
      <c r="E56">
        <v>2</v>
      </c>
      <c r="F56">
        <v>170.33176666700399</v>
      </c>
      <c r="G56">
        <v>5471</v>
      </c>
      <c r="H56">
        <v>10000</v>
      </c>
      <c r="I56" t="s">
        <v>137</v>
      </c>
      <c r="J56">
        <f t="shared" si="0"/>
        <v>0</v>
      </c>
    </row>
    <row r="57" spans="1:10" x14ac:dyDescent="0.2">
      <c r="A57" t="s">
        <v>44</v>
      </c>
      <c r="B57">
        <v>756</v>
      </c>
      <c r="C57">
        <v>16</v>
      </c>
      <c r="D57">
        <v>40</v>
      </c>
      <c r="E57">
        <v>6</v>
      </c>
      <c r="F57">
        <v>177.21204191699499</v>
      </c>
      <c r="G57">
        <v>2258</v>
      </c>
      <c r="H57">
        <v>10000</v>
      </c>
      <c r="I57" t="s">
        <v>138</v>
      </c>
      <c r="J57">
        <f t="shared" si="0"/>
        <v>0</v>
      </c>
    </row>
    <row r="58" spans="1:10" x14ac:dyDescent="0.2">
      <c r="A58" t="s">
        <v>44</v>
      </c>
      <c r="B58">
        <v>756</v>
      </c>
      <c r="C58">
        <v>16</v>
      </c>
      <c r="D58">
        <v>36</v>
      </c>
      <c r="E58">
        <v>2</v>
      </c>
      <c r="F58">
        <v>181.76523037500701</v>
      </c>
      <c r="G58">
        <v>6185</v>
      </c>
      <c r="H58">
        <v>10000</v>
      </c>
      <c r="I58" t="s">
        <v>139</v>
      </c>
      <c r="J58">
        <f t="shared" si="0"/>
        <v>0</v>
      </c>
    </row>
    <row r="59" spans="1:10" x14ac:dyDescent="0.2">
      <c r="A59" t="s">
        <v>44</v>
      </c>
      <c r="B59">
        <v>756</v>
      </c>
      <c r="C59">
        <v>16</v>
      </c>
      <c r="D59">
        <v>36</v>
      </c>
      <c r="E59">
        <v>2</v>
      </c>
      <c r="F59">
        <v>177.02307641599299</v>
      </c>
      <c r="G59">
        <v>2314</v>
      </c>
      <c r="H59">
        <v>10000</v>
      </c>
      <c r="I59" t="s">
        <v>140</v>
      </c>
      <c r="J59">
        <f t="shared" si="0"/>
        <v>0</v>
      </c>
    </row>
    <row r="60" spans="1:10" x14ac:dyDescent="0.2">
      <c r="A60" t="s">
        <v>44</v>
      </c>
      <c r="B60">
        <v>756</v>
      </c>
      <c r="C60">
        <v>16</v>
      </c>
      <c r="D60">
        <v>34</v>
      </c>
      <c r="E60">
        <v>0</v>
      </c>
      <c r="F60">
        <v>169.228040333997</v>
      </c>
      <c r="G60">
        <v>4221</v>
      </c>
      <c r="H60">
        <v>10000</v>
      </c>
      <c r="I60" t="s">
        <v>141</v>
      </c>
      <c r="J60">
        <f t="shared" si="0"/>
        <v>4221</v>
      </c>
    </row>
    <row r="61" spans="1:10" x14ac:dyDescent="0.2">
      <c r="A61" t="s">
        <v>44</v>
      </c>
      <c r="B61">
        <v>756</v>
      </c>
      <c r="C61">
        <v>16</v>
      </c>
      <c r="D61">
        <v>40</v>
      </c>
      <c r="E61">
        <v>6</v>
      </c>
      <c r="F61">
        <v>165.37043533300999</v>
      </c>
      <c r="G61">
        <v>937</v>
      </c>
      <c r="H61">
        <v>10000</v>
      </c>
      <c r="I61" t="s">
        <v>142</v>
      </c>
      <c r="J61">
        <f t="shared" si="0"/>
        <v>0</v>
      </c>
    </row>
    <row r="62" spans="1:10" x14ac:dyDescent="0.2">
      <c r="A62" t="s">
        <v>44</v>
      </c>
      <c r="B62">
        <v>756</v>
      </c>
      <c r="C62">
        <v>16</v>
      </c>
      <c r="D62">
        <v>34</v>
      </c>
      <c r="E62">
        <v>0</v>
      </c>
      <c r="F62">
        <v>172.02600874999101</v>
      </c>
      <c r="G62">
        <v>789</v>
      </c>
      <c r="H62">
        <v>10000</v>
      </c>
      <c r="I62" t="s">
        <v>143</v>
      </c>
      <c r="J62">
        <f t="shared" si="0"/>
        <v>789</v>
      </c>
    </row>
    <row r="63" spans="1:10" x14ac:dyDescent="0.2">
      <c r="A63" t="s">
        <v>44</v>
      </c>
      <c r="B63">
        <v>756</v>
      </c>
      <c r="C63">
        <v>16</v>
      </c>
      <c r="D63">
        <v>38</v>
      </c>
      <c r="E63">
        <v>4</v>
      </c>
      <c r="F63">
        <v>173.314421542003</v>
      </c>
      <c r="G63">
        <v>1663</v>
      </c>
      <c r="H63">
        <v>10000</v>
      </c>
      <c r="I63" t="s">
        <v>144</v>
      </c>
      <c r="J63">
        <f t="shared" si="0"/>
        <v>0</v>
      </c>
    </row>
    <row r="64" spans="1:10" x14ac:dyDescent="0.2">
      <c r="A64" t="s">
        <v>44</v>
      </c>
      <c r="B64">
        <v>756</v>
      </c>
      <c r="C64">
        <v>16</v>
      </c>
      <c r="D64">
        <v>36</v>
      </c>
      <c r="E64">
        <v>2</v>
      </c>
      <c r="F64">
        <v>177.483147791004</v>
      </c>
      <c r="G64">
        <v>2675</v>
      </c>
      <c r="H64">
        <v>10000</v>
      </c>
      <c r="I64" t="s">
        <v>145</v>
      </c>
      <c r="J64">
        <f t="shared" si="0"/>
        <v>0</v>
      </c>
    </row>
    <row r="65" spans="1:10" x14ac:dyDescent="0.2">
      <c r="A65" t="s">
        <v>44</v>
      </c>
      <c r="B65">
        <v>756</v>
      </c>
      <c r="C65">
        <v>16</v>
      </c>
      <c r="D65">
        <v>40</v>
      </c>
      <c r="E65">
        <v>6</v>
      </c>
      <c r="F65">
        <v>184.94591629199499</v>
      </c>
      <c r="G65">
        <v>3312</v>
      </c>
      <c r="H65">
        <v>10000</v>
      </c>
      <c r="I65" t="s">
        <v>146</v>
      </c>
      <c r="J65">
        <f t="shared" si="0"/>
        <v>0</v>
      </c>
    </row>
    <row r="66" spans="1:10" x14ac:dyDescent="0.2">
      <c r="A66" t="s">
        <v>44</v>
      </c>
      <c r="B66">
        <v>756</v>
      </c>
      <c r="C66">
        <v>16</v>
      </c>
      <c r="D66">
        <v>44</v>
      </c>
      <c r="E66">
        <v>10</v>
      </c>
      <c r="F66">
        <v>179.815024666997</v>
      </c>
      <c r="G66">
        <v>6466</v>
      </c>
      <c r="H66">
        <v>10000</v>
      </c>
      <c r="I66" t="s">
        <v>147</v>
      </c>
      <c r="J66">
        <f t="shared" si="0"/>
        <v>0</v>
      </c>
    </row>
    <row r="67" spans="1:10" x14ac:dyDescent="0.2">
      <c r="A67" t="s">
        <v>44</v>
      </c>
      <c r="B67">
        <v>756</v>
      </c>
      <c r="C67">
        <v>16</v>
      </c>
      <c r="D67">
        <v>38</v>
      </c>
      <c r="E67">
        <v>4</v>
      </c>
      <c r="F67">
        <v>177.93338720800199</v>
      </c>
      <c r="G67">
        <v>3550</v>
      </c>
      <c r="H67">
        <v>10000</v>
      </c>
      <c r="I67" t="s">
        <v>148</v>
      </c>
      <c r="J67">
        <f t="shared" si="0"/>
        <v>0</v>
      </c>
    </row>
    <row r="68" spans="1:10" x14ac:dyDescent="0.2">
      <c r="A68" t="s">
        <v>44</v>
      </c>
      <c r="B68">
        <v>756</v>
      </c>
      <c r="C68">
        <v>16</v>
      </c>
      <c r="D68">
        <v>44</v>
      </c>
      <c r="E68">
        <v>10</v>
      </c>
      <c r="F68">
        <v>177.93905354199501</v>
      </c>
      <c r="G68">
        <v>6305</v>
      </c>
      <c r="H68">
        <v>10000</v>
      </c>
      <c r="I68" t="s">
        <v>149</v>
      </c>
      <c r="J68">
        <f t="shared" si="0"/>
        <v>0</v>
      </c>
    </row>
    <row r="69" spans="1:10" x14ac:dyDescent="0.2">
      <c r="A69" t="s">
        <v>44</v>
      </c>
      <c r="B69">
        <v>756</v>
      </c>
      <c r="C69">
        <v>16</v>
      </c>
      <c r="D69">
        <v>40</v>
      </c>
      <c r="E69">
        <v>6</v>
      </c>
      <c r="F69">
        <v>189.076256750006</v>
      </c>
      <c r="G69">
        <v>4608</v>
      </c>
      <c r="H69">
        <v>10000</v>
      </c>
      <c r="I69" t="s">
        <v>150</v>
      </c>
      <c r="J69">
        <f t="shared" si="0"/>
        <v>0</v>
      </c>
    </row>
    <row r="70" spans="1:10" x14ac:dyDescent="0.2">
      <c r="A70" t="s">
        <v>44</v>
      </c>
      <c r="B70">
        <v>756</v>
      </c>
      <c r="C70">
        <v>16</v>
      </c>
      <c r="D70">
        <v>38</v>
      </c>
      <c r="E70">
        <v>4</v>
      </c>
      <c r="F70">
        <v>167.651832791001</v>
      </c>
      <c r="G70">
        <v>2933</v>
      </c>
      <c r="H70">
        <v>10000</v>
      </c>
      <c r="I70" t="s">
        <v>151</v>
      </c>
      <c r="J70">
        <f t="shared" si="0"/>
        <v>0</v>
      </c>
    </row>
    <row r="71" spans="1:10" x14ac:dyDescent="0.2">
      <c r="A71" t="s">
        <v>44</v>
      </c>
      <c r="B71">
        <v>756</v>
      </c>
      <c r="C71">
        <v>16</v>
      </c>
      <c r="D71">
        <v>40</v>
      </c>
      <c r="E71">
        <v>6</v>
      </c>
      <c r="F71">
        <v>173.69095120899101</v>
      </c>
      <c r="G71">
        <v>4223</v>
      </c>
      <c r="H71">
        <v>10000</v>
      </c>
      <c r="I71" t="s">
        <v>152</v>
      </c>
      <c r="J71">
        <f t="shared" si="0"/>
        <v>0</v>
      </c>
    </row>
    <row r="72" spans="1:10" x14ac:dyDescent="0.2">
      <c r="A72" t="s">
        <v>44</v>
      </c>
      <c r="B72">
        <v>756</v>
      </c>
      <c r="C72">
        <v>16</v>
      </c>
      <c r="D72">
        <v>36</v>
      </c>
      <c r="E72">
        <v>2</v>
      </c>
      <c r="F72">
        <v>171.43581629100601</v>
      </c>
      <c r="G72">
        <v>5824</v>
      </c>
      <c r="H72">
        <v>10000</v>
      </c>
      <c r="I72" t="s">
        <v>153</v>
      </c>
      <c r="J72">
        <f t="shared" si="0"/>
        <v>0</v>
      </c>
    </row>
    <row r="73" spans="1:10" x14ac:dyDescent="0.2">
      <c r="A73" t="s">
        <v>44</v>
      </c>
      <c r="B73">
        <v>756</v>
      </c>
      <c r="C73">
        <v>16</v>
      </c>
      <c r="D73">
        <v>36</v>
      </c>
      <c r="E73">
        <v>2</v>
      </c>
      <c r="F73">
        <v>170.779146208995</v>
      </c>
      <c r="G73">
        <v>4445</v>
      </c>
      <c r="H73">
        <v>10000</v>
      </c>
      <c r="I73" t="s">
        <v>154</v>
      </c>
      <c r="J73">
        <f t="shared" si="0"/>
        <v>0</v>
      </c>
    </row>
    <row r="74" spans="1:10" x14ac:dyDescent="0.2">
      <c r="A74" t="s">
        <v>44</v>
      </c>
      <c r="B74">
        <v>756</v>
      </c>
      <c r="C74">
        <v>16</v>
      </c>
      <c r="D74">
        <v>42</v>
      </c>
      <c r="E74">
        <v>8</v>
      </c>
      <c r="F74">
        <v>175.180739290997</v>
      </c>
      <c r="G74">
        <v>2344</v>
      </c>
      <c r="H74">
        <v>10000</v>
      </c>
      <c r="I74" t="s">
        <v>155</v>
      </c>
      <c r="J74">
        <f t="shared" si="0"/>
        <v>0</v>
      </c>
    </row>
    <row r="75" spans="1:10" x14ac:dyDescent="0.2">
      <c r="A75" t="s">
        <v>44</v>
      </c>
      <c r="B75">
        <v>756</v>
      </c>
      <c r="C75">
        <v>16</v>
      </c>
      <c r="D75">
        <v>44</v>
      </c>
      <c r="E75">
        <v>10</v>
      </c>
      <c r="F75">
        <v>172.275737750009</v>
      </c>
      <c r="G75">
        <v>5895</v>
      </c>
      <c r="H75">
        <v>10000</v>
      </c>
      <c r="I75" t="s">
        <v>156</v>
      </c>
      <c r="J75">
        <f t="shared" si="0"/>
        <v>0</v>
      </c>
    </row>
    <row r="76" spans="1:10" x14ac:dyDescent="0.2">
      <c r="A76" t="s">
        <v>44</v>
      </c>
      <c r="B76">
        <v>756</v>
      </c>
      <c r="C76">
        <v>16</v>
      </c>
      <c r="D76">
        <v>40</v>
      </c>
      <c r="E76">
        <v>6</v>
      </c>
      <c r="F76">
        <v>180.464123291996</v>
      </c>
      <c r="G76">
        <v>5640</v>
      </c>
      <c r="H76">
        <v>10000</v>
      </c>
      <c r="I76" t="s">
        <v>157</v>
      </c>
      <c r="J76">
        <f t="shared" si="0"/>
        <v>0</v>
      </c>
    </row>
    <row r="77" spans="1:10" x14ac:dyDescent="0.2">
      <c r="A77" t="s">
        <v>44</v>
      </c>
      <c r="B77">
        <v>756</v>
      </c>
      <c r="C77">
        <v>16</v>
      </c>
      <c r="D77">
        <v>44</v>
      </c>
      <c r="E77">
        <v>10</v>
      </c>
      <c r="F77">
        <v>186.63819395800201</v>
      </c>
      <c r="G77">
        <v>5682</v>
      </c>
      <c r="H77">
        <v>10000</v>
      </c>
      <c r="I77" t="s">
        <v>158</v>
      </c>
      <c r="J77">
        <f t="shared" si="0"/>
        <v>0</v>
      </c>
    </row>
    <row r="78" spans="1:10" x14ac:dyDescent="0.2">
      <c r="A78" t="s">
        <v>44</v>
      </c>
      <c r="B78">
        <v>756</v>
      </c>
      <c r="C78">
        <v>16</v>
      </c>
      <c r="D78">
        <v>40</v>
      </c>
      <c r="E78">
        <v>6</v>
      </c>
      <c r="F78">
        <v>173.998976624992</v>
      </c>
      <c r="G78">
        <v>7659</v>
      </c>
      <c r="H78">
        <v>10000</v>
      </c>
      <c r="I78" t="s">
        <v>159</v>
      </c>
      <c r="J78">
        <f t="shared" si="0"/>
        <v>0</v>
      </c>
    </row>
    <row r="79" spans="1:10" x14ac:dyDescent="0.2">
      <c r="A79" t="s">
        <v>44</v>
      </c>
      <c r="B79">
        <v>756</v>
      </c>
      <c r="C79">
        <v>16</v>
      </c>
      <c r="D79">
        <v>42</v>
      </c>
      <c r="E79">
        <v>8</v>
      </c>
      <c r="F79">
        <v>181.40615562500801</v>
      </c>
      <c r="G79">
        <v>537</v>
      </c>
      <c r="H79">
        <v>10000</v>
      </c>
      <c r="I79" t="s">
        <v>160</v>
      </c>
      <c r="J79">
        <f t="shared" si="0"/>
        <v>0</v>
      </c>
    </row>
    <row r="80" spans="1:10" x14ac:dyDescent="0.2">
      <c r="A80" t="s">
        <v>44</v>
      </c>
      <c r="B80">
        <v>756</v>
      </c>
      <c r="C80">
        <v>16</v>
      </c>
      <c r="D80">
        <v>36</v>
      </c>
      <c r="E80">
        <v>2</v>
      </c>
      <c r="F80">
        <v>176.917022291992</v>
      </c>
      <c r="G80">
        <v>803</v>
      </c>
      <c r="H80">
        <v>10000</v>
      </c>
      <c r="I80" t="s">
        <v>161</v>
      </c>
      <c r="J80">
        <f t="shared" si="0"/>
        <v>0</v>
      </c>
    </row>
    <row r="81" spans="1:10" x14ac:dyDescent="0.2">
      <c r="A81" t="s">
        <v>44</v>
      </c>
      <c r="B81">
        <v>756</v>
      </c>
      <c r="C81">
        <v>16</v>
      </c>
      <c r="D81">
        <v>38</v>
      </c>
      <c r="E81">
        <v>4</v>
      </c>
      <c r="F81">
        <v>180.962050957998</v>
      </c>
      <c r="G81">
        <v>4586</v>
      </c>
      <c r="H81">
        <v>10000</v>
      </c>
      <c r="I81" t="s">
        <v>162</v>
      </c>
      <c r="J81">
        <f t="shared" si="0"/>
        <v>0</v>
      </c>
    </row>
    <row r="82" spans="1:10" x14ac:dyDescent="0.2">
      <c r="A82" t="s">
        <v>44</v>
      </c>
      <c r="B82">
        <v>756</v>
      </c>
      <c r="C82">
        <v>16</v>
      </c>
      <c r="D82">
        <v>44</v>
      </c>
      <c r="E82">
        <v>10</v>
      </c>
      <c r="F82">
        <v>177.21432566700901</v>
      </c>
      <c r="G82">
        <v>5052</v>
      </c>
      <c r="H82">
        <v>10000</v>
      </c>
      <c r="I82" t="s">
        <v>163</v>
      </c>
      <c r="J82">
        <f t="shared" si="0"/>
        <v>0</v>
      </c>
    </row>
    <row r="83" spans="1:10" x14ac:dyDescent="0.2">
      <c r="A83" t="s">
        <v>44</v>
      </c>
      <c r="B83">
        <v>756</v>
      </c>
      <c r="C83">
        <v>16</v>
      </c>
      <c r="D83">
        <v>38</v>
      </c>
      <c r="E83">
        <v>4</v>
      </c>
      <c r="F83">
        <v>190.97213566699</v>
      </c>
      <c r="G83">
        <v>3168</v>
      </c>
      <c r="H83">
        <v>10000</v>
      </c>
      <c r="I83" t="s">
        <v>164</v>
      </c>
      <c r="J83">
        <f t="shared" si="0"/>
        <v>0</v>
      </c>
    </row>
    <row r="84" spans="1:10" x14ac:dyDescent="0.2">
      <c r="A84" t="s">
        <v>44</v>
      </c>
      <c r="B84">
        <v>756</v>
      </c>
      <c r="C84">
        <v>16</v>
      </c>
      <c r="D84">
        <v>34</v>
      </c>
      <c r="E84">
        <v>0</v>
      </c>
      <c r="F84">
        <v>182.072706291</v>
      </c>
      <c r="G84">
        <v>2219</v>
      </c>
      <c r="H84">
        <v>10000</v>
      </c>
      <c r="I84" t="s">
        <v>165</v>
      </c>
      <c r="J84">
        <f t="shared" si="0"/>
        <v>2219</v>
      </c>
    </row>
    <row r="85" spans="1:10" x14ac:dyDescent="0.2">
      <c r="A85" t="s">
        <v>44</v>
      </c>
      <c r="B85">
        <v>756</v>
      </c>
      <c r="C85">
        <v>16</v>
      </c>
      <c r="D85">
        <v>36</v>
      </c>
      <c r="E85">
        <v>2</v>
      </c>
      <c r="F85">
        <v>181.343680083999</v>
      </c>
      <c r="G85">
        <v>6229</v>
      </c>
      <c r="H85">
        <v>10000</v>
      </c>
      <c r="I85" t="s">
        <v>166</v>
      </c>
      <c r="J85">
        <f t="shared" si="0"/>
        <v>0</v>
      </c>
    </row>
    <row r="86" spans="1:10" x14ac:dyDescent="0.2">
      <c r="A86" t="s">
        <v>44</v>
      </c>
      <c r="B86">
        <v>756</v>
      </c>
      <c r="C86">
        <v>16</v>
      </c>
      <c r="D86">
        <v>50</v>
      </c>
      <c r="E86">
        <v>16</v>
      </c>
      <c r="F86">
        <v>178.68477175000501</v>
      </c>
      <c r="G86">
        <v>1856</v>
      </c>
      <c r="H86">
        <v>10000</v>
      </c>
      <c r="I86" t="s">
        <v>167</v>
      </c>
      <c r="J86">
        <f t="shared" si="0"/>
        <v>0</v>
      </c>
    </row>
    <row r="87" spans="1:10" x14ac:dyDescent="0.2">
      <c r="A87" t="s">
        <v>44</v>
      </c>
      <c r="B87">
        <v>756</v>
      </c>
      <c r="C87">
        <v>16</v>
      </c>
      <c r="D87">
        <v>36</v>
      </c>
      <c r="E87">
        <v>2</v>
      </c>
      <c r="F87">
        <v>182.24534570799699</v>
      </c>
      <c r="G87">
        <v>5325</v>
      </c>
      <c r="H87">
        <v>10000</v>
      </c>
      <c r="I87" t="s">
        <v>168</v>
      </c>
      <c r="J87">
        <f t="shared" si="0"/>
        <v>0</v>
      </c>
    </row>
    <row r="88" spans="1:10" x14ac:dyDescent="0.2">
      <c r="A88" t="s">
        <v>44</v>
      </c>
      <c r="B88">
        <v>756</v>
      </c>
      <c r="C88">
        <v>16</v>
      </c>
      <c r="D88">
        <v>44</v>
      </c>
      <c r="E88">
        <v>10</v>
      </c>
      <c r="F88">
        <v>181.48441962500499</v>
      </c>
      <c r="G88">
        <v>3996</v>
      </c>
      <c r="H88">
        <v>10000</v>
      </c>
      <c r="I88" t="s">
        <v>169</v>
      </c>
      <c r="J88">
        <f t="shared" si="0"/>
        <v>0</v>
      </c>
    </row>
    <row r="89" spans="1:10" x14ac:dyDescent="0.2">
      <c r="A89" t="s">
        <v>44</v>
      </c>
      <c r="B89">
        <v>756</v>
      </c>
      <c r="C89">
        <v>16</v>
      </c>
      <c r="D89">
        <v>34</v>
      </c>
      <c r="E89">
        <v>0</v>
      </c>
      <c r="F89">
        <v>176.09258058299</v>
      </c>
      <c r="G89">
        <v>1357</v>
      </c>
      <c r="H89">
        <v>10000</v>
      </c>
      <c r="I89" t="s">
        <v>170</v>
      </c>
      <c r="J89">
        <f t="shared" si="0"/>
        <v>1357</v>
      </c>
    </row>
    <row r="90" spans="1:10" x14ac:dyDescent="0.2">
      <c r="A90" t="s">
        <v>44</v>
      </c>
      <c r="B90">
        <v>756</v>
      </c>
      <c r="C90">
        <v>16</v>
      </c>
      <c r="D90">
        <v>34</v>
      </c>
      <c r="E90">
        <v>0</v>
      </c>
      <c r="F90">
        <v>184.218198959002</v>
      </c>
      <c r="G90">
        <v>3347</v>
      </c>
      <c r="H90">
        <v>10000</v>
      </c>
      <c r="I90" t="s">
        <v>171</v>
      </c>
      <c r="J90">
        <f t="shared" si="0"/>
        <v>3347</v>
      </c>
    </row>
    <row r="91" spans="1:10" x14ac:dyDescent="0.2">
      <c r="A91" t="s">
        <v>44</v>
      </c>
      <c r="B91">
        <v>756</v>
      </c>
      <c r="C91">
        <v>16</v>
      </c>
      <c r="D91">
        <v>44</v>
      </c>
      <c r="E91">
        <v>10</v>
      </c>
      <c r="F91">
        <v>186.95182291600199</v>
      </c>
      <c r="G91">
        <v>946</v>
      </c>
      <c r="H91">
        <v>10000</v>
      </c>
      <c r="I91" t="s">
        <v>172</v>
      </c>
      <c r="J91">
        <f t="shared" si="0"/>
        <v>0</v>
      </c>
    </row>
    <row r="92" spans="1:10" x14ac:dyDescent="0.2">
      <c r="A92" t="s">
        <v>44</v>
      </c>
      <c r="B92">
        <v>756</v>
      </c>
      <c r="C92">
        <v>16</v>
      </c>
      <c r="D92">
        <v>38</v>
      </c>
      <c r="E92">
        <v>4</v>
      </c>
      <c r="F92">
        <v>188.72188433399401</v>
      </c>
      <c r="G92">
        <v>821</v>
      </c>
      <c r="H92">
        <v>10000</v>
      </c>
      <c r="I92" t="s">
        <v>173</v>
      </c>
      <c r="J92">
        <f t="shared" ref="J92:J126" si="1">IF(E92=0,G92,)</f>
        <v>0</v>
      </c>
    </row>
    <row r="93" spans="1:10" x14ac:dyDescent="0.2">
      <c r="A93" t="s">
        <v>44</v>
      </c>
      <c r="B93">
        <v>756</v>
      </c>
      <c r="C93">
        <v>16</v>
      </c>
      <c r="D93">
        <v>40</v>
      </c>
      <c r="E93">
        <v>6</v>
      </c>
      <c r="F93">
        <v>186.44746991600499</v>
      </c>
      <c r="G93">
        <v>1076</v>
      </c>
      <c r="H93">
        <v>10000</v>
      </c>
      <c r="I93" t="s">
        <v>174</v>
      </c>
      <c r="J93">
        <f t="shared" si="1"/>
        <v>0</v>
      </c>
    </row>
    <row r="94" spans="1:10" x14ac:dyDescent="0.2">
      <c r="A94" t="s">
        <v>44</v>
      </c>
      <c r="B94">
        <v>756</v>
      </c>
      <c r="C94">
        <v>16</v>
      </c>
      <c r="D94">
        <v>36</v>
      </c>
      <c r="E94">
        <v>2</v>
      </c>
      <c r="F94">
        <v>186.34460462500201</v>
      </c>
      <c r="G94">
        <v>6844</v>
      </c>
      <c r="H94">
        <v>10000</v>
      </c>
      <c r="I94" t="s">
        <v>175</v>
      </c>
      <c r="J94">
        <f t="shared" si="1"/>
        <v>0</v>
      </c>
    </row>
    <row r="95" spans="1:10" x14ac:dyDescent="0.2">
      <c r="A95" t="s">
        <v>44</v>
      </c>
      <c r="B95">
        <v>756</v>
      </c>
      <c r="C95">
        <v>16</v>
      </c>
      <c r="D95">
        <v>42</v>
      </c>
      <c r="E95">
        <v>8</v>
      </c>
      <c r="F95">
        <v>190.51111720899601</v>
      </c>
      <c r="G95">
        <v>4431</v>
      </c>
      <c r="H95">
        <v>10000</v>
      </c>
      <c r="I95" t="s">
        <v>176</v>
      </c>
      <c r="J95">
        <f t="shared" si="1"/>
        <v>0</v>
      </c>
    </row>
    <row r="96" spans="1:10" x14ac:dyDescent="0.2">
      <c r="A96" t="s">
        <v>44</v>
      </c>
      <c r="B96">
        <v>756</v>
      </c>
      <c r="C96">
        <v>16</v>
      </c>
      <c r="D96">
        <v>34</v>
      </c>
      <c r="E96">
        <v>0</v>
      </c>
      <c r="F96">
        <v>189.14667354100601</v>
      </c>
      <c r="G96">
        <v>487</v>
      </c>
      <c r="H96">
        <v>10000</v>
      </c>
      <c r="I96" t="s">
        <v>177</v>
      </c>
      <c r="J96">
        <f t="shared" si="1"/>
        <v>487</v>
      </c>
    </row>
    <row r="97" spans="1:10" x14ac:dyDescent="0.2">
      <c r="A97" t="s">
        <v>44</v>
      </c>
      <c r="B97">
        <v>756</v>
      </c>
      <c r="C97">
        <v>16</v>
      </c>
      <c r="D97">
        <v>36</v>
      </c>
      <c r="E97">
        <v>2</v>
      </c>
      <c r="F97">
        <v>188.88014595898801</v>
      </c>
      <c r="G97">
        <v>5086</v>
      </c>
      <c r="H97">
        <v>10000</v>
      </c>
      <c r="I97" t="s">
        <v>178</v>
      </c>
      <c r="J97">
        <f t="shared" si="1"/>
        <v>0</v>
      </c>
    </row>
    <row r="98" spans="1:10" x14ac:dyDescent="0.2">
      <c r="A98" t="s">
        <v>44</v>
      </c>
      <c r="B98">
        <v>756</v>
      </c>
      <c r="C98">
        <v>16</v>
      </c>
      <c r="D98">
        <v>40</v>
      </c>
      <c r="E98">
        <v>6</v>
      </c>
      <c r="F98">
        <v>183.84045712499901</v>
      </c>
      <c r="G98">
        <v>4143</v>
      </c>
      <c r="H98">
        <v>10000</v>
      </c>
      <c r="I98" t="s">
        <v>179</v>
      </c>
      <c r="J98">
        <f t="shared" si="1"/>
        <v>0</v>
      </c>
    </row>
    <row r="99" spans="1:10" x14ac:dyDescent="0.2">
      <c r="A99" t="s">
        <v>44</v>
      </c>
      <c r="B99">
        <v>756</v>
      </c>
      <c r="C99">
        <v>16</v>
      </c>
      <c r="D99">
        <v>40</v>
      </c>
      <c r="E99">
        <v>6</v>
      </c>
      <c r="F99">
        <v>196.04146745800901</v>
      </c>
      <c r="G99">
        <v>4641</v>
      </c>
      <c r="H99">
        <v>10000</v>
      </c>
      <c r="I99" t="s">
        <v>180</v>
      </c>
      <c r="J99">
        <f t="shared" si="1"/>
        <v>0</v>
      </c>
    </row>
    <row r="100" spans="1:10" x14ac:dyDescent="0.2">
      <c r="A100" t="s">
        <v>44</v>
      </c>
      <c r="B100">
        <v>756</v>
      </c>
      <c r="C100">
        <v>16</v>
      </c>
      <c r="D100">
        <v>34</v>
      </c>
      <c r="E100">
        <v>0</v>
      </c>
      <c r="F100">
        <v>189.81712199999299</v>
      </c>
      <c r="G100">
        <v>2</v>
      </c>
      <c r="H100">
        <v>10000</v>
      </c>
      <c r="I100" t="s">
        <v>181</v>
      </c>
      <c r="J100">
        <f t="shared" si="1"/>
        <v>2</v>
      </c>
    </row>
    <row r="101" spans="1:10" x14ac:dyDescent="0.2">
      <c r="A101" t="s">
        <v>44</v>
      </c>
      <c r="B101">
        <v>756</v>
      </c>
      <c r="C101">
        <v>16</v>
      </c>
      <c r="D101">
        <v>38</v>
      </c>
      <c r="E101">
        <v>4</v>
      </c>
      <c r="F101">
        <v>177.242788042</v>
      </c>
      <c r="G101">
        <v>6508</v>
      </c>
      <c r="H101">
        <v>10000</v>
      </c>
      <c r="I101" t="s">
        <v>182</v>
      </c>
      <c r="J101">
        <f t="shared" si="1"/>
        <v>0</v>
      </c>
    </row>
    <row r="102" spans="1:10" x14ac:dyDescent="0.2">
      <c r="A102" t="s">
        <v>44</v>
      </c>
      <c r="B102">
        <v>756</v>
      </c>
      <c r="C102">
        <v>16</v>
      </c>
      <c r="D102">
        <v>36</v>
      </c>
      <c r="E102">
        <v>2</v>
      </c>
      <c r="F102">
        <v>177.83721625000101</v>
      </c>
      <c r="G102">
        <v>402</v>
      </c>
      <c r="H102">
        <v>10000</v>
      </c>
      <c r="I102" t="s">
        <v>183</v>
      </c>
      <c r="J102">
        <f t="shared" si="1"/>
        <v>0</v>
      </c>
    </row>
    <row r="103" spans="1:10" x14ac:dyDescent="0.2">
      <c r="A103" t="s">
        <v>44</v>
      </c>
      <c r="B103">
        <v>756</v>
      </c>
      <c r="C103">
        <v>16</v>
      </c>
      <c r="D103">
        <v>42</v>
      </c>
      <c r="E103">
        <v>8</v>
      </c>
      <c r="F103">
        <v>187.79884658299801</v>
      </c>
      <c r="G103">
        <v>5980</v>
      </c>
      <c r="H103">
        <v>10000</v>
      </c>
      <c r="I103" t="s">
        <v>184</v>
      </c>
      <c r="J103">
        <f t="shared" si="1"/>
        <v>0</v>
      </c>
    </row>
    <row r="104" spans="1:10" x14ac:dyDescent="0.2">
      <c r="A104" t="s">
        <v>44</v>
      </c>
      <c r="B104">
        <v>756</v>
      </c>
      <c r="C104">
        <v>16</v>
      </c>
      <c r="D104">
        <v>38</v>
      </c>
      <c r="E104">
        <v>4</v>
      </c>
      <c r="F104">
        <v>179.418976583008</v>
      </c>
      <c r="G104">
        <v>1881</v>
      </c>
      <c r="H104">
        <v>10000</v>
      </c>
      <c r="I104" t="s">
        <v>185</v>
      </c>
      <c r="J104">
        <f t="shared" si="1"/>
        <v>0</v>
      </c>
    </row>
    <row r="105" spans="1:10" x14ac:dyDescent="0.2">
      <c r="A105" t="s">
        <v>44</v>
      </c>
      <c r="B105">
        <v>756</v>
      </c>
      <c r="C105">
        <v>16</v>
      </c>
      <c r="D105">
        <v>36</v>
      </c>
      <c r="E105">
        <v>2</v>
      </c>
      <c r="F105">
        <v>192.33703516698699</v>
      </c>
      <c r="G105">
        <v>73</v>
      </c>
      <c r="H105">
        <v>10000</v>
      </c>
      <c r="I105" t="s">
        <v>186</v>
      </c>
      <c r="J105">
        <f t="shared" si="1"/>
        <v>0</v>
      </c>
    </row>
    <row r="106" spans="1:10" x14ac:dyDescent="0.2">
      <c r="A106" t="s">
        <v>44</v>
      </c>
      <c r="B106">
        <v>756</v>
      </c>
      <c r="C106">
        <v>16</v>
      </c>
      <c r="D106">
        <v>36</v>
      </c>
      <c r="E106">
        <v>2</v>
      </c>
      <c r="F106">
        <v>174.89645112500801</v>
      </c>
      <c r="G106">
        <v>5829</v>
      </c>
      <c r="H106">
        <v>10000</v>
      </c>
      <c r="I106" t="s">
        <v>187</v>
      </c>
      <c r="J106">
        <f t="shared" si="1"/>
        <v>0</v>
      </c>
    </row>
    <row r="107" spans="1:10" x14ac:dyDescent="0.2">
      <c r="A107" t="s">
        <v>44</v>
      </c>
      <c r="B107">
        <v>756</v>
      </c>
      <c r="C107">
        <v>16</v>
      </c>
      <c r="D107">
        <v>40</v>
      </c>
      <c r="E107">
        <v>6</v>
      </c>
      <c r="F107">
        <v>178.21354641699801</v>
      </c>
      <c r="G107">
        <v>919</v>
      </c>
      <c r="H107">
        <v>10000</v>
      </c>
      <c r="I107" t="s">
        <v>188</v>
      </c>
      <c r="J107">
        <f t="shared" si="1"/>
        <v>0</v>
      </c>
    </row>
    <row r="108" spans="1:10" x14ac:dyDescent="0.2">
      <c r="A108" t="s">
        <v>44</v>
      </c>
      <c r="B108">
        <v>756</v>
      </c>
      <c r="C108">
        <v>16</v>
      </c>
      <c r="D108">
        <v>42</v>
      </c>
      <c r="E108">
        <v>8</v>
      </c>
      <c r="F108">
        <v>187.354909749992</v>
      </c>
      <c r="G108">
        <v>1437</v>
      </c>
      <c r="H108">
        <v>10000</v>
      </c>
      <c r="I108" t="s">
        <v>189</v>
      </c>
      <c r="J108">
        <f t="shared" si="1"/>
        <v>0</v>
      </c>
    </row>
    <row r="109" spans="1:10" x14ac:dyDescent="0.2">
      <c r="A109" t="s">
        <v>44</v>
      </c>
      <c r="B109">
        <v>756</v>
      </c>
      <c r="C109">
        <v>16</v>
      </c>
      <c r="D109">
        <v>40</v>
      </c>
      <c r="E109">
        <v>6</v>
      </c>
      <c r="F109">
        <v>178.48424470800001</v>
      </c>
      <c r="G109">
        <v>2237</v>
      </c>
      <c r="H109">
        <v>10000</v>
      </c>
      <c r="I109" t="s">
        <v>190</v>
      </c>
      <c r="J109">
        <f t="shared" si="1"/>
        <v>0</v>
      </c>
    </row>
    <row r="110" spans="1:10" x14ac:dyDescent="0.2">
      <c r="A110" t="s">
        <v>44</v>
      </c>
      <c r="B110">
        <v>756</v>
      </c>
      <c r="C110">
        <v>16</v>
      </c>
      <c r="D110">
        <v>40</v>
      </c>
      <c r="E110">
        <v>6</v>
      </c>
      <c r="F110">
        <v>180.258743833008</v>
      </c>
      <c r="G110">
        <v>11</v>
      </c>
      <c r="H110">
        <v>10000</v>
      </c>
      <c r="I110" t="s">
        <v>191</v>
      </c>
      <c r="J110">
        <f t="shared" si="1"/>
        <v>0</v>
      </c>
    </row>
    <row r="111" spans="1:10" x14ac:dyDescent="0.2">
      <c r="A111" t="s">
        <v>44</v>
      </c>
      <c r="B111">
        <v>756</v>
      </c>
      <c r="C111">
        <v>16</v>
      </c>
      <c r="D111">
        <v>36</v>
      </c>
      <c r="E111">
        <v>2</v>
      </c>
      <c r="F111">
        <v>182.13658670899099</v>
      </c>
      <c r="G111">
        <v>715</v>
      </c>
      <c r="H111">
        <v>10000</v>
      </c>
      <c r="I111" t="s">
        <v>279</v>
      </c>
      <c r="J111">
        <f t="shared" si="1"/>
        <v>0</v>
      </c>
    </row>
    <row r="112" spans="1:10" x14ac:dyDescent="0.2">
      <c r="A112" t="s">
        <v>44</v>
      </c>
      <c r="B112">
        <v>756</v>
      </c>
      <c r="C112">
        <v>16</v>
      </c>
      <c r="D112">
        <v>38</v>
      </c>
      <c r="E112">
        <v>4</v>
      </c>
      <c r="F112">
        <v>191.30026724999999</v>
      </c>
      <c r="G112">
        <v>5267</v>
      </c>
      <c r="H112">
        <v>10000</v>
      </c>
      <c r="I112" t="s">
        <v>280</v>
      </c>
      <c r="J112">
        <f t="shared" si="1"/>
        <v>0</v>
      </c>
    </row>
    <row r="113" spans="1:10" x14ac:dyDescent="0.2">
      <c r="A113" t="s">
        <v>44</v>
      </c>
      <c r="B113">
        <v>756</v>
      </c>
      <c r="C113">
        <v>16</v>
      </c>
      <c r="D113">
        <v>38</v>
      </c>
      <c r="E113">
        <v>4</v>
      </c>
      <c r="F113">
        <v>178.28770137501101</v>
      </c>
      <c r="G113">
        <v>4076</v>
      </c>
      <c r="H113">
        <v>10000</v>
      </c>
      <c r="I113" t="s">
        <v>281</v>
      </c>
      <c r="J113">
        <f t="shared" si="1"/>
        <v>0</v>
      </c>
    </row>
    <row r="114" spans="1:10" x14ac:dyDescent="0.2">
      <c r="A114" t="s">
        <v>44</v>
      </c>
      <c r="B114">
        <v>756</v>
      </c>
      <c r="C114">
        <v>16</v>
      </c>
      <c r="D114">
        <v>42</v>
      </c>
      <c r="E114">
        <v>8</v>
      </c>
      <c r="F114">
        <v>176.944661165995</v>
      </c>
      <c r="G114">
        <v>1063</v>
      </c>
      <c r="H114">
        <v>10000</v>
      </c>
      <c r="I114" t="s">
        <v>282</v>
      </c>
      <c r="J114">
        <f t="shared" si="1"/>
        <v>0</v>
      </c>
    </row>
    <row r="115" spans="1:10" x14ac:dyDescent="0.2">
      <c r="A115" t="s">
        <v>44</v>
      </c>
      <c r="B115">
        <v>756</v>
      </c>
      <c r="C115">
        <v>16</v>
      </c>
      <c r="D115">
        <v>42</v>
      </c>
      <c r="E115">
        <v>8</v>
      </c>
      <c r="F115">
        <v>184.13720279200001</v>
      </c>
      <c r="G115">
        <v>3562</v>
      </c>
      <c r="H115">
        <v>10000</v>
      </c>
      <c r="I115" t="s">
        <v>283</v>
      </c>
      <c r="J115">
        <f t="shared" si="1"/>
        <v>0</v>
      </c>
    </row>
    <row r="116" spans="1:10" x14ac:dyDescent="0.2">
      <c r="A116" t="s">
        <v>44</v>
      </c>
      <c r="B116">
        <v>756</v>
      </c>
      <c r="C116">
        <v>16</v>
      </c>
      <c r="D116">
        <v>44</v>
      </c>
      <c r="E116">
        <v>10</v>
      </c>
      <c r="F116">
        <v>175.105508833003</v>
      </c>
      <c r="G116">
        <v>1281</v>
      </c>
      <c r="H116">
        <v>10000</v>
      </c>
      <c r="I116" t="s">
        <v>284</v>
      </c>
      <c r="J116">
        <f t="shared" si="1"/>
        <v>0</v>
      </c>
    </row>
    <row r="117" spans="1:10" x14ac:dyDescent="0.2">
      <c r="A117" t="s">
        <v>44</v>
      </c>
      <c r="B117">
        <v>756</v>
      </c>
      <c r="C117">
        <v>16</v>
      </c>
      <c r="D117">
        <v>34</v>
      </c>
      <c r="E117">
        <v>0</v>
      </c>
      <c r="F117">
        <v>179.80900529200099</v>
      </c>
      <c r="G117">
        <v>3067</v>
      </c>
      <c r="H117">
        <v>10000</v>
      </c>
      <c r="I117" t="s">
        <v>285</v>
      </c>
      <c r="J117">
        <f t="shared" si="1"/>
        <v>3067</v>
      </c>
    </row>
    <row r="118" spans="1:10" x14ac:dyDescent="0.2">
      <c r="A118" t="s">
        <v>44</v>
      </c>
      <c r="B118">
        <v>756</v>
      </c>
      <c r="C118">
        <v>16</v>
      </c>
      <c r="D118">
        <v>40</v>
      </c>
      <c r="E118">
        <v>6</v>
      </c>
      <c r="F118">
        <v>186.286663916995</v>
      </c>
      <c r="G118">
        <v>5540</v>
      </c>
      <c r="H118">
        <v>10000</v>
      </c>
      <c r="I118" t="s">
        <v>286</v>
      </c>
      <c r="J118">
        <f t="shared" si="1"/>
        <v>0</v>
      </c>
    </row>
    <row r="119" spans="1:10" x14ac:dyDescent="0.2">
      <c r="A119" t="s">
        <v>44</v>
      </c>
      <c r="B119">
        <v>756</v>
      </c>
      <c r="C119">
        <v>16</v>
      </c>
      <c r="D119">
        <v>38</v>
      </c>
      <c r="E119">
        <v>4</v>
      </c>
      <c r="F119">
        <v>181.47273995800001</v>
      </c>
      <c r="G119">
        <v>3399</v>
      </c>
      <c r="H119">
        <v>10000</v>
      </c>
      <c r="I119" t="s">
        <v>287</v>
      </c>
      <c r="J119">
        <f t="shared" si="1"/>
        <v>0</v>
      </c>
    </row>
    <row r="120" spans="1:10" x14ac:dyDescent="0.2">
      <c r="A120" t="s">
        <v>44</v>
      </c>
      <c r="B120">
        <v>756</v>
      </c>
      <c r="C120">
        <v>16</v>
      </c>
      <c r="D120">
        <v>46</v>
      </c>
      <c r="E120">
        <v>12</v>
      </c>
      <c r="F120">
        <v>181.820090708002</v>
      </c>
      <c r="G120">
        <v>6605</v>
      </c>
      <c r="H120">
        <v>10000</v>
      </c>
      <c r="I120" t="s">
        <v>288</v>
      </c>
      <c r="J120">
        <f t="shared" si="1"/>
        <v>0</v>
      </c>
    </row>
    <row r="121" spans="1:10" x14ac:dyDescent="0.2">
      <c r="A121" t="s">
        <v>44</v>
      </c>
      <c r="B121">
        <v>756</v>
      </c>
      <c r="C121">
        <v>16</v>
      </c>
      <c r="D121">
        <v>38</v>
      </c>
      <c r="E121">
        <v>4</v>
      </c>
      <c r="F121">
        <v>175.00792554199799</v>
      </c>
      <c r="G121">
        <v>1830</v>
      </c>
      <c r="H121">
        <v>10000</v>
      </c>
      <c r="I121" t="s">
        <v>289</v>
      </c>
      <c r="J121">
        <f t="shared" si="1"/>
        <v>0</v>
      </c>
    </row>
    <row r="122" spans="1:10" x14ac:dyDescent="0.2">
      <c r="A122" t="s">
        <v>44</v>
      </c>
      <c r="B122">
        <v>756</v>
      </c>
      <c r="C122">
        <v>16</v>
      </c>
      <c r="D122">
        <v>38</v>
      </c>
      <c r="E122">
        <v>4</v>
      </c>
      <c r="F122">
        <v>185.20701854200101</v>
      </c>
      <c r="G122">
        <v>4071</v>
      </c>
      <c r="H122">
        <v>10000</v>
      </c>
      <c r="I122" t="s">
        <v>290</v>
      </c>
      <c r="J122">
        <f t="shared" si="1"/>
        <v>0</v>
      </c>
    </row>
    <row r="123" spans="1:10" x14ac:dyDescent="0.2">
      <c r="A123" t="s">
        <v>44</v>
      </c>
      <c r="B123">
        <v>756</v>
      </c>
      <c r="C123">
        <v>16</v>
      </c>
      <c r="D123">
        <v>36</v>
      </c>
      <c r="E123">
        <v>2</v>
      </c>
      <c r="F123">
        <v>184.971032874993</v>
      </c>
      <c r="G123">
        <v>7157</v>
      </c>
      <c r="H123">
        <v>10000</v>
      </c>
      <c r="I123" t="s">
        <v>291</v>
      </c>
      <c r="J123">
        <f t="shared" si="1"/>
        <v>0</v>
      </c>
    </row>
    <row r="124" spans="1:10" x14ac:dyDescent="0.2">
      <c r="A124" t="s">
        <v>44</v>
      </c>
      <c r="B124">
        <v>756</v>
      </c>
      <c r="C124">
        <v>16</v>
      </c>
      <c r="D124">
        <v>38</v>
      </c>
      <c r="E124">
        <v>4</v>
      </c>
      <c r="F124">
        <v>178.62856120799501</v>
      </c>
      <c r="G124">
        <v>5265</v>
      </c>
      <c r="H124">
        <v>10000</v>
      </c>
      <c r="I124" t="s">
        <v>292</v>
      </c>
      <c r="J124">
        <f t="shared" si="1"/>
        <v>0</v>
      </c>
    </row>
    <row r="125" spans="1:10" x14ac:dyDescent="0.2">
      <c r="A125" t="s">
        <v>44</v>
      </c>
      <c r="B125">
        <v>756</v>
      </c>
      <c r="C125">
        <v>16</v>
      </c>
      <c r="D125">
        <v>42</v>
      </c>
      <c r="E125">
        <v>8</v>
      </c>
      <c r="F125">
        <v>181.339792708007</v>
      </c>
      <c r="G125">
        <v>5714</v>
      </c>
      <c r="H125">
        <v>10000</v>
      </c>
      <c r="I125" t="s">
        <v>293</v>
      </c>
      <c r="J125">
        <f t="shared" si="1"/>
        <v>0</v>
      </c>
    </row>
    <row r="126" spans="1:10" x14ac:dyDescent="0.2">
      <c r="A126" t="s">
        <v>44</v>
      </c>
      <c r="B126">
        <v>756</v>
      </c>
      <c r="C126">
        <v>16</v>
      </c>
      <c r="D126">
        <v>38</v>
      </c>
      <c r="E126">
        <v>4</v>
      </c>
      <c r="F126">
        <v>178.03086549999699</v>
      </c>
      <c r="G126">
        <v>1687</v>
      </c>
      <c r="H126">
        <v>10000</v>
      </c>
      <c r="I126" t="s">
        <v>294</v>
      </c>
      <c r="J126">
        <f t="shared" si="1"/>
        <v>0</v>
      </c>
    </row>
    <row r="127" spans="1:10" x14ac:dyDescent="0.2">
      <c r="A127" t="s">
        <v>44</v>
      </c>
      <c r="B127">
        <v>756</v>
      </c>
      <c r="C127">
        <v>16</v>
      </c>
      <c r="D127">
        <v>36</v>
      </c>
      <c r="E127">
        <v>2</v>
      </c>
      <c r="F127">
        <v>186.70471466700801</v>
      </c>
      <c r="G127">
        <v>4921</v>
      </c>
      <c r="H127">
        <v>10000</v>
      </c>
      <c r="I127" t="s">
        <v>295</v>
      </c>
      <c r="J127">
        <f>IF(E127=0,G127,)</f>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B453C-9685-B94D-811D-2B2FAD6C4A6F}">
  <dimension ref="A1:I131"/>
  <sheetViews>
    <sheetView topLeftCell="A112" workbookViewId="0">
      <selection activeCell="E136" sqref="E136"/>
    </sheetView>
  </sheetViews>
  <sheetFormatPr baseColWidth="10" defaultRowHeight="16" x14ac:dyDescent="0.2"/>
  <sheetData>
    <row r="1" spans="1:1" x14ac:dyDescent="0.2">
      <c r="A1" t="s">
        <v>0</v>
      </c>
    </row>
    <row r="2" spans="1:1" x14ac:dyDescent="0.2">
      <c r="A2" t="s">
        <v>1</v>
      </c>
    </row>
    <row r="3" spans="1:1" x14ac:dyDescent="0.2">
      <c r="A3" t="s">
        <v>101</v>
      </c>
    </row>
    <row r="4" spans="1:1" x14ac:dyDescent="0.2">
      <c r="A4" t="s">
        <v>2</v>
      </c>
    </row>
    <row r="5" spans="1:1" x14ac:dyDescent="0.2">
      <c r="A5" t="s">
        <v>3</v>
      </c>
    </row>
    <row r="6" spans="1:1" x14ac:dyDescent="0.2">
      <c r="A6" t="s">
        <v>4</v>
      </c>
    </row>
    <row r="7" spans="1:1" x14ac:dyDescent="0.2">
      <c r="A7" t="s">
        <v>5</v>
      </c>
    </row>
    <row r="8" spans="1:1" x14ac:dyDescent="0.2">
      <c r="A8" t="s">
        <v>6</v>
      </c>
    </row>
    <row r="9" spans="1:1" x14ac:dyDescent="0.2">
      <c r="A9" t="s">
        <v>492</v>
      </c>
    </row>
    <row r="10" spans="1:1" x14ac:dyDescent="0.2">
      <c r="A10" t="s">
        <v>493</v>
      </c>
    </row>
    <row r="11" spans="1:1" x14ac:dyDescent="0.2">
      <c r="A11" t="s">
        <v>104</v>
      </c>
    </row>
    <row r="12" spans="1:1" x14ac:dyDescent="0.2">
      <c r="A12" t="s">
        <v>8</v>
      </c>
    </row>
    <row r="13" spans="1:1" x14ac:dyDescent="0.2">
      <c r="A13" t="s">
        <v>9</v>
      </c>
    </row>
    <row r="14" spans="1:1" x14ac:dyDescent="0.2">
      <c r="A14" t="s">
        <v>10</v>
      </c>
    </row>
    <row r="15" spans="1:1" x14ac:dyDescent="0.2">
      <c r="A15" t="s">
        <v>11</v>
      </c>
    </row>
    <row r="16" spans="1:1" x14ac:dyDescent="0.2">
      <c r="A16" t="s">
        <v>494</v>
      </c>
    </row>
    <row r="17" spans="1:9" x14ac:dyDescent="0.2">
      <c r="A17" t="s">
        <v>495</v>
      </c>
    </row>
    <row r="18" spans="1:9" x14ac:dyDescent="0.2">
      <c r="A18" t="s">
        <v>12</v>
      </c>
    </row>
    <row r="19" spans="1:9" x14ac:dyDescent="0.2">
      <c r="A19" t="s">
        <v>16</v>
      </c>
    </row>
    <row r="20" spans="1:9" x14ac:dyDescent="0.2">
      <c r="A20" t="s">
        <v>107</v>
      </c>
    </row>
    <row r="21" spans="1:9" x14ac:dyDescent="0.2">
      <c r="A21" t="s">
        <v>18</v>
      </c>
    </row>
    <row r="22" spans="1:9" x14ac:dyDescent="0.2">
      <c r="A22" t="s">
        <v>500</v>
      </c>
    </row>
    <row r="23" spans="1:9" x14ac:dyDescent="0.2">
      <c r="A23" t="s">
        <v>496</v>
      </c>
    </row>
    <row r="24" spans="1:9" x14ac:dyDescent="0.2">
      <c r="A24" t="s">
        <v>497</v>
      </c>
    </row>
    <row r="25" spans="1:9" x14ac:dyDescent="0.2">
      <c r="A25" t="s">
        <v>498</v>
      </c>
    </row>
    <row r="26" spans="1:9" x14ac:dyDescent="0.2">
      <c r="A26" t="s">
        <v>499</v>
      </c>
    </row>
    <row r="27" spans="1:9" x14ac:dyDescent="0.2">
      <c r="A27" t="s">
        <v>491</v>
      </c>
    </row>
    <row r="28" spans="1:9" x14ac:dyDescent="0.2">
      <c r="A28" t="s">
        <v>20</v>
      </c>
    </row>
    <row r="29" spans="1:9" x14ac:dyDescent="0.2">
      <c r="A29" t="s">
        <v>581</v>
      </c>
    </row>
    <row r="30" spans="1:9" x14ac:dyDescent="0.2">
      <c r="A30" t="s">
        <v>22</v>
      </c>
    </row>
    <row r="31" spans="1:9" x14ac:dyDescent="0.2">
      <c r="A31" t="s">
        <v>23</v>
      </c>
      <c r="B31" t="s">
        <v>24</v>
      </c>
      <c r="C31" t="s">
        <v>25</v>
      </c>
      <c r="D31" t="s">
        <v>26</v>
      </c>
      <c r="E31" t="s">
        <v>27</v>
      </c>
      <c r="F31" t="s">
        <v>28</v>
      </c>
      <c r="G31" t="s">
        <v>29</v>
      </c>
      <c r="H31" t="s">
        <v>30</v>
      </c>
      <c r="I31" t="s">
        <v>31</v>
      </c>
    </row>
    <row r="32" spans="1:9" x14ac:dyDescent="0.2">
      <c r="A32" t="s">
        <v>44</v>
      </c>
      <c r="B32">
        <v>756</v>
      </c>
      <c r="C32">
        <v>16</v>
      </c>
      <c r="D32">
        <v>34</v>
      </c>
      <c r="E32">
        <v>0</v>
      </c>
      <c r="F32">
        <v>153.94660436641399</v>
      </c>
      <c r="G32">
        <v>3986</v>
      </c>
      <c r="H32">
        <v>10000</v>
      </c>
      <c r="I32" t="s">
        <v>582</v>
      </c>
    </row>
    <row r="33" spans="1:9" x14ac:dyDescent="0.2">
      <c r="A33" t="s">
        <v>44</v>
      </c>
      <c r="B33">
        <v>756</v>
      </c>
      <c r="C33">
        <v>16</v>
      </c>
      <c r="D33">
        <v>36</v>
      </c>
      <c r="E33">
        <v>2</v>
      </c>
      <c r="F33">
        <v>155.90221253037399</v>
      </c>
      <c r="G33">
        <v>3168</v>
      </c>
      <c r="H33">
        <v>10000</v>
      </c>
      <c r="I33" t="s">
        <v>583</v>
      </c>
    </row>
    <row r="34" spans="1:9" x14ac:dyDescent="0.2">
      <c r="A34" t="s">
        <v>44</v>
      </c>
      <c r="B34">
        <v>756</v>
      </c>
      <c r="C34">
        <v>16</v>
      </c>
      <c r="D34">
        <v>36</v>
      </c>
      <c r="E34">
        <v>2</v>
      </c>
      <c r="F34">
        <v>156.10852218233001</v>
      </c>
      <c r="G34">
        <v>2053</v>
      </c>
      <c r="H34">
        <v>10000</v>
      </c>
      <c r="I34" t="s">
        <v>584</v>
      </c>
    </row>
    <row r="35" spans="1:9" x14ac:dyDescent="0.2">
      <c r="A35" t="s">
        <v>44</v>
      </c>
      <c r="B35">
        <v>756</v>
      </c>
      <c r="C35">
        <v>16</v>
      </c>
      <c r="D35">
        <v>34</v>
      </c>
      <c r="E35">
        <v>0</v>
      </c>
      <c r="F35">
        <v>154.03610622789699</v>
      </c>
      <c r="G35">
        <v>3718</v>
      </c>
      <c r="H35">
        <v>10000</v>
      </c>
      <c r="I35" t="s">
        <v>585</v>
      </c>
    </row>
    <row r="36" spans="1:9" x14ac:dyDescent="0.2">
      <c r="A36" t="s">
        <v>44</v>
      </c>
      <c r="B36">
        <v>756</v>
      </c>
      <c r="C36">
        <v>16</v>
      </c>
      <c r="D36">
        <v>34</v>
      </c>
      <c r="E36">
        <v>0</v>
      </c>
      <c r="F36">
        <v>153.71473122760599</v>
      </c>
      <c r="G36">
        <v>2994</v>
      </c>
      <c r="H36">
        <v>10000</v>
      </c>
      <c r="I36" t="s">
        <v>586</v>
      </c>
    </row>
    <row r="37" spans="1:9" x14ac:dyDescent="0.2">
      <c r="A37" t="s">
        <v>44</v>
      </c>
      <c r="B37">
        <v>756</v>
      </c>
      <c r="C37">
        <v>16</v>
      </c>
      <c r="D37">
        <v>34</v>
      </c>
      <c r="E37">
        <v>0</v>
      </c>
      <c r="F37">
        <v>158.08562122750999</v>
      </c>
      <c r="G37">
        <v>3774</v>
      </c>
      <c r="H37">
        <v>10000</v>
      </c>
      <c r="I37" t="s">
        <v>587</v>
      </c>
    </row>
    <row r="38" spans="1:9" x14ac:dyDescent="0.2">
      <c r="A38" t="s">
        <v>44</v>
      </c>
      <c r="B38">
        <v>756</v>
      </c>
      <c r="C38">
        <v>16</v>
      </c>
      <c r="D38">
        <v>38</v>
      </c>
      <c r="E38">
        <v>4</v>
      </c>
      <c r="F38">
        <v>155.46875211596401</v>
      </c>
      <c r="G38">
        <v>3264</v>
      </c>
      <c r="H38">
        <v>10000</v>
      </c>
      <c r="I38" t="s">
        <v>588</v>
      </c>
    </row>
    <row r="39" spans="1:9" x14ac:dyDescent="0.2">
      <c r="A39" t="s">
        <v>44</v>
      </c>
      <c r="B39">
        <v>756</v>
      </c>
      <c r="C39">
        <v>16</v>
      </c>
      <c r="D39">
        <v>34</v>
      </c>
      <c r="E39">
        <v>0</v>
      </c>
      <c r="F39">
        <v>153.783553536981</v>
      </c>
      <c r="G39">
        <v>2383</v>
      </c>
      <c r="H39">
        <v>10000</v>
      </c>
      <c r="I39" t="s">
        <v>589</v>
      </c>
    </row>
    <row r="40" spans="1:9" x14ac:dyDescent="0.2">
      <c r="A40" t="s">
        <v>44</v>
      </c>
      <c r="B40">
        <v>756</v>
      </c>
      <c r="C40">
        <v>16</v>
      </c>
      <c r="D40">
        <v>36</v>
      </c>
      <c r="E40">
        <v>2</v>
      </c>
      <c r="F40">
        <v>158.966631586663</v>
      </c>
      <c r="G40">
        <v>4277</v>
      </c>
      <c r="H40">
        <v>10000</v>
      </c>
      <c r="I40" t="s">
        <v>590</v>
      </c>
    </row>
    <row r="41" spans="1:9" x14ac:dyDescent="0.2">
      <c r="A41" t="s">
        <v>44</v>
      </c>
      <c r="B41">
        <v>756</v>
      </c>
      <c r="C41">
        <v>16</v>
      </c>
      <c r="D41">
        <v>34</v>
      </c>
      <c r="E41">
        <v>0</v>
      </c>
      <c r="F41">
        <v>150.12771839182801</v>
      </c>
      <c r="G41">
        <v>1549</v>
      </c>
      <c r="H41">
        <v>10000</v>
      </c>
      <c r="I41" t="s">
        <v>591</v>
      </c>
    </row>
    <row r="42" spans="1:9" x14ac:dyDescent="0.2">
      <c r="A42" t="s">
        <v>44</v>
      </c>
      <c r="B42">
        <v>756</v>
      </c>
      <c r="C42">
        <v>16</v>
      </c>
      <c r="D42">
        <v>34</v>
      </c>
      <c r="E42">
        <v>0</v>
      </c>
      <c r="F42">
        <v>147.344389765523</v>
      </c>
      <c r="G42">
        <v>1869</v>
      </c>
      <c r="H42">
        <v>10000</v>
      </c>
      <c r="I42" t="s">
        <v>592</v>
      </c>
    </row>
    <row r="43" spans="1:9" x14ac:dyDescent="0.2">
      <c r="A43" t="s">
        <v>44</v>
      </c>
      <c r="B43">
        <v>756</v>
      </c>
      <c r="C43">
        <v>16</v>
      </c>
      <c r="D43">
        <v>38</v>
      </c>
      <c r="E43">
        <v>4</v>
      </c>
      <c r="F43">
        <v>147.171632971614</v>
      </c>
      <c r="G43">
        <v>1259</v>
      </c>
      <c r="H43">
        <v>10000</v>
      </c>
      <c r="I43" t="s">
        <v>593</v>
      </c>
    </row>
    <row r="44" spans="1:9" x14ac:dyDescent="0.2">
      <c r="A44" t="s">
        <v>44</v>
      </c>
      <c r="B44">
        <v>756</v>
      </c>
      <c r="C44">
        <v>16</v>
      </c>
      <c r="D44">
        <v>36</v>
      </c>
      <c r="E44">
        <v>2</v>
      </c>
      <c r="F44">
        <v>145.60336927790101</v>
      </c>
      <c r="G44">
        <v>2157</v>
      </c>
      <c r="H44">
        <v>10000</v>
      </c>
      <c r="I44" t="s">
        <v>594</v>
      </c>
    </row>
    <row r="45" spans="1:9" x14ac:dyDescent="0.2">
      <c r="A45" t="s">
        <v>44</v>
      </c>
      <c r="B45">
        <v>756</v>
      </c>
      <c r="C45">
        <v>16</v>
      </c>
      <c r="D45">
        <v>34</v>
      </c>
      <c r="E45">
        <v>0</v>
      </c>
      <c r="F45">
        <v>144.24821713752999</v>
      </c>
      <c r="G45">
        <v>4535</v>
      </c>
      <c r="H45">
        <v>10000</v>
      </c>
      <c r="I45" t="s">
        <v>595</v>
      </c>
    </row>
    <row r="46" spans="1:9" x14ac:dyDescent="0.2">
      <c r="A46" t="s">
        <v>44</v>
      </c>
      <c r="B46">
        <v>756</v>
      </c>
      <c r="C46">
        <v>16</v>
      </c>
      <c r="D46">
        <v>34</v>
      </c>
      <c r="E46">
        <v>0</v>
      </c>
      <c r="F46">
        <v>146.28633719217001</v>
      </c>
      <c r="G46">
        <v>291</v>
      </c>
      <c r="H46">
        <v>10000</v>
      </c>
      <c r="I46" t="s">
        <v>596</v>
      </c>
    </row>
    <row r="47" spans="1:9" x14ac:dyDescent="0.2">
      <c r="A47" t="s">
        <v>44</v>
      </c>
      <c r="B47">
        <v>756</v>
      </c>
      <c r="C47">
        <v>16</v>
      </c>
      <c r="D47">
        <v>34</v>
      </c>
      <c r="E47">
        <v>0</v>
      </c>
      <c r="F47">
        <v>145.344864794053</v>
      </c>
      <c r="G47">
        <v>3519</v>
      </c>
      <c r="H47">
        <v>10000</v>
      </c>
      <c r="I47" t="s">
        <v>597</v>
      </c>
    </row>
    <row r="48" spans="1:9" x14ac:dyDescent="0.2">
      <c r="A48" t="s">
        <v>44</v>
      </c>
      <c r="B48">
        <v>756</v>
      </c>
      <c r="C48">
        <v>16</v>
      </c>
      <c r="D48">
        <v>34</v>
      </c>
      <c r="E48">
        <v>0</v>
      </c>
      <c r="F48">
        <v>147.438987093977</v>
      </c>
      <c r="G48">
        <v>4359</v>
      </c>
      <c r="H48">
        <v>10000</v>
      </c>
      <c r="I48" t="s">
        <v>598</v>
      </c>
    </row>
    <row r="49" spans="1:9" x14ac:dyDescent="0.2">
      <c r="A49" t="s">
        <v>44</v>
      </c>
      <c r="B49">
        <v>756</v>
      </c>
      <c r="C49">
        <v>16</v>
      </c>
      <c r="D49">
        <v>36</v>
      </c>
      <c r="E49">
        <v>2</v>
      </c>
      <c r="F49">
        <v>145.50857086107101</v>
      </c>
      <c r="G49">
        <v>3434</v>
      </c>
      <c r="H49">
        <v>10000</v>
      </c>
      <c r="I49" t="s">
        <v>599</v>
      </c>
    </row>
    <row r="50" spans="1:9" x14ac:dyDescent="0.2">
      <c r="A50" t="s">
        <v>44</v>
      </c>
      <c r="B50">
        <v>756</v>
      </c>
      <c r="C50">
        <v>16</v>
      </c>
      <c r="D50">
        <v>34</v>
      </c>
      <c r="E50">
        <v>0</v>
      </c>
      <c r="F50">
        <v>145.56258372776199</v>
      </c>
      <c r="G50">
        <v>1618</v>
      </c>
      <c r="H50">
        <v>10000</v>
      </c>
      <c r="I50" t="s">
        <v>600</v>
      </c>
    </row>
    <row r="51" spans="1:9" x14ac:dyDescent="0.2">
      <c r="A51" t="s">
        <v>44</v>
      </c>
      <c r="B51">
        <v>756</v>
      </c>
      <c r="C51">
        <v>16</v>
      </c>
      <c r="D51">
        <v>38</v>
      </c>
      <c r="E51">
        <v>4</v>
      </c>
      <c r="F51">
        <v>144.83156419638499</v>
      </c>
      <c r="G51">
        <v>3731</v>
      </c>
      <c r="H51">
        <v>10000</v>
      </c>
      <c r="I51" t="s">
        <v>601</v>
      </c>
    </row>
    <row r="52" spans="1:9" x14ac:dyDescent="0.2">
      <c r="A52" t="s">
        <v>44</v>
      </c>
      <c r="B52">
        <v>756</v>
      </c>
      <c r="C52">
        <v>16</v>
      </c>
      <c r="D52">
        <v>34</v>
      </c>
      <c r="E52">
        <v>0</v>
      </c>
      <c r="F52">
        <v>143.29172760900099</v>
      </c>
      <c r="G52">
        <v>1213</v>
      </c>
      <c r="H52">
        <v>10000</v>
      </c>
      <c r="I52" t="s">
        <v>602</v>
      </c>
    </row>
    <row r="53" spans="1:9" x14ac:dyDescent="0.2">
      <c r="A53" t="s">
        <v>44</v>
      </c>
      <c r="B53">
        <v>756</v>
      </c>
      <c r="C53">
        <v>16</v>
      </c>
      <c r="D53">
        <v>34</v>
      </c>
      <c r="E53">
        <v>0</v>
      </c>
      <c r="F53">
        <v>144.715115606784</v>
      </c>
      <c r="G53">
        <v>4437</v>
      </c>
      <c r="H53">
        <v>10000</v>
      </c>
      <c r="I53" t="s">
        <v>603</v>
      </c>
    </row>
    <row r="54" spans="1:9" x14ac:dyDescent="0.2">
      <c r="A54" t="s">
        <v>44</v>
      </c>
      <c r="B54">
        <v>756</v>
      </c>
      <c r="C54">
        <v>16</v>
      </c>
      <c r="D54">
        <v>36</v>
      </c>
      <c r="E54">
        <v>2</v>
      </c>
      <c r="F54">
        <v>145.677167745307</v>
      </c>
      <c r="G54">
        <v>2809</v>
      </c>
      <c r="H54">
        <v>10000</v>
      </c>
      <c r="I54" t="s">
        <v>604</v>
      </c>
    </row>
    <row r="55" spans="1:9" x14ac:dyDescent="0.2">
      <c r="A55" t="s">
        <v>44</v>
      </c>
      <c r="B55">
        <v>756</v>
      </c>
      <c r="C55">
        <v>16</v>
      </c>
      <c r="D55">
        <v>36</v>
      </c>
      <c r="E55">
        <v>2</v>
      </c>
      <c r="F55">
        <v>144.44728786312001</v>
      </c>
      <c r="G55">
        <v>3652</v>
      </c>
      <c r="H55">
        <v>10000</v>
      </c>
      <c r="I55" t="s">
        <v>605</v>
      </c>
    </row>
    <row r="56" spans="1:9" x14ac:dyDescent="0.2">
      <c r="A56" t="s">
        <v>44</v>
      </c>
      <c r="B56">
        <v>756</v>
      </c>
      <c r="C56">
        <v>16</v>
      </c>
      <c r="D56">
        <v>34</v>
      </c>
      <c r="E56">
        <v>0</v>
      </c>
      <c r="F56">
        <v>133.915707173757</v>
      </c>
      <c r="G56">
        <v>2672</v>
      </c>
      <c r="H56">
        <v>10000</v>
      </c>
      <c r="I56" t="s">
        <v>606</v>
      </c>
    </row>
    <row r="57" spans="1:9" x14ac:dyDescent="0.2">
      <c r="A57" t="s">
        <v>44</v>
      </c>
      <c r="B57">
        <v>756</v>
      </c>
      <c r="C57">
        <v>16</v>
      </c>
      <c r="D57">
        <v>34</v>
      </c>
      <c r="E57">
        <v>0</v>
      </c>
      <c r="F57">
        <v>135.51425016857601</v>
      </c>
      <c r="G57">
        <v>1686</v>
      </c>
      <c r="H57">
        <v>10000</v>
      </c>
      <c r="I57" t="s">
        <v>607</v>
      </c>
    </row>
    <row r="58" spans="1:9" x14ac:dyDescent="0.2">
      <c r="A58" t="s">
        <v>44</v>
      </c>
      <c r="B58">
        <v>756</v>
      </c>
      <c r="C58">
        <v>16</v>
      </c>
      <c r="D58">
        <v>34</v>
      </c>
      <c r="E58">
        <v>0</v>
      </c>
      <c r="F58">
        <v>140.81354876141901</v>
      </c>
      <c r="G58">
        <v>2878</v>
      </c>
      <c r="H58">
        <v>10000</v>
      </c>
      <c r="I58" t="s">
        <v>608</v>
      </c>
    </row>
    <row r="59" spans="1:9" x14ac:dyDescent="0.2">
      <c r="A59" t="s">
        <v>44</v>
      </c>
      <c r="B59">
        <v>756</v>
      </c>
      <c r="C59">
        <v>16</v>
      </c>
      <c r="D59">
        <v>36</v>
      </c>
      <c r="E59">
        <v>2</v>
      </c>
      <c r="F59">
        <v>135.077756261453</v>
      </c>
      <c r="G59">
        <v>2992</v>
      </c>
      <c r="H59">
        <v>10000</v>
      </c>
      <c r="I59" t="s">
        <v>609</v>
      </c>
    </row>
    <row r="60" spans="1:9" x14ac:dyDescent="0.2">
      <c r="A60" t="s">
        <v>44</v>
      </c>
      <c r="B60">
        <v>756</v>
      </c>
      <c r="C60">
        <v>16</v>
      </c>
      <c r="D60">
        <v>36</v>
      </c>
      <c r="E60">
        <v>2</v>
      </c>
      <c r="F60">
        <v>136.60668904241101</v>
      </c>
      <c r="G60">
        <v>4288</v>
      </c>
      <c r="H60">
        <v>10000</v>
      </c>
      <c r="I60" t="s">
        <v>610</v>
      </c>
    </row>
    <row r="61" spans="1:9" x14ac:dyDescent="0.2">
      <c r="A61" t="s">
        <v>44</v>
      </c>
      <c r="B61">
        <v>756</v>
      </c>
      <c r="C61">
        <v>16</v>
      </c>
      <c r="D61">
        <v>34</v>
      </c>
      <c r="E61">
        <v>0</v>
      </c>
      <c r="F61">
        <v>135.648297957144</v>
      </c>
      <c r="G61">
        <v>2475</v>
      </c>
      <c r="H61">
        <v>10000</v>
      </c>
      <c r="I61" t="s">
        <v>611</v>
      </c>
    </row>
    <row r="62" spans="1:9" x14ac:dyDescent="0.2">
      <c r="A62" t="s">
        <v>44</v>
      </c>
      <c r="B62">
        <v>756</v>
      </c>
      <c r="C62">
        <v>16</v>
      </c>
      <c r="D62">
        <v>34</v>
      </c>
      <c r="E62">
        <v>0</v>
      </c>
      <c r="F62">
        <v>133.89313193690001</v>
      </c>
      <c r="G62">
        <v>1341</v>
      </c>
      <c r="H62">
        <v>10000</v>
      </c>
      <c r="I62" t="s">
        <v>612</v>
      </c>
    </row>
    <row r="63" spans="1:9" x14ac:dyDescent="0.2">
      <c r="A63" t="s">
        <v>44</v>
      </c>
      <c r="B63">
        <v>756</v>
      </c>
      <c r="C63">
        <v>16</v>
      </c>
      <c r="D63">
        <v>36</v>
      </c>
      <c r="E63">
        <v>2</v>
      </c>
      <c r="F63">
        <v>137.90047775860799</v>
      </c>
      <c r="G63">
        <v>332</v>
      </c>
      <c r="H63">
        <v>10000</v>
      </c>
      <c r="I63" t="s">
        <v>613</v>
      </c>
    </row>
    <row r="64" spans="1:9" x14ac:dyDescent="0.2">
      <c r="A64" t="s">
        <v>44</v>
      </c>
      <c r="B64">
        <v>756</v>
      </c>
      <c r="C64">
        <v>16</v>
      </c>
      <c r="D64">
        <v>34</v>
      </c>
      <c r="E64">
        <v>0</v>
      </c>
      <c r="F64">
        <v>135.976896548643</v>
      </c>
      <c r="G64">
        <v>4076</v>
      </c>
      <c r="H64">
        <v>10000</v>
      </c>
      <c r="I64" t="s">
        <v>614</v>
      </c>
    </row>
    <row r="65" spans="1:9" x14ac:dyDescent="0.2">
      <c r="A65" t="s">
        <v>44</v>
      </c>
      <c r="B65">
        <v>756</v>
      </c>
      <c r="C65">
        <v>16</v>
      </c>
      <c r="D65">
        <v>34</v>
      </c>
      <c r="E65">
        <v>0</v>
      </c>
      <c r="F65">
        <v>135.23418503906501</v>
      </c>
      <c r="G65">
        <v>2936</v>
      </c>
      <c r="H65">
        <v>10000</v>
      </c>
      <c r="I65" t="s">
        <v>615</v>
      </c>
    </row>
    <row r="66" spans="1:9" x14ac:dyDescent="0.2">
      <c r="A66" t="s">
        <v>44</v>
      </c>
      <c r="B66">
        <v>756</v>
      </c>
      <c r="C66">
        <v>16</v>
      </c>
      <c r="D66">
        <v>36</v>
      </c>
      <c r="E66">
        <v>2</v>
      </c>
      <c r="F66">
        <v>136.06292017176699</v>
      </c>
      <c r="G66">
        <v>3119</v>
      </c>
      <c r="H66">
        <v>10000</v>
      </c>
      <c r="I66" t="s">
        <v>616</v>
      </c>
    </row>
    <row r="67" spans="1:9" x14ac:dyDescent="0.2">
      <c r="A67" t="s">
        <v>44</v>
      </c>
      <c r="B67">
        <v>756</v>
      </c>
      <c r="C67">
        <v>16</v>
      </c>
      <c r="D67">
        <v>36</v>
      </c>
      <c r="E67">
        <v>2</v>
      </c>
      <c r="F67">
        <v>138.01321730576399</v>
      </c>
      <c r="G67">
        <v>4440</v>
      </c>
      <c r="H67">
        <v>10000</v>
      </c>
      <c r="I67" t="s">
        <v>617</v>
      </c>
    </row>
    <row r="68" spans="1:9" x14ac:dyDescent="0.2">
      <c r="A68" t="s">
        <v>44</v>
      </c>
      <c r="B68">
        <v>756</v>
      </c>
      <c r="C68">
        <v>16</v>
      </c>
      <c r="D68">
        <v>34</v>
      </c>
      <c r="E68">
        <v>0</v>
      </c>
      <c r="F68">
        <v>137.73357213195399</v>
      </c>
      <c r="G68">
        <v>3033</v>
      </c>
      <c r="H68">
        <v>10000</v>
      </c>
      <c r="I68" t="s">
        <v>618</v>
      </c>
    </row>
    <row r="69" spans="1:9" x14ac:dyDescent="0.2">
      <c r="A69" t="s">
        <v>44</v>
      </c>
      <c r="B69">
        <v>756</v>
      </c>
      <c r="C69">
        <v>16</v>
      </c>
      <c r="D69">
        <v>36</v>
      </c>
      <c r="E69">
        <v>2</v>
      </c>
      <c r="F69">
        <v>134.61872846074399</v>
      </c>
      <c r="G69">
        <v>3205</v>
      </c>
      <c r="H69">
        <v>10000</v>
      </c>
      <c r="I69" t="s">
        <v>619</v>
      </c>
    </row>
    <row r="70" spans="1:9" x14ac:dyDescent="0.2">
      <c r="A70" t="s">
        <v>44</v>
      </c>
      <c r="B70">
        <v>756</v>
      </c>
      <c r="C70">
        <v>16</v>
      </c>
      <c r="D70">
        <v>34</v>
      </c>
      <c r="E70">
        <v>0</v>
      </c>
      <c r="F70">
        <v>138.05368097685201</v>
      </c>
      <c r="G70">
        <v>3401</v>
      </c>
      <c r="H70">
        <v>10000</v>
      </c>
      <c r="I70" t="s">
        <v>620</v>
      </c>
    </row>
    <row r="71" spans="1:9" x14ac:dyDescent="0.2">
      <c r="A71" t="s">
        <v>44</v>
      </c>
      <c r="B71">
        <v>756</v>
      </c>
      <c r="C71">
        <v>16</v>
      </c>
      <c r="D71">
        <v>34</v>
      </c>
      <c r="E71">
        <v>0</v>
      </c>
      <c r="F71">
        <v>134.561104423366</v>
      </c>
      <c r="G71">
        <v>2715</v>
      </c>
      <c r="H71">
        <v>10000</v>
      </c>
      <c r="I71" t="s">
        <v>621</v>
      </c>
    </row>
    <row r="72" spans="1:9" x14ac:dyDescent="0.2">
      <c r="A72" t="s">
        <v>44</v>
      </c>
      <c r="B72">
        <v>756</v>
      </c>
      <c r="C72">
        <v>16</v>
      </c>
      <c r="D72">
        <v>34</v>
      </c>
      <c r="E72">
        <v>0</v>
      </c>
      <c r="F72">
        <v>138.88381825387401</v>
      </c>
      <c r="G72">
        <v>4723</v>
      </c>
      <c r="H72">
        <v>10000</v>
      </c>
      <c r="I72" t="s">
        <v>622</v>
      </c>
    </row>
    <row r="73" spans="1:9" x14ac:dyDescent="0.2">
      <c r="A73" t="s">
        <v>44</v>
      </c>
      <c r="B73">
        <v>756</v>
      </c>
      <c r="C73">
        <v>16</v>
      </c>
      <c r="D73">
        <v>36</v>
      </c>
      <c r="E73">
        <v>2</v>
      </c>
      <c r="F73">
        <v>133.56139427516601</v>
      </c>
      <c r="G73">
        <v>1168</v>
      </c>
      <c r="H73">
        <v>10000</v>
      </c>
      <c r="I73" t="s">
        <v>623</v>
      </c>
    </row>
    <row r="74" spans="1:9" x14ac:dyDescent="0.2">
      <c r="A74" t="s">
        <v>44</v>
      </c>
      <c r="B74">
        <v>756</v>
      </c>
      <c r="C74">
        <v>16</v>
      </c>
      <c r="D74">
        <v>34</v>
      </c>
      <c r="E74">
        <v>0</v>
      </c>
      <c r="F74">
        <v>132.28987790085301</v>
      </c>
      <c r="G74">
        <v>177</v>
      </c>
      <c r="H74">
        <v>10000</v>
      </c>
      <c r="I74" t="s">
        <v>624</v>
      </c>
    </row>
    <row r="75" spans="1:9" x14ac:dyDescent="0.2">
      <c r="A75" t="s">
        <v>44</v>
      </c>
      <c r="B75">
        <v>756</v>
      </c>
      <c r="C75">
        <v>16</v>
      </c>
      <c r="D75">
        <v>36</v>
      </c>
      <c r="E75">
        <v>2</v>
      </c>
      <c r="F75">
        <v>134.697469945997</v>
      </c>
      <c r="G75">
        <v>2632</v>
      </c>
      <c r="H75">
        <v>10000</v>
      </c>
      <c r="I75" t="s">
        <v>625</v>
      </c>
    </row>
    <row r="76" spans="1:9" x14ac:dyDescent="0.2">
      <c r="A76" t="s">
        <v>44</v>
      </c>
      <c r="B76">
        <v>756</v>
      </c>
      <c r="C76">
        <v>16</v>
      </c>
      <c r="D76">
        <v>36</v>
      </c>
      <c r="E76">
        <v>2</v>
      </c>
      <c r="F76">
        <v>132.894350659102</v>
      </c>
      <c r="G76">
        <v>4359</v>
      </c>
      <c r="H76">
        <v>10000</v>
      </c>
      <c r="I76" t="s">
        <v>626</v>
      </c>
    </row>
    <row r="77" spans="1:9" x14ac:dyDescent="0.2">
      <c r="A77" t="s">
        <v>44</v>
      </c>
      <c r="B77">
        <v>756</v>
      </c>
      <c r="C77">
        <v>16</v>
      </c>
      <c r="D77">
        <v>36</v>
      </c>
      <c r="E77">
        <v>2</v>
      </c>
      <c r="F77">
        <v>134.438317727297</v>
      </c>
      <c r="G77">
        <v>3470</v>
      </c>
      <c r="H77">
        <v>10000</v>
      </c>
      <c r="I77" t="s">
        <v>627</v>
      </c>
    </row>
    <row r="78" spans="1:9" x14ac:dyDescent="0.2">
      <c r="A78" t="s">
        <v>44</v>
      </c>
      <c r="B78">
        <v>756</v>
      </c>
      <c r="C78">
        <v>16</v>
      </c>
      <c r="D78">
        <v>36</v>
      </c>
      <c r="E78">
        <v>2</v>
      </c>
      <c r="F78">
        <v>139.019112200476</v>
      </c>
      <c r="G78">
        <v>2288</v>
      </c>
      <c r="H78">
        <v>10000</v>
      </c>
      <c r="I78" t="s">
        <v>628</v>
      </c>
    </row>
    <row r="79" spans="1:9" x14ac:dyDescent="0.2">
      <c r="A79" t="s">
        <v>44</v>
      </c>
      <c r="B79">
        <v>756</v>
      </c>
      <c r="C79">
        <v>16</v>
      </c>
      <c r="D79">
        <v>34</v>
      </c>
      <c r="E79">
        <v>0</v>
      </c>
      <c r="F79">
        <v>130.92357849515901</v>
      </c>
      <c r="G79">
        <v>3533</v>
      </c>
      <c r="H79">
        <v>10000</v>
      </c>
      <c r="I79" t="s">
        <v>629</v>
      </c>
    </row>
    <row r="80" spans="1:9" x14ac:dyDescent="0.2">
      <c r="A80" t="s">
        <v>44</v>
      </c>
      <c r="B80">
        <v>756</v>
      </c>
      <c r="C80">
        <v>16</v>
      </c>
      <c r="D80">
        <v>34</v>
      </c>
      <c r="E80">
        <v>0</v>
      </c>
      <c r="F80">
        <v>134.93111647758599</v>
      </c>
      <c r="G80">
        <v>3953</v>
      </c>
      <c r="H80">
        <v>10000</v>
      </c>
      <c r="I80" t="s">
        <v>630</v>
      </c>
    </row>
    <row r="81" spans="1:9" x14ac:dyDescent="0.2">
      <c r="A81" t="s">
        <v>44</v>
      </c>
      <c r="B81">
        <v>756</v>
      </c>
      <c r="C81">
        <v>16</v>
      </c>
      <c r="D81">
        <v>34</v>
      </c>
      <c r="E81">
        <v>0</v>
      </c>
      <c r="F81">
        <v>135.828062435612</v>
      </c>
      <c r="G81">
        <v>2653</v>
      </c>
      <c r="H81">
        <v>10000</v>
      </c>
      <c r="I81" t="s">
        <v>631</v>
      </c>
    </row>
    <row r="82" spans="1:9" x14ac:dyDescent="0.2">
      <c r="A82" t="s">
        <v>44</v>
      </c>
      <c r="B82">
        <v>756</v>
      </c>
      <c r="C82">
        <v>16</v>
      </c>
      <c r="D82">
        <v>34</v>
      </c>
      <c r="E82">
        <v>0</v>
      </c>
      <c r="F82">
        <v>134.78443024307401</v>
      </c>
      <c r="G82">
        <v>3755</v>
      </c>
      <c r="H82">
        <v>10000</v>
      </c>
      <c r="I82" t="s">
        <v>632</v>
      </c>
    </row>
    <row r="83" spans="1:9" x14ac:dyDescent="0.2">
      <c r="A83" t="s">
        <v>44</v>
      </c>
      <c r="B83">
        <v>756</v>
      </c>
      <c r="C83">
        <v>16</v>
      </c>
      <c r="D83">
        <v>40</v>
      </c>
      <c r="E83">
        <v>6</v>
      </c>
      <c r="F83">
        <v>135.61231213249201</v>
      </c>
      <c r="G83">
        <v>3980</v>
      </c>
      <c r="H83">
        <v>10000</v>
      </c>
      <c r="I83" t="s">
        <v>633</v>
      </c>
    </row>
    <row r="84" spans="1:9" x14ac:dyDescent="0.2">
      <c r="A84" t="s">
        <v>44</v>
      </c>
      <c r="B84">
        <v>756</v>
      </c>
      <c r="C84">
        <v>16</v>
      </c>
      <c r="D84">
        <v>34</v>
      </c>
      <c r="E84">
        <v>0</v>
      </c>
      <c r="F84">
        <v>136.27771108783699</v>
      </c>
      <c r="G84">
        <v>3493</v>
      </c>
      <c r="H84">
        <v>10000</v>
      </c>
      <c r="I84" t="s">
        <v>634</v>
      </c>
    </row>
    <row r="85" spans="1:9" x14ac:dyDescent="0.2">
      <c r="A85" t="s">
        <v>44</v>
      </c>
      <c r="B85">
        <v>756</v>
      </c>
      <c r="C85">
        <v>16</v>
      </c>
      <c r="D85">
        <v>34</v>
      </c>
      <c r="E85">
        <v>0</v>
      </c>
      <c r="F85">
        <v>137.93342709541301</v>
      </c>
      <c r="G85">
        <v>1</v>
      </c>
      <c r="H85">
        <v>10000</v>
      </c>
      <c r="I85" t="s">
        <v>635</v>
      </c>
    </row>
    <row r="86" spans="1:9" x14ac:dyDescent="0.2">
      <c r="A86" t="s">
        <v>44</v>
      </c>
      <c r="B86">
        <v>756</v>
      </c>
      <c r="C86">
        <v>16</v>
      </c>
      <c r="D86">
        <v>34</v>
      </c>
      <c r="E86">
        <v>0</v>
      </c>
      <c r="F86">
        <v>135.735240729525</v>
      </c>
      <c r="G86">
        <v>3570</v>
      </c>
      <c r="H86">
        <v>10000</v>
      </c>
      <c r="I86" t="s">
        <v>636</v>
      </c>
    </row>
    <row r="87" spans="1:9" x14ac:dyDescent="0.2">
      <c r="A87" t="s">
        <v>44</v>
      </c>
      <c r="B87">
        <v>756</v>
      </c>
      <c r="C87">
        <v>16</v>
      </c>
      <c r="D87">
        <v>34</v>
      </c>
      <c r="E87">
        <v>0</v>
      </c>
      <c r="F87">
        <v>132.85864438302801</v>
      </c>
      <c r="G87">
        <v>1</v>
      </c>
      <c r="H87">
        <v>10000</v>
      </c>
      <c r="I87" t="s">
        <v>637</v>
      </c>
    </row>
    <row r="88" spans="1:9" x14ac:dyDescent="0.2">
      <c r="A88" t="s">
        <v>44</v>
      </c>
      <c r="B88">
        <v>756</v>
      </c>
      <c r="C88">
        <v>16</v>
      </c>
      <c r="D88">
        <v>36</v>
      </c>
      <c r="E88">
        <v>2</v>
      </c>
      <c r="F88">
        <v>132.394306180998</v>
      </c>
      <c r="G88">
        <v>4367</v>
      </c>
      <c r="H88">
        <v>10000</v>
      </c>
      <c r="I88" t="s">
        <v>638</v>
      </c>
    </row>
    <row r="89" spans="1:9" x14ac:dyDescent="0.2">
      <c r="A89" t="s">
        <v>44</v>
      </c>
      <c r="B89">
        <v>756</v>
      </c>
      <c r="C89">
        <v>16</v>
      </c>
      <c r="D89">
        <v>34</v>
      </c>
      <c r="E89">
        <v>0</v>
      </c>
      <c r="F89">
        <v>130.99329324997899</v>
      </c>
      <c r="G89">
        <v>2237</v>
      </c>
      <c r="H89">
        <v>10000</v>
      </c>
      <c r="I89" t="s">
        <v>639</v>
      </c>
    </row>
    <row r="90" spans="1:9" x14ac:dyDescent="0.2">
      <c r="A90" t="s">
        <v>44</v>
      </c>
      <c r="B90">
        <v>756</v>
      </c>
      <c r="C90">
        <v>16</v>
      </c>
      <c r="D90">
        <v>36</v>
      </c>
      <c r="E90">
        <v>2</v>
      </c>
      <c r="F90">
        <v>137.882041578181</v>
      </c>
      <c r="G90">
        <v>2241</v>
      </c>
      <c r="H90">
        <v>10000</v>
      </c>
      <c r="I90" t="s">
        <v>640</v>
      </c>
    </row>
    <row r="91" spans="1:9" x14ac:dyDescent="0.2">
      <c r="A91" t="s">
        <v>44</v>
      </c>
      <c r="B91">
        <v>756</v>
      </c>
      <c r="C91">
        <v>16</v>
      </c>
      <c r="D91">
        <v>34</v>
      </c>
      <c r="E91">
        <v>0</v>
      </c>
      <c r="F91">
        <v>132.72338080778701</v>
      </c>
      <c r="G91">
        <v>4703</v>
      </c>
      <c r="H91">
        <v>10000</v>
      </c>
      <c r="I91" t="s">
        <v>641</v>
      </c>
    </row>
    <row r="92" spans="1:9" x14ac:dyDescent="0.2">
      <c r="A92" t="s">
        <v>44</v>
      </c>
      <c r="B92">
        <v>756</v>
      </c>
      <c r="C92">
        <v>16</v>
      </c>
      <c r="D92">
        <v>36</v>
      </c>
      <c r="E92">
        <v>2</v>
      </c>
      <c r="F92">
        <v>135.919921823777</v>
      </c>
      <c r="G92">
        <v>3208</v>
      </c>
      <c r="H92">
        <v>10000</v>
      </c>
      <c r="I92" t="s">
        <v>642</v>
      </c>
    </row>
    <row r="93" spans="1:9" x14ac:dyDescent="0.2">
      <c r="A93" t="s">
        <v>44</v>
      </c>
      <c r="B93">
        <v>756</v>
      </c>
      <c r="C93">
        <v>16</v>
      </c>
      <c r="D93">
        <v>34</v>
      </c>
      <c r="E93">
        <v>0</v>
      </c>
      <c r="F93">
        <v>132.16946597117899</v>
      </c>
      <c r="G93">
        <v>3335</v>
      </c>
      <c r="H93">
        <v>10000</v>
      </c>
      <c r="I93" t="s">
        <v>643</v>
      </c>
    </row>
    <row r="94" spans="1:9" x14ac:dyDescent="0.2">
      <c r="A94" t="s">
        <v>44</v>
      </c>
      <c r="B94">
        <v>756</v>
      </c>
      <c r="C94">
        <v>16</v>
      </c>
      <c r="D94">
        <v>34</v>
      </c>
      <c r="E94">
        <v>0</v>
      </c>
      <c r="F94">
        <v>138.32874249759999</v>
      </c>
      <c r="G94">
        <v>2001</v>
      </c>
      <c r="H94">
        <v>10000</v>
      </c>
      <c r="I94" t="s">
        <v>644</v>
      </c>
    </row>
    <row r="95" spans="1:9" x14ac:dyDescent="0.2">
      <c r="A95" t="s">
        <v>44</v>
      </c>
      <c r="B95">
        <v>756</v>
      </c>
      <c r="C95">
        <v>16</v>
      </c>
      <c r="D95">
        <v>34</v>
      </c>
      <c r="E95">
        <v>0</v>
      </c>
      <c r="F95">
        <v>135.04717615898599</v>
      </c>
      <c r="G95">
        <v>2471</v>
      </c>
      <c r="H95">
        <v>10000</v>
      </c>
      <c r="I95" t="s">
        <v>645</v>
      </c>
    </row>
    <row r="96" spans="1:9" x14ac:dyDescent="0.2">
      <c r="A96" t="s">
        <v>44</v>
      </c>
      <c r="B96">
        <v>756</v>
      </c>
      <c r="C96">
        <v>16</v>
      </c>
      <c r="D96">
        <v>34</v>
      </c>
      <c r="E96">
        <v>0</v>
      </c>
      <c r="F96">
        <v>133.39754680637199</v>
      </c>
      <c r="G96">
        <v>3357</v>
      </c>
      <c r="H96">
        <v>10000</v>
      </c>
      <c r="I96" t="s">
        <v>646</v>
      </c>
    </row>
    <row r="97" spans="1:9" x14ac:dyDescent="0.2">
      <c r="A97" t="s">
        <v>44</v>
      </c>
      <c r="B97">
        <v>756</v>
      </c>
      <c r="C97">
        <v>16</v>
      </c>
      <c r="D97">
        <v>34</v>
      </c>
      <c r="E97">
        <v>0</v>
      </c>
      <c r="F97">
        <v>136.56812163814899</v>
      </c>
      <c r="G97">
        <v>3080</v>
      </c>
      <c r="H97">
        <v>10000</v>
      </c>
      <c r="I97" t="s">
        <v>647</v>
      </c>
    </row>
    <row r="98" spans="1:9" x14ac:dyDescent="0.2">
      <c r="A98" t="s">
        <v>44</v>
      </c>
      <c r="B98">
        <v>756</v>
      </c>
      <c r="C98">
        <v>16</v>
      </c>
      <c r="D98">
        <v>34</v>
      </c>
      <c r="E98">
        <v>0</v>
      </c>
      <c r="F98">
        <v>133.574802760034</v>
      </c>
      <c r="G98">
        <v>4072</v>
      </c>
      <c r="H98">
        <v>10000</v>
      </c>
      <c r="I98" t="s">
        <v>648</v>
      </c>
    </row>
    <row r="99" spans="1:9" x14ac:dyDescent="0.2">
      <c r="A99" t="s">
        <v>44</v>
      </c>
      <c r="B99">
        <v>756</v>
      </c>
      <c r="C99">
        <v>16</v>
      </c>
      <c r="D99">
        <v>34</v>
      </c>
      <c r="E99">
        <v>0</v>
      </c>
      <c r="F99">
        <v>136.118663732893</v>
      </c>
      <c r="G99">
        <v>2864</v>
      </c>
      <c r="H99">
        <v>10000</v>
      </c>
      <c r="I99" t="s">
        <v>649</v>
      </c>
    </row>
    <row r="100" spans="1:9" x14ac:dyDescent="0.2">
      <c r="A100" t="s">
        <v>44</v>
      </c>
      <c r="B100">
        <v>756</v>
      </c>
      <c r="C100">
        <v>16</v>
      </c>
      <c r="D100">
        <v>38</v>
      </c>
      <c r="E100">
        <v>4</v>
      </c>
      <c r="F100">
        <v>136.57572565879599</v>
      </c>
      <c r="G100">
        <v>4281</v>
      </c>
      <c r="H100">
        <v>10000</v>
      </c>
      <c r="I100" t="s">
        <v>650</v>
      </c>
    </row>
    <row r="101" spans="1:9" x14ac:dyDescent="0.2">
      <c r="A101" t="s">
        <v>44</v>
      </c>
      <c r="B101">
        <v>756</v>
      </c>
      <c r="C101">
        <v>16</v>
      </c>
      <c r="D101">
        <v>38</v>
      </c>
      <c r="E101">
        <v>4</v>
      </c>
      <c r="F101">
        <v>134.54103286471201</v>
      </c>
      <c r="G101">
        <v>1805</v>
      </c>
      <c r="H101">
        <v>10000</v>
      </c>
      <c r="I101" t="s">
        <v>651</v>
      </c>
    </row>
    <row r="102" spans="1:9" x14ac:dyDescent="0.2">
      <c r="A102" t="s">
        <v>44</v>
      </c>
      <c r="B102">
        <v>756</v>
      </c>
      <c r="C102">
        <v>16</v>
      </c>
      <c r="D102">
        <v>34</v>
      </c>
      <c r="E102">
        <v>0</v>
      </c>
      <c r="F102">
        <v>133.47147799283201</v>
      </c>
      <c r="G102">
        <v>2867</v>
      </c>
      <c r="H102">
        <v>10000</v>
      </c>
      <c r="I102" t="s">
        <v>652</v>
      </c>
    </row>
    <row r="103" spans="1:9" x14ac:dyDescent="0.2">
      <c r="A103" t="s">
        <v>44</v>
      </c>
      <c r="B103">
        <v>756</v>
      </c>
      <c r="C103">
        <v>16</v>
      </c>
      <c r="D103">
        <v>36</v>
      </c>
      <c r="E103">
        <v>2</v>
      </c>
      <c r="F103">
        <v>133.904443370178</v>
      </c>
      <c r="G103">
        <v>29</v>
      </c>
      <c r="H103">
        <v>10000</v>
      </c>
      <c r="I103" t="s">
        <v>653</v>
      </c>
    </row>
    <row r="104" spans="1:9" x14ac:dyDescent="0.2">
      <c r="A104" t="s">
        <v>44</v>
      </c>
      <c r="B104">
        <v>756</v>
      </c>
      <c r="C104">
        <v>16</v>
      </c>
      <c r="D104">
        <v>34</v>
      </c>
      <c r="E104">
        <v>0</v>
      </c>
      <c r="F104">
        <v>134.66848493088</v>
      </c>
      <c r="G104">
        <v>3826</v>
      </c>
      <c r="H104">
        <v>10000</v>
      </c>
      <c r="I104" t="s">
        <v>654</v>
      </c>
    </row>
    <row r="105" spans="1:9" x14ac:dyDescent="0.2">
      <c r="A105" t="s">
        <v>44</v>
      </c>
      <c r="B105">
        <v>756</v>
      </c>
      <c r="C105">
        <v>16</v>
      </c>
      <c r="D105">
        <v>34</v>
      </c>
      <c r="E105">
        <v>0</v>
      </c>
      <c r="F105">
        <v>135.717031571082</v>
      </c>
      <c r="G105">
        <v>2084</v>
      </c>
      <c r="H105">
        <v>10000</v>
      </c>
      <c r="I105" t="s">
        <v>655</v>
      </c>
    </row>
    <row r="106" spans="1:9" x14ac:dyDescent="0.2">
      <c r="A106" t="s">
        <v>44</v>
      </c>
      <c r="B106">
        <v>756</v>
      </c>
      <c r="C106">
        <v>16</v>
      </c>
      <c r="D106">
        <v>42</v>
      </c>
      <c r="E106">
        <v>8</v>
      </c>
      <c r="F106">
        <v>134.017008448019</v>
      </c>
      <c r="G106">
        <v>3409</v>
      </c>
      <c r="H106">
        <v>10000</v>
      </c>
      <c r="I106" t="s">
        <v>656</v>
      </c>
    </row>
    <row r="107" spans="1:9" x14ac:dyDescent="0.2">
      <c r="A107" t="s">
        <v>44</v>
      </c>
      <c r="B107">
        <v>756</v>
      </c>
      <c r="C107">
        <v>16</v>
      </c>
      <c r="D107">
        <v>38</v>
      </c>
      <c r="E107">
        <v>4</v>
      </c>
      <c r="F107">
        <v>135.747548388317</v>
      </c>
      <c r="G107">
        <v>1352</v>
      </c>
      <c r="H107">
        <v>10000</v>
      </c>
      <c r="I107" t="s">
        <v>657</v>
      </c>
    </row>
    <row r="108" spans="1:9" x14ac:dyDescent="0.2">
      <c r="A108" t="s">
        <v>44</v>
      </c>
      <c r="B108">
        <v>756</v>
      </c>
      <c r="C108">
        <v>16</v>
      </c>
      <c r="D108">
        <v>42</v>
      </c>
      <c r="E108">
        <v>8</v>
      </c>
      <c r="F108">
        <v>136.884009235538</v>
      </c>
      <c r="G108">
        <v>4494</v>
      </c>
      <c r="H108">
        <v>10000</v>
      </c>
      <c r="I108" t="s">
        <v>658</v>
      </c>
    </row>
    <row r="109" spans="1:9" x14ac:dyDescent="0.2">
      <c r="A109" t="s">
        <v>44</v>
      </c>
      <c r="B109">
        <v>756</v>
      </c>
      <c r="C109">
        <v>16</v>
      </c>
      <c r="D109">
        <v>34</v>
      </c>
      <c r="E109">
        <v>0</v>
      </c>
      <c r="F109">
        <v>135.499622685834</v>
      </c>
      <c r="G109">
        <v>3061</v>
      </c>
      <c r="H109">
        <v>10000</v>
      </c>
      <c r="I109" t="s">
        <v>659</v>
      </c>
    </row>
    <row r="110" spans="1:9" x14ac:dyDescent="0.2">
      <c r="A110" t="s">
        <v>44</v>
      </c>
      <c r="B110">
        <v>756</v>
      </c>
      <c r="C110">
        <v>16</v>
      </c>
      <c r="D110">
        <v>34</v>
      </c>
      <c r="E110">
        <v>0</v>
      </c>
      <c r="F110">
        <v>134.06749059259801</v>
      </c>
      <c r="G110">
        <v>4117</v>
      </c>
      <c r="H110">
        <v>10000</v>
      </c>
      <c r="I110" t="s">
        <v>660</v>
      </c>
    </row>
    <row r="111" spans="1:9" x14ac:dyDescent="0.2">
      <c r="A111" t="s">
        <v>44</v>
      </c>
      <c r="B111">
        <v>756</v>
      </c>
      <c r="C111">
        <v>16</v>
      </c>
      <c r="D111">
        <v>36</v>
      </c>
      <c r="E111">
        <v>2</v>
      </c>
      <c r="F111">
        <v>136.78990932926499</v>
      </c>
      <c r="G111">
        <v>580</v>
      </c>
      <c r="H111">
        <v>10000</v>
      </c>
      <c r="I111" t="s">
        <v>661</v>
      </c>
    </row>
    <row r="112" spans="1:9" x14ac:dyDescent="0.2">
      <c r="A112" t="s">
        <v>44</v>
      </c>
      <c r="B112">
        <v>756</v>
      </c>
      <c r="C112">
        <v>16</v>
      </c>
      <c r="D112">
        <v>38</v>
      </c>
      <c r="E112">
        <v>4</v>
      </c>
      <c r="F112">
        <v>134.97418220713701</v>
      </c>
      <c r="G112">
        <v>987</v>
      </c>
      <c r="H112">
        <v>10000</v>
      </c>
      <c r="I112" t="s">
        <v>662</v>
      </c>
    </row>
    <row r="113" spans="1:9" x14ac:dyDescent="0.2">
      <c r="A113" t="s">
        <v>44</v>
      </c>
      <c r="B113">
        <v>756</v>
      </c>
      <c r="C113">
        <v>16</v>
      </c>
      <c r="D113">
        <v>34</v>
      </c>
      <c r="E113">
        <v>0</v>
      </c>
      <c r="F113">
        <v>135.275668976828</v>
      </c>
      <c r="G113">
        <v>1985</v>
      </c>
      <c r="H113">
        <v>10000</v>
      </c>
      <c r="I113" t="s">
        <v>663</v>
      </c>
    </row>
    <row r="114" spans="1:9" x14ac:dyDescent="0.2">
      <c r="A114" t="s">
        <v>44</v>
      </c>
      <c r="B114">
        <v>756</v>
      </c>
      <c r="C114">
        <v>16</v>
      </c>
      <c r="D114">
        <v>36</v>
      </c>
      <c r="E114">
        <v>2</v>
      </c>
      <c r="F114">
        <v>133.18546513095399</v>
      </c>
      <c r="G114">
        <v>8</v>
      </c>
      <c r="H114">
        <v>10000</v>
      </c>
      <c r="I114" t="s">
        <v>664</v>
      </c>
    </row>
    <row r="115" spans="1:9" x14ac:dyDescent="0.2">
      <c r="A115" t="s">
        <v>44</v>
      </c>
      <c r="B115">
        <v>756</v>
      </c>
      <c r="C115">
        <v>16</v>
      </c>
      <c r="D115">
        <v>36</v>
      </c>
      <c r="E115">
        <v>2</v>
      </c>
      <c r="F115">
        <v>138.51016364339699</v>
      </c>
      <c r="G115">
        <v>4129</v>
      </c>
      <c r="H115">
        <v>10000</v>
      </c>
      <c r="I115" t="s">
        <v>665</v>
      </c>
    </row>
    <row r="116" spans="1:9" x14ac:dyDescent="0.2">
      <c r="A116" t="s">
        <v>44</v>
      </c>
      <c r="B116">
        <v>756</v>
      </c>
      <c r="C116">
        <v>16</v>
      </c>
      <c r="D116">
        <v>34</v>
      </c>
      <c r="E116">
        <v>0</v>
      </c>
      <c r="F116">
        <v>132.71002920158199</v>
      </c>
      <c r="G116">
        <v>892</v>
      </c>
      <c r="H116">
        <v>10000</v>
      </c>
      <c r="I116" t="s">
        <v>666</v>
      </c>
    </row>
    <row r="117" spans="1:9" x14ac:dyDescent="0.2">
      <c r="A117" t="s">
        <v>44</v>
      </c>
      <c r="B117">
        <v>756</v>
      </c>
      <c r="C117">
        <v>16</v>
      </c>
      <c r="D117">
        <v>34</v>
      </c>
      <c r="E117">
        <v>0</v>
      </c>
      <c r="F117">
        <v>133.77805792353999</v>
      </c>
      <c r="G117">
        <v>3507</v>
      </c>
      <c r="H117">
        <v>10000</v>
      </c>
      <c r="I117" t="s">
        <v>667</v>
      </c>
    </row>
    <row r="118" spans="1:9" x14ac:dyDescent="0.2">
      <c r="A118" t="s">
        <v>44</v>
      </c>
      <c r="B118">
        <v>756</v>
      </c>
      <c r="C118">
        <v>16</v>
      </c>
      <c r="D118">
        <v>34</v>
      </c>
      <c r="E118">
        <v>0</v>
      </c>
      <c r="F118">
        <v>130.04091621097101</v>
      </c>
      <c r="G118">
        <v>1693</v>
      </c>
      <c r="H118">
        <v>10000</v>
      </c>
      <c r="I118" t="s">
        <v>668</v>
      </c>
    </row>
    <row r="119" spans="1:9" x14ac:dyDescent="0.2">
      <c r="A119" t="s">
        <v>44</v>
      </c>
      <c r="B119">
        <v>756</v>
      </c>
      <c r="C119">
        <v>16</v>
      </c>
      <c r="D119">
        <v>36</v>
      </c>
      <c r="E119">
        <v>2</v>
      </c>
      <c r="F119">
        <v>134.265752066858</v>
      </c>
      <c r="G119">
        <v>2648</v>
      </c>
      <c r="H119">
        <v>10000</v>
      </c>
      <c r="I119" t="s">
        <v>669</v>
      </c>
    </row>
    <row r="120" spans="1:9" x14ac:dyDescent="0.2">
      <c r="A120" t="s">
        <v>44</v>
      </c>
      <c r="B120">
        <v>756</v>
      </c>
      <c r="C120">
        <v>16</v>
      </c>
      <c r="D120">
        <v>34</v>
      </c>
      <c r="E120">
        <v>0</v>
      </c>
      <c r="F120">
        <v>136.964412044733</v>
      </c>
      <c r="G120">
        <v>74</v>
      </c>
      <c r="H120">
        <v>10000</v>
      </c>
      <c r="I120" t="s">
        <v>670</v>
      </c>
    </row>
    <row r="121" spans="1:9" x14ac:dyDescent="0.2">
      <c r="A121" t="s">
        <v>44</v>
      </c>
      <c r="B121">
        <v>756</v>
      </c>
      <c r="C121">
        <v>16</v>
      </c>
      <c r="D121">
        <v>34</v>
      </c>
      <c r="E121">
        <v>0</v>
      </c>
      <c r="F121">
        <v>134.805878967046</v>
      </c>
      <c r="G121">
        <v>4010</v>
      </c>
      <c r="H121">
        <v>10000</v>
      </c>
      <c r="I121" t="s">
        <v>671</v>
      </c>
    </row>
    <row r="122" spans="1:9" x14ac:dyDescent="0.2">
      <c r="A122" t="s">
        <v>44</v>
      </c>
      <c r="B122">
        <v>756</v>
      </c>
      <c r="C122">
        <v>16</v>
      </c>
      <c r="D122">
        <v>34</v>
      </c>
      <c r="E122">
        <v>0</v>
      </c>
      <c r="F122">
        <v>135.154332508333</v>
      </c>
      <c r="G122">
        <v>1640</v>
      </c>
      <c r="H122">
        <v>10000</v>
      </c>
      <c r="I122" t="s">
        <v>672</v>
      </c>
    </row>
    <row r="123" spans="1:9" x14ac:dyDescent="0.2">
      <c r="A123" t="s">
        <v>44</v>
      </c>
      <c r="B123">
        <v>756</v>
      </c>
      <c r="C123">
        <v>16</v>
      </c>
      <c r="D123">
        <v>40</v>
      </c>
      <c r="E123">
        <v>6</v>
      </c>
      <c r="F123">
        <v>132.380942638032</v>
      </c>
      <c r="G123">
        <v>2320</v>
      </c>
      <c r="H123">
        <v>10000</v>
      </c>
      <c r="I123" t="s">
        <v>673</v>
      </c>
    </row>
    <row r="124" spans="1:9" x14ac:dyDescent="0.2">
      <c r="A124" t="s">
        <v>44</v>
      </c>
      <c r="B124">
        <v>756</v>
      </c>
      <c r="C124">
        <v>16</v>
      </c>
      <c r="D124">
        <v>38</v>
      </c>
      <c r="E124">
        <v>4</v>
      </c>
      <c r="F124">
        <v>136.308756017126</v>
      </c>
      <c r="G124">
        <v>3703</v>
      </c>
      <c r="H124">
        <v>10000</v>
      </c>
      <c r="I124" t="s">
        <v>674</v>
      </c>
    </row>
    <row r="125" spans="1:9" x14ac:dyDescent="0.2">
      <c r="A125" t="s">
        <v>44</v>
      </c>
      <c r="B125">
        <v>756</v>
      </c>
      <c r="C125">
        <v>16</v>
      </c>
      <c r="D125">
        <v>36</v>
      </c>
      <c r="E125">
        <v>2</v>
      </c>
      <c r="F125">
        <v>136.05420087743499</v>
      </c>
      <c r="G125">
        <v>1833</v>
      </c>
      <c r="H125">
        <v>10000</v>
      </c>
      <c r="I125" t="s">
        <v>675</v>
      </c>
    </row>
    <row r="126" spans="1:9" x14ac:dyDescent="0.2">
      <c r="A126" t="s">
        <v>44</v>
      </c>
      <c r="B126">
        <v>756</v>
      </c>
      <c r="C126">
        <v>16</v>
      </c>
      <c r="D126">
        <v>36</v>
      </c>
      <c r="E126">
        <v>2</v>
      </c>
      <c r="F126">
        <v>134.67408447246899</v>
      </c>
      <c r="G126">
        <v>4304</v>
      </c>
      <c r="H126">
        <v>10000</v>
      </c>
      <c r="I126" t="s">
        <v>676</v>
      </c>
    </row>
    <row r="127" spans="1:9" x14ac:dyDescent="0.2">
      <c r="A127" t="s">
        <v>44</v>
      </c>
      <c r="B127">
        <v>756</v>
      </c>
      <c r="C127">
        <v>16</v>
      </c>
      <c r="D127">
        <v>36</v>
      </c>
      <c r="E127">
        <v>2</v>
      </c>
      <c r="F127">
        <v>135.69922969117701</v>
      </c>
      <c r="G127">
        <v>2222</v>
      </c>
      <c r="H127">
        <v>10000</v>
      </c>
      <c r="I127" t="s">
        <v>677</v>
      </c>
    </row>
    <row r="128" spans="1:9" x14ac:dyDescent="0.2">
      <c r="A128" t="s">
        <v>44</v>
      </c>
      <c r="B128">
        <v>756</v>
      </c>
      <c r="C128">
        <v>16</v>
      </c>
      <c r="D128">
        <v>36</v>
      </c>
      <c r="E128">
        <v>2</v>
      </c>
      <c r="F128">
        <v>135.936961947008</v>
      </c>
      <c r="G128">
        <v>3458</v>
      </c>
      <c r="H128">
        <v>10000</v>
      </c>
      <c r="I128" t="s">
        <v>678</v>
      </c>
    </row>
    <row r="129" spans="1:9" x14ac:dyDescent="0.2">
      <c r="A129" t="s">
        <v>44</v>
      </c>
      <c r="B129">
        <v>756</v>
      </c>
      <c r="C129">
        <v>16</v>
      </c>
      <c r="D129">
        <v>34</v>
      </c>
      <c r="E129">
        <v>0</v>
      </c>
      <c r="F129">
        <v>130.80232699587901</v>
      </c>
      <c r="G129">
        <v>4512</v>
      </c>
      <c r="H129">
        <v>10000</v>
      </c>
      <c r="I129" t="s">
        <v>679</v>
      </c>
    </row>
    <row r="130" spans="1:9" x14ac:dyDescent="0.2">
      <c r="A130" t="s">
        <v>44</v>
      </c>
      <c r="B130">
        <v>756</v>
      </c>
      <c r="C130">
        <v>16</v>
      </c>
      <c r="D130">
        <v>34</v>
      </c>
      <c r="E130">
        <v>0</v>
      </c>
      <c r="F130">
        <v>134.44435543380601</v>
      </c>
      <c r="G130">
        <v>3193</v>
      </c>
      <c r="H130">
        <v>10000</v>
      </c>
      <c r="I130" t="s">
        <v>680</v>
      </c>
    </row>
    <row r="131" spans="1:9" x14ac:dyDescent="0.2">
      <c r="A131" t="s">
        <v>44</v>
      </c>
      <c r="B131">
        <v>756</v>
      </c>
      <c r="C131">
        <v>16</v>
      </c>
      <c r="D131">
        <v>36</v>
      </c>
      <c r="E131">
        <v>2</v>
      </c>
      <c r="F131">
        <v>134.85922245122401</v>
      </c>
      <c r="G131">
        <v>4429</v>
      </c>
      <c r="H131">
        <v>10000</v>
      </c>
      <c r="I131" t="s">
        <v>681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9FF2-C23F-C24C-A27D-00D8558B13F4}">
  <dimension ref="A1:I127"/>
  <sheetViews>
    <sheetView workbookViewId="0">
      <selection activeCell="A28" sqref="A28"/>
    </sheetView>
  </sheetViews>
  <sheetFormatPr baseColWidth="10" defaultRowHeight="16" x14ac:dyDescent="0.2"/>
  <sheetData>
    <row r="1" spans="1:1" x14ac:dyDescent="0.2">
      <c r="A1" t="s">
        <v>0</v>
      </c>
    </row>
    <row r="2" spans="1:1" x14ac:dyDescent="0.2">
      <c r="A2" t="s">
        <v>1</v>
      </c>
    </row>
    <row r="3" spans="1:1" x14ac:dyDescent="0.2">
      <c r="A3" t="s">
        <v>101</v>
      </c>
    </row>
    <row r="4" spans="1:1" x14ac:dyDescent="0.2">
      <c r="A4" t="s">
        <v>102</v>
      </c>
    </row>
    <row r="5" spans="1:1" x14ac:dyDescent="0.2">
      <c r="A5" t="s">
        <v>3</v>
      </c>
    </row>
    <row r="6" spans="1:1" x14ac:dyDescent="0.2">
      <c r="A6" t="s">
        <v>66</v>
      </c>
    </row>
    <row r="7" spans="1:1" x14ac:dyDescent="0.2">
      <c r="A7" t="s">
        <v>5</v>
      </c>
    </row>
    <row r="8" spans="1:1" x14ac:dyDescent="0.2">
      <c r="A8" t="s">
        <v>6</v>
      </c>
    </row>
    <row r="9" spans="1:1" x14ac:dyDescent="0.2">
      <c r="A9" t="s">
        <v>104</v>
      </c>
    </row>
    <row r="10" spans="1:1" x14ac:dyDescent="0.2">
      <c r="A10" t="s">
        <v>8</v>
      </c>
    </row>
    <row r="11" spans="1:1" x14ac:dyDescent="0.2">
      <c r="A11" t="s">
        <v>9</v>
      </c>
    </row>
    <row r="12" spans="1:1" x14ac:dyDescent="0.2">
      <c r="A12" t="s">
        <v>10</v>
      </c>
    </row>
    <row r="13" spans="1:1" x14ac:dyDescent="0.2">
      <c r="A13" t="s">
        <v>11</v>
      </c>
    </row>
    <row r="14" spans="1:1" x14ac:dyDescent="0.2">
      <c r="A14" t="s">
        <v>12</v>
      </c>
    </row>
    <row r="15" spans="1:1" x14ac:dyDescent="0.2">
      <c r="A15" t="s">
        <v>13</v>
      </c>
    </row>
    <row r="16" spans="1:1" x14ac:dyDescent="0.2">
      <c r="A16" t="s">
        <v>14</v>
      </c>
    </row>
    <row r="17" spans="1:9" x14ac:dyDescent="0.2">
      <c r="A17" t="s">
        <v>15</v>
      </c>
    </row>
    <row r="18" spans="1:9" x14ac:dyDescent="0.2">
      <c r="A18" t="s">
        <v>16</v>
      </c>
    </row>
    <row r="19" spans="1:9" x14ac:dyDescent="0.2">
      <c r="A19" t="s">
        <v>107</v>
      </c>
    </row>
    <row r="20" spans="1:9" x14ac:dyDescent="0.2">
      <c r="A20" t="s">
        <v>18</v>
      </c>
    </row>
    <row r="21" spans="1:9" x14ac:dyDescent="0.2">
      <c r="A21" t="s">
        <v>105</v>
      </c>
    </row>
    <row r="22" spans="1:9" x14ac:dyDescent="0.2">
      <c r="A22" t="s">
        <v>106</v>
      </c>
    </row>
    <row r="23" spans="1:9" x14ac:dyDescent="0.2">
      <c r="A23" t="s">
        <v>19</v>
      </c>
    </row>
    <row r="24" spans="1:9" x14ac:dyDescent="0.2">
      <c r="A24" t="s">
        <v>20</v>
      </c>
    </row>
    <row r="25" spans="1:9" x14ac:dyDescent="0.2">
      <c r="A25" t="s">
        <v>366</v>
      </c>
    </row>
    <row r="26" spans="1:9" x14ac:dyDescent="0.2">
      <c r="A26" t="s">
        <v>22</v>
      </c>
    </row>
    <row r="27" spans="1:9" x14ac:dyDescent="0.2">
      <c r="A27" t="s">
        <v>23</v>
      </c>
      <c r="B27" t="s">
        <v>24</v>
      </c>
      <c r="C27" t="s">
        <v>25</v>
      </c>
      <c r="D27" t="s">
        <v>26</v>
      </c>
      <c r="E27" t="s">
        <v>27</v>
      </c>
      <c r="F27" t="s">
        <v>28</v>
      </c>
      <c r="G27" t="s">
        <v>29</v>
      </c>
      <c r="H27" t="s">
        <v>30</v>
      </c>
      <c r="I27" t="s">
        <v>31</v>
      </c>
    </row>
    <row r="28" spans="1:9" x14ac:dyDescent="0.2">
      <c r="A28" t="s">
        <v>44</v>
      </c>
      <c r="B28">
        <v>756</v>
      </c>
      <c r="C28">
        <v>16</v>
      </c>
      <c r="D28">
        <v>38</v>
      </c>
      <c r="E28">
        <v>4</v>
      </c>
      <c r="F28">
        <v>11.064749249999201</v>
      </c>
      <c r="G28">
        <v>1</v>
      </c>
      <c r="H28">
        <v>1</v>
      </c>
      <c r="I28" t="s">
        <v>367</v>
      </c>
    </row>
    <row r="29" spans="1:9" x14ac:dyDescent="0.2">
      <c r="A29" t="s">
        <v>44</v>
      </c>
      <c r="B29">
        <v>756</v>
      </c>
      <c r="C29">
        <v>16</v>
      </c>
      <c r="D29">
        <v>46</v>
      </c>
      <c r="E29">
        <v>12</v>
      </c>
      <c r="F29">
        <v>11.1684698330027</v>
      </c>
      <c r="G29">
        <v>1</v>
      </c>
      <c r="H29">
        <v>1</v>
      </c>
      <c r="I29" t="s">
        <v>368</v>
      </c>
    </row>
    <row r="30" spans="1:9" x14ac:dyDescent="0.2">
      <c r="A30" t="s">
        <v>44</v>
      </c>
      <c r="B30">
        <v>756</v>
      </c>
      <c r="C30">
        <v>16</v>
      </c>
      <c r="D30">
        <v>40</v>
      </c>
      <c r="E30">
        <v>6</v>
      </c>
      <c r="F30">
        <v>10.8981735419984</v>
      </c>
      <c r="G30">
        <v>1</v>
      </c>
      <c r="H30">
        <v>1</v>
      </c>
      <c r="I30" t="s">
        <v>369</v>
      </c>
    </row>
    <row r="31" spans="1:9" x14ac:dyDescent="0.2">
      <c r="A31" t="s">
        <v>44</v>
      </c>
      <c r="B31">
        <v>756</v>
      </c>
      <c r="C31">
        <v>16</v>
      </c>
      <c r="D31">
        <v>44</v>
      </c>
      <c r="E31">
        <v>10</v>
      </c>
      <c r="F31">
        <v>11.1304911250008</v>
      </c>
      <c r="G31">
        <v>1</v>
      </c>
      <c r="H31">
        <v>1</v>
      </c>
      <c r="I31" t="s">
        <v>370</v>
      </c>
    </row>
    <row r="32" spans="1:9" x14ac:dyDescent="0.2">
      <c r="A32" t="s">
        <v>44</v>
      </c>
      <c r="B32">
        <v>756</v>
      </c>
      <c r="C32">
        <v>16</v>
      </c>
      <c r="D32">
        <v>40</v>
      </c>
      <c r="E32">
        <v>6</v>
      </c>
      <c r="F32">
        <v>11.451295457998601</v>
      </c>
      <c r="G32">
        <v>1</v>
      </c>
      <c r="H32">
        <v>1</v>
      </c>
      <c r="I32" t="s">
        <v>371</v>
      </c>
    </row>
    <row r="33" spans="1:9" x14ac:dyDescent="0.2">
      <c r="A33" t="s">
        <v>44</v>
      </c>
      <c r="B33">
        <v>756</v>
      </c>
      <c r="C33">
        <v>16</v>
      </c>
      <c r="D33">
        <v>38</v>
      </c>
      <c r="E33">
        <v>4</v>
      </c>
      <c r="F33">
        <v>11.109812624999901</v>
      </c>
      <c r="G33">
        <v>1</v>
      </c>
      <c r="H33">
        <v>1</v>
      </c>
      <c r="I33" t="s">
        <v>372</v>
      </c>
    </row>
    <row r="34" spans="1:9" x14ac:dyDescent="0.2">
      <c r="A34" t="s">
        <v>44</v>
      </c>
      <c r="B34">
        <v>756</v>
      </c>
      <c r="C34">
        <v>16</v>
      </c>
      <c r="D34">
        <v>44</v>
      </c>
      <c r="E34">
        <v>10</v>
      </c>
      <c r="F34">
        <v>11.3858073330011</v>
      </c>
      <c r="G34">
        <v>1</v>
      </c>
      <c r="H34">
        <v>1</v>
      </c>
      <c r="I34" t="s">
        <v>373</v>
      </c>
    </row>
    <row r="35" spans="1:9" x14ac:dyDescent="0.2">
      <c r="A35" t="s">
        <v>44</v>
      </c>
      <c r="B35">
        <v>756</v>
      </c>
      <c r="C35">
        <v>16</v>
      </c>
      <c r="D35">
        <v>40</v>
      </c>
      <c r="E35">
        <v>6</v>
      </c>
      <c r="F35">
        <v>11.341180584000501</v>
      </c>
      <c r="G35">
        <v>1</v>
      </c>
      <c r="H35">
        <v>1</v>
      </c>
      <c r="I35" t="s">
        <v>374</v>
      </c>
    </row>
    <row r="36" spans="1:9" x14ac:dyDescent="0.2">
      <c r="A36" t="s">
        <v>44</v>
      </c>
      <c r="B36">
        <v>756</v>
      </c>
      <c r="C36">
        <v>16</v>
      </c>
      <c r="D36">
        <v>40</v>
      </c>
      <c r="E36">
        <v>6</v>
      </c>
      <c r="F36">
        <v>11.907020708000299</v>
      </c>
      <c r="G36">
        <v>1</v>
      </c>
      <c r="H36">
        <v>1</v>
      </c>
      <c r="I36" t="s">
        <v>375</v>
      </c>
    </row>
    <row r="37" spans="1:9" x14ac:dyDescent="0.2">
      <c r="A37" t="s">
        <v>44</v>
      </c>
      <c r="B37">
        <v>756</v>
      </c>
      <c r="C37">
        <v>16</v>
      </c>
      <c r="D37">
        <v>46</v>
      </c>
      <c r="E37">
        <v>12</v>
      </c>
      <c r="F37">
        <v>11.8693661669967</v>
      </c>
      <c r="G37">
        <v>1</v>
      </c>
      <c r="H37">
        <v>1</v>
      </c>
      <c r="I37" t="s">
        <v>376</v>
      </c>
    </row>
    <row r="38" spans="1:9" x14ac:dyDescent="0.2">
      <c r="A38" t="s">
        <v>44</v>
      </c>
      <c r="B38">
        <v>756</v>
      </c>
      <c r="C38">
        <v>16</v>
      </c>
      <c r="D38">
        <v>42</v>
      </c>
      <c r="E38">
        <v>8</v>
      </c>
      <c r="F38">
        <v>11.0618100830033</v>
      </c>
      <c r="G38">
        <v>1</v>
      </c>
      <c r="H38">
        <v>1</v>
      </c>
      <c r="I38" t="s">
        <v>377</v>
      </c>
    </row>
    <row r="39" spans="1:9" x14ac:dyDescent="0.2">
      <c r="A39" t="s">
        <v>44</v>
      </c>
      <c r="B39">
        <v>756</v>
      </c>
      <c r="C39">
        <v>16</v>
      </c>
      <c r="D39">
        <v>44</v>
      </c>
      <c r="E39">
        <v>10</v>
      </c>
      <c r="F39">
        <v>11.1455824999975</v>
      </c>
      <c r="G39">
        <v>1</v>
      </c>
      <c r="H39">
        <v>1</v>
      </c>
      <c r="I39" t="s">
        <v>378</v>
      </c>
    </row>
    <row r="40" spans="1:9" x14ac:dyDescent="0.2">
      <c r="A40" t="s">
        <v>44</v>
      </c>
      <c r="B40">
        <v>756</v>
      </c>
      <c r="C40">
        <v>16</v>
      </c>
      <c r="D40">
        <v>44</v>
      </c>
      <c r="E40">
        <v>10</v>
      </c>
      <c r="F40">
        <v>11.150217124999401</v>
      </c>
      <c r="G40">
        <v>1</v>
      </c>
      <c r="H40">
        <v>1</v>
      </c>
      <c r="I40" t="s">
        <v>379</v>
      </c>
    </row>
    <row r="41" spans="1:9" x14ac:dyDescent="0.2">
      <c r="A41" t="s">
        <v>44</v>
      </c>
      <c r="B41">
        <v>756</v>
      </c>
      <c r="C41">
        <v>16</v>
      </c>
      <c r="D41">
        <v>34</v>
      </c>
      <c r="E41">
        <v>0</v>
      </c>
      <c r="F41">
        <v>11.3591832080019</v>
      </c>
      <c r="G41">
        <v>1</v>
      </c>
      <c r="H41">
        <v>1</v>
      </c>
      <c r="I41" t="s">
        <v>380</v>
      </c>
    </row>
    <row r="42" spans="1:9" x14ac:dyDescent="0.2">
      <c r="A42" t="s">
        <v>44</v>
      </c>
      <c r="B42">
        <v>756</v>
      </c>
      <c r="C42">
        <v>16</v>
      </c>
      <c r="D42">
        <v>46</v>
      </c>
      <c r="E42">
        <v>12</v>
      </c>
      <c r="F42">
        <v>11.493235416997701</v>
      </c>
      <c r="G42">
        <v>1</v>
      </c>
      <c r="H42">
        <v>1</v>
      </c>
      <c r="I42" t="s">
        <v>381</v>
      </c>
    </row>
    <row r="43" spans="1:9" x14ac:dyDescent="0.2">
      <c r="A43" t="s">
        <v>44</v>
      </c>
      <c r="B43">
        <v>756</v>
      </c>
      <c r="C43">
        <v>16</v>
      </c>
      <c r="D43">
        <v>42</v>
      </c>
      <c r="E43">
        <v>8</v>
      </c>
      <c r="F43">
        <v>11.253429125001199</v>
      </c>
      <c r="G43">
        <v>1</v>
      </c>
      <c r="H43">
        <v>1</v>
      </c>
      <c r="I43" t="s">
        <v>382</v>
      </c>
    </row>
    <row r="44" spans="1:9" x14ac:dyDescent="0.2">
      <c r="A44" t="s">
        <v>44</v>
      </c>
      <c r="B44">
        <v>756</v>
      </c>
      <c r="C44">
        <v>16</v>
      </c>
      <c r="D44">
        <v>44</v>
      </c>
      <c r="E44">
        <v>10</v>
      </c>
      <c r="F44">
        <v>11.540795291999499</v>
      </c>
      <c r="G44">
        <v>1</v>
      </c>
      <c r="H44">
        <v>1</v>
      </c>
      <c r="I44" t="s">
        <v>383</v>
      </c>
    </row>
    <row r="45" spans="1:9" x14ac:dyDescent="0.2">
      <c r="A45" t="s">
        <v>44</v>
      </c>
      <c r="B45">
        <v>756</v>
      </c>
      <c r="C45">
        <v>16</v>
      </c>
      <c r="D45">
        <v>40</v>
      </c>
      <c r="E45">
        <v>6</v>
      </c>
      <c r="F45">
        <v>11.0313240409996</v>
      </c>
      <c r="G45">
        <v>1</v>
      </c>
      <c r="H45">
        <v>1</v>
      </c>
      <c r="I45" t="s">
        <v>384</v>
      </c>
    </row>
    <row r="46" spans="1:9" x14ac:dyDescent="0.2">
      <c r="A46" t="s">
        <v>44</v>
      </c>
      <c r="B46">
        <v>756</v>
      </c>
      <c r="C46">
        <v>16</v>
      </c>
      <c r="D46">
        <v>46</v>
      </c>
      <c r="E46">
        <v>12</v>
      </c>
      <c r="F46">
        <v>11.0692965420021</v>
      </c>
      <c r="G46">
        <v>1</v>
      </c>
      <c r="H46">
        <v>1</v>
      </c>
      <c r="I46" t="s">
        <v>385</v>
      </c>
    </row>
    <row r="47" spans="1:9" x14ac:dyDescent="0.2">
      <c r="A47" t="s">
        <v>44</v>
      </c>
      <c r="B47">
        <v>756</v>
      </c>
      <c r="C47">
        <v>16</v>
      </c>
      <c r="D47">
        <v>40</v>
      </c>
      <c r="E47">
        <v>6</v>
      </c>
      <c r="F47">
        <v>11.0338730000003</v>
      </c>
      <c r="G47">
        <v>1</v>
      </c>
      <c r="H47">
        <v>1</v>
      </c>
      <c r="I47" t="s">
        <v>386</v>
      </c>
    </row>
    <row r="48" spans="1:9" x14ac:dyDescent="0.2">
      <c r="A48" t="s">
        <v>44</v>
      </c>
      <c r="B48">
        <v>756</v>
      </c>
      <c r="C48">
        <v>16</v>
      </c>
      <c r="D48">
        <v>44</v>
      </c>
      <c r="E48">
        <v>10</v>
      </c>
      <c r="F48">
        <v>11.5860908329996</v>
      </c>
      <c r="G48">
        <v>1</v>
      </c>
      <c r="H48">
        <v>1</v>
      </c>
      <c r="I48" t="s">
        <v>387</v>
      </c>
    </row>
    <row r="49" spans="1:9" x14ac:dyDescent="0.2">
      <c r="A49" t="s">
        <v>44</v>
      </c>
      <c r="B49">
        <v>756</v>
      </c>
      <c r="C49">
        <v>16</v>
      </c>
      <c r="D49">
        <v>40</v>
      </c>
      <c r="E49">
        <v>6</v>
      </c>
      <c r="F49">
        <v>11.0656757920005</v>
      </c>
      <c r="G49">
        <v>1</v>
      </c>
      <c r="H49">
        <v>1</v>
      </c>
      <c r="I49" t="s">
        <v>388</v>
      </c>
    </row>
    <row r="50" spans="1:9" x14ac:dyDescent="0.2">
      <c r="A50" t="s">
        <v>44</v>
      </c>
      <c r="B50">
        <v>756</v>
      </c>
      <c r="C50">
        <v>16</v>
      </c>
      <c r="D50">
        <v>42</v>
      </c>
      <c r="E50">
        <v>8</v>
      </c>
      <c r="F50">
        <v>11.1111559579985</v>
      </c>
      <c r="G50">
        <v>1</v>
      </c>
      <c r="H50">
        <v>1</v>
      </c>
      <c r="I50" t="s">
        <v>389</v>
      </c>
    </row>
    <row r="51" spans="1:9" x14ac:dyDescent="0.2">
      <c r="A51" t="s">
        <v>44</v>
      </c>
      <c r="B51">
        <v>756</v>
      </c>
      <c r="C51">
        <v>16</v>
      </c>
      <c r="D51">
        <v>38</v>
      </c>
      <c r="E51">
        <v>4</v>
      </c>
      <c r="F51">
        <v>10.863884792001</v>
      </c>
      <c r="G51">
        <v>1</v>
      </c>
      <c r="H51">
        <v>1</v>
      </c>
      <c r="I51" t="s">
        <v>390</v>
      </c>
    </row>
    <row r="52" spans="1:9" x14ac:dyDescent="0.2">
      <c r="A52" t="s">
        <v>44</v>
      </c>
      <c r="B52">
        <v>756</v>
      </c>
      <c r="C52">
        <v>16</v>
      </c>
      <c r="D52">
        <v>42</v>
      </c>
      <c r="E52">
        <v>8</v>
      </c>
      <c r="F52">
        <v>10.883556332999399</v>
      </c>
      <c r="G52">
        <v>1</v>
      </c>
      <c r="H52">
        <v>1</v>
      </c>
      <c r="I52" t="s">
        <v>391</v>
      </c>
    </row>
    <row r="53" spans="1:9" x14ac:dyDescent="0.2">
      <c r="A53" t="s">
        <v>44</v>
      </c>
      <c r="B53">
        <v>756</v>
      </c>
      <c r="C53">
        <v>16</v>
      </c>
      <c r="D53">
        <v>46</v>
      </c>
      <c r="E53">
        <v>12</v>
      </c>
      <c r="F53">
        <v>11.1613977919987</v>
      </c>
      <c r="G53">
        <v>1</v>
      </c>
      <c r="H53">
        <v>1</v>
      </c>
      <c r="I53" t="s">
        <v>392</v>
      </c>
    </row>
    <row r="54" spans="1:9" x14ac:dyDescent="0.2">
      <c r="A54" t="s">
        <v>44</v>
      </c>
      <c r="B54">
        <v>756</v>
      </c>
      <c r="C54">
        <v>16</v>
      </c>
      <c r="D54">
        <v>34</v>
      </c>
      <c r="E54">
        <v>0</v>
      </c>
      <c r="F54">
        <v>10.7943282080013</v>
      </c>
      <c r="G54">
        <v>1</v>
      </c>
      <c r="H54">
        <v>1</v>
      </c>
      <c r="I54" t="s">
        <v>393</v>
      </c>
    </row>
    <row r="55" spans="1:9" x14ac:dyDescent="0.2">
      <c r="A55" t="s">
        <v>44</v>
      </c>
      <c r="B55">
        <v>756</v>
      </c>
      <c r="C55">
        <v>16</v>
      </c>
      <c r="D55">
        <v>38</v>
      </c>
      <c r="E55">
        <v>4</v>
      </c>
      <c r="F55">
        <v>10.892813250000399</v>
      </c>
      <c r="G55">
        <v>1</v>
      </c>
      <c r="H55">
        <v>1</v>
      </c>
      <c r="I55" t="s">
        <v>394</v>
      </c>
    </row>
    <row r="56" spans="1:9" x14ac:dyDescent="0.2">
      <c r="A56" t="s">
        <v>44</v>
      </c>
      <c r="B56">
        <v>756</v>
      </c>
      <c r="C56">
        <v>16</v>
      </c>
      <c r="D56">
        <v>40</v>
      </c>
      <c r="E56">
        <v>6</v>
      </c>
      <c r="F56">
        <v>10.800581084000401</v>
      </c>
      <c r="G56">
        <v>1</v>
      </c>
      <c r="H56">
        <v>1</v>
      </c>
      <c r="I56" t="s">
        <v>395</v>
      </c>
    </row>
    <row r="57" spans="1:9" x14ac:dyDescent="0.2">
      <c r="A57" t="s">
        <v>44</v>
      </c>
      <c r="B57">
        <v>756</v>
      </c>
      <c r="C57">
        <v>16</v>
      </c>
      <c r="D57">
        <v>44</v>
      </c>
      <c r="E57">
        <v>10</v>
      </c>
      <c r="F57">
        <v>10.976220332999199</v>
      </c>
      <c r="G57">
        <v>1</v>
      </c>
      <c r="H57">
        <v>1</v>
      </c>
      <c r="I57" t="s">
        <v>396</v>
      </c>
    </row>
    <row r="58" spans="1:9" x14ac:dyDescent="0.2">
      <c r="A58" t="s">
        <v>44</v>
      </c>
      <c r="B58">
        <v>756</v>
      </c>
      <c r="C58">
        <v>16</v>
      </c>
      <c r="D58">
        <v>40</v>
      </c>
      <c r="E58">
        <v>6</v>
      </c>
      <c r="F58">
        <v>10.8900741670004</v>
      </c>
      <c r="G58">
        <v>1</v>
      </c>
      <c r="H58">
        <v>1</v>
      </c>
      <c r="I58" t="s">
        <v>397</v>
      </c>
    </row>
    <row r="59" spans="1:9" x14ac:dyDescent="0.2">
      <c r="A59" t="s">
        <v>44</v>
      </c>
      <c r="B59">
        <v>756</v>
      </c>
      <c r="C59">
        <v>16</v>
      </c>
      <c r="D59">
        <v>42</v>
      </c>
      <c r="E59">
        <v>8</v>
      </c>
      <c r="F59">
        <v>11.186813290998501</v>
      </c>
      <c r="G59">
        <v>1</v>
      </c>
      <c r="H59">
        <v>1</v>
      </c>
      <c r="I59" t="s">
        <v>398</v>
      </c>
    </row>
    <row r="60" spans="1:9" x14ac:dyDescent="0.2">
      <c r="A60" t="s">
        <v>44</v>
      </c>
      <c r="B60">
        <v>756</v>
      </c>
      <c r="C60">
        <v>16</v>
      </c>
      <c r="D60">
        <v>38</v>
      </c>
      <c r="E60">
        <v>4</v>
      </c>
      <c r="F60">
        <v>11.5919039170003</v>
      </c>
      <c r="G60">
        <v>1</v>
      </c>
      <c r="H60">
        <v>1</v>
      </c>
      <c r="I60" t="s">
        <v>399</v>
      </c>
    </row>
    <row r="61" spans="1:9" x14ac:dyDescent="0.2">
      <c r="A61" t="s">
        <v>44</v>
      </c>
      <c r="B61">
        <v>756</v>
      </c>
      <c r="C61">
        <v>16</v>
      </c>
      <c r="D61">
        <v>38</v>
      </c>
      <c r="E61">
        <v>4</v>
      </c>
      <c r="F61">
        <v>11.912714541998801</v>
      </c>
      <c r="G61">
        <v>1</v>
      </c>
      <c r="H61">
        <v>1</v>
      </c>
      <c r="I61" t="s">
        <v>400</v>
      </c>
    </row>
    <row r="62" spans="1:9" x14ac:dyDescent="0.2">
      <c r="A62" t="s">
        <v>44</v>
      </c>
      <c r="B62">
        <v>756</v>
      </c>
      <c r="C62">
        <v>16</v>
      </c>
      <c r="D62">
        <v>44</v>
      </c>
      <c r="E62">
        <v>10</v>
      </c>
      <c r="F62">
        <v>11.617790874999599</v>
      </c>
      <c r="G62">
        <v>1</v>
      </c>
      <c r="H62">
        <v>1</v>
      </c>
      <c r="I62" t="s">
        <v>401</v>
      </c>
    </row>
    <row r="63" spans="1:9" x14ac:dyDescent="0.2">
      <c r="A63" t="s">
        <v>44</v>
      </c>
      <c r="B63">
        <v>756</v>
      </c>
      <c r="C63">
        <v>16</v>
      </c>
      <c r="D63">
        <v>46</v>
      </c>
      <c r="E63">
        <v>12</v>
      </c>
      <c r="F63">
        <v>11.757907541003</v>
      </c>
      <c r="G63">
        <v>1</v>
      </c>
      <c r="H63">
        <v>1</v>
      </c>
      <c r="I63" t="s">
        <v>402</v>
      </c>
    </row>
    <row r="64" spans="1:9" x14ac:dyDescent="0.2">
      <c r="A64" t="s">
        <v>44</v>
      </c>
      <c r="B64">
        <v>756</v>
      </c>
      <c r="C64">
        <v>16</v>
      </c>
      <c r="D64">
        <v>42</v>
      </c>
      <c r="E64">
        <v>8</v>
      </c>
      <c r="F64">
        <v>11.969039249997801</v>
      </c>
      <c r="G64">
        <v>1</v>
      </c>
      <c r="H64">
        <v>1</v>
      </c>
      <c r="I64" t="s">
        <v>403</v>
      </c>
    </row>
    <row r="65" spans="1:9" x14ac:dyDescent="0.2">
      <c r="A65" t="s">
        <v>44</v>
      </c>
      <c r="B65">
        <v>756</v>
      </c>
      <c r="C65">
        <v>16</v>
      </c>
      <c r="D65">
        <v>40</v>
      </c>
      <c r="E65">
        <v>6</v>
      </c>
      <c r="F65">
        <v>11.689215459002201</v>
      </c>
      <c r="G65">
        <v>1</v>
      </c>
      <c r="H65">
        <v>1</v>
      </c>
      <c r="I65" t="s">
        <v>404</v>
      </c>
    </row>
    <row r="66" spans="1:9" x14ac:dyDescent="0.2">
      <c r="A66" t="s">
        <v>44</v>
      </c>
      <c r="B66">
        <v>756</v>
      </c>
      <c r="C66">
        <v>16</v>
      </c>
      <c r="D66">
        <v>40</v>
      </c>
      <c r="E66">
        <v>6</v>
      </c>
      <c r="F66">
        <v>11.577902582997901</v>
      </c>
      <c r="G66">
        <v>1</v>
      </c>
      <c r="H66">
        <v>1</v>
      </c>
      <c r="I66" t="s">
        <v>405</v>
      </c>
    </row>
    <row r="67" spans="1:9" x14ac:dyDescent="0.2">
      <c r="A67" t="s">
        <v>44</v>
      </c>
      <c r="B67">
        <v>756</v>
      </c>
      <c r="C67">
        <v>16</v>
      </c>
      <c r="D67">
        <v>44</v>
      </c>
      <c r="E67">
        <v>10</v>
      </c>
      <c r="F67">
        <v>11.635158000000899</v>
      </c>
      <c r="G67">
        <v>1</v>
      </c>
      <c r="H67">
        <v>1</v>
      </c>
      <c r="I67" t="s">
        <v>406</v>
      </c>
    </row>
    <row r="68" spans="1:9" x14ac:dyDescent="0.2">
      <c r="A68" t="s">
        <v>44</v>
      </c>
      <c r="B68">
        <v>756</v>
      </c>
      <c r="C68">
        <v>16</v>
      </c>
      <c r="D68">
        <v>42</v>
      </c>
      <c r="E68">
        <v>8</v>
      </c>
      <c r="F68">
        <v>11.8318129170002</v>
      </c>
      <c r="G68">
        <v>1</v>
      </c>
      <c r="H68">
        <v>1</v>
      </c>
      <c r="I68" t="s">
        <v>407</v>
      </c>
    </row>
    <row r="69" spans="1:9" x14ac:dyDescent="0.2">
      <c r="A69" t="s">
        <v>44</v>
      </c>
      <c r="B69">
        <v>756</v>
      </c>
      <c r="C69">
        <v>16</v>
      </c>
      <c r="D69">
        <v>46</v>
      </c>
      <c r="E69">
        <v>12</v>
      </c>
      <c r="F69">
        <v>11.8245022499977</v>
      </c>
      <c r="G69">
        <v>1</v>
      </c>
      <c r="H69">
        <v>1</v>
      </c>
      <c r="I69" t="s">
        <v>408</v>
      </c>
    </row>
    <row r="70" spans="1:9" x14ac:dyDescent="0.2">
      <c r="A70" t="s">
        <v>44</v>
      </c>
      <c r="B70">
        <v>756</v>
      </c>
      <c r="C70">
        <v>16</v>
      </c>
      <c r="D70">
        <v>36</v>
      </c>
      <c r="E70">
        <v>2</v>
      </c>
      <c r="F70">
        <v>11.571189333000801</v>
      </c>
      <c r="G70">
        <v>1</v>
      </c>
      <c r="H70">
        <v>1</v>
      </c>
      <c r="I70" t="s">
        <v>409</v>
      </c>
    </row>
    <row r="71" spans="1:9" x14ac:dyDescent="0.2">
      <c r="A71" t="s">
        <v>44</v>
      </c>
      <c r="B71">
        <v>756</v>
      </c>
      <c r="C71">
        <v>16</v>
      </c>
      <c r="D71">
        <v>40</v>
      </c>
      <c r="E71">
        <v>6</v>
      </c>
      <c r="F71">
        <v>11.8881383330008</v>
      </c>
      <c r="G71">
        <v>1</v>
      </c>
      <c r="H71">
        <v>1</v>
      </c>
      <c r="I71" t="s">
        <v>410</v>
      </c>
    </row>
    <row r="72" spans="1:9" x14ac:dyDescent="0.2">
      <c r="A72" t="s">
        <v>44</v>
      </c>
      <c r="B72">
        <v>756</v>
      </c>
      <c r="C72">
        <v>16</v>
      </c>
      <c r="D72">
        <v>44</v>
      </c>
      <c r="E72">
        <v>10</v>
      </c>
      <c r="F72">
        <v>11.580556666998699</v>
      </c>
      <c r="G72">
        <v>1</v>
      </c>
      <c r="H72">
        <v>1</v>
      </c>
      <c r="I72" t="s">
        <v>411</v>
      </c>
    </row>
    <row r="73" spans="1:9" x14ac:dyDescent="0.2">
      <c r="A73" t="s">
        <v>44</v>
      </c>
      <c r="B73">
        <v>756</v>
      </c>
      <c r="C73">
        <v>16</v>
      </c>
      <c r="D73">
        <v>44</v>
      </c>
      <c r="E73">
        <v>10</v>
      </c>
      <c r="F73">
        <v>11.647730374999799</v>
      </c>
      <c r="G73">
        <v>1</v>
      </c>
      <c r="H73">
        <v>1</v>
      </c>
      <c r="I73" t="s">
        <v>412</v>
      </c>
    </row>
    <row r="74" spans="1:9" x14ac:dyDescent="0.2">
      <c r="A74" t="s">
        <v>44</v>
      </c>
      <c r="B74">
        <v>756</v>
      </c>
      <c r="C74">
        <v>16</v>
      </c>
      <c r="D74">
        <v>46</v>
      </c>
      <c r="E74">
        <v>12</v>
      </c>
      <c r="F74">
        <v>11.8525872080026</v>
      </c>
      <c r="G74">
        <v>1</v>
      </c>
      <c r="H74">
        <v>1</v>
      </c>
      <c r="I74" t="s">
        <v>413</v>
      </c>
    </row>
    <row r="75" spans="1:9" x14ac:dyDescent="0.2">
      <c r="A75" t="s">
        <v>44</v>
      </c>
      <c r="B75">
        <v>756</v>
      </c>
      <c r="C75">
        <v>16</v>
      </c>
      <c r="D75">
        <v>40</v>
      </c>
      <c r="E75">
        <v>6</v>
      </c>
      <c r="F75">
        <v>11.717223374998801</v>
      </c>
      <c r="G75">
        <v>1</v>
      </c>
      <c r="H75">
        <v>1</v>
      </c>
      <c r="I75" t="s">
        <v>414</v>
      </c>
    </row>
    <row r="76" spans="1:9" x14ac:dyDescent="0.2">
      <c r="A76" t="s">
        <v>44</v>
      </c>
      <c r="B76">
        <v>756</v>
      </c>
      <c r="C76">
        <v>16</v>
      </c>
      <c r="D76">
        <v>38</v>
      </c>
      <c r="E76">
        <v>4</v>
      </c>
      <c r="F76">
        <v>11.715774166997999</v>
      </c>
      <c r="G76">
        <v>1</v>
      </c>
      <c r="H76">
        <v>1</v>
      </c>
      <c r="I76" t="s">
        <v>415</v>
      </c>
    </row>
    <row r="77" spans="1:9" x14ac:dyDescent="0.2">
      <c r="A77" t="s">
        <v>44</v>
      </c>
      <c r="B77">
        <v>756</v>
      </c>
      <c r="C77">
        <v>16</v>
      </c>
      <c r="D77">
        <v>38</v>
      </c>
      <c r="E77">
        <v>4</v>
      </c>
      <c r="F77">
        <v>11.7261999170004</v>
      </c>
      <c r="G77">
        <v>1</v>
      </c>
      <c r="H77">
        <v>1</v>
      </c>
      <c r="I77" t="s">
        <v>416</v>
      </c>
    </row>
    <row r="78" spans="1:9" x14ac:dyDescent="0.2">
      <c r="A78" t="s">
        <v>44</v>
      </c>
      <c r="B78">
        <v>756</v>
      </c>
      <c r="C78">
        <v>16</v>
      </c>
      <c r="D78">
        <v>42</v>
      </c>
      <c r="E78">
        <v>8</v>
      </c>
      <c r="F78">
        <v>11.708365208</v>
      </c>
      <c r="G78">
        <v>1</v>
      </c>
      <c r="H78">
        <v>1</v>
      </c>
      <c r="I78" t="s">
        <v>417</v>
      </c>
    </row>
    <row r="79" spans="1:9" x14ac:dyDescent="0.2">
      <c r="A79" t="s">
        <v>44</v>
      </c>
      <c r="B79">
        <v>756</v>
      </c>
      <c r="C79">
        <v>16</v>
      </c>
      <c r="D79">
        <v>44</v>
      </c>
      <c r="E79">
        <v>10</v>
      </c>
      <c r="F79">
        <v>11.893359083001901</v>
      </c>
      <c r="G79">
        <v>1</v>
      </c>
      <c r="H79">
        <v>1</v>
      </c>
      <c r="I79" t="s">
        <v>418</v>
      </c>
    </row>
    <row r="80" spans="1:9" x14ac:dyDescent="0.2">
      <c r="A80" t="s">
        <v>44</v>
      </c>
      <c r="B80">
        <v>756</v>
      </c>
      <c r="C80">
        <v>16</v>
      </c>
      <c r="D80">
        <v>38</v>
      </c>
      <c r="E80">
        <v>4</v>
      </c>
      <c r="F80">
        <v>11.9971224170003</v>
      </c>
      <c r="G80">
        <v>1</v>
      </c>
      <c r="H80">
        <v>1</v>
      </c>
      <c r="I80" t="s">
        <v>419</v>
      </c>
    </row>
    <row r="81" spans="1:9" x14ac:dyDescent="0.2">
      <c r="A81" t="s">
        <v>44</v>
      </c>
      <c r="B81">
        <v>756</v>
      </c>
      <c r="C81">
        <v>16</v>
      </c>
      <c r="D81">
        <v>46</v>
      </c>
      <c r="E81">
        <v>12</v>
      </c>
      <c r="F81">
        <v>11.7692632079997</v>
      </c>
      <c r="G81">
        <v>1</v>
      </c>
      <c r="H81">
        <v>1</v>
      </c>
      <c r="I81" t="s">
        <v>420</v>
      </c>
    </row>
    <row r="82" spans="1:9" x14ac:dyDescent="0.2">
      <c r="A82" t="s">
        <v>44</v>
      </c>
      <c r="B82">
        <v>756</v>
      </c>
      <c r="C82">
        <v>16</v>
      </c>
      <c r="D82">
        <v>38</v>
      </c>
      <c r="E82">
        <v>4</v>
      </c>
      <c r="F82">
        <v>11.9169436249976</v>
      </c>
      <c r="G82">
        <v>1</v>
      </c>
      <c r="H82">
        <v>1</v>
      </c>
      <c r="I82" t="s">
        <v>421</v>
      </c>
    </row>
    <row r="83" spans="1:9" x14ac:dyDescent="0.2">
      <c r="A83" t="s">
        <v>44</v>
      </c>
      <c r="B83">
        <v>756</v>
      </c>
      <c r="C83">
        <v>16</v>
      </c>
      <c r="D83">
        <v>44</v>
      </c>
      <c r="E83">
        <v>10</v>
      </c>
      <c r="F83">
        <v>11.763311500002599</v>
      </c>
      <c r="G83">
        <v>1</v>
      </c>
      <c r="H83">
        <v>1</v>
      </c>
      <c r="I83" t="s">
        <v>422</v>
      </c>
    </row>
    <row r="84" spans="1:9" x14ac:dyDescent="0.2">
      <c r="A84" t="s">
        <v>44</v>
      </c>
      <c r="B84">
        <v>756</v>
      </c>
      <c r="C84">
        <v>16</v>
      </c>
      <c r="D84">
        <v>44</v>
      </c>
      <c r="E84">
        <v>10</v>
      </c>
      <c r="F84">
        <v>11.9861779999992</v>
      </c>
      <c r="G84">
        <v>1</v>
      </c>
      <c r="H84">
        <v>1</v>
      </c>
      <c r="I84" t="s">
        <v>423</v>
      </c>
    </row>
    <row r="85" spans="1:9" x14ac:dyDescent="0.2">
      <c r="A85" t="s">
        <v>44</v>
      </c>
      <c r="B85">
        <v>756</v>
      </c>
      <c r="C85">
        <v>16</v>
      </c>
      <c r="D85">
        <v>42</v>
      </c>
      <c r="E85">
        <v>8</v>
      </c>
      <c r="F85">
        <v>11.628400834000701</v>
      </c>
      <c r="G85">
        <v>1</v>
      </c>
      <c r="H85">
        <v>1</v>
      </c>
      <c r="I85" t="s">
        <v>424</v>
      </c>
    </row>
    <row r="86" spans="1:9" x14ac:dyDescent="0.2">
      <c r="A86" t="s">
        <v>44</v>
      </c>
      <c r="B86">
        <v>756</v>
      </c>
      <c r="C86">
        <v>16</v>
      </c>
      <c r="D86">
        <v>38</v>
      </c>
      <c r="E86">
        <v>4</v>
      </c>
      <c r="F86">
        <v>11.793655999998</v>
      </c>
      <c r="G86">
        <v>1</v>
      </c>
      <c r="H86">
        <v>1</v>
      </c>
      <c r="I86" t="s">
        <v>425</v>
      </c>
    </row>
    <row r="87" spans="1:9" x14ac:dyDescent="0.2">
      <c r="A87" t="s">
        <v>44</v>
      </c>
      <c r="B87">
        <v>756</v>
      </c>
      <c r="C87">
        <v>16</v>
      </c>
      <c r="D87">
        <v>40</v>
      </c>
      <c r="E87">
        <v>6</v>
      </c>
      <c r="F87">
        <v>12.3563906660019</v>
      </c>
      <c r="G87">
        <v>1</v>
      </c>
      <c r="H87">
        <v>1</v>
      </c>
      <c r="I87" t="s">
        <v>426</v>
      </c>
    </row>
    <row r="88" spans="1:9" x14ac:dyDescent="0.2">
      <c r="A88" t="s">
        <v>44</v>
      </c>
      <c r="B88">
        <v>756</v>
      </c>
      <c r="C88">
        <v>16</v>
      </c>
      <c r="D88">
        <v>40</v>
      </c>
      <c r="E88">
        <v>6</v>
      </c>
      <c r="F88">
        <v>12.7076204589975</v>
      </c>
      <c r="G88">
        <v>1</v>
      </c>
      <c r="H88">
        <v>1</v>
      </c>
      <c r="I88" t="s">
        <v>427</v>
      </c>
    </row>
    <row r="89" spans="1:9" x14ac:dyDescent="0.2">
      <c r="A89" t="s">
        <v>44</v>
      </c>
      <c r="B89">
        <v>756</v>
      </c>
      <c r="C89">
        <v>16</v>
      </c>
      <c r="D89">
        <v>34</v>
      </c>
      <c r="E89">
        <v>0</v>
      </c>
      <c r="F89">
        <v>12.5674589580012</v>
      </c>
      <c r="G89">
        <v>1</v>
      </c>
      <c r="H89">
        <v>1</v>
      </c>
      <c r="I89" t="s">
        <v>428</v>
      </c>
    </row>
    <row r="90" spans="1:9" x14ac:dyDescent="0.2">
      <c r="A90" t="s">
        <v>44</v>
      </c>
      <c r="B90">
        <v>756</v>
      </c>
      <c r="C90">
        <v>16</v>
      </c>
      <c r="D90">
        <v>44</v>
      </c>
      <c r="E90">
        <v>10</v>
      </c>
      <c r="F90">
        <v>12.084490583001701</v>
      </c>
      <c r="G90">
        <v>1</v>
      </c>
      <c r="H90">
        <v>1</v>
      </c>
      <c r="I90" t="s">
        <v>429</v>
      </c>
    </row>
    <row r="91" spans="1:9" x14ac:dyDescent="0.2">
      <c r="A91" t="s">
        <v>44</v>
      </c>
      <c r="B91">
        <v>756</v>
      </c>
      <c r="C91">
        <v>16</v>
      </c>
      <c r="D91">
        <v>42</v>
      </c>
      <c r="E91">
        <v>8</v>
      </c>
      <c r="F91">
        <v>11.9756911669974</v>
      </c>
      <c r="G91">
        <v>1</v>
      </c>
      <c r="H91">
        <v>1</v>
      </c>
      <c r="I91" t="s">
        <v>430</v>
      </c>
    </row>
    <row r="92" spans="1:9" x14ac:dyDescent="0.2">
      <c r="A92" t="s">
        <v>44</v>
      </c>
      <c r="B92">
        <v>756</v>
      </c>
      <c r="C92">
        <v>16</v>
      </c>
      <c r="D92">
        <v>42</v>
      </c>
      <c r="E92">
        <v>8</v>
      </c>
      <c r="F92">
        <v>11.8200195419995</v>
      </c>
      <c r="G92">
        <v>1</v>
      </c>
      <c r="H92">
        <v>1</v>
      </c>
      <c r="I92" t="s">
        <v>431</v>
      </c>
    </row>
    <row r="93" spans="1:9" x14ac:dyDescent="0.2">
      <c r="A93" t="s">
        <v>44</v>
      </c>
      <c r="B93">
        <v>756</v>
      </c>
      <c r="C93">
        <v>16</v>
      </c>
      <c r="D93">
        <v>40</v>
      </c>
      <c r="E93">
        <v>6</v>
      </c>
      <c r="F93">
        <v>11.9755500829996</v>
      </c>
      <c r="G93">
        <v>1</v>
      </c>
      <c r="H93">
        <v>1</v>
      </c>
      <c r="I93" t="s">
        <v>432</v>
      </c>
    </row>
    <row r="94" spans="1:9" x14ac:dyDescent="0.2">
      <c r="A94" t="s">
        <v>44</v>
      </c>
      <c r="B94">
        <v>756</v>
      </c>
      <c r="C94">
        <v>16</v>
      </c>
      <c r="D94">
        <v>38</v>
      </c>
      <c r="E94">
        <v>4</v>
      </c>
      <c r="F94">
        <v>12.1665371250019</v>
      </c>
      <c r="G94">
        <v>1</v>
      </c>
      <c r="H94">
        <v>1</v>
      </c>
      <c r="I94" t="s">
        <v>433</v>
      </c>
    </row>
    <row r="95" spans="1:9" x14ac:dyDescent="0.2">
      <c r="A95" t="s">
        <v>44</v>
      </c>
      <c r="B95">
        <v>756</v>
      </c>
      <c r="C95">
        <v>16</v>
      </c>
      <c r="D95">
        <v>46</v>
      </c>
      <c r="E95">
        <v>12</v>
      </c>
      <c r="F95">
        <v>11.915903291999699</v>
      </c>
      <c r="G95">
        <v>1</v>
      </c>
      <c r="H95">
        <v>1</v>
      </c>
      <c r="I95" t="s">
        <v>434</v>
      </c>
    </row>
    <row r="96" spans="1:9" x14ac:dyDescent="0.2">
      <c r="A96" t="s">
        <v>44</v>
      </c>
      <c r="B96">
        <v>756</v>
      </c>
      <c r="C96">
        <v>16</v>
      </c>
      <c r="D96">
        <v>42</v>
      </c>
      <c r="E96">
        <v>8</v>
      </c>
      <c r="F96">
        <v>11.8539312499997</v>
      </c>
      <c r="G96">
        <v>1</v>
      </c>
      <c r="H96">
        <v>1</v>
      </c>
      <c r="I96" t="s">
        <v>435</v>
      </c>
    </row>
    <row r="97" spans="1:9" x14ac:dyDescent="0.2">
      <c r="A97" t="s">
        <v>44</v>
      </c>
      <c r="B97">
        <v>756</v>
      </c>
      <c r="C97">
        <v>16</v>
      </c>
      <c r="D97">
        <v>40</v>
      </c>
      <c r="E97">
        <v>6</v>
      </c>
      <c r="F97">
        <v>11.7609779580016</v>
      </c>
      <c r="G97">
        <v>1</v>
      </c>
      <c r="H97">
        <v>1</v>
      </c>
      <c r="I97" t="s">
        <v>436</v>
      </c>
    </row>
    <row r="98" spans="1:9" x14ac:dyDescent="0.2">
      <c r="A98" t="s">
        <v>44</v>
      </c>
      <c r="B98">
        <v>756</v>
      </c>
      <c r="C98">
        <v>16</v>
      </c>
      <c r="D98">
        <v>40</v>
      </c>
      <c r="E98">
        <v>6</v>
      </c>
      <c r="F98">
        <v>11.858330125</v>
      </c>
      <c r="G98">
        <v>1</v>
      </c>
      <c r="H98">
        <v>1</v>
      </c>
      <c r="I98" t="s">
        <v>437</v>
      </c>
    </row>
    <row r="99" spans="1:9" x14ac:dyDescent="0.2">
      <c r="A99" t="s">
        <v>44</v>
      </c>
      <c r="B99">
        <v>756</v>
      </c>
      <c r="C99">
        <v>16</v>
      </c>
      <c r="D99">
        <v>44</v>
      </c>
      <c r="E99">
        <v>10</v>
      </c>
      <c r="F99">
        <v>11.8229975829999</v>
      </c>
      <c r="G99">
        <v>1</v>
      </c>
      <c r="H99">
        <v>1</v>
      </c>
      <c r="I99" t="s">
        <v>438</v>
      </c>
    </row>
    <row r="100" spans="1:9" x14ac:dyDescent="0.2">
      <c r="A100" t="s">
        <v>44</v>
      </c>
      <c r="B100">
        <v>756</v>
      </c>
      <c r="C100">
        <v>16</v>
      </c>
      <c r="D100">
        <v>44</v>
      </c>
      <c r="E100">
        <v>10</v>
      </c>
      <c r="F100">
        <v>11.813553708998301</v>
      </c>
      <c r="G100">
        <v>1</v>
      </c>
      <c r="H100">
        <v>1</v>
      </c>
      <c r="I100" t="s">
        <v>439</v>
      </c>
    </row>
    <row r="101" spans="1:9" x14ac:dyDescent="0.2">
      <c r="A101" t="s">
        <v>44</v>
      </c>
      <c r="B101">
        <v>756</v>
      </c>
      <c r="C101">
        <v>16</v>
      </c>
      <c r="D101">
        <v>40</v>
      </c>
      <c r="E101">
        <v>6</v>
      </c>
      <c r="F101">
        <v>11.8852078330019</v>
      </c>
      <c r="G101">
        <v>1</v>
      </c>
      <c r="H101">
        <v>1</v>
      </c>
      <c r="I101" t="s">
        <v>440</v>
      </c>
    </row>
    <row r="102" spans="1:9" x14ac:dyDescent="0.2">
      <c r="A102" t="s">
        <v>44</v>
      </c>
      <c r="B102">
        <v>756</v>
      </c>
      <c r="C102">
        <v>16</v>
      </c>
      <c r="D102">
        <v>44</v>
      </c>
      <c r="E102">
        <v>10</v>
      </c>
      <c r="F102">
        <v>11.6816721249997</v>
      </c>
      <c r="G102">
        <v>1</v>
      </c>
      <c r="H102">
        <v>1</v>
      </c>
      <c r="I102" t="s">
        <v>441</v>
      </c>
    </row>
    <row r="103" spans="1:9" x14ac:dyDescent="0.2">
      <c r="A103" t="s">
        <v>44</v>
      </c>
      <c r="B103">
        <v>756</v>
      </c>
      <c r="C103">
        <v>16</v>
      </c>
      <c r="D103">
        <v>38</v>
      </c>
      <c r="E103">
        <v>4</v>
      </c>
      <c r="F103">
        <v>11.892998832998201</v>
      </c>
      <c r="G103">
        <v>1</v>
      </c>
      <c r="H103">
        <v>1</v>
      </c>
      <c r="I103" t="s">
        <v>442</v>
      </c>
    </row>
    <row r="104" spans="1:9" x14ac:dyDescent="0.2">
      <c r="A104" t="s">
        <v>44</v>
      </c>
      <c r="B104">
        <v>756</v>
      </c>
      <c r="C104">
        <v>16</v>
      </c>
      <c r="D104">
        <v>44</v>
      </c>
      <c r="E104">
        <v>10</v>
      </c>
      <c r="F104">
        <v>11.8473891249996</v>
      </c>
      <c r="G104">
        <v>1</v>
      </c>
      <c r="H104">
        <v>1</v>
      </c>
      <c r="I104" t="s">
        <v>443</v>
      </c>
    </row>
    <row r="105" spans="1:9" x14ac:dyDescent="0.2">
      <c r="A105" t="s">
        <v>44</v>
      </c>
      <c r="B105">
        <v>756</v>
      </c>
      <c r="C105">
        <v>16</v>
      </c>
      <c r="D105">
        <v>42</v>
      </c>
      <c r="E105">
        <v>8</v>
      </c>
      <c r="F105">
        <v>11.7938931249991</v>
      </c>
      <c r="G105">
        <v>1</v>
      </c>
      <c r="H105">
        <v>1</v>
      </c>
      <c r="I105" t="s">
        <v>444</v>
      </c>
    </row>
    <row r="106" spans="1:9" x14ac:dyDescent="0.2">
      <c r="A106" t="s">
        <v>44</v>
      </c>
      <c r="B106">
        <v>756</v>
      </c>
      <c r="C106">
        <v>16</v>
      </c>
      <c r="D106">
        <v>44</v>
      </c>
      <c r="E106">
        <v>10</v>
      </c>
      <c r="F106">
        <v>11.7733669170011</v>
      </c>
      <c r="G106">
        <v>1</v>
      </c>
      <c r="H106">
        <v>1</v>
      </c>
      <c r="I106" t="s">
        <v>445</v>
      </c>
    </row>
    <row r="107" spans="1:9" x14ac:dyDescent="0.2">
      <c r="A107" t="s">
        <v>44</v>
      </c>
      <c r="B107">
        <v>756</v>
      </c>
      <c r="C107">
        <v>16</v>
      </c>
      <c r="D107">
        <v>40</v>
      </c>
      <c r="E107">
        <v>6</v>
      </c>
      <c r="F107">
        <v>12.493394332999699</v>
      </c>
      <c r="G107">
        <v>1</v>
      </c>
      <c r="H107">
        <v>1</v>
      </c>
      <c r="I107" t="s">
        <v>446</v>
      </c>
    </row>
    <row r="108" spans="1:9" x14ac:dyDescent="0.2">
      <c r="A108" t="s">
        <v>44</v>
      </c>
      <c r="B108">
        <v>756</v>
      </c>
      <c r="C108">
        <v>16</v>
      </c>
      <c r="D108">
        <v>36</v>
      </c>
      <c r="E108">
        <v>2</v>
      </c>
      <c r="F108">
        <v>11.540217000001499</v>
      </c>
      <c r="G108">
        <v>1</v>
      </c>
      <c r="H108">
        <v>1</v>
      </c>
      <c r="I108" t="s">
        <v>447</v>
      </c>
    </row>
    <row r="109" spans="1:9" x14ac:dyDescent="0.2">
      <c r="A109" t="s">
        <v>44</v>
      </c>
      <c r="B109">
        <v>756</v>
      </c>
      <c r="C109">
        <v>16</v>
      </c>
      <c r="D109">
        <v>46</v>
      </c>
      <c r="E109">
        <v>12</v>
      </c>
      <c r="F109">
        <v>11.5687552499985</v>
      </c>
      <c r="G109">
        <v>1</v>
      </c>
      <c r="H109">
        <v>1</v>
      </c>
      <c r="I109" t="s">
        <v>448</v>
      </c>
    </row>
    <row r="110" spans="1:9" x14ac:dyDescent="0.2">
      <c r="A110" t="s">
        <v>44</v>
      </c>
      <c r="B110">
        <v>756</v>
      </c>
      <c r="C110">
        <v>16</v>
      </c>
      <c r="D110">
        <v>42</v>
      </c>
      <c r="E110">
        <v>8</v>
      </c>
      <c r="F110">
        <v>11.0444070420016</v>
      </c>
      <c r="G110">
        <v>1</v>
      </c>
      <c r="H110">
        <v>1</v>
      </c>
      <c r="I110" t="s">
        <v>449</v>
      </c>
    </row>
    <row r="111" spans="1:9" x14ac:dyDescent="0.2">
      <c r="A111" t="s">
        <v>44</v>
      </c>
      <c r="B111">
        <v>756</v>
      </c>
      <c r="C111">
        <v>16</v>
      </c>
      <c r="D111">
        <v>36</v>
      </c>
      <c r="E111">
        <v>2</v>
      </c>
      <c r="F111">
        <v>10.9810783749999</v>
      </c>
      <c r="G111">
        <v>1</v>
      </c>
      <c r="H111">
        <v>1</v>
      </c>
      <c r="I111" t="s">
        <v>450</v>
      </c>
    </row>
    <row r="112" spans="1:9" x14ac:dyDescent="0.2">
      <c r="A112" t="s">
        <v>44</v>
      </c>
      <c r="B112">
        <v>756</v>
      </c>
      <c r="C112">
        <v>16</v>
      </c>
      <c r="D112">
        <v>42</v>
      </c>
      <c r="E112">
        <v>8</v>
      </c>
      <c r="F112">
        <v>11.105553957997399</v>
      </c>
      <c r="G112">
        <v>1</v>
      </c>
      <c r="H112">
        <v>1</v>
      </c>
      <c r="I112" t="s">
        <v>451</v>
      </c>
    </row>
    <row r="113" spans="1:9" x14ac:dyDescent="0.2">
      <c r="A113" t="s">
        <v>44</v>
      </c>
      <c r="B113">
        <v>756</v>
      </c>
      <c r="C113">
        <v>16</v>
      </c>
      <c r="D113">
        <v>42</v>
      </c>
      <c r="E113">
        <v>8</v>
      </c>
      <c r="F113">
        <v>10.842230500002101</v>
      </c>
      <c r="G113">
        <v>1</v>
      </c>
      <c r="H113">
        <v>1</v>
      </c>
      <c r="I113" t="s">
        <v>452</v>
      </c>
    </row>
    <row r="114" spans="1:9" x14ac:dyDescent="0.2">
      <c r="A114" t="s">
        <v>44</v>
      </c>
      <c r="B114">
        <v>756</v>
      </c>
      <c r="C114">
        <v>16</v>
      </c>
      <c r="D114">
        <v>40</v>
      </c>
      <c r="E114">
        <v>6</v>
      </c>
      <c r="F114">
        <v>10.7575727500006</v>
      </c>
      <c r="G114">
        <v>1</v>
      </c>
      <c r="H114">
        <v>1</v>
      </c>
      <c r="I114" t="s">
        <v>453</v>
      </c>
    </row>
    <row r="115" spans="1:9" x14ac:dyDescent="0.2">
      <c r="A115" t="s">
        <v>44</v>
      </c>
      <c r="B115">
        <v>756</v>
      </c>
      <c r="C115">
        <v>16</v>
      </c>
      <c r="D115">
        <v>40</v>
      </c>
      <c r="E115">
        <v>6</v>
      </c>
      <c r="F115">
        <v>11.2295565839995</v>
      </c>
      <c r="G115">
        <v>1</v>
      </c>
      <c r="H115">
        <v>1</v>
      </c>
      <c r="I115" t="s">
        <v>454</v>
      </c>
    </row>
    <row r="116" spans="1:9" x14ac:dyDescent="0.2">
      <c r="A116" t="s">
        <v>44</v>
      </c>
      <c r="B116">
        <v>756</v>
      </c>
      <c r="C116">
        <v>16</v>
      </c>
      <c r="D116">
        <v>34</v>
      </c>
      <c r="E116">
        <v>0</v>
      </c>
      <c r="F116">
        <v>10.805093415998201</v>
      </c>
      <c r="G116">
        <v>1</v>
      </c>
      <c r="H116">
        <v>1</v>
      </c>
      <c r="I116" t="s">
        <v>455</v>
      </c>
    </row>
    <row r="117" spans="1:9" x14ac:dyDescent="0.2">
      <c r="A117" t="s">
        <v>44</v>
      </c>
      <c r="B117">
        <v>756</v>
      </c>
      <c r="C117">
        <v>16</v>
      </c>
      <c r="D117">
        <v>46</v>
      </c>
      <c r="E117">
        <v>12</v>
      </c>
      <c r="F117">
        <v>10.990934875000599</v>
      </c>
      <c r="G117">
        <v>1</v>
      </c>
      <c r="H117">
        <v>1</v>
      </c>
      <c r="I117" t="s">
        <v>456</v>
      </c>
    </row>
    <row r="118" spans="1:9" x14ac:dyDescent="0.2">
      <c r="A118" t="s">
        <v>44</v>
      </c>
      <c r="B118">
        <v>756</v>
      </c>
      <c r="C118">
        <v>16</v>
      </c>
      <c r="D118">
        <v>44</v>
      </c>
      <c r="E118">
        <v>10</v>
      </c>
      <c r="F118">
        <v>11.0209294170017</v>
      </c>
      <c r="G118">
        <v>1</v>
      </c>
      <c r="H118">
        <v>1</v>
      </c>
      <c r="I118" t="s">
        <v>457</v>
      </c>
    </row>
    <row r="119" spans="1:9" x14ac:dyDescent="0.2">
      <c r="A119" t="s">
        <v>44</v>
      </c>
      <c r="B119">
        <v>756</v>
      </c>
      <c r="C119">
        <v>16</v>
      </c>
      <c r="D119">
        <v>38</v>
      </c>
      <c r="E119">
        <v>4</v>
      </c>
      <c r="F119">
        <v>10.916827707998801</v>
      </c>
      <c r="G119">
        <v>1</v>
      </c>
      <c r="H119">
        <v>1</v>
      </c>
      <c r="I119" t="s">
        <v>458</v>
      </c>
    </row>
    <row r="120" spans="1:9" x14ac:dyDescent="0.2">
      <c r="A120" t="s">
        <v>44</v>
      </c>
      <c r="B120">
        <v>756</v>
      </c>
      <c r="C120">
        <v>16</v>
      </c>
      <c r="D120">
        <v>40</v>
      </c>
      <c r="E120">
        <v>6</v>
      </c>
      <c r="F120">
        <v>11.216662458999</v>
      </c>
      <c r="G120">
        <v>1</v>
      </c>
      <c r="H120">
        <v>1</v>
      </c>
      <c r="I120" t="s">
        <v>459</v>
      </c>
    </row>
    <row r="121" spans="1:9" x14ac:dyDescent="0.2">
      <c r="A121" t="s">
        <v>44</v>
      </c>
      <c r="B121">
        <v>756</v>
      </c>
      <c r="C121">
        <v>16</v>
      </c>
      <c r="D121">
        <v>40</v>
      </c>
      <c r="E121">
        <v>6</v>
      </c>
      <c r="F121">
        <v>10.8712645410014</v>
      </c>
      <c r="G121">
        <v>1</v>
      </c>
      <c r="H121">
        <v>1</v>
      </c>
      <c r="I121" t="s">
        <v>460</v>
      </c>
    </row>
    <row r="122" spans="1:9" x14ac:dyDescent="0.2">
      <c r="A122" t="s">
        <v>44</v>
      </c>
      <c r="B122">
        <v>756</v>
      </c>
      <c r="C122">
        <v>16</v>
      </c>
      <c r="D122">
        <v>38</v>
      </c>
      <c r="E122">
        <v>4</v>
      </c>
      <c r="F122">
        <v>10.791570124998501</v>
      </c>
      <c r="G122">
        <v>1</v>
      </c>
      <c r="H122">
        <v>1</v>
      </c>
      <c r="I122" t="s">
        <v>461</v>
      </c>
    </row>
    <row r="123" spans="1:9" x14ac:dyDescent="0.2">
      <c r="A123" t="s">
        <v>44</v>
      </c>
      <c r="B123">
        <v>756</v>
      </c>
      <c r="C123">
        <v>16</v>
      </c>
      <c r="D123">
        <v>38</v>
      </c>
      <c r="E123">
        <v>4</v>
      </c>
      <c r="F123">
        <v>10.746907708999</v>
      </c>
      <c r="G123">
        <v>1</v>
      </c>
      <c r="H123">
        <v>1</v>
      </c>
      <c r="I123" t="s">
        <v>462</v>
      </c>
    </row>
    <row r="124" spans="1:9" x14ac:dyDescent="0.2">
      <c r="A124" t="s">
        <v>44</v>
      </c>
      <c r="B124">
        <v>756</v>
      </c>
      <c r="C124">
        <v>16</v>
      </c>
      <c r="D124">
        <v>42</v>
      </c>
      <c r="E124">
        <v>8</v>
      </c>
      <c r="F124">
        <v>11.1797233750003</v>
      </c>
      <c r="G124">
        <v>1</v>
      </c>
      <c r="H124">
        <v>1</v>
      </c>
      <c r="I124" t="s">
        <v>463</v>
      </c>
    </row>
    <row r="125" spans="1:9" x14ac:dyDescent="0.2">
      <c r="A125" t="s">
        <v>44</v>
      </c>
      <c r="B125">
        <v>756</v>
      </c>
      <c r="C125">
        <v>16</v>
      </c>
      <c r="D125">
        <v>42</v>
      </c>
      <c r="E125">
        <v>8</v>
      </c>
      <c r="F125">
        <v>11.5920772080025</v>
      </c>
      <c r="G125">
        <v>1</v>
      </c>
      <c r="H125">
        <v>1</v>
      </c>
      <c r="I125" t="s">
        <v>464</v>
      </c>
    </row>
    <row r="126" spans="1:9" x14ac:dyDescent="0.2">
      <c r="A126" t="s">
        <v>44</v>
      </c>
      <c r="B126">
        <v>756</v>
      </c>
      <c r="C126">
        <v>16</v>
      </c>
      <c r="D126">
        <v>38</v>
      </c>
      <c r="E126">
        <v>4</v>
      </c>
      <c r="F126">
        <v>11.537830832999999</v>
      </c>
      <c r="G126">
        <v>1</v>
      </c>
      <c r="H126">
        <v>1</v>
      </c>
      <c r="I126" t="s">
        <v>465</v>
      </c>
    </row>
    <row r="127" spans="1:9" x14ac:dyDescent="0.2">
      <c r="A127" t="s">
        <v>44</v>
      </c>
      <c r="B127">
        <v>756</v>
      </c>
      <c r="C127">
        <v>16</v>
      </c>
      <c r="D127">
        <v>38</v>
      </c>
      <c r="E127">
        <v>4</v>
      </c>
      <c r="F127">
        <v>11.3193637499971</v>
      </c>
      <c r="G127">
        <v>1</v>
      </c>
      <c r="H127">
        <v>1</v>
      </c>
      <c r="I127" t="s">
        <v>466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analysis-all</vt:lpstr>
      <vt:lpstr>analysis-756</vt:lpstr>
      <vt:lpstr>m4ri_RW_all</vt:lpstr>
      <vt:lpstr>QDistRndMW_all</vt:lpstr>
      <vt:lpstr>QDistEvol_all_20260215</vt:lpstr>
      <vt:lpstr>QDistEvol_all</vt:lpstr>
      <vt:lpstr>m4ri_RW_mac</vt:lpstr>
      <vt:lpstr>QDistRndMW_mac</vt:lpstr>
      <vt:lpstr>QDistEvol_mac</vt:lpstr>
      <vt:lpstr>QDistRnd_756_20251225</vt:lpstr>
      <vt:lpstr>QDistRnd_756</vt:lpstr>
      <vt:lpstr>QDistEvol_756_20251225</vt:lpstr>
      <vt:lpstr>QDistEvol_756</vt:lpstr>
      <vt:lpstr>m4riRW_756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Webster</dc:creator>
  <cp:lastModifiedBy>Mark Webster</cp:lastModifiedBy>
  <dcterms:created xsi:type="dcterms:W3CDTF">2025-12-24T20:26:28Z</dcterms:created>
  <dcterms:modified xsi:type="dcterms:W3CDTF">2026-02-22T10:31:29Z</dcterms:modified>
</cp:coreProperties>
</file>