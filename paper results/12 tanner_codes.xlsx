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D8DDF7C8-2D88-2046-BE0D-A7315ECDA3BA}" xr6:coauthVersionLast="47" xr6:coauthVersionMax="47" xr10:uidLastSave="{00000000-0000-0000-0000-000000000000}"/>
  <bookViews>
    <workbookView xWindow="0" yWindow="720" windowWidth="29400" windowHeight="18400" xr2:uid="{C3ADB0BE-7A80-7F44-999C-93B5C5D7E48D}"/>
  </bookViews>
  <sheets>
    <sheet name="analysis" sheetId="22" r:id="rId1"/>
    <sheet name="m4riRW1M" sheetId="23" r:id="rId2"/>
    <sheet name="QDistEvol1M" sheetId="24" r:id="rId3"/>
    <sheet name="QDistRndMW1M" sheetId="25" r:id="rId4"/>
    <sheet name="best" sheetId="20" r:id="rId5"/>
    <sheet name="magma" sheetId="15" r:id="rId6"/>
    <sheet name="CLISAT" sheetId="1" r:id="rId7"/>
    <sheet name="CCStim" sheetId="2" r:id="rId8"/>
    <sheet name="bposd" sheetId="3" r:id="rId9"/>
    <sheet name="m4ri_CC" sheetId="18" r:id="rId10"/>
    <sheet name="m4ri_RW" sheetId="5" r:id="rId11"/>
    <sheet name="GEStim" sheetId="6" r:id="rId12"/>
    <sheet name="Gurobi" sheetId="7" r:id="rId13"/>
    <sheet name="MIP-SCIP" sheetId="8" r:id="rId14"/>
    <sheet name="QDistEvol20260203" sheetId="9" r:id="rId15"/>
    <sheet name="QDistEvol" sheetId="26" r:id="rId16"/>
    <sheet name="QDistRndMW20260203" sheetId="10" r:id="rId17"/>
    <sheet name="QDistRndMW" sheetId="27" r:id="rId18"/>
    <sheet name="UEStim" sheetId="11" r:id="rId19"/>
  </sheets>
  <definedNames>
    <definedName name="_xleta.MATCH" hidden="1">#NAME?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Z67" i="22" l="1"/>
  <c r="HB67" i="22"/>
  <c r="HE67" i="22"/>
  <c r="HD67" i="22"/>
  <c r="HC67" i="22"/>
  <c r="GZ67" i="22"/>
  <c r="HN67" i="22" s="1"/>
  <c r="GY67" i="22"/>
  <c r="HM67" i="22" s="1"/>
  <c r="GX67" i="22"/>
  <c r="HL67" i="22" s="1"/>
  <c r="GW67" i="22"/>
  <c r="HK67" i="22" s="1"/>
  <c r="GV67" i="22"/>
  <c r="HJ67" i="22" s="1"/>
  <c r="GU67" i="22"/>
  <c r="HI67" i="22" s="1"/>
  <c r="GT67" i="22"/>
  <c r="HH67" i="22" s="1"/>
  <c r="GS67" i="22"/>
  <c r="HG67" i="22" s="1"/>
  <c r="GR67" i="22"/>
  <c r="HF67" i="22" s="1"/>
  <c r="GQ67" i="22"/>
  <c r="GP67" i="22"/>
  <c r="GO67" i="22"/>
  <c r="AZ188" i="22"/>
  <c r="AY188" i="22"/>
  <c r="AX188" i="22"/>
  <c r="AW188" i="22"/>
  <c r="AV188" i="22"/>
  <c r="AZ187" i="22"/>
  <c r="AY187" i="22"/>
  <c r="AX187" i="22"/>
  <c r="AW187" i="22"/>
  <c r="AV187" i="22"/>
  <c r="AZ186" i="22"/>
  <c r="AY186" i="22"/>
  <c r="AX186" i="22"/>
  <c r="AW186" i="22"/>
  <c r="AV186" i="22"/>
  <c r="AZ185" i="22"/>
  <c r="AY185" i="22"/>
  <c r="AX185" i="22"/>
  <c r="AW185" i="22"/>
  <c r="AV185" i="22"/>
  <c r="AZ184" i="22"/>
  <c r="AY184" i="22"/>
  <c r="AX184" i="22"/>
  <c r="AW184" i="22"/>
  <c r="AV184" i="22"/>
  <c r="AZ183" i="22"/>
  <c r="AY183" i="22"/>
  <c r="AX183" i="22"/>
  <c r="AW183" i="22"/>
  <c r="AV183" i="22"/>
  <c r="AZ182" i="22"/>
  <c r="AY182" i="22"/>
  <c r="AX182" i="22"/>
  <c r="AW182" i="22"/>
  <c r="AV182" i="22"/>
  <c r="AZ181" i="22"/>
  <c r="AY181" i="22"/>
  <c r="AX181" i="22"/>
  <c r="AW181" i="22"/>
  <c r="AV181" i="22"/>
  <c r="AZ180" i="22"/>
  <c r="AY180" i="22"/>
  <c r="AX180" i="22"/>
  <c r="AW180" i="22"/>
  <c r="AV180" i="22"/>
  <c r="AZ179" i="22"/>
  <c r="AY179" i="22"/>
  <c r="AX179" i="22"/>
  <c r="AW179" i="22"/>
  <c r="AV179" i="22"/>
  <c r="AZ178" i="22"/>
  <c r="AY178" i="22"/>
  <c r="AX178" i="22"/>
  <c r="AW178" i="22"/>
  <c r="AV178" i="22"/>
  <c r="AZ177" i="22"/>
  <c r="AY177" i="22"/>
  <c r="AX177" i="22"/>
  <c r="AW177" i="22"/>
  <c r="AV177" i="22"/>
  <c r="AZ176" i="22"/>
  <c r="AY176" i="22"/>
  <c r="AX176" i="22"/>
  <c r="AW176" i="22"/>
  <c r="AV176" i="22"/>
  <c r="AZ175" i="22"/>
  <c r="AY175" i="22"/>
  <c r="AX175" i="22"/>
  <c r="AW175" i="22"/>
  <c r="AV175" i="22"/>
  <c r="AZ174" i="22"/>
  <c r="AY174" i="22"/>
  <c r="AX174" i="22"/>
  <c r="AW174" i="22"/>
  <c r="AV174" i="22"/>
  <c r="AZ173" i="22"/>
  <c r="AY173" i="22"/>
  <c r="AX173" i="22"/>
  <c r="AW173" i="22"/>
  <c r="AV173" i="22"/>
  <c r="AZ172" i="22"/>
  <c r="AY172" i="22"/>
  <c r="AX172" i="22"/>
  <c r="AW172" i="22"/>
  <c r="AV172" i="22"/>
  <c r="AZ171" i="22"/>
  <c r="AY171" i="22"/>
  <c r="AX171" i="22"/>
  <c r="AW171" i="22"/>
  <c r="AV171" i="22"/>
  <c r="AZ170" i="22"/>
  <c r="AY170" i="22"/>
  <c r="AX170" i="22"/>
  <c r="AW170" i="22"/>
  <c r="AV170" i="22"/>
  <c r="AZ169" i="22"/>
  <c r="AY169" i="22"/>
  <c r="AX169" i="22"/>
  <c r="AW169" i="22"/>
  <c r="AV169" i="22"/>
  <c r="AZ168" i="22"/>
  <c r="AY168" i="22"/>
  <c r="AX168" i="22"/>
  <c r="AW168" i="22"/>
  <c r="AV168" i="22"/>
  <c r="AZ167" i="22"/>
  <c r="AY167" i="22"/>
  <c r="AX167" i="22"/>
  <c r="AW167" i="22"/>
  <c r="AV167" i="22"/>
  <c r="AZ166" i="22"/>
  <c r="AY166" i="22"/>
  <c r="AX166" i="22"/>
  <c r="AW166" i="22"/>
  <c r="AV166" i="22"/>
  <c r="AZ165" i="22"/>
  <c r="AY165" i="22"/>
  <c r="AX165" i="22"/>
  <c r="AW165" i="22"/>
  <c r="AV165" i="22"/>
  <c r="AZ164" i="22"/>
  <c r="AY164" i="22"/>
  <c r="AX164" i="22"/>
  <c r="AW164" i="22"/>
  <c r="AV164" i="22"/>
  <c r="AZ163" i="22"/>
  <c r="AY163" i="22"/>
  <c r="AX163" i="22"/>
  <c r="AW163" i="22"/>
  <c r="AV163" i="22"/>
  <c r="AZ162" i="22"/>
  <c r="AY162" i="22"/>
  <c r="AX162" i="22"/>
  <c r="AW162" i="22"/>
  <c r="AV162" i="22"/>
  <c r="AZ161" i="22"/>
  <c r="AY161" i="22"/>
  <c r="AX161" i="22"/>
  <c r="AW161" i="22"/>
  <c r="AV161" i="22"/>
  <c r="AZ160" i="22"/>
  <c r="AY160" i="22"/>
  <c r="AX160" i="22"/>
  <c r="AW160" i="22"/>
  <c r="AV160" i="22"/>
  <c r="AZ159" i="22"/>
  <c r="AY159" i="22"/>
  <c r="AX159" i="22"/>
  <c r="AW159" i="22"/>
  <c r="AV159" i="22"/>
  <c r="AZ158" i="22"/>
  <c r="AY158" i="22"/>
  <c r="AX158" i="22"/>
  <c r="AW158" i="22"/>
  <c r="AV158" i="22"/>
  <c r="AZ157" i="22"/>
  <c r="AY157" i="22"/>
  <c r="AX157" i="22"/>
  <c r="AW157" i="22"/>
  <c r="AV157" i="22"/>
  <c r="AZ156" i="22"/>
  <c r="AY156" i="22"/>
  <c r="AX156" i="22"/>
  <c r="AW156" i="22"/>
  <c r="AV156" i="22"/>
  <c r="AZ155" i="22"/>
  <c r="AY155" i="22"/>
  <c r="AX155" i="22"/>
  <c r="AW155" i="22"/>
  <c r="AV155" i="22"/>
  <c r="AZ154" i="22"/>
  <c r="AY154" i="22"/>
  <c r="AX154" i="22"/>
  <c r="AW154" i="22"/>
  <c r="AV154" i="22"/>
  <c r="AZ153" i="22"/>
  <c r="AY153" i="22"/>
  <c r="AX153" i="22"/>
  <c r="AW153" i="22"/>
  <c r="AV153" i="22"/>
  <c r="AZ152" i="22"/>
  <c r="AY152" i="22"/>
  <c r="AX152" i="22"/>
  <c r="AW152" i="22"/>
  <c r="AV152" i="22"/>
  <c r="AZ151" i="22"/>
  <c r="AY151" i="22"/>
  <c r="AX151" i="22"/>
  <c r="AW151" i="22"/>
  <c r="AV151" i="22"/>
  <c r="AZ150" i="22"/>
  <c r="AY150" i="22"/>
  <c r="AX150" i="22"/>
  <c r="AW150" i="22"/>
  <c r="AV150" i="22"/>
  <c r="AZ149" i="22"/>
  <c r="AY149" i="22"/>
  <c r="AX149" i="22"/>
  <c r="AW149" i="22"/>
  <c r="AV149" i="22"/>
  <c r="AZ148" i="22"/>
  <c r="AY148" i="22"/>
  <c r="AX148" i="22"/>
  <c r="AW148" i="22"/>
  <c r="AV148" i="22"/>
  <c r="AZ147" i="22"/>
  <c r="AY147" i="22"/>
  <c r="AX147" i="22"/>
  <c r="AW147" i="22"/>
  <c r="AV147" i="22"/>
  <c r="AZ146" i="22"/>
  <c r="AY146" i="22"/>
  <c r="AX146" i="22"/>
  <c r="AW146" i="22"/>
  <c r="AV146" i="22"/>
  <c r="AZ145" i="22"/>
  <c r="AY145" i="22"/>
  <c r="AX145" i="22"/>
  <c r="AW145" i="22"/>
  <c r="AV145" i="22"/>
  <c r="AZ144" i="22"/>
  <c r="AY144" i="22"/>
  <c r="AX144" i="22"/>
  <c r="AW144" i="22"/>
  <c r="AV144" i="22"/>
  <c r="AZ143" i="22"/>
  <c r="AY143" i="22"/>
  <c r="AX143" i="22"/>
  <c r="AW143" i="22"/>
  <c r="AV143" i="22"/>
  <c r="AZ142" i="22"/>
  <c r="AY142" i="22"/>
  <c r="AX142" i="22"/>
  <c r="AW142" i="22"/>
  <c r="AV142" i="22"/>
  <c r="AZ141" i="22"/>
  <c r="AY141" i="22"/>
  <c r="AX141" i="22"/>
  <c r="AW141" i="22"/>
  <c r="AV141" i="22"/>
  <c r="AZ140" i="22"/>
  <c r="AY140" i="22"/>
  <c r="AX140" i="22"/>
  <c r="AW140" i="22"/>
  <c r="AV140" i="22"/>
  <c r="AZ139" i="22"/>
  <c r="AY139" i="22"/>
  <c r="AX139" i="22"/>
  <c r="AW139" i="22"/>
  <c r="AV139" i="22"/>
  <c r="AZ138" i="22"/>
  <c r="AY138" i="22"/>
  <c r="AX138" i="22"/>
  <c r="AW138" i="22"/>
  <c r="AV138" i="22"/>
  <c r="AZ137" i="22"/>
  <c r="AY137" i="22"/>
  <c r="AX137" i="22"/>
  <c r="AW137" i="22"/>
  <c r="AV137" i="22"/>
  <c r="AZ136" i="22"/>
  <c r="AY136" i="22"/>
  <c r="AX136" i="22"/>
  <c r="AW136" i="22"/>
  <c r="AV136" i="22"/>
  <c r="AZ135" i="22"/>
  <c r="AY135" i="22"/>
  <c r="AX135" i="22"/>
  <c r="AW135" i="22"/>
  <c r="AV135" i="22"/>
  <c r="AZ134" i="22"/>
  <c r="AY134" i="22"/>
  <c r="AX134" i="22"/>
  <c r="AW134" i="22"/>
  <c r="AV134" i="22"/>
  <c r="AZ133" i="22"/>
  <c r="AY133" i="22"/>
  <c r="AX133" i="22"/>
  <c r="AW133" i="22"/>
  <c r="AV133" i="22"/>
  <c r="AZ132" i="22"/>
  <c r="AY132" i="22"/>
  <c r="AX132" i="22"/>
  <c r="AW132" i="22"/>
  <c r="AV132" i="22"/>
  <c r="AZ131" i="22"/>
  <c r="AY131" i="22"/>
  <c r="AX131" i="22"/>
  <c r="AW131" i="22"/>
  <c r="AV131" i="22"/>
  <c r="AZ130" i="22"/>
  <c r="AY130" i="22"/>
  <c r="AX130" i="22"/>
  <c r="AW130" i="22"/>
  <c r="AV130" i="22"/>
  <c r="AZ129" i="22"/>
  <c r="AY129" i="22"/>
  <c r="AX129" i="22"/>
  <c r="AW129" i="22"/>
  <c r="AV129" i="22"/>
  <c r="AZ128" i="22"/>
  <c r="AY128" i="22"/>
  <c r="AX128" i="22"/>
  <c r="AW128" i="22"/>
  <c r="AV128" i="22"/>
  <c r="AZ127" i="22"/>
  <c r="AY127" i="22"/>
  <c r="AX127" i="22"/>
  <c r="AW127" i="22"/>
  <c r="AV127" i="22"/>
  <c r="AZ126" i="22"/>
  <c r="AY126" i="22"/>
  <c r="AX126" i="22"/>
  <c r="AW126" i="22"/>
  <c r="AV126" i="22"/>
  <c r="AZ125" i="22"/>
  <c r="AY125" i="22"/>
  <c r="AX125" i="22"/>
  <c r="AW125" i="22"/>
  <c r="AV125" i="22"/>
  <c r="AZ124" i="22"/>
  <c r="AY124" i="22"/>
  <c r="AX124" i="22"/>
  <c r="AW124" i="22"/>
  <c r="AV124" i="22"/>
  <c r="AZ123" i="22"/>
  <c r="AY123" i="22"/>
  <c r="AX123" i="22"/>
  <c r="AW123" i="22"/>
  <c r="AV123" i="22"/>
  <c r="AZ122" i="22"/>
  <c r="AY122" i="22"/>
  <c r="AX122" i="22"/>
  <c r="AW122" i="22"/>
  <c r="AV122" i="22"/>
  <c r="AZ121" i="22"/>
  <c r="AY121" i="22"/>
  <c r="AX121" i="22"/>
  <c r="AW121" i="22"/>
  <c r="AV121" i="22"/>
  <c r="AZ120" i="22"/>
  <c r="AY120" i="22"/>
  <c r="AX120" i="22"/>
  <c r="AW120" i="22"/>
  <c r="AV120" i="22"/>
  <c r="AZ119" i="22"/>
  <c r="AY119" i="22"/>
  <c r="AX119" i="22"/>
  <c r="AW119" i="22"/>
  <c r="AV119" i="22"/>
  <c r="AZ118" i="22"/>
  <c r="AY118" i="22"/>
  <c r="AX118" i="22"/>
  <c r="AW118" i="22"/>
  <c r="AV118" i="22"/>
  <c r="AZ117" i="22"/>
  <c r="AY117" i="22"/>
  <c r="AX117" i="22"/>
  <c r="AW117" i="22"/>
  <c r="AV117" i="22"/>
  <c r="AZ116" i="22"/>
  <c r="AY116" i="22"/>
  <c r="AX116" i="22"/>
  <c r="AW116" i="22"/>
  <c r="AV116" i="22"/>
  <c r="AZ115" i="22"/>
  <c r="AY115" i="22"/>
  <c r="AX115" i="22"/>
  <c r="AW115" i="22"/>
  <c r="AV115" i="22"/>
  <c r="AZ114" i="22"/>
  <c r="AY114" i="22"/>
  <c r="AX114" i="22"/>
  <c r="AW114" i="22"/>
  <c r="AV114" i="22"/>
  <c r="AZ113" i="22"/>
  <c r="AY113" i="22"/>
  <c r="AX113" i="22"/>
  <c r="AW113" i="22"/>
  <c r="AV113" i="22"/>
  <c r="AZ112" i="22"/>
  <c r="AY112" i="22"/>
  <c r="AX112" i="22"/>
  <c r="AW112" i="22"/>
  <c r="AV112" i="22"/>
  <c r="AZ111" i="22"/>
  <c r="AY111" i="22"/>
  <c r="AX111" i="22"/>
  <c r="AW111" i="22"/>
  <c r="AV111" i="22"/>
  <c r="AZ110" i="22"/>
  <c r="AY110" i="22"/>
  <c r="AX110" i="22"/>
  <c r="AW110" i="22"/>
  <c r="AV110" i="22"/>
  <c r="AZ109" i="22"/>
  <c r="AY109" i="22"/>
  <c r="AX109" i="22"/>
  <c r="AW109" i="22"/>
  <c r="AV109" i="22"/>
  <c r="AZ108" i="22"/>
  <c r="AY108" i="22"/>
  <c r="AX108" i="22"/>
  <c r="AW108" i="22"/>
  <c r="AV108" i="22"/>
  <c r="AZ107" i="22"/>
  <c r="AY107" i="22"/>
  <c r="AX107" i="22"/>
  <c r="AW107" i="22"/>
  <c r="AV107" i="22"/>
  <c r="AZ106" i="22"/>
  <c r="AY106" i="22"/>
  <c r="AX106" i="22"/>
  <c r="AW106" i="22"/>
  <c r="AV106" i="22"/>
  <c r="AZ105" i="22"/>
  <c r="AY105" i="22"/>
  <c r="AX105" i="22"/>
  <c r="AW105" i="22"/>
  <c r="AV105" i="22"/>
  <c r="AZ104" i="22"/>
  <c r="AY104" i="22"/>
  <c r="AX104" i="22"/>
  <c r="AW104" i="22"/>
  <c r="AV104" i="22"/>
  <c r="AZ103" i="22"/>
  <c r="AY103" i="22"/>
  <c r="AX103" i="22"/>
  <c r="AW103" i="22"/>
  <c r="AV103" i="22"/>
  <c r="AZ102" i="22"/>
  <c r="AY102" i="22"/>
  <c r="AX102" i="22"/>
  <c r="AW102" i="22"/>
  <c r="AV102" i="22"/>
  <c r="AZ101" i="22"/>
  <c r="AY101" i="22"/>
  <c r="AX101" i="22"/>
  <c r="AW101" i="22"/>
  <c r="AV101" i="22"/>
  <c r="AZ100" i="22"/>
  <c r="AY100" i="22"/>
  <c r="AX100" i="22"/>
  <c r="AW100" i="22"/>
  <c r="AV100" i="22"/>
  <c r="AZ99" i="22"/>
  <c r="AY99" i="22"/>
  <c r="AX99" i="22"/>
  <c r="AW99" i="22"/>
  <c r="AV99" i="22"/>
  <c r="AZ98" i="22"/>
  <c r="AY98" i="22"/>
  <c r="AX98" i="22"/>
  <c r="AW98" i="22"/>
  <c r="AV98" i="22"/>
  <c r="AZ97" i="22"/>
  <c r="AY97" i="22"/>
  <c r="AX97" i="22"/>
  <c r="AW97" i="22"/>
  <c r="AV97" i="22"/>
  <c r="AZ96" i="22"/>
  <c r="AY96" i="22"/>
  <c r="AX96" i="22"/>
  <c r="AW96" i="22"/>
  <c r="AV96" i="22"/>
  <c r="AZ95" i="22"/>
  <c r="AY95" i="22"/>
  <c r="AX95" i="22"/>
  <c r="AW95" i="22"/>
  <c r="AV95" i="22"/>
  <c r="AZ94" i="22"/>
  <c r="AY94" i="22"/>
  <c r="AX94" i="22"/>
  <c r="AW94" i="22"/>
  <c r="AV94" i="22"/>
  <c r="AZ93" i="22"/>
  <c r="AY93" i="22"/>
  <c r="AX93" i="22"/>
  <c r="AW93" i="22"/>
  <c r="AV93" i="22"/>
  <c r="AZ92" i="22"/>
  <c r="AY92" i="22"/>
  <c r="AX92" i="22"/>
  <c r="AW92" i="22"/>
  <c r="AV92" i="22"/>
  <c r="AZ91" i="22"/>
  <c r="AY91" i="22"/>
  <c r="AX91" i="22"/>
  <c r="AW91" i="22"/>
  <c r="AV91" i="22"/>
  <c r="AZ90" i="22"/>
  <c r="AY90" i="22"/>
  <c r="AX90" i="22"/>
  <c r="AW90" i="22"/>
  <c r="AV90" i="22"/>
  <c r="AV67" i="22"/>
  <c r="BO67" i="22"/>
  <c r="CF67" i="22" s="1"/>
  <c r="CW67" i="22" s="1"/>
  <c r="DN67" i="22" s="1"/>
  <c r="AQ67" i="22"/>
  <c r="AZ67" i="22" s="1"/>
  <c r="AP67" i="22"/>
  <c r="AY67" i="22" s="1"/>
  <c r="AO67" i="22"/>
  <c r="AX67" i="22" s="1"/>
  <c r="AN67" i="22"/>
  <c r="AW67" i="22" s="1"/>
  <c r="AM67" i="22"/>
  <c r="AG67" i="22"/>
  <c r="AF67" i="22"/>
  <c r="BN67" i="22" s="1"/>
  <c r="AE67" i="22"/>
  <c r="BM67" i="22" s="1"/>
  <c r="AD67" i="22"/>
  <c r="BL67" i="22" s="1"/>
  <c r="AC67" i="22"/>
  <c r="BK67" i="22" s="1"/>
  <c r="CB67" i="22" s="1"/>
  <c r="CS67" i="22" s="1"/>
  <c r="DJ67" i="22" s="1"/>
  <c r="AB67" i="22"/>
  <c r="BJ67" i="22" s="1"/>
  <c r="AA67" i="22"/>
  <c r="BI67" i="22" s="1"/>
  <c r="BZ67" i="22" s="1"/>
  <c r="CQ67" i="22" s="1"/>
  <c r="DH67" i="22" s="1"/>
  <c r="DY67" i="22" s="1"/>
  <c r="EP67" i="22" s="1"/>
  <c r="FG67" i="22" s="1"/>
  <c r="Z67" i="22"/>
  <c r="BH67" i="22" s="1"/>
  <c r="BY67" i="22" s="1"/>
  <c r="CP67" i="22" s="1"/>
  <c r="DG67" i="22" s="1"/>
  <c r="DX67" i="22" s="1"/>
  <c r="EO67" i="22" s="1"/>
  <c r="FF67" i="22" s="1"/>
  <c r="Y67" i="22"/>
  <c r="BG67" i="22" s="1"/>
  <c r="BX67" i="22" s="1"/>
  <c r="CO67" i="22" s="1"/>
  <c r="DF67" i="22" s="1"/>
  <c r="DW67" i="22" s="1"/>
  <c r="EN67" i="22" s="1"/>
  <c r="FE67" i="22" s="1"/>
  <c r="X67" i="22"/>
  <c r="BF67" i="22" s="1"/>
  <c r="BW67" i="22" s="1"/>
  <c r="CN67" i="22" s="1"/>
  <c r="DE67" i="22" s="1"/>
  <c r="DV67" i="22" s="1"/>
  <c r="EM67" i="22" s="1"/>
  <c r="FD67" i="22" s="1"/>
  <c r="W67" i="22"/>
  <c r="BE67" i="22" s="1"/>
  <c r="BV67" i="22" s="1"/>
  <c r="CM67" i="22" s="1"/>
  <c r="DD67" i="22" s="1"/>
  <c r="DU67" i="22" s="1"/>
  <c r="EL67" i="22" s="1"/>
  <c r="FC67" i="22" s="1"/>
  <c r="V67" i="22"/>
  <c r="BD67" i="22" s="1"/>
  <c r="BU67" i="22" s="1"/>
  <c r="CL67" i="22" s="1"/>
  <c r="DC67" i="22" s="1"/>
  <c r="DT67" i="22" s="1"/>
  <c r="EK67" i="22" s="1"/>
  <c r="FB67" i="22" s="1"/>
  <c r="FT66" i="22"/>
  <c r="FT65" i="22"/>
  <c r="A55" i="22"/>
  <c r="M54" i="22"/>
  <c r="A54" i="22"/>
  <c r="M53" i="22"/>
  <c r="A53" i="22"/>
  <c r="M52" i="22"/>
  <c r="A52" i="22"/>
  <c r="M51" i="22"/>
  <c r="A51" i="22"/>
  <c r="M50" i="22"/>
  <c r="A50" i="22"/>
  <c r="M49" i="22"/>
  <c r="A49" i="22"/>
  <c r="M48" i="22"/>
  <c r="A48" i="22"/>
  <c r="M47" i="22"/>
  <c r="A47" i="22"/>
  <c r="M46" i="22"/>
  <c r="A46" i="22"/>
  <c r="R45" i="22"/>
  <c r="Q45" i="22" s="1"/>
  <c r="P45" i="22" s="1"/>
  <c r="O45" i="22" s="1"/>
  <c r="N45" i="22" s="1"/>
  <c r="M45" i="22"/>
  <c r="H45" i="22"/>
  <c r="G45" i="22" s="1"/>
  <c r="F45" i="22" s="1"/>
  <c r="E45" i="22" s="1"/>
  <c r="D45" i="22" s="1"/>
  <c r="C45" i="22" s="1"/>
  <c r="B45" i="22" s="1"/>
  <c r="A45" i="22"/>
  <c r="FX38" i="22"/>
  <c r="FX37" i="22"/>
  <c r="FX36" i="22"/>
  <c r="FX35" i="22"/>
  <c r="FX34" i="22"/>
  <c r="U15" i="22"/>
  <c r="N3" i="22"/>
  <c r="A1" i="22" a="1"/>
  <c r="A1" i="22" s="1"/>
  <c r="H37" i="20"/>
  <c r="I41" i="20"/>
  <c r="H40" i="20"/>
  <c r="G32" i="20"/>
  <c r="I30" i="20"/>
  <c r="I48" i="20"/>
  <c r="G33" i="20"/>
  <c r="I42" i="20"/>
  <c r="I46" i="20"/>
  <c r="G34" i="20"/>
  <c r="H49" i="20"/>
  <c r="H38" i="20"/>
  <c r="I35" i="20"/>
  <c r="H36" i="20"/>
  <c r="I37" i="20"/>
  <c r="I44" i="20"/>
  <c r="H41" i="20"/>
  <c r="G30" i="20"/>
  <c r="G41" i="20"/>
  <c r="G50" i="20"/>
  <c r="I50" i="20"/>
  <c r="G36" i="20"/>
  <c r="H39" i="20"/>
  <c r="G39" i="20"/>
  <c r="H35" i="20"/>
  <c r="H42" i="20"/>
  <c r="G43" i="20"/>
  <c r="G37" i="20"/>
  <c r="I47" i="20"/>
  <c r="H48" i="20"/>
  <c r="I36" i="20"/>
  <c r="G46" i="20"/>
  <c r="G40" i="20"/>
  <c r="G47" i="20"/>
  <c r="G42" i="20"/>
  <c r="G44" i="20"/>
  <c r="H43" i="20"/>
  <c r="I34" i="20"/>
  <c r="I32" i="20"/>
  <c r="G29" i="20"/>
  <c r="H30" i="20"/>
  <c r="H50" i="20"/>
  <c r="H31" i="20"/>
  <c r="I45" i="20"/>
  <c r="I40" i="20"/>
  <c r="H44" i="20"/>
  <c r="H34" i="20"/>
  <c r="I31" i="20"/>
  <c r="I39" i="20"/>
  <c r="I29" i="20"/>
  <c r="H33" i="20"/>
  <c r="G48" i="20"/>
  <c r="B64" i="22"/>
  <c r="H47" i="20"/>
  <c r="G38" i="20"/>
  <c r="H46" i="20"/>
  <c r="H29" i="20"/>
  <c r="I43" i="20"/>
  <c r="G45" i="20"/>
  <c r="G35" i="20"/>
  <c r="I49" i="20"/>
  <c r="H45" i="20"/>
  <c r="G31" i="20"/>
  <c r="G49" i="20"/>
  <c r="I33" i="20"/>
  <c r="I38" i="20"/>
  <c r="H32" i="20"/>
  <c r="D30" i="20" l="1"/>
  <c r="E30" i="20" s="1"/>
  <c r="D33" i="20"/>
  <c r="E33" i="20" s="1"/>
  <c r="D44" i="20"/>
  <c r="E44" i="20" s="1"/>
  <c r="D40" i="20"/>
  <c r="E40" i="20" s="1"/>
  <c r="D36" i="20"/>
  <c r="E36" i="20" s="1"/>
  <c r="D32" i="20"/>
  <c r="E32" i="20" s="1"/>
  <c r="D50" i="20"/>
  <c r="E50" i="20" s="1"/>
  <c r="D34" i="20"/>
  <c r="E34" i="20" s="1"/>
  <c r="D45" i="20"/>
  <c r="E45" i="20" s="1"/>
  <c r="D37" i="20"/>
  <c r="E37" i="20" s="1"/>
  <c r="D47" i="20"/>
  <c r="E47" i="20" s="1"/>
  <c r="D38" i="20"/>
  <c r="E38" i="20" s="1"/>
  <c r="D35" i="20"/>
  <c r="E35" i="20" s="1"/>
  <c r="D49" i="20"/>
  <c r="E49" i="20" s="1"/>
  <c r="D41" i="20"/>
  <c r="E41" i="20" s="1"/>
  <c r="D31" i="20"/>
  <c r="E31" i="20" s="1"/>
  <c r="D39" i="20"/>
  <c r="E39" i="20" s="1"/>
  <c r="D43" i="20"/>
  <c r="E43" i="20" s="1"/>
  <c r="D42" i="20"/>
  <c r="E42" i="20" s="1"/>
  <c r="D48" i="20"/>
  <c r="E48" i="20" s="1"/>
  <c r="D46" i="20"/>
  <c r="E46" i="20" s="1"/>
  <c r="D29" i="20"/>
  <c r="E29" i="20" s="1"/>
  <c r="EA67" i="22"/>
  <c r="CD67" i="22"/>
  <c r="CU67" i="22" s="1"/>
  <c r="EE67" i="22"/>
  <c r="CE67" i="22"/>
  <c r="CV67" i="22" s="1"/>
  <c r="CA67" i="22"/>
  <c r="CR67" i="22" s="1"/>
  <c r="CC67" i="22"/>
  <c r="CT67" i="22" s="1"/>
  <c r="A73" i="22" a="1"/>
  <c r="B71" i="22" a="1"/>
  <c r="B80" i="22" a="1"/>
  <c r="A83" i="22" a="1"/>
  <c r="B83" i="22" a="1"/>
  <c r="B70" i="22" a="1"/>
  <c r="A78" i="22" a="1"/>
  <c r="A72" i="22" a="1"/>
  <c r="A68" i="22" a="1"/>
  <c r="B84" i="22" a="1"/>
  <c r="B68" i="22" a="1"/>
  <c r="B75" i="22" a="1"/>
  <c r="A74" i="22" a="1"/>
  <c r="B86" i="22" a="1"/>
  <c r="B77" i="22" a="1"/>
  <c r="A75" i="22" a="1"/>
  <c r="A85" i="22" a="1"/>
  <c r="B74" i="22" a="1"/>
  <c r="A82" i="22" a="1"/>
  <c r="B79" i="22" a="1"/>
  <c r="B72" i="22" a="1"/>
  <c r="B81" i="22" a="1"/>
  <c r="B82" i="22" a="1"/>
  <c r="A89" i="22" a="1"/>
  <c r="A81" i="22" a="1"/>
  <c r="B87" i="22" a="1"/>
  <c r="A69" i="22" a="1"/>
  <c r="A79" i="22" a="1"/>
  <c r="B89" i="22" a="1"/>
  <c r="A88" i="22" a="1"/>
  <c r="A80" i="22" a="1"/>
  <c r="A87" i="22" a="1"/>
  <c r="A86" i="22" a="1"/>
  <c r="B76" i="22" a="1"/>
  <c r="B78" i="22" a="1"/>
  <c r="B69" i="22" a="1"/>
  <c r="A70" i="22" a="1"/>
  <c r="A84" i="22" a="1"/>
  <c r="A77" i="22" a="1"/>
  <c r="A71" i="22" a="1"/>
  <c r="B73" i="22" a="1"/>
  <c r="B85" i="22" a="1"/>
  <c r="A76" i="22" a="1"/>
  <c r="B88" i="22" a="1"/>
  <c r="B89" i="22" l="1"/>
  <c r="A89" i="22"/>
  <c r="B88" i="22"/>
  <c r="A88" i="22"/>
  <c r="B87" i="22"/>
  <c r="A87" i="22"/>
  <c r="B75" i="22"/>
  <c r="A86" i="22"/>
  <c r="B79" i="22"/>
  <c r="B80" i="22"/>
  <c r="B74" i="22"/>
  <c r="B82" i="22"/>
  <c r="A72" i="22"/>
  <c r="A85" i="22"/>
  <c r="B77" i="22"/>
  <c r="B68" i="22"/>
  <c r="GN68" i="22" s="1"/>
  <c r="A73" i="22"/>
  <c r="B76" i="22"/>
  <c r="A83" i="22"/>
  <c r="B73" i="22"/>
  <c r="B81" i="22"/>
  <c r="B70" i="22"/>
  <c r="A76" i="22"/>
  <c r="A81" i="22"/>
  <c r="A78" i="22"/>
  <c r="B84" i="22"/>
  <c r="B71" i="22"/>
  <c r="A79" i="22"/>
  <c r="B85" i="22"/>
  <c r="A68" i="22"/>
  <c r="A74" i="22"/>
  <c r="B78" i="22"/>
  <c r="A75" i="22"/>
  <c r="A70" i="22"/>
  <c r="A71" i="22"/>
  <c r="A84" i="22"/>
  <c r="A80" i="22"/>
  <c r="A69" i="22"/>
  <c r="B72" i="22"/>
  <c r="A77" i="22"/>
  <c r="B86" i="22"/>
  <c r="A82" i="22"/>
  <c r="B69" i="22"/>
  <c r="B83" i="22"/>
  <c r="DI67" i="22"/>
  <c r="DL67" i="22"/>
  <c r="ER67" i="22"/>
  <c r="FI67" i="22" s="1"/>
  <c r="DM67" i="22"/>
  <c r="EV67" i="22"/>
  <c r="FM67" i="22" s="1"/>
  <c r="DK67" i="22"/>
  <c r="HB68" i="22" l="1"/>
  <c r="FZ68" i="22"/>
  <c r="FS88" i="22"/>
  <c r="GN88" i="22"/>
  <c r="FS78" i="22"/>
  <c r="GN78" i="22"/>
  <c r="FS77" i="22"/>
  <c r="GN77" i="22"/>
  <c r="FS70" i="22"/>
  <c r="GN70" i="22"/>
  <c r="FS72" i="22"/>
  <c r="GN72" i="22"/>
  <c r="FS75" i="22"/>
  <c r="GN75" i="22"/>
  <c r="FS85" i="22"/>
  <c r="GN85" i="22"/>
  <c r="FS81" i="22"/>
  <c r="GN81" i="22"/>
  <c r="FS87" i="22"/>
  <c r="GN87" i="22"/>
  <c r="FS83" i="22"/>
  <c r="GN83" i="22"/>
  <c r="FS73" i="22"/>
  <c r="GN73" i="22"/>
  <c r="FS82" i="22"/>
  <c r="GN82" i="22"/>
  <c r="FS69" i="22"/>
  <c r="GN69" i="22"/>
  <c r="FS71" i="22"/>
  <c r="GN71" i="22"/>
  <c r="FS74" i="22"/>
  <c r="GN74" i="22"/>
  <c r="FS84" i="22"/>
  <c r="GN84" i="22"/>
  <c r="FS76" i="22"/>
  <c r="GN76" i="22"/>
  <c r="FS80" i="22"/>
  <c r="GN80" i="22"/>
  <c r="FS86" i="22"/>
  <c r="GN86" i="22"/>
  <c r="FS79" i="22"/>
  <c r="GN79" i="22"/>
  <c r="FS89" i="22"/>
  <c r="GN89" i="22"/>
  <c r="ED67" i="22"/>
  <c r="EB67" i="22"/>
  <c r="F3" i="22"/>
  <c r="FS68" i="22"/>
  <c r="D3" i="22"/>
  <c r="N4" i="22" s="1"/>
  <c r="EC67" i="22"/>
  <c r="DZ67" i="22"/>
  <c r="F80" i="22"/>
  <c r="E81" i="22"/>
  <c r="O82" i="22"/>
  <c r="I75" i="22"/>
  <c r="K76" i="22"/>
  <c r="G78" i="22"/>
  <c r="I74" i="22"/>
  <c r="O70" i="22"/>
  <c r="E68" i="22"/>
  <c r="E87" i="22"/>
  <c r="O81" i="22"/>
  <c r="J74" i="22"/>
  <c r="J75" i="22"/>
  <c r="E71" i="22"/>
  <c r="L86" i="22"/>
  <c r="E88" i="22"/>
  <c r="J70" i="22"/>
  <c r="J87" i="22"/>
  <c r="K79" i="22"/>
  <c r="K70" i="22"/>
  <c r="N80" i="22"/>
  <c r="E69" i="22"/>
  <c r="H88" i="22"/>
  <c r="M75" i="22"/>
  <c r="M70" i="22"/>
  <c r="K71" i="22"/>
  <c r="O77" i="22"/>
  <c r="N86" i="22"/>
  <c r="G76" i="22"/>
  <c r="F78" i="22"/>
  <c r="K83" i="22"/>
  <c r="F83" i="22"/>
  <c r="I83" i="22"/>
  <c r="J84" i="22"/>
  <c r="K82" i="22"/>
  <c r="K78" i="22"/>
  <c r="N87" i="22"/>
  <c r="O85" i="22"/>
  <c r="F89" i="22"/>
  <c r="F77" i="22"/>
  <c r="P72" i="22"/>
  <c r="E83" i="22"/>
  <c r="N81" i="22"/>
  <c r="M80" i="22"/>
  <c r="N84" i="22"/>
  <c r="K68" i="22"/>
  <c r="L81" i="22"/>
  <c r="G69" i="22"/>
  <c r="H74" i="22"/>
  <c r="E85" i="22"/>
  <c r="G87" i="22"/>
  <c r="G72" i="22"/>
  <c r="F73" i="22"/>
  <c r="M73" i="22"/>
  <c r="F86" i="22"/>
  <c r="L73" i="22"/>
  <c r="K72" i="22"/>
  <c r="K85" i="22"/>
  <c r="M88" i="22"/>
  <c r="H68" i="22"/>
  <c r="I88" i="22"/>
  <c r="I80" i="22"/>
  <c r="J79" i="22"/>
  <c r="I89" i="22"/>
  <c r="P71" i="22"/>
  <c r="H78" i="22"/>
  <c r="M79" i="22"/>
  <c r="O71" i="22"/>
  <c r="G81" i="22"/>
  <c r="O78" i="22"/>
  <c r="M68" i="22"/>
  <c r="L84" i="22"/>
  <c r="N73" i="22"/>
  <c r="O87" i="22"/>
  <c r="N78" i="22"/>
  <c r="J71" i="22"/>
  <c r="O68" i="22"/>
  <c r="I73" i="22"/>
  <c r="H73" i="22"/>
  <c r="E78" i="22"/>
  <c r="O73" i="22"/>
  <c r="H82" i="22"/>
  <c r="I77" i="22"/>
  <c r="H84" i="22"/>
  <c r="L77" i="22"/>
  <c r="J82" i="22"/>
  <c r="G85" i="22"/>
  <c r="N88" i="22"/>
  <c r="J83" i="22"/>
  <c r="H69" i="22"/>
  <c r="G71" i="22"/>
  <c r="H79" i="22"/>
  <c r="P70" i="22"/>
  <c r="J76" i="22"/>
  <c r="N83" i="22"/>
  <c r="G77" i="22"/>
  <c r="L85" i="22"/>
  <c r="H89" i="22"/>
  <c r="O83" i="22"/>
  <c r="L80" i="22"/>
  <c r="M76" i="22"/>
  <c r="M72" i="22"/>
  <c r="O72" i="22"/>
  <c r="N69" i="22"/>
  <c r="K89" i="22"/>
  <c r="O79" i="22"/>
  <c r="N89" i="22"/>
  <c r="F81" i="22"/>
  <c r="L72" i="22"/>
  <c r="O84" i="22"/>
  <c r="K69" i="22"/>
  <c r="P77" i="22"/>
  <c r="M89" i="22"/>
  <c r="N74" i="22"/>
  <c r="F82" i="22"/>
  <c r="N76" i="22"/>
  <c r="N82" i="22"/>
  <c r="O76" i="22"/>
  <c r="I86" i="22"/>
  <c r="I78" i="22"/>
  <c r="J68" i="22"/>
  <c r="K74" i="22"/>
  <c r="M71" i="22"/>
  <c r="I81" i="22"/>
  <c r="I84" i="22"/>
  <c r="H71" i="22"/>
  <c r="J86" i="22"/>
  <c r="P86" i="22"/>
  <c r="L88" i="22"/>
  <c r="O74" i="22"/>
  <c r="F71" i="22"/>
  <c r="M78" i="22"/>
  <c r="K88" i="22"/>
  <c r="L71" i="22"/>
  <c r="L79" i="22"/>
  <c r="F79" i="22"/>
  <c r="G75" i="22"/>
  <c r="F74" i="22"/>
  <c r="P80" i="22"/>
  <c r="E73" i="22"/>
  <c r="N68" i="22"/>
  <c r="K86" i="22"/>
  <c r="H83" i="22"/>
  <c r="H76" i="22"/>
  <c r="I70" i="22"/>
  <c r="H86" i="22"/>
  <c r="G88" i="22"/>
  <c r="M83" i="22"/>
  <c r="K87" i="22"/>
  <c r="H75" i="22"/>
  <c r="I68" i="22"/>
  <c r="K77" i="22"/>
  <c r="P88" i="22"/>
  <c r="N70" i="22"/>
  <c r="O75" i="22"/>
  <c r="G74" i="22"/>
  <c r="I69" i="22"/>
  <c r="K80" i="22"/>
  <c r="P68" i="22"/>
  <c r="F85" i="22"/>
  <c r="P83" i="22"/>
  <c r="E75" i="22"/>
  <c r="E72" i="22"/>
  <c r="P81" i="22"/>
  <c r="L69" i="22"/>
  <c r="J89" i="22"/>
  <c r="F72" i="22"/>
  <c r="G89" i="22"/>
  <c r="H72" i="22"/>
  <c r="F87" i="22"/>
  <c r="F84" i="22"/>
  <c r="I87" i="22"/>
  <c r="J88" i="22"/>
  <c r="K81" i="22"/>
  <c r="O80" i="22"/>
  <c r="M87" i="22"/>
  <c r="P89" i="22"/>
  <c r="P69" i="22"/>
  <c r="E79" i="22"/>
  <c r="N72" i="22"/>
  <c r="P76" i="22"/>
  <c r="M81" i="22"/>
  <c r="O89" i="22"/>
  <c r="G82" i="22"/>
  <c r="F70" i="22"/>
  <c r="J72" i="22"/>
  <c r="L74" i="22"/>
  <c r="E89" i="22"/>
  <c r="O88" i="22"/>
  <c r="J85" i="22"/>
  <c r="J69" i="22"/>
  <c r="P74" i="22"/>
  <c r="I76" i="22"/>
  <c r="H85" i="22"/>
  <c r="L83" i="22"/>
  <c r="H80" i="22"/>
  <c r="E70" i="22"/>
  <c r="K73" i="22"/>
  <c r="G73" i="22"/>
  <c r="M69" i="22"/>
  <c r="H87" i="22"/>
  <c r="G83" i="22"/>
  <c r="L75" i="22"/>
  <c r="L82" i="22"/>
  <c r="J78" i="22"/>
  <c r="H81" i="22"/>
  <c r="O86" i="22"/>
  <c r="M86" i="22"/>
  <c r="P79" i="22"/>
  <c r="F75" i="22"/>
  <c r="E86" i="22"/>
  <c r="K84" i="22"/>
  <c r="J77" i="22"/>
  <c r="G68" i="22"/>
  <c r="P85" i="22"/>
  <c r="J81" i="22"/>
  <c r="K75" i="22"/>
  <c r="N75" i="22"/>
  <c r="H70" i="22"/>
  <c r="L78" i="22"/>
  <c r="G84" i="22"/>
  <c r="E84" i="22"/>
  <c r="F76" i="22"/>
  <c r="M74" i="22"/>
  <c r="M82" i="22"/>
  <c r="E80" i="22"/>
  <c r="I82" i="22"/>
  <c r="N77" i="22"/>
  <c r="L70" i="22"/>
  <c r="F69" i="22"/>
  <c r="L89" i="22"/>
  <c r="L68" i="22"/>
  <c r="P87" i="22"/>
  <c r="J73" i="22"/>
  <c r="E76" i="22"/>
  <c r="E82" i="22"/>
  <c r="I72" i="22"/>
  <c r="I79" i="22"/>
  <c r="P78" i="22"/>
  <c r="M77" i="22"/>
  <c r="I71" i="22"/>
  <c r="F88" i="22"/>
  <c r="E77" i="22"/>
  <c r="M85" i="22"/>
  <c r="H77" i="22"/>
  <c r="N85" i="22"/>
  <c r="L76" i="22"/>
  <c r="F68" i="22"/>
  <c r="E74" i="22"/>
  <c r="G79" i="22"/>
  <c r="L87" i="22"/>
  <c r="P75" i="22"/>
  <c r="N79" i="22"/>
  <c r="J80" i="22"/>
  <c r="P84" i="22"/>
  <c r="G86" i="22"/>
  <c r="G80" i="22"/>
  <c r="P82" i="22"/>
  <c r="I85" i="22"/>
  <c r="G70" i="22"/>
  <c r="O69" i="22"/>
  <c r="M84" i="22"/>
  <c r="P73" i="22"/>
  <c r="N71" i="22"/>
  <c r="HB86" i="22" l="1"/>
  <c r="FZ86" i="22"/>
  <c r="HB74" i="22"/>
  <c r="FZ74" i="22"/>
  <c r="HB73" i="22"/>
  <c r="FZ73" i="22"/>
  <c r="HB85" i="22"/>
  <c r="FZ85" i="22"/>
  <c r="HB77" i="22"/>
  <c r="FZ77" i="22"/>
  <c r="HB71" i="22"/>
  <c r="FZ71" i="22"/>
  <c r="HB75" i="22"/>
  <c r="FZ75" i="22"/>
  <c r="HB89" i="22"/>
  <c r="FZ89" i="22"/>
  <c r="HB69" i="22"/>
  <c r="FZ69" i="22"/>
  <c r="HB72" i="22"/>
  <c r="FZ72" i="22"/>
  <c r="HB84" i="22"/>
  <c r="FZ84" i="22"/>
  <c r="HB70" i="22"/>
  <c r="FZ70" i="22"/>
  <c r="HB80" i="22"/>
  <c r="FZ80" i="22"/>
  <c r="HB83" i="22"/>
  <c r="FZ83" i="22"/>
  <c r="HB78" i="22"/>
  <c r="FZ78" i="22"/>
  <c r="HB76" i="22"/>
  <c r="FZ76" i="22"/>
  <c r="HB87" i="22"/>
  <c r="FZ87" i="22"/>
  <c r="HB88" i="22"/>
  <c r="FZ88" i="22"/>
  <c r="HB79" i="22"/>
  <c r="FZ79" i="22"/>
  <c r="HB82" i="22"/>
  <c r="FZ82" i="22"/>
  <c r="HB81" i="22"/>
  <c r="FZ81" i="22"/>
  <c r="AG89" i="22" a="1"/>
  <c r="AG89" i="22" s="1"/>
  <c r="BO89" i="22" s="1"/>
  <c r="DN89" i="22" a="1"/>
  <c r="DN89" i="22" s="1"/>
  <c r="FM89" i="22" a="1"/>
  <c r="FM89" i="22" s="1"/>
  <c r="HN89" i="22" s="1"/>
  <c r="EV89" i="22" a="1"/>
  <c r="EV89" i="22" s="1"/>
  <c r="DN88" i="22" a="1"/>
  <c r="DN88" i="22" s="1"/>
  <c r="AG88" i="22" a="1"/>
  <c r="AG88" i="22" s="1"/>
  <c r="BO88" i="22" s="1"/>
  <c r="FM88" i="22" a="1"/>
  <c r="FM88" i="22" s="1"/>
  <c r="HN88" i="22" s="1"/>
  <c r="EV88" i="22" a="1"/>
  <c r="EV88" i="22" s="1"/>
  <c r="EV87" i="22" a="1"/>
  <c r="EV87" i="22" s="1"/>
  <c r="AG87" i="22" a="1"/>
  <c r="AG87" i="22" s="1"/>
  <c r="BO87" i="22" s="1"/>
  <c r="DN87" i="22" a="1"/>
  <c r="DN87" i="22" s="1"/>
  <c r="FM87" i="22" a="1"/>
  <c r="FM87" i="22" s="1"/>
  <c r="HN87" i="22" s="1"/>
  <c r="DN83" i="22" a="1"/>
  <c r="DN83" i="22" s="1"/>
  <c r="DN77" i="22" a="1"/>
  <c r="DN77" i="22" s="1"/>
  <c r="DN78" i="22" a="1"/>
  <c r="DN78" i="22" s="1"/>
  <c r="DN80" i="22" a="1"/>
  <c r="DN80" i="22" s="1"/>
  <c r="DN86" i="22" a="1"/>
  <c r="DN86" i="22" s="1"/>
  <c r="DN81" i="22" a="1"/>
  <c r="DN81" i="22" s="1"/>
  <c r="DN79" i="22" a="1"/>
  <c r="DN79" i="22" s="1"/>
  <c r="DN85" i="22" a="1"/>
  <c r="DN85" i="22" s="1"/>
  <c r="DN82" i="22" a="1"/>
  <c r="DN82" i="22" s="1"/>
  <c r="DN84" i="22" a="1"/>
  <c r="DN84" i="22" s="1"/>
  <c r="AG84" i="22" a="1"/>
  <c r="AG84" i="22" s="1"/>
  <c r="BO84" i="22" s="1"/>
  <c r="FM84" i="22" a="1"/>
  <c r="FM84" i="22" s="1"/>
  <c r="HN84" i="22" s="1"/>
  <c r="EV84" i="22" a="1"/>
  <c r="EV84" i="22" s="1"/>
  <c r="EV80" i="22" a="1"/>
  <c r="EV80" i="22" s="1"/>
  <c r="AG80" i="22" a="1"/>
  <c r="AG80" i="22" s="1"/>
  <c r="BO80" i="22" s="1"/>
  <c r="FM80" i="22" a="1"/>
  <c r="FM80" i="22" s="1"/>
  <c r="HN80" i="22" s="1"/>
  <c r="FM77" i="22" a="1"/>
  <c r="FM77" i="22" s="1"/>
  <c r="HN77" i="22" s="1"/>
  <c r="EV77" i="22" a="1"/>
  <c r="EV77" i="22" s="1"/>
  <c r="AG77" i="22" a="1"/>
  <c r="AG77" i="22" s="1"/>
  <c r="BO77" i="22" s="1"/>
  <c r="FM82" i="22" a="1"/>
  <c r="FM82" i="22" s="1"/>
  <c r="HN82" i="22" s="1"/>
  <c r="EV82" i="22" a="1"/>
  <c r="EV82" i="22" s="1"/>
  <c r="AG82" i="22" a="1"/>
  <c r="AG82" i="22" s="1"/>
  <c r="BO82" i="22" s="1"/>
  <c r="AG86" i="22" a="1"/>
  <c r="AG86" i="22" s="1"/>
  <c r="BO86" i="22" s="1"/>
  <c r="EV86" i="22" a="1"/>
  <c r="EV86" i="22" s="1"/>
  <c r="FM86" i="22" a="1"/>
  <c r="FM86" i="22" s="1"/>
  <c r="HN86" i="22" s="1"/>
  <c r="AG83" i="22" a="1"/>
  <c r="AG83" i="22" s="1"/>
  <c r="BO83" i="22" s="1"/>
  <c r="FM83" i="22" a="1"/>
  <c r="FM83" i="22" s="1"/>
  <c r="HN83" i="22" s="1"/>
  <c r="EV83" i="22" a="1"/>
  <c r="EV83" i="22" s="1"/>
  <c r="EV85" i="22" a="1"/>
  <c r="EV85" i="22" s="1"/>
  <c r="AG85" i="22" a="1"/>
  <c r="AG85" i="22" s="1"/>
  <c r="BO85" i="22" s="1"/>
  <c r="FM85" i="22" a="1"/>
  <c r="FM85" i="22" s="1"/>
  <c r="HN85" i="22" s="1"/>
  <c r="AG81" i="22" a="1"/>
  <c r="AG81" i="22" s="1"/>
  <c r="BO81" i="22" s="1"/>
  <c r="FM81" i="22" a="1"/>
  <c r="FM81" i="22" s="1"/>
  <c r="HN81" i="22" s="1"/>
  <c r="EV81" i="22" a="1"/>
  <c r="EV81" i="22" s="1"/>
  <c r="AG78" i="22" a="1"/>
  <c r="AG78" i="22" s="1"/>
  <c r="BO78" i="22" s="1"/>
  <c r="FM78" i="22" a="1"/>
  <c r="FM78" i="22" s="1"/>
  <c r="HN78" i="22" s="1"/>
  <c r="EV78" i="22" a="1"/>
  <c r="EV78" i="22" s="1"/>
  <c r="FM79" i="22" a="1"/>
  <c r="FM79" i="22" s="1"/>
  <c r="HN79" i="22" s="1"/>
  <c r="EV79" i="22" a="1"/>
  <c r="EV79" i="22" s="1"/>
  <c r="AG79" i="22" a="1"/>
  <c r="AG79" i="22" s="1"/>
  <c r="BO79" i="22" s="1"/>
  <c r="EU67" i="22"/>
  <c r="FL67" i="22" s="1"/>
  <c r="ET67" i="22"/>
  <c r="EQ67" i="22"/>
  <c r="P4" i="22"/>
  <c r="ES67" i="22"/>
  <c r="DN75" i="22" a="1"/>
  <c r="DN74" i="22" a="1"/>
  <c r="DN76" i="22" a="1"/>
  <c r="FF84" i="22" a="1"/>
  <c r="Y78" i="22" a="1"/>
  <c r="DJ75" i="22" a="1"/>
  <c r="DK74" i="22" a="1"/>
  <c r="FF89" i="22" a="1"/>
  <c r="AD83" i="22" a="1"/>
  <c r="DJ71" i="22" a="1"/>
  <c r="DD73" i="22" a="1"/>
  <c r="FD88" i="22" a="1"/>
  <c r="DI82" i="22" a="1"/>
  <c r="DE77" i="22" a="1"/>
  <c r="FH88" i="22" a="1"/>
  <c r="DE86" i="22" a="1"/>
  <c r="Z84" i="22" a="1"/>
  <c r="Y76" i="22" a="1"/>
  <c r="DC87" i="22" a="1"/>
  <c r="AC87" i="22" a="1"/>
  <c r="DE72" i="22" a="1"/>
  <c r="DI77" i="22" a="1"/>
  <c r="DC80" i="22" a="1"/>
  <c r="AD87" i="22" a="1"/>
  <c r="DF87" i="22" a="1"/>
  <c r="DM75" i="22" a="1"/>
  <c r="DC70" i="22" a="1"/>
  <c r="DD74" i="22" a="1"/>
  <c r="DL76" i="22" a="1"/>
  <c r="DJ84" i="22" a="1"/>
  <c r="DL84" i="22" a="1"/>
  <c r="DK70" i="22" a="1"/>
  <c r="DG69" i="22" a="1"/>
  <c r="DK75" i="22" a="1"/>
  <c r="Z87" i="22" a="1"/>
  <c r="DL71" i="22" a="1"/>
  <c r="DI85" i="22" a="1"/>
  <c r="FB88" i="22" a="1"/>
  <c r="DC68" i="22" a="1"/>
  <c r="AA89" i="22" a="1"/>
  <c r="FE84" i="22" a="1"/>
  <c r="DM89" i="22" a="1"/>
  <c r="DJ69" i="22" a="1"/>
  <c r="V89" i="22" a="1"/>
  <c r="DC72" i="22" a="1"/>
  <c r="DI86" i="22" a="1"/>
  <c r="DG78" i="22" a="1"/>
  <c r="Z77" i="22" a="1"/>
  <c r="FF80" i="22" a="1"/>
  <c r="DI76" i="22" a="1"/>
  <c r="DG87" i="22" a="1"/>
  <c r="FI88" i="22" a="1"/>
  <c r="DG70" i="22" a="1"/>
  <c r="DK77" i="22" a="1"/>
  <c r="DE89" i="22" a="1"/>
  <c r="AD82" i="22" a="1"/>
  <c r="DM81" i="22" a="1"/>
  <c r="W89" i="22" a="1"/>
  <c r="DD71" i="22" a="1"/>
  <c r="FL88" i="22" a="1"/>
  <c r="Y79" i="22" a="1"/>
  <c r="DC69" i="22" a="1"/>
  <c r="DN69" i="22" a="1"/>
  <c r="DC88" i="22" a="1"/>
  <c r="FE77" i="22" a="1"/>
  <c r="DE80" i="22" a="1"/>
  <c r="DE78" i="22" a="1"/>
  <c r="DN72" i="22" a="1"/>
  <c r="FD89" i="22" a="1"/>
  <c r="Y86" i="22" a="1"/>
  <c r="AB88" i="22" a="1"/>
  <c r="DM80" i="22" a="1"/>
  <c r="DJ85" i="22" a="1"/>
  <c r="DI79" i="22" a="1"/>
  <c r="Z83" i="22" a="1"/>
  <c r="DH78" i="22" a="1"/>
  <c r="DH70" i="22" a="1"/>
  <c r="DG68" i="22" a="1"/>
  <c r="DH73" i="22" a="1"/>
  <c r="DF83" i="22" a="1"/>
  <c r="Z81" i="22" a="1"/>
  <c r="FC89" i="22" a="1"/>
  <c r="Y85" i="22" a="1"/>
  <c r="FJ88" i="22" a="1"/>
  <c r="DG75" i="22" a="1"/>
  <c r="DI68" i="22" a="1"/>
  <c r="DC74" i="22" a="1"/>
  <c r="DI88" i="22" a="1"/>
  <c r="DK81" i="22" a="1"/>
  <c r="DE71" i="22" a="1"/>
  <c r="DG72" i="22" a="1"/>
  <c r="DH69" i="22" a="1"/>
  <c r="DI72" i="22" a="1"/>
  <c r="AD88" i="22" a="1"/>
  <c r="Z82" i="22" a="1"/>
  <c r="FG89" i="22" a="1"/>
  <c r="DD80" i="22" a="1"/>
  <c r="AF89" i="22" a="1"/>
  <c r="DJ89" i="22" a="1"/>
  <c r="AD81" i="22" a="1"/>
  <c r="DC79" i="22" a="1"/>
  <c r="DF70" i="22" a="1"/>
  <c r="DL87" i="22" a="1"/>
  <c r="DJ88" i="22" a="1"/>
  <c r="DI74" i="22" a="1"/>
  <c r="AB87" i="22" a="1"/>
  <c r="V87" i="22" a="1"/>
  <c r="DG85" i="22" a="1"/>
  <c r="DM77" i="22" a="1"/>
  <c r="DF71" i="22" a="1"/>
  <c r="FB87" i="22" a="1"/>
  <c r="DG79" i="22" a="1"/>
  <c r="Y88" i="22" a="1"/>
  <c r="DM71" i="22" a="1"/>
  <c r="FF85" i="22" a="1"/>
  <c r="Z88" i="22" a="1"/>
  <c r="AC89" i="22" a="1"/>
  <c r="DC75" i="22" a="1"/>
  <c r="DF68" i="22" a="1"/>
  <c r="Z89" i="22" a="1"/>
  <c r="FF77" i="22" a="1"/>
  <c r="FE87" i="22" a="1"/>
  <c r="DH79" i="22" a="1"/>
  <c r="FL87" i="22" a="1"/>
  <c r="DE88" i="22" a="1"/>
  <c r="DG83" i="22" a="1"/>
  <c r="DJ81" i="22" a="1"/>
  <c r="DI81" i="22" a="1"/>
  <c r="DK76" i="22" a="1"/>
  <c r="FK87" i="22" a="1"/>
  <c r="DH89" i="22" a="1"/>
  <c r="DK78" i="22" a="1"/>
  <c r="DC83" i="22" a="1"/>
  <c r="DE81" i="22" a="1"/>
  <c r="DK69" i="22" a="1"/>
  <c r="DK82" i="22" a="1"/>
  <c r="FE78" i="22" a="1"/>
  <c r="DD86" i="22" a="1"/>
  <c r="DH86" i="22" a="1"/>
  <c r="Z79" i="22" a="1"/>
  <c r="DC84" i="22" a="1"/>
  <c r="DK72" i="22" a="1"/>
  <c r="DD88" i="22" a="1"/>
  <c r="AF88" i="22" a="1"/>
  <c r="DM70" i="22" a="1"/>
  <c r="FJ85" i="22" a="1"/>
  <c r="FF75" i="22" a="1"/>
  <c r="DI75" i="22" a="1"/>
  <c r="DL89" i="22" a="1"/>
  <c r="Y89" i="22" a="1"/>
  <c r="FC88" i="22" a="1"/>
  <c r="DM73" i="22" a="1"/>
  <c r="DC82" i="22" a="1"/>
  <c r="AB89" i="22" a="1"/>
  <c r="DC77" i="22" a="1"/>
  <c r="DC73" i="22" a="1"/>
  <c r="DE68" i="22" a="1"/>
  <c r="DL88" i="22" a="1"/>
  <c r="DI71" i="22" a="1"/>
  <c r="DG82" i="22" a="1"/>
  <c r="DD83" i="22" a="1"/>
  <c r="Z85" i="22" a="1"/>
  <c r="AE88" i="22" a="1"/>
  <c r="DH71" i="22" a="1"/>
  <c r="DH84" i="22" a="1"/>
  <c r="DI70" i="22" a="1"/>
  <c r="FJ83" i="22" a="1"/>
  <c r="Y83" i="22" a="1"/>
  <c r="W88" i="22" a="1"/>
  <c r="DE70" i="22" a="1"/>
  <c r="DJ70" i="22" a="1"/>
  <c r="FF86" i="22" a="1"/>
  <c r="DM82" i="22" a="1"/>
  <c r="FH87" i="22" a="1"/>
  <c r="DF73" i="22" a="1"/>
  <c r="DM79" i="22" a="1"/>
  <c r="DH80" i="22" a="1"/>
  <c r="DK71" i="22" a="1"/>
  <c r="DN71" i="22" a="1"/>
  <c r="FJ87" i="22" a="1"/>
  <c r="DH88" i="22" a="1"/>
  <c r="Z75" i="22" a="1"/>
  <c r="DK79" i="22" a="1"/>
  <c r="DI80" i="22" a="1"/>
  <c r="DK73" i="22" a="1"/>
  <c r="FE76" i="22" a="1"/>
  <c r="DI78" i="22" a="1"/>
  <c r="FE88" i="22" a="1"/>
  <c r="Y84" i="22" a="1"/>
  <c r="DF75" i="22" a="1"/>
  <c r="DM68" i="22" a="1"/>
  <c r="DF81" i="22" a="1"/>
  <c r="FF81" i="22" a="1"/>
  <c r="FF87" i="22" a="1"/>
  <c r="DJ80" i="22" a="1"/>
  <c r="DJ82" i="22" a="1"/>
  <c r="DK83" i="22" a="1"/>
  <c r="FE89" i="22" a="1"/>
  <c r="FG88" i="22" a="1"/>
  <c r="DL70" i="22" a="1"/>
  <c r="AC88" i="22" a="1"/>
  <c r="DJ79" i="22" a="1"/>
  <c r="FJ86" i="22" a="1"/>
  <c r="FE83" i="22" a="1"/>
  <c r="DF69" i="22" a="1"/>
  <c r="FJ89" i="22" a="1"/>
  <c r="DF80" i="22" a="1"/>
  <c r="DL74" i="22" a="1"/>
  <c r="DC78" i="22" a="1"/>
  <c r="FD87" i="22" a="1"/>
  <c r="DM87" i="22" a="1"/>
  <c r="DL69" i="22" a="1"/>
  <c r="Z78" i="22" a="1"/>
  <c r="DC85" i="22" a="1"/>
  <c r="DM72" i="22" a="1"/>
  <c r="DK87" i="22" a="1"/>
  <c r="DM74" i="22" a="1"/>
  <c r="DG80" i="22" a="1"/>
  <c r="DJ86" i="22" a="1"/>
  <c r="DL73" i="22" a="1"/>
  <c r="AA88" i="22" a="1"/>
  <c r="DM88" i="22" a="1"/>
  <c r="FF88" i="22" a="1"/>
  <c r="FE81" i="22" a="1"/>
  <c r="DL77" i="22" a="1"/>
  <c r="DD75" i="22" a="1"/>
  <c r="AF87" i="22" a="1"/>
  <c r="DJ78" i="22" a="1"/>
  <c r="DM76" i="22" a="1"/>
  <c r="DH85" i="22" a="1"/>
  <c r="DD69" i="22" a="1"/>
  <c r="AE89" i="22" a="1"/>
  <c r="DD70" i="22" a="1"/>
  <c r="DH74" i="22" a="1"/>
  <c r="DM85" i="22" a="1"/>
  <c r="FJ80" i="22" a="1"/>
  <c r="DF78" i="22" a="1"/>
  <c r="DD87" i="22" a="1"/>
  <c r="DC81" i="22" a="1"/>
  <c r="DC76" i="22" a="1"/>
  <c r="FG87" i="22" a="1"/>
  <c r="FC87" i="22" a="1"/>
  <c r="DD68" i="22" a="1"/>
  <c r="DD89" i="22" a="1"/>
  <c r="DF77" i="22" a="1"/>
  <c r="DE76" i="22" a="1"/>
  <c r="Z86" i="22" a="1"/>
  <c r="DN70" i="22" a="1"/>
  <c r="DJ76" i="22" a="1"/>
  <c r="FJ81" i="22" a="1"/>
  <c r="X87" i="22" a="1"/>
  <c r="DM83" i="22" a="1"/>
  <c r="DI89" i="22" a="1"/>
  <c r="FE86" i="22" a="1"/>
  <c r="DH83" i="22" a="1"/>
  <c r="DC71" i="22" a="1"/>
  <c r="W87" i="22" a="1"/>
  <c r="DJ77" i="22" a="1"/>
  <c r="DJ87" i="22" a="1"/>
  <c r="DD82" i="22" a="1"/>
  <c r="FE79" i="22" a="1"/>
  <c r="X88" i="22" a="1"/>
  <c r="DG76" i="22" a="1"/>
  <c r="Y81" i="22" a="1"/>
  <c r="DI73" i="22" a="1"/>
  <c r="Y77" i="22" a="1"/>
  <c r="FF83" i="22" a="1"/>
  <c r="DG86" i="22" a="1"/>
  <c r="DG71" i="22" a="1"/>
  <c r="DC86" i="22" a="1"/>
  <c r="DF86" i="22" a="1"/>
  <c r="DE73" i="22" a="1"/>
  <c r="DN73" i="22" a="1"/>
  <c r="FI87" i="22" a="1"/>
  <c r="DI87" i="22" a="1"/>
  <c r="DG81" i="22" a="1"/>
  <c r="Z80" i="22" a="1"/>
  <c r="DD85" i="22" a="1"/>
  <c r="DK68" i="22" a="1"/>
  <c r="DJ73" i="22" a="1"/>
  <c r="X89" i="22" a="1"/>
  <c r="DK86" i="22" a="1"/>
  <c r="DD79" i="22" a="1"/>
  <c r="DK89" i="22" a="1"/>
  <c r="DH68" i="22" a="1"/>
  <c r="FK89" i="22" a="1"/>
  <c r="DM69" i="22" a="1"/>
  <c r="DE79" i="22" a="1"/>
  <c r="DD78" i="22" a="1"/>
  <c r="DL85" i="22" a="1"/>
  <c r="DE82" i="22" a="1"/>
  <c r="DF76" i="22" a="1"/>
  <c r="DD76" i="22" a="1"/>
  <c r="AD86" i="22" a="1"/>
  <c r="DG77" i="22" a="1"/>
  <c r="Y87" i="22" a="1"/>
  <c r="DJ83" i="22" a="1"/>
  <c r="FB89" i="22" a="1"/>
  <c r="DF88" i="22" a="1"/>
  <c r="DG73" i="22" a="1"/>
  <c r="Y80" i="22" a="1"/>
  <c r="DD77" i="22" a="1"/>
  <c r="FF76" i="22" a="1"/>
  <c r="DL79" i="22" a="1"/>
  <c r="DE74" i="22" a="1"/>
  <c r="FI89" i="22" a="1"/>
  <c r="FE80" i="22" a="1"/>
  <c r="DL80" i="22" a="1"/>
  <c r="DM84" i="22" a="1"/>
  <c r="AE87" i="22" a="1"/>
  <c r="DE69" i="22" a="1"/>
  <c r="FF78" i="22" a="1"/>
  <c r="DE84" i="22" a="1"/>
  <c r="DM78" i="22" a="1"/>
  <c r="AD89" i="22" a="1"/>
  <c r="Z76" i="22" a="1"/>
  <c r="AD85" i="22" a="1"/>
  <c r="DH76" i="22" a="1"/>
  <c r="DF79" i="22" a="1"/>
  <c r="AD80" i="22" a="1"/>
  <c r="FJ82" i="22" a="1"/>
  <c r="DH82" i="22" a="1"/>
  <c r="DL72" i="22" a="1"/>
  <c r="DL78" i="22" a="1"/>
  <c r="AA87" i="22" a="1"/>
  <c r="DH75" i="22" a="1"/>
  <c r="Y82" i="22" a="1"/>
  <c r="DL75" i="22" a="1"/>
  <c r="DF72" i="22" a="1"/>
  <c r="FF79" i="22" a="1"/>
  <c r="DH87" i="22" a="1"/>
  <c r="DI69" i="22" a="1"/>
  <c r="DC89" i="22" a="1"/>
  <c r="DM86" i="22" a="1"/>
  <c r="FJ84" i="22" a="1"/>
  <c r="DD72" i="22" a="1"/>
  <c r="DF74" i="22" a="1"/>
  <c r="AD84" i="22" a="1"/>
  <c r="DE75" i="22" a="1"/>
  <c r="DG84" i="22" a="1"/>
  <c r="DD84" i="22" a="1"/>
  <c r="DL81" i="22" a="1"/>
  <c r="FE85" i="22" a="1"/>
  <c r="DG88" i="22" a="1"/>
  <c r="DE83" i="22" a="1"/>
  <c r="FF82" i="22" a="1"/>
  <c r="DG74" i="22" a="1"/>
  <c r="DL82" i="22" a="1"/>
  <c r="DI83" i="22" a="1"/>
  <c r="DH77" i="22" a="1"/>
  <c r="DL83" i="22" a="1"/>
  <c r="FE82" i="22" a="1"/>
  <c r="DH81" i="22" a="1"/>
  <c r="DF84" i="22" a="1"/>
  <c r="DH72" i="22" a="1"/>
  <c r="DL86" i="22" a="1"/>
  <c r="V88" i="22" a="1"/>
  <c r="DK84" i="22" a="1"/>
  <c r="FH89" i="22" a="1"/>
  <c r="DD81" i="22" a="1"/>
  <c r="DK88" i="22" a="1"/>
  <c r="DI84" i="22" a="1"/>
  <c r="DJ74" i="22" a="1"/>
  <c r="DK80" i="22" a="1"/>
  <c r="DN68" i="22" a="1"/>
  <c r="DF85" i="22" a="1"/>
  <c r="DF82" i="22" a="1"/>
  <c r="FK88" i="22" a="1"/>
  <c r="DJ72" i="22" a="1"/>
  <c r="DE85" i="22" a="1"/>
  <c r="DJ68" i="22" a="1"/>
  <c r="DF89" i="22" a="1"/>
  <c r="DE87" i="22" a="1"/>
  <c r="DL68" i="22" a="1"/>
  <c r="DK85" i="22" a="1"/>
  <c r="DG89" i="22" a="1"/>
  <c r="FL89" i="22" a="1"/>
  <c r="CF80" i="22" l="1"/>
  <c r="GL80" i="22"/>
  <c r="CF83" i="22"/>
  <c r="GL83" i="22"/>
  <c r="CF88" i="22"/>
  <c r="GL88" i="22"/>
  <c r="CF85" i="22"/>
  <c r="GL85" i="22"/>
  <c r="CF89" i="22"/>
  <c r="GL89" i="22"/>
  <c r="CF79" i="22"/>
  <c r="GL79" i="22"/>
  <c r="CF81" i="22"/>
  <c r="GL81" i="22"/>
  <c r="CF86" i="22"/>
  <c r="GL86" i="22"/>
  <c r="CF82" i="22"/>
  <c r="GL82" i="22"/>
  <c r="CF87" i="22"/>
  <c r="GL87" i="22"/>
  <c r="CF78" i="22"/>
  <c r="GL78" i="22"/>
  <c r="CF77" i="22"/>
  <c r="GL77" i="22"/>
  <c r="CF84" i="22"/>
  <c r="GL84" i="22"/>
  <c r="X89" i="22"/>
  <c r="BF89" i="22" s="1"/>
  <c r="FB89" i="22"/>
  <c r="DF89" i="22"/>
  <c r="AP89" i="22" s="1"/>
  <c r="AD89" i="22"/>
  <c r="BL89" i="22" s="1"/>
  <c r="FI89" i="22"/>
  <c r="DH89" i="22"/>
  <c r="FF89" i="22"/>
  <c r="FK89" i="22"/>
  <c r="DI89" i="22"/>
  <c r="FT89" i="22" s="1"/>
  <c r="W89" i="22"/>
  <c r="BE89" i="22" s="1"/>
  <c r="AA89" i="22"/>
  <c r="BI89" i="22" s="1"/>
  <c r="DK89" i="22"/>
  <c r="FD89" i="22"/>
  <c r="FJ89" i="22"/>
  <c r="DE89" i="22"/>
  <c r="AO89" i="22" s="1"/>
  <c r="Z89" i="22"/>
  <c r="BH89" i="22" s="1"/>
  <c r="DD89" i="22"/>
  <c r="AN89" i="22" s="1"/>
  <c r="DG89" i="22"/>
  <c r="AQ89" i="22" s="1"/>
  <c r="DL89" i="22"/>
  <c r="FL89" i="22"/>
  <c r="FC89" i="22"/>
  <c r="Y89" i="22"/>
  <c r="BG89" i="22" s="1"/>
  <c r="AC89" i="22"/>
  <c r="BK89" i="22" s="1"/>
  <c r="DC89" i="22"/>
  <c r="AM89" i="22" s="1"/>
  <c r="FE89" i="22"/>
  <c r="DJ89" i="22"/>
  <c r="V89" i="22"/>
  <c r="BD89" i="22" s="1"/>
  <c r="AB89" i="22"/>
  <c r="BJ89" i="22" s="1"/>
  <c r="DM89" i="22"/>
  <c r="AE89" i="22"/>
  <c r="BM89" i="22" s="1"/>
  <c r="FH89" i="22"/>
  <c r="AF89" i="22"/>
  <c r="BN89" i="22" s="1"/>
  <c r="FG89" i="22"/>
  <c r="FE88" i="22"/>
  <c r="FI88" i="22"/>
  <c r="FD88" i="22"/>
  <c r="AB88" i="22"/>
  <c r="BJ88" i="22" s="1"/>
  <c r="V88" i="22"/>
  <c r="BD88" i="22" s="1"/>
  <c r="DF88" i="22"/>
  <c r="AP88" i="22" s="1"/>
  <c r="DJ88" i="22"/>
  <c r="DE88" i="22"/>
  <c r="AO88" i="22" s="1"/>
  <c r="DI88" i="22"/>
  <c r="FT88" i="22" s="1"/>
  <c r="X88" i="22"/>
  <c r="BF88" i="22" s="1"/>
  <c r="DC88" i="22"/>
  <c r="AM88" i="22" s="1"/>
  <c r="DD88" i="22"/>
  <c r="AN88" i="22" s="1"/>
  <c r="DM88" i="22"/>
  <c r="W88" i="22"/>
  <c r="BE88" i="22" s="1"/>
  <c r="FF88" i="22"/>
  <c r="AA88" i="22"/>
  <c r="BI88" i="22" s="1"/>
  <c r="AF88" i="22"/>
  <c r="BN88" i="22" s="1"/>
  <c r="DL88" i="22"/>
  <c r="AC88" i="22"/>
  <c r="BK88" i="22" s="1"/>
  <c r="FH88" i="22"/>
  <c r="AD88" i="22"/>
  <c r="BL88" i="22" s="1"/>
  <c r="DH88" i="22"/>
  <c r="FJ88" i="22"/>
  <c r="DG88" i="22"/>
  <c r="AQ88" i="22" s="1"/>
  <c r="FB88" i="22"/>
  <c r="Y88" i="22"/>
  <c r="BG88" i="22" s="1"/>
  <c r="Z88" i="22"/>
  <c r="BH88" i="22" s="1"/>
  <c r="AE88" i="22"/>
  <c r="BM88" i="22" s="1"/>
  <c r="FC88" i="22"/>
  <c r="DK88" i="22"/>
  <c r="FG88" i="22"/>
  <c r="FL88" i="22"/>
  <c r="FK88" i="22"/>
  <c r="DH87" i="22"/>
  <c r="AB87" i="22"/>
  <c r="BJ87" i="22" s="1"/>
  <c r="FE87" i="22"/>
  <c r="Z87" i="22"/>
  <c r="BH87" i="22" s="1"/>
  <c r="DI87" i="22"/>
  <c r="FT87" i="22" s="1"/>
  <c r="V87" i="22"/>
  <c r="BD87" i="22" s="1"/>
  <c r="DC87" i="22"/>
  <c r="AM87" i="22" s="1"/>
  <c r="X87" i="22"/>
  <c r="BF87" i="22" s="1"/>
  <c r="FI87" i="22"/>
  <c r="AF87" i="22"/>
  <c r="BN87" i="22" s="1"/>
  <c r="DK87" i="22"/>
  <c r="AE87" i="22"/>
  <c r="BM87" i="22" s="1"/>
  <c r="FG87" i="22"/>
  <c r="FB87" i="22"/>
  <c r="DG87" i="22"/>
  <c r="AQ87" i="22" s="1"/>
  <c r="Y87" i="22"/>
  <c r="BG87" i="22" s="1"/>
  <c r="FF87" i="22"/>
  <c r="W87" i="22"/>
  <c r="BE87" i="22" s="1"/>
  <c r="FJ87" i="22"/>
  <c r="DJ87" i="22"/>
  <c r="FC87" i="22"/>
  <c r="AD87" i="22"/>
  <c r="BL87" i="22" s="1"/>
  <c r="FD87" i="22"/>
  <c r="DF87" i="22"/>
  <c r="AP87" i="22" s="1"/>
  <c r="FH87" i="22"/>
  <c r="AA87" i="22"/>
  <c r="BI87" i="22" s="1"/>
  <c r="DM87" i="22"/>
  <c r="DL87" i="22"/>
  <c r="AC87" i="22"/>
  <c r="BK87" i="22" s="1"/>
  <c r="DD87" i="22"/>
  <c r="AN87" i="22" s="1"/>
  <c r="FL87" i="22"/>
  <c r="DE87" i="22"/>
  <c r="AO87" i="22" s="1"/>
  <c r="FK87" i="22"/>
  <c r="DK81" i="22"/>
  <c r="FJ83" i="22"/>
  <c r="AD85" i="22"/>
  <c r="BL85" i="22" s="1"/>
  <c r="AD81" i="22"/>
  <c r="BL81" i="22" s="1"/>
  <c r="DK83" i="22"/>
  <c r="DK86" i="22"/>
  <c r="AD86" i="22"/>
  <c r="BL86" i="22" s="1"/>
  <c r="AD82" i="22"/>
  <c r="BL82" i="22" s="1"/>
  <c r="AD80" i="22"/>
  <c r="BL80" i="22" s="1"/>
  <c r="FJ86" i="22"/>
  <c r="DK80" i="22"/>
  <c r="FJ81" i="22"/>
  <c r="FJ82" i="22"/>
  <c r="FJ84" i="22"/>
  <c r="DK82" i="22"/>
  <c r="AD83" i="22"/>
  <c r="BL83" i="22" s="1"/>
  <c r="FJ85" i="22"/>
  <c r="AD84" i="22"/>
  <c r="BL84" i="22" s="1"/>
  <c r="FJ80" i="22"/>
  <c r="DK84" i="22"/>
  <c r="DK85" i="22"/>
  <c r="DH86" i="22"/>
  <c r="DC75" i="22"/>
  <c r="DM78" i="22"/>
  <c r="DM75" i="22"/>
  <c r="DE68" i="22"/>
  <c r="DL77" i="22"/>
  <c r="DC70" i="22"/>
  <c r="DN72" i="22"/>
  <c r="DM83" i="22"/>
  <c r="DD81" i="22"/>
  <c r="DF79" i="22"/>
  <c r="DM84" i="22"/>
  <c r="DL80" i="22"/>
  <c r="DF71" i="22"/>
  <c r="DD68" i="22"/>
  <c r="DE71" i="22"/>
  <c r="DE76" i="22"/>
  <c r="DJ86" i="22"/>
  <c r="DI83" i="22"/>
  <c r="DK79" i="22"/>
  <c r="DN73" i="22"/>
  <c r="DM79" i="22"/>
  <c r="DC73" i="22"/>
  <c r="DK75" i="22"/>
  <c r="DG72" i="22"/>
  <c r="DH75" i="22"/>
  <c r="DG70" i="22"/>
  <c r="DL75" i="22"/>
  <c r="DI74" i="22"/>
  <c r="DF78" i="22"/>
  <c r="DM69" i="22"/>
  <c r="DN74" i="22"/>
  <c r="DH68" i="22"/>
  <c r="DL84" i="22"/>
  <c r="DG76" i="22"/>
  <c r="DM73" i="22"/>
  <c r="DC72" i="22"/>
  <c r="DN75" i="22"/>
  <c r="DN76" i="22"/>
  <c r="DD76" i="22"/>
  <c r="DI71" i="22"/>
  <c r="DH76" i="22"/>
  <c r="DG77" i="22"/>
  <c r="DL78" i="22"/>
  <c r="DI86" i="22"/>
  <c r="DC83" i="22"/>
  <c r="DD69" i="22"/>
  <c r="DG80" i="22"/>
  <c r="DF77" i="22"/>
  <c r="DM86" i="22"/>
  <c r="DM71" i="22"/>
  <c r="DC81" i="22"/>
  <c r="DC85" i="22"/>
  <c r="DJ81" i="22"/>
  <c r="DH71" i="22"/>
  <c r="DJ85" i="22"/>
  <c r="DG82" i="22"/>
  <c r="DC76" i="22"/>
  <c r="DN71" i="22"/>
  <c r="DC86" i="22"/>
  <c r="DF83" i="22"/>
  <c r="DE73" i="22"/>
  <c r="DF82" i="22"/>
  <c r="DJ79" i="22"/>
  <c r="DI75" i="22"/>
  <c r="DK76" i="22"/>
  <c r="DK68" i="22"/>
  <c r="DG71" i="22"/>
  <c r="DF74" i="22"/>
  <c r="DL70" i="22"/>
  <c r="DC78" i="22"/>
  <c r="DL81" i="22"/>
  <c r="DC82" i="22"/>
  <c r="DG84" i="22"/>
  <c r="DE79" i="22"/>
  <c r="DD78" i="22"/>
  <c r="DL86" i="22"/>
  <c r="DH82" i="22"/>
  <c r="DJ70" i="22"/>
  <c r="DH74" i="22"/>
  <c r="DL85" i="22"/>
  <c r="DJ82" i="22"/>
  <c r="DE72" i="22"/>
  <c r="DL83" i="22"/>
  <c r="DE86" i="22"/>
  <c r="DE83" i="22"/>
  <c r="DI77" i="22"/>
  <c r="DF75" i="22"/>
  <c r="DJ78" i="22"/>
  <c r="DH70" i="22"/>
  <c r="DL73" i="22"/>
  <c r="DH85" i="22"/>
  <c r="DL69" i="22"/>
  <c r="DD72" i="22"/>
  <c r="DG79" i="22"/>
  <c r="DM81" i="22"/>
  <c r="DK72" i="22"/>
  <c r="DG83" i="22"/>
  <c r="DL79" i="22"/>
  <c r="DI78" i="22"/>
  <c r="DI80" i="22"/>
  <c r="DK70" i="22"/>
  <c r="DD86" i="22"/>
  <c r="DH84" i="22"/>
  <c r="DI81" i="22"/>
  <c r="DI69" i="22"/>
  <c r="DF73" i="22"/>
  <c r="DF76" i="22"/>
  <c r="DH83" i="22"/>
  <c r="DH80" i="22"/>
  <c r="DC71" i="22"/>
  <c r="DF72" i="22"/>
  <c r="DG74" i="22"/>
  <c r="DJ74" i="22"/>
  <c r="DI73" i="22"/>
  <c r="DF69" i="22"/>
  <c r="DL82" i="22"/>
  <c r="DG81" i="22"/>
  <c r="DG69" i="22"/>
  <c r="DI72" i="22"/>
  <c r="DH73" i="22"/>
  <c r="DD71" i="22"/>
  <c r="DI79" i="22"/>
  <c r="DE75" i="22"/>
  <c r="DD85" i="22"/>
  <c r="DD70" i="22"/>
  <c r="DE74" i="22"/>
  <c r="DJ80" i="22"/>
  <c r="DD80" i="22"/>
  <c r="DG78" i="22"/>
  <c r="DD83" i="22"/>
  <c r="DC79" i="22"/>
  <c r="DG85" i="22"/>
  <c r="DH78" i="22"/>
  <c r="DM68" i="22"/>
  <c r="DC74" i="22"/>
  <c r="DJ68" i="22"/>
  <c r="DG68" i="22"/>
  <c r="DJ71" i="22"/>
  <c r="DE69" i="22"/>
  <c r="DG86" i="22"/>
  <c r="DI84" i="22"/>
  <c r="DD84" i="22"/>
  <c r="DF85" i="22"/>
  <c r="DK71" i="22"/>
  <c r="DI85" i="22"/>
  <c r="DN69" i="22"/>
  <c r="DD79" i="22"/>
  <c r="DH77" i="22"/>
  <c r="DH72" i="22"/>
  <c r="DC77" i="22"/>
  <c r="DE78" i="22"/>
  <c r="DJ72" i="22"/>
  <c r="DL72" i="22"/>
  <c r="DE82" i="22"/>
  <c r="DE84" i="22"/>
  <c r="DD74" i="22"/>
  <c r="DJ76" i="22"/>
  <c r="DE77" i="22"/>
  <c r="DI68" i="22"/>
  <c r="DI76" i="22"/>
  <c r="DF70" i="22"/>
  <c r="DF86" i="22"/>
  <c r="DH81" i="22"/>
  <c r="DK69" i="22"/>
  <c r="DG73" i="22"/>
  <c r="DM85" i="22"/>
  <c r="DD82" i="22"/>
  <c r="DC69" i="22"/>
  <c r="DE85" i="22"/>
  <c r="DE70" i="22"/>
  <c r="DJ84" i="22"/>
  <c r="DE81" i="22"/>
  <c r="DM70" i="22"/>
  <c r="DI70" i="22"/>
  <c r="DD73" i="22"/>
  <c r="DG75" i="22"/>
  <c r="DM72" i="22"/>
  <c r="DE80" i="22"/>
  <c r="DK78" i="22"/>
  <c r="DN70" i="22"/>
  <c r="DL71" i="22"/>
  <c r="DD75" i="22"/>
  <c r="DC80" i="22"/>
  <c r="DC84" i="22"/>
  <c r="DF68" i="22"/>
  <c r="DL74" i="22"/>
  <c r="DM74" i="22"/>
  <c r="DD77" i="22"/>
  <c r="DM76" i="22"/>
  <c r="DJ69" i="22"/>
  <c r="DF81" i="22"/>
  <c r="DK74" i="22"/>
  <c r="DK77" i="22"/>
  <c r="DJ77" i="22"/>
  <c r="DF84" i="22"/>
  <c r="DK73" i="22"/>
  <c r="DH79" i="22"/>
  <c r="DM82" i="22"/>
  <c r="DJ73" i="22"/>
  <c r="DN68" i="22"/>
  <c r="DJ75" i="22"/>
  <c r="DJ83" i="22"/>
  <c r="DI82" i="22"/>
  <c r="DM80" i="22"/>
  <c r="DM77" i="22"/>
  <c r="DF80" i="22"/>
  <c r="DL76" i="22"/>
  <c r="DL68" i="22"/>
  <c r="DH69" i="22"/>
  <c r="DC68" i="22"/>
  <c r="Z86" i="22"/>
  <c r="BH86" i="22" s="1"/>
  <c r="Z85" i="22"/>
  <c r="BH85" i="22" s="1"/>
  <c r="FF86" i="22"/>
  <c r="FF85" i="22"/>
  <c r="Z84" i="22"/>
  <c r="BH84" i="22" s="1"/>
  <c r="FF84" i="22"/>
  <c r="FE86" i="22"/>
  <c r="Y86" i="22"/>
  <c r="BG86" i="22" s="1"/>
  <c r="FE84" i="22"/>
  <c r="Y85" i="22"/>
  <c r="BG85" i="22" s="1"/>
  <c r="FE85" i="22"/>
  <c r="Y84" i="22"/>
  <c r="BG84" i="22" s="1"/>
  <c r="FE79" i="22"/>
  <c r="FE81" i="22"/>
  <c r="FE83" i="22"/>
  <c r="Y83" i="22"/>
  <c r="BG83" i="22" s="1"/>
  <c r="Y81" i="22"/>
  <c r="BG81" i="22" s="1"/>
  <c r="Y79" i="22"/>
  <c r="BG79" i="22" s="1"/>
  <c r="FE82" i="22"/>
  <c r="Y82" i="22"/>
  <c r="BG82" i="22" s="1"/>
  <c r="FE80" i="22"/>
  <c r="Y80" i="22"/>
  <c r="BG80" i="22" s="1"/>
  <c r="FF79" i="22"/>
  <c r="Z80" i="22"/>
  <c r="BH80" i="22" s="1"/>
  <c r="Z79" i="22"/>
  <c r="BH79" i="22" s="1"/>
  <c r="FF80" i="22"/>
  <c r="Z75" i="22"/>
  <c r="BH75" i="22" s="1"/>
  <c r="FF75" i="22"/>
  <c r="FF77" i="22"/>
  <c r="Z83" i="22"/>
  <c r="BH83" i="22" s="1"/>
  <c r="FF76" i="22"/>
  <c r="Z77" i="22"/>
  <c r="BH77" i="22" s="1"/>
  <c r="Z81" i="22"/>
  <c r="BH81" i="22" s="1"/>
  <c r="Z76" i="22"/>
  <c r="BH76" i="22" s="1"/>
  <c r="Z78" i="22"/>
  <c r="BH78" i="22" s="1"/>
  <c r="FF82" i="22"/>
  <c r="Z82" i="22"/>
  <c r="BH82" i="22" s="1"/>
  <c r="FF83" i="22"/>
  <c r="FF81" i="22"/>
  <c r="FF78" i="22"/>
  <c r="FE78" i="22"/>
  <c r="Y77" i="22"/>
  <c r="BG77" i="22" s="1"/>
  <c r="Y76" i="22"/>
  <c r="BG76" i="22" s="1"/>
  <c r="Y78" i="22"/>
  <c r="BG78" i="22" s="1"/>
  <c r="FE77" i="22"/>
  <c r="FE76" i="22"/>
  <c r="FJ67" i="22"/>
  <c r="FH67" i="22"/>
  <c r="FK67" i="22"/>
  <c r="CD87" i="22" l="1"/>
  <c r="GJ87" i="22"/>
  <c r="CC88" i="22"/>
  <c r="BY76" i="22"/>
  <c r="BY85" i="22"/>
  <c r="CC84" i="22"/>
  <c r="BY79" i="22"/>
  <c r="BZ87" i="22"/>
  <c r="CA87" i="22"/>
  <c r="CB88" i="22"/>
  <c r="CC89" i="22"/>
  <c r="BY77" i="22"/>
  <c r="CC83" i="22"/>
  <c r="CC82" i="22"/>
  <c r="BX88" i="22"/>
  <c r="GD88" i="22"/>
  <c r="BW88" i="22"/>
  <c r="BZ89" i="22"/>
  <c r="BY75" i="22"/>
  <c r="CC85" i="22"/>
  <c r="CD89" i="22"/>
  <c r="GJ89" i="22"/>
  <c r="BX85" i="22"/>
  <c r="GD85" i="22"/>
  <c r="BY86" i="22"/>
  <c r="CE87" i="22"/>
  <c r="GK87" i="22"/>
  <c r="BX83" i="22"/>
  <c r="GD83" i="22"/>
  <c r="CC86" i="22"/>
  <c r="BX87" i="22"/>
  <c r="GD87" i="22"/>
  <c r="BY83" i="22"/>
  <c r="BZ88" i="22"/>
  <c r="BW89" i="22"/>
  <c r="BY78" i="22"/>
  <c r="BY87" i="22"/>
  <c r="BX89" i="22"/>
  <c r="GD89" i="22"/>
  <c r="BX79" i="22"/>
  <c r="GD79" i="22"/>
  <c r="CA88" i="22"/>
  <c r="BY81" i="22"/>
  <c r="BV87" i="22"/>
  <c r="CA89" i="22"/>
  <c r="BY80" i="22"/>
  <c r="BV89" i="22"/>
  <c r="BX80" i="22"/>
  <c r="GD80" i="22"/>
  <c r="BY82" i="22"/>
  <c r="BY84" i="22"/>
  <c r="CC87" i="22"/>
  <c r="CE89" i="22"/>
  <c r="GK89" i="22"/>
  <c r="BY89" i="22"/>
  <c r="BX76" i="22"/>
  <c r="GD76" i="22"/>
  <c r="BX77" i="22"/>
  <c r="GD77" i="22"/>
  <c r="CD88" i="22"/>
  <c r="GJ88" i="22"/>
  <c r="BX81" i="22"/>
  <c r="GD81" i="22"/>
  <c r="CC80" i="22"/>
  <c r="BY88" i="22"/>
  <c r="BX86" i="22"/>
  <c r="GD86" i="22"/>
  <c r="BW87" i="22"/>
  <c r="CE88" i="22"/>
  <c r="GK88" i="22"/>
  <c r="BX78" i="22"/>
  <c r="GD78" i="22"/>
  <c r="BX82" i="22"/>
  <c r="GD82" i="22"/>
  <c r="BX84" i="22"/>
  <c r="GD84" i="22"/>
  <c r="CC81" i="22"/>
  <c r="CB87" i="22"/>
  <c r="BV88" i="22"/>
  <c r="CB89" i="22"/>
  <c r="FV89" i="22"/>
  <c r="FV87" i="22"/>
  <c r="FV88" i="22"/>
  <c r="BU87" i="22"/>
  <c r="BU89" i="22"/>
  <c r="BU88" i="22"/>
  <c r="AY88" i="22"/>
  <c r="AW88" i="22"/>
  <c r="AW87" i="22"/>
  <c r="AV89" i="22"/>
  <c r="AX89" i="22"/>
  <c r="AV88" i="22"/>
  <c r="AX87" i="22"/>
  <c r="AY87" i="22"/>
  <c r="AZ89" i="22"/>
  <c r="AY89" i="22"/>
  <c r="AZ87" i="22"/>
  <c r="AV87" i="22"/>
  <c r="AZ88" i="22"/>
  <c r="AX88" i="22"/>
  <c r="AW89" i="22"/>
  <c r="AP80" i="22"/>
  <c r="AQ86" i="22"/>
  <c r="AP82" i="22"/>
  <c r="AP84" i="22"/>
  <c r="AP76" i="22"/>
  <c r="AP77" i="22"/>
  <c r="AP79" i="22"/>
  <c r="AP86" i="22"/>
  <c r="AP83" i="22"/>
  <c r="AP78" i="22"/>
  <c r="AQ84" i="22"/>
  <c r="AQ82" i="22"/>
  <c r="AQ75" i="22"/>
  <c r="AQ79" i="22"/>
  <c r="AQ85" i="22"/>
  <c r="AQ83" i="22"/>
  <c r="AQ81" i="22"/>
  <c r="AQ77" i="22"/>
  <c r="AQ80" i="22"/>
  <c r="AQ76" i="22"/>
  <c r="AQ78" i="22"/>
  <c r="AP81" i="22"/>
  <c r="AP85" i="22"/>
  <c r="FM75" i="22" a="1"/>
  <c r="FM74" i="22" a="1"/>
  <c r="AG75" i="22" a="1"/>
  <c r="AG76" i="22" a="1"/>
  <c r="AG74" i="22" a="1"/>
  <c r="FM76" i="22" a="1"/>
  <c r="C87" i="22"/>
  <c r="C88" i="22"/>
  <c r="C89" i="22"/>
  <c r="GB89" i="22" l="1"/>
  <c r="GE89" i="22"/>
  <c r="GA89" i="22"/>
  <c r="GH89" i="22"/>
  <c r="GI89" i="22"/>
  <c r="GC88" i="22"/>
  <c r="GE88" i="22"/>
  <c r="GH88" i="22"/>
  <c r="GA88" i="22"/>
  <c r="GF88" i="22"/>
  <c r="GG88" i="22"/>
  <c r="GI88" i="22"/>
  <c r="GH87" i="22"/>
  <c r="GC87" i="22"/>
  <c r="GF87" i="22"/>
  <c r="GB87" i="22"/>
  <c r="GE87" i="22"/>
  <c r="GI87" i="22"/>
  <c r="GF89" i="22"/>
  <c r="GB88" i="22"/>
  <c r="GG89" i="22"/>
  <c r="GA87" i="22"/>
  <c r="GC89" i="22"/>
  <c r="GG87" i="22"/>
  <c r="CT88" i="22"/>
  <c r="EB88" i="22" s="1"/>
  <c r="GW88" i="22" s="1"/>
  <c r="CV88" i="22"/>
  <c r="ED88" i="22" s="1"/>
  <c r="GY88" i="22" s="1"/>
  <c r="CU88" i="22"/>
  <c r="EC88" i="22" s="1"/>
  <c r="GX88" i="22" s="1"/>
  <c r="CP88" i="22"/>
  <c r="DX88" i="22" s="1"/>
  <c r="GS88" i="22" s="1"/>
  <c r="CS88" i="22"/>
  <c r="EA88" i="22" s="1"/>
  <c r="GV88" i="22" s="1"/>
  <c r="CO88" i="22"/>
  <c r="DW88" i="22" s="1"/>
  <c r="GR88" i="22" s="1"/>
  <c r="CR88" i="22"/>
  <c r="DZ88" i="22" s="1"/>
  <c r="GU88" i="22" s="1"/>
  <c r="CW88" i="22"/>
  <c r="EE88" i="22" s="1"/>
  <c r="GZ88" i="22" s="1"/>
  <c r="CN88" i="22"/>
  <c r="DV88" i="22" s="1"/>
  <c r="GQ88" i="22" s="1"/>
  <c r="CM88" i="22"/>
  <c r="DU88" i="22" s="1"/>
  <c r="GP88" i="22" s="1"/>
  <c r="CQ88" i="22"/>
  <c r="DY88" i="22" s="1"/>
  <c r="GT88" i="22" s="1"/>
  <c r="CR89" i="22"/>
  <c r="CM89" i="22"/>
  <c r="DU89" i="22" s="1"/>
  <c r="GP89" i="22" s="1"/>
  <c r="CU89" i="22"/>
  <c r="EC89" i="22" s="1"/>
  <c r="GX89" i="22" s="1"/>
  <c r="CN89" i="22"/>
  <c r="DV89" i="22" s="1"/>
  <c r="GQ89" i="22" s="1"/>
  <c r="CW89" i="22"/>
  <c r="EE89" i="22" s="1"/>
  <c r="GZ89" i="22" s="1"/>
  <c r="CT89" i="22"/>
  <c r="EB89" i="22" s="1"/>
  <c r="GW89" i="22" s="1"/>
  <c r="CV89" i="22"/>
  <c r="ED89" i="22" s="1"/>
  <c r="GY89" i="22" s="1"/>
  <c r="CP89" i="22"/>
  <c r="DX89" i="22" s="1"/>
  <c r="GS89" i="22" s="1"/>
  <c r="CS89" i="22"/>
  <c r="EA89" i="22" s="1"/>
  <c r="GV89" i="22" s="1"/>
  <c r="CO89" i="22"/>
  <c r="DW89" i="22" s="1"/>
  <c r="GR89" i="22" s="1"/>
  <c r="CL89" i="22"/>
  <c r="DT89" i="22" s="1"/>
  <c r="GO89" i="22" s="1"/>
  <c r="CQ89" i="22"/>
  <c r="DY89" i="22" s="1"/>
  <c r="GT89" i="22" s="1"/>
  <c r="CQ87" i="22"/>
  <c r="DY87" i="22" s="1"/>
  <c r="GT87" i="22" s="1"/>
  <c r="CO87" i="22"/>
  <c r="DW87" i="22" s="1"/>
  <c r="GR87" i="22" s="1"/>
  <c r="CV87" i="22"/>
  <c r="ED87" i="22" s="1"/>
  <c r="GY87" i="22" s="1"/>
  <c r="CN87" i="22"/>
  <c r="DV87" i="22" s="1"/>
  <c r="GQ87" i="22" s="1"/>
  <c r="CT87" i="22"/>
  <c r="EB87" i="22" s="1"/>
  <c r="GW87" i="22" s="1"/>
  <c r="CW87" i="22"/>
  <c r="EE87" i="22" s="1"/>
  <c r="GZ87" i="22" s="1"/>
  <c r="CM87" i="22"/>
  <c r="DU87" i="22" s="1"/>
  <c r="GP87" i="22" s="1"/>
  <c r="CR87" i="22"/>
  <c r="DZ87" i="22" s="1"/>
  <c r="GU87" i="22" s="1"/>
  <c r="CS87" i="22"/>
  <c r="EA87" i="22" s="1"/>
  <c r="GV87" i="22" s="1"/>
  <c r="CU87" i="22"/>
  <c r="EC87" i="22" s="1"/>
  <c r="GX87" i="22" s="1"/>
  <c r="CP87" i="22"/>
  <c r="DX87" i="22" s="1"/>
  <c r="GS87" i="22" s="1"/>
  <c r="CL87" i="22"/>
  <c r="DT87" i="22" s="1"/>
  <c r="GO87" i="22" s="1"/>
  <c r="CL88" i="22"/>
  <c r="DT88" i="22" s="1"/>
  <c r="GO88" i="22" s="1"/>
  <c r="AY78" i="22"/>
  <c r="AZ81" i="22"/>
  <c r="AZ83" i="22"/>
  <c r="AY86" i="22"/>
  <c r="AY79" i="22"/>
  <c r="AZ79" i="22"/>
  <c r="AZ75" i="22"/>
  <c r="AY80" i="22"/>
  <c r="AZ85" i="22"/>
  <c r="AY81" i="22"/>
  <c r="AZ76" i="22"/>
  <c r="AZ82" i="22"/>
  <c r="AY84" i="22"/>
  <c r="AZ77" i="22"/>
  <c r="AZ86" i="22"/>
  <c r="AY83" i="22"/>
  <c r="AY85" i="22"/>
  <c r="AY77" i="22"/>
  <c r="AZ78" i="22"/>
  <c r="AY76" i="22"/>
  <c r="AZ80" i="22"/>
  <c r="AZ84" i="22"/>
  <c r="AY82" i="22"/>
  <c r="DZ89" i="22"/>
  <c r="GU89" i="22" s="1"/>
  <c r="FT69" i="22"/>
  <c r="FT75" i="22"/>
  <c r="AG75" i="22"/>
  <c r="BO75" i="22" s="1"/>
  <c r="FT81" i="22"/>
  <c r="FT79" i="22"/>
  <c r="FT85" i="22"/>
  <c r="FM75" i="22"/>
  <c r="HN75" i="22" s="1"/>
  <c r="FT78" i="22"/>
  <c r="FT80" i="22"/>
  <c r="FT73" i="22"/>
  <c r="FT77" i="22"/>
  <c r="FM76" i="22"/>
  <c r="HN76" i="22" s="1"/>
  <c r="FT76" i="22"/>
  <c r="AG74" i="22"/>
  <c r="BO74" i="22" s="1"/>
  <c r="FM74" i="22"/>
  <c r="HN74" i="22" s="1"/>
  <c r="FT70" i="22"/>
  <c r="FT74" i="22"/>
  <c r="FT83" i="22"/>
  <c r="FT71" i="22"/>
  <c r="FT84" i="22"/>
  <c r="FT82" i="22"/>
  <c r="AG76" i="22"/>
  <c r="BO76" i="22" s="1"/>
  <c r="FT86" i="22"/>
  <c r="FT72" i="22"/>
  <c r="AC74" i="22" a="1"/>
  <c r="AE78" i="22" a="1"/>
  <c r="AC83" i="22" a="1"/>
  <c r="FC85" i="22" a="1"/>
  <c r="FB86" i="22" a="1"/>
  <c r="AD68" i="22" a="1"/>
  <c r="AF78" i="22" a="1"/>
  <c r="Y68" i="22" a="1"/>
  <c r="FD70" i="22" a="1"/>
  <c r="W78" i="22" a="1"/>
  <c r="AE71" i="22" a="1"/>
  <c r="FH71" i="22" a="1"/>
  <c r="AB78" i="22" a="1"/>
  <c r="AE79" i="22" a="1"/>
  <c r="FJ75" i="22" a="1"/>
  <c r="FD86" i="22" a="1"/>
  <c r="FG70" i="22" a="1"/>
  <c r="FG79" i="22" a="1"/>
  <c r="FM68" i="22" a="1"/>
  <c r="EQ89" i="22" a="1"/>
  <c r="FB71" i="22" a="1"/>
  <c r="Y69" i="22" a="1"/>
  <c r="X84" i="22" a="1"/>
  <c r="V79" i="22" a="1"/>
  <c r="FJ77" i="22" a="1"/>
  <c r="AG68" i="22" a="1"/>
  <c r="FE70" i="22" a="1"/>
  <c r="AC81" i="22" a="1"/>
  <c r="AA74" i="22" a="1"/>
  <c r="FB70" i="22" a="1"/>
  <c r="FF74" i="22" a="1"/>
  <c r="FH70" i="22" a="1"/>
  <c r="FD69" i="22" a="1"/>
  <c r="FL73" i="22" a="1"/>
  <c r="ES89" i="22" a="1"/>
  <c r="Z70" i="22" a="1"/>
  <c r="V83" i="22" a="1"/>
  <c r="AB82" i="22" a="1"/>
  <c r="AA80" i="22" a="1"/>
  <c r="FI81" i="22" a="1"/>
  <c r="AD69" i="22" a="1"/>
  <c r="FF72" i="22" a="1"/>
  <c r="FK79" i="22" a="1"/>
  <c r="FL82" i="22" a="1"/>
  <c r="X85" i="22" a="1"/>
  <c r="X86" i="22" a="1"/>
  <c r="EM88" i="22" a="1"/>
  <c r="Y73" i="22" a="1"/>
  <c r="AF76" i="22" a="1"/>
  <c r="AF73" i="22" a="1"/>
  <c r="EU88" i="22" a="1"/>
  <c r="V76" i="22" a="1"/>
  <c r="X83" i="22" a="1"/>
  <c r="FL69" i="22" a="1"/>
  <c r="AF77" i="22" a="1"/>
  <c r="AG73" i="22" a="1"/>
  <c r="W77" i="22" a="1"/>
  <c r="FC70" i="22" a="1"/>
  <c r="EP87" i="22" a="1"/>
  <c r="AD75" i="22" a="1"/>
  <c r="W74" i="22" a="1"/>
  <c r="FG72" i="22" a="1"/>
  <c r="FH82" i="22" a="1"/>
  <c r="FH84" i="22" a="1"/>
  <c r="AG70" i="22" a="1"/>
  <c r="W69" i="22" a="1"/>
  <c r="AE72" i="22" a="1"/>
  <c r="AA86" i="22" a="1"/>
  <c r="FK82" i="22" a="1"/>
  <c r="AC68" i="22" a="1"/>
  <c r="FL68" i="22" a="1"/>
  <c r="FK71" i="22" a="1"/>
  <c r="FD73" i="22" a="1"/>
  <c r="X80" i="22" a="1"/>
  <c r="AC80" i="22" a="1"/>
  <c r="AC75" i="22" a="1"/>
  <c r="X76" i="22" a="1"/>
  <c r="EK89" i="22" a="1"/>
  <c r="AF83" i="22" a="1"/>
  <c r="FK85" i="22" a="1"/>
  <c r="AA77" i="22" a="1"/>
  <c r="AA85" i="22" a="1"/>
  <c r="FE71" i="22" a="1"/>
  <c r="AE85" i="22" a="1"/>
  <c r="FC69" i="22" a="1"/>
  <c r="FH85" i="22" a="1"/>
  <c r="FB79" i="22" a="1"/>
  <c r="AC71" i="22" a="1"/>
  <c r="EN89" i="22" a="1"/>
  <c r="AE74" i="22" a="1"/>
  <c r="AB84" i="22" a="1"/>
  <c r="FC77" i="22" a="1"/>
  <c r="AB74" i="22" a="1"/>
  <c r="FK86" i="22" a="1"/>
  <c r="ES87" i="22" a="1"/>
  <c r="FJ79" i="22" a="1"/>
  <c r="FI69" i="22" a="1"/>
  <c r="AC85" i="22" a="1"/>
  <c r="FJ68" i="22" a="1"/>
  <c r="V72" i="22" a="1"/>
  <c r="AF72" i="22" a="1"/>
  <c r="X81" i="22" a="1"/>
  <c r="FJ78" i="22" a="1"/>
  <c r="X77" i="22" a="1"/>
  <c r="W81" i="22" a="1"/>
  <c r="FB83" i="22" a="1"/>
  <c r="W76" i="22" a="1"/>
  <c r="FD80" i="22" a="1"/>
  <c r="FB85" i="22" a="1"/>
  <c r="V85" i="22" a="1"/>
  <c r="FI75" i="22" a="1"/>
  <c r="W82" i="22" a="1"/>
  <c r="FE74" i="22" a="1"/>
  <c r="FL79" i="22" a="1"/>
  <c r="FI80" i="22" a="1"/>
  <c r="FK72" i="22" a="1"/>
  <c r="FG86" i="22" a="1"/>
  <c r="AE80" i="22" a="1"/>
  <c r="FG75" i="22" a="1"/>
  <c r="W75" i="22" a="1"/>
  <c r="FH72" i="22" a="1"/>
  <c r="AE86" i="22" a="1"/>
  <c r="FK78" i="22" a="1"/>
  <c r="FC80" i="22" a="1"/>
  <c r="FG71" i="22" a="1"/>
  <c r="FI72" i="22" a="1"/>
  <c r="FD82" i="22" a="1"/>
  <c r="FM70" i="22" a="1"/>
  <c r="EK88" i="22" a="1"/>
  <c r="V80" i="22" a="1"/>
  <c r="FJ71" i="22" a="1"/>
  <c r="FL81" i="22" a="1"/>
  <c r="AA69" i="22" a="1"/>
  <c r="X72" i="22" a="1"/>
  <c r="W85" i="22" a="1"/>
  <c r="FK70" i="22" a="1"/>
  <c r="W70" i="22" a="1"/>
  <c r="Z73" i="22" a="1"/>
  <c r="AC84" i="22" a="1"/>
  <c r="Z74" i="22" a="1"/>
  <c r="X74" i="22" a="1"/>
  <c r="AE69" i="22" a="1"/>
  <c r="FM73" i="22" a="1"/>
  <c r="FH73" i="22" a="1"/>
  <c r="AF74" i="22" a="1"/>
  <c r="AF81" i="22" a="1"/>
  <c r="FK68" i="22" a="1"/>
  <c r="AB72" i="22" a="1"/>
  <c r="AG71" i="22" a="1"/>
  <c r="FF73" i="22" a="1"/>
  <c r="FG73" i="22" a="1"/>
  <c r="EQ88" i="22" a="1"/>
  <c r="AD78" i="22" a="1"/>
  <c r="AB71" i="22" a="1"/>
  <c r="FJ73" i="22" a="1"/>
  <c r="FC74" i="22" a="1"/>
  <c r="FE73" i="22" a="1"/>
  <c r="FF68" i="22" a="1"/>
  <c r="AA84" i="22" a="1"/>
  <c r="AF85" i="22" a="1"/>
  <c r="EO87" i="22" a="1"/>
  <c r="X78" i="22" a="1"/>
  <c r="FB73" i="22" a="1"/>
  <c r="AA79" i="22" a="1"/>
  <c r="AB73" i="22" a="1"/>
  <c r="FL84" i="22" a="1"/>
  <c r="EL87" i="22" a="1"/>
  <c r="FI82" i="22" a="1"/>
  <c r="FI73" i="22" a="1"/>
  <c r="FC78" i="22" a="1"/>
  <c r="FL75" i="22" a="1"/>
  <c r="FB81" i="22" a="1"/>
  <c r="FL80" i="22" a="1"/>
  <c r="FB74" i="22" a="1"/>
  <c r="FG82" i="22" a="1"/>
  <c r="AB81" i="22" a="1"/>
  <c r="ET88" i="22" a="1"/>
  <c r="AE81" i="22" a="1"/>
  <c r="AC86" i="22" a="1"/>
  <c r="AD77" i="22" a="1"/>
  <c r="FH80" i="22" a="1"/>
  <c r="V68" i="22" a="1"/>
  <c r="AE70" i="22" a="1"/>
  <c r="EP88" i="22" a="1"/>
  <c r="FI70" i="22" a="1"/>
  <c r="FD85" i="22" a="1"/>
  <c r="W79" i="22" a="1"/>
  <c r="AF70" i="22" a="1"/>
  <c r="AA73" i="22" a="1"/>
  <c r="W84" i="22" a="1"/>
  <c r="FI78" i="22" a="1"/>
  <c r="FL70" i="22" a="1"/>
  <c r="FL74" i="22" a="1"/>
  <c r="AF71" i="22" a="1"/>
  <c r="AF86" i="22" a="1"/>
  <c r="V75" i="22" a="1"/>
  <c r="EU89" i="22" a="1"/>
  <c r="V70" i="22" a="1"/>
  <c r="AC69" i="22" a="1"/>
  <c r="FK69" i="22" a="1"/>
  <c r="AC73" i="22" a="1"/>
  <c r="W73" i="22" a="1"/>
  <c r="FD84" i="22" a="1"/>
  <c r="AA75" i="22" a="1"/>
  <c r="FB68" i="22" a="1"/>
  <c r="AF79" i="22" a="1"/>
  <c r="FB76" i="22" a="1"/>
  <c r="AE82" i="22" a="1"/>
  <c r="X79" i="22" a="1"/>
  <c r="AA70" i="22" a="1"/>
  <c r="FK73" i="22" a="1"/>
  <c r="AA68" i="22" a="1"/>
  <c r="FJ76" i="22" a="1"/>
  <c r="FL83" i="22" a="1"/>
  <c r="AB77" i="22" a="1"/>
  <c r="AA72" i="22" a="1"/>
  <c r="FE75" i="22" a="1"/>
  <c r="FE69" i="22" a="1"/>
  <c r="AB85" i="22" a="1"/>
  <c r="W68" i="22" a="1"/>
  <c r="FJ70" i="22" a="1"/>
  <c r="X71" i="22" a="1"/>
  <c r="FB75" i="22" a="1"/>
  <c r="FJ69" i="22" a="1"/>
  <c r="V73" i="22" a="1"/>
  <c r="Z72" i="22" a="1"/>
  <c r="X75" i="22" a="1"/>
  <c r="AC70" i="22" a="1"/>
  <c r="ES88" i="22" a="1"/>
  <c r="FH76" i="22" a="1"/>
  <c r="FF70" i="22" a="1"/>
  <c r="FC81" i="22" a="1"/>
  <c r="AG72" i="22" a="1"/>
  <c r="EO89" i="22" a="1"/>
  <c r="EK87" i="22" a="1"/>
  <c r="FK75" i="22" a="1"/>
  <c r="V84" i="22" a="1"/>
  <c r="Y70" i="22" a="1"/>
  <c r="FL78" i="22" a="1"/>
  <c r="FM72" i="22" a="1"/>
  <c r="FB82" i="22" a="1"/>
  <c r="FK80" i="22" a="1"/>
  <c r="FD75" i="22" a="1"/>
  <c r="FI68" i="22" a="1"/>
  <c r="EL89" i="22" a="1"/>
  <c r="AF69" i="22" a="1"/>
  <c r="FG81" i="22" a="1"/>
  <c r="X70" i="22" a="1"/>
  <c r="AD79" i="22" a="1"/>
  <c r="ER89" i="22" a="1"/>
  <c r="W80" i="22" a="1"/>
  <c r="FM71" i="22" a="1"/>
  <c r="FH79" i="22" a="1"/>
  <c r="Z69" i="22" a="1"/>
  <c r="AA71" i="22" a="1"/>
  <c r="FB69" i="22" a="1"/>
  <c r="AD74" i="22" a="1"/>
  <c r="AC78" i="22" a="1"/>
  <c r="X68" i="22" a="1"/>
  <c r="AE76" i="22" a="1"/>
  <c r="FB80" i="22" a="1"/>
  <c r="W72" i="22" a="1"/>
  <c r="FG83" i="22" a="1"/>
  <c r="FD83" i="22" a="1"/>
  <c r="FC72" i="22" a="1"/>
  <c r="AF84" i="22" a="1"/>
  <c r="AE75" i="22" a="1"/>
  <c r="AF80" i="22" a="1"/>
  <c r="FI84" i="22" a="1"/>
  <c r="AE77" i="22" a="1"/>
  <c r="FC71" i="22" a="1"/>
  <c r="AB79" i="22" a="1"/>
  <c r="FI74" i="22" a="1"/>
  <c r="FD72" i="22" a="1"/>
  <c r="AC76" i="22" a="1"/>
  <c r="FK81" i="22" a="1"/>
  <c r="FI77" i="22" a="1"/>
  <c r="FL85" i="22" a="1"/>
  <c r="FE72" i="22" a="1"/>
  <c r="FH86" i="22" a="1"/>
  <c r="FD76" i="22" a="1"/>
  <c r="FI83" i="22" a="1"/>
  <c r="FB78" i="22" a="1"/>
  <c r="FG74" i="22" a="1"/>
  <c r="V74" i="22" a="1"/>
  <c r="V69" i="22" a="1"/>
  <c r="FI71" i="22" a="1"/>
  <c r="Y71" i="22" a="1"/>
  <c r="FK76" i="22" a="1"/>
  <c r="FD74" i="22" a="1"/>
  <c r="FI76" i="22" a="1"/>
  <c r="FG68" i="22" a="1"/>
  <c r="EU87" i="22" a="1"/>
  <c r="ET89" i="22" a="1"/>
  <c r="FD81" i="22" a="1"/>
  <c r="AB75" i="22" a="1"/>
  <c r="FB77" i="22" a="1"/>
  <c r="V86" i="22" a="1"/>
  <c r="FH75" i="22" a="1"/>
  <c r="EN87" i="22" a="1"/>
  <c r="V81" i="22" a="1"/>
  <c r="EN88" i="22" a="1"/>
  <c r="FL77" i="22" a="1"/>
  <c r="FE68" i="22" a="1"/>
  <c r="AD72" i="22" a="1"/>
  <c r="AB69" i="22" a="1"/>
  <c r="FK83" i="22" a="1"/>
  <c r="FC79" i="22" a="1"/>
  <c r="AE73" i="22" a="1"/>
  <c r="EO88" i="22" a="1"/>
  <c r="AF82" i="22" a="1"/>
  <c r="FC84" i="22" a="1"/>
  <c r="AG69" i="22" a="1"/>
  <c r="FL72" i="22" a="1"/>
  <c r="FH83" i="22" a="1"/>
  <c r="FB72" i="22" a="1"/>
  <c r="FB84" i="22" a="1"/>
  <c r="FG84" i="22" a="1"/>
  <c r="AA76" i="22" a="1"/>
  <c r="EP89" i="22" a="1"/>
  <c r="FJ72" i="22" a="1"/>
  <c r="AD71" i="22" a="1"/>
  <c r="FH78" i="22" a="1"/>
  <c r="FM69" i="22" a="1"/>
  <c r="X82" i="22" a="1"/>
  <c r="AF75" i="22" a="1"/>
  <c r="AE84" i="22" a="1"/>
  <c r="AA78" i="22" a="1"/>
  <c r="FG80" i="22" a="1"/>
  <c r="FC68" i="22" a="1"/>
  <c r="FG69" i="22" a="1"/>
  <c r="FI79" i="22" a="1"/>
  <c r="AC77" i="22" a="1"/>
  <c r="EM87" i="22" a="1"/>
  <c r="AC79" i="22" a="1"/>
  <c r="Z68" i="22" a="1"/>
  <c r="ER88" i="22" a="1"/>
  <c r="W83" i="22" a="1"/>
  <c r="V77" i="22" a="1"/>
  <c r="AC82" i="22" a="1"/>
  <c r="FG85" i="22" a="1"/>
  <c r="ET87" i="22" a="1"/>
  <c r="ER87" i="22" a="1"/>
  <c r="AB76" i="22" a="1"/>
  <c r="AB70" i="22" a="1"/>
  <c r="FC73" i="22" a="1"/>
  <c r="FC75" i="22" a="1"/>
  <c r="AB86" i="22" a="1"/>
  <c r="FH81" i="22" a="1"/>
  <c r="FF71" i="22" a="1"/>
  <c r="EM89" i="22" a="1"/>
  <c r="AA82" i="22" a="1"/>
  <c r="AA81" i="22" a="1"/>
  <c r="Z71" i="22" a="1"/>
  <c r="AB80" i="22" a="1"/>
  <c r="AD73" i="22" a="1"/>
  <c r="Y74" i="22" a="1"/>
  <c r="FD78" i="22" a="1"/>
  <c r="FH68" i="22" a="1"/>
  <c r="V82" i="22" a="1"/>
  <c r="FC76" i="22" a="1"/>
  <c r="FL71" i="22" a="1"/>
  <c r="AD76" i="22" a="1"/>
  <c r="V71" i="22" a="1"/>
  <c r="V78" i="22" a="1"/>
  <c r="FC83" i="22" a="1"/>
  <c r="AF68" i="22" a="1"/>
  <c r="Y72" i="22" a="1"/>
  <c r="FD68" i="22" a="1"/>
  <c r="FC86" i="22" a="1"/>
  <c r="FK84" i="22" a="1"/>
  <c r="FK77" i="22" a="1"/>
  <c r="FD79" i="22" a="1"/>
  <c r="FL76" i="22" a="1"/>
  <c r="FL86" i="22" a="1"/>
  <c r="W71" i="22" a="1"/>
  <c r="FF69" i="22" a="1"/>
  <c r="FG78" i="22" a="1"/>
  <c r="FG77" i="22" a="1"/>
  <c r="FJ74" i="22" a="1"/>
  <c r="FD77" i="22" a="1"/>
  <c r="FH69" i="22" a="1"/>
  <c r="FI85" i="22" a="1"/>
  <c r="AC72" i="22" a="1"/>
  <c r="AB68" i="22" a="1"/>
  <c r="AA83" i="22" a="1"/>
  <c r="FH74" i="22" a="1"/>
  <c r="Y75" i="22" a="1"/>
  <c r="W86" i="22" a="1"/>
  <c r="FK74" i="22" a="1"/>
  <c r="AD70" i="22" a="1"/>
  <c r="AE68" i="22" a="1"/>
  <c r="AB83" i="22" a="1"/>
  <c r="FC82" i="22" a="1"/>
  <c r="FD71" i="22" a="1"/>
  <c r="FG76" i="22" a="1"/>
  <c r="AE83" i="22" a="1"/>
  <c r="EQ87" i="22" a="1"/>
  <c r="FH77" i="22" a="1"/>
  <c r="X73" i="22" a="1"/>
  <c r="X69" i="22" a="1"/>
  <c r="EL88" i="22" a="1"/>
  <c r="FI86" i="22" a="1"/>
  <c r="CF75" i="22" l="1"/>
  <c r="GL75" i="22"/>
  <c r="CF76" i="22"/>
  <c r="GL76" i="22"/>
  <c r="CF74" i="22"/>
  <c r="GL74" i="22"/>
  <c r="HI88" i="22"/>
  <c r="HI87" i="22"/>
  <c r="HI89" i="22"/>
  <c r="HL89" i="22"/>
  <c r="HD88" i="22"/>
  <c r="HF87" i="22"/>
  <c r="HL88" i="22"/>
  <c r="HJ89" i="22"/>
  <c r="HJ87" i="22"/>
  <c r="HG89" i="22"/>
  <c r="HC89" i="22"/>
  <c r="HL87" i="22"/>
  <c r="HF89" i="22"/>
  <c r="HG88" i="22"/>
  <c r="HC88" i="22"/>
  <c r="HE89" i="22"/>
  <c r="HG87" i="22"/>
  <c r="HH87" i="22"/>
  <c r="HM89" i="22"/>
  <c r="HK87" i="22"/>
  <c r="HF88" i="22"/>
  <c r="HJ88" i="22"/>
  <c r="HD87" i="22"/>
  <c r="HK88" i="22"/>
  <c r="HH88" i="22"/>
  <c r="HM87" i="22"/>
  <c r="HC87" i="22"/>
  <c r="HH89" i="22"/>
  <c r="HK89" i="22"/>
  <c r="HM88" i="22"/>
  <c r="HE87" i="22"/>
  <c r="HD89" i="22"/>
  <c r="HE88" i="22"/>
  <c r="FU88" i="22"/>
  <c r="FX88" i="22" s="1"/>
  <c r="FU89" i="22"/>
  <c r="FX89" i="22" s="1"/>
  <c r="FU87" i="22"/>
  <c r="FX87" i="22" s="1"/>
  <c r="FG70" i="22"/>
  <c r="AB80" i="22"/>
  <c r="BJ80" i="22" s="1"/>
  <c r="Y70" i="22"/>
  <c r="BG70" i="22" s="1"/>
  <c r="FD83" i="22"/>
  <c r="AE72" i="22"/>
  <c r="BM72" i="22" s="1"/>
  <c r="FC83" i="22"/>
  <c r="AC75" i="22"/>
  <c r="BK75" i="22" s="1"/>
  <c r="FI68" i="22"/>
  <c r="Y69" i="22"/>
  <c r="BG69" i="22" s="1"/>
  <c r="FB71" i="22"/>
  <c r="V73" i="22"/>
  <c r="BD73" i="22" s="1"/>
  <c r="FH69" i="22"/>
  <c r="FC79" i="22"/>
  <c r="W83" i="22"/>
  <c r="BE83" i="22" s="1"/>
  <c r="AA78" i="22"/>
  <c r="BI78" i="22" s="1"/>
  <c r="AA79" i="22"/>
  <c r="BI79" i="22" s="1"/>
  <c r="AG73" i="22"/>
  <c r="BO73" i="22" s="1"/>
  <c r="Z74" i="22"/>
  <c r="BH74" i="22" s="1"/>
  <c r="FB77" i="22"/>
  <c r="V69" i="22"/>
  <c r="BD69" i="22" s="1"/>
  <c r="AC86" i="22"/>
  <c r="BK86" i="22" s="1"/>
  <c r="AA68" i="22"/>
  <c r="BI68" i="22" s="1"/>
  <c r="AF76" i="22"/>
  <c r="BN76" i="22" s="1"/>
  <c r="FK76" i="22"/>
  <c r="AF82" i="22"/>
  <c r="BN82" i="22" s="1"/>
  <c r="X73" i="22"/>
  <c r="BF73" i="22" s="1"/>
  <c r="X75" i="22"/>
  <c r="BF75" i="22" s="1"/>
  <c r="FC80" i="22"/>
  <c r="AE79" i="22"/>
  <c r="BM79" i="22" s="1"/>
  <c r="AE69" i="22"/>
  <c r="BM69" i="22" s="1"/>
  <c r="FE74" i="22"/>
  <c r="FH78" i="22"/>
  <c r="AF68" i="22"/>
  <c r="BN68" i="22" s="1"/>
  <c r="AG69" i="22"/>
  <c r="BO69" i="22" s="1"/>
  <c r="FG85" i="22"/>
  <c r="FK81" i="22"/>
  <c r="EL87" i="22"/>
  <c r="V68" i="22"/>
  <c r="BD68" i="22" s="1"/>
  <c r="AD71" i="22"/>
  <c r="BL71" i="22" s="1"/>
  <c r="AA76" i="22"/>
  <c r="BI76" i="22" s="1"/>
  <c r="FD80" i="22"/>
  <c r="AE77" i="22"/>
  <c r="BM77" i="22" s="1"/>
  <c r="FD75" i="22"/>
  <c r="FI79" i="22"/>
  <c r="FH75" i="22"/>
  <c r="AE74" i="22"/>
  <c r="BM74" i="22" s="1"/>
  <c r="FG69" i="22"/>
  <c r="AA72" i="22"/>
  <c r="BI72" i="22" s="1"/>
  <c r="Z73" i="22"/>
  <c r="BH73" i="22" s="1"/>
  <c r="FB81" i="22"/>
  <c r="EM87" i="22"/>
  <c r="ES88" i="22"/>
  <c r="EU88" i="22"/>
  <c r="EL89" i="22"/>
  <c r="FH71" i="22"/>
  <c r="FG80" i="22"/>
  <c r="FM70" i="22"/>
  <c r="FL72" i="22"/>
  <c r="FI83" i="22"/>
  <c r="V83" i="22"/>
  <c r="BD83" i="22" s="1"/>
  <c r="FK86" i="22"/>
  <c r="Z69" i="22"/>
  <c r="BH69" i="22" s="1"/>
  <c r="FB84" i="22"/>
  <c r="EK87" i="22"/>
  <c r="ER88" i="22"/>
  <c r="EQ88" i="22"/>
  <c r="EO89" i="22"/>
  <c r="FH76" i="22"/>
  <c r="AB68" i="22"/>
  <c r="BJ68" i="22" s="1"/>
  <c r="AD77" i="22"/>
  <c r="BL77" i="22" s="1"/>
  <c r="FF70" i="22"/>
  <c r="FJ76" i="22"/>
  <c r="ES87" i="22"/>
  <c r="AB83" i="22"/>
  <c r="BJ83" i="22" s="1"/>
  <c r="X71" i="22"/>
  <c r="BF71" i="22" s="1"/>
  <c r="AF79" i="22"/>
  <c r="BN79" i="22" s="1"/>
  <c r="FM69" i="22"/>
  <c r="FL71" i="22"/>
  <c r="FL84" i="22"/>
  <c r="EQ87" i="22"/>
  <c r="ET89" i="22"/>
  <c r="FB82" i="22"/>
  <c r="AC76" i="22"/>
  <c r="BK76" i="22" s="1"/>
  <c r="AC84" i="22"/>
  <c r="BK84" i="22" s="1"/>
  <c r="FI82" i="22"/>
  <c r="FK78" i="22"/>
  <c r="AE78" i="22"/>
  <c r="BM78" i="22" s="1"/>
  <c r="X80" i="22"/>
  <c r="BF80" i="22" s="1"/>
  <c r="Y72" i="22"/>
  <c r="BG72" i="22" s="1"/>
  <c r="FL78" i="22"/>
  <c r="AB75" i="22"/>
  <c r="BJ75" i="22" s="1"/>
  <c r="FG79" i="22"/>
  <c r="AF74" i="22"/>
  <c r="BN74" i="22" s="1"/>
  <c r="AD68" i="22"/>
  <c r="BL68" i="22" s="1"/>
  <c r="W68" i="22"/>
  <c r="BE68" i="22" s="1"/>
  <c r="AG68" i="22"/>
  <c r="BO68" i="22" s="1"/>
  <c r="FE73" i="22"/>
  <c r="AB86" i="22"/>
  <c r="BJ86" i="22" s="1"/>
  <c r="V80" i="22"/>
  <c r="BD80" i="22" s="1"/>
  <c r="V75" i="22"/>
  <c r="BD75" i="22" s="1"/>
  <c r="FG84" i="22"/>
  <c r="V76" i="22"/>
  <c r="BD76" i="22" s="1"/>
  <c r="FI84" i="22"/>
  <c r="FM73" i="22"/>
  <c r="FG83" i="22"/>
  <c r="AE71" i="22"/>
  <c r="BM71" i="22" s="1"/>
  <c r="V72" i="22"/>
  <c r="BD72" i="22" s="1"/>
  <c r="AA75" i="22"/>
  <c r="BI75" i="22" s="1"/>
  <c r="AG71" i="22"/>
  <c r="BO71" i="22" s="1"/>
  <c r="V78" i="22"/>
  <c r="BD78" i="22" s="1"/>
  <c r="AD69" i="22"/>
  <c r="BL69" i="22" s="1"/>
  <c r="FI69" i="22"/>
  <c r="AC85" i="22"/>
  <c r="BK85" i="22" s="1"/>
  <c r="AA82" i="22"/>
  <c r="BI82" i="22" s="1"/>
  <c r="AA77" i="22"/>
  <c r="BI77" i="22" s="1"/>
  <c r="FG68" i="22"/>
  <c r="FD86" i="22"/>
  <c r="EN88" i="22"/>
  <c r="X85" i="22"/>
  <c r="BF85" i="22" s="1"/>
  <c r="W70" i="22"/>
  <c r="BE70" i="22" s="1"/>
  <c r="V74" i="22"/>
  <c r="BD74" i="22" s="1"/>
  <c r="FK73" i="22"/>
  <c r="FE75" i="22"/>
  <c r="W86" i="22"/>
  <c r="BE86" i="22" s="1"/>
  <c r="Y74" i="22"/>
  <c r="BG74" i="22" s="1"/>
  <c r="AC73" i="22"/>
  <c r="BK73" i="22" s="1"/>
  <c r="FC75" i="22"/>
  <c r="FH85" i="22"/>
  <c r="FH79" i="22"/>
  <c r="AF77" i="22"/>
  <c r="BN77" i="22" s="1"/>
  <c r="AE80" i="22"/>
  <c r="BM80" i="22" s="1"/>
  <c r="FI74" i="22"/>
  <c r="FF74" i="22"/>
  <c r="FB78" i="22"/>
  <c r="FJ73" i="22"/>
  <c r="FL70" i="22"/>
  <c r="FI81" i="22"/>
  <c r="FE68" i="22"/>
  <c r="W85" i="22"/>
  <c r="BE85" i="22" s="1"/>
  <c r="FH82" i="22"/>
  <c r="FG82" i="22"/>
  <c r="FK77" i="22"/>
  <c r="FE70" i="22"/>
  <c r="FF71" i="22"/>
  <c r="FB83" i="22"/>
  <c r="FI72" i="22"/>
  <c r="AC71" i="22"/>
  <c r="BK71" i="22" s="1"/>
  <c r="FD82" i="22"/>
  <c r="FH86" i="22"/>
  <c r="AC79" i="22"/>
  <c r="BK79" i="22" s="1"/>
  <c r="FK80" i="22"/>
  <c r="FJ72" i="22"/>
  <c r="FL77" i="22"/>
  <c r="AF75" i="22"/>
  <c r="BN75" i="22" s="1"/>
  <c r="FL82" i="22"/>
  <c r="FC68" i="22"/>
  <c r="FD69" i="22"/>
  <c r="X76" i="22"/>
  <c r="BF76" i="22" s="1"/>
  <c r="W74" i="22"/>
  <c r="BE74" i="22" s="1"/>
  <c r="EN87" i="22"/>
  <c r="EP88" i="22"/>
  <c r="EP89" i="22"/>
  <c r="EU89" i="22"/>
  <c r="AE76" i="22"/>
  <c r="BM76" i="22" s="1"/>
  <c r="X81" i="22"/>
  <c r="BF81" i="22" s="1"/>
  <c r="FB86" i="22"/>
  <c r="AE73" i="22"/>
  <c r="BM73" i="22" s="1"/>
  <c r="FH81" i="22"/>
  <c r="W80" i="22"/>
  <c r="BE80" i="22" s="1"/>
  <c r="W82" i="22"/>
  <c r="BE82" i="22" s="1"/>
  <c r="AB73" i="22"/>
  <c r="BJ73" i="22" s="1"/>
  <c r="FD79" i="22"/>
  <c r="V71" i="22"/>
  <c r="BD71" i="22" s="1"/>
  <c r="FH80" i="22"/>
  <c r="AC82" i="22"/>
  <c r="BK82" i="22" s="1"/>
  <c r="FB68" i="22"/>
  <c r="FH72" i="22"/>
  <c r="FM72" i="22"/>
  <c r="FH68" i="22"/>
  <c r="FM68" i="22"/>
  <c r="FF72" i="22"/>
  <c r="AE84" i="22"/>
  <c r="BM84" i="22" s="1"/>
  <c r="AA81" i="22"/>
  <c r="BI81" i="22" s="1"/>
  <c r="AA80" i="22"/>
  <c r="BI80" i="22" s="1"/>
  <c r="AC72" i="22"/>
  <c r="BK72" i="22" s="1"/>
  <c r="FK72" i="22"/>
  <c r="FD85" i="22"/>
  <c r="FL79" i="22"/>
  <c r="Y68" i="22"/>
  <c r="BG68" i="22" s="1"/>
  <c r="AG72" i="22"/>
  <c r="BO72" i="22" s="1"/>
  <c r="FD68" i="22"/>
  <c r="Y71" i="22"/>
  <c r="BG71" i="22" s="1"/>
  <c r="AE83" i="22"/>
  <c r="BM83" i="22" s="1"/>
  <c r="X74" i="22"/>
  <c r="BF74" i="22" s="1"/>
  <c r="AE75" i="22"/>
  <c r="BM75" i="22" s="1"/>
  <c r="AE68" i="22"/>
  <c r="BM68" i="22" s="1"/>
  <c r="FH70" i="22"/>
  <c r="AC68" i="22"/>
  <c r="BK68" i="22" s="1"/>
  <c r="FG81" i="22"/>
  <c r="AB85" i="22"/>
  <c r="BJ85" i="22" s="1"/>
  <c r="V77" i="22"/>
  <c r="BD77" i="22" s="1"/>
  <c r="W76" i="22"/>
  <c r="BE76" i="22" s="1"/>
  <c r="AE85" i="22"/>
  <c r="BM85" i="22" s="1"/>
  <c r="AB82" i="22"/>
  <c r="BJ82" i="22" s="1"/>
  <c r="FC77" i="22"/>
  <c r="EN89" i="22"/>
  <c r="FI73" i="22"/>
  <c r="FJ69" i="22"/>
  <c r="FF69" i="22"/>
  <c r="X78" i="22"/>
  <c r="BF78" i="22" s="1"/>
  <c r="FE72" i="22"/>
  <c r="FJ68" i="22"/>
  <c r="AD79" i="22"/>
  <c r="BL79" i="22" s="1"/>
  <c r="V79" i="22"/>
  <c r="BD79" i="22" s="1"/>
  <c r="FL80" i="22"/>
  <c r="V85" i="22"/>
  <c r="BD85" i="22" s="1"/>
  <c r="FD70" i="22"/>
  <c r="FL73" i="22"/>
  <c r="FG73" i="22"/>
  <c r="AF81" i="22"/>
  <c r="BN81" i="22" s="1"/>
  <c r="FI75" i="22"/>
  <c r="AF80" i="22"/>
  <c r="BN80" i="22" s="1"/>
  <c r="FD71" i="22"/>
  <c r="X70" i="22"/>
  <c r="BF70" i="22" s="1"/>
  <c r="W77" i="22"/>
  <c r="BE77" i="22" s="1"/>
  <c r="ET88" i="22"/>
  <c r="EM89" i="22"/>
  <c r="FJ75" i="22"/>
  <c r="AB81" i="22"/>
  <c r="BJ81" i="22" s="1"/>
  <c r="V70" i="22"/>
  <c r="BD70" i="22" s="1"/>
  <c r="X83" i="22"/>
  <c r="BF83" i="22" s="1"/>
  <c r="W75" i="22"/>
  <c r="BE75" i="22" s="1"/>
  <c r="V86" i="22"/>
  <c r="BD86" i="22" s="1"/>
  <c r="V84" i="22"/>
  <c r="BD84" i="22" s="1"/>
  <c r="FI85" i="22"/>
  <c r="X84" i="22"/>
  <c r="BF84" i="22" s="1"/>
  <c r="FK82" i="22"/>
  <c r="Z71" i="22"/>
  <c r="BH71" i="22" s="1"/>
  <c r="FE69" i="22"/>
  <c r="FC78" i="22"/>
  <c r="FL75" i="22"/>
  <c r="W81" i="22"/>
  <c r="BE81" i="22" s="1"/>
  <c r="FG72" i="22"/>
  <c r="AF72" i="22"/>
  <c r="BN72" i="22" s="1"/>
  <c r="FG71" i="22"/>
  <c r="FD73" i="22"/>
  <c r="FC82" i="22"/>
  <c r="AD72" i="22"/>
  <c r="BL72" i="22" s="1"/>
  <c r="FK79" i="22"/>
  <c r="Z72" i="22"/>
  <c r="BH72" i="22" s="1"/>
  <c r="AB84" i="22"/>
  <c r="BJ84" i="22" s="1"/>
  <c r="AB69" i="22"/>
  <c r="BJ69" i="22" s="1"/>
  <c r="FJ79" i="22"/>
  <c r="FI77" i="22"/>
  <c r="FG77" i="22"/>
  <c r="FH84" i="22"/>
  <c r="FD77" i="22"/>
  <c r="FC74" i="22"/>
  <c r="AB71" i="22"/>
  <c r="BJ71" i="22" s="1"/>
  <c r="AC78" i="22"/>
  <c r="BK78" i="22" s="1"/>
  <c r="FB79" i="22"/>
  <c r="FK75" i="22"/>
  <c r="AA73" i="22"/>
  <c r="BI73" i="22" s="1"/>
  <c r="AC69" i="22"/>
  <c r="BK69" i="22" s="1"/>
  <c r="AC83" i="22"/>
  <c r="BK83" i="22" s="1"/>
  <c r="FH74" i="22"/>
  <c r="AE70" i="22"/>
  <c r="BM70" i="22" s="1"/>
  <c r="FM71" i="22"/>
  <c r="FB73" i="22"/>
  <c r="FL69" i="22"/>
  <c r="Y75" i="22"/>
  <c r="BG75" i="22" s="1"/>
  <c r="EP87" i="22"/>
  <c r="EO87" i="22"/>
  <c r="EM88" i="22"/>
  <c r="EK89" i="22"/>
  <c r="EQ89" i="22"/>
  <c r="AB72" i="22"/>
  <c r="BJ72" i="22" s="1"/>
  <c r="X68" i="22"/>
  <c r="BF68" i="22" s="1"/>
  <c r="EO88" i="22"/>
  <c r="FF68" i="22"/>
  <c r="Y73" i="22"/>
  <c r="BG73" i="22" s="1"/>
  <c r="AC70" i="22"/>
  <c r="BK70" i="22" s="1"/>
  <c r="AC74" i="22"/>
  <c r="BK74" i="22" s="1"/>
  <c r="FD81" i="22"/>
  <c r="FL85" i="22"/>
  <c r="FJ71" i="22"/>
  <c r="FK83" i="22"/>
  <c r="AD78" i="22"/>
  <c r="BL78" i="22" s="1"/>
  <c r="FI80" i="22"/>
  <c r="FK70" i="22"/>
  <c r="FB80" i="22"/>
  <c r="Z68" i="22"/>
  <c r="BH68" i="22" s="1"/>
  <c r="FC72" i="22"/>
  <c r="AB79" i="22"/>
  <c r="BJ79" i="22" s="1"/>
  <c r="FB76" i="22"/>
  <c r="X72" i="22"/>
  <c r="BF72" i="22" s="1"/>
  <c r="FB72" i="22"/>
  <c r="FH73" i="22"/>
  <c r="FG76" i="22"/>
  <c r="FE71" i="22"/>
  <c r="W73" i="22"/>
  <c r="BE73" i="22" s="1"/>
  <c r="FI71" i="22"/>
  <c r="FL81" i="22"/>
  <c r="V82" i="22"/>
  <c r="BD82" i="22" s="1"/>
  <c r="FH83" i="22"/>
  <c r="X77" i="22"/>
  <c r="BF77" i="22" s="1"/>
  <c r="AB78" i="22"/>
  <c r="BJ78" i="22" s="1"/>
  <c r="W84" i="22"/>
  <c r="BE84" i="22" s="1"/>
  <c r="FD72" i="22"/>
  <c r="AE82" i="22"/>
  <c r="BM82" i="22" s="1"/>
  <c r="FB74" i="22"/>
  <c r="AF70" i="22"/>
  <c r="BN70" i="22" s="1"/>
  <c r="W79" i="22"/>
  <c r="BE79" i="22" s="1"/>
  <c r="FK68" i="22"/>
  <c r="AF69" i="22"/>
  <c r="BN69" i="22" s="1"/>
  <c r="EK88" i="22"/>
  <c r="X69" i="22"/>
  <c r="BF69" i="22" s="1"/>
  <c r="FI76" i="22"/>
  <c r="AC80" i="22"/>
  <c r="BK80" i="22" s="1"/>
  <c r="FG78" i="22"/>
  <c r="W71" i="22"/>
  <c r="BE71" i="22" s="1"/>
  <c r="FL76" i="22"/>
  <c r="AF71" i="22"/>
  <c r="BN71" i="22" s="1"/>
  <c r="AB77" i="22"/>
  <c r="BJ77" i="22" s="1"/>
  <c r="FF73" i="22"/>
  <c r="FJ74" i="22"/>
  <c r="AA74" i="22"/>
  <c r="BI74" i="22" s="1"/>
  <c r="AE81" i="22"/>
  <c r="BM81" i="22" s="1"/>
  <c r="AB76" i="22"/>
  <c r="BJ76" i="22" s="1"/>
  <c r="Z70" i="22"/>
  <c r="BH70" i="22" s="1"/>
  <c r="FB85" i="22"/>
  <c r="FC85" i="22"/>
  <c r="FC70" i="22"/>
  <c r="W72" i="22"/>
  <c r="BE72" i="22" s="1"/>
  <c r="AF85" i="22"/>
  <c r="BN85" i="22" s="1"/>
  <c r="FL83" i="22"/>
  <c r="X79" i="22"/>
  <c r="BF79" i="22" s="1"/>
  <c r="EU87" i="22"/>
  <c r="ES89" i="22"/>
  <c r="AB70" i="22"/>
  <c r="BJ70" i="22" s="1"/>
  <c r="FK85" i="22"/>
  <c r="FL86" i="22"/>
  <c r="FK71" i="22"/>
  <c r="FK69" i="22"/>
  <c r="FB75" i="22"/>
  <c r="FJ78" i="22"/>
  <c r="AA85" i="22"/>
  <c r="BI85" i="22" s="1"/>
  <c r="AG70" i="22"/>
  <c r="BO70" i="22" s="1"/>
  <c r="AF73" i="22"/>
  <c r="BN73" i="22" s="1"/>
  <c r="AA83" i="22"/>
  <c r="BI83" i="22" s="1"/>
  <c r="FC73" i="22"/>
  <c r="FC76" i="22"/>
  <c r="FJ77" i="22"/>
  <c r="FK84" i="22"/>
  <c r="AE86" i="22"/>
  <c r="BM86" i="22" s="1"/>
  <c r="X86" i="22"/>
  <c r="BF86" i="22" s="1"/>
  <c r="AA86" i="22"/>
  <c r="BI86" i="22" s="1"/>
  <c r="FG75" i="22"/>
  <c r="FI78" i="22"/>
  <c r="FL74" i="22"/>
  <c r="FI70" i="22"/>
  <c r="FD84" i="22"/>
  <c r="FC81" i="22"/>
  <c r="FJ70" i="22"/>
  <c r="FG86" i="22"/>
  <c r="FD74" i="22"/>
  <c r="FH77" i="22"/>
  <c r="AA70" i="22"/>
  <c r="BI70" i="22" s="1"/>
  <c r="AC77" i="22"/>
  <c r="BK77" i="22" s="1"/>
  <c r="AD75" i="22"/>
  <c r="BL75" i="22" s="1"/>
  <c r="AA84" i="22"/>
  <c r="BI84" i="22" s="1"/>
  <c r="FB69" i="22"/>
  <c r="AD70" i="22"/>
  <c r="BL70" i="22" s="1"/>
  <c r="FD76" i="22"/>
  <c r="W78" i="22"/>
  <c r="BE78" i="22" s="1"/>
  <c r="AF86" i="22"/>
  <c r="BN86" i="22" s="1"/>
  <c r="AA71" i="22"/>
  <c r="BI71" i="22" s="1"/>
  <c r="X82" i="22"/>
  <c r="BF82" i="22" s="1"/>
  <c r="W69" i="22"/>
  <c r="BE69" i="22" s="1"/>
  <c r="AF78" i="22"/>
  <c r="BN78" i="22" s="1"/>
  <c r="FC71" i="22"/>
  <c r="AD74" i="22"/>
  <c r="BL74" i="22" s="1"/>
  <c r="AA69" i="22"/>
  <c r="BI69" i="22" s="1"/>
  <c r="FB70" i="22"/>
  <c r="FD78" i="22"/>
  <c r="FC86" i="22"/>
  <c r="AB74" i="22"/>
  <c r="BJ74" i="22" s="1"/>
  <c r="FK74" i="22"/>
  <c r="FC84" i="22"/>
  <c r="AD76" i="22"/>
  <c r="BL76" i="22" s="1"/>
  <c r="FL68" i="22"/>
  <c r="AF83" i="22"/>
  <c r="BN83" i="22" s="1"/>
  <c r="AF84" i="22"/>
  <c r="BN84" i="22" s="1"/>
  <c r="FI86" i="22"/>
  <c r="FG74" i="22"/>
  <c r="FC69" i="22"/>
  <c r="AD73" i="22"/>
  <c r="BL73" i="22" s="1"/>
  <c r="AC81" i="22"/>
  <c r="BK81" i="22" s="1"/>
  <c r="V81" i="22"/>
  <c r="BD81" i="22" s="1"/>
  <c r="ER87" i="22"/>
  <c r="ET87" i="22"/>
  <c r="EL88" i="22"/>
  <c r="ER89" i="22"/>
  <c r="AP74" i="22"/>
  <c r="AM86" i="22"/>
  <c r="AN80" i="22"/>
  <c r="AN84" i="22"/>
  <c r="AM79" i="22"/>
  <c r="AM76" i="22"/>
  <c r="AN79" i="22"/>
  <c r="AN78" i="22"/>
  <c r="AN83" i="22"/>
  <c r="AN81" i="22"/>
  <c r="AN85" i="22"/>
  <c r="AN76" i="22"/>
  <c r="AM80" i="22"/>
  <c r="AN74" i="22"/>
  <c r="AN77" i="22"/>
  <c r="AN82" i="22"/>
  <c r="AM82" i="22"/>
  <c r="AO76" i="22"/>
  <c r="AM74" i="22"/>
  <c r="AM84" i="22"/>
  <c r="AM75" i="22"/>
  <c r="AM83" i="22"/>
  <c r="AM78" i="22"/>
  <c r="AN75" i="22"/>
  <c r="AN86" i="22"/>
  <c r="AM85" i="22"/>
  <c r="AP75" i="22"/>
  <c r="AM77" i="22"/>
  <c r="AM81" i="22"/>
  <c r="AO81" i="22"/>
  <c r="AO80" i="22"/>
  <c r="AO86" i="22"/>
  <c r="AO83" i="22"/>
  <c r="AO75" i="22"/>
  <c r="AO74" i="22"/>
  <c r="AO85" i="22"/>
  <c r="AO77" i="22"/>
  <c r="AO84" i="22"/>
  <c r="AO82" i="22"/>
  <c r="AO79" i="22"/>
  <c r="AO78" i="22"/>
  <c r="AO73" i="22"/>
  <c r="AQ72" i="22"/>
  <c r="AQ74" i="22"/>
  <c r="AQ73" i="22"/>
  <c r="AQ71" i="22"/>
  <c r="AN72" i="22"/>
  <c r="AP72" i="22"/>
  <c r="AN73" i="22"/>
  <c r="C11" i="22"/>
  <c r="C17" i="22"/>
  <c r="FT68" i="22"/>
  <c r="P17" i="22"/>
  <c r="P16" i="22"/>
  <c r="F17" i="22"/>
  <c r="F11" i="22"/>
  <c r="AP73" i="22"/>
  <c r="B11" i="22"/>
  <c r="B17" i="22"/>
  <c r="E11" i="22"/>
  <c r="E17" i="22"/>
  <c r="N16" i="22"/>
  <c r="N17" i="22"/>
  <c r="AM73" i="22"/>
  <c r="G11" i="22"/>
  <c r="G17" i="22"/>
  <c r="H17" i="22"/>
  <c r="H11" i="22"/>
  <c r="H50" i="22" s="1"/>
  <c r="R16" i="22"/>
  <c r="R17" i="22"/>
  <c r="O17" i="22"/>
  <c r="O16" i="22"/>
  <c r="D17" i="22"/>
  <c r="D11" i="22"/>
  <c r="AO72" i="22"/>
  <c r="Q17" i="22"/>
  <c r="Q16" i="22"/>
  <c r="EV74" i="22" a="1"/>
  <c r="EV75" i="22" a="1"/>
  <c r="EV76" i="22" a="1"/>
  <c r="CB81" i="22" l="1"/>
  <c r="CC76" i="22"/>
  <c r="CC74" i="22"/>
  <c r="BZ83" i="22"/>
  <c r="BV72" i="22"/>
  <c r="CD82" i="22"/>
  <c r="GJ82" i="22"/>
  <c r="CA79" i="22"/>
  <c r="BW68" i="22"/>
  <c r="BY71" i="22"/>
  <c r="CE80" i="22"/>
  <c r="GK80" i="22"/>
  <c r="CB68" i="22"/>
  <c r="CF72" i="22"/>
  <c r="CD84" i="22"/>
  <c r="GJ84" i="22"/>
  <c r="BW76" i="22"/>
  <c r="CB79" i="22"/>
  <c r="CB73" i="22"/>
  <c r="CC77" i="22"/>
  <c r="BY69" i="22"/>
  <c r="CD74" i="22"/>
  <c r="GJ74" i="22"/>
  <c r="CD69" i="22"/>
  <c r="GJ69" i="22"/>
  <c r="BV83" i="22"/>
  <c r="CC73" i="22"/>
  <c r="CC70" i="22"/>
  <c r="BZ86" i="22"/>
  <c r="CE73" i="22"/>
  <c r="GK73" i="22"/>
  <c r="BW69" i="22"/>
  <c r="BV73" i="22"/>
  <c r="CA72" i="22"/>
  <c r="CA81" i="22"/>
  <c r="CC79" i="22"/>
  <c r="BX68" i="22"/>
  <c r="BW81" i="22"/>
  <c r="BX74" i="22"/>
  <c r="GD74" i="22"/>
  <c r="CF71" i="22"/>
  <c r="CE74" i="22"/>
  <c r="GK74" i="22"/>
  <c r="CD79" i="22"/>
  <c r="GJ79" i="22"/>
  <c r="CB86" i="22"/>
  <c r="CD72" i="22"/>
  <c r="GJ72" i="22"/>
  <c r="CE78" i="22"/>
  <c r="GK78" i="22"/>
  <c r="BW86" i="22"/>
  <c r="CF70" i="22"/>
  <c r="CA70" i="22"/>
  <c r="CA77" i="22"/>
  <c r="BV84" i="22"/>
  <c r="CB78" i="22"/>
  <c r="CA69" i="22"/>
  <c r="CE72" i="22"/>
  <c r="BW84" i="22"/>
  <c r="CE81" i="22"/>
  <c r="CA82" i="22"/>
  <c r="CD68" i="22"/>
  <c r="GJ68" i="22"/>
  <c r="CD76" i="22"/>
  <c r="GJ76" i="22"/>
  <c r="BV86" i="22"/>
  <c r="BZ75" i="22"/>
  <c r="CB84" i="22"/>
  <c r="CE79" i="22"/>
  <c r="GK79" i="22"/>
  <c r="CA74" i="22"/>
  <c r="BV69" i="22"/>
  <c r="BZ84" i="22"/>
  <c r="CD86" i="22"/>
  <c r="GJ86" i="22"/>
  <c r="BZ85" i="22"/>
  <c r="CE71" i="22"/>
  <c r="GK71" i="22"/>
  <c r="CE69" i="22"/>
  <c r="CA78" i="22"/>
  <c r="CB74" i="22"/>
  <c r="CD70" i="22"/>
  <c r="GJ70" i="22"/>
  <c r="CA71" i="22"/>
  <c r="CA84" i="22"/>
  <c r="CD85" i="22"/>
  <c r="GJ85" i="22"/>
  <c r="CD75" i="22"/>
  <c r="GJ75" i="22"/>
  <c r="CA73" i="22"/>
  <c r="CB71" i="22"/>
  <c r="BV85" i="22"/>
  <c r="CD80" i="22"/>
  <c r="GJ80" i="22"/>
  <c r="BZ77" i="22"/>
  <c r="CA75" i="22"/>
  <c r="CB76" i="22"/>
  <c r="BW71" i="22"/>
  <c r="BW75" i="22"/>
  <c r="BX70" i="22"/>
  <c r="BW82" i="22"/>
  <c r="CC75" i="22"/>
  <c r="BY70" i="22"/>
  <c r="BW77" i="22"/>
  <c r="CB70" i="22"/>
  <c r="BY72" i="22"/>
  <c r="BV81" i="22"/>
  <c r="BW78" i="22"/>
  <c r="BV76" i="22"/>
  <c r="BW74" i="22"/>
  <c r="BV82" i="22"/>
  <c r="CE75" i="22"/>
  <c r="GK75" i="22"/>
  <c r="CE77" i="22"/>
  <c r="GK77" i="22"/>
  <c r="BZ82" i="22"/>
  <c r="CD71" i="22"/>
  <c r="GJ71" i="22"/>
  <c r="CA86" i="22"/>
  <c r="CA83" i="22"/>
  <c r="CD77" i="22"/>
  <c r="GJ77" i="22"/>
  <c r="CF69" i="22"/>
  <c r="BW73" i="22"/>
  <c r="BY74" i="22"/>
  <c r="CA80" i="22"/>
  <c r="CE84" i="22"/>
  <c r="GK84" i="22"/>
  <c r="BZ71" i="22"/>
  <c r="CB77" i="22"/>
  <c r="BW79" i="22"/>
  <c r="CA76" i="22"/>
  <c r="BV71" i="22"/>
  <c r="BV79" i="22"/>
  <c r="BX73" i="22"/>
  <c r="GD73" i="22"/>
  <c r="CB83" i="22"/>
  <c r="BV77" i="22"/>
  <c r="CD83" i="22"/>
  <c r="GJ83" i="22"/>
  <c r="CB72" i="22"/>
  <c r="BV80" i="22"/>
  <c r="CB85" i="22"/>
  <c r="BX72" i="22"/>
  <c r="GD72" i="22"/>
  <c r="BY73" i="22"/>
  <c r="CE68" i="22"/>
  <c r="CE82" i="22"/>
  <c r="GK82" i="22"/>
  <c r="CF73" i="22"/>
  <c r="BX69" i="22"/>
  <c r="CE83" i="22"/>
  <c r="GK83" i="22"/>
  <c r="CE86" i="22"/>
  <c r="GK86" i="22"/>
  <c r="BZ70" i="22"/>
  <c r="CD81" i="22"/>
  <c r="CE70" i="22"/>
  <c r="BW72" i="22"/>
  <c r="CC78" i="22"/>
  <c r="CB69" i="22"/>
  <c r="CC72" i="22"/>
  <c r="BV75" i="22"/>
  <c r="BW70" i="22"/>
  <c r="CA85" i="22"/>
  <c r="BX71" i="22"/>
  <c r="BZ80" i="22"/>
  <c r="BV70" i="22"/>
  <c r="CF68" i="22"/>
  <c r="BW80" i="22"/>
  <c r="BZ72" i="22"/>
  <c r="BZ76" i="22"/>
  <c r="BZ79" i="22"/>
  <c r="BZ69" i="22"/>
  <c r="BV78" i="22"/>
  <c r="CE85" i="22"/>
  <c r="GK85" i="22"/>
  <c r="BZ74" i="22"/>
  <c r="CB80" i="22"/>
  <c r="BX75" i="22"/>
  <c r="GD75" i="22"/>
  <c r="BZ73" i="22"/>
  <c r="BW83" i="22"/>
  <c r="BZ81" i="22"/>
  <c r="CB82" i="22"/>
  <c r="CD73" i="22"/>
  <c r="GJ73" i="22"/>
  <c r="BV74" i="22"/>
  <c r="BW85" i="22"/>
  <c r="CC69" i="22"/>
  <c r="CD78" i="22"/>
  <c r="GJ78" i="22"/>
  <c r="CC71" i="22"/>
  <c r="CE76" i="22"/>
  <c r="GK76" i="22"/>
  <c r="BZ78" i="22"/>
  <c r="CB75" i="22"/>
  <c r="FW87" i="22"/>
  <c r="FW88" i="22"/>
  <c r="FV80" i="22"/>
  <c r="FV70" i="22"/>
  <c r="FV86" i="22"/>
  <c r="FV75" i="22"/>
  <c r="FV82" i="22"/>
  <c r="FV76" i="22"/>
  <c r="FV69" i="22"/>
  <c r="FV68" i="22"/>
  <c r="FV73" i="22"/>
  <c r="FV79" i="22"/>
  <c r="FV84" i="22"/>
  <c r="FV81" i="22"/>
  <c r="FV85" i="22"/>
  <c r="FV78" i="22"/>
  <c r="FV74" i="22"/>
  <c r="FV83" i="22"/>
  <c r="FV72" i="22"/>
  <c r="FV77" i="22"/>
  <c r="FV71" i="22"/>
  <c r="BU84" i="22"/>
  <c r="BU86" i="22"/>
  <c r="BU77" i="22"/>
  <c r="BU74" i="22"/>
  <c r="BU82" i="22"/>
  <c r="BU85" i="22"/>
  <c r="BU81" i="22"/>
  <c r="BU70" i="22"/>
  <c r="BU79" i="22"/>
  <c r="BU78" i="22"/>
  <c r="BU76" i="22"/>
  <c r="BU68" i="22"/>
  <c r="BU71" i="22"/>
  <c r="BU75" i="22"/>
  <c r="BU83" i="22"/>
  <c r="BU69" i="22"/>
  <c r="BU72" i="22"/>
  <c r="BU80" i="22"/>
  <c r="BU73" i="22"/>
  <c r="AX79" i="22"/>
  <c r="AX86" i="22"/>
  <c r="AW75" i="22"/>
  <c r="AW82" i="22"/>
  <c r="AW78" i="22"/>
  <c r="AX75" i="22"/>
  <c r="AV85" i="22"/>
  <c r="AX76" i="22"/>
  <c r="AW81" i="22"/>
  <c r="AV86" i="22"/>
  <c r="AX78" i="22"/>
  <c r="AX83" i="22"/>
  <c r="AW86" i="22"/>
  <c r="AV82" i="22"/>
  <c r="AW83" i="22"/>
  <c r="AY74" i="22"/>
  <c r="AX82" i="22"/>
  <c r="AX80" i="22"/>
  <c r="AV78" i="22"/>
  <c r="AW77" i="22"/>
  <c r="AW79" i="22"/>
  <c r="AZ73" i="22"/>
  <c r="AV81" i="22"/>
  <c r="AZ74" i="22"/>
  <c r="AX85" i="22"/>
  <c r="AV77" i="22"/>
  <c r="AV84" i="22"/>
  <c r="AW76" i="22"/>
  <c r="AW84" i="22"/>
  <c r="FW89" i="22"/>
  <c r="AZ71" i="22"/>
  <c r="AX84" i="22"/>
  <c r="AX81" i="22"/>
  <c r="AV83" i="22"/>
  <c r="AW74" i="22"/>
  <c r="AV76" i="22"/>
  <c r="AX77" i="22"/>
  <c r="AV75" i="22"/>
  <c r="AV80" i="22"/>
  <c r="AV79" i="22"/>
  <c r="AZ72" i="22"/>
  <c r="AX74" i="22"/>
  <c r="AY75" i="22"/>
  <c r="AV74" i="22"/>
  <c r="AW85" i="22"/>
  <c r="AW80" i="22"/>
  <c r="AP69" i="22"/>
  <c r="AO71" i="22"/>
  <c r="AP70" i="22"/>
  <c r="AQ70" i="22"/>
  <c r="AN71" i="22"/>
  <c r="D12" i="22"/>
  <c r="D15" i="22" s="1"/>
  <c r="AQ69" i="22"/>
  <c r="AM72" i="22"/>
  <c r="AN70" i="22"/>
  <c r="E12" i="22"/>
  <c r="E15" i="22" s="1"/>
  <c r="AM71" i="22"/>
  <c r="H12" i="22"/>
  <c r="H51" i="22" s="1"/>
  <c r="F12" i="22"/>
  <c r="F15" i="22" s="1"/>
  <c r="G12" i="22"/>
  <c r="G15" i="22" s="1"/>
  <c r="AM69" i="22"/>
  <c r="E7" i="22"/>
  <c r="B7" i="22"/>
  <c r="BZ68" i="22"/>
  <c r="AN69" i="22"/>
  <c r="BV68" i="22"/>
  <c r="AN68" i="22"/>
  <c r="D7" i="22"/>
  <c r="F7" i="22"/>
  <c r="B3" i="22"/>
  <c r="AO68" i="22"/>
  <c r="C12" i="22"/>
  <c r="C15" i="22" s="1"/>
  <c r="AM70" i="22"/>
  <c r="AP71" i="22"/>
  <c r="AO70" i="22"/>
  <c r="H7" i="22"/>
  <c r="AO69" i="22"/>
  <c r="G7" i="22"/>
  <c r="AP68" i="22"/>
  <c r="BY68" i="22"/>
  <c r="AQ68" i="22"/>
  <c r="CC68" i="22"/>
  <c r="AM68" i="22"/>
  <c r="AY72" i="22"/>
  <c r="AW73" i="22"/>
  <c r="EV74" i="22"/>
  <c r="EV75" i="22"/>
  <c r="EV76" i="22"/>
  <c r="CA68" i="22"/>
  <c r="C7" i="22"/>
  <c r="AY73" i="22"/>
  <c r="AX73" i="22"/>
  <c r="AW72" i="22"/>
  <c r="AV73" i="22"/>
  <c r="AX72" i="22"/>
  <c r="G50" i="22"/>
  <c r="F50" i="22" s="1"/>
  <c r="E50" i="22" s="1"/>
  <c r="D50" i="22" s="1"/>
  <c r="C50" i="22" s="1"/>
  <c r="B50" i="22" s="1"/>
  <c r="C86" i="22"/>
  <c r="C74" i="22"/>
  <c r="C68" i="22"/>
  <c r="C70" i="22"/>
  <c r="C83" i="22"/>
  <c r="C77" i="22"/>
  <c r="C80" i="22"/>
  <c r="C69" i="22"/>
  <c r="C71" i="22"/>
  <c r="C79" i="22"/>
  <c r="C84" i="22"/>
  <c r="C75" i="22"/>
  <c r="C73" i="22"/>
  <c r="C78" i="22"/>
  <c r="C76" i="22"/>
  <c r="C72" i="22"/>
  <c r="C85" i="22"/>
  <c r="C82" i="22"/>
  <c r="C81" i="22"/>
  <c r="GC74" i="22" l="1"/>
  <c r="GG74" i="22"/>
  <c r="GH74" i="22"/>
  <c r="GI74" i="22"/>
  <c r="GE86" i="22"/>
  <c r="GI86" i="22"/>
  <c r="GB86" i="22"/>
  <c r="GF86" i="22"/>
  <c r="GC86" i="22"/>
  <c r="GG86" i="22"/>
  <c r="GE76" i="22"/>
  <c r="GG76" i="22"/>
  <c r="GI76" i="22"/>
  <c r="GC76" i="22"/>
  <c r="GF76" i="22"/>
  <c r="GH76" i="22"/>
  <c r="GB72" i="22"/>
  <c r="GL72" i="22"/>
  <c r="GI72" i="22"/>
  <c r="GF72" i="22"/>
  <c r="GG72" i="22"/>
  <c r="GC72" i="22"/>
  <c r="GH72" i="22"/>
  <c r="GI85" i="22"/>
  <c r="GE85" i="22"/>
  <c r="GA85" i="22"/>
  <c r="GF85" i="22"/>
  <c r="GC85" i="22"/>
  <c r="GB85" i="22"/>
  <c r="GE71" i="22"/>
  <c r="GG71" i="22"/>
  <c r="GC71" i="22"/>
  <c r="GB71" i="22"/>
  <c r="GL71" i="22"/>
  <c r="GI71" i="22"/>
  <c r="GH71" i="22"/>
  <c r="GA71" i="22"/>
  <c r="GF71" i="22"/>
  <c r="GE77" i="22"/>
  <c r="GF77" i="22"/>
  <c r="GC77" i="22"/>
  <c r="GG77" i="22"/>
  <c r="GE79" i="22"/>
  <c r="GG79" i="22"/>
  <c r="GC79" i="22"/>
  <c r="GH79" i="22"/>
  <c r="GE78" i="22"/>
  <c r="GI78" i="22"/>
  <c r="GH78" i="22"/>
  <c r="GG78" i="22"/>
  <c r="GB78" i="22"/>
  <c r="GF78" i="22"/>
  <c r="GC78" i="22"/>
  <c r="GH73" i="22"/>
  <c r="GI73" i="22"/>
  <c r="GG73" i="22"/>
  <c r="GF73" i="22"/>
  <c r="GB73" i="22"/>
  <c r="GA73" i="22"/>
  <c r="GL73" i="22"/>
  <c r="GE73" i="22"/>
  <c r="GC73" i="22"/>
  <c r="GE83" i="22"/>
  <c r="GI83" i="22"/>
  <c r="GH83" i="22"/>
  <c r="GF83" i="22"/>
  <c r="GB83" i="22"/>
  <c r="GI81" i="22"/>
  <c r="GE81" i="22"/>
  <c r="GH81" i="22"/>
  <c r="GK81" i="22"/>
  <c r="GJ81" i="22"/>
  <c r="GF81" i="22"/>
  <c r="GB81" i="22"/>
  <c r="GG81" i="22"/>
  <c r="GF68" i="22"/>
  <c r="GB68" i="22"/>
  <c r="GD68" i="22"/>
  <c r="GI68" i="22"/>
  <c r="GG68" i="22"/>
  <c r="GC68" i="22"/>
  <c r="GH68" i="22"/>
  <c r="GK69" i="22"/>
  <c r="GI69" i="22"/>
  <c r="GD69" i="22"/>
  <c r="GH69" i="22"/>
  <c r="GL69" i="22"/>
  <c r="GF69" i="22"/>
  <c r="GG69" i="22"/>
  <c r="GB69" i="22"/>
  <c r="GI80" i="22"/>
  <c r="GE80" i="22"/>
  <c r="GG80" i="22"/>
  <c r="GH80" i="22"/>
  <c r="GF80" i="22"/>
  <c r="GB80" i="22"/>
  <c r="GI82" i="22"/>
  <c r="GE82" i="22"/>
  <c r="GF82" i="22"/>
  <c r="GG82" i="22"/>
  <c r="GB82" i="22"/>
  <c r="GH82" i="22"/>
  <c r="GL70" i="22"/>
  <c r="GE70" i="22"/>
  <c r="GF70" i="22"/>
  <c r="GD70" i="22"/>
  <c r="GB70" i="22"/>
  <c r="GI70" i="22"/>
  <c r="GG70" i="22"/>
  <c r="GC70" i="22"/>
  <c r="GE75" i="22"/>
  <c r="GA75" i="22"/>
  <c r="GG75" i="22"/>
  <c r="GC75" i="22"/>
  <c r="GB75" i="22"/>
  <c r="GF75" i="22"/>
  <c r="GI84" i="22"/>
  <c r="GE84" i="22"/>
  <c r="GF84" i="22"/>
  <c r="GG84" i="22"/>
  <c r="GB84" i="22"/>
  <c r="GH84" i="22"/>
  <c r="GG83" i="22"/>
  <c r="GC69" i="22"/>
  <c r="GB79" i="22"/>
  <c r="GA76" i="22"/>
  <c r="GH75" i="22"/>
  <c r="GC82" i="22"/>
  <c r="GA80" i="22"/>
  <c r="GA79" i="22"/>
  <c r="GK68" i="22"/>
  <c r="GC84" i="22"/>
  <c r="GA82" i="22"/>
  <c r="GK70" i="22"/>
  <c r="GH86" i="22"/>
  <c r="GE68" i="22"/>
  <c r="GF79" i="22"/>
  <c r="GB76" i="22"/>
  <c r="GA78" i="22"/>
  <c r="GB74" i="22"/>
  <c r="GA69" i="22"/>
  <c r="GF74" i="22"/>
  <c r="GC80" i="22"/>
  <c r="GB77" i="22"/>
  <c r="GH77" i="22"/>
  <c r="GE72" i="22"/>
  <c r="GK72" i="22"/>
  <c r="GC83" i="22"/>
  <c r="GH85" i="22"/>
  <c r="GA74" i="22"/>
  <c r="GD71" i="22"/>
  <c r="GI75" i="22"/>
  <c r="GC81" i="22"/>
  <c r="GA77" i="22"/>
  <c r="GG85" i="22"/>
  <c r="GE74" i="22"/>
  <c r="GE69" i="22"/>
  <c r="GA86" i="22"/>
  <c r="GI79" i="22"/>
  <c r="GI77" i="22"/>
  <c r="GA72" i="22"/>
  <c r="GA84" i="22"/>
  <c r="GA70" i="22"/>
  <c r="GA83" i="22"/>
  <c r="GA81" i="22"/>
  <c r="GL68" i="22"/>
  <c r="GH70" i="22"/>
  <c r="GA68" i="22"/>
  <c r="CT69" i="22"/>
  <c r="CL69" i="22"/>
  <c r="CN69" i="22"/>
  <c r="AX69" i="22" s="1"/>
  <c r="CS69" i="22"/>
  <c r="CR69" i="22"/>
  <c r="CQ69" i="22"/>
  <c r="CW69" i="22"/>
  <c r="CV69" i="22"/>
  <c r="CU69" i="22"/>
  <c r="CM69" i="22"/>
  <c r="AW69" i="22" s="1"/>
  <c r="CO69" i="22"/>
  <c r="AY69" i="22" s="1"/>
  <c r="CP69" i="22"/>
  <c r="AZ69" i="22" s="1"/>
  <c r="CL70" i="22"/>
  <c r="AV70" i="22" s="1"/>
  <c r="CS70" i="22"/>
  <c r="CT70" i="22"/>
  <c r="CV70" i="22"/>
  <c r="ED70" i="22" s="1"/>
  <c r="GY70" i="22" s="1"/>
  <c r="CU70" i="22"/>
  <c r="CN70" i="22"/>
  <c r="AX70" i="22" s="1"/>
  <c r="CM70" i="22"/>
  <c r="AW70" i="22" s="1"/>
  <c r="CR70" i="22"/>
  <c r="CO70" i="22"/>
  <c r="AY70" i="22" s="1"/>
  <c r="CQ70" i="22"/>
  <c r="CP70" i="22"/>
  <c r="AZ70" i="22" s="1"/>
  <c r="CW70" i="22"/>
  <c r="CW74" i="22"/>
  <c r="EE74" i="22" s="1"/>
  <c r="GZ74" i="22" s="1"/>
  <c r="CU74" i="22"/>
  <c r="EC74" i="22" s="1"/>
  <c r="GX74" i="22" s="1"/>
  <c r="CT74" i="22"/>
  <c r="CN74" i="22"/>
  <c r="CS74" i="22"/>
  <c r="CL74" i="22"/>
  <c r="CP74" i="22"/>
  <c r="CV74" i="22"/>
  <c r="ED74" i="22" s="1"/>
  <c r="GY74" i="22" s="1"/>
  <c r="CQ74" i="22"/>
  <c r="CR74" i="22"/>
  <c r="CO74" i="22"/>
  <c r="CM74" i="22"/>
  <c r="CO73" i="22"/>
  <c r="CT73" i="22"/>
  <c r="CN73" i="22"/>
  <c r="CL73" i="22"/>
  <c r="CP73" i="22"/>
  <c r="CS73" i="22"/>
  <c r="CW73" i="22"/>
  <c r="CV73" i="22"/>
  <c r="ED73" i="22" s="1"/>
  <c r="GY73" i="22" s="1"/>
  <c r="CM73" i="22"/>
  <c r="CQ73" i="22"/>
  <c r="CR73" i="22"/>
  <c r="CU73" i="22"/>
  <c r="EC73" i="22" s="1"/>
  <c r="GX73" i="22" s="1"/>
  <c r="CP83" i="22"/>
  <c r="DX83" i="22" s="1"/>
  <c r="GS83" i="22" s="1"/>
  <c r="CU83" i="22"/>
  <c r="EC83" i="22" s="1"/>
  <c r="GX83" i="22" s="1"/>
  <c r="CQ83" i="22"/>
  <c r="CL83" i="22"/>
  <c r="CV83" i="22"/>
  <c r="ED83" i="22" s="1"/>
  <c r="GY83" i="22" s="1"/>
  <c r="CM83" i="22"/>
  <c r="CW83" i="22"/>
  <c r="EE83" i="22" s="1"/>
  <c r="GZ83" i="22" s="1"/>
  <c r="CT83" i="22"/>
  <c r="EB83" i="22" s="1"/>
  <c r="GW83" i="22" s="1"/>
  <c r="CS83" i="22"/>
  <c r="CO83" i="22"/>
  <c r="CR83" i="22"/>
  <c r="CN83" i="22"/>
  <c r="CN76" i="22"/>
  <c r="CT76" i="22"/>
  <c r="CU76" i="22"/>
  <c r="EC76" i="22" s="1"/>
  <c r="GX76" i="22" s="1"/>
  <c r="CM76" i="22"/>
  <c r="CR76" i="22"/>
  <c r="CS76" i="22"/>
  <c r="CQ76" i="22"/>
  <c r="CV76" i="22"/>
  <c r="ED76" i="22" s="1"/>
  <c r="GY76" i="22" s="1"/>
  <c r="CW76" i="22"/>
  <c r="EE76" i="22" s="1"/>
  <c r="GZ76" i="22" s="1"/>
  <c r="CP76" i="22"/>
  <c r="CL76" i="22"/>
  <c r="CO76" i="22"/>
  <c r="CR81" i="22"/>
  <c r="DZ81" i="22" s="1"/>
  <c r="GU81" i="22" s="1"/>
  <c r="CQ81" i="22"/>
  <c r="CM81" i="22"/>
  <c r="CT81" i="22"/>
  <c r="CL81" i="22"/>
  <c r="CU81" i="22"/>
  <c r="EC81" i="22" s="1"/>
  <c r="GX81" i="22" s="1"/>
  <c r="CV81" i="22"/>
  <c r="ED81" i="22" s="1"/>
  <c r="GY81" i="22" s="1"/>
  <c r="CS81" i="22"/>
  <c r="CO81" i="22"/>
  <c r="CW81" i="22"/>
  <c r="EE81" i="22" s="1"/>
  <c r="GZ81" i="22" s="1"/>
  <c r="CP81" i="22"/>
  <c r="CN81" i="22"/>
  <c r="CW77" i="22"/>
  <c r="EE77" i="22" s="1"/>
  <c r="GZ77" i="22" s="1"/>
  <c r="CN77" i="22"/>
  <c r="CU77" i="22"/>
  <c r="EC77" i="22" s="1"/>
  <c r="GX77" i="22" s="1"/>
  <c r="CR77" i="22"/>
  <c r="CP77" i="22"/>
  <c r="DX77" i="22" s="1"/>
  <c r="GS77" i="22" s="1"/>
  <c r="CO77" i="22"/>
  <c r="CV77" i="22"/>
  <c r="ED77" i="22" s="1"/>
  <c r="GY77" i="22" s="1"/>
  <c r="CT77" i="22"/>
  <c r="CS77" i="22"/>
  <c r="CQ77" i="22"/>
  <c r="CM77" i="22"/>
  <c r="CL77" i="22"/>
  <c r="CM80" i="22"/>
  <c r="CP80" i="22"/>
  <c r="DX80" i="22" s="1"/>
  <c r="GS80" i="22" s="1"/>
  <c r="CN80" i="22"/>
  <c r="CW80" i="22"/>
  <c r="EE80" i="22" s="1"/>
  <c r="GZ80" i="22" s="1"/>
  <c r="CV80" i="22"/>
  <c r="ED80" i="22" s="1"/>
  <c r="GY80" i="22" s="1"/>
  <c r="CS80" i="22"/>
  <c r="CL80" i="22"/>
  <c r="CU80" i="22"/>
  <c r="CQ80" i="22"/>
  <c r="CT80" i="22"/>
  <c r="EB80" i="22" s="1"/>
  <c r="GW80" i="22" s="1"/>
  <c r="CR80" i="22"/>
  <c r="CO80" i="22"/>
  <c r="DW80" i="22" s="1"/>
  <c r="GR80" i="22" s="1"/>
  <c r="CN75" i="22"/>
  <c r="CU75" i="22"/>
  <c r="EC75" i="22" s="1"/>
  <c r="GX75" i="22" s="1"/>
  <c r="CM75" i="22"/>
  <c r="CP75" i="22"/>
  <c r="CO75" i="22"/>
  <c r="DW75" i="22" s="1"/>
  <c r="GR75" i="22" s="1"/>
  <c r="CT75" i="22"/>
  <c r="CW75" i="22"/>
  <c r="EE75" i="22" s="1"/>
  <c r="GZ75" i="22" s="1"/>
  <c r="CL75" i="22"/>
  <c r="CV75" i="22"/>
  <c r="ED75" i="22" s="1"/>
  <c r="GY75" i="22" s="1"/>
  <c r="CS75" i="22"/>
  <c r="CR75" i="22"/>
  <c r="CQ75" i="22"/>
  <c r="CW78" i="22"/>
  <c r="EE78" i="22" s="1"/>
  <c r="GZ78" i="22" s="1"/>
  <c r="CQ78" i="22"/>
  <c r="CO78" i="22"/>
  <c r="CM78" i="22"/>
  <c r="CN78" i="22"/>
  <c r="CU78" i="22"/>
  <c r="EC78" i="22" s="1"/>
  <c r="GX78" i="22" s="1"/>
  <c r="CS78" i="22"/>
  <c r="CP78" i="22"/>
  <c r="CV78" i="22"/>
  <c r="ED78" i="22" s="1"/>
  <c r="GY78" i="22" s="1"/>
  <c r="CR78" i="22"/>
  <c r="DZ78" i="22" s="1"/>
  <c r="GU78" i="22" s="1"/>
  <c r="CL78" i="22"/>
  <c r="CT78" i="22"/>
  <c r="CU85" i="22"/>
  <c r="CW85" i="22"/>
  <c r="EE85" i="22" s="1"/>
  <c r="GZ85" i="22" s="1"/>
  <c r="CM85" i="22"/>
  <c r="CV85" i="22"/>
  <c r="ED85" i="22" s="1"/>
  <c r="GY85" i="22" s="1"/>
  <c r="CL85" i="22"/>
  <c r="CQ85" i="22"/>
  <c r="CR85" i="22"/>
  <c r="CP85" i="22"/>
  <c r="DX85" i="22" s="1"/>
  <c r="GS85" i="22" s="1"/>
  <c r="CS85" i="22"/>
  <c r="CT85" i="22"/>
  <c r="CN85" i="22"/>
  <c r="CO85" i="22"/>
  <c r="CT86" i="22"/>
  <c r="EB86" i="22" s="1"/>
  <c r="GW86" i="22" s="1"/>
  <c r="CM86" i="22"/>
  <c r="CW86" i="22"/>
  <c r="EE86" i="22" s="1"/>
  <c r="GZ86" i="22" s="1"/>
  <c r="CR86" i="22"/>
  <c r="CO86" i="22"/>
  <c r="DW86" i="22" s="1"/>
  <c r="GR86" i="22" s="1"/>
  <c r="CU86" i="22"/>
  <c r="EC86" i="22" s="1"/>
  <c r="GX86" i="22" s="1"/>
  <c r="CN86" i="22"/>
  <c r="CS86" i="22"/>
  <c r="CV86" i="22"/>
  <c r="CP86" i="22"/>
  <c r="DX86" i="22" s="1"/>
  <c r="GS86" i="22" s="1"/>
  <c r="CL86" i="22"/>
  <c r="CQ86" i="22"/>
  <c r="CL72" i="22"/>
  <c r="AV72" i="22" s="1"/>
  <c r="CT72" i="22"/>
  <c r="CS72" i="22"/>
  <c r="CP72" i="22"/>
  <c r="CO72" i="22"/>
  <c r="CQ72" i="22"/>
  <c r="CW72" i="22"/>
  <c r="CU72" i="22"/>
  <c r="EC72" i="22" s="1"/>
  <c r="GX72" i="22" s="1"/>
  <c r="CV72" i="22"/>
  <c r="ED72" i="22" s="1"/>
  <c r="GY72" i="22" s="1"/>
  <c r="CN72" i="22"/>
  <c r="CR72" i="22"/>
  <c r="CM72" i="22"/>
  <c r="CR71" i="22"/>
  <c r="CW71" i="22"/>
  <c r="CV71" i="22"/>
  <c r="ED71" i="22" s="1"/>
  <c r="GY71" i="22" s="1"/>
  <c r="CT71" i="22"/>
  <c r="CQ71" i="22"/>
  <c r="CU71" i="22"/>
  <c r="EC71" i="22" s="1"/>
  <c r="GX71" i="22" s="1"/>
  <c r="CN71" i="22"/>
  <c r="CO71" i="22"/>
  <c r="CS71" i="22"/>
  <c r="CP71" i="22"/>
  <c r="CM71" i="22"/>
  <c r="AW71" i="22" s="1"/>
  <c r="CL71" i="22"/>
  <c r="AV71" i="22" s="1"/>
  <c r="CR79" i="22"/>
  <c r="CO79" i="22"/>
  <c r="CT79" i="22"/>
  <c r="CS79" i="22"/>
  <c r="CQ79" i="22"/>
  <c r="CP79" i="22"/>
  <c r="DX79" i="22" s="1"/>
  <c r="GS79" i="22" s="1"/>
  <c r="CV79" i="22"/>
  <c r="CM79" i="22"/>
  <c r="CL79" i="22"/>
  <c r="CN79" i="22"/>
  <c r="CU79" i="22"/>
  <c r="EC79" i="22" s="1"/>
  <c r="GX79" i="22" s="1"/>
  <c r="CW79" i="22"/>
  <c r="EE79" i="22" s="1"/>
  <c r="GZ79" i="22" s="1"/>
  <c r="CR82" i="22"/>
  <c r="CO82" i="22"/>
  <c r="CW82" i="22"/>
  <c r="EE82" i="22" s="1"/>
  <c r="GZ82" i="22" s="1"/>
  <c r="CT82" i="22"/>
  <c r="EB82" i="22" s="1"/>
  <c r="GW82" i="22" s="1"/>
  <c r="CV82" i="22"/>
  <c r="CS82" i="22"/>
  <c r="CN82" i="22"/>
  <c r="CM82" i="22"/>
  <c r="CP82" i="22"/>
  <c r="CQ82" i="22"/>
  <c r="CL82" i="22"/>
  <c r="CU82" i="22"/>
  <c r="EC82" i="22" s="1"/>
  <c r="GX82" i="22" s="1"/>
  <c r="CP84" i="22"/>
  <c r="DX84" i="22" s="1"/>
  <c r="GS84" i="22" s="1"/>
  <c r="CO84" i="22"/>
  <c r="CT84" i="22"/>
  <c r="EB84" i="22" s="1"/>
  <c r="GW84" i="22" s="1"/>
  <c r="CS84" i="22"/>
  <c r="CU84" i="22"/>
  <c r="CL84" i="22"/>
  <c r="CN84" i="22"/>
  <c r="DV84" i="22" s="1"/>
  <c r="GQ84" i="22" s="1"/>
  <c r="CM84" i="22"/>
  <c r="CR84" i="22"/>
  <c r="CV84" i="22"/>
  <c r="ED84" i="22" s="1"/>
  <c r="GY84" i="22" s="1"/>
  <c r="CQ84" i="22"/>
  <c r="DY84" i="22" s="1"/>
  <c r="GT84" i="22" s="1"/>
  <c r="CW84" i="22"/>
  <c r="EE84" i="22" s="1"/>
  <c r="GZ84" i="22" s="1"/>
  <c r="EC70" i="22"/>
  <c r="GX70" i="22" s="1"/>
  <c r="EC69" i="22"/>
  <c r="GX69" i="22" s="1"/>
  <c r="B8" i="22"/>
  <c r="G51" i="22"/>
  <c r="F51" i="22" s="1"/>
  <c r="E51" i="22" s="1"/>
  <c r="D51" i="22" s="1"/>
  <c r="C51" i="22" s="1"/>
  <c r="B51" i="22" s="1"/>
  <c r="F8" i="22"/>
  <c r="H3" i="22"/>
  <c r="H15" i="22"/>
  <c r="H54" i="22" s="1"/>
  <c r="G54" i="22" s="1"/>
  <c r="F54" i="22" s="1"/>
  <c r="E54" i="22" s="1"/>
  <c r="D54" i="22" s="1"/>
  <c r="C54" i="22" s="1"/>
  <c r="B54" i="22" s="1"/>
  <c r="G8" i="22"/>
  <c r="E8" i="22"/>
  <c r="C8" i="22"/>
  <c r="D8" i="22"/>
  <c r="H46" i="22"/>
  <c r="G46" i="22" s="1"/>
  <c r="F46" i="22" s="1"/>
  <c r="E46" i="22" s="1"/>
  <c r="D46" i="22" s="1"/>
  <c r="C46" i="22" s="1"/>
  <c r="B46" i="22" s="1"/>
  <c r="H8" i="22"/>
  <c r="H47" i="22" s="1"/>
  <c r="CM68" i="22"/>
  <c r="CL68" i="22"/>
  <c r="CO68" i="22"/>
  <c r="CN68" i="22"/>
  <c r="CP68" i="22"/>
  <c r="CS68" i="22"/>
  <c r="CV68" i="22"/>
  <c r="CU68" i="22"/>
  <c r="CT68" i="22"/>
  <c r="CW68" i="22"/>
  <c r="CQ68" i="22"/>
  <c r="CR68" i="22"/>
  <c r="EV71" i="22" a="1"/>
  <c r="EP85" i="22" a="1"/>
  <c r="EP69" i="22" a="1"/>
  <c r="EP76" i="22" a="1"/>
  <c r="EO76" i="22" a="1"/>
  <c r="EO69" i="22" a="1"/>
  <c r="EL69" i="22" a="1"/>
  <c r="ER76" i="22" a="1"/>
  <c r="ET85" i="22" a="1"/>
  <c r="EL82" i="22" a="1"/>
  <c r="EP73" i="22" a="1"/>
  <c r="EQ79" i="22" a="1"/>
  <c r="EL86" i="22" a="1"/>
  <c r="EN69" i="22" a="1"/>
  <c r="ET77" i="22" a="1"/>
  <c r="EM84" i="22" a="1"/>
  <c r="EP82" i="22" a="1"/>
  <c r="ES73" i="22" a="1"/>
  <c r="ET78" i="22" a="1"/>
  <c r="EO73" i="22" a="1"/>
  <c r="EQ80" i="22" a="1"/>
  <c r="ES81" i="22" a="1"/>
  <c r="EU76" i="22" a="1"/>
  <c r="EK78" i="22" a="1"/>
  <c r="EQ81" i="22" a="1"/>
  <c r="EL68" i="22" a="1"/>
  <c r="EP83" i="22" a="1"/>
  <c r="EO74" i="22" a="1"/>
  <c r="EN72" i="22" a="1"/>
  <c r="ES80" i="22" a="1"/>
  <c r="EU86" i="22" a="1"/>
  <c r="EL83" i="22" a="1"/>
  <c r="EN82" i="22" a="1"/>
  <c r="EO78" i="22" a="1"/>
  <c r="EN70" i="22" a="1"/>
  <c r="EL77" i="22" a="1"/>
  <c r="EO71" i="22" a="1"/>
  <c r="ER83" i="22" a="1"/>
  <c r="ET73" i="22" a="1"/>
  <c r="ES70" i="22" a="1"/>
  <c r="EO72" i="22" a="1"/>
  <c r="EQ72" i="22" a="1"/>
  <c r="EL81" i="22" a="1"/>
  <c r="EM82" i="22" a="1"/>
  <c r="ER77" i="22" a="1"/>
  <c r="EP75" i="22" a="1"/>
  <c r="EK69" i="22" a="1"/>
  <c r="ET79" i="22" a="1"/>
  <c r="EM79" i="22" a="1"/>
  <c r="ER71" i="22" a="1"/>
  <c r="EL76" i="22" a="1"/>
  <c r="ER70" i="22" a="1"/>
  <c r="EL71" i="22" a="1"/>
  <c r="EP78" i="22" a="1"/>
  <c r="ET76" i="22" a="1"/>
  <c r="EN78" i="22" a="1"/>
  <c r="ER79" i="22" a="1"/>
  <c r="EQ70" i="22" a="1"/>
  <c r="EL78" i="22" a="1"/>
  <c r="ES79" i="22" a="1"/>
  <c r="EN75" i="22" a="1"/>
  <c r="EP80" i="22" a="1"/>
  <c r="EN76" i="22" a="1"/>
  <c r="ES82" i="22" a="1"/>
  <c r="EN68" i="22" a="1"/>
  <c r="EU71" i="22" a="1"/>
  <c r="ER73" i="22" a="1"/>
  <c r="EU80" i="22" a="1"/>
  <c r="EU79" i="22" a="1"/>
  <c r="ET72" i="22" a="1"/>
  <c r="EO83" i="22" a="1"/>
  <c r="ET68" i="22" a="1"/>
  <c r="EN73" i="22" a="1"/>
  <c r="EN77" i="22" a="1"/>
  <c r="EL74" i="22" a="1"/>
  <c r="EM71" i="22" a="1"/>
  <c r="EM86" i="22" a="1"/>
  <c r="EM77" i="22" a="1"/>
  <c r="EK86" i="22" a="1"/>
  <c r="EQ76" i="22" a="1"/>
  <c r="ER84" i="22" a="1"/>
  <c r="EK82" i="22" a="1"/>
  <c r="EN80" i="22" a="1"/>
  <c r="EV68" i="22" a="1"/>
  <c r="EL70" i="22" a="1"/>
  <c r="ES83" i="22" a="1"/>
  <c r="EM72" i="22" a="1"/>
  <c r="EN85" i="22" a="1"/>
  <c r="EK79" i="22" a="1"/>
  <c r="EP72" i="22" a="1"/>
  <c r="EP84" i="22" a="1"/>
  <c r="EQ77" i="22" a="1"/>
  <c r="EN86" i="22" a="1"/>
  <c r="EN84" i="22" a="1"/>
  <c r="ET75" i="22" a="1"/>
  <c r="EM75" i="22" a="1"/>
  <c r="EO84" i="22" a="1"/>
  <c r="ER78" i="22" a="1"/>
  <c r="ET86" i="22" a="1"/>
  <c r="EK70" i="22" a="1"/>
  <c r="ES72" i="22" a="1"/>
  <c r="EL72" i="22" a="1"/>
  <c r="EL73" i="22" a="1"/>
  <c r="ER81" i="22" a="1"/>
  <c r="EV73" i="22" a="1"/>
  <c r="EQ83" i="22" a="1"/>
  <c r="EU82" i="22" a="1"/>
  <c r="EM80" i="22" a="1"/>
  <c r="EU72" i="22" a="1"/>
  <c r="EK72" i="22" a="1"/>
  <c r="EP68" i="22" a="1"/>
  <c r="EU85" i="22" a="1"/>
  <c r="ES77" i="22" a="1"/>
  <c r="ER75" i="22" a="1"/>
  <c r="EM73" i="22" a="1"/>
  <c r="EK76" i="22" a="1"/>
  <c r="EQ78" i="22" a="1"/>
  <c r="ES69" i="22" a="1"/>
  <c r="ES75" i="22" a="1"/>
  <c r="EU78" i="22" a="1"/>
  <c r="ET84" i="22" a="1"/>
  <c r="ES71" i="22" a="1"/>
  <c r="ER85" i="22" a="1"/>
  <c r="EK75" i="22" a="1"/>
  <c r="EU68" i="22" a="1"/>
  <c r="ES76" i="22" a="1"/>
  <c r="EP70" i="22" a="1"/>
  <c r="ES86" i="22" a="1"/>
  <c r="EN81" i="22" a="1"/>
  <c r="ES74" i="22" a="1"/>
  <c r="EO85" i="22" a="1"/>
  <c r="EQ75" i="22" a="1"/>
  <c r="EP79" i="22" a="1"/>
  <c r="EM85" i="22" a="1"/>
  <c r="ER69" i="22" a="1"/>
  <c r="EM70" i="22" a="1"/>
  <c r="EN83" i="22" a="1"/>
  <c r="ET80" i="22" a="1"/>
  <c r="EQ85" i="22" a="1"/>
  <c r="EL80" i="22" a="1"/>
  <c r="EO80" i="22" a="1"/>
  <c r="EL79" i="22" a="1"/>
  <c r="EP77" i="22" a="1"/>
  <c r="EN79" i="22" a="1"/>
  <c r="EM78" i="22" a="1"/>
  <c r="EP81" i="22" a="1"/>
  <c r="EO81" i="22" a="1"/>
  <c r="EM68" i="22" a="1"/>
  <c r="EM69" i="22" a="1"/>
  <c r="ET70" i="22" a="1"/>
  <c r="EK81" i="22" a="1"/>
  <c r="EP71" i="22" a="1"/>
  <c r="EN74" i="22" a="1"/>
  <c r="EQ68" i="22" a="1"/>
  <c r="ET82" i="22" a="1"/>
  <c r="EO82" i="22" a="1"/>
  <c r="EL84" i="22" a="1"/>
  <c r="EV69" i="22" a="1"/>
  <c r="EK68" i="22" a="1"/>
  <c r="EP74" i="22" a="1"/>
  <c r="EO86" i="22" a="1"/>
  <c r="EU74" i="22" a="1"/>
  <c r="EK77" i="22" a="1"/>
  <c r="EU77" i="22" a="1"/>
  <c r="EU69" i="22" a="1"/>
  <c r="ES85" i="22" a="1"/>
  <c r="EQ84" i="22" a="1"/>
  <c r="EU70" i="22" a="1"/>
  <c r="EQ86" i="22" a="1"/>
  <c r="EO75" i="22" a="1"/>
  <c r="ES84" i="22" a="1"/>
  <c r="EQ82" i="22" a="1"/>
  <c r="EK83" i="22" a="1"/>
  <c r="EU81" i="22" a="1"/>
  <c r="EN71" i="22" a="1"/>
  <c r="ER74" i="22" a="1"/>
  <c r="ET69" i="22" a="1"/>
  <c r="EQ71" i="22" a="1"/>
  <c r="ES78" i="22" a="1"/>
  <c r="EO68" i="22" a="1"/>
  <c r="EK74" i="22" a="1"/>
  <c r="EQ73" i="22" a="1"/>
  <c r="EK73" i="22" a="1"/>
  <c r="EP86" i="22" a="1"/>
  <c r="EV70" i="22" a="1"/>
  <c r="EM83" i="22" a="1"/>
  <c r="EO79" i="22" a="1"/>
  <c r="EO77" i="22" a="1"/>
  <c r="EK84" i="22" a="1"/>
  <c r="ES68" i="22" a="1"/>
  <c r="ER68" i="22" a="1"/>
  <c r="ER86" i="22" a="1"/>
  <c r="ER80" i="22" a="1"/>
  <c r="ET81" i="22" a="1"/>
  <c r="EK85" i="22" a="1"/>
  <c r="ET74" i="22" a="1"/>
  <c r="EQ69" i="22" a="1"/>
  <c r="EL75" i="22" a="1"/>
  <c r="EK71" i="22" a="1"/>
  <c r="EL85" i="22" a="1"/>
  <c r="EM76" i="22" a="1"/>
  <c r="EU75" i="22" a="1"/>
  <c r="EM81" i="22" a="1"/>
  <c r="EM74" i="22" a="1"/>
  <c r="EO70" i="22" a="1"/>
  <c r="EQ74" i="22" a="1"/>
  <c r="ER82" i="22" a="1"/>
  <c r="EU84" i="22" a="1"/>
  <c r="EV72" i="22" a="1"/>
  <c r="EK80" i="22" a="1"/>
  <c r="ET83" i="22" a="1"/>
  <c r="ER72" i="22" a="1"/>
  <c r="ET71" i="22" a="1"/>
  <c r="EU73" i="22" a="1"/>
  <c r="EU83" i="22" a="1"/>
  <c r="HI81" i="22" l="1"/>
  <c r="HI78" i="22"/>
  <c r="HE84" i="22"/>
  <c r="HK84" i="22"/>
  <c r="HL77" i="22"/>
  <c r="HM85" i="22"/>
  <c r="HG83" i="22"/>
  <c r="HM81" i="22"/>
  <c r="HM73" i="22"/>
  <c r="HL69" i="22"/>
  <c r="HM72" i="22"/>
  <c r="HM78" i="22"/>
  <c r="HK83" i="22"/>
  <c r="HL73" i="22"/>
  <c r="HL78" i="22"/>
  <c r="HG84" i="22"/>
  <c r="HM70" i="22"/>
  <c r="HM75" i="22"/>
  <c r="HL71" i="22"/>
  <c r="HM80" i="22"/>
  <c r="HK82" i="22"/>
  <c r="HF80" i="22"/>
  <c r="HL81" i="22"/>
  <c r="HM76" i="22"/>
  <c r="HM77" i="22"/>
  <c r="HG85" i="22"/>
  <c r="HM83" i="22"/>
  <c r="HK86" i="22"/>
  <c r="HL82" i="22"/>
  <c r="HL79" i="22"/>
  <c r="HL74" i="22"/>
  <c r="HL75" i="22"/>
  <c r="HM74" i="22"/>
  <c r="HH84" i="22"/>
  <c r="HG79" i="22"/>
  <c r="HM71" i="22"/>
  <c r="HF86" i="22"/>
  <c r="HL76" i="22"/>
  <c r="HG80" i="22"/>
  <c r="HL70" i="22"/>
  <c r="HM84" i="22"/>
  <c r="HF75" i="22"/>
  <c r="HL83" i="22"/>
  <c r="HL86" i="22"/>
  <c r="HL72" i="22"/>
  <c r="HK80" i="22"/>
  <c r="HG86" i="22"/>
  <c r="HG77" i="22"/>
  <c r="EL84" i="22"/>
  <c r="EN82" i="22"/>
  <c r="EP79" i="22"/>
  <c r="EQ79" i="22"/>
  <c r="ER71" i="22"/>
  <c r="EP71" i="22"/>
  <c r="EV72" i="22"/>
  <c r="EE72" i="22" s="1"/>
  <c r="GZ72" i="22" s="1"/>
  <c r="EU86" i="22"/>
  <c r="EQ86" i="22"/>
  <c r="ES85" i="22"/>
  <c r="EK75" i="22"/>
  <c r="EM75" i="22"/>
  <c r="EP80" i="22"/>
  <c r="ES77" i="22"/>
  <c r="EB77" i="22" s="1"/>
  <c r="GW77" i="22" s="1"/>
  <c r="EM77" i="22"/>
  <c r="ES81" i="22"/>
  <c r="EM76" i="22"/>
  <c r="ER83" i="22"/>
  <c r="EO69" i="22"/>
  <c r="ER69" i="22"/>
  <c r="EM84" i="22"/>
  <c r="EO82" i="22"/>
  <c r="ER82" i="22"/>
  <c r="EA82" i="22" s="1"/>
  <c r="EQ82" i="22"/>
  <c r="EK79" i="22"/>
  <c r="ER79" i="22"/>
  <c r="ES71" i="22"/>
  <c r="EB71" i="22" s="1"/>
  <c r="GW71" i="22" s="1"/>
  <c r="EQ71" i="22"/>
  <c r="EU72" i="22"/>
  <c r="EP72" i="22"/>
  <c r="ES72" i="22"/>
  <c r="EB72" i="22" s="1"/>
  <c r="GW72" i="22" s="1"/>
  <c r="ER86" i="22"/>
  <c r="EK85" i="22"/>
  <c r="ET85" i="22"/>
  <c r="EU78" i="22"/>
  <c r="ET80" i="22"/>
  <c r="EL80" i="22"/>
  <c r="EU77" i="22"/>
  <c r="EL81" i="22"/>
  <c r="ES83" i="22"/>
  <c r="ET73" i="22"/>
  <c r="EL74" i="22"/>
  <c r="EV70" i="22"/>
  <c r="EE70" i="22" s="1"/>
  <c r="GZ70" i="22" s="1"/>
  <c r="EQ70" i="22"/>
  <c r="EN69" i="22"/>
  <c r="EM69" i="22"/>
  <c r="EO84" i="22"/>
  <c r="EU82" i="22"/>
  <c r="EL79" i="22"/>
  <c r="EN71" i="22"/>
  <c r="EN72" i="22"/>
  <c r="EK72" i="22"/>
  <c r="EU85" i="22"/>
  <c r="EM78" i="22"/>
  <c r="EM81" i="22"/>
  <c r="EU81" i="22"/>
  <c r="EN76" i="22"/>
  <c r="EQ73" i="22"/>
  <c r="ER73" i="22"/>
  <c r="EN74" i="22"/>
  <c r="EK74" i="22"/>
  <c r="EO70" i="22"/>
  <c r="EK69" i="22"/>
  <c r="EP86" i="22"/>
  <c r="EO79" i="22"/>
  <c r="EL77" i="22"/>
  <c r="EQ81" i="22"/>
  <c r="EP76" i="22"/>
  <c r="EL76" i="22"/>
  <c r="EM83" i="22"/>
  <c r="EU83" i="22"/>
  <c r="EP83" i="22"/>
  <c r="EL73" i="22"/>
  <c r="EK73" i="22"/>
  <c r="ES73" i="22"/>
  <c r="EB73" i="22" s="1"/>
  <c r="GW73" i="22" s="1"/>
  <c r="EP74" i="22"/>
  <c r="EM74" i="22"/>
  <c r="ES74" i="22"/>
  <c r="EB74" i="22" s="1"/>
  <c r="GW74" i="22" s="1"/>
  <c r="EL70" i="22"/>
  <c r="ER70" i="22"/>
  <c r="ES69" i="22"/>
  <c r="EB69" i="22" s="1"/>
  <c r="GW69" i="22" s="1"/>
  <c r="EL78" i="22"/>
  <c r="EQ83" i="22"/>
  <c r="EK83" i="22"/>
  <c r="ET83" i="22"/>
  <c r="EN73" i="22"/>
  <c r="EU74" i="22"/>
  <c r="EP70" i="22"/>
  <c r="EM70" i="22"/>
  <c r="EK70" i="22"/>
  <c r="EP69" i="22"/>
  <c r="ES79" i="22"/>
  <c r="EB79" i="22" s="1"/>
  <c r="GW79" i="22" s="1"/>
  <c r="EM71" i="22"/>
  <c r="EL72" i="22"/>
  <c r="EL85" i="22"/>
  <c r="EP75" i="22"/>
  <c r="EK80" i="22"/>
  <c r="EK77" i="22"/>
  <c r="EQ77" i="22"/>
  <c r="EO81" i="22"/>
  <c r="EP81" i="22"/>
  <c r="EU76" i="22"/>
  <c r="EO73" i="22"/>
  <c r="EQ74" i="22"/>
  <c r="ES70" i="22"/>
  <c r="EB70" i="22" s="1"/>
  <c r="GW70" i="22" s="1"/>
  <c r="EL69" i="22"/>
  <c r="EP84" i="22"/>
  <c r="EK84" i="22"/>
  <c r="ES84" i="22"/>
  <c r="EK82" i="22"/>
  <c r="EL82" i="22"/>
  <c r="EN79" i="22"/>
  <c r="EU71" i="22"/>
  <c r="EQ72" i="22"/>
  <c r="EK86" i="22"/>
  <c r="EN85" i="22"/>
  <c r="EO85" i="22"/>
  <c r="EK78" i="22"/>
  <c r="EO78" i="22"/>
  <c r="EN78" i="22"/>
  <c r="EL75" i="22"/>
  <c r="EQ80" i="22"/>
  <c r="ET77" i="22"/>
  <c r="EU84" i="22"/>
  <c r="ET84" i="22"/>
  <c r="EN84" i="22"/>
  <c r="EP82" i="22"/>
  <c r="EM72" i="22"/>
  <c r="EM86" i="22"/>
  <c r="EL86" i="22"/>
  <c r="EQ78" i="22"/>
  <c r="ER78" i="22"/>
  <c r="EQ75" i="22"/>
  <c r="EN75" i="22"/>
  <c r="ET75" i="22"/>
  <c r="ER80" i="22"/>
  <c r="EP77" i="22"/>
  <c r="EN77" i="22"/>
  <c r="EK81" i="22"/>
  <c r="EQ84" i="22"/>
  <c r="ER84" i="22"/>
  <c r="EM82" i="22"/>
  <c r="ET79" i="22"/>
  <c r="EL71" i="22"/>
  <c r="ET71" i="22"/>
  <c r="ER72" i="22"/>
  <c r="ET86" i="22"/>
  <c r="EM85" i="22"/>
  <c r="EQ85" i="22"/>
  <c r="ER75" i="22"/>
  <c r="ES80" i="22"/>
  <c r="EM80" i="22"/>
  <c r="EO77" i="22"/>
  <c r="EN81" i="22"/>
  <c r="ER76" i="22"/>
  <c r="ET76" i="22"/>
  <c r="EN83" i="22"/>
  <c r="EU73" i="22"/>
  <c r="EO74" i="22"/>
  <c r="EN70" i="22"/>
  <c r="ET70" i="22"/>
  <c r="ET69" i="22"/>
  <c r="EQ69" i="22"/>
  <c r="ET82" i="22"/>
  <c r="ES82" i="22"/>
  <c r="EU79" i="22"/>
  <c r="EK71" i="22"/>
  <c r="EO72" i="22"/>
  <c r="ER85" i="22"/>
  <c r="ES78" i="22"/>
  <c r="EB78" i="22" s="1"/>
  <c r="GW78" i="22" s="1"/>
  <c r="ES75" i="22"/>
  <c r="EB75" i="22" s="1"/>
  <c r="GW75" i="22" s="1"/>
  <c r="EN80" i="22"/>
  <c r="ET81" i="22"/>
  <c r="EK76" i="22"/>
  <c r="EL83" i="22"/>
  <c r="EP73" i="22"/>
  <c r="ER74" i="22"/>
  <c r="EV69" i="22"/>
  <c r="EE69" i="22" s="1"/>
  <c r="GZ69" i="22" s="1"/>
  <c r="EM79" i="22"/>
  <c r="EO71" i="22"/>
  <c r="EV71" i="22"/>
  <c r="EE71" i="22" s="1"/>
  <c r="GZ71" i="22" s="1"/>
  <c r="ET72" i="22"/>
  <c r="EO86" i="22"/>
  <c r="EN86" i="22"/>
  <c r="ES86" i="22"/>
  <c r="EP85" i="22"/>
  <c r="ET78" i="22"/>
  <c r="EP78" i="22"/>
  <c r="EU75" i="22"/>
  <c r="EO75" i="22"/>
  <c r="EU80" i="22"/>
  <c r="EO80" i="22"/>
  <c r="ER77" i="22"/>
  <c r="ER81" i="22"/>
  <c r="EO76" i="22"/>
  <c r="EQ76" i="22"/>
  <c r="ES76" i="22"/>
  <c r="EB76" i="22" s="1"/>
  <c r="GW76" i="22" s="1"/>
  <c r="EO83" i="22"/>
  <c r="EV73" i="22"/>
  <c r="EE73" i="22" s="1"/>
  <c r="GZ73" i="22" s="1"/>
  <c r="EM73" i="22"/>
  <c r="ET74" i="22"/>
  <c r="EU70" i="22"/>
  <c r="EU69" i="22"/>
  <c r="ED69" i="22" s="1"/>
  <c r="GY69" i="22" s="1"/>
  <c r="DW82" i="22"/>
  <c r="GR82" i="22" s="1"/>
  <c r="DV75" i="22"/>
  <c r="GQ75" i="22" s="1"/>
  <c r="DV77" i="22"/>
  <c r="GQ77" i="22" s="1"/>
  <c r="DV76" i="22"/>
  <c r="GQ76" i="22" s="1"/>
  <c r="EB81" i="22"/>
  <c r="GW81" i="22" s="1"/>
  <c r="DU81" i="22"/>
  <c r="GP81" i="22" s="1"/>
  <c r="DU79" i="22"/>
  <c r="GP79" i="22" s="1"/>
  <c r="DV78" i="22"/>
  <c r="GQ78" i="22" s="1"/>
  <c r="DV81" i="22"/>
  <c r="GQ81" i="22" s="1"/>
  <c r="DW76" i="22"/>
  <c r="GR76" i="22" s="1"/>
  <c r="DV83" i="22"/>
  <c r="GQ83" i="22" s="1"/>
  <c r="DV74" i="22"/>
  <c r="GQ74" i="22" s="1"/>
  <c r="DU78" i="22"/>
  <c r="GP78" i="22" s="1"/>
  <c r="DU85" i="22"/>
  <c r="GP85" i="22" s="1"/>
  <c r="DU82" i="22"/>
  <c r="GP82" i="22" s="1"/>
  <c r="DW79" i="22"/>
  <c r="GR79" i="22" s="1"/>
  <c r="DW85" i="22"/>
  <c r="GR85" i="22" s="1"/>
  <c r="DW78" i="22"/>
  <c r="GR78" i="22" s="1"/>
  <c r="AV69" i="22"/>
  <c r="DX81" i="22"/>
  <c r="GS81" i="22" s="1"/>
  <c r="DW84" i="22"/>
  <c r="GR84" i="22" s="1"/>
  <c r="DV86" i="22"/>
  <c r="GQ86" i="22" s="1"/>
  <c r="DU86" i="22"/>
  <c r="GP86" i="22" s="1"/>
  <c r="DW77" i="22"/>
  <c r="GR77" i="22" s="1"/>
  <c r="AY71" i="22"/>
  <c r="DW74" i="22"/>
  <c r="GR74" i="22" s="1"/>
  <c r="ED82" i="22"/>
  <c r="GY82" i="22" s="1"/>
  <c r="EC80" i="22"/>
  <c r="GX80" i="22" s="1"/>
  <c r="DV82" i="22"/>
  <c r="GQ82" i="22" s="1"/>
  <c r="DV85" i="22"/>
  <c r="GQ85" i="22" s="1"/>
  <c r="DV80" i="22"/>
  <c r="GQ80" i="22" s="1"/>
  <c r="DW81" i="22"/>
  <c r="GR81" i="22" s="1"/>
  <c r="DW83" i="22"/>
  <c r="GR83" i="22" s="1"/>
  <c r="DU83" i="22"/>
  <c r="GP83" i="22" s="1"/>
  <c r="EC85" i="22"/>
  <c r="GX85" i="22" s="1"/>
  <c r="EB85" i="22"/>
  <c r="GW85" i="22" s="1"/>
  <c r="AX71" i="22"/>
  <c r="ED86" i="22"/>
  <c r="GY86" i="22" s="1"/>
  <c r="EC84" i="22"/>
  <c r="GX84" i="22" s="1"/>
  <c r="ED79" i="22"/>
  <c r="GY79" i="22" s="1"/>
  <c r="DV79" i="22"/>
  <c r="GQ79" i="22" s="1"/>
  <c r="FU81" i="22"/>
  <c r="FX81" i="22" s="1"/>
  <c r="FU78" i="22"/>
  <c r="FX78" i="22" s="1"/>
  <c r="B18" i="22"/>
  <c r="C18" i="22"/>
  <c r="D18" i="22"/>
  <c r="H18" i="22"/>
  <c r="E18" i="22"/>
  <c r="F18" i="22"/>
  <c r="G18" i="22"/>
  <c r="G47" i="22"/>
  <c r="F47" i="22" s="1"/>
  <c r="E47" i="22" s="1"/>
  <c r="D47" i="22" s="1"/>
  <c r="C47" i="22" s="1"/>
  <c r="B47" i="22" s="1"/>
  <c r="EP68" i="22"/>
  <c r="EN68" i="22"/>
  <c r="EV68" i="22"/>
  <c r="EE68" i="22" s="1"/>
  <c r="EK68" i="22"/>
  <c r="ET68" i="22"/>
  <c r="EU68" i="22"/>
  <c r="ED68" i="22" s="1"/>
  <c r="ER68" i="22"/>
  <c r="EQ68" i="22"/>
  <c r="EO68" i="22"/>
  <c r="EM68" i="22"/>
  <c r="ES68" i="22"/>
  <c r="EB68" i="22" s="1"/>
  <c r="GW68" i="22" s="1"/>
  <c r="EL68" i="22"/>
  <c r="B9" i="22"/>
  <c r="AY68" i="22"/>
  <c r="H9" i="22"/>
  <c r="AV68" i="22"/>
  <c r="F9" i="22"/>
  <c r="F10" i="22" s="1"/>
  <c r="EC68" i="22"/>
  <c r="G9" i="22"/>
  <c r="G10" i="22" s="1"/>
  <c r="D9" i="22"/>
  <c r="D10" i="22" s="1"/>
  <c r="C9" i="22"/>
  <c r="C10" i="22" s="1"/>
  <c r="AZ68" i="22"/>
  <c r="AX68" i="22"/>
  <c r="E9" i="22"/>
  <c r="E10" i="22" s="1"/>
  <c r="AW68" i="22"/>
  <c r="GV82" i="22" l="1"/>
  <c r="HJ82" i="22"/>
  <c r="HM68" i="22"/>
  <c r="GY68" i="22"/>
  <c r="HN68" i="22"/>
  <c r="GZ68" i="22"/>
  <c r="HL68" i="22"/>
  <c r="GX68" i="22"/>
  <c r="HK68" i="22"/>
  <c r="HD82" i="22"/>
  <c r="HD85" i="22"/>
  <c r="HD86" i="22"/>
  <c r="HK78" i="22"/>
  <c r="HE85" i="22"/>
  <c r="HE82" i="22"/>
  <c r="HF84" i="22"/>
  <c r="HD78" i="22"/>
  <c r="HK81" i="22"/>
  <c r="HK77" i="22"/>
  <c r="HE80" i="22"/>
  <c r="HM86" i="22"/>
  <c r="HD81" i="22"/>
  <c r="HK69" i="22"/>
  <c r="HL80" i="22"/>
  <c r="HE74" i="22"/>
  <c r="HN73" i="22"/>
  <c r="HK72" i="22"/>
  <c r="HL85" i="22"/>
  <c r="HM82" i="22"/>
  <c r="HE77" i="22"/>
  <c r="HD83" i="22"/>
  <c r="HF78" i="22"/>
  <c r="HE75" i="22"/>
  <c r="HN71" i="22"/>
  <c r="HE79" i="22"/>
  <c r="HF83" i="22"/>
  <c r="HF85" i="22"/>
  <c r="HE81" i="22"/>
  <c r="HF82" i="22"/>
  <c r="HK79" i="22"/>
  <c r="HL84" i="22"/>
  <c r="HD79" i="22"/>
  <c r="HN69" i="22"/>
  <c r="HE86" i="22"/>
  <c r="HK70" i="22"/>
  <c r="HK85" i="22"/>
  <c r="HG81" i="22"/>
  <c r="HE76" i="22"/>
  <c r="HN72" i="22"/>
  <c r="HE83" i="22"/>
  <c r="HK74" i="22"/>
  <c r="HF74" i="22"/>
  <c r="HF76" i="22"/>
  <c r="HK76" i="22"/>
  <c r="HM79" i="22"/>
  <c r="HF81" i="22"/>
  <c r="HF77" i="22"/>
  <c r="HF79" i="22"/>
  <c r="HE78" i="22"/>
  <c r="HM69" i="22"/>
  <c r="HK75" i="22"/>
  <c r="HK73" i="22"/>
  <c r="HN70" i="22"/>
  <c r="HK71" i="22"/>
  <c r="FW78" i="22"/>
  <c r="EA68" i="22"/>
  <c r="GV68" i="22" s="1"/>
  <c r="DV73" i="22"/>
  <c r="GQ73" i="22" s="1"/>
  <c r="DY73" i="22"/>
  <c r="GT73" i="22" s="1"/>
  <c r="DX72" i="22"/>
  <c r="GS72" i="22" s="1"/>
  <c r="DW70" i="22"/>
  <c r="GR70" i="22" s="1"/>
  <c r="DU71" i="22"/>
  <c r="GP71" i="22" s="1"/>
  <c r="EA80" i="22"/>
  <c r="GV80" i="22" s="1"/>
  <c r="DV72" i="22"/>
  <c r="GQ72" i="22" s="1"/>
  <c r="DZ74" i="22"/>
  <c r="GU74" i="22" s="1"/>
  <c r="DY75" i="22"/>
  <c r="GT75" i="22" s="1"/>
  <c r="DY70" i="22"/>
  <c r="GT70" i="22" s="1"/>
  <c r="EA70" i="22"/>
  <c r="GV70" i="22" s="1"/>
  <c r="DY83" i="22"/>
  <c r="GT83" i="22" s="1"/>
  <c r="DY86" i="22"/>
  <c r="GT86" i="22" s="1"/>
  <c r="EA86" i="22"/>
  <c r="GV86" i="22" s="1"/>
  <c r="DZ82" i="22"/>
  <c r="GU82" i="22" s="1"/>
  <c r="DT71" i="22"/>
  <c r="GO71" i="22" s="1"/>
  <c r="DX74" i="22"/>
  <c r="GS74" i="22" s="1"/>
  <c r="DY82" i="22"/>
  <c r="GT82" i="22" s="1"/>
  <c r="DX78" i="22"/>
  <c r="GS78" i="22" s="1"/>
  <c r="DX73" i="22"/>
  <c r="GS73" i="22" s="1"/>
  <c r="DU70" i="22"/>
  <c r="GP70" i="22" s="1"/>
  <c r="DT69" i="22"/>
  <c r="GO69" i="22" s="1"/>
  <c r="DT76" i="22"/>
  <c r="GO76" i="22" s="1"/>
  <c r="DT78" i="22"/>
  <c r="GO78" i="22" s="1"/>
  <c r="DT82" i="22"/>
  <c r="GO82" i="22" s="1"/>
  <c r="DU72" i="22"/>
  <c r="GP72" i="22" s="1"/>
  <c r="DW73" i="22"/>
  <c r="GR73" i="22" s="1"/>
  <c r="DX70" i="22"/>
  <c r="GS70" i="22" s="1"/>
  <c r="DV69" i="22"/>
  <c r="GQ69" i="22" s="1"/>
  <c r="DY72" i="22"/>
  <c r="GT72" i="22" s="1"/>
  <c r="DX82" i="22"/>
  <c r="GS82" i="22" s="1"/>
  <c r="DY71" i="22"/>
  <c r="GT71" i="22" s="1"/>
  <c r="EA78" i="22"/>
  <c r="GV78" i="22" s="1"/>
  <c r="DT84" i="22"/>
  <c r="GO84" i="22" s="1"/>
  <c r="DT83" i="22"/>
  <c r="GO83" i="22" s="1"/>
  <c r="DY74" i="22"/>
  <c r="GT74" i="22" s="1"/>
  <c r="DY76" i="22"/>
  <c r="GT76" i="22" s="1"/>
  <c r="DT72" i="22"/>
  <c r="GO72" i="22" s="1"/>
  <c r="DZ70" i="22"/>
  <c r="GU70" i="22" s="1"/>
  <c r="DZ71" i="22"/>
  <c r="GU71" i="22" s="1"/>
  <c r="EA69" i="22"/>
  <c r="GV69" i="22" s="1"/>
  <c r="DZ79" i="22"/>
  <c r="GU79" i="22" s="1"/>
  <c r="DU76" i="22"/>
  <c r="GP76" i="22" s="1"/>
  <c r="DZ69" i="22"/>
  <c r="GU69" i="22" s="1"/>
  <c r="DY69" i="22"/>
  <c r="GT69" i="22" s="1"/>
  <c r="EA73" i="22"/>
  <c r="GV73" i="22" s="1"/>
  <c r="DX69" i="22"/>
  <c r="GS69" i="22" s="1"/>
  <c r="DT75" i="22"/>
  <c r="GO75" i="22" s="1"/>
  <c r="DY79" i="22"/>
  <c r="GT79" i="22" s="1"/>
  <c r="DX75" i="22"/>
  <c r="GS75" i="22" s="1"/>
  <c r="EA75" i="22"/>
  <c r="GV75" i="22" s="1"/>
  <c r="DT68" i="22"/>
  <c r="GO68" i="22" s="1"/>
  <c r="DZ77" i="22"/>
  <c r="GU77" i="22" s="1"/>
  <c r="DZ83" i="22"/>
  <c r="GU83" i="22" s="1"/>
  <c r="DW72" i="22"/>
  <c r="GR72" i="22" s="1"/>
  <c r="DX68" i="22"/>
  <c r="GS68" i="22" s="1"/>
  <c r="DY68" i="22"/>
  <c r="GT68" i="22" s="1"/>
  <c r="EA81" i="22"/>
  <c r="GV81" i="22" s="1"/>
  <c r="DY85" i="22"/>
  <c r="GT85" i="22" s="1"/>
  <c r="EA72" i="22"/>
  <c r="GV72" i="22" s="1"/>
  <c r="DZ80" i="22"/>
  <c r="GU80" i="22" s="1"/>
  <c r="DZ72" i="22"/>
  <c r="GU72" i="22" s="1"/>
  <c r="DU69" i="22"/>
  <c r="GP69" i="22" s="1"/>
  <c r="DT77" i="22"/>
  <c r="GO77" i="22" s="1"/>
  <c r="DT70" i="22"/>
  <c r="GO70" i="22" s="1"/>
  <c r="DT73" i="22"/>
  <c r="GO73" i="22" s="1"/>
  <c r="DU77" i="22"/>
  <c r="GP77" i="22" s="1"/>
  <c r="DZ73" i="22"/>
  <c r="GU73" i="22" s="1"/>
  <c r="DW71" i="22"/>
  <c r="GR71" i="22" s="1"/>
  <c r="DU74" i="22"/>
  <c r="GP74" i="22" s="1"/>
  <c r="EA79" i="22"/>
  <c r="GV79" i="22" s="1"/>
  <c r="EA83" i="22"/>
  <c r="GV83" i="22" s="1"/>
  <c r="DU68" i="22"/>
  <c r="GP68" i="22" s="1"/>
  <c r="DZ85" i="22"/>
  <c r="GU85" i="22" s="1"/>
  <c r="EA84" i="22"/>
  <c r="GV84" i="22" s="1"/>
  <c r="DZ75" i="22"/>
  <c r="GU75" i="22" s="1"/>
  <c r="DY81" i="22"/>
  <c r="GT81" i="22" s="1"/>
  <c r="DV71" i="22"/>
  <c r="GQ71" i="22" s="1"/>
  <c r="DT74" i="22"/>
  <c r="GO74" i="22" s="1"/>
  <c r="DW69" i="22"/>
  <c r="GR69" i="22" s="1"/>
  <c r="DU80" i="22"/>
  <c r="GP80" i="22" s="1"/>
  <c r="DY80" i="22"/>
  <c r="GT80" i="22" s="1"/>
  <c r="EA71" i="22"/>
  <c r="GV71" i="22" s="1"/>
  <c r="DZ76" i="22"/>
  <c r="GU76" i="22" s="1"/>
  <c r="DY78" i="22"/>
  <c r="GT78" i="22" s="1"/>
  <c r="DX71" i="22"/>
  <c r="GS71" i="22" s="1"/>
  <c r="DZ84" i="22"/>
  <c r="GU84" i="22" s="1"/>
  <c r="DV68" i="22"/>
  <c r="GQ68" i="22" s="1"/>
  <c r="DW68" i="22"/>
  <c r="GR68" i="22" s="1"/>
  <c r="DX76" i="22"/>
  <c r="GS76" i="22" s="1"/>
  <c r="EA76" i="22"/>
  <c r="GV76" i="22" s="1"/>
  <c r="DT81" i="22"/>
  <c r="GO81" i="22" s="1"/>
  <c r="DT86" i="22"/>
  <c r="GO86" i="22" s="1"/>
  <c r="DZ68" i="22"/>
  <c r="GU68" i="22" s="1"/>
  <c r="FW81" i="22"/>
  <c r="EA77" i="22"/>
  <c r="GV77" i="22" s="1"/>
  <c r="EA74" i="22"/>
  <c r="GV74" i="22" s="1"/>
  <c r="EA85" i="22"/>
  <c r="GV85" i="22" s="1"/>
  <c r="DY77" i="22"/>
  <c r="GT77" i="22" s="1"/>
  <c r="DU75" i="22"/>
  <c r="GP75" i="22" s="1"/>
  <c r="DT80" i="22"/>
  <c r="GO80" i="22" s="1"/>
  <c r="DV70" i="22"/>
  <c r="GQ70" i="22" s="1"/>
  <c r="DU73" i="22"/>
  <c r="GP73" i="22" s="1"/>
  <c r="DT85" i="22"/>
  <c r="GO85" i="22" s="1"/>
  <c r="DT79" i="22"/>
  <c r="GO79" i="22" s="1"/>
  <c r="DZ86" i="22"/>
  <c r="GU86" i="22" s="1"/>
  <c r="DU84" i="22"/>
  <c r="GP84" i="22" s="1"/>
  <c r="F13" i="22"/>
  <c r="F16" i="22" s="1"/>
  <c r="G13" i="22"/>
  <c r="G16" i="22" s="1"/>
  <c r="E13" i="22"/>
  <c r="E16" i="22" s="1"/>
  <c r="H13" i="22"/>
  <c r="H16" i="22" s="1"/>
  <c r="H55" i="22" s="1"/>
  <c r="H10" i="22"/>
  <c r="H49" i="22" s="1"/>
  <c r="G49" i="22" s="1"/>
  <c r="F49" i="22" s="1"/>
  <c r="E49" i="22" s="1"/>
  <c r="D49" i="22" s="1"/>
  <c r="C49" i="22" s="1"/>
  <c r="H48" i="22"/>
  <c r="G48" i="22" s="1"/>
  <c r="F48" i="22" s="1"/>
  <c r="E48" i="22" s="1"/>
  <c r="D48" i="22" s="1"/>
  <c r="C48" i="22" s="1"/>
  <c r="B48" i="22" s="1"/>
  <c r="B10" i="22"/>
  <c r="HI86" i="22" l="1"/>
  <c r="HI85" i="22"/>
  <c r="HI79" i="22"/>
  <c r="HI71" i="22"/>
  <c r="HI74" i="22"/>
  <c r="HJ68" i="22"/>
  <c r="HI82" i="22"/>
  <c r="HI72" i="22"/>
  <c r="HI83" i="22"/>
  <c r="HI80" i="22"/>
  <c r="HI77" i="22"/>
  <c r="HI84" i="22"/>
  <c r="HI70" i="22"/>
  <c r="HI76" i="22"/>
  <c r="HI75" i="22"/>
  <c r="HI73" i="22"/>
  <c r="HI69" i="22"/>
  <c r="HI68" i="22"/>
  <c r="HE71" i="22"/>
  <c r="HJ73" i="22"/>
  <c r="HH72" i="22"/>
  <c r="HC69" i="22"/>
  <c r="HJ80" i="22"/>
  <c r="HC86" i="22"/>
  <c r="HH81" i="22"/>
  <c r="HH69" i="22"/>
  <c r="HE69" i="22"/>
  <c r="HH86" i="22"/>
  <c r="HD71" i="22"/>
  <c r="HD75" i="22"/>
  <c r="HC81" i="22"/>
  <c r="HJ72" i="22"/>
  <c r="HG70" i="22"/>
  <c r="HH83" i="22"/>
  <c r="HJ71" i="22"/>
  <c r="HG78" i="22"/>
  <c r="HC85" i="22"/>
  <c r="HJ77" i="22"/>
  <c r="HE68" i="22"/>
  <c r="HF69" i="22"/>
  <c r="HJ83" i="22"/>
  <c r="HC77" i="22"/>
  <c r="HG68" i="22"/>
  <c r="HC75" i="22"/>
  <c r="HH71" i="22"/>
  <c r="HC78" i="22"/>
  <c r="HC71" i="22"/>
  <c r="HD73" i="22"/>
  <c r="HC74" i="22"/>
  <c r="HJ79" i="22"/>
  <c r="HD69" i="22"/>
  <c r="HF72" i="22"/>
  <c r="HG69" i="22"/>
  <c r="HG82" i="22"/>
  <c r="HC76" i="22"/>
  <c r="HE72" i="22"/>
  <c r="HE70" i="22"/>
  <c r="HG71" i="22"/>
  <c r="HD74" i="22"/>
  <c r="HC72" i="22"/>
  <c r="HJ86" i="22"/>
  <c r="HH77" i="22"/>
  <c r="HJ84" i="22"/>
  <c r="HH85" i="22"/>
  <c r="HD76" i="22"/>
  <c r="HF73" i="22"/>
  <c r="HJ70" i="22"/>
  <c r="HJ85" i="22"/>
  <c r="HG76" i="22"/>
  <c r="HH80" i="22"/>
  <c r="HC73" i="22"/>
  <c r="HJ81" i="22"/>
  <c r="HG75" i="22"/>
  <c r="HC84" i="22"/>
  <c r="HD72" i="22"/>
  <c r="HH82" i="22"/>
  <c r="HH70" i="22"/>
  <c r="HH73" i="22"/>
  <c r="HC80" i="22"/>
  <c r="HH78" i="22"/>
  <c r="HF71" i="22"/>
  <c r="HH76" i="22"/>
  <c r="HD70" i="22"/>
  <c r="HH74" i="22"/>
  <c r="HG73" i="22"/>
  <c r="HF70" i="22"/>
  <c r="HD84" i="22"/>
  <c r="HJ76" i="22"/>
  <c r="HD77" i="22"/>
  <c r="HJ75" i="22"/>
  <c r="HC83" i="22"/>
  <c r="HG72" i="22"/>
  <c r="HC79" i="22"/>
  <c r="HJ74" i="22"/>
  <c r="HF68" i="22"/>
  <c r="HD80" i="22"/>
  <c r="HD68" i="22"/>
  <c r="HC70" i="22"/>
  <c r="HH68" i="22"/>
  <c r="HH79" i="22"/>
  <c r="HJ69" i="22"/>
  <c r="HJ78" i="22"/>
  <c r="HC82" i="22"/>
  <c r="HG74" i="22"/>
  <c r="HH75" i="22"/>
  <c r="HE73" i="22"/>
  <c r="HC68" i="22"/>
  <c r="FU68" i="22"/>
  <c r="FX68" i="22" s="1"/>
  <c r="F14" i="22"/>
  <c r="FU84" i="22"/>
  <c r="FU70" i="22"/>
  <c r="FU82" i="22"/>
  <c r="FU85" i="22"/>
  <c r="FU72" i="22"/>
  <c r="FU83" i="22"/>
  <c r="FU79" i="22"/>
  <c r="FU86" i="22"/>
  <c r="D13" i="22"/>
  <c r="D16" i="22" s="1"/>
  <c r="FU80" i="22"/>
  <c r="FU77" i="22"/>
  <c r="C13" i="22"/>
  <c r="C16" i="22" s="1"/>
  <c r="FU76" i="22"/>
  <c r="FU75" i="22"/>
  <c r="FU73" i="22"/>
  <c r="FU69" i="22"/>
  <c r="FU71" i="22"/>
  <c r="FU74" i="22"/>
  <c r="E14" i="22"/>
  <c r="G14" i="22"/>
  <c r="H52" i="22"/>
  <c r="G52" i="22" s="1"/>
  <c r="F52" i="22" s="1"/>
  <c r="E52" i="22" s="1"/>
  <c r="H14" i="22"/>
  <c r="H53" i="22" s="1"/>
  <c r="G55" i="22"/>
  <c r="F55" i="22" s="1"/>
  <c r="E55" i="22" s="1"/>
  <c r="B49" i="22"/>
  <c r="FW68" i="22" l="1"/>
  <c r="D55" i="22"/>
  <c r="D52" i="22"/>
  <c r="C52" i="22" s="1"/>
  <c r="B52" i="22" s="1"/>
  <c r="C14" i="22"/>
  <c r="G53" i="22"/>
  <c r="F53" i="22" s="1"/>
  <c r="E53" i="22" s="1"/>
  <c r="FX73" i="22"/>
  <c r="FW73" i="22"/>
  <c r="FW79" i="22"/>
  <c r="FX79" i="22"/>
  <c r="FW80" i="22"/>
  <c r="FX80" i="22"/>
  <c r="FX74" i="22"/>
  <c r="FW74" i="22"/>
  <c r="FX75" i="22"/>
  <c r="FW75" i="22"/>
  <c r="FX82" i="22"/>
  <c r="FW82" i="22"/>
  <c r="FW83" i="22"/>
  <c r="FX83" i="22"/>
  <c r="FX86" i="22"/>
  <c r="FW86" i="22"/>
  <c r="FX71" i="22"/>
  <c r="FW71" i="22"/>
  <c r="FX76" i="22"/>
  <c r="FW76" i="22"/>
  <c r="FW70" i="22"/>
  <c r="FX70" i="22"/>
  <c r="FX72" i="22"/>
  <c r="FW72" i="22"/>
  <c r="D14" i="22"/>
  <c r="FX69" i="22"/>
  <c r="FW69" i="22"/>
  <c r="FX84" i="22"/>
  <c r="FW84" i="22"/>
  <c r="FX77" i="22"/>
  <c r="FW77" i="22"/>
  <c r="FW85" i="22"/>
  <c r="FX85" i="22"/>
  <c r="C55" i="22"/>
  <c r="B55" i="22" s="1"/>
  <c r="D53" i="22" l="1"/>
  <c r="C53" i="22" s="1"/>
  <c r="B53" i="22" s="1"/>
  <c r="O8" i="22" s="1"/>
  <c r="Q8" i="22" l="1"/>
  <c r="P7" i="22"/>
  <c r="P10" i="22" s="1"/>
  <c r="P11" i="22"/>
  <c r="P12" i="22" s="1"/>
  <c r="O13" i="22"/>
  <c r="O14" i="22" s="1"/>
  <c r="O7" i="22"/>
  <c r="O10" i="22" s="1"/>
  <c r="R13" i="22"/>
  <c r="R14" i="22" s="1"/>
  <c r="R53" i="22" s="1"/>
  <c r="N11" i="22"/>
  <c r="N12" i="22" s="1"/>
  <c r="N7" i="22"/>
  <c r="N10" i="22" s="1"/>
  <c r="N8" i="22"/>
  <c r="Q11" i="22"/>
  <c r="Q12" i="22" s="1"/>
  <c r="P13" i="22"/>
  <c r="P14" i="22" s="1"/>
  <c r="N13" i="22"/>
  <c r="N14" i="22" s="1"/>
  <c r="Q7" i="22"/>
  <c r="Q10" i="22" s="1"/>
  <c r="P8" i="22"/>
  <c r="O11" i="22"/>
  <c r="O12" i="22" s="1"/>
  <c r="R8" i="22"/>
  <c r="R47" i="22" s="1"/>
  <c r="Q47" i="22" s="1"/>
  <c r="R7" i="22"/>
  <c r="R10" i="22" s="1"/>
  <c r="R49" i="22" s="1"/>
  <c r="Q13" i="22"/>
  <c r="Q14" i="22" s="1"/>
  <c r="R11" i="22"/>
  <c r="R12" i="22" s="1"/>
  <c r="R51" i="22" s="1"/>
  <c r="P9" i="22" l="1"/>
  <c r="O9" i="22"/>
  <c r="R52" i="22"/>
  <c r="Q52" i="22" s="1"/>
  <c r="P52" i="22" s="1"/>
  <c r="O52" i="22" s="1"/>
  <c r="N52" i="22" s="1"/>
  <c r="Q53" i="22"/>
  <c r="P53" i="22" s="1"/>
  <c r="O53" i="22" s="1"/>
  <c r="N53" i="22" s="1"/>
  <c r="Q51" i="22"/>
  <c r="P51" i="22" s="1"/>
  <c r="O51" i="22" s="1"/>
  <c r="N51" i="22" s="1"/>
  <c r="N15" i="22"/>
  <c r="N9" i="22"/>
  <c r="Q49" i="22"/>
  <c r="P49" i="22" s="1"/>
  <c r="O49" i="22" s="1"/>
  <c r="N49" i="22" s="1"/>
  <c r="P15" i="22"/>
  <c r="R15" i="22"/>
  <c r="R54" i="22" s="1"/>
  <c r="P47" i="22"/>
  <c r="O47" i="22" s="1"/>
  <c r="N47" i="22" s="1"/>
  <c r="R9" i="22"/>
  <c r="R48" i="22" s="1"/>
  <c r="Q15" i="22"/>
  <c r="O15" i="22"/>
  <c r="Q9" i="22"/>
  <c r="R46" i="22"/>
  <c r="Q46" i="22" s="1"/>
  <c r="P46" i="22" s="1"/>
  <c r="O46" i="22" s="1"/>
  <c r="N46" i="22" s="1"/>
  <c r="R50" i="22"/>
  <c r="Q50" i="22" s="1"/>
  <c r="P50" i="22" s="1"/>
  <c r="O50" i="22" s="1"/>
  <c r="N50" i="22" s="1"/>
  <c r="Q48" i="22" l="1"/>
  <c r="P48" i="22" s="1"/>
  <c r="O48" i="22" s="1"/>
  <c r="N48" i="22" s="1"/>
  <c r="Q54" i="22"/>
  <c r="P54" i="22" s="1"/>
  <c r="O54" i="22" s="1"/>
  <c r="N54" i="2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<sst xmlns="http://schemas.openxmlformats.org/spreadsheetml/2006/main" count="2618" uniqueCount="878">
  <si>
    <t>Family Size</t>
  </si>
  <si>
    <t>nMax</t>
  </si>
  <si>
    <t>nMin</t>
  </si>
  <si>
    <t>MaxTime</t>
  </si>
  <si>
    <t>Exact nMax</t>
  </si>
  <si>
    <t>Exact Family</t>
  </si>
  <si>
    <t>Heuristic Methods</t>
  </si>
  <si>
    <t>Exact Methods</t>
  </si>
  <si>
    <t>m4riRW</t>
  </si>
  <si>
    <t>QDistRndMW</t>
  </si>
  <si>
    <t>QDistEvol</t>
  </si>
  <si>
    <t>BP-OSD</t>
  </si>
  <si>
    <t>GEStim</t>
  </si>
  <si>
    <t>CCStim</t>
  </si>
  <si>
    <t>UEStim</t>
  </si>
  <si>
    <t>Gurobi</t>
  </si>
  <si>
    <t>MIP-SCIP</t>
  </si>
  <si>
    <t>CLISAT</t>
  </si>
  <si>
    <t>m4riCC</t>
  </si>
  <si>
    <t>Magma</t>
  </si>
  <si>
    <t>Result Returned</t>
  </si>
  <si>
    <t>#,##0</t>
  </si>
  <si>
    <t>No Result</t>
  </si>
  <si>
    <t>Completed &lt; MaxTime</t>
  </si>
  <si>
    <t>At lowest distance</t>
  </si>
  <si>
    <t>#,##0;;</t>
  </si>
  <si>
    <t>Completed &gt; MaxTime</t>
  </si>
  <si>
    <t>Overall Success Rate</t>
  </si>
  <si>
    <t>0.0%;;</t>
  </si>
  <si>
    <t>Total Time (s)</t>
  </si>
  <si>
    <t>0.0E+00;;</t>
  </si>
  <si>
    <t>Trials</t>
  </si>
  <si>
    <t>Overall success rate</t>
  </si>
  <si>
    <t>Trials at lowest distance</t>
  </si>
  <si>
    <t>Total Time</t>
  </si>
  <si>
    <t>Trial Success Rate</t>
  </si>
  <si>
    <t>Time/Trial</t>
  </si>
  <si>
    <t>Time/Successful Trial</t>
  </si>
  <si>
    <t>not completed</t>
  </si>
  <si>
    <t>Chart Dataset:</t>
  </si>
  <si>
    <t>Total Processing Time</t>
  </si>
  <si>
    <t>\begin{center}</t>
  </si>
  <si>
    <t>\begin{tabular}{ |l|</t>
  </si>
  <si>
    <t>r|</t>
  </si>
  <si>
    <t>}</t>
  </si>
  <si>
    <t>\hline</t>
  </si>
  <si>
    <t>\\</t>
  </si>
  <si>
    <t>\end{tabular}</t>
  </si>
  <si>
    <t>\end{center}</t>
  </si>
  <si>
    <t>Offset</t>
  </si>
  <si>
    <t>Chart Data</t>
  </si>
  <si>
    <t>Match</t>
  </si>
  <si>
    <t>dCalc</t>
  </si>
  <si>
    <t>Algorithm Completed within maxTime</t>
  </si>
  <si>
    <t>d Estimated Successfully</t>
  </si>
  <si>
    <t>dEst</t>
  </si>
  <si>
    <t>d correct</t>
  </si>
  <si>
    <t>Number of Trials at lowest distance</t>
  </si>
  <si>
    <t>R</t>
  </si>
  <si>
    <t>T</t>
  </si>
  <si>
    <t>best</t>
  </si>
  <si>
    <t>n</t>
  </si>
  <si>
    <t>dMin</t>
  </si>
  <si>
    <t>m4ri_CC</t>
  </si>
  <si>
    <t>magma</t>
  </si>
  <si>
    <t>m4ri_RW</t>
  </si>
  <si>
    <t>bposd</t>
  </si>
  <si>
    <t>t</t>
  </si>
  <si>
    <t>success rate</t>
  </si>
  <si>
    <t>t/R</t>
  </si>
  <si>
    <t>name</t>
  </si>
  <si>
    <t>k</t>
  </si>
  <si>
    <t>d</t>
  </si>
  <si>
    <t>runMode: serial</t>
  </si>
  <si>
    <t>maxCount: 10000</t>
  </si>
  <si>
    <t>repeat: 1</t>
  </si>
  <si>
    <t xml:space="preserve">datafile: </t>
  </si>
  <si>
    <t>ignoreTrivialCodes: 1</t>
  </si>
  <si>
    <t>iterCount: 10000</t>
  </si>
  <si>
    <t>maxTime: 28800</t>
  </si>
  <si>
    <t>nThreads: 1</t>
  </si>
  <si>
    <t>verbose: False</t>
  </si>
  <si>
    <t>maxErr: -1</t>
  </si>
  <si>
    <t>filterCircuit: 1</t>
  </si>
  <si>
    <t>HL: 0</t>
  </si>
  <si>
    <t>genCount: 100</t>
  </si>
  <si>
    <t>offspring: 10</t>
  </si>
  <si>
    <t>pMut: 2.0</t>
  </si>
  <si>
    <t>sMut: 1.0</t>
  </si>
  <si>
    <t>addStabs: 0</t>
  </si>
  <si>
    <t>#########################################</t>
  </si>
  <si>
    <t>delta d</t>
  </si>
  <si>
    <t>Time</t>
  </si>
  <si>
    <t>Progress</t>
  </si>
  <si>
    <t>method: CLISATDist</t>
  </si>
  <si>
    <t>method: ColourCodeDistStim</t>
  </si>
  <si>
    <t>resume: 0</t>
  </si>
  <si>
    <t>method: decoderDist</t>
  </si>
  <si>
    <t>decoder: bposd</t>
  </si>
  <si>
    <t>bp_method: product_sum</t>
  </si>
  <si>
    <t>bp_schedule: parallel</t>
  </si>
  <si>
    <t>osd_method: OSD_CS</t>
  </si>
  <si>
    <t>bp_max_iter: 100</t>
  </si>
  <si>
    <t>osd_order: 1</t>
  </si>
  <si>
    <t>method: dist_m4ri_CC</t>
  </si>
  <si>
    <t>CCstart: -1</t>
  </si>
  <si>
    <t>method: GraphLikeErrorStim</t>
  </si>
  <si>
    <t>dont_explore_detection_event_sets_with_size_above=2,dont_explore_edges_with_degree_above=2; no lo found</t>
  </si>
  <si>
    <t>method: dist_m4ri_RW</t>
  </si>
  <si>
    <t>method: GurobiDist</t>
  </si>
  <si>
    <t>method: MIPDist</t>
  </si>
  <si>
    <t>MIP_solver: SCIP</t>
  </si>
  <si>
    <t>method: QDistEvol</t>
  </si>
  <si>
    <t>method: QDistRndMW</t>
  </si>
  <si>
    <t>method: UndetectableErrorStim</t>
  </si>
  <si>
    <t>nMax completed</t>
  </si>
  <si>
    <t>Exact Method Check</t>
  </si>
  <si>
    <t>dataset: tanner_codes</t>
  </si>
  <si>
    <t>nMin: 1</t>
  </si>
  <si>
    <t>nMax: 100000</t>
  </si>
  <si>
    <t>GF4blockRep: 3</t>
  </si>
  <si>
    <t>regroupPerm: 1</t>
  </si>
  <si>
    <t>outfile: /home/ucapmwe/dist-benchmark/results/tanner_codes-CLISATDist-20260203_134426.958652_85062422.txt</t>
  </si>
  <si>
    <t>36_8_4</t>
  </si>
  <si>
    <t>c Parsing MaxSAT file...\nc ============================[  Problem Statistics ]============================\nc |  Number of variables:           198                                         |\nc |  Number of clauses:             685                                         |\nc ===============================================================================\nc Using SCIP solver, version 7.0.3, https://www.scipopt.org\nc scip_time = 0.000000\nc Starting SCIP solver in a separate thread (with time-limit = 0s) ...\nc Using COMiniSatPS SAT solver by Chanseok Oh (2016)\no 4\nc _x001B_[1mOptimal solution: 4_x001B_[0m\nc _______________________________________________________________________________\nc \nc restarts               : 86\nc conflicts              : 463            (39471 /sec)\nc decisions              : 915            (0.00 % random) (78005 /sec)\nc propagations           : 22223          (1894544 /sec)\nc conflict literals      : 4757           (13.35 % deleted)\nc =======================[ UWrMaxSat resources usage ]===========================\nc Memory used            : 27.00 MB\nc CPU time               : 0.01173 s\nc Wall clock time        : 0 s\nc OptExp Enc: Srt/BDD/Add: 10 0 0\nc _______________________________________________________________________________\nv 011110000000000000000000000000000000101010100000001000000000000000000110000000000000000000100000000000000000000000000000000000000000000011000000000000000000001100000000000000000001000000000000000000010000000000000000\ns OPTIMUM FOUND\n</t>
  </si>
  <si>
    <t>72_8_8</t>
  </si>
  <si>
    <t>c Parsing MaxSAT file...\nc ============================[  Problem Statistics ]============================\nc |  Number of variables:           392                                         |\nc |  Number of clauses:            1353                                         |\nc ===============================================================================\nc Using SCIP solver, version 7.0.3, https://www.scipopt.org\nc scip_time = 0.000000\nc Starting SCIP solver in a separate thread (with time-limit = 0s) ...\nc Using COMiniSatPS SAT solver by Chanseok Oh (2016)\no 8\nc _x001B_[1mOptimal solution: 8_x001B_[0m\nc _______________________________________________________________________________\nc \nc restarts               : 357\nc conflicts              : 23978          (16884 /sec)\nc decisions              : 30636          (0.00 % random) (21572 /sec)\nc propagations           : 2323586        (1636145 /sec)\nc conflict literals      : 414705         (24.83 % deleted)\nc =======================[ UWrMaxSat resources usage ]===========================\nc Memory used            : 151.00 MB\nc CPU time               : 1.42016 s\nc Wall clock time        : 1 s\nc OptExp Enc: Srt/BDD/Add: 31 0 0\nc _______________________________________________________________________________\nv 11010110110100000000000000000000000000000000000000000000000000000000000001010000100001101100001001011001010000100000000000000000000011000000000000000000000000000000000011000000000000000000000000000000000000000000000000000000000000000000000000000000000000000000001100000000000000000011000000000000000000000000000000000000000000000000000011000000000000000000000011000000000000000000000000000000000000000000000000000000000000000000\ns OPTIMUM FOUND\n</t>
  </si>
  <si>
    <t>108_2_12</t>
  </si>
  <si>
    <t>c Parsing MaxSAT file...\nc ============================[  Problem Statistics ]============================\nc |  Number of variables:           508                                         |\nc |  Number of clauses:            1709                                         |\nc ===============================================================================\nc Using SCIP solver, version 7.0.3, https://www.scipopt.org\nc scip_time = 0.000000\nc Starting SCIP solver in a separate thread (with time-limit = 0s) ...\nc Using COMiniSatPS SAT solver by Chanseok Oh (2016)\no 12\nc _x001B_[1mOptimal solution: 12_x001B_[0m\nc _______________________________________________________________________________\nc \nc restarts               : 4780\nc conflicts              : 1171296        (6981 /sec)\nc decisions              : 1434948        (0.00 % random) (8552 /sec)\nc propagations           : 164920031      (982917 /sec)\nc conflict literals      : 31153562       (34.33 % deleted)\nc =======================[ UWrMaxSat resources usage ]===========================\nc Memory used            : 249.00 MB\nc CPU time               : 167.786 s\nc Wall clock time        : 169 s\nc OptExp Enc: Srt/BDD/Add: 69 0 0\nc _______________________________________________________________________________\nv 0000000000000000001010101000100010000010100010100010100000000000000000000000000000000000000000000000000000000000000000000000000000000000000000000000000111011010111100001001111011000001100111101100000010011000110001100010111100000000000000000000000101111000000000000000000000010111110000000000000000000000000000000000000000000000000000000000000000000000000000000000000000000000000000000000000000000000000000000000000000000000000000000000000000000010000000000000000000000000000000000000000000000000000000000000000000000000000000000100000000000000000000000000000000\ns OPTIMUM FOUND\n</t>
  </si>
  <si>
    <t>144_2_13</t>
  </si>
  <si>
    <t>c Parsing MaxSAT file...\nc ============================[  Problem Statistics ]============================\nc |  Number of variables:           696                                         |\nc |  Number of clauses:            2353                                         |\nc ===============================================================================\nc Using SCIP solver, version 7.0.3, https://www.scipopt.org\nc scip_time = 0.000000\nc Starting SCIP solver in a separate thread (with time-limit = 0s) ...\nc Using COMiniSatPS SAT solver by Chanseok Oh (2016)\no 16\no 13\nc _x001B_[1mOptimal solution: 13_x001B_[0m\nc _______________________________________________________________________________\nc \nc restarts               : 21637\nc conflicts              : 8395509        (4417 /sec)\nc decisions              : 10225610       (0.00 % random) (5379 /sec)\nc propagations           : 1449572782     (762581 /sec)\nc conflict literals      : 255484193      (36.07 % deleted)\nc =======================[ UWrMaxSat resources usage ]===========================\nc Memory used            : 235.00 MB\nc CPU time               : 1900.88 s\nc Wall clock time        : 1906 s\nc OptExp Enc: Srt/BDD/Add: 65 0 0\nc _______________________________________________________________________________\nv 000000000100000001000000000000000000000001000000000000000000000000000000000000010010000000010000001100010000000000000010000100000000000000010010000000000000011100000000000000000000001101000110010000000000001000000110000100000000000010010010000001000101100101001001000000000000000000010000010000100000000010000001000000100011000100000001000010010010010000000000010000000000100000010000110010000000000001101110100011111010001000000000000000000000000101000001001000111001011001001000001000010110000100000000101010011100101001000000000000000000011100001000001100001111000011000000000000000000000000100000110000010000000000000000001010101110011000001000000000110000000000000000000000000000010000000000000000000000010100000100010000000001001010001000001100000000000000000000\ns OPTIMUM FOUND\n</t>
  </si>
  <si>
    <t>outfile: /home/ucapmwe/dist-benchmark/results/tanner_codes-ColourCodeDistStim-20260203_134426.958100_85062422.txt</t>
  </si>
  <si>
    <t>dont_explore_detection_event_sets_with_size_above=3,dont_explore_edges_with_degree_above=18; Found w:4</t>
  </si>
  <si>
    <t>dont_explore_detection_event_sets_with_size_above=3,dont_explore_edges_with_degree_above=36; Found w:8</t>
  </si>
  <si>
    <t>dont_explore_detection_event_sets_with_size_above=3,dont_explore_edges_with_degree_above=54; Found w:28</t>
  </si>
  <si>
    <t>dont_explore_detection_event_sets_with_size_above=3,dont_explore_edges_with_degree_above=72; no lo found</t>
  </si>
  <si>
    <t>180_2_17</t>
  </si>
  <si>
    <t>dont_explore_detection_event_sets_with_size_above=3,dont_explore_edges_with_degree_above=90; Found w:32</t>
  </si>
  <si>
    <t>216_4_18</t>
  </si>
  <si>
    <t>dont_explore_detection_event_sets_with_size_above=3,dont_explore_edges_with_degree_above=108; no lo found</t>
  </si>
  <si>
    <t>252_2_21</t>
  </si>
  <si>
    <t>dont_explore_detection_event_sets_with_size_above=3,dont_explore_edges_with_degree_above=126; no lo found</t>
  </si>
  <si>
    <t>288_2_24</t>
  </si>
  <si>
    <t>dont_explore_detection_event_sets_with_size_above=3,dont_explore_edges_with_degree_above=144; no lo found</t>
  </si>
  <si>
    <t>324_4_25</t>
  </si>
  <si>
    <t>dont_explore_detection_event_sets_with_size_above=3,dont_explore_edges_with_degree_above=162; no lo found</t>
  </si>
  <si>
    <t>360_4_24</t>
  </si>
  <si>
    <t>dont_explore_detection_event_sets_with_size_above=3,dont_explore_edges_with_degree_above=180; no lo found</t>
  </si>
  <si>
    <t>396_4_26</t>
  </si>
  <si>
    <t>dont_explore_detection_event_sets_with_size_above=3,dont_explore_edges_with_degree_above=198; no lo found</t>
  </si>
  <si>
    <t>432_8_33</t>
  </si>
  <si>
    <t>dont_explore_detection_event_sets_with_size_above=3,dont_explore_edges_with_degree_above=216; no lo found</t>
  </si>
  <si>
    <t>468_4_31</t>
  </si>
  <si>
    <t>dont_explore_detection_event_sets_with_size_above=3,dont_explore_edges_with_degree_above=234; no lo found</t>
  </si>
  <si>
    <t>496_2_32</t>
  </si>
  <si>
    <t>dont_explore_detection_event_sets_with_size_above=3,dont_explore_edges_with_degree_above=248; Found w:62</t>
  </si>
  <si>
    <t>504_2_45</t>
  </si>
  <si>
    <t>dont_explore_detection_event_sets_with_size_above=3,dont_explore_edges_with_degree_above=252; no lo found</t>
  </si>
  <si>
    <t>540_4_40</t>
  </si>
  <si>
    <t>dont_explore_detection_event_sets_with_size_above=3,dont_explore_edges_with_degree_above=270; no lo found</t>
  </si>
  <si>
    <t>576_2_57</t>
  </si>
  <si>
    <t>dont_explore_detection_event_sets_with_size_above=3,dont_explore_edges_with_degree_above=288; no lo found</t>
  </si>
  <si>
    <t>576_2_59</t>
  </si>
  <si>
    <t>612_2_52</t>
  </si>
  <si>
    <t>dont_explore_detection_event_sets_with_size_above=3,dont_explore_edges_with_degree_above=306; no lo found</t>
  </si>
  <si>
    <t>648_10_71</t>
  </si>
  <si>
    <t>dont_explore_detection_event_sets_with_size_above=3,dont_explore_edges_with_degree_above=324; no lo found</t>
  </si>
  <si>
    <t>648_14_50</t>
  </si>
  <si>
    <t>684_2_29</t>
  </si>
  <si>
    <t>dont_explore_detection_event_sets_with_size_above=3,dont_explore_edges_with_degree_above=342; no lo found</t>
  </si>
  <si>
    <t>outfile: /home/ucapmwe/dist-benchmark/results/tanner_codes-decoderDist-bposd-20260203_134426.958079_85062422.txt</t>
  </si>
  <si>
    <t>Trial:0 w:4; pErr:0.0000, weight 4 CW found:145</t>
  </si>
  <si>
    <t>Trial:0 w:9; Trial:1 w:8; pErr:0.0004, weight 8 CW found:1290</t>
  </si>
  <si>
    <t>Trial:0 w:19; Trial:1 w:12; pErr:0.2294, weight 12 CW found:6792</t>
  </si>
  <si>
    <t>Trial:0 w:26; Trial:1 w:22; Trial:2 w:19; Trial:5 w:16; Trial:11 w:14; Trial:45 w:13; pErr:0.3491, weight 13 CW found:9460</t>
  </si>
  <si>
    <t>Trial:0 w:29; Trial:1 w:25; Trial:5 w:22; Trial:10 w:21; Trial:48 w:20; Trial:72 w:18; Trial:1230 w:17; pErr:0.3673, weight 17 CW found:8756</t>
  </si>
  <si>
    <t>Trial:0 w:31; Trial:7 w:23; Trial:27 w:22; Trial:200 w:19; Trial:499 w:18; pErr:0.3673, weight 18 CW found:9487</t>
  </si>
  <si>
    <t>Trial:0 w:46; Trial:3 w:44; Trial:5 w:37; Trial:10 w:35; Trial:14 w:32; Trial:18 w:30; Trial:88 w:29; Trial:514 w:25; Trial:2552 w:23; pErr:0.3679, weight 23 CW found:7448</t>
  </si>
  <si>
    <t>Trial:0 w:54; Trial:2 w:53; Trial:3 w:47; Trial:25 w:41; Trial:38 w:36; Trial:127 w:33; Trial:401 w:30; Trial:1853 w:29; Trial:2304 w:27; pErr:0.3679, weight 27 CW found:7696</t>
  </si>
  <si>
    <t>Trial:0 w:57; Trial:2 w:50; Trial:7 w:48; Trial:8 w:46; Trial:39 w:41; Trial:101 w:31; Trial:697 w:30; pErr:0.3679, weight 30 CW found:9303</t>
  </si>
  <si>
    <t>Trial:0 w:69; Trial:2 w:65; Trial:3 w:58; Trial:4 w:49; Trial:11 w:48; Trial:35 w:34; Trial:1468 w:32; Trial:3797 w:30; Trial:3981 w:29; Trial:5147 w:25; pErr:0.3679, weight 25 CW found:4853</t>
  </si>
  <si>
    <t>Trial:0 w:76; Trial:1 w:72; Trial:3 w:64; Trial:4 w:55; Trial:7 w:53; Trial:9 w:48; Trial:72 w:46; Trial:180 w:44; Trial:192 w:40; Trial:1407 w:39; Trial:1956 w:35; Trial:9943 w:34; pErr:0.3679, weight 34 CW found:57</t>
  </si>
  <si>
    <t>Trial:0 w:85; Trial:1 w:74; Trial:3 w:60; Trial:131 w:59; Trial:313 w:57; Trial:393 w:48; Trial:4151 w:41; pErr:0.3679, weight 41 CW found:5849</t>
  </si>
  <si>
    <t>Trial:0 w:83; Trial:1 w:80; Trial:2 w:59; Trial:13 w:48; Trial:514 w:36; pErr:0.3679, weight 36 CW found:9486</t>
  </si>
  <si>
    <t>Trial:0 w:64; Trial:5 w:60; Trial:19 w:58; Trial:29 w:56; Trial:76 w:50; Trial:187 w:48; Trial:736 w:46; Trial:2176 w:42; Trial:2219 w:40; Trial:6901 w:38; pErr:0.3679, weight 38 CW found:3099</t>
  </si>
  <si>
    <t>Trial:0 w:100; Trial:1 w:84; Trial:6 w:82; Trial:25 w:75; Trial:27 w:73; Trial:1528 w:72; Trial:2533 w:70; Trial:5781 w:69; Trial:7808 w:68; Trial:8734 w:67; Trial:9300 w:66; pErr:0.3679, weight 66 CW found:700</t>
  </si>
  <si>
    <t>Trial:0 w:100; Trial:1 w:97; Trial:3 w:93; Trial:20 w:82; Trial:188 w:78; Trial:213 w:72; Trial:1823 w:60; pErr:0.3679, weight 60 CW found:8177</t>
  </si>
  <si>
    <t>Trial:0 w:114; Trial:1 w:107; Trial:2 w:104; Trial:3 w:99; Trial:10 w:95; Trial:186 w:93; Trial:463 w:91; Trial:781 w:90; Trial:783 w:87; Trial:1554 w:86; Trial:2142 w:82; Trial:2802 w:71; pErr:0.3679, weight 71 CW found:7198</t>
  </si>
  <si>
    <t>Trial:0 w:108; Trial:6 w:104; Trial:13 w:101; Trial:18 w:99; Trial:22 w:97; Trial:27 w:94; Trial:237 w:91; Trial:243 w:90; Trial:312 w:87; Trial:745 w:70; pErr:0.3679, weight 70 CW found:9255</t>
  </si>
  <si>
    <t>Trial:0 w:114; Trial:1 w:102; Trial:134 w:101; Trial:146 w:92; Trial:357 w:65; pErr:0.3679, weight 65 CW found:9643</t>
  </si>
  <si>
    <t>Trial:0 w:117; Trial:4 w:102; Trial:5 w:97; Trial:770 w:94; Trial:1030 w:85; Trial:2286 w:81; pErr:0.3679, weight 81 CW found:7714</t>
  </si>
  <si>
    <t>Trial:0 w:112; Trial:2 w:108; Trial:9 w:107; Trial:46 w:105; Trial:64 w:94; Trial:370 w:93; Trial:380 w:80; Trial:3453 w:78; pErr:0.3679, weight 78 CW found:6547</t>
  </si>
  <si>
    <t>Trial:0 w:118; Trial:1 w:114; Trial:2 w:86; Trial:27 w:81; Trial:41 w:76; Trial:47 w:61; Trial:202 w:52; Trial:398 w:51; Trial:716 w:50; Trial:1904 w:45; Trial:8241 w:42; pErr:0.3679, weight 42 CW found:1759</t>
  </si>
  <si>
    <t>outfile: /home/ucapmwe/dist-benchmark/results/tanner_codes-dist_m4ri_CC-20260203_134426.958070_85062422.txt</t>
  </si>
  <si>
    <t># wmax=36 found cw of weight 4: [0 2 3 5]\n4\n</t>
  </si>
  <si>
    <t># wmax=72 found cw of weight 8: [0 1 4 5 6 7 10 11]\n8\n</t>
  </si>
  <si>
    <t># wmax=99 found cw of weight 12: [0 2 5 6 9 13 15 16 28 46 65 83]\n12\n</t>
  </si>
  <si>
    <t># wmax=99 found cw of weight 13: [4 25 29 31 32 35 39 43 52 85 92 133 140]\n13\n</t>
  </si>
  <si>
    <t>outfile: /home/ucapmwe/dist-benchmark/results/tanner_codes-dist_m4ri_RW-20260203_134426.958076_85062422.txt</t>
  </si>
  <si>
    <t># step=0 row=0 minW=37 found cw of W=6: [2 4 5 9 27 33]\n# step=0 row=1 minW=6 found cw of W=4: [3 9 27 33]\n#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</si>
  <si>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minW=73 found cw of W=13: [1 5 12 13 17 20 22 27 29 36 55 69 71]\n# step=0 row=1 minW=13 found cw of W=10: [3 12 15 20 22 25 36 55 69 71]\n# step=0 row=17 minW=10 found cw of W=9: [5 13 15 17 29 37 39 69 71]\n# step=0 row=29 minW=9 found cw of W=8: [10 22 25 29 32 36 57 69]\n#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</si>
  <si>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minW=109 found cw of W=30: [1 5 6 11 12 18 20 23 26 32 38 49 52 55 57 65 72 74 75 76 78 80 81 86 92 93 95 96 100 102]\n# step=0 row=3 minW=30 found cw of W=29: [2 6 10 11 12 13 15 23 26 31 36 38 39 47 52 54 55 58 62 63 72 75 78 92 96 102 103 104 106]\n# step=0 row=4 minW=29 found cw of W=17: [11 14 20 23 26 32 47 56 68 86 92 93 96 100 102 103 106]\n# step=0 row=20 minW=17 found cw of W=13: [2 4 7 20 28 31 39 40 43 74 75 92 93]\n# step=4 row=46 minW=13 found cw of W=12: [20 23 38 41 68 71 86 89 92 98 101 107]\n#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</si>
  <si>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row=1 minW=145 found cw of W=45: [1 3 4 6 7 8 9 22 24 29 36 40 41 42 48 52 53 63 70 72 76 77 78 79 83 86 91 92 102 103 105 107 108 109 112 116 119 122 127 130 131 137 139 142 144]\n# step=0 row=3 minW=45 found cw of W=40: [1 3 7 8 9 10 11 17 21 22 24 36 38 41 44 51 60 62 70 73 77 78 79 86 91 92 97 98 102 103 105 106 107 109 126 130 131 137 139 140]\n# step=0 row=4 minW=40 found cw of W=35: [7 12 16 21 22 26 35 38 39 40 41 42 44 62 64 70 73 76 77 78 86 91 97 105 107 108 109 110 119 127 130 137 139 140 142]\n# step=0 row=7 minW=35 found cw of W=28: [1 8 9 11 15 41 44 47 48 51 62 72 76 83 91 97 98 102 105 108 119 122 127 130 137 139 140 142]\n# step=0 row=24 minW=28 found cw of W=24: [1 3 8 16 36 39 40 47 48 51 54 64 72 73 83 97 106 108 110 114 130 131 132 142]\n# step=1 row=34 minW=24 found cw of W=20: [1 5 8 12 14 21 38 50 64 68 88 89 92 102 109 117 130 134 138 144]\n# step=2 row=12 minW=20 found cw of W=14: [8 25 29 30 31 35 36 37 39 43 48 56 78 126]\n# step=437 row=15 minW=14 found cw of W=13: [8 25 29 31 35 36 39 43 56 85 96 133 144]\n# round=1000 of 10000 minW=13\n# round=2000 of 10000 minW=13\n# round=3000 of 10000 minW=13\n# round=4000 of 10000 minW=13\n# round=5000 of 10000 minW=13\n# round=6000 of 10000 minW=13\n# round=7000 of 10000 minW=13\n# round=8000 of 10000 minW=13\n# round=9000 of 10000 minW=13\n# round=10000 of 10000 minW=13\nRW algorithm upper bound for the distance d=13\n</t>
  </si>
  <si>
    <t># step=0 row=0 minW=181 found cw of W=47: [1 9 11 12 13 20 25 29 32 36 37 42 46 49 50 54 57 58 63 76 82 83 85 89 91 92 95 98 100 102 104 111 119 120 126 127 129 130 131 135 137 145 158 161 162 176 180]\n# step=0 row=4 minW=47 found cw of W=39: [5 6 11 24 25 29 30 31 33 40 41 43 45 46 48 54 58 59 61 69 76 84 89 100 120 129 131 135 136 140 141 145 146 153 159 161 163 173 180]\n# step=0 row=14 minW=39 found cw of W=36: [9 11 15 20 24 25 29 31 32 34 38 39 42 49 54 61 62 84 89 92 98 100 102 104 111 127 129 135 136 137 140 145 146 158 162 179]\n# step=0 row=15 minW=36 found cw of W=35: [12 20 24 33 35 36 37 41 45 54 57 62 71 76 81 82 85 95 98 100 108 110 116 120 126 130 135 136 141 144 146 153 154 161 164]\n# step=0 row=22 minW=35 found cw of W=28: [11 20 22 25 29 30 31 32 42 46 59 60 61 81 82 84 89 116 120 144 153 154 159 163 173 176 179 180]\n# step=0 row=41 minW=28 found cw of W=26: [7 10 15 25 30 31 32 33 37 40 41 45 50 61 62 85 92 93 111 131 136 137 146 153 157 161]\n# step=1 row=37 minW=26 found cw of W=23: [3 23 25 28 31 36 41 66 71 90 98 101 106 110 120 128 136 141 145 150 151 160 165]\n# step=2 row=48 minW=23 found cw of W=22: [1 17 18 20 21 22 28 30 33 41 43 61 78 81 88 95 105 117 125 135 137 142]\n# step=2 row=75 minW=22 found cw of W=18: [10 31 55 74 85 91 105 115 120 124 135 139 145 149 150 151 154 174]\n# step=87 row=71 minW=18 found cw of W=17: [13 25 30 31 33 40 61 70 73 91 95 108 118 121 125 153 163]\n# round=1000 of 10000 minW=17\n# round=2000 of 10000 minW=17\n# round=3000 of 10000 minW=17\n# round=4000 of 10000 minW=17\n# round=5000 of 10000 minW=17\n# round=6000 of 10000 minW=17\n# round=7000 of 10000 minW=17\n# round=8000 of 10000 minW=17\n# round=9000 of 10000 minW=17\n# round=10000 of 10000 minW=17\nRW algorithm upper bound for the distance d=17\n</t>
  </si>
  <si>
    <t># step=0 row=0 minW=217 found cw of W=58: [1 3 8 10 12 14 15 16 17 18 23 35 36 39 41 43 45 46 48 50 51 58 67 74 76 84 91 98 99 102 103 112 115 116 120 121 123 127 132 138 141 142 144 148 156 157 158 161 173 174 176 178 181 185 186 189 192 216]\n# step=0 row=1 minW=58 found cw of W=56: [4 10 12 15 17 22 23 24 25 29 34 36 41 43 45 51 52 57 63 64 67 75 76 84 97 99 102 112 115 120 123 127 131 138 142 146 148 149 151 154 155 157 158 160 161 163 169 170 173 181 183 185 192 204 207 216]\n# step=0 row=2 minW=56 found cw of W=50: [1 5 8 11 14 15 18 22 24 25 34 39 43 48 50 52 57 63 73 75 84 86 91 99 112 115 116 121 131 135 138 141 148 149 158 160 161 163 164 169 170 174 179 183 186 192 195 196 204 213]\n# step=0 row=7 minW=50 found cw of W=35: [10 14 19 29 35 37 43 50 51 52 67 86 97 102 109 121 123 127 131 142 146 154 158 163 169 170 173 174 179 186 189 192 196 213 216]\n# step=0 row=98 minW=35 found cw of W=31: [22 27 34 39 45 51 57 63 64 74 76 86 99 102 123 132 138 144 155 160 161 164 174 176 179 192 195 196 198 204 206]\n# step=2 row=59 minW=31 found cw of W=26: [33 34 35 36 42 55 69 83 98 105 106 107 114 127 142 143 144 155 170 180 186 191 199 206 214 215]\n# step=2 row=108 minW=26 found cw of W=23: [33 34 35 36 67 69 83 98 105 106 107 139 142 143 144 155 170 180 191 206 211 214 215]\n# step=28 row=63 minW=23 found cw of W=21: [5 21 27 29 35 38 47 50 57 63 105 110 114 120 122 132 161 179 191 200 212]\n# step=84 row=98 minW=21 found cw of W=20: [40 46 85 90 91 97 112 118 145 151 156 157 163 168 174 175 187 198 208 214]\n# step=152 row=86 minW=20 found cw of W=19: [44 63 83 89 92 116 135 149 154 160 161 167 170 176 178 182 201 213 215]\n# step=549 row=19 minW=19 found cw of W=18: [31 32 35 36 67 68 69 72 103 105 141 143 176 177 179 180 212 216]\n#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</si>
  <si>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minW=253 found cw of W=65: [1 5 9 10 11 14 17 19 23 25 33 35 37 38 41 43 58 62 73 76 79 86 93 98 101 106 107 112 114 118 119 125 128 130 132 133 139 142 146 157 168 171 175 176 182 184 186 195 199 200 205 209 211 213 214 215 219 223 228 229 231 232 240 242 243]\n# step=0 row=4 minW=65 found cw of W=62: [4 5 8 12 19 21 23 25 36 37 38 40 41 48 54 59 62 63 77 82 88 93 95 98 107 109 112 118 121 122 128 129 132 133 137 139 140 141 142 157 159 164 168 176 179 180 184 194 195 203 204 205 211 218 219 220 224 229 231 232 240 252]\n# step=0 row=6 minW=62 found cw of W=61: [9 14 15 16 18 19 21 22 25 35 36 37 39 40 41 48 54 59 64 67 73 75 76 77 86 88 89 106 107 109 119 121 125 129 133 137 139 140 141 154 159 162 168 172 175 176 179 182 184 194 203 211 214 218 219 220 223 232 234 247 250]\n# step=0 row=9 minW=61 found cw of W=56: [10 11 14 16 17 19 21 23 26 35 37 40 41 47 63 76 88 93 101 104 107 112 116 118 119 122 125 128 132 133 137 139 164 168 171 179 180 181 186 194 195 199 203 211 213 214 215 218 219 223 224 232 234 240 242 247]\n# step=0 row=10 minW=56 found cw of W=55: [10 11 15 16 17 25 27 36 38 39 41 48 62 67 76 77 81 88 93 95 98 104 106 107 109 114 116 119 125 132 137 141 142 146 154 162 168 172 176 179 181 182 186 190 195 200 203 209 211 218 219 223 231 247 252]\n# step=0 row=13 minW=55 found cw of W=51: [2 9 10 14 21 22 30 33 40 47 48 54 58 62 63 64 73 75 76 77 79 89 106 116 119 121 122 129 133 142 159 164 168 171 172 175 180 182 186 199 211 214 215 218 219 228 231 232 234 247 250]\n# step=0 row=15 minW=51 found cw of W=47: [4 9 11 14 16 17 22 32 35 41 48 59 67 73 76 79 86 88 93 106 109 114 116 119 125 139 140 154 155 157 158 162 168 171 182 186 199 200 211 213 215 218 223 228 229 243 245]\n# step=0 row=36 minW=47 found cw of W=46: [4 9 11 16 17 22 25 35 41 48 56 59 73 74 76 79 86 88 93 98 106 114 119 125 139 140 154 155 157 158 162 168 171 182 186 199 200 211 213 215 218 223 228 229 243 245]\n# step=1 row=39 minW=46 found cw of W=42: [2 5 13 25 26 33 37 43 44 50 64 70 73 75 80 81 83 96 97 100 103 110 114 121 123 130 131 132 144 150 152 154 160 163 172 186 187 208 230 234 238 247]\n# step=8 row=109 minW=42 found cw of W=36: [8 12 30 34 36 41 47 48 55 57 81 85 88 91 95 98 100 111 113 119 126 152 156 165 170 180 193 215 216 219 230 233 235 240 244 249]\n# step=27 row=14 minW=36 found cw of W=35: [9 21 24 25 28 32 35 48 51 53 54 60 66 96 108 109 116 121 138 140 146 160 173 179 182 184 186 194 207 216 223 226 230 237 244]\n# step=46 row=17 minW=35 found cw of W=30: [2 16 20 35 36 44 48 58 62 77 78 88 107 110 117 120 121 126 132 175 179 182 188 193 208 214 237 238 250 251]\n# step=106 row=72 minW=30 found cw of W=25: [5 8 10 11 33 52 53 61 88 101 103 116 122 127 140 147 148 168 183 193 200 204 214 228 235]\n# step=294 row=48 minW=25 found cw of W=23: [30 56 62 72 85 91 97 106 107 112 113 120 121 125 133 139 154 167 169 174 182 202 211]\n# round=1000 of 10000 minW=23\n# round=2000 of 10000 minW=23\n# round=3000 of 10000 minW=23\n# step=3114 row=26 minW=23 found cw of W=22: [6 12 22 24 36 54 59 64 66 78 96 113 115 129 139 150 153 164 188 202 206 220]\n# round=4000 of 10000 minW=22\n# round=5000 of 10000 minW=22\n# round=6000 of 10000 minW=22\n# round=7000 of 10000 minW=22\n# round=8000 of 10000 minW=22\n# round=9000 of 10000 minW=22\n# round=10000 of 10000 minW=22\nRW algorithm upper bound for the distance d=22\n</t>
  </si>
  <si>
    <t># step=0 row=0 minW=289 found cw of W=74: [1 2 9 10 16 22 26 27 33 42 47 51 54 55 59 63 64 65 67 71 77 78 82 83 84 85 91 98 99 101 107 108 109 117 118 122 125 127 130 140 142 148 156 157 159 161 163 165 170 171 183 185 188 190 191 194 200 201 205 209 212 224 231 237 238 243 244 253 256 257 258 263 282 283]\n# step=0 row=2 minW=74 found cw of W=73: [2 5 6 10 11 13 16 26 27 30 33 36 47 48 49 51 54 57 60 64 65 67 71 74 77 83 85 91 96 107 108 118 123 125 131 133 142 150 156 157 159 161 163 165 166 170 171 173 175 180 183 185 190 191 200 212 224 225 227 228 229 236 239 240 251 256 257 263 265 270 274 282 288]\n# step=0 row=5 minW=73 found cw of W=55: [6 14 22 26 30 36 43 47 49 54 65 74 77 82 83 85 98 104 106 110 123 125 128 131 133 137 138 144 150 157 165 166 170 171 175 177 180 183 186 200 201 209 228 232 234 237 238 239 256 265 267 270 274 282 288]\n# step=0 row=96 minW=55 found cw of W=44: [6 17 22 27 48 57 65 67 75 77 84 96 107 108 123 125 126 137 139 140 146 150 159 161 162 163 166 167 170 173 180 185 186 191 197 201 205 211 212 238 240 244 270 288]\n# step=29 row=41 minW=44 found cw of W=41: [5 7 36 37 46 49 59 84 94 104 106 113 114 118 124 127 138 140 143 151 153 155 165 169 193 198 213 215 216 222 224 225 240 247 248 254 259 263 267 273 275]\n# step=57 row=72 minW=41 found cw of W=39: [5 11 20 25 33 40 41 56 60 64 68 69 72 75 83 88 105 116 129 139 163 164 168 176 181 188 197 209 211 217 224 240 248 252 257 261 272 273 281]\n# step=88 row=47 minW=39 found cw of W=37: [13 25 26 51 53 61 63 83 86 90 103 105 113 115 117 122 130 135 137 141 149 150 159 163 166 169 178 194 195 210 215 217 227 245 271 278 279]\n# step=139 row=60 minW=37 found cw of W=31: [10 13 18 42 44 60 61 63 64 68 72 73 75 78 81 83 86 89 91 94 117 124 132 141 156 159 164 188 192 255 288]\n# step=220 row=4 minW=31 found cw of W=30: [8 20 28 38 45 56 76 84 117 124 136 144 148 170 178 182 186 189 193 201 212 213 216 217 230 237 240 256 261 276]\n# step=220 row=21 minW=30 found cw of W=29: [20 35 38 45 83 84 104 117 131 136 144 148 170 178 182 186 189 193 201 212 213 216 217 230 237 240 256 261 276]\n# round=1000 of 10000 minW=29\n# step=1175 row=79 minW=29 found cw of W=28: [4 8 12 13 20 30 40 47 61 63 68 78 102 112 116 127 144 167 168 172 205 206 220 231 247 253 254 264]\n# round=2000 of 10000 minW=28\n# round=3000 of 10000 minW=28\n# round=4000 of 10000 minW=28\n# round=5000 of 10000 minW=28\n# round=6000 of 10000 minW=28\n# round=7000 of 10000 minW=28\n# step=7366 row=32 minW=28 found cw of W=27: [1 6 15 43 45 60 63 91 124 141 145 164 166 182 188 189 198 207 209 220 225 235 244 253 255 261 283]\n# round=8000 of 10000 minW=27\n# round=9000 of 10000 minW=27\n# round=10000 of 10000 minW=27\nRW algorithm upper bound for the distance d=27\n</t>
  </si>
  <si>
    <t># step=0 row=0 minW=325 found cw of W=75: [2 5 6 9 10 11 22 23 29 33 36 37 38 41 42 50 64 70 71 79 82 97 102 112 113 119 120 121 127 128 130 132 134 137 140 145 154 159 161 168 169 176 178 179 180 184 185 200 208 210 213 219 239 242 243 246 247 258 269 270 274 278 285 291 293 296 301 302 304 305 308 310 311 316 323]\n# step=0 row=14 minW=75 found cw of W=70: [4 6 7 8 11 12 16 18 24 28 29 31 33 34 37 38 39 42 61 66 67 70 71 77 84 86 87 88 93 95 104 110 112 113 119 128 132 134 137 141 143 145 152 159 161 173 180 185 192 197 208 209 219 221 231 234 244 246 247 255 260 272 285 291 301 305 307 308 311 314]\n# step=0 row=90 minW=70 found cw of W=67: [4 7 9 18 22 23 39 40 45 50 56 71 79 82 84 86 88 93 95 97 99 105 106 110 115 120 130 140 141 143 152 157 159 161 162 164 169 179 185 187 190 192 198 213 218 219 221 229 234 243 246 255 258 270 274 275 291 293 296 298 301 303 304 315 322 323 324]\n# step=0 row=96 minW=67 found cw of W=66: [1 12 18 31 38 41 42 50 56 64 66 71 77 79 82 84 87 88 92 93 95 97 104 105 106 110 111 118 128 130 140 141 147 157 159 164 177 179 180 185 186 187 202 210 211 213 220 233 242 243 244 246 255 269 270 272 274 278 286 293 301 307 314 316 322 323]\n# step=0 row=156 minW=66 found cw of W=64: [4 11 18 23 29 31 36 39 41 42 64 66 67 71 72 77 79 84 87 88 95 97 102 111 117 130 143 157 161 162 164 169 174 179 181 196 198 208 213 218 219 220 221 229 234 243 247 255 258 260 278 282 286 287 289 291 293 296 298 303 306 307 311 324]\n# step=0 row=163 minW=64 found cw of W=62: [4 7 9 18 22 23 39 40 45 50 71 79 84 86 88 93 95 97 99 106 110 115 120 130 140 141 143 152 157 159 161 162 169 179 185 187 192 198 218 219 221 229 234 243 246 255 258 270 272 274 275 291 293 296 301 303 304 315 321 322 323 324]\n# step=1 row=7 minW=62 found cw of W=61: [7 11 14 19 32 34 37 43 47 48 49 52 59 70 74 81 86 88 102 109 111 113 118 120 126 129 136 138 144 148 151 153 158 163 168 175 184 186 189 203 204 212 217 220 228 229 232 236 243 266 268 272 275 284 291 295 299 310 317 318 320]\n# step=1 row=34 minW=61 found cw of W=60: [5 7 11 19 34 37 43 47 48 49 52 59 61 74 81 86 102 109 111 113 118 120 126 129 136 138 144 148 151 153 158 163 175 177 184 186 189 195 203 204 212 217 220 228 229 232 236 243 266 268 272 275 284 291 295 299 310 317 318 320]\n# step=1 row=73 minW=60 found cw of W=55: [5 8 19 25 26 27 32 33 42 47 59 65 73 79 81 82 95 103 105 118 126 131 138 142 145 147 148 151 156 159 162 163 169 172 175 178 182 184 196 206 212 220 227 232 236 238 244 260 266 272 283 286 292 299 310]\n# step=1 row=96 minW=55 found cw of W=50: [8 10 11 25 26 27 33 37 42 43 52 65 73 74 79 81 82 86 88 95 96 98 105 115 118 124 126 133 136 144 148 152 153 154 159 179 182 188 197 204 206 212 227 229 238 247 310 312 317 320]\n# step=4 row=12 minW=50 found cw of W=49: [4 10 11 25 30 32 51 55 57 65 66 75 95 106 111 112 120 126 128 136 140 145 151 154 155 157 166 169 174 190 194 196 203 210 213 234 235 241 259 262 265 267 271 288 291 292 301 304 320]\n# step=13 row=122 minW=49 found cw of W=48: [1 7 25 41 43 49 55 56 57 59 60 62 66 75 77 78 80 90 92 93 99 113 118 121 131 154 157 170 173 174 175 184 188 204 209 216 229 253 276 281 282 292 294 299 307 308 314 324]\n# step=21 row=134 minW=48 found cw of W=47: [4 5 13 21 37 49 66 67 68 77 82 85 86 95 100 102 105 107 129 148 151 166 177 185 186 194 202 212 215 217 223 235 239 241 246 255 257 264 283 285 287 294 296 304 307 319 322]\n# step=21 row=155 minW=47 found cw of W=46: [4 5 13 21 37 49 66 67 68 77 82 85 86 90 95 99 100 102 105 107 108 129 148 151 166 177 185 186 194 202 212 215 217 223 235 239 241 257 283 285 287 294 296 307 313 319]\n# step=23 row=106 minW=46 found cw of W=45: [1 2 16 22 25 27 36 51 58 61 63 79 88 90 99 103 105 109 117 118 121 124 127 133 136 149 155 159 162 163 164 193 217 218 221 235 239 263 265 274 289 292 302 317 320]\n# step=27 row=30 minW=45 found cw of W=38: [9 20 22 29 48 53 54 55 75 76 84 110 111 120 129 130 137 146 163 164 172 181 183 189 197 198 201 206 208 209 219 225 233 242 270 271 272 317]\n# step=72 row=56 minW=38 found cw of W=37: [1 7 12 25 30 43 55 59 63 71 77 86 89 104 109 111 117 123 138 141 154 165 171 188 206 218 222 227 234 245 246 252 262 276 278 282 316]\n# step=217 row=90 minW=37 found cw of W=35: [2 14 20 25 35 44 47 49 60 62 79 96 116 122 130 133 152 170 175 184 185 186 191 212 215 229 242 245 269 274 293 294 310 314 320]\n# step=328 row=50 minW=35 found cw of W=32: [37 42 60 63 72 78 89 99 106 108 147 161 163 170 179 181 195 204 213 214 233 242 249 253 255 267 273 276 291 294 314 322]\n# step=341 row=120 minW=32 found cw of W=31: [23 46 68 75 78 86 95 100 131 141 143 152 177 183 195 204 222 224 226 231 233 235 260 271 276 280 285 291 294 307 323]\n# round=1000 of 10000 minW=31\n# round=2000 of 10000 minW=31\n# step=2992 row=55 minW=31 found cw of W=30: [8 22 27 43 63 67 71 85 90 94 99 102 107 116 117 126 130 135 156 192 196 198 201 206 214 246 252 255 259 314]\n# round=3000 of 10000 minW=30\n# step=3720 row=53 minW=30 found cw of W=29: [6 24 35 62 71 96 102 117 121 130 132 135 142 151 152 153 160 161 210 222 229 231 238 240 267 276 300 309 319]\n# round=4000 of 10000 minW=29\n# round=5000 of 10000 minW=29\n# round=6000 of 10000 minW=29\n# round=7000 of 10000 minW=29\n# round=8000 of 10000 minW=29\n# round=9000 of 10000 minW=29\n# round=10000 of 10000 minW=29\nRW algorithm upper bound for the distance d=29\n</t>
  </si>
  <si>
    <t># step=0 row=0 minW=361 found cw of W=77: [1 2 3 13 18 20 25 28 29 37 47 50 51 55 68 72 79 80 87 88 90 92 96 106 113 116 119 122 126 129 131 137 140 145 146 148 150 164 167 169 175 183 186 190 193 195 197 201 206 211 226 228 233 238 246 250 254 257 258 264 266 273 274 277 281 301 308 315 337 338 341 344 346 348 351 353 358]\n# step=0 row=3 minW=77 found cw of W=74: [1 6 23 25 29 31 32 34 37 43 47 55 60 66 73 86 87 88 89 92 94 96 97 108 110 113 116 122 124 126 127 129 132 133 137 145 146 150 153 169 174 186 187 188 195 201 220 223 231 241 245 250 264 265 266 275 280 281 287 291 304 307 315 318 320 337 340 343 344 346 348 355 357 358]\n# step=0 row=32 minW=74 found cw of W=68: [2 13 18 23 29 43 48 50 58 61 66 72 74 79 90 92 94 96 97 100 104 108 116 119 122 124 126 129 131 137 153 157 167 169 183 187 188 190 191 193 197 204 206 211 220 228 241 244 246 248 257 280 281 291 297 300 307 330 338 340 341 343 344 346 351 353 357 358]\n# step=1 row=30 minW=68 found cw of W=64: [1 4 15 17 25 29 32 34 36 37 38 39 43 46 54 56 58 61 71 75 82 84 89 92 135 144 145 149 162 168 172 178 179 181 188 192 198 205 207 211 212 219 222 223 227 238 247 258 261 268 273 281 289 293 301 308 311 317 318 322 325 327 357 359]\n# step=4 row=22 minW=64 found cw of W=62: [1 10 11 19 33 35 38 41 48 57 63 69 70 77 80 83 91 98 99 110 113 126 129 135 153 161 163 168 170 173 190 197 215 221 228 237 240 246 255 270 271 273 275 277 278 279 287 306 310 313 317 320 323 325 335 338 343 345 348 349 351 359]\n# step=4 row=104 minW=62 found cw of W=59: [2 3 10 15 22 27 30 31 33 38 40 42 44 45 63 64 84 91 106 116 117 125 133 136 138 147 148 154 156 161 166 170 171 197 205 213 215 216 218 240 255 265 266 288 290 294 300 306 313 317 323 325 334 343 344 345 350 356 358]\n# step=5 row=57 minW=59 found cw of W=50: [7 16 21 27 32 38 63 68 72 73 76 81 91 99 103 113 115 121 129 139 141 146 152 153 168 176 179 182 187 198 207 211 229 235 239 241 247 267 273 278 288 289 302 321 328 343 351 353 355 359]\n# step=13 row=5 minW=50 found cw of W=45: [10 16 23 33 43 47 52 53 66 68 96 98 107 118 136 139 148 157 160 162 177 182 200 202 203 208 220 222 232 241 243 249 251 260 268 271 272 279 283 319 339 340 342 349 359]\n# step=49 row=150 minW=45 found cw of W=44: [1 3 7 23 28 35 37 41 43 58 61 65 87 101 107 108 111 127 141 148 171 184 185 204 208 215 218 224 227 231 237 248 268 275 278 287 291 297 306 308 325 326 345 346]\n# step=332 row=159 minW=44 found cw of W=33: [21 25 28 77 78 84 85 86 87 90 98 108 117 121 122 142 148 151 162 171 201 204 206 210 265 305 306 321 324 330 336 345 356]\n# step=435 row=19 minW=33 found cw of W=27: [3 10 14 20 22 28 44 54 64 73 88 103 113 123 124 202 230 240 245 255 262 268 285 290 295 300 328]\n# round=1000 of 10000 minW=27\n# round=2000 of 10000 minW=27\n# round=3000 of 10000 minW=27\n# round=4000 of 10000 minW=27\n# round=5000 of 10000 minW=27\n# round=6000 of 10000 minW=27\n# round=7000 of 10000 minW=27\n# round=8000 of 10000 minW=27\n# round=9000 of 10000 minW=27\n# round=10000 of 10000 minW=27\nRW algorithm upper bound for the distance d=27\n</t>
  </si>
  <si>
    <t># step=0 row=0 minW=397 found cw of W=93: [1 3 7 11 15 20 22 25 29 35 38 45 50 51 52 58 66 70 71 77 78 79 80 97 101 107 116 118 119 123 132 139 153 158 161 164 171 177 184 191 193 201 213 214 219 220 222 224 230 232 235 239 241 243 251 252 257 262 273 276 278 289 298 299 302 311 315 317 319 328 329 331 332 333 335 341 343 344 345 354 355 356 361 366 367 371 381 383 386 388 389 395 396]\n# step=0 row=3 minW=93 found cw of W=92: [6 7 12 14 22 27 29 30 34 35 43 45 49 51 52 53 57 58 61 66 67 68 71 76 80 85 97 98 101 113 114 119 122 147 151 152 153 155 158 163 167 171 175 184 191 193 197 200 204 211 213 219 222 224 229 230 231 232 234 239 246 257 259 280 281 285 289 297 299 302 306 310 327 329 331 332 333 342 344 345 346 350 355 356 362 367 368 371 380 383 393 395]\n# step=0 row=7 minW=92 found cw of W=91: [3 5 7 14 15 16 20 25 35 50 51 52 58 62 68 70 71 73 79 88 97 100 101 106 107 113 116 118 119 122 132 147 152 153 155 161 163 164 171 177 184 188 193 194 200 201 211 213 214 219 224 230 231 239 240 241 243 245 246 252 273 287 289 298 299 302 306 311 328 329 331 332 335 341 344 349 354 355 360 361 366 367 371 375 376 383 385 386 393 394 395]\n# step=0 row=8 minW=91 found cw of W=86: [12 13 15 17 20 43 44 49 50 51 52 62 66 68 71 72 76 77 78 79 88 93 98 100 101 106 113 123 134 139 147 149 161 171 175 177 184 194 195 197 211 213 219 220 229 230 231 232 235 245 246 250 255 257 259 262 273 281 287 292 298 299 302 317 319 324 327 328 329 331 332 341 343 344 345 352 354 355 366 368 371 374 375 385 390 396]\n# step=0 row=13 minW=86 found cw of W=79: [5 12 13 14 15 20 21 22 24 30 31 35 43 50 52 66 71 72 76 78 79 80 82 85 88 100 101 105 114 119 122 132 138 147 151 175 177 184 193 204 214 222 224 239 240 243 246 257 259 278 280 281 285 287 297 298 302 310 327 328 332 333 335 342 344 346 352 355 356 362 366 367 371 380 383 388 393 395 396]\n# step=0 row=14 minW=79 found cw of W=76: [5 7 21 27 30 32 35 38 44 52 57 61 66 73 77 80 82 93 97 98 105 114 116 123 132 139 146 153 163 164 166 170 177 184 188 193 195 197 200 201 206 211 220 229 230 234 241 246 252 273 283 289 302 310 317 319 322 324 329 332 335 343 345 346 350 352 356 361 362 367 371 374 376 390 394 396]\n# step=0 row=142 minW=76 found cw of W=65: [3 12 13 24 25 30 34 45 57 70 78 80 98 100 101 107 114 123 134 155 164 167 177 184 188 200 201 217 219 222 224 234 235 240 241 243 245 246 250 251 252 257 262 272 277 296 298 306 311 317 328 331 332 333 335 342 343 345 346 354 366 368 375 389 393]\n# step=1 row=48 minW=65 found cw of W=63: [7 15 17 19 26 28 40 43 50 54 63 73 85 87 88 94 101 106 112 147 154 171 175 186 187 199 204 209 210 211 213 222 224 230 232 242 259 261 271 272 290 297 304 305 319 327 330 347 348 356 360 362 365 366 367 369 376 377 378 385 388 391 393]\n# step=1 row=141 minW=63 found cw of W=62: [7 13 26 33 37 48 55 63 65 67 70 88 98 101 105 109 110 116 136 143 145 147 151 175 187 199 200 205 209 220 230 235 238 241 242 249 259 260 261 263 271 272 274 290 296 305 312 319 327 331 332 356 360 362 366 367 377 378 385 388 391 393]\n# step=2 row=180 minW=62 found cw of W=55: [7 42 54 64 66 69 73 74 86 97 104 107 109 110 115 119 126 130 131 134 135 139 141 145 146 151 162 163 167 168 176 201 217 218 229 242 262 264 283 286 294 297 304 308 315 318 326 331 333 351 353 360 362 373 375]\n# step=4 row=134 minW=55 found cw of W=54: [6 9 11 13 17 20 29 36 50 58 65 75 84 86 91 110 128 135 138 145 149 153 161 174 176 179 186 193 197 201 211 219 220 230 259 267 268 275 285 290 300 303 308 311 312 318 322 351 354 365 369 373 376 391]\n# step=8 row=18 minW=54 found cw of W=48: [10 11 15 25 32 33 40 43 55 81 108 117 128 129 142 153 154 157 158 174 175 183 191 194 201 205 213 216 224 238 245 251 257 261 262 263 285 286 296 300 306 311 322 341 349 355 360 374]\n# step=48 row=156 minW=48 found cw of W=45: [2 12 13 14 23 35 42 46 53 62 91 101 103 128 140 150 161 169 175 178 194 200 211 232 235 243 244 256 262 278 282 293 294 301 307 316 320 328 338 340 343 351 354 355 392]\n# step=255 row=45 minW=45 found cw of W=43: [2 13 17 26 28 30 31 35 42 72 75 78 85 86 89 97 100 114 131 138 152 158 162 166 185 188 199 202 210 219 226 230 237 239 250 254 281 309 314 334 373 384 393]\n# step=572 row=98 minW=43 found cw of W=41: [2 10 13 19 76 79 85 98 155 164 173 184 200 213 224 230 257 272 274 280 287 291 296 299 316 324 338 340 342 343 349 350 360 361 368 371 372 379 383 386 390]\n# step=660 row=54 minW=41 found cw of W=40: [15 16 17 27 60 76 81 85 103 107 114 126 142 148 149 159 173 206 219 226 236 237 241 247 248 257 274 279 305 307 318 324 329 334 345 347 349 356 378 389]\n# step=926 row=28 minW=40 found cw of W=39: [6 11 22 40 45 59 67 72 77 82 88 90 93 104 115 138 141 147 151 152 156 158 162 176 177 195 221 222 238 257 271 282 288 306 339 350 353 367 378]\n# round=1000 of 10000 minW=39\n# step=1798 row=147 minW=39 found cw of W=35: [4 14 25 36 37 64 102 104 130 131 169 170 197 213 219 230 236 242 253 256 264 267 268 277 284 288 289 295 302 307 318 321 366 367 394]\n# round=2000 of 10000 minW=35\n# round=3000 of 10000 minW=35\n# round=4000 of 10000 minW=35\n# round=5000 of 10000 minW=35\n# round=6000 of 10000 minW=35\n# round=7000 of 10000 minW=35\n# step=7359 row=196 minW=35 found cw of W=34: [11 17 83 110 138 148 159 171 176 190 209 210 213 219 221 224 230 235 242 246 254 263 286 304 315 322 324 326 344 350 355 361 390 394]\n# round=8000 of 10000 minW=34\n# step=8153 row=147 minW=34 found cw of W=33: [2 19 77 85 127 143 173 192 193 200 220 237 242 248 270 272 275 277 280 284 285 291 292 295 296 299 303 306 317 329 349 371 390]\n# round=9000 of 10000 minW=33\n# round=10000 of 10000 minW=33\nRW algorithm upper bound for the distance d=33\n</t>
  </si>
  <si>
    <t># step=0 row=0 minW=433 found cw of W=87: [1 2 7 14 15 18 20 24 25 30 33 36 41 42 45 49 50 53 55 57 60 63 64 65 72 88 94 96 102 105 114 123 130 134 142 148 149 153 156 158 160 165 170 171 172 176 192 196 198 201 212 219 226 228 232 234 236 247 253 265 277 280 285 288 295 305 310 316 321 322 324 329 331 336 355 358 366 375 380 381 389 394 399 401 402 418 425]\n# step=0 row=17 minW=87 found cw of W=82: [7 14 21 24 28 30 31 33 37 40 42 45 54 55 57 64 65 70 71 73 88 96 108 110 114 119 124 131 142 156 176 179 181 191 192 196 212 214 222 228 233 241 242 245 253 254 264 265 278 280 288 294 302 304 308 310 322 323 326 328 331 338 340 342 343 347 350 353 354 355 358 365 371 373 377 380 388 396 398 401 402 424]\n# step=0 row=31 minW=82 found cw of W=79: [7 14 17 19 20 24 26 31 40 42 55 57 65 69 74 77 94 95 98 110 114 117 131 134 142 143 146 149 153 158 160 165 172 174 182 191 198 208 214 221 227 228 236 245 247 250 253 264 265 268 277 278 280 283 294 305 307 308 310 311 317 322 323 324 328 330 331 341 343 347 350 353 355 360 366 371 382 402 407]\n# step=1 row=129 minW=79 found cw of W=78: [4 7 18 19 30 34 35 43 44 60 64 82 85 90 97 101 104 105 130 131 132 144 153 155 178 181 186 188 189 198 199 200 204 207 221 222 224 228 229 236 239 240 241 244 248 249 256 263 269 270 276 292 299 305 317 321 323 325 327 332 333 339 343 345 352 353 356 365 390 392 395 409 413 415 423 428 429 432]\n# step=1 row=153 minW=78 found cw of W=76: [1 4 17 18 19 35 37 43 48 54 63 64 76 79 84 85 88 89 90 93 95 100 101 105 128 148 151 153 156 157 159 168 177 189 200 210 221 224 228 239 240 248 251 252 258 269 276 279 282 285 291 292 294 304 317 323 327 332 333 340 345 351 353 356 372 375 380 390 392 395 407 408 419 424 425 428]\n# step=3 row=130 minW=76 found cw of W=66: [1 8 16 17 24 25 40 48 51 63 76 84 86 92 116 119 120 156 164 173 176 185 188 193 197 202 207 212 229 230 234 241 245 246 253 255 258 264 270 275 281 287 304 308 310 322 328 334 339 361 364 368 371 373 374 383 389 397 401 404 409 413 418 420 423 432]\n# step=16 row=22 minW=66 found cw of W=58: [4 8 10 20 21 28 38 44 46 47 52 53 59 65 90 94 100 122 124 129 130 137 141 154 156 165 170 178 180 191 192 203 206 209 216 220 225 234 257 274 278 281 287 290 310 311 323 341 346 359 364 369 382 386 390 398 426 431]\n# step=109 row=23 minW=58 found cw of W=56: [1 24 30 52 59 65 66 77 88 90 97 107 111 112 121 125 148 151 162 167 168 203 209 219 220 227 231 233 238 240 250 268 286 311 313 316 319 325 343 349 361 367 371 372 374 383 386 389 405 408 411 417 422 423 425 429]\n# step=347 row=181 minW=56 found cw of W=55: [14 28 33 35 54 56 57 59 64 67 69 74 80 81 88 91 98 99 103 107 108 126 131 141 143 151 152 160 165 175 179 187 191 194 201 228 242 243 248 254 264 287 288 308 314 338 342 350 356 359 363 384 411 414 432]\n# step=452 row=84 minW=55 found cw of W=54: [25 37 59 107 118 131 133 145 152 157 160 167 168 169 180 188 189 190 191 192 197 200 201 202 203 204 209 212 213 217 251 262 292 298 299 304 310 316 320 329 340 344 346 361 365 368 377 388 402 414 418 419 424 426]\n# step=510 row=62 minW=54 found cw of W=51: [7 10 11 19 30 45 54 55 83 106 115 125 127 129 147 159 165 185 191 200 209 211 234 258 269 274 285 297 298 303 306 308 311 315 320 332 339 341 342 354 370 381 382 394 395 406 411 416 417 423 431]\n# step=705 row=16 minW=51 found cw of W=39: [2 34 42 58 74 98 106 111 114 129 130 150 162 166 201 202 213 214 230 236 248 255 273 278 284 290 297 299 309 323 347 372 381 393 396 410 411 420 423]\n# round=1000 of 10000 minW=39\n# round=2000 of 10000 minW=39\n# round=3000 of 10000 minW=39\n# round=4000 of 10000 minW=39\n# round=5000 of 10000 minW=39\n# round=6000 of 10000 minW=39\n# round=7000 of 10000 minW=39\n# round=8000 of 10000 minW=39\n# round=9000 of 10000 minW=39\n# round=10000 of 10000 minW=39\nRW algorithm upper bound for the distance d=39\n</t>
  </si>
  <si>
    <t># step=0 row=0 minW=469 found cw of W=118: [1 3 4 11 14 15 19 21 22 33 34 40 41 43 44 45 47 49 50 55 57 62 64 65 72 76 77 78 81 83 85 87 93 95 96 98 108 110 113 114 120 128 131 135 138 145 147 153 154 159 165 166 169 171 173 175 178 179 180 189 198 203 210 212 217 229 232 238 241 243 245 257 277 285 286 287 288 292 302 308 309 321 322 330 343 348 351 357 358 363 368 371 373 379 380 390 391 397 400 404 410 416 420 423 427 431 434 435 446 447 448 451 453 455 456 459 464 468]\n# step=0 row=1 minW=118 found cw of W=99: [3 5 14 19 20 21 23 33 39 40 41 43 44 45 51 52 57 60 64 65 72 73 76 89 92 95 96 98 104 107 108 130 133 135 138 141 143 145 152 153 155 156 159 165 173 179 183 187 191 196 200 210 222 229 232 238 248 254 261 264 266 268 270 271 287 288 292 308 310 321 329 330 343 344 346 347 351 359 368 370 379 381 382 389 390 402 410 415 416 420 426 427 430 431 437 438 440 453 454]\n# step=0 row=7 minW=99 found cw of W=92: [2 3 17 20 22 33 40 41 50 59 61 66 67 77 78 83 87 93 96 107 110 120 141 145 152 155 156 159 169 171 175 186 191 196 197 200 204 210 212 222 232 238 241 248 254 257 261 266 270 274 277 278 302 309 310 321 344 347 351 357 358 368 369 370 373 375 377 381 382 389 390 391 400 402 404 415 416 420 426 430 435 438 440 443 446 448 451 452 454 455 458 464]\n# step=0 row=28 minW=92 found cw of W=91: [2 3 11 14 16 19 21 23 33 34 41 45 50 56 57 59 63 65 67 72 73 75 81 85 89 92 93 107 114 120 131 133 135 143 145 147 150 153 166 171 173 175 178 179 180 186 189 191 192 197 204 210 212 229 256 266 269 277 287 292 308 309 310 321 325 326 347 351 357 358 359 361 367 369 372 375 380 381 391 397 409 410 432 440 446 447 451 452 455 456 463]\n# step=0 row=146 minW=91 found cw of W=87: [2 6 15 19 21 22 34 40 43 45 50 52 56 60 61 63 66 67 73 78 85 87 89 108 113 114 120 121 133 138 153 154 156 165 166 175 178 192 196 212 217 222 232 238 241 243 245 248 257 261 274 286 288 295 302 308 321 322 330 343 344 348 357 366 368 370 372 377 381 382 397 409 420 426 427 434 437 438 439 443 447 453 458 459 460 463 468]\n# step=1 row=80 minW=87 found cw of W=84: [11 16 18 20 31 33 34 36 37 38 40 48 49 51 74 81 85 92 95 98 112 114 116 120 126 137 148 153 170 173 181 189 193 202 220 231 235 238 243 256 258 271 277 284 285 286 295 296 299 312 314 319 320 323 328 330 335 339 340 342 343 355 365 366 368 372 373 374 387 394 398 407 408 419 421 423 426 427 433 438 441 449 450 458]\n# step=2 row=47 minW=84 found cw of W=80: [11 12 13 16 23 29 51 68 76 78 80 82 90 101 102 104 115 125 129 135 138 139 141 147 149 152 154 160 167 179 180 209 213 216 217 230 234 236 238 240 266 271 275 277 279 284 288 290 291 295 297 299 301 307 308 313 316 325 339 349 350 360 362 369 372 375 388 389 392 396 398 411 422 428 429 435 443 459 466 467]\n# step=2 row=55 minW=80 found cw of W=76: [5 11 13 18 25 29 51 57 61 68 93 98 103 105 107 110 111 117 119 124 129 134 137 146 148 171 172 174 180 182 183 197 199 209 219 225 226 230 233 236 261 266 271 290 295 297 299 313 314 316 342 343 350 363 373 377 382 386 388 390 392 395 403 415 416 418 422 427 434 440 441 443 444 455 464 467]\n# step=2 row=206 minW=76 found cw of W=62: [5 11 23 29 31 49 57 61 76 81 86 90 96 98 101 102 103 109 111 114 115 120 121 124 129 134 137 139 146 148 170 183 185 196 209 217 244 255 257 258 270 277 284 290 294 307 322 325 338 349 357 370 375 377 383 388 390 398 414 427 459 465]\n# step=2 row=227 minW=62 found cw of W=59: [5 11 23 29 31 49 57 61 76 81 86 90 96 98 101 103 109 111 114 120 121 124 129 134 137 146 148 170 183 185 196 209 217 244 255 257 270 271 277 284 290 294 295 307 322 325 338 349 357 370 375 377 383 388 390 398 451 459 465]\n# step=99 row=33 minW=59 found cw of W=49: [12 15 21 28 44 57 60 62 68 87 88 90 99 102 121 126 131 134 138 140 146 147 164 166 168 171 184 203 209 216 244 256 258 278 287 291 301 348 365 380 382 401 412 432 445 452 453 457 466]\n# step=99 row=48 minW=49 found cw of W=48: [10 15 21 28 44 49 57 62 87 88 99 101 102 121 126 131 134 140 147 164 171 184 203 205 209 224 244 256 258 278 287 291 301 313 326 348 352 365 380 382 401 412 432 445 452 453 457 466]\n# step=368 row=126 minW=48 found cw of W=44: [3 27 32 41 47 60 94 120 123 136 153 163 172 173 177 188 190 192 201 211 224 228 253 261 275 307 309 329 332 339 348 357 358 366 379 384 396 397 420 426 459 462 463 465]\n# step=959 row=215 minW=44 found cw of W=41: [16 39 40 46 48 49 59 61 74 78 89 94 104 115 141 147 172 205 234 251 259 264 272 283 285 287 298 300 306 331 332 344 345 351 352 383 429 433 446 452 465]\n# round=1000 of 10000 minW=41\n# step=1200 row=228 minW=41 found cw of W=35: [9 10 45 57 135 139 149 165 180 187 193 198 211 214 227 232 243 244 258 271 284 292 295 297 317 348 374 380 395 425 431 444 448 457 458]\n# round=2000 of 10000 minW=35\n# round=3000 of 10000 minW=35\n# round=4000 of 10000 minW=35\n# round=5000 of 10000 minW=35\n# round=6000 of 10000 minW=35\n# round=7000 of 10000 minW=35\n# round=8000 of 10000 minW=35\n# round=9000 of 10000 minW=35\n# round=10000 of 10000 minW=35\nRW algorithm upper bound for the distance d=35\n</t>
  </si>
  <si>
    <t># step=0 row=1 minW=497 found cw of W=114: [1 3 5 6 10 11 18 23 27 30 38 39 40 45 51 59 68 70 73 75 76 80 81 82 83 84 86 88 89 91 102 106 107 111 119 127 153 156 158 159 164 168 169 170 172 175 180 186 189 191 196 203 205 206 227 228 231 240 243 244 246 247 254 256 258 259 266 268 269 270 276 284 292 297 302 303 308 313 317 320 346 347 350 351 375 376 378 380 382 383 401 404 408 410 411 416 418 419 422 423 435 436 440 447 458 459 461 464 471 479 483 484 487 496]\n# step=0 row=2 minW=114 found cw of W=112: [6 7 10 11 18 23 27 30 38 39 40 45 51 59 68 70 73 75 76 80 81 82 83 84 86 88 89 91 102 106 107 111 119 127 153 156 158 159 164 168 169 170 172 175 180 185 186 187 196 203 205 206 227 228 231 240 243 244 246 247 254 256 258 259 266 268 269 270 276 284 292 297 302 303 308 313 317 320 346 347 350 351 375 376 378 380 382 383 401 404 408 410 411 416 418 419 422 423 435 436 440 447 458 459 461 464 471 479 483 484 487 496]\n# step=0 row=5 minW=112 found cw of W=98: [1 3 10 12 21 30 31 32 38 39 41 44 68 71 73 75 76 77 81 86 88 91 100 102 105 111 113 116 126 127 151 159 186 188 189 191 202 203 205 208 225 226 227 232 233 237 245 247 248 254 265 266 269 270 276 277 280 284 286 287 308 316 339 346 350 351 370 375 376 378 383 384 394 396 397 399 403 411 421 429 435 440 444 447 449 459 462 464 467 472 473 477 479 480 483 484 489 490]\n# step=0 row=45 minW=98 found cw of W=94: [3 11 21 30 31 32 54 62 66 70 72 73 77 80 81 88 89 91 92 95 97 98 100 101 105 111 150 153 156 159 164 165 168 172 174 175 180 185 186 187 205 206 207 208 212 214 218 224 228 233 237 240 243 244 247 248 259 260 265 266 274 280 284 286 306 309 314 317 339 347 375 383 385 396 398 399 401 402 403 404 421 422 429 430 436 444 471 472 479 480 486 487 493 496]\n# step=0 row=46 minW=94 found cw of W=92: [3 11 21 22 31 32 54 62 66 70 72 73 77 80 82 83 84 88 89 91 92 95 97 99 100 101 102 105 150 153 156 159 165 168 174 175 185 186 187 188 205 206 207 208 212 214 218 224 228 233 237 240 243 244 247 248 258 260 266 268 280 283 284 287 306 309 314 317 339 347 375 383 385 396 398 399 401 402 403 404 421 422 429 430 436 444 471 479 486 487 493 496]\n# step=0 row=73 minW=92 found cw of W=90: [2 10 18 23 27 30 66 68 71 77 81 88 89 91 92 95 100 101 106 111 113 116 126 127 149 154 156 159 180 185 187 188 189 191 196 201 206 207 212 214 218 224 226 227 228 233 245 246 247 248 259 260 265 266 274 276 280 286 308 316 339 346 350 351 370 375 376 380 382 383 387 394 398 399 403 408 411 416 435 436 440 447 466 471 473 480 483 484 489 490]\n# step=0 row=98 minW=90 found cw of W=80: [21 22 23 32 38 39 41 44 54 62 65 70 72 75 82 89 91 92 101 105 107 111 148 150 151 153 164 165 168 172 174 175 198 201 203 205 206 207 212 218 222 224 228 232 233 237 242 245 246 248 249 256 258 266 276 284 306 308 309 313 314 320 370 378 401 402 404 408 411 416 418 419 421 423 429 430 484 487 490 493]\n# step=0 row=241 minW=80 found cw of W=76: [3 11 38 39 40 45 51 59 65 72 76 77 81 82 83 92 97 102 105 106 107 111 150 153 156 159 165 169 170 174 185 186 187 188 214 222 226 228 231 232 237 240 243 244 246 247 254 256 258 266 276 277 280 284 286 287 309 317 370 378 402 408 410 416 418 419 423 430 466 471 476 477 486 493 495 496]\n# step=1 row=29 minW=76 found cw of W=68: [4 7 12 15 20 21 24 25 52 56 60 64 68 76 86 94 116 118 120 122 136 144 148 150 153 159 166 174 200 201 204 205 228 229 231 236 238 240 257 264 267 270 277 285 291 293 300 302 372 376 377 381 402 412 413 415 434 439 441 448 453 461 465 471 475 477 482 490]\n# step=3 row=84 minW=68 found cw of W=66: [1 7 11 13 35 43 68 76 82 85 86 89 104 106 107 109 115 116 118 125 130 133 135 140 147 155 164 172 177 181 184 185 189 192 261 262 265 266 325 326 327 336 340 341 348 349 385 394 397 398 401 403 413 415 433 437 441 446 447 448 465 466 471 480 481 489]\n# step=12 row=122 minW=66 found cw of W=56: [36 38 42 48 65 73 85 87 90 92 105 107 110 112 135 143 146 149 154 157 163 171 182 185 186 189 199 207 210 220 222 224 241 242 247 256 261 269 307 315 322 332 334 336 354 362 372 380 422 430 449 454 455 456 459 463]\n# step=60 row=50 minW=56 found cw of W=54: [36 37 38 39 42 46 66 70 71 73 78 80 87 95 99 102 104 105 166 174 201 203 205 207 209 211 218 220 221 222 223 224 260 268 325 333 354 362 375 383 385 386 390 397 403 405 410 411 412 415 456 464 468 476]\n# step=60 row=68 minW=54 found cw of W=50: [38 46 66 70 71 73 78 80 87 95 98 99 100 105 129 137 166 174 201 203 205 207 209 211 222 224 260 268 278 282 284 288 325 333 354 362 385 386 390 397 403 405 410 411 412 415 456 464 468 476]\n# step=100 row=135 minW=50 found cw of W=40: [49 53 59 63 65 67 74 76 150 158 181 183 185 187 230 231 232 237 245 249 251 255 260 263 265 270 309 317 375 381 382 384 387 395 420 428 435 440 444 447]\n# step=299 row=133 minW=40 found cw of W=36: [4 12 66 68 73 75 82 83 87 94 132 135 136 139 197 205 213 221 242 250 258 266 376 377 380 381 387 395 403 411 439 440 441 442 451 459]\n# round=1000 of 10000 minW=36\n# round=2000 of 10000 minW=36\n# round=3000 of 10000 minW=36\n# round=4000 of 10000 minW=36\n# round=5000 of 10000 minW=36\n# round=6000 of 10000 minW=36\n# round=7000 of 10000 minW=36\n# round=8000 of 10000 minW=36\n# step=8241 row=239 minW=36 found cw of W=34: [36 40 41 45 54 62 82 90 100 103 108 111 164 172 216 224 227 235 280 281 284 285 401 402 404 411 420 421 427 430 468 471 475 480]\n# round=9000 of 10000 minW=34\n# round=10000 of 10000 minW=34\nRW algorithm upper bound for the distance d=34\n</t>
  </si>
  <si>
    <t># step=0 row=0 minW=505 found cw of W=116: [2 3 6 7 10 17 20 24 29 34 39 42 44 45 47 56 66 76 79 81 86 88 89 91 93 94 95 96 98 105 121 122 124 130 139 146 154 158 159 164 181 184 186 191 200 210 214 215 221 225 227 228 233 256 261 264 273 275 278 281 285 286 296 305 308 312 318 321 334 335 337 342 343 345 348 355 361 369 376 377 389 392 395 404 405 411 416 423 424 425 429 430 433 434 440 441 444 448 451 454 455 459 471 475 477 478 480 481 482 483 488 490 492 496 501 504]\n# step=0 row=4 minW=116 found cw of W=115: [9 10 14 15 19 25 32 36 39 42 45 48 52 53 60 66 71 76 80 81 88 91 92 93 94 95 96 105 109 113 124 129 130 133 134 141 146 148 151 154 155 159 168 169 173 178 186 188 191 194 196 208 210 213 214 222 224 232 233 236 242 244 247 264 267 278 281 285 298 305 309 316 330 333 334 336 342 344 349 352 361 366 375 377 382 389 393 396 397 405 408 411 417 425 426 428 430 433 440 444 447 448 454 462 463 467 470 472 475 477 480 481 488 496 501]\n# step=0 row=10 minW=115 found cw of W=113: [1 6 9 10 13 15 19 20 26 30 32 33 39 41 44 45 48 52 58 66 71 72 80 81 85 86 94 95 96 103 105 109 110 113 128 129 134 153 158 169 178 181 183 184 186 211 213 221 222 224 227 228 232 236 243 246 256 261 264 267 273 277 281 285 296 298 305 308 310 316 322 323 330 336 345 347 348 349 355 361 363 369 375 377 382 389 391 392 393 395 400 403 404 408 411 414 423 424 425 430 432 434 441 444 447 448 451 460 472 475 477 481 489]\n# step=0 row=17 minW=113 found cw of W=104: [2 4 7 9 13 17 19 29 36 39 40 41 42 44 52 60 67 72 82 85 86 95 96 98 103 110 118 124 128 130 133 134 151 154 157 164 166 181 183 184 186 208 210 211 221 225 227 228 232 236 243 246 248 249 261 264 269 270 273 274 278 286 305 309 312 316 318 321 324 325 333 343 344 345 352 355 361 366 367 377 381 382 389 402 403 404 411 414 418 425 440 441 447 452 455 459 465 473 475 477 481 483 496 501]\n# step=0 row=51 minW=104 found cw of W=102: [1 4 9 10 13 19 20 45 47 56 57 71 76 79 80 85 89 94 96 108 121 122 124 128 129 130 134 141 151 155 178 184 186 188 211 213 221 225 227 232 236 243 244 247 248 256 264 267 278 279 281 286 298 303 305 310 316 321 322 323 324 330 333 334 335 336 337 345 349 355 366 382 392 393 395 397 400 403 404 408 417 422 423 425 429 432 434 449 451 452 454 460 462 467 470 471 480 481 484 488 490 501]\n# step=0 row=54 minW=102 found cw of W=96: [10 20 25 29 30 32 33 34 47 52 53 66 76 80 81 82 85 89 91 93 94 103 105 110 114 122 124 130 133 134 139 148 151 154 157 158 168 169 178 181 191 200 208 213 215 222 227 228 232 233 247 256 261 277 285 290 305 308 309 319 321 325 330 333 335 345 347 348 349 352 355 363 377 381 391 393 395 396 400 405 408 411 417 422 424 430 432 447 470 473 478 480 486 490 501 504]\n# step=1 row=127 minW=96 found cw of W=94: [1 7 9 14 20 23 33 37 47 48 52 63 65 72 74 75 93 95 100 102 109 116 120 135 140 141 148 169 174 181 184 186 193 195 200 201 205 224 226 229 247 248 254 258 262 266 273 274 275 276 281 285 289 296 299 301 303 305 308 315 316 317 324 327 330 338 361 371 378 381 383 391 395 397 402 409 411 420 428 435 436 440 445 447 450 453 461 464 468 473 481 489 491 500]\n# step=4 row=19 minW=94 found cw of W=93: [6 8 12 14 15 17 19 22 25 28 31 41 45 52 53 60 63 75 83 89 90 92 99 100 106 109 115 129 144 145 149 152 154 166 173 174 178 181 185 187 191 193 200 211 218 219 221 225 243 248 252 256 268 269 278 279 284 298 304 305 308 315 317 322 326 339 341 345 348 365 368 374 381 391 395 396 399 406 424 435 436 447 453 457 458 472 473 474 475 476 479 481 491]\n# step=8 row=108 minW=93 found cw of W=92: [1 4 5 14 20 25 30 32 34 45 46 56 67 75 76 79 81 86 89 98 102 115 117 130 131 135 137 140 143 144 145 158 160 161 169 171 173 174 176 188 198 201 203 204 212 225 227 230 232 240 245 269 273 277 281 284 285 287 309 310 317 328 340 341 347 353 364 368 371 379 381 382 383 387 394 401 407 409 412 413 423 431 445 448 449 451 452 455 466 471 480 495]\n# step=8 row=201 minW=92 found cw of W=91: [1 4 6 10 13 20 25 27 31 36 45 46 60 62 66 67 69 73 75 76 81 83 87 90 91 92 101 102 118 126 127 129 136 142 143 144 145 148 155 158 160 161 174 176 188 189 192 201 212 214 215 225 227 232 240 242 252 258 263 273 276 281 283 286 294 299 310 315 318 326 328 337 341 347 353 354 357 380 393 398 408 409 412 416 420 439 448 452 458 483 486]\n# step=9 row=98 minW=91 found cw of W=90: [3 4 11 17 27 28 29 32 42 45 53 64 66 68 69 79 83 84 97 99 116 128 138 139 144 149 153 161 164 165 181 182 193 196 204 205 206 209 228 236 241 242 268 277 279 282 284 293 296 306 316 317 318 320 323 324 329 331 332 333 344 345 365 374 377 392 401 402 409 410 415 426 428 435 438 440 444 445 447 457 464 468 469 476 483 484 485 493 501 502]\n# step=13 row=91 minW=90 found cw of W=89: [2 4 5 6 9 15 29 33 39 43 48 69 71 75 82 85 94 100 113 118 122 131 138 141 151 152 169 171 172 173 184 189 191 197 205 219 222 225 234 235 239 247 254 261 263 264 266 268 270 278 280 295 297 298 300 306 311 314 318 321 322 325 336 337 339 343 347 355 356 359 365 380 399 402 404 405 413 423 425 432 438 441 454 460 463 466 467 471 477]\n# step=16 row=45 minW=89 found cw of W=79: [2 8 17 26 38 46 53 64 66 67 68 70 81 82 86 100 101 117 122 138 150 166 167 174 184 195 197 199 201 222 229 236 250 255 259 268 270 273 283 284 285 288 292 301 311 312 322 335 341 346 348 358 363 365 370 380 382 392 398 409 414 420 435 436 437 439 451 453 454 458 461 464 472 481 482 488 491 495 500]\n# step=280 row=8 minW=79 found cw of W=77: [11 21 23 30 40 47 66 70 77 88 97 99 103 107 109 116 127 132 141 152 158 164 169 177 187 193 206 212 219 220 224 225 235 236 249 254 256 257 265 266 267 273 280 284 292 298 300 305 306 310 312 318 323 329 332 334 336 341 348 352 357 360 365 385 394 399 420 430 461 464 466 468 475 476 487 501 503]\n# step=565 row=180 minW=77 found cw of W=75: [7 13 18 21 28 30 34 36 38 47 69 78 79 87 97 98 106 112 118 121 125 133 145 159 170 190 203 205 211 216 224 242 245 251 253 262 265 270 275 280 281 282 283 308 309 311 318 338 343 349 359 364 366 368 370 374 379 383 391 392 398 412 421 422 424 427 435 440 451 452 466 467 475 479 482]\n# step=675 row=60 minW=75 found cw of W=72: [2 29 32 37 45 48 51 65 70 72 76 84 92 93 106 112 116 128 129 140 150 154 168 177 179 200 203 204 213 219 220 231 238 245 247 254 280 281 296 302 304 308 314 317 324 331 332 343 344 347 356 364 365 366 370 378 380 384 388 400 413 415 427 431 456 462 464 470 476 485 497 500]\n# round=1000 of 10000 minW=72\n# step=1337 row=198 minW=72 found cw of W=58: [9 28 35 36 40 68 81 84 86 93 95 96 99 100 106 126 128 134 137 165 173 196 204 213 219 229 232 252 259 267 269 277 283 315 316 325 359 369 371 376 386 395 404 409 414 417 421 437 445 451 453 457 460 463 479 488 499 501]\n# round=2000 of 10000 minW=58\n# round=3000 of 10000 minW=58\n# round=4000 of 10000 minW=58\n# round=5000 of 10000 minW=58\n# round=6000 of 10000 minW=58\n# round=7000 of 10000 minW=58\n# round=8000 of 10000 minW=58\n# step=8454 row=1 minW=58 found cw of W=50: [5 7 16 35 37 58 77 85 90 93 99 122 131 146 159 177 240 257 262 267 268 272 281 296 303 309 313 315 318 324 328 329 331 338 341 345 373 385 426 429 443 448 458 462 463 471 481 482 492 504]\n# round=9000 of 10000 minW=50\n# round=10000 of 10000 minW=50\nRW algorithm upper bound for the distance d=50\n</t>
  </si>
  <si>
    <t># step=0 row=0 minW=541 found cw of W=126: [1 6 11 14 23 26 29 30 36 40 43 45 48 49 53 54 60 66 68 70 76 80 86 89 92 93 94 99 100 105 114 119 120 121 133 134 136 138 140 149 152 156 161 166 168 177 180 182 183 191 206 207 213 214 220 226 230 237 242 243 248 249 250 253 254 257 261 264 266 275 276 287 288 289 290 306 308 333 346 347 350 357 363 364 368 372 373 377 378 383 386 391 398 401 409 412 420 424 425 427 441 442 443 446 450 451 458 464 473 477 478 480 483 494 495 496 499 501 510 522 523 524 527 529 533 538]\n# step=0 row=1 minW=126 found cw of W=121: [2 3 10 11 14 16 29 30 32 36 40 53 54 60 61 66 83 86 92 97 101 119 120 121 127 133 150 157 164 167 176 177 182 183 184 185 190 191 192 199 200 207 213 216 220 226 227 228 229 230 235 243 246 247 250 266 270 275 276 278 280 287 290 303 308 310 313 314 316 324 333 335 350 357 364 368 369 372 373 377 378 380 382 384 387 391 394 395 397 398 403 405 409 415 419 420 422 427 430 433 439 440 442 452 453 468 471 478 480 481 482 494 496 501 505 509 510 517 522 538 540]\n# step=0 row=5 minW=121 found cw of W=115: [7 13 43 45 48 52 53 54 63 64 67 74 79 86 93 99 103 109 114 120 127 128 136 140 143 156 157 164 167 176 180 181 182 183 185 192 198 199 205 206 207 213 220 223 226 227 229 232 235 237 243 247 249 253 254 256 261 264 265 266 273 288 289 303 308 313 316 319 335 336 347 350 352 364 368 372 373 377 386 387 391 393 395 397 398 405 415 417 424 425 427 433 439 441 443 453 458 461 464 468 470 472 481 482 494 495 496 499 501 505 506 509 517 533 539]\n# step=0 row=21 minW=115 found cw of W=113: [3 5 7 11 14 16 29 38 48 49 52 56 64 67 74 79 83 86 102 103 105 109 113 117 119 120 127 128 137 138 140 143 150 152 157 161 162 166 167 168 177 181 184 185 192 193 199 210 214 232 235 240 242 243 250 254 265 266 273 276 281 283 288 289 290 301 303 306 308 314 336 338 352 353 363 378 382 383 386 387 393 394 403 405 406 417 419 420 422 424 433 439 442 450 452 458 470 472 473 477 480 481 482 494 496 499 506 507 510 524 529 533 539]\n# step=0 row=43 minW=113 found cw of W=106: [6 7 30 36 40 43 45 48 49 53 56 57 60 64 66 70 74 79 85 100 101 102 109 117 127 136 138 140 150 156 161 164 167 176 180 183 185 198 205 206 210 214 226 229 232 235 240 246 248 254 275 276 281 289 290 306 313 316 337 338 347 353 355 363 371 372 373 378 382 383 386 387 394 395 398 401 405 406 408 415 424 425 426 430 433 439 446 458 463 464 470 472 473 478 480 494 499 507 517 523 524 527 529 533 538 540]\n# step=0 row=173 minW=106 found cw of W=102: [3 5 11 14 26 27 29 40 43 45 53 54 56 63 66 83 89 91 93 100 101 105 109 117 119 121 136 150 157 165 166 167 180 182 183 192 193 199 205 206 210 213 221 223 226 227 237 240 247 253 254 261 266 280 281 287 289 290 302 310 313 314 323 324 329 333 335 336 337 345 350 353 364 368 369 377 378 384 395 398 403 406 408 409 415 420 425 426 427 430 441 450 461 464 482 483 496 501 505 509 516 524]\n# step=2 row=217 minW=102 found cw of W=98: [9 11 13 26 55 57 60 63 69 71 73 74 80 85 87 88 89 91 92 119 133 143 144 145 148 153 155 158 162 163 170 178 180 185 192 196 199 204 208 211 222 224 229 238 258 265 269 270 271 287 300 309 314 315 324 325 326 328 329 330 332 335 340 341 343 347 353 359 364 370 371 374 380 400 401 408 416 425 433 435 436 444 445 448 451 454 459 463 467 470 478 497 513 520 526 528 533 538]\n# step=5 row=52 minW=98 found cw of W=91: [7 11 13 16 28 41 50 56 61 67 83 85 88 95 96 110 113 127 128 137 141 156 157 171 175 181 184 187 188 191 197 198 199 201 212 217 218 221 227 229 230 236 238 244 248 250 253 261 262 265 268 277 286 291 296 307 311 317 331 336 343 351 393 396 397 409 412 415 422 433 436 438 439 443 445 451 453 460 469 471 472 484 486 490 499 501 513 527 528 533 536]\n# step=12 row=71 minW=91 found cw of W=88: [7 8 12 22 26 34 36 42 59 64 70 74 88 93 97 98 100 101 112 145 148 150 161 163 175 176 180 187 188 191 202 210 220 232 235 250 254 255 258 261 266 267 273 274 282 306 310 312 340 345 359 364 372 374 375 381 387 389 400 415 420 427 431 435 438 442 448 453 455 457 470 471 472 480 486 496 498 508 511 513 515 521 523 524 526 530 535 537]\n# step=12 row=83 minW=88 found cw of W=86: [7 8 12 22 26 34 36 42 59 64 70 74 88 93 97 98 100 101 112 148 150 160 161 163 176 180 187 188 191 202 210 220 232 235 250 254 255 258 261 266 267 273 274 282 306 310 312 326 340 341 345 356 359 364 372 374 375 381 387 389 400 415 427 431 438 442 448 450 453 455 457 470 471 472 480 486 498 508 513 515 521 523 524 530 535 537]\n# step=33 row=4 minW=86 found cw of W=85: [5 7 9 16 30 45 46 50 54 61 65 77 89 99 100 105 114 119 125 130 139 140 167 179 180 186 187 196 201 209 230 234 235 239 246 250 256 261 276 277 284 285 286 291 294 318 324 329 333 334 336 340 346 348 349 351 363 378 380 399 404 408 410 419 425 429 437 445 450 452 455 457 471 480 481 482 486 497 499 515 520 524 525 531 535]\n# step=33 row=40 minW=85 found cw of W=79: [5 9 16 30 45 46 50 54 59 61 65 77 81 89 99 100 105 114 119 125 130 139 140 167 179 180 186 196 201 209 230 234 235 246 250 256 276 284 285 286 291 294 318 324 333 334 336 340 346 348 349 363 378 380 399 404 408 410 419 425 429 437 445 450 452 455 471 480 481 482 486 497 499 509 515 520 524 525 535]\n# step=225 row=219 minW=79 found cw of W=67: [9 23 24 32 33 35 53 65 74 89 122 123 140 142 144 148 152 154 182 187 201 212 217 228 230 231 234 238 242 243 263 273 277 278 303 305 307 320 328 329 332 333 334 335 352 365 366 373 378 392 398 403 413 419 425 427 440 448 454 456 467 468 472 484 487 497 533]\n# round=1000 of 10000 minW=67\n# round=2000 of 10000 minW=67\n# step=2606 row=212 minW=67 found cw of W=64: [11 12 13 15 28 29 37 40 45 56 59 61 87 90 91 117 130 131 157 166 179 181 196 206 224 237 239 251 256 262 267 277 286 296 311 314 327 328 329 330 357 367 385 402 412 417 419 420 431 432 433 434 445 448 461 464 466 475 476 477 517 522 532 535]\n# round=3000 of 10000 minW=64\n# round=4000 of 10000 minW=64\n# round=5000 of 10000 minW=64\n# round=6000 of 10000 minW=64\n# round=7000 of 10000 minW=64\n# round=8000 of 10000 minW=64\n# round=9000 of 10000 minW=64\n# step=9089 row=54 minW=64 found cw of W=48: [6 14 17 25 32 51 60 74 75 79 90 97 111 127 136 151 166 173 201 203 212 224 235 247 259 269 280 293 308 314 317 322 325 332 349 352 370 377 383 427 449 464 467 488 505 509 527 529]\n# round=10000 of 10000 minW=48\nRW algorithm upper bound for the distance d=48\n</t>
  </si>
  <si>
    <t># step=0 row=0 minW=577 found cw of W=156: [1 3 7 13 16 20 22 26 34 35 45 56 69 71 81 82 86 94 96 98 100 102 103 104 110 121 122 123 125 129 137 141 143 145 146 150 154 156 159 165 167 170 176 180 183 186 187 189 192 194 196 197 200 201 204 205 209 210 214 219 231 234 236 246 250 253 254 257 265 269 272 276 283 284 286 287 288 292 294 295 300 301 310 312 316 319 320 324 327 331 333 334 340 343 346 350 355 356 358 362 367 372 377 378 384 387 389 390 393 394 395 399 400 405 408 415 418 419 421 422 426 429 434 437 441 445 446 448 452 459 460 461 463 466 473 476 480 482 483 485 487 489 493 495 499 503 526 531 533 537 550 551 554 565 566 573]\n# step=0 row=1 minW=156 found cw of W=151: [2 3 6 7 15 20 26 30 41 43 50 51 52 56 57 63 69 71 80 81 82 83 86 96 100 102 111 120 122 125 132 137 143 148 149 152 164 167 170 171 174 176 177 180 181 186 188 190 192 196 197 200 206 210 213 217 226 231 237 239 242 243 244 250 254 259 272 273 275 276 282 283 284 286 291 292 294 295 299 301 302 308 310 312 315 316 319 322 324 331 332 345 355 356 358 362 365 367 372 378 379 381 389 390 395 399 402 406 408 410 415 419 421 422 429 434 437 441 442 444 446 452 459 460 462 463 473 474 475 480 482 483 484 485 486 487 490 495 499 501 514 526 531 533 539 542 554 565 569 573 576]\n# step=0 row=2 minW=151 found cw of W=135: [3 4 6 15 20 26 30 34 35 43 45 57 64 69 81 82 86 93 96 102 113 122 123 128 129 130 131 141 143 148 149 156 159 174 180 181 186 188 189 192 194 204 205 207 214 219 223 224 226 231 234 236 239 242 243 244 245 253 254 255 260 265 269 273 275 286 291 294 299 300 301 306 308 310 319 320 322 324 331 332 333 334 335 345 347 350 352 358 365 378 389 390 395 402 411 414 421 422 423 432 437 444 448 452 459 461 462 463 466 473 474 476 481 483 484 485 487 493 495 497 500 501 511 514 525 529 533 537 550 551 562 565 566 569 576]\n# step=0 row=5 minW=135 found cw of W=133: [6 9 11 12 13 20 22 26 30 34 35 51 52 56 64 69 81 83 86 93 96 100 102 104 120 122 128 132 137 139 140 141 143 149 150 158 160 164 177 181 183 186 188 189 190 195 196 200 201 206 207 211 213 214 216 219 223 224 231 236 237 243 246 253 265 269 272 273 275 277 283 287 288 291 295 300 301 310 316 320 322 324 327 333 334 335 340 343 345 346 347 350 358 362 372 377 379 384 387 402 405 422 423 426 432 437 441 444 446 459 461 463 466 467 473 474 476 481 483 484 490 495 497 499 501 503 526 529 533 534 547 554 572]\n# step=0 row=14 minW=133 found cw of W=127: [7 11 22 27 34 35 38 52 56 57 71 75 103 104 111 113 121 123 125 129 131 137 139 148 149 154 160 164 165 167 171 177 181 187 190 192 194 195 197 200 203 206 208 210 213 219 224 231 234 237 242 246 253 254 255 265 269 275 276 277 282 283 286 287 292 294 299 301 302 310 312 322 324 331 334 335 345 350 352 358 362 365 367 377 378 379 381 384 387 389 390 392 394 395 400 403 411 414 418 421 422 429 432 440 442 444 445 452 460 461 463 473 476 478 480 483 490 499 511 526 533 534 537 565 574 575 576]\n# step=0 row=37 minW=127 found cw of W=121: [3 6 7 11 12 16 20 22 26 30 50 52 56 64 65 69 71 81 82 93 98 100 103 111 120 122 125 128 130 131 143 145 149 150 152 154 158 171 176 181 186 187 194 196 197 200 203 208 217 219 223 226 234 236 243 244 245 246 250 253 255 257 260 265 273 275 276 277 287 292 299 300 302 308 312 333 343 347 352 355 356 362 367 372 375 384 389 393 394 395 400 403 408 410 414 415 423 432 444 448 459 461 463 464 467 473 474 475 476 483 487 489 493 501 508 511 533 542 569 572 576]\n# step=0 row=88 minW=121 found cw of W=114: [34 35 38 50 57 63 75 81 86 94 103 111 131 132 139 143 149 150 158 160 162 165 174 177 181 183 188 194 195 197 203 205 210 223 237 239 250 255 259 272 273 276 277 282 283 286 294 295 299 306 308 315 316 317 319 331 332 333 335 345 346 352 362 372 375 378 379 381 392 394 395 399 400 402 406 408 410 415 421 432 436 437 440 441 446 448 452 459 461 462 463 464 466 474 475 478 480 481 493 497 500 501 503 525 529 533 534 539 551 554 562 565 572 576]\n# step=1 row=89 minW=114 found cw of W=102: [2 10 14 15 17 46 52 58 61 62 69 70 75 78 80 81 85 88 93 95 96 98 108 112 127 143 144 151 155 165 166 172 176 177 181 186 188 189 194 197 231 234 237 242 247 250 252 262 267 269 271 301 302 303 305 314 316 317 318 340 343 347 363 368 376 378 384 385 387 400 403 407 415 416 421 429 434 436 440 444 446 449 451 455 456 458 467 469 485 490 495 509 511 519 524 530 533 541 556 561 571 573]\n# step=4 row=269 minW=102 found cw of W=100: [1 3 23 29 41 45 54 55 56 65 66 79 81 86 90 96 98 112 127 137 151 182 189 193 195 210 223 246 247 258 265 273 278 285 286 287 289 291 293 304 306 309 311 335 337 341 342 344 351 370 378 384 391 399 402 411 414 416 425 427 430 432 441 442 444 449 455 456 458 460 471 472 473 475 476 481 483 488 489 505 510 511 520 521 526 527 528 529 530 534 536 537 540 545 546 553 556 560 568 572]\n# step=9 row=54 minW=100 found cw of W=96: [4 6 9 21 25 37 40 46 54 56 69 70 84 85 89 104 108 109 114 120 124 132 136 141 148 149 153 173 178 182 183 197 200 205 215 221 228 229 237 243 245 248 250 253 258 263 264 266 268 278 282 294 300 311 318 322 327 332 341 345 357 361 380 382 387 388 391 395 403 404 414 422 427 429 437 450 454 457 459 460 471 478 482 484 485 489 500 503 505 508 517 524 525 535 547 563]\n# step=34 row=243 minW=96 found cw of W=93: [3 10 11 20 28 33 39 57 63 74 81 90 93 94 99 100 106 121 125 135 141 153 190 192 199 211 214 221 224 228 239 243 249 250 281 286 287 298 303 305 313 316 330 331 335 340 351 352 363 367 368 378 390 391 394 395 412 417 423 429 431 432 438 440 442 447 456 458 465 468 472 473 474 479 480 485 493 502 506 511 517 521 528 532 533 534 535 550 557 564 565 566 567]\n# step=52 row=6 minW=93 found cw of W=85: [9 14 20 48 55 57 60 61 63 71 79 95 113 144 146 153 157 165 176 178 191 199 200 211 212 225 227 240 243 246 256 258 259 261 262 268 273 278 285 289 292 302 304 329 336 337 340 348 354 357 361 375 383 392 396 398 407 409 415 417 428 431 433 434 439 440 448 449 453 456 460 461 466 471 472 476 479 487 488 500 537 556 557 575 576]\n# step=52 row=91 minW=85 found cw of W=84: [9 20 46 48 55 57 60 61 63 71 78 79 95 113 144 146 153 157 165 176 178 191 194 199 200 211 212 225 226 227 240 243 246 256 259 261 262 268 273 278 285 289 292 302 304 329 336 337 340 348 354 357 361 375 383 392 398 407 409 415 417 431 433 434 439 440 448 449 453 456 461 466 471 472 476 479 487 488 500 537 556 557 575 576]\n# step=52 row=278 minW=84 found cw of W=82: [9 20 46 48 55 57 60 61 63 71 78 79 95 113 153 157 165 177 191 199 200 208 211 212 225 227 240 243 256 259 261 268 285 289 292 302 329 336 337 340 348 357 361 369 375 383 392 396 398 400 407 409 415 417 428 431 433 434 439 448 449 450 453 460 461 465 466 471 476 479 487 488 491 500 523 537 543 555 556 557 559 576]\n# step=459 row=69 minW=82 found cw of W=81: [2 8 15 22 24 30 35 46 78 100 104 111 114 116 117 122 131 133 141 142 152 154 168 181 193 199 200 204 207 215 220 225 227 234 237 242 257 258 265 266 269 279 290 292 296 298 308 310 322 333 334 338 350 354 360 391 394 397 398 406 408 418 423 430 434 441 444 473 478 482 483 499 526 531 532 540 546 551 553 557 568]\n# step=459 row=140 minW=81 found cw of W=80: [2 8 15 22 24 30 35 46 78 100 104 111 114 116 122 131 141 142 152 154 168 193 199 200 204 207 215 218 220 225 227 237 242 257 258 265 266 269 279 282 290 292 296 298 308 310 317 322 334 338 350 354 360 381 391 394 397 398 406 408 418 423 430 434 441 444 473 478 482 483 499 526 531 532 540 546 551 553 557 568]\n# step=721 row=98 minW=80 found cw of W=76: [3 5 14 15 18 25 29 38 41 45 46 47 50 73 74 80 96 98 100 101 105 106 112 125 126 128 134 142 147 155 170 175 186 190 194 195 197 198 215 227 253 256 262 275 285 292 298 301 307 313 347 365 366 378 391 403 404 415 420 431 439 441 445 447 458 462 468 484 503 505 506 509 537 539 557 559]\n# round=1000 of 10000 minW=76\n# round=2000 of 10000 minW=76\n# round=3000 of 10000 minW=76\n# round=4000 of 10000 minW=76\n# round=5000 of 10000 minW=76\n# round=6000 of 10000 minW=76\n# round=7000 of 10000 minW=76\n# step=7928 row=133 minW=76 found cw of W=72: [1 14 15 21 30 31 32 35 47 50 52 56 65 69 72 92 95 101 112 113 115 135 146 174 175 177 184 187 190 193 207 216 224 227 232 238 242 246 257 270 281 309 325 327 335 340 352 371 379 380 388 404 414 421 437 438 473 476 485 499 501 510 515 517 519 527 533 534 544 549 569 571]\n# step=7928 row=251 minW=72 found cw of W=69: [1 14 15 21 30 31 32 35 47 50 52 56 65 69 72 92 95 101 112 113 115 135 146 174 175 177 184 187 190 193 207 212 216 224 227 232 238 242 245 246 257 270 309 325 327 335 340 352 371 379 380 388 414 421 438 476 485 499 500 501 510 515 517 519 527 534 544 549 571]\n# round=8000 of 10000 minW=69\n# round=9000 of 10000 minW=69\n# round=10000 of 10000 minW=69\nRW algorithm upper bound for the distance d=69\n</t>
  </si>
  <si>
    <t># step=0 row=0 minW=577 found cw of W=139: [1 3 4 5 7 11 16 20 27 29 34 35 39 41 42 44 50 59 63 64 66 67 72 74 77 78 82 85 90 92 95 97 100 106 112 113 116 125 127 129 131 133 140 143 151 152 159 160 161 165 168 172 173 176 177 178 181 183 185 186 190 202 205 207 209 213 218 220 222 227 234 235 241 242 243 245 252 256 257 263 267 268 284 287 289 306 321 323 329 344 345 348 350 361 368 386 395 398 400 403 409 431 435 436 445 446 448 449 456 461 462 464 466 467 469 473 479 480 491 492 495 503 505 508 510 512 519 521 530 531 532 543 562 565 567 568 573 574 576]\n# step=0 row=1 minW=139 found cw of W=126: [2 3 4 10 11 29 35 41 42 43 44 48 51 56 59 64 65 71 72 74 75 77 78 82 83 85 92 93 99 100 101 107 128 131 133 139 141 151 155 157 160 173 178 183 184 187 197 202 203 216 218 221 222 224 228 229 232 235 243 250 256 257 263 267 268 274 284 285 287 291 302 304 305 306 316 320 321 323 329 334 337 338 339 341 347 349 355 368 371 386 387 395 396 398 403 409 411 416 432 437 446 448 452 461 462 464 473 479 480 486 492 495 508 510 518 527 529 531 532 534 543 547 561 564 566 573]\n# step=0 row=2 minW=126 found cw of W=118: [5 7 9 11 15 16 20 23 29 40 42 43 44 48 50 72 74 82 93 95 99 101 109 110 113 115 116 119 127 129 131 133 140 155 159 161 162 168 176 178 181 186 187 190 191 202 203 204 205 207 212 213 220 222 224 227 231 232 233 235 242 245 252 256 257 268 270 274 291 296 298 301 309 311 329 333 334 337 338 343 344 350 354 361 371 376 378 387 396 398 407 432 435 446 449 455 456 457 461 462 467 479 488 489 492 506 512 517 531 535 551 553 554 561 562 565 575 576]\n# step=0 row=216 minW=118 found cw of W=112: [5 6 7 8 10 11 19 22 25 27 35 39 40 41 43 46 48 50 59 62 65 66 67 71 72 75 83 85 90 97 98 107 112 113 114 115 128 131 133 160 165 166 168 173 176 177 181 182 185 186 189 190 203 204 205 216 221 222 229 234 235 242 243 245 246 256 257 267 274 275 280 285 289 298 302 304 305 337 339 344 349 354 376 386 396 398 400 402 411 424 430 442 443 461 473 480 488 491 492 503 505 506 510 519 521 531 535 551 562 573 574 576]\n# step=1 row=46 minW=112 found cw of W=104: [1 2 5 8 18 22 23 39 42 50 55 56 60 61 63 81 86 87 97 98 101 106 110 111 122 138 146 152 157 161 163 182 190 193 202 207 208 210 216 223 233 245 249 253 256 257 265 273 281 298 307 312 314 318 319 322 323 326 337 342 344 355 358 359 364 366 370 371 375 380 390 402 405 416 425 438 439 444 449 458 470 482 483 484 486 488 497 498 502 511 512 513 515 516 517 521 526 530 532 542 550 564 565 570]\n# step=6 row=165 minW=104 found cw of W=101: [7 10 14 15 19 20 21 25 26 34 36 41 43 50 51 58 61 64 66 71 78 84 94 106 108 111 112 114 117 121 123 131 132 133 136 139 140 151 154 156 158 163 167 168 173 174 180 187 189 190 207 210 227 235 237 240 243 245 256 261 279 281 288 296 297 308 309 311 313 314 318 320 329 331 341 345 357 380 391 403 412 416 419 421 428 429 430 439 444 445 460 478 488 500 506 509 521 523 557 563 572]\n# step=11 row=23 minW=101 found cw of W=97: [12 16 19 32 38 43 54 58 74 75 79 91 97 128 129 131 139 150 160 171 175 176 177 186 193 199 204 205 209 210 212 218 227 228 234 235 237 249 257 258 262 273 274 276 278 279 295 315 326 327 331 332 336 337 352 359 364 371 386 391 393 395 397 398 406 409 413 427 430 442 445 448 458 461 462 463 467 470 471 474 475 491 492 496 503 514 523 529 537 539 546 551 555 557 559 560 571]\n# step=22 row=229 minW=97 found cw of W=94: [2 4 9 15 20 49 54 55 60 64 65 73 80 96 102 117 118 130 133 141 155 157 167 172 180 181 183 185 199 204 205 220 228 246 251 255 265 285 293 295 313 317 319 325 327 341 343 347 348 349 351 354 356 364 369 373 375 381 386 392 393 395 401 407 408 411 413 415 416 417 420 432 436 440 443 447 459 461 463 475 479 480 485 487 495 500 508 511 514 517 524 535 537 549]\n# step=80 row=251 minW=94 found cw of W=91: [2 6 10 11 15 21 24 29 35 37 47 61 89 95 102 109 114 115 120 127 138 141 143 154 172 173 195 196 200 202 203 206 212 216 217 219 228 230 232 233 236 244 255 264 271 290 294 299 301 306 309 314 325 326 330 358 364 367 371 377 386 397 398 399 411 415 420 428 438 451 469 470 479 485 489 494 498 499 501 505 515 516 524 533 534 539 547 553 556 566 570]\n# step=122 row=188 minW=91 found cw of W=89: [7 8 24 44 45 47 74 77 83 87 92 101 103 109 125 127 142 147 152 154 163 165 167 169 174 178 180 185 201 203 204 210 217 220 221 226 250 253 256 267 268 275 282 284 293 301 302 306 316 322 343 345 357 365 372 378 381 383 399 407 427 428 440 441 455 463 464 466 476 480 486 491 494 496 502 507 509 511 512 517 519 523 532 534 539 548 552 568 570]\n# step=478 row=36 minW=89 found cw of W=77: [18 20 27 29 42 52 60 65 73 76 84 88 89 90 96 97 99 100 129 156 157 164 169 172 184 192 193 205 206 209 214 216 217 218 221 225 226 228 232 252 256 268 272 274 291 299 306 314 333 340 347 349 377 381 390 397 398 401 409 427 433 436 441 449 454 465 470 475 483 489 494 497 498 502 506 537 553]\n# round=1000 of 10000 minW=77\n# round=2000 of 10000 minW=77\n# step=2210 row=269 minW=77 found cw of W=76: [6 33 43 50 60 65 77 85 99 101 104 114 115 139 149 150 155 163 179 199 238 253 267 272 276 277 285 289 290 296 301 309 310 333 341 347 348 357 390 391 393 411 417 425 430 434 444 449 457 459 464 468 475 483 491 493 494 498 499 503 504 507 512 517 523 525 528 531 534 535 536 542 544 555 564 574]\n# round=3000 of 10000 minW=76\n# round=4000 of 10000 minW=76\n# round=5000 of 10000 minW=76\n# step=5471 row=261 minW=76 found cw of W=71: [16 20 34 50 52 63 64 66 87 91 114 119 123 134 141 144 154 168 180 184 196 200 212 224 226 247 253 274 276 285 292 295 297 301 326 329 331 344 346 351 359 361 365 372 384 391 397 404 415 423 424 429 431 440 463 468 472 475 487 490 493 500 506 507 516 518 520 532 564 568 576]\n# round=6000 of 10000 minW=71\n# round=7000 of 10000 minW=71\n# round=8000 of 10000 minW=71\n# round=9000 of 10000 minW=71\n# round=10000 of 10000 minW=71\nRW algorithm upper bound for the distance d=71\n</t>
  </si>
  <si>
    <t># step=0 row=0 minW=613 found cw of W=148: [1 2 3 4 7 8 13 15 17 20 39 42 56 58 63 70 75 78 81 86 87 97 100 103 105 112 118 123 127 128 135 137 142 143 144 146 152 156 157 158 159 165 168 170 175 176 178 190 194 195 197 199 202 203 206 208 213 221 224 226 231 234 239 245 248 255 258 261 262 263 267 273 275 282 290 292 294 305 306 313 319 321 322 324 328 329 332 333 338 340 342 343 347 350 355 360 362 372 387 393 406 414 417 419 423 425 428 430 431 438 447 453 455 461 462 467 476 481 484 487 503 505 508 509 512 513 517 528 532 533 536 540 543 544 547 551 553 561 564 573 584 587 590 593 594 601 603 612]\n# step=0 row=6 minW=148 found cw of W=145: [2 3 8 10 14 15 24 26 34 39 46 47 54 58 60 62 70 81 87 91 95 105 107 110 116 118 121 123 125 127 128 135 142 146 147 156 157 168 170 171 173 175 176 178 180 181 190 195 197 198 202 219 225 226 231 239 255 256 258 266 273 274 275 282 288 289 290 291 292 293 294 301 306 310 313 314 315 319 321 322 333 339 340 349 350 351 352 360 363 367 372 374 375 384 397 400 406 409 410 415 416 421 422 425 428 431 434 446 448 454 459 468 475 477 505 509 511 512 513 521 525 527 528 544 545 553 558 561 569 570 573 577 578 582 584 586 587 589 590 592 593 594 596 601 603]\n# step=0 row=9 minW=145 found cw of W=138: [3 7 8 10 19 24 26 39 40 41 42 43 46 49 55 56 58 60 62 70 72 74 75 87 95 97 100 105 108 110 121 123 125 131 140 145 146 147 149 151 152 156 159 166 168 170 171 176 180 181 198 200 203 205 206 213 214 224 231 233 245 247 248 255 256 260 263 265 266 273 274 278 282 288 290 291 313 315 319 324 328 329 339 341 348 351 358 359 360 367 372 374 379 384 397 406 409 415 419 440 447 448 449 453 459 461 462 467 475 484 487 497 503 509 521 525 527 533 536 540 543 544 545 550 551 552 561 565 566 569 570 574 582 586 589 594 601 610]\n# step=0 row=11 minW=138 found cw of W=137: [2 7 8 10 13 22 34 39 41 43 49 54 55 56 60 72 74 75 81 86 97 99 100 103 107 110 118 121 123 125 131 135 136 137 140 145 149 151 171 173 176 177 178 190 195 197 200 205 219 224 225 226 231 233 234 239 241 260 265 273 274 275 286 288 289 290 291 293 298 299 305 306 313 315 322 324 328 329 333 337 339 340 341 347 349 352 354 357 359 362 365 374 379 384 391 400 404 406 410 414 416 423 425 434 438 440 446 447 448 454 455 461 468 473 475 497 503 512 514 517 520 524 525 533 535 536 544 551 558 559 565 569 578 584 586 596 603]\n# step=0 row=45 minW=137 found cw of W=120: [3 7 10 15 17 24 26 40 41 42 54 56 58 62 70 72 75 78 82 86 87 92 95 97 103 105 112 116 121 130 135 136 137 140 146 147 152 153 158 160 170 176 177 181 197 199 202 203 205 208 224 231 245 260 262 265 266 273 274 278 282 289 290 291 293 299 301 305 308 310 313 329 332 333 338 348 354 357 358 359 360 363 367 372 376 393 406 409 414 416 417 422 423 446 456 459 468 477 484 497 509 511 512 517 520 524 527 528 533 544 545 550 564 565 567 577 578 584 594 610]\n# step=3 row=65 minW=120 found cw of W=116: [10 16 17 22 25 32 34 37 56 63 66 78 91 95 99 103 115 116 117 137 139 149 152 156 160 162 165 170 173 174 184 189 190 193 194 201 210 212 219 225 228 238 241 242 244 246 251 254 255 258 261 267 279 289 291 293 296 299 304 307 308 314 319 320 322 324 325 333 345 353 356 362 364 365 376 378 383 388 392 396 398 400 432 435 447 450 455 462 466 467 469 481 486 492 495 507 508 514 521 534 535 541 548 552 555 557 564 570 579 586 589 591 602 603 605 610]\n# step=3 row=211 minW=116 found cw of W=114: [2 26 37 47 52 63 66 69 70 76 77 78 90 98 117 120 135 137 144 149 151 156 160 165 174 181 186 189 194 196 201 203 212 213 219 227 233 241 242 244 248 253 261 264 269 270 276 278 279 286 291 298 299 315 319 322 325 326 327 328 331 338 344 345 353 355 365 366 370 377 378 381 383 384 385 395 400 405 412 417 418 420 423 426 427 434 438 440 443 450 464 481 483 503 507 508 514 521 526 530 536 537 539 540 555 565 573 581 586 593 596 599 608 610]\n# step=3 row=255 minW=114 found cw of W=112: [8 10 16 17 18 22 25 26 47 56 68 69 76 77 84 95 105 116 119 122 127 135 140 156 160 162 163 169 170 174 180 181 186 190 195 196 210 213 225 238 241 242 244 254 256 260 261 262 263 267 269 280 286 293 294 298 304 307 310 314 315 320 333 345 353 364 365 366 367 379 385 392 394 420 435 437 443 445 447 455 469 483 499 500 503 507 508 511 514 522 530 533 536 539 540 541 545 550 552 557 565 569 582 583 586 589 592 596 599 605 608 610]\n# step=5 row=51 minW=112 found cw of W=109: [6 8 22 23 26 36 38 44 45 49 57 61 70 71 73 75 76 91 93 94 95 99 109 113 119 120 136 140 144 151 154 155 159 163 164 192 196 201 204 206 216 222 223 226 236 242 247 249 262 265 273 276 280 281 284 289 295 296 303 304 307 317 323 325 330 331 332 333 334 345 348 357 377 379 380 385 398 413 416 426 427 435 437 447 463 471 477 479 485 488 493 497 501 516 535 549 550 551 553 556 567 569 570 572 582 584 589 596 601]\n# step=6 row=136 minW=109 found cw of W=104: [4 6 13 25 30 31 50 51 52 58 68 76 88 106 115 116 133 135 137 144 156 159 161 173 189 199 212 218 219 220 224 225 227 238 240 253 256 263 268 269 272 280 287 292 293 298 301 305 307 312 316 320 331 335 336 339 340 348 350 352 356 363 364 367 391 392 393 399 401 417 428 431 434 444 448 466 471 472 475 480 482 485 488 489 506 510 522 524 527 528 530 533 539 540 546 567 577 579 582 590 597 604 607 611]\n# step=45 row=180 minW=104 found cw of W=103: [1 7 18 25 29 36 42 79 80 92 95 98 100 101 103 115 122 129 132 134 144 146 147 151 165 170 177 182 199 204 206 207 208 216 219 221 229 236 238 256 262 265 271 279 282 283 284 287 288 290 291 297 306 308 317 319 324 326 330 335 339 340 348 353 356 357 359 373 374 386 390 393 399 407 410 411 412 415 426 433 438 443 444 455 471 493 495 511 529 534 538 548 551 556 564 568 572 574 579 580 582 602 611]\n# step=57 row=64 minW=103 found cw of W=88: [3 12 35 52 54 57 66 67 79 86 92 95 117 118 122 127 131 134 144 161 164 166 172 178 194 204 205 207 216 220 222 227 232 249 256 267 270 279 283 313 320 339 341 347 354 358 363 367 368 369 370 372 376 381 384 385 388 389 392 406 408 409 422 424 431 432 436 449 453 456 462 465 471 475 483 490 503 512 527 529 550 561 564 568 574 578 597 601]\n# round=1000 of 10000 minW=88\n# step=1266 row=184 minW=88 found cw of W=87: [5 40 44 45 55 65 67 77 78 81 87 88 89 110 112 114 116 122 136 141 150 153 168 169 173 197 203 206 209 214 224 238 240 244 255 257 264 275 286 287 288 298 310 314 317 318 326 329 337 339 340 344 354 356 357 360 366 372 379 385 387 393 397 400 401 411 423 434 451 453 457 475 480 489 492 502 507 510 518 522 537 550 554 583 587 597 610]\n# round=2000 of 10000 minW=87\n# round=3000 of 10000 minW=87\n# round=4000 of 10000 minW=87\n# step=4979 row=86 minW=87 found cw of W=86: [19 26 41 44 49 64 70 120 124 128 138 141 143 151 154 158 160 161 164 171 175 188 189 190 193 200 213 223 227 231 235 245 246 251 252 254 262 264 274 280 308 317 324 325 350 351 364 382 387 393 394 397 399 402 416 423 427 431 438 439 444 456 458 466 474 489 495 503 508 512 518 523 528 541 543 546 550 554 558 559 569 572 574 598 605 611]\n# round=5000 of 10000 minW=86\n# round=6000 of 10000 minW=86\n# round=7000 of 10000 minW=86\n# round=8000 of 10000 minW=86\n# round=9000 of 10000 minW=86\n# round=10000 of 10000 minW=86\nRW algorithm upper bound for the distance d=86\n</t>
  </si>
  <si>
    <t># step=0 row=0 minW=649 found cw of W=159: [1 10 17 23 32 36 41 42 43 53 54 63 64 66 71 73 75 76 77 78 83 99 100 105 112 113 115 116 118 120 124 126 133 136 142 146 150 154 156 161 164 165 172 181 183 185 191 195 201 204 212 214 217 220 223 227 230 232 233 235 245 248 256 257 262 268 271 273 277 280 287 291 299 303 309 313 323 326 327 329 338 339 342 343 345 351 354 357 359 360 364 367 368 369 372 378 381 385 386 389 397 399 402 405 407 410 412 415 416 419 420 422 423 425 441 446 447 450 451 453 456 460 465 467 468 471 473 477 478 489 492 497 498 509 514 520 522 523 527 541 545 548 564 565 576 577 578 580 581 596 599 604 605 619 624 626 630 635 648]\n# step=0 row=2 minW=159 found cw of W=150: [3 9 17 23 32 38 43 44 53 63 65 66 67 71 74 78 80 83 99 100 105 108 113 115 118 126 133 136 139 141 143 146 150 157 160 165 172 177 180 185 191 195 198 203 212 214 215 220 223 230 232 233 235 236 239 243 245 246 248 254 262 263 267 271 283 286 287 289 290 291 301 302 309 312 313 315 323 327 336 342 346 348 354 357 359 364 367 368 369 374 376 381 385 386 398 402 407 409 418 420 422 424 425 430 436 440 441 443 452 453 461 465 467 469 477 478 480 482 484 489 492 493 497 498 504 507 513 517 522 525 532 534 538 544 545 564 568 570 576 577 578 581 583 585 596 599 605 630 635 640]\n# step=0 row=4 minW=150 found cw of W=147: [5 10 17 21 23 42 44 53 54 58 63 64 66 67 69 73 78 80 83 90 100 113 115 116 118 120 125 126 127 133 135 136 139 141 146 154 156 160 164 165 172 180 185 191 196 198 201 203 212 214 215 222 223 226 230 232 233 243 245 246 248 254 257 262 263 268 271 272 280 286 288 290 291 302 313 323 327 328 329 337 339 344 345 348 354 359 360 361 363 364 369 372 376 378 385 392 394 397 398 402 405 410 415 418 420 435 436 440 441 444 447 451 452 453 454 460 465 467 468 469 471 473 475 493 497 499 509 527 536 538 541 546 548 556 570 571 573 576 583 586 596 605 624 632 635 640 648]\n# step=0 row=9 minW=147 found cw of W=140: [7 14 17 38 41 44 53 54 64 69 71 76 80 83 90 105 108 117 120 126 127 133 135 141 146 150 157 170 172 180 185 191 201 204 215 217 222 223 225 227 232 233 235 236 246 251 252 256 257 263 268 272 277 282 289 290 291 298 302 308 309 321 327 328 329 336 337 338 342 345 346 348 351 354 357 361 368 369 372 378 380 385 387 394 398 399 409 411 412 415 416 418 422 423 426 430 436 440 441 447 449 452 455 456 470 473 480 482 483 485 492 493 498 507 520 522 523 525 527 532 534 537 545 546 564 571 573 577 580 585 602 615 626 628 629 632 639 640 643 645]\n# step=0 row=26 minW=140 found cw of W=135: [7 10 17 23 32 35 42 43 44 53 67 69 73 77 80 90 105 112 116 117 118 124 125 127 135 136 139 141 154 160 165 169 177 180 181 183 191 201 203 204 210 212 215 217 223 225 230 235 248 254 257 262 263 267 269 272 280 282 288 290 298 299 302 303 308 312 321 323 328 329 331 337 339 345 348 351 354 360 361 363 367 369 372 374 378 381 385 387 399 407 411 412 415 423 424 440 441 449 455 456 460 461 470 473 475 478 482 483 485 497 498 499 504 509 514 522 523 537 544 548 565 571 577 578 581 585 587 604 624 628 629 635 639 640 645]\n# step=0 row=53 minW=135 found cw of W=133: [7 9 23 32 36 38 43 54 58 63 66 76 88 90 99 100 105 113 115 126 133 135 141 142 150 156 170 176 180 181 183 185 191 192 195 196 203 204 212 214 217 220 223 226 227 238 239 246 251 254 257 262 268 269 272 273 280 282 283 289 290 301 303 308 309 313 323 326 327 331 339 342 343 348 351 354 361 363 367 369 374 376 385 386 392 397 398 407 415 418 424 435 436 441 443 447 451 455 457 471 472 480 482 483 484 499 504 513 517 520 523 527 534 536 537 541 545 564 573 576 578 583 585 587 598 599 602 626 628 635 639 640 643]\n# step=0 row=82 minW=133 found cw of W=124: [7 9 12 17 42 58 63 64 65 66 67 69 76 83 100 105 112 113 118 125 134 141 146 154 156 165 175 178 183 191 196 198 207 214 217 225 232 233 239 243 246 251 254 256 263 267 268 269 272 273 280 282 283 287 289 290 291 298 304 313 321 328 329 331 338 342 344 348 357 368 369 374 378 381 387 389 399 405 410 411 416 418 420 422 423 426 435 444 447 449 452 454 455 461 469 471 474 475 477 480 485 489 493 513 514 532 534 537 544 548 565 577 580 583 587 599 602 604 621 623 624 629 630 632]\n# step=0 row=131 minW=124 found cw of W=122: [9 10 12 17 42 43 44 54 58 63 66 69 74 80 83 90 100 112 115 116 120 125 135 143 146 154 160 161 164 170 172 177 180 181 183 191 196 198 201 203 204 210 214 215 220 225 226 229 232 236 239 246 247 251 254 268 272 273 283 286 287 299 303 312 315 321 326 331 336 338 342 346 348 351 356 360 367 369 372 376 378 380 381 386 387 392 397 405 412 419 430 440 451 454 456 460 468 469 473 475 478 504 507 513 523 525 527 538 541 548 556 577 578 581 583 602 619 621 624 632 640 648]\n# step=0 row=265 minW=122 found cw of W=118: [12 17 32 36 38 42 43 44 63 67 71 73 80 83 90 108 116 117 133 135 136 139 141 142 143 150 154 156 157 160 169 180 181 196 201 210 212 217 225 226 230 232 235 239 243 246 248 251 252 254 257 263 268 271 272 283 286 288 289 290 298 301 302 308 309 312 321 331 336 344 345 357 360 363 367 372 374 407 409 412 416 424 426 430 440 441 443 450 455 456 465 468 473 475 477 478 482 483 498 499 504 513 525 535 538 548 564 573 576 578 583 586 587 619 628 635 640 645]\n# step=1 row=302 minW=118 found cw of W=117: [10 16 20 24 29 35 39 49 56 59 64 66 67 71 87 91 93 96 101 116 125 127 136 145 146 150 162 164 180 184 195 202 214 221 222 225 227 236 246 247 251 255 262 265 268 269 272 274 290 292 303 305 307 310 312 316 318 328 331 332 337 340 345 346 353 354 367 372 378 383 389 396 403 407 408 416 427 430 440 441 445 449 455 462 476 489 492 503 504 506 507 512 515 516 520 522 540 545 548 549 551 555 558 575 576 579 588 591 592 594 596 598 600 609 643 645 646]\n# step=4 row=278 minW=117 found cw of W=114: [5 7 18 22 23 26 29 39 44 47 48 54 63 76 79 94 96 98 108 114 115 116 121 128 132 135 137 139 148 152 155 162 163 193 198 200 205 208 211 213 220 222 224 227 239 245 248 258 260 266 272 279 280 281 299 303 307 316 318 320 336 351 360 362 363 382 383 385 387 397 402 404 408 415 418 424 429 437 439 449 462 467 471 487 488 492 497 503 504 505 511 512 514 519 542 544 545 547 549 558 564 580 582 599 604 606 613 623 624 627 632 637 641 645]\n# step=5 row=201 minW=114 found cw of W=105: [4 25 35 39 48 52 56 71 72 75 81 82 85 100 102 103 105 109 112 129 138 154 163 168 169 175 180 182 189 195 200 206 208 214 217 219 220 231 243 244 252 253 255 267 268 269 273 283 289 290 293 305 308 315 325 331 332 334 339 341 358 368 375 379 381 386 402 420 429 435 439 444 453 460 471 477 486 493 496 498 501 504 509 513 540 543 545 549 559 570 571 574 575 576 581 589 597 600 601 612 629 633 638 643 647]\n# step=29 row=226 minW=105 found cw of W=100: [5 6 26 32 44 49 58 59 77 82 98 101 103 112 114 115 124 131 139 140 142 144 151 153 156 162 166 175 178 180 183 185 189 190 193 223 228 231 233 240 249 256 259 262 270 273 276 293 295 300 310 327 328 333 342 353 354 363 371 378 390 391 393 403 408 409 411 429 436 442 447 449 455 457 463 464 465 475 480 486 489 502 520 529 533 538 549 550 555 557 558 563 565 572 573 583 589 597 601 615]\n# step=296 row=96 minW=100 found cw of W=98: [22 23 29 30 31 50 53 59 60 67 72 74 80 84 99 102 104 108 113 137 140 148 157 158 159 160 161 168 169 172 176 179 182 187 188 197 202 205 208 212 215 216 221 222 224 245 250 259 260 266 269 270 272 284 308 324 336 338 358 375 387 396 405 406 409 430 440 441 444 454 456 459 466 475 476 481 486 494 499 504 513 518 530 535 554 562 564 573 576 583 589 608 609 622 627 644 646 648]\n# step=551 row=271 minW=98 found cw of W=94: [2 9 11 17 20 28 45 50 53 55 56 60 81 89 91 95 99 105 123 128 141 156 170 171 195 197 203 204 212 215 217 235 240 241 258 263 270 271 276 279 296 303 311 314 324 338 343 344 352 353 361 372 379 386 389 392 395 402 405 433 441 450 457 460 469 477 482 501 504 512 515 528 530 551 552 553 557 560 565 566 571 575 584 594 600 607 612 623 624 627 630 638 644 645]\n# round=1000 of 10000 minW=94\n# step=1806 row=107 minW=94 found cw of W=85: [26 36 44 51 56 76 87 100 102 111 123 145 165 167 170 172 182 184 188 189 190 200 208 216 223 229 239 252 255 267 269 270 273 281 285 291 295 309 321 333 345 352 361 369 370 378 383 396 414 426 432 434 452 455 457 468 471 481 485 496 497 498 508 514 516 517 529 530 540 541 545 553 565 575 595 596 602 605 616 620 621 631 633 637 647]\n# round=2000 of 10000 minW=85\n# round=3000 of 10000 minW=85\n# round=4000 of 10000 minW=85\n# round=5000 of 10000 minW=85\n# round=6000 of 10000 minW=85\n# round=7000 of 10000 minW=85\n# round=8000 of 10000 minW=85\n# round=9000 of 10000 minW=85\n# round=10000 of 10000 minW=85\nRW algorithm upper bound for the distance d=85\n</t>
  </si>
  <si>
    <t># step=0 row=0 minW=649 found cw of W=147: [1 2 4 5 11 27 32 39 53 54 58 64 68 72 73 93 94 97 104 109 110 111 116 119 134 140 157 161 162 171 175 176 179 187 188 189 190 201 206 215 218 222 228 234 235 240 245 247 248 250 259 262 270 273 276 279 280 283 284 288 289 291 295 299 304 305 319 320 328 329 337 341 356 369 374 377 383 388 396 397 399 400 401 403 406 419 421 427 433 443 445 448 451 453 461 462 468 472 473 475 477 478 485 493 499 501 504 509 513 515 516 517 519 521 525 534 537 538 541 547 549 550 556 560 570 571 572 576 577 578 579 585 589 590 593 595 601 604 605 615 623 624 632 637 642 643 646]\n# step=0 row=4 minW=147 found cw of W=143: [4 9 14 17 26 36 38 42 52 55 56 69 71 73 77 88 92 94 97 105 107 110 121 129 130 140 147 150 156 157 160 162 168 176 186 187 188 190 198 199 205 218 222 227 229 238 242 245 248 251 253 255 260 262 269 272 275 276 279 281 284 289 290 291 299 304 305 320 328 338 339 340 364 368 369 372 374 375 376 377 383 386 391 396 403 405 406 410 417 419 420 427 433 443 445 448 453 457 458 459 461 468 475 478 485 491 497 501 503 507 508 509 515 520 523 524 525 528 530 536 537 541 550 556 557 558 561 570 571 572 590 593 599 601 602 603 615 623 631 632 642 643 647]\n# step=0 row=10 minW=143 found cw of W=132: [1 4 5 15 16 22 39 43 52 53 55 64 68 72 73 81 88 93 94 97 100 103 104 105 109 111 116 121 130 131 134 150 151 153 161 169 175 176 186 188 198 199 206 217 222 226 227 229 237 238 245 247 255 261 270 279 281 283 284 295 299 323 328 329 330 337 339 346 347 354 356 364 369 372 374 391 396 399 403 405 406 414 417 426 427 429 437 438 439 451 453 457 459 467 468 469 472 475 478 483 490 499 515 517 519 522 525 536 537 542 545 549 550 552 558 560 561 570 571 583 585 593 596 599 615 623 624 631 637 639 642 647]\n# step=0 row=19 minW=132 found cw of W=130: [5 8 11 12 18 32 37 39 43 71 72 73 85 93 94 104 105 109 116 119 129 130 131 147 151 153 157 161 162 169 174 175 179 187 190 201 205 217 226 228 229 238 240 242 247 248 251 255 256 261 262 270 276 279 280 288 289 291 299 308 320 323 337 345 364 369 372 374 377 391 396 401 406 414 419 426 429 433 438 439 440 457 458 459 460 467 469 473 475 478 479 493 499 502 507 509 513 517 520 521 522 524 525 537 538 542 545 546 547 558 560 570 576 579 580 587 589 590 595 596 599 601 602 603 604 611 615 631 632 637]\n# step=0 row=60 minW=130 found cw of W=128: [4 15 18 26 32 36 43 48 53 68 72 73 81 88 96 97 107 111 115 116 121 130 134 153 157 160 169 187 188 199 201 206 215 226 228 234 237 238 245 247 248 250 251 256 259 262 273 280 281 284 288 291 305 308 321 338 339 340 345 346 350 364 369 372 377 379 391 399 400 403 405 420 427 439 448 453 458 460 461 463 465 467 468 472 475 478 485 490 493 497 501 502 503 505 513 516 520 524 525 528 537 541 542 547 554 557 561 565 570 571 576 577 578 579 580 585 587 595 596 607 615 623 624 640 642 643 645 646]\n# step=0 row=105 minW=128 found cw of W=127: [4 5 18 26 31 32 43 47 48 55 64 68 69 72 77 85 88 97 104 105 111 121 129 147 150 151 155 161 162 168 169 175 183 197 198 201 215 222 229 237 245 247 248 251 253 269 275 276 280 281 284 288 299 308 319 321 323 330 338 339 340 341 345 347 350 356 359 364 372 374 375 376 377 379 383 388 391 396 400 401 403 417 420 427 453 457 458 462 463 465 468 469 472 473 474 483 491 501 504 505 508 520 523 524 528 534 536 537 542 554 560 561 576 577 579 583 589 593 596 599 601 604 607 611 618 632 645]\n# step=1 row=4 minW=127 found cw of W=117: [1 10 12 15 28 29 30 32 33 49 64 70 79 80 90 98 100 101 102 104 108 109 111 116 121 125 137 141 143 158 170 175 178 179 188 192 202 204 213 214 219 225 237 243 254 258 265 266 279 281 285 286 288 290 306 310 323 335 342 350 358 363 371 375 376 378 389 393 396 399 403 414 418 420 422 424 427 433 434 441 445 463 474 477 479 489 491 494 509 511 513 515 516 517 522 526 527 532 533 535 539 541 542 548 561 564 587 591 606 609 623 638 642 643 646 647 648]\n# step=2 row=178 minW=117 found cw of W=114: [1 4 10 17 18 27 33 35 53 64 70 71 88 91 102 103 123 125 128 135 146 150 154 156 157 163 168 169 172 174 183 186 190 198 200 204 205 209 219 230 237 243 244 245 251 257 266 275 291 293 295 297 300 309 319 346 348 354 355 358 360 361 376 382 384 388 389 390 399 402 403 406 407 411 413 424 429 432 436 437 439 447 468 469 475 479 487 491 504 513 516 518 519 533 534 537 538 539 543 553 555 579 581 582 587 588 595 607 611 621 626 630 635 642]\n# step=6 row=0 minW=114 found cw of W=91: [1 13 26 35 39 49 62 70 85 88 93 97 109 116 122 135 139 143 148 150 153 157 163 165 169 202 207 223 237 239 241 242 248 266 268 269 274 278 291 310 316 323 327 346 348 374 379 392 403 420 427 428 430 433 442 449 458 460 467 473 476 484 491 493 494 500 503 507 508 509 512 514 518 529 538 544 563 574 577 579 582 590 603 608 621 631 634 639 640 643 646]\n# step=797 row=144 minW=91 found cw of W=58: [117 129 147 165 168 171 180 183 216 233 240 245 246 251 263 264 279 282 287 292 295 309 369 384 395 413 414 423 431 453 454 456 462 471 472 480 495 498 508 511 526 533 546 549 556 558 565 583 592 594 601 605 606 616 623 628 633 642]\n# step=797 row=314 minW=58 found cw of W=55: [117 129 147 165 168 171 180 183 216 233 245 246 251 263 264 282 287 292 309 369 384 395 413 414 423 431 453 454 462 471 472 480 498 508 526 533 546 549 556 558 564 565 583 592 594 601 603 605 606 616 619 623 628 633 642]\n# round=1000 of 10000 minW=55\n# round=2000 of 10000 minW=55\n# round=3000 of 10000 minW=55\n# round=4000 of 10000 minW=55\n# round=5000 of 10000 minW=55\n# round=6000 of 10000 minW=55\n# round=7000 of 10000 minW=55\n# round=8000 of 10000 minW=55\n# round=9000 of 10000 minW=55\n# round=10000 of 10000 minW=55\nRW algorithm upper bound for the distance d=55\n</t>
  </si>
  <si>
    <t># step=0 row=0 minW=685 found cw of W=157: [2 5 10 13 19 20 26 32 34 35 37 41 42 47 48 52 54 55 56 58 59 65 71 72 75 77 80 84 85 86 91 93 94 97 100 102 103 113 116 117 123 124 129 133 144 150 151 154 156 159 160 163 166 168 171 185 186 191 193 195 199 200 213 218 220 223 224 225 226 232 233 237 242 255 269 271 279 281 292 299 302 313 318 322 332 333 349 351 361 362 366 367 370 382 386 387 388 390 396 398 400 403 406 412 413 420 432 435 437 443 444 458 465 473 474 475 480 482 484 495 502 507 512 521 526 530 534 539 540 561 567 569 574 583 586 596 597 599 605 606 607 612 616 624 631 634 641 647 648 650 659 660 662 663 664 665 672]\n# step=0 row=2 minW=157 found cw of W=144: [1 5 7 13 14 19 20 24 25 28 32 35 37 46 56 59 66 72 75 82 89 91 97 100 102 104 105 113 114 115 122 123 124 129 140 153 159 160 163 166 167 168 170 185 186 189 195 197 199 200 203 208 215 219 220 225 233 235 237 240 242 253 255 266 267 271 273 279 283 292 300 302 311 313 319 321 322 349 350 351 360 361 367 370 372 390 400 405 406 412 413 419 420 432 444 456 462 464 465 468 475 482 484 492 494 495 500 502 507 510 514 520 521 534 539 561 564 567 569 570 571 574 585 597 599 600 604 605 606 607 608 612 614 620 621 631 641 642 654 658 659 660 664 669]\n# step=0 row=3 minW=144 found cw of W=129: [8 9 13 22 24 26 32 35 41 42 46 47 52 54 55 57 73 74 75 80 81 84 86 89 91 92 94 98 100 104 105 108 112 113 114 116 117 123 134 140 143 150 154 159 160 166 170 171 173 185 186 193 197 208 211 219 223 224 226 232 239 242 248 255 273 283 285 292 300 305 318 321 322 333 338 341 346 349 356 360 362 366 370 383 388 390 394 404 409 435 456 463 465 467 474 480 482 484 495 502 512 514 518 520 521 523 539 540 561 569 570 579 581 586 592 596 597 599 607 612 616 624 647 650 660 662 663 668 672]\n# step=0 row=16 minW=129 found cw of W=122: [5 6 13 14 22 24 28 34 35 39 42 47 54 58 65 71 73 75 84 85 89 91 92 94 97 98 99 100 102 103 105 110 112 114 117 122 129 143 144 153 154 156 165 184 185 189 193 195 199 208 216 218 235 239 243 267 268 269 279 286 299 302 309 313 321 322 332 341 350 356 363 368 372 386 387 390 400 403 405 412 416 422 435 443 444 456 462 464 467 470 473 474 477 479 492 501 502 512 520 530 540 561 570 574 581 593 596 599 600 602 612 616 621 628 631 634 644 654 659 663 664 672]\n# step=3 row=338 minW=122 found cw of W=112: [1 4 5 9 16 26 29 30 32 39 41 54 57 60 76 78 79 80 89 95 102 123 126 133 136 140 142 152 165 184 190 192 194 197 199 206 215 228 229 230 240 247 248 250 252 254 268 270 279 287 289 298 301 302 306 311 324 334 340 350 353 354 370 371 372 384 385 388 391 399 406 410 419 422 423 426 427 443 448 460 465 472 479 485 486 506 510 518 525 529 532 539 549 553 558 562 563 575 593 608 628 629 632 644 648 665 666 671 674 676 681 682]\n# step=4 row=158 minW=112 found cw of W=111: [15 16 22 27 31 33 34 54 63 68 69 81 82 88 97 100 106 110 111 141 145 147 154 177 187 195 205 211 215 220 221 224 229 245 255 261 265 267 269 274 277 283 286 288 293 310 312 316 319 325 329 335 338 359 364 380 382 397 399 405 410 418 435 437 442 452 457 461 468 472 476 478 480 486 487 491 493 497 502 506 514 515 516 524 526 530 534 538 545 552 553 559 564 566 568 591 592 597 601 607 619 649 651 658 662 663 666 667 671 676 681]\n# step=5 row=30 minW=111 found cw of W=103: [10 29 45 56 59 60 68 69 80 81 83 91 94 97 108 130 132 151 155 162 174 181 187 197 202 205 220 221 227 244 246 257 263 266 271 276 278 282 284 285 290 297 303 304 309 311 313 315 319 320 322 323 326 336 341 349 377 383 390 398 417 420 422 423 425 429 436 450 455 466 491 499 501 504 506 512 515 516 518 524 536 541 543 553 554 571 578 580 590 592 594 604 616 620 623 628 638 649 654 655 668 678 680]\n# step=10 row=208 minW=103 found cw of W=101: [4 5 6 7 23 29 33 46 47 48 64 65 78 80 84 93 98 101 102 111 112 121 122 128 138 139 154 161 164 178 179 192 198 212 219 226 237 251 253 254 259 262 293 294 306 310 313 322 326 327 328 333 349 350 356 368 369 375 382 392 404 406 424 435 441 444 445 453 460 461 468 480 483 489 490 499 517 521 522 525 549 550 558 567 568 578 584 587 594 604 610 612 625 636 652 654 663 664 670 677 682]\n# step=12 row=57 minW=101 found cw of W=100: [10 37 53 64 67 73 82 86 89 90 91 95 100 106 109 110 117 121 124 125 131 132 155 159 162 167 174 178 188 189 209 220 229 235 245 249 265 292 302 310 314 323 328 329 338 341 349 352 353 364 374 378 380 383 387 393 399 409 412 413 414 415 418 424 437 442 457 471 477 485 489 492 501 508 524 529 539 543 545 546 557 569 571 578 586 591 597 604 615 619 624 630 633 638 649 654 662 670 673 683]\n# step=17 row=202 minW=100 found cw of W=94: [8 17 18 22 34 37 41 49 54 57 60 69 75 79 88 92 98 107 110 121 130 149 155 170 190 193 209 231 232 234 235 236 245 248 249 268 284 288 301 308 335 350 357 358 364 380 387 391 397 398 406 412 415 416 421 431 433 444 450 454 459 460 462 463 474 475 476 477 491 494 496 505 509 513 516 531 532 536 554 563 569 587 609 612 614 616 630 635 652 666 667 673 677 684]\n# step=19 row=9 minW=94 found cw of W=89: [12 19 20 21 31 34 35 40 47 57 70 81 89 100 104 109 127 128 133 147 148 152 154 165 183 202 203 204 211 222 228 237 240 242 245 248 261 265 278 281 294 301 309 310 313 318 325 335 336 342 351 354 358 362 382 392 415 423 427 442 446 465 473 493 503 510 528 532 538 547 548 556 590 591 598 607 625 629 636 646 648 651 652 658 662 663 674 680 681]\n# step=19 row=43 minW=89 found cw of W=86: [12 19 21 31 34 35 40 47 57 70 81 89 90 100 104 108 109 127 128 133 134 147 148 152 154 165 183 202 203 211 228 237 240 242 245 261 265 278 281 294 301 309 310 313 325 335 342 351 354 358 362 382 392 415 423 427 442 446 465 473 493 503 510 528 532 538 547 548 556 590 591 598 607 625 629 636 646 648 651 652 658 662 663 674 680 681]\n# step=29 row=15 minW=86 found cw of W=60: [27 33 42 62 64 65 73 81 100 101 110 123 133 136 145 156 160 196 224 235 250 270 274 285 292 301 304 308 329 349 351 361 364 373 375 387 415 424 426 443 444 463 464 475 478 489 502 536 566 570 579 593 596 601 612 631 633 643 680 684]\n# step=73 row=12 minW=60 found cw of W=48: [4 19 29 32 81 111 115 118 156 172 225 229 232 247 251 257 260 267 271 324 339 347 361 371 374 381 384 385 438 460 499 517 533 537 552 574 580 590 608 612 613 621 631 637 646 647 666 678]\n# step=739 row=19 minW=48 found cw of W=35: [39 46 50 58 83 98 108 267 274 278 286 311 326 336 381 388 392 400 425 440 450 571 572 586 597 610 620 624 648 653 662 666 668 673 678]\n# round=1000 of 10000 minW=35\n# round=2000 of 10000 minW=35\n# round=3000 of 10000 minW=35\n# round=4000 of 10000 minW=35\n# round=5000 of 10000 minW=35\n# round=6000 of 10000 minW=35\n# round=7000 of 10000 minW=35\n# round=8000 of 10000 minW=35\n# round=9000 of 10000 minW=35\n# round=10000 of 10000 minW=35\nRW algorithm upper bound for the distance d=35\n</t>
  </si>
  <si>
    <t>outfile: /home/ucapmwe/dist-benchmark/results/tanner_codes-GraphLikeErrorStim-20260203_134426.958065_85062422.txt</t>
  </si>
  <si>
    <t>dont_explore_detection_event_sets_with_size_above=2,dont_explore_edges_with_degree_above=2; Found w:62</t>
  </si>
  <si>
    <t>outfile: /home/ucapmwe/dist-benchmark/results/tanner_codes-GurobiDist-20260203_134426.958084_85062422.txt</t>
  </si>
  <si>
    <t>outfile: /home/ucapmwe/dist-benchmark/results/tanner_codes-MIPDist-SCIP-20260203_134426.959743_85062422.txt</t>
  </si>
  <si>
    <t>w:4; T:178ms; iterations:832</t>
  </si>
  <si>
    <t>w:8; T:3787ms; iterations:39691</t>
  </si>
  <si>
    <t>w:12; T:178127ms; iterations:2494337</t>
  </si>
  <si>
    <t>w:13; T:1168217ms; iterations:13680572</t>
  </si>
  <si>
    <t>w:17; T:28800429ms; iterations:160227212</t>
  </si>
  <si>
    <t>w:18; T:28800576ms; iterations:130816728</t>
  </si>
  <si>
    <t>outfile: /home/ucapmwe/dist-benchmark/results/tanner_codes-QDistEvol-20260203_134426.958083_85062422.txt</t>
  </si>
  <si>
    <t>Gen:0 Trial:0 w:4; pErr:0.0000, weight 4 CW found:36, wDict:4:10000</t>
  </si>
  <si>
    <t>Gen:0 Trial:0 w:9; Trial:2 w:8; pErr:0.0000, weight 8 CW found:215, wDict:8:9952,9:43,10:4,12:1</t>
  </si>
  <si>
    <t>Gen:0 Trial:0 w:15; Trial:1 w:14; Trial:2 w:12; pErr:0.0000, weight 12 CW found:361, wDict:12:7756,13:1858,14:176,15:90,16:68,17:21,18:12,19:9,20:6,21:3,22:1</t>
  </si>
  <si>
    <t>Gen:0 Trial:0 w:17; Trial:2 w:14; Trial:61 w:13; pErr:0.0000, weight 13 CW found:277, wDict:13:5834,14:52,15:1519,16:92,17:1294,18:543,19:35,20:411,21:66,22:27,23:39,24:32,25:24,26:17,27:9,28:5,29:1</t>
  </si>
  <si>
    <t>Gen:0 Trial:0 w:25; Trial:2 w:24; Trial:9 w:22; Trial:30 w:21; Trial:99 w:17; pErr:0.0000, weight 17 CW found:311, wDict:17:7035,18:525,19:833,20:556,21:95,22:181,23:380,24:147,25:60,26:50,27:23,28:22,29:20,30:25,31:25,32:9,33:8,34:4,35:1,36:1</t>
  </si>
  <si>
    <t>Gen:0 Trial:0 w:32; Trial:2 w:29; Trial:4 w:23; Trial:55 w:22; Gen:1 Trial:190 w:21; Gen:17 Trial:1751 w:19; Gen:21 Trial:2117 w:18; pErr:0.0000, weight 18 CW found:274, wDict:18:6244,19:306,20:25,21:1194,22:571,23:166,24:462,25:232,26:188,27:149,28:107,29:32,30:56,31:48,32:52,33:54,34:42,35:17,36:33,37:9,38:5,39:4,40:4</t>
  </si>
  <si>
    <t>Gen:0 Trial:0 w:40; Trial:1 w:37; Trial:17 w:34; Trial:61 w:33; Gen:1 Trial:161 w:31; Gen:7 Trial:787 w:30; Gen:11 Trial:1104 w:28; Gen:29 Trial:2964 w:27; Gen:30 Trial:3065 w:25; Gen:35 Trial:3529 w:22; pErr:0.0000, weight 22 CW found:167, wDict:22:4875,23:98,24:4,25:612,26:77,27:170,28:1963,29:100,30:448,31:490,32:55,33:195,34:79,35:83,36:149,37:98,38:89,39:79,40:49,41:46,42:50,43:63,44:39,45:32,46:20,47:13,48:9,49:12,50:3</t>
  </si>
  <si>
    <t>Gen:0 Trial:0 w:39; Trial:2 w:36; Trial:69 w:35; Gen:6 Trial:605 w:34; Gen:9 Trial:972 w:31; Gen:75 Trial:7545 w:30; Gen:76 Trial:7635 w:27; Gen:78 Trial:7826 w:26; pErr:0.0000, weight 26 CW found:100, wDict:26:1487,27:176,29:4,30:98,31:3767,32:14,33:104,34:1053,35:1042,36:677,37:346,38:94,39:87,40:305,41:181,42:96,43:85,44:41,45:69,46:33,47:29,48:28,49:52,50:28,51:14,52:30,53:22,54:13,55:9,56:10,57:3,58:3</t>
  </si>
  <si>
    <t>Gen:0 Trial:0 w:57; Trial:1 w:54; Trial:4 w:50; Trial:11 w:47; Trial:17 w:45; Trial:18 w:44; Trial:28 w:42; Trial:32 w:40; Trial:55 w:36; Gen:5 Trial:504 w:35; Trial:543 w:34; Gen:6 Trial:600 w:33; Gen:25 Trial:2588 w:32; Gen:35 Trial:3530 w:28; Gen:69 Trial:6935 w:27; pErr:0.0000, weight 27 CW found:166, wDict:27:1917,28:2484,29:27,30:28,31:46,32:664,33:1751,34:129,35:76,36:679,37:428,38:742,39:75,40:68,41:72,42:82,43:137,44:67,45:82,46:52,47:52,48:25,49:90,50:43,51:33,52:25,53:26,54:19,55:16,56:19,57:12,58:17,59:5,60:5,61:1,62:6</t>
  </si>
  <si>
    <t>Gen:0 Trial:0 w:56; Trial:12 w:52; Trial:35 w:46; Gen:1 Trial:139 w:36; Gen:20 Trial:2031 w:30; Gen:36 Trial:3601 w:28; Gen:55 Trial:5551 w:27; Gen:63 Trial:6373 w:26; Gen:79 Trial:7925 w:25; pErr:0.0000, weight 25 CW found:94, wDict:25:1704,26:1104,27:613,28:1353,29:123,30:1281,31:111,32:146,33:59,34:490,35:123,36:1223,37:31,38:37,39:37,40:35,41:38,42:43,43:67,44:138,45:60,46:122,47:108,48:54,49:37,50:103,51:22,52:58,53:40,54:89,55:66,56:51,57:131,58:37,59:56,60:35,61:36,62:33,63:20,64:21,65:27,66:14,67:8,68:5,69:5,70:5,71:1</t>
  </si>
  <si>
    <t>Gen:0 Trial:0 w:60; Trial:4 w:49; Trial:39 w:45; Trial:66 w:35; pErr:0.0000, weight 35 CW found:383, wDict:35:7735,36:59,37:15,38:114,39:20,40:8,41:162,42:853,43:114,44:252,45:106,46:150,47:25,48:34,49:43,50:41,51:28,52:14,53:32,54:23,55:19,56:11,57:3,58:14,59:12,60:5,61:14,62:8,63:9,64:5,65:9,66:4,67:5,68:7,69:6,70:7,71:12,72:6,73:3,74:6,75:4,76:2,77:1</t>
  </si>
  <si>
    <t>Gen:0 Trial:0 w:61; Trial:34 w:59; Gen:3 Trial:339 w:56; Gen:4 Trial:422 w:54; Trial:463 w:52; Gen:5 Trial:550 w:47; Gen:7 Trial:732 w:46; Gen:12 Trial:1241 w:45; Trial:1291 w:43; Gen:14 Trial:1410 w:42; Gen:18 Trial:1842 w:38; Gen:42 Trial:4215 w:37; pErr:0.0000, weight 37 CW found:343, wDict:37:4222,38:1624,39:2,40:61,41:9,42:477,43:201,44:49,45:235,46:369,47:152,48:33,49:24,50:91,51:27,52:127,53:46,54:116,55:168,56:194,57:106,58:156,59:281,60:149,61:119,62:92,63:160,64:146,65:77,66:68,67:52,68:47,69:51,70:26,71:22,72:38,73:34,74:30,75:19,76:23,77:15,78:20,79:15,80:10,81:4,82:3,83:3,84:3,85:3,86:1</t>
  </si>
  <si>
    <t>Gen:0 Trial:0 w:68; Trial:1 w:50; Trial:40 w:40; Gen:5 Trial:501 w:39; Gen:11 Trial:1126 w:38; pErr:0.0000, weight 38 CW found:475, wDict:38:6641,39:844,40:469,41:96,42:69,43:45,44:39,45:110,46:312,47:16,48:70,49:335,50:27,51:121,52:113,53:35,54:56,55:32,56:37,57:26,58:15,59:34,60:34,61:13,62:6,63:31,64:14,65:19,66:10,67:28,68:16,69:25,70:32,71:12,72:27,73:18,74:12,75:19,76:11,77:15,78:17,79:16,80:13,81:4,82:16,83:9,84:6,85:12,86:9,87:5,88:4,89:4,93:1</t>
  </si>
  <si>
    <t>Gen:0 Trial:0 w:88; Trial:1 w:56; Trial:22 w:52; Gen:1 Trial:118 w:50; Trial:178 w:46; Gen:6 Trial:630 w:44; Trial:692 w:42; Gen:15 Trial:1580 w:40; Gen:19 Trial:1962 w:38; Gen:29 Trial:2911 w:36; pErr:0.0000, weight 36 CW found:390, wDict:36:5352,38:1317,40:643,42:1011,44:181,46:551,48:97,50:118,52:129,54:70,56:60,58:55,60:34,62:42,64:59,66:33,68:43,70:51,72:34,74:28,76:36,78:15,80:18,82:14,84:5,86:3,88:1</t>
  </si>
  <si>
    <t>Gen:0 Trial:0 w:98; Trial:1 w:88; Trial:2 w:87; Trial:7 w:84; Trial:41 w:79; Gen:1 Trial:146 w:76; Gen:4 Trial:412 w:74; Gen:5 Trial:520 w:73; Gen:6 Trial:653 w:71; Gen:8 Trial:838 w:68; Gen:10 Trial:1009 w:62; Trial:1059 w:61; Gen:14 Trial:1443 w:60; Gen:15 Trial:1524 w:58; Gen:17 Trial:1710 w:57; Gen:45 Trial:4522 w:54; Gen:54 Trial:5434 w:53; pErr:0.0000, weight 53 CW found:429, wDict:53:2777,54:656,55:3,56:61,57:1744,58:163,59:66,60:119,61:509,62:51,63:127,64:124,65:46,66:446,67:85,68:292,69:89,70:166,71:195,72:131,73:210,74:155,75:119,76:246,77:97,78:101,79:154,80:137,81:82,82:81,83:74,84:55,85:28,86:46,87:89,88:52,89:55,90:63,91:69,92:44,93:47,94:32,95:30,96:18,97:22,98:19,99:10,100:6,101:1,102:3,103:4,104:1</t>
  </si>
  <si>
    <t>Gen:0 Trial:0 w:99; Trial:2 w:87; Trial:13 w:86; Trial:25 w:85; Trial:71 w:84; Gen:1 Trial:120 w:81; Gen:2 Trial:258 w:79; Gen:5 Trial:526 w:75; Gen:7 Trial:746 w:71; Gen:20 Trial:2000 w:68; Gen:23 Trial:2308 w:66; Gen:26 Trial:2630 w:63; Gen:30 Trial:3066 w:62; Gen:39 Trial:3960 w:56; Gen:43 Trial:4330 w:55; Gen:51 Trial:5173 w:54; Gen:65 Trial:6559 w:51; pErr:0.0001, weight 51 CW found:393, wDict:51:1412,52:55,53:752,54:987,55:454,56:237,57:37,58:8,59:11,60:15,61:41,62:961,63:368,64:89,65:77,66:297,67:61,68:279,69:171,70:89,71:976,72:131,73:123,74:147,75:191,76:69,77:82,78:68,79:290,80:76,81:149,82:90,83:68,84:133,85:80,86:49,87:27,88:101,89:81,90:46,91:92,92:40,93:50,94:45,95:31,96:52,97:62,98:40,99:39,100:54,101:36,102:25,103:13,104:15,105:6,106:11,107:4,108:3,109:3,110:1</t>
  </si>
  <si>
    <t>Gen:0 Trial:0 w:109; Trial:1 w:107; Trial:4 w:105; Trial:5 w:103; Trial:8 w:95; Trial:54 w:94; Gen:1 Trial:162 w:86; Gen:4 Trial:451 w:83; Gen:6 Trial:617 w:82; Gen:12 Trial:1240 w:79; Gen:15 Trial:1577 w:76; Gen:24 Trial:2427 w:75; Gen:28 Trial:2895 w:74; Gen:30 Trial:3027 w:69; Gen:36 Trial:3612 w:66; Gen:38 Trial:3838 w:64; Gen:39 Trial:3910 w:63; pErr:0.0000, weight 63 CW found:529, wDict:63:3235,64:1118,65:11,66:177,67:84,68:87,69:295,70:33,71:10,72:148,73:44,74:126,75:227,76:706,77:8,78:15,79:245,80:31,81:13,82:484,83:159,84:26,85:86,86:181,87:61,88:45,89:110,90:46,91:182,92:185,93:209,94:337,95:120,96:142,97:129,98:122,99:118,100:85,101:58,102:60,103:59,104:66,105:36,106:60,107:39,108:28,109:41,110:20,111:26,112:17,113:21,114:9,115:11,116:4,117:2,118:3</t>
  </si>
  <si>
    <t>Gen:0 Trial:0 w:105; Trial:2 w:89; Trial:88 w:86; Gen:2 Trial:235 w:83; Gen:3 Trial:331 w:79; Gen:5 Trial:510 w:76; Gen:6 Trial:673 w:75; Gen:12 Trial:1206 w:74; Gen:18 Trial:1857 w:73; Gen:50 Trial:5063 w:72; Gen:53 Trial:5372 w:69; Gen:56 Trial:5697 w:68; Gen:73 Trial:7359 w:66; Gen:75 Trial:7522 w:65; Gen:76 Trial:7620 w:62; Gen:82 Trial:8255 w:61; Gen:85 Trial:8520 w:60; pErr:0.0226, weight 60 CW found:417, wDict:60:583,61:195,62:278,63:30,64:8,65:66,66:69,67:10,68:630,69:84,70:2,71:59,72:114,73:2013,74:524,75:383,76:109,77:9,78:28,79:152,80:24,81:80,82:35,83:110,84:25,85:50,86:177,87:44,88:105,89:86,90:130,91:154,92:206,93:167,94:252,95:252,96:331,97:436,98:243,99:198,100:170,101:150,102:135,103:121,104:167,105:90,106:74,107:96,108:77,109:102,110:77,111:74,112:58,113:47,114:48,115:27,116:15,117:11,118:7,119:2,121:1</t>
  </si>
  <si>
    <t>Gen:0 Trial:0 w:115; Trial:2 w:110; Trial:6 w:106; Trial:14 w:104; Trial:23 w:99; Gen:1 Trial:195 w:92; Gen:5 Trial:564 w:91; Trial:583 w:82; Gen:54 Trial:5436 w:77; Gen:58 Trial:5826 w:76; Gen:72 Trial:7201 w:75; Gen:81 Trial:8159 w:74; Gen:83 Trial:8301 w:71; Gen:96 Trial:9629 w:69; Gen:99 Trial:9985 w:68; pErr:0.0498, weight 68 CW found:5, wDict:68:1,69:73,71:659,72:7,73:23,74:73,75:484,76:740,77:180,78:44,79:24,80:18,81:30,82:3239,83:102,84:78,85:101,86:27,87:150,88:253,89:383,90:242,91:206,92:735,93:150,94:149,95:132,96:166,97:113,98:61,99:113,100:61,101:158,102:94,103:64,104:89,105:114,106:96,107:74,108:56,109:48,110:67,111:48,112:48,113:34,114:41,115:26,116:21,117:20,118:26,119:14,120:8,121:14,122:5,123:8,124:4,125:4,128:1,130:1</t>
  </si>
  <si>
    <t>Gen:0 Trial:0 w:124; Trial:1 w:122; Trial:2 w:115; Trial:16 w:114; Trial:23 w:106; Trial:85 w:101; Trial:89 w:99; Gen:4 Trial:434 w:97; Gen:5 Trial:509 w:87; Trial:515 w:83; Gen:6 Trial:660 w:82; Gen:7 Trial:791 w:78; Gen:8 Trial:818 w:72; Gen:10 Trial:1057 w:71; Gen:11 Trial:1119 w:69; Gen:12 Trial:1220 w:68; Gen:14 Trial:1496 w:65; Gen:19 Trial:1934 w:64; pErr:0.0002, weight 64 CW found:967, wDict:64:5253,65:492,66:25,67:76,68:183,69:181,70:35,71:148,72:226,73:8,74:129,75:5,76:6,77:29,78:106,79:17,80:3,81:15,82:248,83:80,84:32,85:19,86:39,87:60,88:84,89:156,90:29,91:49,92:153,93:99,94:118,95:76,96:188,97:92,98:74,99:306,100:64,101:65,102:38,103:39,104:40,105:33,106:72,107:58,108:46,109:50,110:55,111:62,112:67,113:51,114:64,115:53,116:48,117:34,118:38,119:60,120:47,121:20,122:15,123:11,124:10,125:8,126:7,127:2,128:1,129:1,130:2</t>
  </si>
  <si>
    <t>Gen:0 Trial:0 w:116; Trial:1 w:108; Trial:12 w:103; Trial:62 w:101; Trial:65 w:100; Gen:1 Trial:100 w:91; Gen:3 Trial:318 w:77; Gen:4 Trial:400 w:73; Gen:5 Trial:515 w:51; Gen:25 Trial:2555 w:48; Gen:30 Trial:3033 w:47; Gen:46 Trial:4672 w:46; pErr:0.0000, weight 46 CW found:181, wDict:46:3852,47:1580,48:468,49:34,50:56,51:1349,52:319,53:18,54:26,55:22,56:28,57:31,58:97,59:19,60:8,61:12,62:114,63:50,64:42,65:141,66:127,67:33,68:75,69:28,70:3,71:36,72:108,73:44,74:4,75:16,76:12,77:54,78:18,79:7,80:9,81:7,82:7,83:5,84:6,85:10,86:11,87:14,88:13,89:23,90:15,91:132,92:45,93:41,94:24,95:52,96:35,97:30,98:55,99:35,100:71,101:28,102:42,103:19,104:20,105:23,106:18,107:34,108:37,109:19,110:28,111:36,112:22,113:34,114:22,115:19,116:23,117:30,118:10,119:10,120:17,121:12,122:9,123:6,124:4,125:3,126:2,129:2</t>
  </si>
  <si>
    <t>Gen:0 Trial:0 w:103; Trial:1 w:57; Gen:2 Trial:202 w:51; Trial:237 w:45; Gen:4 Trial:464 w:44; Gen:5 Trial:509 w:40; Gen:6 Trial:638 w:35; Gen:71 Trial:7123 w:33; pErr:0.0000, weight 33 CW found:113, wDict:33:2011,35:5272,36:100,37:33,38:25,39:29,40:174,41:13,42:28,43:2,44:143,45:133,47:20,48:31,49:7,50:22,51:61,52:27,53:167,54:159,55:188,56:25,57:127,58:55,59:57,60:189,61:62,62:13,63:89,64:29,65:29,66:13,67:5,68:39,69:9,70:6,71:17,72:1,73:3,74:6,75:12,76:17,77:4,78:5,79:10,80:4,81:7,82:3,83:13,84:5,85:7,86:14,87:36,88:9,89:24,90:12,91:10,92:2,93:5,94:13,95:12,96:16,97:3,98:9,99:24,100:7,101:14,102:8,103:21,104:10,105:13,106:12,107:19,108:16,109:19,110:18,111:29,112:7,113:8,114:5,115:13,116:6,117:11,118:8,119:6,120:10,121:9,122:5,123:4,124:4,125:2,126:5,127:1,128:5,129:1,130:4,131:1,134:1,135:2,136:1</t>
  </si>
  <si>
    <t>outfile: /home/ucapmwe/dist-benchmark/results/tanner_codes-QDistRndMW-20260203_134426.958090_85062422.txt</t>
  </si>
  <si>
    <t>Trial:0 w:4; pErr:0.0000, weight 4 CW found:66, wDict:4:9990,6:8,8:1,9:1</t>
  </si>
  <si>
    <t>Trial:0 w:8; pErr:0.0000, weight 8 CW found:1122, wDict:8:7627,9:1980,10:272,11:57,12:56,13:5,14:3</t>
  </si>
  <si>
    <t>Trial:0 w:14; Trial:11 w:13; Trial:12 w:12; pErr:0.2160, weight 12 CW found:8164, wDict:12:1177,13:1799,14:1541,15:1111,16:1382,17:1198,18:820,19:507,20:272,21:135,22:39,23:18,24:1</t>
  </si>
  <si>
    <t>Trial:0 w:18; Trial:2 w:17; Trial:22 w:14; Trial:92 w:13; pErr:0.3500, weight 13 CW found:11177, wDict:13:78,14:179,15:280,16:315,17:361,18:482,19:581,20:666,21:845,22:965,23:1060,24:1093,25:1094,26:878,27:597,28:346,29:116,30:53,31:9,32:2</t>
  </si>
  <si>
    <t>Trial:0 w:30; Trial:1 w:28; Trial:3 w:21; Trial:4 w:17; pErr:0.3669, weight 17 CW found:11741, wDict:17:18,18:39,19:99,20:148,21:255,22:311,23:387,24:548,25:673,26:783,27:908,28:959,29:1048,30:994,31:878,32:772,33:505,34:347,35:204,36:77,37:42,38:5</t>
  </si>
  <si>
    <t>Trial:0 w:27; Trial:19 w:20; Trial:39 w:19; Trial:334 w:18; pErr:0.3677, weight 18 CW found:11149, wDict:18:21,19:30,20:42,21:75,22:107,23:171,24:226,25:325,26:422,27:469,28:586,29:669,30:774,31:757,32:774,33:825,34:821,35:761,36:655,37:513,38:390,39:286,40:183,41:75,42:29,43:10,44:3,45:1</t>
  </si>
  <si>
    <t>Trial:0 w:44; Trial:2 w:32; Trial:131 w:30; Trial:307 w:29; Trial:335 w:25; Trial:3605 w:23; Trial:9110 w:22; pErr:0.3679, weight 22 CW found:1050, wDict:22:2,23:3,24:5,25:14,26:11,27:20,28:32,29:36,30:56,31:68,32:85,33:97,34:141,35:208,36:230,37:360,38:428,39:514,40:624,41:745,42:832,43:931,44:1023,45:954,46:827,47:648,48:503,49:303,50:182,51:75,52:31,53:10,54:2</t>
  </si>
  <si>
    <t>Trial:0 w:44; Trial:6 w:43; Trial:7 w:37; Trial:283 w:31; Trial:320 w:27; pErr:0.3679, weight 27 CW found:11333, wDict:27:2,28:2,29:2,30:3,31:10,32:11,33:17,34:16,35:33,36:29,37:55,38:77,39:102,40:130,41:137,42:190,43:222,44:319,45:432,46:512,47:632,48:731,49:823,50:886,51:895,52:954,53:803,54:714,55:525,56:341,57:226,58:102,59:46,60:17,61:2,62:2</t>
  </si>
  <si>
    <t>Trial:0 w:56; Trial:3 w:51; Trial:5 w:45; Trial:16 w:35; Trial:136 w:34; Trial:740 w:32; Trial:3044 w:30; Trial:6512 w:29; Trial:8650 w:27; pErr:0.3679, weight 27 CW found:1518, wDict:27:2,29:2,30:3,31:4,32:9,33:6,34:17,35:18,36:29,37:24,38:37,39:36,40:60,41:58,42:94,43:94,44:149,45:154,46:244,47:271,48:334,49:413,50:488,51:557,52:612,53:723,54:721,55:808,56:769,57:757,58:644,59:560,60:506,61:337,62:228,63:125,64:75,65:18,66:9,67:4,70:1</t>
  </si>
  <si>
    <t>Trial:0 w:54; Trial:2 w:48; Trial:149 w:31; Trial:2761 w:30; Trial:4399 w:29; Trial:7099 w:25; pErr:0.3679, weight 25 CW found:3326, wDict:25:1,29:2,30:4,31:1,32:7,33:4,35:6,36:10,37:3,38:7,39:10,40:13,41:7,42:10,43:16,44:19,45:14,46:23,47:41,48:47,49:48,50:67,51:98,52:127,53:152,54:215,55:247,56:307,57:378,58:421,59:538,60:647,61:714,62:795,63:824,64:831,65:786,66:741,67:584,68:483,69:343,70:228,71:112,72:38,73:24,74:4,75:3</t>
  </si>
  <si>
    <t>Trial:0 w:76; Trial:1 w:67; Trial:2 w:63; Trial:5 w:57; Trial:13 w:47; Trial:31 w:46; Trial:89 w:41; Trial:367 w:39; Trial:692 w:34; Trial:4291 w:31; pErr:0.3679, weight 31 CW found:6482, wDict:31:1,34:3,35:1,36:6,37:7,38:1,39:6,40:3,41:14,42:17,43:22,44:13,45:29,46:41,47:43,48:51,49:61,50:64,51:99,52:101,53:113,54:150,55:188,56:226,57:228,58:298,59:317,60:362,61:402,62:475,63:500,64:588,65:569,66:608,67:624,68:614,69:604,70:547,71:484,72:433,73:353,74:293,75:173,76:128,77:55,78:49,79:20,80:12,81:4</t>
  </si>
  <si>
    <t>Trial:0 w:77; Trial:1 w:72; Trial:7 w:71; Trial:8 w:66; Trial:21 w:48; Trial:3658 w:44; pErr:0.3679, weight 44 CW found:7201, wDict:44:1,47:3,48:1,49:2,50:1,51:4,52:4,53:8,54:14,55:7,56:14,57:18,58:22,59:32,60:61,61:43,62:77,63:84,64:125,65:153,66:176,67:222,68:281,69:343,70:436,71:468,72:579,73:655,74:688,75:709,76:818,77:780,78:744,79:681,80:552,81:404,82:334,83:223,84:128,85:59,86:28,87:15,88:2,90:1</t>
  </si>
  <si>
    <t>Trial:0 w:73; Trial:5 w:69; Trial:8 w:53; Trial:20 w:52; Trial:226 w:47; Trial:702 w:46; Trial:1337 w:44; Trial:3870 w:43; Trial:3980 w:42; Trial:6840 w:38; pErr:0.3679, weight 38 CW found:3527, wDict:38:1,41:2,42:4,43:1,44:2,46:8,47:5,48:9,49:6,50:5,51:7,52:11,53:17,54:17,55:31,56:32,57:28,58:39,59:49,60:53,61:45,62:53,63:80,64:88,65:100,66:126,67:177,68:172,69:191,70:213,71:260,72:327,73:331,74:378,75:387,76:461,77:482,78:518,79:543,80:542,81:558,82:556,83:540,84:509,85:436,86:393,87:343,88:269,89:227,90:151,91:102,92:53,93:25,94:24,95:8,96:4,97:1</t>
  </si>
  <si>
    <t>Trial:0 w:74; Trial:1 w:68; Trial:2 w:64; Trial:10 w:62; Trial:11 w:60; Trial:38 w:52; Trial:256 w:50; Trial:459 w:44; Trial:1744 w:42; Trial:9225 w:40; pErr:0.3679, weight 40 CW found:990, wDict:40:2,42:5,44:9,46:22,48:30,50:48,52:59,54:89,56:107,58:157,60:211,62:296,64:408,66:564,68:698,70:853,72:1025,74:1033,76:1025,78:970,80:834,82:634,84:445,86:253,88:142,90:54,92:19,94:7,98:1</t>
  </si>
  <si>
    <t>Trial:0 w:86; Trial:12 w:85; Trial:16 w:82; Trial:19 w:79; Trial:80 w:78; Trial:246 w:77; Trial:587 w:73; Trial:1365 w:68; Trial:2492 w:64; Trial:5155 w:62; pErr:0.3679, weight 62 CW found:5481, wDict:62:1,64:1,65:2,68:1,69:3,70:2,71:4,72:4,73:6,74:12,75:12,76:8,77:20,78:34,79:44,80:45,81:68,82:93,83:106,84:164,85:199,86:256,87:275,88:377,89:407,90:474,91:591,92:715,93:732,94:773,95:794,96:747,97:716,98:657,99:557,100:400,101:285,102:184,103:120,104:61,105:32,106:9,107:7,109:1,110:1</t>
  </si>
  <si>
    <t>Trial:0 w:107; Trial:1 w:106; Trial:2 w:94; Trial:17 w:93; Trial:18 w:92; Trial:21 w:88; Trial:38 w:86; Trial:64 w:83; Trial:102 w:74; Trial:194 w:73; Trial:2180 w:68; Trial:3328 w:62; pErr:0.3679, weight 62 CW found:7612, wDict:62:1,67:2,68:2,70:3,71:2,72:1,73:2,74:4,75:2,76:6,77:4,78:11,79:15,80:19,81:14,82:19,83:40,84:36,85:42,86:73,87:90,88:121,89:133,90:163,91:236,92:280,93:315,94:423,95:449,96:545,97:619,98:650,99:755,100:761,101:718,102:734,103:680,104:556,105:475,106:361,107:270,108:171,109:103,110:56,111:19,112:10,113:4,114:4,118:1</t>
  </si>
  <si>
    <t>Trial:0 w:107; Trial:1 w:92; Trial:67 w:91; Trial:686 w:88; Trial:800 w:87; Trial:1444 w:80; Trial:5561 w:75; pErr:0.3679, weight 75 CW found:5028, wDict:75:1,80:2,85:2,86:7,87:6,88:7,89:9,90:14,91:27,92:21,93:36,94:38,95:73,96:75,97:95,98:132,99:149,100:196,101:271,102:295,103:382,104:435,105:484,106:573,107:659,108:707,109:729,110:764,111:710,112:727,113:633,114:514,115:417,116:335,117:202,118:123,119:82,120:35,121:20,122:10,123:3</t>
  </si>
  <si>
    <t>Trial:0 w:113; Trial:1 w:108; Trial:4 w:105; Trial:10 w:98; Trial:39 w:93; Trial:43 w:92; Trial:128 w:84; Trial:293 w:81; Trial:426 w:78; Trial:2895 w:76; Trial:6720 w:72; pErr:0.3679, weight 72 CW found:3685, wDict:72:1,76:1,78:1,80:1,81:1,82:1,84:5,85:2,86:8,87:7,88:8,89:8,90:11,91:19,92:25,93:45,94:40,95:59,96:75,97:94,98:146,99:153,100:218,101:243,102:328,103:384,104:441,105:500,106:633,107:633,108:710,109:703,110:715,111:716,112:688,113:594,114:519,115:436,116:306,117:236,118:156,119:78,120:26,121:20,122:4,123:2</t>
  </si>
  <si>
    <t>Trial:0 w:115; Trial:2 w:111; Trial:23 w:110; Trial:29 w:109; Trial:33 w:107; Trial:55 w:105; Trial:58 w:102; Trial:83 w:99; Trial:232 w:91; Trial:2330 w:90; Trial:8480 w:84; pErr:0.3679, weight 84 CW found:1734, wDict:84:1,88:1,90:1,91:5,92:11,93:5,94:7,95:9,96:12,97:15,98:22,99:32,100:24,101:38,102:53,103:84,104:85,105:114,106:149,107:191,108:220,109:303,110:352,111:383,112:464,113:535,114:630,115:660,116:742,117:770,118:749,119:676,120:646,121:546,122:459,123:349,124:253,125:185,126:110,127:63,128:29,129:11,130:3,131:3</t>
  </si>
  <si>
    <t>Trial:0 w:116; Trial:3 w:114; Trial:7 w:109; Trial:16 w:106; Trial:38 w:105; Trial:66 w:100; Trial:207 w:92; Trial:1346 w:89; Trial:1537 w:86; Trial:1681 w:84; Trial:4284 w:61; pErr:0.3679, weight 61 CW found:6386, wDict:61:1,75:1,84:1,86:1,87:1,89:3,90:3,91:1,92:8,93:4,94:5,95:3,96:8,97:13,98:14,99:18,100:15,101:31,102:38,103:56,104:70,105:86,106:66,107:111,108:147,109:179,110:225,111:290,112:316,113:353,114:425,115:513,116:569,117:618,118:660,119:677,120:667,121:643,122:631,123:592,124:545,125:449,126:329,127:222,128:169,129:105,130:58,131:38,132:15,133:4,134:3</t>
  </si>
  <si>
    <t>Trial:0 w:117; Trial:2 w:111; Trial:9 w:109; Trial:10 w:107; Trial:28 w:104; Trial:44 w:101; Trial:129 w:89; Trial:170 w:83; Trial:644 w:76; Trial:1834 w:56; Trial:9404 w:44; pErr:0.3679, weight 44 CW found:668, wDict:44:1,56:1,62:1,76:1,80:1,83:1,87:5,88:1,89:3,90:6,91:1,92:5,93:9,94:7,95:19,96:17,97:21,98:29,99:35,100:43,101:59,102:57,103:73,104:103,105:139,106:167,107:183,108:236,109:273,110:344,111:369,112:467,113:488,114:576,115:579,116:636,117:661,118:672,119:619,120:612,121:576,122:466,123:421,124:346,125:254,126:168,127:103,128:69,129:48,130:16,131:6,132:5,133:2</t>
  </si>
  <si>
    <t>Trial:0 w:111; Trial:2 w:99; Trial:3 w:82; Trial:45 w:81; Trial:60 w:71; Trial:106 w:62; Trial:371 w:58; Trial:465 w:57; Trial:701 w:55; Trial:845 w:49; Trial:1299 w:41; pErr:0.3679, weight 41 CW found:9420, wDict:41:1,45:2,46:2,47:1,49:1,50:1,53:2,54:4,55:4,56:2,57:6,58:9,59:4,60:5,61:7,62:11,63:11,64:11,65:19,66:17,67:13,68:10,69:21,70:24,71:16,72:21,73:24,74:22,75:35,76:26,77:33,78:27,79:47,80:38,81:49,82:47,83:53,84:61,85:56,86:59,87:64,88:59,89:71,90:83,91:97,92:99,93:112,94:110,95:107,96:114,97:128,98:160,99:152,100:158,101:168,102:167,103:182,104:166,105:192,106:183,107:189,108:215,109:229,110:211,111:245,112:240,113:272,114:263,115:252,116:264,117:249,118:261,119:295,120:301,121:295,122:273,123:259,124:233,125:245,126:247,127:261,128:201,129:191,130:168,131:138,132:127,133:124,134:116,135:83,136:52,137:49,138:38,139:8,140:14,141:6,142:6,143:2,144:2,145:2</t>
  </si>
  <si>
    <t>outfile: /home/ucapmwe/dist-benchmark/results/tanner_codes-UndetectableErrorStim-20260203_134426.958096_85062422.txt</t>
  </si>
  <si>
    <t>dont_explore_detection_event_sets_with_size_above=2,dont_explore_edges_with_degree_above=18; Found w:4; dont_explore_detection_event_sets_with_size_above=3,dont_explore_edges_with_degree_above=18; Found w:4; Breaking - same result 2 times</t>
  </si>
  <si>
    <t>dont_explore_detection_event_sets_with_size_above=2,dont_explore_edges_with_degree_above=36; no lo found; dont_explore_detection_event_sets_with_size_above=3,dont_explore_edges_with_degree_above=36; Found w:8; dont_explore_detection_event_sets_with_size_above=4,dont_explore_edges_with_degree_above=36; Found w:8; Breaking - same result 2 times</t>
  </si>
  <si>
    <t>dont_explore_detection_event_sets_with_size_above=2,dont_explore_edges_with_degree_above=54; no lo found; dont_explore_detection_event_sets_with_size_above=3,dont_explore_edges_with_degree_above=54; Found w:28; dont_explore_detection_event_sets_with_size_above=4,dont_explore_edges_with_degree_above=54; Found w:12; dont_explore_detection_event_sets_with_size_above=5,dont_explore_edges_with_degree_above=54; Found w:12; Breaking - same result 2 times</t>
  </si>
  <si>
    <t>dont_explore_detection_event_sets_with_size_above=2,dont_explore_edges_with_degree_above=72; no lo found; dont_explore_detection_event_sets_with_size_above=3,dont_explore_edges_with_degree_above=72; no lo found; dont_explore_detection_event_sets_with_size_above=4,dont_explore_edges_with_degree_above=72; Found w:16; dont_explore_detection_event_sets_with_size_above=5,dont_explore_edges_with_degree_above=72; Found w:14; dont_explore_detection_event_sets_with_size_above=6,dont_explore_edges_with_degree_above=72; Found w:14; Breaking - same result 2 times</t>
  </si>
  <si>
    <t>dont_explore_detection_event_sets_with_size_above=2,dont_explore_edges_with_degree_above=90; no lo found; dont_explore_detection_event_sets_with_size_above=3,dont_explore_edges_with_degree_above=90; Found w:32; dont_explore_detection_event_sets_with_size_above=4,dont_explore_edges_with_degree_above=90; Found w:19; dont_explore_detection_event_sets_with_size_above=5,dont_explore_edges_with_degree_above=90; Found w:20; dont_explore_detection_event_sets_with_size_above=6,dont_explore_edges_with_degree_above=90; Found w:20; dont_explore_detection_event_sets_with_size_above=7,dont_explore_edges_with_degree_above=90; Found w:17; dont_explore_detection_event_sets_with_size_above=8,dont_explore_edges_with_degree_above=90; Found w:17; Breaking - same result 2 times</t>
  </si>
  <si>
    <t>dont_explore_detection_event_sets_with_size_above=2,dont_explore_edges_with_degree_above=108; no lo found; dont_explore_detection_event_sets_with_size_above=3,dont_explore_edges_with_degree_above=108; no lo found; dont_explore_detection_event_sets_with_size_above=4,dont_explore_edges_with_degree_above=108; Found w:20; dont_explore_detection_event_sets_with_size_above=5,dont_explore_edges_with_degree_above=108; Found w:20; Breaking - same result 2 times</t>
  </si>
  <si>
    <t>iterCount: 1000000</t>
  </si>
  <si>
    <t>outfile: /home/ucapmwe/dist-benchmark/results/tanner_codes-dist_m4ri_RW-20260203_135026.764952_85062422.txt</t>
  </si>
  <si>
    <t>3.3412628239020705</t>
  </si>
  <si>
    <t xml:space="preserve"># step=0 row=0 minW=37 found cw of W=6: [1 2 6 11 29 35]\n# step=0 row=2 minW=6 found cw of W=4: [4 10 28 34]\n# round=1000 of 1000000 minW=4\n# round=2000 of 1000000 minW=4\n# round=3000 of 1000000 minW=4\n# round=4000 of 1000000 minW=4\n# round=5000 of </t>
  </si>
  <si>
    <t>10.76248313486576</t>
  </si>
  <si>
    <t># step=0 row=0 minW=73 found cw of W=14: [3 6 7 26 27 35 37 40 48 57 58 62 63 71]\n# step=0 row=7 minW=14 found cw of W=8: [4 6 16 18 56 58 68 70]\n# round=1000 of 1000000 minW=8\n# round=2000 of 1000000 minW=8\n# round=3000 of 1000000 minW=8\n# round=400</t>
  </si>
  <si>
    <t>27.93480985146016</t>
  </si>
  <si>
    <t xml:space="preserve"># step=0 row=1 minW=109 found cw of W=27: [3 5 7 20 24 38 39 42 43 51 54 56 58 62 64 66 67 71 81 83 87 94 96 102 105 106 108]\n# step=0 row=4 minW=27 found cw of W=23: [5 8 9 10 24 31 36 44 51 70 71 77 78 82 87 90 94 96 97 98 102 103 106]\n# step=0 row=6 </t>
  </si>
  <si>
    <t>39.325252586975694</t>
  </si>
  <si>
    <t># step=0 row=0 minW=145 found cw of W=38: [1 2 5 6 9 17 26 27 28 31 33 34 41 48 49 50 51 54 61 72 80 85 87 92 94 97 99 101 104 108 109 122 127 128 130 133 134 136]\n# step=0 row=3 minW=38 found cw of W=33: [1 3 6 8 16 17 19 27 30 33 39 43 44 50 51 52 54 5</t>
  </si>
  <si>
    <t>60.15103641245514</t>
  </si>
  <si>
    <t># step=0 row=0 minW=181 found cw of W=54: [1 7 12 14 15 20 24 25 30 31 33 37 38 42 43 45 48 60 61 66 68 69 75 80 82 87 88 89 90 94 98 108 113 120 121 126 130 131 133 135 136 139 142 145 146 149 150 156 160 164 165 170 172 180]\n# step=0 row=1 minW=54 foun</t>
  </si>
  <si>
    <t>112.79397881217301</t>
  </si>
  <si>
    <t xml:space="preserve"># step=0 row=0 minW=217 found cw of W=53: [1 2 4 5 7 11 12 21 25 28 36 38 41 52 54 65 70 74 75 78 80 83 86 87 93 98 102 104 107 113 115 117 121 123 129 132 138 141 142 143 144 149 160 164 171 175 176 179 182 188 190 212 213]\n# step=0 row=2 minW=53 found </t>
  </si>
  <si>
    <t>127.90979846939445</t>
  </si>
  <si>
    <t># step=0 row=0 minW=253 found cw of W=64: [1 2 5 6 8 13 22 23 33 38 40 42 44 52 53 55 56 58 59 64 65 67 68 74 76 80 85 89 90 94 95 98 105 121 125 131 133 135 139 144 148 149 153 156 160 161 164 169 171 174 179 181 184 188 194 195 199 215 217 218 220 236 2</t>
  </si>
  <si>
    <t>165.41397246159613</t>
  </si>
  <si>
    <t xml:space="preserve"># step=0 row=0 minW=289 found cw of W=71: [1 2 4 5 9 10 14 15 22 26 28 33 35 41 46 47 49 62 69 71 77 90 93 102 116 120 122 127 128 131 133 143 146 148 149 153 154 157 158 169 172 173 178 179 194 199 204 210 212 213 214 216 230 232 234 240 243 245 246 247 </t>
  </si>
  <si>
    <t>204.87193966284394</t>
  </si>
  <si>
    <t># step=0 row=0 minW=325 found cw of W=76: [1 2 7 8 9 10 11 16 20 26 35 43 44 50 51 60 62 64 65 69 71 72 73 90 94 99 110 117 119 122 128 131 138 139 145 147 158 171 189 199 200 202 204 212 214 223 224 227 229 232 236 238 242 248 256 257 259 262 263 264 267</t>
  </si>
  <si>
    <t xml:space="preserve"># step=0 row=0 minW=361 found cw of W=80: [1 3 6 7 12 13 15 17 18 22 36 43 44 51 54 55 56 63 76 97 103 116 118 121 123 126 128 134 136 141 142 143 144 149 156 157 167 173 175 179 181 183 195 208 213 214 231 232 235 244 246 251 255 259 262 264 273 276 278 </t>
  </si>
  <si>
    <t>299.4307960551232</t>
  </si>
  <si>
    <t># step=0 row=0 minW=397 found cw of W=96: [2 3 10 14 15 17 19 21 41 42 53 54 65 72 79 87 92 100 102 109 116 121 126 127 128 130 133 135 136 137 143 149 151 152 154 158 163 168 171 175 182 183 190 191 193 195 197 206 208 213 214 215 224 225 226 233 237 243</t>
  </si>
  <si>
    <t>358.05161202326417</t>
  </si>
  <si>
    <t xml:space="preserve"># step=0 row=0 minW=433 found cw of W=78: [1 2 4 6 8 12 13 15 16 30 32 36 37 38 40 57 59 61 74 78 88 97 98 113 122 126 131 132 136 137 153 159 165 167 175 183 187 188 198 199 203 204 205 212 213 221 222 225 229 231 233 242 244 249 260 278 281 284 302 307 </t>
  </si>
  <si>
    <t>417.48416371271014</t>
  </si>
  <si>
    <t># step=0 row=0 minW=469 found cw of W=101: [1 8 9 15 19 24 28 34 35 37 43 45 46 52 59 61 62 69 75 80 89 101 104 110 111 116 124 126 130 132 134 138 139 141 143 157 158 162 179 181 193 195 197 212 214 215 216 222 223 231 234 235 239 241 249 252 255 257 258</t>
  </si>
  <si>
    <t>440.51817575190216</t>
  </si>
  <si>
    <t># step=0 row=3 minW=497 found cw of W=102: [1 8 9 11 12 15 24 32 36 44 56 58 60 62 67 75 81 92 94 95 97 101 108 112 135 136 141 142 150 151 153 156 162 167 169 171 172 175 177 179 183 189 196 197 199 203 205 208 225 233 243 244 245 248 250 252 257 262 263</t>
  </si>
  <si>
    <t>487.72306623030454</t>
  </si>
  <si>
    <t xml:space="preserve"># step=0 row=1 minW=505 found cw of W=128: [3 24 27 32 51 57 60 63 64 70 71 77 78 79 80 84 87 91 92 99 103 107 110 117 121 125 127 132 134 135 142 144 145 146 159 160 164 167 169 172 173 174 175 182 184 186 194 196 200 201 202 209 214 222 223 227 228 229 </t>
  </si>
  <si>
    <t>553.5267653698102</t>
  </si>
  <si>
    <t xml:space="preserve"># step=0 row=0 minW=541 found cw of W=135: [1 2 7 12 14 15 21 31 32 34 36 41 42 45 50 57 58 61 63 67 69 70 74 78 83 84 86 88 91 94 100 101 105 111 119 125 127 129 130 131 133 136 139 144 146 149 161 163 169 177 180 188 189 192 193 195 197 199 203 210 215 </t>
  </si>
  <si>
    <t>632.8719544094056</t>
  </si>
  <si>
    <t># step=0 row=1 minW=577 found cw of W=144: [5 7 8 21 26 29 38 43 49 51 53 55 56 57 59 63 65 67 77 82 83 87 90 91 93 103 108 114 115 116 119 120 136 137 139 141 143 147 150 151 152 153 154 155 156 171 177 188 189 193 204 207 212 217 220 221 223 230 232 236</t>
  </si>
  <si>
    <t>626.4742748839781</t>
  </si>
  <si>
    <t># step=0 row=0 minW=577 found cw of W=126: [1 2 4 5 7 15 18 22 24 25 26 30 44 45 51 52 53 56 57 71 82 85 87 92 97 101 103 106 111 115 120 126 130 137 147 154 167 169 179 181 186 196 203 205 210 215 217 222 226 227 228 229 231 232 234 237 243 248 249 251 2</t>
  </si>
  <si>
    <t>727.0223287185654</t>
  </si>
  <si>
    <t># step=0 row=0 minW=613 found cw of W=136: [2 5 10 13 14 15 21 22 39 44 52 62 66 76 82 89 90 92 106 118 126 129 131 133 136 143 146 152 160 166 170 173 180 182 188 191 196 197 199 200 205 208 210 218 226 229 232 239 250 253 261 262 263 264 268 269 275 276</t>
  </si>
  <si>
    <t>798.4299852540717</t>
  </si>
  <si>
    <t># step=0 row=0 minW=649 found cw of W=144: [1 3 9 13 18 20 21 22 25 28 38 39 40 44 50 54 57 59 62 71 73 75 76 77 78 79 80 82 86 90 92 97 108 114 120 121 124 133 134 136 137 140 141 142 147 150 164 169 170 172 174 176 191 202 203 206 208 225 227 231 239 24</t>
  </si>
  <si>
    <t>783.4821380684152</t>
  </si>
  <si>
    <t xml:space="preserve"># step=0 row=0 minW=649 found cw of W=142: [1 3 4 10 12 21 31 34 43 45 47 48 51 56 74 76 78 82 117 123 129 138 146 147 150 151 153 155 158 160 170 177 178 181 187 189 200 201 213 219 222 223 229 234 237 238 241 242 246 251 256 262 265 270 272 274 276 279 </t>
  </si>
  <si>
    <t>836.5362044926733</t>
  </si>
  <si>
    <t xml:space="preserve"># step=0 row=0 minW=685 found cw of W=159: [1 3 4 6 7 8 10 13 18 22 25 32 35 41 46 51 52 56 60 64 66 69 72 74 79 88 91 105 107 108 113 114 117 121 126 131 138 143 155 164 173 177 185 190 192 196 202 204 208 213 223 225 233 238 239 242 248 254 259 269 277 </t>
  </si>
  <si>
    <t>outfile: /home/ucapmwe/dist-benchmark/results/tanner_codes-dist_m4ri_RW-20260203_135026.765046_85062422.txt</t>
  </si>
  <si>
    <t>3.343292947858572</t>
  </si>
  <si>
    <t># step=0 row=0 minW=37 found cw of W=9: [2 7 8 9 14 22 24 31 33]\n# step=0 row=4 minW=9 found cw of W=8: [1 4 11 19 24 26 31 33]\n# step=0 row=6 minW=8 found cw of W=4: [1 13 19 31]\n# round=1000 of 1000000 minW=4\n# round=2000 of 1000000 minW=4\n# round=</t>
  </si>
  <si>
    <t>10.743481706827879</t>
  </si>
  <si>
    <t># step=0 row=0 minW=73 found cw of W=13: [1 3 7 12 13 15 19 24 38 42 46 60 72]\n# step=0 row=11 minW=13 found cw of W=9: [6 16 26 40 42 56 60 70 72]\n# step=1 row=27 minW=9 found cw of W=8: [49 50 51 52 57 58 59 60]\n# round=1000 of 1000000 minW=8\n# roun</t>
  </si>
  <si>
    <t>23.67632986046374</t>
  </si>
  <si>
    <t xml:space="preserve"># step=0 row=1 minW=109 found cw of W=20: [3 5 7 10 11 14 15 18 19 31 43 60 62 67 70 74 78 85 86 88]\n# step=0 row=39 minW=20 found cw of W=19: [7 10 12 15 19 22 30 33 46 61 74 76 80 82 84 85 86 87 108]\n# step=1 row=2 minW=19 found cw of W=17: [3 7 8 21 </t>
  </si>
  <si>
    <t>39.341658166609704</t>
  </si>
  <si>
    <t># step=0 row=0 minW=145 found cw of W=35: [3 10 11 20 21 25 26 27 32 37 40 50 58 61 76 81 83 90 92 97 98 101 109 113 115 116 123 125 126 132 133 134 136 138 144]\n# step=0 row=1 minW=35 found cw of W=34: [2 4 10 17 21 25 27 32 37 40 41 47 48 53 54 65 66 8</t>
  </si>
  <si>
    <t>60.13172468729317</t>
  </si>
  <si>
    <t># step=0 row=0 minW=181 found cw of W=47: [1 3 4 7 8 10 14 16 21 25 30 33 35 38 49 50 52 57 63 68 69 75 77 84 87 90 101 102 106 107 110 117 119 121 122 124 125 129 134 135 139 146 147 149 150 164 177]\n# step=0 row=1 minW=47 found cw of W=43: [3 5 8 14 21</t>
  </si>
  <si>
    <t>95.63261302188039</t>
  </si>
  <si>
    <t xml:space="preserve"># step=0 row=0 minW=217 found cw of W=48: [3 4 20 21 24 26 29 34 35 40 44 49 52 58 59 60 61 68 71 84 94 103 104 112 115 122 123 127 140 141 143 145 150 151 159 160 169 173 177 179 181 188 198 203 208 210 211 215]\n# step=0 row=1 minW=48 found cw of W=46: </t>
  </si>
  <si>
    <t>127.86045059654862</t>
  </si>
  <si>
    <t># step=0 row=0 minW=253 found cw of W=69: [2 7 10 12 13 14 15 18 19 22 25 28 32 38 39 46 48 50 51 54 55 69 71 73 75 79 85 88 93 96 98 100 101 103 105 109 110 111 122 126 131 135 142 143 146 149 157 158 167 174 184 190 192 194 197 198 199 205 207 215 219 2</t>
  </si>
  <si>
    <t>165.38222942780703</t>
  </si>
  <si>
    <t># step=0 row=0 minW=289 found cw of W=77: [1 2 4 7 12 13 22 25 31 35 40 41 49 51 75 76 82 85 89 91 92 93 95 96 97 101 105 106 115 124 129 130 131 133 135 139 140 147 150 157 159 162 169 175 176 181 182 183 188 189 194 195 206 209 210 215 217 218 219 222 2</t>
  </si>
  <si>
    <t>204.95198787841946</t>
  </si>
  <si>
    <t># step=0 row=0 minW=325 found cw of W=85: [1 2 9 15 16 26 37 40 48 49 51 59 63 66 76 78 80 91 96 105 106 110 111 113 115 120 121 122 123 135 138 143 145 146 149 152 156 160 163 164 168 169 170 172 175 181 183 185 186 188 194 202 205 206 208 212 213 220 22</t>
  </si>
  <si>
    <t>249.06802879273891</t>
  </si>
  <si>
    <t># step=0 row=0 minW=361 found cw of W=70: [1 2 3 4 5 8 9 10 18 19 20 33 34 38 45 47 52 61 69 83 85 93 94 97 110 112 125 129 132 133 137 141 142 145 157 158 160 161 163 168 182 183 190 193 199 204 210 214 220 233 234 237 247 252 254 255 259 282 283 285 287</t>
  </si>
  <si>
    <t>351.46739071793854</t>
  </si>
  <si>
    <t xml:space="preserve"># step=0 row=0 minW=397 found cw of W=99: [2 3 4 7 8 11 12 13 15 20 21 22 23 30 41 44 46 57 60 63 65 66 74 76 80 81 82 88 91 96 99 101 104 110 112 115 124 125 127 129 134 142 148 161 179 182 183 185 189 200 203 207 211 212 216 224 236 239 240 241 242 244 </t>
  </si>
  <si>
    <t>421.6280659548938</t>
  </si>
  <si>
    <t xml:space="preserve"># step=0 row=0 minW=433 found cw of W=106: [1 5 6 8 9 15 17 21 23 25 30 33 37 46 47 52 53 60 63 64 69 75 76 79 81 83 93 96 106 108 113 114 116 117 118 123 133 137 139 141 147 151 154 160 165 167 177 180 183 186 187 188 191 193 201 204 207 210 216 220 223 </t>
  </si>
  <si>
    <t>419.6047655325383</t>
  </si>
  <si>
    <t xml:space="preserve"># step=0 row=0 minW=469 found cw of W=108: [1 5 10 15 19 24 31 33 36 43 49 66 77 78 79 84 85 87 89 107 109 111 126 127 128 129 135 138 140 144 147 149 151 158 166 171 172 174 179 187 196 197 198 200 202 207 210 215 218 219 227 229 234 237 241 242 243 246 </t>
  </si>
  <si>
    <t>439.02761681284755</t>
  </si>
  <si>
    <t># step=0 row=0 minW=497 found cw of W=114: [1 7 8 11 13 16 24 25 27 30 54 56 62 64 71 73 74 80 85 90 91 96 98 100 107 108 110 111 116 123 125 126 134 142 161 162 163 166 169 175 180 183 187 192 214 219 220 221 227 230 231 232 234 240 241 246 252 255 273 2</t>
  </si>
  <si>
    <t>486.5912425387651</t>
  </si>
  <si>
    <t># step=0 row=0 minW=505 found cw of W=139: [1 2 18 20 23 26 40 43 51 52 54 57 58 59 60 61 67 71 72 86 94 100 107 110 111 113 116 117 123 124 125 126 127 129 132 133 137 138 140 146 157 168 170 176 182 185 198 203 205 206 211 212 213 214 218 224 225 226 22</t>
  </si>
  <si>
    <t>552.9104865510017</t>
  </si>
  <si>
    <t># step=0 row=0 minW=541 found cw of W=124: [1 5 6 7 9 11 19 25 28 37 42 45 48 51 54 57 60 64 73 76 83 86 87 94 98 107 113 115 118 125 126 140 147 150 151 152 156 157 163 165 170 178 189 195 196 202 211 215 216 222 223 225 226 231 233 236 244 247 252 259 2</t>
  </si>
  <si>
    <t>633.5691578453407</t>
  </si>
  <si>
    <t xml:space="preserve"># step=0 row=0 minW=577 found cw of W=133: [1 5 20 21 22 25 29 30 36 44 46 53 57 73 75 77 79 82 89 106 114 116 122 123 124 128 133 134 136 137 140 147 152 158 165 170 172 177 178 184 186 188 196 204 208 212 224 226 229 230 233 236 238 241 242 245 246 255 </t>
  </si>
  <si>
    <t># step=0 row=0 minW=577 found cw of W=120: [1 4 9 10 13 19 20 27 28 35 40 56 59 60 61 73 78 80 81 87 91 94 96 106 109 110 111 120 126 129 136 137 140 141 161 168 171 175 177 178 184 185 186 187 190 193 196 204 217 221 223 234 237 253 254 264 267 276 282 2</t>
  </si>
  <si>
    <t>724.2997607802972</t>
  </si>
  <si>
    <t># step=0 row=2 minW=613 found cw of W=167: [4 5 7 10 11 12 14 18 22 28 41 42 45 46 48 59 63 69 72 74 76 79 88 90 91 95 96 99 100 101 103 110 111 116 124 126 133 134 138 142 150 161 164 170 171 179 189 190 193 197 199 207 208 211 212 213 221 230 231 232 23</t>
  </si>
  <si>
    <t>787.0792352547869</t>
  </si>
  <si>
    <t># step=0 row=0 minW=649 found cw of W=160: [1 9 16 17 20 21 23 24 25 32 42 44 45 46 48 53 55 56 57 59 65 66 73 75 77 78 80 87 105 106 107 108 110 114 116 126 134 142 151 160 172 177 184 189 190 191 196 201 202 203 207 209 212 224 228 232 234 237 239 240 2</t>
  </si>
  <si>
    <t>782.9159939391539</t>
  </si>
  <si>
    <t xml:space="preserve"># step=0 row=0 minW=649 found cw of W=145: [2 3 12 19 21 22 27 28 33 43 46 59 61 63 66 69 74 89 93 109 112 113 123 126 130 137 138 139 144 157 161 163 169 170 171 172 182 188 200 201 206 210 211 213 217 224 229 231 232 234 235 237 238 243 251 252 263 265 </t>
  </si>
  <si>
    <t>835.3873700471595</t>
  </si>
  <si>
    <t># step=0 row=1 minW=685 found cw of W=163: [3 4 25 34 38 39 40 45 46 47 54 57 59 60 61 64 67 72 74 78 95 98 100 102 107 110 113 119 121 125 126 128 131 133 138 139 143 146 152 153 155 161 162 163 164 166 169 179 182 183 184 187 190 192 194 197 200 202 203</t>
  </si>
  <si>
    <t>outfile: /home/ucapmwe/dist-benchmark/results/tanner_codes-dist_m4ri_RW-20260203_135027.049296_85062422.txt</t>
  </si>
  <si>
    <t>4.065121056511998</t>
  </si>
  <si>
    <t># step=0 row=0 minW=37 found cw of W=9: [1 2 4 7 10 14 21 24 26]\n# step=0 row=3 minW=9 found cw of W=8: [2 6 8 12 26 30 31 35]\n# step=0 row=4 minW=8 found cw of W=4: [7 9 10 12]\n# round=1000 of 1000000 minW=4\n# round=2000 of 1000000 minW=4\n# round=30</t>
  </si>
  <si>
    <t>10.953576503321528</t>
  </si>
  <si>
    <t># step=0 row=0 minW=73 found cw of W=19: [1 2 4 10 11 16 21 24 25 28 29 38 41 44 47 51 54 64 66]\n# step=0 row=1 minW=19 found cw of W=15: [1 2 5 10 21 24 27 29 31 38 44 54 62 66 68]\n# step=0 row=3 minW=15 found cw of W=10: [7 21 25 27 29 31 33 47 51 65]</t>
  </si>
  <si>
    <t>28.55718141887337</t>
  </si>
  <si>
    <t># step=0 row=1 minW=109 found cw of W=21: [2 4 15 19 21 24 30 32 43 46 50 52 55 58 62 69 74 82 83 87 89]\n# step=0 row=28 minW=21 found cw of W=17: [6 12 24 30 32 39 46 49 50 56 62 73 74 79 80 82 106]\n# step=1 row=51 minW=17 found cw of W=16: [4 6 7 9 10</t>
  </si>
  <si>
    <t>40.22402807418257</t>
  </si>
  <si>
    <t># step=0 row=1 minW=145 found cw of W=31: [1 4 8 11 21 23 30 34 44 51 60 68 71 73 77 81 83 86 87 90 91 96 101 104 113 115 131 132 134 135 138]\n# step=0 row=14 minW=31 found cw of W=30: [2 5 6 8 11 12 18 29 30 31 34 38 40 44 59 70 79 83 86 101 104 108 123</t>
  </si>
  <si>
    <t>61.66964162513614</t>
  </si>
  <si>
    <t># step=0 row=0 minW=181 found cw of W=41: [1 7 9 10 12 13 15 19 29 34 37 39 42 44 51 55 62 63 69 73 77 86 87 90 98 101 108 110 113 123 124 126 127 134 141 151 156 157 170 173 174]\n# step=0 row=6 minW=41 found cw of W=33: [3 7 9 15 18 24 25 28 29 30 37 40</t>
  </si>
  <si>
    <t>98.33844435308129</t>
  </si>
  <si>
    <t># step=0 row=0 minW=217 found cw of W=57: [1 5 6 18 24 29 36 39 40 41 43 46 52 59 64 67 70 72 76 78 79 89 92 101 103 107 111 113 118 120 125 126 127 137 139 142 143 150 160 164 166 169 173 178 179 186 187 189 192 193 198 200 201 203 208 211 215]\n# step=0</t>
  </si>
  <si>
    <t>131.8582887109369</t>
  </si>
  <si>
    <t xml:space="preserve"># step=0 row=0 minW=253 found cw of W=59: [1 3 4 12 16 19 32 38 45 46 49 55 65 68 71 83 96 100 102 108 114 117 125 129 130 131 136 140 141 142 144 145 146 149 157 161 168 172 176 179 185 187 190 191 195 200 201 202 205 207 216 219 220 224 229 237 238 239 </t>
  </si>
  <si>
    <t>170.35222894325852</t>
  </si>
  <si>
    <t># step=0 row=0 minW=289 found cw of W=83: [2 4 5 8 11 16 25 28 40 44 45 51 56 59 61 66 67 77 78 79 88 94 97 103 105 108 109 116 118 120 122 124 127 129 132 144 147 156 160 163 169 170 175 182 186 188 189 195 196 201 202 206 207 208 209 217 219 220 221 236</t>
  </si>
  <si>
    <t>208.59998792037368</t>
  </si>
  <si>
    <t># step=0 row=0 minW=325 found cw of W=71: [2 3 6 8 12 14 19 20 21 23 26 29 34 37 42 44 48 51 53 55 57 60 61 70 80 87 88 93 97 101 102 107 125 129 134 135 146 155 159 188 192 212 214 231 234 235 244 246 254 259 262 264 266 267 268 270 273 276 278 288 289 2</t>
  </si>
  <si>
    <t>249.57804594933987</t>
  </si>
  <si>
    <t># step=0 row=0 minW=361 found cw of W=85: [1 2 8 12 13 19 28 29 36 45 47 51 54 59 67 68 71 72 79 80 81 82 87 90 94 95 103 105 114 118 120 122 124 127 133 136 150 154 173 177 180 181 198 199 203 213 214 216 220 222 225 230 235 240 241 252 256 257 264 270 2</t>
  </si>
  <si>
    <t>300.26830625906587</t>
  </si>
  <si>
    <t># step=0 row=0 minW=397 found cw of W=96: [1 5 6 7 8 10 12 18 25 32 34 40 41 45 46 52 53 54 55 69 75 76 80 81 83 87 91 96 102 103 108 109 111 116 125 127 129 137 140 164 171 176 179 180 185 195 196 197 211 213 214 222 229 233 246 247 250 251 253 258 262 2</t>
  </si>
  <si>
    <t>425.87739077955484</t>
  </si>
  <si>
    <t># step=0 row=0 minW=433 found cw of W=105: [4 8 16 20 22 26 29 34 35 42 44 51 52 59 61 67 68 72 78 79 84 95 101 102 108 109 112 114 115 118 127 137 139 150 159 162 170 179 184 186 190 195 202 203 207 208 210 214 216 217 220 221 223 226 233 236 238 241 242</t>
  </si>
  <si>
    <t>419.48626112379134</t>
  </si>
  <si>
    <t># step=0 row=0 minW=469 found cw of W=96: [2 6 9 15 16 34 36 38 39 44 52 53 63 68 80 84 95 98 100 106 109 111 116 128 131 139 151 152 153 158 159 162 167 168 170 172 178 184 187 192 201 202 203 206 210 214 215 216 217 219 220 222 224 227 228 230 249 251 2</t>
  </si>
  <si>
    <t>440.71963339764625</t>
  </si>
  <si>
    <t># step=0 row=0 minW=497 found cw of W=120: [1 9 33 40 44 45 49 50 51 54 56 60 61 63 65 71 73 79 81 83 89 91 101 109 130 132 135 137 140 144 147 151 152 156 161 163 164 166 168 172 180 184 186 190 194 196 197 201 203 205 215 217 220 222 245 247 248 249 251</t>
  </si>
  <si>
    <t>497.1914507690817</t>
  </si>
  <si>
    <t xml:space="preserve"># step=0 row=0 minW=505 found cw of W=103: [1 3 12 13 18 19 25 31 32 33 37 40 42 46 51 59 71 74 75 79 82 85 91 106 107 108 110 111 135 144 148 158 169 171 180 183 184 193 199 206 211 214 222 225 227 235 238 240 246 247 251 252 258 260 267 272 273 276 277 </t>
  </si>
  <si>
    <t>567.0540392147377</t>
  </si>
  <si>
    <t># step=0 row=0 minW=541 found cw of W=129: [1 2 11 22 32 35 39 40 46 51 56 66 67 68 72 73 83 85 87 88 92 94 95 98 99 100 106 111 115 121 122 126 127 129 133 134 137 142 145 149 155 156 158 159 162 163 164 171 176 177 178 179 182 185 187 193 202 206 209 21</t>
  </si>
  <si>
    <t>644.2058095326647</t>
  </si>
  <si>
    <t># step=0 row=1 minW=577 found cw of W=142: [2 5 11 22 27 37 38 43 44 54 55 58 61 63 67 73 74 79 84 87 89 90 92 94 98 99 103 110 115 122 124 125 131 134 137 146 153 154 159 167 175 177 180 185 187 190 198 199 201 203 208 209 212 213 215 217 228 235 237 245</t>
  </si>
  <si>
    <t>641.5330290067941</t>
  </si>
  <si>
    <t xml:space="preserve"># step=0 row=1 minW=577 found cw of W=141: [1 5 10 11 17 23 29 31 33 37 43 54 57 58 64 65 67 70 73 78 80 84 85 86 87 88 90 91 94 96 99 107 108 128 135 137 138 141 150 157 167 173 175 176 183 184 186 193 197 204 208 211 234 242 243 244 245 260 269 271 281 </t>
  </si>
  <si>
    <t xml:space="preserve"># step=0 row=1 minW=613 found cw of W=166: [2 4 5 7 13 15 20 22 26 28 29 36 44 46 48 49 50 57 58 59 65 70 72 75 78 82 85 93 98 103 105 108 111 116 124 129 136 138 139 142 149 152 156 161 166 170 177 180 194 195 197 207 213 214 218 219 221 223 225 226 229 </t>
  </si>
  <si>
    <t>831.7019853638485</t>
  </si>
  <si>
    <t># step=0 row=0 minW=649 found cw of W=143: [2 3 4 6 10 12 14 15 19 25 35 45 49 55 57 59 64 68 70 71 78 84 116 122 124 129 147 151 153 160 161 162 172 173 175 176 180 185 187 192 193 194 197 201 202 203 212 218 224 233 235 236 237 240 241 243 248 250 258 2</t>
  </si>
  <si>
    <t>797.8617690345272</t>
  </si>
  <si>
    <t xml:space="preserve"># step=0 row=0 minW=649 found cw of W=145: [1 2 4 8 12 15 18 19 21 32 34 38 39 41 58 63 65 69 77 79 83 85 87 93 97 100 108 112 120 123 126 135 136 144 148 153 160 161 169 178 183 193 201 210 213 221 232 233 234 235 245 248 249 263 266 272 273 277 283 284 </t>
  </si>
  <si>
    <t>858.6689258832484</t>
  </si>
  <si>
    <t># step=0 row=0 minW=685 found cw of W=148: [1 3 8 22 23 25 36 40 41 44 52 53 58 63 64 65 73 80 87 97 100 101 104 112 115 119 122 125 129 132 136 139 144 146 147 150 151 155 156 167 171 172 177 186 187 188 195 197 202 212 213 214 216 218 234 239 246 251 26</t>
  </si>
  <si>
    <t>outfile: /home/ucapmwe/dist-benchmark/results/tanner_codes-dist_m4ri_RW-20260203_135027.119441_85062422.txt</t>
  </si>
  <si>
    <t>4.074860542081296</t>
  </si>
  <si>
    <t># step=0 row=0 minW=37 found cw of W=8: [1 4 17 20 25 30 34 36]\n# step=0 row=6 minW=8 found cw of W=6: [4 10 25 27 30 34]\n# step=0 row=8 minW=6 found cw of W=4: [6 12 30 36]\n# round=1000 of 1000000 minW=4\n# round=2000 of 1000000 minW=4\n# round=3000 o</t>
  </si>
  <si>
    <t>12.940032458864152</t>
  </si>
  <si>
    <t># step=0 row=0 minW=73 found cw of W=14: [1 3 5 7 17 26 28 29 31 33 35 56 62 64]\n# step=0 row=6 minW=14 found cw of W=9: [3 7 13 26 29 33 52 56 62]\n# step=0 row=10 minW=9 found cw of W=8: [19 23 31 35 43 47 49 53]\n# round=1000 of 1000000 minW=8\n# roun</t>
  </si>
  <si>
    <t>24.177716640755534</t>
  </si>
  <si>
    <t># step=0 row=1 minW=109 found cw of W=28: [2 4 6 12 15 18 20 24 27 41 46 48 50 52 53 61 63 70 73 78 82 85 87 90 91 93 97 99]\n# step=0 row=2 minW=28 found cw of W=27: [2 3 5 6 10 12 20 24 27 31 38 44 46 48 52 59 60 63 70 82 85 87 89 90 93 98 99]\n# step=0</t>
  </si>
  <si>
    <t>40.300536438822746</t>
  </si>
  <si>
    <t># step=0 row=0 minW=145 found cw of W=38: [1 3 4 8 10 16 19 26 32 36 42 46 49 52 57 58 59 63 65 67 71 73 74 76 78 83 84 88 90 100 101 109 122 124 130 131 134 144]\n# step=0 row=4 minW=38 found cw of W=24: [3 11 15 32 48 52 73 74 76 77 78 79 80 83 84 88 89</t>
  </si>
  <si>
    <t>73.07010524068028</t>
  </si>
  <si>
    <t># step=0 row=0 minW=181 found cw of W=44: [2 5 7 9 10 13 18 25 40 48 49 52 56 57 61 63 68 70 74 75 76 80 82 87 89 95 99 103 114 115 116 119 131 133 140 146 154 155 160 161 165 170 175 180]\n# step=0 row=6 minW=44 found cw of W=42: [1 6 7 13 15 16 25 43 48</t>
  </si>
  <si>
    <t>98.24209310580045</t>
  </si>
  <si>
    <t># step=0 row=0 minW=217 found cw of W=50: [1 2 3 9 11 12 14 19 21 22 26 33 34 38 47 51 54 55 57 62 74 79 83 84 85 92 100 104 109 111 115 121 122 127 130 133 142 144 154 157 158 160 177 178 181 193 195 201 208 216]\n# step=0 row=1 minW=50 found cw of W=44:</t>
  </si>
  <si>
    <t>131.78159037977457</t>
  </si>
  <si>
    <t># step=0 row=0 minW=253 found cw of W=66: [1 2 3 5 6 10 13 17 20 21 23 29 30 35 36 38 41 43 47 49 51 62 65 69 70 86 111 115 119 122 124 129 148 152 159 161 163 166 167 168 169 171 172 173 182 186 188 190 192 193 196 203 205 207 208 209 216 222 224 225 234</t>
  </si>
  <si>
    <t>170.10817566234618</t>
  </si>
  <si>
    <t># step=0 row=2 minW=289 found cw of W=73: [3 7 9 16 21 22 29 30 33 41 45 51 62 67 69 81 89 92 94 100 101 102 105 107 112 113 114 119 124 129 131 135 136 137 144 160 161 163 167 173 182 183 185 188 189 190 194 196 208 209 216 217 220 225 226 232 233 235 23</t>
  </si>
  <si>
    <t>208.35112937167287</t>
  </si>
  <si>
    <t># step=0 row=0 minW=325 found cw of W=84: [1 2 5 9 16 17 26 33 34 44 48 52 58 60 63 74 78 88 89 91 93 96 102 110 113 114 120 126 128 130 132 140 143 144 151 155 159 166 172 177 178 185 186 195 200 201 203 208 213 214 217 219 221 224 227 229 231 232 239 24</t>
  </si>
  <si>
    <t>251.04742869362235</t>
  </si>
  <si>
    <t># step=0 row=0 minW=361 found cw of W=98: [4 7 11 12 15 20 22 27 32 33 35 38 39 44 46 48 50 64 68 71 73 76 79 80 85 86 88 90 93 102 103 110 115 120 121 125 128 141 142 143 145 146 147 148 152 153 154 156 161 163 170 171 172 174 175 183 184 185 188 190 193</t>
  </si>
  <si>
    <t>300.23807179089636</t>
  </si>
  <si>
    <t xml:space="preserve"># step=0 row=0 minW=397 found cw of W=101: [1 5 12 14 22 25 33 36 37 42 44 50 52 53 55 58 68 70 72 80 81 84 85 86 95 96 97 104 106 109 115 122 123 125 126 128 133 136 137 138 140 145 146 159 164 168 177 181 196 201 206 213 217 222 224 225 226 232 233 238 </t>
  </si>
  <si>
    <t>426.4169216901064</t>
  </si>
  <si>
    <t># step=0 row=0 minW=433 found cw of W=102: [1 3 4 7 8 17 23 25 27 35 38 41 43 44 48 74 80 81 84 90 91 105 111 116 119 122 125 129 130 134 137 138 139 149 151 155 159 175 176 180 187 190 194 195 202 204 206 211 212 214 219 222 227 228 230 231 232 235 238 2</t>
  </si>
  <si>
    <t>420.1484796619043</t>
  </si>
  <si>
    <t># step=0 row=0 minW=469 found cw of W=103: [1 14 19 27 37 41 48 52 55 56 62 65 66 69 73 74 75 78 81 82 92 95 100 107 109 110 113 126 131 133 156 163 172 174 178 193 198 202 205 215 222 223 225 228 229 230 236 262 265 271 278 281 283 286 289 291 294 299 30</t>
  </si>
  <si>
    <t>441.3172970628366</t>
  </si>
  <si>
    <t># step=0 row=2 minW=497 found cw of W=110: [7 8 9 12 14 16 35 36 37 41 44 45 46 48 50 59 62 63 67 68 72 79 81 84 87 89 92 95 104 105 107 110 130 132 133 135 147 151 152 156 163 165 168 169 175 176 177 178 189 190 193 197 204 208 225 226 233 236 237 239 24</t>
  </si>
  <si>
    <t>495.87009141687304</t>
  </si>
  <si>
    <t># step=0 row=0 minW=505 found cw of W=129: [1 2 3 4 10 13 16 19 21 23 30 31 36 38 40 48 49 54 63 71 81 82 85 87 94 97 103 106 112 116 117 120 122 124 126 133 140 142 143 144 145 152 154 165 168 170 176 178 180 185 189 191 192 198 207 215 216 218 220 221 2</t>
  </si>
  <si>
    <t>568.2359028123319</t>
  </si>
  <si>
    <t xml:space="preserve"># step=0 row=0 minW=541 found cw of W=132: [1 5 15 16 20 22 23 25 27 29 33 38 43 45 46 48 50 51 52 54 63 68 74 75 80 85 89 95 96 98 99 101 102 123 126 127 132 133 137 140 145 155 157 160 164 183 185 187 197 199 200 206 209 220 227 228 234 237 246 252 267 </t>
  </si>
  <si>
    <t>648.9920820845291</t>
  </si>
  <si>
    <t># step=0 row=1 minW=577 found cw of W=155: [2 6 7 15 17 20 23 27 28 31 33 34 37 40 54 57 64 65 66 78 81 83 86 91 92 93 97 106 108 115 125 130 133 134 135 149 161 170 171 173 176 182 187 189 192 193 194 197 199 201 206 210 212 213 214 217 221 224 225 237 2</t>
  </si>
  <si>
    <t>639.7580868760124</t>
  </si>
  <si>
    <t># step=0 row=1 minW=577 found cw of W=110: [2 12 17 18 27 44 50 59 64 68 72 76 78 86 91 93 94 104 106 107 113 122 136 138 142 146 168 182 187 191 195 207 209 210 222 227 232 235 239 242 246 249 251 258 259 260 269 270 271 274 276 279 286 292 302 303 304 3</t>
  </si>
  <si>
    <t>730.5254185721278</t>
  </si>
  <si>
    <t xml:space="preserve"># step=0 row=0 minW=613 found cw of W=149: [1 2 3 4 5 11 12 13 14 25 26 29 32 43 51 52 54 56 59 63 64 71 72 74 75 76 78 85 89 92 95 98 103 106 113 117 118 128 130 133 141 148 152 153 155 167 168 175 176 180 187 194 198 202 206 208 209 210 213 220 222 224 </t>
  </si>
  <si>
    <t>809.1824327940121</t>
  </si>
  <si>
    <t># step=0 row=0 minW=649 found cw of W=155: [2 3 4 5 6 7 9 10 19 22 23 35 38 45 50 51 53 56 65 66 78 95 98 99 101 104 106 108 116 125 129 133 136 141 152 154 158 163 169 170 171 175 177 178 183 184 185 191 192 195 200 212 221 224 225 231 234 235 237 246 24</t>
  </si>
  <si>
    <t>793.2001711735502</t>
  </si>
  <si>
    <t xml:space="preserve"># step=0 row=0 minW=649 found cw of W=173: [1 2 4 12 14 23 24 26 31 32 33 39 43 47 48 57 60 61 65 67 71 74 78 81 83 84 88 93 94 99 101 104 110 111 112 113 117 118 120 121 123 126 127 129 133 137 140 148 156 162 163 164 167 170 173 177 180 184 186 187 196 </t>
  </si>
  <si>
    <t>859.3205324904993</t>
  </si>
  <si>
    <t xml:space="preserve"># step=0 row=0 minW=685 found cw of W=163: [1 4 13 24 32 35 39 50 51 56 60 61 62 69 75 76 88 92 97 102 105 108 112 116 121 126 133 135 141 150 151 153 155 156 171 177 179 180 189 191 193 199 200 204 208 209 211 218 219 220 221 222 227 229 242 249 254 259 </t>
  </si>
  <si>
    <t>outfile: /home/ucapmwe/dist-benchmark/results/tanner_codes-dist_m4ri_RW-20260203_135027.459798_85062422.txt</t>
  </si>
  <si>
    <t>3.4223092813044786</t>
  </si>
  <si>
    <t># step=0 row=0 minW=37 found cw of W=9: [1 5 12 13 15 20 26 28 34]\n# step=0 row=1 minW=9 found cw of W=4: [2 14 20 32]\n# round=1000 of 1000000 minW=4\n# round=2000 of 1000000 minW=4\n# round=3000 of 1000000 minW=4\n# round=4000 of 1000000 minW=4\n# roun</t>
  </si>
  <si>
    <t>10.998851713724434</t>
  </si>
  <si>
    <t xml:space="preserve"># step=0 row=0 minW=73 found cw of W=17: [1 9 10 18 22 23 32 34 39 40 48 53 56 62 63 65 72]\n# step=0 row=2 minW=17 found cw of W=15: [2 4 7 9 16 22 24 34 36 39 40 41 55 57 64]\n# step=0 row=10 minW=15 found cw of W=14: [7 9 14 16 17 22 24 28 39 51 52 53 </t>
  </si>
  <si>
    <t>24.163061858154833</t>
  </si>
  <si>
    <t xml:space="preserve"># step=0 row=0 minW=109 found cw of W=22: [1 2 3 4 5 8 10 19 26 37 43 44 49 55 57 65 74 75 77 94 103 106]\n# step=0 row=3 minW=22 found cw of W=18: [3 4 10 11 14 26 43 44 49 55 56 57 65 75 77 94 103 106]\n# step=1 row=51 minW=18 found cw of W=14: [2 3 21 </t>
  </si>
  <si>
    <t>40.261573830619454</t>
  </si>
  <si>
    <t># step=0 row=0 minW=145 found cw of W=31: [1 3 5 9 21 22 27 31 37 42 44 46 48 60 63 68 77 79 85 86 88 89 93 94 97 100 103 118 128 133 134]\n# step=0 row=2 minW=31 found cw of W=29: [1 5 7 8 9 21 32 37 42 44 48 56 60 68 70 73 79 86 88 89 93 94 97 100 103 1</t>
  </si>
  <si>
    <t>61.63501213863492</t>
  </si>
  <si>
    <t># step=0 row=2 minW=181 found cw of W=41: [3 6 7 9 12 16 25 30 32 33 45 47 50 55 71 80 81 85 87 91 92 94 95 97 102 107 114 119 125 129 133 135 138 148 153 156 160 162 166 170 175]\n# step=0 row=8 minW=41 found cw of W=35: [1 8 10 20 25 27 30 37 40 51 53 5</t>
  </si>
  <si>
    <t>98.24875527992845</t>
  </si>
  <si>
    <t># step=0 row=0 minW=217 found cw of W=56: [1 2 4 6 9 15 18 26 30 31 32 35 37 40 43 54 58 59 60 62 64 65 67 68 72 74 82 85 86 91 94 104 107 113 114 115 116 118 124 125 128 129 131 135 143 145 146 151 163 177 184 187 196 198 202 210]\n# step=0 row=1 minW=56</t>
  </si>
  <si>
    <t>131.81809017807245</t>
  </si>
  <si>
    <t># step=0 row=0 minW=253 found cw of W=53: [2 8 9 17 18 23 31 36 37 49 51 56 59 60 79 81 84 85 89 93 101 103 109 114 117 126 135 137 141 144 154 157 168 177 178 182 185 186 189 192 193 197 198 205 211 217 223 224 228 230 233 242 251]\n# step=0 row=4 minW=5</t>
  </si>
  <si>
    <t>170.27217865549028</t>
  </si>
  <si>
    <t># step=0 row=0 minW=289 found cw of W=67: [1 9 10 12 18 19 20 22 27 33 41 50 54 64 65 82 86 87 88 95 98 104 106 107 108 109 113 115 116 122 127 129 131 132 133 144 154 155 160 161 172 175 176 179 180 192 197 208 209 211 214 218 223 225 226 228 232 237 244</t>
  </si>
  <si>
    <t>208.75234866701066</t>
  </si>
  <si>
    <t xml:space="preserve"># step=0 row=0 minW=325 found cw of W=67: [1 2 7 13 17 21 23 25 35 38 39 41 48 52 70 74 77 86 90 94 98 103 104 106 112 115 119 125 134 141 147 152 154 156 161 163 166 179 183 187 192 196 198 215 221 222 226 231 232 237 242 247 253 263 275 283 285 288 294 </t>
  </si>
  <si>
    <t># step=0 row=0 minW=361 found cw of W=95: [1 2 8 10 12 23 24 28 30 31 38 39 44 46 50 52 53 55 61 66 74 75 87 89 90 91 93 103 107 112 116 118 128 131 133 136 147 155 158 159 165 166 168 171 176 180 186 187 189 193 195 196 206 210 212 213 214 223 226 235 23</t>
  </si>
  <si>
    <t>299.91286012437195</t>
  </si>
  <si>
    <t># step=0 row=1 minW=397 found cw of W=72: [2 13 24 35 39 42 46 52 55 59 61 65 89 94 102 104 107 110 113 115 116 121 125 129 131 139 150 170 171 176 181 182 195 201 211 212 221 226 233 240 242 245 258 267 271 278 288 293 299 300 301 303 305 306 312 321 324</t>
  </si>
  <si>
    <t>362.48236494045705</t>
  </si>
  <si>
    <t># step=0 row=1 minW=433 found cw of W=116: [2 11 13 19 24 31 32 33 34 35 36 37 45 46 48 49 50 52 62 67 69 71 72 82 83 86 91 96 97 101 102 109 112 113 116 118 121 126 128 133 134 140 143 145 147 149 153 159 160 168 172 176 178 184 191 193 196 204 210 220 2</t>
  </si>
  <si>
    <t>418.24206631071866</t>
  </si>
  <si>
    <t xml:space="preserve"># step=0 row=0 minW=469 found cw of W=128: [1 2 6 22 24 27 43 47 48 53 56 66 69 71 72 74 76 82 83 84 91 95 111 118 120 121 124 125 126 127 131 132 140 141 142 146 149 156 161 165 167 170 171 172 174 177 178 184 186 201 206 208 212 215 217 224 228 245 247 </t>
  </si>
  <si>
    <t>442.9421681398526</t>
  </si>
  <si>
    <t># step=0 row=0 minW=497 found cw of W=96: [1 5 6 10 11 12 13 14 22 25 28 31 35 40 42 45 83 91 97 106 107 108 119 127 132 140 147 149 156 158 166 167 174 175 180 187 189 190 197 205 211 216 217 218 219 223 230 232 234 236 245 253 277 279 282 284 307 309 31</t>
  </si>
  <si>
    <t>494.40366340521723</t>
  </si>
  <si>
    <t># step=0 row=0 minW=505 found cw of W=107: [4 6 7 10 17 23 30 34 42 50 51 52 54 58 59 62 67 69 79 82 88 96 97 100 102 103 109 114 135 142 148 151 154 158 160 171 175 177 180 184 186 187 189 197 220 222 223 232 235 250 255 263 265 266 268 272 273 276 278 2</t>
  </si>
  <si>
    <t>565.1944248517975</t>
  </si>
  <si>
    <t># step=0 row=0 minW=541 found cw of W=125: [1 3 5 8 10 19 21 26 32 33 37 44 50 52 55 60 66 78 83 85 89 98 103 111 112 113 120 125 128 131 136 142 147 154 155 163 169 172 174 175 176 179 181 184 188 191 194 200 203 206 207 208 213 217 218 222 230 231 232 2</t>
  </si>
  <si>
    <t>649.9794059470296</t>
  </si>
  <si>
    <t># step=0 row=1 minW=577 found cw of W=132: [5 6 8 9 10 20 24 29 31 40 45 46 47 50 51 62 67 75 77 79 85 86 101 106 108 109 111 113 119 122 126 131 137 149 165 167 168 170 175 198 199 201 202 204 206 211 212 218 229 241 245 247 248 250 252 257 263 269 270 2</t>
  </si>
  <si>
    <t># step=0 row=1 minW=577 found cw of W=158: [2 7 9 33 37 42 45 46 47 48 49 58 65 67 68 73 74 78 82 90 95 98 99 100 101 104 105 106 107 110 119 125 126 129 132 133 134 136 140 142 144 163 170 177 178 182 183 184 185 188 189 190 193 199 201 206 207 209 211 2</t>
  </si>
  <si>
    <t>738.2093340829015</t>
  </si>
  <si>
    <t># step=0 row=0 minW=613 found cw of W=144: [1 10 16 19 21 22 23 25 30 31 51 53 55 56 61 62 66 73 75 77 78 79 81 83 88 90 91 92 93 95 96 102 107 109 119 126 128 129 136 142 144 147 155 158 167 173 174 180 185 189 190 197 204 206 215 220 224 228 241 254 258</t>
  </si>
  <si>
    <t>811.1112895570695</t>
  </si>
  <si>
    <t># step=0 row=0 minW=649 found cw of W=140: [1 11 17 25 27 28 41 48 55 74 107 108 109 122 125 126 134 141 153 156 161 162 163 164 171 177 179 184 188 191 203 204 207 211 214 219 223 224 225 237 248 249 257 259 267 276 282 284 286 288 294 296 299 300 304 30</t>
  </si>
  <si>
    <t>803.0660967687145</t>
  </si>
  <si>
    <t># step=0 row=0 minW=649 found cw of W=153: [1 2 6 16 17 21 23 25 33 36 41 44 46 49 51 57 64 68 70 75 76 77 87 95 97 114 115 116 119 123 126 127 135 136 142 146 149 156 162 164 171 176 177 181 184 185 187 188 191 199 200 203 205 207 208 209 212 217 223 227</t>
  </si>
  <si>
    <t>857.2661602143198</t>
  </si>
  <si>
    <t># step=0 row=0 minW=685 found cw of W=154: [1 3 8 16 17 20 23 27 28 33 36 37 39 41 46 50 52 64 65 67 77 83 84 86 87 88 93 105 107 108 109 118 123 128 130 132 133 134 144 160 161 167 174 175 176 180 190 202 203 214 216 220 223 226 241 243 246 247 248 259 2</t>
  </si>
  <si>
    <t>m4riRW1M</t>
  </si>
  <si>
    <t>Original</t>
  </si>
  <si>
    <t>outfile: /home/ucapmwe/dist-benchmark/results/tanner_codes-QDistEvol-20260203_135026.764967_85062422.txt</t>
  </si>
  <si>
    <t>Gen:0 Trial:0 w:4; pErr:0.0000, weight 4 CW found:50, wDict:4:999985,6:14,8:1</t>
  </si>
  <si>
    <t>Gen:0 Trial:0 w:8; pErr:0.0000, weight 8 CW found:1200, wDict:8:993979,9:5530,10:358,11:72,12:55,13:5,14:1</t>
  </si>
  <si>
    <t>Gen:0 Trial:0 w:17; Trial:1 w:14; Trial:4 w:13; Trial:7 w:12; pErr:0.0000, weight 12 CW found:12320, wDict:12:779060,13:190374,14:13400,15:8105,16:4127,17:2437,18:1258,19:677,20:330,21:155,22:55,23:20,24:2</t>
  </si>
  <si>
    <t>Gen:0 Trial:0 w:16; Trial:24 w:15; Trial:96 w:13; pErr:0.0000, weight 13 CW found:20410, wDict:13:697732,14:150900,15:89087,16:19058,17:8744,18:10278,19:5884,20:3541,21:2864,22:2603,23:2215,24:2084,25:1881,26:1427,27:994,28:474,29:169,30:53,31:11,32:1</t>
  </si>
  <si>
    <t>Gen:0 Trial:0 w:32; Trial:2 w:31; Trial:4 w:29; Trial:6 w:27; Trial:7 w:22; Trial:30 w:21; Trial:63 w:20; Trial:129 w:19; Trial:146 w:17; pErr:0.0000, weight 17 CW found:24541, wDict:17:762532,18:37443,19:87837,20:50384,21:12819,22:13791,23:8542,24:5160,25:4157,26:3218,27:2780,28:2367,29:2181,30:1911,31:1688,32:1216,33:890,34:600,35:306,36:119,37:45,38:14</t>
  </si>
  <si>
    <t>Gen:0 Trial:0 w:34; Trial:2 w:26; Trial:3 w:19; Trial:1379 w:18; pErr:0.0000, weight 18 CW found:23314, wDict:18:796112,19:95624,20:29301,21:12405,22:19129,23:9772,24:8352,25:5101,26:4091,27:2589,28:2093,29:2084,30:2043,31:1786,32:1792,33:1677,34:1460,35:1271,36:1066,37:805,38:585,39:455,40:223,41:111,42:57,43:13,44:2,46:1</t>
  </si>
  <si>
    <t>Gen:0 Trial:0 w:46; Trial:1 w:45; Trial:3 w:39; Trial:6 w:38; Trial:15 w:32; Trial:24 w:24; Trial:2181 w:23; Gen:1 Trial:14686 w:22; pErr:0.0000, weight 22 CW found:20145, wDict:22:731893,23:16773,24:10215,25:45326,26:21617,27:59988,28:32687,29:17307,30:7273,31:7741,32:3977,33:3726,34:3600,35:3992,36:3529,37:2566,38:2381,39:2941,40:2852,41:2668,42:3033,43:3014,44:2992,45:2255,46:1992,47:1564,48:1027,49:578,50:287,51:137,52:52,53:15,54:1,55:1</t>
  </si>
  <si>
    <t>Gen:0 Trial:0 w:51; Trial:4 w:46; Trial:6 w:39; Trial:75 w:36; Trial:93 w:35; Trial:133 w:29; Trial:344 w:26; Trial:813 w:25; pErr:0.0000, weight 25 CW found:32022, wDict:25:796022,26:51621,27:19788,28:16371,29:15756,30:12318,31:10788,32:5554,33:6967,34:5740,35:7181,36:4875,37:3747,38:3941,39:2891,40:2691,41:2894,42:3266,43:3257,44:1889,45:1946,46:1995,47:1905,48:1965,49:2088,50:2275,51:2215,52:2076,53:1812,54:1476,55:1134,56:834,57:409,58:200,59:79,60:25,61:8,63:1</t>
  </si>
  <si>
    <t>Gen:0 Trial:0 w:40; Trial:45 w:34; Trial:292 w:33; Trial:451 w:31; Trial:596 w:28; Trial:975 w:27; Trial:1338 w:26; Gen:2 Trial:29884 w:25; pErr:0.0000, weight 25 CW found:23876, wDict:25:743448,26:19900,27:3851,28:8394,29:1782,30:12809,31:5323,32:42235,33:10311,34:21030,35:29468,36:7435,37:9731,38:9219,39:4541,40:8689,41:5132,42:5936,43:6333,44:4446,45:4118,46:5285,47:3037,48:2530,49:2326,50:2203,51:2450,52:2418,53:2364,54:2429,55:1954,56:1909,57:1825,58:1559,59:1341,60:869,61:599,62:404,63:214,64:87,65:47,66:9,67:8,68:1,70:1</t>
  </si>
  <si>
    <t>Gen:0 Trial:0 w:69; Trial:1 w:66; Trial:4 w:65; Trial:5 w:56; Trial:8 w:50; Trial:41 w:47; Trial:125 w:43; Trial:288 w:41; Trial:464 w:39; Trial:674 w:37; Trial:1106 w:36; Trial:1300 w:28; Trial:8447 w:25; Gen:2 Trial:20077 w:24; pErr:0.0000, weight 24 CW found:18537, wDict:24:750868,25:33475,26:5287,27:30663,28:30392,29:36163,30:21729,31:4228,32:3799,33:2012,34:4160,35:2971,36:8470,37:5170,38:3464,39:2181,40:2415,41:1611,42:2406,43:2258,44:1742,45:1297,46:1147,47:1175,48:2977,49:1329,50:1243,51:1748,52:1855,53:2177,54:2395,55:2183,56:1391,57:1671,58:1947,59:1903,60:2271,61:2293,62:2327,63:2307,64:2240,65:1831,66:1567,67:1163,68:897,69:574,70:357,71:174,72:63,73:28,74:4,75:2</t>
  </si>
  <si>
    <t>Gen:0 Trial:0 w:68; Trial:1 w:56; Trial:9 w:52; Trial:14 w:47; Trial:27 w:45; Trial:54 w:35; Trial:399 w:33; Trial:8517 w:32; Gen:2 Trial:27014 w:31; Gen:3 Trial:31080 w:30; Trial:31238 w:29; Gen:18 Trial:183072 w:27; pErr:0.0000, weight 27 CW found:9911, wDict:27:547799,28:7090,29:182222,30:29850,31:9924,32:17863,33:12458,34:20144,35:10521,36:15390,37:14008,38:19172,39:9320,40:4511,41:5429,42:5542,43:6175,44:10202,45:5723,46:8736,47:11938,48:3538,49:3161,50:3046,51:2293,52:2744,53:3007,54:2340,55:1724,56:1518,57:1625,58:1340,59:1454,60:1367,61:1366,62:1486,63:1469,64:1537,65:1567,66:1393,67:1339,68:1343,69:1150,70:1014,71:856,72:678,73:578,74:388,75:297,76:178,77:97,78:47,79:23,80:14,81:6</t>
  </si>
  <si>
    <t>Gen:0 Trial:0 w:78; Trial:2 w:67; Trial:10 w:63; Trial:60 w:61; Trial:250 w:59; Trial:267 w:56; Trial:391 w:55; Trial:878 w:51; Trial:1858 w:50; Trial:3943 w:42; Trial:7176 w:37; Gen:3 Trial:32024 w:36; Gen:4 Trial:43749 w:35; Trial:44216 w:34; Gen:5 Trial:54000 w:33; Gen:11 Trial:115408 w:32; Gen:16 Trial:161108 w:31; Gen:25 Trial:250170 w:30; pErr:0.0000, weight 30 CW found:15528, wDict:30:566719,31:107354,32:59424,33:54913,34:16264,35:13985,36:8956,37:28768,38:3338,39:3645,40:6196,41:657,42:1083,43:1620,44:2192,45:1729,46:7215,47:2138,48:4644,49:2683,50:3036,51:5090,52:3090,53:5575,54:5482,55:3117,56:4124,57:3101,58:3672,59:3479,60:3055,61:2544,62:2205,63:3235,64:3254,65:3757,66:3579,67:3977,68:3066,69:3367,70:3403,71:3746,72:3708,73:3845,74:3338,75:3117,76:3017,77:2547,78:2342,79:1859,80:1321,81:967,82:670,83:390,84:219,85:102,86:53,87:17,88:10,89:1</t>
  </si>
  <si>
    <t>Gen:0 Trial:0 w:83; Trial:1 w:74; Trial:2 w:57; Trial:88 w:51; Trial:170 w:46; Trial:539 w:39; Trial:1478 w:38; Trial:8932 w:34; Gen:3 Trial:35042 w:33; Gen:5 Trial:54008 w:32; Gen:6 Trial:61043 w:30; pErr:0.0000, weight 30 CW found:22253, wDict:30:742816,31:20705,32:21928,33:35444,34:25879,35:13428,36:6309,37:11590,38:12098,39:4128,40:3449,41:4623,42:3675,43:3057,44:2798,45:2598,46:4186,47:3071,48:2647,49:1929,50:2702,51:4747,52:3624,53:3102,54:3184,55:3449,56:2408,57:2482,58:2162,59:1918,60:2016,61:1571,62:1632,63:1860,64:1873,65:1739,66:2080,67:2111,68:1394,69:1384,70:1647,71:1603,72:1693,73:1944,74:1853,75:1688,76:1652,77:1636,78:1565,79:1596,80:1614,81:1311,82:1234,83:1046,84:997,85:755,86:695,87:518,88:408,89:303,90:209,91:101,92:77,93:30,94:15,95:10,96:3,98:1</t>
  </si>
  <si>
    <t>Gen:0 Trial:0 w:84; Trial:1 w:72; Trial:2 w:62; Trial:4 w:60; Trial:11 w:44; Trial:1316 w:42; Trial:1547 w:40; Trial:3939 w:38; Trial:4466 w:34; Gen:3 Trial:36514 w:32; Gen:23 Trial:236351 w:30; pErr:0.0000, weight 30 CW found:6038, wDict:30:557743,32:208732,34:37077,36:17265,38:28500,40:33439,42:52391,44:14698,46:5526,48:4540,50:3993,52:3041,54:1941,56:2118,58:2104,60:2877,62:2628,64:1652,66:1758,68:2031,70:2693,72:2296,74:2613,76:2217,78:1938,80:1501,82:1143,84:759,86:437,88:212,90:98,92:28,94:8,96:3</t>
  </si>
  <si>
    <t>Gen:0 Trial:0 w:96; Trial:1 w:78; Trial:100 w:76; Trial:161 w:69; Trial:2715 w:66; Trial:3182 w:62; Trial:8193 w:61; Gen:1 Trial:10012 w:60; Gen:2 Trial:23000 w:57; Gen:3 Trial:32000 w:56; Gen:4 Trial:42000 w:54; Gen:5 Trial:50028 w:51; Gen:6 Trial:61503 w:50; Gen:7 Trial:70067 w:47; Gen:9 Trial:98009 w:46; Gen:10 Trial:101080 w:44; Trial:106082 w:43; Gen:11 Trial:113002 w:42; pErr:0.0000, weight 42 CW found:13459, wDict:42:636343,43:9587,44:4025,45:18665,46:51598,47:22058,48:12301,49:12682,50:9281,51:22662,52:9218,53:10044,54:21000,55:12168,56:14625,57:10459,58:13747,59:13133,60:8491,61:9024,62:4518,63:2004,64:1813,65:3845,66:2257,67:1369,68:964,69:1244,70:1519,71:3085,72:2639,73:1126,74:1137,75:1398,76:1064,77:1680,78:1956,79:1800,80:1008,81:1026,82:1285,83:1576,84:1791,85:2232,86:2277,87:1756,88:2002,89:2149,90:2386,91:2435,92:2838,93:2827,94:2874,95:2591,96:2581,97:2058,98:1802,99:1430,100:988,101:695,102:434,103:236,104:107,105:54,106:22,107:8,108:2,109:1</t>
  </si>
  <si>
    <t>Gen:0 Trial:0 w:101; Trial:1 w:99; Trial:2 w:97; Trial:6 w:86; Trial:156 w:79; Trial:197 w:78; Trial:270 w:71; Trial:1981 w:70; Trial:6457 w:61; Gen:2 Trial:20000 w:60; Gen:3 Trial:33006 w:55; Gen:6 Trial:66056 w:54; Gen:7 Trial:71124 w:52; Trial:71372 w:50; Trial:79177 w:49; Gen:11 Trial:111459 w:48; Gen:14 Trial:140050 w:46; Gen:15 Trial:155145 w:45; Gen:18 Trial:180197 w:44; Gen:28 Trial:287417 w:43; pErr:0.0000, weight 43 CW found:15296, wDict:43:523656,44:115409,45:29444,46:15924,47:9274,48:50469,49:36763,50:6125,51:7879,52:6163,53:5159,54:20190,55:24697,56:3166,57:625,58:3221,59:4079,60:5639,61:16684,62:1114,63:1329,64:867,65:1170,66:1075,67:1818,68:5470,69:2233,70:1674,71:2691,72:1878,73:1365,74:2820,75:2395,76:2971,77:1596,78:1705,79:1971,80:2250,81:2527,82:3358,83:3022,84:3332,85:2347,86:3051,87:3282,88:3896,89:3790,90:4950,91:3851,92:3490,93:3843,94:3904,95:3541,96:3888,97:3501,98:3344,99:2607,100:2436,101:2136,102:1786,103:1483,104:1169,105:939,106:620,107:401,108:257,109:154,110:82,111:32,112:11,113:8,114:3,116:1</t>
  </si>
  <si>
    <t>Gen:0 Trial:0 w:106; Trial:2 w:103; Trial:3 w:90; Trial:243 w:88; Trial:664 w:86; Trial:860 w:82; Trial:2359 w:81; Trial:4716 w:77; Gen:1 Trial:12350 w:74; Trial:19993 w:62; Gen:6 Trial:69571 w:59; Gen:14 Trial:146158 w:58; Gen:26 Trial:260221 w:57; Gen:28 Trial:288006 w:56; Gen:30 Trial:304135 w:55; Gen:31 Trial:318000 w:54; Gen:34 Trial:347011 w:53; Gen:36 Trial:360001 w:52; Gen:37 Trial:375217 w:51; Gen:39 Trial:391018 w:46; pErr:0.0000, weight 46 CW found:17461, wDict:46:475238,47:9541,48:651,49:12519,50:5163,51:24616,52:14759,53:24676,54:19425,55:7761,56:18737,57:18214,58:76143,59:53964,60:3122,61:1264,62:28608,63:1431,64:1737,65:709,66:819,67:1307,68:1864,69:817,70:1178,71:440,72:804,73:1166,74:3322,75:899,76:1676,77:2598,78:3441,79:1074,80:1385,81:2833,82:3418,83:2547,84:2288,85:2655,86:4395,87:5331,88:4240,89:3521,90:3712,91:4960,92:5385,93:6347,94:6707,95:6535,96:7643,97:7708,98:8424,99:9068,100:9854,101:9747,102:8269,103:7603,104:6763,105:6643,106:6184,107:5293,108:4779,109:3888,110:3158,111:2506,112:1912,113:1490,114:1053,115:792,116:549,117:332,118:184,119:112,120:64,121:29,122:7,123:2,124:1,125:1</t>
  </si>
  <si>
    <t>Gen:0 Trial:0 w:103; Trial:10 w:102; Trial:14 w:99; Trial:39 w:95; Trial:63 w:92; Trial:70 w:85; Trial:549 w:79; Trial:3256 w:77; Gen:1 Trial:18498 w:76; Gen:2 Trial:21013 w:74; Gen:3 Trial:33079 w:69; Gen:4 Trial:41000 w:65; Trial:47508 w:64; Gen:6 Trial:63012 w:58; Gen:8 Trial:80005 w:53; Gen:9 Trial:96002 w:51; Gen:10 Trial:100053 w:49; Gen:11 Trial:111015 w:48; Gen:34 Trial:341651 w:47; Gen:41 Trial:411587 w:46; pErr:0.0000, weight 46 CW found:15548, wDict:46:423350,47:63405,48:188924,49:22232,50:4304,51:8431,52:2794,53:14685,54:2310,55:8172,56:28196,57:6063,58:8566,59:3424,60:6464,61:19365,62:2255,63:3941,64:11210,65:4455,66:3491,67:2536,68:4153,69:7465,70:2664,71:3223,72:2370,73:2289,74:8081,75:2698,76:6307,77:11008,78:3602,79:5433,80:4703,81:4398,82:2942,83:3080,84:2795,85:4095,86:2946,87:5479,88:3359,89:2658,90:2457,91:2732,92:2810,93:2891,94:2558,95:1955,96:2330,97:2236,98:2636,99:3013,100:3264,101:2970,102:2620,103:2946,104:3185,105:2796,106:3116,107:2990,108:2562,109:2586,110:2242,111:2079,112:1736,113:1522,114:1068,115:860,116:593,117:416,118:243,119:123,120:82,121:43,122:14,123:3,124:2</t>
  </si>
  <si>
    <t>outfile: /home/ucapmwe/dist-benchmark/results/tanner_codes-QDistEvol-20260203_135026.795534_85062422.txt</t>
  </si>
  <si>
    <t>Gen:0 Trial:0 w:4; pErr:0.0000, weight 4 CW found:59, wDict:4:999983,6:12,8:5</t>
  </si>
  <si>
    <t>Gen:0 Trial:0 w:8; pErr:0.0000, weight 8 CW found:1137, wDict:8:995127,9:4462,10:288,11:67,12:47,13:8,14:1</t>
  </si>
  <si>
    <t>Gen:0 Trial:0 w:17; Trial:1 w:16; Trial:3 w:14; Trial:4 w:13; Trial:5 w:12; pErr:0.0000, weight 12 CW found:12282, wDict:12:929761,13:47426,14:9443,15:5021,16:3510,17:2339,18:1225,19:704,20:327,21:167,22:63,23:14</t>
  </si>
  <si>
    <t>Gen:0 Trial:0 w:26; Trial:1 w:16; Trial:31 w:15; Trial:71 w:14; Trial:240 w:13; pErr:0.0000, weight 13 CW found:18877, wDict:13:737465,14:126507,15:84659,16:13899,17:12448,18:4813,19:2885,20:3191,21:2519,22:2430,23:2207,24:2121,25:1777,26:1468,27:910,28:454,29:180,30:48,31:16,32:3</t>
  </si>
  <si>
    <t>Gen:0 Trial:0 w:26; Trial:1 w:24; Trial:2 w:23; Trial:13 w:19; Trial:350 w:18; Trial:454 w:17; pErr:0.0000, weight 17 CW found:25628, wDict:17:745221,18:107231,19:36244,20:39451,21:16040,22:17327,23:7732,24:4517,25:5484,26:4503,27:3336,28:3457,29:2506,30:2080,31:1669,32:1272,33:909,34:537,35:302,36:127,37:45,38:9,39:1</t>
  </si>
  <si>
    <t>Gen:0 Trial:0 w:32; Trial:2 w:29; Trial:3 w:24; Trial:12 w:22; Trial:47 w:18; pErr:0.0000, weight 18 CW found:23583, wDict:18:767864,19:59118,20:65159,21:21598,22:34240,23:11437,24:9535,25:6556,26:2539,27:4743,28:2824,29:1962,30:1926,31:1765,32:1644,33:1469,34:1343,35:1193,36:1002,37:758,38:570,39:380,40:209,41:103,42:43,43:13,44:6,45:1</t>
  </si>
  <si>
    <t>Gen:0 Trial:0 w:40; Trial:1 w:38; Trial:2 w:36; Trial:8 w:34; Trial:17 w:32; Trial:62 w:31; Trial:63 w:27; Trial:720 w:24; Trial:2735 w:22; pErr:0.0000, weight 22 CW found:26458, wDict:22:736873,23:65027,24:49563,25:40748,26:16364,27:10436,28:11310,29:15075,30:5553,31:5431,32:4994,33:3637,34:3440,35:3818,36:3329,37:2622,38:1989,39:2232,40:2238,41:2308,42:2246,43:2198,44:2140,45:1873,46:1591,47:1213,48:818,49:478,50:276,51:132,52:29,53:16,54:3</t>
  </si>
  <si>
    <t>Gen:0 Trial:0 w:43; Trial:9 w:38; Trial:125 w:36; Trial:165 w:34; Trial:365 w:26; Gen:2 Trial:24003 w:25; Gen:3 Trial:31304 w:24; pErr:0.0000, weight 24 CW found:18860, wDict:24:706637,25:1451,26:16404,27:19557,28:5809,29:44028,30:9934,31:6228,32:13711,33:20314,34:37552,35:23708,36:9681,37:13767,38:9875,39:6070,40:7300,41:7472,42:5591,43:4362,44:2717,45:3071,46:2442,47:2989,48:2806,49:2786,50:2761,51:2553,52:2457,53:2070,54:1565,55:1081,56:632,57:352,58:170,59:63,60:24,61:8,62:2</t>
  </si>
  <si>
    <t>Gen:0 Trial:0 w:54; Trial:3 w:48; Trial:6 w:33; Trial:1533 w:30; Trial:2664 w:28; Gen:2 Trial:21064 w:26; Gen:5 Trial:52128 w:25; pErr:0.0000, weight 25 CW found:17279, wDict:25:704548,26:72167,27:996,28:7719,29:18545,30:24481,31:19671,32:8202,33:28334,34:27971,35:9678,36:11440,37:6641,38:5250,39:3474,40:2924,41:3101,42:2945,43:2920,44:2790,45:2953,46:2935,47:2130,48:2098,49:3216,50:2217,51:2431,52:2518,53:2867,54:2205,55:2211,56:1968,57:1747,58:1427,59:1144,60:826,61:565,62:386,63:208,64:79,65:54,66:15,67:3</t>
  </si>
  <si>
    <t>Gen:0 Trial:0 w:50; Trial:78 w:42; Trial:464 w:41; Trial:778 w:40; Trial:1020 w:36; Trial:1724 w:35; Trial:1925 w:34; Trial:2162 w:28; Trial:4492 w:25; Gen:3 Trial:33528 w:24; pErr:0.0000, weight 24 CW found:19256, wDict:24:800436,25:54615,26:2222,27:3546,28:9013,29:5962,30:4567,31:18408,32:12213,33:5324,34:3027,35:4156,36:5760,37:2938,38:1511,39:1455,40:2082,41:1516,42:2662,43:2143,44:2214,45:2084,46:1642,47:2513,48:1644,49:1755,50:3460,51:2520,52:2658,53:2725,54:3047,55:2859,56:2062,57:2410,58:2291,59:2352,60:2347,61:2713,62:2352,63:2247,64:2068,65:1801,66:1514,67:1137,68:858,69:557,70:316,71:153,72:92,73:36,74:12,75:5</t>
  </si>
  <si>
    <t>Gen:0 Trial:0 w:61; Trial:12 w:47; Trial:13 w:46; Trial:158 w:45; Trial:276 w:43; Trial:286 w:40; Trial:1947 w:39; Trial:1966 w:36; Trial:3513 w:35; Trial:8206 w:33; Gen:2 Trial:22518 w:32; Trial:25017 w:28; Gen:5 Trial:59000 w:27; pErr:0.0000, weight 27 CW found:15313, wDict:27:696565,28:29929,29:302,30:8767,31:8133,32:9439,33:16679,34:37118,35:17232,36:16244,37:37356,38:32058,39:13327,40:8892,41:9773,42:4743,43:5373,44:3675,45:2765,46:1682,47:1575,48:2091,49:1436,50:1491,51:1942,52:1857,53:1540,54:1989,55:1961,56:1049,57:1369,58:1284,59:1224,60:1279,61:1307,62:1507,63:1589,64:1495,65:1605,66:1527,67:1451,68:1393,69:1324,70:1146,71:979,72:764,73:608,74:458,75:300,76:181,77:125,78:63,79:29,80:6,81:2,82:2</t>
  </si>
  <si>
    <t>Gen:0 Trial:0 w:80; Trial:1 w:76; Trial:2 w:70; Trial:6 w:68; Trial:13 w:65; Trial:20 w:58; Trial:30 w:56; Trial:232 w:52; Trial:406 w:47; Trial:583 w:42; Trial:4865 w:41; Gen:3 Trial:33187 w:40; Gen:4 Trial:44388 w:39; Gen:5 Trial:50071 w:37; Gen:11 Trial:117403 w:35; pErr:0.0000, weight 35 CW found:23464, wDict:35:639345,36:1607,37:74306,38:2905,39:4402,40:9123,41:33814,42:29470,43:5913,44:19448,45:7034,46:4218,47:8779,48:7827,49:9055,50:24823,51:8242,52:7863,53:5415,54:4476,55:6024,56:3579,57:4113,58:4252,59:4104,60:3939,61:3039,62:3572,63:3728,64:4043,65:4433,66:4683,67:4183,68:3899,69:3874,70:3414,71:3781,72:3211,73:3306,74:2858,75:2725,76:2344,77:2104,78:1873,79:1450,80:1121,81:918,82:592,83:384,84:198,85:102,86:66,87:18,88:4,89:1</t>
  </si>
  <si>
    <t>Gen:0 Trial:0 w:65; Trial:3 w:52; Trial:257 w:49; Trial:274 w:46; Trial:383 w:41; Trial:394 w:40; Trial:5362 w:37; Gen:1 Trial:11000 w:36; Gen:3 Trial:33014 w:33; Gen:5 Trial:50054 w:32; Gen:22 Trial:226234 w:31; Gen:27 Trial:274293 w:30; pErr:0.0000, weight 30 CW found:7918, wDict:30:431426,31:54548,32:181460,33:36404,34:17909,35:70686,36:28118,37:22110,38:14264,39:9150,40:11550,41:22963,42:5615,43:9713,44:5976,45:5146,46:9736,47:6633,48:3634,49:4907,50:3535,51:2202,52:2226,53:2508,54:2134,55:2292,56:2353,57:1310,58:802,59:683,60:678,61:863,62:903,63:832,64:881,65:1102,66:1316,67:1240,68:1426,69:746,70:800,71:869,72:789,73:926,74:990,75:992,76:1044,77:1154,78:1094,79:1085,80:1108,81:1047,82:1058,83:945,84:909,85:815,86:656,87:501,88:412,89:305,90:210,91:136,92:88,93:51,94:16,95:11,96:5,97:2,98:1,99:1</t>
  </si>
  <si>
    <t>Gen:0 Trial:0 w:74; Trial:1 w:60; Trial:23 w:48; Trial:183 w:42; Trial:680 w:36; Gen:2 Trial:28063 w:34; Gen:8 Trial:87346 w:32; pErr:0.0000, weight 32 CW found:18147, wDict:32:730872,34:98189,36:26720,38:26488,40:6518,42:12400,44:9123,46:5795,48:8911,50:13610,52:8495,54:11907,56:4617,58:3841,60:3936,62:4087,64:2786,66:2734,68:3083,70:2767,72:2561,74:2518,76:2227,78:1938,80:1525,82:1058,84:644,86:383,88:171,90:65,92:24,94:7</t>
  </si>
  <si>
    <t>Gen:0 Trial:0 w:79; Trial:74 w:75; Trial:619 w:69; Trial:676 w:57; Gen:2 Trial:22006 w:56; Trial:23003 w:52; Gen:6 Trial:62690 w:47; Gen:10 Trial:101008 w:46; Gen:15 Trial:150264 w:45; Gen:19 Trial:192494 w:44; Gen:31 Trial:310713 w:43; Gen:36 Trial:366949 w:42; pErr:0.0000, weight 42 CW found:36215, wDict:42:422164,43:45972,44:91486,45:55196,46:33732,47:35832,48:2678,49:5106,50:3878,51:4286,52:32240,53:3745,54:5879,55:9235,56:7923,57:11437,58:3052,59:2692,60:4637,61:2517,62:3090,63:8943,64:9587,65:3817,66:6148,67:9133,68:6464,69:7795,70:10303,71:8820,72:7545,73:6706,74:5154,75:5485,76:4985,77:4947,78:5369,79:5504,80:4218,81:5130,82:4588,83:4433,84:5015,85:5268,86:5849,87:5414,88:5103,89:5849,90:5331,91:5181,92:5349,93:4865,94:4994,95:4017,96:3639,97:3172,98:2637,99:2678,100:1488,101:1010,102:617,103:339,104:199,105:90,106:31,107:12,108:2</t>
  </si>
  <si>
    <t>Gen:0 Trial:0 w:98; Trial:1 w:91; Trial:10 w:88; Trial:59 w:81; Trial:223 w:69; Trial:5429 w:61; Gen:2 Trial:20000 w:56; Gen:3 Trial:30020 w:53; Gen:4 Trial:45445 w:52; Gen:5 Trial:52020 w:50; Trial:53546 w:49; Gen:10 Trial:106663 w:48; Gen:19 Trial:193238 w:47; Gen:22 Trial:223091 w:46; Gen:31 Trial:312109 w:44; Gen:36 Trial:361064 w:42; pErr:0.0000, weight 42 CW found:20977, wDict:42:465085,43:2080,44:62855,45:10989,46:86740,47:29600,48:69941,49:43625,50:9983,51:2370,52:8123,53:12288,54:7302,55:1870,56:8777,57:3345,58:1250,59:1365,60:641,61:6444,62:2803,63:710,64:2660,65:2464,66:4117,67:8761,68:2325,69:5108,70:3324,71:2695,72:4713,73:4338,74:3717,75:3229,76:5421,77:4507,78:3741,79:4363,80:4527,81:4326,82:4893,83:5148,84:4597,85:4455,86:4437,87:5920,88:5280,89:5290,90:4811,91:5122,92:3876,93:3799,94:3520,95:3311,96:3297,97:2895,98:3084,99:2752,100:2321,101:2100,102:1751,103:1419,104:1129,105:832,106:547,107:376,108:237,109:152,110:81,111:33,112:11,113:1,115:1</t>
  </si>
  <si>
    <t>Gen:0 Trial:0 w:110; Trial:2 w:107; Trial:10 w:104; Trial:24 w:97; Trial:59 w:94; Trial:117 w:92; Trial:527 w:91; Trial:546 w:83; Trial:2283 w:63; Gen:3 Trial:30090 w:62; Trial:39098 w:61; Gen:4 Trial:47188 w:59; Gen:8 Trial:80980 w:56; Trial:86014 w:55; Gen:10 Trial:100047 w:53; Gen:11 Trial:110431 w:52; Gen:12 Trial:128001 w:51; Gen:15 Trial:150184 w:50; Trial:155251 w:49; Gen:16 Trial:163453 w:48; Gen:22 Trial:229567 w:46; Gen:26 Trial:260352 w:45; Gen:29 Trial:294607 w:44; Gen:36 Trial:361452 w:43; Gen:39 Trial:392037 w:42; Gen:47 Trial:475250 w:41; pErr:0.0000, weight 41 CW found:7761, wDict:41:414489,42:77233,43:41966,44:69817,45:36002,46:27369,47:3411,48:58737,49:12903,50:6446,51:32951,52:15237,53:14208,54:2867,55:7877,56:9288,57:5606,58:4424,59:26020,60:2407,61:8734,62:5670,63:14125,64:5004,65:1213,66:1453,67:806,68:1894,69:556,70:650,71:304,72:516,73:502,74:432,75:643,76:462,77:420,78:1409,79:596,80:832,81:1064,82:1073,83:1547,84:1166,85:2326,86:2312,87:2434,88:1876,89:2509,90:2296,91:2544,92:2654,93:3277,94:3081,95:2343,96:2640,97:2785,98:3011,99:3711,100:3516,101:2971,102:2844,103:2736,104:2716,105:2834,106:2608,107:2697,108:2539,109:2533,110:2232,111:2080,112:1871,113:1525,114:1328,115:979,116:711,117:538,118:313,119:155,120:80,121:44,122:15,123:4,124:3</t>
  </si>
  <si>
    <t>Gen:0 Trial:0 w:114; Trial:1 w:111; Trial:4 w:108; Trial:5 w:101; Trial:24 w:94; Trial:282 w:92; Trial:312 w:85; Trial:548 w:83; Trial:2721 w:79; Trial:2724 w:65; Gen:2 Trial:29602 w:60; Gen:4 Trial:45008 w:57; Gen:7 Trial:74037 w:54; Gen:12 Trial:121021 w:51; Gen:29 Trial:298204 w:48; pErr:0.0000, weight 48 CW found:39013, wDict:48:444898,49:6504,50:2960,51:144009,52:1933,53:5814,54:54807,55:8152,56:2329,57:18855,58:3461,59:5454,60:15569,61:8543,62:4893,63:4987,64:8037,65:24517,66:1934,67:2153,68:1915,69:3377,70:3957,71:4388,72:2538,73:3060,74:4448,75:2831,76:6797,77:3289,78:3905,79:7377,80:7509,81:6122,82:6239,83:7467,84:6648,85:9755,86:6347,87:10968,88:6627,89:6407,90:7041,91:6641,92:6307,93:7091,94:6961,95:5461,96:4866,97:4758,98:4848,99:4454,100:5130,101:4862,102:4093,103:3811,104:3479,105:3874,106:3764,107:3278,108:3046,109:2769,110:2645,111:2193,112:1837,113:1466,114:1171,115:917,116:623,117:362,118:237,119:144,120:56,121:23,122:11,123:1</t>
  </si>
  <si>
    <t>outfile: /home/ucapmwe/dist-benchmark/results/tanner_codes-QDistEvol-20260203_135027.032873_85062422.txt</t>
  </si>
  <si>
    <t>Gen:0 Trial:0 w:4; pErr:0.0000, weight 4 CW found:59, wDict:4:999975,6:21,8:4</t>
  </si>
  <si>
    <t>Gen:0 Trial:0 w:8; pErr:0.0000, weight 8 CW found:1139, wDict:8:992422,9:7168,10:293,11:58,12:47,13:10,14:1,15:1</t>
  </si>
  <si>
    <t>Gen:0 Trial:0 w:15; Trial:3 w:14; Trial:5 w:12; pErr:0.0000, weight 12 CW found:12691, wDict:12:890384,13:70345,14:20185,15:9739,16:4217,17:2474,18:1396,19:650,20:358,21:171,22:53,23:24,24:2,25:1,26:1</t>
  </si>
  <si>
    <t>Gen:0 Trial:0 w:24; Trial:1 w:21; Trial:12 w:20; Trial:18 w:13; pErr:0.0000, weight 13 CW found:21055, wDict:13:705928,14:53791,15:82330,16:66760,17:34053,18:25298,19:9085,20:5636,21:3509,22:3340,23:2670,24:2409,25:1919,26:1583,27:947,28:476,29:204,30:53,31:8,32:1</t>
  </si>
  <si>
    <t>Gen:0 Trial:0 w:24; Trial:2 w:23; Trial:8 w:22; Trial:14 w:20; Trial:27 w:18; Trial:1175 w:17; pErr:0.0000, weight 17 CW found:24352, wDict:17:682496,18:64049,19:167676,20:21153,21:11716,22:13460,23:12280,24:4314,25:4238,26:3914,27:2704,28:2763,29:2335,30:2018,31:1708,32:1305,33:887,34:532,35:286,36:104,37:47,38:13,39:2</t>
  </si>
  <si>
    <t>Gen:0 Trial:0 w:35; Trial:1 w:32; Trial:2 w:25; Trial:24 w:24; Trial:39 w:21; Trial:66 w:20; Trial:129 w:18; pErr:0.0000, weight 18 CW found:23447, wDict:18:722248,19:59159,20:23909,21:60415,22:39496,23:41485,24:17786,25:11762,26:4524,27:2897,28:2152,29:1795,30:1658,31:1749,32:1580,33:1619,34:1330,35:1217,36:1069,37:795,38:593,39:363,40:229,41:98,42:48,43:20,44:3,45:1</t>
  </si>
  <si>
    <t>Gen:0 Trial:0 w:29; Trial:1 w:28; Trial:386 w:27; Trial:395 w:23; Trial:5403 w:22; pErr:0.0000, weight 22 CW found:22439, wDict:22:795997,23:28836,24:24307,25:17374,26:26125,27:34013,28:9903,29:10779,30:10146,31:4638,32:3335,33:3597,34:2864,35:2278,36:2625,37:1695,38:1599,39:1846,40:1888,41:2200,42:2324,43:2362,44:2289,45:2056,46:1664,47:1286,48:917,49:596,50:289,51:134,52:31,53:6,54:1</t>
  </si>
  <si>
    <t>Gen:0 Trial:0 w:48; Trial:3 w:42; Trial:7 w:41; Trial:19 w:30; Trial:1420 w:29; Trial:6145 w:28; Trial:8192 w:26; Gen:1 Trial:16000 w:25; pErr:0.0000, weight 25 CW found:30166, wDict:25:670760,26:56597,27:8591,28:44197,29:35682,30:10371,31:7163,32:14882,33:9408,34:10602,35:19760,36:17292,37:15176,38:7623,39:9645,40:5876,41:5304,42:4781,43:4773,44:4470,45:3848,46:4177,47:4254,48:3864,49:3949,50:3647,51:3356,52:3019,53:2471,54:1787,55:1229,56:737,57:429,58:181,59:71,60:22,61:6</t>
  </si>
  <si>
    <t>Gen:0 Trial:0 w:57; Trial:2 w:51; Trial:7 w:45; Trial:51 w:40; Trial:254 w:39; Trial:313 w:36; Trial:336 w:32; Trial:768 w:29; Trial:6492 w:28; Gen:12 Trial:126883 w:27; Gen:18 Trial:187704 w:26; Gen:26 Trial:262688 w:25; pErr:0.0000, weight 25 CW found:7868, wDict:25:515359,26:72042,27:47604,28:128956,29:41211,30:39958,31:18681,32:21650,33:16748,34:10229,35:9811,36:9831,37:6111,38:5138,39:3660,40:3958,41:3469,42:3652,43:3536,44:4073,45:4249,46:3582,47:2003,48:1979,49:1866,50:2083,51:1805,52:1883,53:2112,54:2048,55:1974,56:1928,57:1755,58:1366,59:1183,60:935,61:682,62:419,63:267,64:126,65:51,66:21,67:4,68:2</t>
  </si>
  <si>
    <t>Gen:0 Trial:0 w:64; Trial:1 w:57; Trial:2 w:54; Trial:17 w:50; Trial:93 w:47; Trial:177 w:36; Trial:1124 w:33; Trial:2555 w:26; Gen:4 Trial:45046 w:25; pErr:0.0000, weight 25 CW found:6245, wDict:25:688252,26:216336,27:19541,28:2528,29:4218,30:6225,31:4922,32:3260,33:3599,34:1132,35:651,36:1225,37:2428,38:1210,39:1229,40:3182,41:2343,42:1698,43:1627,44:2160,45:2227,46:1055,47:1114,48:876,49:826,50:859,51:1206,52:1238,53:1420,54:1705,55:1574,56:964,57:1077,58:1312,59:1319,60:1468,61:1538,62:1630,63:1699,64:1601,65:1450,66:1248,67:1006,68:673,69:546,70:286,71:198,72:86,73:24,74:7,75:1,76:1</t>
  </si>
  <si>
    <t>Gen:0 Trial:0 w:65; Trial:2 w:50; Trial:28 w:49; Trial:127 w:47; Trial:165 w:40; Trial:550 w:38; Trial:1192 w:34; Trial:9056 w:32; Gen:4 Trial:40452 w:31; Trial:46035 w:29; Gen:6 Trial:69002 w:28; pErr:0.0000, weight 28 CW found:10045, wDict:28:735331,29:27068,30:1812,31:11719,32:27929,33:31253,34:28390,35:24790,36:27296,37:9647,38:7868,39:7115,40:4095,41:3019,42:2702,43:3534,44:2827,45:3528,46:2222,47:1617,48:1596,49:1340,50:1676,51:1645,52:1710,53:2115,54:2119,55:1220,56:1100,57:1737,58:1112,59:1196,60:1697,61:1302,62:1324,63:1381,64:1454,65:1462,66:1334,67:1285,68:1257,69:1146,70:996,71:838,72:633,73:516,74:384,75:293,76:189,77:104,78:42,79:21,80:8,81:4,82:1,83:1</t>
  </si>
  <si>
    <t>Gen:0 Trial:0 w:65; Trial:65 w:53; Trial:306 w:50; Trial:347 w:46; Trial:5472 w:45; Gen:2 Trial:21015 w:43; Gen:3 Trial:31191 w:42; Trial:32025 w:38; Gen:14 Trial:148610 w:37; Gen:18 Trial:181435 w:36; Trial:189286 w:35; Gen:29 Trial:296533 w:34; Gen:34 Trial:340029 w:33; Gen:60 Trial:605080 w:32; pErr:0.0000, weight 32 CW found:3092, wDict:32:277469,33:219903,34:53862,35:126958,36:12494,37:32586,38:98921,39:6190,40:2345,41:8216,42:5089,43:9746,44:7058,45:11104,46:5199,47:6456,48:4558,49:5031,50:7282,51:7153,52:6141,53:4751,54:3992,55:3017,56:4626,57:4342,58:4951,59:4024,60:3713,61:3258,62:3219,63:3075,64:2936,65:3060,66:3654,67:3340,68:2201,69:2486,70:2521,71:2366,72:2641,73:2343,74:2315,75:2475,76:2274,77:2046,78:1867,79:1491,80:1145,81:855,82:540,83:361,84:193,85:91,86:45,87:19,88:5,89:1</t>
  </si>
  <si>
    <t>Gen:0 Trial:0 w:71; Trial:9 w:70; Trial:16 w:63; Trial:22 w:62; Trial:148 w:56; Trial:449 w:55; Trial:493 w:53; Trial:707 w:46; Trial:3080 w:39; Trial:4435 w:35; Gen:1 Trial:14347 w:33; Trial:14616 w:32; Gen:4 Trial:42010 w:31; pErr:0.0000, weight 31 CW found:22313, wDict:31:570772,32:145341,33:11942,34:3004,35:5205,36:12863,37:39910,38:7134,39:33873,40:7134,41:6585,42:10061,43:5871,44:8397,45:4734,46:18470,47:4611,48:12948,49:5355,50:4717,51:4241,52:4899,53:9846,54:5236,55:4159,56:3928,57:2226,58:2519,59:2836,60:2042,61:2312,62:2123,63:1867,64:1712,65:1964,66:1773,67:1811,68:1342,69:1301,70:1296,71:1332,72:1408,73:1383,74:1344,75:1395,76:1408,77:1402,78:1409,79:1410,80:1386,81:1277,82:1138,83:1094,84:958,85:812,86:668,87:574,88:413,89:305,90:207,91:129,92:91,93:46,94:30,95:14,96:6,97:1</t>
  </si>
  <si>
    <t>Gen:0 Trial:0 w:80; Trial:1 w:70; Trial:4 w:66; Trial:6 w:64; Trial:14 w:62; Trial:51 w:58; Trial:115 w:56; Trial:128 w:54; Trial:240 w:52; Trial:267 w:50; Trial:486 w:44; Trial:1210 w:42; Trial:2301 w:38; Trial:4723 w:36; Gen:2 Trial:26027 w:34; Gen:4 Trial:45435 w:32; Gen:11 Trial:112397 w:30; pErr:0.0000, weight 30 CW found:21388, wDict:30:611912,32:81205,34:59918,36:52797,38:38258,40:16248,42:12820,44:13758,46:18118,48:24392,50:12464,52:9224,54:5927,56:4137,58:3850,60:3519,62:3765,64:2598,66:3455,68:2863,70:3198,72:3266,74:2724,76:2711,78:2178,80:1762,82:1317,84:857,86:449,88:202,90:73,92:25,94:7,96:2,98:1</t>
  </si>
  <si>
    <t>Gen:0 Trial:0 w:85; Trial:4 w:82; Trial:57 w:76; Trial:78 w:68; Trial:3775 w:65; Gen:1 Trial:11003 w:62; Gen:2 Trial:20858 w:59; Trial:28743 w:51; Gen:5 Trial:53039 w:46; Gen:8 Trial:87013 w:45; Gen:13 Trial:130305 w:44; Gen:24 Trial:249381 w:43; pErr:0.0000, weight 43 CW found:14911, wDict:43:552573,44:108714,45:42361,46:40189,47:6393,48:5980,49:4987,50:5419,51:20780,52:2153,53:4920,54:3580,55:5165,56:1879,57:1376,58:3413,59:12411,60:22195,61:5564,62:9458,63:19649,64:6236,65:8716,66:8919,67:6166,68:3640,69:4846,70:3864,71:4717,72:2458,73:2215,74:2499,75:2873,76:2146,77:2425,78:3041,79:3350,80:2319,81:2028,82:2338,83:2801,84:2982,85:3330,86:3215,87:2791,88:2572,89:3116,90:3220,91:2905,92:2702,93:2763,94:2548,95:2404,96:2126,97:1873,98:1456,99:1164,100:828,101:531,102:347,103:183,104:116,105:46,106:17,107:7,108:2</t>
  </si>
  <si>
    <t>Gen:0 Trial:0 w:98; Trial:2 w:91; Trial:4 w:85; Trial:31 w:75; Trial:948 w:73; Trial:2629 w:70; Trial:7080 w:66; Gen:1 Trial:13330 w:59; Gen:3 Trial:32001 w:52; Gen:5 Trial:51012 w:50; Gen:6 Trial:61291 w:49; Gen:15 Trial:151895 w:47; Gen:26 Trial:262900 w:46; pErr:0.0000, weight 46 CW found:16987, wDict:46:493328,47:133498,48:860,49:80778,50:19029,51:8521,52:14685,53:5706,54:7991,55:3252,56:3782,57:3986,58:10346,59:15151,60:12239,61:6019,62:4603,63:6500,64:5820,65:8535,66:12994,67:3327,68:5579,69:5035,70:7862,71:5193,72:4989,73:4351,74:3879,75:4929,76:4494,77:6076,78:4906,79:3951,80:4062,81:4741,82:5271,83:5003,84:4228,85:3420,86:3811,87:3851,88:3657,89:3731,90:3532,91:3988,92:2522,93:2251,94:2362,95:2483,96:1998,97:1873,98:1951,99:2107,100:1764,101:1849,102:1530,103:1530,104:1300,105:974,106:732,107:600,108:312,109:192,110:107,111:56,112:11,113:7</t>
  </si>
  <si>
    <t>Gen:0 Trial:0 w:110; Trial:2 w:102; Trial:15 w:97; Trial:85 w:92; Trial:731 w:91; Trial:785 w:90; Trial:1073 w:78; Trial:6860 w:63; Gen:2 Trial:23001 w:58; Trial:29001 w:57; Gen:5 Trial:50056 w:56; Trial:53099 w:54; Trial:56099 w:53; Gen:7 Trial:77006 w:52; Gen:8 Trial:83011 w:49; Gen:10 Trial:101244 w:48; Gen:14 Trial:145560 w:47; Gen:15 Trial:153523 w:45; Gen:18 Trial:183391 w:44; Gen:23 Trial:239851 w:43; pErr:0.0000, weight 43 CW found:46279, wDict:43:470388,44:109356,45:25140,46:10612,47:17166,48:35347,49:20682,50:7527,51:5726,52:12742,53:15787,54:9947,55:15962,56:10690,57:22573,58:6615,59:5675,60:3800,61:790,62:2860,63:7741,64:1465,65:2063,66:704,67:1645,68:3392,69:1884,70:1536,71:1411,72:5044,73:1778,74:1646,75:2157,76:2497,77:2217,78:3710,79:3770,80:3299,81:2786,82:4358,83:4305,84:3830,85:4512,86:4718,87:5578,88:4066,89:5404,90:5634,91:4916,92:4624,93:5592,94:4419,95:3627,96:4059,97:3724,98:3571,99:4130,100:3917,101:3881,102:3405,103:3761,104:4004,105:4105,106:4084,107:4238,108:4406,109:3943,110:3839,111:3431,112:3194,113:2668,114:1992,115:1530,116:999,117:657,118:369,119:219,120:93,121:39,122:22,123:7</t>
  </si>
  <si>
    <t>Gen:0 Trial:0 w:112; Trial:1 w:110; Trial:2 w:100; Trial:3 w:93; Trial:78 w:92; Trial:164 w:90; Trial:576 w:87; Trial:928 w:86; Trial:1718 w:82; Trial:5836 w:78; Trial:6796 w:77; Gen:3 Trial:33972 w:71; Trial:39928 w:62; Gen:5 Trial:51002 w:61; Gen:6 Trial:64028 w:57; Trial:68010 w:54; Gen:7 Trial:70021 w:53; Gen:8 Trial:84340 w:49; Gen:9 Trial:95809 w:48; Gen:19 Trial:190758 w:46; Trial:192053 w:45; Gen:22 Trial:226008 w:44; Gen:26 Trial:263922 w:43; Gen:27 Trial:278001 w:42; Gen:35 Trial:359085 w:41; pErr:0.0000, weight 41 CW found:10447, wDict:41:449472,42:77177,43:9035,44:42390,45:36051,46:18704,47:10271,48:81336,49:33207,50:21866,51:11925,52:3675,53:10974,54:10932,55:4169,56:3882,57:4208,58:1486,59:3143,60:2385,61:6653,62:13981,63:1239,64:1199,65:1566,66:743,67:976,68:543,69:362,70:601,71:977,72:917,73:527,74:5243,75:754,76:866,77:12421,78:3144,79:3698,80:1197,81:947,82:1515,83:2385,84:1866,85:1740,86:3153,87:2935,88:1830,89:2179,90:2936,91:2875,92:3392,93:3662,94:3779,95:3079,96:3413,97:3469,98:4053,99:4281,100:4167,101:3849,102:3714,103:4486,104:3778,105:3989,106:3954,107:3684,108:3601,109:3427,110:3173,111:2760,112:2291,113:1905,114:1339,115:961,116:672,117:378,118:251,119:130,120:65,121:20,122:15,123:6,124:1</t>
  </si>
  <si>
    <t>outfile: /home/ucapmwe/dist-benchmark/results/tanner_codes-QDistEvol-20260203_135027.065090_85062422.txt</t>
  </si>
  <si>
    <t>Gen:0 Trial:0 w:4; pErr:0.0000, weight 4 CW found:54, wDict:4:999980,6:18,8:2</t>
  </si>
  <si>
    <t>Gen:0 Trial:0 w:8; pErr:0.0000, weight 8 CW found:1133, wDict:8:994263,9:5316,10:314,11:44,12:51,13:12</t>
  </si>
  <si>
    <t>Gen:0 Trial:0 w:17; Trial:2 w:14; Trial:12 w:13; Trial:21 w:12; pErr:0.0000, weight 12 CW found:12372, wDict:12:921640,13:51788,14:12796,15:5003,16:4053,17:2275,18:1243,19:658,20:308,21:168,22:56,23:9,24:3</t>
  </si>
  <si>
    <t>Gen:0 Trial:0 w:26; Trial:2 w:23; Trial:6 w:14; Trial:7 w:13; pErr:0.0000, weight 13 CW found:19929, wDict:13:842084,14:97217,15:18163,16:8327,17:7084,18:3615,19:3933,20:3298,21:3784,22:2728,23:2574,24:2220,25:1864,26:1452,27:895,28:495,29:190,30:67,31:8,32:2</t>
  </si>
  <si>
    <t>Gen:0 Trial:0 w:23; Trial:11 w:22; Trial:26 w:21; Trial:94 w:19; Trial:107 w:18; Trial:455 w:17; pErr:0.0000, weight 17 CW found:24011, wDict:17:711120,18:114260,19:60566,20:61387,21:11661,22:8354,23:6076,24:3427,25:3634,26:4299,27:3223,28:2714,29:2526,30:2058,31:1650,32:1118,33:844,34:563,35:325,36:132,37:49,38:14</t>
  </si>
  <si>
    <t>Gen:0 Trial:0 w:30; Trial:8 w:28; Trial:10 w:26; Trial:16 w:23; Trial:140 w:20; Trial:281 w:19; Trial:478 w:18; pErr:0.0000, weight 18 CW found:24805, wDict:18:767399,19:120848,20:24050,21:21193,22:14672,23:10871,24:9947,25:6930,26:3816,27:2754,28:2197,29:1915,30:1909,31:2023,32:1906,33:1547,34:1350,35:1263,36:1109,37:888,38:627,39:387,40:234,41:101,42:42,43:19,44:1,45:1,46:1</t>
  </si>
  <si>
    <t>Gen:0 Trial:0 w:45; Trial:1 w:37; Trial:20 w:36; Trial:26 w:34; Trial:31 w:28; Trial:484 w:25; Trial:1440 w:22; pErr:0.0000, weight 22 CW found:28454, wDict:22:722374,23:11723,24:39159,25:83953,26:25573,27:13853,28:16055,29:15388,30:18180,31:7650,32:4922,33:4227,34:3553,35:3188,36:2945,37:2258,38:2587,39:2159,40:2649,41:2487,42:2798,43:2529,44:2369,45:2174,46:1937,47:1354,48:901,49:597,50:254,51:141,52:51,53:10,54:2</t>
  </si>
  <si>
    <t>Gen:0 Trial:0 w:50; Trial:7 w:49; Trial:10 w:36; Trial:76 w:35; Trial:154 w:31; Trial:817 w:30; Trial:1397 w:26; Gen:1 Trial:16023 w:25; Gen:2 Trial:24174 w:24; pErr:0.0000, weight 24 CW found:21711, wDict:24:675136,25:7582,26:34164,27:18550,28:2339,29:58195,30:32167,31:29951,32:16216,33:13965,34:10461,35:18422,36:11361,37:8753,38:6752,39:7631,40:4351,41:5228,42:3931,43:4091,44:2744,45:2693,46:3090,47:2701,48:2524,49:3578,50:2712,51:2699,52:2313,53:1930,54:1429,55:1031,56:636,57:399,58:159,59:79,60:25,61:12</t>
  </si>
  <si>
    <t>Gen:0 Trial:0 w:58; Trial:1 w:56; Trial:3 w:45; Trial:7 w:43; Trial:57 w:39; Trial:93 w:37; Trial:177 w:36; Trial:204 w:33; Trial:243 w:32; Trial:623 w:29; Trial:5894 w:28; Gen:3 Trial:32675 w:26; Gen:6 Trial:64020 w:25; pErr:0.0000, weight 25 CW found:21637, wDict:25:629364,26:53563,27:3685,28:26053,29:15112,30:16277,31:28865,32:28461,33:24807,34:38780,35:22009,36:16601,37:12656,38:8062,39:7215,40:4451,41:6004,42:3245,43:3981,44:3495,45:4409,46:4147,47:3151,48:3393,49:3766,50:3216,51:3381,52:3360,53:3054,54:3319,55:2530,56:2366,57:1891,58:1707,59:1273,60:913,61:632,62:402,63:226,64:118,65:47,66:7,67:5,68:1</t>
  </si>
  <si>
    <t>Gen:0 Trial:0 w:63; Trial:2 w:52; Trial:19 w:47; Trial:70 w:44; Trial:100 w:39; Trial:274 w:33; Trial:3223 w:31; Trial:3536 w:29; Trial:4873 w:28; Trial:9325 w:27; Gen:2 Trial:21433 w:26; Gen:3 Trial:32375 w:25; Gen:6 Trial:66030 w:24; pErr:0.0000, weight 24 CW found:11499, wDict:24:726635,25:59995,26:13099,27:14770,28:8640,29:28058,30:41738,31:7119,32:19722,33:5071,34:5000,35:3203,36:4393,37:1704,38:3107,39:3763,40:2248,41:1701,42:2479,43:1859,44:2105,45:1651,46:1178,47:1414,48:1281,49:1713,50:1591,51:1559,52:1901,53:2062,54:2245,55:1236,56:1602,57:1725,58:2115,59:1902,60:2069,61:2255,62:2365,63:2246,64:2118,65:2014,66:1662,67:1330,68:1007,69:615,70:388,71:207,72:85,73:43,74:10,75:1,76:1</t>
  </si>
  <si>
    <t>Gen:0 Trial:0 w:64; Trial:1 w:60; Trial:2 w:50; Trial:7 w:47; Trial:58 w:46; Trial:256 w:45; Trial:306 w:42; Trial:766 w:40; Trial:1489 w:38; Trial:2143 w:32; Trial:4071 w:30; Trial:5139 w:27; pErr:0.0000, weight 27 CW found:31583, wDict:27:742519,28:252,29:91,30:12397,31:11535,32:4515,33:22195,34:8496,35:9682,36:3983,37:14093,38:16362,39:8122,40:16731,41:21376,42:9342,43:13595,44:10682,45:6602,46:6560,47:7389,48:3442,49:5179,50:4013,51:3543,52:3092,53:4549,54:2422,55:2400,56:1339,57:1462,58:2350,59:1124,60:1272,61:2006,62:1580,63:1594,64:1634,65:1358,66:1378,67:1242,68:1138,69:1097,70:992,71:853,72:716,73:541,74:440,75:296,76:203,77:117,78:62,79:28,80:12,81:7</t>
  </si>
  <si>
    <t>Gen:0 Trial:0 w:77; Trial:1 w:59; Trial:244 w:57; Trial:254 w:54; Trial:490 w:51; Trial:529 w:50; Trial:2977 w:46; Trial:8042 w:42; Gen:3 Trial:36016 w:37; Gen:7 Trial:79212 w:36; Gen:14 Trial:140305 w:35; pErr:0.0000, weight 35 CW found:26960, wDict:35:597677,36:61285,37:34267,38:3270,39:5795,40:13936,41:16909,42:68240,43:11029,44:12669,45:11577,46:18867,47:10697,48:5352,49:3981,50:6566,51:7293,52:6956,53:5025,54:5885,55:4728,56:4832,57:3807,58:5069,59:4220,60:3488,61:3638,62:2840,63:3773,64:3904,65:3284,66:3723,67:3636,68:2958,69:2934,70:3037,71:3230,72:3795,73:3074,74:3413,75:3381,76:3115,77:2752,78:2604,79:2220,80:1694,81:1291,82:910,83:671,84:373,85:214,86:72,87:30,88:11,89:3</t>
  </si>
  <si>
    <t>Gen:0 Trial:0 w:71; Trial:4 w:68; Trial:14 w:66; Trial:60 w:64; Trial:61 w:61; Trial:184 w:59; Trial:333 w:55; Trial:526 w:53; Trial:557 w:49; Trial:865 w:39; Gen:1 Trial:10988 w:37; Gen:3 Trial:35000 w:35; Gen:4 Trial:42021 w:34; Gen:5 Trial:50429 w:33; Gen:8 Trial:86488 w:30; pErr:0.0000, weight 30 CW found:10354, wDict:30:689034,31:6647,32:3111,33:52917,34:56054,35:46375,36:7746,37:23745,38:6533,39:14273,40:7459,41:8110,42:8598,43:4119,44:3498,45:2577,46:3646,47:4548,48:3042,49:3241,50:1288,51:1433,52:1293,53:1390,54:1398,55:1520,56:2028,57:1616,58:685,59:652,60:856,61:936,62:885,63:882,64:1173,65:1450,66:1425,67:1544,68:1175,69:750,70:846,71:1011,72:1001,73:950,74:1038,75:1197,76:1209,77:1400,78:1375,79:1308,80:1279,81:1312,82:1180,83:1071,84:958,85:856,86:648,87:550,88:382,89:290,90:176,91:147,92:77,93:46,94:23,95:15,97:2,98:1</t>
  </si>
  <si>
    <t>Gen:0 Trial:0 w:68; Trial:4 w:64; Trial:14 w:62; Trial:24 w:60; Trial:38 w:58; Trial:49 w:56; Trial:79 w:50; Trial:216 w:48; Trial:413 w:42; Trial:2503 w:40; Trial:3055 w:36; Gen:3 Trial:30196 w:34; Gen:5 Trial:53002 w:30; pErr:0.0000, weight 30 CW found:12489, wDict:30:717853,32:11115,34:93457,36:42738,38:26308,40:21057,42:13068,44:20385,46:6994,48:9651,50:4903,52:1983,54:1554,56:1610,58:2297,60:2423,62:2647,64:1587,66:1850,68:2067,70:2271,72:2366,74:2250,76:2030,78:1824,80:1380,82:1037,84:609,86:385,88:178,90:84,92:27,94:12</t>
  </si>
  <si>
    <t>Gen:0 Trial:0 w:93; Trial:2 w:85; Trial:31 w:84; Trial:43 w:82; Trial:156 w:81; Trial:170 w:77; Trial:180 w:68; Trial:193 w:55; Gen:3 Trial:32009 w:54; Trial:34005 w:49; Gen:6 Trial:68287 w:48; Gen:7 Trial:73516 w:47; Gen:8 Trial:87863 w:46; Gen:9 Trial:98019 w:42; pErr:0.0000, weight 42 CW found:26288, wDict:42:596144,43:183,44:182,45:19565,46:20256,47:35980,48:14174,49:21919,50:22308,51:10657,52:3926,53:20436,54:23258,55:20771,56:7699,57:14845,58:12477,59:12291,60:19366,61:7369,62:11455,63:2533,64:2004,65:4133,66:3955,67:1932,68:3254,69:3288,70:2953,71:4106,72:5242,73:4403,74:3355,75:2280,76:2642,77:2905,78:2564,79:2526,80:1698,81:1772,82:2322,83:2369,84:2345,85:2771,86:3020,87:2163,88:2163,89:2466,90:2784,91:2892,92:2983,93:3103,94:3031,95:2715,96:2574,97:2137,98:1696,99:1337,100:953,101:612,102:363,103:215,104:98,105:57,106:14,107:9,108:2</t>
  </si>
  <si>
    <t>Gen:0 Trial:0 w:97; Trial:2 w:90; Trial:41 w:89; Trial:50 w:85; Trial:62 w:82; Trial:166 w:77; Trial:713 w:70; Gen:1 Trial:13000 w:67; Gen:2 Trial:21004 w:64; Gen:3 Trial:30044 w:63; Trial:37005 w:62; Gen:4 Trial:42018 w:61; Gen:5 Trial:52028 w:58; Gen:7 Trial:75208 w:56; Gen:9 Trial:90237 w:55; Trial:97341 w:54; Gen:13 Trial:132535 w:52; Trial:133548 w:51; Gen:16 Trial:163023 w:44; Gen:17 Trial:176001 w:43; Gen:97 Trial:975456 w:42; pErr:0.0000, weight 42 CW found:1228, wDict:42:38,43:467497,44:15909,45:97,46:1347,47:11442,48:16461,49:3964,50:10403,51:14824,52:51414,53:9608,54:33926,55:21674,56:25335,57:23148,58:23701,59:8145,60:5247,61:11431,62:16632,63:7305,64:10537,65:17991,66:8029,67:8877,68:10708,69:10046,70:16076,71:9551,72:7769,73:8025,74:6407,75:7392,76:6496,77:4217,78:4282,79:3712,80:3893,81:3662,82:4416,83:3648,84:3112,85:3566,86:3258,87:3625,88:3283,89:4082,90:4025,91:4557,92:3179,93:3169,94:3185,95:3213,96:3044,97:2828,98:2809,99:2526,100:2228,101:1968,102:1914,103:1530,104:1206,105:844,106:625,107:417,108:237,109:161,110:76,111:33,112:12,113:3,114:3</t>
  </si>
  <si>
    <t>Gen:0 Trial:0 w:114; Trial:1 w:111; Trial:2 w:102; Trial:4 w:99; Trial:24 w:93; Trial:64 w:84; Trial:961 w:80; Trial:2399 w:73; Trial:7335 w:62; Gen:3 Trial:35003 w:61; Gen:4 Trial:40056 w:60; Gen:5 Trial:53166 w:59; Gen:7 Trial:72070 w:58; Gen:11 Trial:112374 w:56; Gen:19 Trial:196266 w:55; Gen:24 Trial:240644 w:54; Gen:46 Trial:468250 w:50; Gen:82 Trial:828007 w:45; Gen:86 Trial:868351 w:44; Gen:89 Trial:890039 w:43; Trial:897259 w:42; Gen:91 Trial:913109 w:41; pErr:0.0000, weight 41 CW found:3233, wDict:41:36512,42:16071,43:7325,44:17688,45:33067,46:3362,47:327,48:1329,49:1360,50:244694,51:8049,52:955,53:5406,54:153894,55:44241,56:56032,57:18521,58:27044,59:26170,60:20031,61:7286,62:14842,63:6080,64:6153,65:4234,66:4675,67:6144,68:5345,69:3552,70:5246,71:5499,72:5589,73:7134,74:3658,75:10692,76:4052,77:5832,78:3768,79:3136,80:4367,81:3755,82:5567,83:3159,84:3196,85:5075,86:3887,87:3943,88:2965,89:3880,90:3342,91:3928,92:4980,93:4993,94:4613,95:4596,96:7172,97:5253,98:5521,99:6365,100:6411,101:6377,102:6140,103:6536,104:6169,105:5589,106:5435,107:5703,108:4930,109:4418,110:4344,111:3113,112:2751,113:2031,114:1622,115:1134,116:739,117:517,118:247,119:124,120:75,121:28,122:8,123:4,124:3</t>
  </si>
  <si>
    <t>Gen:0 Trial:0 w:115; Trial:2 w:111; Trial:3 w:110; Trial:4 w:109; Trial:5 w:103; Trial:7 w:101; Trial:13 w:99; Trial:32 w:98; Trial:44 w:94; Trial:55 w:84; Trial:139 w:74; Gen:1 Trial:14001 w:71; Gen:3 Trial:38744 w:67; Gen:6 Trial:63056 w:66; Gen:8 Trial:80001 w:63; Trial:89340 w:61; Gen:11 Trial:113029 w:60; Gen:14 Trial:144335 w:57; Gen:28 Trial:281911 w:56; pErr:0.0000, weight 56 CW found:36473, wDict:56:454309,57:110736,58:8832,59:4190,60:22310,61:24051,62:6996,63:14020,64:7566,65:1781,66:22920,67:21381,68:4175,69:2488,70:7713,71:14243,72:21880,73:6542,74:13334,75:14982,76:12316,77:7509,78:6695,79:12827,80:10772,81:8079,82:8837,83:7331,84:8961,85:7926,86:6278,87:4841,88:4445,89:4164,90:5035,91:5614,92:5844,93:5576,94:4912,95:4417,96:4071,97:4973,98:4694,99:5311,100:4980,101:4620,102:4721,103:4829,104:4749,105:4440,106:4253,107:3910,108:3597,109:2987,110:2664,111:2198,112:1716,113:1371,114:987,115:773,116:534,117:340,118:211,119:131,120:69,121:20,122:17,123:4,124:1,125:1</t>
  </si>
  <si>
    <t>outfile: /home/ucapmwe/dist-benchmark/results/tanner_codes-QDistEvol-20260203_135027.101471_85062422.txt</t>
  </si>
  <si>
    <t>Gen:0 Trial:0 w:4; pErr:0.0000, weight 4 CW found:55, wDict:4:999973,6:26,8:1</t>
  </si>
  <si>
    <t>Gen:0 Trial:0 w:8; pErr:0.0000, weight 8 CW found:1151, wDict:8:983434,9:16141,10:307,11:53,12:56,13:8,14:1</t>
  </si>
  <si>
    <t>Gen:0 Trial:0 w:16; Trial:5 w:13; Trial:20 w:12; pErr:0.0000, weight 12 CW found:12304, wDict:12:901224,13:77224,14:9538,15:4216,16:3091,17:2202,18:1309,19:641,20:332,21:160,22:47,23:12,24:4</t>
  </si>
  <si>
    <t>Gen:0 Trial:0 w:18; Trial:3 w:17; Trial:64 w:14; Trial:163 w:13; pErr:0.0000, weight 13 CW found:18984, wDict:13:710435,14:174027,15:46195,16:23554,17:6999,18:17685,19:4217,20:3133,21:2807,22:2198,23:2087,24:1960,25:1803,26:1289,27:907,28:468,29:171,30:54,31:8,32:3</t>
  </si>
  <si>
    <t>Gen:0 Trial:0 w:34; Trial:1 w:24; Trial:21 w:23; Trial:55 w:21; Trial:81 w:19; Trial:115 w:17; pErr:0.0000, weight 17 CW found:25896, wDict:17:680529,18:146551,19:48806,20:45837,21:23009,22:11064,23:14537,24:7034,25:4599,26:3662,27:2901,28:2543,29:2222,30:1931,31:1631,32:1301,33:850,34:534,35:282,36:119,37:43,38:11,39:3,40:1</t>
  </si>
  <si>
    <t>Gen:0 Trial:0 w:27; Trial:3 w:24; Trial:16 w:22; Trial:26 w:21; Trial:35 w:19; Trial:214 w:18; pErr:0.0000, weight 18 CW found:22994, wDict:18:844356,19:64823,20:16604,21:13578,22:13488,23:8264,24:8531,25:6438,26:3937,27:3167,28:2465,29:1969,30:1836,31:1833,32:1521,33:1409,34:1386,35:1205,36:993,37:828,38:583,39:398,40:205,41:119,42:47,43:12,44:5</t>
  </si>
  <si>
    <t>Gen:0 Trial:0 w:49; Trial:2 w:39; Trial:3 w:37; Trial:5 w:36; Trial:9 w:31; Trial:18 w:28; Trial:276 w:27; Trial:306 w:24; Trial:2865 w:23; Gen:1 Trial:13356 w:22; pErr:0.0000, weight 22 CW found:23490, wDict:22:617715,23:97402,24:37396,25:19386,26:6901,27:66509,28:48067,29:22459,30:10737,31:8981,32:8261,33:7409,34:5603,35:5366,36:5223,37:3491,38:3450,39:3484,40:3192,41:3136,42:2950,43:2752,44:2543,45:2182,46:1986,47:1391,48:977,49:581,50:293,51:120,52:38,53:15,54:4</t>
  </si>
  <si>
    <t>Gen:0 Trial:0 w:45; Trial:3 w:44; Trial:10 w:39; Trial:50 w:38; Trial:55 w:35; Trial:512 w:30; Trial:892 w:27; Trial:1513 w:26; Gen:3 Trial:33887 w:25; pErr:0.0000, weight 25 CW found:24451, wDict:25:648565,26:32280,27:1484,28:7395,29:8732,30:55569,31:30572,32:54271,33:22485,34:32918,35:23558,36:11183,37:5977,38:4267,39:4442,40:3929,41:4146,42:3993,43:4427,44:3219,45:3137,46:3383,47:3736,48:3859,49:4016,50:3621,51:3761,52:3282,53:2666,54:2009,55:1431,56:854,57:485,58:239,59:80,60:21,61:7,62:1</t>
  </si>
  <si>
    <t>Gen:0 Trial:0 w:51; Trial:1 w:47; Trial:11 w:46; Trial:19 w:44; Trial:31 w:42; Trial:52 w:34; Trial:962 w:30; Trial:1443 w:29; Gen:2 Trial:22245 w:28; Gen:3 Trial:34300 w:27; Gen:5 Trial:50007 w:26; Gen:30 Trial:308788 w:25; pErr:0.0000, weight 25 CW found:3203, wDict:25:528189,26:249767,27:31475,28:16569,29:41789,30:5734,31:4863,32:6423,33:14827,34:19687,35:12151,36:10719,37:8938,38:5732,39:3401,40:3706,41:2274,42:1932,43:2460,44:2098,45:2349,46:2354,47:1379,48:1449,49:1656,50:1562,51:1815,52:1753,53:1953,54:1851,55:1806,56:1606,57:1519,58:1235,59:1058,60:754,61:520,62:352,63:165,64:85,65:36,66:6,67:1,68:2</t>
  </si>
  <si>
    <t>Gen:0 Trial:0 w:67; Trial:1 w:60; Trial:3 w:58; Trial:8 w:55; Trial:26 w:53; Trial:64 w:48; Trial:81 w:43; Trial:195 w:30; Trial:909 w:27; Trial:4410 w:25; Gen:5 Trial:50071 w:24; pErr:0.0000, weight 24 CW found:31040, wDict:24:702567,25:49648,26:785,27:14025,28:8098,29:30487,30:38809,31:15849,32:4045,33:16935,34:3731,35:2270,36:3646,37:3451,38:4662,39:3395,40:4554,41:2929,42:2934,43:3285,44:3054,45:3567,46:2463,47:2444,48:2516,49:2618,50:2947,51:3995,52:3421,53:3679,54:4478,55:3264,56:3331,57:3146,58:3176,59:3354,60:3842,61:3836,62:4084,63:3829,64:3993,65:3241,66:3338,67:2307,68:1611,69:1113,70:688,71:337,72:148,73:53,74:19,75:2,76:1</t>
  </si>
  <si>
    <t>Gen:0 Trial:0 w:70; Trial:1 w:53; Trial:30 w:51; Trial:32 w:45; Trial:52 w:36; Trial:2176 w:34; Gen:1 Trial:15686 w:32; Gen:2 Trial:27908 w:31; Gen:3 Trial:31048 w:29; Gen:5 Trial:50470 w:28; pErr:0.0000, weight 28 CW found:19199, wDict:28:603123,29:23024,30:443,31:34462,32:32218,33:2058,34:19649,35:11489,36:6674,37:11850,38:20465,39:40485,40:16521,41:9534,42:21701,43:61496,44:10550,45:10719,46:8152,47:3155,48:5036,49:2887,50:2344,51:2598,52:2425,53:2720,54:2598,55:2489,56:1377,57:1771,58:2055,59:1681,60:1656,61:1650,62:1743,63:1787,64:1823,65:1683,66:1716,67:1611,68:1533,69:1435,70:1275,71:1123,72:913,73:732,74:596,75:428,76:262,77:161,78:69,79:28,80:17,81:9,82:1</t>
  </si>
  <si>
    <t>Gen:0 Trial:0 w:50; Trial:1805 w:45; Gen:1 Trial:17245 w:41; Gen:2 Trial:23023 w:39; Gen:3 Trial:33005 w:34; Gen:11 Trial:118224 w:33; Gen:21 Trial:216828 w:32; Gen:34 Trial:345420 w:31; pErr:0.0000, weight 31 CW found:7240, wDict:31:437836,32:101993,33:80298,34:98506,35:3660,36:18527,37:20994,38:16908,39:25110,40:22358,41:21420,42:4595,43:15380,44:5541,45:9623,46:7206,47:4322,48:4541,49:4893,50:5567,51:3710,52:3403,53:4586,54:2041,55:2510,56:3196,57:3246,58:3911,59:4396,60:3945,61:3872,62:4005,63:3226,64:4005,65:3378,66:3439,67:4240,68:2557,69:2575,70:2432,71:2437,72:2274,73:2389,74:2204,75:2316,76:2193,77:2117,78:1613,79:1400,80:1106,81:744,82:573,83:311,84:223,85:91,86:42,87:11,88:3,89:1,90:1</t>
  </si>
  <si>
    <t>Gen:0 Trial:0 w:85; Trial:2 w:76; Trial:7 w:68; Trial:19 w:45; Trial:735 w:43; Trial:2165 w:42; Gen:1 Trial:10637 w:40; Gen:2 Trial:21167 w:35; Gen:6 Trial:62739 w:32; Gen:10 Trial:109318 w:31; Gen:13 Trial:131011 w:30; pErr:0.0000, weight 30 CW found:13879, wDict:30:620461,31:52101,32:31284,33:22329,34:9715,35:43086,36:19210,37:9666,38:12708,39:12237,40:30549,41:15150,42:12637,43:6229,44:8375,45:7920,46:8139,47:4066,48:8491,49:3731,50:2661,51:4827,52:2536,53:2520,54:3207,55:3299,56:2014,57:1414,58:1711,59:1481,60:2132,61:1481,62:1263,63:1475,64:1431,65:1413,66:1416,67:1759,68:1244,69:1051,70:1077,71:1192,72:1299,73:1247,74:1219,75:1352,76:1430,77:1379,78:1340,79:1299,80:1291,81:1163,82:1152,83:1037,84:859,85:800,86:670,87:551,88:419,89:302,90:203,91:125,92:79,93:55,94:22,95:9,96:6,97:1,98:3</t>
  </si>
  <si>
    <t>Gen:0 Trial:0 w:74; Trial:1 w:70; Trial:6 w:52; Trial:89 w:50; Trial:268 w:44; Trial:416 w:38; Gen:1 Trial:19003 w:36; Gen:3 Trial:31010 w:34; Gen:8 Trial:83807 w:32; pErr:0.0000, weight 32 CW found:34571, wDict:32:615570,34:63100,36:66410,38:55124,40:35242,42:30983,44:22702,46:18815,48:11863,50:9437,52:8960,54:6039,56:6219,58:5638,60:6092,62:5369,64:4348,66:3741,68:3874,70:3717,72:3687,74:3123,76:2849,78:2411,80:1880,82:1312,84:792,86:413,88:176,90:79,92:26,94:7,96:1,98:1</t>
  </si>
  <si>
    <t>Gen:0 Trial:0 w:98; Trial:1 w:74; Trial:246 w:72; Trial:288 w:71; Trial:582 w:69; Trial:4966 w:68; Trial:7460 w:65; Trial:9594 w:60; Gen:2 Trial:26100 w:58; Gen:5 Trial:54151 w:55; Gen:8 Trial:80450 w:53; Trial:82051 w:50; Gen:11 Trial:111093 w:49; Gen:12 Trial:120004 w:43; Gen:15 Trial:153285 w:40; pErr:0.0000, weight 40 CW found:35763, wDict:40:575528,41:15570,42:402,43:61107,44:533,45:1261,46:2465,47:23585,48:26803,49:10668,50:29266,51:3098,52:4287,53:4641,54:2853,55:21201,56:5245,57:6112,58:19027,59:5868,60:17394,61:2848,62:5161,63:2240,64:1536,65:9025,66:3166,67:5139,68:3401,69:4806,70:7112,71:7802,72:4791,73:4556,74:3409,75:3365,76:3097,77:3318,78:3598,79:3033,80:3005,81:2900,82:3199,83:3473,84:3913,85:4633,86:4970,87:3698,88:4548,89:4625,90:5102,91:5114,92:4988,93:4839,94:4589,95:4450,96:3599,97:3042,98:2396,99:1710,100:1238,101:794,102:444,103:232,104:112,105:47,106:18,107:5</t>
  </si>
  <si>
    <t>Gen:0 Trial:0 w:96; Trial:12 w:94; Trial:21 w:93; Trial:23 w:87; Trial:29 w:81; Trial:255 w:78; Trial:677 w:74; Trial:1410 w:73; Trial:1696 w:71; Trial:2618 w:68; Trial:7269 w:64; Gen:3 Trial:30019 w:63; Trial:38049 w:61; Gen:6 Trial:60107 w:60; Gen:8 Trial:81101 w:59; Gen:9 Trial:92628 w:58; Gen:10 Trial:104050 w:57; Gen:11 Trial:116014 w:56; Gen:15 Trial:153129 w:54; Gen:24 Trial:247357 w:53; Gen:45 Trial:458797 w:52; Gen:78 Trial:785085 w:50; Gen:79 Trial:795000 w:49; Gen:83 Trial:830130 w:48; Gen:89 Trial:893337 w:47; Gen:93 Trial:935032 w:46; Gen:95 Trial:959024 w:45; pErr:0.0000, weight 45 CW found:3742, wDict:45:1484,46:20022,47:14307,48:40867,49:15724,50:7923,51:2990,52:216477,53:142414,54:78648,55:7917,56:36784,57:14776,58:28078,59:23576,60:29419,61:25011,62:7428,63:10325,64:16557,65:7463,66:9475,67:6697,68:13261,69:14418,70:10116,71:12859,72:12181,73:7257,74:7146,75:9630,76:7678,77:5854,78:6486,79:5971,80:6047,81:6598,82:6021,83:4942,84:3995,85:3334,86:3950,87:5646,88:4320,89:5251,90:4448,91:4783,92:4131,93:4279,94:4769,95:4212,96:4879,97:5045,98:4963,99:5002,100:4561,101:4644,102:4106,103:3428,104:2865,105:2255,106:1571,107:1085,108:708,109:424,110:274,111:141,112:65,113:30,114:7,115:2</t>
  </si>
  <si>
    <t>Gen:0 Trial:0 w:115; Trial:1 w:111; Trial:2 w:99; Trial:7 w:97; Trial:89 w:90; Trial:186 w:84; Trial:2051 w:82; Trial:2709 w:79; Trial:2715 w:76; Gen:1 Trial:14753 w:74; Gen:3 Trial:32076 w:70; Gen:5 Trial:52020 w:67; Gen:6 Trial:63130 w:63; Gen:11 Trial:119999 w:61; Gen:12 Trial:122078 w:60; Gen:15 Trial:154034 w:59; Gen:16 Trial:160024 w:58; Gen:18 Trial:186061 w:56; Gen:23 Trial:238523 w:55; pErr:0.0000, weight 55 CW found:43279, wDict:55:471362,56:35417,57:10287,58:33593,59:11216,60:20351,61:16836,62:11496,63:29911,64:11848,65:22318,66:5072,67:16323,68:7809,69:9162,70:14795,71:11593,72:8398,73:14388,74:9893,75:7652,76:20828,77:7766,78:9877,79:8454,80:5023,81:5934,82:6594,83:6350,84:5115,85:4642,86:3924,87:4766,88:3801,89:4519,90:3717,91:3832,92:4265,93:4042,94:4305,95:3852,96:4224,97:5189,98:5133,99:5822,100:6893,101:5405,102:6059,103:5992,104:6379,105:6663,106:6020,107:5773,108:5458,109:4928,110:4487,111:3718,112:3215,113:2422,114:1816,115:1253,116:780,117:493,118:282,119:158,120:65,121:29,122:11,123:5,124:2</t>
  </si>
  <si>
    <t>Gen:0 Trial:0 w:109; Trial:2 w:88; Trial:233 w:87; Trial:832 w:86; Trial:869 w:84; Trial:1506 w:75; Trial:7599 w:66; Gen:3 Trial:32025 w:63; Gen:5 Trial:55017 w:58; Gen:7 Trial:70027 w:56; Gen:8 Trial:83000 w:55; Gen:11 Trial:110159 w:54; Gen:13 Trial:130247 w:53; Trial:131059 w:51; Gen:18 Trial:181729 w:48; Gen:26 Trial:261722 w:47; pErr:0.0000, weight 47 CW found:33331, wDict:47:497987,48:79663,49:44,50:16875,51:50716,52:9396,53:5687,54:26469,55:31054,56:8870,57:7453,58:21411,59:6325,60:6306,61:3939,62:4327,63:17775,64:3705,65:2826,66:13962,67:4173,68:3923,69:2349,70:8365,71:4549,72:3992,73:2907,74:4326,75:7073,76:3208,77:3366,78:4740,79:5640,80:7786,81:3617,82:3578,83:3713,84:3527,85:4676,86:5117,87:4335,88:3019,89:2980,90:2628,91:3596,92:4105,93:2965,94:2567,95:2717,96:3150,97:3261,98:3425,99:3725,100:4204,101:3722,102:3402,103:3729,104:3677,105:4140,106:4118,107:4059,108:3847,109:3544,110:3176,111:2737,112:2276,113:1804,114:1327,115:913,116:570,117:390,118:238,119:142,120:62,121:24,122:8,123:2,124:1</t>
  </si>
  <si>
    <t>outfile: /home/ucapmwe/dist-benchmark/results/tanner_codes-QDistRndMW-20260203_135026.765054_85062422.txt</t>
  </si>
  <si>
    <t>Trial:0 w:4; pErr:0.0000, weight 4 CW found:170, wDict:4:999535,6:439,8:21,9:5</t>
  </si>
  <si>
    <t>Trial:0 w:10; Trial:1 w:8; pErr:0.0000, weight 8 CW found:9849, wDict:8:768217,9:196259,10:24380,11:5460,12:4694,13:860,14:127,15:3</t>
  </si>
  <si>
    <t>Trial:0 w:16; Trial:2 w:13; Trial:4 w:12; pErr:0.0061, weight 12 CW found:244784, wDict:12:115082,13:184359,14:156932,15:110606,16:134701,17:121739,18:83469,19:47791,20:26379,21:12656,22:4774,23:1256,24:221,25:34,27:1</t>
  </si>
  <si>
    <t>Trial:0 w:23; Trial:1 w:19; Trial:7 w:15; Trial:72 w:14; Trial:278 w:13; pErr:0.2521, weight 13 CW found:862402, wDict:13:6823,14:17025,15:29315,16:32865,17:37481,18:48977,19:56828,20:68709,21:82652,22:95956,23:106956,24:111687,25:105478,26:87327,27:60047,28:33357,29:13721,30:3985,31:725,32:79,33:7</t>
  </si>
  <si>
    <t>Trial:0 w:25; Trial:1 w:23; Trial:24 w:19; Trial:202 w:18; Trial:894 w:17; pErr:0.3473, weight 17 CW found:1113687, wDict:17:940,18:5085,19:9293,20:16001,21:22843,22:30602,23:41556,24:54050,25:66234,26:78688,27:89948,28:98462,29:101901,30:99173,31:89869,32:74080,33:54606,34:35473,35:19143,36:8402,37:2812,38:718,39:103,40:18</t>
  </si>
  <si>
    <t>Trial:0 w:35; Trial:1 w:27; Trial:8 w:18; pErr:0.3602, weight 18 CW found:1132156, wDict:18:2061,19:3401,20:4534,21:7125,22:10659,23:16811,24:23594,25:31463,26:40670,27:50184,28:58984,29:67240,30:74878,31:80012,32:82361,33:83448,34:80221,35:73020,36:63559,37:51456,38:38664,39:26361,40:15921,41:8204,42:3492,43:1271,44:346,45:55,46:3,47:2</t>
  </si>
  <si>
    <t>Trial:0 w:47; Trial:1 w:43; Trial:6 w:34; Trial:8 w:31; Trial:42 w:29; Trial:238 w:25; Trial:273 w:24; Trial:1855 w:23; Trial:14528 w:22; pErr:0.3677, weight 22 CW found:1147109, wDict:22:182,23:320,24:597,25:1057,26:1339,27:2020,28:2805,29:3725,30:4989,31:6679,32:8700,33:11438,34:15014,35:19580,36:25502,37:32661,38:41421,39:51372,40:62752,41:74257,42:84801,43:93095,44:96471,45:93648,46:84247,47:69053,48:50713,49:32241,50:17632,51:7944,52:2740,53:840,54:151,55:13,56:1</t>
  </si>
  <si>
    <t>Trial:0 w:54; Trial:1 w:44; Trial:2 w:43; Trial:6 w:41; Trial:7 w:38; Trial:29 w:32; Trial:1238 w:31; Trial:1365 w:28; Trial:6906 w:26; Trial:25307 w:25; Trial:342971 w:24; pErr:0.3679, weight 24 CW found:761948, wDict:24:3,25:31,26:92,27:174,28:237,29:390,30:514,31:762,32:1088,33:1530,34:2112,35:2827,36:3764,37:4959,38:6588,39:8637,40:11224,41:15132,42:19519,43:25075,44:32032,45:40506,46:49874,47:61051,48:71261,49:81858,50:89103,51:92799,52:91193,53:83703,54:70990,55:54059,56:37005,57:21917,58:11244,59:4617,60:1637,61:395,62:82,63:15,64:1</t>
  </si>
  <si>
    <t>Trial:0 w:47; Trial:32 w:45; Trial:43 w:39; Trial:94 w:36; Trial:169 w:33; Trial:355 w:29; Trial:5994 w:27; Trial:8175 w:25; pErr:0.3679, weight 25 CW found:1136333, wDict:25:16,26:25,27:57,28:102,29:168,30:304,31:455,32:595,33:805,34:1145,35:1520,36:1916,37:2647,38:3358,39:4253,40:5544,41:7007,42:8931,43:11046,44:14342,45:17364,46:21599,47:26861,48:32157,49:39036,50:46440,51:54197,52:61884,53:69408,54:75039,55:78952,56:79582,57:77010,58:69997,59:59145,60:47523,61:33875,62:22292,63:13020,64:6453,65:2708,66:930,67:228,68:60,69:4</t>
  </si>
  <si>
    <t>Trial:0 w:66; Trial:1 w:64; Trial:6 w:61; Trial:8 w:51; Trial:33 w:47; Trial:40 w:27; Trial:1414 w:25; Trial:17407 w:24; pErr:0.3679, weight 24 CW found:1127491, wDict:24:26,25:39,26:54,27:82,28:146,29:188,30:257,31:288,32:296,33:373,34:482,35:526,36:590,37:655,38:756,39:867,40:949,41:1189,42:1408,43:1527,44:1968,45:2374,46:2908,47:3467,48:4493,49:5588,50:7041,51:9019,52:11447,53:14560,54:18916,55:23796,56:29503,57:36726,58:44650,59:53781,60:62302,61:71385,62:78284,63:83168,64:84917,65:81383,66:73313,67:61631,68:47534,69:33642,70:21028,71:11779,72:5493,73:2235,74:743,75:191,76:33,77:4</t>
  </si>
  <si>
    <t>Trial:0 w:65; Trial:2 w:56; Trial:13 w:52; Trial:46 w:51; Trial:116 w:47; Trial:139 w:45; Trial:152 w:41; Trial:168 w:38; Trial:580 w:37; Trial:2020 w:32; Trial:9411 w:30; Trial:75417 w:28; Trial:102293 w:27; pErr:0.3679, weight 27 CW found:1010855, wDict:27:8,28:7,29:8,30:22,31:22,32:53,33:92,34:123,35:199,36:261,37:377,38:466,39:684,40:837,41:1121,42:1420,43:1785,44:2265,45:2819,46:3500,47:4179,48:5177,49:6348,50:7628,51:9003,52:10586,53:12855,54:15260,55:18186,56:21114,57:24373,58:28304,59:32358,60:36890,61:41882,62:46194,63:50670,64:55107,65:58607,66:60811,67:62220,68:61625,69:58910,70:55319,71:48981,72:42420,73:34526,74:26499,75:19144,76:12855,77:7967,78:4335,79:2157,80:942,81:358,82:106,83:25,84:7,85:3</t>
  </si>
  <si>
    <t>Trial:0 w:65; Trial:14 w:48; Trial:156 w:44; Trial:566 w:39; Trial:64195 w:36; Trial:96940 w:33; pErr:0.3679, weight 33 CW found:1030047, wDict:33:2,34:1,35:1,36:7,37:4,38:8,39:25,40:24,41:25,42:44,43:43,44:54,45:78,46:108,47:148,48:181,49:231,50:309,51:411,52:535,53:643,54:891,55:1093,56:1418,57:1808,58:2302,59:3149,60:4061,61:5288,62:6486,63:8655,64:10902,65:13981,66:17784,67:22439,68:27698,69:33972,70:41104,71:49267,72:56453,73:64550,74:71620,75:76162,76:79634,77:78958,78:74687,79:66748,80:55914,81:43731,82:31660,83:20919,84:12451,85:6481,86:3038,87:1269,88:409,89:112,90:19,91:5</t>
  </si>
  <si>
    <t>Trial:0 w:84; Trial:2 w:66; Trial:10 w:62; Trial:33 w:56; Trial:195 w:49; Trial:491 w:48; Trial:1846 w:45; Trial:2861 w:44; Trial:4429 w:41; Trial:4915 w:35; Trial:10611 w:34; Trial:29598 w:32; Trial:714483 w:31; pErr:0.3679, weight 31 CW found:319846, wDict:31:1,32:6,33:5,34:17,35:23,36:29,37:56,38:66,39:75,40:99,41:130,42:156,43:220,44:251,45:313,46:409,47:485,48:534,49:703,50:899,51:979,52:1156,53:1478,54:1786,55:2064,56:2479,57:2888,58:3470,59:3989,60:4811,61:5596,62:6552,63:7905,64:9189,65:10743,66:12432,67:14564,68:16744,69:19531,70:22364,71:25483,72:28930,73:32822,74:36898,75:40977,76:44458,77:48593,78:52282,79:54691,80:56619,81:57000,82:56513,83:53972,84:50479,85:46326,86:40626,87:33735,88:26804,89:20368,90:14600,91:9888,92:5994,93:3534,94:1830,95:892,96:335,97:109,98:37,99:7,100:1</t>
  </si>
  <si>
    <t>Trial:0 w:84; Trial:1 w:50; Trial:88 w:48; Trial:241 w:42; Trial:600 w:36; Trial:102335 w:34; pErr:0.3679, weight 34 CW found:1167269, wDict:34:15,36:60,38:167,40:365,42:596,44:1083,46:1739,48:2638,50:4109,52:5803,54:8365,56:12002,58:16588,60:23225,62:31687,64:42452,66:54778,68:69130,70:83271,72:94969,74:103431,76:104227,78:97785,80:83372,82:64392,84:44239,86:26299,88:13885,90:6088,92:2341,94:697,96:171,98:27,100:3,102:1</t>
  </si>
  <si>
    <t>Trial:0 w:99; Trial:1 w:96; Trial:2 w:94; Trial:4 w:87; Trial:11 w:86; Trial:20 w:67; Trial:374 w:66; Trial:2577 w:58; Trial:8658 w:57; Trial:59856 w:50; Trial:587085 w:47; pErr:0.3679, weight 47 CW found:469824, wDict:47:1,48:1,50:1,51:1,52:1,53:4,54:5,55:10,56:3,57:6,58:16,59:21,60:13,61:29,62:40,63:42,64:66,65:78,66:121,67:140,68:198,69:256,70:361,71:424,72:565,73:799,74:1015,75:1252,76:1744,77:2328,78:3118,79:3948,80:5205,81:6851,82:8972,83:11489,84:14597,85:18112,86:23156,87:28630,88:35390,89:42234,90:50918,91:58666,92:66336,93:72535,94:77560,95:79721,96:77477,97:72276,98:64741,99:53548,100:41768,101:30080,102:19777,103:11855,104:6404,105:3161,106:1304,107:437,108:143,109:42,110:6,111:2</t>
  </si>
  <si>
    <t>Trial:0 w:97; Trial:15 w:95; Trial:19 w:80; Trial:231 w:79; Trial:255 w:77; Trial:531 w:75; Trial:768 w:71; Trial:2979 w:63; Trial:17728 w:62; Trial:35433 w:55; Trial:68940 w:54; Trial:75775 w:49; Trial:274051 w:46; pErr:0.3679, weight 46 CW found:823698, wDict:46:1,48:1,49:2,51:1,53:2,54:2,55:3,56:4,57:5,58:5,59:3,60:3,61:10,62:12,63:17,64:21,65:30,66:47,67:45,68:61,69:108,70:131,71:123,72:183,73:236,74:293,75:429,76:520,77:680,78:908,79:1122,80:1428,81:2002,82:2537,83:3196,84:4240,85:5538,86:6885,87:8812,88:11424,89:14291,90:17846,91:22338,92:27346,93:32717,94:39556,95:46441,96:54724,97:60789,98:67594,99:72445,100:75069,101:75743,102:72278,103:66462,104:57798,105:47063,106:35924,107:25866,108:16858,109:10073,110:5495,111:2600,112:1119,113:369,114:98,115:20,116:7,117:1</t>
  </si>
  <si>
    <t>Trial:0 w:109; Trial:6 w:103; Trial:23 w:102; Trial:24 w:88; Trial:166 w:86; Trial:1223 w:85; Trial:2415 w:73; Trial:13867 w:71; Trial:77529 w:69; Trial:92367 w:61; Trial:220372 w:53; pErr:0.3679, weight 53 CW found:882687, wDict:53:1,55:1,57:1,58:2,59:1,61:1,63:2,66:4,67:5,68:2,69:8,70:9,71:7,72:13,73:20,74:15,75:23,76:30,77:39,78:49,79:81,80:95,81:142,82:170,83:231,84:303,85:430,86:456,87:721,88:827,89:1262,90:1615,91:2072,92:2737,93:3596,94:4518,95:5916,96:7758,97:9698,98:12662,99:16027,100:19806,101:24526,102:30181,103:36645,104:43790,105:50511,106:57927,107:64481,108:69923,109:74029,110:75646,111:73991,112:69499,113:62078,114:52753,115:41672,116:31052,117:21264,118:13690,119:7724,120:4172,121:1905,122:801,123:271,124:88,125:20,126:3,127:2</t>
  </si>
  <si>
    <t>Trial:0 w:114; Trial:1 w:112; Trial:2 w:109; Trial:4 w:105; Trial:5 w:102; Trial:9 w:101; Trial:42 w:99; Trial:55 w:85; Trial:85 w:81; Trial:713 w:80; Trial:5038 w:79; Trial:5901 w:78; Trial:8917 w:62; Trial:33897 w:51; pErr:0.3679, weight 51 CW found:1093930, wDict:51:1,57:2,60:4,62:2,63:2,64:1,65:1,66:2,67:5,68:1,69:2,70:7,71:7,72:12,73:10,74:19,75:15,76:25,77:45,78:56,79:75,80:100,81:135,82:183,83:241,84:343,85:438,86:547,87:723,88:948,89:1170,90:1554,91:2107,92:2710,93:3557,94:4715,95:5965,96:7790,97:9860,98:12745,99:16104,100:20026,101:24598,102:30362,103:36124,104:43372,105:50259,106:57714,107:64483,108:69761,109:74223,110:75783,111:73766,112:69338,113:62188,114:52663,115:41550,116:31441,117:21762,118:13636,119:7688,120:4135,121:1764,122:752,123:276,124:84,125:16,126:7</t>
  </si>
  <si>
    <t>Trial:0 w:121; Trial:1 w:115; Trial:3 w:109; Trial:6 w:102; Trial:43 w:95; Trial:122 w:92; Trial:914 w:90; Trial:1849 w:73; Trial:3907 w:52; pErr:0.3679, weight 52 CW found:1124955, wDict:52:1,55:1,61:1,63:1,66:1,67:1,68:1,69:1,71:2,72:2,73:5,74:5,75:7,76:3,77:7,78:13,79:14,80:16,81:17,82:22,83:41,84:47,85:63,86:70,87:117,88:125,89:174,90:251,91:328,92:443,93:552,94:756,95:940,96:1338,97:1650,98:2056,99:2740,100:3443,101:4546,102:5923,103:7503,104:9484,105:11899,106:15178,107:18871,108:23159,109:28496,110:34099,111:40449,112:47666,113:54055,114:61442,115:66349,116:70806,117:73511,118:72787,119:69981,120:63592,121:55963,122:46432,123:35878,124:26164,125:17686,126:10873,127:6326,128:3233,129:1524,130:586,131:203,132:70,133:8,134:2,135:1</t>
  </si>
  <si>
    <t>outfile: /home/ucapmwe/dist-benchmark/results/tanner_codes-QDistRndMW-20260203_135026.765136_85062422.txt</t>
  </si>
  <si>
    <t>Trial:0 w:4; pErr:0.0000, weight 4 CW found:229, wDict:4:999501,6:464,8:27,9:8</t>
  </si>
  <si>
    <t>Trial:0 w:8; pErr:0.0000, weight 8 CW found:9887, wDict:8:767544,9:196566,10:24488,11:5518,12:4852,13:874,14:153,15:5</t>
  </si>
  <si>
    <t>Trial:0 w:16; Trial:1 w:15; Trial:2 w:12; pErr:0.0061, weight 12 CW found:245432, wDict:12:114605,13:185273,14:156642,15:110438,16:134481,17:121562,18:83076,19:48715,20:26176,21:12735,22:4822,23:1248,24:212,25:15</t>
  </si>
  <si>
    <t>Trial:0 w:24; Trial:3 w:19; Trial:4 w:18; Trial:27 w:14; Trial:167 w:13; pErr:0.2520, weight 13 CW found:862178, wDict:13:7007,14:17223,15:29260,16:32834,17:37733,18:48956,19:56640,20:68929,21:82473,22:95826,23:106751,24:111732,25:105046,26:87081,27:60447,28:33458,29:13759,30:3971,31:778,32:87,33:9</t>
  </si>
  <si>
    <t>Trial:0 w:23; Trial:8 w:20; Trial:101 w:19; Trial:586 w:18; Trial:5665 w:17; pErr:0.3472, weight 17 CW found:1107843, wDict:17:940,18:5154,19:9326,20:16123,21:23048,22:30888,23:41799,24:53696,25:66206,26:78307,27:90366,28:98189,29:102048,30:99309,31:89673,32:74524,33:54367,34:34817,35:19155,36:8396,37:2841,38:704,39:116,40:8</t>
  </si>
  <si>
    <t>Trial:0 w:34; Trial:2 w:32; Trial:3 w:26; Trial:23 w:20; Trial:669 w:19; Trial:1403 w:18; pErr:0.3603, weight 18 CW found:1131330, wDict:18:2015,19:3439,20:4427,21:7073,22:10750,23:16809,24:23429,25:31304,26:40942,27:49749,28:58712,29:67357,30:74433,31:80224,32:82916,33:82984,34:79790,35:73608,36:63869,37:51656,38:38927,39:26426,40:15869,41:8163,42:3476,43:1248,44:339,45:59,46:6,47:1</t>
  </si>
  <si>
    <t>Trial:0 w:42; Trial:2 w:40; Trial:3 w:27; Trial:598 w:23; Trial:2380 w:22; pErr:0.3677, weight 22 CW found:1161682, wDict:22:187,23:329,24:662,25:1021,26:1377,27:1950,28:2682,29:3696,30:5012,31:6480,32:8792,33:11401,34:14970,35:19617,36:25566,37:32416,38:41070,39:51635,40:62652,41:74309,42:85099,43:93369,44:96404,45:93449,46:84061,47:69077,48:50558,49:32265,50:17738,51:8211,52:2931,53:820,54:167,55:24,56:3</t>
  </si>
  <si>
    <t>Trial:0 w:50; Trial:1 w:46; Trial:3 w:43; Trial:6 w:42; Trial:62 w:40; Trial:86 w:39; Trial:221 w:36; Trial:259 w:30; Trial:819 w:27; Trial:11258 w:25; Trial:50593 w:24; pErr:0.3679, weight 24 CW found:1100557, wDict:24:4,25:22,26:94,27:166,28:269,29:361,30:527,31:738,32:1102,33:1533,34:2026,35:2733,36:3745,37:5028,38:6606,39:8705,40:11628,41:15039,42:19553,43:25104,44:32144,45:40500,46:49885,47:60534,48:71282,49:81786,50:89038,51:93189,52:91437,53:83606,54:70611,55:54281,56:36910,57:22029,58:10929,59:4707,60:1619,61:421,62:100,63:9</t>
  </si>
  <si>
    <t>Trial:0 w:51; Trial:1 w:49; Trial:2 w:42; Trial:71 w:34; Trial:175 w:30; Trial:386 w:28; Trial:30216 w:27; Trial:57491 w:26; Trial:309027 w:25; pErr:0.3679, weight 25 CW found:791004, wDict:25:8,26:20,27:50,28:105,29:192,30:291,31:415,32:549,33:796,34:1134,35:1469,36:1999,37:2609,38:3412,39:4297,40:5514,41:7048,42:8975,43:11114,44:14109,45:17576,46:21505,47:26562,48:32308,49:38976,50:46354,51:54198,52:62312,53:69016,54:75115,55:79082,56:79532,57:76592,58:69706,59:59991,60:47080,61:34258,62:22485,63:12914,64:6353,65:2722,66:920,67:268,68:55,69:14</t>
  </si>
  <si>
    <t>Trial:0 w:61; Trial:1 w:58; Trial:3 w:56; Trial:43 w:53; Trial:64 w:50; Trial:129 w:40; Trial:720 w:36; Trial:1961 w:35; Trial:2055 w:32; Trial:2814 w:25; Trial:32423 w:24; pErr:0.3679, weight 24 CW found:1111367, wDict:24:15,25:36,26:58,27:97,28:112,29:164,30:236,31:274,32:310,33:362,34:452,35:530,36:580,37:644,38:750,39:860,40:970,41:1159,42:1332,43:1565,44:1919,45:2301,46:2862,47:3518,48:4481,49:5628,50:7081,51:9071,52:11623,53:14794,54:18747,55:23715,56:29543,57:36361,58:45000,59:53547,60:62757,61:71423,62:78289,63:83070,64:84573,65:81042,66:73266,67:62110,68:47450,69:33551,70:21101,71:11756,72:5624,73:2213,74:792,75:230,76:47,77:9</t>
  </si>
  <si>
    <t>Trial:0 w:67; Trial:3 w:66; Trial:5 w:64; Trial:9 w:63; Trial:11 w:56; Trial:16 w:55; Trial:18 w:52; Trial:32 w:50; Trial:41 w:46; Trial:115 w:41; Trial:444 w:36; Trial:1599 w:34; Trial:8434 w:27; pErr:0.3679, weight 27 CW found:1116015, wDict:27:2,28:4,29:10,30:17,31:28,32:53,33:76,34:125,35:191,36:255,37:371,38:508,39:643,40:858,41:1112,42:1445,43:1793,44:2281,45:2828,46:3579,47:4141,48:5254,49:6120,50:7679,51:8976,52:10694,53:12762,54:15282,55:18015,56:21071,57:24590,58:28035,59:32507,60:37118,61:42063,62:46293,63:50691,64:55072,65:58367,66:61375,67:61525,68:61526,69:59395,70:55228,71:49296,72:42447,73:34574,74:26333,75:18944,76:12787,77:7744,78:4278,79:2156,80:974,81:360,82:108,83:30,84:10,85:1</t>
  </si>
  <si>
    <t>Trial:0 w:77; Trial:1 w:73; Trial:3 w:70; Trial:6 w:57; Trial:192 w:50; Trial:491 w:49; Trial:3916 w:35; Trial:81234 w:32; Trial:139083 w:31; pErr:0.3679, weight 31 CW found:981307, wDict:31:1,32:2,33:1,34:2,35:3,36:4,37:4,38:12,39:24,40:26,41:26,42:31,43:35,44:65,45:69,46:97,47:143,48:191,49:231,50:315,51:400,52:510,53:702,54:844,55:1096,56:1504,57:1853,58:2365,59:3163,60:4083,61:5271,62:6681,63:8652,64:11064,65:14050,66:17707,67:22233,68:27411,69:33789,70:40963,71:48862,72:57041,73:64635,74:71706,75:77400,76:79424,77:78144,78:74715,79:66529,80:56033,81:43592,82:31394,83:20902,84:12566,85:6617,86:3077,87:1173,88:405,89:126,90:31,91:5</t>
  </si>
  <si>
    <t>Trial:0 w:80; Trial:2 w:78; Trial:4 w:72; Trial:17 w:69; Trial:24 w:66; Trial:64 w:65; Trial:85 w:58; Trial:152 w:50; Trial:520 w:47; Trial:668 w:46; Trial:1190 w:45; Trial:1763 w:40; Trial:1859 w:38; Trial:5192 w:37; Trial:14333 w:36; Trial:26185 w:35; Trial:31127 w:33; Trial:78908 w:32; Trial:176897 w:31; Trial:624303 w:30; pErr:0.3679, weight 30 CW found:420316, wDict:30:3,31:3,32:7,33:11,34:17,35:35,36:35,37:43,38:66,39:76,40:106,41:138,42:157,43:174,44:239,45:302,46:448,47:454,48:589,49:690,50:814,51:982,52:1218,53:1353,54:1688,55:2054,56:2489,57:2875,58:3387,59:4014,60:4692,61:5445,62:6632,63:7794,64:9017,65:10550,66:12378,67:14224,68:16983,69:19683,70:22415,71:25410,72:29126,73:32900,74:36895,75:40688,76:44947,77:48283,78:52291,79:54736,80:56487,81:56846,82:55766,83:54643,84:50887,85:46455,86:40548,87:33979,88:27296,89:20399,90:14774,91:9795,92:6086,93:3403,94:1759,95:814,96:353,97:117,98:27,99:9,100:1</t>
  </si>
  <si>
    <t>Trial:0 w:68; Trial:2 w:66; Trial:6 w:56; Trial:58 w:50; Trial:337 w:46; Trial:637 w:40; Trial:1559 w:36; Trial:9380 w:34; Trial:253697 w:32; pErr:0.3679, weight 32 CW found:970219, wDict:32:3,34:18,36:66,38:148,40:340,42:618,44:1081,46:1748,48:2706,50:4039,52:5724,54:8346,56:12013,58:16832,60:23192,62:31706,64:42258,66:55187,68:69344,70:82817,72:95107,74:103629,76:104586,78:97639,80:82907,82:64049,84:44064,86:26522,88:13979,90:6105,92:2324,94:710,96:164,98:27,100:2</t>
  </si>
  <si>
    <t>Trial:0 w:94; Trial:1 w:92; Trial:2 w:89; Trial:3 w:81; Trial:43 w:80; Trial:276 w:79; Trial:327 w:78; Trial:520 w:70; Trial:1808 w:69; Trial:2311 w:68; Trial:3398 w:62; Trial:28982 w:53; Trial:84805 w:47; pErr:0.3679, weight 47 CW found:1040438, wDict:47:1,48:1,50:1,51:1,52:2,53:5,54:2,55:8,56:6,57:6,58:8,59:19,60:15,61:32,62:38,63:49,64:54,65:71,66:118,67:136,68:171,69:242,70:306,71:429,72:588,73:782,74:1004,75:1282,76:1756,77:2229,78:3051,79:4131,80:5158,81:6902,82:8720,83:11317,84:14601,85:18612,86:23241,87:28722,88:35672,89:42650,90:50498,91:58546,92:66214,93:72787,94:76958,95:79453,96:77648,97:72499,98:64377,99:53515,100:42169,101:30219,102:19841,103:11808,104:6392,105:3104,106:1238,107:430,108:123,109:32,110:10</t>
  </si>
  <si>
    <t>Trial:0 w:101; Trial:1 w:98; Trial:3 w:97; Trial:6 w:92; Trial:7 w:91; Trial:16 w:88; Trial:22 w:84; Trial:200 w:80; Trial:343 w:79; Trial:613 w:73; Trial:1034 w:68; Trial:2142 w:67; Trial:6799 w:58; Trial:168103 w:56; Trial:546033 w:50; pErr:0.3679, weight 50 CW found:514961, wDict:50:2,52:1,54:1,56:1,57:4,58:8,59:5,60:6,61:7,62:24,63:21,64:30,65:40,66:33,67:48,68:62,69:89,70:117,71:156,72:161,73:238,74:332,75:383,76:481,77:699,78:951,79:1155,80:1489,81:1914,82:2558,83:3283,84:4256,85:5395,86:6944,87:8893,88:11248,89:14285,90:17501,91:22162,92:27406,93:33214,94:39983,95:46817,96:54246,97:61347,98:67411,99:72677,100:75361,101:74786,102:71441,103:66320,104:58096,105:47301,106:35970,107:25900,108:16919,109:10196,110:5539,111:2550,112:1044,113:351,114:103,115:26,116:11,117:2</t>
  </si>
  <si>
    <t>Trial:0 w:99; Trial:19 w:96; Trial:31 w:95; Trial:37 w:86; Trial:850 w:83; Trial:2569 w:81; Trial:2755 w:78; Trial:10216 w:77; Trial:17459 w:76; Trial:63890 w:75; Trial:65897 w:73; Trial:73486 w:71; Trial:128598 w:68; Trial:224490 w:58; pErr:0.3679, weight 58 CW found:878258, wDict:58:1,64:4,65:2,66:3,67:2,68:6,69:3,70:5,71:11,72:10,73:16,74:11,75:24,76:36,77:61,78:61,79:78,80:112,81:108,82:177,83:231,84:308,85:409,86:536,87:653,88:891,89:1236,90:1584,91:2067,92:2701,93:3581,94:4601,95:5929,96:7657,97:9793,98:12733,99:16013,100:19866,101:24660,102:30558,103:36660,104:43140,105:50417,106:57853,107:64828,108:69999,109:74365,110:75332,111:74347,112:68989,113:61859,114:52526,115:41831,116:31162,117:21432,118:13645,119:7746,120:4051,121:1911,122:751,123:302,124:80,125:28,126:7,127:1</t>
  </si>
  <si>
    <t>Trial:0 w:111; Trial:1 w:108; Trial:3 w:105; Trial:9 w:101; Trial:22 w:96; Trial:60 w:88; Trial:113 w:82; Trial:2050 w:71; Trial:7590 w:70; Trial:15842 w:67; Trial:17994 w:65; Trial:151928 w:63; Trial:440412 w:61; Trial:956270 w:58; pErr:0.3679, weight 58 CW found:49449, wDict:58:1,61:1,63:3,64:2,65:2,67:7,68:4,69:4,70:11,71:8,72:6,73:8,74:26,75:24,76:41,77:48,78:58,79:72,80:85,81:113,82:175,83:209,84:335,85:399,86:546,87:722,88:905,89:1169,90:1560,91:2067,92:2665,93:3554,94:4690,95:5925,96:7767,97:9902,98:12741,99:15974,100:20091,101:24801,102:30247,103:36350,104:43172,105:50485,106:57638,107:64277,108:69739,109:73841,110:75856,111:74010,112:69276,113:62680,114:52389,115:41963,116:31406,117:21173,118:13624,119:7932,120:4051,121:1932,122:822,123:312,124:78,125:21,126:5</t>
  </si>
  <si>
    <t>Trial:0 w:118; Trial:2 w:117; Trial:3 w:102; Trial:27 w:87; Trial:4012 w:74; Trial:4143 w:73; Trial:43971 w:69; Trial:95764 w:54; pErr:0.3679, weight 54 CW found:1020990, wDict:54:1,63:1,64:2,65:1,67:1,68:1,69:2,70:1,71:2,72:4,73:5,74:4,75:4,76:6,77:10,78:3,79:19,80:20,81:16,82:27,83:35,84:51,85:68,86:85,87:110,88:140,89:170,90:217,91:298,92:410,93:566,94:728,95:941,96:1301,97:1655,98:2062,99:2711,100:3610,101:4655,102:5839,103:7498,104:9480,105:12182,106:15420,107:18783,108:23273,109:28670,110:34218,111:40497,112:47573,113:54343,114:60870,115:67276,116:71198,117:72769,118:72772,119:69943,120:63683,121:55538,122:45894,123:36117,124:25790,125:17647,126:10979,127:6247,128:3151,129:1488,130:635,131:208,132:57,133:15,134:2,135:2</t>
  </si>
  <si>
    <t>outfile: /home/ucapmwe/dist-benchmark/results/tanner_codes-QDistRndMW-20260203_135026.860921_85062422.txt</t>
  </si>
  <si>
    <t>Trial:0 w:4; pErr:0.0000, weight 4 CW found:306, wDict:4:999448,6:510,8:30,9:12</t>
  </si>
  <si>
    <t>Trial:0 w:8; pErr:0.0000, weight 8 CW found:10077, wDict:8:767862,9:196306,10:24484,11:5385,12:4858,13:943,14:158,15:4</t>
  </si>
  <si>
    <t>Trial:0 w:18; Trial:1 w:13; Trial:12 w:12; pErr:0.0062, weight 12 CW found:246118, wDict:12:115140,13:184049,14:157064,15:110433,16:134330,17:121771,18:83332,19:48718,20:26261,21:12733,22:4718,23:1229,24:207,25:14,26:1</t>
  </si>
  <si>
    <t>Trial:0 w:22; Trial:1 w:18; Trial:3 w:15; Trial:90 w:14; Trial:234 w:13; pErr:0.2525, weight 13 CW found:863242, wDict:13:6758,14:17099,15:29301,16:32757,17:37596,18:48768,19:56189,20:68897,21:82472,22:96131,23:106866,24:112028,25:105356,26:87189,27:60479,28:33476,29:13921,30:3907,31:711,32:91,33:8</t>
  </si>
  <si>
    <t>Trial:0 w:26; Trial:9 w:24; Trial:15 w:20; Trial:62 w:19; Trial:141 w:18; Trial:267 w:17; pErr:0.3470, weight 17 CW found:1113366, wDict:17:1087,18:5101,19:9178,20:15993,21:22997,22:31044,23:42128,24:54208,25:66272,26:78380,27:89865,28:98676,29:101790,30:99552,31:89344,32:74046,33:54208,34:34807,35:19185,36:8411,37:2837,38:726,39:140,40:23,41:2</t>
  </si>
  <si>
    <t>Trial:0 w:32; Trial:1 w:31; Trial:4 w:29; Trial:5 w:28; Trial:8 w:26; Trial:15 w:23; Trial:59 w:19; Trial:563 w:18; pErr:0.3602, weight 18 CW found:1131249, wDict:18:2152,19:3437,20:4492,21:7108,22:10778,23:16734,24:23751,25:31276,26:41027,27:49639,28:58574,29:67260,30:74883,31:79700,32:82877,33:83309,34:80245,35:73753,36:63288,37:51540,38:38759,39:26163,40:15666,41:8364,42:3588,43:1230,44:342,45:52,46:13</t>
  </si>
  <si>
    <t>Trial:0 w:48; Trial:1 w:46; Trial:2 w:35; Trial:10 w:30; Trial:124 w:26; Trial:456 w:23; Trial:1824 w:22; pErr:0.3677, weight 22 CW found:1162151, wDict:22:212,23:288,24:628,25:1064,26:1357,27:1911,28:2782,29:3665,30:4974,31:6484,32:8669,33:11509,34:14782,35:19518,36:25672,37:32486,38:40920,39:51671,40:62619,41:74194,42:84921,43:92541,44:96409,45:93697,46:84486,47:69615,48:50480,49:32535,50:17949,51:7967,52:2983,53:810,54:174,55:24,56:4</t>
  </si>
  <si>
    <t>Trial:0 w:54; Trial:1 w:53; Trial:4 w:49; Trial:8 w:45; Trial:24 w:44; Trial:33 w:41; Trial:37 w:40; Trial:89 w:39; Trial:90 w:35; Trial:337 w:34; Trial:506 w:33; Trial:560 w:32; Trial:852 w:30; Trial:3407 w:27; Trial:5861 w:25; Trial:51304 w:24; pErr:0.3679, weight 24 CW found:1099810, wDict:24:3,25:25,26:92,27:162,28:255,29:409,30:496,31:787,32:1109,33:1535,34:2032,35:2930,36:3812,37:4912,38:6481,39:8773,40:11609,41:15000,42:19508,43:25284,44:32208,45:40533,46:50157,47:60830,48:71025,49:81402,50:88964,51:93229,52:91170,53:83384,54:71062,55:54270,56:36917,57:21616,58:11275,59:4605,60:1617,61:415,62:94,63:13</t>
  </si>
  <si>
    <t>Trial:0 w:56; Trial:2 w:50; Trial:4 w:49; Trial:7 w:45; Trial:19 w:34; Trial:103 w:33; Trial:277 w:29; Trial:11309 w:26; Trial:15861 w:25; pErr:0.3679, weight 25 CW found:1127620, wDict:25:6,26:21,27:53,28:123,29:175,30:259,31:396,32:585,33:824,34:1103,35:1423,36:1957,37:2633,38:3442,39:4337,40:5529,41:7043,42:8824,43:11066,44:14023,45:17647,46:21729,47:26693,48:32342,49:38930,50:46188,51:54047,52:62121,53:69370,54:75385,55:78669,56:79941,57:76313,58:70084,59:59530,60:47475,61:34092,62:22353,63:12880,64:6360,65:2767,66:947,67:245,68:62,69:7,70:1</t>
  </si>
  <si>
    <t>Trial:0 w:66; Trial:1 w:58; Trial:13 w:56; Trial:15 w:49; Trial:41 w:46; Trial:50 w:44; Trial:115 w:37; Trial:589 w:31; Trial:1296 w:28; Trial:9827 w:26; Trial:27696 w:25; Trial:34435 w:24; pErr:0.3679, weight 24 CW found:1108565, wDict:24:23,25:34,26:55,27:91,28:131,29:176,30:237,31:244,32:334,33:385,34:476,35:464,36:576,37:716,38:787,39:903,40:996,41:1225,42:1399,43:1578,44:1890,45:2212,46:2821,47:3549,48:4454,49:5652,50:7185,51:9094,52:11525,53:14791,54:18734,55:23676,56:29427,57:36984,58:44684,59:53496,60:62751,61:71148,62:78823,63:83198,64:84793,65:80712,66:73186,67:61790,68:47330,69:33581,70:21045,71:11729,72:5659,73:2256,74:757,75:181,76:48,77:8,78:1</t>
  </si>
  <si>
    <t>Trial:0 w:58; Trial:8 w:54; Trial:25 w:42; Trial:46 w:40; Trial:876 w:33; Trial:16521 w:32; Trial:19258 w:31; Trial:42676 w:30; Trial:75874 w:28; Trial:344538 w:27; pErr:0.3679, weight 27 CW found:738154, wDict:27:3,28:6,29:10,30:14,31:31,32:40,33:80,34:115,35:180,36:232,37:366,38:510,39:690,40:855,41:1141,42:1438,43:1794,44:2259,45:2861,46:3445,47:4328,48:5222,49:6141,50:7649,51:9024,52:10658,53:12831,54:15430,55:18224,56:20901,57:24355,58:28493,59:32638,60:37083,61:41646,62:46403,63:50960,64:55034,65:58573,66:60843,67:61365,68:61473,69:59332,70:55004,71:49299,72:42118,73:34574,74:26436,75:19340,76:12856,77:7744,78:4426,79:2141,80:893,81:362,82:92,83:30,84:9</t>
  </si>
  <si>
    <t>Trial:0 w:73; Trial:1 w:66; Trial:3 w:60; Trial:82 w:56; Trial:140 w:49; Trial:151 w:48; Trial:1305 w:47; Trial:5751 w:38; Trial:36135 w:36; Trial:89752 w:35; Trial:193705 w:32; pErr:0.3679, weight 32 CW found:919837, wDict:32:2,33:2,34:5,35:2,36:6,37:8,38:19,39:16,40:28,41:29,42:39,43:48,44:61,45:76,46:108,47:146,48:178,49:215,50:291,51:338,52:511,53:660,54:879,55:1173,56:1402,57:1876,58:2447,59:3196,60:4040,61:5201,62:6854,63:8771,64:11001,65:14223,66:17720,67:22406,68:27801,69:33823,70:41094,71:48858,72:56469,73:64865,74:71177,75:76963,76:79328,77:78729,78:74374,79:66257,80:55773,81:44025,82:31799,83:20792,84:12436,85:6536,86:3124,87:1216,88:439,89:112,90:28,91:5</t>
  </si>
  <si>
    <t>Trial:0 w:76; Trial:1 w:70; Trial:8 w:68; Trial:9 w:66; Trial:17 w:60; Trial:64 w:51; Trial:359 w:43; Trial:400 w:41; Trial:13962 w:39; Trial:18196 w:35; Trial:38276 w:34; Trial:46659 w:32; Trial:117872 w:30; pErr:0.3679, weight 30 CW found:987199, wDict:30:3,31:4,32:3,33:11,34:14,35:27,36:35,37:36,38:52,39:74,40:103,41:122,42:146,43:221,44:235,45:341,46:346,47:498,48:548,49:723,50:817,51:1041,52:1225,53:1447,54:1713,55:2057,56:2391,57:2868,58:3454,59:3962,60:4885,61:5740,62:6617,63:7827,64:9310,65:10771,66:12444,67:14713,68:16905,69:19678,70:22454,71:25375,72:28999,73:33187,74:36968,75:40739,76:44771,77:48768,78:51850,79:54555,80:56102,81:56744,82:56265,83:54014,84:50387,85:46081,86:40389,87:34161,88:27109,89:20523,90:14673,91:9803,92:5979,93:3543,94:1821,95:824,96:347,97:116,98:32,99:9,100:4,101:1</t>
  </si>
  <si>
    <t>Trial:0 w:76; Trial:2 w:60; Trial:8 w:58; Trial:14 w:44; Trial:660 w:42; Trial:924 w:38; Trial:3942 w:36; Trial:27978 w:34; Trial:207449 w:32; pErr:0.3679, weight 32 CW found:1030254, wDict:32:2,34:21,36:76,38:165,40:318,42:645,44:1042,46:1694,48:2643,50:3954,52:5842,54:8316,56:11849,58:16890,60:23187,62:31414,64:42134,66:54804,68:68676,70:83483,72:95458,74:103468,76:104655,78:97423,80:83306,82:64348,84:44196,86:26615,88:14032,90:6194,92:2256,94:691,96:162,98:37,100:4</t>
  </si>
  <si>
    <t>Trial:0 w:98; Trial:1 w:89; Trial:7 w:86; Trial:13 w:84; Trial:28 w:80; Trial:56 w:77; Trial:76 w:76; Trial:200 w:73; Trial:757 w:69; Trial:1155 w:68; Trial:2554 w:65; Trial:9780 w:62; Trial:11085 w:61; Trial:33613 w:48; pErr:0.3679, weight 48 CW found:1099789, wDict:48:4,49:1,50:3,51:2,52:1,53:4,54:6,55:4,56:9,57:7,58:10,59:12,60:19,61:30,62:35,63:47,64:63,65:86,66:101,67:133,68:172,69:255,70:334,71:422,72:549,73:719,74:987,75:1332,76:1744,77:2307,78:3074,79:3958,80:5225,81:6819,82:8872,83:11323,84:14553,85:18562,86:23106,87:28986,88:35298,89:42818,90:50419,91:58542,92:66352,93:72333,94:76841,95:79472,96:77626,97:72980,98:64637,99:53664,100:41870,101:30060,102:19946,103:11821,104:6555,105:3052,106:1221,107:424,108:148,109:40,110:4,111:1</t>
  </si>
  <si>
    <t>Trial:0 w:103; Trial:2 w:97; Trial:3 w:95; Trial:7 w:87; Trial:52 w:83; Trial:157 w:80; Trial:234 w:78; Trial:277 w:75; Trial:1556 w:68; Trial:2143 w:67; Trial:5788 w:66; Trial:6703 w:61; Trial:38226 w:60; Trial:69926 w:58; Trial:101611 w:56; Trial:448543 w:52; Trial:823602 w:50; Trial:849077 w:48; pErr:0.3679, weight 48 CW found:171040, wDict:48:1,50:1,52:1,53:1,56:4,57:2,58:3,59:7,60:6,61:14,62:18,63:24,64:24,65:35,66:29,67:49,68:66,69:113,70:111,71:117,72:165,73:243,74:296,75:408,76:559,77:690,78:904,79:1159,80:1516,81:1940,82:2547,83:3160,84:4289,85:5406,86:6988,87:8871,88:11363,89:14140,90:17886,91:22297,92:27279,93:33217,94:39519,95:46987,96:54430,97:61203,98:67886,99:72662,100:75126,101:75280,102:72183,103:66222,104:57501,105:47050,106:36290,107:25736,108:16424,109:9978,110:5278,111:2678,112:1069,113:394,114:122,115:29,116:4</t>
  </si>
  <si>
    <t>Trial:0 w:106; Trial:1 w:105; Trial:3 w:102; Trial:4 w:101; Trial:22 w:94; Trial:89 w:93; Trial:218 w:87; Trial:319 w:84; Trial:545 w:76; Trial:9547 w:72; Trial:32451 w:67; Trial:162780 w:66; Trial:175574 w:65; Trial:194258 w:55; pErr:0.3679, weight 55 CW found:912192, wDict:55:1,59:1,61:1,63:1,64:2,65:3,66:2,67:5,68:4,69:5,70:11,71:8,72:9,73:12,74:19,75:27,76:33,77:35,78:61,79:74,80:93,81:130,82:162,83:233,84:292,85:362,86:532,87:703,88:971,89:1287,90:1584,91:2009,92:2742,93:3549,94:4741,95:5980,96:7702,97:9859,98:12528,99:16155,100:19757,101:24864,102:30137,103:35886,104:43458,105:50693,106:57873,107:64557,108:70491,109:74354,110:75277,111:74162,112:69267,113:61933,114:52297,115:41968,116:31011,117:21541,118:13546,119:7882,120:4033,121:1967,122:739,123:273,124:82,125:17,126:6,127:1</t>
  </si>
  <si>
    <t>Trial:0 w:111; Trial:1 w:107; Trial:2 w:105; Trial:4 w:100; Trial:5 w:98; Trial:17 w:97; Trial:20 w:90; Trial:34 w:87; Trial:107 w:85; Trial:858 w:80; Trial:7499 w:77; Trial:7834 w:72; Trial:48143 w:68; Trial:86027 w:67; Trial:98069 w:49; pErr:0.3679, weight 49 CW found:1020968, wDict:49:1,53:1,54:1,61:1,62:1,63:1,64:1,65:2,66:7,67:6,68:4,69:5,70:5,71:6,72:10,73:14,74:16,75:26,76:34,77:51,78:56,79:96,80:110,81:125,82:189,83:254,84:312,85:412,86:545,87:699,88:945,89:1230,90:1624,91:2135,92:2671,93:3521,94:4665,95:6191,96:7819,97:9881,98:12835,99:16067,100:19709,101:24557,102:29972,103:36768,104:43375,105:50402,106:57973,107:64430,108:70007,109:74242,110:75750,111:73822,112:69193,113:62002,114:52701,115:41643,116:30953,117:21466,118:13577,119:7782,120:4112,121:1863,122:735,123:291,124:72,125:22,126:4,127:2</t>
  </si>
  <si>
    <t>Trial:0 w:107; Trial:36 w:105; Trial:41 w:104; Trial:46 w:91; Trial:1045 w:89; Trial:4740 w:81; Trial:9553 w:80; Trial:44891 w:75; Trial:65483 w:66; Trial:87210 w:52; pErr:0.3679, weight 52 CW found:1031163, wDict:52:1,57:1,59:1,62:1,64:1,66:1,67:1,68:1,69:1,70:2,71:2,72:3,73:3,74:1,75:2,76:7,77:6,78:9,79:14,80:15,81:20,82:28,83:37,84:45,85:70,86:82,87:103,88:156,89:162,90:228,91:352,92:428,93:504,94:726,95:915,96:1252,97:1710,98:2087,99:2729,100:3596,101:4581,102:5850,103:7527,104:9675,105:12013,106:15167,107:19088,108:23511,109:28453,110:34259,111:40417,112:47985,113:53766,114:60942,115:66541,116:70767,117:72969,118:72788,119:69715,120:64095,121:55550,122:46361,123:35962,124:25833,125:17891,126:10952,127:6403,128:3176,129:1547,130:610,131:223,132:57,133:16,134:7</t>
  </si>
  <si>
    <t>outfile: /home/ucapmwe/dist-benchmark/results/tanner_codes-QDistRndMW-20260203_135027.032673_85062422.txt</t>
  </si>
  <si>
    <t>Trial:0 w:4; pErr:0.0000, weight 4 CW found:277, wDict:4:999447,6:513,8:30,9:10</t>
  </si>
  <si>
    <t>Trial:0 w:8; pErr:0.0000, weight 8 CW found:9809, wDict:8:766730,9:197731,10:24154,11:5645,12:4738,13:840,14:155,15:7</t>
  </si>
  <si>
    <t>Trial:0 w:15; Trial:1 w:14; Trial:2 w:13; Trial:29 w:12; pErr:0.0062, weight 12 CW found:245970, wDict:12:114928,13:184451,14:156077,15:110546,16:134562,17:122239,18:83444,19:48420,20:26425,21:12747,22:4728,23:1216,24:197,25:20</t>
  </si>
  <si>
    <t>Trial:0 w:26; Trial:1 w:18; Trial:8 w:16; Trial:11 w:13; pErr:0.2520, weight 13 CW found:861766, wDict:13:6695,14:17211,15:29599,16:32851,17:37462,18:48985,19:57039,20:68796,21:82363,22:96072,23:106893,24:111789,25:104633,26:87221,27:60545,28:33175,29:13896,30:3949,31:711,32:110,33:5</t>
  </si>
  <si>
    <t>Trial:0 w:27; Trial:5 w:26; Trial:10 w:21; Trial:31 w:20; Trial:57 w:17; pErr:0.3471, weight 17 CW found:1114242, wDict:17:1001,18:5119,19:9096,20:16097,21:23175,22:30735,23:41665,24:53652,25:66084,26:78453,27:90442,28:98394,29:102444,30:99932,31:89271,32:74174,33:54342,34:34950,35:18871,36:8368,37:2862,38:738,39:111,40:22,41:1,42:1</t>
  </si>
  <si>
    <t>Trial:0 w:29; Trial:5 w:28; Trial:7 w:27; Trial:10 w:26; Trial:20 w:23; Trial:43 w:21; Trial:107 w:19; Trial:682 w:18; pErr:0.3603, weight 18 CW found:1131774, wDict:18:2116,19:3434,20:4464,21:7226,22:10656,23:17074,24:23389,25:31324,26:40734,27:49727,28:59098,29:67032,30:74507,31:80159,32:82616,33:83091,34:79850,35:73494,36:63596,37:51617,38:38866,39:26572,40:15817,41:8272,42:3620,43:1262,44:319,45:60,46:8</t>
  </si>
  <si>
    <t>Trial:0 w:43; Trial:1 w:33; Trial:4 w:27; Trial:258 w:26; Trial:1467 w:25; Trial:1933 w:22; pErr:0.3677, weight 22 CW found:1161370, wDict:22:197,23:281,24:588,25:1052,26:1343,27:1926,28:2710,29:3686,30:4951,31:6503,32:8659,33:11477,34:15015,35:19544,36:25358,37:32544,38:41646,39:51494,40:62446,41:74191,42:84933,43:92942,44:96432,45:94211,46:84329,47:68726,48:50800,49:32499,50:17669,51:7950,52:2913,53:804,54:153,55:23,56:5</t>
  </si>
  <si>
    <t>Trial:0 w:44; Trial:4 w:42; Trial:16 w:41; Trial:24 w:34; Trial:187 w:28; Trial:6433 w:27; Trial:18058 w:26; Trial:28649 w:25; Trial:130491 w:24; pErr:0.3679, weight 24 CW found:1007669, wDict:24:2,25:18,26:92,27:138,28:252,29:344,30:574,31:788,32:1060,33:1486,34:2019,35:2740,36:3715,37:5098,38:6465,39:8607,40:11507,41:14886,42:19584,43:25016,44:32292,45:40023,46:49883,47:61037,48:71459,49:81578,50:89668,51:92788,52:91425,53:83303,54:70955,55:54196,56:37131,57:21994,58:11185,59:4605,60:1538,61:436,62:96,63:14,64:3</t>
  </si>
  <si>
    <t>Trial:0 w:48; Trial:7 w:43; Trial:32 w:40; Trial:57 w:33; Trial:659 w:32; Trial:961 w:31; Trial:1628 w:29; Trial:3383 w:28; Trial:8530 w:25; pErr:0.3679, weight 25 CW found:1136510, wDict:25:10,26:32,27:54,28:110,29:160,30:291,31:396,32:624,33:812,34:1161,35:1555,36:2026,37:2577,38:3436,39:4271,40:5512,41:7007,42:8903,43:11154,44:14009,45:17197,46:21706,47:26734,48:32307,49:38830,50:46262,51:53904,52:61450,53:68996,54:75231,55:79190,56:79970,57:76912,58:69853,59:59798,60:47188,61:34490,62:22446,63:13058,64:6255,65:2816,66:984,67:249,68:64,69:9,70:1</t>
  </si>
  <si>
    <t>Trial:0 w:62; Trial:2 w:54; Trial:36 w:52; Trial:37 w:35; Trial:419 w:32; Trial:2036 w:27; Trial:13648 w:26; Trial:14199 w:25; Trial:45686 w:24; pErr:0.3679, weight 24 CW found:1095388, wDict:24:33,25:43,26:56,27:80,28:120,29:182,30:241,31:271,32:309,33:360,34:462,35:517,36:599,37:654,38:774,39:833,40:1046,41:1190,42:1361,43:1585,44:1874,45:2395,46:2875,47:3606,48:4376,49:5648,50:6881,51:9016,52:11295,53:14929,54:18606,55:23852,56:29552,57:36479,58:44619,59:53495,60:62736,61:71268,62:78780,63:83684,64:84413,65:81351,66:73253,67:61478,68:47638,69:33422,70:21284,71:11732,72:5563,73:2240,74:717,75:176,76:45,77:5,78:1</t>
  </si>
  <si>
    <t>Trial:0 w:49; Trial:2 w:48; Trial:23 w:40; Trial:354 w:37; Trial:946 w:34; Trial:13268 w:33; Trial:21960 w:32; Trial:33487 w:31; Trial:79160 w:29; Trial:89094 w:27; pErr:0.3679, weight 27 CW found:1025616, wDict:27:2,28:2,29:8,30:24,31:20,32:42,33:86,34:125,35:177,36:280,37:373,38:490,39:663,40:880,41:1062,42:1365,43:1752,44:2286,45:2769,46:3441,47:4212,48:5263,49:6332,50:7519,51:9214,52:10916,53:12883,54:15518,55:17731,56:20965,57:24247,58:28330,59:32663,60:37194,61:41972,62:46237,63:51050,64:54680,65:58613,66:61025,67:62128,68:61451,69:58988,70:55030,71:49095,72:42271,73:34417,74:26533,75:19096,76:12780,77:7793,78:4400,79:2142,80:967,81:344,82:117,83:27,84:10</t>
  </si>
  <si>
    <t>Trial:0 w:73; Trial:1 w:72; Trial:6 w:71; Trial:7 w:63; Trial:14 w:60; Trial:125 w:56; Trial:223 w:54; Trial:1141 w:49; Trial:2147 w:41; Trial:16891 w:40; Trial:23733 w:37; Trial:51140 w:35; Trial:293129 w:31; Trial:666790 w:30; pErr:0.3679, weight 30 CW found:380087, wDict:30:1,31:1,32:1,33:5,34:3,35:5,36:6,37:8,38:10,39:13,40:21,41:22,42:50,43:53,44:70,45:82,46:113,47:119,48:204,49:246,50:333,51:399,52:519,53:640,54:882,55:1040,56:1373,57:1824,58:2467,59:3142,60:4096,61:5132,62:6862,63:8580,64:10919,65:14131,66:17671,67:22450,68:27626,69:33925,70:40765,71:48746,72:56333,73:64561,74:71999,75:77004,76:79179,77:78760,78:74399,79:66666,80:55834,81:43934,82:31919,83:20998,84:12528,85:6586,86:3008,87:1179,88:416,89:112,90:24,91:6</t>
  </si>
  <si>
    <t>Trial:0 w:81; Trial:1 w:65; Trial:18 w:58; Trial:45 w:51; Trial:242 w:32; Trial:240134 w:30; pErr:0.3679, weight 30 CW found:850656, wDict:30:2,31:4,32:8,33:12,34:12,35:13,36:26,37:46,38:53,39:84,40:94,41:128,42:166,43:203,44:237,45:341,46:380,47:468,48:584,49:671,50:816,51:986,52:1169,53:1493,54:1699,55:2021,56:2464,57:3020,58:3412,59:4274,60:4736,61:5565,62:6537,63:7871,64:9127,65:10789,66:12622,67:14681,68:16834,69:19402,70:22491,71:25805,72:29633,73:32984,74:36840,75:40699,76:44552,77:48456,78:51578,79:55009,80:56191,81:56710,82:56545,83:54040,84:50770,85:45904,86:40458,87:33789,88:26982,89:20476,90:14731,91:9644,92:6072,93:3525,94:1756,95:811,96:343,97:122,98:28,99:6</t>
  </si>
  <si>
    <t>Trial:0 w:76; Trial:1 w:74; Trial:3 w:72; Trial:7 w:70; Trial:13 w:66; Trial:24 w:52; Trial:106 w:50; Trial:309 w:42; Trial:693 w:40; Trial:1526 w:36; Trial:21724 w:34; Trial:175625 w:32; pErr:0.3679, weight 32 CW found:1071449, wDict:32:4,34:15,36:59,38:159,40:330,42:636,44:1072,46:1710,48:2639,50:4013,52:5908,54:8543,56:11896,58:16642,60:23197,62:32014,64:42322,66:54853,68:68728,70:82922,72:95419,74:103479,76:104581,78:97512,80:82652,82:64673,84:44116,86:26541,88:13999,90:6211,92:2211,94:728,96:188,98:26,100:2</t>
  </si>
  <si>
    <t>Trial:0 w:88; Trial:2 w:84; Trial:14 w:80; Trial:126 w:70; Trial:285 w:68; Trial:1405 w:60; Trial:18682 w:56; Trial:115240 w:47; pErr:0.3679, weight 47 CW found:1006737, wDict:47:2,50:2,51:2,52:2,53:2,54:2,55:3,56:9,57:8,58:16,59:17,60:23,61:33,62:37,63:45,64:62,65:68,66:108,67:111,68:172,69:206,70:356,71:387,72:577,73:766,74:1060,75:1380,76:1773,77:2390,78:3030,79:3981,80:5207,81:6750,82:8830,83:11295,84:14535,85:18358,86:23420,87:28440,88:35428,89:42758,90:50695,91:58450,92:65916,93:72873,94:76891,95:79728,96:78054,97:72313,98:64406,99:53957,100:41899,101:30371,102:19701,103:11905,104:6290,105:3076,106:1207,107:433,108:143,109:36,110:4,111:1</t>
  </si>
  <si>
    <t>Trial:0 w:104; Trial:1 w:102; Trial:4 w:99; Trial:6 w:88; Trial:13 w:87; Trial:18 w:85; Trial:24 w:77; Trial:543 w:75; Trial:1814 w:73; Trial:2885 w:72; Trial:4908 w:62; Trial:20455 w:57; Trial:255780 w:53; Trial:535735 w:51; pErr:0.3679, weight 51 CW found:526772, wDict:51:1,52:1,53:1,54:1,55:2,57:2,58:3,59:4,60:8,61:14,62:14,63:17,64:18,65:29,66:40,67:48,68:78,69:80,70:95,71:151,72:149,73:226,74:326,75:369,76:504,77:682,78:897,79:1174,80:1586,81:1933,82:2514,83:3309,84:4198,85:5343,86:7025,87:8810,88:11379,89:14492,90:17879,91:22098,92:27222,93:33303,94:39634,95:46556,96:54266,97:61230,98:67520,99:72560,100:75523,101:75026,102:72409,103:66224,104:57639,105:47296,106:35871,107:25704,108:16783,109:9966,110:5483,111:2580,112:1119,113:412,114:137,115:31,116:6</t>
  </si>
  <si>
    <t>Trial:0 w:113; Trial:1 w:100; Trial:6 w:99; Trial:32 w:90; Trial:326 w:81; Trial:1712 w:77; Trial:5756 w:74; Trial:24254 w:72; Trial:79300 w:69; Trial:106617 w:67; Trial:119939 w:64; Trial:252544 w:61; Trial:683050 w:59; pErr:0.3679, weight 59 CW found:359018, wDict:59:1,61:2,62:2,64:1,65:2,66:1,67:3,68:2,69:5,70:3,71:5,72:16,73:22,74:16,75:29,76:42,77:38,78:57,79:75,80:91,81:126,82:180,83:258,84:306,85:405,86:504,87:710,88:907,89:1183,90:1558,91:2154,92:2842,93:3625,94:4657,95:5973,96:7893,97:9937,98:12478,99:15726,100:19734,101:24457,102:29653,103:36688,104:43532,105:50396,106:57660,107:64442,108:70633,109:74358,110:75526,111:74166,112:69717,113:61535,114:52641,115:41767,116:31419,117:21303,118:13701,119:7825,120:3989,121:1842,122:786,123:306,124:66,125:19,126:4</t>
  </si>
  <si>
    <t>Trial:0 w:105; Trial:7 w:101; Trial:12 w:100; Trial:18 w:96; Trial:42 w:85; Trial:381 w:73; Trial:21961 w:66; Trial:242518 w:65; Trial:251307 w:64; Trial:407605 w:59; pErr:0.3679, weight 59 CW found:670726, wDict:59:2,60:1,61:1,62:2,64:2,65:1,66:2,67:3,68:6,69:7,70:4,71:7,72:12,73:12,74:21,75:27,76:32,77:40,78:65,79:73,80:104,81:137,82:180,83:221,84:298,85:415,86:555,87:749,88:900,89:1204,90:1593,91:2039,92:2627,93:3580,94:4671,95:5962,96:7611,97:10072,98:12406,99:15767,100:20095,101:24732,102:30048,103:36620,104:43257,105:50359,106:58083,107:64742,108:70710,109:74331,110:74824,111:74109,112:69537,113:62248,114:52258,115:41569,116:31184,117:21384,118:13523,119:7898,120:4026,121:1904,122:776,123:266,124:78,125:24,126:4</t>
  </si>
  <si>
    <t>Trial:0 w:108; Trial:5 w:101; Trial:81 w:100; Trial:119 w:97; Trial:283 w:95; Trial:303 w:92; Trial:437 w:87; Trial:2310 w:85; Trial:7030 w:84; Trial:25610 w:81; Trial:46913 w:79; Trial:61032 w:75; Trial:117590 w:70; Trial:310051 w:69; Trial:672028 w:52; pErr:0.3679, weight 52 CW found:370509, wDict:52:1,67:1,69:2,70:2,71:2,73:3,74:4,75:8,76:1,77:8,78:5,79:13,80:12,81:13,82:27,83:39,84:59,85:63,86:84,87:106,88:142,89:200,90:248,91:327,92:408,93:572,94:698,95:932,96:1181,97:1579,98:2188,99:2702,100:3478,101:4624,102:5807,103:7767,104:9739,105:12167,106:15212,107:19063,108:23254,109:28688,110:34278,111:40656,112:47319,113:54451,114:61056,115:65949,116:70648,117:72774,118:73314,119:69426,120:64001,121:55922,122:46045,123:35824,124:26403,125:17622,126:10958,127:6261,128:3259,129:1513,130:577,131:234,132:69,133:11,134:1</t>
  </si>
  <si>
    <t>outfile: /home/ucapmwe/dist-benchmark/results/tanner_codes-QDistRndMW-20260203_135027.630613_85062422.txt</t>
  </si>
  <si>
    <t>Trial:0 w:4; pErr:0.0000, weight 4 CW found:251, wDict:4:999465,6:499,8:27,9:9</t>
  </si>
  <si>
    <t>Trial:0 w:9; Trial:1 w:8; pErr:0.0000, weight 8 CW found:9751, wDict:8:767992,9:196495,10:24173,11:5543,12:4786,13:857,14:150,15:4</t>
  </si>
  <si>
    <t>Trial:0 w:12; pErr:0.0061, weight 12 CW found:245888, wDict:12:114903,13:184837,14:156960,15:110079,16:135012,17:121481,18:83157,19:48220,20:26494,21:12677,22:4730,23:1220,24:207,25:22,26:1</t>
  </si>
  <si>
    <t>Trial:0 w:22; Trial:2 w:19; Trial:4 w:18; Trial:13 w:13; pErr:0.2521, weight 13 CW found:862404, wDict:13:6865,14:17027,15:29569,16:33002,17:37723,18:48868,19:56452,20:68989,21:82686,22:96091,23:106430,24:111525,25:105410,26:87343,27:60156,28:33251,29:13946,30:3835,31:744,32:80,33:8</t>
  </si>
  <si>
    <t>Trial:0 w:27; Trial:3 w:26; Trial:8 w:25; Trial:19 w:24; Trial:21 w:18; Trial:51 w:17; pErr:0.3472, weight 17 CW found:1114710, wDict:17:1006,18:5066,19:9188,20:16031,21:23132,22:30746,23:41213,24:53404,25:66360,26:78998,27:89762,28:98067,29:102306,30:99352,31:90114,32:74056,33:54688,34:35294,35:19098,36:8358,37:2866,38:742,39:139,40:14</t>
  </si>
  <si>
    <t>Trial:0 w:34; Trial:1 w:31; Trial:2 w:29; Trial:5 w:25; Trial:7 w:24; Trial:13 w:22; Trial:158 w:20; Trial:179 w:18; pErr:0.3603, weight 18 CW found:1132332, wDict:18:2126,19:3389,20:4572,21:6913,22:10671,23:17015,24:23775,25:31598,26:40606,27:49976,28:58884,29:67500,30:74889,31:79739,32:82891,33:82614,34:79255,35:73472,36:63503,37:51836,38:38998,39:26293,40:16043,41:8241,42:3571,43:1230,44:331,45:54,46:13,47:2</t>
  </si>
  <si>
    <t>Trial:0 w:43; Trial:1 w:40; Trial:6 w:39; Trial:13 w:36; Trial:20 w:33; Trial:54 w:30; Trial:184 w:29; Trial:328 w:23; Trial:2407 w:22; pErr:0.3677, weight 22 CW found:1161143, wDict:22:213,23:317,24:602,25:1055,26:1341,27:1953,28:2717,29:3668,30:4900,31:6547,32:8755,33:11548,34:15072,35:19442,36:25233,37:32594,38:41292,39:51313,40:62380,41:74298,42:84883,43:93197,44:96455,45:93776,46:84448,47:69076,48:50508,49:32664,50:17656,51:8121,52:2943,53:791,54:201,55:37,56:4</t>
  </si>
  <si>
    <t>Trial:0 w:46; Trial:8 w:45; Trial:26 w:40; Trial:96 w:38; Trial:198 w:36; Trial:317 w:32; Trial:590 w:31; Trial:2096 w:27; Trial:7006 w:25; Trial:283489 w:24; pErr:0.3679, weight 24 CW found:830731, wDict:24:3,25:18,26:96,27:155,28:238,29:388,30:510,31:772,32:1057,33:1374,34:2049,35:2776,36:3679,37:4931,38:6582,39:8703,40:11402,41:14929,42:19712,43:25474,44:32580,45:40417,46:50419,47:60659,48:71273,49:81505,50:89602,51:92163,52:91202,53:83966,54:70062,55:54023,56:36939,57:22098,58:11294,59:4800,60:1632,61:417,62:88,63:11,64:2</t>
  </si>
  <si>
    <t>Trial:0 w:58; Trial:1 w:49; Trial:2 w:45; Trial:15 w:38; Trial:38 w:37; Trial:74 w:35; Trial:314 w:33; Trial:463 w:30; Trial:1449 w:28; Trial:11375 w:26; Trial:95782 w:25; pErr:0.3679, weight 25 CW found:1036226, wDict:25:6,26:26,27:61,28:119,29:183,30:291,31:415,32:571,33:876,34:1092,35:1489,36:1938,37:2581,38:3452,39:4364,40:5542,41:7006,42:8806,43:11097,44:14069,45:17490,46:21746,47:26576,48:32450,49:38955,50:46270,51:53958,52:61820,53:69877,54:75173,55:78691,56:79425,57:77345,58:70152,59:59318,60:47084,61:34000,62:22382,63:12833,64:6460,65:2718,66:977,67:253,68:53,69:9,70:1</t>
  </si>
  <si>
    <t>Trial:0 w:57; Trial:5 w:54; Trial:15 w:53; Trial:17 w:47; Trial:44 w:38; Trial:54 w:28; Trial:3000 w:27; Trial:16191 w:25; Trial:82463 w:24; pErr:0.3679, weight 24 CW found:1053726, wDict:24:20,25:42,26:50,27:75,28:130,29:181,30:232,31:296,32:304,33:413,34:490,35:523,36:576,37:641,38:749,39:870,40:1030,41:1181,42:1354,43:1621,44:1870,45:2342,46:2845,47:3485,48:4465,49:5580,50:7054,51:9052,52:11651,53:14719,54:18763,55:23519,56:29379,57:36559,58:44672,59:53128,60:62652,61:71383,62:78793,63:83406,64:84521,65:80818,66:73669,67:61610,68:47915,69:33573,70:21280,71:11725,72:5515,73:2299,74:738,75:182,76:52,77:8</t>
  </si>
  <si>
    <t>Trial:0 w:66; Trial:2 w:48; Trial:47 w:46; Trial:70 w:39; Trial:579 w:37; Trial:1095 w:36; Trial:1646 w:35; Trial:5813 w:34; Trial:22130 w:32; Trial:24046 w:30; Trial:149493 w:29; Trial:630767 w:28; Trial:653886 w:27; pErr:0.3679, weight 27 CW found:389386, wDict:27:2,28:3,29:9,30:19,31:29,32:47,33:84,34:114,35:190,36:257,37:349,38:508,39:649,40:897,41:1120,42:1451,43:1820,44:2329,45:2792,46:3412,47:4233,48:5222,49:6197,50:7521,51:9140,52:10919,53:12851,54:15060,55:17903,56:21164,57:24754,58:28145,59:32115,60:37153,61:41478,62:46470,63:51062,64:54630,65:58701,66:60922,67:61817,68:61388,69:59412,70:55221,71:49444,72:42257,73:34388,74:26658,75:19070,76:12796,77:7802,78:4467,79:2193,80:902,81:324,82:113,83:21,84:4,85:2</t>
  </si>
  <si>
    <t>Trial:0 w:81; Trial:4 w:72; Trial:5 w:70; Trial:6 w:66; Trial:12 w:60; Trial:203 w:52; Trial:467 w:44; Trial:9467 w:39; Trial:24129 w:38; Trial:64806 w:34; Trial:134392 w:31; pErr:0.3679, weight 31 CW found:987035, wDict:31:1,32:2,33:1,34:3,35:4,36:4,37:10,38:13,39:19,40:19,41:23,42:35,43:48,44:66,45:77,46:126,47:171,48:180,49:237,50:279,51:408,52:523,53:697,54:883,55:1087,56:1402,57:1861,58:2458,59:3094,60:4003,61:5315,62:6664,63:8645,64:11170,65:14082,66:17488,67:22266,68:27584,69:33968,70:41184,71:48766,72:57287,73:64358,74:71409,75:76423,76:79171,77:78382,78:75014,79:66475,80:56230,81:44144,82:31771,83:20761,84:12451,85:6468,86:3054,87:1192,88:413,89:103,90:19,91:8,92:1</t>
  </si>
  <si>
    <t>Trial:0 w:88; Trial:1 w:77; Trial:3 w:75; Trial:4 w:69; Trial:7 w:61; Trial:9 w:47; Trial:147 w:41; Trial:152 w:33; Trial:172152 w:31; pErr:0.3679, weight 31 CW found:926175, wDict:31:3,32:4,33:12,34:14,35:19,36:27,37:34,38:52,39:87,40:92,41:115,42:169,43:209,44:263,45:299,46:429,47:447,48:587,49:668,50:877,51:1029,52:1207,53:1407,54:1697,55:1981,56:2453,57:2895,58:3465,59:4011,60:4819,61:5644,62:6708,63:7842,64:9296,65:10490,66:12540,67:14504,68:17000,69:19492,70:22384,71:25836,72:29339,73:32868,74:37023,75:40927,76:44918,77:48513,78:51962,79:54559,80:55995,81:56837,82:56329,83:54092,84:50703,85:45835,86:40481,87:33689,88:26975,89:20410,90:14729,91:9884,92:6244,93:3394,94:1796,95:861,96:370,97:113,98:37,99:8,100:2</t>
  </si>
  <si>
    <t>Trial:0 w:68; Trial:2 w:56; Trial:89 w:54; Trial:137 w:50; Trial:1119 w:48; Trial:1284 w:46; Trial:1610 w:44; Trial:2154 w:42; Trial:2737 w:40; Trial:7509 w:38; Trial:26232 w:36; Trial:106064 w:34; Trial:383982 w:32; pErr:0.3679, weight 32 CW found:801153, wDict:32:3,34:20,36:60,38:178,40:330,42:674,44:1121,46:1680,48:2636,50:3942,52:5791,54:8438,56:12024,58:16559,60:23408,62:31800,64:42284,66:55252,68:69441,70:82830,72:95339,74:103545,76:104228,78:97238,80:83303,82:63921,84:44331,86:26607,88:13708,90:6164,92:2234,94:704,96:181,98:23,100:3</t>
  </si>
  <si>
    <t>Trial:0 w:94; Trial:5 w:93; Trial:6 w:92; Trial:8 w:90; Trial:13 w:88; Trial:15 w:82; Trial:37 w:77; Trial:295 w:76; Trial:481 w:69; Trial:565 w:63; Trial:4676 w:60; Trial:19068 w:59; Trial:28480 w:57; Trial:93272 w:56; Trial:118954 w:50; Trial:926161 w:48; pErr:0.3679, weight 48 CW found:83972, wDict:48:1,50:2,51:1,53:3,55:2,56:10,57:6,58:9,59:24,60:20,61:25,62:31,63:42,64:65,65:94,66:117,67:124,68:194,69:245,70:310,71:436,72:558,73:737,74:1014,75:1339,76:1763,77:2239,78:3046,79:4088,80:5153,81:6747,82:8823,83:11460,84:14644,85:18296,86:23131,87:28590,88:35234,89:42410,90:50440,91:58247,92:66100,93:73012,94:77395,95:79394,96:77839,97:72699,98:64517,99:54158,100:42231,101:30028,102:19885,103:11743,104:6328,105:3051,106:1299,107:450,108:121,109:26,110:4</t>
  </si>
  <si>
    <t>Trial:0 w:102; Trial:3 w:100; Trial:4 w:99; Trial:6 w:97; Trial:9 w:96; Trial:11 w:94; Trial:16 w:89; Trial:48 w:85; Trial:109 w:80; Trial:193 w:75; Trial:719 w:72; Trial:1641 w:69; Trial:11389 w:65; Trial:12753 w:52; Trial:335905 w:47; pErr:0.3679, weight 47 CW found:753388, wDict:47:1,50:3,52:3,54:3,55:3,56:6,57:4,58:4,59:6,60:10,61:16,62:19,63:16,64:26,65:33,66:38,67:52,68:70,69:87,70:84,71:151,72:190,73:249,74:311,75:386,76:519,77:712,78:870,79:1176,80:1424,81:1973,82:2519,83:3203,84:4291,85:5423,86:7073,87:8898,88:11474,89:14572,90:17758,91:22556,92:27519,93:33148,94:39851,95:46847,96:53995,97:61046,98:67705,99:72271,100:75190,101:75627,102:72312,103:66119,104:57579,105:46972,106:35907,107:25393,108:16741,109:10026,110:5301,111:2676,112:1079,113:340,114:103,115:35,116:6</t>
  </si>
  <si>
    <t>Trial:0 w:112; Trial:1 w:108; Trial:2 w:100; Trial:3 w:97; Trial:23 w:95; Trial:33 w:86; Trial:323 w:85; Trial:774 w:81; Trial:1008 w:78; Trial:1950 w:73; Trial:33550 w:63; Trial:99786 w:62; Trial:359209 w:61; Trial:407694 w:51; pErr:0.3679, weight 51 CW found:670608, wDict:51:1,56:1,61:1,62:2,63:4,65:3,66:3,67:3,68:2,69:1,70:7,71:7,72:7,73:16,74:27,75:21,76:23,77:39,78:54,79:66,80:111,81:126,82:162,83:241,84:307,85:422,86:526,87:705,88:905,89:1222,90:1603,91:2136,92:2812,93:3526,94:4760,95:6084,96:7671,97:9876,98:12578,99:15726,100:19896,101:24600,102:30119,103:36636,104:43204,105:50528,106:57641,107:64737,108:70741,109:74099,110:74955,111:74317,112:69339,113:62078,114:52174,115:41988,116:31155,117:21444,118:13441,119:7997,120:4046,121:1924,122:787,123:266,124:74,125:21,126:6</t>
  </si>
  <si>
    <t>Trial:0 w:113; Trial:1 w:102; Trial:2 w:95; Trial:51 w:89; Trial:140 w:84; Trial:2989 w:80; Trial:8022 w:78; Trial:26903 w:76; Trial:40423 w:63; Trial:75110 w:62; Trial:407743 w:58; Trial:516937 w:57; pErr:0.3679, weight 57 CW found:546614, wDict:57:2,58:2,62:2,63:2,64:1,65:1,66:4,67:5,68:4,69:3,70:3,71:9,72:10,73:11,74:16,75:21,76:33,77:41,78:57,79:69,80:93,81:126,82:164,83:241,84:290,85:385,86:532,87:708,88:988,89:1222,90:1610,91:2068,92:2746,93:3618,94:4617,95:6139,96:7612,97:9893,98:12565,99:15966,100:20061,101:24545,102:29971,103:36235,104:43178,105:50754,106:57770,107:64878,108:70167,109:74029,110:75800,111:74227,112:69327,113:61780,114:52775,115:41619,116:30956,117:21257,118:13684,119:7864,120:4192,121:1896,122:802,123:246,124:83,125:20,126:3,127:2</t>
  </si>
  <si>
    <t>Trial:0 w:109; Trial:3 w:103; Trial:8 w:96; Trial:135 w:91; Trial:663 w:89; Trial:2805 w:88; Trial:8051 w:86; Trial:14530 w:80; Trial:25933 w:78; Trial:81717 w:77; Trial:134044 w:76; Trial:158397 w:75; Trial:248516 w:68; Trial:402294 w:64; Trial:774978 w:59; pErr:0.3679, weight 59 CW found:254224, wDict:59:1,64:1,68:2,69:1,72:1,73:3,74:3,75:4,76:5,77:10,78:4,79:14,80:17,81:16,82:13,83:45,84:50,85:64,86:79,87:102,88:146,89:178,90:237,91:311,92:410,93:579,94:722,95:947,96:1229,97:1639,98:2113,99:2798,100:3518,101:4555,102:5887,103:7620,104:9561,105:12271,106:15337,107:18804,108:23439,109:28187,110:34106,111:40866,112:47544,113:54167,114:60821,115:66582,116:70771,117:72913,118:72565,119:69492,120:64040,121:55627,122:46669,123:36266,124:26353,125:17680,126:10841,127:6299,128:3182,129:1464,130:541,131:205,132:62,133:17,134:2,135:2</t>
  </si>
  <si>
    <t>QDistEvol1M</t>
  </si>
  <si>
    <t>QDistRndMW1M</t>
  </si>
  <si>
    <t>Gen:0 Trial:0 w:114; Trial:1 w:112; Trial:3 w:108; Trial:4 w:99; Trial:22 w:96; Trial:47 w:93; Trial:297 w:90; Trial:3376 w:86; Trial:4292 w:83; Trial:4990 w:81; Gen:2 Trial:20031 w:80; Gen:3 Trial:33001 w:76; Gen:4 Trial:42657 w:75; Gen:5 Trial:50017 w:71; Trial:54069 w:63; Trial:58000 w:58; Gen:6 Trial:61484 w:57; Gen:7 Trial:75051 w:56; Gen:8 Trial:80097 w:50; Gen:9 Trial:94325 w:49; Gen:12 Trial:120054 w:47; Gen:17 Trial:173679 w:46; Gen:18 Trial:186634 w:44; Gen:23 Trial:233893 w:43; Gen:27 Trial:273012 w:42; pErr:0.0000, weight 42 CW found:12493, wDict:42:538269,43:52485,44:99283,45:12143,46:18610,47:44899,48:5548,49:23553,50:17699,51:6241,52:6961,53:1835,54:3365,55:4591,56:6446,57:9374,58:5710,59:1330,60:1695,61:1615,62:4246,63:2483,64:547,65:763,66:597,67:559,68:559,69:478,70:440,71:843,72:702,73:291,74:991,75:5212,76:2862,77:712,78:884,79:3052,80:8616,81:6945,82:737,83:1318,84:1596,85:1364,86:2659,87:654,88:1250,89:1604,90:2322,91:1481,92:1465,93:2194,94:1327,95:1724,96:2534,97:2232,98:2601,99:2611,100:3054,101:2204,102:2375,103:2830,104:3124,105:3431,106:3795,107:4082,108:3624,109:3325,110:3161,111:3229,112:3128,113:3130,114:2950,115:2966,116:2676,117:2285,118:2118,119:1888,120:1535,121:1202,122:941,123:690,124:490,125:301,126:174,127:103,128:50,129:19,130:6,131:6,132:1</t>
  </si>
  <si>
    <t>Gen:0 Trial:0 w:124; Trial:1 w:118; Trial:6 w:104; Trial:17 w:103; Trial:154 w:93; Trial:294 w:92; Trial:706 w:88; Trial:823 w:87; Trial:1444 w:84; Trial:1490 w:76; Gen:2 Trial:20004 w:71; Gen:5 Trial:56115 w:70; Gen:6 Trial:63614 w:67; Gen:9 Trial:92039 w:65; Trial:96037 w:62; Trial:99531 w:59; Gen:13 Trial:135193 w:58; Gen:15 Trial:152676 w:56; Gen:17 Trial:175481 w:55; Gen:18 Trial:184068 w:53; pErr:0.0000, weight 53 CW found:33391, wDict:53:614150,54:551,55:30049,56:31900,57:770,58:30295,59:11142,60:7878,61:7558,62:14257,63:15175,64:3273,65:8064,66:3821,67:22481,68:3909,69:2548,70:8077,71:17409,72:2507,73:3173,74:3540,75:2908,76:14455,77:2555,78:1935,79:3084,80:2199,81:2564,82:5525,83:2034,84:2482,85:3695,86:2098,87:2090,88:2636,89:3167,90:2829,91:2606,92:1659,93:2349,94:1727,95:1866,96:2227,97:2304,98:2419,99:2290,100:2350,101:2784,102:2481,103:2142,104:3141,105:2858,106:2928,107:3398,108:5941,109:5108,110:3879,111:4141,112:4072,113:4420,114:4264,115:4100,116:3754,117:3403,118:3180,119:2769,120:2374,121:2023,122:1722,123:1336,124:1019,125:727,126:532,127:377,128:265,129:135,130:71,131:41,132:23,133:10,134:2</t>
  </si>
  <si>
    <t>Gen:0 Trial:0 w:118; Trial:1 w:112; Trial:3 w:109; Trial:7 w:107; Trial:21 w:104; Trial:43 w:103; Trial:44 w:101; Trial:175 w:100; Trial:313 w:94; Trial:584 w:84; Trial:627 w:82; Trial:5989 w:63; Gen:3 Trial:37008 w:60; Gen:4 Trial:41000 w:55; Gen:5 Trial:52138 w:53; Gen:6 Trial:67012 w:52; Gen:7 Trial:70070 w:48; Gen:8 Trial:85001 w:47; Gen:18 Trial:186229 w:43; Gen:27 Trial:273988 w:42; Gen:58 Trial:587435 w:39; Gen:62 Trial:622247 w:38; Gen:68 Trial:684239 w:34; pErr:0.0000, weight 34 CW found:5397, wDict:34:234785,37:1762,38:56662,39:27261,40:1265,41:1482,42:243104,43:68711,44:3252,45:5742,46:2486,47:77091,48:18262,49:2455,50:3625,51:1254,52:8150,53:10024,54:1685,55:5738,56:1564,57:4375,58:1785,59:1508,60:4629,61:1824,62:2833,63:9470,64:2981,65:1735,66:1348,67:1574,68:2343,69:2050,70:1767,71:3143,72:1814,73:2538,74:7625,75:1798,76:1994,77:1827,78:3104,79:3104,80:1979,81:3741,82:5439,83:2388,84:3444,85:3826,86:2918,87:2159,88:3971,89:2638,90:4587,91:3210,92:2506,93:3229,94:2730,95:2970,96:2837,97:3490,98:2842,99:3127,100:2271,101:2567,102:2508,103:2724,104:2921,105:2954,106:3330,107:4308,108:3040,109:3684,110:3760,111:3906,112:4992,113:3963,114:4327,115:4178,116:4388,117:4078,118:3988,119:3685,120:3610,121:3445,122:3281,123:2708,124:2443,125:1878,126:1366,127:959,128:619,129:280,130:154,131:85,132:27,133:10,134:3</t>
  </si>
  <si>
    <t>Gen:0 Trial:0 w:120; Trial:1 w:115; Trial:3 w:101; Trial:65 w:95; Trial:121 w:79; Gen:4 Trial:42051 w:76; Gen:9 Trial:90419 w:75; Gen:12 Trial:121396 w:73; Gen:15 Trial:150007 w:72; Trial:151004 w:70; Gen:17 Trial:177004 w:69; Gen:19 Trial:194003 w:68; Gen:22 Trial:221216 w:67; Gen:25 Trial:251043 w:66; Gen:36 Trial:360428 w:61; Gen:37 Trial:375038 w:60; Gen:39 Trial:396016 w:58; Gen:40 Trial:406002 w:53; Gen:42 Trial:420006 w:52; Trial:420039 w:51; Gen:43 Trial:432036 w:48; Gen:45 Trial:450468 w:47; Gen:46 Trial:466152 w:46; Gen:47 Trial:478388 w:45; Gen:59 Trial:597291 w:44; Gen:65 Trial:656244 w:43; Gen:68 Trial:688004 w:42; Gen:73 Trial:735359 w:41; pErr:0.0000, weight 41 CW found:25614, wDict:41:152126,42:29735,43:14763,44:38044,45:79673,46:6876,47:15878,48:15963,49:3070,50:2352,51:10013,52:2350,53:5026,54:4520,55:1695,56:3264,57:2734,58:2324,59:946,60:4908,61:4827,62:952,63:767,64:764,65:482,66:103229,67:20750,68:23882,69:22584,70:20150,71:5397,72:12564,73:9980,74:7072,75:28710,76:34456,77:2797,78:10774,79:33732,80:5443,81:4532,82:6797,83:7092,84:7100,85:8882,86:11685,87:12618,88:10557,89:10593,90:12102,91:13769,92:9476,93:9476,94:8122,95:6632,96:5868,97:5726,98:5634,99:5036,100:4602,101:4236,102:3676,103:4227,104:4369,105:4605,106:4759,107:5034,108:4354,109:4187,110:4692,111:4102,112:4340,113:4321,114:4743,115:5055,116:3844,117:3647,118:3183,119:2786,120:2339,121:1817,122:1408,123:959,124:636,125:387,126:226,127:106,128:56,129:25,130:6,131:3,132:1</t>
  </si>
  <si>
    <t>Gen:0 Trial:0 w:114; Trial:3 w:106; Trial:17 w:103; Trial:88 w:99; Trial:483 w:98; Trial:643 w:90; Trial:1568 w:87; Trial:1715 w:86; Trial:4480 w:80; Gen:3 Trial:34002 w:79; Trial:36011 w:75; Gen:4 Trial:41159 w:74; Gen:5 Trial:55013 w:73; Gen:6 Trial:62067 w:72; Trial:66031 w:71; Gen:7 Trial:75883 w:70; Trial:77502 w:68; Gen:12 Trial:125337 w:66; Gen:15 Trial:150066 w:65; Trial:151685 w:64; Gen:22 Trial:222057 w:63; Gen:38 Trial:381030 w:61; Gen:39 Trial:395003 w:60; Gen:40 Trial:403027 w:59; Trial:405000 w:57; Gen:44 Trial:441702 w:55; Gen:47 Trial:472004 w:54; Gen:48 Trial:486103 w:53; Gen:49 Trial:490048 w:52; Gen:52 Trial:521311 w:51; Gen:55 Trial:556108 w:50; Gen:58 Trial:580046 w:45; Gen:60 Trial:601006 w:43; Gen:61 Trial:611001 w:42; Gen:62 Trial:622991 w:41; Gen:63 Trial:632021 w:39; Gen:65 Trial:653091 w:37; Gen:82 Trial:823014 w:36; pErr:0.0000, weight 36 CW found:6630, wDict:36:106348,37:139085,38:2412,39:16480,40:15442,41:9815,42:13117,43:4943,44:2299,45:13829,46:751,47:1737,48:1859,49:1138,50:11448,51:14240,52:23599,53:7712,54:10351,55:15610,56:10884,57:26509,58:7266,59:1949,60:6177,61:11985,62:778,63:95670,64:41323,65:16409,66:20151,67:3940,68:46071,69:2015,70:7892,71:8839,72:3297,73:7091,74:10107,75:5443,76:2328,77:2563,78:2968,79:1791,80:6822,81:5220,82:3785,83:3472,84:5339,85:3195,86:7063,87:5328,88:12461,89:4277,90:6044,91:5308,92:5053,93:7502,94:7591,95:9062,96:6374,97:6970,98:7066,99:8389,100:6682,101:7805,102:6108,103:5173,104:4655,105:4744,106:5067,107:4787,108:5288,109:5043,110:5030,111:4858,112:4755,113:4615,114:5303,115:5760,116:5060,117:4772,118:4343,119:3856,120:3298,121:2825,122:2264,123:1739,124:1438,125:1004,126:668,127:469,128:270,129:158,130:90,131:52,132:18,133:13,134:6,135:1,136:1</t>
  </si>
  <si>
    <t>Gen:0 Trial:0 w:126; Trial:1 w:117; Trial:4 w:108; Trial:8 w:107; Trial:12 w:101; Trial:16 w:91; Trial:78 w:78; Trial:387 w:58; Gen:1 Trial:19475 w:38; Gen:9 Trial:93592 w:35; Gen:16 Trial:161958 w:32; pErr:0.0000, weight 32 CW found:19687, wDict:32:664524,35:86227,36:767,37:6608,38:67736,39:1242,40:2602,41:3525,42:8260,43:2653,44:573,45:3481,46:2124,47:2595,48:1205,49:699,50:1459,51:1566,52:1107,53:1493,54:2934,55:740,56:1853,57:3118,58:8872,59:3660,60:2083,61:1333,62:2182,63:2977,64:2126,65:4210,66:1768,67:2433,68:3742,69:1990,70:1606,71:3377,72:1237,73:1035,74:930,75:3268,76:707,77:1902,78:1376,79:2930,80:1471,81:4343,82:1802,83:1390,84:2584,85:1552,86:2973,87:2190,88:2198,89:2273,90:1655,91:1188,92:959,93:1232,94:1601,95:1611,96:2142,97:2145,98:2478,99:1307,100:1082,101:1274,102:1290,103:1572,104:1722,105:1841,106:2044,107:2050,108:1207,109:1349,110:1450,111:1334,112:1485,113:1610,114:1652,115:1680,116:1679,117:1576,118:1521,119:1358,120:1221,121:1039,122:949,123:681,124:473,125:364,126:250,127:150,128:87,129:44,130:20,131:13,132:3,133:1</t>
  </si>
  <si>
    <t>Gen:0 Trial:0 w:112; Trial:3 w:103; Trial:14 w:102; Trial:149 w:101; Trial:191 w:99; Trial:519 w:94; Trial:557 w:92; Trial:3197 w:91; Trial:4127 w:90; Trial:4761 w:78; Gen:1 Trial:19000 w:77; Gen:3 Trial:30208 w:76; Gen:5 Trial:50007 w:75; Trial:52199 w:73; Gen:6 Trial:62061 w:71; Gen:8 Trial:81055 w:70; Trial:82429 w:68; Gen:10 Trial:106357 w:67; Gen:13 Trial:132122 w:64; Gen:14 Trial:146531 w:63; Trial:147419 w:62; Gen:17 Trial:170182 w:61; Trial:179068 w:60; Gen:18 Trial:186081 w:57; Gen:20 Trial:202004 w:55; Gen:23 Trial:237119 w:52; Gen:24 Trial:240347 w:50; Gen:28 Trial:289298 w:49; Gen:32 Trial:320169 w:47; Gen:40 Trial:405457 w:46; Gen:41 Trial:416000 w:45; Gen:44 Trial:443133 w:43; Gen:58 Trial:589028 w:42; Gen:64 Trial:647057 w:41; pErr:0.0000, weight 41 CW found:5208, wDict:41:259430,42:43096,43:130099,44:7878,45:31468,46:10867,47:80819,48:15739,49:35578,50:42979,51:4431,52:14137,53:2466,54:3071,55:24964,56:1457,57:13129,58:1887,59:6561,60:8400,61:2867,62:18008,63:6214,64:11128,65:1114,66:1537,67:23528,68:5708,69:2270,70:4419,71:13390,72:1740,73:11052,74:1230,75:1580,76:18232,77:8846,78:6360,79:9244,80:1287,81:763,82:753,83:1760,84:438,85:607,86:1729,87:1619,88:2568,89:1653,90:1421,91:1577,92:1711,93:1961,94:2373,95:1304,96:1620,97:1921,98:2149,99:2810,100:3285,101:2571,102:2502,103:2484,104:3286,105:3648,106:4415,107:4147,108:4202,109:3955,110:3897,111:4161,112:4390,113:4198,114:4045,115:4256,116:3827,117:3471,118:3290,119:2849,120:2391,121:1772,122:1386,123:1053,124:735,125:397,126:234,127:114,128:51,129:24,130:10,131:6,132:1</t>
  </si>
  <si>
    <t>Gen:0 Trial:0 w:115; Trial:1 w:114; Trial:2 w:110; Trial:5 w:107; Trial:32 w:102; Trial:45 w:98; Trial:527 w:97; Trial:688 w:96; Trial:738 w:93; Trial:1017 w:88; Trial:1604 w:86; Trial:9454 w:79; Gen:3 Trial:31020 w:77; Gen:6 Trial:65046 w:74; Gen:8 Trial:80022 w:73; Gen:9 Trial:92004 w:72; Gen:11 Trial:110094 w:66; Gen:13 Trial:131021 w:64; Gen:15 Trial:150758 w:63; Gen:17 Trial:171592 w:61; Gen:18 Trial:184581 w:60; Gen:21 Trial:211148 w:59; Gen:22 Trial:222324 w:58; Gen:23 Trial:230552 w:57; Gen:48 Trial:482967 w:53; Gen:51 Trial:511057 w:51; Gen:54 Trial:543054 w:50; Gen:94 Trial:941984 w:49; pErr:0.0000, weight 49 CW found:2917, wDict:49:12548,50:292293,51:34203,52:4985,53:21217,54:3744,55:2830,56:1147,57:211962,58:10954,59:10927,60:27831,61:13137,62:3275,63:20948,64:19753,65:949,66:21982,67:3205,68:1994,69:3238,70:4500,71:3854,72:11031,73:10971,74:21518,75:5203,76:4411,77:22988,78:9609,79:19321,80:6169,81:4983,82:8320,83:5269,84:5839,85:5095,86:8306,87:4454,88:4377,89:3986,90:4379,91:3881,92:3682,93:3534,94:2670,95:2840,96:2240,97:2226,98:1985,99:2475,100:2526,101:3240,102:3029,103:2406,104:2440,105:2840,106:3145,107:3570,108:4064,109:3965,110:3961,111:3682,112:3719,113:3578,114:3469,115:3488,116:3362,117:3355,118:3312,119:2668,120:2366,121:2031,122:1821,123:1351,124:1097,125:783,126:573,127:343,128:249,129:149,130:103,131:46,132:17,133:6,134:5,135:3</t>
  </si>
  <si>
    <t>Gen:0 Trial:0 w:117; Trial:1 w:107; Trial:3 w:104; Trial:7 w:90; Trial:162 w:85; Trial:1349 w:78; Gen:1 Trial:10142 w:71; Gen:2 Trial:20006 w:66; Trial:24019 w:60; Gen:3 Trial:36060 w:51; Gen:5 Trial:52007 w:41; Gen:7 Trial:74069 w:40; Gen:8 Trial:82238 w:39; Gen:9 Trial:90467 w:38; Gen:10 Trial:101769 w:37; Gen:12 Trial:122318 w:36; Trial:125204 w:33; Gen:18 Trial:180191 w:32; pErr:0.0000, weight 32 CW found:18269, wDict:32:605843,33:51256,34:56661,35:9423,36:7091,37:18397,38:9626,39:16160,40:19118,41:17945,42:4459,43:1627,44:718,45:1270,46:1390,47:4055,48:1626,49:738,50:2738,51:12764,52:1380,53:7064,54:2712,55:1860,56:1137,57:2728,58:2804,59:12199,60:8616,61:6157,62:3815,63:3060,64:2300,65:2362,66:4544,67:1526,68:1251,69:713,70:976,71:4931,72:1603,73:1175,74:797,75:781,76:631,77:499,78:3533,79:412,80:3867,81:759,82:792,83:590,84:470,85:603,86:623,87:642,88:1148,89:1334,90:1939,91:1403,92:848,93:658,94:948,95:1102,96:1300,97:1251,98:1966,99:1483,100:948,101:1585,102:1673,103:1616,104:2184,105:2440,106:2613,107:2763,108:2248,109:2474,110:2423,111:2813,112:2742,113:2847,114:2658,115:2689,116:2532,117:2388,118:2224,119:1877,120:1560,121:1302,122:992,123:713,124:563,125:345,126:260,127:167,128:81,129:44,130:20,131:12,132:4,133:3</t>
  </si>
  <si>
    <t>Gen:0 Trial:0 w:116; Trial:1 w:111; Trial:4 w:110; Trial:8 w:108; Trial:11 w:99; Trial:19 w:97; Trial:256 w:96; Trial:472 w:92; Trial:651 w:91; Trial:673 w:85; Gen:2 Trial:20000 w:83; Trial:20577 w:80; Gen:4 Trial:44359 w:78; Gen:5 Trial:56002 w:77; Gen:7 Trial:76101 w:74; Gen:10 Trial:100012 w:71; Trial:106761 w:70; Gen:12 Trial:126007 w:69; Gen:14 Trial:140162 w:67; Trial:149371 w:66; Gen:16 Trial:163063 w:65; Gen:18 Trial:188858 w:63; Gen:23 Trial:236558 w:62; Gen:30 Trial:302270 w:61; Gen:45 Trial:456554 w:60; Gen:48 Trial:483034 w:59; Gen:52 Trial:527505 w:58; Gen:66 Trial:667717 w:55; pErr:0.0000, weight 55 CW found:21057, wDict:55:147799,56:26410,57:5050,58:78985,59:51180,60:22144,61:106705,62:58727,63:48145,64:12404,65:19494,66:18564,67:8229,68:3725,69:36541,70:15547,71:6068,72:2733,73:10723,74:15205,75:5947,76:3646,77:9965,78:12199,79:2744,80:6659,81:3966,82:5488,83:7523,84:3939,85:12378,86:13965,87:6078,88:6061,89:5921,90:8782,91:9848,92:11100,93:9266,94:6588,95:6367,96:6717,97:5719,98:6717,99:5909,100:6142,101:4975,102:5108,103:5468,104:5623,105:5538,106:5489,107:7078,108:5806,109:5948,110:5492,111:6685,112:6144,113:5887,114:5869,115:5556,116:5751,117:5013,118:4346,119:3807,120:3080,121:2470,122:1800,123:1238,124:811,125:502,126:270,127:127,128:67,129:23,130:14,131:2,132:1</t>
  </si>
  <si>
    <t>Gen:0 Trial:0 w:115; Trial:8 w:101; Trial:66 w:100; Trial:116 w:98; Trial:246 w:91; Trial:3585 w:85; Trial:3706 w:82; Trial:8534 w:81; Trial:9633 w:77; Gen:2 Trial:26584 w:76; Gen:3 Trial:31013 w:68; Trial:31165 w:67; Gen:4 Trial:49187 w:61; Gen:5 Trial:52074 w:60; Gen:6 Trial:62123 w:58; Gen:7 Trial:70050 w:56; Gen:8 Trial:86396 w:55; Gen:9 Trial:92000 w:54; Trial:94784 w:53; Trial:97831 w:49; Gen:12 Trial:124058 w:46; Gen:13 Trial:133003 w:43; Trial:139574 w:41; Gen:22 Trial:225565 w:40; Gen:24 Trial:243530 w:39; Gen:27 Trial:272206 w:36; Gen:29 Trial:296700 w:35; pErr:0.0000, weight 35 CW found:14280, wDict:35:571099,36:21044,37:1577,38:6949,39:28342,40:25741,41:79973,42:5601,43:9698,44:3238,45:2753,46:13821,47:8099,48:10872,49:19283,50:4088,51:4663,52:3661,53:4787,54:3634,55:7379,56:8401,57:1635,58:3452,59:2764,60:8738,61:4612,62:573,63:1883,64:886,65:693,66:978,67:4317,68:5402,69:537,70:1333,71:1681,72:320,73:578,74:651,75:212,76:2418,77:9375,78:377,79:447,80:883,81:1806,82:830,83:854,84:1048,85:939,86:960,87:1014,88:588,89:892,90:1303,91:1474,92:1921,93:1782,94:3296,95:1385,96:1792,97:1573,98:2179,99:2259,100:2782,101:3649,102:2166,103:2367,104:2404,105:2701,106:3285,107:3342,108:3888,109:3860,110:3326,111:3583,112:3263,113:3470,114:3442,115:3287,116:3249,117:3051,118:2675,119:2448,120:2248,121:1881,122:1611,123:1268,124:1028,125:825,126:584,127:421,128:224,129:155,130:95,131:44,132:20,133:9,134:6</t>
  </si>
  <si>
    <t>Gen:0 Trial:0 w:113; Trial:8 w:112; Trial:12 w:102; Trial:65 w:100; Trial:77 w:82; Trial:429 w:75; Gen:1 Trial:14049 w:67; Gen:4 Trial:48017 w:61; Gen:6 Trial:68724 w:56; Gen:7 Trial:70000 w:51; Gen:10 Trial:101513 w:50; Trial:108848 w:48; Gen:11 Trial:111285 w:47; Trial:111305 w:45; Gen:14 Trial:144172 w:42; Gen:18 Trial:184373 w:41; Trial:189667 w:39; Gen:21 Trial:211078 w:38; Gen:58 Trial:583841 w:37; Gen:61 Trial:613017 w:36; pErr:0.0000, weight 36 CW found:5500, wDict:36:302434,37:25399,38:315346,39:32576,40:2909,41:14653,42:57243,43:6407,44:2434,45:22441,46:3526,47:13018,48:7588,49:1766,50:5239,51:11256,52:1619,53:2181,54:3501,55:949,56:5159,57:3534,58:3367,59:2836,60:3476,61:9094,62:1401,63:1634,64:1355,65:2449,66:1607,67:12182,68:2092,69:1373,70:1535,71:1571,72:2153,73:1432,74:2913,75:6788,76:761,77:2434,78:1702,79:896,80:695,81:1366,82:1807,83:576,84:617,85:1125,86:560,87:2176,88:1380,89:1546,90:1879,91:834,92:1026,93:1057,94:3346,95:1529,96:2341,97:1586,98:2033,99:4212,100:1625,101:1747,102:2343,103:2485,104:2494,105:3578,106:3178,107:4411,108:3336,109:2941,110:3200,111:3033,112:3138,113:2967,114:2885,115:2865,116:2903,117:2256,118:2079,119:1926,120:1525,121:1422,122:1138,123:895,124:666,125:399,126:283,127:181,128:88,129:50,130:22,131:12,132:5,133:2,134:2</t>
  </si>
  <si>
    <t>Gen:0 Trial:0 w:111; Trial:11 w:108; Trial:25 w:106; Trial:32 w:103; Trial:51 w:95; Trial:190 w:93; Trial:244 w:84; Trial:1865 w:80; Gen:2 Trial:23005 w:77; Trial:27005 w:76; Gen:4 Trial:42013 w:72; Gen:5 Trial:57000 w:71; Gen:6 Trial:67681 w:68; Gen:7 Trial:78140 w:64; Gen:9 Trial:90000 w:63; Gen:12 Trial:120153 w:62; Gen:15 Trial:154671 w:61; pErr:0.0000, weight 61 CW found:66156, wDict:61:477224,62:34749,63:19008,64:12807,65:5158,66:11836,67:2587,68:8656,69:29411,70:56763,71:20383,72:9618,73:2675,74:12868,75:4307,76:12856,77:12515,78:2802,79:3371,80:18907,81:5617,82:3629,83:13244,84:6005,85:7673,86:8635,87:6029,88:4230,89:5138,90:5520,91:7982,92:9276,93:7902,94:8800,95:6087,96:6707,97:5904,98:6546,99:5597,100:7151,101:5107,102:4501,103:4240,104:5313,105:4593,106:5137,107:6040,108:5537,109:5212,110:6351,111:5400,112:5687,113:5761,114:5797,115:5179,116:4961,117:4468,118:3743,119:3059,120:2558,121:1771,122:1278,123:888,124:523,125:380,126:178,127:97,128:31,129:18,130:8,131:8,132:2,133:1</t>
  </si>
  <si>
    <t>Gen:0 Trial:0 w:117; Trial:16 w:110; Trial:39 w:106; Trial:45 w:99; Trial:134 w:96; Trial:273 w:73; Gen:3 Trial:30025 w:70; Gen:4 Trial:43003 w:69; Trial:46002 w:68; Gen:5 Trial:50033 w:63; Gen:6 Trial:69002 w:62; Gen:9 Trial:95420 w:61; Trial:99150 w:57; Gen:10 Trial:102123 w:54; Gen:14 Trial:142067 w:53; Trial:145501 w:51; Gen:17 Trial:175163 w:50; Gen:21 Trial:214310 w:49; Gen:25 Trial:253429 w:48; Gen:36 Trial:367060 w:47; Gen:43 Trial:432099 w:46; pErr:0.0000, weight 46 CW found:16600, wDict:46:382607,47:96004,48:94381,49:43242,50:38227,51:36949,52:8472,53:6145,54:38485,55:5346,56:3841,57:10376,58:7461,59:3772,60:3726,61:8304,62:26495,63:14003,64:23113,65:996,66:1308,67:1613,68:8107,69:3051,70:8650,71:826,72:927,73:13366,74:1022,75:1163,76:641,77:1082,78:878,79:632,80:894,81:562,82:1567,83:1226,84:1333,85:1156,86:4134,87:878,88:1502,89:1044,90:1241,91:1591,92:1550,93:1742,94:2196,95:2702,96:1444,97:1382,98:2051,99:1951,100:2393,101:2559,102:1745,103:1876,104:1892,105:2346,106:2387,107:2613,108:2862,109:3366,110:2640,111:2818,112:3000,113:3062,114:3443,115:3405,116:3532,117:3669,118:3667,119:3533,120:3157,121:2853,122:2539,123:2159,124:1591,125:1320,126:873,127:567,128:364,129:202,130:111,131:66,132:19,133:9,134:4,136:1</t>
  </si>
  <si>
    <t>Gen:0 Trial:0 w:116; Trial:1 w:109; Trial:5 w:106; Trial:11 w:95; Trial:95 w:90; Trial:749 w:81; Trial:2186 w:66; Gen:2 Trial:23007 w:61; Trial:28055 w:54; Gen:3 Trial:30000 w:48; Gen:4 Trial:40006 w:47; Gen:5 Trial:50001 w:41; Gen:6 Trial:67005 w:39; Gen:7 Trial:79669 w:38; Gen:8 Trial:84011 w:36; Gen:11 Trial:110277 w:35; Gen:12 Trial:128578 w:33; pErr:0.0000, weight 33 CW found:24423, wDict:33:629365,34:961,35:12506,36:34631,37:4619,38:51023,39:15827,40:14597,41:16264,42:4144,43:5094,44:1794,45:5624,46:3470,47:5001,48:6819,49:2034,50:1124,51:1763,52:9085,53:3325,54:10426,55:8662,56:2038,57:4988,58:4011,59:2295,60:7133,61:5559,62:2028,63:3133,64:4000,65:4264,66:14618,67:4131,68:3067,69:2629,70:1886,71:1719,72:1775,73:4749,74:1549,75:1413,76:1686,77:1364,78:1637,79:1511,80:1146,81:1547,82:934,83:676,84:954,85:914,86:1229,87:1034,88:1862,89:2795,90:713,91:525,92:1124,93:808,94:880,95:1250,96:1154,97:1943,98:1776,99:1673,100:1187,101:1244,102:1423,103:1592,104:1820,105:1978,106:2399,107:2553,108:1840,109:1983,110:1927,111:2080,112:2571,113:1970,114:2047,115:2077,116:1938,117:1828,118:1625,119:1634,120:1364,121:1260,122:1022,123:805,124:515,125:397,126:248,127:186,128:102,129:55,130:32,131:15,132:3,133:2</t>
  </si>
  <si>
    <t>Trial:0 w:119; Trial:3 w:118; Trial:4 w:116; Trial:13 w:112; Trial:27 w:107; Trial:33 w:106; Trial:38 w:105; Trial:45 w:101; Trial:58 w:97; Trial:305 w:82; Trial:744 w:75; Trial:20234 w:68; Trial:22043 w:67; Trial:208309 w:66; Trial:230265 w:65; Trial:256048 w:49; Trial:532917 w:42; Trial:735479 w:33; pErr:0.3679, weight 33 CW found:297792, wDict:33:1,42:1,49:1,50:1,51:1,53:1,57:1,61:1,64:1,65:1,66:1,67:3,68:3,69:2,70:3,71:3,72:6,73:5,74:8,75:8,76:7,77:10,78:9,79:12,80:23,81:24,82:35,83:36,84:56,85:57,86:90,87:96,88:131,89:163,90:181,91:254,92:340,93:424,94:518,95:658,96:887,97:1167,98:1445,99:1826,100:2405,101:3016,102:3736,103:4847,104:6153,105:7739,106:10015,107:12168,108:14814,109:18213,110:22079,111:26915,112:32469,113:37572,114:43678,115:49171,116:55822,117:61315,118:65325,119:68361,120:68912,121:67345,122:63766,123:57963,124:49930,125:41576,126:32318,127:24052,128:16657,129:10808,130:6239,131:3345,132:1618,133:732,134:300,135:91,136:24,137:5,138:5</t>
  </si>
  <si>
    <t>Trial:0 w:120; Trial:1 w:108; Trial:27 w:104; Trial:44 w:89; Trial:482 w:85; Trial:887 w:72; Trial:2367 w:44; Trial:91071 w:38; Trial:589016 w:36; Trial:849646 w:35; pErr:0.3679, weight 35 CW found:168805, wDict:35:1,36:1,38:2,40:2,41:1,42:1,43:6,44:2,45:3,46:2,47:2,48:3,49:1,50:3,51:1,52:3,53:4,54:2,55:3,56:5,57:6,58:4,59:5,61:2,62:2,64:6,65:5,66:5,67:9,68:8,69:10,70:6,71:6,72:8,73:11,74:17,75:21,76:28,77:31,78:21,79:40,80:42,81:60,82:66,83:85,84:115,85:131,86:164,87:224,88:278,89:345,90:429,91:566,92:704,93:868,94:1213,95:1428,96:1722,97:2215,98:2743,99:3553,100:4545,101:5472,102:6998,103:8627,104:10647,105:13262,106:16054,107:19501,108:23252,109:28105,110:33017,111:38359,112:43948,113:49245,114:54749,115:59654,116:63443,117:65572,118:66448,119:65006,120:61405,121:55902,122:48783,123:40992,124:32542,125:24270,126:17117,127:11371,128:7035,129:3873,130:1990,131:980,132:399,133:127,134:47,135:11,136:1,137:1</t>
  </si>
  <si>
    <t>Trial:0 w:106; Trial:6 w:100; Trial:22 w:99; Trial:98 w:95; Trial:608 w:87; Trial:6422 w:86; Trial:8622 w:78; Trial:25552 w:73; Trial:45829 w:59; Trial:53541 w:42; pErr:0.3679, weight 42 CW found:1065093, wDict:42:1,45:1,46:1,59:1,60:1,61:2,62:1,66:1,67:1,68:4,69:3,71:1,72:4,73:11,74:2,75:3,76:9,77:12,78:15,79:13,80:18,81:22,82:26,83:42,84:50,85:46,86:76,87:91,88:121,89:167,90:200,91:246,92:330,93:427,94:513,95:643,96:917,97:1140,98:1476,99:1908,100:2379,101:2973,102:3922,103:4916,104:6106,105:7733,106:9640,107:12315,108:14898,109:18341,110:22203,111:26745,112:32123,113:37555,114:43511,115:49933,116:55848,117:60700,118:65208,119:68068,120:69057,121:67253,122:64040,123:57989,124:50228,125:41708,126:32386,127:23986,128:16414,129:10622,130:6311,131:3491,132:1652,133:769,134:308,135:93,136:23,137:5,138:2</t>
  </si>
  <si>
    <t>Trial:0 w:118; Trial:2 w:114; Trial:3 w:109; Trial:8 w:99; Trial:62 w:98; Trial:101 w:97; Trial:125 w:94; Trial:200 w:93; Trial:235 w:92; Trial:320 w:91; Trial:590 w:80; Trial:3618 w:74; Trial:15398 w:65; Trial:30055 w:47; Trial:88329 w:36; pErr:0.3679, weight 36 CW found:1023108, wDict:36:2,37:2,39:1,41:3,43:1,44:1,45:4,47:3,48:1,49:1,50:4,51:4,52:3,53:4,54:3,55:4,56:4,57:1,58:3,59:7,60:3,61:7,62:4,63:5,64:7,65:10,66:14,67:3,68:10,69:13,70:11,71:7,72:8,73:8,74:15,75:24,76:23,77:28,78:30,79:33,80:49,81:58,82:73,83:107,84:125,85:152,86:172,87:208,88:279,89:367,90:464,91:576,92:696,93:919,94:1153,95:1415,96:1806,97:2230,98:2793,99:3498,100:4549,101:5814,102:7115,103:8579,104:10842,105:13306,106:15958,107:19379,108:23663,109:27775,110:32825,111:38197,112:44082,113:49456,114:54386,115:59759,116:63053,117:65883,118:66136,119:64968,120:61390,121:56151,122:49084,123:40891,124:32038,125:24397,126:17237,127:11075,128:6937,129:4018,130:2009,131:960,132:407,133:155,134:57,135:9,136:1</t>
  </si>
  <si>
    <t>Trial:0 w:127; Trial:2 w:116; Trial:5 w:110; Trial:23 w:109; Trial:26 w:105; Trial:45 w:98; Trial:91 w:94; Trial:177 w:93; Trial:804 w:91; Trial:1105 w:80; Trial:12368 w:66; Trial:63770 w:62; Trial:437308 w:58; Trial:647546 w:47; Trial:690442 w:37; pErr:0.3679, weight 37 CW found:348301, wDict:37:1,47:1,48:1,58:1,59:1,61:1,62:1,66:2,71:1,72:5,73:3,74:3,75:5,76:12,77:6,78:9,79:8,80:20,81:21,82:35,83:46,84:46,85:65,86:73,87:96,88:137,89:168,90:216,91:249,92:362,93:440,94:560,95:692,96:888,97:1164,98:1478,99:1761,100:2341,101:3067,102:3766,103:4910,104:6163,105:7790,106:9733,107:12082,108:14896,109:18414,110:22583,111:26806,112:31943,113:37745,114:43804,115:49545,116:55658,117:61051,118:65302,119:67861,120:68983,121:67725,122:63345,123:57935,124:50266,125:41379,126:32616,127:24038,128:16676,129:10536,130:6197,131:3436,132:1650,133:756,134:297,135:92,136:28,137:5,138:2</t>
  </si>
  <si>
    <t>Trial:0 w:121; Trial:1 w:119; Trial:2 w:115; Trial:3 w:111; Trial:6 w:110; Trial:23 w:105; Trial:27 w:103; Trial:37 w:93; Trial:309 w:92; Trial:629 w:88; Trial:1100 w:80; Trial:3970 w:44; Trial:60836 w:43; Trial:76371 w:35; Trial:426149 w:34; Trial:488593 w:29; pErr:0.3679, weight 29 CW found:573569, wDict:29:1,34:1,35:2,36:1,37:1,38:3,40:1,41:4,42:3,43:3,44:2,45:3,46:3,47:1,48:1,49:3,50:3,51:6,52:6,53:2,54:2,55:5,56:3,57:2,58:6,59:2,60:5,61:1,62:4,63:4,64:3,65:8,66:6,67:4,68:3,69:5,70:12,71:6,72:15,73:15,74:12,75:22,76:23,77:30,78:34,79:31,80:39,81:65,82:74,83:84,84:108,85:137,86:165,87:220,88:292,89:364,90:465,91:536,92:684,93:911,94:1158,95:1424,96:1840,97:2218,98:2782,99:3680,100:4464,101:5597,102:7017,103:8629,104:10720,105:13140,106:16043,107:19658,108:23429,109:27695,110:32932,111:38358,112:44078,113:49667,114:54872,115:59499,116:63411,117:65635,118:66436,119:64366,120:61768,121:55597,122:48948,123:40911,124:32568,125:24139,126:17271,127:11283,128:6871,129:3984,130:1916,131:914,132:412,133:157,134:45,135:9,136:2</t>
  </si>
  <si>
    <t>Trial:0 w:118; Trial:1 w:114; Trial:3 w:111; Trial:24 w:109; Trial:25 w:108; Trial:62 w:97; Trial:654 w:95; Trial:1787 w:94; Trial:2335 w:93; Trial:3559 w:77; Trial:64725 w:69; Trial:75733 w:67; Trial:157131 w:58; Trial:503626 w:47; pErr:0.3679, weight 47 CW found:558198, wDict:47:1,48:1,58:1,59:1,62:2,63:1,64:1,66:2,67:3,68:3,69:2,70:2,71:6,72:1,73:3,74:6,75:5,76:12,77:11,78:6,79:13,80:19,81:26,82:26,83:30,84:51,85:60,86:70,87:112,88:126,89:152,90:207,91:254,92:323,93:442,94:554,95:690,96:889,97:1145,98:1464,99:1849,100:2448,101:3016,102:3834,103:4814,104:6197,105:7785,106:9651,107:11967,108:14754,109:18550,110:22462,111:26725,112:32296,113:37791,114:44041,115:49690,116:55595,117:60820,118:65580,119:68375,120:68678,121:67012,122:63543,123:58175,124:50425,125:41308,126:32402,127:24026,128:16479,129:10636,130:6122,131:3416,132:1628,133:766,134:280,135:102,136:30,137:8,138:1</t>
  </si>
  <si>
    <t>Trial:0 w:106; Trial:10 w:94; Trial:68 w:92; Trial:149 w:75; Trial:1413 w:72; Trial:11414 w:51; Trial:17170 w:37; Trial:218699 w:29; pErr:0.3679, weight 29 CW found:875811, wDict:29:2,35:2,37:2,38:1,40:5,42:2,43:1,44:2,45:3,46:4,47:6,48:4,49:5,50:5,51:3,52:4,53:2,54:7,55:2,56:6,57:1,58:4,59:4,60:7,61:3,62:4,63:1,64:2,65:5,66:2,67:8,68:8,69:8,70:6,71:11,72:12,73:9,74:22,75:18,76:16,77:28,78:33,79:44,80:52,81:69,82:75,83:91,84:94,85:143,86:192,87:237,88:292,89:378,90:418,91:551,92:713,93:884,94:1073,95:1390,96:1795,97:2236,98:2935,99:3580,100:4438,101:5598,102:7081,103:8720,104:10676,105:13135,106:16038,107:19581,108:23355,109:28091,110:32810,111:38118,112:43989,113:49408,114:54522,115:59948,116:63688,117:65955,118:66499,119:64977,120:61029,121:56073,122:48805,123:40603,124:32279,125:24296,126:16959,127:11322,128:6982,129:3906,130:2017,131:934,132:414,133:166,134:44,135:18,136:4</t>
  </si>
  <si>
    <t>Trial:0 w:120; Trial:1 w:116; Trial:5 w:106; Trial:13 w:104; Trial:21 w:99; Trial:610 w:95; Trial:659 w:92; Trial:1104 w:90; Trial:1305 w:88; Trial:3189 w:87; Trial:3854 w:83; Trial:4656 w:80; Trial:8336 w:75; Trial:10237 w:47; Trial:108166 w:40; pErr:0.3679, weight 40 CW found:1003534, wDict:40:1,47:2,54:2,56:1,60:1,61:2,63:1,64:1,66:1,67:1,68:2,69:3,70:5,71:6,72:3,73:4,74:5,75:7,76:7,77:8,78:9,79:11,80:18,81:21,82:31,83:32,84:50,85:65,86:84,87:100,88:109,89:153,90:197,91:240,92:332,93:411,94:544,95:714,96:922,97:1174,98:1507,99:1822,100:2338,101:2983,102:3935,103:4839,104:6105,105:7585,106:9875,107:12360,108:14774,109:18460,110:22485,111:27023,112:32293,113:37401,114:43721,115:49586,116:55928,117:61309,118:65188,119:67783,120:68764,121:67675,122:63645,123:57725,124:50298,125:41370,126:32212,127:24017,128:16670,129:10528,130:6331,131:3410,132:1665,133:678,134:305,135:97,136:20,137:8,138:2</t>
  </si>
  <si>
    <t>Trial:0 w:112; Trial:7 w:108; Trial:21 w:107; Trial:34 w:106; Trial:42 w:100; Trial:124 w:98; Trial:247 w:86; Trial:1841 w:74; Trial:8672 w:54; Trial:21331 w:41; Trial:198336 w:37; Trial:539291 w:36; pErr:0.3679, weight 36 CW found:516848, wDict:36:1,37:1,38:2,40:2,41:1,43:1,44:4,45:3,46:2,47:1,48:4,49:3,50:5,51:1,52:3,53:5,54:10,55:4,56:3,57:4,58:7,59:6,60:9,61:7,62:3,63:5,64:8,65:6,66:6,67:8,68:6,69:8,70:11,71:9,72:8,73:18,74:18,75:22,76:26,77:31,78:25,79:36,80:62,81:65,82:63,83:87,84:126,85:130,86:147,87:218,88:293,89:332,90:462,91:562,92:680,93:903,94:1129,95:1472,96:1798,97:2195,98:2859,99:3597,100:4514,101:5541,102:6960,103:8768,104:10620,105:13210,106:15920,107:19553,108:23411,109:27748,110:32434,111:38274,112:43956,113:49455,114:54665,115:59653,116:63512,117:65695,118:66694,119:65089,120:61342,121:56256,122:48669,123:40748,124:32420,125:24384,126:17259,127:11202,128:6947,129:3988,130:2084,131:910,132:367,133:163,134:51,135:14,136:1</t>
  </si>
  <si>
    <t>Gen:0 Trial:0 w:57; Trial:19 w:44; Trial:2178 w:42; Trial:2441 w:41; Trial:3285 w:39; Trial:6338 w:32; pErr:0.0000, weight 32 CW found:30987, wDict:32:774419,33:158,34:6,35:260,36:6922,37:19414,38:1755,39:2541,40:3138,41:2632,42:2754,43:19013,44:6112,45:5114,46:7235,47:1735,48:8836,49:25492,50:6584,51:7044,52:6807,53:15379,54:4395,55:2914,56:1447,57:4067,58:1777,59:1520,60:1592,61:1928,62:1997,63:1496,64:1461,65:1298,66:1340,67:1005,68:1122,69:1563,70:1147,71:1093,72:1042,73:1075,74:1244,75:1364,76:978,77:1173,78:1249,79:1116,80:1231,81:1102,82:1176,83:1278,84:1444,85:1214,86:1072,87:1553,88:1188,89:710,90:748,91:820,92:754,93:659,94:733,95:671,96:795,97:631,98:639,99:778,100:601,101:716,102:668,103:597,104:693,105:594,106:547,107:541,108:503,109:508,110:500,111:479,112:485,113:471,114:490,115:446,116:466,117:466,118:448,119:355,120:439,121:427,122:388,123:352,124:327,125:330,126:312,127:316,128:274,129:234,130:214,131:187,132:147,133:132,134:123,135:88,136:70,137:42,138:25,139:16,140:19,141:8,142:5,144:1,145:1</t>
  </si>
  <si>
    <t>Gen:0 Trial:0 w:123; Trial:1 w:90; Trial:2 w:89; Trial:29 w:77; Trial:37 w:69; Trial:49 w:60; Trial:215 w:59; Trial:621 w:54; Trial:873 w:42; Gen:2 Trial:23060 w:41; Trial:27719 w:40; Gen:3 Trial:33036 w:38; Trial:34051 w:37; Trial:36691 w:33; Gen:5 Trial:55017 w:29; pErr:0.0000, weight 29 CW found:16113, wDict:29:698860,31:34,32:4423,33:35301,34:9338,35:689,36:4951,37:7334,38:14237,39:15577,40:4469,41:9954,42:15457,43:13021,44:9507,45:9172,46:13087,47:13876,48:28411,49:12691,50:5724,51:4876,52:7829,53:2268,54:1728,55:2631,56:1418,57:1457,58:1692,59:1406,60:2417,61:1384,62:1410,63:1333,64:1922,65:1356,66:1875,67:1516,68:736,69:1019,70:726,71:872,72:796,73:965,74:957,75:652,76:714,77:686,78:566,79:634,80:775,81:666,82:616,83:666,84:801,85:676,86:937,87:719,88:854,89:600,90:424,91:509,92:355,93:441,94:468,95:431,96:379,97:421,98:458,99:412,100:412,101:455,102:454,103:474,104:441,105:538,106:500,107:491,108:499,109:481,110:450,111:560,112:512,113:497,114:537,115:542,116:459,117:492,118:439,119:484,120:436,121:437,122:439,123:403,124:365,125:369,126:293,127:278,128:295,129:225,130:224,131:210,132:154,133:135,134:137,135:117,136:55,137:49,138:27,139:23,140:18,141:17,142:4,143:6,144:3,145:2</t>
  </si>
  <si>
    <t>Gen:0 Trial:0 w:76; Trial:78 w:64; Trial:97 w:61; Trial:99 w:58; Trial:271 w:55; Trial:575 w:53; Trial:2019 w:44; Trial:3571 w:43; Trial:8089 w:39; Gen:1 Trial:13911 w:38; Gen:2 Trial:22006 w:34; Gen:5 Trial:59275 w:32; Gen:10 Trial:100702 w:30; pErr:0.0000, weight 30 CW found:15706, wDict:30:709569,32:63522,33:20468,34:36239,35:1914,36:2156,37:6592,38:3043,39:11741,40:10038,41:3398,42:3683,43:8429,44:3000,45:3952,46:8436,47:4438,48:7689,49:8755,50:3637,51:2637,52:3502,53:2525,54:2747,55:1316,56:3237,57:2114,58:1844,59:1821,60:1746,61:1605,62:1802,63:2127,64:1671,65:1497,66:1716,67:1891,68:1311,69:1211,70:1056,71:1095,72:1050,73:1292,74:896,75:890,76:864,77:883,78:871,79:941,80:905,81:822,82:879,83:926,84:969,85:998,86:891,87:893,88:1016,89:1078,90:571,91:534,92:530,93:591,94:684,95:621,96:498,97:603,98:542,99:555,100:531,101:601,102:506,103:587,104:550,105:588,106:564,107:545,108:593,109:548,110:596,111:564,112:639,113:641,114:536,115:560,116:535,117:502,118:513,119:473,120:483,121:475,122:463,123:401,124:368,125:339,126:374,127:299,128:297,129:258,130:231,131:190,132:176,133:146,134:91,135:89,136:50,137:44,138:30,139:13,140:19,141:14,142:5,143:7,144:3</t>
  </si>
  <si>
    <t>Gen:0 Trial:0 w:103; Trial:6 w:98; Trial:14 w:91; Trial:19 w:76; Trial:22 w:51; Trial:1209 w:50; Trial:3061 w:40; Gen:2 Trial:20731 w:36; Gen:3 Trial:34047 w:34; Gen:4 Trial:41072 w:29; pErr:0.0000, weight 29 CW found:14572, wDict:29:797970,31:4934,32:2574,33:4987,34:29838,35:3300,36:9470,37:3624,38:1417,39:11718,40:12645,41:3741,42:2552,43:2346,44:5618,45:3684,46:13135,47:2750,48:2735,49:4356,50:5280,51:2861,52:7751,53:2068,54:1713,55:1917,56:2245,57:1966,58:1947,59:1503,60:1301,61:1332,62:1628,63:1417,64:1508,65:1274,66:1735,67:1099,68:935,69:728,70:847,71:595,72:678,73:683,74:660,75:493,76:644,77:563,78:602,79:571,80:516,81:648,82:634,83:610,84:699,85:637,86:835,87:832,88:763,89:625,90:614,91:456,92:366,93:376,94:364,95:412,96:433,97:536,98:461,99:385,100:459,101:435,102:466,103:481,104:448,105:473,106:476,107:513,108:526,109:577,110:547,111:530,112:524,113:619,114:642,115:553,116:535,117:522,118:546,119:598,120:575,121:574,122:541,123:540,124:536,125:502,126:453,127:453,128:388,129:345,130:289,131:235,132:214,133:216,134:137,135:105,136:83,137:78,138:51,139:35,140:22,141:11,142:5,143:1,144:1</t>
  </si>
  <si>
    <t>Gen:0 Trial:0 w:101; Trial:5 w:75; Trial:25 w:66; Trial:34 w:60; Trial:1337 w:47; Trial:1688 w:45; Trial:2731 w:44; Trial:6750 w:40; Gen:1 Trial:12003 w:36; Gen:2 Trial:25113 w:33; Gen:3 Trial:31552 w:31; pErr:0.0000, weight 31 CW found:9088, wDict:31:793106,32:14422,33:8090,34:157,35:18225,36:13788,37:1861,38:1318,39:4089,40:11387,41:4522,42:8349,43:38421,44:6394,45:3931,46:4750,47:9122,48:6443,49:4240,50:3084,51:2211,52:1778,53:922,54:1215,55:877,56:877,57:523,58:823,59:1155,60:1046,61:1176,62:1015,63:811,64:850,65:1084,66:1174,67:1067,68:339,69:433,70:382,71:369,72:299,73:371,74:289,75:369,76:379,77:442,78:401,79:546,80:383,81:501,82:456,83:524,84:743,85:640,86:692,87:610,88:634,89:210,90:262,91:248,92:261,93:244,94:264,95:266,96:258,97:258,98:288,99:318,100:323,101:286,102:327,103:340,104:373,105:368,106:380,107:393,108:379,109:360,110:355,111:441,112:401,113:402,114:456,115:447,116:471,117:448,118:442,119:480,120:457,121:465,122:444,123:435,124:432,125:359,126:381,127:362,128:301,129:312,130:256,131:195,132:188,133:127,134:123,135:100,136:67,137:58,138:30,139:26,140:6,141:10,142:5,143:3,144:1,145:1,146:2</t>
  </si>
  <si>
    <t>Trial:0 w:119; Trial:1 w:116; Trial:2 w:98; Trial:3 w:85; Trial:20 w:72; Trial:72 w:59; Trial:107 w:57; Trial:291 w:55; Trial:666 w:53; Trial:688 w:42; Trial:941 w:41; Trial:4578 w:38; Trial:38720 w:35; Trial:125880 w:34; Trial:158970 w:33; Trial:343678 w:32; Trial:629932 w:31; Trial:637057 w:30; pErr:0.3679, weight 30 CW found:393029, wDict:30:1,31:3,32:1,33:7,34:6,35:5,36:13,37:12,38:11,39:18,40:29,41:36,42:50,43:57,44:57,45:79,46:98,47:116,48:134,49:177,50:203,51:247,52:255,53:276,54:329,55:365,56:428,57:489,58:481,59:590,60:638,61:755,62:797,63:903,64:1029,65:1119,66:1185,67:1391,68:1467,69:1661,70:1811,71:1973,72:2214,73:2379,74:2562,75:2748,76:3186,77:3413,78:3569,79:3896,80:4202,81:4501,82:4850,83:5269,84:5708,85:6026,86:6519,87:6881,88:7263,89:7902,90:8383,91:8962,92:9395,93:10065,94:10601,95:11334,96:12133,97:12572,98:13463,99:14346,100:14982,101:15717,102:16436,103:17424,104:18222,105:19084,106:19838,107:20640,108:21745,109:22278,110:23235,111:24203,112:24580,113:25433,114:26180,115:26614,116:27438,117:27593,118:28049,119:28255,120:28093,121:27779,122:27835,123:26890,124:26178,125:24860,126:24111,127:22674,128:20728,129:19207,130:17058,131:15060,132:13165,133:10832,134:8944,135:7426,136:5498,137:4106,138:2948,139:2008,140:1334,141:767,142:458,143:234,144:123,145:58,146:25,147:9,148:2</t>
  </si>
  <si>
    <t>Trial:0 w:83; Trial:19 w:78; Trial:46 w:73; Trial:80 w:70; Trial:141 w:66; Trial:178 w:62; Trial:314 w:59; Trial:348 w:57; Trial:536 w:48; Trial:718 w:43; Trial:2399 w:42; Trial:2638 w:39; Trial:4843 w:37; Trial:7928 w:32; Trial:67901 w:30; pErr:0.3679, weight 30 CW found:1009441, wDict:30:2,31:2,32:4,33:3,34:9,35:5,36:13,37:21,38:18,39:23,40:41,41:49,42:42,43:39,44:69,45:88,46:90,47:111,48:154,49:144,50:210,51:239,52:254,53:283,54:322,55:361,56:406,57:478,58:550,59:586,60:703,61:780,62:765,63:940,64:1024,65:1153,66:1283,67:1378,68:1584,69:1754,70:1806,71:2054,72:2267,73:2404,74:2644,75:2768,76:3020,77:3372,78:3569,79:3971,80:4242,81:4413,82:4732,83:5324,84:5513,85:5859,86:6384,87:6812,88:7411,89:7916,90:8257,91:8805,92:9525,93:10147,94:10615,95:11304,96:12047,97:12591,98:13686,99:14177,100:14956,101:15840,102:16404,103:17244,104:18290,105:19069,106:19949,107:20848,108:21345,109:22576,110:23457,111:24250,112:24667,113:25627,114:26054,115:26514,116:27126,117:27646,118:28011,119:27948,120:28050,121:27982,122:27403,123:26953,124:26265,125:25295,126:23803,127:22625,128:20876,129:19009,130:17284,131:14984,132:13034,133:10975,134:9053,135:7317,136:5580,137:4133,138:2922,139:2053,140:1274,141:820,142:459,143:211,144:121,145:54,146:18,147:6,148:3,149:2</t>
  </si>
  <si>
    <t>Trial:0 w:106; Trial:9 w:101; Trial:12 w:96; Trial:13 w:93; Trial:28 w:83; Trial:37 w:72; Trial:85 w:68; Trial:147 w:62; Trial:169 w:60; Trial:350 w:48; Trial:1027 w:46; Trial:3862 w:41; Trial:19283 w:36; Trial:44398 w:29; pErr:0.3679, weight 29 CW found:1034933, wDict:29:3,31:1,32:4,33:2,34:8,35:4,36:10,37:18,38:16,39:29,40:27,41:30,42:49,43:69,44:71,45:88,46:90,47:119,48:147,49:147,50:186,51:220,52:258,53:288,54:321,55:376,56:417,57:470,58:531,59:607,60:673,61:749,62:756,63:858,64:1046,65:1089,66:1264,67:1363,68:1525,69:1695,70:1778,71:1974,72:2126,73:2430,74:2634,75:2932,76:3058,77:3437,78:3648,79:3849,80:4159,81:4535,82:4883,83:5309,84:5699,85:5983,86:6411,87:7031,88:7178,89:7884,90:8494,91:8875,92:9441,93:10030,94:10666,95:11265,96:11988,97:12899,98:13323,99:14199,100:15098,101:15790,102:16341,103:17264,104:18091,105:19058,106:19949,107:20604,108:21687,109:22523,110:23206,111:24079,112:24543,113:25180,114:26337,115:26727,116:27512,117:27881,118:27750,119:28153,120:28317,121:27906,122:27887,123:26721,124:26261,125:25258,126:24149,127:22483,128:20638,129:18839,130:17135,131:15244,132:13112,133:10829,134:9006,135:7197,136:5465,137:4211,138:2872,139:2020,140:1291,141:745,142:462,143:218,144:117,145:61,146:27,147:6,148:7,149:1</t>
  </si>
  <si>
    <t>Trial:0 w:96; Trial:19 w:87; Trial:31 w:84; Trial:54 w:75; Trial:77 w:66; Trial:134 w:65; Trial:478 w:60; Trial:495 w:54; Trial:862 w:45; Trial:1739 w:42; Trial:11819 w:37; Trial:15981 w:35; Trial:16749 w:31; Trial:527513 w:30; pErr:0.3679, weight 30 CW found:511717, wDict:30:3,31:2,32:1,33:6,34:3,35:11,36:9,37:18,38:18,39:21,40:29,41:29,42:54,43:49,44:78,45:84,46:108,47:105,48:147,49:152,50:199,51:226,52:237,53:272,54:357,55:349,56:419,57:461,58:504,59:587,60:628,61:761,62:806,63:912,64:995,65:1086,66:1245,67:1415,68:1513,69:1685,70:1796,71:2007,72:2206,73:2359,74:2559,75:2840,76:2962,77:3267,78:3714,79:3801,80:4179,81:4537,82:4893,83:5216,84:5506,85:6040,86:6497,87:6783,88:7330,89:7956,90:8281,91:8984,92:9345,93:10140,94:10872,95:11283,96:12042,97:12557,98:13477,99:14191,100:14832,101:15610,102:16300,103:17168,104:18243,105:19225,106:19786,107:20547,108:21705,109:22407,110:23383,111:24147,112:25255,113:25164,114:26308,115:26810,116:27608,117:27701,118:28145,119:27959,120:27954,121:27810,122:27627,123:27051,124:25985,125:25167,126:24258,127:22565,128:21266,129:18886,130:17026,131:14924,132:13155,133:11021,134:8981,135:7233,136:5610,137:4083,138:2933,139:1982,140:1277,141:746,142:456,143:281,144:128,145:49,146:31,147:3,148:3,149:2</t>
  </si>
  <si>
    <t>Trial:0 w:91; Trial:18 w:85; Trial:42 w:83; Trial:44 w:78; Trial:46 w:73; Trial:179 w:67; Trial:266 w:64; Trial:389 w:47; Trial:1227 w:39; Trial:44551 w:38; Trial:46125 w:37; Trial:54229 w:35; Trial:77320 w:32; Trial:353833 w:29; pErr:0.3679, weight 29 CW found:699911, wDict:29:1,30:1,31:1,32:6,33:4,34:6,35:7,36:18,37:18,38:25,39:26,40:26,41:37,42:46,43:61,44:75,45:93,46:128,47:122,48:128,49:147,50:197,51:212,52:248,53:292,54:306,55:359,56:407,57:450,58:531,59:565,60:646,61:799,62:742,63:931,64:995,65:1151,66:1182,67:1386,68:1453,69:1705,70:1778,71:1954,72:2185,73:2368,74:2601,75:2779,76:3110,77:3321,78:3628,79:3827,80:4129,81:4644,82:4802,83:5159,84:5690,85:6129,86:6446,87:6823,88:7430,89:7857,90:8420,91:8968,92:9476,93:10183,94:10747,95:11328,96:11985,97:12625,98:13337,99:14172,100:14931,101:15905,102:16418,103:17401,104:18080,105:18912,106:20097,107:20547,108:21690,109:22389,110:23275,111:24196,112:25033,113:25298,114:26141,115:27027,116:27375,117:27587,118:28140,119:28242,120:27744,121:27849,122:27645,123:26819,124:26063,125:25181,126:24044,127:22600,128:20616,129:18773,130:17239,131:15342,132:13039,133:11032,134:9045,135:7226,136:5494,137:4136,138:2983,139:1997,140:1250,141:768,142:490,143:281,144:125,145:62,146:24,147:7,148:7,149:1</t>
  </si>
  <si>
    <t>SmallGroup_1_1__AAp6_0_0_0_0_0_0_BBp6_0_0_0_0_0_0_k8_d4</t>
  </si>
  <si>
    <t>SmallGroup_2_1__AAp6_0_0_0_0_1_1_BBp6_0_0_0_1_1_1_k8_d8</t>
  </si>
  <si>
    <t>SmallGroup_3_1__AAp12_0_0_0_1_1_2_BBp12_0_0_0_2_2_2_k2_d12</t>
  </si>
  <si>
    <t>SmallGroup_4_1__AAp11_0_0_1_2_3_3_BBp27_0_1_2_2_3_3_k2_d13</t>
  </si>
  <si>
    <t>SmallGroup_5_1__AAp12_0_0_0_1_2_4_BBp20_0_1_2_3_3_3_k2_d17</t>
  </si>
  <si>
    <t>SmallGroup_6_2__AAp10_0_3_3_4_5_5_BBp14_0_0_0_5_5_5_k4_d18</t>
  </si>
  <si>
    <t>C7_AAp11_0_0_1_3_4_6_BBp8_0_2_3_5_5_6_k2_d21</t>
  </si>
  <si>
    <t>SmallGroup_8_1__AAp11_0_0_1_4_7_7_BBp12_0_1_3_4_5_6_k2_d25</t>
  </si>
  <si>
    <t>SmallGroup_9_1__AAp10_0_1_2_3_6_7_BBp14_0_0_0_1_1_4_k4_d25</t>
  </si>
  <si>
    <t>SmallGroup_10_2__AAp27_0_1_4_5_6_9_BBp6_0_1_3_4_8_8_k4_d24</t>
  </si>
  <si>
    <t>C11_AAp6_0_0_0_2_8_10_BBp8_0_1_1_5_5_8_k4_d27</t>
  </si>
  <si>
    <t>SmallGroup_12_2__AAp21_0_1_6_7_8_10_BBp10_0_1_1_4_7_9_k8_d33</t>
  </si>
  <si>
    <t>SmallGroup_13_1__AAp6_0_0_0_1_4_10_BBp27_0_2_2_4_4_9_k4_d31</t>
  </si>
  <si>
    <t>SmallGroup_14_2__AAp27_0_1_9_10_11_13_BBp7_0_4_5_8_12_13_k2_d45</t>
  </si>
  <si>
    <t>SmallGroup_15_1__AAp11_0_4_5_5_10_14_BBp14_0_1_5_7_12_14_k4_d40</t>
  </si>
  <si>
    <t>SmallGroup_16_1__AAp20_0_2_3_6_9_15_BBp20_0_1_11_13_14_15_k2_d59</t>
  </si>
  <si>
    <t>SmallGroup_17_1__AAp11_0_9_10_12_15_16_BBp12_0_1_3_4_7_9_k2_d52</t>
  </si>
  <si>
    <t>SmallGroup_18_1__AAp11_0_2_3_4_11_13_BBp8_0_2_4_4_11_17_k14_d50</t>
  </si>
  <si>
    <t>SmallGroup_19_1__AAp11_0_0_0_0_0_9_BBp16_0_1_4_4_7_8_k2_d29</t>
  </si>
  <si>
    <t>SmallGroup_18_1__AAp11_0_2_4_12_13_15_BBp11_0_2_4_5_13_16_k10_d71</t>
  </si>
  <si>
    <t>method: magmaMinWeight</t>
  </si>
  <si>
    <t>outfile: /Users/markwebster/Dropbox/QuantumComputing/dev/codeDistance/results/tanner_codes-magmaMinWeight-20260204_195806.164008_85062422.txt</t>
  </si>
  <si>
    <t>Magma V2.28-26    Wed Feb  4 2026 19:58:10 on Marks-MacBook-Air-2 [Seed = \n352245943]\nType ? for help.  Type &lt;Ctrl&gt;-D to quit.\n[[36, 8]] quantum code over GF(2^2), stabilised by:\nQuantum GF(2)-Additive code over GF(4) of length 36 with 44 generators.\nLower Bound: 1, Upper Bound: 15\nConstructed 2 distinct generator matrices\nTotal Ranks:     22  22 \nRelative Ranks:  22  14 \n(4 4 4 4 4 4 4 4 4 4 4 4 4 4 4 4 4 4 4 4 4 4 )\n(4 4 4 4 4 4 4 4 4 4 4 4 4 4 4 4 4 4 4 4 4 4 )\nTime Taken: 0.00\nStarting search for low weight codewords... (reset timings)\nEnumerating using 1 generator at a time:\n     New codeword identified of weight 8, time 0.00\n     New codeword identified of weight 4, time 0.00\n     Discarding non-contributing rank 14 matrix\n     New Total Ranks:     22 \n     New Relative Ranks:  22 \n   Completed Matrix  1:  lower =  2, upper =  4. Elapsed: 0.00s\nTermination predicted with 3 generators at matrix 1\nEnumerating using 2 generators at a time:\n   Completed Matrix  1:  lower =  3, upper =  4. Elapsed: 0.00s\nTermination predicted with 3 generators at matrix 1\nEnumerating using 3 generators at a time:\n   Completed Matrix  1:  lower =  4, upper =  4. Elapsed: 0.00s\nComputation complete \nFinal Results: lower = 4, upper = 4,\nTotal CPU time: 0.00, real time: 0.005\n4\n\nTotal time: 0.010 seconds, Total memory usage: 32.09MB\n</t>
  </si>
  <si>
    <t>Magma V2.28-26    Wed Feb  4 2026 19:58:10 on Marks-MacBook-Air-2 [Seed = \n116181669]\nType ? for help.  Type &lt;Ctrl&gt;-D to quit.\n[[72, 8]] quantum code over GF(2^2), stabilised by:\nQuantum GF(2)-Additive code over GF(4) of length 72 with 80 generators.\nLower Bound: 1, Upper Bound: 33\nConstructed 2 distinct generator matrices\nTotal Ranks:     41  41 \nRelative Ranks:  41  31 \n(4 4 4 4 4 4 4 4 4 4 4 4 4 4 4 4 4 4 4 4 4 4 4 4 4 4 4 4 4 4 4 4 4 4 2 4 4 4 4 4\n2 )\n(4 4 4 4 4 4 4 4 4 4 4 4 4 4 4 4 4 4 4 4 4 4 4 4 4 4 4 4 4 4 4 4 4 4 4 4 4 4 4 2\n2 )\nTime Taken: 0.00\nStarting search for low weight codewords... (reset timings)\nEnumerating using 1 generator at a time:\n     New codeword identified of weight 18, time 0.00\n     New codeword identified of weight 8, time 0.00\n     Discarding non-contributing rank 31 matrix\n     New Total Ranks:     41 \n     New Relative Ranks:  41 \n   Completed Matrix  1:  lower =  2, upper =  8. Elapsed: 0.00s\nTermination predicted with 7 generators at matrix 1\nEnumerating using 2 generators at a time:\n   Completed Matrix  1:  lower =  3, upper =  8. Elapsed: 0.00s\nTermination predicted with 7 generators at matrix 1\nEnumerating using 3 generators at a time:\n   Completed Matrix  1:  lower =  4, upper =  8. Elapsed: 0.00s\nTermination predicted with 7 generators at matrix 1\nEnumerating using 4 generators at a time:\n   Completed Matrix  1:  lower =  5, upper =  8. Elapsed: 0.05s\nTermination predicted with 7 generators at matrix 1\nEnumerating using 5 generators at a time:\n   Completed Matrix  1:  lower =  6, upper =  8. Elapsed: 1.11s\nTermination predicted at 280 s (4m 40s) with 7 generators at matrix 1\nEnumerating using 6 generators at a time:\n   Completed Matrix  1:  lower =  7, upper =  8. Elapsed: 19.43s\nTermination predicted at 281 s (4m 41s) with 7 generators at matrix 1\nEnumerating using 7 generators at a time:\n   Completed Matrix  1:  lower =  8, upper =  8. Elapsed: 284.77s\nComputation complete \nFinal Results: lower = 8, upper = 8,\nTotal CPU time: 284.77, real time: 284.909\n8\n\nTotal time: 284.800 seconds, Total memory usage: 32.09MB\n</t>
  </si>
  <si>
    <t>Magma V2.28-26    Wed Feb  4 2026 20:02:56 on Marks-MacBook-Air-2 [Seed = \n3660584795]\nType ? for help.  Type &lt;Ctrl&gt;-D to quit.\n[[108, 2]] quantum code over GF(2^2), stabilised by:\nQuantum GF(2)-Additive code over GF(4) of length 108 with 110 generators.\nLower Bound: 1, Upper Bound: 54\nConstructed 2 distinct generator matrices\nTotal Ranks:     55  56 \nRelative Ranks:  55  53 \n(4 4 4 4 4 4 4 4 4 4 4 4 4 4 4 4 4 4 4 4 4 4 4 4 4 4 4 4 4 4 4 4 4 4 4 4 4 4 4 4\n4 4 4 4 4 4 4 4 4 4 4 4 4 4 4 )\n(4 4 4 4 4 4 4 4 4 4 4 4 4 4 4 4 4 4 4 4 4 4 4 4 4 4 4 4 4 4 4 4 4 4 4 4 4 4 4 4\n4 4 4 4 4 4 4 4 4 4 4 4 4 4 2 2 )\nTime Taken: 0.02\nStarting search for low weight codewords... (reset timings)\nEnumerating using 1 generator at a time:\n     New codeword identified of weight 33, time 0.00\n     New codeword identified of weight 27, time 0.00\n     Impurity detected of weight 20, time 0.00\n     New codeword identified of weight 21, time 0.00\n     New codeword identified of weight 20, time 0.00\n     Impurity detected of weight 9, time 0.00\n     New codeword identified of weight 19, time 0.00\n     New codeword identified of weight 12, time 0.00\n   Completed Matrix  1:  lower =  2, upper = 12. Elapsed: 0.00s\n   Completed Matrix  2:  lower =  2, upper = 12. Elapsed: 0.00s\nTermination predicted with 7 generators at matrix 1\nEnumerating using 2 generators at a time:\n     Impurity detected of weight 8, time 0.00\n   Completed Matrix  1:  lower =  3, upper = 12. Elapsed: 0.00s\n   Completed Matrix  2:  lower =  3, upper = 12. Elapsed: 0.00s\nTermination predicted with 7 generators at matrix 1\nEnumerating using 3 generators at a time:\n   Completed Matrix  1:  lower =  4, upper = 12. Elapsed: 0.01s\n   Completed Matrix  2:  lower =  5, upper = 12. Elapsed: 0.01s\nTermination predicted with 7 generators at matrix 1\nEnumerating using 4 generators at a time:\n   Completed Matrix  1:  lower =  6, upper = 12. Elapsed: 0.19s\n   Completed Matrix  2:  lower =  7, upper = 12. Elapsed: 0.39s\nTermination predicted at 3417 s (56m 57s) with 7 generators at matrix 1\nEnumerating using 5 generators at a time:\n   Completed Matrix  1:  lower =  8, upper = 12. Elapsed: 6.23s\n   Completed Matrix  2:  lower =  9, upper = 12. Elapsed: 11.93s\nTermination predicted at 3431 s (57m 11s) with 7 generators at matrix 1\nEnumerating using 6 generators at a time:\n   Completed Matrix  1:  lower = 10, upper = 12. Elapsed: 154.56s\n   Completed Matrix  2:  lower = 11, upper = 12. Elapsed: 291.48s\nTermination predicted at 3356 s (55m 56s) with 7 generators at matrix 1\nEnumerating using 7 generators at a time:\n   Completed Matrix  1:  lower = 12, upper = 12. Elapsed: 5272.78s\nComputation complete \nFinal Results: lower = 12, upper = 12,\nTotal CPU time: 5272.78, real time: 5411.661\n12\n\nTotal time: 5272.849 seconds, Total memory usage: 32.09MB\n</t>
  </si>
  <si>
    <t>Magma V2.28-26    Thu Feb  5 2026 13:02:12 on eduroam-int-dhcp-97-128-123 [Seed \n= 1803982530]\nType ? for help.  Type &lt;Ctrl&gt;-D to quit.\n[[648, 10]] quantum code over GF(2^2), stabilised by:\nQuantum GF(2)-Additive code over GF(4) of length 648 with 658 generators.\nLower Bound: 1, Upper Bound: 320\nConstructed 2 distinct generator matrices\nTotal Ranks:    332 331 \nRelative Ranks: 332 316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2 4 4 4 4 4 4 4 4 4 4 4 4 4 4 4 4 4 4 4 4 4 4 4 4 4 4 4 4 4 4 \n4 4 4 4 2 4 4 2 4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2 4 4 4 4 4 2 2 2 )\nTime Taken: 2.78\nStarting search for low weight codewords... (reset timings)\nEnumerating using 1 generator at a time:\n     New codeword identified of weight 138, time 0.00\n     New codeword identified of weight 132, time 0.00\n     Impurity detected of weight 9, time 0.00\n     New codeword identified of weight 130, time 0.00\n     New codeword identified of weight 129, time 0.00\n     New codeword identified of weight 124, time 0.00\n     New codeword identified of weight 116, time 0.00\n     New codeword identified of weight 105, time 0.00\n   Completed Matrix  1:  lower =  2, upper = 105. Elapsed: 0.00s\n   Completed Matrix  2:  lower =  2, upper = 105. Elapsed: 0.00s\nTermination predicted with 59 generators at matrix 2\nEnumerating using 2 generators at a time:\n     New codeword identified of weight 104, time 0.00\n     New codeword identified of weight 99, time 0.00\n     New codeword identified of weight 98, time 0.00\n   Completed Matrix  1:  lower =  3, upper = 98. Elapsed: 0.01s\n     New codeword identified of weight 96, time 0.04\n   Completed Matrix  2:  lower =  3, upper = 96. Elapsed: 0.04s\nTermination predicted with 55 generators at matrix 1\nEnumerating using 3 generators at a time:\n     New codeword identified of weight 95, time 0.34\n     New codeword identified of weight 90, time 0.58\n   Completed Matrix  1:  lower =  4, upper = 90. Elapsed: 5.61s\n     New codeword identified of weight 89, time 5.92\n     New codeword identified of weight 87, time 9.18\n     New codeword identified of weight 83, time 9.39\n     New codeword identified of weight 78, time 11.05\n   Completed Matrix  2:  lower =  4, upper = 78. Elapsed: 11.15s\nTermination predicted at 10^71 s (10^64y) with 46 generators at matrix 1\nEnumerating using 4 generators at a time:\n   Completed Matrix  1:  lower =  5, upper = 78. Elapsed: 1271.22s\n     New codeword identified of weight 75, time 2594.40\n   Completed Matrix  2:  lower =  5, upper = 75. Elapsed: 2624.45s\nTermination predicted at 10^69 s (10^61y) with 44 generators at matrix 2\nEnumerating using 5 generators at a time:\n     New codeword identified of weight 71, time 21741.98\n</t>
  </si>
  <si>
    <t>Magma V2.28-26    Thu Feb  5 2026 19:37:50 on Marks-MacBook-Air-2 [Seed = \n2823106686]\nType ? for help.  Type &lt;Ctrl&gt;-D to quit.\n[[288, 2]] quantum code over GF(2^2), stabilised by:\nQuantum GF(2)-Additive code over GF(4) of length 288 with 290 generators.\nLower Bound: 1, Upper Bound: 144\nConstructed 2 distinct generator matrices\nTotal Ranks:    146 146 \nRelative Ranks: 146 142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2 2 4 )\nTime Taken: 0.22\nStarting search for low weight codewords... (reset timings)\nEnumerating using 1 generator at a time:\n     New codeword identified of weight 71, time 0.00\n     New codeword identified of weight 61, time 0.00\n     New codeword identified of weight 56, time 0.00\n     New codeword identified of weight 51, time 0.00\n     New codeword identified of weight 49, time 0.00\n     Impurity detected of weight 9, time 0.00\n   Completed Matrix  1:  lower =  2, upper = 49. Elapsed: 0.00s\n     New codeword identified of weight 48, time 0.00\n   Completed Matrix  2:  lower =  2, upper = 48. Elapsed: 0.00s\nTermination predicted with 25 generators at matrix 2\nEnumerating using 2 generators at a time:\n     New codeword identified of weight 29, time 0.00\n     New codeword identified of weight 28, time 0.00\n     New codeword identified of weight 26, time 0.00\n   Completed Matrix  1:  lower =  3, upper = 26. Elapsed: 0.00s\n   Completed Matrix  2:  lower =  3, upper = 26. Elapsed: 0.01s\nTermination predicted with 14 generators at matrix 2\nEnumerating using 3 generators at a time:\n     New codeword identified of weight 25, time 0.24\n   Completed Matrix  1:  lower =  4, upper = 25. Elapsed: 0.27s\n   Completed Matrix  2:  lower =  4, upper = 25. Elapsed: 0.55s\nTermination predicted at 10^18 s (10^11y) with 14 generators at matrix 1\nEnumerating using 4 generators at a time:\n   Completed Matrix  1:  lower =  5, upper = 25. Elapsed: 29.41s\n   Completed Matrix  2:  lower =  6, upper = 25. Elapsed: 58.07s\nTermination predicted at 10^18 s (10^11y) with 14 generators at matrix 1\nEnumerating using 5 generators at a time:\n   Completed Matrix  1:  lower =  7, upper = 25. Elapsed: 2631.86s\n   Completed Matrix  2:  lower =  8, upper = 25. Elapsed: 5236.81s\nTermination predicted at 10^18 s (10^11y) with 14 generators at matrix 1\nEnumerating using 6 generators at a time:\n</t>
  </si>
  <si>
    <t>Magma V2.28-26    Thu Feb  5 2026 19:38:18 on Marks-MacBook-Air-2 [Seed = \n1471860646]\nType ? for help.  Type &lt;Ctrl&gt;-D to quit.\n[[396, 4]] quantum code over GF(2^2), stabilised by:\nQuantum GF(2)-Additive code over GF(4) of length 396 with 400 generators.\nLower Bound: 1, Upper Bound: 197\nConstructed 2 distinct generator matrices\nTotal Ranks:    201 201 \nRelative Ranks: 201 195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2 \n2 )\n(4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2 \n2 )\nTime Taken: 0.56\nStarting search for low weight codewords... (reset timings)\nEnumerating using 1 generator at a time:\n     New codeword identified of weight 97, time 0.00\n     New codeword identified of weight 94, time 0.00\n     New codeword identified of weight 86, time 0.00\n     New codeword identified of weight 80, time 0.00\n     New codeword identified of weight 76, time 0.00\n     New codeword identified of weight 71, time 0.00\n     Impurity detected of weight 10, time 0.00\n     Impurity detected of weight 9, time 0.00\n     New codeword identified of weight 63, time 0.00\n   Completed Matrix  1:  lower =  2, upper = 63. Elapsed: 0.00s\n     New codeword identified of weight 52, time 0.00\n     New codeword identified of weight 48, time 0.00\n   Completed Matrix  2:  lower =  2, upper = 48. Elapsed: 0.00s\nTermination predicted with 26 generators at matrix 2\nEnumerating using 2 generators at a time:\n     New codeword identified of weight 39, time 0.00\n   Completed Matrix  1:  lower =  3, upper = 39. Elapsed: 0.00s\n   Completed Matrix  2:  lower =  3, upper = 39. Elapsed: 0.01s\nTermination predicted with 22 generators at matrix 1\nEnumerating using 3 generators at a time:\n     New codeword identified of weight 33, time 0.01\n     New codeword identified of weight 32, time 0.01\n   Completed Matrix  1:  lower =  4, upper = 32. Elapsed: 0.98s\n   Completed Matrix  2:  lower =  4, upper = 32. Elapsed: 1.97s\nTermination predicted at 10^27 s (10^19y) with 18 generators at matrix 2\nEnumerating using 4 generators at a time:\n     New codeword identified of weight 31, time 10.71\n     New codeword identified of weight 28, time 27.68\n     New codeword identified of weight 27, time 104.62\n   Completed Matrix  1:  lower =  5, upper = 27. Elapsed: 133.02s\n   Completed Matrix  2:  lower =  5, upper = 27. Elapsed: 263.31s\nTermination predicted at 10^23 s (10^16y) with 16 generators at matrix 1\nEnumerating using 5 generators at a time:\n     New codeword identified of weight 26, time 12390.18\n</t>
  </si>
  <si>
    <t>Magma V2.28-26    Thu Feb  5 2026 19:38:59 on Marks-MacBook-Air-2 [Seed = \n1820456164]\nType ? for help.  Type &lt;Ctrl&gt;-D to quit.\n[[496, 2]] quantum code over GF(2^2), stabilised by:\nQuantum GF(2)-Additive code over GF(4) of length 496 with 498 generators.\nLower Bound: 1, Upper Bound: 248\nConstructed 2 distinct generator matrices\nTotal Ranks:    255 250 \nRelative Ranks: 255 241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2 4 4 4 4 4 4 4 4 4 4 4 2 4 4 4 4 4 4 4 4 \n4 4 4 4 4 2 2 2 2 2 2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2 4 2 )\nTime Taken: 1.19\nStarting search for low weight codewords... (reset timings)\nEnumerating using 1 generator at a time:\n     New codeword identified of weight 116, time 0.00\n     Impurity detected of weight 114, time 0.00\n     New codeword identified of weight 98, time 0.00\n     Impurity detected of weight 8, time 0.00\n     New codeword identified of weight 96, time 0.00\n     New codeword identified of weight 82, time 0.00\n   Completed Matrix  1:  lower =  2, upper = 82. Elapsed: 0.00s\n     New codeword identified of weight 80, time 0.00\n     New codeword identified of weight 78, time 0.00\n   Completed Matrix  2:  lower =  2, upper = 78. Elapsed: 0.00s\nTermination predicted with 43 generators at matrix 1\nEnumerating using 2 generators at a time:\n     New codeword identified of weight 76, time 0.00\n     New codeword identified of weight 74, time 0.00\n     New codeword identified of weight 70, time 0.00\n     New codeword identified of weight 68, time 0.00\n     New codeword identified of weight 66, time 0.00\n     New codeword identified of weight 64, time 0.01\n   Completed Matrix  1:  lower =  3, upper = 64. Elapsed: 0.03s\n   Completed Matrix  2:  lower =  3, upper = 64. Elapsed: 0.06s\nTermination predicted with 36 generators at matrix 1\nEnumerating using 3 generators at a time:\n     New codeword identified of weight 60, time 0.07\n     New codeword identified of weight 54, time 0.20\n     New codeword identified of weight 50, time 0.24\n   Completed Matrix  1:  lower =  4, upper = 50. Elapsed: 2.65s\n   Completed Matrix  2:  lower =  4, upper = 50. Elapsed: 5.11s\nTermination predicted at 10^44 s (10^36y) with 29 generators at matrix 1\nEnumerating using 4 generators at a time:\n     New codeword identified of weight 48, time 59.70\n     New codeword identified of weight 46, time 193.62\n   Completed Matrix  1:  lower =  5, upper = 46. Elapsed: 355.78s\n     New codeword identified of weight 42, time 722.13\n   Completed Matrix  2:  lower =  5, upper = 42. Elapsed: 732.00s\nTermination predicted at 10^38 s (10^31y) with 25 generators at matrix 1\nEnumerating using 5 generators at a time:\n     New codeword identified of weight 40, time 7067.85\n     New codeword identified of weight 38, time 11254.86\n</t>
  </si>
  <si>
    <t>Magma V2.28-26    Thu Feb  5 2026 19:39:39 on Marks-MacBook-Air-2 [Seed = \n385584822]\nType ? for help.  Type &lt;Ctrl&gt;-D to quit.\n[[576, 2]] quantum code over GF(2^2), stabilised by:\nQuantum GF(2)-Additive code over GF(4) of length 576 with 578 generators.\nLower Bound: 1, Upper Bound: 288\nConstructed 2 distinct generator matrices\nTotal Ranks:    291 291 \nRelative Ranks: 291 285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2 4 4 4 4 4 4 4 4 4 4 4 4 \n4 4 4 4 4 2 4 4 2 4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2 2 4 2 2 )\nTime Taken: 1.82\nStarting search for low weight codewords... (reset timings)\nEnumerating using 1 generator at a time:\n     Impurity detected of weight 129, time 0.00\n     New codeword identified of weight 142, time 0.00\n     New codeword identified of weight 137, time 0.00\n     New codeword identified of weight 135, time 0.00\n     Impurity detected of weight 9, time 0.00\n     New codeword identified of weight 134, time 0.00\n     New codeword identified of weight 132, time 0.00\n     New codeword identified of weight 124, time 0.00\n     New codeword identified of weight 122, time 0.00\n     New codeword identified of weight 120, time 0.00\n     New codeword identified of weight 113, time 0.00\n     New codeword identified of weight 107, time 0.00\n   Completed Matrix  1:  lower =  2, upper = 107. Elapsed: 0.00s\n     New codeword identified of weight 104, time 0.00\n   Completed Matrix  2:  lower =  2, upper = 104. Elapsed: 0.00s\nTermination predicted with 54 generators at matrix 2\nEnumerating using 2 generators at a time:\n     New codeword identified of weight 102, time 0.00\n     New codeword identified of weight 95, time 0.00\n     New codeword identified of weight 92, time 0.00\n     New codeword identified of weight 90, time 0.00\n   Completed Matrix  1:  lower =  3, upper = 90. Elapsed: 0.02s\n   Completed Matrix  2:  lower =  3, upper = 90. Elapsed: 0.04s\nTermination predicted with 47 generators at matrix 2\nEnumerating using 3 generators at a time:\n     New codeword identified of weight 88, time 0.60\n     New codeword identified of weight 87, time 1.08\n     New codeword identified of weight 83, time 3.24\n     New codeword identified of weight 82, time 3.24\n   Completed Matrix  1:  lower =  4, upper = 82. Elapsed: 3.34s\n   Completed Matrix  2:  lower =  4, upper = 82. Elapsed: 6.71s\nTermination predicted at 10^65 s (10^57y) with 43 generators at matrix 2\nEnumerating using 4 generators at a time:\n     New codeword identified of weight 72, time 17.51\n     New codeword identified of weight 66, time 216.35\n   Completed Matrix  1:  lower =  5, upper = 66. Elapsed: 709.39s\n   Completed Matrix  2:  lower =  5, upper = 66. Elapsed: 1454.02s\nTermination predicted at 10^55 s (10^47y) with 35 generators at matrix 2\nEnumerating using 5 generators at a time:\n</t>
  </si>
  <si>
    <t>Magma V2.28-26    Thu Feb  5 2026 19:40:25 on Marks-MacBook-Air-2 [Seed = \n216110974]\nType ? for help.  Type &lt;Ctrl&gt;-D to quit.\n[[144, 2]] quantum code over GF(2^2), stabilised by:\nQuantum GF(2)-Additive code over GF(4) of length 144 with 146 generators.\nLower Bound: 1, Upper Bound: 72\nConstructed 2 distinct generator matrices\nTotal Ranks:     74  73 \nRelative Ranks:  74  70 \n(4 4 4 4 4 4 4 4 4 4 4 4 4 4 4 4 4 4 4 4 4 4 4 4 4 4 4 4 4 4 4 4 4 4 4 4 4 4 4 4\n4 4 4 4 4 4 4 4 4 4 4 4 4 4 4 4 4 4 4 4 4 4 4 4 4 4 4 4 4 4 4 4 2 2 )\n(4 4 4 4 4 4 4 4 4 4 4 4 4 4 4 4 4 4 4 4 4 4 4 4 4 4 4 4 4 4 4 4 4 4 4 4 4 4 4 4\n4 4 4 4 4 4 4 4 4 4 4 4 4 4 4 4 4 4 4 4 4 4 4 4 4 4 4 4 4 4 4 4 4 )\nTime Taken: 0.05\nStarting search for low weight codewords... (reset timings)\nEnumerating using 1 generator at a time:\n     New codeword identified of weight 39, time 0.00\n     Impurity detected of weight 27, time 0.00\n     New codeword identified of weight 38, time 0.00\n     New codeword identified of weight 28, time 0.00\n     New codeword identified of weight 25, time 0.00\n     New codeword identified of weight 15, time 0.00\n     Impurity detected of weight 9, time 0.00\n   Completed Matrix  1:  lower =  2, upper = 15. Elapsed: 0.00s\n   Completed Matrix  2:  lower =  2, upper = 15. Elapsed: 0.00s\nTermination predicted with 8 generators at matrix 2\nEnumerating using 2 generators at a time:\n   Completed Matrix  1:  lower =  3, upper = 15. Elapsed: 0.00s\n     New codeword identified of weight 13, time 0.00\n   Completed Matrix  2:  lower =  3, upper = 13. Elapsed: 0.00s\nTermination predicted with 7 generators at matrix 2\nEnumerating using 3 generators at a time:\n   Completed Matrix  1:  lower =  4, upper = 13. Elapsed: 0.03s\n   Completed Matrix  2:  lower =  5, upper = 13. Elapsed: 0.04s\nTermination predicted with 7 generators at matrix 2\nEnumerating using 4 generators at a time:\n   Completed Matrix  1:  lower =  6, upper = 13. Elapsed: 1.27s\n   Completed Matrix  2:  lower =  7, upper = 13. Elapsed: 2.50s\nTermination predicted at 101905 s (1d 4h 18m 25s) with 7 generators at matrix 2\nEnumerating using 5 generators at a time:\n   Completed Matrix  1:  lower =  8, upper = 13. Elapsed: 52.60s\n   Completed Matrix  2:  lower =  9, upper = 13. Elapsed: 103.70s\nTermination predicted at 101538 s (1d 4h 12m 18s) with 7 generators at matrix 2\nEnumerating using 6 generators at a time:\n   Completed Matrix  1:  lower = 10, upper = 13. Elapsed: 1939.36s\n   Completed Matrix  2:  lower = 11, upper = 13. Elapsed: 3861.21s\nTermination predicted at 110828 s (1d 6h 47m 8s) with 7 generators at matrix 2\nEnumerating using 7 generators at a time:\n</t>
  </si>
  <si>
    <t>Magma V2.28-26    Thu Feb  5 2026 19:40:58 on Marks-MacBook-Air-2 [Seed = \n970236456]\nType ? for help.  Type &lt;Ctrl&gt;-D to quit.\n[[216, 4]] quantum code over GF(2^2), stabilised by:\nQuantum GF(2)-Additive code over GF(4) of length 216 with 220 generators.\nLower Bound: 1, Upper Bound: 107\nConstructed 2 distinct generator matrices\nTotal Ranks:    112 111 \nRelative Ranks: 112 104 \n(4 4 4 4 4 4 4 4 4 4 4 4 4 4 4 4 4 4 4 4 4 4 4 4 4 4 4 4 4 4 4 4 4 4 4 4 4 4 4 4\n4 4 4 4 4 4 4 4 4 4 4 4 4 4 4 4 4 4 4 4 4 4 4 4 4 4 4 4 4 4 4 4 4 4 4 4 4 4 4 4 \n4 4 4 4 4 4 4 4 4 4 4 4 4 4 4 2 4 4 4 4 4 4 4 4 2 4 4 4 4 4 2 2 )\n(4 4 4 4 4 4 4 4 4 4 4 4 4 4 4 4 4 4 4 4 4 4 4 4 4 4 4 4 4 4 4 4 4 4 4 4 4 4 4 4\n4 4 4 4 4 4 4 4 4 4 4 4 4 4 4 4 4 4 4 4 4 4 4 4 4 4 4 4 4 4 4 4 4 4 4 4 4 4 4 4 \n4 4 4 4 4 4 4 4 4 4 4 4 4 4 4 4 4 4 4 4 4 4 4 4 4 4 4 4 2 2 4 )\nTime Taken: 0.12\nStarting search for low weight codewords... (reset timings)\nEnumerating using 1 generator at a time:\n     New codeword identified of weight 45, time 0.00\n     New codeword identified of weight 42, time 0.00\n     New codeword identified of weight 39, time 0.00\n     New codeword identified of weight 37, time 0.00\n     New codeword identified of weight 24, time 0.00\n     Impurity detected of weight 13, time 0.00\n     Impurity detected of weight 9, time 0.00\n   Completed Matrix  1:  lower =  2, upper = 24. Elapsed: 0.00s\n   Completed Matrix  2:  lower =  2, upper = 24. Elapsed: 0.00s\nTermination predicted with 15 generators at matrix 1\nEnumerating using 2 generators at a time:\n     New codeword identified of weight 23, time 0.00\n   Completed Matrix  1:  lower =  3, upper = 23. Elapsed: 0.00s\n     New codeword identified of weight 22, time 0.00\n     New codeword identified of weight 19, time 0.00\n   Completed Matrix  2:  lower =  3, upper = 19. Elapsed: 0.00s\nTermination predicted with 12 generators at matrix 2\nEnumerating using 3 generators at a time:\n     New codeword identified of weight 18, time 0.06\n   Completed Matrix  1:  lower =  4, upper = 18. Elapsed: 0.08s\n   Completed Matrix  2:  lower =  4, upper = 18. Elapsed: 0.19s\nTermination predicted with 12 generators at matrix 1\nEnumerating using 4 generators at a time:\n   Completed Matrix  1:  lower =  5, upper = 18. Elapsed: 7.67s\n   Completed Matrix  2:  lower =  5, upper = 18. Elapsed: 15.22s\nTermination predicted at 10^13 s (10^6y) with 12 generators at matrix 1\nEnumerating using 5 generators at a time:\n   Completed Matrix  1:  lower =  6, upper = 18. Elapsed: 495.12s\n   Completed Matrix  2:  lower =  6, upper = 18. Elapsed: 1010.57s\nTermination predicted at 10^13 s (10^6y) with 12 generators at matrix 1\nEnumerating using 6 generators at a time:\n</t>
  </si>
  <si>
    <t>Magma V2.28-26    Fri Feb  6 2026 17:09:34 on eduroam-int-dhcp-97-128-123 [Seed \n= 3527252850]\nType ? for help.  Type &lt;Ctrl&gt;-D to quit.\n[[648, 14]] quantum code over GF(2^2), stabilised by:\nQuantum GF(2)-Additive code over GF(4) of length 648 with 662 generators.\nLower Bound: 1, Upper Bound: 318\nConstructed 2 distinct generator matrices\nTotal Ranks:    333 333 \nRelative Ranks: 333 315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2 4 4 4 4 4 4 4 4 4 4 4 4 4 4 4 4 4 4 4 4 4 4 \n4 4 4 4 4 4 4 4 4 4 4 4 4 4 4 4 4 4 4 4 4 4 4 4 4 4 4 4 4 4 4 4 4 4 4 4 4 4 4 4 \n4 4 4 4 4 4 4 4 4 4 4 4 4 4 4 4 4 4 4 4 4 4 4 4 4 4 4 4 4 4 4 4 4 4 4 4 4 4 4 4 \n4 4 4 4 4 4 4 4 4 4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2 2 4 2 2 )\nTime Taken: 3.68\nStarting search for low weight codewords... (reset timings)\nEnumerating using 1 generator at a time:\n     New codeword identified of weight 133, time 0.00\n     New codeword identified of weight 127, time 0.00\n     New codeword identified of weight 126, time 0.00\n     Impurity detected of weight 24, time 0.00\n     New codeword identified of weight 125, time 0.00\n     Impurity detected of weight 9, time 0.00\n     New codeword identified of weight 124, time 0.00\n     New codeword identified of weight 118, time 0.00\n     New codeword identified of weight 116, time 0.00\n   Completed Matrix  1:  lower =  2, upper = 116. Elapsed: 0.00s\n     New codeword identified of weight 114, time 0.00\n   Completed Matrix  2:  lower =  2, upper = 114. Elapsed: 0.00s\nTermination predicted with 65 generators at matrix 2\nEnumerating using 2 generators at a time:\n     New codeword identified of weight 111, time 0.00\n     New codeword identified of weight 108, time 0.00\n     New codeword identified of weight 99, time 0.00\n     New codeword identified of weight 96, time 0.01\n     New codeword identified of weight 91, time 0.02\n   Completed Matrix  1:  lower =  3, upper = 91. Elapsed: 0.04s\n     New codeword identified of weight 77, time 0.06\n   Completed Matrix  2:  lower =  3, upper = 77. Elapsed: 0.06s\nTermination predicted with 47 generators at matrix 1\nEnumerating using 3 generators at a time:\n   Completed Matrix  1:  lower =  4, upper = 77. Elapsed: 7.79s\n     New codeword identified of weight 76, time 15.26\n     New codeword identified of weight 70, time 15.27\n   Completed Matrix  2:  lower =  4, upper = 70. Elapsed: 15.44s\nTermination predicted at 10^68 s (10^60y) with 43 generators at matrix 2\nEnumerating using 4 generators at a time:\n   Completed Matrix  1:  lower =  5, upper = 70. Elapsed: 1753.24s\n     New codeword identified of weight 69, time 1910.56\n   Completed Matrix  2:  lower =  5, upper = 69. Elapsed: 3450.63s\nTermination predicted at 10^67 s (10^60y) with 43 generators at matrix 1\nEnumerating using 5 generators at a time:\n     New codeword identified of weight 66, time 12747.46\n</t>
  </si>
  <si>
    <t>Magma V2.28-26    Fri Feb  6 2026 17:09:34 on eduroam-int-dhcp-97-128-123 [Seed \n= 2873418251]\nType ? for help.  Type &lt;Ctrl&gt;-D to quit.\n[[180, 2]] quantum code over GF(2^2), stabilised by:\nQuantum GF(2)-Additive code over GF(4) of length 180 with 182 generators.\nLower Bound: 1, Upper Bound: 90\nConstructed 2 distinct generator matrices\nTotal Ranks:     91  92 \nRelative Ranks:  91  89 \n(4 4 4 4 4 4 4 4 4 4 4 4 4 4 4 4 4 4 4 4 4 4 4 4 4 4 4 4 4 4 4 4 4 4 4 4 4 4 4 4\n4 4 4 4 4 4 4 4 4 4 4 4 4 4 4 4 4 4 4 4 4 4 4 4 4 4 4 4 4 4 4 4 4 4 4 4 4 4 4 4 \n4 4 4 4 4 4 4 4 4 4 4 )\n(4 4 4 4 4 4 4 4 4 4 4 4 4 4 4 4 4 4 4 4 4 4 4 4 4 4 4 4 4 4 4 4 4 4 4 4 4 4 4 4\n4 4 4 4 4 4 4 4 4 4 4 4 4 4 4 4 4 4 4 4 4 4 4 4 4 4 4 4 4 4 4 4 4 4 4 4 4 4 4 4 \n4 4 4 4 4 4 4 4 4 4 2 2 )\nTime Taken: 0.10\nStarting search for low weight codewords... (reset timings)\nEnumerating using 1 generator at a time:\n     New codeword identified of weight 45, time 0.00\n     Impurity detected of weight 9, time 0.00\n     New codeword identified of weight 39, time 0.00\n     New codeword identified of weight 37, time 0.00\n     New codeword identified of weight 35, time 0.00\n     New codeword identified of weight 29, time 0.00\n   Completed Matrix  1:  lower =  2, upper = 29. Elapsed: 0.00s\n     New codeword identified of weight 26, time 0.00\n     New codeword identified of weight 24, time 0.00\n   Completed Matrix  2:  lower =  2, upper = 24. Elapsed: 0.00s\nTermination predicted with 13 generators at matrix 1\nEnumerating using 2 generators at a time:\n     New codeword identified of weight 23, time 0.00\n     New codeword identified of weight 22, time 0.00\n   Completed Matrix  1:  lower =  3, upper = 22. Elapsed: 0.00s\n   Completed Matrix  2:  lower =  3, upper = 22. Elapsed: 0.00s\nTermination predicted with 12 generators at matrix 1\nEnumerating using 3 generators at a time:\n     New codeword identified of weight 20, time 0.01\n   Completed Matrix  1:  lower =  4, upper = 20. Elapsed: 0.05s\n     New codeword identified of weight 19, time 0.06\n   Completed Matrix  2:  lower =  5, upper = 19. Elapsed: 0.10s\nTermination predicted with 10 generators at matrix 2\nEnumerating using 4 generators at a time:\n     New codeword identified of weight 18, time 1.03\n   Completed Matrix  1:  lower =  6, upper = 18. Elapsed: 4.09s\n   Completed Matrix  2:  lower =  7, upper = 18. Elapsed: 8.02s\nTermination predicted at 10^10 s (241y) with 10 generators at matrix 1\nEnumerating using 5 generators at a time:\n     New codeword identified of weight 17, time 29.57\n   Completed Matrix  1:  lower =  8, upper = 17. Elapsed: 209.75s\n   Completed Matrix  2:  lower =  9, upper = 17. Elapsed: 402.58s\nTermination predicted at 10^9 s (17y 143d 15h 29m 53s) with 9 generators at \nmatrix 2\nEnumerating using 6 generators at a time:\n   Completed Matrix  1:  lower = 10, upper = 17. Elapsed: 8791.90s\n</t>
  </si>
  <si>
    <t>Magma V2.28-26    Fri Feb  6 2026 17:09:40 on eduroam-int-dhcp-97-128-123 [Seed \n= 3076062733]\nType ? for help.  Type &lt;Ctrl&gt;-D to quit.\n[[324, 4]] quantum code over GF(2^2), stabilised by:\nQuantum GF(2)-Additive code over GF(4) of length 324 with 328 generators.\nLower Bound: 1, Upper Bound: 161\nConstructed 2 distinct generator matrices\nTotal Ranks:    165 165 \nRelative Ranks: 165 159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2 2 )\nTime Taken: 0.44\nStarting search for low weight codewords... (reset timings)\nEnumerating using 1 generator at a time:\n     New codeword identified of weight 71, time 0.00\n     Impurity detected of weight 9, time 0.00\n     New codeword identified of weight 67, time 0.00\n     New codeword identified of weight 57, time 0.00\n     New codeword identified of weight 53, time 0.00\n     New codeword identified of weight 42, time 0.00\n   Completed Matrix  1:  lower =  2, upper = 42. Elapsed: 0.00s\n   Completed Matrix  2:  lower =  2, upper = 42. Elapsed: 0.00s\nTermination predicted with 23 generators at matrix 2\nEnumerating using 2 generators at a time:\n     New codeword identified of weight 40, time 0.00\n   Completed Matrix  1:  lower =  3, upper = 40. Elapsed: 0.00s\n   Completed Matrix  2:  lower =  3, upper = 40. Elapsed: 0.01s\nTermination predicted with 22 generators at matrix 2\nEnumerating using 3 generators at a time:\n     New codeword identified of weight 36, time 0.03\n   Completed Matrix  1:  lower =  4, upper = 36. Elapsed: 0.58s\n     New codeword identified of weight 32, time 0.69\n   Completed Matrix  2:  lower =  4, upper = 32. Elapsed: 1.14s\nTermination predicted at 10^25 s (10^18y) with 18 generators at matrix 2\nEnumerating using 4 generators at a time:\n     New codeword identified of weight 29, time 48.37\n   Completed Matrix  1:  lower =  5, upper = 29. Elapsed: 68.90s\n   Completed Matrix  2:  lower =  5, upper = 29. Elapsed: 132.03s\nTermination predicted at 10^23 s (10^16y) with 17 generators at matrix 1\nEnumerating using 5 generators at a time:\n     New codeword identified of weight 27, time 2452.83\n   Completed Matrix  1:  lower =  6, upper = 27. Elapsed: 6312.26s\n   Completed Matrix  2:  lower =  6, upper = 27. Elapsed: 12358.70s\nTermination predicted at 10^22 s (10^14y) with 16 generators at matrix 1\nEnumerating using 6 generators at a time:\n</t>
  </si>
  <si>
    <t>Magma V2.28-26    Fri Feb  6 2026 17:09:51 on eduroam-int-dhcp-97-128-123 [Seed \n= 2321924923]\nType ? for help.  Type &lt;Ctrl&gt;-D to quit.\n[[432, 8]] quantum code over GF(2^2), stabilised by:\nQuantum GF(2)-Additive code over GF(4) of length 432 with 440 generators.\nLower Bound: 1, Upper Bound: 213\nConstructed 2 distinct generator matrices\nTotal Ranks:    222 222 \nRelative Ranks: 222 210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2 4 4 \n4 4 4 4 4 4 4 4 4 4 4 4 4 4 4 4 4 4 2 4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2 2 2 4 4 2 )\nTime Taken: 0.99\nStarting search for low weight codewords... (reset timings)\nEnumerating using 1 generator at a time:\n     New codeword identified of weight 96, time 0.00\n     Impurity detected of weight 9, time 0.00\n     New codeword identified of weight 90, time 0.00\n     New codeword identified of weight 87, time 0.00\n     New codeword identified of weight 86, time 0.00\n     New codeword identified of weight 79, time 0.00\n     New codeword identified of weight 78, time 0.00\n     New codeword identified of weight 71, time 0.00\n   Completed Matrix  1:  lower =  2, upper = 71. Elapsed: 0.00s\n   Completed Matrix  2:  lower =  2, upper = 71. Elapsed: 0.00s\nTermination predicted with 41 generators at matrix 1\nEnumerating using 2 generators at a time:\n     New codeword identified of weight 68, time 0.00\n     New codeword identified of weight 67, time 0.00\n     New codeword identified of weight 58, time 0.00\n   Completed Matrix  1:  lower =  3, upper = 58. Elapsed: 0.01s\n   Completed Matrix  2:  lower =  3, upper = 58. Elapsed: 0.02s\nTermination predicted with 34 generators at matrix 2\nEnumerating using 3 generators at a time:\n     New codeword identified of weight 56, time 0.10\n     New codeword identified of weight 52, time 0.30\n   Completed Matrix  1:  lower =  4, upper = 52. Elapsed: 1.64s\n   Completed Matrix  2:  lower =  4, upper = 52. Elapsed: 3.18s\nTermination predicted at 10^45 s (10^38y) with 31 generators at matrix 2\nEnumerating using 4 generators at a time:\n     New codeword identified of weight 47, time 3.60\n     New codeword identified of weight 39, time 23.31\n   Completed Matrix  1:  lower =  5, upper = 39. Elapsed: 242.05s\n   Completed Matrix  2:  lower =  5, upper = 39. Elapsed: 477.63s\nTermination predicted at 10^37 s (10^30y) with 25 generators at matrix 1\nEnumerating using 5 generators at a time:\n     New codeword identified of weight 38, time 1772.87\n</t>
  </si>
  <si>
    <t>Magma V2.28-26    Fri Feb  6 2026 17:10:05 on eduroam-int-dhcp-97-128-123 [Seed \n= 2204944896]\nType ? for help.  Type &lt;Ctrl&gt;-D to quit.\n[[504, 2]] quantum code over GF(2^2), stabilised by:\nQuantum GF(2)-Additive code over GF(4) of length 504 with 506 generators.\nLower Bound: 1, Upper Bound: 252\nConstructed 2 distinct generator matrices\nTotal Ranks:    253 254 \nRelative Ranks: 253 251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2 2 )\nTime Taken: 1.52\nStarting search for low weight codewords... (reset timings)\nEnumerating using 1 generator at a time:\n     New codeword identified of weight 125, time 0.00\n     New codeword identified of weight 122, time 0.00\n     Impurity detected of weight 115, time 0.00\n     Impurity detected of weight 111, time 0.00\n     New codeword identified of weight 117, time 0.00\n     Impurity detected of weight 110, time 0.00\n     New codeword identified of weight 113, time 0.00\n     New codeword identified of weight 109, time 0.00\n     New codeword identified of weight 98, time 0.00\n     Impurity detected of weight 14, time 0.00\n     Impurity detected of weight 12, time 0.00\n     Impurity detected of weight 9, time 0.00\n     New codeword identified of weight 90, time 0.00\n   Completed Matrix  1:  lower =  2, upper = 90. Elapsed: 0.00s\n   Completed Matrix  2:  lower =  2, upper = 90. Elapsed: 0.00s\nTermination predicted with 46 generators at matrix 1\nEnumerating using 2 generators at a time:\n     New codeword identified of weight 89, time 0.00\n     New codeword identified of weight 88, time 0.00\n     New codeword identified of weight 83, time 0.00\n   Completed Matrix  1:  lower =  3, upper = 83. Elapsed: 0.01s\n   Completed Matrix  2:  lower =  3, upper = 83. Elapsed: 0.03s\nTermination predicted with 42 generators at matrix 2\nEnumerating using 3 generators at a time:\n     New codeword identified of weight 81, time 0.04\n     New codeword identified of weight 80, time 0.07\n     New codeword identified of weight 79, time 0.16\n     New codeword identified of weight 78, time 0.34\n     New codeword identified of weight 71, time 0.88\n   Completed Matrix  1:  lower =  4, upper = 71. Elapsed: 2.62s\n     New codeword identified of weight 70, time 4.28\n   Completed Matrix  2:  lower =  5, upper = 70. Elapsed: 5.25s\nTermination predicted at 10^54 s (10^46y) with 36 generators at matrix 1\nEnumerating using 4 generators at a time:\n     New codeword identified of weight 64, time 5.79\n     New codeword identified of weight 63, time 41.59\n     New codeword identified of weight 61, time 428.87\n   Completed Matrix  1:  lower =  6, upper = 61. Elapsed: 468.72s\n   Completed Matrix  2:  lower =  7, upper = 61. Elapsed: 922.23s\nTermination predicted at 10^47 s (10^40y) with 31 generators at matrix 2\nEnumerating using 5 generators at a time:\n     New codeword identified of weight 60, time 1275.52\n</t>
  </si>
  <si>
    <t>Magma V2.28-26    Fri Feb  6 2026 17:10:39 on eduroam-int-dhcp-97-128-123 [Seed \n= 2106733596]\nType ? for help.  Type &lt;Ctrl&gt;-D to quit.\n[[576, 2]] quantum code over GF(2^2), stabilised by:\nQuantum GF(2)-Additive code over GF(4) of length 576 with 578 generators.\nLower Bound: 1, Upper Bound: 288\nConstructed 2 distinct generator matrices\nTotal Ranks:    291 291 \nRelative Ranks: 291 285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2 4 4 4 4 4 4 4 4 4 4 4 4 \n4 4 4 4 4 2 4 4 2 4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2 2 4 2 2 )\nTime Taken: 2.32\nStarting search for low weight codewords... (reset timings)\nEnumerating using 1 generator at a time:\n     Impurity detected of weight 129, time 0.00\n     New codeword identified of weight 142, time 0.00\n     New codeword identified of weight 137, time 0.00\n     New codeword identified of weight 135, time 0.00\n     Impurity detected of weight 9, time 0.00\n     New codeword identified of weight 134, time 0.00\n     New codeword identified of weight 132, time 0.00\n     New codeword identified of weight 124, time 0.00\n     New codeword identified of weight 122, time 0.00\n     New codeword identified of weight 120, time 0.00\n     New codeword identified of weight 113, time 0.00\n     New codeword identified of weight 107, time 0.00\n   Completed Matrix  1:  lower =  2, upper = 107. Elapsed: 0.00s\n     New codeword identified of weight 104, time 0.00\n   Completed Matrix  2:  lower =  2, upper = 104. Elapsed: 0.00s\nTermination predicted with 54 generators at matrix 2\nEnumerating using 2 generators at a time:\n     New codeword identified of weight 102, time 0.00\n     New codeword identified of weight 95, time 0.00\n     New codeword identified of weight 92, time 0.00\n     New codeword identified of weight 90, time 0.01\n   Completed Matrix  1:  lower =  3, upper = 90. Elapsed: 0.02s\n   Completed Matrix  2:  lower =  3, upper = 90. Elapsed: 0.05s\nTermination predicted with 47 generators at matrix 2\nEnumerating using 3 generators at a time:\n     New codeword identified of weight 88, time 0.79\n     New codeword identified of weight 87, time 1.38\n     New codeword identified of weight 83, time 4.01\n     New codeword identified of weight 82, time 4.01\n   Completed Matrix  1:  lower =  4, upper = 82. Elapsed: 4.13s\n   Completed Matrix  2:  lower =  4, upper = 82. Elapsed: 8.24s\nTermination predicted at 10^65 s (10^57y) with 43 generators at matrix 2\nEnumerating using 4 generators at a time:\n     New codeword identified of weight 72, time 21.31\n     New codeword identified of weight 66, time 263.19\n   Completed Matrix  1:  lower =  5, upper = 66. Elapsed: 844.87s\n   Completed Matrix  2:  lower =  5, upper = 66. Elapsed: 1684.25s\nTermination predicted at 10^55 s (10^47y) with 35 generators at matrix 2\nEnumerating using 5 generators at a time:\n</t>
  </si>
  <si>
    <t>Magma V2.28-26    Fri Feb  6 2026 17:11:19 on eduroam-int-dhcp-97-128-123 [Seed \n= 1438260236]\nType ? for help.  Type &lt;Ctrl&gt;-D to quit.\n[[252, 2]] quantum code over GF(2^2), stabilised by:\nQuantum GF(2)-Additive code over GF(4) of length 252 with 254 generators.\nLower Bound: 1, Upper Bound: 126\nConstructed 2 distinct generator matrices\nTotal Ranks:    128 128 \nRelative Ranks: 128 124 \n(4 4 4 4 4 4 4 4 4 4 4 4 4 4 4 4 4 4 4 4 4 4 4 4 4 4 4 4 4 4 4 4 4 4 4 4 4 4 4 4\n4 4 4 4 4 4 4 4 4 4 4 4 4 4 4 4 4 4 4 4 4 4 4 4 4 4 4 4 4 4 4 4 4 4 4 4 4 4 4 4 \n4 4 4 4 4 4 4 4 4 4 4 4 4 4 4 4 4 4 4 4 4 4 4 4 4 4 2 4 4 4 4 4 4 4 4 4 4 4 4 4 \n4 4 4 4 4 4 4 2 )\n(4 4 4 4 4 4 4 4 4 4 4 4 4 4 4 4 4 4 4 4 4 4 4 4 4 4 4 4 4 4 4 4 4 4 4 4 4 4 4 4\n4 4 4 4 4 4 4 4 4 4 4 4 4 4 4 4 4 4 4 4 4 4 4 4 4 4 4 4 4 4 4 4 4 4 4 4 4 4 4 4 \n4 4 4 4 4 4 4 4 4 4 4 4 4 4 4 4 4 4 4 4 4 4 4 4 4 4 4 4 4 4 4 4 4 4 4 4 4 4 4 4 \n4 4 4 4 4 4 2 2 )\nTime Taken: 0.21\nStarting search for low weight codewords... (reset timings)\nEnumerating using 1 generator at a time:\n     New codeword identified of weight 64, time 0.00\n     New codeword identified of weight 56, time 0.00\n     New codeword identified of weight 55, time 0.00\n     New codeword identified of weight 52, time 0.00\n     Impurity detected of weight 51, time 0.00\n     Impurity detected of weight 49, time 0.00\n     New codeword identified of weight 50, time 0.00\n     Impurity detected of weight 9, time 0.00\n     New codeword identified of weight 49, time 0.00\n     New codeword identified of weight 46, time 0.00\n   Completed Matrix  1:  lower =  2, upper = 46. Elapsed: 0.00s\n     New codeword identified of weight 42, time 0.00\n   Completed Matrix  2:  lower =  2, upper = 42. Elapsed: 0.00s\nTermination predicted with 22 generators at matrix 2\nEnumerating using 2 generators at a time:\n     New codeword identified of weight 40, time 0.00\n     New codeword identified of weight 39, time 0.00\n     New codeword identified of weight 38, time 0.00\n     New codeword identified of weight 32, time 0.00\n     New codeword identified of weight 29, time 0.00\n   Completed Matrix  1:  lower =  3, upper = 29. Elapsed: 0.00s\n     New codeword identified of weight 28, time 0.00\n   Completed Matrix  2:  lower =  3, upper = 28. Elapsed: 0.00s\nTermination predicted with 15 generators at matrix 2\nEnumerating using 3 generators at a time:\n     New codeword identified of weight 27, time 0.01\n     New codeword identified of weight 25, time 0.07\n   Completed Matrix  1:  lower =  4, upper = 25. Elapsed: 0.18s\n     New codeword identified of weight 23, time 0.32\n   Completed Matrix  2:  lower =  4, upper = 23. Elapsed: 0.37s\nTermination predicted at 10^16 s (10^8y) with 13 generators at matrix 1\nEnumerating using 4 generators at a time:\n   Completed Matrix  1:  lower =  5, upper = 23. Elapsed: 16.75s\n     New codeword identified of weight 22, time 21.21\n   Completed Matrix  2:  lower =  6, upper = 22. Elapsed: 33.10s\nTermination predicted at 10^15 s (10^7y) with 12 generators at matrix 2\nEnumerating using 5 generators at a time:\n   Completed Matrix  1:  lower =  7, upper = 22. Elapsed: 1259.11s\n     New codeword identified of weight 21, time 2389.47\n   Completed Matrix  2:  lower =  8, upper = 21. Elapsed: 2484.76s\nTermination predicted at 10^14 s (10^7y) with 12 generators at matrix 1\nEnumerating using 6 generators at a time:\n</t>
  </si>
  <si>
    <t>Magma V2.28-26    Sat Feb  7 2026 01:09:42 on eduroam-int-dhcp-97-128-123 [Seed \n= 2706266295]\nType ? for help.  Type &lt;Ctrl&gt;-D to quit.\n[[684, 2]] quantum code over GF(2^2), stabilised by:\nQuantum GF(2)-Additive code over GF(4) of length 684 with 686 generators.\nLower Bound: 1, Upper Bound: 342\nConstructed 2 distinct generator matrices\nTotal Ranks:    346 344 \nRelative Ranks: 346 338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2 4 4 4 \n4 4 4 4 2 4 4 4 4 4 4 4 4 4 4 4 4 4 2 4 4 4 4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2 4 2 )\nTime Taken: 4.12\nStarting search for low weight codewords... (reset timings)\nEnumerating using 1 generator at a time:\n     New codeword identified of weight 154, time 0.00\n     New codeword identified of weight 149, time 0.00\n     Impurity detected of weight 9, time 0.00\n     New codeword identified of weight 133, time 0.00\n     New codeword identified of weight 122, time 0.00\n     New codeword identified of weight 121, time 0.00\n     New codeword identified of weight 120, time 0.00\n   Completed Matrix  1:  lower =  2, upper = 120. Elapsed: 0.00s\n   Completed Matrix  2:  lower =  2, upper = 120. Elapsed: 0.00s\nTermination predicted with 62 generators at matrix 2\nEnumerating using 2 generators at a time:\n     New codeword identified of weight 117, time 0.00\n     New codeword identified of weight 111, time 0.00\n     New codeword identified of weight 84, time 0.00\n     New codeword identified of weight 70, time 0.02\n   Completed Matrix  1:  lower =  3, upper = 70. Elapsed: 0.07s\n   Completed Matrix  2:  lower =  3, upper = 70. Elapsed: 0.11s\nTermination predicted with 37 generators at matrix 2\nEnumerating using 3 generators at a time:\n     New codeword identified of weight 68, time 1.21\n     New codeword identified of weight 59, time 2.00\n     New codeword identified of weight 58, time 6.06\n   Completed Matrix  1:  lower =  4, upper = 58. Elapsed: 8.85s\n   Completed Matrix  2:  lower =  4, upper = 58. Elapsed: 17.08s\nTermination predicted at 10^52 s (10^44y) with 31 generators at matrix 2\nEnumerating using 4 generators at a time:\n     New codeword identified of weight 55, time 132.53\n     New codeword identified of weight 54, time 262.81\n     New codeword identified of weight 51, time 445.77\n     New codeword identified of weight 50, time 1194.19\n   Completed Matrix  1:  lower =  5, upper = 50. Elapsed: 1951.00s\n     New codeword identified of weight 49, time 3444.14\n   Completed Matrix  2:  lower =  5, upper = 49. Elapsed: 3884.37s\nTermination predicted at 10^45 s (10^38y) with 27 generators at matrix 1\nEnumerating using 5 generators at a time:\n</t>
  </si>
  <si>
    <t>Magma V2.28-26    Sat Feb  7 2026 01:09:42 on eduroam-int-dhcp-97-128-123 [Seed \n= 2906805435]\nType ? for help.  Type &lt;Ctrl&gt;-D to quit.\n[[360, 4]] quantum code over GF(2^2), stabilised by:\nQuantum GF(2)-Additive code over GF(4) of length 360 with 364 generators.\nLower Bound: 1, Upper Bound: 179\nConstructed 2 distinct generator matrices\nTotal Ranks:    184 183 \nRelative Ranks: 184 176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2 4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2 4 2 )\nTime Taken: 0.55\nStarting search for low weight codewords... (reset timings)\nEnumerating using 1 generator at a time:\n     New codeword identified of weight 79, time 0.00\n     New codeword identified of weight 75, time 0.00\n     New codeword identified of weight 64, time 0.00\n     Impurity detected of weight 9, time 0.00\n     New codeword identified of weight 57, time 0.00\n   Completed Matrix  1:  lower =  2, upper = 57. Elapsed: 0.00s\n   Completed Matrix  2:  lower =  2, upper = 57. Elapsed: 0.00s\nTermination predicted with 31 generators at matrix 2\nEnumerating using 2 generators at a time:\n     New codeword identified of weight 55, time 0.00\n     New codeword identified of weight 40, time 0.00\n     New codeword identified of weight 32, time 0.00\n   Completed Matrix  1:  lower =  3, upper = 32. Elapsed: 0.00s\n   Completed Matrix  2:  lower =  3, upper = 32. Elapsed: 0.00s\nTermination predicted with 19 generators at matrix 1\nEnumerating using 3 generators at a time:\n     New codeword identified of weight 31, time 0.37\n     New codeword identified of weight 30, time 0.52\n   Completed Matrix  1:  lower =  4, upper = 30. Elapsed: 0.77s\n     New codeword identified of weight 26, time 0.89\n   Completed Matrix  2:  lower =  4, upper = 26. Elapsed: 1.56s\nTermination predicted at 10^23 s (10^15y) with 16 generators at matrix 1\nEnumerating using 4 generators at a time:\n   Completed Matrix  1:  lower =  5, upper = 26. Elapsed: 97.57s\n   Completed Matrix  2:  lower =  5, upper = 26. Elapsed: 194.12s\nTermination predicted at 10^23 s (10^15y) with 16 generators at matrix 1\nEnumerating using 5 generators at a time:\n     New codeword identified of weight 25, time 436.25\n</t>
  </si>
  <si>
    <t>Magma V2.28-26    Sat Feb  7 2026 01:09:51 on eduroam-int-dhcp-97-128-123 [Seed \n= 3109437606]\nType ? for help.  Type &lt;Ctrl&gt;-D to quit.\n[[468, 4]] quantum code over GF(2^2), stabilised by:\nQuantum GF(2)-Additive code over GF(4) of length 468 with 472 generators.\nLower Bound: 1, Upper Bound: 233\nConstructed 2 distinct generator matrices\nTotal Ranks:    237 237 \nRelative Ranks: 237 231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2 4 2 )\nTime Taken: 1.14\nStarting search for low weight codewords... (reset timings)\nEnumerating using 1 generator at a time:\n     New codeword identified of weight 109, time 0.00\n     New codeword identified of weight 106, time 0.00\n     New codeword identified of weight 97, time 0.00\n     New codeword identified of weight 90, time 0.00\n     Impurity detected of weight 9, time 0.00\n     New codeword identified of weight 87, time 0.00\n     New codeword identified of weight 84, time 0.00\n     New codeword identified of weight 76, time 0.00\n     New codeword identified of weight 72, time 0.00\n     New codeword identified of weight 67, time 0.00\n     New codeword identified of weight 66, time 0.00\n   Completed Matrix  1:  lower =  2, upper = 66. Elapsed: 0.00s\n   Completed Matrix  2:  lower =  2, upper = 66. Elapsed: 0.00s\nTermination predicted with 35 generators at matrix 2\nEnumerating using 2 generators at a time:\n     New codeword identified of weight 63, time 0.00\n     New codeword identified of weight 61, time 0.00\n   Completed Matrix  1:  lower =  3, upper = 61. Elapsed: 0.03s\n     New codeword identified of weight 55, time 0.03\n     New codeword identified of weight 52, time 0.03\n     New codeword identified of weight 47, time 0.04\n   Completed Matrix  2:  lower =  3, upper = 47. Elapsed: 0.05s\nTermination predicted with 26 generators at matrix 1\nEnumerating using 3 generators at a time:\n     New codeword identified of weight 42, time 0.35\n     New codeword identified of weight 40, time 2.31\n   Completed Matrix  1:  lower =  4, upper = 40. Elapsed: 2.42s\n   Completed Matrix  2:  lower =  4, upper = 40. Elapsed: 4.55s\nTermination predicted at 10^34 s (10^27y) with 22 generators at matrix 2\nEnumerating using 4 generators at a time:\n     New codeword identified of weight 39, time 273.75\n   Completed Matrix  1:  lower =  5, upper = 39. Elapsed: 342.83s\n     New codeword identified of weight 37, time 357.35\n   Completed Matrix  2:  lower =  5, upper = 37. Elapsed: 679.51s\nTermination predicted at 10^32 s (10^25y) with 21 generators at matrix 1\nEnumerating using 5 generators at a time:\n     New codeword identified of weight 34, time 2409.46\n</t>
  </si>
  <si>
    <t>Magma V2.28-26    Sat Feb  7 2026 01:10:06 on eduroam-int-dhcp-97-128-123 [Seed \n= 1152105834]\nType ? for help.  Type &lt;Ctrl&gt;-D to quit.\n[[540, 4]] quantum code over GF(2^2), stabilised by:\nQuantum GF(2)-Additive code over GF(4) of length 540 with 544 generators.\nLower Bound: 1, Upper Bound: 269\nConstructed 2 distinct generator matrices\nTotal Ranks:    274 273 \nRelative Ranks: 274 266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2 4 4 4 4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2 2 )\nTime Taken: 1.82\nStarting search for low weight codewords... (reset timings)\nEnumerating using 1 generator at a time:\n     New codeword identified of weight 139, time 0.00\n     New codeword identified of weight 130, time 0.00\n     New codeword identified of weight 118, time 0.00\n     New codeword identified of weight 113, time 0.00\n     New codeword identified of weight 112, time 0.00\n     Impurity detected of weight 9, time 0.00\n     New codeword identified of weight 110, time 0.00\n     New codeword identified of weight 99, time 0.00\n     New codeword identified of weight 94, time 0.00\n   Completed Matrix  1:  lower =  2, upper = 94. Elapsed: 0.00s\n   Completed Matrix  2:  lower =  2, upper = 94. Elapsed: 0.00s\nTermination predicted with 50 generators at matrix 1\nEnumerating using 2 generators at a time:\n     New codeword identified of weight 90, time 0.00\n     New codeword identified of weight 81, time 0.00\n     New codeword identified of weight 80, time 0.00\n     New codeword identified of weight 75, time 0.02\n   Completed Matrix  1:  lower =  3, upper = 75. Elapsed: 0.02s\n   Completed Matrix  2:  lower =  3, upper = 75. Elapsed: 0.04s\nTermination predicted with 40 generators at matrix 2\nEnumerating using 3 generators at a time:\n     New codeword identified of weight 74, time 1.59\n     New codeword identified of weight 72, time 3.25\n     New codeword identified of weight 68, time 3.41\n   Completed Matrix  1:  lower =  4, upper = 68. Elapsed: 3.42s\n     New codeword identified of weight 54, time 5.93\n   Completed Matrix  2:  lower =  4, upper = 54. Elapsed: 6.80s\nTermination predicted at 10^47 s (10^39y) with 30 generators at matrix 1\nEnumerating using 4 generators at a time:\n   Completed Matrix  1:  lower =  5, upper = 54. Elapsed: 651.17s\n     New codeword identified of weight 50, time 1085.33\n   Completed Matrix  2:  lower =  5, upper = 50. Elapsed: 1296.35s\nTermination predicted at 10^44 s (10^36y) with 28 generators at matrix 1\nEnumerating using 5 generators at a time:\n</t>
  </si>
  <si>
    <t>Magma V2.28-26    Sat Feb  7 2026 01:10:39 on eduroam-int-dhcp-97-128-123 [Seed \n= 1555276947]\nType ? for help.  Type &lt;Ctrl&gt;-D to quit.\n[[612, 2]] quantum code over GF(2^2), stabilised by:\nQuantum GF(2)-Additive code over GF(4) of length 612 with 614 generators.\nLower Bound: 1, Upper Bound: 306\nConstructed 2 distinct generator matrices\nTotal Ranks:    309 308 \nRelative Ranks: 309 303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2 2 2 2 )\n(4 4 4 4 4 4 4 4 4 4 4 4 4 4 4 4 4 4 4 4 4 4 4 4 4 4 4 4 4 4 4 4 4 4 4 4 4 4 4 4\n4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4 4 4 4 4 4 4 4 4 4 4 4 4 4 \n4 4 4 4 4 4 4 4 4 4 4 4 4 4 4 4 4 4 4 4 4 4 4 4 4 4 2 2 )\nTime Taken: 2.70\nStarting search for low weight codewords... (reset timings)\nEnumerating using 1 generator at a time:\n     Impurity detected of weight 142, time 0.00\n     New codeword identified of weight 155, time 0.00\n     Impurity detected of weight 9, time 0.00\n     New codeword identified of weight 152, time 0.00\n     New codeword identified of weight 137, time 0.00\n     New codeword identified of weight 124, time 0.00\n     New codeword identified of weight 119, time 0.00\n   Completed Matrix  1:  lower =  2, upper = 119. Elapsed: 0.00s\n     New codeword identified of weight 118, time 0.00\n     New codeword identified of weight 111, time 0.00\n   Completed Matrix  2:  lower =  2, upper = 111. Elapsed: 0.00s\nTermination predicted with 57 generators at matrix 2\nEnumerating using 2 generators at a time:\n     New codeword identified of weight 107, time 0.00\n     New codeword identified of weight 106, time 0.00\n     New codeword identified of weight 104, time 0.00\n     New codeword identified of weight 101, time 0.00\n     New codeword identified of weight 96, time 0.02\n   Completed Matrix  1:  lower =  3, upper = 96. Elapsed: 0.02s\n   Completed Matrix  2:  lower =  3, upper = 96. Elapsed: 0.06s\nTermination predicted with 50 generators at matrix 1\nEnumerating using 3 generators at a time:\n     New codeword identified of weight 95, time 0.53\n     New codeword identified of weight 94, time 1.11\n     New codeword identified of weight 92, time 1.30\n     New codeword identified of weight 89, time 1.30\n   Completed Matrix  1:  lower =  4, upper = 89. Elapsed: 5.42s\n     New codeword identified of weight 88, time 6.04\n     New codeword identified of weight 86, time 6.20\n     New codeword identified of weight 79, time 6.20\n     New codeword identified of weight 78, time 10.30\n   Completed Matrix  2:  lower =  4, upper = 78. Elapsed: 10.72s\nTermination predicted at 10^63 s (10^56y) with 41 generators at matrix 1\nEnumerating using 4 generators at a time:\n   Completed Matrix  1:  lower =  5, upper = 78. Elapsed: 1148.39s\n     New codeword identified of weight 74, time 1539.66\n   Completed Matrix  2:  lower =  5, upper = 74. Elapsed: 2293.75s\nTermination predicted at 10^61 s (10^53y) with 39 generators at matrix 1\nEnumerating using 5 generators at a time:\n</t>
  </si>
  <si>
    <t>c Parsing MaxSAT file...\nc ============================[  Problem Statistics ]============================\nc |  Number of variables:          2918                                         |\nc |  Number of clauses:            9837                                         |\nc ===============================================================================\nc Using SCIP solver, version 7.0.3, https://www.scipopt.org\nc scip_time = 0.000000\nc Starting SCIP solver in a separate thread (with time-limit = 0s) ...\nc Using COMiniSatPS SAT solver by Chanseok Oh (2016)\no 68\n</t>
  </si>
  <si>
    <t>c Parsing MaxSAT file...\nc ============================[  Problem Statistics ]============================\nc |  Number of variables:          1854                                         |\nc |  Number of clauses:            6337                                         |\nc ===============================================================================\nc Using SCIP solver, version 7.0.3, https://www.scipopt.org\nc scip_time = 0.000000\nc Starting SCIP solver in a separate thread (with time-limit = 0s) ...\nc Using COMiniSatPS SAT solver by Chanseok Oh (2016)\no 40\n</t>
  </si>
  <si>
    <t>c Parsing MaxSAT file...\nc ============================[  Problem Statistics ]============================\nc |  Number of variables:           868                                         |\nc |  Number of clauses:            2933                                         |\nc ===============================================================================\nc Using SCIP solver, version 7.0.3, https://www.scipopt.org\nc scip_time = 0.000000\nc Starting SCIP solver in a separate thread (with time-limit = 0s) ...\nc Using COMiniSatPS SAT solver by Chanseok Oh (2016)\no 20\no 18\n</t>
  </si>
  <si>
    <t>c Parsing MaxSAT file...\nc ============================[  Problem Statistics ]============================\nc |  Number of variables:          2410                                         |\nc |  Number of clauses:            8129                                         |\nc ===============================================================================\nc Using SCIP solver, version 7.0.3, https://www.scipopt.org\nc scip_time = 0.000000\nc Starting SCIP solver in a separate thread (with time-limit = 0s) ...\nc Using COMiniSatPS SAT solver by Chanseok Oh (2016)\no 56\n</t>
  </si>
  <si>
    <t>c Parsing MaxSAT file...\nc ============================[  Problem Statistics ]============================\nc |  Number of variables:          2024                                         |\nc |  Number of clauses:            6909                                         |\nc ===============================================================================\nc Using SCIP solver, version 7.0.3, https://www.scipopt.org\nc scip_time = 0.000000\nc Starting SCIP solver in a separate thread (with time-limit = 0s) ...\nc Using COMiniSatPS SAT solver by Chanseok Oh (2016)\no 44\no 40\n</t>
  </si>
  <si>
    <t>c Parsing MaxSAT file...\nc ============================[  Problem Statistics ]============================\nc |  Number of variables:          4040                                         |\nc |  Number of clauses:           14217                                         |\nc ===============================================================================\nc Using SCIP solver, version 7.0.3, https://www.scipopt.org\nc scip_time = 0.000000\nc Starting SCIP solver in a separate thread (with time-limit = 0s) ...\nc Using COMiniSatPS SAT solver by Chanseok Oh (2016)\no 46\n</t>
  </si>
  <si>
    <t>c Parsing MaxSAT file...\nc ============================[  Problem Statistics ]============================\nc |  Number of variables:          1139                                         |\nc |  Number of clauses:            3909                                         |\nc ===============================================================================\nc Using SCIP solver, version 7.0.3, https://www.scipopt.org\nc scip_time = 0.000000\nc Starting SCIP solver in a separate thread (with time-limit = 0s) ...\nc Using COMiniSatPS SAT solver by Chanseok Oh (2016)\no 24\no 18\n</t>
  </si>
  <si>
    <t>c Parsing MaxSAT file...\nc ============================[  Problem Statistics ]============================\nc |  Number of variables:          2706                                         |\nc |  Number of clauses:            9205                                         |\nc ===============================================================================\nc Using SCIP solver, version 7.0.3, https://www.scipopt.org\nc scip_time = 0.000000\nc Starting SCIP solver in a separate thread (with time-limit = 0s) ...\nc Using COMiniSatPS SAT solver by Chanseok Oh (2016)\no 236\no 161\n</t>
  </si>
  <si>
    <t>c Parsing MaxSAT file...\nc ============================[  Problem Statistics ]============================\nc |  Number of variables:          4404                                         |\nc |  Number of clauses:           15673                                         |\nc ===============================================================================\nc Using SCIP solver, version 7.0.3, https://www.scipopt.org\nc scip_time = 0.000000\nc Starting SCIP solver in a separate thread (with time-limit = 0s) ...\nc Using COMiniSatPS SAT solver by Chanseok Oh (2016)\no 54\n</t>
  </si>
  <si>
    <t>c Parsing MaxSAT file...\nc ============================[  Problem Statistics ]============================\nc |  Number of variables:          2472                                         |\nc |  Number of clauses:            8593                                         |\nc ===============================================================================\nc Using SCIP solver, version 7.0.3, https://www.scipopt.org\nc scip_time = 0.000000\nc Starting SCIP solver in a separate thread (with time-limit = 0s) ...\nc Using COMiniSatPS SAT solver by Chanseok Oh (2016)\no 36\n</t>
  </si>
  <si>
    <t>c Parsing MaxSAT file...\nc ============================[  Problem Statistics ]============================\nc |  Number of variables:          1222                                         |\nc |  Number of clauses:            4133                                         |\nc ===============================================================================\nc Using SCIP solver, version 7.0.3, https://www.scipopt.org\nc scip_time = 0.000000\nc Starting SCIP solver in a separate thread (with time-limit = 0s) ...\nc Using COMiniSatPS SAT solver by Chanseok Oh (2016)\no 28\n</t>
  </si>
  <si>
    <t>c Parsing MaxSAT file...\nc ============================[  Problem Statistics ]============================\nc |  Number of variables:          2788                                         |\nc |  Number of clauses:            9425                                         |\nc ===============================================================================\nc Using SCIP solver, version 7.0.3, https://www.scipopt.org\nc scip_time = 0.000000\nc Starting SCIP solver in a separate thread (with time-limit = 0s) ...\nc Using COMiniSatPS SAT solver by Chanseok Oh (2016)\no 64\n</t>
  </si>
  <si>
    <t>c Parsing MaxSAT file...\nc ============================[  Problem Statistics ]============================\nc |  Number of variables:          3197                                         |\nc |  Number of clauses:           10737                                         |\nc ===============================================================================\nc Using SCIP solver, version 7.0.3, https://www.scipopt.org\nc scip_time = 0.000000\nc Starting SCIP solver in a separate thread (with time-limit = 0s) ...\nc Using COMiniSatPS SAT solver by Chanseok Oh (2016)\no 218\no 172\no 123\n</t>
  </si>
  <si>
    <t>c Parsing MaxSAT file...\nc ============================[  Problem Statistics ]============================\nc |  Number of variables:          2390                                         |\nc |  Number of clauses:            8157                                         |\nc ===============================================================================\nc Using SCIP solver, version 7.0.3, https://www.scipopt.org\nc scip_time = 0.000000\nc Starting SCIP solver in a separate thread (with time-limit = 0s) ...\nc Using COMiniSatPS SAT solver by Chanseok Oh (2016)\no 52\n</t>
  </si>
  <si>
    <t>c Parsing MaxSAT file...\nc ============================[  Problem Statistics ]============================\nc |  Number of variables:          1386                                         |\nc |  Number of clauses:            4681                                         |\nc ===============================================================================\nc Using SCIP solver, version 7.0.3, https://www.scipopt.org\nc scip_time = 0.000000\nc Starting SCIP solver in a separate thread (with time-limit = 0s) ...\nc Using COMiniSatPS SAT solver by Chanseok Oh (2016)\no 32\n</t>
  </si>
  <si>
    <t>c Parsing MaxSAT file...\nc ============================[  Problem Statistics ]============================\nc |  Number of variables:          2676                                         |\nc |  Number of clauses:            9217                                         |\nc ===============================================================================\nc Using SCIP solver, version 7.0.3, https://www.scipopt.org\nc scip_time = 0.000000\nc Starting SCIP solver in a separate thread (with time-limit = 0s) ...\nc Using COMiniSatPS SAT solver by Chanseok Oh (2016)\no 206\no 130\n</t>
  </si>
  <si>
    <t>c Parsing MaxSAT file...\nc ============================[  Problem Statistics ]============================\nc |  Number of variables:          1642                                         |\nc |  Number of clauses:            5597                                         |\nc ===============================================================================\nc Using SCIP solver, version 7.0.3, https://www.scipopt.org\nc scip_time = 0.000000\nc Starting SCIP solver in a separate thread (with time-limit = 0s) ...\nc Using COMiniSatPS SAT solver by Chanseok Oh (2016)\no 36\n</t>
  </si>
  <si>
    <t>w:25; T:28800417ms; iterations:102413531</t>
  </si>
  <si>
    <t>w:30; T:28800509ms; iterations:92747794</t>
  </si>
  <si>
    <t>w:28; T:28800109ms; iterations:111776381</t>
  </si>
  <si>
    <t>w:63; T:28800086ms; iterations:99100492</t>
  </si>
  <si>
    <t>w:28; T:28800103ms; iterations:99436955</t>
  </si>
  <si>
    <t>w:54; T:28800390ms; iterations:42800391</t>
  </si>
  <si>
    <t>w:60; T:28800471ms; iterations:114791108</t>
  </si>
  <si>
    <t>w:33; T:28800537ms; iterations:82313703</t>
  </si>
  <si>
    <t>w:67; T:28800138ms; iterations:40070439</t>
  </si>
  <si>
    <t>w:36; T:28801271ms; iterations:90215443</t>
  </si>
  <si>
    <t>w:37; T:28800143ms; iterations:91315451</t>
  </si>
  <si>
    <t>w:61; T:28800362ms; iterations:30423125</t>
  </si>
  <si>
    <t>w:34; T:28800609ms; iterations:72673822</t>
  </si>
  <si>
    <t>w:36; T:28801226ms; iterations:73555403</t>
  </si>
  <si>
    <t>w:61; T:28800556ms; iterations:32010815</t>
  </si>
  <si>
    <t>w:40; T:28800696ms; iterations:64486411</t>
  </si>
  <si>
    <t>EvolSens</t>
  </si>
  <si>
    <t>dMinSum</t>
  </si>
  <si>
    <t>Avg Delta d</t>
  </si>
  <si>
    <t>Processing Time/Successful Trial</t>
  </si>
  <si>
    <t>Success Rate</t>
  </si>
  <si>
    <t>Exact - Processing Time/Succ Trial</t>
  </si>
  <si>
    <t>Heuristic - Processing Time/Succ Trial</t>
  </si>
  <si>
    <t>Heuristic - Success Rate per Trial</t>
  </si>
  <si>
    <t>Heuristic - Average Delta d</t>
  </si>
  <si>
    <t>GF4blockRep: 2</t>
  </si>
  <si>
    <t>sMut: 0.2</t>
  </si>
  <si>
    <t>tabuLength: 0</t>
  </si>
  <si>
    <t>swapPivot: 1</t>
  </si>
  <si>
    <t>swapBlockorder: 0</t>
  </si>
  <si>
    <t>pMut: 6.0</t>
  </si>
  <si>
    <t>outfile: /home/ucapmwe/dist-benchmark/results/tanner_codes-QDistRndMW-20260215_181908.056768_85062422.txt</t>
  </si>
  <si>
    <t>Trial:0 w:4; pErr:0.0000, weight 4 CW found:40, wDict:4:9998,6:2</t>
  </si>
  <si>
    <t>Trial:0 w:8; pErr:0.0000, weight 8 CW found:1097, wDict:8:7641,9:1988,10:258,11:60,12:46,13:7</t>
  </si>
  <si>
    <t>Trial:0 w:15; Trial:2 w:13; Trial:20 w:12; pErr:0.2110, weight 12 CW found:8023, wDict:12:1190,13:1908,14:1547,15:1120,16:1286,17:1236,18:829,19:458,20:249,21:112,22:51,23:12,24:2</t>
  </si>
  <si>
    <t>Trial:0 w:18; Trial:3 w:13; pErr:0.3502, weight 13 CW found:11395, wDict:13:82,14:160,15:290,16:313,17:357,18:455,19:543,20:703,21:871,22:977,23:1075,24:1114,25:1030,26:854,27:629,28:344,29:152,30:43,31:8</t>
  </si>
  <si>
    <t>Trial:0 w:30; Trial:1 w:27; Trial:2 w:25; Trial:11 w:21; Trial:17 w:19; Trial:357 w:18; Trial:2941 w:17; pErr:0.3676, weight 17 CW found:8273, wDict:17:6,18:52,19:89,20:151,21:219,22:341,23:432,24:542,25:673,26:742,27:934,28:957,29:1043,30:1002,31:907,32:746,33:532,34:329,35:178,36:87,37:28,38:9,39:1</t>
  </si>
  <si>
    <t>Trial:0 w:33; Trial:1 w:24; Trial:41 w:22; Trial:54 w:21; Trial:94 w:19; Trial:430 w:18; pErr:0.3677, weight 18 CW found:11109, wDict:18:20,19:27,20:44,21:69,22:95,23:187,24:216,25:345,26:401,27:513,28:575,29:667,30:751,31:820,32:821,33:837,34:755,35:728,36:659,37:519,38:393,39:276,40:159,41:73,42:32,43:11,44:7</t>
  </si>
  <si>
    <t>Trial:0 w:45; Trial:1 w:42; Trial:2 w:30; Trial:118 w:28; Trial:122 w:23; Trial:3665 w:22; pErr:0.3679, weight 22 CW found:7385, wDict:22:2,23:4,24:4,25:12,26:24,27:19,28:43,29:50,30:62,31:76,32:65,33:110,34:149,35:215,36:255,37:334,38:410,39:528,40:589,41:741,42:857,43:953,44:970,45:889,46:857,47:707,48:506,49:287,50:167,51:69,52:36,53:9,54:1</t>
  </si>
  <si>
    <t>Trial:0 w:47; Trial:5 w:43; Trial:14 w:40; Trial:49 w:39; Trial:121 w:38; Trial:143 w:35; Trial:250 w:34; Trial:468 w:28; Trial:2603 w:27; Trial:4582 w:26; pErr:0.3679, weight 26 CW found:6255, wDict:26:2,27:2,28:4,29:2,30:4,31:3,32:8,33:14,34:27,35:27,36:40,37:43,38:63,39:78,40:121,41:183,42:209,43:244,44:355,45:438,46:452,47:582,48:730,49:833,50:856,51:871,52:950,53:802,54:748,55:555,56:377,57:221,58:93,59:47,60:14,61:2</t>
  </si>
  <si>
    <t>Trial:0 w:46; Trial:16 w:41; Trial:20 w:36; Trial:246 w:35; Trial:250 w:34; Trial:275 w:33; Trial:2031 w:31; Trial:4791 w:28; pErr:0.3679, weight 28 CW found:5981, wDict:28:2,29:2,30:1,31:3,32:5,33:12,34:9,35:16,36:25,37:23,38:26,39:35,40:54,41:64,42:90,43:104,44:155,45:196,46:244,47:241,48:320,49:379,50:495,51:532,52:652,53:704,54:777,55:810,56:724,57:746,58:695,59:577,60:482,61:355,62:219,63:120,64:60,65:32,66:11,67:2,68:1</t>
  </si>
  <si>
    <t>Trial:0 w:62; Trial:1 w:52; Trial:45 w:51; Trial:76 w:48; Trial:113 w:44; Trial:296 w:43; Trial:525 w:28; Trial:6568 w:26; pErr:0.3679, weight 26 CW found:3920, wDict:26:1,28:1,29:4,30:2,31:6,32:3,33:3,34:2,35:2,36:8,37:11,38:3,39:9,40:17,41:12,42:9,43:26,44:11,45:22,46:25,47:32,48:36,49:58,50:78,51:92,52:113,53:139,54:187,55:241,56:271,57:342,58:474,59:565,60:602,61:740,62:747,63:842,64:851,65:785,66:722,67:662,68:487,69:322,70:218,71:132,72:51,73:26,74:6,76:2</t>
  </si>
  <si>
    <t>Trial:0 w:64; Trial:1 w:56; Trial:2 w:53; Trial:10 w:46; Trial:29 w:36; Trial:2522 w:35; Trial:2686 w:34; Trial:7201 w:33; pErr:0.3679, weight 33 CW found:3134, wDict:33:1,34:4,35:2,36:3,37:5,38:2,39:4,40:4,41:14,42:14,43:18,44:22,45:29,46:40,47:44,48:45,49:62,50:55,51:84,52:93,53:119,54:168,55:198,56:234,57:241,58:303,59:337,60:354,61:421,62:465,63:548,64:564,65:617,66:625,67:612,68:592,69:555,70:551,71:477,72:436,73:333,74:269,75:170,76:116,77:76,78:41,79:25,80:4,81:4</t>
  </si>
  <si>
    <t>Trial:0 w:79; Trial:1 w:78; Trial:2 w:75; Trial:3 w:68; Trial:22 w:61; Trial:103 w:59; Trial:136 w:53; Trial:1663 w:51; Trial:2085 w:47; Trial:3516 w:42; Trial:9353 w:35; pErr:0.3679, weight 35 CW found:751, wDict:35:1,42:2,44:1,47:3,48:1,49:1,50:1,51:4,52:4,53:2,54:5,55:10,56:13,57:15,58:23,59:35,60:39,61:54,62:62,63:88,64:79,65:139,66:168,67:231,68:270,69:325,70:420,71:500,72:535,73:652,74:685,75:805,76:848,77:787,78:745,79:685,80:519,81:430,82:358,83:222,84:119,85:77,86:24,87:9,88:1,89:3</t>
  </si>
  <si>
    <t>Trial:0 w:80; Trial:1 w:78; Trial:4 w:60; Trial:6 w:58; Trial:100 w:51; Trial:233 w:50; Trial:514 w:45; Trial:719 w:44; Trial:812 w:35; pErr:0.3679, weight 35 CW found:10244, wDict:35:1,37:3,38:1,42:2,43:1,44:1,45:4,46:4,47:4,48:4,49:8,50:13,51:10,52:8,53:11,54:14,55:15,56:33,57:29,58:35,59:38,60:49,61:59,62:64,63:84,64:102,65:120,66:108,67:147,68:148,69:162,70:225,71:264,72:277,73:331,74:396,75:407,76:457,77:481,78:528,79:551,80:592,81:540,82:556,83:542,84:525,85:447,86:393,87:345,88:291,89:209,90:125,91:120,92:58,93:35,94:13,95:5,96:4,97:1</t>
  </si>
  <si>
    <t>Trial:0 w:82; Trial:1 w:76; Trial:4 w:70; Trial:5 w:66; Trial:6 w:62; Trial:7 w:56; Trial:12 w:40; Trial:5385 w:38; Trial:7413 w:36; pErr:0.3679, weight 36 CW found:3294, wDict:36:1,38:1,40:3,42:5,44:8,46:20,48:26,50:48,52:60,54:85,56:114,58:183,60:218,62:284,64:471,66:513,68:662,70:843,72:979,74:1048,76:1082,78:1013,80:823,82:609,84:399,86:274,88:132,90:59,92:24,94:9,96:4</t>
  </si>
  <si>
    <t>Trial:0 w:93; Trial:1 w:91; Trial:5 w:84; Trial:24 w:83; Trial:64 w:76; Trial:710 w:70; Trial:1464 w:69; Trial:1500 w:64; Trial:9395 w:58; pErr:0.3679, weight 58 CW found:696, wDict:58:1,63:1,64:1,65:1,68:2,69:4,70:4,71:2,72:1,73:12,74:8,75:18,76:18,77:24,78:37,79:39,80:43,81:71,82:90,83:113,84:139,85:167,86:239,87:290,88:343,89:372,90:495,91:573,92:627,93:755,94:774,95:831,96:771,97:729,98:662,99:562,100:427,101:302,102:220,103:109,104:72,105:33,106:13,107:5</t>
  </si>
  <si>
    <t>Trial:0 w:102; Trial:2 w:99; Trial:4 w:96; Trial:5 w:94; Trial:7 w:76; Trial:1692 w:64; Trial:8623 w:63; pErr:0.3679, weight 63 CW found:1538, wDict:63:1,64:1,71:1,73:3,74:1,75:5,76:6,77:4,78:9,79:13,80:11,81:27,82:19,83:35,84:41,85:55,86:69,87:94,88:112,89:145,90:177,91:232,92:279,93:342,94:382,95:449,96:517,97:599,98:666,99:751,100:768,101:757,102:729,103:686,104:573,105:468,106:344,107:243,108:186,109:105,110:57,111:23,112:11,113:2,114:2</t>
  </si>
  <si>
    <t>Trial:0 w:108; Trial:5 w:99; Trial:63 w:96; Trial:103 w:92; Trial:104 w:90; Trial:452 w:87; Trial:524 w:86; Trial:2054 w:79; Trial:3646 w:72; pErr:0.3679, weight 72 CW found:7238, wDict:72:1,79:1,80:4,82:1,83:1,84:4,85:4,86:6,87:6,88:9,89:10,90:13,91:10,92:28,93:35,94:36,95:52,96:62,97:89,98:115,99:148,100:189,101:259,102:289,103:367,104:386,105:552,106:579,107:705,108:711,109:759,110:770,111:695,112:697,113:618,114:547,115:421,116:287,117:235,118:143,119:83,120:38,121:22,122:8,123:3,124:1,126:1</t>
  </si>
  <si>
    <t>Trial:0 w:113; Trial:1 w:104; Trial:3 w:99; Trial:18 w:96; Trial:35 w:93; Trial:75 w:87; Trial:798 w:85; Trial:852 w:84; Trial:1067 w:83; Trial:1502 w:77; Trial:4172 w:74; pErr:0.3679, weight 74 CW found:6598, wDict:74:1,76:1,77:1,79:1,82:3,83:3,84:3,85:8,86:6,87:7,88:4,89:16,90:13,91:17,92:24,93:35,94:56,95:56,96:80,97:105,98:138,99:153,100:183,101:271,102:327,103:387,104:440,105:498,106:588,107:675,108:721,109:689,110:738,111:705,112:695,113:582,114:526,115:397,116:323,117:217,118:148,119:81,120:45,121:20,122:9,123:3,124:1</t>
  </si>
  <si>
    <t>Trial:0 w:120; Trial:3 w:119; Trial:4 w:114; Trial:6 w:107; Trial:9 w:104; Trial:36 w:96; Trial:451 w:93; Trial:564 w:89; Trial:734 w:88; Trial:1713 w:83; Trial:2133 w:74; pErr:0.3679, weight 74 CW found:8929, wDict:74:1,83:1,84:1,86:1,87:2,88:2,89:4,90:6,91:3,92:3,93:9,94:6,95:12,96:12,97:23,98:22,99:25,100:44,101:46,102:74,103:74,104:117,105:118,106:159,107:187,108:210,109:276,110:330,111:440,112:442,113:557,114:620,115:599,116:666,117:733,118:738,119:693,120:632,121:615,122:475,123:358,124:259,125:168,126:111,127:70,128:37,129:13,130:5,132:1</t>
  </si>
  <si>
    <t>Trial:0 w:109; Trial:12 w:107; Trial:18 w:98; Trial:45 w:96; Trial:563 w:89; Trial:1784 w:79; Trial:1978 w:69; Trial:5557 w:68; pErr:0.3679, weight 68 CW found:5021, wDict:68:1,69:1,79:1,85:1,86:1,88:2,89:2,90:4,92:2,93:4,94:4,95:8,96:9,97:15,98:18,99:23,100:24,101:28,102:37,103:37,104:45,105:60,106:105,107:141,108:147,109:174,110:222,111:293,112:300,113:402,114:431,115:535,116:500,117:620,118:646,119:687,120:656,121:709,122:627,123:584,124:502,125:418,126:290,127:263,128:180,129:107,130:70,131:38,132:18,133:5,134:3</t>
  </si>
  <si>
    <t>Trial:0 w:127; Trial:1 w:122; Trial:2 w:109; Trial:15 w:106; Trial:21 w:82; Trial:944 w:70; pErr:0.3679, weight 70 CW found:10164, wDict:70:1,78:1,81:1,82:2,84:4,86:2,87:1,88:5,89:4,90:5,91:4,92:3,93:9,94:10,95:18,96:27,97:29,98:32,99:47,100:38,101:45,102:53,103:79,104:111,105:125,106:139,107:200,108:221,109:262,110:336,111:393,112:438,113:513,114:583,115:602,116:618,117:645,118:663,119:641,120:632,121:553,122:502,123:402,124:319,125:259,126:164,127:111,128:67,129:48,130:18,131:6,132:5,133:3,134:1</t>
  </si>
  <si>
    <t>Trial:0 w:124; Trial:1 w:112; Trial:2 w:111; Trial:9 w:82; Trial:24 w:81; Trial:47 w:73; Trial:87 w:63; Trial:113 w:54; Trial:1173 w:49; Trial:3393 w:47; Trial:4907 w:41; pErr:0.3679, weight 41 CW found:5556, wDict:41:1,44:1,45:1,46:2,47:1,48:2,49:2,50:2,51:1,52:3,53:4,54:5,55:5,56:4,57:5,58:4,59:10,60:4,61:11,62:11,63:15,64:9,65:8,66:9,67:9,68:24,69:14,70:19,71:24,72:19,73:23,74:23,75:15,76:24,77:32,78:25,79:35,80:39,81:42,82:52,83:54,84:45,85:69,86:61,87:58,88:70,89:93,90:85,91:102,92:93,93:101,94:89,95:107,96:125,97:128,98:133,99:128,100:134,101:158,102:158,103:172,104:175,105:211,106:181,107:220,108:215,109:193,110:243,111:229,112:242,113:227,114:272,115:307,116:307,117:268,118:294,119:297,120:284,121:257,122:275,123:283,124:275,125:267,126:234,127:212,128:220,129:199,130:157,131:141,132:138,133:108,134:96,135:72,136:68,137:44,138:37,139:23,140:13,141:12,142:2</t>
  </si>
  <si>
    <t>LOCheck: 0</t>
  </si>
  <si>
    <t>pMutScale: 50</t>
  </si>
  <si>
    <t>outfile: /home/ucapmwe/dist-benchmark/results/tanner_codes-QDistEvol-20260220_184925.010805_85062422.txt</t>
  </si>
  <si>
    <t>Gen:0 Trial:0 w:9; Trial:1 w:8; pErr:0.0000, weight 8 CW found:311, wDict:8:9872,9:120,10:5,11:2,12:1</t>
  </si>
  <si>
    <t>Gen:0 Trial:0 w:18; Trial:1 w:12; pErr:0.0000, weight 12 CW found:693, wDict:12:8041,13:1362,14:325,15:127,16:74,17:42,18:18,19:6,20:4,21:1</t>
  </si>
  <si>
    <t>Gen:0 Trial:0 w:23; Trial:1 w:20; Trial:2 w:16; Trial:4 w:15; Trial:24 w:14; Gen:6 Trial:611 w:13; pErr:0.0000, weight 13 CW found:1036, wDict:13:5165,14:895,15:1220,16:863,17:526,18:424,19:292,20:200,21:147,22:86,23:57,24:40,25:41,26:19,27:13,28:10,29:2</t>
  </si>
  <si>
    <t>Gen:0 Trial:0 w:24; Trial:6 w:20; Trial:64 w:19; Gen:1 Trial:128 w:18; Gen:3 Trial:334 w:17; pErr:0.0135, weight 17 CW found:2477, wDict:17:4640,18:733,19:645,20:507,21:665,22:691,23:543,24:498,25:363,26:229,27:170,28:105,29:68,30:54,31:42,32:22,33:15,34:4,35:3,36:1,37:2</t>
  </si>
  <si>
    <t>Gen:0 Trial:0 w:32; Trial:1 w:28; Trial:4 w:27; Trial:10 w:26; Trial:13 w:25; Trial:39 w:20; Gen:5 Trial:581 w:19; Gen:6 Trial:605 w:18; pErr:0.0016, weight 18 CW found:1925, wDict:18:5423,19:1300,20:693,21:421,22:377,23:437,24:279,25:257,26:198,27:169,28:114,29:79,30:53,31:43,32:39,33:29,34:18,35:27,36:9,37:15,38:15,39:5</t>
  </si>
  <si>
    <t>Gen:0 Trial:0 w:42; Trial:4 w:40; Trial:6 w:33; Trial:27 w:27; Gen:1 Trial:150 w:26; Gen:6 Trial:652 w:23; Gen:11 Trial:1148 w:22; pErr:0.0814, weight 22 CW found:3892, wDict:22:3726,23:306,24:182,25:325,26:296,27:342,28:386,29:355,30:192,31:245,32:276,33:288,34:293,35:317,36:327,37:334,38:294,39:304,40:238,41:225,42:180,43:157,44:133,45:97,46:78,47:55,48:28,49:7,50:10,51:3,52:1</t>
  </si>
  <si>
    <t>Gen:0 Trial:0 w:54; Trial:1 w:42; Trial:7 w:41; Trial:10 w:35; Trial:61 w:34; Gen:3 Trial:340 w:32; Trial:367 w:31; Gen:7 Trial:710 w:27; Gen:8 Trial:838 w:26; Gen:9 Trial:905 w:25; pErr:0.1423, weight 25 CW found:5054, wDict:25:3331,26:209,27:81,28:184,29:207,30:266,31:233,32:137,33:172,34:185,35:206,36:148,37:177,38:209,39:246,40:271,41:313,42:332,43:323,44:383,45:391,46:384,47:328,48:298,49:249,50:201,51:165,52:110,53:105,54:67,55:37,56:32,57:15,58:4,59:1</t>
  </si>
  <si>
    <t>Gen:0 Trial:0 w:56; Trial:2 w:54; Trial:4 w:42; Trial:16 w:39; Trial:22 w:38; Gen:2 Trial:226 w:37; Gen:3 Trial:350 w:35; Trial:359 w:34; Gen:4 Trial:406 w:33; Trial:422 w:29; Gen:7 Trial:726 w:28; Gen:13 Trial:1353 w:27; Gen:41 Trial:4146 w:26; Gen:43 Trial:4305 w:25; pErr:0.1690, weight 25 CW found:3491, wDict:25:1997,26:124,27:1240,28:313,29:185,30:186,31:103,32:146,33:137,34:179,35:188,36:149,37:171,38:193,39:208,40:212,41:282,42:308,43:325,44:350,45:385,46:357,47:337,48:313,49:307,50:254,51:231,52:186,53:158,54:110,55:100,56:78,57:60,58:37,59:36,60:29,61:10,62:7,63:3,64:1,65:3,66:1,67:1</t>
  </si>
  <si>
    <t>Gen:0 Trial:0 w:62; Trial:5 w:61; Trial:6 w:53; Trial:9 w:50; Trial:45 w:49; Trial:86 w:45; Gen:1 Trial:154 w:42; Gen:3 Trial:307 w:41; Gen:4 Trial:406 w:36; Trial:427 w:33; Trial:435 w:28; Gen:7 Trial:790 w:27; Gen:41 Trial:4136 w:26; pErr:0.1116, weight 26 CW found:2920, wDict:26:2231,27:430,28:1117,29:177,30:127,31:274,32:104,33:121,34:91,35:83,36:103,37:74,38:77,39:75,40:71,41:83,42:77,43:94,44:112,45:118,46:141,47:122,48:173,49:191,50:206,51:229,52:223,53:235,54:237,55:284,56:270,57:285,58:279,59:297,60:251,61:219,62:168,63:152,64:135,65:85,66:68,67:46,68:28,69:19,70:13,71:2,72:1,73:2</t>
  </si>
  <si>
    <t>Gen:0 Trial:0 w:76; Trial:1 w:65; Trial:2 w:63; Trial:3 w:59; Trial:14 w:48; Trial:21 w:46; Trial:82 w:45; Gen:1 Trial:152 w:37; Gen:2 Trial:209 w:34; Gen:3 Trial:352 w:33; Gen:5 Trial:504 w:30; Gen:91 Trial:9133 w:29; pErr:0.1722, weight 29 CW found:527, wDict:29:232,30:2675,31:136,32:105,33:472,34:266,35:261,36:237,37:203,38:170,39:168,40:191,41:188,42:190,43:158,44:185,45:232,46:243,47:252,48:252,49:269,50:267,51:288,52:302,53:234,54:223,55:223,56:218,57:194,58:154,59:121,60:89,61:85,62:85,63:63,64:62,65:62,66:53,67:36,68:33,69:31,70:27,71:22,72:14,73:9,74:9,75:3,76:6,77:1,78:1</t>
  </si>
  <si>
    <t>Gen:0 Trial:0 w:73; Trial:1 w:69; Trial:14 w:62; Trial:57 w:53; Gen:2 Trial:293 w:52; Gen:7 Trial:709 w:50; Gen:15 Trial:1538 w:49; Gen:20 Trial:2079 w:41; Gen:27 Trial:2708 w:33; Gen:31 Trial:3105 w:32; pErr:0.2182, weight 32 CW found:4920, wDict:32:1906,33:277,34:37,35:139,36:50,37:163,38:61,39:49,40:43,41:25,42:42,43:27,44:29,45:19,46:18,47:28,48:34,49:55,50:42,51:44,52:256,53:68,54:101,55:160,56:126,57:145,58:204,59:212,60:255,61:303,62:310,63:347,64:328,65:354,66:386,67:359,68:362,69:317,70:303,71:284,72:266,73:270,74:221,75:221,76:182,77:159,78:119,79:105,80:79,81:49,82:37,83:13,84:5,85:3,86:3</t>
  </si>
  <si>
    <t>Gen:0 Trial:0 w:91; Trial:1 w:80; Trial:2 w:79; Trial:3 w:59; Trial:71 w:57; Trial:89 w:52; Trial:92 w:50; Gen:3 Trial:330 w:49; Gen:6 Trial:600 w:48; Trial:674 w:47; Gen:7 Trial:716 w:45; Gen:8 Trial:898 w:42; Gen:10 Trial:1004 w:41; Trial:1006 w:38; Gen:11 Trial:1135 w:36; Gen:12 Trial:1206 w:35; Gen:14 Trial:1411 w:34; Gen:22 Trial:2211 w:33; Gen:32 Trial:3221 w:32; pErr:0.1936, weight 32 CW found:4401, wDict:32:1853,33:416,34:400,35:302,36:114,37:215,38:220,39:195,40:180,41:140,42:133,43:158,44:128,45:132,46:118,47:115,48:136,49:169,50:195,51:155,52:181,53:195,54:173,55:205,56:207,57:225,58:208,59:230,60:194,61:208,62:216,63:227,64:214,65:193,66:162,67:159,68:154,69:116,70:135,71:105,72:98,73:97,74:75,75:98,76:58,77:57,78:55,79:45,80:43,81:45,82:41,83:38,84:17,85:17,86:7,87:12,88:4,89:5,90:2,91:4,94:1</t>
  </si>
  <si>
    <t>Gen:0 Trial:0 w:78; Trial:2 w:60; Gen:1 Trial:102 w:54; Trial:137 w:48; Gen:2 Trial:277 w:46; Gen:3 Trial:354 w:44; Gen:4 Trial:404 w:40; Gen:8 Trial:855 w:38; Gen:11 Trial:1147 w:36; Trial:1191 w:34; Gen:13 Trial:1354 w:32; pErr:0.1889, weight 32 CW found:6517, wDict:32:2394,34:606,36:636,38:515,40:432,42:339,44:313,46:270,48:248,50:223,52:238,54:280,56:273,58:303,60:390,62:364,64:410,66:356,68:380,70:292,72:230,74:171,76:141,78:86,80:51,82:31,84:14,86:10,88:3,90:1</t>
  </si>
  <si>
    <t>Gen:0 Trial:0 w:93; Trial:5 w:91; Trial:6 w:84; Trial:22 w:83; Trial:24 w:82; Trial:47 w:78; Trial:67 w:75; Gen:1 Trial:139 w:71; Gen:7 Trial:722 w:67; Gen:8 Trial:862 w:64; Gen:19 Trial:1973 w:46; Gen:26 Trial:2697 w:42; Gen:28 Trial:2801 w:41; Gen:35 Trial:3509 w:40; Gen:52 Trial:5234 w:39; pErr:0.2709, weight 39 CW found:3990, wDict:39:398,40:938,41:211,42:100,43:57,44:55,45:97,46:75,47:47,48:35,49:78,50:31,51:36,52:19,53:15,54:20,55:18,56:7,57:5,58:3,59:5,60:12,61:4,62:5,63:5,64:7,65:7,66:4,67:8,68:11,69:13,70:19,71:35,72:27,73:52,74:63,75:62,76:102,77:129,78:147,79:183,80:208,81:274,82:322,83:322,84:406,85:455,86:464,87:526,88:528,89:539,90:506,91:487,92:394,93:358,94:300,95:237,96:189,97:124,98:82,99:59,100:36,101:19,102:8,103:9,104:3</t>
  </si>
  <si>
    <t>Gen:0 Trial:0 w:95; Trial:1 w:86; Trial:49 w:85; Gen:1 Trial:122 w:82; Trial:155 w:78; Gen:2 Trial:262 w:77; Gen:3 Trial:304 w:70; Gen:10 Trial:1070 w:67; Gen:11 Trial:1197 w:66; Gen:17 Trial:1776 w:63; Gen:22 Trial:2274 w:62; Gen:30 Trial:3056 w:61; Gen:45 Trial:4566 w:58; Gen:46 Trial:4686 w:57; Gen:49 Trial:4992 w:55; Gen:56 Trial:5614 w:54; Gen:57 Trial:5704 w:53; pErr:0.3169, weight 53 CW found:4193, wDict:53:484,54:62,55:64,56:55,57:37,58:45,59:26,60:32,61:41,62:35,63:24,64:27,65:53,66:53,67:36,68:17,69:11,70:25,71:60,72:21,73:32,74:34,75:33,76:44,77:52,78:57,79:72,80:94,81:97,82:98,83:125,84:135,85:165,86:210,87:239,88:261,89:310,90:350,91:371,92:406,93:445,94:547,95:538,96:535,97:591,98:511,99:502,100:444,101:420,102:351,103:235,104:221,105:117,106:77,107:39,108:20,109:7,110:5,111:2</t>
  </si>
  <si>
    <t>Gen:0 Trial:0 w:104; Trial:2 w:103; Trial:3 w:94; Trial:4 w:88; Gen:3 Trial:309 w:85; Gen:4 Trial:410 w:83; Gen:8 Trial:818 w:80; Gen:15 Trial:1506 w:73; Gen:39 Trial:3913 w:63; Gen:50 Trial:5006 w:61; Gen:53 Trial:5319 w:58; Gen:73 Trial:7336 w:55; pErr:0.3224, weight 55 CW found:2613, wDict:55:274,56:10,57:4,58:104,59:57,60:22,61:45,62:58,63:30,64:18,65:36,66:48,67:8,68:10,69:7,70:3,71:7,72:3,73:13,74:6,75:13,76:6,77:4,78:8,79:6,80:13,81:10,82:9,83:23,84:20,85:32,86:33,87:40,88:54,89:70,90:72,91:95,92:120,93:140,94:153,95:206,96:237,97:291,98:329,99:346,100:410,101:501,102:518,103:510,104:562,105:541,106:572,107:555,108:561,109:468,110:421,111:383,112:250,113:244,114:176,115:111,116:65,117:30,118:16,119:8,120:2,121:1,122:1,123:1</t>
  </si>
  <si>
    <t>Gen:0 Trial:0 w:103; Trial:3 w:102; Trial:4 w:92; Gen:1 Trial:120 w:90; Trial:181 w:82; Gen:5 Trial:576 w:78; Gen:7 Trial:710 w:71; Gen:27 Trial:2704 w:70; Gen:30 Trial:3007 w:69; Gen:31 Trial:3107 w:67; Gen:93 Trial:9396 w:65; Gen:96 Trial:9646 w:62; pErr:0.3564, weight 62 CW found:379, wDict:62:2,65:5,66:3,67:9,68:16,69:3,70:3,71:16,72:8,73:7,74:11,75:13,76:24,77:17,78:35,79:18,80:16,81:35,82:29,83:37,84:61,85:72,86:64,87:95,88:115,89:125,90:139,91:168,92:173,93:244,94:273,95:313,96:365,97:445,98:426,99:515,100:550,101:573,102:579,103:577,104:570,105:560,106:529,107:471,108:392,109:366,110:275,111:216,112:164,113:94,114:75,115:45,116:29,117:20,118:7,119:6,120:2</t>
  </si>
  <si>
    <t>Gen:0 Trial:0 w:119; Trial:1 w:109; Trial:10 w:107; Trial:17 w:105; Trial:40 w:102; Gen:1 Trial:137 w:101; Trial:156 w:100; Gen:2 Trial:276 w:97; Trial:299 w:91; Gen:5 Trial:580 w:89; Gen:10 Trial:1053 w:85; Gen:12 Trial:1201 w:80; Gen:13 Trial:1307 w:75; Gen:44 Trial:4414 w:74; Gen:63 Trial:6351 w:68; Gen:64 Trial:6402 w:61; pErr:0.3639, weight 61 CW found:4019, wDict:61:1,68:1,73:3,74:3,75:1,77:1,78:7,79:7,80:2,81:7,82:10,83:7,84:5,85:20,86:17,87:28,88:23,89:34,90:44,91:72,92:67,93:91,94:99,95:133,96:141,97:168,98:206,99:253,100:317,101:323,102:374,103:383,104:465,105:470,106:546,107:567,108:603,109:585,110:597,111:547,112:511,113:474,114:410,115:341,116:275,117:234,118:166,119:126,120:78,121:55,122:45,123:27,124:22,125:3,126:2,127:1,128:1,130:1</t>
  </si>
  <si>
    <t>Gen:0 Trial:0 w:124; Trial:2 w:118; Trial:3 w:116; Trial:7 w:101; Gen:1 Trial:197 w:91; Gen:2 Trial:232 w:79; Gen:21 Trial:2180 w:76; Gen:47 Trial:4792 w:67; Gen:49 Trial:4903 w:60; pErr:0.3354, weight 60 CW found:5149, wDict:60:264,61:102,62:38,63:25,64:10,65:32,66:28,67:22,68:24,69:10,70:7,71:4,72:1,73:7,74:5,75:2,76:3,77:2,78:1,79:2,80:5,81:8,82:6,83:4,84:7,85:13,86:14,87:13,88:7,89:13,90:32,91:23,92:27,93:49,94:54,95:76,96:77,97:102,98:113,99:133,100:139,101:184,102:177,103:270,104:297,105:295,106:334,107:376,108:435,109:447,110:479,111:499,112:489,113:491,114:490,115:502,116:462,117:422,118:378,119:348,120:283,121:275,122:167,123:133,124:95,125:66,126:40,127:27,128:16,129:10,130:3,131:4,132:1,133:1</t>
  </si>
  <si>
    <t>Gen:0 Trial:0 w:110; Trial:9 w:94; Trial:87 w:88; Gen:4 Trial:405 w:83; Gen:7 Trial:721 w:82; Gen:8 Trial:805 w:81; Gen:9 Trial:925 w:77; Gen:10 Trial:1004 w:51; Gen:11 Trial:1100 w:45; Gen:16 Trial:1608 w:39; Trial:1610 w:36; Gen:69 Trial:6924 w:35; Gen:81 Trial:8164 w:32; pErr:0.2496, weight 32 CW found:1413, wDict:32:401,35:403,36:1246,37:6,38:53,39:197,40:51,41:86,42:16,43:29,44:53,45:19,46:16,47:11,48:20,49:11,50:9,51:15,52:12,53:11,54:10,55:5,56:4,57:3,58:5,59:1,60:3,61:4,62:4,64:3,65:2,66:4,67:6,68:1,69:3,70:2,71:6,73:2,74:2,75:6,76:2,77:6,78:5,79:5,80:6,81:13,82:6,83:18,84:17,85:12,86:20,87:21,88:36,89:53,90:42,91:64,92:46,93:82,94:100,95:99,96:130,97:143,98:190,99:207,100:222,101:272,102:297,103:340,104:342,105:372,106:396,107:381,108:357,109:395,110:395,111:349,112:315,113:300,114:226,115:230,116:188,117:137,118:109,119:92,120:62,121:47,122:34,123:27,124:22,125:8,126:14,127:1,128:2,129:3,130:1</t>
  </si>
  <si>
    <t>Gen:0 Trial:0 w:123; Trial:1 w:104; Trial:5 w:93; Trial:21 w:90; Trial:22 w:75; Trial:47 w:69; Gen:1 Trial:100 w:60; Trial:169 w:57; Gen:3 Trial:312 w:52; Gen:4 Trial:441 w:47; Trial:462 w:44; Gen:6 Trial:605 w:42; Gen:7 Trial:704 w:39; Gen:8 Trial:838 w:38; Trial:885 w:37; Gen:11 Trial:1130 w:32; Gen:13 Trial:1305 w:31; pErr:0.2133, weight 31 CW found:5961, wDict:31:2467,32:119,33:18,34:40,35:100,36:254,37:112,38:87,39:151,40:67,41:92,42:94,43:77,44:82,45:64,46:91,47:82,48:82,49:92,50:80,51:95,52:103,53:59,54:67,55:77,56:65,57:82,58:94,59:95,60:94,61:99,62:98,63:91,64:86,65:96,66:101,67:104,68:117,69:104,70:114,71:122,72:113,73:124,74:134,75:116,76:113,77:142,78:155,79:114,80:129,81:137,82:106,83:115,84:123,85:117,86:110,87:109,88:105,89:109,90:103,91:104,92:85,93:85,94:74,95:64,96:59,97:64,98:72,99:54,100:52,101:46,102:45,103:45,104:40,105:33,106:40,107:31,108:48,109:34,110:37,111:26,112:17,113:24,114:19,115:24,116:29,117:24,118:18,119:19,120:23,121:22,122:21,123:22,124:22,125:22,126:8,127:8,128:12,129:11,130:9,131:8,132:3,133:5,134:2,135:1,140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</si>
</sst>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8"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b/>
      <sz val="12"/>
      <color rgb="FFFF0000"/>
      <name val="Aptos Narrow"/>
      <scheme val="minor"/>
    </font>
    <font>
      <sz val="12"/>
      <color theme="1"/>
      <name val="Aptos Narrow"/>
      <scheme val="minor"/>
    </font>
    <font>
      <b/>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11" fontId="0" fillId="0" borderId="0" xfId="0" applyNumberFormat="1"/>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0" fontId="3" fillId="0" borderId="0" xfId="0" applyFont="1"/>
    <xf numFmtId="0" fontId="4" fillId="0" borderId="0" xfId="1"/>
    <xf numFmtId="0" fontId="0" fillId="0" borderId="0" xfId="0" applyAlignment="1">
      <alignment wrapText="1"/>
    </xf>
    <xf numFmtId="0" fontId="5" fillId="0" borderId="0" xfId="0" applyFont="1"/>
    <xf numFmtId="1" fontId="6" fillId="0" borderId="0" xfId="0" applyNumberFormat="1" applyFont="1"/>
    <xf numFmtId="0" fontId="6" fillId="0" borderId="0" xfId="0" applyFont="1"/>
    <xf numFmtId="0" fontId="0" fillId="0" borderId="0" xfId="0" quotePrefix="1"/>
    <xf numFmtId="11" fontId="0" fillId="0" borderId="0" xfId="0" quotePrefix="1" applyNumberFormat="1"/>
    <xf numFmtId="3" fontId="2" fillId="0" borderId="0" xfId="0" applyNumberFormat="1" applyFont="1"/>
    <xf numFmtId="165" fontId="2" fillId="0" borderId="0" xfId="0" applyNumberFormat="1" applyFon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analysis!$GO$68:$GO$89</c:f>
              <c:numCache>
                <c:formatCode>0.0E+00</c:formatCode>
                <c:ptCount val="22"/>
                <c:pt idx="0">
                  <c:v>0.29325553867965898</c:v>
                </c:pt>
                <c:pt idx="1">
                  <c:v>0.66766290273517304</c:v>
                </c:pt>
                <c:pt idx="2">
                  <c:v>53.399352308362701</c:v>
                </c:pt>
                <c:pt idx="3">
                  <c:v>338.12546023260802</c:v>
                </c:pt>
                <c:pt idx="4">
                  <c:v>12287.333492035001</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0-B389-5948-84BD-C003E81DEE17}"/>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analysis!$GP$68:$GP$89</c:f>
              <c:numCache>
                <c:formatCode>0.0E+00</c:formatCode>
                <c:ptCount val="22"/>
                <c:pt idx="0">
                  <c:v>0.18462873622775</c:v>
                </c:pt>
                <c:pt idx="1">
                  <c:v>3.7952521014958598</c:v>
                </c:pt>
                <c:pt idx="2">
                  <c:v>178.15065901726399</c:v>
                </c:pt>
                <c:pt idx="3">
                  <c:v>1168.2548279399</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1-B389-5948-84BD-C003E81DEE17}"/>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analysis!$GQ$68:$GQ$89</c:f>
              <c:numCache>
                <c:formatCode>0.0E+00</c:formatCode>
                <c:ptCount val="22"/>
                <c:pt idx="0">
                  <c:v>3.7390210665762397E-2</c:v>
                </c:pt>
                <c:pt idx="1">
                  <c:v>1.4626254169270301</c:v>
                </c:pt>
                <c:pt idx="2">
                  <c:v>168.31056627258599</c:v>
                </c:pt>
                <c:pt idx="3">
                  <c:v>1905.8547713328101</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2-B389-5948-84BD-C003E81DEE17}"/>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analysis!$GR$68:$GR$89</c:f>
              <c:numCache>
                <c:formatCode>0.0E+00</c:formatCode>
                <c:ptCount val="22"/>
                <c:pt idx="0">
                  <c:v>5.0817322917282498E-2</c:v>
                </c:pt>
                <c:pt idx="1">
                  <c:v>0.19127189181745</c:v>
                </c:pt>
                <c:pt idx="2">
                  <c:v>331.22124582808402</c:v>
                </c:pt>
                <c:pt idx="3">
                  <c:v>9877.3910804176703</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3-B389-5948-84BD-C003E81DEE17}"/>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analysis!$GS$68:$GS$89</c:f>
              <c:numCache>
                <c:formatCode>0.0E+00</c:formatCode>
                <c:ptCount val="22"/>
                <c:pt idx="0">
                  <c:v>4.5467131250043096</c:v>
                </c:pt>
                <c:pt idx="1">
                  <c:v>285.00490287499201</c:v>
                </c:pt>
                <c:pt idx="2">
                  <c:v>5412.6084416670001</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4-B389-5948-84BD-C003E81DEE17}"/>
            </c:ext>
          </c:extLst>
        </c:ser>
        <c:dLbls>
          <c:showLegendKey val="0"/>
          <c:showVal val="0"/>
          <c:showCatName val="0"/>
          <c:showSerName val="0"/>
          <c:showPercent val="0"/>
          <c:showBubbleSize val="0"/>
        </c:dLbls>
        <c:axId val="1782197904"/>
        <c:axId val="1782199616"/>
      </c:scatterChart>
      <c:valAx>
        <c:axId val="1782197904"/>
        <c:scaling>
          <c:orientation val="minMax"/>
          <c:max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817147856517934"/>
          <c:y val="4.7959044181977224E-2"/>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analysis!$GU$68:$GU$89</c:f>
              <c:numCache>
                <c:formatCode>0.0E+00</c:formatCode>
                <c:ptCount val="22"/>
                <c:pt idx="0">
                  <c:v>1.7282052759612422E-4</c:v>
                </c:pt>
                <c:pt idx="1">
                  <c:v>3.5838356165771365E-4</c:v>
                </c:pt>
                <c:pt idx="2">
                  <c:v>3.1834136420751261E-3</c:v>
                </c:pt>
                <c:pt idx="3">
                  <c:v>6.9231512626950972E-2</c:v>
                </c:pt>
                <c:pt idx="4">
                  <c:v>1.3042051127801333</c:v>
                </c:pt>
                <c:pt idx="5">
                  <c:v>0.56694389539770496</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6-2128-7847-BB16-8297E9F27B87}"/>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analysis!$GV$68:$GV$89</c:f>
              <c:numCache>
                <c:formatCode>0.0E+00</c:formatCode>
                <c:ptCount val="22"/>
                <c:pt idx="0">
                  <c:v>2.41991161741316E-4</c:v>
                </c:pt>
                <c:pt idx="1">
                  <c:v>3.6107750294044776E-4</c:v>
                </c:pt>
                <c:pt idx="2">
                  <c:v>5.5246671205165282E-4</c:v>
                </c:pt>
                <c:pt idx="3">
                  <c:v>1.2139784033335412E-3</c:v>
                </c:pt>
                <c:pt idx="4">
                  <c:v>1.7659055807724073E-3</c:v>
                </c:pt>
                <c:pt idx="5">
                  <c:v>2.1005639768264428E-3</c:v>
                </c:pt>
                <c:pt idx="6">
                  <c:v>#N/A</c:v>
                </c:pt>
                <c:pt idx="7">
                  <c:v>#N/A</c:v>
                </c:pt>
                <c:pt idx="8">
                  <c:v>1.1739312502302302E-2</c:v>
                </c:pt>
                <c:pt idx="9">
                  <c:v>#N/A</c:v>
                </c:pt>
                <c:pt idx="10">
                  <c:v>#N/A</c:v>
                </c:pt>
                <c:pt idx="11">
                  <c:v>#N/A</c:v>
                </c:pt>
                <c:pt idx="12">
                  <c:v>#N/A</c:v>
                </c:pt>
                <c:pt idx="13">
                  <c:v>#N/A</c:v>
                </c:pt>
                <c:pt idx="14">
                  <c:v>0.13344355012248041</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7-2128-7847-BB16-8297E9F27B87}"/>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analysis!$GW$68:$GW$89</c:f>
              <c:numCache>
                <c:formatCode>0.0E+00</c:formatCode>
                <c:ptCount val="22"/>
                <c:pt idx="0">
                  <c:v>1.4808324033423316E-3</c:v>
                </c:pt>
                <c:pt idx="1">
                  <c:v>4.3212021273361795E-3</c:v>
                </c:pt>
                <c:pt idx="2">
                  <c:v>2.7742789005068959E-2</c:v>
                </c:pt>
                <c:pt idx="3">
                  <c:v>0.69412896487915798</c:v>
                </c:pt>
                <c:pt idx="4">
                  <c:v>10.594141368288534</c:v>
                </c:pt>
                <c:pt idx="5">
                  <c:v>2.6504252248576683</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8-2128-7847-BB16-8297E9F27B87}"/>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analysis!$GX$68:$GX$89</c:f>
              <c:numCache>
                <c:formatCode>0.0E+00</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9-2128-7847-BB16-8297E9F27B87}"/>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analysis!$GY$68:$GY$89</c:f>
              <c:numCache>
                <c:formatCode>0.0E+00</c:formatCode>
                <c:ptCount val="22"/>
                <c:pt idx="0">
                  <c:v>2.57654404267668E-2</c:v>
                </c:pt>
                <c:pt idx="1">
                  <c:v>1.1045358143746801E-2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A-2128-7847-BB16-8297E9F27B87}"/>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analysis!$GZ$68:$GZ$89</c:f>
              <c:numCache>
                <c:formatCode>0.0E+00</c:formatCode>
                <c:ptCount val="22"/>
                <c:pt idx="0">
                  <c:v>1.58768654800951E-2</c:v>
                </c:pt>
                <c:pt idx="1">
                  <c:v>8.0457804724574002E-3</c:v>
                </c:pt>
                <c:pt idx="2">
                  <c:v>6.6888119094073495E-2</c:v>
                </c:pt>
                <c:pt idx="3">
                  <c:v>#N/A</c:v>
                </c:pt>
                <c:pt idx="4">
                  <c:v>399.69459018763149</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B-2128-7847-BB16-8297E9F27B87}"/>
            </c:ext>
          </c:extLst>
        </c:ser>
        <c:dLbls>
          <c:showLegendKey val="0"/>
          <c:showVal val="0"/>
          <c:showCatName val="0"/>
          <c:showSerName val="0"/>
          <c:showPercent val="0"/>
          <c:showBubbleSize val="0"/>
        </c:dLbls>
        <c:axId val="1782197904"/>
        <c:axId val="1782199616"/>
      </c:scatterChart>
      <c:valAx>
        <c:axId val="1782197904"/>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71039370078740161"/>
          <c:y val="5.1431266404199469E-2"/>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analysis!$HI$68:$HI$89</c:f>
              <c:numCache>
                <c:formatCode>0.0%</c:formatCode>
                <c:ptCount val="22"/>
                <c:pt idx="0">
                  <c:v>0.99980000000000002</c:v>
                </c:pt>
                <c:pt idx="1">
                  <c:v>0.7641</c:v>
                </c:pt>
                <c:pt idx="2">
                  <c:v>0.11899999999999999</c:v>
                </c:pt>
                <c:pt idx="3">
                  <c:v>8.2000000000000007E-3</c:v>
                </c:pt>
                <c:pt idx="4">
                  <c:v>5.9999999999999995E-4</c:v>
                </c:pt>
                <c:pt idx="5">
                  <c:v>2E-3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6-EA33-8649-B744-7C94C8863C1C}"/>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analysis!$HJ$68:$HJ$89</c:f>
              <c:numCache>
                <c:formatCode>0.0%</c:formatCode>
                <c:ptCount val="22"/>
                <c:pt idx="0">
                  <c:v>1</c:v>
                </c:pt>
                <c:pt idx="1">
                  <c:v>0.98719999999999997</c:v>
                </c:pt>
                <c:pt idx="2">
                  <c:v>0.80410000000000004</c:v>
                </c:pt>
                <c:pt idx="3">
                  <c:v>0.51649999999999996</c:v>
                </c:pt>
                <c:pt idx="4">
                  <c:v>0.46400000000000002</c:v>
                </c:pt>
                <c:pt idx="5">
                  <c:v>0.5423</c:v>
                </c:pt>
                <c:pt idx="6">
                  <c:v>0</c:v>
                </c:pt>
                <c:pt idx="7">
                  <c:v>0</c:v>
                </c:pt>
                <c:pt idx="8">
                  <c:v>0.19969999999999999</c:v>
                </c:pt>
                <c:pt idx="9">
                  <c:v>0</c:v>
                </c:pt>
                <c:pt idx="10">
                  <c:v>0</c:v>
                </c:pt>
                <c:pt idx="11">
                  <c:v>0</c:v>
                </c:pt>
                <c:pt idx="12">
                  <c:v>0</c:v>
                </c:pt>
                <c:pt idx="13">
                  <c:v>0</c:v>
                </c:pt>
                <c:pt idx="14">
                  <c:v>3.9800000000000002E-2</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7-EA33-8649-B744-7C94C8863C1C}"/>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analysis!$HK$68:$HK$89</c:f>
              <c:numCache>
                <c:formatCode>0.0%</c:formatCode>
                <c:ptCount val="22"/>
                <c:pt idx="0">
                  <c:v>0.96499999999999997</c:v>
                </c:pt>
                <c:pt idx="1">
                  <c:v>0.68159999999999998</c:v>
                </c:pt>
                <c:pt idx="2">
                  <c:v>0.1047</c:v>
                </c:pt>
                <c:pt idx="3">
                  <c:v>6.8999999999999999E-3</c:v>
                </c:pt>
                <c:pt idx="4">
                  <c:v>5.9999999999999995E-4</c:v>
                </c:pt>
                <c:pt idx="5">
                  <c:v>3.5000000000000001E-3</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8-EA33-8649-B744-7C94C8863C1C}"/>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analysis!$HL$68:$HL$89</c:f>
              <c:numCache>
                <c:formatCode>0.0%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9-EA33-8649-B744-7C94C8863C1C}"/>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analysis!$HM$68:$HM$89</c:f>
              <c:numCache>
                <c:formatCode>0.0%</c:formatCode>
                <c:ptCount val="22"/>
                <c:pt idx="0">
                  <c:v>1</c:v>
                </c:pt>
                <c:pt idx="1">
                  <c:v>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A-EA33-8649-B744-7C94C8863C1C}"/>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analysis!$HN$68:$HN$89</c:f>
              <c:numCache>
                <c:formatCode>0.0%</c:formatCode>
                <c:ptCount val="22"/>
                <c:pt idx="0">
                  <c:v>1</c:v>
                </c:pt>
                <c:pt idx="1">
                  <c:v>0.66666666666666663</c:v>
                </c:pt>
                <c:pt idx="2">
                  <c:v>0.5</c:v>
                </c:pt>
                <c:pt idx="3">
                  <c:v>0</c:v>
                </c:pt>
                <c:pt idx="4">
                  <c:v>0.2857142857142857</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yVal>
          <c:smooth val="0"/>
          <c:extLst>
            <c:ext xmlns:c16="http://schemas.microsoft.com/office/drawing/2014/chart" uri="{C3380CC4-5D6E-409C-BE32-E72D297353CC}">
              <c16:uniqueId val="{0000000B-EA33-8649-B744-7C94C8863C1C}"/>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analysis!$GG$68:$GG$89</c:f>
              <c:numCache>
                <c:formatCode>0.00</c:formatCode>
                <c:ptCount val="22"/>
                <c:pt idx="0">
                  <c:v>0</c:v>
                </c:pt>
                <c:pt idx="1">
                  <c:v>0</c:v>
                </c:pt>
                <c:pt idx="2">
                  <c:v>0</c:v>
                </c:pt>
                <c:pt idx="3">
                  <c:v>0</c:v>
                </c:pt>
                <c:pt idx="4">
                  <c:v>0</c:v>
                </c:pt>
                <c:pt idx="5">
                  <c:v>0</c:v>
                </c:pt>
                <c:pt idx="6">
                  <c:v>4.7619047619047616E-2</c:v>
                </c:pt>
                <c:pt idx="7">
                  <c:v>8.3333333333333329E-2</c:v>
                </c:pt>
                <c:pt idx="8">
                  <c:v>0.12</c:v>
                </c:pt>
                <c:pt idx="9">
                  <c:v>8.3333333333333329E-2</c:v>
                </c:pt>
                <c:pt idx="10">
                  <c:v>0.26923076923076922</c:v>
                </c:pt>
                <c:pt idx="11">
                  <c:v>0.16666666666666666</c:v>
                </c:pt>
                <c:pt idx="12">
                  <c:v>0.20689655172413793</c:v>
                </c:pt>
                <c:pt idx="13">
                  <c:v>0.2</c:v>
                </c:pt>
                <c:pt idx="14">
                  <c:v>0.48717948717948717</c:v>
                </c:pt>
                <c:pt idx="15">
                  <c:v>0.61538461538461542</c:v>
                </c:pt>
                <c:pt idx="16">
                  <c:v>0.84615384615384615</c:v>
                </c:pt>
                <c:pt idx="17">
                  <c:v>0.89743589743589747</c:v>
                </c:pt>
                <c:pt idx="18">
                  <c:v>0.80487804878048785</c:v>
                </c:pt>
                <c:pt idx="19">
                  <c:v>1.0606060606060606</c:v>
                </c:pt>
                <c:pt idx="20">
                  <c:v>1.4137931034482758</c:v>
                </c:pt>
                <c:pt idx="21">
                  <c:v>0.41379310344827586</c:v>
                </c:pt>
              </c:numCache>
            </c:numRef>
          </c:yVal>
          <c:smooth val="0"/>
          <c:extLst>
            <c:ext xmlns:c16="http://schemas.microsoft.com/office/drawing/2014/chart" uri="{C3380CC4-5D6E-409C-BE32-E72D297353CC}">
              <c16:uniqueId val="{00000006-8A5F-074E-8BAF-10062C9134BF}"/>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analysis!$GH$68:$GH$89</c:f>
              <c:numCache>
                <c:formatCode>0.00</c:formatCode>
                <c:ptCount val="22"/>
                <c:pt idx="0">
                  <c:v>0</c:v>
                </c:pt>
                <c:pt idx="1">
                  <c:v>0</c:v>
                </c:pt>
                <c:pt idx="2">
                  <c:v>0</c:v>
                </c:pt>
                <c:pt idx="3">
                  <c:v>0</c:v>
                </c:pt>
                <c:pt idx="4">
                  <c:v>0</c:v>
                </c:pt>
                <c:pt idx="5">
                  <c:v>0</c:v>
                </c:pt>
                <c:pt idx="6">
                  <c:v>4.7619047619047616E-2</c:v>
                </c:pt>
                <c:pt idx="7">
                  <c:v>4.1666666666666664E-2</c:v>
                </c:pt>
                <c:pt idx="8">
                  <c:v>0</c:v>
                </c:pt>
                <c:pt idx="9">
                  <c:v>8.3333333333333329E-2</c:v>
                </c:pt>
                <c:pt idx="10">
                  <c:v>0.11538461538461539</c:v>
                </c:pt>
                <c:pt idx="11">
                  <c:v>6.6666666666666666E-2</c:v>
                </c:pt>
                <c:pt idx="12">
                  <c:v>0.10344827586206896</c:v>
                </c:pt>
                <c:pt idx="13">
                  <c:v>6.6666666666666666E-2</c:v>
                </c:pt>
                <c:pt idx="14">
                  <c:v>0</c:v>
                </c:pt>
                <c:pt idx="15">
                  <c:v>0.35897435897435898</c:v>
                </c:pt>
                <c:pt idx="16">
                  <c:v>0.41025641025641024</c:v>
                </c:pt>
                <c:pt idx="17">
                  <c:v>0.58974358974358976</c:v>
                </c:pt>
                <c:pt idx="18">
                  <c:v>0.48780487804878048</c:v>
                </c:pt>
                <c:pt idx="19">
                  <c:v>0.81818181818181823</c:v>
                </c:pt>
                <c:pt idx="20">
                  <c:v>0.10344827586206896</c:v>
                </c:pt>
                <c:pt idx="21">
                  <c:v>6.8965517241379309E-2</c:v>
                </c:pt>
              </c:numCache>
            </c:numRef>
          </c:yVal>
          <c:smooth val="0"/>
          <c:extLst>
            <c:ext xmlns:c16="http://schemas.microsoft.com/office/drawing/2014/chart" uri="{C3380CC4-5D6E-409C-BE32-E72D297353CC}">
              <c16:uniqueId val="{00000007-8A5F-074E-8BAF-10062C9134BF}"/>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analysis!$GI$68:$GI$89</c:f>
              <c:numCache>
                <c:formatCode>0.00</c:formatCode>
                <c:ptCount val="22"/>
                <c:pt idx="0">
                  <c:v>0</c:v>
                </c:pt>
                <c:pt idx="1">
                  <c:v>0</c:v>
                </c:pt>
                <c:pt idx="2">
                  <c:v>0</c:v>
                </c:pt>
                <c:pt idx="3">
                  <c:v>0</c:v>
                </c:pt>
                <c:pt idx="4">
                  <c:v>0</c:v>
                </c:pt>
                <c:pt idx="5">
                  <c:v>0</c:v>
                </c:pt>
                <c:pt idx="6">
                  <c:v>9.5238095238095233E-2</c:v>
                </c:pt>
                <c:pt idx="7">
                  <c:v>0.125</c:v>
                </c:pt>
                <c:pt idx="8">
                  <c:v>0.2</c:v>
                </c:pt>
                <c:pt idx="9">
                  <c:v>4.1666666666666664E-2</c:v>
                </c:pt>
                <c:pt idx="10">
                  <c:v>0.30769230769230771</c:v>
                </c:pt>
                <c:pt idx="11">
                  <c:v>0.36666666666666664</c:v>
                </c:pt>
                <c:pt idx="12">
                  <c:v>0.2413793103448276</c:v>
                </c:pt>
                <c:pt idx="13">
                  <c:v>0.26666666666666666</c:v>
                </c:pt>
                <c:pt idx="14">
                  <c:v>0.69230769230769229</c:v>
                </c:pt>
                <c:pt idx="15">
                  <c:v>0.53846153846153844</c:v>
                </c:pt>
                <c:pt idx="16">
                  <c:v>0.82051282051282048</c:v>
                </c:pt>
                <c:pt idx="17">
                  <c:v>0.79487179487179482</c:v>
                </c:pt>
                <c:pt idx="18">
                  <c:v>0.58536585365853655</c:v>
                </c:pt>
                <c:pt idx="19">
                  <c:v>1.4545454545454546</c:v>
                </c:pt>
                <c:pt idx="20">
                  <c:v>1.6896551724137931</c:v>
                </c:pt>
                <c:pt idx="21">
                  <c:v>0.44827586206896552</c:v>
                </c:pt>
              </c:numCache>
            </c:numRef>
          </c:yVal>
          <c:smooth val="0"/>
          <c:extLst>
            <c:ext xmlns:c16="http://schemas.microsoft.com/office/drawing/2014/chart" uri="{C3380CC4-5D6E-409C-BE32-E72D297353CC}">
              <c16:uniqueId val="{00000008-8A5F-074E-8BAF-10062C9134BF}"/>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analysis!$GJ$68:$GJ$89</c:f>
              <c:numCache>
                <c:formatCode>0.00</c:formatCode>
                <c:ptCount val="22"/>
                <c:pt idx="0">
                  <c:v>#N/A</c:v>
                </c:pt>
                <c:pt idx="1">
                  <c:v>#N/A</c:v>
                </c:pt>
                <c:pt idx="2">
                  <c:v>#N/A</c:v>
                </c:pt>
                <c:pt idx="3">
                  <c:v>#N/A</c:v>
                </c:pt>
                <c:pt idx="4">
                  <c:v>#N/A</c:v>
                </c:pt>
                <c:pt idx="5">
                  <c:v>#N/A</c:v>
                </c:pt>
                <c:pt idx="6">
                  <c:v>#N/A</c:v>
                </c:pt>
                <c:pt idx="7">
                  <c:v>#N/A</c:v>
                </c:pt>
                <c:pt idx="8">
                  <c:v>#N/A</c:v>
                </c:pt>
                <c:pt idx="9">
                  <c:v>#N/A</c:v>
                </c:pt>
                <c:pt idx="10">
                  <c:v>#N/A</c:v>
                </c:pt>
                <c:pt idx="11">
                  <c:v>#N/A</c:v>
                </c:pt>
                <c:pt idx="12">
                  <c:v>#N/A</c:v>
                </c:pt>
                <c:pt idx="13">
                  <c:v>1.0666666666666667</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9-8A5F-074E-8BAF-10062C9134BF}"/>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analysis!$GK$68:$GK$89</c:f>
              <c:numCache>
                <c:formatCode>0.00</c:formatCode>
                <c:ptCount val="22"/>
                <c:pt idx="0">
                  <c:v>0</c:v>
                </c:pt>
                <c:pt idx="1">
                  <c:v>0</c:v>
                </c:pt>
                <c:pt idx="2">
                  <c:v>1.3333333333333333</c:v>
                </c:pt>
                <c:pt idx="3">
                  <c:v>#N/A</c:v>
                </c:pt>
                <c:pt idx="4">
                  <c:v>0.88235294117647056</c:v>
                </c:pt>
                <c:pt idx="5">
                  <c:v>#N/A</c:v>
                </c:pt>
                <c:pt idx="6">
                  <c:v>#N/A</c:v>
                </c:pt>
                <c:pt idx="7">
                  <c:v>#N/A</c:v>
                </c:pt>
                <c:pt idx="8">
                  <c:v>#N/A</c:v>
                </c:pt>
                <c:pt idx="9">
                  <c:v>#N/A</c:v>
                </c:pt>
                <c:pt idx="10">
                  <c:v>#N/A</c:v>
                </c:pt>
                <c:pt idx="11">
                  <c:v>#N/A</c:v>
                </c:pt>
                <c:pt idx="12">
                  <c:v>#N/A</c:v>
                </c:pt>
                <c:pt idx="13">
                  <c:v>1.0666666666666667</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A-8A5F-074E-8BAF-10062C9134BF}"/>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analysis!$FZ$68:$FZ$89</c:f>
              <c:numCache>
                <c:formatCode>General</c:formatCode>
                <c:ptCount val="22"/>
                <c:pt idx="0">
                  <c:v>36</c:v>
                </c:pt>
                <c:pt idx="1">
                  <c:v>72</c:v>
                </c:pt>
                <c:pt idx="2">
                  <c:v>108</c:v>
                </c:pt>
                <c:pt idx="3">
                  <c:v>144</c:v>
                </c:pt>
                <c:pt idx="4">
                  <c:v>180</c:v>
                </c:pt>
                <c:pt idx="5">
                  <c:v>216</c:v>
                </c:pt>
                <c:pt idx="6">
                  <c:v>252</c:v>
                </c:pt>
                <c:pt idx="7">
                  <c:v>288</c:v>
                </c:pt>
                <c:pt idx="8">
                  <c:v>324</c:v>
                </c:pt>
                <c:pt idx="9">
                  <c:v>360</c:v>
                </c:pt>
                <c:pt idx="10">
                  <c:v>396</c:v>
                </c:pt>
                <c:pt idx="11">
                  <c:v>432</c:v>
                </c:pt>
                <c:pt idx="12">
                  <c:v>468</c:v>
                </c:pt>
                <c:pt idx="13">
                  <c:v>496</c:v>
                </c:pt>
                <c:pt idx="14">
                  <c:v>504</c:v>
                </c:pt>
                <c:pt idx="15">
                  <c:v>540</c:v>
                </c:pt>
                <c:pt idx="16">
                  <c:v>576</c:v>
                </c:pt>
                <c:pt idx="17">
                  <c:v>576</c:v>
                </c:pt>
                <c:pt idx="18">
                  <c:v>612</c:v>
                </c:pt>
                <c:pt idx="19">
                  <c:v>648</c:v>
                </c:pt>
                <c:pt idx="20">
                  <c:v>648</c:v>
                </c:pt>
                <c:pt idx="21">
                  <c:v>684</c:v>
                </c:pt>
              </c:numCache>
            </c:numRef>
          </c:xVal>
          <c:yVal>
            <c:numRef>
              <c:f>analysis!$GL$68:$GL$89</c:f>
              <c:numCache>
                <c:formatCode>0.00</c:formatCode>
                <c:ptCount val="22"/>
                <c:pt idx="0">
                  <c:v>0</c:v>
                </c:pt>
                <c:pt idx="1">
                  <c:v>0</c:v>
                </c:pt>
                <c:pt idx="2">
                  <c:v>0</c:v>
                </c:pt>
                <c:pt idx="3">
                  <c:v>7.6923076923076927E-2</c:v>
                </c:pt>
                <c:pt idx="4">
                  <c:v>0</c:v>
                </c:pt>
                <c:pt idx="5">
                  <c:v>0.1111111111111111</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numCache>
            </c:numRef>
          </c:yVal>
          <c:smooth val="0"/>
          <c:extLst>
            <c:ext xmlns:c16="http://schemas.microsoft.com/office/drawing/2014/chart" uri="{C3380CC4-5D6E-409C-BE32-E72D297353CC}">
              <c16:uniqueId val="{0000000B-8A5F-074E-8BAF-10062C9134BF}"/>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3576388888888889"/>
          <c:y val="3.2550853018372711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8" name="Chart 7">
          <a:extLst>
            <a:ext uri="{FF2B5EF4-FFF2-40B4-BE49-F238E27FC236}">
              <a16:creationId xmlns:a16="http://schemas.microsoft.com/office/drawing/2014/main" id="{C890E86D-F335-5041-AB0E-B2C794931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9" name="Chart 8">
          <a:extLst>
            <a:ext uri="{FF2B5EF4-FFF2-40B4-BE49-F238E27FC236}">
              <a16:creationId xmlns:a16="http://schemas.microsoft.com/office/drawing/2014/main" id="{7AA84875-3F5D-2644-8ABE-9ABAD3998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12" name="Chart 11">
          <a:extLst>
            <a:ext uri="{FF2B5EF4-FFF2-40B4-BE49-F238E27FC236}">
              <a16:creationId xmlns:a16="http://schemas.microsoft.com/office/drawing/2014/main" id="{37385CC9-FAA6-7D4F-9997-5131A8431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4" name="Chart 3">
          <a:extLst>
            <a:ext uri="{FF2B5EF4-FFF2-40B4-BE49-F238E27FC236}">
              <a16:creationId xmlns:a16="http://schemas.microsoft.com/office/drawing/2014/main" id="{8E0619A1-BE74-5E44-87B0-46B8CF3D7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3477-1C89-6C48-A9FA-EE432805F7C2}">
  <dimension ref="A1:HN188"/>
  <sheetViews>
    <sheetView tabSelected="1" zoomScaleNormal="100" workbookViewId="0">
      <selection activeCell="B1" sqref="B1"/>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2" t="str" cm="1">
        <f t="array" aca="1" ref="A1" ca="1">MID(CELL("filename"),SEARCH("[",CELL("filename"))+1,SEARCH("]",CELL("filename"))-SEARCH("[",CELL("filename"))-1)</f>
        <v>12 tanner_codes.xlsx</v>
      </c>
      <c r="B1" s="2"/>
      <c r="U1" s="3"/>
      <c r="V1" s="3"/>
    </row>
    <row r="2" spans="1:26" x14ac:dyDescent="0.2">
      <c r="Y2" s="4"/>
      <c r="Z2" s="5"/>
    </row>
    <row r="3" spans="1:26" x14ac:dyDescent="0.2">
      <c r="A3" s="3" t="s">
        <v>0</v>
      </c>
      <c r="B3" s="18">
        <f ca="1">COUNT(AB:AB)</f>
        <v>22</v>
      </c>
      <c r="C3" s="3" t="s">
        <v>1</v>
      </c>
      <c r="D3" s="18">
        <f ca="1">MAX(B68:B300)</f>
        <v>684</v>
      </c>
      <c r="E3" s="3" t="s">
        <v>2</v>
      </c>
      <c r="F3" s="18">
        <f ca="1">MIN(B68:B300)</f>
        <v>36</v>
      </c>
      <c r="G3" s="6" t="s">
        <v>817</v>
      </c>
      <c r="H3">
        <f ca="1">SUM(C68:C300)</f>
        <v>569</v>
      </c>
      <c r="M3" s="6" t="s">
        <v>3</v>
      </c>
      <c r="N3">
        <f>8*60*60</f>
        <v>28800</v>
      </c>
      <c r="Y3" s="4"/>
      <c r="Z3" s="5"/>
    </row>
    <row r="4" spans="1:26" x14ac:dyDescent="0.2">
      <c r="M4" t="s">
        <v>4</v>
      </c>
      <c r="N4">
        <f ca="1">D3</f>
        <v>684</v>
      </c>
      <c r="O4" t="s">
        <v>5</v>
      </c>
      <c r="P4">
        <f ca="1">COUNTIFS(B68:B195,"&lt;="&amp;$N$4)</f>
        <v>22</v>
      </c>
      <c r="Y4" s="4"/>
      <c r="Z4" s="5"/>
    </row>
    <row r="5" spans="1:26" x14ac:dyDescent="0.2">
      <c r="A5" s="11" t="s">
        <v>6</v>
      </c>
      <c r="M5" s="11" t="s">
        <v>7</v>
      </c>
      <c r="Y5" s="4"/>
      <c r="Z5" s="5"/>
    </row>
    <row r="6" spans="1:26" x14ac:dyDescent="0.2">
      <c r="B6" s="6" t="s">
        <v>8</v>
      </c>
      <c r="C6" s="6" t="s">
        <v>9</v>
      </c>
      <c r="D6" s="6" t="s">
        <v>10</v>
      </c>
      <c r="E6" s="6" t="s">
        <v>11</v>
      </c>
      <c r="F6" s="6" t="s">
        <v>12</v>
      </c>
      <c r="G6" s="6" t="s">
        <v>13</v>
      </c>
      <c r="H6" s="6" t="s">
        <v>14</v>
      </c>
      <c r="I6" s="6"/>
      <c r="N6" s="6" t="s">
        <v>15</v>
      </c>
      <c r="O6" s="6" t="s">
        <v>16</v>
      </c>
      <c r="P6" s="6" t="s">
        <v>17</v>
      </c>
      <c r="Q6" s="6" t="s">
        <v>18</v>
      </c>
      <c r="R6" s="6" t="s">
        <v>19</v>
      </c>
      <c r="S6" s="6"/>
      <c r="T6" s="6"/>
      <c r="U6" s="6"/>
      <c r="Y6" s="4"/>
      <c r="Z6" s="5"/>
    </row>
    <row r="7" spans="1:26" x14ac:dyDescent="0.2">
      <c r="A7" s="6" t="s">
        <v>20</v>
      </c>
      <c r="B7" s="12">
        <f ca="1">SUM(BI:BI)</f>
        <v>22</v>
      </c>
      <c r="C7" s="12">
        <f t="shared" ref="C7:H7" ca="1" si="0">SUM(BJ:BJ)</f>
        <v>22</v>
      </c>
      <c r="D7" s="12">
        <f t="shared" ca="1" si="0"/>
        <v>22</v>
      </c>
      <c r="E7" s="12">
        <f t="shared" ca="1" si="0"/>
        <v>22</v>
      </c>
      <c r="F7" s="12">
        <f t="shared" ca="1" si="0"/>
        <v>1</v>
      </c>
      <c r="G7" s="12">
        <f t="shared" ca="1" si="0"/>
        <v>5</v>
      </c>
      <c r="H7" s="12">
        <f t="shared" ca="1" si="0"/>
        <v>6</v>
      </c>
      <c r="I7" s="12"/>
      <c r="J7" s="14" t="s">
        <v>21</v>
      </c>
      <c r="K7" s="13"/>
      <c r="M7" s="6" t="s">
        <v>20</v>
      </c>
      <c r="N7">
        <f ca="1">SUMIFS(BD:BD,$B:$B,"&lt;="&amp;$N$4)</f>
        <v>22</v>
      </c>
      <c r="O7">
        <f t="shared" ref="O7:R7" ca="1" si="1">SUMIFS(BE:BE,$B:$B,"&lt;="&amp;$N$4)</f>
        <v>22</v>
      </c>
      <c r="P7">
        <f t="shared" ca="1" si="1"/>
        <v>22</v>
      </c>
      <c r="Q7">
        <f t="shared" ca="1" si="1"/>
        <v>4</v>
      </c>
      <c r="R7">
        <f t="shared" ca="1" si="1"/>
        <v>22</v>
      </c>
      <c r="S7" s="14" t="s">
        <v>21</v>
      </c>
      <c r="Y7" s="4"/>
      <c r="Z7" s="5"/>
    </row>
    <row r="8" spans="1:26" x14ac:dyDescent="0.2">
      <c r="A8" s="6" t="s">
        <v>22</v>
      </c>
      <c r="B8" s="19">
        <f ca="1">$B$3-B7</f>
        <v>0</v>
      </c>
      <c r="C8" s="19">
        <f t="shared" ref="C8:H8" ca="1" si="2">$B$3-C7</f>
        <v>0</v>
      </c>
      <c r="D8" s="19">
        <f t="shared" ca="1" si="2"/>
        <v>0</v>
      </c>
      <c r="E8" s="19">
        <f t="shared" ca="1" si="2"/>
        <v>0</v>
      </c>
      <c r="F8" s="19">
        <f t="shared" ca="1" si="2"/>
        <v>21</v>
      </c>
      <c r="G8" s="19">
        <f t="shared" ca="1" si="2"/>
        <v>17</v>
      </c>
      <c r="H8" s="19">
        <f t="shared" ca="1" si="2"/>
        <v>16</v>
      </c>
      <c r="I8" s="19"/>
      <c r="J8" s="14" t="s">
        <v>21</v>
      </c>
      <c r="M8" s="6" t="s">
        <v>23</v>
      </c>
      <c r="N8">
        <f ca="1">SUMIFS(AM:AM,$B:$B,"&lt;="&amp;$N$4)</f>
        <v>5</v>
      </c>
      <c r="O8">
        <f t="shared" ref="O8:R8" ca="1" si="3">SUMIFS(AN:AN,$B:$B,"&lt;="&amp;$N$4)</f>
        <v>4</v>
      </c>
      <c r="P8">
        <f t="shared" ca="1" si="3"/>
        <v>4</v>
      </c>
      <c r="Q8">
        <f t="shared" ca="1" si="3"/>
        <v>4</v>
      </c>
      <c r="R8">
        <f t="shared" ca="1" si="3"/>
        <v>3</v>
      </c>
      <c r="S8" s="14" t="s">
        <v>21</v>
      </c>
      <c r="Y8" s="4"/>
      <c r="Z8" s="5"/>
    </row>
    <row r="9" spans="1:26" x14ac:dyDescent="0.2">
      <c r="A9" s="6" t="s">
        <v>24</v>
      </c>
      <c r="B9" s="7">
        <f ca="1">SUM(CQ:CQ)</f>
        <v>6</v>
      </c>
      <c r="C9" s="7">
        <f t="shared" ref="C9:H9" ca="1" si="4">SUM(CR:CR)</f>
        <v>6</v>
      </c>
      <c r="D9" s="7">
        <f t="shared" ca="1" si="4"/>
        <v>8</v>
      </c>
      <c r="E9" s="7">
        <f t="shared" ca="1" si="4"/>
        <v>6</v>
      </c>
      <c r="F9" s="7">
        <f t="shared" ca="1" si="4"/>
        <v>0</v>
      </c>
      <c r="G9" s="7">
        <f t="shared" ca="1" si="4"/>
        <v>2</v>
      </c>
      <c r="H9" s="7">
        <f t="shared" ca="1" si="4"/>
        <v>4</v>
      </c>
      <c r="I9" s="7"/>
      <c r="J9" s="14" t="s">
        <v>25</v>
      </c>
      <c r="M9" s="6" t="s">
        <v>26</v>
      </c>
      <c r="N9">
        <f ca="1">N7-N8</f>
        <v>17</v>
      </c>
      <c r="O9">
        <f t="shared" ref="O9:R9" ca="1" si="5">O7-O8</f>
        <v>18</v>
      </c>
      <c r="P9">
        <f t="shared" ca="1" si="5"/>
        <v>18</v>
      </c>
      <c r="Q9">
        <f t="shared" ca="1" si="5"/>
        <v>0</v>
      </c>
      <c r="R9">
        <f t="shared" ca="1" si="5"/>
        <v>19</v>
      </c>
      <c r="S9" s="14" t="s">
        <v>21</v>
      </c>
      <c r="Y9" s="4"/>
      <c r="Z9" s="5"/>
    </row>
    <row r="10" spans="1:26" x14ac:dyDescent="0.2">
      <c r="A10" s="6" t="s">
        <v>27</v>
      </c>
      <c r="B10" s="4">
        <f ca="1">B9/$B$3</f>
        <v>0.27272727272727271</v>
      </c>
      <c r="C10" s="4">
        <f t="shared" ref="C10:H10" ca="1" si="6">C9/$B$3</f>
        <v>0.27272727272727271</v>
      </c>
      <c r="D10" s="4">
        <f t="shared" ca="1" si="6"/>
        <v>0.36363636363636365</v>
      </c>
      <c r="E10" s="4">
        <f t="shared" ca="1" si="6"/>
        <v>0.27272727272727271</v>
      </c>
      <c r="F10" s="4">
        <f t="shared" ca="1" si="6"/>
        <v>0</v>
      </c>
      <c r="G10" s="4">
        <f t="shared" ca="1" si="6"/>
        <v>9.0909090909090912E-2</v>
      </c>
      <c r="H10" s="4">
        <f t="shared" ca="1" si="6"/>
        <v>0.18181818181818182</v>
      </c>
      <c r="I10" s="4"/>
      <c r="J10" s="14" t="s">
        <v>28</v>
      </c>
      <c r="M10" s="16" t="s">
        <v>22</v>
      </c>
      <c r="N10" s="19">
        <f ca="1">$P$4-N7</f>
        <v>0</v>
      </c>
      <c r="O10" s="19">
        <f t="shared" ref="O10:R10" ca="1" si="7">$P$4-O7</f>
        <v>0</v>
      </c>
      <c r="P10" s="19">
        <f t="shared" ca="1" si="7"/>
        <v>0</v>
      </c>
      <c r="Q10" s="19">
        <f t="shared" ca="1" si="7"/>
        <v>18</v>
      </c>
      <c r="R10" s="19">
        <f t="shared" ca="1" si="7"/>
        <v>0</v>
      </c>
      <c r="S10" s="14" t="s">
        <v>21</v>
      </c>
      <c r="T10" s="5"/>
      <c r="U10" s="5"/>
      <c r="Y10" s="4"/>
      <c r="Z10" s="5"/>
    </row>
    <row r="11" spans="1:26" x14ac:dyDescent="0.2">
      <c r="A11" s="6" t="s">
        <v>29</v>
      </c>
      <c r="B11" s="5">
        <f ca="1">SUM(DH:DH)</f>
        <v>85.852663417346633</v>
      </c>
      <c r="C11" s="5">
        <f t="shared" ref="C11:H11" ca="1" si="8">SUM(DI:DI)</f>
        <v>946.26935328822435</v>
      </c>
      <c r="D11" s="5">
        <f t="shared" ca="1" si="8"/>
        <v>934.84180273860511</v>
      </c>
      <c r="E11" s="5">
        <f t="shared" ca="1" si="8"/>
        <v>15524.147468039724</v>
      </c>
      <c r="F11" s="5">
        <f t="shared" ca="1" si="8"/>
        <v>0.79704422783106466</v>
      </c>
      <c r="G11" s="5">
        <f t="shared" ca="1" si="8"/>
        <v>0.85988443344831356</v>
      </c>
      <c r="H11" s="5">
        <f t="shared" ca="1" si="8"/>
        <v>803.73852122481901</v>
      </c>
      <c r="I11" s="5"/>
      <c r="J11" s="15" t="s">
        <v>30</v>
      </c>
      <c r="M11" s="17" t="s">
        <v>24</v>
      </c>
      <c r="N11">
        <f ca="1">SUMIFS(CL:CL,$B:$B,"&lt;="&amp;$N$4)</f>
        <v>6</v>
      </c>
      <c r="O11">
        <f t="shared" ref="O11:R11" ca="1" si="9">SUMIFS(CM:CM,$B:$B,"&lt;="&amp;$N$4)</f>
        <v>6</v>
      </c>
      <c r="P11">
        <f t="shared" ca="1" si="9"/>
        <v>5</v>
      </c>
      <c r="Q11">
        <f t="shared" ca="1" si="9"/>
        <v>4</v>
      </c>
      <c r="R11">
        <f t="shared" ca="1" si="9"/>
        <v>8</v>
      </c>
      <c r="S11" s="14" t="s">
        <v>21</v>
      </c>
      <c r="T11" s="5"/>
      <c r="U11" s="5"/>
      <c r="Y11" s="4"/>
      <c r="Z11" s="5"/>
    </row>
    <row r="12" spans="1:26" x14ac:dyDescent="0.2">
      <c r="A12" s="6" t="s">
        <v>31</v>
      </c>
      <c r="B12" s="7"/>
      <c r="C12" s="7">
        <f t="shared" ref="C12:H12" ca="1" si="10">SUM(FH:FH)</f>
        <v>220000</v>
      </c>
      <c r="D12" s="7">
        <f t="shared" ca="1" si="10"/>
        <v>220000</v>
      </c>
      <c r="E12" s="7">
        <f t="shared" ca="1" si="10"/>
        <v>220000</v>
      </c>
      <c r="F12" s="7">
        <f t="shared" ca="1" si="10"/>
        <v>22</v>
      </c>
      <c r="G12" s="7">
        <f t="shared" ca="1" si="10"/>
        <v>22</v>
      </c>
      <c r="H12" s="7">
        <f t="shared" ca="1" si="10"/>
        <v>25</v>
      </c>
      <c r="I12" s="7"/>
      <c r="J12" s="14" t="s">
        <v>21</v>
      </c>
      <c r="M12" s="6" t="s">
        <v>32</v>
      </c>
      <c r="N12" s="4">
        <f ca="1">N11/$P$4</f>
        <v>0.27272727272727271</v>
      </c>
      <c r="O12" s="4">
        <f t="shared" ref="O12:R12" ca="1" si="11">O11/$P$4</f>
        <v>0.27272727272727271</v>
      </c>
      <c r="P12" s="4">
        <f t="shared" ca="1" si="11"/>
        <v>0.22727272727272727</v>
      </c>
      <c r="Q12" s="4">
        <f t="shared" ca="1" si="11"/>
        <v>0.18181818181818182</v>
      </c>
      <c r="R12" s="4">
        <f t="shared" ca="1" si="11"/>
        <v>0.36363636363636365</v>
      </c>
      <c r="S12" s="14" t="s">
        <v>28</v>
      </c>
      <c r="Y12" s="4"/>
      <c r="Z12" s="5"/>
    </row>
    <row r="13" spans="1:26" x14ac:dyDescent="0.2">
      <c r="A13" s="6" t="s">
        <v>33</v>
      </c>
      <c r="C13">
        <f ca="1">SUM(DZ:DZ)</f>
        <v>18937</v>
      </c>
      <c r="D13">
        <f ca="1">SUM(EA:EA)</f>
        <v>45536</v>
      </c>
      <c r="E13">
        <f t="shared" ref="E13:H13" ca="1" si="12">SUM(EB:EB)</f>
        <v>17623</v>
      </c>
      <c r="F13">
        <f t="shared" ca="1" si="12"/>
        <v>0</v>
      </c>
      <c r="G13">
        <f t="shared" ca="1" si="12"/>
        <v>2</v>
      </c>
      <c r="H13">
        <f t="shared" ca="1" si="12"/>
        <v>8</v>
      </c>
      <c r="J13" s="14" t="s">
        <v>25</v>
      </c>
      <c r="M13" s="6" t="s">
        <v>34</v>
      </c>
      <c r="N13" s="5">
        <f ca="1">SUMIFS(DC:DC,$B:$B,"&lt;="&amp;$N$4)+N16*$N$3</f>
        <v>504963.40575685643</v>
      </c>
      <c r="O13" s="5">
        <f t="shared" ref="O13:R13" ca="1" si="13">SUMIFS(DD:DD,$B:$B,"&lt;="&amp;$N$4)+O16*$N$3</f>
        <v>519985.70806940371</v>
      </c>
      <c r="P13" s="5">
        <f t="shared" ca="1" si="13"/>
        <v>520479.33070879726</v>
      </c>
      <c r="Q13" s="5">
        <f t="shared" ca="1" si="13"/>
        <v>528611.67161013756</v>
      </c>
      <c r="R13" s="5">
        <f t="shared" ca="1" si="13"/>
        <v>552923.88001020614</v>
      </c>
      <c r="S13" s="15" t="s">
        <v>30</v>
      </c>
      <c r="Y13" s="4"/>
      <c r="Z13" s="5"/>
    </row>
    <row r="14" spans="1:26" x14ac:dyDescent="0.2">
      <c r="A14" s="6" t="s">
        <v>35</v>
      </c>
      <c r="B14" s="4"/>
      <c r="C14" s="4">
        <f t="shared" ref="C14:H14" ca="1" si="14">C13/C12</f>
        <v>8.6077272727272724E-2</v>
      </c>
      <c r="D14" s="4">
        <f t="shared" ca="1" si="14"/>
        <v>0.20698181818181818</v>
      </c>
      <c r="E14" s="4">
        <f t="shared" ca="1" si="14"/>
        <v>8.0104545454545456E-2</v>
      </c>
      <c r="F14" s="4">
        <f t="shared" ca="1" si="14"/>
        <v>0</v>
      </c>
      <c r="G14" s="4">
        <f t="shared" ca="1" si="14"/>
        <v>9.0909090909090912E-2</v>
      </c>
      <c r="H14" s="4">
        <f t="shared" ca="1" si="14"/>
        <v>0.32</v>
      </c>
      <c r="I14" s="4"/>
      <c r="J14" s="14" t="s">
        <v>28</v>
      </c>
      <c r="M14" s="6" t="s">
        <v>36</v>
      </c>
      <c r="N14" s="5">
        <f ca="1">N13/$P$4</f>
        <v>22952.882079857111</v>
      </c>
      <c r="O14" s="5">
        <f t="shared" ref="O14:R14" ca="1" si="15">O13/$P$4</f>
        <v>23635.714003154713</v>
      </c>
      <c r="P14" s="5">
        <f t="shared" ca="1" si="15"/>
        <v>23658.15139585442</v>
      </c>
      <c r="Q14" s="5">
        <f t="shared" ca="1" si="15"/>
        <v>24027.803255006253</v>
      </c>
      <c r="R14" s="5">
        <f t="shared" ca="1" si="15"/>
        <v>25132.903636827552</v>
      </c>
      <c r="S14" s="15" t="s">
        <v>30</v>
      </c>
      <c r="T14" s="7"/>
      <c r="U14" s="7"/>
      <c r="Y14" s="4"/>
      <c r="Z14" s="5"/>
    </row>
    <row r="15" spans="1:26" x14ac:dyDescent="0.2">
      <c r="A15" s="6" t="s">
        <v>36</v>
      </c>
      <c r="B15" s="20"/>
      <c r="C15" s="20">
        <f t="shared" ref="C15:H15" ca="1" si="16">IF(C12,C11/C12,"")</f>
        <v>4.3012243331282925E-3</v>
      </c>
      <c r="D15" s="20">
        <f t="shared" ca="1" si="16"/>
        <v>4.2492809215391144E-3</v>
      </c>
      <c r="E15" s="20">
        <f t="shared" ca="1" si="16"/>
        <v>7.0564306672907834E-2</v>
      </c>
      <c r="F15" s="20">
        <f t="shared" ca="1" si="16"/>
        <v>3.6229283083230208E-2</v>
      </c>
      <c r="G15" s="20">
        <f t="shared" ca="1" si="16"/>
        <v>3.9085656065832433E-2</v>
      </c>
      <c r="H15" s="20">
        <f t="shared" ca="1" si="16"/>
        <v>32.149540848992757</v>
      </c>
      <c r="I15" s="20"/>
      <c r="J15" s="15" t="s">
        <v>30</v>
      </c>
      <c r="M15" s="17" t="s">
        <v>37</v>
      </c>
      <c r="N15" s="5">
        <f ca="1">IF(N11,N13/N11,"")</f>
        <v>84160.567626142743</v>
      </c>
      <c r="O15" s="5">
        <f t="shared" ref="O15:R15" ca="1" si="17">IF(O11,O13/O11,"")</f>
        <v>86664.284678233947</v>
      </c>
      <c r="P15" s="5">
        <f t="shared" ca="1" si="17"/>
        <v>104095.86614175946</v>
      </c>
      <c r="Q15" s="5">
        <f t="shared" ca="1" si="17"/>
        <v>132152.91790253439</v>
      </c>
      <c r="R15" s="5">
        <f t="shared" ca="1" si="17"/>
        <v>69115.485001275767</v>
      </c>
      <c r="S15" s="15" t="s">
        <v>30</v>
      </c>
      <c r="T15" s="4"/>
      <c r="U15" s="4" t="str">
        <f t="shared" ref="U15" si="18">IF(U12,U14/U12,"")</f>
        <v/>
      </c>
      <c r="Y15" s="4"/>
      <c r="Z15" s="5"/>
    </row>
    <row r="16" spans="1:26" x14ac:dyDescent="0.2">
      <c r="A16" s="6" t="s">
        <v>37</v>
      </c>
      <c r="B16" s="5"/>
      <c r="C16" s="5">
        <f t="shared" ref="C16:H16" ca="1" si="19">IF(C13,C11/C13,"")</f>
        <v>4.9969337977938656E-2</v>
      </c>
      <c r="D16" s="5">
        <f t="shared" ca="1" si="19"/>
        <v>2.0529730383402254E-2</v>
      </c>
      <c r="E16" s="5">
        <f t="shared" ca="1" si="19"/>
        <v>0.88090265380694122</v>
      </c>
      <c r="F16" s="5" t="str">
        <f t="shared" ca="1" si="19"/>
        <v/>
      </c>
      <c r="G16" s="5">
        <f t="shared" ca="1" si="19"/>
        <v>0.42994221672415678</v>
      </c>
      <c r="H16" s="5">
        <f t="shared" ca="1" si="19"/>
        <v>100.46731515310238</v>
      </c>
      <c r="I16" s="5"/>
      <c r="J16" s="15" t="s">
        <v>30</v>
      </c>
      <c r="M16" s="6" t="s">
        <v>38</v>
      </c>
      <c r="N16">
        <f ca="1">COUNTIFS(DC:DC,"=0",$B:$B,"&lt;="&amp;$N$4)</f>
        <v>0</v>
      </c>
      <c r="O16">
        <f t="shared" ref="O16:R16" ca="1" si="20">COUNTIFS(DD:DD,"=0",$B:$B,"&lt;="&amp;$N$4)</f>
        <v>0</v>
      </c>
      <c r="P16">
        <f t="shared" ca="1" si="20"/>
        <v>0</v>
      </c>
      <c r="Q16">
        <f t="shared" ca="1" si="20"/>
        <v>0</v>
      </c>
      <c r="R16">
        <f t="shared" ca="1" si="20"/>
        <v>0</v>
      </c>
      <c r="Y16" s="4"/>
      <c r="Z16" s="5"/>
    </row>
    <row r="17" spans="1:180" x14ac:dyDescent="0.2">
      <c r="A17" s="6" t="s">
        <v>38</v>
      </c>
      <c r="B17">
        <f ca="1">COUNTIFS(DH:DH,"=0")</f>
        <v>0</v>
      </c>
      <c r="C17">
        <f t="shared" ref="C17:H17" ca="1" si="21">COUNTIFS(DI:DI,"=0")</f>
        <v>0</v>
      </c>
      <c r="D17">
        <f t="shared" ca="1" si="21"/>
        <v>0</v>
      </c>
      <c r="E17">
        <f t="shared" ca="1" si="21"/>
        <v>0</v>
      </c>
      <c r="F17">
        <f t="shared" ca="1" si="21"/>
        <v>0</v>
      </c>
      <c r="G17">
        <f t="shared" ca="1" si="21"/>
        <v>0</v>
      </c>
      <c r="H17">
        <f t="shared" ca="1" si="21"/>
        <v>16</v>
      </c>
      <c r="J17" s="14"/>
      <c r="M17" s="6" t="s">
        <v>115</v>
      </c>
      <c r="N17">
        <f ca="1">_xlfn.MAXIFS($B67:$B267,DC67:DC267,"&lt;&gt;0",$B67:$B267,"&lt;="&amp;$N$4)</f>
        <v>684</v>
      </c>
      <c r="O17">
        <f t="shared" ref="O17:R17" ca="1" si="22">_xlfn.MAXIFS($B67:$B267,DD67:DD267,"&lt;&gt;0",$B67:$B267,"&lt;="&amp;$N$4)</f>
        <v>684</v>
      </c>
      <c r="P17">
        <f t="shared" ca="1" si="22"/>
        <v>684</v>
      </c>
      <c r="Q17">
        <f t="shared" ca="1" si="22"/>
        <v>684</v>
      </c>
      <c r="R17">
        <f t="shared" ca="1" si="22"/>
        <v>684</v>
      </c>
      <c r="Y17" s="4"/>
      <c r="Z17" s="5"/>
    </row>
    <row r="18" spans="1:180" x14ac:dyDescent="0.2">
      <c r="A18" s="6" t="s">
        <v>818</v>
      </c>
      <c r="B18" s="22">
        <f ca="1">(SUM(BZ68:BZ300)-$H$3)/$H$3</f>
        <v>0.43585237258347981</v>
      </c>
      <c r="C18" s="22">
        <f t="shared" ref="C18:H18" ca="1" si="23">(SUM(CA68:CA300)-$H$3)/$H$3</f>
        <v>0.46397188049209137</v>
      </c>
      <c r="D18" s="22">
        <f t="shared" ca="1" si="23"/>
        <v>0.20913884007029876</v>
      </c>
      <c r="E18" s="22">
        <f t="shared" ca="1" si="23"/>
        <v>0.50966608084358522</v>
      </c>
      <c r="F18" s="22">
        <f t="shared" ca="1" si="23"/>
        <v>13.281195079086116</v>
      </c>
      <c r="G18" s="22">
        <f t="shared" ca="1" si="23"/>
        <v>12.711775043936731</v>
      </c>
      <c r="H18" s="22">
        <f t="shared" ca="1" si="23"/>
        <v>12.847100175746924</v>
      </c>
      <c r="L18" s="5"/>
      <c r="M18" s="5"/>
      <c r="N18" s="5"/>
      <c r="O18" s="5"/>
      <c r="P18" s="5"/>
      <c r="Y18" s="4"/>
      <c r="Z18" s="5"/>
    </row>
    <row r="19" spans="1:180" x14ac:dyDescent="0.2">
      <c r="A19" s="6" t="s">
        <v>39</v>
      </c>
      <c r="B19" s="6" t="s">
        <v>9</v>
      </c>
      <c r="O19" s="5"/>
      <c r="P19" s="5"/>
      <c r="Y19" s="4"/>
      <c r="Z19" s="5"/>
    </row>
    <row r="20" spans="1:180" x14ac:dyDescent="0.2">
      <c r="O20" s="5"/>
      <c r="P20" s="5"/>
      <c r="Y20" s="4"/>
      <c r="Z20" s="5"/>
      <c r="FW20" s="4"/>
      <c r="FX20" s="5"/>
    </row>
    <row r="21" spans="1:180" ht="19" x14ac:dyDescent="0.25">
      <c r="A21" s="8" t="s">
        <v>821</v>
      </c>
      <c r="B21" s="8"/>
      <c r="C21" s="8"/>
      <c r="D21" s="8"/>
      <c r="E21" s="8" t="s">
        <v>822</v>
      </c>
      <c r="F21" s="8"/>
      <c r="G21" s="8"/>
      <c r="H21" s="8"/>
      <c r="I21" s="8"/>
      <c r="J21" s="8" t="s">
        <v>823</v>
      </c>
      <c r="K21" s="8"/>
      <c r="L21" s="8"/>
      <c r="M21" s="8"/>
      <c r="N21" s="8"/>
      <c r="P21" s="8" t="s">
        <v>824</v>
      </c>
      <c r="Q21" s="5"/>
      <c r="Y21" s="4"/>
      <c r="Z21" s="5"/>
      <c r="FW21" s="4"/>
      <c r="FX21" s="5"/>
    </row>
    <row r="22" spans="1:180" x14ac:dyDescent="0.2">
      <c r="P22" s="5"/>
      <c r="Q22" s="5"/>
      <c r="Y22" s="4"/>
      <c r="Z22" s="5"/>
      <c r="FW22" s="4"/>
      <c r="FX22" s="5"/>
    </row>
    <row r="23" spans="1:180" x14ac:dyDescent="0.2">
      <c r="P23" s="5"/>
      <c r="Q23" s="5"/>
      <c r="Y23" s="4"/>
      <c r="Z23" s="5"/>
      <c r="FW23" s="4"/>
      <c r="FX23" s="5"/>
    </row>
    <row r="24" spans="1:180" x14ac:dyDescent="0.2">
      <c r="P24" s="5"/>
      <c r="Q24" s="5"/>
      <c r="Y24" s="4"/>
      <c r="Z24" s="5"/>
      <c r="FW24" s="4"/>
      <c r="FX24" s="5"/>
    </row>
    <row r="25" spans="1:180" x14ac:dyDescent="0.2">
      <c r="P25" s="5"/>
      <c r="Q25" s="5"/>
      <c r="Y25" s="4"/>
      <c r="Z25" s="5"/>
      <c r="FW25" s="4"/>
      <c r="FX25" s="5"/>
    </row>
    <row r="26" spans="1:180" x14ac:dyDescent="0.2">
      <c r="P26" s="5"/>
      <c r="Q26" s="5"/>
      <c r="Y26" s="4"/>
      <c r="Z26" s="5"/>
      <c r="FW26" s="4"/>
      <c r="FX26" s="5"/>
    </row>
    <row r="27" spans="1:180" x14ac:dyDescent="0.2">
      <c r="P27" s="5"/>
      <c r="Q27" s="5"/>
      <c r="Y27" s="4"/>
      <c r="Z27" s="5"/>
      <c r="FW27" s="4"/>
      <c r="FX27" s="5"/>
    </row>
    <row r="28" spans="1:180" x14ac:dyDescent="0.2">
      <c r="P28" s="5"/>
      <c r="Q28" s="5"/>
      <c r="Y28" s="4"/>
      <c r="Z28" s="5"/>
      <c r="FW28" s="4"/>
      <c r="FX28" s="5"/>
    </row>
    <row r="29" spans="1:180" x14ac:dyDescent="0.2">
      <c r="P29" s="5"/>
      <c r="Q29" s="5"/>
      <c r="Y29" s="4"/>
      <c r="Z29" s="5"/>
      <c r="FW29" s="4"/>
      <c r="FX29" s="5"/>
    </row>
    <row r="30" spans="1:180" x14ac:dyDescent="0.2">
      <c r="Y30" s="4"/>
      <c r="Z30" s="5"/>
      <c r="FW30" s="4"/>
      <c r="FX30" s="5"/>
    </row>
    <row r="31" spans="1:180" x14ac:dyDescent="0.2">
      <c r="Y31" s="4"/>
      <c r="Z31" s="5"/>
      <c r="FW31" s="4"/>
      <c r="FX31" s="5"/>
    </row>
    <row r="32" spans="1:180" x14ac:dyDescent="0.2">
      <c r="Y32" s="4"/>
      <c r="Z32" s="5"/>
      <c r="FW32" s="4"/>
      <c r="FX32" s="5"/>
    </row>
    <row r="33" spans="1:180" x14ac:dyDescent="0.2">
      <c r="Y33" s="4"/>
      <c r="Z33" s="5"/>
      <c r="FW33" s="4"/>
      <c r="FX33" s="5"/>
    </row>
    <row r="34" spans="1:180" x14ac:dyDescent="0.2">
      <c r="Y34" s="4"/>
      <c r="Z34" s="5"/>
      <c r="FW34" s="4"/>
      <c r="FX34" s="5" t="str">
        <f t="shared" ref="FX34:FX38" si="24">IF(FU34,FT34/FU34,"")</f>
        <v/>
      </c>
    </row>
    <row r="35" spans="1:180" x14ac:dyDescent="0.2">
      <c r="Y35" s="4"/>
      <c r="Z35" s="5"/>
      <c r="FW35" s="4"/>
      <c r="FX35" s="5" t="str">
        <f t="shared" si="24"/>
        <v/>
      </c>
    </row>
    <row r="36" spans="1:180" x14ac:dyDescent="0.2">
      <c r="Y36" s="4"/>
      <c r="Z36" s="5"/>
      <c r="FW36" s="4"/>
      <c r="FX36" s="5" t="str">
        <f t="shared" si="24"/>
        <v/>
      </c>
    </row>
    <row r="37" spans="1:180" x14ac:dyDescent="0.2">
      <c r="Y37" s="4"/>
      <c r="Z37" s="5"/>
      <c r="FW37" s="4"/>
      <c r="FX37" s="5" t="str">
        <f t="shared" si="24"/>
        <v/>
      </c>
    </row>
    <row r="38" spans="1:180" x14ac:dyDescent="0.2">
      <c r="Y38" s="4"/>
      <c r="Z38" s="5"/>
      <c r="FW38" s="4"/>
      <c r="FX38" s="5" t="str">
        <f t="shared" si="24"/>
        <v/>
      </c>
    </row>
    <row r="39" spans="1:180" x14ac:dyDescent="0.2">
      <c r="Y39" s="4"/>
      <c r="Z39" s="5"/>
      <c r="FW39" s="4"/>
      <c r="FX39" s="5"/>
    </row>
    <row r="40" spans="1:180" x14ac:dyDescent="0.2">
      <c r="Y40" s="4"/>
      <c r="Z40" s="5"/>
      <c r="FW40" s="4"/>
      <c r="FX40" s="5"/>
    </row>
    <row r="41" spans="1:180" x14ac:dyDescent="0.2">
      <c r="Y41" s="4"/>
      <c r="Z41" s="5"/>
      <c r="FW41" s="4"/>
      <c r="FX41" s="5"/>
    </row>
    <row r="43" spans="1:180" x14ac:dyDescent="0.2">
      <c r="A43" t="s">
        <v>41</v>
      </c>
      <c r="M43" t="s">
        <v>41</v>
      </c>
    </row>
    <row r="44" spans="1:180" x14ac:dyDescent="0.2">
      <c r="A44" t="s">
        <v>42</v>
      </c>
      <c r="B44" t="s">
        <v>43</v>
      </c>
      <c r="C44" t="s">
        <v>43</v>
      </c>
      <c r="D44" t="s">
        <v>43</v>
      </c>
      <c r="E44" t="s">
        <v>43</v>
      </c>
      <c r="F44" t="s">
        <v>43</v>
      </c>
      <c r="G44" t="s">
        <v>43</v>
      </c>
      <c r="H44" t="s">
        <v>43</v>
      </c>
      <c r="I44" t="s">
        <v>44</v>
      </c>
      <c r="J44" t="s">
        <v>45</v>
      </c>
      <c r="M44" t="s">
        <v>42</v>
      </c>
      <c r="N44" t="s">
        <v>43</v>
      </c>
      <c r="O44" t="s">
        <v>43</v>
      </c>
      <c r="P44" t="s">
        <v>43</v>
      </c>
      <c r="Q44" t="s">
        <v>43</v>
      </c>
      <c r="R44" t="s">
        <v>43</v>
      </c>
      <c r="S44" t="s">
        <v>44</v>
      </c>
      <c r="T44" t="s">
        <v>45</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46</v>
      </c>
      <c r="J45" t="s">
        <v>45</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46</v>
      </c>
      <c r="T45" t="s">
        <v>45</v>
      </c>
      <c r="V45" s="9"/>
    </row>
    <row r="46" spans="1:180" x14ac:dyDescent="0.2">
      <c r="A46" t="str">
        <f t="shared" ref="A46:A55" si="27">"\textbf{"&amp;A7&amp;"} &amp;"</f>
        <v>\textbf{Result Returned} &amp;</v>
      </c>
      <c r="B46" t="str">
        <f t="shared" ref="B46:H55" ca="1" si="28">SUBSTITUTE(TEXT(B7,$J7)&amp;IF(C46="\\",""," &amp;"),"%","\%")</f>
        <v>22 &amp;</v>
      </c>
      <c r="C46" t="str">
        <f t="shared" ca="1" si="28"/>
        <v>22 &amp;</v>
      </c>
      <c r="D46" t="str">
        <f t="shared" ca="1" si="28"/>
        <v>22 &amp;</v>
      </c>
      <c r="E46" t="str">
        <f t="shared" ca="1" si="28"/>
        <v>22 &amp;</v>
      </c>
      <c r="F46" t="str">
        <f t="shared" ca="1" si="28"/>
        <v>1 &amp;</v>
      </c>
      <c r="G46" t="str">
        <f t="shared" ca="1" si="28"/>
        <v>5 &amp;</v>
      </c>
      <c r="H46" t="str">
        <f t="shared" ca="1" si="28"/>
        <v>6</v>
      </c>
      <c r="I46" s="9" t="s">
        <v>46</v>
      </c>
      <c r="M46" t="str">
        <f>"\textbf{"&amp;M7&amp;"} &amp;"</f>
        <v>\textbf{Result Returned} &amp;</v>
      </c>
      <c r="N46" t="str">
        <f t="shared" ref="N46:R54" ca="1" si="29">SUBSTITUTE(TEXT(N7,$S7)&amp;IF(O46="\\",""," &amp;"),"%","\%")</f>
        <v>22 &amp;</v>
      </c>
      <c r="O46" t="str">
        <f t="shared" ca="1" si="29"/>
        <v>22 &amp;</v>
      </c>
      <c r="P46" t="str">
        <f t="shared" ca="1" si="29"/>
        <v>22 &amp;</v>
      </c>
      <c r="Q46" t="str">
        <f t="shared" ca="1" si="29"/>
        <v>4 &amp;</v>
      </c>
      <c r="R46" t="str">
        <f t="shared" ca="1" si="29"/>
        <v>22</v>
      </c>
      <c r="S46" s="9" t="s">
        <v>46</v>
      </c>
      <c r="V46" s="9"/>
    </row>
    <row r="47" spans="1:180" x14ac:dyDescent="0.2">
      <c r="A47" t="str">
        <f t="shared" si="27"/>
        <v>\textbf{No Result} &amp;</v>
      </c>
      <c r="B47" t="str">
        <f t="shared" ca="1" si="28"/>
        <v>0 &amp;</v>
      </c>
      <c r="C47" t="str">
        <f t="shared" ca="1" si="28"/>
        <v>0 &amp;</v>
      </c>
      <c r="D47" t="str">
        <f t="shared" ca="1" si="28"/>
        <v>0 &amp;</v>
      </c>
      <c r="E47" t="str">
        <f t="shared" ca="1" si="28"/>
        <v>0 &amp;</v>
      </c>
      <c r="F47" t="str">
        <f t="shared" ca="1" si="28"/>
        <v>21 &amp;</v>
      </c>
      <c r="G47" t="str">
        <f t="shared" ca="1" si="28"/>
        <v>17 &amp;</v>
      </c>
      <c r="H47" t="str">
        <f t="shared" ca="1" si="28"/>
        <v>16</v>
      </c>
      <c r="I47" s="9" t="s">
        <v>46</v>
      </c>
      <c r="M47" t="str">
        <f t="shared" ref="M47:M54" si="30">"\textbf{"&amp;M8&amp;"} &amp;"</f>
        <v>\textbf{Completed &lt; MaxTime} &amp;</v>
      </c>
      <c r="N47" t="str">
        <f t="shared" ca="1" si="29"/>
        <v>5 &amp;</v>
      </c>
      <c r="O47" t="str">
        <f t="shared" ca="1" si="29"/>
        <v>4 &amp;</v>
      </c>
      <c r="P47" t="str">
        <f t="shared" ca="1" si="29"/>
        <v>4 &amp;</v>
      </c>
      <c r="Q47" t="str">
        <f t="shared" ca="1" si="29"/>
        <v>4 &amp;</v>
      </c>
      <c r="R47" t="str">
        <f t="shared" ca="1" si="29"/>
        <v>3</v>
      </c>
      <c r="S47" s="9" t="s">
        <v>46</v>
      </c>
      <c r="V47" s="9"/>
    </row>
    <row r="48" spans="1:180" x14ac:dyDescent="0.2">
      <c r="A48" t="str">
        <f t="shared" si="27"/>
        <v>\textbf{At lowest distance} &amp;</v>
      </c>
      <c r="B48" t="str">
        <f t="shared" ca="1" si="28"/>
        <v>6 &amp;</v>
      </c>
      <c r="C48" t="str">
        <f t="shared" ca="1" si="28"/>
        <v>6 &amp;</v>
      </c>
      <c r="D48" t="str">
        <f t="shared" ca="1" si="28"/>
        <v>8 &amp;</v>
      </c>
      <c r="E48" t="str">
        <f t="shared" ca="1" si="28"/>
        <v>6 &amp;</v>
      </c>
      <c r="F48" t="str">
        <f t="shared" ca="1" si="28"/>
        <v xml:space="preserve"> &amp;</v>
      </c>
      <c r="G48" t="str">
        <f t="shared" ca="1" si="28"/>
        <v>2 &amp;</v>
      </c>
      <c r="H48" t="str">
        <f t="shared" ca="1" si="28"/>
        <v>4</v>
      </c>
      <c r="I48" s="9" t="s">
        <v>46</v>
      </c>
      <c r="M48" t="str">
        <f t="shared" si="30"/>
        <v>\textbf{Completed &gt; MaxTime} &amp;</v>
      </c>
      <c r="N48" t="str">
        <f t="shared" ca="1" si="29"/>
        <v>17 &amp;</v>
      </c>
      <c r="O48" t="str">
        <f t="shared" ca="1" si="29"/>
        <v>18 &amp;</v>
      </c>
      <c r="P48" t="str">
        <f t="shared" ca="1" si="29"/>
        <v>18 &amp;</v>
      </c>
      <c r="Q48" t="str">
        <f t="shared" ca="1" si="29"/>
        <v>0 &amp;</v>
      </c>
      <c r="R48" t="str">
        <f t="shared" ca="1" si="29"/>
        <v>19</v>
      </c>
      <c r="S48" s="9" t="s">
        <v>46</v>
      </c>
      <c r="V48" s="9"/>
    </row>
    <row r="49" spans="1:180" x14ac:dyDescent="0.2">
      <c r="A49" t="str">
        <f t="shared" si="27"/>
        <v>\textbf{Overall Success Rate} &amp;</v>
      </c>
      <c r="B49" t="str">
        <f t="shared" ca="1" si="28"/>
        <v>27.3\% &amp;</v>
      </c>
      <c r="C49" t="str">
        <f t="shared" ca="1" si="28"/>
        <v>27.3\% &amp;</v>
      </c>
      <c r="D49" t="str">
        <f t="shared" ca="1" si="28"/>
        <v>36.4\% &amp;</v>
      </c>
      <c r="E49" t="str">
        <f t="shared" ca="1" si="28"/>
        <v>27.3\% &amp;</v>
      </c>
      <c r="F49" t="str">
        <f t="shared" ca="1" si="28"/>
        <v xml:space="preserve"> &amp;</v>
      </c>
      <c r="G49" t="str">
        <f t="shared" ca="1" si="28"/>
        <v>9.1\% &amp;</v>
      </c>
      <c r="H49" t="str">
        <f t="shared" ca="1" si="28"/>
        <v>18.2\%</v>
      </c>
      <c r="I49" s="9" t="s">
        <v>46</v>
      </c>
      <c r="J49" t="s">
        <v>45</v>
      </c>
      <c r="M49" t="str">
        <f t="shared" si="30"/>
        <v>\textbf{No Result} &amp;</v>
      </c>
      <c r="N49" t="str">
        <f t="shared" ca="1" si="29"/>
        <v>0 &amp;</v>
      </c>
      <c r="O49" t="str">
        <f t="shared" ca="1" si="29"/>
        <v>0 &amp;</v>
      </c>
      <c r="P49" t="str">
        <f t="shared" ca="1" si="29"/>
        <v>0 &amp;</v>
      </c>
      <c r="Q49" t="str">
        <f t="shared" ca="1" si="29"/>
        <v>18 &amp;</v>
      </c>
      <c r="R49" t="str">
        <f t="shared" ca="1" si="29"/>
        <v>0</v>
      </c>
      <c r="S49" s="9" t="s">
        <v>46</v>
      </c>
      <c r="V49" s="9"/>
    </row>
    <row r="50" spans="1:180" x14ac:dyDescent="0.2">
      <c r="A50" t="str">
        <f t="shared" si="27"/>
        <v>\textbf{Total Time (s)} &amp;</v>
      </c>
      <c r="B50" t="str">
        <f t="shared" ca="1" si="28"/>
        <v>8.6E+01 &amp;</v>
      </c>
      <c r="C50" t="str">
        <f t="shared" ca="1" si="28"/>
        <v>9.5E+02 &amp;</v>
      </c>
      <c r="D50" t="str">
        <f t="shared" ca="1" si="28"/>
        <v>9.3E+02 &amp;</v>
      </c>
      <c r="E50" t="str">
        <f t="shared" ca="1" si="28"/>
        <v>1.6E+04 &amp;</v>
      </c>
      <c r="F50" t="str">
        <f t="shared" ca="1" si="28"/>
        <v>8.0E-01 &amp;</v>
      </c>
      <c r="G50" t="str">
        <f t="shared" ca="1" si="28"/>
        <v>8.6E-01 &amp;</v>
      </c>
      <c r="H50" t="str">
        <f t="shared" ca="1" si="28"/>
        <v>8.0E+02</v>
      </c>
      <c r="I50" s="9" t="s">
        <v>46</v>
      </c>
      <c r="M50" t="str">
        <f t="shared" si="30"/>
        <v>\textbf{At lowest distance} &amp;</v>
      </c>
      <c r="N50" t="str">
        <f t="shared" ca="1" si="29"/>
        <v>6 &amp;</v>
      </c>
      <c r="O50" t="str">
        <f t="shared" ca="1" si="29"/>
        <v>6 &amp;</v>
      </c>
      <c r="P50" t="str">
        <f t="shared" ca="1" si="29"/>
        <v>5 &amp;</v>
      </c>
      <c r="Q50" t="str">
        <f t="shared" ca="1" si="29"/>
        <v>4 &amp;</v>
      </c>
      <c r="R50" t="str">
        <f t="shared" ca="1" si="29"/>
        <v>8</v>
      </c>
      <c r="S50" s="9" t="s">
        <v>46</v>
      </c>
      <c r="V50" s="9"/>
    </row>
    <row r="51" spans="1:180" x14ac:dyDescent="0.2">
      <c r="A51" t="str">
        <f t="shared" si="27"/>
        <v>\textbf{Trials} &amp;</v>
      </c>
      <c r="B51" t="str">
        <f t="shared" ca="1" si="28"/>
        <v>0 &amp;</v>
      </c>
      <c r="C51" t="str">
        <f t="shared" ca="1" si="28"/>
        <v>220,000 &amp;</v>
      </c>
      <c r="D51" t="str">
        <f t="shared" ca="1" si="28"/>
        <v>220,000 &amp;</v>
      </c>
      <c r="E51" t="str">
        <f t="shared" ca="1" si="28"/>
        <v>220,000 &amp;</v>
      </c>
      <c r="F51" t="str">
        <f t="shared" ca="1" si="28"/>
        <v>22 &amp;</v>
      </c>
      <c r="G51" t="str">
        <f t="shared" ca="1" si="28"/>
        <v>22 &amp;</v>
      </c>
      <c r="H51" t="str">
        <f t="shared" ca="1" si="28"/>
        <v>25</v>
      </c>
      <c r="I51" s="9" t="s">
        <v>46</v>
      </c>
      <c r="M51" t="str">
        <f t="shared" si="30"/>
        <v>\textbf{Overall success rate} &amp;</v>
      </c>
      <c r="N51" t="str">
        <f t="shared" ca="1" si="29"/>
        <v>27.3\% &amp;</v>
      </c>
      <c r="O51" t="str">
        <f t="shared" ca="1" si="29"/>
        <v>27.3\% &amp;</v>
      </c>
      <c r="P51" t="str">
        <f t="shared" ca="1" si="29"/>
        <v>22.7\% &amp;</v>
      </c>
      <c r="Q51" t="str">
        <f t="shared" ca="1" si="29"/>
        <v>18.2\% &amp;</v>
      </c>
      <c r="R51" t="str">
        <f t="shared" ca="1" si="29"/>
        <v>36.4\%</v>
      </c>
      <c r="S51" s="9" t="s">
        <v>46</v>
      </c>
      <c r="T51" t="s">
        <v>45</v>
      </c>
      <c r="V51" s="9"/>
    </row>
    <row r="52" spans="1:180" x14ac:dyDescent="0.2">
      <c r="A52" t="str">
        <f t="shared" si="27"/>
        <v>\textbf{Trials at lowest distance} &amp;</v>
      </c>
      <c r="B52" t="str">
        <f t="shared" ca="1" si="28"/>
        <v xml:space="preserve"> &amp;</v>
      </c>
      <c r="C52" t="str">
        <f t="shared" ca="1" si="28"/>
        <v>18,937 &amp;</v>
      </c>
      <c r="D52" t="str">
        <f t="shared" ca="1" si="28"/>
        <v>45,536 &amp;</v>
      </c>
      <c r="E52" t="str">
        <f t="shared" ca="1" si="28"/>
        <v>17,623 &amp;</v>
      </c>
      <c r="F52" t="str">
        <f t="shared" ca="1" si="28"/>
        <v xml:space="preserve"> &amp;</v>
      </c>
      <c r="G52" t="str">
        <f t="shared" ca="1" si="28"/>
        <v>2 &amp;</v>
      </c>
      <c r="H52" t="str">
        <f t="shared" ca="1" si="28"/>
        <v>8</v>
      </c>
      <c r="I52" s="9" t="s">
        <v>46</v>
      </c>
      <c r="M52" t="str">
        <f t="shared" si="30"/>
        <v>\textbf{Total Time} &amp;</v>
      </c>
      <c r="N52" t="str">
        <f t="shared" ca="1" si="29"/>
        <v>5.0E+05 &amp;</v>
      </c>
      <c r="O52" t="str">
        <f t="shared" ca="1" si="29"/>
        <v>5.2E+05 &amp;</v>
      </c>
      <c r="P52" t="str">
        <f t="shared" ca="1" si="29"/>
        <v>5.2E+05 &amp;</v>
      </c>
      <c r="Q52" t="str">
        <f t="shared" ca="1" si="29"/>
        <v>5.3E+05 &amp;</v>
      </c>
      <c r="R52" t="str">
        <f t="shared" ca="1" si="29"/>
        <v>5.5E+05</v>
      </c>
      <c r="S52" s="9" t="s">
        <v>46</v>
      </c>
      <c r="V52" s="9"/>
    </row>
    <row r="53" spans="1:180" x14ac:dyDescent="0.2">
      <c r="A53" t="str">
        <f t="shared" si="27"/>
        <v>\textbf{Trial Success Rate} &amp;</v>
      </c>
      <c r="B53" t="str">
        <f t="shared" ca="1" si="28"/>
        <v xml:space="preserve"> &amp;</v>
      </c>
      <c r="C53" t="str">
        <f t="shared" ca="1" si="28"/>
        <v>8.6\% &amp;</v>
      </c>
      <c r="D53" t="str">
        <f t="shared" ca="1" si="28"/>
        <v>20.7\% &amp;</v>
      </c>
      <c r="E53" t="str">
        <f t="shared" ca="1" si="28"/>
        <v>8.0\% &amp;</v>
      </c>
      <c r="F53" t="str">
        <f t="shared" ca="1" si="28"/>
        <v xml:space="preserve"> &amp;</v>
      </c>
      <c r="G53" t="str">
        <f t="shared" ca="1" si="28"/>
        <v>9.1\% &amp;</v>
      </c>
      <c r="H53" t="str">
        <f t="shared" ca="1" si="28"/>
        <v>32.0\%</v>
      </c>
      <c r="I53" s="9" t="s">
        <v>46</v>
      </c>
      <c r="M53" t="str">
        <f t="shared" si="30"/>
        <v>\textbf{Time/Trial} &amp;</v>
      </c>
      <c r="N53" t="str">
        <f t="shared" ca="1" si="29"/>
        <v>2.3E+04 &amp;</v>
      </c>
      <c r="O53" t="str">
        <f t="shared" ca="1" si="29"/>
        <v>2.4E+04 &amp;</v>
      </c>
      <c r="P53" t="str">
        <f t="shared" ca="1" si="29"/>
        <v>2.4E+04 &amp;</v>
      </c>
      <c r="Q53" t="str">
        <f t="shared" ca="1" si="29"/>
        <v>2.4E+04 &amp;</v>
      </c>
      <c r="R53" t="str">
        <f t="shared" ca="1" si="29"/>
        <v>2.5E+04</v>
      </c>
      <c r="S53" s="9" t="s">
        <v>46</v>
      </c>
      <c r="V53" s="9"/>
    </row>
    <row r="54" spans="1:180" x14ac:dyDescent="0.2">
      <c r="A54" t="str">
        <f t="shared" si="27"/>
        <v>\textbf{Time/Trial} &amp;</v>
      </c>
      <c r="B54" t="str">
        <f t="shared" ca="1" si="28"/>
        <v xml:space="preserve"> &amp;</v>
      </c>
      <c r="C54" t="str">
        <f t="shared" ca="1" si="28"/>
        <v>4.3E-03 &amp;</v>
      </c>
      <c r="D54" t="str">
        <f t="shared" ca="1" si="28"/>
        <v>4.2E-03 &amp;</v>
      </c>
      <c r="E54" t="str">
        <f t="shared" ca="1" si="28"/>
        <v>7.1E-02 &amp;</v>
      </c>
      <c r="F54" t="str">
        <f t="shared" ca="1" si="28"/>
        <v>3.6E-02 &amp;</v>
      </c>
      <c r="G54" t="str">
        <f t="shared" ca="1" si="28"/>
        <v>3.9E-02 &amp;</v>
      </c>
      <c r="H54" t="str">
        <f t="shared" ca="1" si="28"/>
        <v>3.2E+01</v>
      </c>
      <c r="I54" s="9" t="s">
        <v>46</v>
      </c>
      <c r="M54" t="str">
        <f t="shared" si="30"/>
        <v>\textbf{Time/Successful Trial} &amp;</v>
      </c>
      <c r="N54" t="str">
        <f ca="1">SUBSTITUTE(TEXT(N15,$S15)&amp;IF(O54="\\",""," &amp;"),"%","\%")</f>
        <v>8.4E+04 &amp;</v>
      </c>
      <c r="O54" t="str">
        <f t="shared" ca="1" si="29"/>
        <v>8.7E+04 &amp;</v>
      </c>
      <c r="P54" t="str">
        <f t="shared" ca="1" si="29"/>
        <v>1.0E+05 &amp;</v>
      </c>
      <c r="Q54" t="str">
        <f t="shared" ca="1" si="29"/>
        <v>1.3E+05 &amp;</v>
      </c>
      <c r="R54" t="str">
        <f t="shared" ca="1" si="29"/>
        <v>6.9E+04</v>
      </c>
      <c r="S54" s="9" t="s">
        <v>46</v>
      </c>
      <c r="T54" t="s">
        <v>45</v>
      </c>
      <c r="V54" s="9"/>
    </row>
    <row r="55" spans="1:180" x14ac:dyDescent="0.2">
      <c r="A55" t="str">
        <f t="shared" si="27"/>
        <v>\textbf{Time/Successful Trial} &amp;</v>
      </c>
      <c r="B55" t="str">
        <f t="shared" ca="1" si="28"/>
        <v xml:space="preserve"> &amp;</v>
      </c>
      <c r="C55" t="str">
        <f t="shared" ca="1" si="28"/>
        <v>5.0E-02 &amp;</v>
      </c>
      <c r="D55" t="str">
        <f t="shared" ca="1" si="28"/>
        <v>2.1E-02 &amp;</v>
      </c>
      <c r="E55" t="str">
        <f t="shared" ca="1" si="28"/>
        <v>8.8E-01 &amp;</v>
      </c>
      <c r="F55" t="str">
        <f t="shared" ca="1" si="28"/>
        <v xml:space="preserve"> &amp;</v>
      </c>
      <c r="G55" t="str">
        <f t="shared" ca="1" si="28"/>
        <v>4.3E-01 &amp;</v>
      </c>
      <c r="H55" t="str">
        <f t="shared" ca="1" si="28"/>
        <v>1.0E+02</v>
      </c>
      <c r="I55" s="9" t="s">
        <v>46</v>
      </c>
      <c r="J55" t="s">
        <v>45</v>
      </c>
      <c r="M55" t="s">
        <v>47</v>
      </c>
      <c r="V55" s="9"/>
    </row>
    <row r="56" spans="1:180" x14ac:dyDescent="0.2">
      <c r="A56" t="s">
        <v>47</v>
      </c>
      <c r="J56" s="9"/>
      <c r="M56" t="s">
        <v>48</v>
      </c>
      <c r="V56" s="9"/>
    </row>
    <row r="57" spans="1:180" x14ac:dyDescent="0.2">
      <c r="A57" t="s">
        <v>48</v>
      </c>
      <c r="V57" s="9"/>
    </row>
    <row r="59" spans="1:180" x14ac:dyDescent="0.2">
      <c r="V59" s="4"/>
      <c r="W59" s="5"/>
    </row>
    <row r="60" spans="1:180" x14ac:dyDescent="0.2">
      <c r="M60" s="6"/>
      <c r="N60" s="6"/>
      <c r="O60" s="6"/>
      <c r="V60" s="4"/>
      <c r="W60" s="5"/>
    </row>
    <row r="61" spans="1:180" x14ac:dyDescent="0.2">
      <c r="V61" s="4"/>
      <c r="W61" s="5"/>
    </row>
    <row r="62" spans="1:180" x14ac:dyDescent="0.2">
      <c r="E62" s="6"/>
      <c r="F62" s="6"/>
      <c r="G62" s="6"/>
      <c r="H62" s="6"/>
      <c r="I62" s="6"/>
      <c r="J62" s="6"/>
      <c r="K62" s="6"/>
      <c r="L62" s="6"/>
      <c r="M62" s="6"/>
      <c r="N62" s="6"/>
      <c r="O62" s="6"/>
      <c r="Y62" s="4"/>
      <c r="Z62" s="5"/>
      <c r="FW62" s="4"/>
      <c r="FX62" s="5"/>
    </row>
    <row r="63" spans="1:180" x14ac:dyDescent="0.2">
      <c r="Y63" s="4"/>
      <c r="Z63" s="5"/>
      <c r="FW63" s="4"/>
      <c r="FX63" s="5"/>
    </row>
    <row r="64" spans="1:180" x14ac:dyDescent="0.2">
      <c r="A64" t="s">
        <v>49</v>
      </c>
      <c r="B64">
        <f ca="1">MATCH("name",INDIRECT($A$67&amp;"!a:a"),)</f>
        <v>28</v>
      </c>
      <c r="Y64" s="4"/>
      <c r="Z64" s="5"/>
      <c r="FW64" s="4"/>
      <c r="FX64" s="5"/>
    </row>
    <row r="65" spans="1:222" x14ac:dyDescent="0.2">
      <c r="Y65" s="4"/>
      <c r="Z65" s="5"/>
      <c r="FS65" t="s">
        <v>50</v>
      </c>
      <c r="FT65" t="str">
        <f>B19</f>
        <v>QDistRndMW</v>
      </c>
      <c r="FW65" s="4"/>
      <c r="FX65" s="5"/>
    </row>
    <row r="66" spans="1:222" s="6" customFormat="1" x14ac:dyDescent="0.2">
      <c r="E66" s="6" t="s">
        <v>51</v>
      </c>
      <c r="V66" s="6" t="s">
        <v>52</v>
      </c>
      <c r="AM66" s="6" t="s">
        <v>53</v>
      </c>
      <c r="AV66" s="6" t="s">
        <v>116</v>
      </c>
      <c r="BD66" s="6" t="s">
        <v>54</v>
      </c>
      <c r="BU66" s="6" t="s">
        <v>55</v>
      </c>
      <c r="CL66" s="6" t="s">
        <v>56</v>
      </c>
      <c r="DC66" s="6" t="s">
        <v>40</v>
      </c>
      <c r="DT66" s="6" t="s">
        <v>57</v>
      </c>
      <c r="EK66" s="6" t="s">
        <v>58</v>
      </c>
      <c r="FB66" s="6" t="s">
        <v>59</v>
      </c>
      <c r="FS66" s="6" t="s">
        <v>49</v>
      </c>
      <c r="FT66">
        <f>MATCH(B19,E67:Q67,)</f>
        <v>7</v>
      </c>
      <c r="FU66"/>
      <c r="FV66"/>
      <c r="FW66" s="4"/>
      <c r="FX66" s="5"/>
      <c r="FZ66" s="6" t="s">
        <v>818</v>
      </c>
      <c r="GN66" s="6" t="s">
        <v>819</v>
      </c>
      <c r="HB66" s="6" t="s">
        <v>820</v>
      </c>
    </row>
    <row r="67" spans="1:222" s="6" customFormat="1" x14ac:dyDescent="0.2">
      <c r="A67" s="6" t="s">
        <v>60</v>
      </c>
      <c r="B67" s="6" t="s">
        <v>61</v>
      </c>
      <c r="C67" s="6" t="s">
        <v>62</v>
      </c>
      <c r="E67" s="6" t="s">
        <v>15</v>
      </c>
      <c r="F67" s="6" t="s">
        <v>16</v>
      </c>
      <c r="G67" s="6" t="s">
        <v>17</v>
      </c>
      <c r="H67" s="6" t="s">
        <v>63</v>
      </c>
      <c r="I67" s="6" t="s">
        <v>64</v>
      </c>
      <c r="J67" s="6" t="s">
        <v>65</v>
      </c>
      <c r="K67" s="6" t="s">
        <v>9</v>
      </c>
      <c r="L67" s="6" t="s">
        <v>10</v>
      </c>
      <c r="M67" s="6" t="s">
        <v>66</v>
      </c>
      <c r="N67" s="6" t="s">
        <v>12</v>
      </c>
      <c r="O67" s="6" t="s">
        <v>13</v>
      </c>
      <c r="P67" s="6" t="s">
        <v>14</v>
      </c>
      <c r="V67" s="6" t="str">
        <f t="shared" ref="V67:AG67" si="31">E67</f>
        <v>Gurobi</v>
      </c>
      <c r="W67" s="6" t="str">
        <f t="shared" si="31"/>
        <v>MIP-SCIP</v>
      </c>
      <c r="X67" s="6" t="str">
        <f t="shared" si="31"/>
        <v>CLISAT</v>
      </c>
      <c r="Y67" s="6" t="str">
        <f t="shared" si="31"/>
        <v>m4ri_CC</v>
      </c>
      <c r="Z67" s="6" t="str">
        <f t="shared" si="31"/>
        <v>magma</v>
      </c>
      <c r="AA67" s="6" t="str">
        <f t="shared" si="31"/>
        <v>m4ri_RW</v>
      </c>
      <c r="AB67" s="6" t="str">
        <f t="shared" si="31"/>
        <v>QDistRndMW</v>
      </c>
      <c r="AC67" s="6" t="str">
        <f t="shared" si="31"/>
        <v>QDistEvol</v>
      </c>
      <c r="AD67" s="6" t="str">
        <f t="shared" si="31"/>
        <v>bposd</v>
      </c>
      <c r="AE67" s="6" t="str">
        <f t="shared" si="31"/>
        <v>GEStim</v>
      </c>
      <c r="AF67" s="6" t="str">
        <f t="shared" si="31"/>
        <v>CCStim</v>
      </c>
      <c r="AG67" s="6" t="str">
        <f t="shared" si="31"/>
        <v>UEStim</v>
      </c>
      <c r="AM67" s="6" t="str">
        <f t="shared" ref="AM67:AQ67" si="32">E67</f>
        <v>Gurobi</v>
      </c>
      <c r="AN67" s="6" t="str">
        <f t="shared" si="32"/>
        <v>MIP-SCIP</v>
      </c>
      <c r="AO67" s="6" t="str">
        <f t="shared" si="32"/>
        <v>CLISAT</v>
      </c>
      <c r="AP67" s="6" t="str">
        <f t="shared" si="32"/>
        <v>m4ri_CC</v>
      </c>
      <c r="AQ67" s="6" t="str">
        <f t="shared" si="32"/>
        <v>magma</v>
      </c>
      <c r="AV67" s="6" t="str">
        <f>AM67</f>
        <v>Gurobi</v>
      </c>
      <c r="AW67" s="6" t="str">
        <f t="shared" ref="AW67:AZ67" si="33">AN67</f>
        <v>MIP-SCIP</v>
      </c>
      <c r="AX67" s="6" t="str">
        <f t="shared" si="33"/>
        <v>CLISAT</v>
      </c>
      <c r="AY67" s="6" t="str">
        <f t="shared" si="33"/>
        <v>m4ri_CC</v>
      </c>
      <c r="AZ67" s="6" t="str">
        <f t="shared" si="33"/>
        <v>magma</v>
      </c>
      <c r="BD67" s="6" t="str">
        <f t="shared" ref="BD67:BO67" si="34">V67</f>
        <v>Gurobi</v>
      </c>
      <c r="BE67" s="6" t="str">
        <f t="shared" si="34"/>
        <v>MIP-SCIP</v>
      </c>
      <c r="BF67" s="6" t="str">
        <f t="shared" si="34"/>
        <v>CLISAT</v>
      </c>
      <c r="BG67" s="6" t="str">
        <f t="shared" si="34"/>
        <v>m4ri_CC</v>
      </c>
      <c r="BH67" s="6" t="str">
        <f t="shared" si="34"/>
        <v>magma</v>
      </c>
      <c r="BI67" s="6" t="str">
        <f t="shared" si="34"/>
        <v>m4ri_RW</v>
      </c>
      <c r="BJ67" s="6" t="str">
        <f t="shared" si="34"/>
        <v>QDistRndMW</v>
      </c>
      <c r="BK67" s="6" t="str">
        <f t="shared" si="34"/>
        <v>QDistEvol</v>
      </c>
      <c r="BL67" s="6" t="str">
        <f t="shared" si="34"/>
        <v>bposd</v>
      </c>
      <c r="BM67" s="6" t="str">
        <f t="shared" si="34"/>
        <v>GEStim</v>
      </c>
      <c r="BN67" s="6" t="str">
        <f t="shared" si="34"/>
        <v>CCStim</v>
      </c>
      <c r="BO67" s="6" t="str">
        <f t="shared" si="34"/>
        <v>UEStim</v>
      </c>
      <c r="BU67" s="6" t="str">
        <f t="shared" ref="BU67:CF67" si="35">BD67</f>
        <v>Gurobi</v>
      </c>
      <c r="BV67" s="6" t="str">
        <f t="shared" si="35"/>
        <v>MIP-SCIP</v>
      </c>
      <c r="BW67" s="6" t="str">
        <f t="shared" si="35"/>
        <v>CLISAT</v>
      </c>
      <c r="BX67" s="6" t="str">
        <f t="shared" si="35"/>
        <v>m4ri_CC</v>
      </c>
      <c r="BY67" s="6" t="str">
        <f t="shared" si="35"/>
        <v>magma</v>
      </c>
      <c r="BZ67" s="6" t="str">
        <f t="shared" si="35"/>
        <v>m4ri_RW</v>
      </c>
      <c r="CA67" s="6" t="str">
        <f t="shared" si="35"/>
        <v>QDistRndMW</v>
      </c>
      <c r="CB67" s="6" t="str">
        <f t="shared" si="35"/>
        <v>QDistEvol</v>
      </c>
      <c r="CC67" s="6" t="str">
        <f t="shared" si="35"/>
        <v>bposd</v>
      </c>
      <c r="CD67" s="6" t="str">
        <f t="shared" si="35"/>
        <v>GEStim</v>
      </c>
      <c r="CE67" s="6" t="str">
        <f t="shared" si="35"/>
        <v>CCStim</v>
      </c>
      <c r="CF67" s="6" t="str">
        <f t="shared" si="35"/>
        <v>UEStim</v>
      </c>
      <c r="CL67" s="6" t="str">
        <f t="shared" ref="CL67:CW67" si="36">BU67</f>
        <v>Gurobi</v>
      </c>
      <c r="CM67" s="6" t="str">
        <f t="shared" si="36"/>
        <v>MIP-SCIP</v>
      </c>
      <c r="CN67" s="6" t="str">
        <f t="shared" si="36"/>
        <v>CLISAT</v>
      </c>
      <c r="CO67" s="6" t="str">
        <f t="shared" si="36"/>
        <v>m4ri_CC</v>
      </c>
      <c r="CP67" s="6" t="str">
        <f t="shared" si="36"/>
        <v>magma</v>
      </c>
      <c r="CQ67" s="6" t="str">
        <f t="shared" si="36"/>
        <v>m4ri_RW</v>
      </c>
      <c r="CR67" s="6" t="str">
        <f t="shared" si="36"/>
        <v>QDistRndMW</v>
      </c>
      <c r="CS67" s="6" t="str">
        <f t="shared" si="36"/>
        <v>QDistEvol</v>
      </c>
      <c r="CT67" s="6" t="str">
        <f t="shared" si="36"/>
        <v>bposd</v>
      </c>
      <c r="CU67" s="6" t="str">
        <f t="shared" si="36"/>
        <v>GEStim</v>
      </c>
      <c r="CV67" s="6" t="str">
        <f t="shared" si="36"/>
        <v>CCStim</v>
      </c>
      <c r="CW67" s="6" t="str">
        <f t="shared" si="36"/>
        <v>UEStim</v>
      </c>
      <c r="DC67" s="6" t="str">
        <f t="shared" ref="DC67:DN67" si="37">CL67</f>
        <v>Gurobi</v>
      </c>
      <c r="DD67" s="6" t="str">
        <f t="shared" si="37"/>
        <v>MIP-SCIP</v>
      </c>
      <c r="DE67" s="6" t="str">
        <f t="shared" si="37"/>
        <v>CLISAT</v>
      </c>
      <c r="DF67" s="6" t="str">
        <f t="shared" si="37"/>
        <v>m4ri_CC</v>
      </c>
      <c r="DG67" s="6" t="str">
        <f t="shared" si="37"/>
        <v>magma</v>
      </c>
      <c r="DH67" s="6" t="str">
        <f t="shared" si="37"/>
        <v>m4ri_RW</v>
      </c>
      <c r="DI67" s="6" t="str">
        <f t="shared" si="37"/>
        <v>QDistRndMW</v>
      </c>
      <c r="DJ67" s="6" t="str">
        <f t="shared" si="37"/>
        <v>QDistEvol</v>
      </c>
      <c r="DK67" s="6" t="str">
        <f t="shared" si="37"/>
        <v>bposd</v>
      </c>
      <c r="DL67" s="6" t="str">
        <f t="shared" si="37"/>
        <v>GEStim</v>
      </c>
      <c r="DM67" s="6" t="str">
        <f t="shared" si="37"/>
        <v>CCStim</v>
      </c>
      <c r="DN67" s="6" t="str">
        <f t="shared" si="37"/>
        <v>UEStim</v>
      </c>
      <c r="DT67" s="6" t="str">
        <f t="shared" ref="DT67:EE67" si="38">DC67</f>
        <v>Gurobi</v>
      </c>
      <c r="DU67" s="6" t="str">
        <f t="shared" si="38"/>
        <v>MIP-SCIP</v>
      </c>
      <c r="DV67" s="6" t="str">
        <f t="shared" si="38"/>
        <v>CLISAT</v>
      </c>
      <c r="DW67" s="6" t="str">
        <f t="shared" si="38"/>
        <v>m4ri_CC</v>
      </c>
      <c r="DX67" s="6" t="str">
        <f t="shared" si="38"/>
        <v>magma</v>
      </c>
      <c r="DY67" s="6" t="str">
        <f t="shared" si="38"/>
        <v>m4ri_RW</v>
      </c>
      <c r="DZ67" s="6" t="str">
        <f t="shared" si="38"/>
        <v>QDistRndMW</v>
      </c>
      <c r="EA67" s="6" t="str">
        <f t="shared" si="38"/>
        <v>QDistEvol</v>
      </c>
      <c r="EB67" s="6" t="str">
        <f t="shared" si="38"/>
        <v>bposd</v>
      </c>
      <c r="EC67" s="6" t="str">
        <f t="shared" si="38"/>
        <v>GEStim</v>
      </c>
      <c r="ED67" s="6" t="str">
        <f t="shared" si="38"/>
        <v>CCStim</v>
      </c>
      <c r="EE67" s="6" t="str">
        <f t="shared" si="38"/>
        <v>UEStim</v>
      </c>
      <c r="EK67" s="6" t="str">
        <f t="shared" ref="EK67:EV67" si="39">DT67</f>
        <v>Gurobi</v>
      </c>
      <c r="EL67" s="6" t="str">
        <f t="shared" si="39"/>
        <v>MIP-SCIP</v>
      </c>
      <c r="EM67" s="6" t="str">
        <f t="shared" si="39"/>
        <v>CLISAT</v>
      </c>
      <c r="EN67" s="6" t="str">
        <f t="shared" si="39"/>
        <v>m4ri_CC</v>
      </c>
      <c r="EO67" s="6" t="str">
        <f t="shared" si="39"/>
        <v>magma</v>
      </c>
      <c r="EP67" s="6" t="str">
        <f t="shared" si="39"/>
        <v>m4ri_RW</v>
      </c>
      <c r="EQ67" s="6" t="str">
        <f t="shared" si="39"/>
        <v>QDistRndMW</v>
      </c>
      <c r="ER67" s="6" t="str">
        <f t="shared" si="39"/>
        <v>QDistEvol</v>
      </c>
      <c r="ES67" s="6" t="str">
        <f t="shared" si="39"/>
        <v>bposd</v>
      </c>
      <c r="ET67" s="6" t="str">
        <f t="shared" si="39"/>
        <v>GEStim</v>
      </c>
      <c r="EU67" s="6" t="str">
        <f t="shared" si="39"/>
        <v>CCStim</v>
      </c>
      <c r="EV67" s="6" t="str">
        <f t="shared" si="39"/>
        <v>UEStim</v>
      </c>
      <c r="FB67" s="6" t="str">
        <f t="shared" ref="FB67:FM67" si="40">EK67</f>
        <v>Gurobi</v>
      </c>
      <c r="FC67" s="6" t="str">
        <f t="shared" si="40"/>
        <v>MIP-SCIP</v>
      </c>
      <c r="FD67" s="6" t="str">
        <f t="shared" si="40"/>
        <v>CLISAT</v>
      </c>
      <c r="FE67" s="6" t="str">
        <f t="shared" si="40"/>
        <v>m4ri_CC</v>
      </c>
      <c r="FF67" s="6" t="str">
        <f t="shared" si="40"/>
        <v>magma</v>
      </c>
      <c r="FG67" s="6" t="str">
        <f t="shared" si="40"/>
        <v>m4ri_RW</v>
      </c>
      <c r="FH67" s="6" t="str">
        <f t="shared" si="40"/>
        <v>QDistRndMW</v>
      </c>
      <c r="FI67" s="6" t="str">
        <f t="shared" si="40"/>
        <v>QDistEvol</v>
      </c>
      <c r="FJ67" s="6" t="str">
        <f t="shared" si="40"/>
        <v>bposd</v>
      </c>
      <c r="FK67" s="6" t="str">
        <f t="shared" si="40"/>
        <v>GEStim</v>
      </c>
      <c r="FL67" s="6" t="str">
        <f t="shared" si="40"/>
        <v>CCStim</v>
      </c>
      <c r="FM67" s="6" t="str">
        <f t="shared" si="40"/>
        <v>UEStim</v>
      </c>
      <c r="FS67" s="3" t="s">
        <v>61</v>
      </c>
      <c r="FT67" s="3" t="s">
        <v>67</v>
      </c>
      <c r="FU67" t="s">
        <v>58</v>
      </c>
      <c r="FV67" t="s">
        <v>59</v>
      </c>
      <c r="FW67" t="s">
        <v>68</v>
      </c>
      <c r="FX67" t="s">
        <v>69</v>
      </c>
      <c r="FZ67" s="6" t="str">
        <f>GN67</f>
        <v>n</v>
      </c>
      <c r="GA67" s="6" t="s">
        <v>15</v>
      </c>
      <c r="GB67" s="6" t="s">
        <v>16</v>
      </c>
      <c r="GC67" s="6" t="s">
        <v>17</v>
      </c>
      <c r="GD67" s="6" t="s">
        <v>63</v>
      </c>
      <c r="GE67" s="6" t="s">
        <v>64</v>
      </c>
      <c r="GF67" s="6" t="s">
        <v>65</v>
      </c>
      <c r="GG67" s="6" t="s">
        <v>9</v>
      </c>
      <c r="GH67" s="6" t="s">
        <v>10</v>
      </c>
      <c r="GI67" s="6" t="s">
        <v>66</v>
      </c>
      <c r="GJ67" s="6" t="s">
        <v>12</v>
      </c>
      <c r="GK67" s="6" t="s">
        <v>13</v>
      </c>
      <c r="GL67" s="6" t="s">
        <v>14</v>
      </c>
      <c r="GN67" s="6" t="s">
        <v>61</v>
      </c>
      <c r="GO67" s="6" t="str">
        <f>GA67</f>
        <v>Gurobi</v>
      </c>
      <c r="GP67" s="6" t="str">
        <f t="shared" ref="GP67:GZ67" si="41">GB67</f>
        <v>MIP-SCIP</v>
      </c>
      <c r="GQ67" s="6" t="str">
        <f t="shared" si="41"/>
        <v>CLISAT</v>
      </c>
      <c r="GR67" s="6" t="str">
        <f t="shared" si="41"/>
        <v>m4ri_CC</v>
      </c>
      <c r="GS67" s="6" t="str">
        <f t="shared" si="41"/>
        <v>magma</v>
      </c>
      <c r="GT67" s="6" t="str">
        <f t="shared" si="41"/>
        <v>m4ri_RW</v>
      </c>
      <c r="GU67" s="6" t="str">
        <f t="shared" si="41"/>
        <v>QDistRndMW</v>
      </c>
      <c r="GV67" s="6" t="str">
        <f t="shared" si="41"/>
        <v>QDistEvol</v>
      </c>
      <c r="GW67" s="6" t="str">
        <f t="shared" si="41"/>
        <v>bposd</v>
      </c>
      <c r="GX67" s="6" t="str">
        <f t="shared" si="41"/>
        <v>GEStim</v>
      </c>
      <c r="GY67" s="6" t="str">
        <f t="shared" si="41"/>
        <v>CCStim</v>
      </c>
      <c r="GZ67" s="6" t="str">
        <f t="shared" si="41"/>
        <v>UEStim</v>
      </c>
      <c r="HB67" s="6" t="str">
        <f>GN67</f>
        <v>n</v>
      </c>
      <c r="HC67" s="6" t="str">
        <f>GO67</f>
        <v>Gurobi</v>
      </c>
      <c r="HD67" s="6" t="str">
        <f t="shared" ref="HD67" si="42">GP67</f>
        <v>MIP-SCIP</v>
      </c>
      <c r="HE67" s="6" t="str">
        <f t="shared" ref="HE67" si="43">GQ67</f>
        <v>CLISAT</v>
      </c>
      <c r="HF67" s="6" t="str">
        <f t="shared" ref="HF67" si="44">GR67</f>
        <v>m4ri_CC</v>
      </c>
      <c r="HG67" s="6" t="str">
        <f t="shared" ref="HG67" si="45">GS67</f>
        <v>magma</v>
      </c>
      <c r="HH67" s="6" t="str">
        <f t="shared" ref="HH67" si="46">GT67</f>
        <v>m4ri_RW</v>
      </c>
      <c r="HI67" s="6" t="str">
        <f t="shared" ref="HI67" si="47">GU67</f>
        <v>QDistRndMW</v>
      </c>
      <c r="HJ67" s="6" t="str">
        <f t="shared" ref="HJ67" si="48">GV67</f>
        <v>QDistEvol</v>
      </c>
      <c r="HK67" s="6" t="str">
        <f t="shared" ref="HK67" si="49">GW67</f>
        <v>bposd</v>
      </c>
      <c r="HL67" s="6" t="str">
        <f t="shared" ref="HL67" si="50">GX67</f>
        <v>GEStim</v>
      </c>
      <c r="HM67" s="6" t="str">
        <f t="shared" ref="HM67" si="51">GY67</f>
        <v>CCStim</v>
      </c>
      <c r="HN67" s="6" t="str">
        <f t="shared" ref="HN67" si="52">GZ67</f>
        <v>UEStim</v>
      </c>
    </row>
    <row r="68" spans="1:222" x14ac:dyDescent="0.2">
      <c r="A68" t="str" cm="1">
        <f t="array" aca="1" ref="A68" ca="1">INDIRECT($A$67&amp;"!A"&amp;ROW(C1)+$B$64)</f>
        <v>36_8_4</v>
      </c>
      <c r="B68" cm="1">
        <f t="array" aca="1" ref="B68" ca="1">INDIRECT($A$67&amp;"!b"&amp;ROW(D1)+$B$64)</f>
        <v>36</v>
      </c>
      <c r="C68">
        <f ca="1">MIN(INDIRECT($A$67&amp;"!d"&amp;ROW(E1)+$B$64),BU68:CG68)</f>
        <v>4</v>
      </c>
      <c r="E68">
        <f t="shared" ref="E68:P83" ca="1" si="53">MATCH($A68,INDIRECT("'"&amp;E$67&amp;"'!A:A"),)</f>
        <v>29</v>
      </c>
      <c r="F68">
        <f t="shared" ca="1" si="53"/>
        <v>30</v>
      </c>
      <c r="G68">
        <f t="shared" ca="1" si="53"/>
        <v>29</v>
      </c>
      <c r="H68">
        <f t="shared" ca="1" si="53"/>
        <v>29</v>
      </c>
      <c r="I68">
        <f t="shared" ca="1" si="53"/>
        <v>29</v>
      </c>
      <c r="J68">
        <f t="shared" ca="1" si="53"/>
        <v>29</v>
      </c>
      <c r="K68">
        <f t="shared" ca="1" si="53"/>
        <v>32</v>
      </c>
      <c r="L68">
        <f t="shared" ca="1" si="53"/>
        <v>34</v>
      </c>
      <c r="M68">
        <f t="shared" ca="1" si="53"/>
        <v>35</v>
      </c>
      <c r="N68">
        <f t="shared" ca="1" si="53"/>
        <v>29</v>
      </c>
      <c r="O68">
        <f t="shared" ca="1" si="53"/>
        <v>29</v>
      </c>
      <c r="P68">
        <f t="shared" ca="1" si="53"/>
        <v>29</v>
      </c>
      <c r="V68" cm="1">
        <f t="array" aca="1" ref="V68" ca="1">IF(ISNA(E68),$B68,OFFSET(INDIRECT("'"&amp;V$67&amp;"'!d1"),E68-1,))</f>
        <v>4</v>
      </c>
      <c r="W68" cm="1">
        <f t="array" aca="1" ref="W68" ca="1">IF(ISNA(F68),,OFFSET(INDIRECT("'"&amp;W$67&amp;"'!d1"),F68-1,))</f>
        <v>4</v>
      </c>
      <c r="X68" cm="1">
        <f t="array" aca="1" ref="X68" ca="1">IF(ISNA(G68),,OFFSET(INDIRECT("'"&amp;X$67&amp;"'!d1"),G68-1,))</f>
        <v>4</v>
      </c>
      <c r="Y68" cm="1">
        <f t="array" aca="1" ref="Y68" ca="1">IF(ISNA(H68),,OFFSET(INDIRECT("'"&amp;Y$67&amp;"'!d1"),H68-1,))</f>
        <v>4</v>
      </c>
      <c r="Z68" cm="1">
        <f t="array" aca="1" ref="Z68" ca="1">IF(ISNA(I68),,OFFSET(INDIRECT("'"&amp;Z$67&amp;"'!d1"),I68-1,))</f>
        <v>4</v>
      </c>
      <c r="AA68" cm="1">
        <f t="array" aca="1" ref="AA68" ca="1">IF(ISNA(J68),,OFFSET(INDIRECT("'"&amp;AA$67&amp;"'!d1"),J68-1,))</f>
        <v>4</v>
      </c>
      <c r="AB68" cm="1">
        <f t="array" aca="1" ref="AB68" ca="1">IF(ISNA(K68),,OFFSET(INDIRECT("'"&amp;AB$67&amp;"'!d1"),K68-1,))</f>
        <v>4</v>
      </c>
      <c r="AC68" cm="1">
        <f t="array" aca="1" ref="AC68" ca="1">IF(ISNA(L68),,OFFSET(INDIRECT("'"&amp;AC$67&amp;"'!d1"),L68-1,))</f>
        <v>4</v>
      </c>
      <c r="AD68" cm="1">
        <f t="array" aca="1" ref="AD68" ca="1">IF(ISNA(M68),,OFFSET(INDIRECT("'"&amp;AD$67&amp;"'!d1"),M68-1,))</f>
        <v>4</v>
      </c>
      <c r="AE68" cm="1">
        <f t="array" aca="1" ref="AE68" ca="1">IF(ISNA(N68),,OFFSET(INDIRECT("'"&amp;AE$67&amp;"'!d1"),N68-1,))</f>
        <v>0</v>
      </c>
      <c r="AF68" cm="1">
        <f t="array" aca="1" ref="AF68" ca="1">IF(ISNA(O68),,OFFSET(INDIRECT("'"&amp;AF$67&amp;"'!d1"),O68-1,))</f>
        <v>4</v>
      </c>
      <c r="AG68" cm="1">
        <f t="array" aca="1" ref="AG68" ca="1">IF(ISNA(P68),,OFFSET(INDIRECT("'"&amp;AG$67&amp;"'!d1"),P68-1,))</f>
        <v>4</v>
      </c>
      <c r="AM68">
        <f ca="1">IF(DC68&gt;= $N$3,0,BD68)</f>
        <v>1</v>
      </c>
      <c r="AN68">
        <f t="shared" ref="AN68:AP83" ca="1" si="54">IF(DD68&gt;= $N$3,0,BE68)</f>
        <v>1</v>
      </c>
      <c r="AO68">
        <f t="shared" ca="1" si="54"/>
        <v>1</v>
      </c>
      <c r="AP68">
        <f t="shared" ca="1" si="54"/>
        <v>1</v>
      </c>
      <c r="AQ68">
        <f ca="1">IF(DG68*1&gt;= $N$3,0,BH68)</f>
        <v>1</v>
      </c>
      <c r="AV68" t="b">
        <f ca="1">IF(AM68=1,CL68=1,"")</f>
        <v>1</v>
      </c>
      <c r="AW68" t="b">
        <f t="shared" ref="AW68:AZ131" ca="1" si="55">IF(AN68=1,CM68=1,"")</f>
        <v>1</v>
      </c>
      <c r="AX68" t="b">
        <f t="shared" ca="1" si="55"/>
        <v>1</v>
      </c>
      <c r="AY68" t="b">
        <f t="shared" ca="1" si="55"/>
        <v>1</v>
      </c>
      <c r="AZ68" t="b">
        <f t="shared" ca="1" si="55"/>
        <v>1</v>
      </c>
      <c r="BD68">
        <f t="shared" ref="BD68:BO86" ca="1" si="56">IF(AND(V68&gt;0,V68&lt;$B68),1,0)</f>
        <v>1</v>
      </c>
      <c r="BE68">
        <f t="shared" ca="1" si="56"/>
        <v>1</v>
      </c>
      <c r="BF68">
        <f t="shared" ca="1" si="56"/>
        <v>1</v>
      </c>
      <c r="BG68">
        <f t="shared" ca="1" si="56"/>
        <v>1</v>
      </c>
      <c r="BH68">
        <f t="shared" ca="1" si="56"/>
        <v>1</v>
      </c>
      <c r="BI68">
        <f t="shared" ca="1" si="56"/>
        <v>1</v>
      </c>
      <c r="BJ68">
        <f t="shared" ca="1" si="56"/>
        <v>1</v>
      </c>
      <c r="BK68">
        <f t="shared" ca="1" si="56"/>
        <v>1</v>
      </c>
      <c r="BL68">
        <f t="shared" ca="1" si="56"/>
        <v>1</v>
      </c>
      <c r="BM68">
        <f t="shared" ca="1" si="56"/>
        <v>0</v>
      </c>
      <c r="BN68">
        <f t="shared" ca="1" si="56"/>
        <v>1</v>
      </c>
      <c r="BO68">
        <f t="shared" ca="1" si="56"/>
        <v>1</v>
      </c>
      <c r="BU68">
        <f t="shared" ref="BU68:CF86" ca="1" si="57">IF(BD68,V68,$B68)</f>
        <v>4</v>
      </c>
      <c r="BV68">
        <f t="shared" ca="1" si="57"/>
        <v>4</v>
      </c>
      <c r="BW68">
        <f t="shared" ca="1" si="57"/>
        <v>4</v>
      </c>
      <c r="BX68">
        <f t="shared" ca="1" si="57"/>
        <v>4</v>
      </c>
      <c r="BY68">
        <f t="shared" ca="1" si="57"/>
        <v>4</v>
      </c>
      <c r="BZ68">
        <f t="shared" ca="1" si="57"/>
        <v>4</v>
      </c>
      <c r="CA68">
        <f t="shared" ca="1" si="57"/>
        <v>4</v>
      </c>
      <c r="CB68">
        <f t="shared" ca="1" si="57"/>
        <v>4</v>
      </c>
      <c r="CC68">
        <f t="shared" ca="1" si="57"/>
        <v>4</v>
      </c>
      <c r="CD68">
        <f t="shared" ca="1" si="57"/>
        <v>36</v>
      </c>
      <c r="CE68">
        <f t="shared" ca="1" si="57"/>
        <v>4</v>
      </c>
      <c r="CF68">
        <f t="shared" ca="1" si="57"/>
        <v>4</v>
      </c>
      <c r="CL68">
        <f t="shared" ref="CL68:CW86" ca="1" si="58">IF(BU68=$C68,1,0)</f>
        <v>1</v>
      </c>
      <c r="CM68">
        <f t="shared" ca="1" si="58"/>
        <v>1</v>
      </c>
      <c r="CN68">
        <f t="shared" ca="1" si="58"/>
        <v>1</v>
      </c>
      <c r="CO68">
        <f t="shared" ca="1" si="58"/>
        <v>1</v>
      </c>
      <c r="CP68">
        <f t="shared" ca="1" si="58"/>
        <v>1</v>
      </c>
      <c r="CQ68">
        <f t="shared" ca="1" si="58"/>
        <v>1</v>
      </c>
      <c r="CR68">
        <f t="shared" ca="1" si="58"/>
        <v>1</v>
      </c>
      <c r="CS68">
        <f t="shared" ca="1" si="58"/>
        <v>1</v>
      </c>
      <c r="CT68">
        <f t="shared" ca="1" si="58"/>
        <v>1</v>
      </c>
      <c r="CU68">
        <f t="shared" ca="1" si="58"/>
        <v>0</v>
      </c>
      <c r="CV68">
        <f t="shared" ca="1" si="58"/>
        <v>1</v>
      </c>
      <c r="CW68">
        <f t="shared" ca="1" si="58"/>
        <v>1</v>
      </c>
      <c r="DC68" cm="1">
        <f t="array" aca="1" ref="DC68" ca="1">IF(ISNA(E68),,OFFSET(INDIRECT("'"&amp;DT$67&amp;"'!f1"),E68-1,))*1</f>
        <v>0.29325553867965898</v>
      </c>
      <c r="DD68" cm="1">
        <f t="array" aca="1" ref="DD68" ca="1">IF(ISNA(F68),,OFFSET(INDIRECT("'"&amp;DU$67&amp;"'!f1"),F68-1,))*1</f>
        <v>0.18462873622775</v>
      </c>
      <c r="DE68" cm="1">
        <f t="array" aca="1" ref="DE68" ca="1">IF(ISNA(G68),,OFFSET(INDIRECT("'"&amp;DV$67&amp;"'!f1"),G68-1,))*1</f>
        <v>3.7390210665762397E-2</v>
      </c>
      <c r="DF68" cm="1">
        <f t="array" aca="1" ref="DF68" ca="1">IF(ISNA(H68),,OFFSET(INDIRECT("'"&amp;DW$67&amp;"'!f1"),H68-1,))*1</f>
        <v>5.0817322917282498E-2</v>
      </c>
      <c r="DG68" cm="1">
        <f t="array" aca="1" ref="DG68" ca="1">IF(ISNA(I68),,OFFSET(INDIRECT("'"&amp;DX$67&amp;"'!f1"),I68-1,))*1</f>
        <v>4.5467131250043096</v>
      </c>
      <c r="DH68" cm="1">
        <f t="array" aca="1" ref="DH68" ca="1">IF(ISNA(J68),,OFFSET(INDIRECT("'"&amp;DY$67&amp;"'!f1"),J68-1,))*1</f>
        <v>8.4716224111616598E-2</v>
      </c>
      <c r="DI68" cm="1">
        <f t="array" aca="1" ref="DI68" ca="1">IF(ISNA(K68),,OFFSET(INDIRECT("'"&amp;DZ$67&amp;"'!f1"),K68-1,))*1</f>
        <v>1.72785963490605</v>
      </c>
      <c r="DJ68" cm="1">
        <f t="array" aca="1" ref="DJ68" ca="1">IF(ISNA(L68),,OFFSET(INDIRECT("'"&amp;EA$67&amp;"'!f1"),L68-1,))*1</f>
        <v>2.4199116174131601</v>
      </c>
      <c r="DK68" cm="1">
        <f t="array" aca="1" ref="DK68" ca="1">IF(ISNA(M68),,OFFSET(INDIRECT("'"&amp;EB$67&amp;"'!f1"),M68-1,))*1</f>
        <v>14.290032692253501</v>
      </c>
      <c r="DL68" cm="1">
        <f t="array" aca="1" ref="DL68" ca="1">IF(ISNA(N68),,OFFSET(INDIRECT("'"&amp;EC$67&amp;"'!f1"),N68-1,))*1</f>
        <v>1.92496851086616E-2</v>
      </c>
      <c r="DM68" cm="1">
        <f t="array" aca="1" ref="DM68" ca="1">IF(ISNA(O68),,OFFSET(INDIRECT("'"&amp;ED$67&amp;"'!f1"),O68-1,))*1</f>
        <v>2.57654404267668E-2</v>
      </c>
      <c r="DN68" cm="1">
        <f t="array" aca="1" ref="DN68" ca="1">IF(ISNA(P68),,OFFSET(INDIRECT("'"&amp;EE$67&amp;"'!f1"),P68-1,))*1</f>
        <v>3.1753730960190199E-2</v>
      </c>
      <c r="DT68">
        <f ca="1">IF(CL68,EK68,)</f>
        <v>1</v>
      </c>
      <c r="DU68">
        <f t="shared" ref="DU68:EE83" ca="1" si="59">IF(CM68,EL68,)</f>
        <v>1</v>
      </c>
      <c r="DV68">
        <f t="shared" ca="1" si="59"/>
        <v>1</v>
      </c>
      <c r="DW68">
        <f t="shared" ca="1" si="59"/>
        <v>1</v>
      </c>
      <c r="DX68">
        <f t="shared" ca="1" si="59"/>
        <v>1</v>
      </c>
      <c r="DY68">
        <f t="shared" ca="1" si="59"/>
        <v>1</v>
      </c>
      <c r="DZ68">
        <f t="shared" ca="1" si="59"/>
        <v>9998</v>
      </c>
      <c r="EA68">
        <f t="shared" ca="1" si="59"/>
        <v>10000</v>
      </c>
      <c r="EB68">
        <f t="shared" ca="1" si="59"/>
        <v>9650</v>
      </c>
      <c r="EC68">
        <f t="shared" ca="1" si="59"/>
        <v>0</v>
      </c>
      <c r="ED68">
        <f t="shared" ca="1" si="59"/>
        <v>1</v>
      </c>
      <c r="EE68">
        <f t="shared" ca="1" si="5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9998</v>
      </c>
      <c r="ER68" cm="1">
        <f t="array" aca="1" ref="ER68" ca="1">IF(ISNA(L68),0,OFFSET(INDIRECT("'"&amp;ER$67&amp;"'!g1"),L68-1,)*CS68)</f>
        <v>10000</v>
      </c>
      <c r="ES68" cm="1">
        <f t="array" aca="1" ref="ES68" ca="1">IF(ISNA(M68),0,OFFSET(INDIRECT("'"&amp;ES$67&amp;"'!g1"),M68-1,)*CT68)</f>
        <v>9650</v>
      </c>
      <c r="ET68" cm="1">
        <f t="array" aca="1" ref="ET68" ca="1">IF(ISNA(N68),0,OFFSET(INDIRECT("'"&amp;ET$67&amp;"'!g1"),N68-1,)*CU68)</f>
        <v>0</v>
      </c>
      <c r="EU68" cm="1">
        <f t="array" aca="1" ref="EU68" ca="1">IF(ISNA(O68),0,OFFSET(INDIRECT("'"&amp;EU$67&amp;"'!g1"),O68-1,)*CV68)</f>
        <v>1</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2</v>
      </c>
      <c r="FN68" s="10"/>
      <c r="FO68" s="10"/>
      <c r="FP68" s="10"/>
      <c r="FQ68" s="10"/>
      <c r="FS68">
        <f ca="1">B68</f>
        <v>36</v>
      </c>
      <c r="FT68">
        <f ca="1">OFFSET($DC68,,$FT$66-1)</f>
        <v>1.72785963490605</v>
      </c>
      <c r="FU68">
        <f ca="1">OFFSET($DT68,,$FT$66-1)</f>
        <v>9998</v>
      </c>
      <c r="FV68">
        <f ca="1">OFFSET($FB68,,$FT$66-1)</f>
        <v>10000</v>
      </c>
      <c r="FW68" s="4">
        <f ca="1">IF(FV68,FU68/FV68,NA())</f>
        <v>0.99980000000000002</v>
      </c>
      <c r="FX68" s="5">
        <f ca="1">IF(FU68,FT68/FU68,NA())</f>
        <v>1.7282052759612422E-4</v>
      </c>
      <c r="FZ68" s="13">
        <f t="shared" ref="FZ68:FZ89" ca="1" si="60">GN68</f>
        <v>36</v>
      </c>
      <c r="GA68" s="22">
        <f ca="1">IF(BD68,(BU68-$C68)/$C68,NA())</f>
        <v>0</v>
      </c>
      <c r="GB68" s="22">
        <f t="shared" ref="GB68:GB89" ca="1" si="61">IF(BE68,(BV68-$C68)/$C68,NA())</f>
        <v>0</v>
      </c>
      <c r="GC68" s="22">
        <f t="shared" ref="GC68:GC89" ca="1" si="62">IF(BF68,(BW68-$C68)/$C68,NA())</f>
        <v>0</v>
      </c>
      <c r="GD68" s="22">
        <f t="shared" ref="GD68:GD89" ca="1" si="63">IF(BG68,(BX68-$C68)/$C68,NA())</f>
        <v>0</v>
      </c>
      <c r="GE68" s="22">
        <f t="shared" ref="GE68:GE89" ca="1" si="64">IF(BH68,(BY68-$C68)/$C68,NA())</f>
        <v>0</v>
      </c>
      <c r="GF68" s="22">
        <f t="shared" ref="GF68:GF89" ca="1" si="65">IF(BI68,(BZ68-$C68)/$C68,NA())</f>
        <v>0</v>
      </c>
      <c r="GG68" s="22">
        <f t="shared" ref="GG68:GG89" ca="1" si="66">IF(BJ68,(CA68-$C68)/$C68,NA())</f>
        <v>0</v>
      </c>
      <c r="GH68" s="22">
        <f t="shared" ref="GH68:GH89" ca="1" si="67">IF(BK68,(CB68-$C68)/$C68,NA())</f>
        <v>0</v>
      </c>
      <c r="GI68" s="22">
        <f t="shared" ref="GI68:GI89" ca="1" si="68">IF(BL68,(CC68-$C68)/$C68,NA())</f>
        <v>0</v>
      </c>
      <c r="GJ68" s="22" t="e">
        <f t="shared" ref="GJ68:GJ89" ca="1" si="69">IF(BM68,(CD68-$C68)/$C68,NA())</f>
        <v>#N/A</v>
      </c>
      <c r="GK68" s="22">
        <f t="shared" ref="GK68:GK89" ca="1" si="70">IF(BN68,(CE68-$C68)/$C68,NA())</f>
        <v>0</v>
      </c>
      <c r="GL68" s="22">
        <f t="shared" ref="GL68:GL89" ca="1" si="71">IF(BO68,(CF68-$C68)/$C68,NA())</f>
        <v>0</v>
      </c>
      <c r="GM68" s="22"/>
      <c r="GN68">
        <f ca="1">B68</f>
        <v>36</v>
      </c>
      <c r="GO68" s="5">
        <f ca="1">IF(AND(AM68&gt;0,DT68&gt;0),DC68/DT68,NA())</f>
        <v>0.29325553867965898</v>
      </c>
      <c r="GP68" s="5">
        <f t="shared" ref="GP68:GS83" ca="1" si="72">IF(AND(AN68&gt;0,DU68&gt;0),DD68/DU68,NA())</f>
        <v>0.18462873622775</v>
      </c>
      <c r="GQ68" s="5">
        <f t="shared" ca="1" si="72"/>
        <v>3.7390210665762397E-2</v>
      </c>
      <c r="GR68" s="5">
        <f t="shared" ca="1" si="72"/>
        <v>5.0817322917282498E-2</v>
      </c>
      <c r="GS68" s="5">
        <f t="shared" ca="1" si="72"/>
        <v>4.5467131250043096</v>
      </c>
      <c r="GT68" s="5">
        <f ca="1">IF(DY68&gt;0,DH68/DY68,NA())</f>
        <v>8.4716224111616598E-2</v>
      </c>
      <c r="GU68" s="5">
        <f t="shared" ref="GU68:GZ83" ca="1" si="73">IF(DZ68&gt;0,DI68/DZ68,NA())</f>
        <v>1.7282052759612422E-4</v>
      </c>
      <c r="GV68" s="5">
        <f t="shared" ca="1" si="73"/>
        <v>2.41991161741316E-4</v>
      </c>
      <c r="GW68" s="5">
        <f t="shared" ca="1" si="73"/>
        <v>1.4808324033423316E-3</v>
      </c>
      <c r="GX68" s="5" t="e">
        <f t="shared" ca="1" si="73"/>
        <v>#N/A</v>
      </c>
      <c r="GY68" s="5">
        <f t="shared" ca="1" si="73"/>
        <v>2.57654404267668E-2</v>
      </c>
      <c r="GZ68" s="5">
        <f t="shared" ca="1" si="73"/>
        <v>1.58768654800951E-2</v>
      </c>
      <c r="HB68" s="13">
        <f t="shared" ref="HB68:HB89" ca="1" si="74">GN68</f>
        <v>36</v>
      </c>
      <c r="HC68" s="4">
        <f ca="1">IF(FB68,DT68/FB68,)</f>
        <v>1</v>
      </c>
      <c r="HD68" s="4">
        <f t="shared" ref="HD68:HD89" ca="1" si="75">IF(FC68,DU68/FC68,)</f>
        <v>1</v>
      </c>
      <c r="HE68" s="4">
        <f t="shared" ref="HE68:HE89" ca="1" si="76">IF(FD68,DV68/FD68,)</f>
        <v>1</v>
      </c>
      <c r="HF68" s="4">
        <f t="shared" ref="HF68:HF89" ca="1" si="77">IF(FE68,DW68/FE68,)</f>
        <v>1</v>
      </c>
      <c r="HG68" s="4">
        <f t="shared" ref="HG68:HG89" ca="1" si="78">IF(FF68,DX68/FF68,)</f>
        <v>1</v>
      </c>
      <c r="HH68" s="4">
        <f t="shared" ref="HH68:HH89" ca="1" si="79">IF(FG68,DY68/FG68,)</f>
        <v>1</v>
      </c>
      <c r="HI68" s="4">
        <f t="shared" ref="HI68:HI89" ca="1" si="80">IF(FH68,DZ68/FH68,)</f>
        <v>0.99980000000000002</v>
      </c>
      <c r="HJ68" s="4">
        <f t="shared" ref="HJ68:HJ89" ca="1" si="81">IF(FI68,EA68/FI68,)</f>
        <v>1</v>
      </c>
      <c r="HK68" s="4">
        <f t="shared" ref="HK68:HK89" ca="1" si="82">IF(FJ68,EB68/FJ68,)</f>
        <v>0.96499999999999997</v>
      </c>
      <c r="HL68" s="4">
        <f t="shared" ref="HL68:HL89" ca="1" si="83">IF(FK68,EC68/FK68,)</f>
        <v>0</v>
      </c>
      <c r="HM68" s="4">
        <f t="shared" ref="HM68:HM89" ca="1" si="84">IF(FL68,ED68/FL68,)</f>
        <v>1</v>
      </c>
      <c r="HN68" s="4">
        <f t="shared" ref="HN68:HN89" ca="1" si="85">IF(FM68,EE68/FM68,)</f>
        <v>1</v>
      </c>
    </row>
    <row r="69" spans="1:222" x14ac:dyDescent="0.2">
      <c r="A69" t="str" cm="1">
        <f t="array" aca="1" ref="A69" ca="1">INDIRECT($A$67&amp;"!A"&amp;ROW(C2)+$B$64)</f>
        <v>72_8_8</v>
      </c>
      <c r="B69" cm="1">
        <f t="array" aca="1" ref="B69" ca="1">INDIRECT($A$67&amp;"!b"&amp;ROW(D2)+$B$64)</f>
        <v>72</v>
      </c>
      <c r="C69">
        <f t="shared" ref="C69:C86" ca="1" si="86">MIN(INDIRECT($A$67&amp;"!d"&amp;ROW(E2)+$B$64),BU69:CG69)</f>
        <v>8</v>
      </c>
      <c r="E69">
        <f t="shared" ca="1" si="53"/>
        <v>30</v>
      </c>
      <c r="F69">
        <f t="shared" ca="1" si="53"/>
        <v>31</v>
      </c>
      <c r="G69">
        <f t="shared" ca="1" si="53"/>
        <v>30</v>
      </c>
      <c r="H69">
        <f t="shared" ca="1" si="53"/>
        <v>30</v>
      </c>
      <c r="I69">
        <f t="shared" ca="1" si="53"/>
        <v>30</v>
      </c>
      <c r="J69">
        <f t="shared" ca="1" si="53"/>
        <v>30</v>
      </c>
      <c r="K69">
        <f t="shared" ca="1" si="53"/>
        <v>33</v>
      </c>
      <c r="L69">
        <f t="shared" ca="1" si="53"/>
        <v>35</v>
      </c>
      <c r="M69">
        <f t="shared" ca="1" si="53"/>
        <v>36</v>
      </c>
      <c r="N69">
        <f t="shared" ca="1" si="53"/>
        <v>30</v>
      </c>
      <c r="O69">
        <f t="shared" ca="1" si="53"/>
        <v>30</v>
      </c>
      <c r="P69">
        <f t="shared" ca="1" si="53"/>
        <v>30</v>
      </c>
      <c r="V69" cm="1">
        <f t="array" aca="1" ref="V69" ca="1">IF(ISNA(E69),,OFFSET(INDIRECT("'"&amp;V$67&amp;"'!d1"),E69-1,))</f>
        <v>8</v>
      </c>
      <c r="W69" cm="1">
        <f t="array" aca="1" ref="W69" ca="1">IF(ISNA(F69),,OFFSET(INDIRECT("'"&amp;W$67&amp;"'!d1"),F69-1,))</f>
        <v>8</v>
      </c>
      <c r="X69" cm="1">
        <f t="array" aca="1" ref="X69" ca="1">IF(ISNA(G69),,OFFSET(INDIRECT("'"&amp;X$67&amp;"'!d1"),G69-1,))</f>
        <v>8</v>
      </c>
      <c r="Y69" cm="1">
        <f t="array" aca="1" ref="Y69" ca="1">IF(ISNA(H69),,OFFSET(INDIRECT("'"&amp;Y$67&amp;"'!d1"),H69-1,))</f>
        <v>8</v>
      </c>
      <c r="Z69" cm="1">
        <f t="array" aca="1" ref="Z69" ca="1">IF(ISNA(I69),,OFFSET(INDIRECT("'"&amp;Z$67&amp;"'!d1"),I69-1,))</f>
        <v>8</v>
      </c>
      <c r="AA69" cm="1">
        <f t="array" aca="1" ref="AA69" ca="1">IF(ISNA(J69),,OFFSET(INDIRECT("'"&amp;AA$67&amp;"'!d1"),J69-1,))</f>
        <v>8</v>
      </c>
      <c r="AB69" cm="1">
        <f t="array" aca="1" ref="AB69" ca="1">IF(ISNA(K69),,OFFSET(INDIRECT("'"&amp;AB$67&amp;"'!d1"),K69-1,))</f>
        <v>8</v>
      </c>
      <c r="AC69" cm="1">
        <f t="array" aca="1" ref="AC69" ca="1">IF(ISNA(L69),,OFFSET(INDIRECT("'"&amp;AC$67&amp;"'!d1"),L69-1,))</f>
        <v>8</v>
      </c>
      <c r="AD69" cm="1">
        <f t="array" aca="1" ref="AD69" ca="1">IF(ISNA(M69),,OFFSET(INDIRECT("'"&amp;AD$67&amp;"'!d1"),M69-1,))</f>
        <v>8</v>
      </c>
      <c r="AE69" cm="1">
        <f t="array" aca="1" ref="AE69" ca="1">IF(ISNA(N69),,OFFSET(INDIRECT("'"&amp;AE$67&amp;"'!d1"),N69-1,))</f>
        <v>0</v>
      </c>
      <c r="AF69" cm="1">
        <f t="array" aca="1" ref="AF69" ca="1">IF(ISNA(O69),,OFFSET(INDIRECT("'"&amp;AF$67&amp;"'!d1"),O69-1,))</f>
        <v>8</v>
      </c>
      <c r="AG69" cm="1">
        <f t="array" aca="1" ref="AG69" ca="1">IF(ISNA(P69),,OFFSET(INDIRECT("'"&amp;AG$67&amp;"'!d1"),P69-1,))</f>
        <v>8</v>
      </c>
      <c r="AM69">
        <f t="shared" ref="AM69:AP86" ca="1" si="87">IF(DC69&gt;= $N$3,0,BD69)</f>
        <v>1</v>
      </c>
      <c r="AN69">
        <f t="shared" ca="1" si="54"/>
        <v>1</v>
      </c>
      <c r="AO69">
        <f t="shared" ca="1" si="54"/>
        <v>1</v>
      </c>
      <c r="AP69">
        <f t="shared" ca="1" si="54"/>
        <v>1</v>
      </c>
      <c r="AQ69">
        <f t="shared" ref="AQ69:AQ86" ca="1" si="88">IF(DG69*1&gt;= $N$3,0,BH69)</f>
        <v>1</v>
      </c>
      <c r="AV69" t="b">
        <f t="shared" ref="AV69:AY132" ca="1" si="89">IF(AM69=1,CL69=1,"")</f>
        <v>1</v>
      </c>
      <c r="AW69" t="b">
        <f t="shared" ca="1" si="55"/>
        <v>1</v>
      </c>
      <c r="AX69" t="b">
        <f t="shared" ca="1" si="55"/>
        <v>1</v>
      </c>
      <c r="AY69" t="b">
        <f t="shared" ca="1" si="55"/>
        <v>1</v>
      </c>
      <c r="AZ69" t="b">
        <f t="shared" ca="1" si="55"/>
        <v>1</v>
      </c>
      <c r="BD69">
        <f t="shared" ca="1" si="56"/>
        <v>1</v>
      </c>
      <c r="BE69">
        <f t="shared" ca="1" si="56"/>
        <v>1</v>
      </c>
      <c r="BF69">
        <f t="shared" ca="1" si="56"/>
        <v>1</v>
      </c>
      <c r="BG69">
        <f t="shared" ca="1" si="56"/>
        <v>1</v>
      </c>
      <c r="BH69">
        <f t="shared" ca="1" si="56"/>
        <v>1</v>
      </c>
      <c r="BI69">
        <f t="shared" ca="1" si="56"/>
        <v>1</v>
      </c>
      <c r="BJ69">
        <f t="shared" ca="1" si="56"/>
        <v>1</v>
      </c>
      <c r="BK69">
        <f t="shared" ca="1" si="56"/>
        <v>1</v>
      </c>
      <c r="BL69">
        <f t="shared" ca="1" si="56"/>
        <v>1</v>
      </c>
      <c r="BM69">
        <f t="shared" ca="1" si="56"/>
        <v>0</v>
      </c>
      <c r="BN69">
        <f t="shared" ca="1" si="56"/>
        <v>1</v>
      </c>
      <c r="BO69">
        <f t="shared" ca="1" si="56"/>
        <v>1</v>
      </c>
      <c r="BU69">
        <f t="shared" ca="1" si="57"/>
        <v>8</v>
      </c>
      <c r="BV69">
        <f t="shared" ca="1" si="57"/>
        <v>8</v>
      </c>
      <c r="BW69">
        <f t="shared" ca="1" si="57"/>
        <v>8</v>
      </c>
      <c r="BX69">
        <f t="shared" ca="1" si="57"/>
        <v>8</v>
      </c>
      <c r="BY69">
        <f t="shared" ca="1" si="57"/>
        <v>8</v>
      </c>
      <c r="BZ69">
        <f t="shared" ca="1" si="57"/>
        <v>8</v>
      </c>
      <c r="CA69">
        <f t="shared" ca="1" si="57"/>
        <v>8</v>
      </c>
      <c r="CB69">
        <f t="shared" ca="1" si="57"/>
        <v>8</v>
      </c>
      <c r="CC69">
        <f t="shared" ca="1" si="57"/>
        <v>8</v>
      </c>
      <c r="CD69">
        <f t="shared" ca="1" si="57"/>
        <v>72</v>
      </c>
      <c r="CE69">
        <f t="shared" ca="1" si="57"/>
        <v>8</v>
      </c>
      <c r="CF69">
        <f t="shared" ca="1" si="57"/>
        <v>8</v>
      </c>
      <c r="CL69">
        <f t="shared" ca="1" si="58"/>
        <v>1</v>
      </c>
      <c r="CM69">
        <f t="shared" ca="1" si="58"/>
        <v>1</v>
      </c>
      <c r="CN69">
        <f t="shared" ca="1" si="58"/>
        <v>1</v>
      </c>
      <c r="CO69">
        <f t="shared" ca="1" si="58"/>
        <v>1</v>
      </c>
      <c r="CP69">
        <f t="shared" ca="1" si="58"/>
        <v>1</v>
      </c>
      <c r="CQ69">
        <f t="shared" ca="1" si="58"/>
        <v>1</v>
      </c>
      <c r="CR69">
        <f t="shared" ca="1" si="58"/>
        <v>1</v>
      </c>
      <c r="CS69">
        <f t="shared" ca="1" si="58"/>
        <v>1</v>
      </c>
      <c r="CT69">
        <f t="shared" ca="1" si="58"/>
        <v>1</v>
      </c>
      <c r="CU69">
        <f t="shared" ca="1" si="58"/>
        <v>0</v>
      </c>
      <c r="CV69">
        <f t="shared" ca="1" si="58"/>
        <v>1</v>
      </c>
      <c r="CW69">
        <f t="shared" ca="1" si="58"/>
        <v>1</v>
      </c>
      <c r="DC69" cm="1">
        <f t="array" aca="1" ref="DC69" ca="1">IF(ISNA(E69),,OFFSET(INDIRECT("'"&amp;DT$67&amp;"'!f1"),E69-1,))*1</f>
        <v>0.66766290273517304</v>
      </c>
      <c r="DD69" cm="1">
        <f t="array" aca="1" ref="DD69" ca="1">IF(ISNA(F69),,OFFSET(INDIRECT("'"&amp;DU$67&amp;"'!f1"),F69-1,))*1</f>
        <v>3.7952521014958598</v>
      </c>
      <c r="DE69" cm="1">
        <f t="array" aca="1" ref="DE69" ca="1">IF(ISNA(G69),,OFFSET(INDIRECT("'"&amp;DV$67&amp;"'!f1"),G69-1,))*1</f>
        <v>1.4626254169270301</v>
      </c>
      <c r="DF69" cm="1">
        <f t="array" aca="1" ref="DF69" ca="1">IF(ISNA(H69),,OFFSET(INDIRECT("'"&amp;DW$67&amp;"'!f1"),H69-1,))*1</f>
        <v>0.19127189181745</v>
      </c>
      <c r="DG69" cm="1">
        <f t="array" aca="1" ref="DG69" ca="1">IF(ISNA(I69),,OFFSET(INDIRECT("'"&amp;DX$67&amp;"'!f1"),I69-1,))*1</f>
        <v>285.00490287499201</v>
      </c>
      <c r="DH69" cm="1">
        <f t="array" aca="1" ref="DH69" ca="1">IF(ISNA(J69),,OFFSET(INDIRECT("'"&amp;DY$67&amp;"'!f1"),J69-1,))*1</f>
        <v>0.12092816829681299</v>
      </c>
      <c r="DI69" cm="1">
        <f t="array" aca="1" ref="DI69" ca="1">IF(ISNA(K69),,OFFSET(INDIRECT("'"&amp;DZ$67&amp;"'!f1"),K69-1,))*1</f>
        <v>2.73840879462659</v>
      </c>
      <c r="DJ69" cm="1">
        <f t="array" aca="1" ref="DJ69" ca="1">IF(ISNA(L69),,OFFSET(INDIRECT("'"&amp;EA$67&amp;"'!f1"),L69-1,))*1</f>
        <v>3.5645571090281001</v>
      </c>
      <c r="DK69" cm="1">
        <f t="array" aca="1" ref="DK69" ca="1">IF(ISNA(M69),,OFFSET(INDIRECT("'"&amp;EB$67&amp;"'!f1"),M69-1,))*1</f>
        <v>29.453313699923399</v>
      </c>
      <c r="DL69" cm="1">
        <f t="array" aca="1" ref="DL69" ca="1">IF(ISNA(N69),,OFFSET(INDIRECT("'"&amp;EC$67&amp;"'!f1"),N69-1,))*1</f>
        <v>8.9937737211584993E-3</v>
      </c>
      <c r="DM69" cm="1">
        <f t="array" aca="1" ref="DM69" ca="1">IF(ISNA(O69),,OFFSET(INDIRECT("'"&amp;ED$67&amp;"'!f1"),O69-1,))*1</f>
        <v>1.1045358143746801E-2</v>
      </c>
      <c r="DN69" cm="1">
        <f t="array" aca="1" ref="DN69" ca="1">IF(ISNA(P69),,OFFSET(INDIRECT("'"&amp;EE$67&amp;"'!f1"),P69-1,))*1</f>
        <v>1.60915609449148E-2</v>
      </c>
      <c r="DT69">
        <f t="shared" ref="DT69:EE86" ca="1" si="90">IF(CL69,EK69,)</f>
        <v>1</v>
      </c>
      <c r="DU69">
        <f t="shared" ca="1" si="59"/>
        <v>1</v>
      </c>
      <c r="DV69">
        <f t="shared" ca="1" si="59"/>
        <v>1</v>
      </c>
      <c r="DW69">
        <f t="shared" ca="1" si="59"/>
        <v>1</v>
      </c>
      <c r="DX69">
        <f t="shared" ca="1" si="59"/>
        <v>1</v>
      </c>
      <c r="DY69">
        <f t="shared" ca="1" si="59"/>
        <v>1</v>
      </c>
      <c r="DZ69">
        <f t="shared" ca="1" si="59"/>
        <v>7641</v>
      </c>
      <c r="EA69">
        <f t="shared" ca="1" si="59"/>
        <v>9872</v>
      </c>
      <c r="EB69">
        <f t="shared" ca="1" si="59"/>
        <v>6816</v>
      </c>
      <c r="EC69">
        <f t="shared" ca="1" si="59"/>
        <v>0</v>
      </c>
      <c r="ED69">
        <f t="shared" ca="1" si="59"/>
        <v>1</v>
      </c>
      <c r="EE69">
        <f t="shared" ca="1" si="59"/>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7641</v>
      </c>
      <c r="ER69" cm="1">
        <f t="array" aca="1" ref="ER69" ca="1">IF(ISNA(L69),0,OFFSET(INDIRECT("'"&amp;ER$67&amp;"'!g1"),L69-1,)*CS69)</f>
        <v>9872</v>
      </c>
      <c r="ES69" cm="1">
        <f t="array" aca="1" ref="ES69" ca="1">IF(ISNA(M69),0,OFFSET(INDIRECT("'"&amp;ES$67&amp;"'!g1"),M69-1,)*CT69)</f>
        <v>6816</v>
      </c>
      <c r="ET69" cm="1">
        <f t="array" aca="1" ref="ET69" ca="1">IF(ISNA(N69),0,OFFSET(INDIRECT("'"&amp;ET$67&amp;"'!g1"),N69-1,)*CU69)</f>
        <v>0</v>
      </c>
      <c r="EU69" cm="1">
        <f t="array" aca="1" ref="EU69" ca="1">IF(ISNA(O69),0,OFFSET(INDIRECT("'"&amp;EU$67&amp;"'!g1"),O69-1,)*CV69)</f>
        <v>1</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3</v>
      </c>
      <c r="FN69" s="10"/>
      <c r="FO69" s="10"/>
      <c r="FP69" s="10"/>
      <c r="FQ69" s="10"/>
      <c r="FS69">
        <f t="shared" ref="FS69:FS86" ca="1" si="91">B69</f>
        <v>72</v>
      </c>
      <c r="FT69">
        <f t="shared" ref="FT69:FT89" ca="1" si="92">OFFSET($DC69,,$FT$66-1)</f>
        <v>2.73840879462659</v>
      </c>
      <c r="FU69">
        <f t="shared" ref="FU69:FU89" ca="1" si="93">OFFSET($DT69,,$FT$66-1)</f>
        <v>7641</v>
      </c>
      <c r="FV69">
        <f t="shared" ref="FV69:FV89" ca="1" si="94">OFFSET($FB69,,$FT$66-1)</f>
        <v>10000</v>
      </c>
      <c r="FW69" s="4">
        <f t="shared" ref="FW69:FW86" ca="1" si="95">IF(FV69,FU69/FV69,NA())</f>
        <v>0.7641</v>
      </c>
      <c r="FX69" s="5">
        <f t="shared" ref="FX69:FX86" ca="1" si="96">IF(FU69,FT69/FU69,NA())</f>
        <v>3.5838356165771365E-4</v>
      </c>
      <c r="FZ69" s="13">
        <f t="shared" ca="1" si="60"/>
        <v>72</v>
      </c>
      <c r="GA69" s="22">
        <f t="shared" ref="GA69:GA89" ca="1" si="97">IF(BD69,(BU69-$C69)/$C69,NA())</f>
        <v>0</v>
      </c>
      <c r="GB69" s="22">
        <f t="shared" ca="1" si="61"/>
        <v>0</v>
      </c>
      <c r="GC69" s="22">
        <f t="shared" ca="1" si="62"/>
        <v>0</v>
      </c>
      <c r="GD69" s="22">
        <f t="shared" ca="1" si="63"/>
        <v>0</v>
      </c>
      <c r="GE69" s="22">
        <f t="shared" ca="1" si="64"/>
        <v>0</v>
      </c>
      <c r="GF69" s="22">
        <f t="shared" ca="1" si="65"/>
        <v>0</v>
      </c>
      <c r="GG69" s="22">
        <f t="shared" ca="1" si="66"/>
        <v>0</v>
      </c>
      <c r="GH69" s="22">
        <f t="shared" ca="1" si="67"/>
        <v>0</v>
      </c>
      <c r="GI69" s="22">
        <f t="shared" ca="1" si="68"/>
        <v>0</v>
      </c>
      <c r="GJ69" s="22" t="e">
        <f t="shared" ca="1" si="69"/>
        <v>#N/A</v>
      </c>
      <c r="GK69" s="22">
        <f t="shared" ca="1" si="70"/>
        <v>0</v>
      </c>
      <c r="GL69" s="22">
        <f t="shared" ca="1" si="71"/>
        <v>0</v>
      </c>
      <c r="GM69" s="22"/>
      <c r="GN69">
        <f t="shared" ref="GN69:GN89" ca="1" si="98">B69</f>
        <v>72</v>
      </c>
      <c r="GO69" s="5">
        <f t="shared" ref="GO69:GO89" ca="1" si="99">IF(AND(AM69&gt;0,DT69&gt;0),DC69/DT69,NA())</f>
        <v>0.66766290273517304</v>
      </c>
      <c r="GP69" s="5">
        <f t="shared" ca="1" si="72"/>
        <v>3.7952521014958598</v>
      </c>
      <c r="GQ69" s="5">
        <f t="shared" ca="1" si="72"/>
        <v>1.4626254169270301</v>
      </c>
      <c r="GR69" s="5">
        <f t="shared" ca="1" si="72"/>
        <v>0.19127189181745</v>
      </c>
      <c r="GS69" s="5">
        <f t="shared" ca="1" si="72"/>
        <v>285.00490287499201</v>
      </c>
      <c r="GT69" s="5">
        <f t="shared" ref="GT69:GT89" ca="1" si="100">IF(DY69&gt;0,DH69/DY69,NA())</f>
        <v>0.12092816829681299</v>
      </c>
      <c r="GU69" s="5">
        <f t="shared" ca="1" si="73"/>
        <v>3.5838356165771365E-4</v>
      </c>
      <c r="GV69" s="5">
        <f t="shared" ca="1" si="73"/>
        <v>3.6107750294044776E-4</v>
      </c>
      <c r="GW69" s="5">
        <f t="shared" ca="1" si="73"/>
        <v>4.3212021273361795E-3</v>
      </c>
      <c r="GX69" s="5" t="e">
        <f t="shared" ca="1" si="73"/>
        <v>#N/A</v>
      </c>
      <c r="GY69" s="5">
        <f t="shared" ca="1" si="73"/>
        <v>1.1045358143746801E-2</v>
      </c>
      <c r="GZ69" s="5">
        <f t="shared" ca="1" si="73"/>
        <v>8.0457804724574002E-3</v>
      </c>
      <c r="HB69" s="13">
        <f t="shared" ca="1" si="74"/>
        <v>72</v>
      </c>
      <c r="HC69" s="4">
        <f t="shared" ref="HC69:HC89" ca="1" si="101">IF(FB69,DT69/FB69,)</f>
        <v>1</v>
      </c>
      <c r="HD69" s="4">
        <f t="shared" ca="1" si="75"/>
        <v>1</v>
      </c>
      <c r="HE69" s="4">
        <f t="shared" ca="1" si="76"/>
        <v>1</v>
      </c>
      <c r="HF69" s="4">
        <f t="shared" ca="1" si="77"/>
        <v>1</v>
      </c>
      <c r="HG69" s="4">
        <f t="shared" ca="1" si="78"/>
        <v>1</v>
      </c>
      <c r="HH69" s="4">
        <f t="shared" ca="1" si="79"/>
        <v>1</v>
      </c>
      <c r="HI69" s="4">
        <f t="shared" ca="1" si="80"/>
        <v>0.7641</v>
      </c>
      <c r="HJ69" s="4">
        <f t="shared" ca="1" si="81"/>
        <v>0.98719999999999997</v>
      </c>
      <c r="HK69" s="4">
        <f t="shared" ca="1" si="82"/>
        <v>0.68159999999999998</v>
      </c>
      <c r="HL69" s="4">
        <f t="shared" ca="1" si="83"/>
        <v>0</v>
      </c>
      <c r="HM69" s="4">
        <f t="shared" ca="1" si="84"/>
        <v>1</v>
      </c>
      <c r="HN69" s="4">
        <f t="shared" ca="1" si="85"/>
        <v>0.66666666666666663</v>
      </c>
    </row>
    <row r="70" spans="1:222" x14ac:dyDescent="0.2">
      <c r="A70" t="str" cm="1">
        <f t="array" aca="1" ref="A70" ca="1">INDIRECT($A$67&amp;"!A"&amp;ROW(C3)+$B$64)</f>
        <v>108_2_12</v>
      </c>
      <c r="B70" cm="1">
        <f t="array" aca="1" ref="B70" ca="1">INDIRECT($A$67&amp;"!b"&amp;ROW(D3)+$B$64)</f>
        <v>108</v>
      </c>
      <c r="C70">
        <f t="shared" ca="1" si="86"/>
        <v>12</v>
      </c>
      <c r="E70">
        <f t="shared" ca="1" si="53"/>
        <v>31</v>
      </c>
      <c r="F70">
        <f t="shared" ca="1" si="53"/>
        <v>32</v>
      </c>
      <c r="G70">
        <f t="shared" ca="1" si="53"/>
        <v>31</v>
      </c>
      <c r="H70">
        <f t="shared" ca="1" si="53"/>
        <v>31</v>
      </c>
      <c r="I70">
        <f t="shared" ca="1" si="53"/>
        <v>31</v>
      </c>
      <c r="J70">
        <f t="shared" ca="1" si="53"/>
        <v>31</v>
      </c>
      <c r="K70">
        <f t="shared" ca="1" si="53"/>
        <v>34</v>
      </c>
      <c r="L70">
        <f t="shared" ca="1" si="53"/>
        <v>36</v>
      </c>
      <c r="M70">
        <f t="shared" ca="1" si="53"/>
        <v>37</v>
      </c>
      <c r="N70">
        <f t="shared" ca="1" si="53"/>
        <v>31</v>
      </c>
      <c r="O70">
        <f t="shared" ca="1" si="53"/>
        <v>31</v>
      </c>
      <c r="P70">
        <f t="shared" ca="1" si="53"/>
        <v>31</v>
      </c>
      <c r="V70" cm="1">
        <f t="array" aca="1" ref="V70" ca="1">IF(ISNA(E70),,OFFSET(INDIRECT("'"&amp;V$67&amp;"'!d1"),E70-1,))</f>
        <v>12</v>
      </c>
      <c r="W70" cm="1">
        <f t="array" aca="1" ref="W70" ca="1">IF(ISNA(F70),,OFFSET(INDIRECT("'"&amp;W$67&amp;"'!d1"),F70-1,))</f>
        <v>12</v>
      </c>
      <c r="X70" cm="1">
        <f t="array" aca="1" ref="X70" ca="1">IF(ISNA(G70),,OFFSET(INDIRECT("'"&amp;X$67&amp;"'!d1"),G70-1,))</f>
        <v>12</v>
      </c>
      <c r="Y70" cm="1">
        <f t="array" aca="1" ref="Y70" ca="1">IF(ISNA(H70),,OFFSET(INDIRECT("'"&amp;Y$67&amp;"'!d1"),H70-1,))</f>
        <v>12</v>
      </c>
      <c r="Z70" cm="1">
        <f t="array" aca="1" ref="Z70" ca="1">IF(ISNA(I70),,OFFSET(INDIRECT("'"&amp;Z$67&amp;"'!d1"),I70-1,))</f>
        <v>12</v>
      </c>
      <c r="AA70" cm="1">
        <f t="array" aca="1" ref="AA70" ca="1">IF(ISNA(J70),,OFFSET(INDIRECT("'"&amp;AA$67&amp;"'!d1"),J70-1,))</f>
        <v>12</v>
      </c>
      <c r="AB70" cm="1">
        <f t="array" aca="1" ref="AB70" ca="1">IF(ISNA(K70),,OFFSET(INDIRECT("'"&amp;AB$67&amp;"'!d1"),K70-1,))</f>
        <v>12</v>
      </c>
      <c r="AC70" cm="1">
        <f t="array" aca="1" ref="AC70" ca="1">IF(ISNA(L70),,OFFSET(INDIRECT("'"&amp;AC$67&amp;"'!d1"),L70-1,))</f>
        <v>12</v>
      </c>
      <c r="AD70" cm="1">
        <f t="array" aca="1" ref="AD70" ca="1">IF(ISNA(M70),,OFFSET(INDIRECT("'"&amp;AD$67&amp;"'!d1"),M70-1,))</f>
        <v>12</v>
      </c>
      <c r="AE70" cm="1">
        <f t="array" aca="1" ref="AE70" ca="1">IF(ISNA(N70),,OFFSET(INDIRECT("'"&amp;AE$67&amp;"'!d1"),N70-1,))</f>
        <v>0</v>
      </c>
      <c r="AF70" cm="1">
        <f t="array" aca="1" ref="AF70" ca="1">IF(ISNA(O70),,OFFSET(INDIRECT("'"&amp;AF$67&amp;"'!d1"),O70-1,))</f>
        <v>28</v>
      </c>
      <c r="AG70" cm="1">
        <f t="array" aca="1" ref="AG70" ca="1">IF(ISNA(P70),,OFFSET(INDIRECT("'"&amp;AG$67&amp;"'!d1"),P70-1,))</f>
        <v>12</v>
      </c>
      <c r="AM70">
        <f t="shared" ca="1" si="87"/>
        <v>1</v>
      </c>
      <c r="AN70">
        <f t="shared" ca="1" si="54"/>
        <v>1</v>
      </c>
      <c r="AO70">
        <f t="shared" ca="1" si="54"/>
        <v>1</v>
      </c>
      <c r="AP70">
        <f t="shared" ca="1" si="54"/>
        <v>1</v>
      </c>
      <c r="AQ70">
        <f t="shared" ca="1" si="88"/>
        <v>1</v>
      </c>
      <c r="AV70" t="b">
        <f t="shared" ca="1" si="89"/>
        <v>1</v>
      </c>
      <c r="AW70" t="b">
        <f t="shared" ca="1" si="55"/>
        <v>1</v>
      </c>
      <c r="AX70" t="b">
        <f t="shared" ca="1" si="55"/>
        <v>1</v>
      </c>
      <c r="AY70" t="b">
        <f t="shared" ca="1" si="55"/>
        <v>1</v>
      </c>
      <c r="AZ70" t="b">
        <f t="shared" ca="1" si="55"/>
        <v>1</v>
      </c>
      <c r="BD70">
        <f t="shared" ca="1" si="56"/>
        <v>1</v>
      </c>
      <c r="BE70">
        <f t="shared" ca="1" si="56"/>
        <v>1</v>
      </c>
      <c r="BF70">
        <f t="shared" ca="1" si="56"/>
        <v>1</v>
      </c>
      <c r="BG70">
        <f t="shared" ca="1" si="56"/>
        <v>1</v>
      </c>
      <c r="BH70">
        <f t="shared" ca="1" si="56"/>
        <v>1</v>
      </c>
      <c r="BI70">
        <f t="shared" ca="1" si="56"/>
        <v>1</v>
      </c>
      <c r="BJ70">
        <f t="shared" ca="1" si="56"/>
        <v>1</v>
      </c>
      <c r="BK70">
        <f t="shared" ca="1" si="56"/>
        <v>1</v>
      </c>
      <c r="BL70">
        <f t="shared" ca="1" si="56"/>
        <v>1</v>
      </c>
      <c r="BM70">
        <f t="shared" ca="1" si="56"/>
        <v>0</v>
      </c>
      <c r="BN70">
        <f t="shared" ca="1" si="56"/>
        <v>1</v>
      </c>
      <c r="BO70">
        <f t="shared" ca="1" si="56"/>
        <v>1</v>
      </c>
      <c r="BU70">
        <f t="shared" ca="1" si="57"/>
        <v>12</v>
      </c>
      <c r="BV70">
        <f t="shared" ca="1" si="57"/>
        <v>12</v>
      </c>
      <c r="BW70">
        <f t="shared" ca="1" si="57"/>
        <v>12</v>
      </c>
      <c r="BX70">
        <f t="shared" ca="1" si="57"/>
        <v>12</v>
      </c>
      <c r="BY70">
        <f t="shared" ca="1" si="57"/>
        <v>12</v>
      </c>
      <c r="BZ70">
        <f t="shared" ca="1" si="57"/>
        <v>12</v>
      </c>
      <c r="CA70">
        <f t="shared" ca="1" si="57"/>
        <v>12</v>
      </c>
      <c r="CB70">
        <f t="shared" ca="1" si="57"/>
        <v>12</v>
      </c>
      <c r="CC70">
        <f t="shared" ca="1" si="57"/>
        <v>12</v>
      </c>
      <c r="CD70">
        <f t="shared" ca="1" si="57"/>
        <v>108</v>
      </c>
      <c r="CE70">
        <f t="shared" ca="1" si="57"/>
        <v>28</v>
      </c>
      <c r="CF70">
        <f t="shared" ca="1" si="57"/>
        <v>12</v>
      </c>
      <c r="CL70">
        <f t="shared" ca="1" si="58"/>
        <v>1</v>
      </c>
      <c r="CM70">
        <f t="shared" ca="1" si="58"/>
        <v>1</v>
      </c>
      <c r="CN70">
        <f t="shared" ca="1" si="58"/>
        <v>1</v>
      </c>
      <c r="CO70">
        <f t="shared" ca="1" si="58"/>
        <v>1</v>
      </c>
      <c r="CP70">
        <f t="shared" ca="1" si="58"/>
        <v>1</v>
      </c>
      <c r="CQ70">
        <f t="shared" ca="1" si="58"/>
        <v>1</v>
      </c>
      <c r="CR70">
        <f t="shared" ca="1" si="58"/>
        <v>1</v>
      </c>
      <c r="CS70">
        <f t="shared" ca="1" si="58"/>
        <v>1</v>
      </c>
      <c r="CT70">
        <f t="shared" ca="1" si="58"/>
        <v>1</v>
      </c>
      <c r="CU70">
        <f t="shared" ca="1" si="58"/>
        <v>0</v>
      </c>
      <c r="CV70">
        <f t="shared" ca="1" si="58"/>
        <v>0</v>
      </c>
      <c r="CW70">
        <f t="shared" ca="1" si="58"/>
        <v>1</v>
      </c>
      <c r="DC70" cm="1">
        <f t="array" aca="1" ref="DC70" ca="1">IF(ISNA(E70),,OFFSET(INDIRECT("'"&amp;DT$67&amp;"'!f1"),E70-1,))*1</f>
        <v>53.399352308362701</v>
      </c>
      <c r="DD70" cm="1">
        <f t="array" aca="1" ref="DD70" ca="1">IF(ISNA(F70),,OFFSET(INDIRECT("'"&amp;DU$67&amp;"'!f1"),F70-1,))*1</f>
        <v>178.15065901726399</v>
      </c>
      <c r="DE70" cm="1">
        <f t="array" aca="1" ref="DE70" ca="1">IF(ISNA(G70),,OFFSET(INDIRECT("'"&amp;DV$67&amp;"'!f1"),G70-1,))*1</f>
        <v>168.31056627258599</v>
      </c>
      <c r="DF70" cm="1">
        <f t="array" aca="1" ref="DF70" ca="1">IF(ISNA(H70),,OFFSET(INDIRECT("'"&amp;DW$67&amp;"'!f1"),H70-1,))*1</f>
        <v>331.22124582808402</v>
      </c>
      <c r="DG70" cm="1">
        <f t="array" aca="1" ref="DG70" ca="1">IF(ISNA(I70),,OFFSET(INDIRECT("'"&amp;DX$67&amp;"'!f1"),I70-1,))*1</f>
        <v>5412.6084416670001</v>
      </c>
      <c r="DH70" cm="1">
        <f t="array" aca="1" ref="DH70" ca="1">IF(ISNA(J70),,OFFSET(INDIRECT("'"&amp;DY$67&amp;"'!f1"),J70-1,))*1</f>
        <v>0.24634020403027501</v>
      </c>
      <c r="DI70" cm="1">
        <f t="array" aca="1" ref="DI70" ca="1">IF(ISNA(K70),,OFFSET(INDIRECT("'"&amp;DZ$67&amp;"'!f1"),K70-1,))*1</f>
        <v>3.7882622340693999</v>
      </c>
      <c r="DJ70" cm="1">
        <f t="array" aca="1" ref="DJ70" ca="1">IF(ISNA(L70),,OFFSET(INDIRECT("'"&amp;EA$67&amp;"'!f1"),L70-1,))*1</f>
        <v>4.44238483160734</v>
      </c>
      <c r="DK70" cm="1">
        <f t="array" aca="1" ref="DK70" ca="1">IF(ISNA(M70),,OFFSET(INDIRECT("'"&amp;EB$67&amp;"'!f1"),M70-1,))*1</f>
        <v>29.046700088307201</v>
      </c>
      <c r="DL70" cm="1">
        <f t="array" aca="1" ref="DL70" ca="1">IF(ISNA(N70),,OFFSET(INDIRECT("'"&amp;EC$67&amp;"'!f1"),N70-1,))*1</f>
        <v>7.5683891773223799E-3</v>
      </c>
      <c r="DM70" cm="1">
        <f t="array" aca="1" ref="DM70" ca="1">IF(ISNA(O70),,OFFSET(INDIRECT("'"&amp;ED$67&amp;"'!f1"),O70-1,))*1</f>
        <v>1.13452998921275E-2</v>
      </c>
      <c r="DN70" cm="1">
        <f t="array" aca="1" ref="DN70" ca="1">IF(ISNA(P70),,OFFSET(INDIRECT("'"&amp;EE$67&amp;"'!f1"),P70-1,))*1</f>
        <v>0.13377623818814699</v>
      </c>
      <c r="DT70">
        <f t="shared" ca="1" si="90"/>
        <v>1</v>
      </c>
      <c r="DU70">
        <f t="shared" ca="1" si="59"/>
        <v>1</v>
      </c>
      <c r="DV70">
        <f t="shared" ca="1" si="59"/>
        <v>1</v>
      </c>
      <c r="DW70">
        <f t="shared" ca="1" si="59"/>
        <v>1</v>
      </c>
      <c r="DX70">
        <f t="shared" ca="1" si="59"/>
        <v>1</v>
      </c>
      <c r="DY70">
        <f t="shared" ca="1" si="59"/>
        <v>1</v>
      </c>
      <c r="DZ70">
        <f t="shared" ca="1" si="59"/>
        <v>1190</v>
      </c>
      <c r="EA70">
        <f t="shared" ca="1" si="59"/>
        <v>8041</v>
      </c>
      <c r="EB70">
        <f t="shared" ca="1" si="59"/>
        <v>1047</v>
      </c>
      <c r="EC70">
        <f t="shared" ca="1" si="59"/>
        <v>0</v>
      </c>
      <c r="ED70">
        <f t="shared" ca="1" si="59"/>
        <v>0</v>
      </c>
      <c r="EE70">
        <f t="shared" ca="1" si="59"/>
        <v>2</v>
      </c>
      <c r="EK70" cm="1">
        <f t="array" aca="1" ref="EK70" ca="1">IF(ISNA(E70),0,OFFSET(INDIRECT("'"&amp;EK$67&amp;"'!g1"),E70-1,)*CL70)</f>
        <v>1</v>
      </c>
      <c r="EL70" cm="1">
        <f t="array" aca="1" ref="EL70" ca="1">IF(ISNA(F70),0,OFFSET(INDIRECT("'"&amp;EL$67&amp;"'!g1"),F70-1,)*CM70)</f>
        <v>1</v>
      </c>
      <c r="EM70" cm="1">
        <f t="array" aca="1" ref="EM70" ca="1">IF(ISNA(G70),0,OFFSET(INDIRECT("'"&amp;EM$67&amp;"'!g1"),G70-1,)*CN70)</f>
        <v>1</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1190</v>
      </c>
      <c r="ER70" cm="1">
        <f t="array" aca="1" ref="ER70" ca="1">IF(ISNA(L70),0,OFFSET(INDIRECT("'"&amp;ER$67&amp;"'!g1"),L70-1,)*CS70)</f>
        <v>8041</v>
      </c>
      <c r="ES70" cm="1">
        <f t="array" aca="1" ref="ES70" ca="1">IF(ISNA(M70),0,OFFSET(INDIRECT("'"&amp;ES$67&amp;"'!g1"),M70-1,)*CT70)</f>
        <v>1047</v>
      </c>
      <c r="ET70" cm="1">
        <f t="array" aca="1" ref="ET70" ca="1">IF(ISNA(N70),0,OFFSET(INDIRECT("'"&amp;ET$67&amp;"'!g1"),N70-1,)*CU70)</f>
        <v>0</v>
      </c>
      <c r="EU70" cm="1">
        <f t="array" aca="1" ref="EU70" ca="1">IF(ISNA(O70),0,OFFSET(INDIRECT("'"&amp;EU$67&amp;"'!g1"),O70-1,)*CV70)</f>
        <v>0</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4</v>
      </c>
      <c r="FN70" s="10"/>
      <c r="FO70" s="10"/>
      <c r="FP70" s="10"/>
      <c r="FQ70" s="10"/>
      <c r="FS70">
        <f t="shared" ca="1" si="91"/>
        <v>108</v>
      </c>
      <c r="FT70">
        <f t="shared" ca="1" si="92"/>
        <v>3.7882622340693999</v>
      </c>
      <c r="FU70">
        <f t="shared" ca="1" si="93"/>
        <v>1190</v>
      </c>
      <c r="FV70">
        <f t="shared" ca="1" si="94"/>
        <v>10000</v>
      </c>
      <c r="FW70" s="4">
        <f t="shared" ca="1" si="95"/>
        <v>0.11899999999999999</v>
      </c>
      <c r="FX70" s="5">
        <f t="shared" ca="1" si="96"/>
        <v>3.1834136420751261E-3</v>
      </c>
      <c r="FZ70" s="13">
        <f t="shared" ca="1" si="60"/>
        <v>108</v>
      </c>
      <c r="GA70" s="22">
        <f t="shared" ca="1" si="97"/>
        <v>0</v>
      </c>
      <c r="GB70" s="22">
        <f t="shared" ca="1" si="61"/>
        <v>0</v>
      </c>
      <c r="GC70" s="22">
        <f t="shared" ca="1" si="62"/>
        <v>0</v>
      </c>
      <c r="GD70" s="22">
        <f t="shared" ca="1" si="63"/>
        <v>0</v>
      </c>
      <c r="GE70" s="22">
        <f t="shared" ca="1" si="64"/>
        <v>0</v>
      </c>
      <c r="GF70" s="22">
        <f t="shared" ca="1" si="65"/>
        <v>0</v>
      </c>
      <c r="GG70" s="22">
        <f t="shared" ca="1" si="66"/>
        <v>0</v>
      </c>
      <c r="GH70" s="22">
        <f t="shared" ca="1" si="67"/>
        <v>0</v>
      </c>
      <c r="GI70" s="22">
        <f t="shared" ca="1" si="68"/>
        <v>0</v>
      </c>
      <c r="GJ70" s="22" t="e">
        <f t="shared" ca="1" si="69"/>
        <v>#N/A</v>
      </c>
      <c r="GK70" s="22">
        <f t="shared" ca="1" si="70"/>
        <v>1.3333333333333333</v>
      </c>
      <c r="GL70" s="22">
        <f t="shared" ca="1" si="71"/>
        <v>0</v>
      </c>
      <c r="GM70" s="22"/>
      <c r="GN70">
        <f t="shared" ca="1" si="98"/>
        <v>108</v>
      </c>
      <c r="GO70" s="5">
        <f t="shared" ca="1" si="99"/>
        <v>53.399352308362701</v>
      </c>
      <c r="GP70" s="5">
        <f t="shared" ca="1" si="72"/>
        <v>178.15065901726399</v>
      </c>
      <c r="GQ70" s="5">
        <f t="shared" ca="1" si="72"/>
        <v>168.31056627258599</v>
      </c>
      <c r="GR70" s="5">
        <f t="shared" ca="1" si="72"/>
        <v>331.22124582808402</v>
      </c>
      <c r="GS70" s="5">
        <f t="shared" ca="1" si="72"/>
        <v>5412.6084416670001</v>
      </c>
      <c r="GT70" s="5">
        <f t="shared" ca="1" si="100"/>
        <v>0.24634020403027501</v>
      </c>
      <c r="GU70" s="5">
        <f t="shared" ca="1" si="73"/>
        <v>3.1834136420751261E-3</v>
      </c>
      <c r="GV70" s="5">
        <f t="shared" ca="1" si="73"/>
        <v>5.5246671205165282E-4</v>
      </c>
      <c r="GW70" s="5">
        <f t="shared" ca="1" si="73"/>
        <v>2.7742789005068959E-2</v>
      </c>
      <c r="GX70" s="5" t="e">
        <f t="shared" ca="1" si="73"/>
        <v>#N/A</v>
      </c>
      <c r="GY70" s="5" t="e">
        <f t="shared" ca="1" si="73"/>
        <v>#N/A</v>
      </c>
      <c r="GZ70" s="5">
        <f t="shared" ca="1" si="73"/>
        <v>6.6888119094073495E-2</v>
      </c>
      <c r="HB70" s="13">
        <f t="shared" ca="1" si="74"/>
        <v>108</v>
      </c>
      <c r="HC70" s="4">
        <f t="shared" ca="1" si="101"/>
        <v>1</v>
      </c>
      <c r="HD70" s="4">
        <f t="shared" ca="1" si="75"/>
        <v>1</v>
      </c>
      <c r="HE70" s="4">
        <f t="shared" ca="1" si="76"/>
        <v>1</v>
      </c>
      <c r="HF70" s="4">
        <f t="shared" ca="1" si="77"/>
        <v>1</v>
      </c>
      <c r="HG70" s="4">
        <f t="shared" ca="1" si="78"/>
        <v>1</v>
      </c>
      <c r="HH70" s="4">
        <f t="shared" ca="1" si="79"/>
        <v>1</v>
      </c>
      <c r="HI70" s="4">
        <f t="shared" ca="1" si="80"/>
        <v>0.11899999999999999</v>
      </c>
      <c r="HJ70" s="4">
        <f t="shared" ca="1" si="81"/>
        <v>0.80410000000000004</v>
      </c>
      <c r="HK70" s="4">
        <f t="shared" ca="1" si="82"/>
        <v>0.1047</v>
      </c>
      <c r="HL70" s="4">
        <f t="shared" ca="1" si="83"/>
        <v>0</v>
      </c>
      <c r="HM70" s="4">
        <f t="shared" ca="1" si="84"/>
        <v>0</v>
      </c>
      <c r="HN70" s="4">
        <f t="shared" ca="1" si="85"/>
        <v>0.5</v>
      </c>
    </row>
    <row r="71" spans="1:222" x14ac:dyDescent="0.2">
      <c r="A71" t="str" cm="1">
        <f t="array" aca="1" ref="A71" ca="1">INDIRECT($A$67&amp;"!A"&amp;ROW(C4)+$B$64)</f>
        <v>144_2_13</v>
      </c>
      <c r="B71" cm="1">
        <f t="array" aca="1" ref="B71" ca="1">INDIRECT($A$67&amp;"!b"&amp;ROW(D4)+$B$64)</f>
        <v>144</v>
      </c>
      <c r="C71">
        <f t="shared" ca="1" si="86"/>
        <v>13</v>
      </c>
      <c r="E71">
        <f t="shared" ca="1" si="53"/>
        <v>32</v>
      </c>
      <c r="F71">
        <f t="shared" ca="1" si="53"/>
        <v>33</v>
      </c>
      <c r="G71">
        <f t="shared" ca="1" si="53"/>
        <v>32</v>
      </c>
      <c r="H71">
        <f t="shared" ca="1" si="53"/>
        <v>32</v>
      </c>
      <c r="I71">
        <f t="shared" ca="1" si="53"/>
        <v>37</v>
      </c>
      <c r="J71">
        <f t="shared" ca="1" si="53"/>
        <v>32</v>
      </c>
      <c r="K71">
        <f t="shared" ca="1" si="53"/>
        <v>35</v>
      </c>
      <c r="L71">
        <f t="shared" ca="1" si="53"/>
        <v>37</v>
      </c>
      <c r="M71">
        <f t="shared" ca="1" si="53"/>
        <v>38</v>
      </c>
      <c r="N71">
        <f t="shared" ca="1" si="53"/>
        <v>32</v>
      </c>
      <c r="O71">
        <f t="shared" ca="1" si="53"/>
        <v>32</v>
      </c>
      <c r="P71">
        <f t="shared" ca="1" si="53"/>
        <v>32</v>
      </c>
      <c r="V71" cm="1">
        <f t="array" aca="1" ref="V71" ca="1">IF(ISNA(E71),,OFFSET(INDIRECT("'"&amp;V$67&amp;"'!d1"),E71-1,))</f>
        <v>13</v>
      </c>
      <c r="W71" cm="1">
        <f t="array" aca="1" ref="W71" ca="1">IF(ISNA(F71),,OFFSET(INDIRECT("'"&amp;W$67&amp;"'!d1"),F71-1,))</f>
        <v>13</v>
      </c>
      <c r="X71" cm="1">
        <f t="array" aca="1" ref="X71" ca="1">IF(ISNA(G71),,OFFSET(INDIRECT("'"&amp;X$67&amp;"'!d1"),G71-1,))</f>
        <v>13</v>
      </c>
      <c r="Y71" cm="1">
        <f t="array" aca="1" ref="Y71" ca="1">IF(ISNA(H71),,OFFSET(INDIRECT("'"&amp;Y$67&amp;"'!d1"),H71-1,))</f>
        <v>13</v>
      </c>
      <c r="Z71" cm="1">
        <f t="array" aca="1" ref="Z71" ca="1">IF(ISNA(I71),,OFFSET(INDIRECT("'"&amp;Z$67&amp;"'!d1"),I71-1,))</f>
        <v>13</v>
      </c>
      <c r="AA71" cm="1">
        <f t="array" aca="1" ref="AA71" ca="1">IF(ISNA(J71),,OFFSET(INDIRECT("'"&amp;AA$67&amp;"'!d1"),J71-1,))</f>
        <v>13</v>
      </c>
      <c r="AB71" cm="1">
        <f t="array" aca="1" ref="AB71" ca="1">IF(ISNA(K71),,OFFSET(INDIRECT("'"&amp;AB$67&amp;"'!d1"),K71-1,))</f>
        <v>13</v>
      </c>
      <c r="AC71" cm="1">
        <f t="array" aca="1" ref="AC71" ca="1">IF(ISNA(L71),,OFFSET(INDIRECT("'"&amp;AC$67&amp;"'!d1"),L71-1,))</f>
        <v>13</v>
      </c>
      <c r="AD71" cm="1">
        <f t="array" aca="1" ref="AD71" ca="1">IF(ISNA(M71),,OFFSET(INDIRECT("'"&amp;AD$67&amp;"'!d1"),M71-1,))</f>
        <v>13</v>
      </c>
      <c r="AE71" cm="1">
        <f t="array" aca="1" ref="AE71" ca="1">IF(ISNA(N71),,OFFSET(INDIRECT("'"&amp;AE$67&amp;"'!d1"),N71-1,))</f>
        <v>0</v>
      </c>
      <c r="AF71" cm="1">
        <f t="array" aca="1" ref="AF71" ca="1">IF(ISNA(O71),,OFFSET(INDIRECT("'"&amp;AF$67&amp;"'!d1"),O71-1,))</f>
        <v>0</v>
      </c>
      <c r="AG71" cm="1">
        <f t="array" aca="1" ref="AG71" ca="1">IF(ISNA(P71),,OFFSET(INDIRECT("'"&amp;AG$67&amp;"'!d1"),P71-1,))</f>
        <v>14</v>
      </c>
      <c r="AM71">
        <f t="shared" ca="1" si="87"/>
        <v>1</v>
      </c>
      <c r="AN71">
        <f t="shared" ca="1" si="54"/>
        <v>1</v>
      </c>
      <c r="AO71">
        <f t="shared" ca="1" si="54"/>
        <v>1</v>
      </c>
      <c r="AP71">
        <f t="shared" ca="1" si="54"/>
        <v>1</v>
      </c>
      <c r="AQ71">
        <f t="shared" ca="1" si="88"/>
        <v>0</v>
      </c>
      <c r="AV71" t="b">
        <f t="shared" ca="1" si="89"/>
        <v>1</v>
      </c>
      <c r="AW71" t="b">
        <f t="shared" ca="1" si="55"/>
        <v>1</v>
      </c>
      <c r="AX71" t="b">
        <f t="shared" ca="1" si="55"/>
        <v>1</v>
      </c>
      <c r="AY71" t="b">
        <f t="shared" ca="1" si="55"/>
        <v>1</v>
      </c>
      <c r="AZ71" t="str">
        <f t="shared" ca="1" si="55"/>
        <v/>
      </c>
      <c r="BD71">
        <f t="shared" ca="1" si="56"/>
        <v>1</v>
      </c>
      <c r="BE71">
        <f t="shared" ca="1" si="56"/>
        <v>1</v>
      </c>
      <c r="BF71">
        <f t="shared" ca="1" si="56"/>
        <v>1</v>
      </c>
      <c r="BG71">
        <f t="shared" ca="1" si="56"/>
        <v>1</v>
      </c>
      <c r="BH71">
        <f t="shared" ca="1" si="56"/>
        <v>1</v>
      </c>
      <c r="BI71">
        <f t="shared" ca="1" si="56"/>
        <v>1</v>
      </c>
      <c r="BJ71">
        <f t="shared" ca="1" si="56"/>
        <v>1</v>
      </c>
      <c r="BK71">
        <f t="shared" ca="1" si="56"/>
        <v>1</v>
      </c>
      <c r="BL71">
        <f t="shared" ca="1" si="56"/>
        <v>1</v>
      </c>
      <c r="BM71">
        <f t="shared" ca="1" si="56"/>
        <v>0</v>
      </c>
      <c r="BN71">
        <f t="shared" ca="1" si="56"/>
        <v>0</v>
      </c>
      <c r="BO71">
        <f t="shared" ca="1" si="56"/>
        <v>1</v>
      </c>
      <c r="BU71">
        <f t="shared" ca="1" si="57"/>
        <v>13</v>
      </c>
      <c r="BV71">
        <f t="shared" ca="1" si="57"/>
        <v>13</v>
      </c>
      <c r="BW71">
        <f t="shared" ca="1" si="57"/>
        <v>13</v>
      </c>
      <c r="BX71">
        <f t="shared" ca="1" si="57"/>
        <v>13</v>
      </c>
      <c r="BY71">
        <f t="shared" ca="1" si="57"/>
        <v>13</v>
      </c>
      <c r="BZ71">
        <f t="shared" ca="1" si="57"/>
        <v>13</v>
      </c>
      <c r="CA71">
        <f t="shared" ca="1" si="57"/>
        <v>13</v>
      </c>
      <c r="CB71">
        <f t="shared" ca="1" si="57"/>
        <v>13</v>
      </c>
      <c r="CC71">
        <f t="shared" ca="1" si="57"/>
        <v>13</v>
      </c>
      <c r="CD71">
        <f t="shared" ca="1" si="57"/>
        <v>144</v>
      </c>
      <c r="CE71">
        <f t="shared" ca="1" si="57"/>
        <v>144</v>
      </c>
      <c r="CF71">
        <f t="shared" ca="1" si="57"/>
        <v>14</v>
      </c>
      <c r="CL71">
        <f t="shared" ca="1" si="58"/>
        <v>1</v>
      </c>
      <c r="CM71">
        <f t="shared" ca="1" si="58"/>
        <v>1</v>
      </c>
      <c r="CN71">
        <f t="shared" ca="1" si="58"/>
        <v>1</v>
      </c>
      <c r="CO71">
        <f t="shared" ca="1" si="58"/>
        <v>1</v>
      </c>
      <c r="CP71">
        <f t="shared" ca="1" si="58"/>
        <v>1</v>
      </c>
      <c r="CQ71">
        <f t="shared" ca="1" si="58"/>
        <v>1</v>
      </c>
      <c r="CR71">
        <f t="shared" ca="1" si="58"/>
        <v>1</v>
      </c>
      <c r="CS71">
        <f t="shared" ca="1" si="58"/>
        <v>1</v>
      </c>
      <c r="CT71">
        <f t="shared" ca="1" si="58"/>
        <v>1</v>
      </c>
      <c r="CU71">
        <f t="shared" ca="1" si="58"/>
        <v>0</v>
      </c>
      <c r="CV71">
        <f t="shared" ca="1" si="58"/>
        <v>0</v>
      </c>
      <c r="CW71">
        <f t="shared" ca="1" si="58"/>
        <v>0</v>
      </c>
      <c r="DC71" cm="1">
        <f t="array" aca="1" ref="DC71" ca="1">IF(ISNA(E71),,OFFSET(INDIRECT("'"&amp;DT$67&amp;"'!f1"),E71-1,))*1</f>
        <v>338.12546023260802</v>
      </c>
      <c r="DD71" cm="1">
        <f t="array" aca="1" ref="DD71" ca="1">IF(ISNA(F71),,OFFSET(INDIRECT("'"&amp;DU$67&amp;"'!f1"),F71-1,))*1</f>
        <v>1168.2548279399</v>
      </c>
      <c r="DE71" cm="1">
        <f t="array" aca="1" ref="DE71" ca="1">IF(ISNA(G71),,OFFSET(INDIRECT("'"&amp;DV$67&amp;"'!f1"),G71-1,))*1</f>
        <v>1905.8547713328101</v>
      </c>
      <c r="DF71" cm="1">
        <f t="array" aca="1" ref="DF71" ca="1">IF(ISNA(H71),,OFFSET(INDIRECT("'"&amp;DW$67&amp;"'!f1"),H71-1,))*1</f>
        <v>9877.3910804176703</v>
      </c>
      <c r="DG71" cm="1">
        <f t="array" aca="1" ref="DG71" ca="1">IF(ISNA(I71),,OFFSET(INDIRECT("'"&amp;DX$67&amp;"'!f1"),I71-1,))*1</f>
        <v>28800.848882666902</v>
      </c>
      <c r="DH71" cm="1">
        <f t="array" aca="1" ref="DH71" ca="1">IF(ISNA(J71),,OFFSET(INDIRECT("'"&amp;DY$67&amp;"'!f1"),J71-1,))*1</f>
        <v>0.39978943578898901</v>
      </c>
      <c r="DI71" cm="1">
        <f t="array" aca="1" ref="DI71" ca="1">IF(ISNA(K71),,OFFSET(INDIRECT("'"&amp;DZ$67&amp;"'!f1"),K71-1,))*1</f>
        <v>5.6769840354099799</v>
      </c>
      <c r="DJ71" cm="1">
        <f t="array" aca="1" ref="DJ71" ca="1">IF(ISNA(L71),,OFFSET(INDIRECT("'"&amp;EA$67&amp;"'!f1"),L71-1,))*1</f>
        <v>6.2701984532177404</v>
      </c>
      <c r="DK71" cm="1">
        <f t="array" aca="1" ref="DK71" ca="1">IF(ISNA(M71),,OFFSET(INDIRECT("'"&amp;EB$67&amp;"'!f1"),M71-1,))*1</f>
        <v>47.894898576661902</v>
      </c>
      <c r="DL71" cm="1">
        <f t="array" aca="1" ref="DL71" ca="1">IF(ISNA(N71),,OFFSET(INDIRECT("'"&amp;EC$67&amp;"'!f1"),N71-1,))*1</f>
        <v>9.8959626629948599E-3</v>
      </c>
      <c r="DM71" cm="1">
        <f t="array" aca="1" ref="DM71" ca="1">IF(ISNA(O71),,OFFSET(INDIRECT("'"&amp;ED$67&amp;"'!f1"),O71-1,))*1</f>
        <v>1.2443808838725E-2</v>
      </c>
      <c r="DN71" cm="1">
        <f t="array" aca="1" ref="DN71" ca="1">IF(ISNA(P71),,OFFSET(INDIRECT("'"&amp;EE$67&amp;"'!f1"),P71-1,))*1</f>
        <v>0.99134136084467095</v>
      </c>
      <c r="DT71">
        <f t="shared" ca="1" si="90"/>
        <v>1</v>
      </c>
      <c r="DU71">
        <f t="shared" ca="1" si="59"/>
        <v>1</v>
      </c>
      <c r="DV71">
        <f t="shared" ca="1" si="59"/>
        <v>1</v>
      </c>
      <c r="DW71">
        <f t="shared" ca="1" si="59"/>
        <v>1</v>
      </c>
      <c r="DX71">
        <f t="shared" ca="1" si="59"/>
        <v>1</v>
      </c>
      <c r="DY71">
        <f t="shared" ca="1" si="59"/>
        <v>1</v>
      </c>
      <c r="DZ71">
        <f t="shared" ca="1" si="59"/>
        <v>82</v>
      </c>
      <c r="EA71">
        <f t="shared" ca="1" si="59"/>
        <v>5165</v>
      </c>
      <c r="EB71">
        <f t="shared" ca="1" si="59"/>
        <v>69</v>
      </c>
      <c r="EC71">
        <f t="shared" ca="1" si="59"/>
        <v>0</v>
      </c>
      <c r="ED71">
        <f t="shared" ca="1" si="59"/>
        <v>0</v>
      </c>
      <c r="EE71">
        <f t="shared" ca="1" si="59"/>
        <v>0</v>
      </c>
      <c r="EK71" cm="1">
        <f t="array" aca="1" ref="EK71" ca="1">IF(ISNA(E71),0,OFFSET(INDIRECT("'"&amp;EK$67&amp;"'!g1"),E71-1,)*CL71)</f>
        <v>1</v>
      </c>
      <c r="EL71" cm="1">
        <f t="array" aca="1" ref="EL71" ca="1">IF(ISNA(F71),0,OFFSET(INDIRECT("'"&amp;EL$67&amp;"'!g1"),F71-1,)*CM71)</f>
        <v>1</v>
      </c>
      <c r="EM71" cm="1">
        <f t="array" aca="1" ref="EM71" ca="1">IF(ISNA(G71),0,OFFSET(INDIRECT("'"&amp;EM$67&amp;"'!g1"),G71-1,)*CN71)</f>
        <v>1</v>
      </c>
      <c r="EN71" cm="1">
        <f t="array" aca="1" ref="EN71" ca="1">IF(ISNA(H71),0,OFFSET(INDIRECT("'"&amp;EN$67&amp;"'!g1"),H71-1,)*CO71)</f>
        <v>1</v>
      </c>
      <c r="EO71" cm="1">
        <f t="array" aca="1" ref="EO71" ca="1">IF(ISNA(I71),0,OFFSET(INDIRECT("'"&amp;EO$67&amp;"'!g1"),I71-1,)*CP71)</f>
        <v>1</v>
      </c>
      <c r="EP71" cm="1">
        <f t="array" aca="1" ref="EP71" ca="1">IF(ISNA(J71),0,OFFSET(INDIRECT("'"&amp;EP$67&amp;"'!g1"),J71-1,)*CQ71)</f>
        <v>1</v>
      </c>
      <c r="EQ71" cm="1">
        <f t="array" aca="1" ref="EQ71" ca="1">IF(ISNA(K71),0,OFFSET(INDIRECT("'"&amp;EQ$67&amp;"'!g1"),K71-1,)*CR71)</f>
        <v>82</v>
      </c>
      <c r="ER71" cm="1">
        <f t="array" aca="1" ref="ER71" ca="1">IF(ISNA(L71),0,OFFSET(INDIRECT("'"&amp;ER$67&amp;"'!g1"),L71-1,)*CS71)</f>
        <v>5165</v>
      </c>
      <c r="ES71" cm="1">
        <f t="array" aca="1" ref="ES71" ca="1">IF(ISNA(M71),0,OFFSET(INDIRECT("'"&amp;ES$67&amp;"'!g1"),M71-1,)*CT71)</f>
        <v>69</v>
      </c>
      <c r="ET71" cm="1">
        <f t="array" aca="1" ref="ET71" ca="1">IF(ISNA(N71),0,OFFSET(INDIRECT("'"&amp;ET$67&amp;"'!g1"),N71-1,)*CU71)</f>
        <v>0</v>
      </c>
      <c r="EU71" cm="1">
        <f t="array" aca="1" ref="EU71" ca="1">IF(ISNA(O71),0,OFFSET(INDIRECT("'"&amp;EU$67&amp;"'!g1"),O71-1,)*CV71)</f>
        <v>0</v>
      </c>
      <c r="EV71" cm="1">
        <f t="array" aca="1" ref="EV71" ca="1">IF(ISNA(P71),0,OFFSET(INDIRECT("'"&amp;EV$67&amp;"'!g1"),P71-1,)*CW71)</f>
        <v>0</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5</v>
      </c>
      <c r="FN71" s="10"/>
      <c r="FO71" s="10"/>
      <c r="FP71" s="10"/>
      <c r="FQ71" s="10"/>
      <c r="FS71">
        <f t="shared" ca="1" si="91"/>
        <v>144</v>
      </c>
      <c r="FT71">
        <f t="shared" ca="1" si="92"/>
        <v>5.6769840354099799</v>
      </c>
      <c r="FU71">
        <f t="shared" ca="1" si="93"/>
        <v>82</v>
      </c>
      <c r="FV71">
        <f t="shared" ca="1" si="94"/>
        <v>10000</v>
      </c>
      <c r="FW71" s="4">
        <f t="shared" ca="1" si="95"/>
        <v>8.2000000000000007E-3</v>
      </c>
      <c r="FX71" s="5">
        <f t="shared" ca="1" si="96"/>
        <v>6.9231512626950972E-2</v>
      </c>
      <c r="FZ71" s="13">
        <f t="shared" ca="1" si="60"/>
        <v>144</v>
      </c>
      <c r="GA71" s="22">
        <f t="shared" ca="1" si="97"/>
        <v>0</v>
      </c>
      <c r="GB71" s="22">
        <f t="shared" ca="1" si="61"/>
        <v>0</v>
      </c>
      <c r="GC71" s="22">
        <f t="shared" ca="1" si="62"/>
        <v>0</v>
      </c>
      <c r="GD71" s="22">
        <f t="shared" ca="1" si="63"/>
        <v>0</v>
      </c>
      <c r="GE71" s="22">
        <f t="shared" ca="1" si="64"/>
        <v>0</v>
      </c>
      <c r="GF71" s="22">
        <f t="shared" ca="1" si="65"/>
        <v>0</v>
      </c>
      <c r="GG71" s="22">
        <f t="shared" ca="1" si="66"/>
        <v>0</v>
      </c>
      <c r="GH71" s="22">
        <f t="shared" ca="1" si="67"/>
        <v>0</v>
      </c>
      <c r="GI71" s="22">
        <f t="shared" ca="1" si="68"/>
        <v>0</v>
      </c>
      <c r="GJ71" s="22" t="e">
        <f t="shared" ca="1" si="69"/>
        <v>#N/A</v>
      </c>
      <c r="GK71" s="22" t="e">
        <f t="shared" ca="1" si="70"/>
        <v>#N/A</v>
      </c>
      <c r="GL71" s="22">
        <f t="shared" ca="1" si="71"/>
        <v>7.6923076923076927E-2</v>
      </c>
      <c r="GM71" s="22"/>
      <c r="GN71">
        <f t="shared" ca="1" si="98"/>
        <v>144</v>
      </c>
      <c r="GO71" s="5">
        <f t="shared" ca="1" si="99"/>
        <v>338.12546023260802</v>
      </c>
      <c r="GP71" s="5">
        <f t="shared" ca="1" si="72"/>
        <v>1168.2548279399</v>
      </c>
      <c r="GQ71" s="5">
        <f t="shared" ca="1" si="72"/>
        <v>1905.8547713328101</v>
      </c>
      <c r="GR71" s="5">
        <f t="shared" ca="1" si="72"/>
        <v>9877.3910804176703</v>
      </c>
      <c r="GS71" s="5" t="e">
        <f t="shared" ca="1" si="72"/>
        <v>#N/A</v>
      </c>
      <c r="GT71" s="5">
        <f t="shared" ca="1" si="100"/>
        <v>0.39978943578898901</v>
      </c>
      <c r="GU71" s="5">
        <f t="shared" ca="1" si="73"/>
        <v>6.9231512626950972E-2</v>
      </c>
      <c r="GV71" s="5">
        <f t="shared" ca="1" si="73"/>
        <v>1.2139784033335412E-3</v>
      </c>
      <c r="GW71" s="5">
        <f t="shared" ca="1" si="73"/>
        <v>0.69412896487915798</v>
      </c>
      <c r="GX71" s="5" t="e">
        <f t="shared" ca="1" si="73"/>
        <v>#N/A</v>
      </c>
      <c r="GY71" s="5" t="e">
        <f t="shared" ca="1" si="73"/>
        <v>#N/A</v>
      </c>
      <c r="GZ71" s="5" t="e">
        <f t="shared" ca="1" si="73"/>
        <v>#N/A</v>
      </c>
      <c r="HB71" s="13">
        <f t="shared" ca="1" si="74"/>
        <v>144</v>
      </c>
      <c r="HC71" s="4">
        <f t="shared" ca="1" si="101"/>
        <v>1</v>
      </c>
      <c r="HD71" s="4">
        <f t="shared" ca="1" si="75"/>
        <v>1</v>
      </c>
      <c r="HE71" s="4">
        <f t="shared" ca="1" si="76"/>
        <v>1</v>
      </c>
      <c r="HF71" s="4">
        <f t="shared" ca="1" si="77"/>
        <v>1</v>
      </c>
      <c r="HG71" s="4">
        <f t="shared" ca="1" si="78"/>
        <v>1</v>
      </c>
      <c r="HH71" s="4">
        <f t="shared" ca="1" si="79"/>
        <v>1</v>
      </c>
      <c r="HI71" s="4">
        <f t="shared" ca="1" si="80"/>
        <v>8.2000000000000007E-3</v>
      </c>
      <c r="HJ71" s="4">
        <f t="shared" ca="1" si="81"/>
        <v>0.51649999999999996</v>
      </c>
      <c r="HK71" s="4">
        <f t="shared" ca="1" si="82"/>
        <v>6.8999999999999999E-3</v>
      </c>
      <c r="HL71" s="4">
        <f t="shared" ca="1" si="83"/>
        <v>0</v>
      </c>
      <c r="HM71" s="4">
        <f t="shared" ca="1" si="84"/>
        <v>0</v>
      </c>
      <c r="HN71" s="4">
        <f t="shared" ca="1" si="85"/>
        <v>0</v>
      </c>
    </row>
    <row r="72" spans="1:222" x14ac:dyDescent="0.2">
      <c r="A72" t="str" cm="1">
        <f t="array" aca="1" ref="A72" ca="1">INDIRECT($A$67&amp;"!A"&amp;ROW(C5)+$B$64)</f>
        <v>180_2_17</v>
      </c>
      <c r="B72" cm="1">
        <f t="array" aca="1" ref="B72" ca="1">INDIRECT($A$67&amp;"!b"&amp;ROW(D5)+$B$64)</f>
        <v>180</v>
      </c>
      <c r="C72">
        <f t="shared" ca="1" si="86"/>
        <v>17</v>
      </c>
      <c r="E72">
        <f t="shared" ca="1" si="53"/>
        <v>33</v>
      </c>
      <c r="F72">
        <f t="shared" ca="1" si="53"/>
        <v>34</v>
      </c>
      <c r="G72">
        <f t="shared" ca="1" si="53"/>
        <v>35</v>
      </c>
      <c r="H72">
        <f t="shared" ca="1" si="53"/>
        <v>35</v>
      </c>
      <c r="I72">
        <f t="shared" ca="1" si="53"/>
        <v>40</v>
      </c>
      <c r="J72">
        <f t="shared" ca="1" si="53"/>
        <v>33</v>
      </c>
      <c r="K72">
        <f t="shared" ca="1" si="53"/>
        <v>36</v>
      </c>
      <c r="L72">
        <f t="shared" ca="1" si="53"/>
        <v>38</v>
      </c>
      <c r="M72">
        <f t="shared" ca="1" si="53"/>
        <v>39</v>
      </c>
      <c r="N72">
        <f t="shared" ca="1" si="53"/>
        <v>33</v>
      </c>
      <c r="O72">
        <f t="shared" ca="1" si="53"/>
        <v>33</v>
      </c>
      <c r="P72">
        <f t="shared" ca="1" si="53"/>
        <v>33</v>
      </c>
      <c r="V72" cm="1">
        <f t="array" aca="1" ref="V72" ca="1">IF(ISNA(E72),,OFFSET(INDIRECT("'"&amp;V$67&amp;"'!d1"),E72-1,))</f>
        <v>17</v>
      </c>
      <c r="W72" cm="1">
        <f t="array" aca="1" ref="W72" ca="1">IF(ISNA(F72),,OFFSET(INDIRECT("'"&amp;W$67&amp;"'!d1"),F72-1,))</f>
        <v>17</v>
      </c>
      <c r="X72" cm="1">
        <f t="array" aca="1" ref="X72" ca="1">IF(ISNA(G72),,OFFSET(INDIRECT("'"&amp;X$67&amp;"'!d1"),G72-1,))</f>
        <v>18</v>
      </c>
      <c r="Y72" cm="1">
        <f t="array" aca="1" ref="Y72" ca="1">IF(ISNA(H72),,OFFSET(INDIRECT("'"&amp;Y$67&amp;"'!d1"),H72-1,))</f>
        <v>0</v>
      </c>
      <c r="Z72" cm="1">
        <f t="array" aca="1" ref="Z72" ca="1">IF(ISNA(I72),,OFFSET(INDIRECT("'"&amp;Z$67&amp;"'!d1"),I72-1,))</f>
        <v>17</v>
      </c>
      <c r="AA72" cm="1">
        <f t="array" aca="1" ref="AA72" ca="1">IF(ISNA(J72),,OFFSET(INDIRECT("'"&amp;AA$67&amp;"'!d1"),J72-1,))</f>
        <v>17</v>
      </c>
      <c r="AB72" cm="1">
        <f t="array" aca="1" ref="AB72" ca="1">IF(ISNA(K72),,OFFSET(INDIRECT("'"&amp;AB$67&amp;"'!d1"),K72-1,))</f>
        <v>17</v>
      </c>
      <c r="AC72" cm="1">
        <f t="array" aca="1" ref="AC72" ca="1">IF(ISNA(L72),,OFFSET(INDIRECT("'"&amp;AC$67&amp;"'!d1"),L72-1,))</f>
        <v>17</v>
      </c>
      <c r="AD72" cm="1">
        <f t="array" aca="1" ref="AD72" ca="1">IF(ISNA(M72),,OFFSET(INDIRECT("'"&amp;AD$67&amp;"'!d1"),M72-1,))</f>
        <v>17</v>
      </c>
      <c r="AE72" cm="1">
        <f t="array" aca="1" ref="AE72" ca="1">IF(ISNA(N72),,OFFSET(INDIRECT("'"&amp;AE$67&amp;"'!d1"),N72-1,))</f>
        <v>0</v>
      </c>
      <c r="AF72" cm="1">
        <f t="array" aca="1" ref="AF72" ca="1">IF(ISNA(O72),,OFFSET(INDIRECT("'"&amp;AF$67&amp;"'!d1"),O72-1,))</f>
        <v>32</v>
      </c>
      <c r="AG72" cm="1">
        <f t="array" aca="1" ref="AG72" ca="1">IF(ISNA(P72),,OFFSET(INDIRECT("'"&amp;AG$67&amp;"'!d1"),P72-1,))</f>
        <v>17</v>
      </c>
      <c r="AM72">
        <f t="shared" ca="1" si="87"/>
        <v>1</v>
      </c>
      <c r="AN72">
        <f t="shared" ca="1" si="54"/>
        <v>0</v>
      </c>
      <c r="AO72">
        <f t="shared" ca="1" si="54"/>
        <v>0</v>
      </c>
      <c r="AP72">
        <f t="shared" ca="1" si="54"/>
        <v>0</v>
      </c>
      <c r="AQ72">
        <f t="shared" ca="1" si="88"/>
        <v>0</v>
      </c>
      <c r="AV72" t="b">
        <f t="shared" ca="1" si="89"/>
        <v>1</v>
      </c>
      <c r="AW72" t="str">
        <f t="shared" ca="1" si="55"/>
        <v/>
      </c>
      <c r="AX72" t="str">
        <f t="shared" ca="1" si="55"/>
        <v/>
      </c>
      <c r="AY72" t="str">
        <f t="shared" ca="1" si="55"/>
        <v/>
      </c>
      <c r="AZ72" t="str">
        <f t="shared" ca="1" si="55"/>
        <v/>
      </c>
      <c r="BD72">
        <f t="shared" ca="1" si="56"/>
        <v>1</v>
      </c>
      <c r="BE72">
        <f t="shared" ca="1" si="56"/>
        <v>1</v>
      </c>
      <c r="BF72">
        <f t="shared" ca="1" si="56"/>
        <v>1</v>
      </c>
      <c r="BG72">
        <f t="shared" ca="1" si="56"/>
        <v>0</v>
      </c>
      <c r="BH72">
        <f t="shared" ca="1" si="56"/>
        <v>1</v>
      </c>
      <c r="BI72">
        <f t="shared" ca="1" si="56"/>
        <v>1</v>
      </c>
      <c r="BJ72">
        <f t="shared" ca="1" si="56"/>
        <v>1</v>
      </c>
      <c r="BK72">
        <f t="shared" ca="1" si="56"/>
        <v>1</v>
      </c>
      <c r="BL72">
        <f t="shared" ca="1" si="56"/>
        <v>1</v>
      </c>
      <c r="BM72">
        <f t="shared" ca="1" si="56"/>
        <v>0</v>
      </c>
      <c r="BN72">
        <f t="shared" ca="1" si="56"/>
        <v>1</v>
      </c>
      <c r="BO72">
        <f t="shared" ca="1" si="56"/>
        <v>1</v>
      </c>
      <c r="BU72">
        <f t="shared" ca="1" si="57"/>
        <v>17</v>
      </c>
      <c r="BV72">
        <f t="shared" ca="1" si="57"/>
        <v>17</v>
      </c>
      <c r="BW72">
        <f t="shared" ca="1" si="57"/>
        <v>18</v>
      </c>
      <c r="BX72">
        <f t="shared" ca="1" si="57"/>
        <v>180</v>
      </c>
      <c r="BY72">
        <f t="shared" ca="1" si="57"/>
        <v>17</v>
      </c>
      <c r="BZ72">
        <f t="shared" ca="1" si="57"/>
        <v>17</v>
      </c>
      <c r="CA72">
        <f t="shared" ca="1" si="57"/>
        <v>17</v>
      </c>
      <c r="CB72">
        <f t="shared" ca="1" si="57"/>
        <v>17</v>
      </c>
      <c r="CC72">
        <f t="shared" ca="1" si="57"/>
        <v>17</v>
      </c>
      <c r="CD72">
        <f t="shared" ca="1" si="57"/>
        <v>180</v>
      </c>
      <c r="CE72">
        <f t="shared" ca="1" si="57"/>
        <v>32</v>
      </c>
      <c r="CF72">
        <f t="shared" ca="1" si="57"/>
        <v>17</v>
      </c>
      <c r="CL72">
        <f t="shared" ca="1" si="58"/>
        <v>1</v>
      </c>
      <c r="CM72">
        <f t="shared" ca="1" si="58"/>
        <v>1</v>
      </c>
      <c r="CN72">
        <f t="shared" ca="1" si="58"/>
        <v>0</v>
      </c>
      <c r="CO72">
        <f t="shared" ca="1" si="58"/>
        <v>0</v>
      </c>
      <c r="CP72">
        <f t="shared" ca="1" si="58"/>
        <v>1</v>
      </c>
      <c r="CQ72">
        <f t="shared" ca="1" si="58"/>
        <v>1</v>
      </c>
      <c r="CR72">
        <f t="shared" ca="1" si="58"/>
        <v>1</v>
      </c>
      <c r="CS72">
        <f t="shared" ca="1" si="58"/>
        <v>1</v>
      </c>
      <c r="CT72">
        <f t="shared" ca="1" si="58"/>
        <v>1</v>
      </c>
      <c r="CU72">
        <f t="shared" ca="1" si="58"/>
        <v>0</v>
      </c>
      <c r="CV72">
        <f t="shared" ca="1" si="58"/>
        <v>0</v>
      </c>
      <c r="CW72">
        <f t="shared" ca="1" si="58"/>
        <v>1</v>
      </c>
      <c r="DC72" cm="1">
        <f t="array" aca="1" ref="DC72" ca="1">IF(ISNA(E72),,OFFSET(INDIRECT("'"&amp;DT$67&amp;"'!f1"),E72-1,))*1</f>
        <v>12287.333492035001</v>
      </c>
      <c r="DD72" cm="1">
        <f t="array" aca="1" ref="DD72" ca="1">IF(ISNA(F72),,OFFSET(INDIRECT("'"&amp;DU$67&amp;"'!f1"),F72-1,))*1</f>
        <v>28811.138106578001</v>
      </c>
      <c r="DE72" cm="1">
        <f t="array" aca="1" ref="DE72" ca="1">IF(ISNA(G72),,OFFSET(INDIRECT("'"&amp;DV$67&amp;"'!f1"),G72-1,))*1</f>
        <v>28800.233760229301</v>
      </c>
      <c r="DF72" cm="1">
        <f t="array" aca="1" ref="DF72" ca="1">IF(ISNA(H72),,OFFSET(INDIRECT("'"&amp;DW$67&amp;"'!f1"),H72-1,))*1</f>
        <v>28800.350680002</v>
      </c>
      <c r="DG72" cm="1">
        <f t="array" aca="1" ref="DG72" ca="1">IF(ISNA(I72),,OFFSET(INDIRECT("'"&amp;DX$67&amp;"'!f1"),I72-1,))*1</f>
        <v>28800.385927583</v>
      </c>
      <c r="DH72" cm="1">
        <f t="array" aca="1" ref="DH72" ca="1">IF(ISNA(J72),,OFFSET(INDIRECT("'"&amp;DY$67&amp;"'!f1"),J72-1,))*1</f>
        <v>0.60254219546914101</v>
      </c>
      <c r="DI72" cm="1">
        <f t="array" aca="1" ref="DI72" ca="1">IF(ISNA(K72),,OFFSET(INDIRECT("'"&amp;DZ$67&amp;"'!f1"),K72-1,))*1</f>
        <v>7.8252306766807997</v>
      </c>
      <c r="DJ72" cm="1">
        <f t="array" aca="1" ref="DJ72" ca="1">IF(ISNA(L72),,OFFSET(INDIRECT("'"&amp;EA$67&amp;"'!f1"),L72-1,))*1</f>
        <v>8.1938018947839701</v>
      </c>
      <c r="DK72" cm="1">
        <f t="array" aca="1" ref="DK72" ca="1">IF(ISNA(M72),,OFFSET(INDIRECT("'"&amp;EB$67&amp;"'!f1"),M72-1,))*1</f>
        <v>63.564848209731203</v>
      </c>
      <c r="DL72" cm="1">
        <f t="array" aca="1" ref="DL72" ca="1">IF(ISNA(N72),,OFFSET(INDIRECT("'"&amp;EC$67&amp;"'!f1"),N72-1,))*1</f>
        <v>1.31003092974424E-2</v>
      </c>
      <c r="DM72" cm="1">
        <f t="array" aca="1" ref="DM72" ca="1">IF(ISNA(O72),,OFFSET(INDIRECT("'"&amp;ED$67&amp;"'!f1"),O72-1,))*1</f>
        <v>2.05650245770812E-2</v>
      </c>
      <c r="DN72" cm="1">
        <f t="array" aca="1" ref="DN72" ca="1">IF(ISNA(P72),,OFFSET(INDIRECT("'"&amp;EE$67&amp;"'!f1"),P72-1,))*1</f>
        <v>799.38918037526298</v>
      </c>
      <c r="DT72">
        <f t="shared" ca="1" si="90"/>
        <v>1</v>
      </c>
      <c r="DU72">
        <f t="shared" ca="1" si="59"/>
        <v>1</v>
      </c>
      <c r="DV72">
        <f t="shared" ca="1" si="59"/>
        <v>0</v>
      </c>
      <c r="DW72">
        <f t="shared" ca="1" si="59"/>
        <v>0</v>
      </c>
      <c r="DX72">
        <f t="shared" ca="1" si="59"/>
        <v>1</v>
      </c>
      <c r="DY72">
        <f t="shared" ca="1" si="59"/>
        <v>1</v>
      </c>
      <c r="DZ72">
        <f t="shared" ca="1" si="59"/>
        <v>6</v>
      </c>
      <c r="EA72">
        <f t="shared" ca="1" si="59"/>
        <v>4640</v>
      </c>
      <c r="EB72">
        <f t="shared" ca="1" si="59"/>
        <v>6</v>
      </c>
      <c r="EC72">
        <f t="shared" ca="1" si="59"/>
        <v>0</v>
      </c>
      <c r="ED72">
        <f t="shared" ca="1" si="59"/>
        <v>0</v>
      </c>
      <c r="EE72">
        <f t="shared" ca="1" si="59"/>
        <v>2</v>
      </c>
      <c r="EK72" cm="1">
        <f t="array" aca="1" ref="EK72" ca="1">IF(ISNA(E72),0,OFFSET(INDIRECT("'"&amp;EK$67&amp;"'!g1"),E72-1,)*CL72)</f>
        <v>1</v>
      </c>
      <c r="EL72" cm="1">
        <f t="array" aca="1" ref="EL72" ca="1">IF(ISNA(F72),0,OFFSET(INDIRECT("'"&amp;EL$67&amp;"'!g1"),F72-1,)*CM72)</f>
        <v>1</v>
      </c>
      <c r="EM72" cm="1">
        <f t="array" aca="1" ref="EM72" ca="1">IF(ISNA(G72),0,OFFSET(INDIRECT("'"&amp;EM$67&amp;"'!g1"),G72-1,)*CN72)</f>
        <v>0</v>
      </c>
      <c r="EN72" cm="1">
        <f t="array" aca="1" ref="EN72" ca="1">IF(ISNA(H72),0,OFFSET(INDIRECT("'"&amp;EN$67&amp;"'!g1"),H72-1,)*CO72)</f>
        <v>0</v>
      </c>
      <c r="EO72" cm="1">
        <f t="array" aca="1" ref="EO72" ca="1">IF(ISNA(I72),0,OFFSET(INDIRECT("'"&amp;EO$67&amp;"'!g1"),I72-1,)*CP72)</f>
        <v>1</v>
      </c>
      <c r="EP72" cm="1">
        <f t="array" aca="1" ref="EP72" ca="1">IF(ISNA(J72),0,OFFSET(INDIRECT("'"&amp;EP$67&amp;"'!g1"),J72-1,)*CQ72)</f>
        <v>1</v>
      </c>
      <c r="EQ72" cm="1">
        <f t="array" aca="1" ref="EQ72" ca="1">IF(ISNA(K72),0,OFFSET(INDIRECT("'"&amp;EQ$67&amp;"'!g1"),K72-1,)*CR72)</f>
        <v>6</v>
      </c>
      <c r="ER72" cm="1">
        <f t="array" aca="1" ref="ER72" ca="1">IF(ISNA(L72),0,OFFSET(INDIRECT("'"&amp;ER$67&amp;"'!g1"),L72-1,)*CS72)</f>
        <v>4640</v>
      </c>
      <c r="ES72" cm="1">
        <f t="array" aca="1" ref="ES72" ca="1">IF(ISNA(M72),0,OFFSET(INDIRECT("'"&amp;ES$67&amp;"'!g1"),M72-1,)*CT72)</f>
        <v>6</v>
      </c>
      <c r="ET72" cm="1">
        <f t="array" aca="1" ref="ET72" ca="1">IF(ISNA(N72),0,OFFSET(INDIRECT("'"&amp;ET$67&amp;"'!g1"),N72-1,)*CU72)</f>
        <v>0</v>
      </c>
      <c r="EU72" cm="1">
        <f t="array" aca="1" ref="EU72" ca="1">IF(ISNA(O72),0,OFFSET(INDIRECT("'"&amp;EU$67&amp;"'!g1"),O72-1,)*CV72)</f>
        <v>0</v>
      </c>
      <c r="EV72" cm="1">
        <f t="array" aca="1" ref="EV72" ca="1">IF(ISNA(P72),0,OFFSET(INDIRECT("'"&amp;EV$67&amp;"'!g1"),P72-1,)*CW72)</f>
        <v>2</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1</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7</v>
      </c>
      <c r="FN72" s="10"/>
      <c r="FO72" s="10"/>
      <c r="FP72" s="10"/>
      <c r="FQ72" s="10"/>
      <c r="FS72">
        <f t="shared" ca="1" si="91"/>
        <v>180</v>
      </c>
      <c r="FT72">
        <f t="shared" ca="1" si="92"/>
        <v>7.8252306766807997</v>
      </c>
      <c r="FU72">
        <f t="shared" ca="1" si="93"/>
        <v>6</v>
      </c>
      <c r="FV72">
        <f t="shared" ca="1" si="94"/>
        <v>10000</v>
      </c>
      <c r="FW72" s="4">
        <f t="shared" ca="1" si="95"/>
        <v>5.9999999999999995E-4</v>
      </c>
      <c r="FX72" s="5">
        <f t="shared" ca="1" si="96"/>
        <v>1.3042051127801333</v>
      </c>
      <c r="FZ72" s="13">
        <f t="shared" ca="1" si="60"/>
        <v>180</v>
      </c>
      <c r="GA72" s="22">
        <f t="shared" ca="1" si="97"/>
        <v>0</v>
      </c>
      <c r="GB72" s="22">
        <f t="shared" ca="1" si="61"/>
        <v>0</v>
      </c>
      <c r="GC72" s="22">
        <f t="shared" ca="1" si="62"/>
        <v>5.8823529411764705E-2</v>
      </c>
      <c r="GD72" s="22" t="e">
        <f t="shared" ca="1" si="63"/>
        <v>#N/A</v>
      </c>
      <c r="GE72" s="22">
        <f t="shared" ca="1" si="64"/>
        <v>0</v>
      </c>
      <c r="GF72" s="22">
        <f t="shared" ca="1" si="65"/>
        <v>0</v>
      </c>
      <c r="GG72" s="22">
        <f t="shared" ca="1" si="66"/>
        <v>0</v>
      </c>
      <c r="GH72" s="22">
        <f t="shared" ca="1" si="67"/>
        <v>0</v>
      </c>
      <c r="GI72" s="22">
        <f t="shared" ca="1" si="68"/>
        <v>0</v>
      </c>
      <c r="GJ72" s="22" t="e">
        <f t="shared" ca="1" si="69"/>
        <v>#N/A</v>
      </c>
      <c r="GK72" s="22">
        <f t="shared" ca="1" si="70"/>
        <v>0.88235294117647056</v>
      </c>
      <c r="GL72" s="22">
        <f t="shared" ca="1" si="71"/>
        <v>0</v>
      </c>
      <c r="GM72" s="22"/>
      <c r="GN72">
        <f t="shared" ca="1" si="98"/>
        <v>180</v>
      </c>
      <c r="GO72" s="5">
        <f t="shared" ca="1" si="99"/>
        <v>12287.333492035001</v>
      </c>
      <c r="GP72" s="5" t="e">
        <f t="shared" ca="1" si="72"/>
        <v>#N/A</v>
      </c>
      <c r="GQ72" s="5" t="e">
        <f t="shared" ca="1" si="72"/>
        <v>#N/A</v>
      </c>
      <c r="GR72" s="5" t="e">
        <f t="shared" ca="1" si="72"/>
        <v>#N/A</v>
      </c>
      <c r="GS72" s="5" t="e">
        <f t="shared" ca="1" si="72"/>
        <v>#N/A</v>
      </c>
      <c r="GT72" s="5">
        <f t="shared" ca="1" si="100"/>
        <v>0.60254219546914101</v>
      </c>
      <c r="GU72" s="5">
        <f t="shared" ca="1" si="73"/>
        <v>1.3042051127801333</v>
      </c>
      <c r="GV72" s="5">
        <f t="shared" ca="1" si="73"/>
        <v>1.7659055807724073E-3</v>
      </c>
      <c r="GW72" s="5">
        <f t="shared" ca="1" si="73"/>
        <v>10.594141368288534</v>
      </c>
      <c r="GX72" s="5" t="e">
        <f t="shared" ca="1" si="73"/>
        <v>#N/A</v>
      </c>
      <c r="GY72" s="5" t="e">
        <f t="shared" ca="1" si="73"/>
        <v>#N/A</v>
      </c>
      <c r="GZ72" s="5">
        <f t="shared" ca="1" si="73"/>
        <v>399.69459018763149</v>
      </c>
      <c r="HB72" s="13">
        <f t="shared" ca="1" si="74"/>
        <v>180</v>
      </c>
      <c r="HC72" s="4">
        <f t="shared" ca="1" si="101"/>
        <v>1</v>
      </c>
      <c r="HD72" s="4">
        <f t="shared" ca="1" si="75"/>
        <v>1</v>
      </c>
      <c r="HE72" s="4">
        <f t="shared" ca="1" si="76"/>
        <v>0</v>
      </c>
      <c r="HF72" s="4">
        <f t="shared" ca="1" si="77"/>
        <v>0</v>
      </c>
      <c r="HG72" s="4">
        <f t="shared" ca="1" si="78"/>
        <v>1</v>
      </c>
      <c r="HH72" s="4">
        <f t="shared" ca="1" si="79"/>
        <v>1</v>
      </c>
      <c r="HI72" s="4">
        <f t="shared" ca="1" si="80"/>
        <v>5.9999999999999995E-4</v>
      </c>
      <c r="HJ72" s="4">
        <f t="shared" ca="1" si="81"/>
        <v>0.46400000000000002</v>
      </c>
      <c r="HK72" s="4">
        <f t="shared" ca="1" si="82"/>
        <v>5.9999999999999995E-4</v>
      </c>
      <c r="HL72" s="4">
        <f t="shared" ca="1" si="83"/>
        <v>0</v>
      </c>
      <c r="HM72" s="4">
        <f t="shared" ca="1" si="84"/>
        <v>0</v>
      </c>
      <c r="HN72" s="4">
        <f t="shared" ca="1" si="85"/>
        <v>0.2857142857142857</v>
      </c>
    </row>
    <row r="73" spans="1:222" x14ac:dyDescent="0.2">
      <c r="A73" t="str" cm="1">
        <f t="array" aca="1" ref="A73" ca="1">INDIRECT($A$67&amp;"!A"&amp;ROW(C6)+$B$64)</f>
        <v>216_4_18</v>
      </c>
      <c r="B73" cm="1">
        <f t="array" aca="1" ref="B73" ca="1">INDIRECT($A$67&amp;"!b"&amp;ROW(D6)+$B$64)</f>
        <v>216</v>
      </c>
      <c r="C73">
        <f t="shared" ca="1" si="86"/>
        <v>18</v>
      </c>
      <c r="E73">
        <f t="shared" ca="1" si="53"/>
        <v>34</v>
      </c>
      <c r="F73">
        <f t="shared" ca="1" si="53"/>
        <v>35</v>
      </c>
      <c r="G73">
        <f t="shared" ca="1" si="53"/>
        <v>39</v>
      </c>
      <c r="H73">
        <f t="shared" ca="1" si="53"/>
        <v>39</v>
      </c>
      <c r="I73">
        <f t="shared" ca="1" si="53"/>
        <v>38</v>
      </c>
      <c r="J73">
        <f t="shared" ca="1" si="53"/>
        <v>34</v>
      </c>
      <c r="K73">
        <f t="shared" ca="1" si="53"/>
        <v>37</v>
      </c>
      <c r="L73">
        <f t="shared" ca="1" si="53"/>
        <v>39</v>
      </c>
      <c r="M73">
        <f t="shared" ca="1" si="53"/>
        <v>40</v>
      </c>
      <c r="N73">
        <f t="shared" ca="1" si="53"/>
        <v>34</v>
      </c>
      <c r="O73">
        <f t="shared" ca="1" si="53"/>
        <v>34</v>
      </c>
      <c r="P73">
        <f t="shared" ca="1" si="53"/>
        <v>34</v>
      </c>
      <c r="V73" cm="1">
        <f t="array" aca="1" ref="V73" ca="1">IF(ISNA(E73),,OFFSET(INDIRECT("'"&amp;V$67&amp;"'!d1"),E73-1,))</f>
        <v>18</v>
      </c>
      <c r="W73" cm="1">
        <f t="array" aca="1" ref="W73" ca="1">IF(ISNA(F73),,OFFSET(INDIRECT("'"&amp;W$67&amp;"'!d1"),F73-1,))</f>
        <v>18</v>
      </c>
      <c r="X73" cm="1">
        <f t="array" aca="1" ref="X73" ca="1">IF(ISNA(G73),,OFFSET(INDIRECT("'"&amp;X$67&amp;"'!d1"),G73-1,))</f>
        <v>18</v>
      </c>
      <c r="Y73" cm="1">
        <f t="array" aca="1" ref="Y73" ca="1">IF(ISNA(H73),,OFFSET(INDIRECT("'"&amp;Y$67&amp;"'!d1"),H73-1,))</f>
        <v>0</v>
      </c>
      <c r="Z73" cm="1">
        <f t="array" aca="1" ref="Z73" ca="1">IF(ISNA(I73),,OFFSET(INDIRECT("'"&amp;Z$67&amp;"'!d1"),I73-1,))</f>
        <v>18</v>
      </c>
      <c r="AA73" cm="1">
        <f t="array" aca="1" ref="AA73" ca="1">IF(ISNA(J73),,OFFSET(INDIRECT("'"&amp;AA$67&amp;"'!d1"),J73-1,))</f>
        <v>18</v>
      </c>
      <c r="AB73" cm="1">
        <f t="array" aca="1" ref="AB73" ca="1">IF(ISNA(K73),,OFFSET(INDIRECT("'"&amp;AB$67&amp;"'!d1"),K73-1,))</f>
        <v>18</v>
      </c>
      <c r="AC73" cm="1">
        <f t="array" aca="1" ref="AC73" ca="1">IF(ISNA(L73),,OFFSET(INDIRECT("'"&amp;AC$67&amp;"'!d1"),L73-1,))</f>
        <v>18</v>
      </c>
      <c r="AD73" cm="1">
        <f t="array" aca="1" ref="AD73" ca="1">IF(ISNA(M73),,OFFSET(INDIRECT("'"&amp;AD$67&amp;"'!d1"),M73-1,))</f>
        <v>18</v>
      </c>
      <c r="AE73" cm="1">
        <f t="array" aca="1" ref="AE73" ca="1">IF(ISNA(N73),,OFFSET(INDIRECT("'"&amp;AE$67&amp;"'!d1"),N73-1,))</f>
        <v>0</v>
      </c>
      <c r="AF73" cm="1">
        <f t="array" aca="1" ref="AF73" ca="1">IF(ISNA(O73),,OFFSET(INDIRECT("'"&amp;AF$67&amp;"'!d1"),O73-1,))</f>
        <v>0</v>
      </c>
      <c r="AG73" cm="1">
        <f t="array" aca="1" ref="AG73" ca="1">IF(ISNA(P73),,OFFSET(INDIRECT("'"&amp;AG$67&amp;"'!d1"),P73-1,))</f>
        <v>20</v>
      </c>
      <c r="AM73">
        <f t="shared" ca="1" si="87"/>
        <v>0</v>
      </c>
      <c r="AN73">
        <f t="shared" ca="1" si="54"/>
        <v>0</v>
      </c>
      <c r="AO73">
        <f t="shared" ca="1" si="54"/>
        <v>0</v>
      </c>
      <c r="AP73">
        <f t="shared" ca="1" si="54"/>
        <v>0</v>
      </c>
      <c r="AQ73">
        <f t="shared" ca="1" si="88"/>
        <v>0</v>
      </c>
      <c r="AV73" t="str">
        <f t="shared" ca="1" si="89"/>
        <v/>
      </c>
      <c r="AW73" t="str">
        <f t="shared" ca="1" si="55"/>
        <v/>
      </c>
      <c r="AX73" t="str">
        <f t="shared" ca="1" si="55"/>
        <v/>
      </c>
      <c r="AY73" t="str">
        <f t="shared" ca="1" si="55"/>
        <v/>
      </c>
      <c r="AZ73" t="str">
        <f t="shared" ca="1" si="55"/>
        <v/>
      </c>
      <c r="BD73">
        <f t="shared" ca="1" si="56"/>
        <v>1</v>
      </c>
      <c r="BE73">
        <f t="shared" ca="1" si="56"/>
        <v>1</v>
      </c>
      <c r="BF73">
        <f t="shared" ca="1" si="56"/>
        <v>1</v>
      </c>
      <c r="BG73">
        <f t="shared" ca="1" si="56"/>
        <v>0</v>
      </c>
      <c r="BH73">
        <f t="shared" ca="1" si="56"/>
        <v>1</v>
      </c>
      <c r="BI73">
        <f t="shared" ca="1" si="56"/>
        <v>1</v>
      </c>
      <c r="BJ73">
        <f t="shared" ca="1" si="56"/>
        <v>1</v>
      </c>
      <c r="BK73">
        <f t="shared" ca="1" si="56"/>
        <v>1</v>
      </c>
      <c r="BL73">
        <f t="shared" ca="1" si="56"/>
        <v>1</v>
      </c>
      <c r="BM73">
        <f t="shared" ca="1" si="56"/>
        <v>0</v>
      </c>
      <c r="BN73">
        <f t="shared" ca="1" si="56"/>
        <v>0</v>
      </c>
      <c r="BO73">
        <f t="shared" ca="1" si="56"/>
        <v>1</v>
      </c>
      <c r="BU73">
        <f t="shared" ca="1" si="57"/>
        <v>18</v>
      </c>
      <c r="BV73">
        <f t="shared" ca="1" si="57"/>
        <v>18</v>
      </c>
      <c r="BW73">
        <f t="shared" ca="1" si="57"/>
        <v>18</v>
      </c>
      <c r="BX73">
        <f t="shared" ca="1" si="57"/>
        <v>216</v>
      </c>
      <c r="BY73">
        <f t="shared" ca="1" si="57"/>
        <v>18</v>
      </c>
      <c r="BZ73">
        <f t="shared" ca="1" si="57"/>
        <v>18</v>
      </c>
      <c r="CA73">
        <f t="shared" ca="1" si="57"/>
        <v>18</v>
      </c>
      <c r="CB73">
        <f t="shared" ca="1" si="57"/>
        <v>18</v>
      </c>
      <c r="CC73">
        <f t="shared" ca="1" si="57"/>
        <v>18</v>
      </c>
      <c r="CD73">
        <f t="shared" ca="1" si="57"/>
        <v>216</v>
      </c>
      <c r="CE73">
        <f t="shared" ca="1" si="57"/>
        <v>216</v>
      </c>
      <c r="CF73">
        <f t="shared" ca="1" si="57"/>
        <v>20</v>
      </c>
      <c r="CL73">
        <f t="shared" ca="1" si="58"/>
        <v>1</v>
      </c>
      <c r="CM73">
        <f t="shared" ca="1" si="58"/>
        <v>1</v>
      </c>
      <c r="CN73">
        <f t="shared" ca="1" si="58"/>
        <v>1</v>
      </c>
      <c r="CO73">
        <f t="shared" ca="1" si="58"/>
        <v>0</v>
      </c>
      <c r="CP73">
        <f t="shared" ca="1" si="58"/>
        <v>1</v>
      </c>
      <c r="CQ73">
        <f t="shared" ca="1" si="58"/>
        <v>1</v>
      </c>
      <c r="CR73">
        <f t="shared" ca="1" si="58"/>
        <v>1</v>
      </c>
      <c r="CS73">
        <f t="shared" ca="1" si="58"/>
        <v>1</v>
      </c>
      <c r="CT73">
        <f t="shared" ca="1" si="58"/>
        <v>1</v>
      </c>
      <c r="CU73">
        <f t="shared" ca="1" si="58"/>
        <v>0</v>
      </c>
      <c r="CV73">
        <f t="shared" ca="1" si="58"/>
        <v>0</v>
      </c>
      <c r="CW73">
        <f t="shared" ca="1" si="58"/>
        <v>0</v>
      </c>
      <c r="DC73" cm="1">
        <f t="array" aca="1" ref="DC73" ca="1">IF(ISNA(E73),,OFFSET(INDIRECT("'"&amp;DT$67&amp;"'!f1"),E73-1,))*1</f>
        <v>28858.1702479142</v>
      </c>
      <c r="DD73" cm="1">
        <f t="array" aca="1" ref="DD73" ca="1">IF(ISNA(F73),,OFFSET(INDIRECT("'"&amp;DU$67&amp;"'!f1"),F73-1,))*1</f>
        <v>28820.15808162</v>
      </c>
      <c r="DE73" cm="1">
        <f t="array" aca="1" ref="DE73" ca="1">IF(ISNA(G73),,OFFSET(INDIRECT("'"&amp;DV$67&amp;"'!f1"),G73-1,))*1</f>
        <v>28800.141245212399</v>
      </c>
      <c r="DF73" cm="1">
        <f t="array" aca="1" ref="DF73" ca="1">IF(ISNA(H73),,OFFSET(INDIRECT("'"&amp;DW$67&amp;"'!f1"),H73-1,))*1</f>
        <v>28800.109934653101</v>
      </c>
      <c r="DG73" cm="1">
        <f t="array" aca="1" ref="DG73" ca="1">IF(ISNA(I73),,OFFSET(INDIRECT("'"&amp;DX$67&amp;"'!f1"),I73-1,))*1</f>
        <v>28800.955093290999</v>
      </c>
      <c r="DH73" cm="1">
        <f t="array" aca="1" ref="DH73" ca="1">IF(ISNA(J73),,OFFSET(INDIRECT("'"&amp;DY$67&amp;"'!f1"),J73-1,))*1</f>
        <v>0.94381400384008796</v>
      </c>
      <c r="DI73" cm="1">
        <f t="array" aca="1" ref="DI73" ca="1">IF(ISNA(K73),,OFFSET(INDIRECT("'"&amp;DZ$67&amp;"'!f1"),K73-1,))*1</f>
        <v>11.3388779079541</v>
      </c>
      <c r="DJ73" cm="1">
        <f t="array" aca="1" ref="DJ73" ca="1">IF(ISNA(L73),,OFFSET(INDIRECT("'"&amp;EA$67&amp;"'!f1"),L73-1,))*1</f>
        <v>11.3913584463298</v>
      </c>
      <c r="DK73" cm="1">
        <f t="array" aca="1" ref="DK73" ca="1">IF(ISNA(M73),,OFFSET(INDIRECT("'"&amp;EB$67&amp;"'!f1"),M73-1,))*1</f>
        <v>92.764882870018397</v>
      </c>
      <c r="DL73" cm="1">
        <f t="array" aca="1" ref="DL73" ca="1">IF(ISNA(N73),,OFFSET(INDIRECT("'"&amp;EC$67&amp;"'!f1"),N73-1,))*1</f>
        <v>1.8792056478559901E-2</v>
      </c>
      <c r="DM73" cm="1">
        <f t="array" aca="1" ref="DM73" ca="1">IF(ISNA(O73),,OFFSET(INDIRECT("'"&amp;ED$67&amp;"'!f1"),O73-1,))*1</f>
        <v>2.08836533129215E-2</v>
      </c>
      <c r="DN73" cm="1">
        <f t="array" aca="1" ref="DN73" ca="1">IF(ISNA(P73),,OFFSET(INDIRECT("'"&amp;EE$67&amp;"'!f1"),P73-1,))*1</f>
        <v>3.1763779586181</v>
      </c>
      <c r="DT73">
        <f t="shared" ca="1" si="90"/>
        <v>1</v>
      </c>
      <c r="DU73">
        <f t="shared" ca="1" si="59"/>
        <v>1</v>
      </c>
      <c r="DV73">
        <f t="shared" ca="1" si="59"/>
        <v>1</v>
      </c>
      <c r="DW73">
        <f t="shared" ca="1" si="59"/>
        <v>0</v>
      </c>
      <c r="DX73">
        <f t="shared" ca="1" si="59"/>
        <v>1</v>
      </c>
      <c r="DY73">
        <f t="shared" ca="1" si="59"/>
        <v>1</v>
      </c>
      <c r="DZ73">
        <f t="shared" ca="1" si="59"/>
        <v>20</v>
      </c>
      <c r="EA73">
        <f t="shared" ca="1" si="59"/>
        <v>5423</v>
      </c>
      <c r="EB73">
        <f t="shared" ca="1" si="59"/>
        <v>35</v>
      </c>
      <c r="EC73">
        <f t="shared" ca="1" si="59"/>
        <v>0</v>
      </c>
      <c r="ED73">
        <f t="shared" ca="1" si="59"/>
        <v>0</v>
      </c>
      <c r="EE73">
        <f t="shared" ca="1" si="59"/>
        <v>0</v>
      </c>
      <c r="EK73" cm="1">
        <f t="array" aca="1" ref="EK73" ca="1">IF(ISNA(E73),0,OFFSET(INDIRECT("'"&amp;EK$67&amp;"'!g1"),E73-1,)*CL73)</f>
        <v>1</v>
      </c>
      <c r="EL73" cm="1">
        <f t="array" aca="1" ref="EL73" ca="1">IF(ISNA(F73),0,OFFSET(INDIRECT("'"&amp;EL$67&amp;"'!g1"),F73-1,)*CM73)</f>
        <v>1</v>
      </c>
      <c r="EM73" cm="1">
        <f t="array" aca="1" ref="EM73" ca="1">IF(ISNA(G73),0,OFFSET(INDIRECT("'"&amp;EM$67&amp;"'!g1"),G73-1,)*CN73)</f>
        <v>1</v>
      </c>
      <c r="EN73" cm="1">
        <f t="array" aca="1" ref="EN73" ca="1">IF(ISNA(H73),0,OFFSET(INDIRECT("'"&amp;EN$67&amp;"'!g1"),H73-1,)*CO73)</f>
        <v>0</v>
      </c>
      <c r="EO73" cm="1">
        <f t="array" aca="1" ref="EO73" ca="1">IF(ISNA(I73),0,OFFSET(INDIRECT("'"&amp;EO$67&amp;"'!g1"),I73-1,)*CP73)</f>
        <v>1</v>
      </c>
      <c r="EP73" cm="1">
        <f t="array" aca="1" ref="EP73" ca="1">IF(ISNA(J73),0,OFFSET(INDIRECT("'"&amp;EP$67&amp;"'!g1"),J73-1,)*CQ73)</f>
        <v>1</v>
      </c>
      <c r="EQ73" cm="1">
        <f t="array" aca="1" ref="EQ73" ca="1">IF(ISNA(K73),0,OFFSET(INDIRECT("'"&amp;EQ$67&amp;"'!g1"),K73-1,)*CR73)</f>
        <v>20</v>
      </c>
      <c r="ER73" cm="1">
        <f t="array" aca="1" ref="ER73" ca="1">IF(ISNA(L73),0,OFFSET(INDIRECT("'"&amp;ER$67&amp;"'!g1"),L73-1,)*CS73)</f>
        <v>5423</v>
      </c>
      <c r="ES73" cm="1">
        <f t="array" aca="1" ref="ES73" ca="1">IF(ISNA(M73),0,OFFSET(INDIRECT("'"&amp;ES$67&amp;"'!g1"),M73-1,)*CT73)</f>
        <v>35</v>
      </c>
      <c r="ET73" cm="1">
        <f t="array" aca="1" ref="ET73" ca="1">IF(ISNA(N73),0,OFFSET(INDIRECT("'"&amp;ET$67&amp;"'!g1"),N73-1,)*CU73)</f>
        <v>0</v>
      </c>
      <c r="EU73" cm="1">
        <f t="array" aca="1" ref="EU73" ca="1">IF(ISNA(O73),0,OFFSET(INDIRECT("'"&amp;EU$67&amp;"'!g1"),O73-1,)*CV73)</f>
        <v>0</v>
      </c>
      <c r="EV73" cm="1">
        <f t="array" aca="1" ref="EV73" ca="1">IF(ISNA(P73),0,OFFSET(INDIRECT("'"&amp;EV$67&amp;"'!g1"),P73-1,)*CW73)</f>
        <v>0</v>
      </c>
      <c r="FB73" s="10" cm="1">
        <f t="array" aca="1" ref="FB73" ca="1">IF(ISNA(E73),0,OFFSET(INDIRECT("'"&amp;EK$67&amp;"'!h1"),E73-1,))</f>
        <v>1</v>
      </c>
      <c r="FC73" s="10" cm="1">
        <f t="array" aca="1" ref="FC73" ca="1">IF(ISNA(F73),0,OFFSET(INDIRECT("'"&amp;EL$67&amp;"'!h1"),F73-1,))</f>
        <v>1</v>
      </c>
      <c r="FD73" s="10" cm="1">
        <f t="array" aca="1" ref="FD73" ca="1">IF(ISNA(G73),0,OFFSET(INDIRECT("'"&amp;EM$67&amp;"'!h1"),G73-1,))</f>
        <v>1</v>
      </c>
      <c r="FE73" s="10" cm="1">
        <f t="array" aca="1" ref="FE73" ca="1">IF(ISNA(H73),0,OFFSET(INDIRECT("'"&amp;EN$67&amp;"'!h1"),H73-1,))</f>
        <v>1</v>
      </c>
      <c r="FF73" s="10" cm="1">
        <f t="array" aca="1" ref="FF73" ca="1">IF(ISNA(I73),0,OFFSET(INDIRECT("'"&amp;EO$67&amp;"'!h1"),I73-1,))</f>
        <v>1</v>
      </c>
      <c r="FG73" s="10" cm="1">
        <f t="array" aca="1" ref="FG73" ca="1">IF(ISNA(J73),0,OFFSET(INDIRECT("'"&amp;EP$67&amp;"'!h1"),J73-1,))</f>
        <v>1</v>
      </c>
      <c r="FH73" s="10" cm="1">
        <f t="array" aca="1" ref="FH73" ca="1">IF(ISNA(K73),0,OFFSET(INDIRECT("'"&amp;EQ$67&amp;"'!h1"),K73-1,))</f>
        <v>10000</v>
      </c>
      <c r="FI73" s="10" cm="1">
        <f t="array" aca="1" ref="FI73" ca="1">IF(ISNA(L73),0,OFFSET(INDIRECT("'"&amp;ER$67&amp;"'!h1"),L73-1,))</f>
        <v>10000</v>
      </c>
      <c r="FJ73" s="10" cm="1">
        <f t="array" aca="1" ref="FJ73" ca="1">IF(ISNA(M73),0,OFFSET(INDIRECT("'"&amp;ES$67&amp;"'!h1"),M73-1,))</f>
        <v>10000</v>
      </c>
      <c r="FK73" s="10" cm="1">
        <f t="array" aca="1" ref="FK73" ca="1">IF(ISNA(N73),0,OFFSET(INDIRECT("'"&amp;ET$67&amp;"'!h1"),N73-1,))</f>
        <v>1</v>
      </c>
      <c r="FL73" s="10" cm="1">
        <f t="array" aca="1" ref="FL73" ca="1">IF(ISNA(O73),0,OFFSET(INDIRECT("'"&amp;EU$67&amp;"'!h1"),O73-1,))</f>
        <v>1</v>
      </c>
      <c r="FM73" s="10" cm="1">
        <f t="array" aca="1" ref="FM73" ca="1">IF(ISNA(P73),0,OFFSET(INDIRECT("'"&amp;EV$67&amp;"'!h1"),P73-1,))</f>
        <v>4</v>
      </c>
      <c r="FN73" s="10"/>
      <c r="FO73" s="10"/>
      <c r="FP73" s="10"/>
      <c r="FQ73" s="10"/>
      <c r="FS73">
        <f t="shared" ca="1" si="91"/>
        <v>216</v>
      </c>
      <c r="FT73">
        <f t="shared" ca="1" si="92"/>
        <v>11.3388779079541</v>
      </c>
      <c r="FU73">
        <f t="shared" ca="1" si="93"/>
        <v>20</v>
      </c>
      <c r="FV73">
        <f t="shared" ca="1" si="94"/>
        <v>10000</v>
      </c>
      <c r="FW73" s="4">
        <f t="shared" ca="1" si="95"/>
        <v>2E-3</v>
      </c>
      <c r="FX73" s="5">
        <f t="shared" ca="1" si="96"/>
        <v>0.56694389539770496</v>
      </c>
      <c r="FZ73" s="13">
        <f t="shared" ca="1" si="60"/>
        <v>216</v>
      </c>
      <c r="GA73" s="22">
        <f t="shared" ca="1" si="97"/>
        <v>0</v>
      </c>
      <c r="GB73" s="22">
        <f t="shared" ca="1" si="61"/>
        <v>0</v>
      </c>
      <c r="GC73" s="22">
        <f t="shared" ca="1" si="62"/>
        <v>0</v>
      </c>
      <c r="GD73" s="22" t="e">
        <f t="shared" ca="1" si="63"/>
        <v>#N/A</v>
      </c>
      <c r="GE73" s="22">
        <f t="shared" ca="1" si="64"/>
        <v>0</v>
      </c>
      <c r="GF73" s="22">
        <f t="shared" ca="1" si="65"/>
        <v>0</v>
      </c>
      <c r="GG73" s="22">
        <f t="shared" ca="1" si="66"/>
        <v>0</v>
      </c>
      <c r="GH73" s="22">
        <f t="shared" ca="1" si="67"/>
        <v>0</v>
      </c>
      <c r="GI73" s="22">
        <f t="shared" ca="1" si="68"/>
        <v>0</v>
      </c>
      <c r="GJ73" s="22" t="e">
        <f t="shared" ca="1" si="69"/>
        <v>#N/A</v>
      </c>
      <c r="GK73" s="22" t="e">
        <f t="shared" ca="1" si="70"/>
        <v>#N/A</v>
      </c>
      <c r="GL73" s="22">
        <f t="shared" ca="1" si="71"/>
        <v>0.1111111111111111</v>
      </c>
      <c r="GM73" s="22"/>
      <c r="GN73">
        <f t="shared" ca="1" si="98"/>
        <v>216</v>
      </c>
      <c r="GO73" s="5" t="e">
        <f t="shared" ca="1" si="99"/>
        <v>#N/A</v>
      </c>
      <c r="GP73" s="5" t="e">
        <f t="shared" ca="1" si="72"/>
        <v>#N/A</v>
      </c>
      <c r="GQ73" s="5" t="e">
        <f t="shared" ca="1" si="72"/>
        <v>#N/A</v>
      </c>
      <c r="GR73" s="5" t="e">
        <f t="shared" ca="1" si="72"/>
        <v>#N/A</v>
      </c>
      <c r="GS73" s="5" t="e">
        <f t="shared" ca="1" si="72"/>
        <v>#N/A</v>
      </c>
      <c r="GT73" s="5">
        <f t="shared" ca="1" si="100"/>
        <v>0.94381400384008796</v>
      </c>
      <c r="GU73" s="5">
        <f t="shared" ca="1" si="73"/>
        <v>0.56694389539770496</v>
      </c>
      <c r="GV73" s="5">
        <f t="shared" ca="1" si="73"/>
        <v>2.1005639768264428E-3</v>
      </c>
      <c r="GW73" s="5">
        <f t="shared" ca="1" si="73"/>
        <v>2.6504252248576683</v>
      </c>
      <c r="GX73" s="5" t="e">
        <f t="shared" ca="1" si="73"/>
        <v>#N/A</v>
      </c>
      <c r="GY73" s="5" t="e">
        <f t="shared" ca="1" si="73"/>
        <v>#N/A</v>
      </c>
      <c r="GZ73" s="5" t="e">
        <f t="shared" ca="1" si="73"/>
        <v>#N/A</v>
      </c>
      <c r="HB73" s="13">
        <f t="shared" ca="1" si="74"/>
        <v>216</v>
      </c>
      <c r="HC73" s="4">
        <f t="shared" ca="1" si="101"/>
        <v>1</v>
      </c>
      <c r="HD73" s="4">
        <f t="shared" ca="1" si="75"/>
        <v>1</v>
      </c>
      <c r="HE73" s="4">
        <f t="shared" ca="1" si="76"/>
        <v>1</v>
      </c>
      <c r="HF73" s="4">
        <f t="shared" ca="1" si="77"/>
        <v>0</v>
      </c>
      <c r="HG73" s="4">
        <f t="shared" ca="1" si="78"/>
        <v>1</v>
      </c>
      <c r="HH73" s="4">
        <f t="shared" ca="1" si="79"/>
        <v>1</v>
      </c>
      <c r="HI73" s="4">
        <f t="shared" ca="1" si="80"/>
        <v>2E-3</v>
      </c>
      <c r="HJ73" s="4">
        <f t="shared" ca="1" si="81"/>
        <v>0.5423</v>
      </c>
      <c r="HK73" s="4">
        <f t="shared" ca="1" si="82"/>
        <v>3.5000000000000001E-3</v>
      </c>
      <c r="HL73" s="4">
        <f t="shared" ca="1" si="83"/>
        <v>0</v>
      </c>
      <c r="HM73" s="4">
        <f t="shared" ca="1" si="84"/>
        <v>0</v>
      </c>
      <c r="HN73" s="4">
        <f t="shared" ca="1" si="85"/>
        <v>0</v>
      </c>
    </row>
    <row r="74" spans="1:222" x14ac:dyDescent="0.2">
      <c r="A74" t="str" cm="1">
        <f t="array" aca="1" ref="A74" ca="1">INDIRECT($A$67&amp;"!A"&amp;ROW(C7)+$B$64)</f>
        <v>252_2_21</v>
      </c>
      <c r="B74" cm="1">
        <f t="array" aca="1" ref="B74" ca="1">INDIRECT($A$67&amp;"!b"&amp;ROW(D7)+$B$64)</f>
        <v>252</v>
      </c>
      <c r="C74">
        <f t="shared" ca="1" si="86"/>
        <v>21</v>
      </c>
      <c r="E74">
        <f t="shared" ca="1" si="53"/>
        <v>35</v>
      </c>
      <c r="F74">
        <f t="shared" ca="1" si="53"/>
        <v>36</v>
      </c>
      <c r="G74">
        <f t="shared" ca="1" si="53"/>
        <v>43</v>
      </c>
      <c r="H74">
        <f t="shared" ca="1" si="53"/>
        <v>43</v>
      </c>
      <c r="I74">
        <f t="shared" ca="1" si="53"/>
        <v>45</v>
      </c>
      <c r="J74">
        <f t="shared" ca="1" si="53"/>
        <v>35</v>
      </c>
      <c r="K74">
        <f t="shared" ca="1" si="53"/>
        <v>38</v>
      </c>
      <c r="L74">
        <f t="shared" ca="1" si="53"/>
        <v>40</v>
      </c>
      <c r="M74">
        <f t="shared" ca="1" si="53"/>
        <v>41</v>
      </c>
      <c r="N74">
        <f t="shared" ca="1" si="53"/>
        <v>35</v>
      </c>
      <c r="O74">
        <f t="shared" ca="1" si="53"/>
        <v>35</v>
      </c>
      <c r="P74" t="e">
        <f t="shared" ca="1" si="53"/>
        <v>#N/A</v>
      </c>
      <c r="V74" cm="1">
        <f t="array" aca="1" ref="V74" ca="1">IF(ISNA(E74),,OFFSET(INDIRECT("'"&amp;V$67&amp;"'!d1"),E74-1,))</f>
        <v>22</v>
      </c>
      <c r="W74" cm="1">
        <f t="array" aca="1" ref="W74" ca="1">IF(ISNA(F74),,OFFSET(INDIRECT("'"&amp;W$67&amp;"'!d1"),F74-1,))</f>
        <v>25</v>
      </c>
      <c r="X74" cm="1">
        <f t="array" aca="1" ref="X74" ca="1">IF(ISNA(G74),,OFFSET(INDIRECT("'"&amp;X$67&amp;"'!d1"),G74-1,))</f>
        <v>28</v>
      </c>
      <c r="Y74" cm="1">
        <f t="array" aca="1" ref="Y74" ca="1">IF(ISNA(H74),,OFFSET(INDIRECT("'"&amp;Y$67&amp;"'!d1"),H74-1,))</f>
        <v>0</v>
      </c>
      <c r="Z74" cm="1">
        <f t="array" aca="1" ref="Z74" ca="1">IF(ISNA(I74),,OFFSET(INDIRECT("'"&amp;Z$67&amp;"'!d1"),I74-1,))</f>
        <v>21</v>
      </c>
      <c r="AA74" cm="1">
        <f t="array" aca="1" ref="AA74" ca="1">IF(ISNA(J74),,OFFSET(INDIRECT("'"&amp;AA$67&amp;"'!d1"),J74-1,))</f>
        <v>22</v>
      </c>
      <c r="AB74" cm="1">
        <f t="array" aca="1" ref="AB74" ca="1">IF(ISNA(K74),,OFFSET(INDIRECT("'"&amp;AB$67&amp;"'!d1"),K74-1,))</f>
        <v>22</v>
      </c>
      <c r="AC74" cm="1">
        <f t="array" aca="1" ref="AC74" ca="1">IF(ISNA(L74),,OFFSET(INDIRECT("'"&amp;AC$67&amp;"'!d1"),L74-1,))</f>
        <v>22</v>
      </c>
      <c r="AD74" cm="1">
        <f t="array" aca="1" ref="AD74" ca="1">IF(ISNA(M74),,OFFSET(INDIRECT("'"&amp;AD$67&amp;"'!d1"),M74-1,))</f>
        <v>23</v>
      </c>
      <c r="AE74" cm="1">
        <f t="array" aca="1" ref="AE74" ca="1">IF(ISNA(N74),,OFFSET(INDIRECT("'"&amp;AE$67&amp;"'!d1"),N74-1,))</f>
        <v>0</v>
      </c>
      <c r="AF74" cm="1">
        <f t="array" aca="1" ref="AF74" ca="1">IF(ISNA(O74),,OFFSET(INDIRECT("'"&amp;AF$67&amp;"'!d1"),O74-1,))</f>
        <v>0</v>
      </c>
      <c r="AG74" cm="1">
        <f t="array" aca="1" ref="AG74" ca="1">IF(ISNA(P74),,OFFSET(INDIRECT("'"&amp;AG$67&amp;"'!d1"),P74-1,))</f>
        <v>0</v>
      </c>
      <c r="AM74">
        <f t="shared" ca="1" si="87"/>
        <v>0</v>
      </c>
      <c r="AN74">
        <f t="shared" ca="1" si="54"/>
        <v>0</v>
      </c>
      <c r="AO74">
        <f t="shared" ca="1" si="54"/>
        <v>0</v>
      </c>
      <c r="AP74">
        <f t="shared" ca="1" si="54"/>
        <v>0</v>
      </c>
      <c r="AQ74">
        <f t="shared" ca="1" si="88"/>
        <v>0</v>
      </c>
      <c r="AV74" t="str">
        <f t="shared" ca="1" si="89"/>
        <v/>
      </c>
      <c r="AW74" t="str">
        <f t="shared" ca="1" si="55"/>
        <v/>
      </c>
      <c r="AX74" t="str">
        <f t="shared" ca="1" si="55"/>
        <v/>
      </c>
      <c r="AY74" t="str">
        <f t="shared" ca="1" si="55"/>
        <v/>
      </c>
      <c r="AZ74" t="str">
        <f t="shared" ca="1" si="55"/>
        <v/>
      </c>
      <c r="BD74">
        <f t="shared" ca="1" si="56"/>
        <v>1</v>
      </c>
      <c r="BE74">
        <f t="shared" ca="1" si="56"/>
        <v>1</v>
      </c>
      <c r="BF74">
        <f t="shared" ca="1" si="56"/>
        <v>1</v>
      </c>
      <c r="BG74">
        <f t="shared" ca="1" si="56"/>
        <v>0</v>
      </c>
      <c r="BH74">
        <f t="shared" ca="1" si="56"/>
        <v>1</v>
      </c>
      <c r="BI74">
        <f t="shared" ca="1" si="56"/>
        <v>1</v>
      </c>
      <c r="BJ74">
        <f t="shared" ca="1" si="56"/>
        <v>1</v>
      </c>
      <c r="BK74">
        <f t="shared" ca="1" si="56"/>
        <v>1</v>
      </c>
      <c r="BL74">
        <f t="shared" ca="1" si="56"/>
        <v>1</v>
      </c>
      <c r="BM74">
        <f t="shared" ca="1" si="56"/>
        <v>0</v>
      </c>
      <c r="BN74">
        <f t="shared" ca="1" si="56"/>
        <v>0</v>
      </c>
      <c r="BO74">
        <f t="shared" ca="1" si="56"/>
        <v>0</v>
      </c>
      <c r="BU74">
        <f t="shared" ca="1" si="57"/>
        <v>22</v>
      </c>
      <c r="BV74">
        <f t="shared" ca="1" si="57"/>
        <v>25</v>
      </c>
      <c r="BW74">
        <f t="shared" ca="1" si="57"/>
        <v>28</v>
      </c>
      <c r="BX74">
        <f t="shared" ca="1" si="57"/>
        <v>252</v>
      </c>
      <c r="BY74">
        <f t="shared" ca="1" si="57"/>
        <v>21</v>
      </c>
      <c r="BZ74">
        <f t="shared" ca="1" si="57"/>
        <v>22</v>
      </c>
      <c r="CA74">
        <f t="shared" ca="1" si="57"/>
        <v>22</v>
      </c>
      <c r="CB74">
        <f t="shared" ca="1" si="57"/>
        <v>22</v>
      </c>
      <c r="CC74">
        <f t="shared" ca="1" si="57"/>
        <v>23</v>
      </c>
      <c r="CD74">
        <f t="shared" ca="1" si="57"/>
        <v>252</v>
      </c>
      <c r="CE74">
        <f t="shared" ca="1" si="57"/>
        <v>252</v>
      </c>
      <c r="CF74">
        <f t="shared" ca="1" si="57"/>
        <v>252</v>
      </c>
      <c r="CL74">
        <f t="shared" ca="1" si="58"/>
        <v>0</v>
      </c>
      <c r="CM74">
        <f t="shared" ca="1" si="58"/>
        <v>0</v>
      </c>
      <c r="CN74">
        <f t="shared" ca="1" si="58"/>
        <v>0</v>
      </c>
      <c r="CO74">
        <f t="shared" ca="1" si="58"/>
        <v>0</v>
      </c>
      <c r="CP74">
        <f t="shared" ca="1" si="58"/>
        <v>1</v>
      </c>
      <c r="CQ74">
        <f t="shared" ca="1" si="58"/>
        <v>0</v>
      </c>
      <c r="CR74">
        <f t="shared" ca="1" si="58"/>
        <v>0</v>
      </c>
      <c r="CS74">
        <f t="shared" ca="1" si="58"/>
        <v>0</v>
      </c>
      <c r="CT74">
        <f t="shared" ca="1" si="58"/>
        <v>0</v>
      </c>
      <c r="CU74">
        <f t="shared" ca="1" si="58"/>
        <v>0</v>
      </c>
      <c r="CV74">
        <f t="shared" ca="1" si="58"/>
        <v>0</v>
      </c>
      <c r="CW74">
        <f t="shared" ca="1" si="58"/>
        <v>0</v>
      </c>
      <c r="DC74" cm="1">
        <f t="array" aca="1" ref="DC74" ca="1">IF(ISNA(E74),,OFFSET(INDIRECT("'"&amp;DT$67&amp;"'!f1"),E74-1,))*1</f>
        <v>28974.621072282</v>
      </c>
      <c r="DD74" cm="1">
        <f t="array" aca="1" ref="DD74" ca="1">IF(ISNA(F74),,OFFSET(INDIRECT("'"&amp;DU$67&amp;"'!f1"),F74-1,))*1</f>
        <v>28813.408330359402</v>
      </c>
      <c r="DE74" cm="1">
        <f t="array" aca="1" ref="DE74" ca="1">IF(ISNA(G74),,OFFSET(INDIRECT("'"&amp;DV$67&amp;"'!f1"),G74-1,))*1</f>
        <v>28800.146835558098</v>
      </c>
      <c r="DF74" cm="1">
        <f t="array" aca="1" ref="DF74" ca="1">IF(ISNA(H74),,OFFSET(INDIRECT("'"&amp;DW$67&amp;"'!f1"),H74-1,))*1</f>
        <v>28800.1090302597</v>
      </c>
      <c r="DG74" cm="1">
        <f t="array" aca="1" ref="DG74" ca="1">IF(ISNA(I74),,OFFSET(INDIRECT("'"&amp;DX$67&amp;"'!f1"),I74-1,))*1</f>
        <v>28800.867347499901</v>
      </c>
      <c r="DH74" cm="1">
        <f t="array" aca="1" ref="DH74" ca="1">IF(ISNA(J74),,OFFSET(INDIRECT("'"&amp;DY$67&amp;"'!f1"),J74-1,))*1</f>
        <v>1.2647009501233599</v>
      </c>
      <c r="DI74" cm="1">
        <f t="array" aca="1" ref="DI74" ca="1">IF(ISNA(K74),,OFFSET(INDIRECT("'"&amp;DZ$67&amp;"'!f1"),K74-1,))*1</f>
        <v>14.200956623069899</v>
      </c>
      <c r="DJ74" cm="1">
        <f t="array" aca="1" ref="DJ74" ca="1">IF(ISNA(L74),,OFFSET(INDIRECT("'"&amp;EA$67&amp;"'!f1"),L74-1,))*1</f>
        <v>14.578111271373899</v>
      </c>
      <c r="DK74" cm="1">
        <f t="array" aca="1" ref="DK74" ca="1">IF(ISNA(M74),,OFFSET(INDIRECT("'"&amp;EB$67&amp;"'!f1"),M74-1,))*1</f>
        <v>129.449534671381</v>
      </c>
      <c r="DL74" cm="1">
        <f t="array" aca="1" ref="DL74" ca="1">IF(ISNA(N74),,OFFSET(INDIRECT("'"&amp;EC$67&amp;"'!f1"),N74-1,))*1</f>
        <v>1.8479317426681501E-2</v>
      </c>
      <c r="DM74" cm="1">
        <f t="array" aca="1" ref="DM74" ca="1">IF(ISNA(O74),,OFFSET(INDIRECT("'"&amp;ED$67&amp;"'!f1"),O74-1,))*1</f>
        <v>1.8805702216923199E-2</v>
      </c>
      <c r="DN74" cm="1">
        <f t="array" aca="1" ref="DN74" ca="1">IF(ISNA(P74),,OFFSET(INDIRECT("'"&amp;EE$67&amp;"'!f1"),P74-1,))*1</f>
        <v>0</v>
      </c>
      <c r="DT74">
        <f t="shared" ca="1" si="90"/>
        <v>0</v>
      </c>
      <c r="DU74">
        <f t="shared" ca="1" si="59"/>
        <v>0</v>
      </c>
      <c r="DV74">
        <f t="shared" ca="1" si="59"/>
        <v>0</v>
      </c>
      <c r="DW74">
        <f t="shared" ca="1" si="59"/>
        <v>0</v>
      </c>
      <c r="DX74">
        <f t="shared" ca="1" si="59"/>
        <v>1</v>
      </c>
      <c r="DY74">
        <f t="shared" ca="1" si="59"/>
        <v>0</v>
      </c>
      <c r="DZ74">
        <f t="shared" ca="1" si="59"/>
        <v>0</v>
      </c>
      <c r="EA74">
        <f t="shared" ca="1" si="59"/>
        <v>0</v>
      </c>
      <c r="EB74">
        <f t="shared" ca="1" si="59"/>
        <v>0</v>
      </c>
      <c r="EC74">
        <f t="shared" ca="1" si="59"/>
        <v>0</v>
      </c>
      <c r="ED74">
        <f t="shared" ca="1" si="59"/>
        <v>0</v>
      </c>
      <c r="EE74">
        <f t="shared" ca="1" si="59"/>
        <v>0</v>
      </c>
      <c r="EK74" cm="1">
        <f t="array" aca="1" ref="EK74" ca="1">IF(ISNA(E74),0,OFFSET(INDIRECT("'"&amp;EK$67&amp;"'!g1"),E74-1,)*CL74)</f>
        <v>0</v>
      </c>
      <c r="EL74" cm="1">
        <f t="array" aca="1" ref="EL74" ca="1">IF(ISNA(F74),0,OFFSET(INDIRECT("'"&amp;EL$67&amp;"'!g1"),F74-1,)*CM74)</f>
        <v>0</v>
      </c>
      <c r="EM74" cm="1">
        <f t="array" aca="1" ref="EM74" ca="1">IF(ISNA(G74),0,OFFSET(INDIRECT("'"&amp;EM$67&amp;"'!g1"),G74-1,)*CN74)</f>
        <v>0</v>
      </c>
      <c r="EN74" cm="1">
        <f t="array" aca="1" ref="EN74" ca="1">IF(ISNA(H74),0,OFFSET(INDIRECT("'"&amp;EN$67&amp;"'!g1"),H74-1,)*CO74)</f>
        <v>0</v>
      </c>
      <c r="EO74" cm="1">
        <f t="array" aca="1" ref="EO74" ca="1">IF(ISNA(I74),0,OFFSET(INDIRECT("'"&amp;EO$67&amp;"'!g1"),I74-1,)*CP74)</f>
        <v>1</v>
      </c>
      <c r="EP74" cm="1">
        <f t="array" aca="1" ref="EP74" ca="1">IF(ISNA(J74),0,OFFSET(INDIRECT("'"&amp;EP$67&amp;"'!g1"),J74-1,)*CQ74)</f>
        <v>0</v>
      </c>
      <c r="EQ74" cm="1">
        <f t="array" aca="1" ref="EQ74" ca="1">IF(ISNA(K74),0,OFFSET(INDIRECT("'"&amp;EQ$67&amp;"'!g1"),K74-1,)*CR74)</f>
        <v>0</v>
      </c>
      <c r="ER74" cm="1">
        <f t="array" aca="1" ref="ER74" ca="1">IF(ISNA(L74),0,OFFSET(INDIRECT("'"&amp;ER$67&amp;"'!g1"),L74-1,)*CS74)</f>
        <v>0</v>
      </c>
      <c r="ES74" cm="1">
        <f t="array" aca="1" ref="ES74" ca="1">IF(ISNA(M74),0,OFFSET(INDIRECT("'"&amp;ES$67&amp;"'!g1"),M74-1,)*CT74)</f>
        <v>0</v>
      </c>
      <c r="ET74" cm="1">
        <f t="array" aca="1" ref="ET74" ca="1">IF(ISNA(N74),0,OFFSET(INDIRECT("'"&amp;ET$67&amp;"'!g1"),N74-1,)*CU74)</f>
        <v>0</v>
      </c>
      <c r="EU74" cm="1">
        <f t="array" aca="1" ref="EU74" ca="1">IF(ISNA(O74),0,OFFSET(INDIRECT("'"&amp;EU$67&amp;"'!g1"),O74-1,)*CV74)</f>
        <v>0</v>
      </c>
      <c r="EV74" cm="1">
        <f t="array" aca="1" ref="EV74" ca="1">IF(ISNA(P74),0,OFFSET(INDIRECT("'"&amp;EV$67&amp;"'!g1"),P74-1,)*CW74)</f>
        <v>0</v>
      </c>
      <c r="FB74" s="10" cm="1">
        <f t="array" aca="1" ref="FB74" ca="1">IF(ISNA(E74),0,OFFSET(INDIRECT("'"&amp;EK$67&amp;"'!h1"),E74-1,))</f>
        <v>1</v>
      </c>
      <c r="FC74" s="10" cm="1">
        <f t="array" aca="1" ref="FC74" ca="1">IF(ISNA(F74),0,OFFSET(INDIRECT("'"&amp;EL$67&amp;"'!h1"),F74-1,))</f>
        <v>1</v>
      </c>
      <c r="FD74" s="10" cm="1">
        <f t="array" aca="1" ref="FD74" ca="1">IF(ISNA(G74),0,OFFSET(INDIRECT("'"&amp;EM$67&amp;"'!h1"),G74-1,))</f>
        <v>1</v>
      </c>
      <c r="FE74" s="10" cm="1">
        <f t="array" aca="1" ref="FE74" ca="1">IF(ISNA(H74),0,OFFSET(INDIRECT("'"&amp;EN$67&amp;"'!h1"),H74-1,))</f>
        <v>1</v>
      </c>
      <c r="FF74" s="10" cm="1">
        <f t="array" aca="1" ref="FF74" ca="1">IF(ISNA(I74),0,OFFSET(INDIRECT("'"&amp;EO$67&amp;"'!h1"),I74-1,))</f>
        <v>1</v>
      </c>
      <c r="FG74" s="10" cm="1">
        <f t="array" aca="1" ref="FG74" ca="1">IF(ISNA(J74),0,OFFSET(INDIRECT("'"&amp;EP$67&amp;"'!h1"),J74-1,))</f>
        <v>1</v>
      </c>
      <c r="FH74" s="10" cm="1">
        <f t="array" aca="1" ref="FH74" ca="1">IF(ISNA(K74),0,OFFSET(INDIRECT("'"&amp;EQ$67&amp;"'!h1"),K74-1,))</f>
        <v>10000</v>
      </c>
      <c r="FI74" s="10" cm="1">
        <f t="array" aca="1" ref="FI74" ca="1">IF(ISNA(L74),0,OFFSET(INDIRECT("'"&amp;ER$67&amp;"'!h1"),L74-1,))</f>
        <v>10000</v>
      </c>
      <c r="FJ74" s="10" cm="1">
        <f t="array" aca="1" ref="FJ74" ca="1">IF(ISNA(M74),0,OFFSET(INDIRECT("'"&amp;ES$67&amp;"'!h1"),M74-1,))</f>
        <v>10000</v>
      </c>
      <c r="FK74" s="10" cm="1">
        <f t="array" aca="1" ref="FK74" ca="1">IF(ISNA(N74),0,OFFSET(INDIRECT("'"&amp;ET$67&amp;"'!h1"),N74-1,))</f>
        <v>1</v>
      </c>
      <c r="FL74" s="10" cm="1">
        <f t="array" aca="1" ref="FL74" ca="1">IF(ISNA(O74),0,OFFSET(INDIRECT("'"&amp;EU$67&amp;"'!h1"),O74-1,))</f>
        <v>1</v>
      </c>
      <c r="FM74" s="10" cm="1">
        <f t="array" aca="1" ref="FM74" ca="1">IF(ISNA(P74),0,OFFSET(INDIRECT("'"&amp;EV$67&amp;"'!h1"),P74-1,))</f>
        <v>0</v>
      </c>
      <c r="FN74" s="10"/>
      <c r="FO74" s="10"/>
      <c r="FP74" s="10"/>
      <c r="FQ74" s="10"/>
      <c r="FS74">
        <f t="shared" ca="1" si="91"/>
        <v>252</v>
      </c>
      <c r="FT74">
        <f t="shared" ca="1" si="92"/>
        <v>14.200956623069899</v>
      </c>
      <c r="FU74">
        <f t="shared" ca="1" si="93"/>
        <v>0</v>
      </c>
      <c r="FV74">
        <f t="shared" ca="1" si="94"/>
        <v>10000</v>
      </c>
      <c r="FW74" s="4">
        <f t="shared" ca="1" si="95"/>
        <v>0</v>
      </c>
      <c r="FX74" s="5" t="e">
        <f t="shared" ca="1" si="96"/>
        <v>#N/A</v>
      </c>
      <c r="FZ74" s="13">
        <f t="shared" ca="1" si="60"/>
        <v>252</v>
      </c>
      <c r="GA74" s="22">
        <f t="shared" ca="1" si="97"/>
        <v>4.7619047619047616E-2</v>
      </c>
      <c r="GB74" s="22">
        <f t="shared" ca="1" si="61"/>
        <v>0.19047619047619047</v>
      </c>
      <c r="GC74" s="22">
        <f t="shared" ca="1" si="62"/>
        <v>0.33333333333333331</v>
      </c>
      <c r="GD74" s="22" t="e">
        <f t="shared" ca="1" si="63"/>
        <v>#N/A</v>
      </c>
      <c r="GE74" s="22">
        <f t="shared" ca="1" si="64"/>
        <v>0</v>
      </c>
      <c r="GF74" s="22">
        <f t="shared" ca="1" si="65"/>
        <v>4.7619047619047616E-2</v>
      </c>
      <c r="GG74" s="22">
        <f t="shared" ca="1" si="66"/>
        <v>4.7619047619047616E-2</v>
      </c>
      <c r="GH74" s="22">
        <f t="shared" ca="1" si="67"/>
        <v>4.7619047619047616E-2</v>
      </c>
      <c r="GI74" s="22">
        <f t="shared" ca="1" si="68"/>
        <v>9.5238095238095233E-2</v>
      </c>
      <c r="GJ74" s="22" t="e">
        <f t="shared" ca="1" si="69"/>
        <v>#N/A</v>
      </c>
      <c r="GK74" s="22" t="e">
        <f t="shared" ca="1" si="70"/>
        <v>#N/A</v>
      </c>
      <c r="GL74" s="22" t="e">
        <f t="shared" ca="1" si="71"/>
        <v>#N/A</v>
      </c>
      <c r="GM74" s="22"/>
      <c r="GN74">
        <f t="shared" ca="1" si="98"/>
        <v>252</v>
      </c>
      <c r="GO74" s="5" t="e">
        <f t="shared" ca="1" si="99"/>
        <v>#N/A</v>
      </c>
      <c r="GP74" s="5" t="e">
        <f t="shared" ca="1" si="72"/>
        <v>#N/A</v>
      </c>
      <c r="GQ74" s="5" t="e">
        <f t="shared" ca="1" si="72"/>
        <v>#N/A</v>
      </c>
      <c r="GR74" s="5" t="e">
        <f t="shared" ca="1" si="72"/>
        <v>#N/A</v>
      </c>
      <c r="GS74" s="5" t="e">
        <f t="shared" ca="1" si="72"/>
        <v>#N/A</v>
      </c>
      <c r="GT74" s="5" t="e">
        <f t="shared" ca="1" si="100"/>
        <v>#N/A</v>
      </c>
      <c r="GU74" s="5" t="e">
        <f t="shared" ca="1" si="73"/>
        <v>#N/A</v>
      </c>
      <c r="GV74" s="5" t="e">
        <f t="shared" ca="1" si="73"/>
        <v>#N/A</v>
      </c>
      <c r="GW74" s="5" t="e">
        <f t="shared" ca="1" si="73"/>
        <v>#N/A</v>
      </c>
      <c r="GX74" s="5" t="e">
        <f t="shared" ca="1" si="73"/>
        <v>#N/A</v>
      </c>
      <c r="GY74" s="5" t="e">
        <f t="shared" ca="1" si="73"/>
        <v>#N/A</v>
      </c>
      <c r="GZ74" s="5" t="e">
        <f t="shared" ca="1" si="73"/>
        <v>#N/A</v>
      </c>
      <c r="HB74" s="13">
        <f t="shared" ca="1" si="74"/>
        <v>252</v>
      </c>
      <c r="HC74" s="4">
        <f t="shared" ca="1" si="101"/>
        <v>0</v>
      </c>
      <c r="HD74" s="4">
        <f t="shared" ca="1" si="75"/>
        <v>0</v>
      </c>
      <c r="HE74" s="4">
        <f t="shared" ca="1" si="76"/>
        <v>0</v>
      </c>
      <c r="HF74" s="4">
        <f t="shared" ca="1" si="77"/>
        <v>0</v>
      </c>
      <c r="HG74" s="4">
        <f t="shared" ca="1" si="78"/>
        <v>1</v>
      </c>
      <c r="HH74" s="4">
        <f t="shared" ca="1" si="79"/>
        <v>0</v>
      </c>
      <c r="HI74" s="4">
        <f t="shared" ca="1" si="80"/>
        <v>0</v>
      </c>
      <c r="HJ74" s="4">
        <f t="shared" ca="1" si="81"/>
        <v>0</v>
      </c>
      <c r="HK74" s="4">
        <f t="shared" ca="1" si="82"/>
        <v>0</v>
      </c>
      <c r="HL74" s="4">
        <f t="shared" ca="1" si="83"/>
        <v>0</v>
      </c>
      <c r="HM74" s="4">
        <f t="shared" ca="1" si="84"/>
        <v>0</v>
      </c>
      <c r="HN74" s="4">
        <f t="shared" ca="1" si="85"/>
        <v>0</v>
      </c>
    </row>
    <row r="75" spans="1:222" x14ac:dyDescent="0.2">
      <c r="A75" t="str" cm="1">
        <f t="array" aca="1" ref="A75" ca="1">INDIRECT($A$67&amp;"!A"&amp;ROW(C8)+$B$64)</f>
        <v>288_2_24</v>
      </c>
      <c r="B75" cm="1">
        <f t="array" aca="1" ref="B75" ca="1">INDIRECT($A$67&amp;"!b"&amp;ROW(D8)+$B$64)</f>
        <v>288</v>
      </c>
      <c r="C75">
        <f t="shared" ca="1" si="86"/>
        <v>24</v>
      </c>
      <c r="E75">
        <f t="shared" ca="1" si="53"/>
        <v>36</v>
      </c>
      <c r="F75">
        <f t="shared" ca="1" si="53"/>
        <v>37</v>
      </c>
      <c r="G75">
        <f t="shared" ca="1" si="53"/>
        <v>47</v>
      </c>
      <c r="H75">
        <f t="shared" ca="1" si="53"/>
        <v>46</v>
      </c>
      <c r="I75">
        <f t="shared" ca="1" si="53"/>
        <v>33</v>
      </c>
      <c r="J75">
        <f t="shared" ca="1" si="53"/>
        <v>36</v>
      </c>
      <c r="K75">
        <f t="shared" ca="1" si="53"/>
        <v>39</v>
      </c>
      <c r="L75">
        <f t="shared" ca="1" si="53"/>
        <v>41</v>
      </c>
      <c r="M75">
        <f t="shared" ca="1" si="53"/>
        <v>42</v>
      </c>
      <c r="N75">
        <f t="shared" ca="1" si="53"/>
        <v>36</v>
      </c>
      <c r="O75">
        <f t="shared" ca="1" si="53"/>
        <v>36</v>
      </c>
      <c r="P75" t="e">
        <f t="shared" ca="1" si="53"/>
        <v>#N/A</v>
      </c>
      <c r="V75" cm="1">
        <f t="array" aca="1" ref="V75" ca="1">IF(ISNA(E75),,OFFSET(INDIRECT("'"&amp;V$67&amp;"'!d1"),E75-1,))</f>
        <v>25</v>
      </c>
      <c r="W75" cm="1">
        <f t="array" aca="1" ref="W75" ca="1">IF(ISNA(F75),,OFFSET(INDIRECT("'"&amp;W$67&amp;"'!d1"),F75-1,))</f>
        <v>30</v>
      </c>
      <c r="X75" cm="1">
        <f t="array" aca="1" ref="X75" ca="1">IF(ISNA(G75),,OFFSET(INDIRECT("'"&amp;X$67&amp;"'!d1"),G75-1,))</f>
        <v>32</v>
      </c>
      <c r="Y75" cm="1">
        <f t="array" aca="1" ref="Y75" ca="1">IF(ISNA(H75),,OFFSET(INDIRECT("'"&amp;Y$67&amp;"'!d1"),H75-1,))</f>
        <v>0</v>
      </c>
      <c r="Z75" cm="1">
        <f t="array" aca="1" ref="Z75" ca="1">IF(ISNA(I75),,OFFSET(INDIRECT("'"&amp;Z$67&amp;"'!d1"),I75-1,))</f>
        <v>25</v>
      </c>
      <c r="AA75" cm="1">
        <f t="array" aca="1" ref="AA75" ca="1">IF(ISNA(J75),,OFFSET(INDIRECT("'"&amp;AA$67&amp;"'!d1"),J75-1,))</f>
        <v>27</v>
      </c>
      <c r="AB75" cm="1">
        <f t="array" aca="1" ref="AB75" ca="1">IF(ISNA(K75),,OFFSET(INDIRECT("'"&amp;AB$67&amp;"'!d1"),K75-1,))</f>
        <v>26</v>
      </c>
      <c r="AC75" cm="1">
        <f t="array" aca="1" ref="AC75" ca="1">IF(ISNA(L75),,OFFSET(INDIRECT("'"&amp;AC$67&amp;"'!d1"),L75-1,))</f>
        <v>25</v>
      </c>
      <c r="AD75" cm="1">
        <f t="array" aca="1" ref="AD75" ca="1">IF(ISNA(M75),,OFFSET(INDIRECT("'"&amp;AD$67&amp;"'!d1"),M75-1,))</f>
        <v>27</v>
      </c>
      <c r="AE75" cm="1">
        <f t="array" aca="1" ref="AE75" ca="1">IF(ISNA(N75),,OFFSET(INDIRECT("'"&amp;AE$67&amp;"'!d1"),N75-1,))</f>
        <v>0</v>
      </c>
      <c r="AF75" cm="1">
        <f t="array" aca="1" ref="AF75" ca="1">IF(ISNA(O75),,OFFSET(INDIRECT("'"&amp;AF$67&amp;"'!d1"),O75-1,))</f>
        <v>0</v>
      </c>
      <c r="AG75" cm="1">
        <f t="array" aca="1" ref="AG75" ca="1">IF(ISNA(P75),,OFFSET(INDIRECT("'"&amp;AG$67&amp;"'!d1"),P75-1,))</f>
        <v>0</v>
      </c>
      <c r="AM75">
        <f t="shared" ca="1" si="87"/>
        <v>0</v>
      </c>
      <c r="AN75">
        <f t="shared" ca="1" si="54"/>
        <v>0</v>
      </c>
      <c r="AO75">
        <f t="shared" ca="1" si="54"/>
        <v>0</v>
      </c>
      <c r="AP75">
        <f t="shared" ca="1" si="54"/>
        <v>0</v>
      </c>
      <c r="AQ75">
        <f t="shared" ca="1" si="88"/>
        <v>0</v>
      </c>
      <c r="AV75" t="str">
        <f t="shared" ca="1" si="89"/>
        <v/>
      </c>
      <c r="AW75" t="str">
        <f t="shared" ca="1" si="55"/>
        <v/>
      </c>
      <c r="AX75" t="str">
        <f t="shared" ca="1" si="55"/>
        <v/>
      </c>
      <c r="AY75" t="str">
        <f t="shared" ca="1" si="55"/>
        <v/>
      </c>
      <c r="AZ75" t="str">
        <f t="shared" ca="1" si="55"/>
        <v/>
      </c>
      <c r="BD75">
        <f t="shared" ca="1" si="56"/>
        <v>1</v>
      </c>
      <c r="BE75">
        <f t="shared" ca="1" si="56"/>
        <v>1</v>
      </c>
      <c r="BF75">
        <f t="shared" ca="1" si="56"/>
        <v>1</v>
      </c>
      <c r="BG75">
        <f t="shared" ca="1" si="56"/>
        <v>0</v>
      </c>
      <c r="BH75">
        <f t="shared" ca="1" si="56"/>
        <v>1</v>
      </c>
      <c r="BI75">
        <f t="shared" ca="1" si="56"/>
        <v>1</v>
      </c>
      <c r="BJ75">
        <f t="shared" ca="1" si="56"/>
        <v>1</v>
      </c>
      <c r="BK75">
        <f t="shared" ca="1" si="56"/>
        <v>1</v>
      </c>
      <c r="BL75">
        <f t="shared" ca="1" si="56"/>
        <v>1</v>
      </c>
      <c r="BM75">
        <f t="shared" ca="1" si="56"/>
        <v>0</v>
      </c>
      <c r="BN75">
        <f t="shared" ca="1" si="56"/>
        <v>0</v>
      </c>
      <c r="BO75">
        <f t="shared" ca="1" si="56"/>
        <v>0</v>
      </c>
      <c r="BU75">
        <f t="shared" ca="1" si="57"/>
        <v>25</v>
      </c>
      <c r="BV75">
        <f t="shared" ca="1" si="57"/>
        <v>30</v>
      </c>
      <c r="BW75">
        <f t="shared" ca="1" si="57"/>
        <v>32</v>
      </c>
      <c r="BX75">
        <f t="shared" ca="1" si="57"/>
        <v>288</v>
      </c>
      <c r="BY75">
        <f t="shared" ca="1" si="57"/>
        <v>25</v>
      </c>
      <c r="BZ75">
        <f t="shared" ca="1" si="57"/>
        <v>27</v>
      </c>
      <c r="CA75">
        <f t="shared" ca="1" si="57"/>
        <v>26</v>
      </c>
      <c r="CB75">
        <f t="shared" ca="1" si="57"/>
        <v>25</v>
      </c>
      <c r="CC75">
        <f t="shared" ca="1" si="57"/>
        <v>27</v>
      </c>
      <c r="CD75">
        <f t="shared" ca="1" si="57"/>
        <v>288</v>
      </c>
      <c r="CE75">
        <f t="shared" ca="1" si="57"/>
        <v>288</v>
      </c>
      <c r="CF75">
        <f t="shared" ca="1" si="57"/>
        <v>288</v>
      </c>
      <c r="CL75">
        <f t="shared" ca="1" si="58"/>
        <v>0</v>
      </c>
      <c r="CM75">
        <f t="shared" ca="1" si="58"/>
        <v>0</v>
      </c>
      <c r="CN75">
        <f t="shared" ca="1" si="58"/>
        <v>0</v>
      </c>
      <c r="CO75">
        <f t="shared" ca="1" si="58"/>
        <v>0</v>
      </c>
      <c r="CP75">
        <f t="shared" ca="1" si="58"/>
        <v>0</v>
      </c>
      <c r="CQ75">
        <f t="shared" ca="1" si="58"/>
        <v>0</v>
      </c>
      <c r="CR75">
        <f t="shared" ca="1" si="58"/>
        <v>0</v>
      </c>
      <c r="CS75">
        <f t="shared" ca="1" si="58"/>
        <v>0</v>
      </c>
      <c r="CT75">
        <f t="shared" ca="1" si="58"/>
        <v>0</v>
      </c>
      <c r="CU75">
        <f t="shared" ca="1" si="58"/>
        <v>0</v>
      </c>
      <c r="CV75">
        <f t="shared" ca="1" si="58"/>
        <v>0</v>
      </c>
      <c r="CW75">
        <f t="shared" ca="1" si="58"/>
        <v>0</v>
      </c>
      <c r="DC75" cm="1">
        <f t="array" aca="1" ref="DC75" ca="1">IF(ISNA(E75),,OFFSET(INDIRECT("'"&amp;DT$67&amp;"'!f1"),E75-1,))*1</f>
        <v>28998.256797441201</v>
      </c>
      <c r="DD75" cm="1">
        <f t="array" aca="1" ref="DD75" ca="1">IF(ISNA(F75),,OFFSET(INDIRECT("'"&amp;DU$67&amp;"'!f1"),F75-1,))*1</f>
        <v>28809.024700204802</v>
      </c>
      <c r="DE75" cm="1">
        <f t="array" aca="1" ref="DE75" ca="1">IF(ISNA(G75),,OFFSET(INDIRECT("'"&amp;DV$67&amp;"'!f1"),G75-1,))*1</f>
        <v>28800.213031114999</v>
      </c>
      <c r="DF75" cm="1">
        <f t="array" aca="1" ref="DF75" ca="1">IF(ISNA(H75),,OFFSET(INDIRECT("'"&amp;DW$67&amp;"'!f1"),H75-1,))*1</f>
        <v>28800.1330947028</v>
      </c>
      <c r="DG75" cm="1">
        <f t="array" aca="1" ref="DG75" ca="1">IF(ISNA(I75),,OFFSET(INDIRECT("'"&amp;DX$67&amp;"'!f1"),I75-1,))*1</f>
        <v>28800.580041459001</v>
      </c>
      <c r="DH75" cm="1">
        <f t="array" aca="1" ref="DH75" ca="1">IF(ISNA(J75),,OFFSET(INDIRECT("'"&amp;DY$67&amp;"'!f1"),J75-1,))*1</f>
        <v>1.64593372493982</v>
      </c>
      <c r="DI75" cm="1">
        <f t="array" aca="1" ref="DI75" ca="1">IF(ISNA(K75),,OFFSET(INDIRECT("'"&amp;DZ$67&amp;"'!f1"),K75-1,))*1</f>
        <v>17.816523155197501</v>
      </c>
      <c r="DJ75" cm="1">
        <f t="array" aca="1" ref="DJ75" ca="1">IF(ISNA(L75),,OFFSET(INDIRECT("'"&amp;EA$67&amp;"'!f1"),L75-1,))*1</f>
        <v>17.810836376622301</v>
      </c>
      <c r="DK75" cm="1">
        <f t="array" aca="1" ref="DK75" ca="1">IF(ISNA(M75),,OFFSET(INDIRECT("'"&amp;EB$67&amp;"'!f1"),M75-1,))*1</f>
        <v>190.31140406429699</v>
      </c>
      <c r="DL75" cm="1">
        <f t="array" aca="1" ref="DL75" ca="1">IF(ISNA(N75),,OFFSET(INDIRECT("'"&amp;EC$67&amp;"'!f1"),N75-1,))*1</f>
        <v>2.06969790160655E-2</v>
      </c>
      <c r="DM75" cm="1">
        <f t="array" aca="1" ref="DM75" ca="1">IF(ISNA(O75),,OFFSET(INDIRECT("'"&amp;ED$67&amp;"'!f1"),O75-1,))*1</f>
        <v>2.0648367702960899E-2</v>
      </c>
      <c r="DN75" cm="1">
        <f t="array" aca="1" ref="DN75" ca="1">IF(ISNA(P75),,OFFSET(INDIRECT("'"&amp;EE$67&amp;"'!f1"),P75-1,))*1</f>
        <v>0</v>
      </c>
      <c r="DT75">
        <f t="shared" ca="1" si="90"/>
        <v>0</v>
      </c>
      <c r="DU75">
        <f t="shared" ca="1" si="59"/>
        <v>0</v>
      </c>
      <c r="DV75">
        <f t="shared" ca="1" si="59"/>
        <v>0</v>
      </c>
      <c r="DW75">
        <f t="shared" ca="1" si="59"/>
        <v>0</v>
      </c>
      <c r="DX75">
        <f t="shared" ca="1" si="59"/>
        <v>0</v>
      </c>
      <c r="DY75">
        <f t="shared" ca="1" si="59"/>
        <v>0</v>
      </c>
      <c r="DZ75">
        <f t="shared" ca="1" si="59"/>
        <v>0</v>
      </c>
      <c r="EA75">
        <f t="shared" ca="1" si="59"/>
        <v>0</v>
      </c>
      <c r="EB75">
        <f t="shared" ca="1" si="59"/>
        <v>0</v>
      </c>
      <c r="EC75">
        <f t="shared" ca="1" si="59"/>
        <v>0</v>
      </c>
      <c r="ED75">
        <f t="shared" ca="1" si="59"/>
        <v>0</v>
      </c>
      <c r="EE75">
        <f t="shared" ca="1" si="59"/>
        <v>0</v>
      </c>
      <c r="EK75" cm="1">
        <f t="array" aca="1" ref="EK75" ca="1">IF(ISNA(E75),0,OFFSET(INDIRECT("'"&amp;EK$67&amp;"'!g1"),E75-1,)*CL75)</f>
        <v>0</v>
      </c>
      <c r="EL75" cm="1">
        <f t="array" aca="1" ref="EL75" ca="1">IF(ISNA(F75),0,OFFSET(INDIRECT("'"&amp;EL$67&amp;"'!g1"),F75-1,)*CM75)</f>
        <v>0</v>
      </c>
      <c r="EM75" cm="1">
        <f t="array" aca="1" ref="EM75" ca="1">IF(ISNA(G75),0,OFFSET(INDIRECT("'"&amp;EM$67&amp;"'!g1"),G75-1,)*CN75)</f>
        <v>0</v>
      </c>
      <c r="EN75" cm="1">
        <f t="array" aca="1" ref="EN75" ca="1">IF(ISNA(H75),0,OFFSET(INDIRECT("'"&amp;EN$67&amp;"'!g1"),H75-1,)*CO75)</f>
        <v>0</v>
      </c>
      <c r="EO75" cm="1">
        <f t="array" aca="1" ref="EO75" ca="1">IF(ISNA(I75),0,OFFSET(INDIRECT("'"&amp;EO$67&amp;"'!g1"),I75-1,)*CP75)</f>
        <v>0</v>
      </c>
      <c r="EP75" cm="1">
        <f t="array" aca="1" ref="EP75" ca="1">IF(ISNA(J75),0,OFFSET(INDIRECT("'"&amp;EP$67&amp;"'!g1"),J75-1,)*CQ75)</f>
        <v>0</v>
      </c>
      <c r="EQ75" cm="1">
        <f t="array" aca="1" ref="EQ75" ca="1">IF(ISNA(K75),0,OFFSET(INDIRECT("'"&amp;EQ$67&amp;"'!g1"),K75-1,)*CR75)</f>
        <v>0</v>
      </c>
      <c r="ER75" cm="1">
        <f t="array" aca="1" ref="ER75" ca="1">IF(ISNA(L75),0,OFFSET(INDIRECT("'"&amp;ER$67&amp;"'!g1"),L75-1,)*CS75)</f>
        <v>0</v>
      </c>
      <c r="ES75" cm="1">
        <f t="array" aca="1" ref="ES75" ca="1">IF(ISNA(M75),0,OFFSET(INDIRECT("'"&amp;ES$67&amp;"'!g1"),M75-1,)*CT75)</f>
        <v>0</v>
      </c>
      <c r="ET75" cm="1">
        <f t="array" aca="1" ref="ET75" ca="1">IF(ISNA(N75),0,OFFSET(INDIRECT("'"&amp;ET$67&amp;"'!g1"),N75-1,)*CU75)</f>
        <v>0</v>
      </c>
      <c r="EU75" cm="1">
        <f t="array" aca="1" ref="EU75" ca="1">IF(ISNA(O75),0,OFFSET(INDIRECT("'"&amp;EU$67&amp;"'!g1"),O75-1,)*CV75)</f>
        <v>0</v>
      </c>
      <c r="EV75" cm="1">
        <f t="array" aca="1" ref="EV75" ca="1">IF(ISNA(P75),0,OFFSET(INDIRECT("'"&amp;EV$67&amp;"'!g1"),P75-1,)*CW75)</f>
        <v>0</v>
      </c>
      <c r="FB75" s="10" cm="1">
        <f t="array" aca="1" ref="FB75" ca="1">IF(ISNA(E75),0,OFFSET(INDIRECT("'"&amp;EK$67&amp;"'!h1"),E75-1,))</f>
        <v>1</v>
      </c>
      <c r="FC75" s="10" cm="1">
        <f t="array" aca="1" ref="FC75" ca="1">IF(ISNA(F75),0,OFFSET(INDIRECT("'"&amp;EL$67&amp;"'!h1"),F75-1,))</f>
        <v>1</v>
      </c>
      <c r="FD75" s="10" cm="1">
        <f t="array" aca="1" ref="FD75" ca="1">IF(ISNA(G75),0,OFFSET(INDIRECT("'"&amp;EM$67&amp;"'!h1"),G75-1,))</f>
        <v>1</v>
      </c>
      <c r="FE75" s="10" cm="1">
        <f t="array" aca="1" ref="FE75" ca="1">IF(ISNA(H75),0,OFFSET(INDIRECT("'"&amp;EN$67&amp;"'!h1"),H75-1,))</f>
        <v>1</v>
      </c>
      <c r="FF75" s="10" cm="1">
        <f t="array" aca="1" ref="FF75" ca="1">IF(ISNA(I75),0,OFFSET(INDIRECT("'"&amp;EO$67&amp;"'!h1"),I75-1,))</f>
        <v>1</v>
      </c>
      <c r="FG75" s="10" cm="1">
        <f t="array" aca="1" ref="FG75" ca="1">IF(ISNA(J75),0,OFFSET(INDIRECT("'"&amp;EP$67&amp;"'!h1"),J75-1,))</f>
        <v>1</v>
      </c>
      <c r="FH75" s="10" cm="1">
        <f t="array" aca="1" ref="FH75" ca="1">IF(ISNA(K75),0,OFFSET(INDIRECT("'"&amp;EQ$67&amp;"'!h1"),K75-1,))</f>
        <v>10000</v>
      </c>
      <c r="FI75" s="10" cm="1">
        <f t="array" aca="1" ref="FI75" ca="1">IF(ISNA(L75),0,OFFSET(INDIRECT("'"&amp;ER$67&amp;"'!h1"),L75-1,))</f>
        <v>10000</v>
      </c>
      <c r="FJ75" s="10" cm="1">
        <f t="array" aca="1" ref="FJ75" ca="1">IF(ISNA(M75),0,OFFSET(INDIRECT("'"&amp;ES$67&amp;"'!h1"),M75-1,))</f>
        <v>10000</v>
      </c>
      <c r="FK75" s="10" cm="1">
        <f t="array" aca="1" ref="FK75" ca="1">IF(ISNA(N75),0,OFFSET(INDIRECT("'"&amp;ET$67&amp;"'!h1"),N75-1,))</f>
        <v>1</v>
      </c>
      <c r="FL75" s="10" cm="1">
        <f t="array" aca="1" ref="FL75" ca="1">IF(ISNA(O75),0,OFFSET(INDIRECT("'"&amp;EU$67&amp;"'!h1"),O75-1,))</f>
        <v>1</v>
      </c>
      <c r="FM75" s="10" cm="1">
        <f t="array" aca="1" ref="FM75" ca="1">IF(ISNA(P75),0,OFFSET(INDIRECT("'"&amp;EV$67&amp;"'!h1"),P75-1,))</f>
        <v>0</v>
      </c>
      <c r="FN75" s="10"/>
      <c r="FO75" s="10"/>
      <c r="FP75" s="10"/>
      <c r="FQ75" s="10"/>
      <c r="FS75">
        <f t="shared" ca="1" si="91"/>
        <v>288</v>
      </c>
      <c r="FT75">
        <f t="shared" ca="1" si="92"/>
        <v>17.816523155197501</v>
      </c>
      <c r="FU75">
        <f t="shared" ca="1" si="93"/>
        <v>0</v>
      </c>
      <c r="FV75">
        <f t="shared" ca="1" si="94"/>
        <v>10000</v>
      </c>
      <c r="FW75" s="4">
        <f t="shared" ca="1" si="95"/>
        <v>0</v>
      </c>
      <c r="FX75" s="5" t="e">
        <f t="shared" ca="1" si="96"/>
        <v>#N/A</v>
      </c>
      <c r="FZ75" s="13">
        <f t="shared" ca="1" si="60"/>
        <v>288</v>
      </c>
      <c r="GA75" s="22">
        <f t="shared" ca="1" si="97"/>
        <v>4.1666666666666664E-2</v>
      </c>
      <c r="GB75" s="22">
        <f t="shared" ca="1" si="61"/>
        <v>0.25</v>
      </c>
      <c r="GC75" s="22">
        <f t="shared" ca="1" si="62"/>
        <v>0.33333333333333331</v>
      </c>
      <c r="GD75" s="22" t="e">
        <f t="shared" ca="1" si="63"/>
        <v>#N/A</v>
      </c>
      <c r="GE75" s="22">
        <f t="shared" ca="1" si="64"/>
        <v>4.1666666666666664E-2</v>
      </c>
      <c r="GF75" s="22">
        <f t="shared" ca="1" si="65"/>
        <v>0.125</v>
      </c>
      <c r="GG75" s="22">
        <f t="shared" ca="1" si="66"/>
        <v>8.3333333333333329E-2</v>
      </c>
      <c r="GH75" s="22">
        <f t="shared" ca="1" si="67"/>
        <v>4.1666666666666664E-2</v>
      </c>
      <c r="GI75" s="22">
        <f t="shared" ca="1" si="68"/>
        <v>0.125</v>
      </c>
      <c r="GJ75" s="22" t="e">
        <f t="shared" ca="1" si="69"/>
        <v>#N/A</v>
      </c>
      <c r="GK75" s="22" t="e">
        <f t="shared" ca="1" si="70"/>
        <v>#N/A</v>
      </c>
      <c r="GL75" s="22" t="e">
        <f t="shared" ca="1" si="71"/>
        <v>#N/A</v>
      </c>
      <c r="GM75" s="22"/>
      <c r="GN75">
        <f t="shared" ca="1" si="98"/>
        <v>288</v>
      </c>
      <c r="GO75" s="5" t="e">
        <f t="shared" ca="1" si="99"/>
        <v>#N/A</v>
      </c>
      <c r="GP75" s="5" t="e">
        <f t="shared" ca="1" si="72"/>
        <v>#N/A</v>
      </c>
      <c r="GQ75" s="5" t="e">
        <f t="shared" ca="1" si="72"/>
        <v>#N/A</v>
      </c>
      <c r="GR75" s="5" t="e">
        <f t="shared" ca="1" si="72"/>
        <v>#N/A</v>
      </c>
      <c r="GS75" s="5" t="e">
        <f t="shared" ca="1" si="72"/>
        <v>#N/A</v>
      </c>
      <c r="GT75" s="5" t="e">
        <f t="shared" ca="1" si="100"/>
        <v>#N/A</v>
      </c>
      <c r="GU75" s="5" t="e">
        <f t="shared" ca="1" si="73"/>
        <v>#N/A</v>
      </c>
      <c r="GV75" s="5" t="e">
        <f t="shared" ca="1" si="73"/>
        <v>#N/A</v>
      </c>
      <c r="GW75" s="5" t="e">
        <f t="shared" ca="1" si="73"/>
        <v>#N/A</v>
      </c>
      <c r="GX75" s="5" t="e">
        <f t="shared" ca="1" si="73"/>
        <v>#N/A</v>
      </c>
      <c r="GY75" s="5" t="e">
        <f t="shared" ca="1" si="73"/>
        <v>#N/A</v>
      </c>
      <c r="GZ75" s="5" t="e">
        <f t="shared" ca="1" si="73"/>
        <v>#N/A</v>
      </c>
      <c r="HB75" s="13">
        <f t="shared" ca="1" si="74"/>
        <v>288</v>
      </c>
      <c r="HC75" s="4">
        <f t="shared" ca="1" si="101"/>
        <v>0</v>
      </c>
      <c r="HD75" s="4">
        <f t="shared" ca="1" si="75"/>
        <v>0</v>
      </c>
      <c r="HE75" s="4">
        <f t="shared" ca="1" si="76"/>
        <v>0</v>
      </c>
      <c r="HF75" s="4">
        <f t="shared" ca="1" si="77"/>
        <v>0</v>
      </c>
      <c r="HG75" s="4">
        <f t="shared" ca="1" si="78"/>
        <v>0</v>
      </c>
      <c r="HH75" s="4">
        <f t="shared" ca="1" si="79"/>
        <v>0</v>
      </c>
      <c r="HI75" s="4">
        <f t="shared" ca="1" si="80"/>
        <v>0</v>
      </c>
      <c r="HJ75" s="4">
        <f t="shared" ca="1" si="81"/>
        <v>0</v>
      </c>
      <c r="HK75" s="4">
        <f t="shared" ca="1" si="82"/>
        <v>0</v>
      </c>
      <c r="HL75" s="4">
        <f t="shared" ca="1" si="83"/>
        <v>0</v>
      </c>
      <c r="HM75" s="4">
        <f t="shared" ca="1" si="84"/>
        <v>0</v>
      </c>
      <c r="HN75" s="4">
        <f t="shared" ca="1" si="85"/>
        <v>0</v>
      </c>
    </row>
    <row r="76" spans="1:222" x14ac:dyDescent="0.2">
      <c r="A76" t="str" cm="1">
        <f t="array" aca="1" ref="A76" ca="1">INDIRECT($A$67&amp;"!A"&amp;ROW(C9)+$B$64)</f>
        <v>324_4_25</v>
      </c>
      <c r="B76" cm="1">
        <f t="array" aca="1" ref="B76" ca="1">INDIRECT($A$67&amp;"!b"&amp;ROW(D9)+$B$64)</f>
        <v>324</v>
      </c>
      <c r="C76">
        <f t="shared" ca="1" si="86"/>
        <v>25</v>
      </c>
      <c r="E76">
        <f t="shared" ca="1" si="53"/>
        <v>37</v>
      </c>
      <c r="F76">
        <f t="shared" ca="1" si="53"/>
        <v>38</v>
      </c>
      <c r="G76">
        <f t="shared" ca="1" si="53"/>
        <v>50</v>
      </c>
      <c r="H76">
        <f t="shared" ca="1" si="53"/>
        <v>49</v>
      </c>
      <c r="I76">
        <f t="shared" ca="1" si="53"/>
        <v>41</v>
      </c>
      <c r="J76">
        <f t="shared" ca="1" si="53"/>
        <v>37</v>
      </c>
      <c r="K76">
        <f t="shared" ca="1" si="53"/>
        <v>40</v>
      </c>
      <c r="L76">
        <f t="shared" ca="1" si="53"/>
        <v>42</v>
      </c>
      <c r="M76">
        <f t="shared" ca="1" si="53"/>
        <v>43</v>
      </c>
      <c r="N76">
        <f t="shared" ca="1" si="53"/>
        <v>37</v>
      </c>
      <c r="O76">
        <f t="shared" ca="1" si="53"/>
        <v>37</v>
      </c>
      <c r="P76" t="e">
        <f t="shared" ca="1" si="53"/>
        <v>#N/A</v>
      </c>
      <c r="V76" cm="1">
        <f t="array" aca="1" ref="V76" ca="1">IF(ISNA(E76),,OFFSET(INDIRECT("'"&amp;V$67&amp;"'!d1"),E76-1,))</f>
        <v>31</v>
      </c>
      <c r="W76" cm="1">
        <f t="array" aca="1" ref="W76" ca="1">IF(ISNA(F76),,OFFSET(INDIRECT("'"&amp;W$67&amp;"'!d1"),F76-1,))</f>
        <v>28</v>
      </c>
      <c r="X76" cm="1">
        <f t="array" aca="1" ref="X76" ca="1">IF(ISNA(G76),,OFFSET(INDIRECT("'"&amp;X$67&amp;"'!d1"),G76-1,))</f>
        <v>36</v>
      </c>
      <c r="Y76" cm="1">
        <f t="array" aca="1" ref="Y76" ca="1">IF(ISNA(H76),,OFFSET(INDIRECT("'"&amp;Y$67&amp;"'!d1"),H76-1,))</f>
        <v>0</v>
      </c>
      <c r="Z76" cm="1">
        <f t="array" aca="1" ref="Z76" ca="1">IF(ISNA(I76),,OFFSET(INDIRECT("'"&amp;Z$67&amp;"'!d1"),I76-1,))</f>
        <v>27</v>
      </c>
      <c r="AA76" cm="1">
        <f t="array" aca="1" ref="AA76" ca="1">IF(ISNA(J76),,OFFSET(INDIRECT("'"&amp;AA$67&amp;"'!d1"),J76-1,))</f>
        <v>29</v>
      </c>
      <c r="AB76" cm="1">
        <f t="array" aca="1" ref="AB76" ca="1">IF(ISNA(K76),,OFFSET(INDIRECT("'"&amp;AB$67&amp;"'!d1"),K76-1,))</f>
        <v>28</v>
      </c>
      <c r="AC76" cm="1">
        <f t="array" aca="1" ref="AC76" ca="1">IF(ISNA(L76),,OFFSET(INDIRECT("'"&amp;AC$67&amp;"'!d1"),L76-1,))</f>
        <v>25</v>
      </c>
      <c r="AD76" cm="1">
        <f t="array" aca="1" ref="AD76" ca="1">IF(ISNA(M76),,OFFSET(INDIRECT("'"&amp;AD$67&amp;"'!d1"),M76-1,))</f>
        <v>30</v>
      </c>
      <c r="AE76" cm="1">
        <f t="array" aca="1" ref="AE76" ca="1">IF(ISNA(N76),,OFFSET(INDIRECT("'"&amp;AE$67&amp;"'!d1"),N76-1,))</f>
        <v>0</v>
      </c>
      <c r="AF76" cm="1">
        <f t="array" aca="1" ref="AF76" ca="1">IF(ISNA(O76),,OFFSET(INDIRECT("'"&amp;AF$67&amp;"'!d1"),O76-1,))</f>
        <v>0</v>
      </c>
      <c r="AG76" cm="1">
        <f t="array" aca="1" ref="AG76" ca="1">IF(ISNA(P76),,OFFSET(INDIRECT("'"&amp;AG$67&amp;"'!d1"),P76-1,))</f>
        <v>0</v>
      </c>
      <c r="AM76">
        <f t="shared" ca="1" si="87"/>
        <v>0</v>
      </c>
      <c r="AN76">
        <f t="shared" ca="1" si="54"/>
        <v>0</v>
      </c>
      <c r="AO76">
        <f t="shared" ca="1" si="54"/>
        <v>0</v>
      </c>
      <c r="AP76">
        <f t="shared" ca="1" si="54"/>
        <v>0</v>
      </c>
      <c r="AQ76">
        <f t="shared" ca="1" si="88"/>
        <v>0</v>
      </c>
      <c r="AV76" t="str">
        <f t="shared" ca="1" si="89"/>
        <v/>
      </c>
      <c r="AW76" t="str">
        <f t="shared" ca="1" si="55"/>
        <v/>
      </c>
      <c r="AX76" t="str">
        <f t="shared" ca="1" si="55"/>
        <v/>
      </c>
      <c r="AY76" t="str">
        <f t="shared" ca="1" si="55"/>
        <v/>
      </c>
      <c r="AZ76" t="str">
        <f t="shared" ca="1" si="55"/>
        <v/>
      </c>
      <c r="BD76">
        <f t="shared" ca="1" si="56"/>
        <v>1</v>
      </c>
      <c r="BE76">
        <f t="shared" ca="1" si="56"/>
        <v>1</v>
      </c>
      <c r="BF76">
        <f t="shared" ca="1" si="56"/>
        <v>1</v>
      </c>
      <c r="BG76">
        <f t="shared" ca="1" si="56"/>
        <v>0</v>
      </c>
      <c r="BH76">
        <f t="shared" ca="1" si="56"/>
        <v>1</v>
      </c>
      <c r="BI76">
        <f t="shared" ca="1" si="56"/>
        <v>1</v>
      </c>
      <c r="BJ76">
        <f t="shared" ca="1" si="56"/>
        <v>1</v>
      </c>
      <c r="BK76">
        <f t="shared" ca="1" si="56"/>
        <v>1</v>
      </c>
      <c r="BL76">
        <f t="shared" ca="1" si="56"/>
        <v>1</v>
      </c>
      <c r="BM76">
        <f t="shared" ca="1" si="56"/>
        <v>0</v>
      </c>
      <c r="BN76">
        <f t="shared" ca="1" si="56"/>
        <v>0</v>
      </c>
      <c r="BO76">
        <f t="shared" ca="1" si="56"/>
        <v>0</v>
      </c>
      <c r="BU76">
        <f t="shared" ca="1" si="57"/>
        <v>31</v>
      </c>
      <c r="BV76">
        <f t="shared" ca="1" si="57"/>
        <v>28</v>
      </c>
      <c r="BW76">
        <f t="shared" ca="1" si="57"/>
        <v>36</v>
      </c>
      <c r="BX76">
        <f t="shared" ca="1" si="57"/>
        <v>324</v>
      </c>
      <c r="BY76">
        <f t="shared" ca="1" si="57"/>
        <v>27</v>
      </c>
      <c r="BZ76">
        <f t="shared" ca="1" si="57"/>
        <v>29</v>
      </c>
      <c r="CA76">
        <f t="shared" ca="1" si="57"/>
        <v>28</v>
      </c>
      <c r="CB76">
        <f t="shared" ca="1" si="57"/>
        <v>25</v>
      </c>
      <c r="CC76">
        <f t="shared" ca="1" si="57"/>
        <v>30</v>
      </c>
      <c r="CD76">
        <f t="shared" ca="1" si="57"/>
        <v>324</v>
      </c>
      <c r="CE76">
        <f t="shared" ca="1" si="57"/>
        <v>324</v>
      </c>
      <c r="CF76">
        <f t="shared" ca="1" si="57"/>
        <v>324</v>
      </c>
      <c r="CL76">
        <f t="shared" ca="1" si="58"/>
        <v>0</v>
      </c>
      <c r="CM76">
        <f t="shared" ca="1" si="58"/>
        <v>0</v>
      </c>
      <c r="CN76">
        <f t="shared" ca="1" si="58"/>
        <v>0</v>
      </c>
      <c r="CO76">
        <f t="shared" ca="1" si="58"/>
        <v>0</v>
      </c>
      <c r="CP76">
        <f t="shared" ca="1" si="58"/>
        <v>0</v>
      </c>
      <c r="CQ76">
        <f t="shared" ca="1" si="58"/>
        <v>0</v>
      </c>
      <c r="CR76">
        <f t="shared" ca="1" si="58"/>
        <v>0</v>
      </c>
      <c r="CS76">
        <f t="shared" ca="1" si="58"/>
        <v>1</v>
      </c>
      <c r="CT76">
        <f t="shared" ca="1" si="58"/>
        <v>0</v>
      </c>
      <c r="CU76">
        <f t="shared" ca="1" si="58"/>
        <v>0</v>
      </c>
      <c r="CV76">
        <f t="shared" ca="1" si="58"/>
        <v>0</v>
      </c>
      <c r="CW76">
        <f t="shared" ca="1" si="58"/>
        <v>0</v>
      </c>
      <c r="DC76" cm="1">
        <f t="array" aca="1" ref="DC76" ca="1">IF(ISNA(E76),,OFFSET(INDIRECT("'"&amp;DT$67&amp;"'!f1"),E76-1,))*1</f>
        <v>29012.555522440001</v>
      </c>
      <c r="DD76" cm="1">
        <f t="array" aca="1" ref="DD76" ca="1">IF(ISNA(F76),,OFFSET(INDIRECT("'"&amp;DU$67&amp;"'!f1"),F76-1,))*1</f>
        <v>28811.2560979062</v>
      </c>
      <c r="DE76" cm="1">
        <f t="array" aca="1" ref="DE76" ca="1">IF(ISNA(G76),,OFFSET(INDIRECT("'"&amp;DV$67&amp;"'!f1"),G76-1,))*1</f>
        <v>28800.277388724498</v>
      </c>
      <c r="DF76" cm="1">
        <f t="array" aca="1" ref="DF76" ca="1">IF(ISNA(H76),,OFFSET(INDIRECT("'"&amp;DW$67&amp;"'!f1"),H76-1,))*1</f>
        <v>28800.1631117705</v>
      </c>
      <c r="DG76" cm="1">
        <f t="array" aca="1" ref="DG76" ca="1">IF(ISNA(I76),,OFFSET(INDIRECT("'"&amp;DX$67&amp;"'!f1"),I76-1,))*1</f>
        <v>28800.774202791999</v>
      </c>
      <c r="DH76" cm="1">
        <f t="array" aca="1" ref="DH76" ca="1">IF(ISNA(J76),,OFFSET(INDIRECT("'"&amp;DY$67&amp;"'!f1"),J76-1,))*1</f>
        <v>2.0431499807164002</v>
      </c>
      <c r="DI76" cm="1">
        <f t="array" aca="1" ref="DI76" ca="1">IF(ISNA(K76),,OFFSET(INDIRECT("'"&amp;DZ$67&amp;"'!f1"),K76-1,))*1</f>
        <v>23.3019706401973</v>
      </c>
      <c r="DJ76" cm="1">
        <f t="array" aca="1" ref="DJ76" ca="1">IF(ISNA(L76),,OFFSET(INDIRECT("'"&amp;EA$67&amp;"'!f1"),L76-1,))*1</f>
        <v>23.443407067097699</v>
      </c>
      <c r="DK76" cm="1">
        <f t="array" aca="1" ref="DK76" ca="1">IF(ISNA(M76),,OFFSET(INDIRECT("'"&amp;EB$67&amp;"'!f1"),M76-1,))*1</f>
        <v>216.13331461511501</v>
      </c>
      <c r="DL76" cm="1">
        <f t="array" aca="1" ref="DL76" ca="1">IF(ISNA(N76),,OFFSET(INDIRECT("'"&amp;EC$67&amp;"'!f1"),N76-1,))*1</f>
        <v>2.5424945168197099E-2</v>
      </c>
      <c r="DM76" cm="1">
        <f t="array" aca="1" ref="DM76" ca="1">IF(ISNA(O76),,OFFSET(INDIRECT("'"&amp;ED$67&amp;"'!f1"),O76-1,))*1</f>
        <v>2.6545614004135101E-2</v>
      </c>
      <c r="DN76" cm="1">
        <f t="array" aca="1" ref="DN76" ca="1">IF(ISNA(P76),,OFFSET(INDIRECT("'"&amp;EE$67&amp;"'!f1"),P76-1,))*1</f>
        <v>0</v>
      </c>
      <c r="DT76">
        <f t="shared" ca="1" si="90"/>
        <v>0</v>
      </c>
      <c r="DU76">
        <f t="shared" ca="1" si="59"/>
        <v>0</v>
      </c>
      <c r="DV76">
        <f t="shared" ca="1" si="59"/>
        <v>0</v>
      </c>
      <c r="DW76">
        <f t="shared" ca="1" si="59"/>
        <v>0</v>
      </c>
      <c r="DX76">
        <f t="shared" ca="1" si="59"/>
        <v>0</v>
      </c>
      <c r="DY76">
        <f t="shared" ca="1" si="59"/>
        <v>0</v>
      </c>
      <c r="DZ76">
        <f t="shared" ca="1" si="59"/>
        <v>0</v>
      </c>
      <c r="EA76">
        <f t="shared" ca="1" si="59"/>
        <v>1997</v>
      </c>
      <c r="EB76">
        <f t="shared" ca="1" si="59"/>
        <v>0</v>
      </c>
      <c r="EC76">
        <f t="shared" ca="1" si="59"/>
        <v>0</v>
      </c>
      <c r="ED76">
        <f t="shared" ca="1" si="59"/>
        <v>0</v>
      </c>
      <c r="EE76">
        <f t="shared" ca="1" si="59"/>
        <v>0</v>
      </c>
      <c r="EK76" cm="1">
        <f t="array" aca="1" ref="EK76" ca="1">IF(ISNA(E76),0,OFFSET(INDIRECT("'"&amp;EK$67&amp;"'!g1"),E76-1,)*CL76)</f>
        <v>0</v>
      </c>
      <c r="EL76" cm="1">
        <f t="array" aca="1" ref="EL76" ca="1">IF(ISNA(F76),0,OFFSET(INDIRECT("'"&amp;EL$67&amp;"'!g1"),F76-1,)*CM76)</f>
        <v>0</v>
      </c>
      <c r="EM76" cm="1">
        <f t="array" aca="1" ref="EM76" ca="1">IF(ISNA(G76),0,OFFSET(INDIRECT("'"&amp;EM$67&amp;"'!g1"),G76-1,)*CN76)</f>
        <v>0</v>
      </c>
      <c r="EN76" cm="1">
        <f t="array" aca="1" ref="EN76" ca="1">IF(ISNA(H76),0,OFFSET(INDIRECT("'"&amp;EN$67&amp;"'!g1"),H76-1,)*CO76)</f>
        <v>0</v>
      </c>
      <c r="EO76" cm="1">
        <f t="array" aca="1" ref="EO76" ca="1">IF(ISNA(I76),0,OFFSET(INDIRECT("'"&amp;EO$67&amp;"'!g1"),I76-1,)*CP76)</f>
        <v>0</v>
      </c>
      <c r="EP76" cm="1">
        <f t="array" aca="1" ref="EP76" ca="1">IF(ISNA(J76),0,OFFSET(INDIRECT("'"&amp;EP$67&amp;"'!g1"),J76-1,)*CQ76)</f>
        <v>0</v>
      </c>
      <c r="EQ76" cm="1">
        <f t="array" aca="1" ref="EQ76" ca="1">IF(ISNA(K76),0,OFFSET(INDIRECT("'"&amp;EQ$67&amp;"'!g1"),K76-1,)*CR76)</f>
        <v>0</v>
      </c>
      <c r="ER76" cm="1">
        <f t="array" aca="1" ref="ER76" ca="1">IF(ISNA(L76),0,OFFSET(INDIRECT("'"&amp;ER$67&amp;"'!g1"),L76-1,)*CS76)</f>
        <v>1997</v>
      </c>
      <c r="ES76" cm="1">
        <f t="array" aca="1" ref="ES76" ca="1">IF(ISNA(M76),0,OFFSET(INDIRECT("'"&amp;ES$67&amp;"'!g1"),M76-1,)*CT76)</f>
        <v>0</v>
      </c>
      <c r="ET76" cm="1">
        <f t="array" aca="1" ref="ET76" ca="1">IF(ISNA(N76),0,OFFSET(INDIRECT("'"&amp;ET$67&amp;"'!g1"),N76-1,)*CU76)</f>
        <v>0</v>
      </c>
      <c r="EU76" cm="1">
        <f t="array" aca="1" ref="EU76" ca="1">IF(ISNA(O76),0,OFFSET(INDIRECT("'"&amp;EU$67&amp;"'!g1"),O76-1,)*CV76)</f>
        <v>0</v>
      </c>
      <c r="EV76" cm="1">
        <f t="array" aca="1" ref="EV76" ca="1">IF(ISNA(P76),0,OFFSET(INDIRECT("'"&amp;EV$67&amp;"'!g1"),P76-1,)*CW76)</f>
        <v>0</v>
      </c>
      <c r="FB76" s="10" cm="1">
        <f t="array" aca="1" ref="FB76" ca="1">IF(ISNA(E76),0,OFFSET(INDIRECT("'"&amp;EK$67&amp;"'!h1"),E76-1,))</f>
        <v>1</v>
      </c>
      <c r="FC76" s="10" cm="1">
        <f t="array" aca="1" ref="FC76" ca="1">IF(ISNA(F76),0,OFFSET(INDIRECT("'"&amp;EL$67&amp;"'!h1"),F76-1,))</f>
        <v>1</v>
      </c>
      <c r="FD76" s="10" cm="1">
        <f t="array" aca="1" ref="FD76" ca="1">IF(ISNA(G76),0,OFFSET(INDIRECT("'"&amp;EM$67&amp;"'!h1"),G76-1,))</f>
        <v>1</v>
      </c>
      <c r="FE76" s="10" cm="1">
        <f t="array" aca="1" ref="FE76" ca="1">IF(ISNA(H76),0,OFFSET(INDIRECT("'"&amp;EN$67&amp;"'!h1"),H76-1,))</f>
        <v>1</v>
      </c>
      <c r="FF76" s="10" cm="1">
        <f t="array" aca="1" ref="FF76" ca="1">IF(ISNA(I76),0,OFFSET(INDIRECT("'"&amp;EO$67&amp;"'!h1"),I76-1,))</f>
        <v>1</v>
      </c>
      <c r="FG76" s="10" cm="1">
        <f t="array" aca="1" ref="FG76" ca="1">IF(ISNA(J76),0,OFFSET(INDIRECT("'"&amp;EP$67&amp;"'!h1"),J76-1,))</f>
        <v>1</v>
      </c>
      <c r="FH76" s="10" cm="1">
        <f t="array" aca="1" ref="FH76" ca="1">IF(ISNA(K76),0,OFFSET(INDIRECT("'"&amp;EQ$67&amp;"'!h1"),K76-1,))</f>
        <v>10000</v>
      </c>
      <c r="FI76" s="10" cm="1">
        <f t="array" aca="1" ref="FI76" ca="1">IF(ISNA(L76),0,OFFSET(INDIRECT("'"&amp;ER$67&amp;"'!h1"),L76-1,))</f>
        <v>10000</v>
      </c>
      <c r="FJ76" s="10" cm="1">
        <f t="array" aca="1" ref="FJ76" ca="1">IF(ISNA(M76),0,OFFSET(INDIRECT("'"&amp;ES$67&amp;"'!h1"),M76-1,))</f>
        <v>10000</v>
      </c>
      <c r="FK76" s="10" cm="1">
        <f t="array" aca="1" ref="FK76" ca="1">IF(ISNA(N76),0,OFFSET(INDIRECT("'"&amp;ET$67&amp;"'!h1"),N76-1,))</f>
        <v>1</v>
      </c>
      <c r="FL76" s="10" cm="1">
        <f t="array" aca="1" ref="FL76" ca="1">IF(ISNA(O76),0,OFFSET(INDIRECT("'"&amp;EU$67&amp;"'!h1"),O76-1,))</f>
        <v>1</v>
      </c>
      <c r="FM76" s="10" cm="1">
        <f t="array" aca="1" ref="FM76" ca="1">IF(ISNA(P76),0,OFFSET(INDIRECT("'"&amp;EV$67&amp;"'!h1"),P76-1,))</f>
        <v>0</v>
      </c>
      <c r="FN76" s="10"/>
      <c r="FO76" s="10"/>
      <c r="FP76" s="10"/>
      <c r="FQ76" s="10"/>
      <c r="FS76">
        <f t="shared" ca="1" si="91"/>
        <v>324</v>
      </c>
      <c r="FT76">
        <f t="shared" ca="1" si="92"/>
        <v>23.3019706401973</v>
      </c>
      <c r="FU76">
        <f t="shared" ca="1" si="93"/>
        <v>0</v>
      </c>
      <c r="FV76">
        <f t="shared" ca="1" si="94"/>
        <v>10000</v>
      </c>
      <c r="FW76" s="4">
        <f t="shared" ca="1" si="95"/>
        <v>0</v>
      </c>
      <c r="FX76" s="5" t="e">
        <f t="shared" ca="1" si="96"/>
        <v>#N/A</v>
      </c>
      <c r="FZ76" s="13">
        <f t="shared" ca="1" si="60"/>
        <v>324</v>
      </c>
      <c r="GA76" s="22">
        <f t="shared" ca="1" si="97"/>
        <v>0.24</v>
      </c>
      <c r="GB76" s="22">
        <f t="shared" ca="1" si="61"/>
        <v>0.12</v>
      </c>
      <c r="GC76" s="22">
        <f t="shared" ca="1" si="62"/>
        <v>0.44</v>
      </c>
      <c r="GD76" s="22" t="e">
        <f t="shared" ca="1" si="63"/>
        <v>#N/A</v>
      </c>
      <c r="GE76" s="22">
        <f t="shared" ca="1" si="64"/>
        <v>0.08</v>
      </c>
      <c r="GF76" s="22">
        <f t="shared" ca="1" si="65"/>
        <v>0.16</v>
      </c>
      <c r="GG76" s="22">
        <f t="shared" ca="1" si="66"/>
        <v>0.12</v>
      </c>
      <c r="GH76" s="22">
        <f t="shared" ca="1" si="67"/>
        <v>0</v>
      </c>
      <c r="GI76" s="22">
        <f t="shared" ca="1" si="68"/>
        <v>0.2</v>
      </c>
      <c r="GJ76" s="22" t="e">
        <f t="shared" ca="1" si="69"/>
        <v>#N/A</v>
      </c>
      <c r="GK76" s="22" t="e">
        <f t="shared" ca="1" si="70"/>
        <v>#N/A</v>
      </c>
      <c r="GL76" s="22" t="e">
        <f t="shared" ca="1" si="71"/>
        <v>#N/A</v>
      </c>
      <c r="GM76" s="22"/>
      <c r="GN76">
        <f t="shared" ca="1" si="98"/>
        <v>324</v>
      </c>
      <c r="GO76" s="5" t="e">
        <f t="shared" ca="1" si="99"/>
        <v>#N/A</v>
      </c>
      <c r="GP76" s="5" t="e">
        <f t="shared" ca="1" si="72"/>
        <v>#N/A</v>
      </c>
      <c r="GQ76" s="5" t="e">
        <f t="shared" ca="1" si="72"/>
        <v>#N/A</v>
      </c>
      <c r="GR76" s="5" t="e">
        <f t="shared" ca="1" si="72"/>
        <v>#N/A</v>
      </c>
      <c r="GS76" s="5" t="e">
        <f t="shared" ca="1" si="72"/>
        <v>#N/A</v>
      </c>
      <c r="GT76" s="5" t="e">
        <f t="shared" ca="1" si="100"/>
        <v>#N/A</v>
      </c>
      <c r="GU76" s="5" t="e">
        <f t="shared" ca="1" si="73"/>
        <v>#N/A</v>
      </c>
      <c r="GV76" s="5">
        <f t="shared" ca="1" si="73"/>
        <v>1.1739312502302302E-2</v>
      </c>
      <c r="GW76" s="5" t="e">
        <f t="shared" ca="1" si="73"/>
        <v>#N/A</v>
      </c>
      <c r="GX76" s="5" t="e">
        <f t="shared" ca="1" si="73"/>
        <v>#N/A</v>
      </c>
      <c r="GY76" s="5" t="e">
        <f t="shared" ca="1" si="73"/>
        <v>#N/A</v>
      </c>
      <c r="GZ76" s="5" t="e">
        <f t="shared" ca="1" si="73"/>
        <v>#N/A</v>
      </c>
      <c r="HB76" s="13">
        <f t="shared" ca="1" si="74"/>
        <v>324</v>
      </c>
      <c r="HC76" s="4">
        <f t="shared" ca="1" si="101"/>
        <v>0</v>
      </c>
      <c r="HD76" s="4">
        <f t="shared" ca="1" si="75"/>
        <v>0</v>
      </c>
      <c r="HE76" s="4">
        <f t="shared" ca="1" si="76"/>
        <v>0</v>
      </c>
      <c r="HF76" s="4">
        <f t="shared" ca="1" si="77"/>
        <v>0</v>
      </c>
      <c r="HG76" s="4">
        <f t="shared" ca="1" si="78"/>
        <v>0</v>
      </c>
      <c r="HH76" s="4">
        <f t="shared" ca="1" si="79"/>
        <v>0</v>
      </c>
      <c r="HI76" s="4">
        <f t="shared" ca="1" si="80"/>
        <v>0</v>
      </c>
      <c r="HJ76" s="4">
        <f t="shared" ca="1" si="81"/>
        <v>0.19969999999999999</v>
      </c>
      <c r="HK76" s="4">
        <f t="shared" ca="1" si="82"/>
        <v>0</v>
      </c>
      <c r="HL76" s="4">
        <f t="shared" ca="1" si="83"/>
        <v>0</v>
      </c>
      <c r="HM76" s="4">
        <f t="shared" ca="1" si="84"/>
        <v>0</v>
      </c>
      <c r="HN76" s="4">
        <f t="shared" ca="1" si="85"/>
        <v>0</v>
      </c>
    </row>
    <row r="77" spans="1:222" x14ac:dyDescent="0.2">
      <c r="A77" t="str" cm="1">
        <f t="array" aca="1" ref="A77" ca="1">INDIRECT($A$67&amp;"!A"&amp;ROW(C10)+$B$64)</f>
        <v>360_4_24</v>
      </c>
      <c r="B77" cm="1">
        <f t="array" aca="1" ref="B77" ca="1">INDIRECT($A$67&amp;"!b"&amp;ROW(D10)+$B$64)</f>
        <v>360</v>
      </c>
      <c r="C77">
        <f t="shared" ca="1" si="86"/>
        <v>24</v>
      </c>
      <c r="E77">
        <f t="shared" ca="1" si="53"/>
        <v>39</v>
      </c>
      <c r="F77">
        <f t="shared" ca="1" si="53"/>
        <v>40</v>
      </c>
      <c r="G77">
        <f t="shared" ca="1" si="53"/>
        <v>34</v>
      </c>
      <c r="H77">
        <f t="shared" ca="1" si="53"/>
        <v>36</v>
      </c>
      <c r="I77">
        <f t="shared" ca="1" si="53"/>
        <v>47</v>
      </c>
      <c r="J77">
        <f t="shared" ca="1" si="53"/>
        <v>38</v>
      </c>
      <c r="K77">
        <f t="shared" ca="1" si="53"/>
        <v>41</v>
      </c>
      <c r="L77">
        <f t="shared" ca="1" si="53"/>
        <v>43</v>
      </c>
      <c r="M77">
        <f t="shared" ca="1" si="53"/>
        <v>44</v>
      </c>
      <c r="N77">
        <f t="shared" ca="1" si="53"/>
        <v>38</v>
      </c>
      <c r="O77">
        <f t="shared" ca="1" si="53"/>
        <v>38</v>
      </c>
      <c r="P77" t="e">
        <f t="shared" ca="1" si="53"/>
        <v>#N/A</v>
      </c>
      <c r="V77" cm="1">
        <f t="array" aca="1" ref="V77" ca="1">IF(ISNA(E77),,OFFSET(INDIRECT("'"&amp;V$67&amp;"'!d1"),E77-1,))</f>
        <v>26</v>
      </c>
      <c r="W77" cm="1">
        <f t="array" aca="1" ref="W77" ca="1">IF(ISNA(F77),,OFFSET(INDIRECT("'"&amp;W$67&amp;"'!d1"),F77-1,))</f>
        <v>28</v>
      </c>
      <c r="X77" cm="1">
        <f t="array" aca="1" ref="X77" ca="1">IF(ISNA(G77),,OFFSET(INDIRECT("'"&amp;X$67&amp;"'!d1"),G77-1,))</f>
        <v>40</v>
      </c>
      <c r="Y77" cm="1">
        <f t="array" aca="1" ref="Y77" ca="1">IF(ISNA(H77),,OFFSET(INDIRECT("'"&amp;Y$67&amp;"'!d1"),H77-1,))</f>
        <v>0</v>
      </c>
      <c r="Z77" cm="1">
        <f t="array" aca="1" ref="Z77" ca="1">IF(ISNA(I77),,OFFSET(INDIRECT("'"&amp;Z$67&amp;"'!d1"),I77-1,))</f>
        <v>25</v>
      </c>
      <c r="AA77" cm="1">
        <f t="array" aca="1" ref="AA77" ca="1">IF(ISNA(J77),,OFFSET(INDIRECT("'"&amp;AA$67&amp;"'!d1"),J77-1,))</f>
        <v>27</v>
      </c>
      <c r="AB77" cm="1">
        <f t="array" aca="1" ref="AB77" ca="1">IF(ISNA(K77),,OFFSET(INDIRECT("'"&amp;AB$67&amp;"'!d1"),K77-1,))</f>
        <v>26</v>
      </c>
      <c r="AC77" cm="1">
        <f t="array" aca="1" ref="AC77" ca="1">IF(ISNA(L77),,OFFSET(INDIRECT("'"&amp;AC$67&amp;"'!d1"),L77-1,))</f>
        <v>26</v>
      </c>
      <c r="AD77" cm="1">
        <f t="array" aca="1" ref="AD77" ca="1">IF(ISNA(M77),,OFFSET(INDIRECT("'"&amp;AD$67&amp;"'!d1"),M77-1,))</f>
        <v>25</v>
      </c>
      <c r="AE77" cm="1">
        <f t="array" aca="1" ref="AE77" ca="1">IF(ISNA(N77),,OFFSET(INDIRECT("'"&amp;AE$67&amp;"'!d1"),N77-1,))</f>
        <v>0</v>
      </c>
      <c r="AF77" cm="1">
        <f t="array" aca="1" ref="AF77" ca="1">IF(ISNA(O77),,OFFSET(INDIRECT("'"&amp;AF$67&amp;"'!d1"),O77-1,))</f>
        <v>0</v>
      </c>
      <c r="AG77" cm="1">
        <f t="array" aca="1" ref="AG77" ca="1">IF(ISNA(P77),,OFFSET(INDIRECT("'"&amp;AG$67&amp;"'!d1"),P77-1,))</f>
        <v>0</v>
      </c>
      <c r="AM77">
        <f t="shared" ca="1" si="87"/>
        <v>0</v>
      </c>
      <c r="AN77">
        <f t="shared" ca="1" si="54"/>
        <v>0</v>
      </c>
      <c r="AO77">
        <f t="shared" ca="1" si="54"/>
        <v>0</v>
      </c>
      <c r="AP77">
        <f t="shared" ca="1" si="54"/>
        <v>0</v>
      </c>
      <c r="AQ77">
        <f t="shared" ca="1" si="88"/>
        <v>0</v>
      </c>
      <c r="AV77" t="str">
        <f t="shared" ca="1" si="89"/>
        <v/>
      </c>
      <c r="AW77" t="str">
        <f t="shared" ca="1" si="55"/>
        <v/>
      </c>
      <c r="AX77" t="str">
        <f t="shared" ca="1" si="55"/>
        <v/>
      </c>
      <c r="AY77" t="str">
        <f t="shared" ca="1" si="55"/>
        <v/>
      </c>
      <c r="AZ77" t="str">
        <f t="shared" ca="1" si="55"/>
        <v/>
      </c>
      <c r="BD77">
        <f t="shared" ca="1" si="56"/>
        <v>1</v>
      </c>
      <c r="BE77">
        <f t="shared" ca="1" si="56"/>
        <v>1</v>
      </c>
      <c r="BF77">
        <f t="shared" ca="1" si="56"/>
        <v>1</v>
      </c>
      <c r="BG77">
        <f t="shared" ca="1" si="56"/>
        <v>0</v>
      </c>
      <c r="BH77">
        <f t="shared" ca="1" si="56"/>
        <v>1</v>
      </c>
      <c r="BI77">
        <f t="shared" ca="1" si="56"/>
        <v>1</v>
      </c>
      <c r="BJ77">
        <f t="shared" ca="1" si="56"/>
        <v>1</v>
      </c>
      <c r="BK77">
        <f t="shared" ca="1" si="56"/>
        <v>1</v>
      </c>
      <c r="BL77">
        <f t="shared" ca="1" si="56"/>
        <v>1</v>
      </c>
      <c r="BM77">
        <f t="shared" ca="1" si="56"/>
        <v>0</v>
      </c>
      <c r="BN77">
        <f t="shared" ca="1" si="56"/>
        <v>0</v>
      </c>
      <c r="BO77">
        <f t="shared" ca="1" si="56"/>
        <v>0</v>
      </c>
      <c r="BU77">
        <f t="shared" ca="1" si="57"/>
        <v>26</v>
      </c>
      <c r="BV77">
        <f t="shared" ca="1" si="57"/>
        <v>28</v>
      </c>
      <c r="BW77">
        <f t="shared" ca="1" si="57"/>
        <v>40</v>
      </c>
      <c r="BX77">
        <f t="shared" ca="1" si="57"/>
        <v>360</v>
      </c>
      <c r="BY77">
        <f t="shared" ca="1" si="57"/>
        <v>25</v>
      </c>
      <c r="BZ77">
        <f t="shared" ca="1" si="57"/>
        <v>27</v>
      </c>
      <c r="CA77">
        <f t="shared" ca="1" si="57"/>
        <v>26</v>
      </c>
      <c r="CB77">
        <f t="shared" ca="1" si="57"/>
        <v>26</v>
      </c>
      <c r="CC77">
        <f t="shared" ca="1" si="57"/>
        <v>25</v>
      </c>
      <c r="CD77">
        <f t="shared" ca="1" si="57"/>
        <v>360</v>
      </c>
      <c r="CE77">
        <f t="shared" ca="1" si="57"/>
        <v>360</v>
      </c>
      <c r="CF77">
        <f t="shared" ca="1" si="57"/>
        <v>360</v>
      </c>
      <c r="CL77">
        <f t="shared" ca="1" si="58"/>
        <v>0</v>
      </c>
      <c r="CM77">
        <f t="shared" ca="1" si="58"/>
        <v>0</v>
      </c>
      <c r="CN77">
        <f t="shared" ca="1" si="58"/>
        <v>0</v>
      </c>
      <c r="CO77">
        <f t="shared" ca="1" si="58"/>
        <v>0</v>
      </c>
      <c r="CP77">
        <f t="shared" ca="1" si="58"/>
        <v>0</v>
      </c>
      <c r="CQ77">
        <f t="shared" ca="1" si="58"/>
        <v>0</v>
      </c>
      <c r="CR77">
        <f t="shared" ca="1" si="58"/>
        <v>0</v>
      </c>
      <c r="CS77">
        <f t="shared" ca="1" si="58"/>
        <v>0</v>
      </c>
      <c r="CT77">
        <f t="shared" ca="1" si="58"/>
        <v>0</v>
      </c>
      <c r="CU77">
        <f t="shared" ca="1" si="58"/>
        <v>0</v>
      </c>
      <c r="CV77">
        <f t="shared" ca="1" si="58"/>
        <v>0</v>
      </c>
      <c r="CW77">
        <f t="shared" ca="1" si="58"/>
        <v>0</v>
      </c>
      <c r="DC77" cm="1">
        <f t="array" aca="1" ref="DC77" ca="1">IF(ISNA(E77),,OFFSET(INDIRECT("'"&amp;DT$67&amp;"'!f1"),E77-1,))*1</f>
        <v>28963.5220911242</v>
      </c>
      <c r="DD77" cm="1">
        <f t="array" aca="1" ref="DD77" ca="1">IF(ISNA(F77),,OFFSET(INDIRECT("'"&amp;DU$67&amp;"'!f1"),F77-1,))*1</f>
        <v>28808.964997605399</v>
      </c>
      <c r="DE77" cm="1">
        <f t="array" aca="1" ref="DE77" ca="1">IF(ISNA(G77),,OFFSET(INDIRECT("'"&amp;DV$67&amp;"'!f1"),G77-1,))*1</f>
        <v>28800.2207073643</v>
      </c>
      <c r="DF77" cm="1">
        <f t="array" aca="1" ref="DF77" ca="1">IF(ISNA(H77),,OFFSET(INDIRECT("'"&amp;DW$67&amp;"'!f1"),H77-1,))*1</f>
        <v>28800.120124275702</v>
      </c>
      <c r="DG77" cm="1">
        <f t="array" aca="1" ref="DG77" ca="1">IF(ISNA(I77),,OFFSET(INDIRECT("'"&amp;DX$67&amp;"'!f1"),I77-1,))*1</f>
        <v>28801.4159977909</v>
      </c>
      <c r="DH77" cm="1">
        <f t="array" aca="1" ref="DH77" ca="1">IF(ISNA(J77),,OFFSET(INDIRECT("'"&amp;DY$67&amp;"'!f1"),J77-1,))*1</f>
        <v>2.4402408022433502</v>
      </c>
      <c r="DI77" cm="1">
        <f t="array" aca="1" ref="DI77" ca="1">IF(ISNA(K77),,OFFSET(INDIRECT("'"&amp;DZ$67&amp;"'!f1"),K77-1,))*1</f>
        <v>29.9958005258813</v>
      </c>
      <c r="DJ77" cm="1">
        <f t="array" aca="1" ref="DJ77" ca="1">IF(ISNA(L77),,OFFSET(INDIRECT("'"&amp;EA$67&amp;"'!f1"),L77-1,))*1</f>
        <v>29.856442489661202</v>
      </c>
      <c r="DK77" cm="1">
        <f t="array" aca="1" ref="DK77" ca="1">IF(ISNA(M77),,OFFSET(INDIRECT("'"&amp;EB$67&amp;"'!f1"),M77-1,))*1</f>
        <v>318.718828694894</v>
      </c>
      <c r="DL77" cm="1">
        <f t="array" aca="1" ref="DL77" ca="1">IF(ISNA(N77),,OFFSET(INDIRECT("'"&amp;EC$67&amp;"'!f1"),N77-1,))*1</f>
        <v>2.8636662289500198E-2</v>
      </c>
      <c r="DM77" cm="1">
        <f t="array" aca="1" ref="DM77" ca="1">IF(ISNA(O77),,OFFSET(INDIRECT("'"&amp;ED$67&amp;"'!f1"),O77-1,))*1</f>
        <v>3.0085407197475399E-2</v>
      </c>
      <c r="DN77" cm="1">
        <f t="array" aca="1" ref="DN77" ca="1">IF(ISNA(P77),,OFFSET(INDIRECT("'"&amp;EE$67&amp;"'!f1"),P77-1,))*1</f>
        <v>0</v>
      </c>
      <c r="DT77">
        <f t="shared" ca="1" si="90"/>
        <v>0</v>
      </c>
      <c r="DU77">
        <f t="shared" ca="1" si="59"/>
        <v>0</v>
      </c>
      <c r="DV77">
        <f t="shared" ca="1" si="59"/>
        <v>0</v>
      </c>
      <c r="DW77">
        <f t="shared" ca="1" si="59"/>
        <v>0</v>
      </c>
      <c r="DX77">
        <f t="shared" ca="1" si="59"/>
        <v>0</v>
      </c>
      <c r="DY77">
        <f t="shared" ca="1" si="59"/>
        <v>0</v>
      </c>
      <c r="DZ77">
        <f t="shared" ca="1" si="59"/>
        <v>0</v>
      </c>
      <c r="EA77">
        <f t="shared" ca="1" si="59"/>
        <v>0</v>
      </c>
      <c r="EB77">
        <f t="shared" ca="1" si="59"/>
        <v>0</v>
      </c>
      <c r="EC77">
        <f t="shared" ca="1" si="59"/>
        <v>0</v>
      </c>
      <c r="ED77">
        <f t="shared" ca="1" si="59"/>
        <v>0</v>
      </c>
      <c r="EE77">
        <f t="shared" ca="1" si="59"/>
        <v>0</v>
      </c>
      <c r="EK77" cm="1">
        <f t="array" aca="1" ref="EK77" ca="1">IF(ISNA(E77),0,OFFSET(INDIRECT("'"&amp;EK$67&amp;"'!g1"),E77-1,)*CL77)</f>
        <v>0</v>
      </c>
      <c r="EL77" cm="1">
        <f t="array" aca="1" ref="EL77" ca="1">IF(ISNA(F77),0,OFFSET(INDIRECT("'"&amp;EL$67&amp;"'!g1"),F77-1,)*CM77)</f>
        <v>0</v>
      </c>
      <c r="EM77" cm="1">
        <f t="array" aca="1" ref="EM77" ca="1">IF(ISNA(G77),0,OFFSET(INDIRECT("'"&amp;EM$67&amp;"'!g1"),G77-1,)*CN77)</f>
        <v>0</v>
      </c>
      <c r="EN77" cm="1">
        <f t="array" aca="1" ref="EN77" ca="1">IF(ISNA(H77),0,OFFSET(INDIRECT("'"&amp;EN$67&amp;"'!g1"),H77-1,)*CO77)</f>
        <v>0</v>
      </c>
      <c r="EO77" cm="1">
        <f t="array" aca="1" ref="EO77" ca="1">IF(ISNA(I77),0,OFFSET(INDIRECT("'"&amp;EO$67&amp;"'!g1"),I77-1,)*CP77)</f>
        <v>0</v>
      </c>
      <c r="EP77" cm="1">
        <f t="array" aca="1" ref="EP77" ca="1">IF(ISNA(J77),0,OFFSET(INDIRECT("'"&amp;EP$67&amp;"'!g1"),J77-1,)*CQ77)</f>
        <v>0</v>
      </c>
      <c r="EQ77" cm="1">
        <f t="array" aca="1" ref="EQ77" ca="1">IF(ISNA(K77),0,OFFSET(INDIRECT("'"&amp;EQ$67&amp;"'!g1"),K77-1,)*CR77)</f>
        <v>0</v>
      </c>
      <c r="ER77" cm="1">
        <f t="array" aca="1" ref="ER77" ca="1">IF(ISNA(L77),0,OFFSET(INDIRECT("'"&amp;ER$67&amp;"'!g1"),L77-1,)*CS77)</f>
        <v>0</v>
      </c>
      <c r="ES77" cm="1">
        <f t="array" aca="1" ref="ES77" ca="1">IF(ISNA(M77),0,OFFSET(INDIRECT("'"&amp;ES$67&amp;"'!g1"),M77-1,)*CT77)</f>
        <v>0</v>
      </c>
      <c r="ET77" cm="1">
        <f t="array" aca="1" ref="ET77" ca="1">IF(ISNA(N77),0,OFFSET(INDIRECT("'"&amp;ET$67&amp;"'!g1"),N77-1,)*CU77)</f>
        <v>0</v>
      </c>
      <c r="EU77" cm="1">
        <f t="array" aca="1" ref="EU77" ca="1">IF(ISNA(O77),0,OFFSET(INDIRECT("'"&amp;EU$67&amp;"'!g1"),O77-1,)*CV77)</f>
        <v>0</v>
      </c>
      <c r="EV77" cm="1">
        <f t="array" aca="1" ref="EV77" ca="1">IF(ISNA(P77),0,OFFSET(INDIRECT("'"&amp;EV$67&amp;"'!g1"),P77-1,)*CW77)</f>
        <v>0</v>
      </c>
      <c r="FB77" s="10" cm="1">
        <f t="array" aca="1" ref="FB77" ca="1">IF(ISNA(E77),0,OFFSET(INDIRECT("'"&amp;EK$67&amp;"'!h1"),E77-1,))</f>
        <v>1</v>
      </c>
      <c r="FC77" s="10" cm="1">
        <f t="array" aca="1" ref="FC77" ca="1">IF(ISNA(F77),0,OFFSET(INDIRECT("'"&amp;EL$67&amp;"'!h1"),F77-1,))</f>
        <v>1</v>
      </c>
      <c r="FD77" s="10" cm="1">
        <f t="array" aca="1" ref="FD77" ca="1">IF(ISNA(G77),0,OFFSET(INDIRECT("'"&amp;EM$67&amp;"'!h1"),G77-1,))</f>
        <v>1</v>
      </c>
      <c r="FE77" s="10" cm="1">
        <f t="array" aca="1" ref="FE77" ca="1">IF(ISNA(H77),0,OFFSET(INDIRECT("'"&amp;EN$67&amp;"'!h1"),H77-1,))</f>
        <v>1</v>
      </c>
      <c r="FF77" s="10" cm="1">
        <f t="array" aca="1" ref="FF77" ca="1">IF(ISNA(I77),0,OFFSET(INDIRECT("'"&amp;EO$67&amp;"'!h1"),I77-1,))</f>
        <v>1</v>
      </c>
      <c r="FG77" s="10" cm="1">
        <f t="array" aca="1" ref="FG77" ca="1">IF(ISNA(J77),0,OFFSET(INDIRECT("'"&amp;EP$67&amp;"'!h1"),J77-1,))</f>
        <v>1</v>
      </c>
      <c r="FH77" s="10" cm="1">
        <f t="array" aca="1" ref="FH77" ca="1">IF(ISNA(K77),0,OFFSET(INDIRECT("'"&amp;EQ$67&amp;"'!h1"),K77-1,))</f>
        <v>10000</v>
      </c>
      <c r="FI77" s="10" cm="1">
        <f t="array" aca="1" ref="FI77" ca="1">IF(ISNA(L77),0,OFFSET(INDIRECT("'"&amp;ER$67&amp;"'!h1"),L77-1,))</f>
        <v>10000</v>
      </c>
      <c r="FJ77" s="10" cm="1">
        <f t="array" aca="1" ref="FJ77" ca="1">IF(ISNA(M77),0,OFFSET(INDIRECT("'"&amp;ES$67&amp;"'!h1"),M77-1,))</f>
        <v>10000</v>
      </c>
      <c r="FK77" s="10" cm="1">
        <f t="array" aca="1" ref="FK77" ca="1">IF(ISNA(N77),0,OFFSET(INDIRECT("'"&amp;ET$67&amp;"'!h1"),N77-1,))</f>
        <v>1</v>
      </c>
      <c r="FL77" s="10" cm="1">
        <f t="array" aca="1" ref="FL77" ca="1">IF(ISNA(O77),0,OFFSET(INDIRECT("'"&amp;EU$67&amp;"'!h1"),O77-1,))</f>
        <v>1</v>
      </c>
      <c r="FM77" s="10" cm="1">
        <f t="array" aca="1" ref="FM77" ca="1">IF(ISNA(P77),0,OFFSET(INDIRECT("'"&amp;EV$67&amp;"'!h1"),P77-1,))</f>
        <v>0</v>
      </c>
      <c r="FN77" s="10"/>
      <c r="FO77" s="10"/>
      <c r="FP77" s="10"/>
      <c r="FQ77" s="10"/>
      <c r="FS77">
        <f t="shared" ca="1" si="91"/>
        <v>360</v>
      </c>
      <c r="FT77">
        <f t="shared" ca="1" si="92"/>
        <v>29.9958005258813</v>
      </c>
      <c r="FU77">
        <f t="shared" ca="1" si="93"/>
        <v>0</v>
      </c>
      <c r="FV77">
        <f t="shared" ca="1" si="94"/>
        <v>10000</v>
      </c>
      <c r="FW77" s="4">
        <f t="shared" ca="1" si="95"/>
        <v>0</v>
      </c>
      <c r="FX77" s="5" t="e">
        <f t="shared" ca="1" si="96"/>
        <v>#N/A</v>
      </c>
      <c r="FZ77" s="13">
        <f t="shared" ca="1" si="60"/>
        <v>360</v>
      </c>
      <c r="GA77" s="22">
        <f t="shared" ca="1" si="97"/>
        <v>8.3333333333333329E-2</v>
      </c>
      <c r="GB77" s="22">
        <f t="shared" ca="1" si="61"/>
        <v>0.16666666666666666</v>
      </c>
      <c r="GC77" s="22">
        <f t="shared" ca="1" si="62"/>
        <v>0.66666666666666663</v>
      </c>
      <c r="GD77" s="22" t="e">
        <f t="shared" ca="1" si="63"/>
        <v>#N/A</v>
      </c>
      <c r="GE77" s="22">
        <f t="shared" ca="1" si="64"/>
        <v>4.1666666666666664E-2</v>
      </c>
      <c r="GF77" s="22">
        <f t="shared" ca="1" si="65"/>
        <v>0.125</v>
      </c>
      <c r="GG77" s="22">
        <f t="shared" ca="1" si="66"/>
        <v>8.3333333333333329E-2</v>
      </c>
      <c r="GH77" s="22">
        <f t="shared" ca="1" si="67"/>
        <v>8.3333333333333329E-2</v>
      </c>
      <c r="GI77" s="22">
        <f t="shared" ca="1" si="68"/>
        <v>4.1666666666666664E-2</v>
      </c>
      <c r="GJ77" s="22" t="e">
        <f t="shared" ca="1" si="69"/>
        <v>#N/A</v>
      </c>
      <c r="GK77" s="22" t="e">
        <f t="shared" ca="1" si="70"/>
        <v>#N/A</v>
      </c>
      <c r="GL77" s="22" t="e">
        <f t="shared" ca="1" si="71"/>
        <v>#N/A</v>
      </c>
      <c r="GM77" s="22"/>
      <c r="GN77">
        <f t="shared" ca="1" si="98"/>
        <v>360</v>
      </c>
      <c r="GO77" s="5" t="e">
        <f t="shared" ca="1" si="99"/>
        <v>#N/A</v>
      </c>
      <c r="GP77" s="5" t="e">
        <f t="shared" ca="1" si="72"/>
        <v>#N/A</v>
      </c>
      <c r="GQ77" s="5" t="e">
        <f t="shared" ca="1" si="72"/>
        <v>#N/A</v>
      </c>
      <c r="GR77" s="5" t="e">
        <f t="shared" ca="1" si="72"/>
        <v>#N/A</v>
      </c>
      <c r="GS77" s="5" t="e">
        <f t="shared" ca="1" si="72"/>
        <v>#N/A</v>
      </c>
      <c r="GT77" s="5" t="e">
        <f t="shared" ca="1" si="100"/>
        <v>#N/A</v>
      </c>
      <c r="GU77" s="5" t="e">
        <f t="shared" ca="1" si="73"/>
        <v>#N/A</v>
      </c>
      <c r="GV77" s="5" t="e">
        <f t="shared" ca="1" si="73"/>
        <v>#N/A</v>
      </c>
      <c r="GW77" s="5" t="e">
        <f t="shared" ca="1" si="73"/>
        <v>#N/A</v>
      </c>
      <c r="GX77" s="5" t="e">
        <f t="shared" ca="1" si="73"/>
        <v>#N/A</v>
      </c>
      <c r="GY77" s="5" t="e">
        <f t="shared" ca="1" si="73"/>
        <v>#N/A</v>
      </c>
      <c r="GZ77" s="5" t="e">
        <f t="shared" ca="1" si="73"/>
        <v>#N/A</v>
      </c>
      <c r="HB77" s="13">
        <f t="shared" ca="1" si="74"/>
        <v>360</v>
      </c>
      <c r="HC77" s="4">
        <f t="shared" ca="1" si="101"/>
        <v>0</v>
      </c>
      <c r="HD77" s="4">
        <f t="shared" ca="1" si="75"/>
        <v>0</v>
      </c>
      <c r="HE77" s="4">
        <f t="shared" ca="1" si="76"/>
        <v>0</v>
      </c>
      <c r="HF77" s="4">
        <f t="shared" ca="1" si="77"/>
        <v>0</v>
      </c>
      <c r="HG77" s="4">
        <f t="shared" ca="1" si="78"/>
        <v>0</v>
      </c>
      <c r="HH77" s="4">
        <f t="shared" ca="1" si="79"/>
        <v>0</v>
      </c>
      <c r="HI77" s="4">
        <f t="shared" ca="1" si="80"/>
        <v>0</v>
      </c>
      <c r="HJ77" s="4">
        <f t="shared" ca="1" si="81"/>
        <v>0</v>
      </c>
      <c r="HK77" s="4">
        <f t="shared" ca="1" si="82"/>
        <v>0</v>
      </c>
      <c r="HL77" s="4">
        <f t="shared" ca="1" si="83"/>
        <v>0</v>
      </c>
      <c r="HM77" s="4">
        <f t="shared" ca="1" si="84"/>
        <v>0</v>
      </c>
      <c r="HN77" s="4">
        <f t="shared" ca="1" si="85"/>
        <v>0</v>
      </c>
    </row>
    <row r="78" spans="1:222" x14ac:dyDescent="0.2">
      <c r="A78" t="str" cm="1">
        <f t="array" aca="1" ref="A78" ca="1">INDIRECT($A$67&amp;"!A"&amp;ROW(C11)+$B$64)</f>
        <v>396_4_26</v>
      </c>
      <c r="B78" cm="1">
        <f t="array" aca="1" ref="B78" ca="1">INDIRECT($A$67&amp;"!b"&amp;ROW(D11)+$B$64)</f>
        <v>396</v>
      </c>
      <c r="C78">
        <f t="shared" ca="1" si="86"/>
        <v>26</v>
      </c>
      <c r="E78">
        <f t="shared" ca="1" si="53"/>
        <v>42</v>
      </c>
      <c r="F78">
        <f t="shared" ca="1" si="53"/>
        <v>43</v>
      </c>
      <c r="G78">
        <f t="shared" ca="1" si="53"/>
        <v>37</v>
      </c>
      <c r="H78">
        <f t="shared" ca="1" si="53"/>
        <v>40</v>
      </c>
      <c r="I78">
        <f t="shared" ca="1" si="53"/>
        <v>34</v>
      </c>
      <c r="J78">
        <f t="shared" ca="1" si="53"/>
        <v>39</v>
      </c>
      <c r="K78">
        <f t="shared" ca="1" si="53"/>
        <v>42</v>
      </c>
      <c r="L78">
        <f t="shared" ca="1" si="53"/>
        <v>44</v>
      </c>
      <c r="M78">
        <f t="shared" ca="1" si="53"/>
        <v>45</v>
      </c>
      <c r="N78">
        <f t="shared" ca="1" si="53"/>
        <v>39</v>
      </c>
      <c r="O78">
        <f t="shared" ca="1" si="53"/>
        <v>39</v>
      </c>
      <c r="P78" t="e">
        <f t="shared" ca="1" si="53"/>
        <v>#N/A</v>
      </c>
      <c r="V78" cm="1">
        <f t="array" aca="1" ref="V78" ca="1">IF(ISNA(E78),,OFFSET(INDIRECT("'"&amp;V$67&amp;"'!d1"),E78-1,))</f>
        <v>36</v>
      </c>
      <c r="W78" cm="1">
        <f t="array" aca="1" ref="W78" ca="1">IF(ISNA(F78),,OFFSET(INDIRECT("'"&amp;W$67&amp;"'!d1"),F78-1,))</f>
        <v>33</v>
      </c>
      <c r="X78" cm="1">
        <f t="array" aca="1" ref="X78" ca="1">IF(ISNA(G78),,OFFSET(INDIRECT("'"&amp;X$67&amp;"'!d1"),G78-1,))</f>
        <v>40</v>
      </c>
      <c r="Y78" cm="1">
        <f t="array" aca="1" ref="Y78" ca="1">IF(ISNA(H78),,OFFSET(INDIRECT("'"&amp;Y$67&amp;"'!d1"),H78-1,))</f>
        <v>0</v>
      </c>
      <c r="Z78" cm="1">
        <f t="array" aca="1" ref="Z78" ca="1">IF(ISNA(I78),,OFFSET(INDIRECT("'"&amp;Z$67&amp;"'!d1"),I78-1,))</f>
        <v>26</v>
      </c>
      <c r="AA78" cm="1">
        <f t="array" aca="1" ref="AA78" ca="1">IF(ISNA(J78),,OFFSET(INDIRECT("'"&amp;AA$67&amp;"'!d1"),J78-1,))</f>
        <v>33</v>
      </c>
      <c r="AB78" cm="1">
        <f t="array" aca="1" ref="AB78" ca="1">IF(ISNA(K78),,OFFSET(INDIRECT("'"&amp;AB$67&amp;"'!d1"),K78-1,))</f>
        <v>33</v>
      </c>
      <c r="AC78" cm="1">
        <f t="array" aca="1" ref="AC78" ca="1">IF(ISNA(L78),,OFFSET(INDIRECT("'"&amp;AC$67&amp;"'!d1"),L78-1,))</f>
        <v>29</v>
      </c>
      <c r="AD78" cm="1">
        <f t="array" aca="1" ref="AD78" ca="1">IF(ISNA(M78),,OFFSET(INDIRECT("'"&amp;AD$67&amp;"'!d1"),M78-1,))</f>
        <v>34</v>
      </c>
      <c r="AE78" cm="1">
        <f t="array" aca="1" ref="AE78" ca="1">IF(ISNA(N78),,OFFSET(INDIRECT("'"&amp;AE$67&amp;"'!d1"),N78-1,))</f>
        <v>0</v>
      </c>
      <c r="AF78" cm="1">
        <f t="array" aca="1" ref="AF78" ca="1">IF(ISNA(O78),,OFFSET(INDIRECT("'"&amp;AF$67&amp;"'!d1"),O78-1,))</f>
        <v>0</v>
      </c>
      <c r="AG78" cm="1">
        <f t="array" aca="1" ref="AG78" ca="1">IF(ISNA(P78),,OFFSET(INDIRECT("'"&amp;AG$67&amp;"'!d1"),P78-1,))</f>
        <v>0</v>
      </c>
      <c r="AM78">
        <f t="shared" ca="1" si="87"/>
        <v>0</v>
      </c>
      <c r="AN78">
        <f t="shared" ca="1" si="54"/>
        <v>0</v>
      </c>
      <c r="AO78">
        <f t="shared" ca="1" si="54"/>
        <v>0</v>
      </c>
      <c r="AP78">
        <f t="shared" ca="1" si="54"/>
        <v>0</v>
      </c>
      <c r="AQ78">
        <f t="shared" ca="1" si="88"/>
        <v>0</v>
      </c>
      <c r="AV78" t="str">
        <f t="shared" ca="1" si="89"/>
        <v/>
      </c>
      <c r="AW78" t="str">
        <f t="shared" ca="1" si="55"/>
        <v/>
      </c>
      <c r="AX78" t="str">
        <f t="shared" ca="1" si="55"/>
        <v/>
      </c>
      <c r="AY78" t="str">
        <f t="shared" ca="1" si="55"/>
        <v/>
      </c>
      <c r="AZ78" t="str">
        <f t="shared" ca="1" si="55"/>
        <v/>
      </c>
      <c r="BD78">
        <f t="shared" ca="1" si="56"/>
        <v>1</v>
      </c>
      <c r="BE78">
        <f t="shared" ca="1" si="56"/>
        <v>1</v>
      </c>
      <c r="BF78">
        <f t="shared" ca="1" si="56"/>
        <v>1</v>
      </c>
      <c r="BG78">
        <f t="shared" ca="1" si="56"/>
        <v>0</v>
      </c>
      <c r="BH78">
        <f t="shared" ca="1" si="56"/>
        <v>1</v>
      </c>
      <c r="BI78">
        <f t="shared" ca="1" si="56"/>
        <v>1</v>
      </c>
      <c r="BJ78">
        <f t="shared" ca="1" si="56"/>
        <v>1</v>
      </c>
      <c r="BK78">
        <f t="shared" ca="1" si="56"/>
        <v>1</v>
      </c>
      <c r="BL78">
        <f t="shared" ca="1" si="56"/>
        <v>1</v>
      </c>
      <c r="BM78">
        <f t="shared" ca="1" si="56"/>
        <v>0</v>
      </c>
      <c r="BN78">
        <f t="shared" ca="1" si="56"/>
        <v>0</v>
      </c>
      <c r="BO78">
        <f t="shared" ca="1" si="56"/>
        <v>0</v>
      </c>
      <c r="BU78">
        <f t="shared" ca="1" si="57"/>
        <v>36</v>
      </c>
      <c r="BV78">
        <f t="shared" ca="1" si="57"/>
        <v>33</v>
      </c>
      <c r="BW78">
        <f t="shared" ca="1" si="57"/>
        <v>40</v>
      </c>
      <c r="BX78">
        <f t="shared" ca="1" si="57"/>
        <v>396</v>
      </c>
      <c r="BY78">
        <f t="shared" ca="1" si="57"/>
        <v>26</v>
      </c>
      <c r="BZ78">
        <f t="shared" ca="1" si="57"/>
        <v>33</v>
      </c>
      <c r="CA78">
        <f t="shared" ca="1" si="57"/>
        <v>33</v>
      </c>
      <c r="CB78">
        <f t="shared" ca="1" si="57"/>
        <v>29</v>
      </c>
      <c r="CC78">
        <f t="shared" ca="1" si="57"/>
        <v>34</v>
      </c>
      <c r="CD78">
        <f t="shared" ca="1" si="57"/>
        <v>396</v>
      </c>
      <c r="CE78">
        <f t="shared" ca="1" si="57"/>
        <v>396</v>
      </c>
      <c r="CF78">
        <f t="shared" ca="1" si="57"/>
        <v>396</v>
      </c>
      <c r="CL78">
        <f t="shared" ca="1" si="58"/>
        <v>0</v>
      </c>
      <c r="CM78">
        <f t="shared" ca="1" si="58"/>
        <v>0</v>
      </c>
      <c r="CN78">
        <f t="shared" ca="1" si="58"/>
        <v>0</v>
      </c>
      <c r="CO78">
        <f t="shared" ca="1" si="58"/>
        <v>0</v>
      </c>
      <c r="CP78">
        <f t="shared" ca="1" si="58"/>
        <v>1</v>
      </c>
      <c r="CQ78">
        <f t="shared" ca="1" si="58"/>
        <v>0</v>
      </c>
      <c r="CR78">
        <f t="shared" ca="1" si="58"/>
        <v>0</v>
      </c>
      <c r="CS78">
        <f t="shared" ca="1" si="58"/>
        <v>0</v>
      </c>
      <c r="CT78">
        <f t="shared" ca="1" si="58"/>
        <v>0</v>
      </c>
      <c r="CU78">
        <f t="shared" ca="1" si="58"/>
        <v>0</v>
      </c>
      <c r="CV78">
        <f t="shared" ca="1" si="58"/>
        <v>0</v>
      </c>
      <c r="CW78">
        <f t="shared" ca="1" si="58"/>
        <v>0</v>
      </c>
      <c r="DC78" cm="1">
        <f t="array" aca="1" ref="DC78" ca="1">IF(ISNA(E78),,OFFSET(INDIRECT("'"&amp;DT$67&amp;"'!f1"),E78-1,))*1</f>
        <v>28987.004072822601</v>
      </c>
      <c r="DD78" cm="1">
        <f t="array" aca="1" ref="DD78" ca="1">IF(ISNA(F78),,OFFSET(INDIRECT("'"&amp;DU$67&amp;"'!f1"),F78-1,))*1</f>
        <v>28812.966478449202</v>
      </c>
      <c r="DE78" cm="1">
        <f t="array" aca="1" ref="DE78" ca="1">IF(ISNA(G78),,OFFSET(INDIRECT("'"&amp;DV$67&amp;"'!f1"),G78-1,))*1</f>
        <v>28800.140954672301</v>
      </c>
      <c r="DF78" cm="1">
        <f t="array" aca="1" ref="DF78" ca="1">IF(ISNA(H78),,OFFSET(INDIRECT("'"&amp;DW$67&amp;"'!f1"),H78-1,))*1</f>
        <v>28800.112908786999</v>
      </c>
      <c r="DG78" cm="1">
        <f t="array" aca="1" ref="DG78" ca="1">IF(ISNA(I78),,OFFSET(INDIRECT("'"&amp;DX$67&amp;"'!f1"),I78-1,))*1</f>
        <v>28800.880685959</v>
      </c>
      <c r="DH78" cm="1">
        <f t="array" aca="1" ref="DH78" ca="1">IF(ISNA(J78),,OFFSET(INDIRECT("'"&amp;DY$67&amp;"'!f1"),J78-1,))*1</f>
        <v>2.99480479676276</v>
      </c>
      <c r="DI78" cm="1">
        <f t="array" aca="1" ref="DI78" ca="1">IF(ISNA(K78),,OFFSET(INDIRECT("'"&amp;DZ$67&amp;"'!f1"),K78-1,))*1</f>
        <v>33.099564385600303</v>
      </c>
      <c r="DJ78" cm="1">
        <f t="array" aca="1" ref="DJ78" ca="1">IF(ISNA(L78),,OFFSET(INDIRECT("'"&amp;EA$67&amp;"'!f1"),L78-1,))*1</f>
        <v>32.106238256208599</v>
      </c>
      <c r="DK78" cm="1">
        <f t="array" aca="1" ref="DK78" ca="1">IF(ISNA(M78),,OFFSET(INDIRECT("'"&amp;EB$67&amp;"'!f1"),M78-1,))*1</f>
        <v>302.44818044546901</v>
      </c>
      <c r="DL78" cm="1">
        <f t="array" aca="1" ref="DL78" ca="1">IF(ISNA(N78),,OFFSET(INDIRECT("'"&amp;EC$67&amp;"'!f1"),N78-1,))*1</f>
        <v>3.1737357378005898E-2</v>
      </c>
      <c r="DM78" cm="1">
        <f t="array" aca="1" ref="DM78" ca="1">IF(ISNA(O78),,OFFSET(INDIRECT("'"&amp;ED$67&amp;"'!f1"),O78-1,))*1</f>
        <v>3.4527451731264501E-2</v>
      </c>
      <c r="DN78" cm="1">
        <f t="array" aca="1" ref="DN78" ca="1">IF(ISNA(P78),,OFFSET(INDIRECT("'"&amp;EE$67&amp;"'!f1"),P78-1,))*1</f>
        <v>0</v>
      </c>
      <c r="DT78">
        <f t="shared" ca="1" si="90"/>
        <v>0</v>
      </c>
      <c r="DU78">
        <f t="shared" ca="1" si="59"/>
        <v>0</v>
      </c>
      <c r="DV78">
        <f t="shared" ca="1" si="59"/>
        <v>0</v>
      </c>
      <c r="DW78">
        <f t="shared" ca="1" si="59"/>
        <v>0</v>
      </c>
      <c r="DX78">
        <f t="shared" ca="1" si="59"/>
        <v>1</v>
      </c>
      <c r="DY78">
        <f t="shared" ca="1" si="59"/>
        <v>0</v>
      </c>
      <c r="DZ78">
        <f t="shared" ca="1" si="59"/>
        <v>0</v>
      </c>
      <c r="EA78">
        <f t="shared" ca="1" si="59"/>
        <v>0</v>
      </c>
      <c r="EB78">
        <f t="shared" ca="1" si="59"/>
        <v>0</v>
      </c>
      <c r="EC78">
        <f t="shared" ca="1" si="59"/>
        <v>0</v>
      </c>
      <c r="ED78">
        <f t="shared" ca="1" si="59"/>
        <v>0</v>
      </c>
      <c r="EE78">
        <f t="shared" ca="1" si="59"/>
        <v>0</v>
      </c>
      <c r="EK78" cm="1">
        <f t="array" aca="1" ref="EK78" ca="1">IF(ISNA(E78),0,OFFSET(INDIRECT("'"&amp;EK$67&amp;"'!g1"),E78-1,)*CL78)</f>
        <v>0</v>
      </c>
      <c r="EL78" cm="1">
        <f t="array" aca="1" ref="EL78" ca="1">IF(ISNA(F78),0,OFFSET(INDIRECT("'"&amp;EL$67&amp;"'!g1"),F78-1,)*CM78)</f>
        <v>0</v>
      </c>
      <c r="EM78" cm="1">
        <f t="array" aca="1" ref="EM78" ca="1">IF(ISNA(G78),0,OFFSET(INDIRECT("'"&amp;EM$67&amp;"'!g1"),G78-1,)*CN78)</f>
        <v>0</v>
      </c>
      <c r="EN78" cm="1">
        <f t="array" aca="1" ref="EN78" ca="1">IF(ISNA(H78),0,OFFSET(INDIRECT("'"&amp;EN$67&amp;"'!g1"),H78-1,)*CO78)</f>
        <v>0</v>
      </c>
      <c r="EO78" cm="1">
        <f t="array" aca="1" ref="EO78" ca="1">IF(ISNA(I78),0,OFFSET(INDIRECT("'"&amp;EO$67&amp;"'!g1"),I78-1,)*CP78)</f>
        <v>1</v>
      </c>
      <c r="EP78" cm="1">
        <f t="array" aca="1" ref="EP78" ca="1">IF(ISNA(J78),0,OFFSET(INDIRECT("'"&amp;EP$67&amp;"'!g1"),J78-1,)*CQ78)</f>
        <v>0</v>
      </c>
      <c r="EQ78" cm="1">
        <f t="array" aca="1" ref="EQ78" ca="1">IF(ISNA(K78),0,OFFSET(INDIRECT("'"&amp;EQ$67&amp;"'!g1"),K78-1,)*CR78)</f>
        <v>0</v>
      </c>
      <c r="ER78" cm="1">
        <f t="array" aca="1" ref="ER78" ca="1">IF(ISNA(L78),0,OFFSET(INDIRECT("'"&amp;ER$67&amp;"'!g1"),L78-1,)*CS78)</f>
        <v>0</v>
      </c>
      <c r="ES78" cm="1">
        <f t="array" aca="1" ref="ES78" ca="1">IF(ISNA(M78),0,OFFSET(INDIRECT("'"&amp;ES$67&amp;"'!g1"),M78-1,)*CT78)</f>
        <v>0</v>
      </c>
      <c r="ET78" cm="1">
        <f t="array" aca="1" ref="ET78" ca="1">IF(ISNA(N78),0,OFFSET(INDIRECT("'"&amp;ET$67&amp;"'!g1"),N78-1,)*CU78)</f>
        <v>0</v>
      </c>
      <c r="EU78" cm="1">
        <f t="array" aca="1" ref="EU78" ca="1">IF(ISNA(O78),0,OFFSET(INDIRECT("'"&amp;EU$67&amp;"'!g1"),O78-1,)*CV78)</f>
        <v>0</v>
      </c>
      <c r="EV78" cm="1">
        <f t="array" aca="1" ref="EV78" ca="1">IF(ISNA(P78),0,OFFSET(INDIRECT("'"&amp;EV$67&amp;"'!g1"),P78-1,)*CW78)</f>
        <v>0</v>
      </c>
      <c r="FB78" s="10" cm="1">
        <f t="array" aca="1" ref="FB78" ca="1">IF(ISNA(E78),0,OFFSET(INDIRECT("'"&amp;EK$67&amp;"'!h1"),E78-1,))</f>
        <v>1</v>
      </c>
      <c r="FC78" s="10" cm="1">
        <f t="array" aca="1" ref="FC78" ca="1">IF(ISNA(F78),0,OFFSET(INDIRECT("'"&amp;EL$67&amp;"'!h1"),F78-1,))</f>
        <v>1</v>
      </c>
      <c r="FD78" s="10" cm="1">
        <f t="array" aca="1" ref="FD78" ca="1">IF(ISNA(G78),0,OFFSET(INDIRECT("'"&amp;EM$67&amp;"'!h1"),G78-1,))</f>
        <v>1</v>
      </c>
      <c r="FE78" s="10" cm="1">
        <f t="array" aca="1" ref="FE78" ca="1">IF(ISNA(H78),0,OFFSET(INDIRECT("'"&amp;EN$67&amp;"'!h1"),H78-1,))</f>
        <v>1</v>
      </c>
      <c r="FF78" s="10" cm="1">
        <f t="array" aca="1" ref="FF78" ca="1">IF(ISNA(I78),0,OFFSET(INDIRECT("'"&amp;EO$67&amp;"'!h1"),I78-1,))</f>
        <v>1</v>
      </c>
      <c r="FG78" s="10" cm="1">
        <f t="array" aca="1" ref="FG78" ca="1">IF(ISNA(J78),0,OFFSET(INDIRECT("'"&amp;EP$67&amp;"'!h1"),J78-1,))</f>
        <v>1</v>
      </c>
      <c r="FH78" s="10" cm="1">
        <f t="array" aca="1" ref="FH78" ca="1">IF(ISNA(K78),0,OFFSET(INDIRECT("'"&amp;EQ$67&amp;"'!h1"),K78-1,))</f>
        <v>10000</v>
      </c>
      <c r="FI78" s="10" cm="1">
        <f t="array" aca="1" ref="FI78" ca="1">IF(ISNA(L78),0,OFFSET(INDIRECT("'"&amp;ER$67&amp;"'!h1"),L78-1,))</f>
        <v>10000</v>
      </c>
      <c r="FJ78" s="10" cm="1">
        <f t="array" aca="1" ref="FJ78" ca="1">IF(ISNA(M78),0,OFFSET(INDIRECT("'"&amp;ES$67&amp;"'!h1"),M78-1,))</f>
        <v>10000</v>
      </c>
      <c r="FK78" s="10" cm="1">
        <f t="array" aca="1" ref="FK78" ca="1">IF(ISNA(N78),0,OFFSET(INDIRECT("'"&amp;ET$67&amp;"'!h1"),N78-1,))</f>
        <v>1</v>
      </c>
      <c r="FL78" s="10" cm="1">
        <f t="array" aca="1" ref="FL78" ca="1">IF(ISNA(O78),0,OFFSET(INDIRECT("'"&amp;EU$67&amp;"'!h1"),O78-1,))</f>
        <v>1</v>
      </c>
      <c r="FM78" s="10" cm="1">
        <f t="array" aca="1" ref="FM78" ca="1">IF(ISNA(P78),0,OFFSET(INDIRECT("'"&amp;EV$67&amp;"'!h1"),P78-1,))</f>
        <v>0</v>
      </c>
      <c r="FN78" s="10"/>
      <c r="FO78" s="10"/>
      <c r="FP78" s="10"/>
      <c r="FQ78" s="10"/>
      <c r="FS78">
        <f t="shared" ca="1" si="91"/>
        <v>396</v>
      </c>
      <c r="FT78">
        <f t="shared" ca="1" si="92"/>
        <v>33.099564385600303</v>
      </c>
      <c r="FU78">
        <f t="shared" ca="1" si="93"/>
        <v>0</v>
      </c>
      <c r="FV78">
        <f t="shared" ca="1" si="94"/>
        <v>10000</v>
      </c>
      <c r="FW78" s="4">
        <f t="shared" ca="1" si="95"/>
        <v>0</v>
      </c>
      <c r="FX78" s="5" t="e">
        <f t="shared" ca="1" si="96"/>
        <v>#N/A</v>
      </c>
      <c r="FZ78" s="13">
        <f t="shared" ca="1" si="60"/>
        <v>396</v>
      </c>
      <c r="GA78" s="22">
        <f t="shared" ca="1" si="97"/>
        <v>0.38461538461538464</v>
      </c>
      <c r="GB78" s="22">
        <f t="shared" ca="1" si="61"/>
        <v>0.26923076923076922</v>
      </c>
      <c r="GC78" s="22">
        <f t="shared" ca="1" si="62"/>
        <v>0.53846153846153844</v>
      </c>
      <c r="GD78" s="22" t="e">
        <f t="shared" ca="1" si="63"/>
        <v>#N/A</v>
      </c>
      <c r="GE78" s="22">
        <f t="shared" ca="1" si="64"/>
        <v>0</v>
      </c>
      <c r="GF78" s="22">
        <f t="shared" ca="1" si="65"/>
        <v>0.26923076923076922</v>
      </c>
      <c r="GG78" s="22">
        <f t="shared" ca="1" si="66"/>
        <v>0.26923076923076922</v>
      </c>
      <c r="GH78" s="22">
        <f t="shared" ca="1" si="67"/>
        <v>0.11538461538461539</v>
      </c>
      <c r="GI78" s="22">
        <f t="shared" ca="1" si="68"/>
        <v>0.30769230769230771</v>
      </c>
      <c r="GJ78" s="22" t="e">
        <f t="shared" ca="1" si="69"/>
        <v>#N/A</v>
      </c>
      <c r="GK78" s="22" t="e">
        <f t="shared" ca="1" si="70"/>
        <v>#N/A</v>
      </c>
      <c r="GL78" s="22" t="e">
        <f t="shared" ca="1" si="71"/>
        <v>#N/A</v>
      </c>
      <c r="GM78" s="22"/>
      <c r="GN78">
        <f t="shared" ca="1" si="98"/>
        <v>396</v>
      </c>
      <c r="GO78" s="5" t="e">
        <f t="shared" ca="1" si="99"/>
        <v>#N/A</v>
      </c>
      <c r="GP78" s="5" t="e">
        <f t="shared" ca="1" si="72"/>
        <v>#N/A</v>
      </c>
      <c r="GQ78" s="5" t="e">
        <f t="shared" ca="1" si="72"/>
        <v>#N/A</v>
      </c>
      <c r="GR78" s="5" t="e">
        <f t="shared" ca="1" si="72"/>
        <v>#N/A</v>
      </c>
      <c r="GS78" s="5" t="e">
        <f t="shared" ca="1" si="72"/>
        <v>#N/A</v>
      </c>
      <c r="GT78" s="5" t="e">
        <f t="shared" ca="1" si="100"/>
        <v>#N/A</v>
      </c>
      <c r="GU78" s="5" t="e">
        <f t="shared" ca="1" si="73"/>
        <v>#N/A</v>
      </c>
      <c r="GV78" s="5" t="e">
        <f t="shared" ca="1" si="73"/>
        <v>#N/A</v>
      </c>
      <c r="GW78" s="5" t="e">
        <f t="shared" ca="1" si="73"/>
        <v>#N/A</v>
      </c>
      <c r="GX78" s="5" t="e">
        <f t="shared" ca="1" si="73"/>
        <v>#N/A</v>
      </c>
      <c r="GY78" s="5" t="e">
        <f t="shared" ca="1" si="73"/>
        <v>#N/A</v>
      </c>
      <c r="GZ78" s="5" t="e">
        <f t="shared" ca="1" si="73"/>
        <v>#N/A</v>
      </c>
      <c r="HB78" s="13">
        <f t="shared" ca="1" si="74"/>
        <v>396</v>
      </c>
      <c r="HC78" s="4">
        <f t="shared" ca="1" si="101"/>
        <v>0</v>
      </c>
      <c r="HD78" s="4">
        <f t="shared" ca="1" si="75"/>
        <v>0</v>
      </c>
      <c r="HE78" s="4">
        <f t="shared" ca="1" si="76"/>
        <v>0</v>
      </c>
      <c r="HF78" s="4">
        <f t="shared" ca="1" si="77"/>
        <v>0</v>
      </c>
      <c r="HG78" s="4">
        <f t="shared" ca="1" si="78"/>
        <v>1</v>
      </c>
      <c r="HH78" s="4">
        <f t="shared" ca="1" si="79"/>
        <v>0</v>
      </c>
      <c r="HI78" s="4">
        <f t="shared" ca="1" si="80"/>
        <v>0</v>
      </c>
      <c r="HJ78" s="4">
        <f t="shared" ca="1" si="81"/>
        <v>0</v>
      </c>
      <c r="HK78" s="4">
        <f t="shared" ca="1" si="82"/>
        <v>0</v>
      </c>
      <c r="HL78" s="4">
        <f t="shared" ca="1" si="83"/>
        <v>0</v>
      </c>
      <c r="HM78" s="4">
        <f t="shared" ca="1" si="84"/>
        <v>0</v>
      </c>
      <c r="HN78" s="4">
        <f t="shared" ca="1" si="85"/>
        <v>0</v>
      </c>
    </row>
    <row r="79" spans="1:222" x14ac:dyDescent="0.2">
      <c r="A79" t="str" cm="1">
        <f t="array" aca="1" ref="A79" ca="1">INDIRECT($A$67&amp;"!A"&amp;ROW(C12)+$B$64)</f>
        <v>432_8_33</v>
      </c>
      <c r="B79" cm="1">
        <f t="array" aca="1" ref="B79" ca="1">INDIRECT($A$67&amp;"!b"&amp;ROW(D12)+$B$64)</f>
        <v>432</v>
      </c>
      <c r="C79">
        <f t="shared" ca="1" si="86"/>
        <v>30</v>
      </c>
      <c r="E79">
        <f t="shared" ca="1" si="53"/>
        <v>45</v>
      </c>
      <c r="F79">
        <f t="shared" ca="1" si="53"/>
        <v>45</v>
      </c>
      <c r="G79">
        <f t="shared" ca="1" si="53"/>
        <v>42</v>
      </c>
      <c r="H79">
        <f t="shared" ca="1" si="53"/>
        <v>44</v>
      </c>
      <c r="I79">
        <f t="shared" ca="1" si="53"/>
        <v>42</v>
      </c>
      <c r="J79">
        <f t="shared" ca="1" si="53"/>
        <v>40</v>
      </c>
      <c r="K79">
        <f t="shared" ca="1" si="53"/>
        <v>43</v>
      </c>
      <c r="L79">
        <f t="shared" ca="1" si="53"/>
        <v>45</v>
      </c>
      <c r="M79">
        <f t="shared" ca="1" si="53"/>
        <v>46</v>
      </c>
      <c r="N79">
        <f t="shared" ca="1" si="53"/>
        <v>40</v>
      </c>
      <c r="O79">
        <f t="shared" ca="1" si="53"/>
        <v>40</v>
      </c>
      <c r="P79" t="e">
        <f t="shared" ca="1" si="53"/>
        <v>#N/A</v>
      </c>
      <c r="V79" cm="1">
        <f t="array" aca="1" ref="V79" ca="1">IF(ISNA(E79),,OFFSET(INDIRECT("'"&amp;V$67&amp;"'!d1"),E79-1,))</f>
        <v>40</v>
      </c>
      <c r="W79" cm="1">
        <f t="array" aca="1" ref="W79" ca="1">IF(ISNA(F79),,OFFSET(INDIRECT("'"&amp;W$67&amp;"'!d1"),F79-1,))</f>
        <v>36</v>
      </c>
      <c r="X79" cm="1">
        <f t="array" aca="1" ref="X79" ca="1">IF(ISNA(G79),,OFFSET(INDIRECT("'"&amp;X$67&amp;"'!d1"),G79-1,))</f>
        <v>36</v>
      </c>
      <c r="Y79" cm="1">
        <f t="array" aca="1" ref="Y79" ca="1">IF(ISNA(H79),,OFFSET(INDIRECT("'"&amp;Y$67&amp;"'!d1"),H79-1,))</f>
        <v>0</v>
      </c>
      <c r="Z79" cm="1">
        <f t="array" aca="1" ref="Z79" ca="1">IF(ISNA(I79),,OFFSET(INDIRECT("'"&amp;Z$67&amp;"'!d1"),I79-1,))</f>
        <v>38</v>
      </c>
      <c r="AA79" cm="1">
        <f t="array" aca="1" ref="AA79" ca="1">IF(ISNA(J79),,OFFSET(INDIRECT("'"&amp;AA$67&amp;"'!d1"),J79-1,))</f>
        <v>39</v>
      </c>
      <c r="AB79" cm="1">
        <f t="array" aca="1" ref="AB79" ca="1">IF(ISNA(K79),,OFFSET(INDIRECT("'"&amp;AB$67&amp;"'!d1"),K79-1,))</f>
        <v>35</v>
      </c>
      <c r="AC79" cm="1">
        <f t="array" aca="1" ref="AC79" ca="1">IF(ISNA(L79),,OFFSET(INDIRECT("'"&amp;AC$67&amp;"'!d1"),L79-1,))</f>
        <v>32</v>
      </c>
      <c r="AD79" cm="1">
        <f t="array" aca="1" ref="AD79" ca="1">IF(ISNA(M79),,OFFSET(INDIRECT("'"&amp;AD$67&amp;"'!d1"),M79-1,))</f>
        <v>41</v>
      </c>
      <c r="AE79" cm="1">
        <f t="array" aca="1" ref="AE79" ca="1">IF(ISNA(N79),,OFFSET(INDIRECT("'"&amp;AE$67&amp;"'!d1"),N79-1,))</f>
        <v>0</v>
      </c>
      <c r="AF79" cm="1">
        <f t="array" aca="1" ref="AF79" ca="1">IF(ISNA(O79),,OFFSET(INDIRECT("'"&amp;AF$67&amp;"'!d1"),O79-1,))</f>
        <v>0</v>
      </c>
      <c r="AG79" cm="1">
        <f t="array" aca="1" ref="AG79" ca="1">IF(ISNA(P79),,OFFSET(INDIRECT("'"&amp;AG$67&amp;"'!d1"),P79-1,))</f>
        <v>0</v>
      </c>
      <c r="AM79">
        <f t="shared" ca="1" si="87"/>
        <v>0</v>
      </c>
      <c r="AN79">
        <f t="shared" ca="1" si="54"/>
        <v>0</v>
      </c>
      <c r="AO79">
        <f t="shared" ca="1" si="54"/>
        <v>0</v>
      </c>
      <c r="AP79">
        <f t="shared" ca="1" si="54"/>
        <v>0</v>
      </c>
      <c r="AQ79">
        <f t="shared" ca="1" si="88"/>
        <v>0</v>
      </c>
      <c r="AV79" t="str">
        <f t="shared" ca="1" si="89"/>
        <v/>
      </c>
      <c r="AW79" t="str">
        <f t="shared" ca="1" si="55"/>
        <v/>
      </c>
      <c r="AX79" t="str">
        <f t="shared" ca="1" si="55"/>
        <v/>
      </c>
      <c r="AY79" t="str">
        <f t="shared" ca="1" si="55"/>
        <v/>
      </c>
      <c r="AZ79" t="str">
        <f t="shared" ca="1" si="55"/>
        <v/>
      </c>
      <c r="BD79">
        <f t="shared" ca="1" si="56"/>
        <v>1</v>
      </c>
      <c r="BE79">
        <f t="shared" ca="1" si="56"/>
        <v>1</v>
      </c>
      <c r="BF79">
        <f t="shared" ca="1" si="56"/>
        <v>1</v>
      </c>
      <c r="BG79">
        <f t="shared" ca="1" si="56"/>
        <v>0</v>
      </c>
      <c r="BH79">
        <f t="shared" ca="1" si="56"/>
        <v>1</v>
      </c>
      <c r="BI79">
        <f t="shared" ca="1" si="56"/>
        <v>1</v>
      </c>
      <c r="BJ79">
        <f t="shared" ca="1" si="56"/>
        <v>1</v>
      </c>
      <c r="BK79">
        <f t="shared" ca="1" si="56"/>
        <v>1</v>
      </c>
      <c r="BL79">
        <f t="shared" ca="1" si="56"/>
        <v>1</v>
      </c>
      <c r="BM79">
        <f t="shared" ca="1" si="56"/>
        <v>0</v>
      </c>
      <c r="BN79">
        <f t="shared" ca="1" si="56"/>
        <v>0</v>
      </c>
      <c r="BO79">
        <f t="shared" ca="1" si="56"/>
        <v>0</v>
      </c>
      <c r="BU79">
        <f t="shared" ca="1" si="57"/>
        <v>40</v>
      </c>
      <c r="BV79">
        <f t="shared" ca="1" si="57"/>
        <v>36</v>
      </c>
      <c r="BW79">
        <f t="shared" ca="1" si="57"/>
        <v>36</v>
      </c>
      <c r="BX79">
        <f t="shared" ca="1" si="57"/>
        <v>432</v>
      </c>
      <c r="BY79">
        <f t="shared" ca="1" si="57"/>
        <v>38</v>
      </c>
      <c r="BZ79">
        <f t="shared" ca="1" si="57"/>
        <v>39</v>
      </c>
      <c r="CA79">
        <f t="shared" ca="1" si="57"/>
        <v>35</v>
      </c>
      <c r="CB79">
        <f t="shared" ca="1" si="57"/>
        <v>32</v>
      </c>
      <c r="CC79">
        <f t="shared" ca="1" si="57"/>
        <v>41</v>
      </c>
      <c r="CD79">
        <f t="shared" ca="1" si="57"/>
        <v>432</v>
      </c>
      <c r="CE79">
        <f t="shared" ca="1" si="57"/>
        <v>432</v>
      </c>
      <c r="CF79">
        <f t="shared" ca="1" si="57"/>
        <v>432</v>
      </c>
      <c r="CL79">
        <f t="shared" ca="1" si="58"/>
        <v>0</v>
      </c>
      <c r="CM79">
        <f t="shared" ca="1" si="58"/>
        <v>0</v>
      </c>
      <c r="CN79">
        <f t="shared" ca="1" si="58"/>
        <v>0</v>
      </c>
      <c r="CO79">
        <f t="shared" ca="1" si="58"/>
        <v>0</v>
      </c>
      <c r="CP79">
        <f t="shared" ca="1" si="58"/>
        <v>0</v>
      </c>
      <c r="CQ79">
        <f t="shared" ca="1" si="58"/>
        <v>0</v>
      </c>
      <c r="CR79">
        <f t="shared" ca="1" si="58"/>
        <v>0</v>
      </c>
      <c r="CS79">
        <f t="shared" ca="1" si="58"/>
        <v>0</v>
      </c>
      <c r="CT79">
        <f t="shared" ca="1" si="58"/>
        <v>0</v>
      </c>
      <c r="CU79">
        <f t="shared" ca="1" si="58"/>
        <v>0</v>
      </c>
      <c r="CV79">
        <f t="shared" ca="1" si="58"/>
        <v>0</v>
      </c>
      <c r="CW79">
        <f t="shared" ca="1" si="58"/>
        <v>0</v>
      </c>
      <c r="DC79" cm="1">
        <f t="array" aca="1" ref="DC79" ca="1">IF(ISNA(E79),,OFFSET(INDIRECT("'"&amp;DT$67&amp;"'!f1"),E79-1,))*1</f>
        <v>28975.880839381301</v>
      </c>
      <c r="DD79" cm="1">
        <f t="array" aca="1" ref="DD79" ca="1">IF(ISNA(F79),,OFFSET(INDIRECT("'"&amp;DU$67&amp;"'!f1"),F79-1,))*1</f>
        <v>28815.155360795499</v>
      </c>
      <c r="DE79" cm="1">
        <f t="array" aca="1" ref="DE79" ca="1">IF(ISNA(G79),,OFFSET(INDIRECT("'"&amp;DV$67&amp;"'!f1"),G79-1,))*1</f>
        <v>28800.262784481001</v>
      </c>
      <c r="DF79" cm="1">
        <f t="array" aca="1" ref="DF79" ca="1">IF(ISNA(H79),,OFFSET(INDIRECT("'"&amp;DW$67&amp;"'!f1"),H79-1,))*1</f>
        <v>28800.114721420199</v>
      </c>
      <c r="DG79" cm="1">
        <f t="array" aca="1" ref="DG79" ca="1">IF(ISNA(I79),,OFFSET(INDIRECT("'"&amp;DX$67&amp;"'!f1"),I79-1,))*1</f>
        <v>28800.796142541902</v>
      </c>
      <c r="DH79" cm="1">
        <f t="array" aca="1" ref="DH79" ca="1">IF(ISNA(J79),,OFFSET(INDIRECT("'"&amp;DY$67&amp;"'!f1"),J79-1,))*1</f>
        <v>3.5697579709812999</v>
      </c>
      <c r="DI79" cm="1">
        <f t="array" aca="1" ref="DI79" ca="1">IF(ISNA(K79),,OFFSET(INDIRECT("'"&amp;DZ$67&amp;"'!f1"),K79-1,))*1</f>
        <v>47.860735998488899</v>
      </c>
      <c r="DJ79" cm="1">
        <f t="array" aca="1" ref="DJ79" ca="1">IF(ISNA(L79),,OFFSET(INDIRECT("'"&amp;EA$67&amp;"'!f1"),L79-1,))*1</f>
        <v>46.606257375329697</v>
      </c>
      <c r="DK79" cm="1">
        <f t="array" aca="1" ref="DK79" ca="1">IF(ISNA(M79),,OFFSET(INDIRECT("'"&amp;EB$67&amp;"'!f1"),M79-1,))*1</f>
        <v>579.74378036893904</v>
      </c>
      <c r="DL79" cm="1">
        <f t="array" aca="1" ref="DL79" ca="1">IF(ISNA(N79),,OFFSET(INDIRECT("'"&amp;EC$67&amp;"'!f1"),N79-1,))*1</f>
        <v>4.3943436816334697E-2</v>
      </c>
      <c r="DM79" cm="1">
        <f t="array" aca="1" ref="DM79" ca="1">IF(ISNA(O79),,OFFSET(INDIRECT("'"&amp;ED$67&amp;"'!f1"),O79-1,))*1</f>
        <v>4.6419123187661102E-2</v>
      </c>
      <c r="DN79" cm="1">
        <f t="array" aca="1" ref="DN79" ca="1">IF(ISNA(P79),,OFFSET(INDIRECT("'"&amp;EE$67&amp;"'!f1"),P79-1,))*1</f>
        <v>0</v>
      </c>
      <c r="DT79">
        <f t="shared" ca="1" si="90"/>
        <v>0</v>
      </c>
      <c r="DU79">
        <f t="shared" ca="1" si="59"/>
        <v>0</v>
      </c>
      <c r="DV79">
        <f t="shared" ca="1" si="59"/>
        <v>0</v>
      </c>
      <c r="DW79">
        <f t="shared" ca="1" si="59"/>
        <v>0</v>
      </c>
      <c r="DX79">
        <f t="shared" ca="1" si="59"/>
        <v>0</v>
      </c>
      <c r="DY79">
        <f t="shared" ca="1" si="59"/>
        <v>0</v>
      </c>
      <c r="DZ79">
        <f t="shared" ca="1" si="59"/>
        <v>0</v>
      </c>
      <c r="EA79">
        <f t="shared" ca="1" si="59"/>
        <v>0</v>
      </c>
      <c r="EB79">
        <f t="shared" ca="1" si="59"/>
        <v>0</v>
      </c>
      <c r="EC79">
        <f t="shared" ca="1" si="59"/>
        <v>0</v>
      </c>
      <c r="ED79">
        <f t="shared" ca="1" si="59"/>
        <v>0</v>
      </c>
      <c r="EE79">
        <f t="shared" ca="1" si="59"/>
        <v>0</v>
      </c>
      <c r="EK79" cm="1">
        <f t="array" aca="1" ref="EK79" ca="1">IF(ISNA(E79),0,OFFSET(INDIRECT("'"&amp;EK$67&amp;"'!g1"),E79-1,)*CL79)</f>
        <v>0</v>
      </c>
      <c r="EL79" cm="1">
        <f t="array" aca="1" ref="EL79" ca="1">IF(ISNA(F79),0,OFFSET(INDIRECT("'"&amp;EL$67&amp;"'!g1"),F79-1,)*CM79)</f>
        <v>0</v>
      </c>
      <c r="EM79" cm="1">
        <f t="array" aca="1" ref="EM79" ca="1">IF(ISNA(G79),0,OFFSET(INDIRECT("'"&amp;EM$67&amp;"'!g1"),G79-1,)*CN79)</f>
        <v>0</v>
      </c>
      <c r="EN79" cm="1">
        <f t="array" aca="1" ref="EN79" ca="1">IF(ISNA(H79),0,OFFSET(INDIRECT("'"&amp;EN$67&amp;"'!g1"),H79-1,)*CO79)</f>
        <v>0</v>
      </c>
      <c r="EO79" cm="1">
        <f t="array" aca="1" ref="EO79" ca="1">IF(ISNA(I79),0,OFFSET(INDIRECT("'"&amp;EO$67&amp;"'!g1"),I79-1,)*CP79)</f>
        <v>0</v>
      </c>
      <c r="EP79" cm="1">
        <f t="array" aca="1" ref="EP79" ca="1">IF(ISNA(J79),0,OFFSET(INDIRECT("'"&amp;EP$67&amp;"'!g1"),J79-1,)*CQ79)</f>
        <v>0</v>
      </c>
      <c r="EQ79" cm="1">
        <f t="array" aca="1" ref="EQ79" ca="1">IF(ISNA(K79),0,OFFSET(INDIRECT("'"&amp;EQ$67&amp;"'!g1"),K79-1,)*CR79)</f>
        <v>0</v>
      </c>
      <c r="ER79" cm="1">
        <f t="array" aca="1" ref="ER79" ca="1">IF(ISNA(L79),0,OFFSET(INDIRECT("'"&amp;ER$67&amp;"'!g1"),L79-1,)*CS79)</f>
        <v>0</v>
      </c>
      <c r="ES79" cm="1">
        <f t="array" aca="1" ref="ES79" ca="1">IF(ISNA(M79),0,OFFSET(INDIRECT("'"&amp;ES$67&amp;"'!g1"),M79-1,)*CT79)</f>
        <v>0</v>
      </c>
      <c r="ET79" cm="1">
        <f t="array" aca="1" ref="ET79" ca="1">IF(ISNA(N79),0,OFFSET(INDIRECT("'"&amp;ET$67&amp;"'!g1"),N79-1,)*CU79)</f>
        <v>0</v>
      </c>
      <c r="EU79" cm="1">
        <f t="array" aca="1" ref="EU79" ca="1">IF(ISNA(O79),0,OFFSET(INDIRECT("'"&amp;EU$67&amp;"'!g1"),O79-1,)*CV79)</f>
        <v>0</v>
      </c>
      <c r="EV79" cm="1">
        <f t="array" aca="1" ref="EV79" ca="1">IF(ISNA(P79),0,OFFSET(INDIRECT("'"&amp;EV$67&amp;"'!g1"),P79-1,)*CW79)</f>
        <v>0</v>
      </c>
      <c r="FB79" s="10" cm="1">
        <f t="array" aca="1" ref="FB79" ca="1">IF(ISNA(E79),0,OFFSET(INDIRECT("'"&amp;EK$67&amp;"'!h1"),E79-1,))</f>
        <v>1</v>
      </c>
      <c r="FC79" s="10" cm="1">
        <f t="array" aca="1" ref="FC79" ca="1">IF(ISNA(F79),0,OFFSET(INDIRECT("'"&amp;EL$67&amp;"'!h1"),F79-1,))</f>
        <v>1</v>
      </c>
      <c r="FD79" s="10" cm="1">
        <f t="array" aca="1" ref="FD79" ca="1">IF(ISNA(G79),0,OFFSET(INDIRECT("'"&amp;EM$67&amp;"'!h1"),G79-1,))</f>
        <v>1</v>
      </c>
      <c r="FE79" s="10" cm="1">
        <f t="array" aca="1" ref="FE79" ca="1">IF(ISNA(H79),0,OFFSET(INDIRECT("'"&amp;EN$67&amp;"'!h1"),H79-1,))</f>
        <v>1</v>
      </c>
      <c r="FF79" s="10" cm="1">
        <f t="array" aca="1" ref="FF79" ca="1">IF(ISNA(I79),0,OFFSET(INDIRECT("'"&amp;EO$67&amp;"'!h1"),I79-1,))</f>
        <v>1</v>
      </c>
      <c r="FG79" s="10" cm="1">
        <f t="array" aca="1" ref="FG79" ca="1">IF(ISNA(J79),0,OFFSET(INDIRECT("'"&amp;EP$67&amp;"'!h1"),J79-1,))</f>
        <v>1</v>
      </c>
      <c r="FH79" s="10" cm="1">
        <f t="array" aca="1" ref="FH79" ca="1">IF(ISNA(K79),0,OFFSET(INDIRECT("'"&amp;EQ$67&amp;"'!h1"),K79-1,))</f>
        <v>10000</v>
      </c>
      <c r="FI79" s="10" cm="1">
        <f t="array" aca="1" ref="FI79" ca="1">IF(ISNA(L79),0,OFFSET(INDIRECT("'"&amp;ER$67&amp;"'!h1"),L79-1,))</f>
        <v>10000</v>
      </c>
      <c r="FJ79" s="10" cm="1">
        <f t="array" aca="1" ref="FJ79" ca="1">IF(ISNA(M79),0,OFFSET(INDIRECT("'"&amp;ES$67&amp;"'!h1"),M79-1,))</f>
        <v>10000</v>
      </c>
      <c r="FK79" s="10" cm="1">
        <f t="array" aca="1" ref="FK79" ca="1">IF(ISNA(N79),0,OFFSET(INDIRECT("'"&amp;ET$67&amp;"'!h1"),N79-1,))</f>
        <v>1</v>
      </c>
      <c r="FL79" s="10" cm="1">
        <f t="array" aca="1" ref="FL79" ca="1">IF(ISNA(O79),0,OFFSET(INDIRECT("'"&amp;EU$67&amp;"'!h1"),O79-1,))</f>
        <v>1</v>
      </c>
      <c r="FM79" s="10" cm="1">
        <f t="array" aca="1" ref="FM79" ca="1">IF(ISNA(P79),0,OFFSET(INDIRECT("'"&amp;EV$67&amp;"'!h1"),P79-1,))</f>
        <v>0</v>
      </c>
      <c r="FN79" s="10"/>
      <c r="FO79" s="10"/>
      <c r="FP79" s="10"/>
      <c r="FQ79" s="10"/>
      <c r="FS79">
        <f t="shared" ca="1" si="91"/>
        <v>432</v>
      </c>
      <c r="FT79">
        <f t="shared" ca="1" si="92"/>
        <v>47.860735998488899</v>
      </c>
      <c r="FU79">
        <f t="shared" ca="1" si="93"/>
        <v>0</v>
      </c>
      <c r="FV79">
        <f t="shared" ca="1" si="94"/>
        <v>10000</v>
      </c>
      <c r="FW79" s="4">
        <f t="shared" ca="1" si="95"/>
        <v>0</v>
      </c>
      <c r="FX79" s="5" t="e">
        <f t="shared" ca="1" si="96"/>
        <v>#N/A</v>
      </c>
      <c r="FZ79" s="13">
        <f t="shared" ca="1" si="60"/>
        <v>432</v>
      </c>
      <c r="GA79" s="22">
        <f t="shared" ca="1" si="97"/>
        <v>0.33333333333333331</v>
      </c>
      <c r="GB79" s="22">
        <f t="shared" ca="1" si="61"/>
        <v>0.2</v>
      </c>
      <c r="GC79" s="22">
        <f t="shared" ca="1" si="62"/>
        <v>0.2</v>
      </c>
      <c r="GD79" s="22" t="e">
        <f t="shared" ca="1" si="63"/>
        <v>#N/A</v>
      </c>
      <c r="GE79" s="22">
        <f t="shared" ca="1" si="64"/>
        <v>0.26666666666666666</v>
      </c>
      <c r="GF79" s="22">
        <f t="shared" ca="1" si="65"/>
        <v>0.3</v>
      </c>
      <c r="GG79" s="22">
        <f t="shared" ca="1" si="66"/>
        <v>0.16666666666666666</v>
      </c>
      <c r="GH79" s="22">
        <f t="shared" ca="1" si="67"/>
        <v>6.6666666666666666E-2</v>
      </c>
      <c r="GI79" s="22">
        <f t="shared" ca="1" si="68"/>
        <v>0.36666666666666664</v>
      </c>
      <c r="GJ79" s="22" t="e">
        <f t="shared" ca="1" si="69"/>
        <v>#N/A</v>
      </c>
      <c r="GK79" s="22" t="e">
        <f t="shared" ca="1" si="70"/>
        <v>#N/A</v>
      </c>
      <c r="GL79" s="22" t="e">
        <f t="shared" ca="1" si="71"/>
        <v>#N/A</v>
      </c>
      <c r="GM79" s="22"/>
      <c r="GN79">
        <f t="shared" ca="1" si="98"/>
        <v>432</v>
      </c>
      <c r="GO79" s="5" t="e">
        <f t="shared" ca="1" si="99"/>
        <v>#N/A</v>
      </c>
      <c r="GP79" s="5" t="e">
        <f t="shared" ca="1" si="72"/>
        <v>#N/A</v>
      </c>
      <c r="GQ79" s="5" t="e">
        <f t="shared" ca="1" si="72"/>
        <v>#N/A</v>
      </c>
      <c r="GR79" s="5" t="e">
        <f t="shared" ca="1" si="72"/>
        <v>#N/A</v>
      </c>
      <c r="GS79" s="5" t="e">
        <f t="shared" ca="1" si="72"/>
        <v>#N/A</v>
      </c>
      <c r="GT79" s="5" t="e">
        <f t="shared" ca="1" si="100"/>
        <v>#N/A</v>
      </c>
      <c r="GU79" s="5" t="e">
        <f t="shared" ca="1" si="73"/>
        <v>#N/A</v>
      </c>
      <c r="GV79" s="5" t="e">
        <f t="shared" ca="1" si="73"/>
        <v>#N/A</v>
      </c>
      <c r="GW79" s="5" t="e">
        <f t="shared" ca="1" si="73"/>
        <v>#N/A</v>
      </c>
      <c r="GX79" s="5" t="e">
        <f t="shared" ca="1" si="73"/>
        <v>#N/A</v>
      </c>
      <c r="GY79" s="5" t="e">
        <f t="shared" ca="1" si="73"/>
        <v>#N/A</v>
      </c>
      <c r="GZ79" s="5" t="e">
        <f t="shared" ca="1" si="73"/>
        <v>#N/A</v>
      </c>
      <c r="HB79" s="13">
        <f t="shared" ca="1" si="74"/>
        <v>432</v>
      </c>
      <c r="HC79" s="4">
        <f t="shared" ca="1" si="101"/>
        <v>0</v>
      </c>
      <c r="HD79" s="4">
        <f t="shared" ca="1" si="75"/>
        <v>0</v>
      </c>
      <c r="HE79" s="4">
        <f t="shared" ca="1" si="76"/>
        <v>0</v>
      </c>
      <c r="HF79" s="4">
        <f t="shared" ca="1" si="77"/>
        <v>0</v>
      </c>
      <c r="HG79" s="4">
        <f t="shared" ca="1" si="78"/>
        <v>0</v>
      </c>
      <c r="HH79" s="4">
        <f t="shared" ca="1" si="79"/>
        <v>0</v>
      </c>
      <c r="HI79" s="4">
        <f t="shared" ca="1" si="80"/>
        <v>0</v>
      </c>
      <c r="HJ79" s="4">
        <f t="shared" ca="1" si="81"/>
        <v>0</v>
      </c>
      <c r="HK79" s="4">
        <f t="shared" ca="1" si="82"/>
        <v>0</v>
      </c>
      <c r="HL79" s="4">
        <f t="shared" ca="1" si="83"/>
        <v>0</v>
      </c>
      <c r="HM79" s="4">
        <f t="shared" ca="1" si="84"/>
        <v>0</v>
      </c>
      <c r="HN79" s="4">
        <f t="shared" ca="1" si="85"/>
        <v>0</v>
      </c>
    </row>
    <row r="80" spans="1:222" x14ac:dyDescent="0.2">
      <c r="A80" t="str" cm="1">
        <f t="array" aca="1" ref="A80" ca="1">INDIRECT($A$67&amp;"!A"&amp;ROW(C13)+$B$64)</f>
        <v>468_4_31</v>
      </c>
      <c r="B80" cm="1">
        <f t="array" aca="1" ref="B80" ca="1">INDIRECT($A$67&amp;"!b"&amp;ROW(D13)+$B$64)</f>
        <v>468</v>
      </c>
      <c r="C80">
        <f t="shared" ca="1" si="86"/>
        <v>29</v>
      </c>
      <c r="E80">
        <f t="shared" ca="1" si="53"/>
        <v>48</v>
      </c>
      <c r="F80">
        <f t="shared" ca="1" si="53"/>
        <v>48</v>
      </c>
      <c r="G80">
        <f t="shared" ca="1" si="53"/>
        <v>46</v>
      </c>
      <c r="H80">
        <f t="shared" ca="1" si="53"/>
        <v>48</v>
      </c>
      <c r="I80">
        <f t="shared" ca="1" si="53"/>
        <v>48</v>
      </c>
      <c r="J80">
        <f t="shared" ca="1" si="53"/>
        <v>41</v>
      </c>
      <c r="K80">
        <f t="shared" ca="1" si="53"/>
        <v>44</v>
      </c>
      <c r="L80">
        <f t="shared" ca="1" si="53"/>
        <v>46</v>
      </c>
      <c r="M80">
        <f t="shared" ca="1" si="53"/>
        <v>47</v>
      </c>
      <c r="N80">
        <f t="shared" ca="1" si="53"/>
        <v>41</v>
      </c>
      <c r="O80">
        <f t="shared" ca="1" si="53"/>
        <v>41</v>
      </c>
      <c r="P80" t="e">
        <f t="shared" ca="1" si="53"/>
        <v>#N/A</v>
      </c>
      <c r="V80" cm="1">
        <f t="array" aca="1" ref="V80" ca="1">IF(ISNA(E80),,OFFSET(INDIRECT("'"&amp;V$67&amp;"'!d1"),E80-1,))</f>
        <v>35</v>
      </c>
      <c r="W80" cm="1">
        <f t="array" aca="1" ref="W80" ca="1">IF(ISNA(F80),,OFFSET(INDIRECT("'"&amp;W$67&amp;"'!d1"),F80-1,))</f>
        <v>34</v>
      </c>
      <c r="X80" cm="1">
        <f t="array" aca="1" ref="X80" ca="1">IF(ISNA(G80),,OFFSET(INDIRECT("'"&amp;X$67&amp;"'!d1"),G80-1,))</f>
        <v>52</v>
      </c>
      <c r="Y80" cm="1">
        <f t="array" aca="1" ref="Y80" ca="1">IF(ISNA(H80),,OFFSET(INDIRECT("'"&amp;Y$67&amp;"'!d1"),H80-1,))</f>
        <v>0</v>
      </c>
      <c r="Z80" cm="1">
        <f t="array" aca="1" ref="Z80" ca="1">IF(ISNA(I80),,OFFSET(INDIRECT("'"&amp;Z$67&amp;"'!d1"),I80-1,))</f>
        <v>34</v>
      </c>
      <c r="AA80" cm="1">
        <f t="array" aca="1" ref="AA80" ca="1">IF(ISNA(J80),,OFFSET(INDIRECT("'"&amp;AA$67&amp;"'!d1"),J80-1,))</f>
        <v>35</v>
      </c>
      <c r="AB80" cm="1">
        <f t="array" aca="1" ref="AB80" ca="1">IF(ISNA(K80),,OFFSET(INDIRECT("'"&amp;AB$67&amp;"'!d1"),K80-1,))</f>
        <v>35</v>
      </c>
      <c r="AC80" cm="1">
        <f t="array" aca="1" ref="AC80" ca="1">IF(ISNA(L80),,OFFSET(INDIRECT("'"&amp;AC$67&amp;"'!d1"),L80-1,))</f>
        <v>32</v>
      </c>
      <c r="AD80" cm="1">
        <f t="array" aca="1" ref="AD80" ca="1">IF(ISNA(M80),,OFFSET(INDIRECT("'"&amp;AD$67&amp;"'!d1"),M80-1,))</f>
        <v>36</v>
      </c>
      <c r="AE80" cm="1">
        <f t="array" aca="1" ref="AE80" ca="1">IF(ISNA(N80),,OFFSET(INDIRECT("'"&amp;AE$67&amp;"'!d1"),N80-1,))</f>
        <v>0</v>
      </c>
      <c r="AF80" cm="1">
        <f t="array" aca="1" ref="AF80" ca="1">IF(ISNA(O80),,OFFSET(INDIRECT("'"&amp;AF$67&amp;"'!d1"),O80-1,))</f>
        <v>0</v>
      </c>
      <c r="AG80" cm="1">
        <f t="array" aca="1" ref="AG80" ca="1">IF(ISNA(P80),,OFFSET(INDIRECT("'"&amp;AG$67&amp;"'!d1"),P80-1,))</f>
        <v>0</v>
      </c>
      <c r="AM80">
        <f t="shared" ca="1" si="87"/>
        <v>0</v>
      </c>
      <c r="AN80">
        <f t="shared" ca="1" si="54"/>
        <v>0</v>
      </c>
      <c r="AO80">
        <f t="shared" ca="1" si="54"/>
        <v>0</v>
      </c>
      <c r="AP80">
        <f t="shared" ca="1" si="54"/>
        <v>0</v>
      </c>
      <c r="AQ80">
        <f t="shared" ca="1" si="88"/>
        <v>0</v>
      </c>
      <c r="AV80" t="str">
        <f t="shared" ca="1" si="89"/>
        <v/>
      </c>
      <c r="AW80" t="str">
        <f t="shared" ca="1" si="55"/>
        <v/>
      </c>
      <c r="AX80" t="str">
        <f t="shared" ca="1" si="55"/>
        <v/>
      </c>
      <c r="AY80" t="str">
        <f t="shared" ca="1" si="55"/>
        <v/>
      </c>
      <c r="AZ80" t="str">
        <f t="shared" ca="1" si="55"/>
        <v/>
      </c>
      <c r="BD80">
        <f t="shared" ca="1" si="56"/>
        <v>1</v>
      </c>
      <c r="BE80">
        <f t="shared" ca="1" si="56"/>
        <v>1</v>
      </c>
      <c r="BF80">
        <f t="shared" ca="1" si="56"/>
        <v>1</v>
      </c>
      <c r="BG80">
        <f t="shared" ca="1" si="56"/>
        <v>0</v>
      </c>
      <c r="BH80">
        <f t="shared" ca="1" si="56"/>
        <v>1</v>
      </c>
      <c r="BI80">
        <f t="shared" ca="1" si="56"/>
        <v>1</v>
      </c>
      <c r="BJ80">
        <f t="shared" ca="1" si="56"/>
        <v>1</v>
      </c>
      <c r="BK80">
        <f t="shared" ca="1" si="56"/>
        <v>1</v>
      </c>
      <c r="BL80">
        <f t="shared" ca="1" si="56"/>
        <v>1</v>
      </c>
      <c r="BM80">
        <f t="shared" ca="1" si="56"/>
        <v>0</v>
      </c>
      <c r="BN80">
        <f t="shared" ca="1" si="56"/>
        <v>0</v>
      </c>
      <c r="BO80">
        <f t="shared" ca="1" si="56"/>
        <v>0</v>
      </c>
      <c r="BU80">
        <f t="shared" ca="1" si="57"/>
        <v>35</v>
      </c>
      <c r="BV80">
        <f t="shared" ca="1" si="57"/>
        <v>34</v>
      </c>
      <c r="BW80">
        <f t="shared" ca="1" si="57"/>
        <v>52</v>
      </c>
      <c r="BX80">
        <f t="shared" ca="1" si="57"/>
        <v>468</v>
      </c>
      <c r="BY80">
        <f t="shared" ca="1" si="57"/>
        <v>34</v>
      </c>
      <c r="BZ80">
        <f t="shared" ca="1" si="57"/>
        <v>35</v>
      </c>
      <c r="CA80">
        <f t="shared" ca="1" si="57"/>
        <v>35</v>
      </c>
      <c r="CB80">
        <f t="shared" ca="1" si="57"/>
        <v>32</v>
      </c>
      <c r="CC80">
        <f t="shared" ca="1" si="57"/>
        <v>36</v>
      </c>
      <c r="CD80">
        <f t="shared" ca="1" si="57"/>
        <v>468</v>
      </c>
      <c r="CE80">
        <f t="shared" ca="1" si="57"/>
        <v>468</v>
      </c>
      <c r="CF80">
        <f t="shared" ca="1" si="57"/>
        <v>468</v>
      </c>
      <c r="CL80">
        <f t="shared" ca="1" si="58"/>
        <v>0</v>
      </c>
      <c r="CM80">
        <f t="shared" ca="1" si="58"/>
        <v>0</v>
      </c>
      <c r="CN80">
        <f t="shared" ca="1" si="58"/>
        <v>0</v>
      </c>
      <c r="CO80">
        <f t="shared" ca="1" si="58"/>
        <v>0</v>
      </c>
      <c r="CP80">
        <f t="shared" ca="1" si="58"/>
        <v>0</v>
      </c>
      <c r="CQ80">
        <f t="shared" ca="1" si="58"/>
        <v>0</v>
      </c>
      <c r="CR80">
        <f t="shared" ca="1" si="58"/>
        <v>0</v>
      </c>
      <c r="CS80">
        <f t="shared" ca="1" si="58"/>
        <v>0</v>
      </c>
      <c r="CT80">
        <f t="shared" ca="1" si="58"/>
        <v>0</v>
      </c>
      <c r="CU80">
        <f t="shared" ca="1" si="58"/>
        <v>0</v>
      </c>
      <c r="CV80">
        <f t="shared" ca="1" si="58"/>
        <v>0</v>
      </c>
      <c r="CW80">
        <f t="shared" ca="1" si="58"/>
        <v>0</v>
      </c>
      <c r="DC80" cm="1">
        <f t="array" aca="1" ref="DC80" ca="1">IF(ISNA(E80),,OFFSET(INDIRECT("'"&amp;DT$67&amp;"'!f1"),E80-1,))*1</f>
        <v>28945.103536791099</v>
      </c>
      <c r="DD80" cm="1">
        <f t="array" aca="1" ref="DD80" ca="1">IF(ISNA(F80),,OFFSET(INDIRECT("'"&amp;DU$67&amp;"'!f1"),F80-1,))*1</f>
        <v>28814.4084393866</v>
      </c>
      <c r="DE80" cm="1">
        <f t="array" aca="1" ref="DE80" ca="1">IF(ISNA(G80),,OFFSET(INDIRECT("'"&amp;DV$67&amp;"'!f1"),G80-1,))*1</f>
        <v>28800.1898034103</v>
      </c>
      <c r="DF80" cm="1">
        <f t="array" aca="1" ref="DF80" ca="1">IF(ISNA(H80),,OFFSET(INDIRECT("'"&amp;DW$67&amp;"'!f1"),H80-1,))*1</f>
        <v>28800.1423510657</v>
      </c>
      <c r="DG80" cm="1">
        <f t="array" aca="1" ref="DG80" ca="1">IF(ISNA(I80),,OFFSET(INDIRECT("'"&amp;DX$67&amp;"'!f1"),I80-1,))*1</f>
        <v>28800.780715583001</v>
      </c>
      <c r="DH80" cm="1">
        <f t="array" aca="1" ref="DH80" ca="1">IF(ISNA(J80),,OFFSET(INDIRECT("'"&amp;DY$67&amp;"'!f1"),J80-1,))*1</f>
        <v>4.1402676198631498</v>
      </c>
      <c r="DI80" cm="1">
        <f t="array" aca="1" ref="DI80" ca="1">IF(ISNA(K80),,OFFSET(INDIRECT("'"&amp;DZ$67&amp;"'!f1"),K80-1,))*1</f>
        <v>46.384811242110999</v>
      </c>
      <c r="DJ80" cm="1">
        <f t="array" aca="1" ref="DJ80" ca="1">IF(ISNA(L80),,OFFSET(INDIRECT("'"&amp;EA$67&amp;"'!f1"),L80-1,))*1</f>
        <v>45.8606149274855</v>
      </c>
      <c r="DK80" cm="1">
        <f t="array" aca="1" ref="DK80" ca="1">IF(ISNA(M80),,OFFSET(INDIRECT("'"&amp;EB$67&amp;"'!f1"),M80-1,))*1</f>
        <v>464.18777732830398</v>
      </c>
      <c r="DL80" cm="1">
        <f t="array" aca="1" ref="DL80" ca="1">IF(ISNA(N80),,OFFSET(INDIRECT("'"&amp;EC$67&amp;"'!f1"),N80-1,))*1</f>
        <v>4.1608527302741997E-2</v>
      </c>
      <c r="DM80" cm="1">
        <f t="array" aca="1" ref="DM80" ca="1">IF(ISNA(O80),,OFFSET(INDIRECT("'"&amp;ED$67&amp;"'!f1"),O80-1,))*1</f>
        <v>4.2027705349028097E-2</v>
      </c>
      <c r="DN80" cm="1">
        <f t="array" aca="1" ref="DN80" ca="1">IF(ISNA(P80),,OFFSET(INDIRECT("'"&amp;EE$67&amp;"'!f1"),P80-1,))*1</f>
        <v>0</v>
      </c>
      <c r="DT80">
        <f t="shared" ca="1" si="90"/>
        <v>0</v>
      </c>
      <c r="DU80">
        <f t="shared" ca="1" si="59"/>
        <v>0</v>
      </c>
      <c r="DV80">
        <f t="shared" ca="1" si="59"/>
        <v>0</v>
      </c>
      <c r="DW80">
        <f t="shared" ca="1" si="59"/>
        <v>0</v>
      </c>
      <c r="DX80">
        <f t="shared" ca="1" si="59"/>
        <v>0</v>
      </c>
      <c r="DY80">
        <f t="shared" ca="1" si="59"/>
        <v>0</v>
      </c>
      <c r="DZ80">
        <f t="shared" ca="1" si="59"/>
        <v>0</v>
      </c>
      <c r="EA80">
        <f t="shared" ca="1" si="59"/>
        <v>0</v>
      </c>
      <c r="EB80">
        <f t="shared" ca="1" si="59"/>
        <v>0</v>
      </c>
      <c r="EC80">
        <f t="shared" ca="1" si="59"/>
        <v>0</v>
      </c>
      <c r="ED80">
        <f t="shared" ca="1" si="59"/>
        <v>0</v>
      </c>
      <c r="EE80">
        <f t="shared" ca="1" si="59"/>
        <v>0</v>
      </c>
      <c r="EK80" cm="1">
        <f t="array" aca="1" ref="EK80" ca="1">IF(ISNA(E80),0,OFFSET(INDIRECT("'"&amp;EK$67&amp;"'!g1"),E80-1,)*CL80)</f>
        <v>0</v>
      </c>
      <c r="EL80" cm="1">
        <f t="array" aca="1" ref="EL80" ca="1">IF(ISNA(F80),0,OFFSET(INDIRECT("'"&amp;EL$67&amp;"'!g1"),F80-1,)*CM80)</f>
        <v>0</v>
      </c>
      <c r="EM80" cm="1">
        <f t="array" aca="1" ref="EM80" ca="1">IF(ISNA(G80),0,OFFSET(INDIRECT("'"&amp;EM$67&amp;"'!g1"),G80-1,)*CN80)</f>
        <v>0</v>
      </c>
      <c r="EN80" cm="1">
        <f t="array" aca="1" ref="EN80" ca="1">IF(ISNA(H80),0,OFFSET(INDIRECT("'"&amp;EN$67&amp;"'!g1"),H80-1,)*CO80)</f>
        <v>0</v>
      </c>
      <c r="EO80" cm="1">
        <f t="array" aca="1" ref="EO80" ca="1">IF(ISNA(I80),0,OFFSET(INDIRECT("'"&amp;EO$67&amp;"'!g1"),I80-1,)*CP80)</f>
        <v>0</v>
      </c>
      <c r="EP80" cm="1">
        <f t="array" aca="1" ref="EP80" ca="1">IF(ISNA(J80),0,OFFSET(INDIRECT("'"&amp;EP$67&amp;"'!g1"),J80-1,)*CQ80)</f>
        <v>0</v>
      </c>
      <c r="EQ80" cm="1">
        <f t="array" aca="1" ref="EQ80" ca="1">IF(ISNA(K80),0,OFFSET(INDIRECT("'"&amp;EQ$67&amp;"'!g1"),K80-1,)*CR80)</f>
        <v>0</v>
      </c>
      <c r="ER80" cm="1">
        <f t="array" aca="1" ref="ER80" ca="1">IF(ISNA(L80),0,OFFSET(INDIRECT("'"&amp;ER$67&amp;"'!g1"),L80-1,)*CS80)</f>
        <v>0</v>
      </c>
      <c r="ES80" cm="1">
        <f t="array" aca="1" ref="ES80" ca="1">IF(ISNA(M80),0,OFFSET(INDIRECT("'"&amp;ES$67&amp;"'!g1"),M80-1,)*CT80)</f>
        <v>0</v>
      </c>
      <c r="ET80" cm="1">
        <f t="array" aca="1" ref="ET80" ca="1">IF(ISNA(N80),0,OFFSET(INDIRECT("'"&amp;ET$67&amp;"'!g1"),N80-1,)*CU80)</f>
        <v>0</v>
      </c>
      <c r="EU80" cm="1">
        <f t="array" aca="1" ref="EU80" ca="1">IF(ISNA(O80),0,OFFSET(INDIRECT("'"&amp;EU$67&amp;"'!g1"),O80-1,)*CV80)</f>
        <v>0</v>
      </c>
      <c r="EV80" cm="1">
        <f t="array" aca="1" ref="EV80" ca="1">IF(ISNA(P80),0,OFFSET(INDIRECT("'"&amp;EV$67&amp;"'!g1"),P80-1,)*CW80)</f>
        <v>0</v>
      </c>
      <c r="FB80" s="10" cm="1">
        <f t="array" aca="1" ref="FB80" ca="1">IF(ISNA(E80),0,OFFSET(INDIRECT("'"&amp;EK$67&amp;"'!h1"),E80-1,))</f>
        <v>1</v>
      </c>
      <c r="FC80" s="10" cm="1">
        <f t="array" aca="1" ref="FC80" ca="1">IF(ISNA(F80),0,OFFSET(INDIRECT("'"&amp;EL$67&amp;"'!h1"),F80-1,))</f>
        <v>1</v>
      </c>
      <c r="FD80" s="10" cm="1">
        <f t="array" aca="1" ref="FD80" ca="1">IF(ISNA(G80),0,OFFSET(INDIRECT("'"&amp;EM$67&amp;"'!h1"),G80-1,))</f>
        <v>1</v>
      </c>
      <c r="FE80" s="10" cm="1">
        <f t="array" aca="1" ref="FE80" ca="1">IF(ISNA(H80),0,OFFSET(INDIRECT("'"&amp;EN$67&amp;"'!h1"),H80-1,))</f>
        <v>1</v>
      </c>
      <c r="FF80" s="10" cm="1">
        <f t="array" aca="1" ref="FF80" ca="1">IF(ISNA(I80),0,OFFSET(INDIRECT("'"&amp;EO$67&amp;"'!h1"),I80-1,))</f>
        <v>1</v>
      </c>
      <c r="FG80" s="10" cm="1">
        <f t="array" aca="1" ref="FG80" ca="1">IF(ISNA(J80),0,OFFSET(INDIRECT("'"&amp;EP$67&amp;"'!h1"),J80-1,))</f>
        <v>1</v>
      </c>
      <c r="FH80" s="10" cm="1">
        <f t="array" aca="1" ref="FH80" ca="1">IF(ISNA(K80),0,OFFSET(INDIRECT("'"&amp;EQ$67&amp;"'!h1"),K80-1,))</f>
        <v>10000</v>
      </c>
      <c r="FI80" s="10" cm="1">
        <f t="array" aca="1" ref="FI80" ca="1">IF(ISNA(L80),0,OFFSET(INDIRECT("'"&amp;ER$67&amp;"'!h1"),L80-1,))</f>
        <v>10000</v>
      </c>
      <c r="FJ80" s="10" cm="1">
        <f t="array" aca="1" ref="FJ80" ca="1">IF(ISNA(M80),0,OFFSET(INDIRECT("'"&amp;ES$67&amp;"'!h1"),M80-1,))</f>
        <v>10000</v>
      </c>
      <c r="FK80" s="10" cm="1">
        <f t="array" aca="1" ref="FK80" ca="1">IF(ISNA(N80),0,OFFSET(INDIRECT("'"&amp;ET$67&amp;"'!h1"),N80-1,))</f>
        <v>1</v>
      </c>
      <c r="FL80" s="10" cm="1">
        <f t="array" aca="1" ref="FL80" ca="1">IF(ISNA(O80),0,OFFSET(INDIRECT("'"&amp;EU$67&amp;"'!h1"),O80-1,))</f>
        <v>1</v>
      </c>
      <c r="FM80" s="10" cm="1">
        <f t="array" aca="1" ref="FM80" ca="1">IF(ISNA(P80),0,OFFSET(INDIRECT("'"&amp;EV$67&amp;"'!h1"),P80-1,))</f>
        <v>0</v>
      </c>
      <c r="FN80" s="10"/>
      <c r="FO80" s="10"/>
      <c r="FP80" s="10"/>
      <c r="FQ80" s="10"/>
      <c r="FS80">
        <f t="shared" ca="1" si="91"/>
        <v>468</v>
      </c>
      <c r="FT80">
        <f t="shared" ca="1" si="92"/>
        <v>46.384811242110999</v>
      </c>
      <c r="FU80">
        <f t="shared" ca="1" si="93"/>
        <v>0</v>
      </c>
      <c r="FV80">
        <f t="shared" ca="1" si="94"/>
        <v>10000</v>
      </c>
      <c r="FW80" s="4">
        <f t="shared" ca="1" si="95"/>
        <v>0</v>
      </c>
      <c r="FX80" s="5" t="e">
        <f t="shared" ca="1" si="96"/>
        <v>#N/A</v>
      </c>
      <c r="FZ80" s="13">
        <f t="shared" ca="1" si="60"/>
        <v>468</v>
      </c>
      <c r="GA80" s="22">
        <f t="shared" ca="1" si="97"/>
        <v>0.20689655172413793</v>
      </c>
      <c r="GB80" s="22">
        <f t="shared" ca="1" si="61"/>
        <v>0.17241379310344829</v>
      </c>
      <c r="GC80" s="22">
        <f t="shared" ca="1" si="62"/>
        <v>0.7931034482758621</v>
      </c>
      <c r="GD80" s="22" t="e">
        <f t="shared" ca="1" si="63"/>
        <v>#N/A</v>
      </c>
      <c r="GE80" s="22">
        <f t="shared" ca="1" si="64"/>
        <v>0.17241379310344829</v>
      </c>
      <c r="GF80" s="22">
        <f t="shared" ca="1" si="65"/>
        <v>0.20689655172413793</v>
      </c>
      <c r="GG80" s="22">
        <f t="shared" ca="1" si="66"/>
        <v>0.20689655172413793</v>
      </c>
      <c r="GH80" s="22">
        <f t="shared" ca="1" si="67"/>
        <v>0.10344827586206896</v>
      </c>
      <c r="GI80" s="22">
        <f t="shared" ca="1" si="68"/>
        <v>0.2413793103448276</v>
      </c>
      <c r="GJ80" s="22" t="e">
        <f t="shared" ca="1" si="69"/>
        <v>#N/A</v>
      </c>
      <c r="GK80" s="22" t="e">
        <f t="shared" ca="1" si="70"/>
        <v>#N/A</v>
      </c>
      <c r="GL80" s="22" t="e">
        <f t="shared" ca="1" si="71"/>
        <v>#N/A</v>
      </c>
      <c r="GM80" s="22"/>
      <c r="GN80">
        <f t="shared" ca="1" si="98"/>
        <v>468</v>
      </c>
      <c r="GO80" s="5" t="e">
        <f t="shared" ca="1" si="99"/>
        <v>#N/A</v>
      </c>
      <c r="GP80" s="5" t="e">
        <f t="shared" ca="1" si="72"/>
        <v>#N/A</v>
      </c>
      <c r="GQ80" s="5" t="e">
        <f t="shared" ca="1" si="72"/>
        <v>#N/A</v>
      </c>
      <c r="GR80" s="5" t="e">
        <f t="shared" ca="1" si="72"/>
        <v>#N/A</v>
      </c>
      <c r="GS80" s="5" t="e">
        <f t="shared" ca="1" si="72"/>
        <v>#N/A</v>
      </c>
      <c r="GT80" s="5" t="e">
        <f t="shared" ca="1" si="100"/>
        <v>#N/A</v>
      </c>
      <c r="GU80" s="5" t="e">
        <f t="shared" ca="1" si="73"/>
        <v>#N/A</v>
      </c>
      <c r="GV80" s="5" t="e">
        <f t="shared" ca="1" si="73"/>
        <v>#N/A</v>
      </c>
      <c r="GW80" s="5" t="e">
        <f t="shared" ca="1" si="73"/>
        <v>#N/A</v>
      </c>
      <c r="GX80" s="5" t="e">
        <f t="shared" ca="1" si="73"/>
        <v>#N/A</v>
      </c>
      <c r="GY80" s="5" t="e">
        <f t="shared" ca="1" si="73"/>
        <v>#N/A</v>
      </c>
      <c r="GZ80" s="5" t="e">
        <f t="shared" ca="1" si="73"/>
        <v>#N/A</v>
      </c>
      <c r="HB80" s="13">
        <f t="shared" ca="1" si="74"/>
        <v>468</v>
      </c>
      <c r="HC80" s="4">
        <f t="shared" ca="1" si="101"/>
        <v>0</v>
      </c>
      <c r="HD80" s="4">
        <f t="shared" ca="1" si="75"/>
        <v>0</v>
      </c>
      <c r="HE80" s="4">
        <f t="shared" ca="1" si="76"/>
        <v>0</v>
      </c>
      <c r="HF80" s="4">
        <f t="shared" ca="1" si="77"/>
        <v>0</v>
      </c>
      <c r="HG80" s="4">
        <f t="shared" ca="1" si="78"/>
        <v>0</v>
      </c>
      <c r="HH80" s="4">
        <f t="shared" ca="1" si="79"/>
        <v>0</v>
      </c>
      <c r="HI80" s="4">
        <f t="shared" ca="1" si="80"/>
        <v>0</v>
      </c>
      <c r="HJ80" s="4">
        <f t="shared" ca="1" si="81"/>
        <v>0</v>
      </c>
      <c r="HK80" s="4">
        <f t="shared" ca="1" si="82"/>
        <v>0</v>
      </c>
      <c r="HL80" s="4">
        <f t="shared" ca="1" si="83"/>
        <v>0</v>
      </c>
      <c r="HM80" s="4">
        <f t="shared" ca="1" si="84"/>
        <v>0</v>
      </c>
      <c r="HN80" s="4">
        <f t="shared" ca="1" si="85"/>
        <v>0</v>
      </c>
    </row>
    <row r="81" spans="1:222" x14ac:dyDescent="0.2">
      <c r="A81" t="str" cm="1">
        <f t="array" aca="1" ref="A81" ca="1">INDIRECT($A$67&amp;"!A"&amp;ROW(C14)+$B$64)</f>
        <v>496_2_32</v>
      </c>
      <c r="B81" cm="1">
        <f t="array" aca="1" ref="B81" ca="1">INDIRECT($A$67&amp;"!b"&amp;ROW(D14)+$B$64)</f>
        <v>496</v>
      </c>
      <c r="C81">
        <f t="shared" ca="1" si="86"/>
        <v>30</v>
      </c>
      <c r="E81">
        <f t="shared" ca="1" si="53"/>
        <v>50</v>
      </c>
      <c r="F81">
        <f t="shared" ca="1" si="53"/>
        <v>51</v>
      </c>
      <c r="G81">
        <f t="shared" ca="1" si="53"/>
        <v>49</v>
      </c>
      <c r="H81">
        <f t="shared" ca="1" si="53"/>
        <v>50</v>
      </c>
      <c r="I81">
        <f t="shared" ca="1" si="53"/>
        <v>35</v>
      </c>
      <c r="J81">
        <f t="shared" ca="1" si="53"/>
        <v>42</v>
      </c>
      <c r="K81">
        <f t="shared" ca="1" si="53"/>
        <v>45</v>
      </c>
      <c r="L81">
        <f t="shared" ca="1" si="53"/>
        <v>47</v>
      </c>
      <c r="M81">
        <f t="shared" ca="1" si="53"/>
        <v>48</v>
      </c>
      <c r="N81">
        <f t="shared" ca="1" si="53"/>
        <v>42</v>
      </c>
      <c r="O81">
        <f t="shared" ca="1" si="53"/>
        <v>42</v>
      </c>
      <c r="P81" t="e">
        <f t="shared" ca="1" si="53"/>
        <v>#N/A</v>
      </c>
      <c r="V81" cm="1">
        <f t="array" aca="1" ref="V81" ca="1">IF(ISNA(E81),,OFFSET(INDIRECT("'"&amp;V$67&amp;"'!d1"),E81-1,))</f>
        <v>42</v>
      </c>
      <c r="W81" cm="1">
        <f t="array" aca="1" ref="W81" ca="1">IF(ISNA(F81),,OFFSET(INDIRECT("'"&amp;W$67&amp;"'!d1"),F81-1,))</f>
        <v>40</v>
      </c>
      <c r="X81" cm="1">
        <f t="array" aca="1" ref="X81" ca="1">IF(ISNA(G81),,OFFSET(INDIRECT("'"&amp;X$67&amp;"'!d1"),G81-1,))</f>
        <v>130</v>
      </c>
      <c r="Y81" cm="1">
        <f t="array" aca="1" ref="Y81" ca="1">IF(ISNA(H81),,OFFSET(INDIRECT("'"&amp;Y$67&amp;"'!d1"),H81-1,))</f>
        <v>0</v>
      </c>
      <c r="Z81" cm="1">
        <f t="array" aca="1" ref="Z81" ca="1">IF(ISNA(I81),,OFFSET(INDIRECT("'"&amp;Z$67&amp;"'!d1"),I81-1,))</f>
        <v>38</v>
      </c>
      <c r="AA81" cm="1">
        <f t="array" aca="1" ref="AA81" ca="1">IF(ISNA(J81),,OFFSET(INDIRECT("'"&amp;AA$67&amp;"'!d1"),J81-1,))</f>
        <v>34</v>
      </c>
      <c r="AB81" cm="1">
        <f t="array" aca="1" ref="AB81" ca="1">IF(ISNA(K81),,OFFSET(INDIRECT("'"&amp;AB$67&amp;"'!d1"),K81-1,))</f>
        <v>36</v>
      </c>
      <c r="AC81" cm="1">
        <f t="array" aca="1" ref="AC81" ca="1">IF(ISNA(L81),,OFFSET(INDIRECT("'"&amp;AC$67&amp;"'!d1"),L81-1,))</f>
        <v>32</v>
      </c>
      <c r="AD81" cm="1">
        <f t="array" aca="1" ref="AD81" ca="1">IF(ISNA(M81),,OFFSET(INDIRECT("'"&amp;AD$67&amp;"'!d1"),M81-1,))</f>
        <v>38</v>
      </c>
      <c r="AE81" cm="1">
        <f t="array" aca="1" ref="AE81" ca="1">IF(ISNA(N81),,OFFSET(INDIRECT("'"&amp;AE$67&amp;"'!d1"),N81-1,))</f>
        <v>62</v>
      </c>
      <c r="AF81" cm="1">
        <f t="array" aca="1" ref="AF81" ca="1">IF(ISNA(O81),,OFFSET(INDIRECT("'"&amp;AF$67&amp;"'!d1"),O81-1,))</f>
        <v>62</v>
      </c>
      <c r="AG81" cm="1">
        <f t="array" aca="1" ref="AG81" ca="1">IF(ISNA(P81),,OFFSET(INDIRECT("'"&amp;AG$67&amp;"'!d1"),P81-1,))</f>
        <v>0</v>
      </c>
      <c r="AM81">
        <f t="shared" ca="1" si="87"/>
        <v>0</v>
      </c>
      <c r="AN81">
        <f t="shared" ca="1" si="54"/>
        <v>0</v>
      </c>
      <c r="AO81">
        <f t="shared" ca="1" si="54"/>
        <v>0</v>
      </c>
      <c r="AP81">
        <f t="shared" ca="1" si="54"/>
        <v>0</v>
      </c>
      <c r="AQ81">
        <f t="shared" ca="1" si="88"/>
        <v>0</v>
      </c>
      <c r="AV81" t="str">
        <f t="shared" ca="1" si="89"/>
        <v/>
      </c>
      <c r="AW81" t="str">
        <f t="shared" ca="1" si="55"/>
        <v/>
      </c>
      <c r="AX81" t="str">
        <f t="shared" ca="1" si="55"/>
        <v/>
      </c>
      <c r="AY81" t="str">
        <f t="shared" ca="1" si="55"/>
        <v/>
      </c>
      <c r="AZ81" t="str">
        <f t="shared" ca="1" si="55"/>
        <v/>
      </c>
      <c r="BD81">
        <f t="shared" ca="1" si="56"/>
        <v>1</v>
      </c>
      <c r="BE81">
        <f t="shared" ca="1" si="56"/>
        <v>1</v>
      </c>
      <c r="BF81">
        <f t="shared" ca="1" si="56"/>
        <v>1</v>
      </c>
      <c r="BG81">
        <f t="shared" ca="1" si="56"/>
        <v>0</v>
      </c>
      <c r="BH81">
        <f t="shared" ca="1" si="56"/>
        <v>1</v>
      </c>
      <c r="BI81">
        <f t="shared" ca="1" si="56"/>
        <v>1</v>
      </c>
      <c r="BJ81">
        <f t="shared" ca="1" si="56"/>
        <v>1</v>
      </c>
      <c r="BK81">
        <f t="shared" ca="1" si="56"/>
        <v>1</v>
      </c>
      <c r="BL81">
        <f t="shared" ca="1" si="56"/>
        <v>1</v>
      </c>
      <c r="BM81">
        <f t="shared" ca="1" si="56"/>
        <v>1</v>
      </c>
      <c r="BN81">
        <f t="shared" ca="1" si="56"/>
        <v>1</v>
      </c>
      <c r="BO81">
        <f t="shared" ca="1" si="56"/>
        <v>0</v>
      </c>
      <c r="BU81">
        <f t="shared" ca="1" si="57"/>
        <v>42</v>
      </c>
      <c r="BV81">
        <f t="shared" ca="1" si="57"/>
        <v>40</v>
      </c>
      <c r="BW81">
        <f t="shared" ca="1" si="57"/>
        <v>130</v>
      </c>
      <c r="BX81">
        <f t="shared" ca="1" si="57"/>
        <v>496</v>
      </c>
      <c r="BY81">
        <f t="shared" ca="1" si="57"/>
        <v>38</v>
      </c>
      <c r="BZ81">
        <f t="shared" ca="1" si="57"/>
        <v>34</v>
      </c>
      <c r="CA81">
        <f t="shared" ca="1" si="57"/>
        <v>36</v>
      </c>
      <c r="CB81">
        <f t="shared" ca="1" si="57"/>
        <v>32</v>
      </c>
      <c r="CC81">
        <f t="shared" ca="1" si="57"/>
        <v>38</v>
      </c>
      <c r="CD81">
        <f t="shared" ca="1" si="57"/>
        <v>62</v>
      </c>
      <c r="CE81">
        <f t="shared" ca="1" si="57"/>
        <v>62</v>
      </c>
      <c r="CF81">
        <f t="shared" ca="1" si="57"/>
        <v>496</v>
      </c>
      <c r="CL81">
        <f t="shared" ca="1" si="58"/>
        <v>0</v>
      </c>
      <c r="CM81">
        <f t="shared" ca="1" si="58"/>
        <v>0</v>
      </c>
      <c r="CN81">
        <f t="shared" ca="1" si="58"/>
        <v>0</v>
      </c>
      <c r="CO81">
        <f t="shared" ca="1" si="58"/>
        <v>0</v>
      </c>
      <c r="CP81">
        <f t="shared" ca="1" si="58"/>
        <v>0</v>
      </c>
      <c r="CQ81">
        <f t="shared" ca="1" si="58"/>
        <v>0</v>
      </c>
      <c r="CR81">
        <f t="shared" ca="1" si="58"/>
        <v>0</v>
      </c>
      <c r="CS81">
        <f t="shared" ca="1" si="58"/>
        <v>0</v>
      </c>
      <c r="CT81">
        <f t="shared" ca="1" si="58"/>
        <v>0</v>
      </c>
      <c r="CU81">
        <f t="shared" ca="1" si="58"/>
        <v>0</v>
      </c>
      <c r="CV81">
        <f t="shared" ca="1" si="58"/>
        <v>0</v>
      </c>
      <c r="CW81">
        <f t="shared" ca="1" si="58"/>
        <v>0</v>
      </c>
      <c r="DC81" cm="1">
        <f t="array" aca="1" ref="DC81" ca="1">IF(ISNA(E81),,OFFSET(INDIRECT("'"&amp;DT$67&amp;"'!f1"),E81-1,))*1</f>
        <v>28910.457093291901</v>
      </c>
      <c r="DD81" cm="1">
        <f t="array" aca="1" ref="DD81" ca="1">IF(ISNA(F81),,OFFSET(INDIRECT("'"&amp;DU$67&amp;"'!f1"),F81-1,))*1</f>
        <v>28814.907842733799</v>
      </c>
      <c r="DE81" cm="1">
        <f t="array" aca="1" ref="DE81" ca="1">IF(ISNA(G81),,OFFSET(INDIRECT("'"&amp;DV$67&amp;"'!f1"),G81-1,))*1</f>
        <v>28800.214472127998</v>
      </c>
      <c r="DF81" cm="1">
        <f t="array" aca="1" ref="DF81" ca="1">IF(ISNA(H81),,OFFSET(INDIRECT("'"&amp;DW$67&amp;"'!f1"),H81-1,))*1</f>
        <v>28800.207019211699</v>
      </c>
      <c r="DG81" cm="1">
        <f t="array" aca="1" ref="DG81" ca="1">IF(ISNA(I81),,OFFSET(INDIRECT("'"&amp;DX$67&amp;"'!f1"),I81-1,))*1</f>
        <v>28800.919503124998</v>
      </c>
      <c r="DH81" cm="1">
        <f t="array" aca="1" ref="DH81" ca="1">IF(ISNA(J81),,OFFSET(INDIRECT("'"&amp;DY$67&amp;"'!f1"),J81-1,))*1</f>
        <v>4.33112163562327</v>
      </c>
      <c r="DI81" cm="1">
        <f t="array" aca="1" ref="DI81" ca="1">IF(ISNA(K81),,OFFSET(INDIRECT("'"&amp;DZ$67&amp;"'!f1"),K81-1,))*1</f>
        <v>42.955201142467502</v>
      </c>
      <c r="DJ81" cm="1">
        <f t="array" aca="1" ref="DJ81" ca="1">IF(ISNA(L81),,OFFSET(INDIRECT("'"&amp;EA$67&amp;"'!f1"),L81-1,))*1</f>
        <v>43.358082022517898</v>
      </c>
      <c r="DK81" cm="1">
        <f t="array" aca="1" ref="DK81" ca="1">IF(ISNA(M81),,OFFSET(INDIRECT("'"&amp;EB$67&amp;"'!f1"),M81-1,))*1</f>
        <v>347.83623105008098</v>
      </c>
      <c r="DL81" cm="1">
        <f t="array" aca="1" ref="DL81" ca="1">IF(ISNA(N81),,OFFSET(INDIRECT("'"&amp;EC$67&amp;"'!f1"),N81-1,))*1</f>
        <v>4.7993937507271697E-2</v>
      </c>
      <c r="DM81" cm="1">
        <f t="array" aca="1" ref="DM81" ca="1">IF(ISNA(O81),,OFFSET(INDIRECT("'"&amp;ED$67&amp;"'!f1"),O81-1,))*1</f>
        <v>4.95575992390513E-2</v>
      </c>
      <c r="DN81" cm="1">
        <f t="array" aca="1" ref="DN81" ca="1">IF(ISNA(P81),,OFFSET(INDIRECT("'"&amp;EE$67&amp;"'!f1"),P81-1,))*1</f>
        <v>0</v>
      </c>
      <c r="DT81">
        <f t="shared" ca="1" si="90"/>
        <v>0</v>
      </c>
      <c r="DU81">
        <f t="shared" ca="1" si="59"/>
        <v>0</v>
      </c>
      <c r="DV81">
        <f t="shared" ca="1" si="59"/>
        <v>0</v>
      </c>
      <c r="DW81">
        <f t="shared" ca="1" si="59"/>
        <v>0</v>
      </c>
      <c r="DX81">
        <f t="shared" ca="1" si="59"/>
        <v>0</v>
      </c>
      <c r="DY81">
        <f t="shared" ca="1" si="59"/>
        <v>0</v>
      </c>
      <c r="DZ81">
        <f t="shared" ca="1" si="59"/>
        <v>0</v>
      </c>
      <c r="EA81">
        <f t="shared" ca="1" si="59"/>
        <v>0</v>
      </c>
      <c r="EB81">
        <f t="shared" ca="1" si="59"/>
        <v>0</v>
      </c>
      <c r="EC81">
        <f t="shared" ca="1" si="59"/>
        <v>0</v>
      </c>
      <c r="ED81">
        <f t="shared" ca="1" si="59"/>
        <v>0</v>
      </c>
      <c r="EE81">
        <f t="shared" ca="1" si="59"/>
        <v>0</v>
      </c>
      <c r="EK81" cm="1">
        <f t="array" aca="1" ref="EK81" ca="1">IF(ISNA(E81),0,OFFSET(INDIRECT("'"&amp;EK$67&amp;"'!g1"),E81-1,)*CL81)</f>
        <v>0</v>
      </c>
      <c r="EL81" cm="1">
        <f t="array" aca="1" ref="EL81" ca="1">IF(ISNA(F81),0,OFFSET(INDIRECT("'"&amp;EL$67&amp;"'!g1"),F81-1,)*CM81)</f>
        <v>0</v>
      </c>
      <c r="EM81" cm="1">
        <f t="array" aca="1" ref="EM81" ca="1">IF(ISNA(G81),0,OFFSET(INDIRECT("'"&amp;EM$67&amp;"'!g1"),G81-1,)*CN81)</f>
        <v>0</v>
      </c>
      <c r="EN81" cm="1">
        <f t="array" aca="1" ref="EN81" ca="1">IF(ISNA(H81),0,OFFSET(INDIRECT("'"&amp;EN$67&amp;"'!g1"),H81-1,)*CO81)</f>
        <v>0</v>
      </c>
      <c r="EO81" cm="1">
        <f t="array" aca="1" ref="EO81" ca="1">IF(ISNA(I81),0,OFFSET(INDIRECT("'"&amp;EO$67&amp;"'!g1"),I81-1,)*CP81)</f>
        <v>0</v>
      </c>
      <c r="EP81" cm="1">
        <f t="array" aca="1" ref="EP81" ca="1">IF(ISNA(J81),0,OFFSET(INDIRECT("'"&amp;EP$67&amp;"'!g1"),J81-1,)*CQ81)</f>
        <v>0</v>
      </c>
      <c r="EQ81" cm="1">
        <f t="array" aca="1" ref="EQ81" ca="1">IF(ISNA(K81),0,OFFSET(INDIRECT("'"&amp;EQ$67&amp;"'!g1"),K81-1,)*CR81)</f>
        <v>0</v>
      </c>
      <c r="ER81" cm="1">
        <f t="array" aca="1" ref="ER81" ca="1">IF(ISNA(L81),0,OFFSET(INDIRECT("'"&amp;ER$67&amp;"'!g1"),L81-1,)*CS81)</f>
        <v>0</v>
      </c>
      <c r="ES81" cm="1">
        <f t="array" aca="1" ref="ES81" ca="1">IF(ISNA(M81),0,OFFSET(INDIRECT("'"&amp;ES$67&amp;"'!g1"),M81-1,)*CT81)</f>
        <v>0</v>
      </c>
      <c r="ET81" cm="1">
        <f t="array" aca="1" ref="ET81" ca="1">IF(ISNA(N81),0,OFFSET(INDIRECT("'"&amp;ET$67&amp;"'!g1"),N81-1,)*CU81)</f>
        <v>0</v>
      </c>
      <c r="EU81" cm="1">
        <f t="array" aca="1" ref="EU81" ca="1">IF(ISNA(O81),0,OFFSET(INDIRECT("'"&amp;EU$67&amp;"'!g1"),O81-1,)*CV81)</f>
        <v>0</v>
      </c>
      <c r="EV81" cm="1">
        <f t="array" aca="1" ref="EV81" ca="1">IF(ISNA(P81),0,OFFSET(INDIRECT("'"&amp;EV$67&amp;"'!g1"),P81-1,)*CW81)</f>
        <v>0</v>
      </c>
      <c r="FB81" s="10" cm="1">
        <f t="array" aca="1" ref="FB81" ca="1">IF(ISNA(E81),0,OFFSET(INDIRECT("'"&amp;EK$67&amp;"'!h1"),E81-1,))</f>
        <v>1</v>
      </c>
      <c r="FC81" s="10" cm="1">
        <f t="array" aca="1" ref="FC81" ca="1">IF(ISNA(F81),0,OFFSET(INDIRECT("'"&amp;EL$67&amp;"'!h1"),F81-1,))</f>
        <v>1</v>
      </c>
      <c r="FD81" s="10" cm="1">
        <f t="array" aca="1" ref="FD81" ca="1">IF(ISNA(G81),0,OFFSET(INDIRECT("'"&amp;EM$67&amp;"'!h1"),G81-1,))</f>
        <v>1</v>
      </c>
      <c r="FE81" s="10" cm="1">
        <f t="array" aca="1" ref="FE81" ca="1">IF(ISNA(H81),0,OFFSET(INDIRECT("'"&amp;EN$67&amp;"'!h1"),H81-1,))</f>
        <v>1</v>
      </c>
      <c r="FF81" s="10" cm="1">
        <f t="array" aca="1" ref="FF81" ca="1">IF(ISNA(I81),0,OFFSET(INDIRECT("'"&amp;EO$67&amp;"'!h1"),I81-1,))</f>
        <v>1</v>
      </c>
      <c r="FG81" s="10" cm="1">
        <f t="array" aca="1" ref="FG81" ca="1">IF(ISNA(J81),0,OFFSET(INDIRECT("'"&amp;EP$67&amp;"'!h1"),J81-1,))</f>
        <v>1</v>
      </c>
      <c r="FH81" s="10" cm="1">
        <f t="array" aca="1" ref="FH81" ca="1">IF(ISNA(K81),0,OFFSET(INDIRECT("'"&amp;EQ$67&amp;"'!h1"),K81-1,))</f>
        <v>10000</v>
      </c>
      <c r="FI81" s="10" cm="1">
        <f t="array" aca="1" ref="FI81" ca="1">IF(ISNA(L81),0,OFFSET(INDIRECT("'"&amp;ER$67&amp;"'!h1"),L81-1,))</f>
        <v>10000</v>
      </c>
      <c r="FJ81" s="10" cm="1">
        <f t="array" aca="1" ref="FJ81" ca="1">IF(ISNA(M81),0,OFFSET(INDIRECT("'"&amp;ES$67&amp;"'!h1"),M81-1,))</f>
        <v>10000</v>
      </c>
      <c r="FK81" s="10" cm="1">
        <f t="array" aca="1" ref="FK81" ca="1">IF(ISNA(N81),0,OFFSET(INDIRECT("'"&amp;ET$67&amp;"'!h1"),N81-1,))</f>
        <v>1</v>
      </c>
      <c r="FL81" s="10" cm="1">
        <f t="array" aca="1" ref="FL81" ca="1">IF(ISNA(O81),0,OFFSET(INDIRECT("'"&amp;EU$67&amp;"'!h1"),O81-1,))</f>
        <v>1</v>
      </c>
      <c r="FM81" s="10" cm="1">
        <f t="array" aca="1" ref="FM81" ca="1">IF(ISNA(P81),0,OFFSET(INDIRECT("'"&amp;EV$67&amp;"'!h1"),P81-1,))</f>
        <v>0</v>
      </c>
      <c r="FN81" s="10"/>
      <c r="FO81" s="10"/>
      <c r="FP81" s="10"/>
      <c r="FQ81" s="10"/>
      <c r="FS81">
        <f t="shared" ca="1" si="91"/>
        <v>496</v>
      </c>
      <c r="FT81">
        <f t="shared" ca="1" si="92"/>
        <v>42.955201142467502</v>
      </c>
      <c r="FU81">
        <f t="shared" ca="1" si="93"/>
        <v>0</v>
      </c>
      <c r="FV81">
        <f t="shared" ca="1" si="94"/>
        <v>10000</v>
      </c>
      <c r="FW81" s="4">
        <f t="shared" ca="1" si="95"/>
        <v>0</v>
      </c>
      <c r="FX81" s="5" t="e">
        <f t="shared" ca="1" si="96"/>
        <v>#N/A</v>
      </c>
      <c r="FZ81" s="13">
        <f t="shared" ca="1" si="60"/>
        <v>496</v>
      </c>
      <c r="GA81" s="22">
        <f t="shared" ca="1" si="97"/>
        <v>0.4</v>
      </c>
      <c r="GB81" s="22">
        <f t="shared" ca="1" si="61"/>
        <v>0.33333333333333331</v>
      </c>
      <c r="GC81" s="22">
        <f t="shared" ca="1" si="62"/>
        <v>3.3333333333333335</v>
      </c>
      <c r="GD81" s="22" t="e">
        <f t="shared" ca="1" si="63"/>
        <v>#N/A</v>
      </c>
      <c r="GE81" s="22">
        <f t="shared" ca="1" si="64"/>
        <v>0.26666666666666666</v>
      </c>
      <c r="GF81" s="22">
        <f t="shared" ca="1" si="65"/>
        <v>0.13333333333333333</v>
      </c>
      <c r="GG81" s="22">
        <f t="shared" ca="1" si="66"/>
        <v>0.2</v>
      </c>
      <c r="GH81" s="22">
        <f t="shared" ca="1" si="67"/>
        <v>6.6666666666666666E-2</v>
      </c>
      <c r="GI81" s="22">
        <f t="shared" ca="1" si="68"/>
        <v>0.26666666666666666</v>
      </c>
      <c r="GJ81" s="22">
        <f t="shared" ca="1" si="69"/>
        <v>1.0666666666666667</v>
      </c>
      <c r="GK81" s="22">
        <f t="shared" ca="1" si="70"/>
        <v>1.0666666666666667</v>
      </c>
      <c r="GL81" s="22" t="e">
        <f t="shared" ca="1" si="71"/>
        <v>#N/A</v>
      </c>
      <c r="GM81" s="22"/>
      <c r="GN81">
        <f t="shared" ca="1" si="98"/>
        <v>496</v>
      </c>
      <c r="GO81" s="5" t="e">
        <f t="shared" ca="1" si="99"/>
        <v>#N/A</v>
      </c>
      <c r="GP81" s="5" t="e">
        <f t="shared" ca="1" si="72"/>
        <v>#N/A</v>
      </c>
      <c r="GQ81" s="5" t="e">
        <f t="shared" ca="1" si="72"/>
        <v>#N/A</v>
      </c>
      <c r="GR81" s="5" t="e">
        <f t="shared" ca="1" si="72"/>
        <v>#N/A</v>
      </c>
      <c r="GS81" s="5" t="e">
        <f t="shared" ca="1" si="72"/>
        <v>#N/A</v>
      </c>
      <c r="GT81" s="5" t="e">
        <f t="shared" ca="1" si="100"/>
        <v>#N/A</v>
      </c>
      <c r="GU81" s="5" t="e">
        <f t="shared" ca="1" si="73"/>
        <v>#N/A</v>
      </c>
      <c r="GV81" s="5" t="e">
        <f t="shared" ca="1" si="73"/>
        <v>#N/A</v>
      </c>
      <c r="GW81" s="5" t="e">
        <f t="shared" ca="1" si="73"/>
        <v>#N/A</v>
      </c>
      <c r="GX81" s="5" t="e">
        <f t="shared" ca="1" si="73"/>
        <v>#N/A</v>
      </c>
      <c r="GY81" s="5" t="e">
        <f t="shared" ca="1" si="73"/>
        <v>#N/A</v>
      </c>
      <c r="GZ81" s="5" t="e">
        <f t="shared" ca="1" si="73"/>
        <v>#N/A</v>
      </c>
      <c r="HB81" s="13">
        <f t="shared" ca="1" si="74"/>
        <v>496</v>
      </c>
      <c r="HC81" s="4">
        <f t="shared" ca="1" si="101"/>
        <v>0</v>
      </c>
      <c r="HD81" s="4">
        <f t="shared" ca="1" si="75"/>
        <v>0</v>
      </c>
      <c r="HE81" s="4">
        <f t="shared" ca="1" si="76"/>
        <v>0</v>
      </c>
      <c r="HF81" s="4">
        <f t="shared" ca="1" si="77"/>
        <v>0</v>
      </c>
      <c r="HG81" s="4">
        <f t="shared" ca="1" si="78"/>
        <v>0</v>
      </c>
      <c r="HH81" s="4">
        <f t="shared" ca="1" si="79"/>
        <v>0</v>
      </c>
      <c r="HI81" s="4">
        <f t="shared" ca="1" si="80"/>
        <v>0</v>
      </c>
      <c r="HJ81" s="4">
        <f t="shared" ca="1" si="81"/>
        <v>0</v>
      </c>
      <c r="HK81" s="4">
        <f t="shared" ca="1" si="82"/>
        <v>0</v>
      </c>
      <c r="HL81" s="4">
        <f t="shared" ca="1" si="83"/>
        <v>0</v>
      </c>
      <c r="HM81" s="4">
        <f t="shared" ca="1" si="84"/>
        <v>0</v>
      </c>
      <c r="HN81" s="4">
        <f t="shared" ca="1" si="85"/>
        <v>0</v>
      </c>
    </row>
    <row r="82" spans="1:222" x14ac:dyDescent="0.2">
      <c r="A82" t="str" cm="1">
        <f t="array" aca="1" ref="A82" ca="1">INDIRECT($A$67&amp;"!A"&amp;ROW(C15)+$B$64)</f>
        <v>504_2_45</v>
      </c>
      <c r="B82" cm="1">
        <f t="array" aca="1" ref="B82" ca="1">INDIRECT($A$67&amp;"!b"&amp;ROW(D15)+$B$64)</f>
        <v>504</v>
      </c>
      <c r="C82">
        <f t="shared" ca="1" si="86"/>
        <v>39</v>
      </c>
      <c r="E82">
        <f t="shared" ca="1" si="53"/>
        <v>40</v>
      </c>
      <c r="F82">
        <f t="shared" ca="1" si="53"/>
        <v>41</v>
      </c>
      <c r="G82">
        <f t="shared" ca="1" si="53"/>
        <v>36</v>
      </c>
      <c r="H82">
        <f t="shared" ca="1" si="53"/>
        <v>33</v>
      </c>
      <c r="I82">
        <f t="shared" ca="1" si="53"/>
        <v>43</v>
      </c>
      <c r="J82">
        <f t="shared" ca="1" si="53"/>
        <v>43</v>
      </c>
      <c r="K82">
        <f t="shared" ca="1" si="53"/>
        <v>46</v>
      </c>
      <c r="L82">
        <f t="shared" ca="1" si="53"/>
        <v>48</v>
      </c>
      <c r="M82">
        <f t="shared" ca="1" si="53"/>
        <v>49</v>
      </c>
      <c r="N82">
        <f t="shared" ca="1" si="53"/>
        <v>43</v>
      </c>
      <c r="O82">
        <f t="shared" ca="1" si="53"/>
        <v>43</v>
      </c>
      <c r="P82" t="e">
        <f t="shared" ca="1" si="53"/>
        <v>#N/A</v>
      </c>
      <c r="V82" cm="1">
        <f t="array" aca="1" ref="V82" ca="1">IF(ISNA(E82),,OFFSET(INDIRECT("'"&amp;V$67&amp;"'!d1"),E82-1,))</f>
        <v>56</v>
      </c>
      <c r="W82" cm="1">
        <f t="array" aca="1" ref="W82" ca="1">IF(ISNA(F82),,OFFSET(INDIRECT("'"&amp;W$67&amp;"'!d1"),F82-1,))</f>
        <v>54</v>
      </c>
      <c r="X82" cm="1">
        <f t="array" aca="1" ref="X82" ca="1">IF(ISNA(G82),,OFFSET(INDIRECT("'"&amp;X$67&amp;"'!d1"),G82-1,))</f>
        <v>56</v>
      </c>
      <c r="Y82" cm="1">
        <f t="array" aca="1" ref="Y82" ca="1">IF(ISNA(H82),,OFFSET(INDIRECT("'"&amp;Y$67&amp;"'!d1"),H82-1,))</f>
        <v>0</v>
      </c>
      <c r="Z82" cm="1">
        <f t="array" aca="1" ref="Z82" ca="1">IF(ISNA(I82),,OFFSET(INDIRECT("'"&amp;Z$67&amp;"'!d1"),I82-1,))</f>
        <v>60</v>
      </c>
      <c r="AA82" cm="1">
        <f t="array" aca="1" ref="AA82" ca="1">IF(ISNA(J82),,OFFSET(INDIRECT("'"&amp;AA$67&amp;"'!d1"),J82-1,))</f>
        <v>50</v>
      </c>
      <c r="AB82" cm="1">
        <f t="array" aca="1" ref="AB82" ca="1">IF(ISNA(K82),,OFFSET(INDIRECT("'"&amp;AB$67&amp;"'!d1"),K82-1,))</f>
        <v>58</v>
      </c>
      <c r="AC82" cm="1">
        <f t="array" aca="1" ref="AC82" ca="1">IF(ISNA(L82),,OFFSET(INDIRECT("'"&amp;AC$67&amp;"'!d1"),L82-1,))</f>
        <v>39</v>
      </c>
      <c r="AD82" cm="1">
        <f t="array" aca="1" ref="AD82" ca="1">IF(ISNA(M82),,OFFSET(INDIRECT("'"&amp;AD$67&amp;"'!d1"),M82-1,))</f>
        <v>66</v>
      </c>
      <c r="AE82" cm="1">
        <f t="array" aca="1" ref="AE82" ca="1">IF(ISNA(N82),,OFFSET(INDIRECT("'"&amp;AE$67&amp;"'!d1"),N82-1,))</f>
        <v>0</v>
      </c>
      <c r="AF82" cm="1">
        <f t="array" aca="1" ref="AF82" ca="1">IF(ISNA(O82),,OFFSET(INDIRECT("'"&amp;AF$67&amp;"'!d1"),O82-1,))</f>
        <v>0</v>
      </c>
      <c r="AG82" cm="1">
        <f t="array" aca="1" ref="AG82" ca="1">IF(ISNA(P82),,OFFSET(INDIRECT("'"&amp;AG$67&amp;"'!d1"),P82-1,))</f>
        <v>0</v>
      </c>
      <c r="AM82">
        <f t="shared" ca="1" si="87"/>
        <v>0</v>
      </c>
      <c r="AN82">
        <f t="shared" ca="1" si="54"/>
        <v>0</v>
      </c>
      <c r="AO82">
        <f t="shared" ca="1" si="54"/>
        <v>0</v>
      </c>
      <c r="AP82">
        <f t="shared" ca="1" si="54"/>
        <v>0</v>
      </c>
      <c r="AQ82">
        <f t="shared" ca="1" si="88"/>
        <v>0</v>
      </c>
      <c r="AV82" t="str">
        <f t="shared" ca="1" si="89"/>
        <v/>
      </c>
      <c r="AW82" t="str">
        <f t="shared" ca="1" si="55"/>
        <v/>
      </c>
      <c r="AX82" t="str">
        <f t="shared" ca="1" si="55"/>
        <v/>
      </c>
      <c r="AY82" t="str">
        <f t="shared" ca="1" si="55"/>
        <v/>
      </c>
      <c r="AZ82" t="str">
        <f t="shared" ca="1" si="55"/>
        <v/>
      </c>
      <c r="BD82">
        <f t="shared" ca="1" si="56"/>
        <v>1</v>
      </c>
      <c r="BE82">
        <f t="shared" ca="1" si="56"/>
        <v>1</v>
      </c>
      <c r="BF82">
        <f t="shared" ca="1" si="56"/>
        <v>1</v>
      </c>
      <c r="BG82">
        <f t="shared" ca="1" si="56"/>
        <v>0</v>
      </c>
      <c r="BH82">
        <f t="shared" ca="1" si="56"/>
        <v>1</v>
      </c>
      <c r="BI82">
        <f t="shared" ca="1" si="56"/>
        <v>1</v>
      </c>
      <c r="BJ82">
        <f t="shared" ca="1" si="56"/>
        <v>1</v>
      </c>
      <c r="BK82">
        <f t="shared" ca="1" si="56"/>
        <v>1</v>
      </c>
      <c r="BL82">
        <f t="shared" ca="1" si="56"/>
        <v>1</v>
      </c>
      <c r="BM82">
        <f t="shared" ca="1" si="56"/>
        <v>0</v>
      </c>
      <c r="BN82">
        <f t="shared" ca="1" si="56"/>
        <v>0</v>
      </c>
      <c r="BO82">
        <f t="shared" ca="1" si="56"/>
        <v>0</v>
      </c>
      <c r="BU82">
        <f t="shared" ca="1" si="57"/>
        <v>56</v>
      </c>
      <c r="BV82">
        <f t="shared" ca="1" si="57"/>
        <v>54</v>
      </c>
      <c r="BW82">
        <f t="shared" ca="1" si="57"/>
        <v>56</v>
      </c>
      <c r="BX82">
        <f t="shared" ca="1" si="57"/>
        <v>504</v>
      </c>
      <c r="BY82">
        <f t="shared" ca="1" si="57"/>
        <v>60</v>
      </c>
      <c r="BZ82">
        <f t="shared" ca="1" si="57"/>
        <v>50</v>
      </c>
      <c r="CA82">
        <f t="shared" ca="1" si="57"/>
        <v>58</v>
      </c>
      <c r="CB82">
        <f t="shared" ca="1" si="57"/>
        <v>39</v>
      </c>
      <c r="CC82">
        <f t="shared" ca="1" si="57"/>
        <v>66</v>
      </c>
      <c r="CD82">
        <f t="shared" ca="1" si="57"/>
        <v>504</v>
      </c>
      <c r="CE82">
        <f t="shared" ca="1" si="57"/>
        <v>504</v>
      </c>
      <c r="CF82">
        <f t="shared" ca="1" si="57"/>
        <v>504</v>
      </c>
      <c r="CL82">
        <f t="shared" ca="1" si="58"/>
        <v>0</v>
      </c>
      <c r="CM82">
        <f t="shared" ca="1" si="58"/>
        <v>0</v>
      </c>
      <c r="CN82">
        <f t="shared" ca="1" si="58"/>
        <v>0</v>
      </c>
      <c r="CO82">
        <f t="shared" ca="1" si="58"/>
        <v>0</v>
      </c>
      <c r="CP82">
        <f t="shared" ca="1" si="58"/>
        <v>0</v>
      </c>
      <c r="CQ82">
        <f t="shared" ca="1" si="58"/>
        <v>0</v>
      </c>
      <c r="CR82">
        <f t="shared" ca="1" si="58"/>
        <v>0</v>
      </c>
      <c r="CS82">
        <f t="shared" ca="1" si="58"/>
        <v>1</v>
      </c>
      <c r="CT82">
        <f t="shared" ca="1" si="58"/>
        <v>0</v>
      </c>
      <c r="CU82">
        <f t="shared" ca="1" si="58"/>
        <v>0</v>
      </c>
      <c r="CV82">
        <f t="shared" ca="1" si="58"/>
        <v>0</v>
      </c>
      <c r="CW82">
        <f t="shared" ca="1" si="58"/>
        <v>0</v>
      </c>
      <c r="DC82" cm="1">
        <f t="array" aca="1" ref="DC82" ca="1">IF(ISNA(E82),,OFFSET(INDIRECT("'"&amp;DT$67&amp;"'!f1"),E82-1,))*1</f>
        <v>29015.455075731501</v>
      </c>
      <c r="DD82" cm="1">
        <f t="array" aca="1" ref="DD82" ca="1">IF(ISNA(F82),,OFFSET(INDIRECT("'"&amp;DU$67&amp;"'!f1"),F82-1,))*1</f>
        <v>28814.215083622301</v>
      </c>
      <c r="DE82" cm="1">
        <f t="array" aca="1" ref="DE82" ca="1">IF(ISNA(G82),,OFFSET(INDIRECT("'"&amp;DV$67&amp;"'!f1"),G82-1,))*1</f>
        <v>28800.2004730226</v>
      </c>
      <c r="DF82" cm="1">
        <f t="array" aca="1" ref="DF82" ca="1">IF(ISNA(H82),,OFFSET(INDIRECT("'"&amp;DW$67&amp;"'!f1"),H82-1,))*1</f>
        <v>28800.111573061899</v>
      </c>
      <c r="DG82" cm="1">
        <f t="array" aca="1" ref="DG82" ca="1">IF(ISNA(I82),,OFFSET(INDIRECT("'"&amp;DX$67&amp;"'!f1"),I82-1,))*1</f>
        <v>28801.400358499901</v>
      </c>
      <c r="DH82" cm="1">
        <f t="array" aca="1" ref="DH82" ca="1">IF(ISNA(J82),,OFFSET(INDIRECT("'"&amp;DY$67&amp;"'!f1"),J82-1,))*1</f>
        <v>4.9402744174003601</v>
      </c>
      <c r="DI82" cm="1">
        <f t="array" aca="1" ref="DI82" ca="1">IF(ISNA(K82),,OFFSET(INDIRECT("'"&amp;DZ$67&amp;"'!f1"),K82-1,))*1</f>
        <v>54.7361290799453</v>
      </c>
      <c r="DJ82" cm="1">
        <f t="array" aca="1" ref="DJ82" ca="1">IF(ISNA(L82),,OFFSET(INDIRECT("'"&amp;EA$67&amp;"'!f1"),L82-1,))*1</f>
        <v>53.110532948747199</v>
      </c>
      <c r="DK82" cm="1">
        <f t="array" aca="1" ref="DK82" ca="1">IF(ISNA(M82),,OFFSET(INDIRECT("'"&amp;EB$67&amp;"'!f1"),M82-1,))*1</f>
        <v>984.629202810116</v>
      </c>
      <c r="DL82" cm="1">
        <f t="array" aca="1" ref="DL82" ca="1">IF(ISNA(N82),,OFFSET(INDIRECT("'"&amp;EC$67&amp;"'!f1"),N82-1,))*1</f>
        <v>3.9250073023140403E-2</v>
      </c>
      <c r="DM82" cm="1">
        <f t="array" aca="1" ref="DM82" ca="1">IF(ISNA(O82),,OFFSET(INDIRECT("'"&amp;ED$67&amp;"'!f1"),O82-1,))*1</f>
        <v>4.0447033941745703E-2</v>
      </c>
      <c r="DN82" cm="1">
        <f t="array" aca="1" ref="DN82" ca="1">IF(ISNA(P82),,OFFSET(INDIRECT("'"&amp;EE$67&amp;"'!f1"),P82-1,))*1</f>
        <v>0</v>
      </c>
      <c r="DT82">
        <f t="shared" ca="1" si="90"/>
        <v>0</v>
      </c>
      <c r="DU82">
        <f t="shared" ca="1" si="59"/>
        <v>0</v>
      </c>
      <c r="DV82">
        <f t="shared" ca="1" si="59"/>
        <v>0</v>
      </c>
      <c r="DW82">
        <f t="shared" ca="1" si="59"/>
        <v>0</v>
      </c>
      <c r="DX82">
        <f t="shared" ca="1" si="59"/>
        <v>0</v>
      </c>
      <c r="DY82">
        <f t="shared" ca="1" si="59"/>
        <v>0</v>
      </c>
      <c r="DZ82">
        <f t="shared" ca="1" si="59"/>
        <v>0</v>
      </c>
      <c r="EA82">
        <f t="shared" ca="1" si="59"/>
        <v>398</v>
      </c>
      <c r="EB82">
        <f t="shared" ca="1" si="59"/>
        <v>0</v>
      </c>
      <c r="EC82">
        <f t="shared" ca="1" si="59"/>
        <v>0</v>
      </c>
      <c r="ED82">
        <f t="shared" ca="1" si="59"/>
        <v>0</v>
      </c>
      <c r="EE82">
        <f t="shared" ca="1" si="59"/>
        <v>0</v>
      </c>
      <c r="EK82" cm="1">
        <f t="array" aca="1" ref="EK82" ca="1">IF(ISNA(E82),0,OFFSET(INDIRECT("'"&amp;EK$67&amp;"'!g1"),E82-1,)*CL82)</f>
        <v>0</v>
      </c>
      <c r="EL82" cm="1">
        <f t="array" aca="1" ref="EL82" ca="1">IF(ISNA(F82),0,OFFSET(INDIRECT("'"&amp;EL$67&amp;"'!g1"),F82-1,)*CM82)</f>
        <v>0</v>
      </c>
      <c r="EM82" cm="1">
        <f t="array" aca="1" ref="EM82" ca="1">IF(ISNA(G82),0,OFFSET(INDIRECT("'"&amp;EM$67&amp;"'!g1"),G82-1,)*CN82)</f>
        <v>0</v>
      </c>
      <c r="EN82" cm="1">
        <f t="array" aca="1" ref="EN82" ca="1">IF(ISNA(H82),0,OFFSET(INDIRECT("'"&amp;EN$67&amp;"'!g1"),H82-1,)*CO82)</f>
        <v>0</v>
      </c>
      <c r="EO82" cm="1">
        <f t="array" aca="1" ref="EO82" ca="1">IF(ISNA(I82),0,OFFSET(INDIRECT("'"&amp;EO$67&amp;"'!g1"),I82-1,)*CP82)</f>
        <v>0</v>
      </c>
      <c r="EP82" cm="1">
        <f t="array" aca="1" ref="EP82" ca="1">IF(ISNA(J82),0,OFFSET(INDIRECT("'"&amp;EP$67&amp;"'!g1"),J82-1,)*CQ82)</f>
        <v>0</v>
      </c>
      <c r="EQ82" cm="1">
        <f t="array" aca="1" ref="EQ82" ca="1">IF(ISNA(K82),0,OFFSET(INDIRECT("'"&amp;EQ$67&amp;"'!g1"),K82-1,)*CR82)</f>
        <v>0</v>
      </c>
      <c r="ER82" cm="1">
        <f t="array" aca="1" ref="ER82" ca="1">IF(ISNA(L82),0,OFFSET(INDIRECT("'"&amp;ER$67&amp;"'!g1"),L82-1,)*CS82)</f>
        <v>398</v>
      </c>
      <c r="ES82" cm="1">
        <f t="array" aca="1" ref="ES82" ca="1">IF(ISNA(M82),0,OFFSET(INDIRECT("'"&amp;ES$67&amp;"'!g1"),M82-1,)*CT82)</f>
        <v>0</v>
      </c>
      <c r="ET82" cm="1">
        <f t="array" aca="1" ref="ET82" ca="1">IF(ISNA(N82),0,OFFSET(INDIRECT("'"&amp;ET$67&amp;"'!g1"),N82-1,)*CU82)</f>
        <v>0</v>
      </c>
      <c r="EU82" cm="1">
        <f t="array" aca="1" ref="EU82" ca="1">IF(ISNA(O82),0,OFFSET(INDIRECT("'"&amp;EU$67&amp;"'!g1"),O82-1,)*CV82)</f>
        <v>0</v>
      </c>
      <c r="EV82" cm="1">
        <f t="array" aca="1" ref="EV82" ca="1">IF(ISNA(P82),0,OFFSET(INDIRECT("'"&amp;EV$67&amp;"'!g1"),P82-1,)*CW82)</f>
        <v>0</v>
      </c>
      <c r="FB82" s="10" cm="1">
        <f t="array" aca="1" ref="FB82" ca="1">IF(ISNA(E82),0,OFFSET(INDIRECT("'"&amp;EK$67&amp;"'!h1"),E82-1,))</f>
        <v>1</v>
      </c>
      <c r="FC82" s="10" cm="1">
        <f t="array" aca="1" ref="FC82" ca="1">IF(ISNA(F82),0,OFFSET(INDIRECT("'"&amp;EL$67&amp;"'!h1"),F82-1,))</f>
        <v>1</v>
      </c>
      <c r="FD82" s="10" cm="1">
        <f t="array" aca="1" ref="FD82" ca="1">IF(ISNA(G82),0,OFFSET(INDIRECT("'"&amp;EM$67&amp;"'!h1"),G82-1,))</f>
        <v>1</v>
      </c>
      <c r="FE82" s="10" cm="1">
        <f t="array" aca="1" ref="FE82" ca="1">IF(ISNA(H82),0,OFFSET(INDIRECT("'"&amp;EN$67&amp;"'!h1"),H82-1,))</f>
        <v>1</v>
      </c>
      <c r="FF82" s="10" cm="1">
        <f t="array" aca="1" ref="FF82" ca="1">IF(ISNA(I82),0,OFFSET(INDIRECT("'"&amp;EO$67&amp;"'!h1"),I82-1,))</f>
        <v>1</v>
      </c>
      <c r="FG82" s="10" cm="1">
        <f t="array" aca="1" ref="FG82" ca="1">IF(ISNA(J82),0,OFFSET(INDIRECT("'"&amp;EP$67&amp;"'!h1"),J82-1,))</f>
        <v>1</v>
      </c>
      <c r="FH82" s="10" cm="1">
        <f t="array" aca="1" ref="FH82" ca="1">IF(ISNA(K82),0,OFFSET(INDIRECT("'"&amp;EQ$67&amp;"'!h1"),K82-1,))</f>
        <v>10000</v>
      </c>
      <c r="FI82" s="10" cm="1">
        <f t="array" aca="1" ref="FI82" ca="1">IF(ISNA(L82),0,OFFSET(INDIRECT("'"&amp;ER$67&amp;"'!h1"),L82-1,))</f>
        <v>10000</v>
      </c>
      <c r="FJ82" s="10" cm="1">
        <f t="array" aca="1" ref="FJ82" ca="1">IF(ISNA(M82),0,OFFSET(INDIRECT("'"&amp;ES$67&amp;"'!h1"),M82-1,))</f>
        <v>10000</v>
      </c>
      <c r="FK82" s="10" cm="1">
        <f t="array" aca="1" ref="FK82" ca="1">IF(ISNA(N82),0,OFFSET(INDIRECT("'"&amp;ET$67&amp;"'!h1"),N82-1,))</f>
        <v>1</v>
      </c>
      <c r="FL82" s="10" cm="1">
        <f t="array" aca="1" ref="FL82" ca="1">IF(ISNA(O82),0,OFFSET(INDIRECT("'"&amp;EU$67&amp;"'!h1"),O82-1,))</f>
        <v>1</v>
      </c>
      <c r="FM82" s="10" cm="1">
        <f t="array" aca="1" ref="FM82" ca="1">IF(ISNA(P82),0,OFFSET(INDIRECT("'"&amp;EV$67&amp;"'!h1"),P82-1,))</f>
        <v>0</v>
      </c>
      <c r="FN82" s="10"/>
      <c r="FO82" s="10"/>
      <c r="FP82" s="10"/>
      <c r="FQ82" s="10"/>
      <c r="FS82">
        <f t="shared" ca="1" si="91"/>
        <v>504</v>
      </c>
      <c r="FT82">
        <f t="shared" ca="1" si="92"/>
        <v>54.7361290799453</v>
      </c>
      <c r="FU82">
        <f t="shared" ca="1" si="93"/>
        <v>0</v>
      </c>
      <c r="FV82">
        <f t="shared" ca="1" si="94"/>
        <v>10000</v>
      </c>
      <c r="FW82" s="4">
        <f t="shared" ca="1" si="95"/>
        <v>0</v>
      </c>
      <c r="FX82" s="5" t="e">
        <f t="shared" ca="1" si="96"/>
        <v>#N/A</v>
      </c>
      <c r="FZ82" s="13">
        <f t="shared" ca="1" si="60"/>
        <v>504</v>
      </c>
      <c r="GA82" s="22">
        <f t="shared" ca="1" si="97"/>
        <v>0.4358974358974359</v>
      </c>
      <c r="GB82" s="22">
        <f t="shared" ca="1" si="61"/>
        <v>0.38461538461538464</v>
      </c>
      <c r="GC82" s="22">
        <f t="shared" ca="1" si="62"/>
        <v>0.4358974358974359</v>
      </c>
      <c r="GD82" s="22" t="e">
        <f t="shared" ca="1" si="63"/>
        <v>#N/A</v>
      </c>
      <c r="GE82" s="22">
        <f t="shared" ca="1" si="64"/>
        <v>0.53846153846153844</v>
      </c>
      <c r="GF82" s="22">
        <f t="shared" ca="1" si="65"/>
        <v>0.28205128205128205</v>
      </c>
      <c r="GG82" s="22">
        <f t="shared" ca="1" si="66"/>
        <v>0.48717948717948717</v>
      </c>
      <c r="GH82" s="22">
        <f t="shared" ca="1" si="67"/>
        <v>0</v>
      </c>
      <c r="GI82" s="22">
        <f t="shared" ca="1" si="68"/>
        <v>0.69230769230769229</v>
      </c>
      <c r="GJ82" s="22" t="e">
        <f t="shared" ca="1" si="69"/>
        <v>#N/A</v>
      </c>
      <c r="GK82" s="22" t="e">
        <f t="shared" ca="1" si="70"/>
        <v>#N/A</v>
      </c>
      <c r="GL82" s="22" t="e">
        <f t="shared" ca="1" si="71"/>
        <v>#N/A</v>
      </c>
      <c r="GM82" s="22"/>
      <c r="GN82">
        <f t="shared" ca="1" si="98"/>
        <v>504</v>
      </c>
      <c r="GO82" s="5" t="e">
        <f t="shared" ca="1" si="99"/>
        <v>#N/A</v>
      </c>
      <c r="GP82" s="5" t="e">
        <f t="shared" ca="1" si="72"/>
        <v>#N/A</v>
      </c>
      <c r="GQ82" s="5" t="e">
        <f t="shared" ca="1" si="72"/>
        <v>#N/A</v>
      </c>
      <c r="GR82" s="5" t="e">
        <f t="shared" ca="1" si="72"/>
        <v>#N/A</v>
      </c>
      <c r="GS82" s="5" t="e">
        <f t="shared" ca="1" si="72"/>
        <v>#N/A</v>
      </c>
      <c r="GT82" s="5" t="e">
        <f t="shared" ca="1" si="100"/>
        <v>#N/A</v>
      </c>
      <c r="GU82" s="5" t="e">
        <f t="shared" ca="1" si="73"/>
        <v>#N/A</v>
      </c>
      <c r="GV82" s="5">
        <f t="shared" ca="1" si="73"/>
        <v>0.13344355012248041</v>
      </c>
      <c r="GW82" s="5" t="e">
        <f t="shared" ca="1" si="73"/>
        <v>#N/A</v>
      </c>
      <c r="GX82" s="5" t="e">
        <f t="shared" ca="1" si="73"/>
        <v>#N/A</v>
      </c>
      <c r="GY82" s="5" t="e">
        <f t="shared" ca="1" si="73"/>
        <v>#N/A</v>
      </c>
      <c r="GZ82" s="5" t="e">
        <f t="shared" ca="1" si="73"/>
        <v>#N/A</v>
      </c>
      <c r="HB82" s="13">
        <f t="shared" ca="1" si="74"/>
        <v>504</v>
      </c>
      <c r="HC82" s="4">
        <f t="shared" ca="1" si="101"/>
        <v>0</v>
      </c>
      <c r="HD82" s="4">
        <f t="shared" ca="1" si="75"/>
        <v>0</v>
      </c>
      <c r="HE82" s="4">
        <f t="shared" ca="1" si="76"/>
        <v>0</v>
      </c>
      <c r="HF82" s="4">
        <f t="shared" ca="1" si="77"/>
        <v>0</v>
      </c>
      <c r="HG82" s="4">
        <f t="shared" ca="1" si="78"/>
        <v>0</v>
      </c>
      <c r="HH82" s="4">
        <f t="shared" ca="1" si="79"/>
        <v>0</v>
      </c>
      <c r="HI82" s="4">
        <f t="shared" ca="1" si="80"/>
        <v>0</v>
      </c>
      <c r="HJ82" s="4">
        <f t="shared" ca="1" si="81"/>
        <v>3.9800000000000002E-2</v>
      </c>
      <c r="HK82" s="4">
        <f t="shared" ca="1" si="82"/>
        <v>0</v>
      </c>
      <c r="HL82" s="4">
        <f t="shared" ca="1" si="83"/>
        <v>0</v>
      </c>
      <c r="HM82" s="4">
        <f t="shared" ca="1" si="84"/>
        <v>0</v>
      </c>
      <c r="HN82" s="4">
        <f t="shared" ca="1" si="85"/>
        <v>0</v>
      </c>
    </row>
    <row r="83" spans="1:222" x14ac:dyDescent="0.2">
      <c r="A83" t="str" cm="1">
        <f t="array" aca="1" ref="A83" ca="1">INDIRECT($A$67&amp;"!A"&amp;ROW(C16)+$B$64)</f>
        <v>540_4_40</v>
      </c>
      <c r="B83" cm="1">
        <f t="array" aca="1" ref="B83" ca="1">INDIRECT($A$67&amp;"!b"&amp;ROW(D16)+$B$64)</f>
        <v>540</v>
      </c>
      <c r="C83">
        <f t="shared" ca="1" si="86"/>
        <v>39</v>
      </c>
      <c r="E83">
        <f t="shared" ca="1" si="53"/>
        <v>43</v>
      </c>
      <c r="F83">
        <f t="shared" ca="1" si="53"/>
        <v>44</v>
      </c>
      <c r="G83">
        <f t="shared" ca="1" si="53"/>
        <v>40</v>
      </c>
      <c r="H83">
        <f t="shared" ca="1" si="53"/>
        <v>37</v>
      </c>
      <c r="I83">
        <f t="shared" ca="1" si="53"/>
        <v>49</v>
      </c>
      <c r="J83">
        <f t="shared" ca="1" si="53"/>
        <v>44</v>
      </c>
      <c r="K83">
        <f t="shared" ca="1" si="53"/>
        <v>47</v>
      </c>
      <c r="L83">
        <f t="shared" ca="1" si="53"/>
        <v>49</v>
      </c>
      <c r="M83">
        <f t="shared" ca="1" si="53"/>
        <v>50</v>
      </c>
      <c r="N83">
        <f t="shared" ca="1" si="53"/>
        <v>44</v>
      </c>
      <c r="O83">
        <f t="shared" ca="1" si="53"/>
        <v>44</v>
      </c>
      <c r="P83" t="e">
        <f t="shared" ca="1" si="53"/>
        <v>#N/A</v>
      </c>
      <c r="V83" cm="1">
        <f t="array" aca="1" ref="V83" ca="1">IF(ISNA(E83),,OFFSET(INDIRECT("'"&amp;V$67&amp;"'!d1"),E83-1,))</f>
        <v>59</v>
      </c>
      <c r="W83" cm="1">
        <f t="array" aca="1" ref="W83" ca="1">IF(ISNA(F83),,OFFSET(INDIRECT("'"&amp;W$67&amp;"'!d1"),F83-1,))</f>
        <v>67</v>
      </c>
      <c r="X83" cm="1">
        <f t="array" aca="1" ref="X83" ca="1">IF(ISNA(G83),,OFFSET(INDIRECT("'"&amp;X$67&amp;"'!d1"),G83-1,))</f>
        <v>161</v>
      </c>
      <c r="Y83" cm="1">
        <f t="array" aca="1" ref="Y83" ca="1">IF(ISNA(H83),,OFFSET(INDIRECT("'"&amp;Y$67&amp;"'!d1"),H83-1,))</f>
        <v>0</v>
      </c>
      <c r="Z83" cm="1">
        <f t="array" aca="1" ref="Z83" ca="1">IF(ISNA(I83),,OFFSET(INDIRECT("'"&amp;Z$67&amp;"'!d1"),I83-1,))</f>
        <v>50</v>
      </c>
      <c r="AA83" cm="1">
        <f t="array" aca="1" ref="AA83" ca="1">IF(ISNA(J83),,OFFSET(INDIRECT("'"&amp;AA$67&amp;"'!d1"),J83-1,))</f>
        <v>48</v>
      </c>
      <c r="AB83" cm="1">
        <f t="array" aca="1" ref="AB83" ca="1">IF(ISNA(K83),,OFFSET(INDIRECT("'"&amp;AB$67&amp;"'!d1"),K83-1,))</f>
        <v>63</v>
      </c>
      <c r="AC83" cm="1">
        <f t="array" aca="1" ref="AC83" ca="1">IF(ISNA(L83),,OFFSET(INDIRECT("'"&amp;AC$67&amp;"'!d1"),L83-1,))</f>
        <v>53</v>
      </c>
      <c r="AD83" cm="1">
        <f t="array" aca="1" ref="AD83" ca="1">IF(ISNA(M83),,OFFSET(INDIRECT("'"&amp;AD$67&amp;"'!d1"),M83-1,))</f>
        <v>60</v>
      </c>
      <c r="AE83" cm="1">
        <f t="array" aca="1" ref="AE83" ca="1">IF(ISNA(N83),,OFFSET(INDIRECT("'"&amp;AE$67&amp;"'!d1"),N83-1,))</f>
        <v>0</v>
      </c>
      <c r="AF83" cm="1">
        <f t="array" aca="1" ref="AF83" ca="1">IF(ISNA(O83),,OFFSET(INDIRECT("'"&amp;AF$67&amp;"'!d1"),O83-1,))</f>
        <v>0</v>
      </c>
      <c r="AG83" cm="1">
        <f t="array" aca="1" ref="AG83" ca="1">IF(ISNA(P83),,OFFSET(INDIRECT("'"&amp;AG$67&amp;"'!d1"),P83-1,))</f>
        <v>0</v>
      </c>
      <c r="AM83">
        <f t="shared" ca="1" si="87"/>
        <v>0</v>
      </c>
      <c r="AN83">
        <f t="shared" ca="1" si="54"/>
        <v>0</v>
      </c>
      <c r="AO83">
        <f t="shared" ca="1" si="54"/>
        <v>0</v>
      </c>
      <c r="AP83">
        <f t="shared" ca="1" si="54"/>
        <v>0</v>
      </c>
      <c r="AQ83">
        <f t="shared" ca="1" si="88"/>
        <v>0</v>
      </c>
      <c r="AV83" t="str">
        <f t="shared" ca="1" si="89"/>
        <v/>
      </c>
      <c r="AW83" t="str">
        <f t="shared" ca="1" si="55"/>
        <v/>
      </c>
      <c r="AX83" t="str">
        <f t="shared" ca="1" si="55"/>
        <v/>
      </c>
      <c r="AY83" t="str">
        <f t="shared" ca="1" si="55"/>
        <v/>
      </c>
      <c r="AZ83" t="str">
        <f t="shared" ca="1" si="55"/>
        <v/>
      </c>
      <c r="BD83">
        <f t="shared" ca="1" si="56"/>
        <v>1</v>
      </c>
      <c r="BE83">
        <f t="shared" ca="1" si="56"/>
        <v>1</v>
      </c>
      <c r="BF83">
        <f t="shared" ca="1" si="56"/>
        <v>1</v>
      </c>
      <c r="BG83">
        <f t="shared" ca="1" si="56"/>
        <v>0</v>
      </c>
      <c r="BH83">
        <f t="shared" ca="1" si="56"/>
        <v>1</v>
      </c>
      <c r="BI83">
        <f t="shared" ca="1" si="56"/>
        <v>1</v>
      </c>
      <c r="BJ83">
        <f t="shared" ca="1" si="56"/>
        <v>1</v>
      </c>
      <c r="BK83">
        <f t="shared" ca="1" si="56"/>
        <v>1</v>
      </c>
      <c r="BL83">
        <f t="shared" ca="1" si="56"/>
        <v>1</v>
      </c>
      <c r="BM83">
        <f t="shared" ca="1" si="56"/>
        <v>0</v>
      </c>
      <c r="BN83">
        <f t="shared" ca="1" si="56"/>
        <v>0</v>
      </c>
      <c r="BO83">
        <f t="shared" ca="1" si="56"/>
        <v>0</v>
      </c>
      <c r="BU83">
        <f t="shared" ca="1" si="57"/>
        <v>59</v>
      </c>
      <c r="BV83">
        <f t="shared" ca="1" si="57"/>
        <v>67</v>
      </c>
      <c r="BW83">
        <f t="shared" ca="1" si="57"/>
        <v>161</v>
      </c>
      <c r="BX83">
        <f t="shared" ca="1" si="57"/>
        <v>540</v>
      </c>
      <c r="BY83">
        <f t="shared" ca="1" si="57"/>
        <v>50</v>
      </c>
      <c r="BZ83">
        <f t="shared" ca="1" si="57"/>
        <v>48</v>
      </c>
      <c r="CA83">
        <f t="shared" ca="1" si="57"/>
        <v>63</v>
      </c>
      <c r="CB83">
        <f t="shared" ca="1" si="57"/>
        <v>53</v>
      </c>
      <c r="CC83">
        <f t="shared" ca="1" si="57"/>
        <v>60</v>
      </c>
      <c r="CD83">
        <f t="shared" ca="1" si="57"/>
        <v>540</v>
      </c>
      <c r="CE83">
        <f t="shared" ca="1" si="57"/>
        <v>540</v>
      </c>
      <c r="CF83">
        <f t="shared" ca="1" si="57"/>
        <v>540</v>
      </c>
      <c r="CL83">
        <f t="shared" ca="1" si="58"/>
        <v>0</v>
      </c>
      <c r="CM83">
        <f t="shared" ca="1" si="58"/>
        <v>0</v>
      </c>
      <c r="CN83">
        <f t="shared" ca="1" si="58"/>
        <v>0</v>
      </c>
      <c r="CO83">
        <f t="shared" ca="1" si="58"/>
        <v>0</v>
      </c>
      <c r="CP83">
        <f t="shared" ca="1" si="58"/>
        <v>0</v>
      </c>
      <c r="CQ83">
        <f t="shared" ca="1" si="58"/>
        <v>0</v>
      </c>
      <c r="CR83">
        <f t="shared" ca="1" si="58"/>
        <v>0</v>
      </c>
      <c r="CS83">
        <f t="shared" ca="1" si="58"/>
        <v>0</v>
      </c>
      <c r="CT83">
        <f t="shared" ca="1" si="58"/>
        <v>0</v>
      </c>
      <c r="CU83">
        <f t="shared" ca="1" si="58"/>
        <v>0</v>
      </c>
      <c r="CV83">
        <f t="shared" ca="1" si="58"/>
        <v>0</v>
      </c>
      <c r="CW83">
        <f t="shared" ca="1" si="58"/>
        <v>0</v>
      </c>
      <c r="DC83" cm="1">
        <f t="array" aca="1" ref="DC83" ca="1">IF(ISNA(E83),,OFFSET(INDIRECT("'"&amp;DT$67&amp;"'!f1"),E83-1,))*1</f>
        <v>28998.753445826402</v>
      </c>
      <c r="DD83" cm="1">
        <f t="array" aca="1" ref="DD83" ca="1">IF(ISNA(F83),,OFFSET(INDIRECT("'"&amp;DU$67&amp;"'!f1"),F83-1,))*1</f>
        <v>28812.1289294585</v>
      </c>
      <c r="DE83" cm="1">
        <f t="array" aca="1" ref="DE83" ca="1">IF(ISNA(G83),,OFFSET(INDIRECT("'"&amp;DV$67&amp;"'!f1"),G83-1,))*1</f>
        <v>28800.270125373201</v>
      </c>
      <c r="DF83" cm="1">
        <f t="array" aca="1" ref="DF83" ca="1">IF(ISNA(H83),,OFFSET(INDIRECT("'"&amp;DW$67&amp;"'!f1"),H83-1,))*1</f>
        <v>28800.111200592401</v>
      </c>
      <c r="DG83" cm="1">
        <f t="array" aca="1" ref="DG83" ca="1">IF(ISNA(I83),,OFFSET(INDIRECT("'"&amp;DX$67&amp;"'!f1"),I83-1,))*1</f>
        <v>28801.724499083</v>
      </c>
      <c r="DH83" cm="1">
        <f t="array" aca="1" ref="DH83" ca="1">IF(ISNA(J83),,OFFSET(INDIRECT("'"&amp;DY$67&amp;"'!f1"),J83-1,))*1</f>
        <v>5.6620098277926401</v>
      </c>
      <c r="DI83" cm="1">
        <f t="array" aca="1" ref="DI83" ca="1">IF(ISNA(K83),,OFFSET(INDIRECT("'"&amp;DZ$67&amp;"'!f1"),K83-1,))*1</f>
        <v>66.789092605933504</v>
      </c>
      <c r="DJ83" cm="1">
        <f t="array" aca="1" ref="DJ83" ca="1">IF(ISNA(L83),,OFFSET(INDIRECT("'"&amp;EA$67&amp;"'!f1"),L83-1,))*1</f>
        <v>63.657829062081802</v>
      </c>
      <c r="DK83" cm="1">
        <f t="array" aca="1" ref="DK83" ca="1">IF(ISNA(M83),,OFFSET(INDIRECT("'"&amp;EB$67&amp;"'!f1"),M83-1,))*1</f>
        <v>1204.19670287705</v>
      </c>
      <c r="DL83" cm="1">
        <f t="array" aca="1" ref="DL83" ca="1">IF(ISNA(N83),,OFFSET(INDIRECT("'"&amp;EC$67&amp;"'!f1"),N83-1,))*1</f>
        <v>4.6789961867034401E-2</v>
      </c>
      <c r="DM83" cm="1">
        <f t="array" aca="1" ref="DM83" ca="1">IF(ISNA(O83),,OFFSET(INDIRECT("'"&amp;ED$67&amp;"'!f1"),O83-1,))*1</f>
        <v>4.8691255971789298E-2</v>
      </c>
      <c r="DN83" cm="1">
        <f t="array" aca="1" ref="DN83" ca="1">IF(ISNA(P83),,OFFSET(INDIRECT("'"&amp;EE$67&amp;"'!f1"),P83-1,))*1</f>
        <v>0</v>
      </c>
      <c r="DT83">
        <f t="shared" ca="1" si="90"/>
        <v>0</v>
      </c>
      <c r="DU83">
        <f t="shared" ca="1" si="59"/>
        <v>0</v>
      </c>
      <c r="DV83">
        <f t="shared" ca="1" si="59"/>
        <v>0</v>
      </c>
      <c r="DW83">
        <f t="shared" ca="1" si="59"/>
        <v>0</v>
      </c>
      <c r="DX83">
        <f t="shared" ca="1" si="59"/>
        <v>0</v>
      </c>
      <c r="DY83">
        <f t="shared" ca="1" si="59"/>
        <v>0</v>
      </c>
      <c r="DZ83">
        <f t="shared" ca="1" si="59"/>
        <v>0</v>
      </c>
      <c r="EA83">
        <f t="shared" ca="1" si="59"/>
        <v>0</v>
      </c>
      <c r="EB83">
        <f t="shared" ca="1" si="59"/>
        <v>0</v>
      </c>
      <c r="EC83">
        <f t="shared" ca="1" si="59"/>
        <v>0</v>
      </c>
      <c r="ED83">
        <f t="shared" ca="1" si="59"/>
        <v>0</v>
      </c>
      <c r="EE83">
        <f t="shared" ca="1" si="59"/>
        <v>0</v>
      </c>
      <c r="EK83" cm="1">
        <f t="array" aca="1" ref="EK83" ca="1">IF(ISNA(E83),0,OFFSET(INDIRECT("'"&amp;EK$67&amp;"'!g1"),E83-1,)*CL83)</f>
        <v>0</v>
      </c>
      <c r="EL83" cm="1">
        <f t="array" aca="1" ref="EL83" ca="1">IF(ISNA(F83),0,OFFSET(INDIRECT("'"&amp;EL$67&amp;"'!g1"),F83-1,)*CM83)</f>
        <v>0</v>
      </c>
      <c r="EM83" cm="1">
        <f t="array" aca="1" ref="EM83" ca="1">IF(ISNA(G83),0,OFFSET(INDIRECT("'"&amp;EM$67&amp;"'!g1"),G83-1,)*CN83)</f>
        <v>0</v>
      </c>
      <c r="EN83" cm="1">
        <f t="array" aca="1" ref="EN83" ca="1">IF(ISNA(H83),0,OFFSET(INDIRECT("'"&amp;EN$67&amp;"'!g1"),H83-1,)*CO83)</f>
        <v>0</v>
      </c>
      <c r="EO83" cm="1">
        <f t="array" aca="1" ref="EO83" ca="1">IF(ISNA(I83),0,OFFSET(INDIRECT("'"&amp;EO$67&amp;"'!g1"),I83-1,)*CP83)</f>
        <v>0</v>
      </c>
      <c r="EP83" cm="1">
        <f t="array" aca="1" ref="EP83" ca="1">IF(ISNA(J83),0,OFFSET(INDIRECT("'"&amp;EP$67&amp;"'!g1"),J83-1,)*CQ83)</f>
        <v>0</v>
      </c>
      <c r="EQ83" cm="1">
        <f t="array" aca="1" ref="EQ83" ca="1">IF(ISNA(K83),0,OFFSET(INDIRECT("'"&amp;EQ$67&amp;"'!g1"),K83-1,)*CR83)</f>
        <v>0</v>
      </c>
      <c r="ER83" cm="1">
        <f t="array" aca="1" ref="ER83" ca="1">IF(ISNA(L83),0,OFFSET(INDIRECT("'"&amp;ER$67&amp;"'!g1"),L83-1,)*CS83)</f>
        <v>0</v>
      </c>
      <c r="ES83" cm="1">
        <f t="array" aca="1" ref="ES83" ca="1">IF(ISNA(M83),0,OFFSET(INDIRECT("'"&amp;ES$67&amp;"'!g1"),M83-1,)*CT83)</f>
        <v>0</v>
      </c>
      <c r="ET83" cm="1">
        <f t="array" aca="1" ref="ET83" ca="1">IF(ISNA(N83),0,OFFSET(INDIRECT("'"&amp;ET$67&amp;"'!g1"),N83-1,)*CU83)</f>
        <v>0</v>
      </c>
      <c r="EU83" cm="1">
        <f t="array" aca="1" ref="EU83" ca="1">IF(ISNA(O83),0,OFFSET(INDIRECT("'"&amp;EU$67&amp;"'!g1"),O83-1,)*CV83)</f>
        <v>0</v>
      </c>
      <c r="EV83" cm="1">
        <f t="array" aca="1" ref="EV83" ca="1">IF(ISNA(P83),0,OFFSET(INDIRECT("'"&amp;EV$67&amp;"'!g1"),P83-1,)*CW83)</f>
        <v>0</v>
      </c>
      <c r="FB83" s="10" cm="1">
        <f t="array" aca="1" ref="FB83" ca="1">IF(ISNA(E83),0,OFFSET(INDIRECT("'"&amp;EK$67&amp;"'!h1"),E83-1,))</f>
        <v>1</v>
      </c>
      <c r="FC83" s="10" cm="1">
        <f t="array" aca="1" ref="FC83" ca="1">IF(ISNA(F83),0,OFFSET(INDIRECT("'"&amp;EL$67&amp;"'!h1"),F83-1,))</f>
        <v>1</v>
      </c>
      <c r="FD83" s="10" cm="1">
        <f t="array" aca="1" ref="FD83" ca="1">IF(ISNA(G83),0,OFFSET(INDIRECT("'"&amp;EM$67&amp;"'!h1"),G83-1,))</f>
        <v>1</v>
      </c>
      <c r="FE83" s="10" cm="1">
        <f t="array" aca="1" ref="FE83" ca="1">IF(ISNA(H83),0,OFFSET(INDIRECT("'"&amp;EN$67&amp;"'!h1"),H83-1,))</f>
        <v>1</v>
      </c>
      <c r="FF83" s="10" cm="1">
        <f t="array" aca="1" ref="FF83" ca="1">IF(ISNA(I83),0,OFFSET(INDIRECT("'"&amp;EO$67&amp;"'!h1"),I83-1,))</f>
        <v>1</v>
      </c>
      <c r="FG83" s="10" cm="1">
        <f t="array" aca="1" ref="FG83" ca="1">IF(ISNA(J83),0,OFFSET(INDIRECT("'"&amp;EP$67&amp;"'!h1"),J83-1,))</f>
        <v>1</v>
      </c>
      <c r="FH83" s="10" cm="1">
        <f t="array" aca="1" ref="FH83" ca="1">IF(ISNA(K83),0,OFFSET(INDIRECT("'"&amp;EQ$67&amp;"'!h1"),K83-1,))</f>
        <v>10000</v>
      </c>
      <c r="FI83" s="10" cm="1">
        <f t="array" aca="1" ref="FI83" ca="1">IF(ISNA(L83),0,OFFSET(INDIRECT("'"&amp;ER$67&amp;"'!h1"),L83-1,))</f>
        <v>10000</v>
      </c>
      <c r="FJ83" s="10" cm="1">
        <f t="array" aca="1" ref="FJ83" ca="1">IF(ISNA(M83),0,OFFSET(INDIRECT("'"&amp;ES$67&amp;"'!h1"),M83-1,))</f>
        <v>10000</v>
      </c>
      <c r="FK83" s="10" cm="1">
        <f t="array" aca="1" ref="FK83" ca="1">IF(ISNA(N83),0,OFFSET(INDIRECT("'"&amp;ET$67&amp;"'!h1"),N83-1,))</f>
        <v>1</v>
      </c>
      <c r="FL83" s="10" cm="1">
        <f t="array" aca="1" ref="FL83" ca="1">IF(ISNA(O83),0,OFFSET(INDIRECT("'"&amp;EU$67&amp;"'!h1"),O83-1,))</f>
        <v>1</v>
      </c>
      <c r="FM83" s="10" cm="1">
        <f t="array" aca="1" ref="FM83" ca="1">IF(ISNA(P83),0,OFFSET(INDIRECT("'"&amp;EV$67&amp;"'!h1"),P83-1,))</f>
        <v>0</v>
      </c>
      <c r="FN83" s="10"/>
      <c r="FO83" s="10"/>
      <c r="FP83" s="10"/>
      <c r="FQ83" s="10"/>
      <c r="FS83">
        <f t="shared" ca="1" si="91"/>
        <v>540</v>
      </c>
      <c r="FT83">
        <f t="shared" ca="1" si="92"/>
        <v>66.789092605933504</v>
      </c>
      <c r="FU83">
        <f t="shared" ca="1" si="93"/>
        <v>0</v>
      </c>
      <c r="FV83">
        <f t="shared" ca="1" si="94"/>
        <v>10000</v>
      </c>
      <c r="FW83" s="4">
        <f t="shared" ca="1" si="95"/>
        <v>0</v>
      </c>
      <c r="FX83" s="5" t="e">
        <f t="shared" ca="1" si="96"/>
        <v>#N/A</v>
      </c>
      <c r="FZ83" s="13">
        <f t="shared" ca="1" si="60"/>
        <v>540</v>
      </c>
      <c r="GA83" s="22">
        <f t="shared" ca="1" si="97"/>
        <v>0.51282051282051277</v>
      </c>
      <c r="GB83" s="22">
        <f t="shared" ca="1" si="61"/>
        <v>0.71794871794871795</v>
      </c>
      <c r="GC83" s="22">
        <f t="shared" ca="1" si="62"/>
        <v>3.1282051282051282</v>
      </c>
      <c r="GD83" s="22" t="e">
        <f t="shared" ca="1" si="63"/>
        <v>#N/A</v>
      </c>
      <c r="GE83" s="22">
        <f t="shared" ca="1" si="64"/>
        <v>0.28205128205128205</v>
      </c>
      <c r="GF83" s="22">
        <f t="shared" ca="1" si="65"/>
        <v>0.23076923076923078</v>
      </c>
      <c r="GG83" s="22">
        <f t="shared" ca="1" si="66"/>
        <v>0.61538461538461542</v>
      </c>
      <c r="GH83" s="22">
        <f t="shared" ca="1" si="67"/>
        <v>0.35897435897435898</v>
      </c>
      <c r="GI83" s="22">
        <f t="shared" ca="1" si="68"/>
        <v>0.53846153846153844</v>
      </c>
      <c r="GJ83" s="22" t="e">
        <f t="shared" ca="1" si="69"/>
        <v>#N/A</v>
      </c>
      <c r="GK83" s="22" t="e">
        <f t="shared" ca="1" si="70"/>
        <v>#N/A</v>
      </c>
      <c r="GL83" s="22" t="e">
        <f t="shared" ca="1" si="71"/>
        <v>#N/A</v>
      </c>
      <c r="GM83" s="22"/>
      <c r="GN83">
        <f t="shared" ca="1" si="98"/>
        <v>540</v>
      </c>
      <c r="GO83" s="5" t="e">
        <f t="shared" ca="1" si="99"/>
        <v>#N/A</v>
      </c>
      <c r="GP83" s="5" t="e">
        <f t="shared" ca="1" si="72"/>
        <v>#N/A</v>
      </c>
      <c r="GQ83" s="5" t="e">
        <f t="shared" ca="1" si="72"/>
        <v>#N/A</v>
      </c>
      <c r="GR83" s="5" t="e">
        <f t="shared" ca="1" si="72"/>
        <v>#N/A</v>
      </c>
      <c r="GS83" s="5" t="e">
        <f t="shared" ca="1" si="72"/>
        <v>#N/A</v>
      </c>
      <c r="GT83" s="5" t="e">
        <f t="shared" ca="1" si="100"/>
        <v>#N/A</v>
      </c>
      <c r="GU83" s="5" t="e">
        <f t="shared" ca="1" si="73"/>
        <v>#N/A</v>
      </c>
      <c r="GV83" s="5" t="e">
        <f t="shared" ca="1" si="73"/>
        <v>#N/A</v>
      </c>
      <c r="GW83" s="5" t="e">
        <f t="shared" ca="1" si="73"/>
        <v>#N/A</v>
      </c>
      <c r="GX83" s="5" t="e">
        <f t="shared" ca="1" si="73"/>
        <v>#N/A</v>
      </c>
      <c r="GY83" s="5" t="e">
        <f t="shared" ca="1" si="73"/>
        <v>#N/A</v>
      </c>
      <c r="GZ83" s="5" t="e">
        <f t="shared" ca="1" si="73"/>
        <v>#N/A</v>
      </c>
      <c r="HB83" s="13">
        <f t="shared" ca="1" si="74"/>
        <v>540</v>
      </c>
      <c r="HC83" s="4">
        <f t="shared" ca="1" si="101"/>
        <v>0</v>
      </c>
      <c r="HD83" s="4">
        <f t="shared" ca="1" si="75"/>
        <v>0</v>
      </c>
      <c r="HE83" s="4">
        <f t="shared" ca="1" si="76"/>
        <v>0</v>
      </c>
      <c r="HF83" s="4">
        <f t="shared" ca="1" si="77"/>
        <v>0</v>
      </c>
      <c r="HG83" s="4">
        <f t="shared" ca="1" si="78"/>
        <v>0</v>
      </c>
      <c r="HH83" s="4">
        <f t="shared" ca="1" si="79"/>
        <v>0</v>
      </c>
      <c r="HI83" s="4">
        <f t="shared" ca="1" si="80"/>
        <v>0</v>
      </c>
      <c r="HJ83" s="4">
        <f t="shared" ca="1" si="81"/>
        <v>0</v>
      </c>
      <c r="HK83" s="4">
        <f t="shared" ca="1" si="82"/>
        <v>0</v>
      </c>
      <c r="HL83" s="4">
        <f t="shared" ca="1" si="83"/>
        <v>0</v>
      </c>
      <c r="HM83" s="4">
        <f t="shared" ca="1" si="84"/>
        <v>0</v>
      </c>
      <c r="HN83" s="4">
        <f t="shared" ca="1" si="85"/>
        <v>0</v>
      </c>
    </row>
    <row r="84" spans="1:222" x14ac:dyDescent="0.2">
      <c r="A84" t="str" cm="1">
        <f t="array" aca="1" ref="A84" ca="1">INDIRECT($A$67&amp;"!A"&amp;ROW(C17)+$B$64)</f>
        <v>576_2_57</v>
      </c>
      <c r="B84" cm="1">
        <f t="array" aca="1" ref="B84" ca="1">INDIRECT($A$67&amp;"!b"&amp;ROW(D17)+$B$64)</f>
        <v>576</v>
      </c>
      <c r="C84">
        <f t="shared" ca="1" si="86"/>
        <v>39</v>
      </c>
      <c r="E84">
        <f t="shared" ref="E84:P89" ca="1" si="102">MATCH($A84,INDIRECT("'"&amp;E$67&amp;"'!A:A"),)</f>
        <v>46</v>
      </c>
      <c r="F84">
        <f t="shared" ca="1" si="102"/>
        <v>47</v>
      </c>
      <c r="G84">
        <f t="shared" ca="1" si="102"/>
        <v>44</v>
      </c>
      <c r="H84">
        <f t="shared" ca="1" si="102"/>
        <v>41</v>
      </c>
      <c r="I84">
        <f t="shared" ca="1" si="102"/>
        <v>36</v>
      </c>
      <c r="J84">
        <f t="shared" ca="1" si="102"/>
        <v>45</v>
      </c>
      <c r="K84">
        <f t="shared" ca="1" si="102"/>
        <v>48</v>
      </c>
      <c r="L84">
        <f t="shared" ca="1" si="102"/>
        <v>50</v>
      </c>
      <c r="M84">
        <f t="shared" ca="1" si="102"/>
        <v>51</v>
      </c>
      <c r="N84">
        <f t="shared" ca="1" si="102"/>
        <v>45</v>
      </c>
      <c r="O84">
        <f t="shared" ca="1" si="102"/>
        <v>45</v>
      </c>
      <c r="P84" t="e">
        <f t="shared" ca="1" si="102"/>
        <v>#N/A</v>
      </c>
      <c r="V84" cm="1">
        <f t="array" aca="1" ref="V84" ca="1">IF(ISNA(E84),,OFFSET(INDIRECT("'"&amp;V$67&amp;"'!d1"),E84-1,))</f>
        <v>56</v>
      </c>
      <c r="W84" cm="1">
        <f t="array" aca="1" ref="W84" ca="1">IF(ISNA(F84),,OFFSET(INDIRECT("'"&amp;W$67&amp;"'!d1"),F84-1,))</f>
        <v>61</v>
      </c>
      <c r="X84" cm="1">
        <f t="array" aca="1" ref="X84" ca="1">IF(ISNA(G84),,OFFSET(INDIRECT("'"&amp;X$67&amp;"'!d1"),G84-1,))</f>
        <v>64</v>
      </c>
      <c r="Y84" cm="1">
        <f t="array" aca="1" ref="Y84" ca="1">IF(ISNA(H84),,OFFSET(INDIRECT("'"&amp;Y$67&amp;"'!d1"),H84-1,))</f>
        <v>0</v>
      </c>
      <c r="Z84" cm="1">
        <f t="array" aca="1" ref="Z84" ca="1">IF(ISNA(I84),,OFFSET(INDIRECT("'"&amp;Z$67&amp;"'!d1"),I84-1,))</f>
        <v>66</v>
      </c>
      <c r="AA84" cm="1">
        <f t="array" aca="1" ref="AA84" ca="1">IF(ISNA(J84),,OFFSET(INDIRECT("'"&amp;AA$67&amp;"'!d1"),J84-1,))</f>
        <v>69</v>
      </c>
      <c r="AB84" cm="1">
        <f t="array" aca="1" ref="AB84" ca="1">IF(ISNA(K84),,OFFSET(INDIRECT("'"&amp;AB$67&amp;"'!d1"),K84-1,))</f>
        <v>72</v>
      </c>
      <c r="AC84" cm="1">
        <f t="array" aca="1" ref="AC84" ca="1">IF(ISNA(L84),,OFFSET(INDIRECT("'"&amp;AC$67&amp;"'!d1"),L84-1,))</f>
        <v>55</v>
      </c>
      <c r="AD84" cm="1">
        <f t="array" aca="1" ref="AD84" ca="1">IF(ISNA(M84),,OFFSET(INDIRECT("'"&amp;AD$67&amp;"'!d1"),M84-1,))</f>
        <v>71</v>
      </c>
      <c r="AE84" cm="1">
        <f t="array" aca="1" ref="AE84" ca="1">IF(ISNA(N84),,OFFSET(INDIRECT("'"&amp;AE$67&amp;"'!d1"),N84-1,))</f>
        <v>0</v>
      </c>
      <c r="AF84" cm="1">
        <f t="array" aca="1" ref="AF84" ca="1">IF(ISNA(O84),,OFFSET(INDIRECT("'"&amp;AF$67&amp;"'!d1"),O84-1,))</f>
        <v>0</v>
      </c>
      <c r="AG84" cm="1">
        <f t="array" aca="1" ref="AG84" ca="1">IF(ISNA(P84),,OFFSET(INDIRECT("'"&amp;AG$67&amp;"'!d1"),P84-1,))</f>
        <v>0</v>
      </c>
      <c r="AM84">
        <f t="shared" ca="1" si="87"/>
        <v>0</v>
      </c>
      <c r="AN84">
        <f t="shared" ca="1" si="87"/>
        <v>0</v>
      </c>
      <c r="AO84">
        <f t="shared" ca="1" si="87"/>
        <v>0</v>
      </c>
      <c r="AP84">
        <f t="shared" ca="1" si="87"/>
        <v>0</v>
      </c>
      <c r="AQ84">
        <f t="shared" ca="1" si="88"/>
        <v>0</v>
      </c>
      <c r="AV84" t="str">
        <f t="shared" ca="1" si="89"/>
        <v/>
      </c>
      <c r="AW84" t="str">
        <f t="shared" ca="1" si="55"/>
        <v/>
      </c>
      <c r="AX84" t="str">
        <f t="shared" ca="1" si="55"/>
        <v/>
      </c>
      <c r="AY84" t="str">
        <f t="shared" ca="1" si="55"/>
        <v/>
      </c>
      <c r="AZ84" t="str">
        <f t="shared" ca="1" si="55"/>
        <v/>
      </c>
      <c r="BD84">
        <f t="shared" ca="1" si="56"/>
        <v>1</v>
      </c>
      <c r="BE84">
        <f t="shared" ca="1" si="56"/>
        <v>1</v>
      </c>
      <c r="BF84">
        <f t="shared" ca="1" si="56"/>
        <v>1</v>
      </c>
      <c r="BG84">
        <f t="shared" ca="1" si="56"/>
        <v>0</v>
      </c>
      <c r="BH84">
        <f t="shared" ca="1" si="56"/>
        <v>1</v>
      </c>
      <c r="BI84">
        <f t="shared" ca="1" si="56"/>
        <v>1</v>
      </c>
      <c r="BJ84">
        <f t="shared" ca="1" si="56"/>
        <v>1</v>
      </c>
      <c r="BK84">
        <f t="shared" ca="1" si="56"/>
        <v>1</v>
      </c>
      <c r="BL84">
        <f t="shared" ca="1" si="56"/>
        <v>1</v>
      </c>
      <c r="BM84">
        <f t="shared" ca="1" si="56"/>
        <v>0</v>
      </c>
      <c r="BN84">
        <f t="shared" ca="1" si="56"/>
        <v>0</v>
      </c>
      <c r="BO84">
        <f t="shared" ca="1" si="56"/>
        <v>0</v>
      </c>
      <c r="BU84">
        <f t="shared" ca="1" si="57"/>
        <v>56</v>
      </c>
      <c r="BV84">
        <f t="shared" ca="1" si="57"/>
        <v>61</v>
      </c>
      <c r="BW84">
        <f t="shared" ca="1" si="57"/>
        <v>64</v>
      </c>
      <c r="BX84">
        <f t="shared" ca="1" si="57"/>
        <v>576</v>
      </c>
      <c r="BY84">
        <f t="shared" ca="1" si="57"/>
        <v>66</v>
      </c>
      <c r="BZ84">
        <f t="shared" ca="1" si="57"/>
        <v>69</v>
      </c>
      <c r="CA84">
        <f t="shared" ca="1" si="57"/>
        <v>72</v>
      </c>
      <c r="CB84">
        <f t="shared" ca="1" si="57"/>
        <v>55</v>
      </c>
      <c r="CC84">
        <f t="shared" ca="1" si="57"/>
        <v>71</v>
      </c>
      <c r="CD84">
        <f t="shared" ca="1" si="57"/>
        <v>576</v>
      </c>
      <c r="CE84">
        <f t="shared" ca="1" si="57"/>
        <v>576</v>
      </c>
      <c r="CF84">
        <f t="shared" ca="1" si="57"/>
        <v>576</v>
      </c>
      <c r="CL84">
        <f t="shared" ca="1" si="58"/>
        <v>0</v>
      </c>
      <c r="CM84">
        <f t="shared" ca="1" si="58"/>
        <v>0</v>
      </c>
      <c r="CN84">
        <f t="shared" ca="1" si="58"/>
        <v>0</v>
      </c>
      <c r="CO84">
        <f t="shared" ca="1" si="58"/>
        <v>0</v>
      </c>
      <c r="CP84">
        <f t="shared" ca="1" si="58"/>
        <v>0</v>
      </c>
      <c r="CQ84">
        <f t="shared" ca="1" si="58"/>
        <v>0</v>
      </c>
      <c r="CR84">
        <f t="shared" ca="1" si="58"/>
        <v>0</v>
      </c>
      <c r="CS84">
        <f t="shared" ca="1" si="58"/>
        <v>0</v>
      </c>
      <c r="CT84">
        <f t="shared" ca="1" si="58"/>
        <v>0</v>
      </c>
      <c r="CU84">
        <f t="shared" ca="1" si="58"/>
        <v>0</v>
      </c>
      <c r="CV84">
        <f t="shared" ca="1" si="58"/>
        <v>0</v>
      </c>
      <c r="CW84">
        <f t="shared" ca="1" si="58"/>
        <v>0</v>
      </c>
      <c r="DC84" cm="1">
        <f t="array" aca="1" ref="DC84" ca="1">IF(ISNA(E84),,OFFSET(INDIRECT("'"&amp;DT$67&amp;"'!f1"),E84-1,))*1</f>
        <v>28998.4565092269</v>
      </c>
      <c r="DD84" cm="1">
        <f t="array" aca="1" ref="DD84" ca="1">IF(ISNA(F84),,OFFSET(INDIRECT("'"&amp;DU$67&amp;"'!f1"),F84-1,))*1</f>
        <v>28812.0178194334</v>
      </c>
      <c r="DE84" cm="1">
        <f t="array" aca="1" ref="DE84" ca="1">IF(ISNA(G84),,OFFSET(INDIRECT("'"&amp;DV$67&amp;"'!f1"),G84-1,))*1</f>
        <v>28800.157880959101</v>
      </c>
      <c r="DF84" cm="1">
        <f t="array" aca="1" ref="DF84" ca="1">IF(ISNA(H84),,OFFSET(INDIRECT("'"&amp;DW$67&amp;"'!f1"),H84-1,))*1</f>
        <v>28800.112187946201</v>
      </c>
      <c r="DG84" cm="1">
        <f t="array" aca="1" ref="DG84" ca="1">IF(ISNA(I84),,OFFSET(INDIRECT("'"&amp;DX$67&amp;"'!f1"),I84-1,))*1</f>
        <v>28800.663018665899</v>
      </c>
      <c r="DH84" cm="1">
        <f t="array" aca="1" ref="DH84" ca="1">IF(ISNA(J84),,OFFSET(INDIRECT("'"&amp;DY$67&amp;"'!f1"),J84-1,))*1</f>
        <v>11.5022350791841</v>
      </c>
      <c r="DI84" cm="1">
        <f t="array" aca="1" ref="DI84" ca="1">IF(ISNA(K84),,OFFSET(INDIRECT("'"&amp;DZ$67&amp;"'!f1"),K84-1,))*1</f>
        <v>66.342030398547607</v>
      </c>
      <c r="DJ84" cm="1">
        <f t="array" aca="1" ref="DJ84" ca="1">IF(ISNA(L84),,OFFSET(INDIRECT("'"&amp;EA$67&amp;"'!f1"),L84-1,))*1</f>
        <v>66.814935805275994</v>
      </c>
      <c r="DK84" cm="1">
        <f t="array" aca="1" ref="DK84" ca="1">IF(ISNA(M84),,OFFSET(INDIRECT("'"&amp;EB$67&amp;"'!f1"),M84-1,))*1</f>
        <v>1588.04667936079</v>
      </c>
      <c r="DL84" cm="1">
        <f t="array" aca="1" ref="DL84" ca="1">IF(ISNA(N84),,OFFSET(INDIRECT("'"&amp;EC$67&amp;"'!f1"),N84-1,))*1</f>
        <v>4.6785652637481599E-2</v>
      </c>
      <c r="DM84" cm="1">
        <f t="array" aca="1" ref="DM84" ca="1">IF(ISNA(O84),,OFFSET(INDIRECT("'"&amp;ED$67&amp;"'!f1"),O84-1,))*1</f>
        <v>5.0132671371102298E-2</v>
      </c>
      <c r="DN84" cm="1">
        <f t="array" aca="1" ref="DN84" ca="1">IF(ISNA(P84),,OFFSET(INDIRECT("'"&amp;EE$67&amp;"'!f1"),P84-1,))*1</f>
        <v>0</v>
      </c>
      <c r="DT84">
        <f t="shared" ca="1" si="90"/>
        <v>0</v>
      </c>
      <c r="DU84">
        <f t="shared" ca="1" si="90"/>
        <v>0</v>
      </c>
      <c r="DV84">
        <f t="shared" ca="1" si="90"/>
        <v>0</v>
      </c>
      <c r="DW84">
        <f t="shared" ca="1" si="90"/>
        <v>0</v>
      </c>
      <c r="DX84">
        <f t="shared" ca="1" si="90"/>
        <v>0</v>
      </c>
      <c r="DY84">
        <f t="shared" ca="1" si="90"/>
        <v>0</v>
      </c>
      <c r="DZ84">
        <f t="shared" ca="1" si="90"/>
        <v>0</v>
      </c>
      <c r="EA84">
        <f t="shared" ca="1" si="90"/>
        <v>0</v>
      </c>
      <c r="EB84">
        <f t="shared" ca="1" si="90"/>
        <v>0</v>
      </c>
      <c r="EC84">
        <f t="shared" ca="1" si="90"/>
        <v>0</v>
      </c>
      <c r="ED84">
        <f t="shared" ca="1" si="90"/>
        <v>0</v>
      </c>
      <c r="EE84">
        <f t="shared" ca="1" si="90"/>
        <v>0</v>
      </c>
      <c r="EK84" cm="1">
        <f t="array" aca="1" ref="EK84" ca="1">IF(ISNA(E84),0,OFFSET(INDIRECT("'"&amp;EK$67&amp;"'!g1"),E84-1,)*CL84)</f>
        <v>0</v>
      </c>
      <c r="EL84" cm="1">
        <f t="array" aca="1" ref="EL84" ca="1">IF(ISNA(F84),0,OFFSET(INDIRECT("'"&amp;EL$67&amp;"'!g1"),F84-1,)*CM84)</f>
        <v>0</v>
      </c>
      <c r="EM84" cm="1">
        <f t="array" aca="1" ref="EM84" ca="1">IF(ISNA(G84),0,OFFSET(INDIRECT("'"&amp;EM$67&amp;"'!g1"),G84-1,)*CN84)</f>
        <v>0</v>
      </c>
      <c r="EN84" cm="1">
        <f t="array" aca="1" ref="EN84" ca="1">IF(ISNA(H84),0,OFFSET(INDIRECT("'"&amp;EN$67&amp;"'!g1"),H84-1,)*CO84)</f>
        <v>0</v>
      </c>
      <c r="EO84" cm="1">
        <f t="array" aca="1" ref="EO84" ca="1">IF(ISNA(I84),0,OFFSET(INDIRECT("'"&amp;EO$67&amp;"'!g1"),I84-1,)*CP84)</f>
        <v>0</v>
      </c>
      <c r="EP84" cm="1">
        <f t="array" aca="1" ref="EP84" ca="1">IF(ISNA(J84),0,OFFSET(INDIRECT("'"&amp;EP$67&amp;"'!g1"),J84-1,)*CQ84)</f>
        <v>0</v>
      </c>
      <c r="EQ84" cm="1">
        <f t="array" aca="1" ref="EQ84" ca="1">IF(ISNA(K84),0,OFFSET(INDIRECT("'"&amp;EQ$67&amp;"'!g1"),K84-1,)*CR84)</f>
        <v>0</v>
      </c>
      <c r="ER84" cm="1">
        <f t="array" aca="1" ref="ER84" ca="1">IF(ISNA(L84),0,OFFSET(INDIRECT("'"&amp;ER$67&amp;"'!g1"),L84-1,)*CS84)</f>
        <v>0</v>
      </c>
      <c r="ES84" cm="1">
        <f t="array" aca="1" ref="ES84" ca="1">IF(ISNA(M84),0,OFFSET(INDIRECT("'"&amp;ES$67&amp;"'!g1"),M84-1,)*CT84)</f>
        <v>0</v>
      </c>
      <c r="ET84" cm="1">
        <f t="array" aca="1" ref="ET84" ca="1">IF(ISNA(N84),0,OFFSET(INDIRECT("'"&amp;ET$67&amp;"'!g1"),N84-1,)*CU84)</f>
        <v>0</v>
      </c>
      <c r="EU84" cm="1">
        <f t="array" aca="1" ref="EU84" ca="1">IF(ISNA(O84),0,OFFSET(INDIRECT("'"&amp;EU$67&amp;"'!g1"),O84-1,)*CV84)</f>
        <v>0</v>
      </c>
      <c r="EV84" cm="1">
        <f t="array" aca="1" ref="EV84" ca="1">IF(ISNA(P84),0,OFFSET(INDIRECT("'"&amp;EV$67&amp;"'!g1"),P84-1,)*CW84)</f>
        <v>0</v>
      </c>
      <c r="FB84" s="10" cm="1">
        <f t="array" aca="1" ref="FB84" ca="1">IF(ISNA(E84),0,OFFSET(INDIRECT("'"&amp;EK$67&amp;"'!h1"),E84-1,))</f>
        <v>1</v>
      </c>
      <c r="FC84" s="10" cm="1">
        <f t="array" aca="1" ref="FC84" ca="1">IF(ISNA(F84),0,OFFSET(INDIRECT("'"&amp;EL$67&amp;"'!h1"),F84-1,))</f>
        <v>1</v>
      </c>
      <c r="FD84" s="10" cm="1">
        <f t="array" aca="1" ref="FD84" ca="1">IF(ISNA(G84),0,OFFSET(INDIRECT("'"&amp;EM$67&amp;"'!h1"),G84-1,))</f>
        <v>1</v>
      </c>
      <c r="FE84" s="10" cm="1">
        <f t="array" aca="1" ref="FE84" ca="1">IF(ISNA(H84),0,OFFSET(INDIRECT("'"&amp;EN$67&amp;"'!h1"),H84-1,))</f>
        <v>1</v>
      </c>
      <c r="FF84" s="10" cm="1">
        <f t="array" aca="1" ref="FF84" ca="1">IF(ISNA(I84),0,OFFSET(INDIRECT("'"&amp;EO$67&amp;"'!h1"),I84-1,))</f>
        <v>1</v>
      </c>
      <c r="FG84" s="10" cm="1">
        <f t="array" aca="1" ref="FG84" ca="1">IF(ISNA(J84),0,OFFSET(INDIRECT("'"&amp;EP$67&amp;"'!h1"),J84-1,))</f>
        <v>1</v>
      </c>
      <c r="FH84" s="10" cm="1">
        <f t="array" aca="1" ref="FH84" ca="1">IF(ISNA(K84),0,OFFSET(INDIRECT("'"&amp;EQ$67&amp;"'!h1"),K84-1,))</f>
        <v>10000</v>
      </c>
      <c r="FI84" s="10" cm="1">
        <f t="array" aca="1" ref="FI84" ca="1">IF(ISNA(L84),0,OFFSET(INDIRECT("'"&amp;ER$67&amp;"'!h1"),L84-1,))</f>
        <v>10000</v>
      </c>
      <c r="FJ84" s="10" cm="1">
        <f t="array" aca="1" ref="FJ84" ca="1">IF(ISNA(M84),0,OFFSET(INDIRECT("'"&amp;ES$67&amp;"'!h1"),M84-1,))</f>
        <v>10000</v>
      </c>
      <c r="FK84" s="10" cm="1">
        <f t="array" aca="1" ref="FK84" ca="1">IF(ISNA(N84),0,OFFSET(INDIRECT("'"&amp;ET$67&amp;"'!h1"),N84-1,))</f>
        <v>1</v>
      </c>
      <c r="FL84" s="10" cm="1">
        <f t="array" aca="1" ref="FL84" ca="1">IF(ISNA(O84),0,OFFSET(INDIRECT("'"&amp;EU$67&amp;"'!h1"),O84-1,))</f>
        <v>1</v>
      </c>
      <c r="FM84" s="10" cm="1">
        <f t="array" aca="1" ref="FM84" ca="1">IF(ISNA(P84),0,OFFSET(INDIRECT("'"&amp;EV$67&amp;"'!h1"),P84-1,))</f>
        <v>0</v>
      </c>
      <c r="FN84" s="10"/>
      <c r="FO84" s="10"/>
      <c r="FP84" s="10"/>
      <c r="FQ84" s="10"/>
      <c r="FS84">
        <f t="shared" ca="1" si="91"/>
        <v>576</v>
      </c>
      <c r="FT84">
        <f t="shared" ca="1" si="92"/>
        <v>66.342030398547607</v>
      </c>
      <c r="FU84">
        <f t="shared" ca="1" si="93"/>
        <v>0</v>
      </c>
      <c r="FV84">
        <f t="shared" ca="1" si="94"/>
        <v>10000</v>
      </c>
      <c r="FW84" s="4">
        <f t="shared" ca="1" si="95"/>
        <v>0</v>
      </c>
      <c r="FX84" s="5" t="e">
        <f t="shared" ca="1" si="96"/>
        <v>#N/A</v>
      </c>
      <c r="FZ84" s="13">
        <f t="shared" ca="1" si="60"/>
        <v>576</v>
      </c>
      <c r="GA84" s="22">
        <f t="shared" ca="1" si="97"/>
        <v>0.4358974358974359</v>
      </c>
      <c r="GB84" s="22">
        <f t="shared" ca="1" si="61"/>
        <v>0.5641025641025641</v>
      </c>
      <c r="GC84" s="22">
        <f t="shared" ca="1" si="62"/>
        <v>0.64102564102564108</v>
      </c>
      <c r="GD84" s="22" t="e">
        <f t="shared" ca="1" si="63"/>
        <v>#N/A</v>
      </c>
      <c r="GE84" s="22">
        <f t="shared" ca="1" si="64"/>
        <v>0.69230769230769229</v>
      </c>
      <c r="GF84" s="22">
        <f t="shared" ca="1" si="65"/>
        <v>0.76923076923076927</v>
      </c>
      <c r="GG84" s="22">
        <f t="shared" ca="1" si="66"/>
        <v>0.84615384615384615</v>
      </c>
      <c r="GH84" s="22">
        <f t="shared" ca="1" si="67"/>
        <v>0.41025641025641024</v>
      </c>
      <c r="GI84" s="22">
        <f t="shared" ca="1" si="68"/>
        <v>0.82051282051282048</v>
      </c>
      <c r="GJ84" s="22" t="e">
        <f t="shared" ca="1" si="69"/>
        <v>#N/A</v>
      </c>
      <c r="GK84" s="22" t="e">
        <f t="shared" ca="1" si="70"/>
        <v>#N/A</v>
      </c>
      <c r="GL84" s="22" t="e">
        <f t="shared" ca="1" si="71"/>
        <v>#N/A</v>
      </c>
      <c r="GM84" s="22"/>
      <c r="GN84">
        <f t="shared" ca="1" si="98"/>
        <v>576</v>
      </c>
      <c r="GO84" s="5" t="e">
        <f t="shared" ca="1" si="99"/>
        <v>#N/A</v>
      </c>
      <c r="GP84" s="5" t="e">
        <f t="shared" ref="GP84:GP89" ca="1" si="103">IF(AND(AN84&gt;0,DU84&gt;0),DD84/DU84,NA())</f>
        <v>#N/A</v>
      </c>
      <c r="GQ84" s="5" t="e">
        <f t="shared" ref="GQ84:GQ89" ca="1" si="104">IF(AND(AO84&gt;0,DV84&gt;0),DE84/DV84,NA())</f>
        <v>#N/A</v>
      </c>
      <c r="GR84" s="5" t="e">
        <f t="shared" ref="GR84:GR89" ca="1" si="105">IF(AND(AP84&gt;0,DW84&gt;0),DF84/DW84,NA())</f>
        <v>#N/A</v>
      </c>
      <c r="GS84" s="5" t="e">
        <f t="shared" ref="GS84:GS89" ca="1" si="106">IF(AND(AQ84&gt;0,DX84&gt;0),DG84/DX84,NA())</f>
        <v>#N/A</v>
      </c>
      <c r="GT84" s="5" t="e">
        <f t="shared" ca="1" si="100"/>
        <v>#N/A</v>
      </c>
      <c r="GU84" s="5" t="e">
        <f t="shared" ref="GU84:GU89" ca="1" si="107">IF(DZ84&gt;0,DI84/DZ84,NA())</f>
        <v>#N/A</v>
      </c>
      <c r="GV84" s="5" t="e">
        <f t="shared" ref="GV84:GV89" ca="1" si="108">IF(EA84&gt;0,DJ84/EA84,NA())</f>
        <v>#N/A</v>
      </c>
      <c r="GW84" s="5" t="e">
        <f t="shared" ref="GW84:GW89" ca="1" si="109">IF(EB84&gt;0,DK84/EB84,NA())</f>
        <v>#N/A</v>
      </c>
      <c r="GX84" s="5" t="e">
        <f t="shared" ref="GX84:GX89" ca="1" si="110">IF(EC84&gt;0,DL84/EC84,NA())</f>
        <v>#N/A</v>
      </c>
      <c r="GY84" s="5" t="e">
        <f t="shared" ref="GY84:GY89" ca="1" si="111">IF(ED84&gt;0,DM84/ED84,NA())</f>
        <v>#N/A</v>
      </c>
      <c r="GZ84" s="5" t="e">
        <f t="shared" ref="GZ84:GZ89" ca="1" si="112">IF(EE84&gt;0,DN84/EE84,NA())</f>
        <v>#N/A</v>
      </c>
      <c r="HB84" s="13">
        <f t="shared" ca="1" si="74"/>
        <v>576</v>
      </c>
      <c r="HC84" s="4">
        <f t="shared" ca="1" si="101"/>
        <v>0</v>
      </c>
      <c r="HD84" s="4">
        <f t="shared" ca="1" si="75"/>
        <v>0</v>
      </c>
      <c r="HE84" s="4">
        <f t="shared" ca="1" si="76"/>
        <v>0</v>
      </c>
      <c r="HF84" s="4">
        <f t="shared" ca="1" si="77"/>
        <v>0</v>
      </c>
      <c r="HG84" s="4">
        <f t="shared" ca="1" si="78"/>
        <v>0</v>
      </c>
      <c r="HH84" s="4">
        <f t="shared" ca="1" si="79"/>
        <v>0</v>
      </c>
      <c r="HI84" s="4">
        <f t="shared" ca="1" si="80"/>
        <v>0</v>
      </c>
      <c r="HJ84" s="4">
        <f t="shared" ca="1" si="81"/>
        <v>0</v>
      </c>
      <c r="HK84" s="4">
        <f t="shared" ca="1" si="82"/>
        <v>0</v>
      </c>
      <c r="HL84" s="4">
        <f t="shared" ca="1" si="83"/>
        <v>0</v>
      </c>
      <c r="HM84" s="4">
        <f t="shared" ca="1" si="84"/>
        <v>0</v>
      </c>
      <c r="HN84" s="4">
        <f t="shared" ca="1" si="85"/>
        <v>0</v>
      </c>
    </row>
    <row r="85" spans="1:222" x14ac:dyDescent="0.2">
      <c r="A85" t="str" cm="1">
        <f t="array" aca="1" ref="A85" ca="1">INDIRECT($A$67&amp;"!A"&amp;ROW(C18)+$B$64)</f>
        <v>576_2_59</v>
      </c>
      <c r="B85" cm="1">
        <f t="array" aca="1" ref="B85" ca="1">INDIRECT($A$67&amp;"!b"&amp;ROW(D18)+$B$64)</f>
        <v>576</v>
      </c>
      <c r="C85">
        <f t="shared" ca="1" si="86"/>
        <v>39</v>
      </c>
      <c r="E85">
        <f t="shared" ca="1" si="102"/>
        <v>49</v>
      </c>
      <c r="F85">
        <f t="shared" ca="1" si="102"/>
        <v>50</v>
      </c>
      <c r="G85">
        <f t="shared" ca="1" si="102"/>
        <v>48</v>
      </c>
      <c r="H85">
        <f t="shared" ca="1" si="102"/>
        <v>45</v>
      </c>
      <c r="I85">
        <f t="shared" ca="1" si="102"/>
        <v>44</v>
      </c>
      <c r="J85">
        <f t="shared" ca="1" si="102"/>
        <v>46</v>
      </c>
      <c r="K85">
        <f t="shared" ca="1" si="102"/>
        <v>49</v>
      </c>
      <c r="L85">
        <f t="shared" ca="1" si="102"/>
        <v>51</v>
      </c>
      <c r="M85">
        <f t="shared" ca="1" si="102"/>
        <v>52</v>
      </c>
      <c r="N85">
        <f t="shared" ca="1" si="102"/>
        <v>46</v>
      </c>
      <c r="O85">
        <f t="shared" ca="1" si="102"/>
        <v>46</v>
      </c>
      <c r="P85" t="e">
        <f t="shared" ca="1" si="102"/>
        <v>#N/A</v>
      </c>
      <c r="V85" cm="1">
        <f t="array" aca="1" ref="V85" ca="1">IF(ISNA(E85),,OFFSET(INDIRECT("'"&amp;V$67&amp;"'!d1"),E85-1,))</f>
        <v>56</v>
      </c>
      <c r="W85" cm="1">
        <f t="array" aca="1" ref="W85" ca="1">IF(ISNA(F85),,OFFSET(INDIRECT("'"&amp;W$67&amp;"'!d1"),F85-1,))</f>
        <v>61</v>
      </c>
      <c r="X85" cm="1">
        <f t="array" aca="1" ref="X85" ca="1">IF(ISNA(G85),,OFFSET(INDIRECT("'"&amp;X$67&amp;"'!d1"),G85-1,))</f>
        <v>64</v>
      </c>
      <c r="Y85" cm="1">
        <f t="array" aca="1" ref="Y85" ca="1">IF(ISNA(H85),,OFFSET(INDIRECT("'"&amp;Y$67&amp;"'!d1"),H85-1,))</f>
        <v>0</v>
      </c>
      <c r="Z85" cm="1">
        <f t="array" aca="1" ref="Z85" ca="1">IF(ISNA(I85),,OFFSET(INDIRECT("'"&amp;Z$67&amp;"'!d1"),I85-1,))</f>
        <v>66</v>
      </c>
      <c r="AA85" cm="1">
        <f t="array" aca="1" ref="AA85" ca="1">IF(ISNA(J85),,OFFSET(INDIRECT("'"&amp;AA$67&amp;"'!d1"),J85-1,))</f>
        <v>71</v>
      </c>
      <c r="AB85" cm="1">
        <f t="array" aca="1" ref="AB85" ca="1">IF(ISNA(K85),,OFFSET(INDIRECT("'"&amp;AB$67&amp;"'!d1"),K85-1,))</f>
        <v>74</v>
      </c>
      <c r="AC85" cm="1">
        <f t="array" aca="1" ref="AC85" ca="1">IF(ISNA(L85),,OFFSET(INDIRECT("'"&amp;AC$67&amp;"'!d1"),L85-1,))</f>
        <v>62</v>
      </c>
      <c r="AD85" cm="1">
        <f t="array" aca="1" ref="AD85" ca="1">IF(ISNA(M85),,OFFSET(INDIRECT("'"&amp;AD$67&amp;"'!d1"),M85-1,))</f>
        <v>70</v>
      </c>
      <c r="AE85" cm="1">
        <f t="array" aca="1" ref="AE85" ca="1">IF(ISNA(N85),,OFFSET(INDIRECT("'"&amp;AE$67&amp;"'!d1"),N85-1,))</f>
        <v>0</v>
      </c>
      <c r="AF85" cm="1">
        <f t="array" aca="1" ref="AF85" ca="1">IF(ISNA(O85),,OFFSET(INDIRECT("'"&amp;AF$67&amp;"'!d1"),O85-1,))</f>
        <v>0</v>
      </c>
      <c r="AG85" cm="1">
        <f t="array" aca="1" ref="AG85" ca="1">IF(ISNA(P85),,OFFSET(INDIRECT("'"&amp;AG$67&amp;"'!d1"),P85-1,))</f>
        <v>0</v>
      </c>
      <c r="AM85">
        <f t="shared" ca="1" si="87"/>
        <v>0</v>
      </c>
      <c r="AN85">
        <f t="shared" ca="1" si="87"/>
        <v>0</v>
      </c>
      <c r="AO85">
        <f t="shared" ca="1" si="87"/>
        <v>0</v>
      </c>
      <c r="AP85">
        <f t="shared" ca="1" si="87"/>
        <v>0</v>
      </c>
      <c r="AQ85">
        <f t="shared" ca="1" si="88"/>
        <v>0</v>
      </c>
      <c r="AV85" t="str">
        <f t="shared" ca="1" si="89"/>
        <v/>
      </c>
      <c r="AW85" t="str">
        <f t="shared" ca="1" si="55"/>
        <v/>
      </c>
      <c r="AX85" t="str">
        <f t="shared" ca="1" si="55"/>
        <v/>
      </c>
      <c r="AY85" t="str">
        <f t="shared" ca="1" si="55"/>
        <v/>
      </c>
      <c r="AZ85" t="str">
        <f t="shared" ca="1" si="55"/>
        <v/>
      </c>
      <c r="BD85">
        <f t="shared" ca="1" si="56"/>
        <v>1</v>
      </c>
      <c r="BE85">
        <f t="shared" ca="1" si="56"/>
        <v>1</v>
      </c>
      <c r="BF85">
        <f t="shared" ca="1" si="56"/>
        <v>1</v>
      </c>
      <c r="BG85">
        <f t="shared" ca="1" si="56"/>
        <v>0</v>
      </c>
      <c r="BH85">
        <f t="shared" ca="1" si="56"/>
        <v>1</v>
      </c>
      <c r="BI85">
        <f t="shared" ca="1" si="56"/>
        <v>1</v>
      </c>
      <c r="BJ85">
        <f t="shared" ca="1" si="56"/>
        <v>1</v>
      </c>
      <c r="BK85">
        <f t="shared" ca="1" si="56"/>
        <v>1</v>
      </c>
      <c r="BL85">
        <f t="shared" ca="1" si="56"/>
        <v>1</v>
      </c>
      <c r="BM85">
        <f t="shared" ca="1" si="56"/>
        <v>0</v>
      </c>
      <c r="BN85">
        <f t="shared" ca="1" si="56"/>
        <v>0</v>
      </c>
      <c r="BO85">
        <f t="shared" ca="1" si="56"/>
        <v>0</v>
      </c>
      <c r="BU85">
        <f t="shared" ca="1" si="57"/>
        <v>56</v>
      </c>
      <c r="BV85">
        <f t="shared" ca="1" si="57"/>
        <v>61</v>
      </c>
      <c r="BW85">
        <f t="shared" ca="1" si="57"/>
        <v>64</v>
      </c>
      <c r="BX85">
        <f t="shared" ca="1" si="57"/>
        <v>576</v>
      </c>
      <c r="BY85">
        <f t="shared" ca="1" si="57"/>
        <v>66</v>
      </c>
      <c r="BZ85">
        <f t="shared" ca="1" si="57"/>
        <v>71</v>
      </c>
      <c r="CA85">
        <f t="shared" ca="1" si="57"/>
        <v>74</v>
      </c>
      <c r="CB85">
        <f t="shared" ca="1" si="57"/>
        <v>62</v>
      </c>
      <c r="CC85">
        <f t="shared" ca="1" si="57"/>
        <v>70</v>
      </c>
      <c r="CD85">
        <f t="shared" ca="1" si="57"/>
        <v>576</v>
      </c>
      <c r="CE85">
        <f t="shared" ca="1" si="57"/>
        <v>576</v>
      </c>
      <c r="CF85">
        <f t="shared" ca="1" si="57"/>
        <v>576</v>
      </c>
      <c r="CL85">
        <f t="shared" ca="1" si="58"/>
        <v>0</v>
      </c>
      <c r="CM85">
        <f t="shared" ca="1" si="58"/>
        <v>0</v>
      </c>
      <c r="CN85">
        <f t="shared" ca="1" si="58"/>
        <v>0</v>
      </c>
      <c r="CO85">
        <f t="shared" ca="1" si="58"/>
        <v>0</v>
      </c>
      <c r="CP85">
        <f t="shared" ca="1" si="58"/>
        <v>0</v>
      </c>
      <c r="CQ85">
        <f t="shared" ca="1" si="58"/>
        <v>0</v>
      </c>
      <c r="CR85">
        <f t="shared" ca="1" si="58"/>
        <v>0</v>
      </c>
      <c r="CS85">
        <f t="shared" ca="1" si="58"/>
        <v>0</v>
      </c>
      <c r="CT85">
        <f t="shared" ca="1" si="58"/>
        <v>0</v>
      </c>
      <c r="CU85">
        <f t="shared" ca="1" si="58"/>
        <v>0</v>
      </c>
      <c r="CV85">
        <f t="shared" ca="1" si="58"/>
        <v>0</v>
      </c>
      <c r="CW85">
        <f t="shared" ca="1" si="58"/>
        <v>0</v>
      </c>
      <c r="DC85" cm="1">
        <f t="array" aca="1" ref="DC85" ca="1">IF(ISNA(E85),,OFFSET(INDIRECT("'"&amp;DT$67&amp;"'!f1"),E85-1,))*1</f>
        <v>28979.9043695088</v>
      </c>
      <c r="DD85" cm="1">
        <f t="array" aca="1" ref="DD85" ca="1">IF(ISNA(F85),,OFFSET(INDIRECT("'"&amp;DU$67&amp;"'!f1"),F85-1,))*1</f>
        <v>28811.351209534299</v>
      </c>
      <c r="DE85" cm="1">
        <f t="array" aca="1" ref="DE85" ca="1">IF(ISNA(G85),,OFFSET(INDIRECT("'"&amp;DV$67&amp;"'!f1"),G85-1,))*1</f>
        <v>28800.179432939702</v>
      </c>
      <c r="DF85" cm="1">
        <f t="array" aca="1" ref="DF85" ca="1">IF(ISNA(H85),,OFFSET(INDIRECT("'"&amp;DW$67&amp;"'!f1"),H85-1,))*1</f>
        <v>28800.1943595474</v>
      </c>
      <c r="DG85" cm="1">
        <f t="array" aca="1" ref="DG85" ca="1">IF(ISNA(I85),,OFFSET(INDIRECT("'"&amp;DX$67&amp;"'!f1"),I85-1,))*1</f>
        <v>28803.208131124899</v>
      </c>
      <c r="DH85" cm="1">
        <f t="array" aca="1" ref="DH85" ca="1">IF(ISNA(J85),,OFFSET(INDIRECT("'"&amp;DY$67&amp;"'!f1"),J85-1,))*1</f>
        <v>6.4736859984695903</v>
      </c>
      <c r="DI85" cm="1">
        <f t="array" aca="1" ref="DI85" ca="1">IF(ISNA(K85),,OFFSET(INDIRECT("'"&amp;DZ$67&amp;"'!f1"),K85-1,))*1</f>
        <v>66.3802442979067</v>
      </c>
      <c r="DJ85" cm="1">
        <f t="array" aca="1" ref="DJ85" ca="1">IF(ISNA(L85),,OFFSET(INDIRECT("'"&amp;EA$67&amp;"'!f1"),L85-1,))*1</f>
        <v>66.5453194770962</v>
      </c>
      <c r="DK85" cm="1">
        <f t="array" aca="1" ref="DK85" ca="1">IF(ISNA(M85),,OFFSET(INDIRECT("'"&amp;EB$67&amp;"'!f1"),M85-1,))*1</f>
        <v>1588.8015497410599</v>
      </c>
      <c r="DL85" cm="1">
        <f t="array" aca="1" ref="DL85" ca="1">IF(ISNA(N85),,OFFSET(INDIRECT("'"&amp;EC$67&amp;"'!f1"),N85-1,))*1</f>
        <v>4.7395511530339697E-2</v>
      </c>
      <c r="DM85" cm="1">
        <f t="array" aca="1" ref="DM85" ca="1">IF(ISNA(O85),,OFFSET(INDIRECT("'"&amp;ED$67&amp;"'!f1"),O85-1,))*1</f>
        <v>4.8213284462690298E-2</v>
      </c>
      <c r="DN85" cm="1">
        <f t="array" aca="1" ref="DN85" ca="1">IF(ISNA(P85),,OFFSET(INDIRECT("'"&amp;EE$67&amp;"'!f1"),P85-1,))*1</f>
        <v>0</v>
      </c>
      <c r="DT85">
        <f t="shared" ca="1" si="90"/>
        <v>0</v>
      </c>
      <c r="DU85">
        <f t="shared" ca="1" si="90"/>
        <v>0</v>
      </c>
      <c r="DV85">
        <f t="shared" ca="1" si="90"/>
        <v>0</v>
      </c>
      <c r="DW85">
        <f t="shared" ca="1" si="90"/>
        <v>0</v>
      </c>
      <c r="DX85">
        <f t="shared" ca="1" si="90"/>
        <v>0</v>
      </c>
      <c r="DY85">
        <f t="shared" ca="1" si="90"/>
        <v>0</v>
      </c>
      <c r="DZ85">
        <f t="shared" ca="1" si="90"/>
        <v>0</v>
      </c>
      <c r="EA85">
        <f t="shared" ca="1" si="90"/>
        <v>0</v>
      </c>
      <c r="EB85">
        <f t="shared" ca="1" si="90"/>
        <v>0</v>
      </c>
      <c r="EC85">
        <f t="shared" ca="1" si="90"/>
        <v>0</v>
      </c>
      <c r="ED85">
        <f t="shared" ca="1" si="90"/>
        <v>0</v>
      </c>
      <c r="EE85">
        <f t="shared" ca="1" si="90"/>
        <v>0</v>
      </c>
      <c r="EK85" cm="1">
        <f t="array" aca="1" ref="EK85" ca="1">IF(ISNA(E85),0,OFFSET(INDIRECT("'"&amp;EK$67&amp;"'!g1"),E85-1,)*CL85)</f>
        <v>0</v>
      </c>
      <c r="EL85" cm="1">
        <f t="array" aca="1" ref="EL85" ca="1">IF(ISNA(F85),0,OFFSET(INDIRECT("'"&amp;EL$67&amp;"'!g1"),F85-1,)*CM85)</f>
        <v>0</v>
      </c>
      <c r="EM85" cm="1">
        <f t="array" aca="1" ref="EM85" ca="1">IF(ISNA(G85),0,OFFSET(INDIRECT("'"&amp;EM$67&amp;"'!g1"),G85-1,)*CN85)</f>
        <v>0</v>
      </c>
      <c r="EN85" cm="1">
        <f t="array" aca="1" ref="EN85" ca="1">IF(ISNA(H85),0,OFFSET(INDIRECT("'"&amp;EN$67&amp;"'!g1"),H85-1,)*CO85)</f>
        <v>0</v>
      </c>
      <c r="EO85" cm="1">
        <f t="array" aca="1" ref="EO85" ca="1">IF(ISNA(I85),0,OFFSET(INDIRECT("'"&amp;EO$67&amp;"'!g1"),I85-1,)*CP85)</f>
        <v>0</v>
      </c>
      <c r="EP85" cm="1">
        <f t="array" aca="1" ref="EP85" ca="1">IF(ISNA(J85),0,OFFSET(INDIRECT("'"&amp;EP$67&amp;"'!g1"),J85-1,)*CQ85)</f>
        <v>0</v>
      </c>
      <c r="EQ85" cm="1">
        <f t="array" aca="1" ref="EQ85" ca="1">IF(ISNA(K85),0,OFFSET(INDIRECT("'"&amp;EQ$67&amp;"'!g1"),K85-1,)*CR85)</f>
        <v>0</v>
      </c>
      <c r="ER85" cm="1">
        <f t="array" aca="1" ref="ER85" ca="1">IF(ISNA(L85),0,OFFSET(INDIRECT("'"&amp;ER$67&amp;"'!g1"),L85-1,)*CS85)</f>
        <v>0</v>
      </c>
      <c r="ES85" cm="1">
        <f t="array" aca="1" ref="ES85" ca="1">IF(ISNA(M85),0,OFFSET(INDIRECT("'"&amp;ES$67&amp;"'!g1"),M85-1,)*CT85)</f>
        <v>0</v>
      </c>
      <c r="ET85" cm="1">
        <f t="array" aca="1" ref="ET85" ca="1">IF(ISNA(N85),0,OFFSET(INDIRECT("'"&amp;ET$67&amp;"'!g1"),N85-1,)*CU85)</f>
        <v>0</v>
      </c>
      <c r="EU85" cm="1">
        <f t="array" aca="1" ref="EU85" ca="1">IF(ISNA(O85),0,OFFSET(INDIRECT("'"&amp;EU$67&amp;"'!g1"),O85-1,)*CV85)</f>
        <v>0</v>
      </c>
      <c r="EV85" cm="1">
        <f t="array" aca="1" ref="EV85" ca="1">IF(ISNA(P85),0,OFFSET(INDIRECT("'"&amp;EV$67&amp;"'!g1"),P85-1,)*CW85)</f>
        <v>0</v>
      </c>
      <c r="FB85" s="10" cm="1">
        <f t="array" aca="1" ref="FB85" ca="1">IF(ISNA(E85),0,OFFSET(INDIRECT("'"&amp;EK$67&amp;"'!h1"),E85-1,))</f>
        <v>1</v>
      </c>
      <c r="FC85" s="10" cm="1">
        <f t="array" aca="1" ref="FC85" ca="1">IF(ISNA(F85),0,OFFSET(INDIRECT("'"&amp;EL$67&amp;"'!h1"),F85-1,))</f>
        <v>1</v>
      </c>
      <c r="FD85" s="10" cm="1">
        <f t="array" aca="1" ref="FD85" ca="1">IF(ISNA(G85),0,OFFSET(INDIRECT("'"&amp;EM$67&amp;"'!h1"),G85-1,))</f>
        <v>1</v>
      </c>
      <c r="FE85" s="10" cm="1">
        <f t="array" aca="1" ref="FE85" ca="1">IF(ISNA(H85),0,OFFSET(INDIRECT("'"&amp;EN$67&amp;"'!h1"),H85-1,))</f>
        <v>1</v>
      </c>
      <c r="FF85" s="10" cm="1">
        <f t="array" aca="1" ref="FF85" ca="1">IF(ISNA(I85),0,OFFSET(INDIRECT("'"&amp;EO$67&amp;"'!h1"),I85-1,))</f>
        <v>1</v>
      </c>
      <c r="FG85" s="10" cm="1">
        <f t="array" aca="1" ref="FG85" ca="1">IF(ISNA(J85),0,OFFSET(INDIRECT("'"&amp;EP$67&amp;"'!h1"),J85-1,))</f>
        <v>1</v>
      </c>
      <c r="FH85" s="10" cm="1">
        <f t="array" aca="1" ref="FH85" ca="1">IF(ISNA(K85),0,OFFSET(INDIRECT("'"&amp;EQ$67&amp;"'!h1"),K85-1,))</f>
        <v>10000</v>
      </c>
      <c r="FI85" s="10" cm="1">
        <f t="array" aca="1" ref="FI85" ca="1">IF(ISNA(L85),0,OFFSET(INDIRECT("'"&amp;ER$67&amp;"'!h1"),L85-1,))</f>
        <v>10000</v>
      </c>
      <c r="FJ85" s="10" cm="1">
        <f t="array" aca="1" ref="FJ85" ca="1">IF(ISNA(M85),0,OFFSET(INDIRECT("'"&amp;ES$67&amp;"'!h1"),M85-1,))</f>
        <v>10000</v>
      </c>
      <c r="FK85" s="10" cm="1">
        <f t="array" aca="1" ref="FK85" ca="1">IF(ISNA(N85),0,OFFSET(INDIRECT("'"&amp;ET$67&amp;"'!h1"),N85-1,))</f>
        <v>1</v>
      </c>
      <c r="FL85" s="10" cm="1">
        <f t="array" aca="1" ref="FL85" ca="1">IF(ISNA(O85),0,OFFSET(INDIRECT("'"&amp;EU$67&amp;"'!h1"),O85-1,))</f>
        <v>1</v>
      </c>
      <c r="FM85" s="10" cm="1">
        <f t="array" aca="1" ref="FM85" ca="1">IF(ISNA(P85),0,OFFSET(INDIRECT("'"&amp;EV$67&amp;"'!h1"),P85-1,))</f>
        <v>0</v>
      </c>
      <c r="FN85" s="10"/>
      <c r="FO85" s="10"/>
      <c r="FP85" s="10"/>
      <c r="FQ85" s="10"/>
      <c r="FS85">
        <f t="shared" ca="1" si="91"/>
        <v>576</v>
      </c>
      <c r="FT85">
        <f t="shared" ca="1" si="92"/>
        <v>66.3802442979067</v>
      </c>
      <c r="FU85">
        <f t="shared" ca="1" si="93"/>
        <v>0</v>
      </c>
      <c r="FV85">
        <f t="shared" ca="1" si="94"/>
        <v>10000</v>
      </c>
      <c r="FW85" s="4">
        <f t="shared" ca="1" si="95"/>
        <v>0</v>
      </c>
      <c r="FX85" s="5" t="e">
        <f t="shared" ca="1" si="96"/>
        <v>#N/A</v>
      </c>
      <c r="FZ85" s="13">
        <f t="shared" ca="1" si="60"/>
        <v>576</v>
      </c>
      <c r="GA85" s="22">
        <f t="shared" ca="1" si="97"/>
        <v>0.4358974358974359</v>
      </c>
      <c r="GB85" s="22">
        <f t="shared" ca="1" si="61"/>
        <v>0.5641025641025641</v>
      </c>
      <c r="GC85" s="22">
        <f t="shared" ca="1" si="62"/>
        <v>0.64102564102564108</v>
      </c>
      <c r="GD85" s="22" t="e">
        <f t="shared" ca="1" si="63"/>
        <v>#N/A</v>
      </c>
      <c r="GE85" s="22">
        <f t="shared" ca="1" si="64"/>
        <v>0.69230769230769229</v>
      </c>
      <c r="GF85" s="22">
        <f t="shared" ca="1" si="65"/>
        <v>0.82051282051282048</v>
      </c>
      <c r="GG85" s="22">
        <f t="shared" ca="1" si="66"/>
        <v>0.89743589743589747</v>
      </c>
      <c r="GH85" s="22">
        <f t="shared" ca="1" si="67"/>
        <v>0.58974358974358976</v>
      </c>
      <c r="GI85" s="22">
        <f t="shared" ca="1" si="68"/>
        <v>0.79487179487179482</v>
      </c>
      <c r="GJ85" s="22" t="e">
        <f t="shared" ca="1" si="69"/>
        <v>#N/A</v>
      </c>
      <c r="GK85" s="22" t="e">
        <f t="shared" ca="1" si="70"/>
        <v>#N/A</v>
      </c>
      <c r="GL85" s="22" t="e">
        <f t="shared" ca="1" si="71"/>
        <v>#N/A</v>
      </c>
      <c r="GM85" s="22"/>
      <c r="GN85">
        <f t="shared" ca="1" si="98"/>
        <v>576</v>
      </c>
      <c r="GO85" s="5" t="e">
        <f t="shared" ca="1" si="99"/>
        <v>#N/A</v>
      </c>
      <c r="GP85" s="5" t="e">
        <f t="shared" ca="1" si="103"/>
        <v>#N/A</v>
      </c>
      <c r="GQ85" s="5" t="e">
        <f t="shared" ca="1" si="104"/>
        <v>#N/A</v>
      </c>
      <c r="GR85" s="5" t="e">
        <f t="shared" ca="1" si="105"/>
        <v>#N/A</v>
      </c>
      <c r="GS85" s="5" t="e">
        <f t="shared" ca="1" si="106"/>
        <v>#N/A</v>
      </c>
      <c r="GT85" s="5" t="e">
        <f t="shared" ca="1" si="100"/>
        <v>#N/A</v>
      </c>
      <c r="GU85" s="5" t="e">
        <f t="shared" ca="1" si="107"/>
        <v>#N/A</v>
      </c>
      <c r="GV85" s="5" t="e">
        <f t="shared" ca="1" si="108"/>
        <v>#N/A</v>
      </c>
      <c r="GW85" s="5" t="e">
        <f t="shared" ca="1" si="109"/>
        <v>#N/A</v>
      </c>
      <c r="GX85" s="5" t="e">
        <f t="shared" ca="1" si="110"/>
        <v>#N/A</v>
      </c>
      <c r="GY85" s="5" t="e">
        <f t="shared" ca="1" si="111"/>
        <v>#N/A</v>
      </c>
      <c r="GZ85" s="5" t="e">
        <f t="shared" ca="1" si="112"/>
        <v>#N/A</v>
      </c>
      <c r="HB85" s="13">
        <f t="shared" ca="1" si="74"/>
        <v>576</v>
      </c>
      <c r="HC85" s="4">
        <f t="shared" ca="1" si="101"/>
        <v>0</v>
      </c>
      <c r="HD85" s="4">
        <f t="shared" ca="1" si="75"/>
        <v>0</v>
      </c>
      <c r="HE85" s="4">
        <f t="shared" ca="1" si="76"/>
        <v>0</v>
      </c>
      <c r="HF85" s="4">
        <f t="shared" ca="1" si="77"/>
        <v>0</v>
      </c>
      <c r="HG85" s="4">
        <f t="shared" ca="1" si="78"/>
        <v>0</v>
      </c>
      <c r="HH85" s="4">
        <f t="shared" ca="1" si="79"/>
        <v>0</v>
      </c>
      <c r="HI85" s="4">
        <f t="shared" ca="1" si="80"/>
        <v>0</v>
      </c>
      <c r="HJ85" s="4">
        <f t="shared" ca="1" si="81"/>
        <v>0</v>
      </c>
      <c r="HK85" s="4">
        <f t="shared" ca="1" si="82"/>
        <v>0</v>
      </c>
      <c r="HL85" s="4">
        <f t="shared" ca="1" si="83"/>
        <v>0</v>
      </c>
      <c r="HM85" s="4">
        <f t="shared" ca="1" si="84"/>
        <v>0</v>
      </c>
      <c r="HN85" s="4">
        <f t="shared" ca="1" si="85"/>
        <v>0</v>
      </c>
    </row>
    <row r="86" spans="1:222" x14ac:dyDescent="0.2">
      <c r="A86" t="str" cm="1">
        <f t="array" aca="1" ref="A86" ca="1">INDIRECT($A$67&amp;"!A"&amp;ROW(C19)+$B$64)</f>
        <v>612_2_52</v>
      </c>
      <c r="B86" cm="1">
        <f t="array" aca="1" ref="B86" ca="1">INDIRECT($A$67&amp;"!b"&amp;ROW(D19)+$B$64)</f>
        <v>612</v>
      </c>
      <c r="C86">
        <f t="shared" ca="1" si="86"/>
        <v>41</v>
      </c>
      <c r="E86">
        <f t="shared" ca="1" si="102"/>
        <v>38</v>
      </c>
      <c r="F86">
        <f t="shared" ca="1" si="102"/>
        <v>39</v>
      </c>
      <c r="G86">
        <f t="shared" ca="1" si="102"/>
        <v>33</v>
      </c>
      <c r="H86">
        <f t="shared" ca="1" si="102"/>
        <v>34</v>
      </c>
      <c r="I86">
        <f t="shared" ca="1" si="102"/>
        <v>50</v>
      </c>
      <c r="J86">
        <f t="shared" ca="1" si="102"/>
        <v>47</v>
      </c>
      <c r="K86">
        <f t="shared" ca="1" si="102"/>
        <v>50</v>
      </c>
      <c r="L86">
        <f t="shared" ca="1" si="102"/>
        <v>52</v>
      </c>
      <c r="M86">
        <f t="shared" ca="1" si="102"/>
        <v>53</v>
      </c>
      <c r="N86">
        <f t="shared" ca="1" si="102"/>
        <v>47</v>
      </c>
      <c r="O86">
        <f t="shared" ca="1" si="102"/>
        <v>47</v>
      </c>
      <c r="P86" t="e">
        <f t="shared" ca="1" si="102"/>
        <v>#N/A</v>
      </c>
      <c r="V86" cm="1">
        <f t="array" aca="1" ref="V86" ca="1">IF(ISNA(E86),,OFFSET(INDIRECT("'"&amp;V$67&amp;"'!d1"),E86-1,))</f>
        <v>44</v>
      </c>
      <c r="W86" cm="1">
        <f t="array" aca="1" ref="W86" ca="1">IF(ISNA(F86),,OFFSET(INDIRECT("'"&amp;W$67&amp;"'!d1"),F86-1,))</f>
        <v>63</v>
      </c>
      <c r="X86" cm="1">
        <f t="array" aca="1" ref="X86" ca="1">IF(ISNA(G86),,OFFSET(INDIRECT("'"&amp;X$67&amp;"'!d1"),G86-1,))</f>
        <v>68</v>
      </c>
      <c r="Y86" cm="1">
        <f t="array" aca="1" ref="Y86" ca="1">IF(ISNA(H86),,OFFSET(INDIRECT("'"&amp;Y$67&amp;"'!d1"),H86-1,))</f>
        <v>0</v>
      </c>
      <c r="Z86" cm="1">
        <f t="array" aca="1" ref="Z86" ca="1">IF(ISNA(I86),,OFFSET(INDIRECT("'"&amp;Z$67&amp;"'!d1"),I86-1,))</f>
        <v>74</v>
      </c>
      <c r="AA86" cm="1">
        <f t="array" aca="1" ref="AA86" ca="1">IF(ISNA(J86),,OFFSET(INDIRECT("'"&amp;AA$67&amp;"'!d1"),J86-1,))</f>
        <v>86</v>
      </c>
      <c r="AB86" cm="1">
        <f t="array" aca="1" ref="AB86" ca="1">IF(ISNA(K86),,OFFSET(INDIRECT("'"&amp;AB$67&amp;"'!d1"),K86-1,))</f>
        <v>74</v>
      </c>
      <c r="AC86" cm="1">
        <f t="array" aca="1" ref="AC86" ca="1">IF(ISNA(L86),,OFFSET(INDIRECT("'"&amp;AC$67&amp;"'!d1"),L86-1,))</f>
        <v>61</v>
      </c>
      <c r="AD86" cm="1">
        <f t="array" aca="1" ref="AD86" ca="1">IF(ISNA(M86),,OFFSET(INDIRECT("'"&amp;AD$67&amp;"'!d1"),M86-1,))</f>
        <v>65</v>
      </c>
      <c r="AE86" cm="1">
        <f t="array" aca="1" ref="AE86" ca="1">IF(ISNA(N86),,OFFSET(INDIRECT("'"&amp;AE$67&amp;"'!d1"),N86-1,))</f>
        <v>0</v>
      </c>
      <c r="AF86" cm="1">
        <f t="array" aca="1" ref="AF86" ca="1">IF(ISNA(O86),,OFFSET(INDIRECT("'"&amp;AF$67&amp;"'!d1"),O86-1,))</f>
        <v>0</v>
      </c>
      <c r="AG86" cm="1">
        <f t="array" aca="1" ref="AG86" ca="1">IF(ISNA(P86),,OFFSET(INDIRECT("'"&amp;AG$67&amp;"'!d1"),P86-1,))</f>
        <v>0</v>
      </c>
      <c r="AM86">
        <f t="shared" ca="1" si="87"/>
        <v>0</v>
      </c>
      <c r="AN86">
        <f t="shared" ca="1" si="87"/>
        <v>0</v>
      </c>
      <c r="AO86">
        <f t="shared" ca="1" si="87"/>
        <v>0</v>
      </c>
      <c r="AP86">
        <f t="shared" ca="1" si="87"/>
        <v>0</v>
      </c>
      <c r="AQ86">
        <f t="shared" ca="1" si="88"/>
        <v>0</v>
      </c>
      <c r="AV86" t="str">
        <f t="shared" ca="1" si="89"/>
        <v/>
      </c>
      <c r="AW86" t="str">
        <f t="shared" ca="1" si="55"/>
        <v/>
      </c>
      <c r="AX86" t="str">
        <f t="shared" ca="1" si="55"/>
        <v/>
      </c>
      <c r="AY86" t="str">
        <f t="shared" ca="1" si="55"/>
        <v/>
      </c>
      <c r="AZ86" t="str">
        <f t="shared" ca="1" si="55"/>
        <v/>
      </c>
      <c r="BD86">
        <f t="shared" ca="1" si="56"/>
        <v>1</v>
      </c>
      <c r="BE86">
        <f t="shared" ca="1" si="56"/>
        <v>1</v>
      </c>
      <c r="BF86">
        <f t="shared" ca="1" si="56"/>
        <v>1</v>
      </c>
      <c r="BG86">
        <f t="shared" ca="1" si="56"/>
        <v>0</v>
      </c>
      <c r="BH86">
        <f t="shared" ca="1" si="56"/>
        <v>1</v>
      </c>
      <c r="BI86">
        <f t="shared" ca="1" si="56"/>
        <v>1</v>
      </c>
      <c r="BJ86">
        <f t="shared" ca="1" si="56"/>
        <v>1</v>
      </c>
      <c r="BK86">
        <f t="shared" ca="1" si="56"/>
        <v>1</v>
      </c>
      <c r="BL86">
        <f t="shared" ca="1" si="56"/>
        <v>1</v>
      </c>
      <c r="BM86">
        <f t="shared" ca="1" si="56"/>
        <v>0</v>
      </c>
      <c r="BN86">
        <f t="shared" ca="1" si="56"/>
        <v>0</v>
      </c>
      <c r="BO86">
        <f t="shared" ca="1" si="56"/>
        <v>0</v>
      </c>
      <c r="BU86">
        <f t="shared" ca="1" si="57"/>
        <v>44</v>
      </c>
      <c r="BV86">
        <f t="shared" ca="1" si="57"/>
        <v>63</v>
      </c>
      <c r="BW86">
        <f t="shared" ca="1" si="57"/>
        <v>68</v>
      </c>
      <c r="BX86">
        <f t="shared" ca="1" si="57"/>
        <v>612</v>
      </c>
      <c r="BY86">
        <f t="shared" ca="1" si="57"/>
        <v>74</v>
      </c>
      <c r="BZ86">
        <f t="shared" ca="1" si="57"/>
        <v>86</v>
      </c>
      <c r="CA86">
        <f t="shared" ca="1" si="57"/>
        <v>74</v>
      </c>
      <c r="CB86">
        <f t="shared" ca="1" si="57"/>
        <v>61</v>
      </c>
      <c r="CC86">
        <f t="shared" ca="1" si="57"/>
        <v>65</v>
      </c>
      <c r="CD86">
        <f t="shared" ca="1" si="57"/>
        <v>612</v>
      </c>
      <c r="CE86">
        <f t="shared" ca="1" si="57"/>
        <v>612</v>
      </c>
      <c r="CF86">
        <f t="shared" ca="1" si="57"/>
        <v>612</v>
      </c>
      <c r="CL86">
        <f t="shared" ca="1" si="58"/>
        <v>0</v>
      </c>
      <c r="CM86">
        <f t="shared" ca="1" si="58"/>
        <v>0</v>
      </c>
      <c r="CN86">
        <f t="shared" ca="1" si="58"/>
        <v>0</v>
      </c>
      <c r="CO86">
        <f t="shared" ca="1" si="58"/>
        <v>0</v>
      </c>
      <c r="CP86">
        <f t="shared" ca="1" si="58"/>
        <v>0</v>
      </c>
      <c r="CQ86">
        <f t="shared" ca="1" si="58"/>
        <v>0</v>
      </c>
      <c r="CR86">
        <f t="shared" ca="1" si="58"/>
        <v>0</v>
      </c>
      <c r="CS86">
        <f t="shared" ca="1" si="58"/>
        <v>0</v>
      </c>
      <c r="CT86">
        <f t="shared" ca="1" si="58"/>
        <v>0</v>
      </c>
      <c r="CU86">
        <f t="shared" ca="1" si="58"/>
        <v>0</v>
      </c>
      <c r="CV86">
        <f t="shared" ca="1" si="58"/>
        <v>0</v>
      </c>
      <c r="CW86">
        <f t="shared" ca="1" si="58"/>
        <v>0</v>
      </c>
      <c r="DC86" cm="1">
        <f t="array" aca="1" ref="DC86" ca="1">IF(ISNA(E86),,OFFSET(INDIRECT("'"&amp;DT$67&amp;"'!f1"),E86-1,))*1</f>
        <v>28941.4070374984</v>
      </c>
      <c r="DD86" cm="1">
        <f t="array" aca="1" ref="DD86" ca="1">IF(ISNA(F86),,OFFSET(INDIRECT("'"&amp;DU$67&amp;"'!f1"),F86-1,))*1</f>
        <v>28808.589809999801</v>
      </c>
      <c r="DE86" cm="1">
        <f t="array" aca="1" ref="DE86" ca="1">IF(ISNA(G86),,OFFSET(INDIRECT("'"&amp;DV$67&amp;"'!f1"),G86-1,))*1</f>
        <v>28800.1381012313</v>
      </c>
      <c r="DF86" cm="1">
        <f t="array" aca="1" ref="DF86" ca="1">IF(ISNA(H86),,OFFSET(INDIRECT("'"&amp;DW$67&amp;"'!f1"),H86-1,))*1</f>
        <v>28800.3599128881</v>
      </c>
      <c r="DG86" cm="1">
        <f t="array" aca="1" ref="DG86" ca="1">IF(ISNA(I86),,OFFSET(INDIRECT("'"&amp;DX$67&amp;"'!f1"),I86-1,))*1</f>
        <v>28801.738620874901</v>
      </c>
      <c r="DH86" cm="1">
        <f t="array" aca="1" ref="DH86" ca="1">IF(ISNA(J86),,OFFSET(INDIRECT("'"&amp;DY$67&amp;"'!f1"),J86-1,))*1</f>
        <v>7.5724688516929701</v>
      </c>
      <c r="DI86" cm="1">
        <f t="array" aca="1" ref="DI86" ca="1">IF(ISNA(K86),,OFFSET(INDIRECT("'"&amp;DZ$67&amp;"'!f1"),K86-1,))*1</f>
        <v>79.402683643624101</v>
      </c>
      <c r="DJ86" cm="1">
        <f t="array" aca="1" ref="DJ86" ca="1">IF(ISNA(L86),,OFFSET(INDIRECT("'"&amp;EA$67&amp;"'!f1"),L86-1,))*1</f>
        <v>78.412766946479607</v>
      </c>
      <c r="DK86" cm="1">
        <f t="array" aca="1" ref="DK86" ca="1">IF(ISNA(M86),,OFFSET(INDIRECT("'"&amp;EB$67&amp;"'!f1"),M86-1,))*1</f>
        <v>1884.05897659994</v>
      </c>
      <c r="DL86" cm="1">
        <f t="array" aca="1" ref="DL86" ca="1">IF(ISNA(N86),,OFFSET(INDIRECT("'"&amp;EC$67&amp;"'!f1"),N86-1,))*1</f>
        <v>5.22590056061744E-2</v>
      </c>
      <c r="DM86" cm="1">
        <f t="array" aca="1" ref="DM86" ca="1">IF(ISNA(O86),,OFFSET(INDIRECT("'"&amp;ED$67&amp;"'!f1"),O86-1,))*1</f>
        <v>5.4326833225786603E-2</v>
      </c>
      <c r="DN86" cm="1">
        <f t="array" aca="1" ref="DN86" ca="1">IF(ISNA(P86),,OFFSET(INDIRECT("'"&amp;EE$67&amp;"'!f1"),P86-1,))*1</f>
        <v>0</v>
      </c>
      <c r="DT86">
        <f t="shared" ca="1" si="90"/>
        <v>0</v>
      </c>
      <c r="DU86">
        <f t="shared" ca="1" si="90"/>
        <v>0</v>
      </c>
      <c r="DV86">
        <f t="shared" ca="1" si="90"/>
        <v>0</v>
      </c>
      <c r="DW86">
        <f t="shared" ca="1" si="90"/>
        <v>0</v>
      </c>
      <c r="DX86">
        <f t="shared" ca="1" si="90"/>
        <v>0</v>
      </c>
      <c r="DY86">
        <f t="shared" ca="1" si="90"/>
        <v>0</v>
      </c>
      <c r="DZ86">
        <f t="shared" ca="1" si="90"/>
        <v>0</v>
      </c>
      <c r="EA86">
        <f t="shared" ca="1" si="90"/>
        <v>0</v>
      </c>
      <c r="EB86">
        <f t="shared" ca="1" si="90"/>
        <v>0</v>
      </c>
      <c r="EC86">
        <f t="shared" ca="1" si="90"/>
        <v>0</v>
      </c>
      <c r="ED86">
        <f t="shared" ca="1" si="90"/>
        <v>0</v>
      </c>
      <c r="EE86">
        <f t="shared" ca="1" si="90"/>
        <v>0</v>
      </c>
      <c r="EK86" cm="1">
        <f t="array" aca="1" ref="EK86" ca="1">IF(ISNA(E86),0,OFFSET(INDIRECT("'"&amp;EK$67&amp;"'!g1"),E86-1,)*CL86)</f>
        <v>0</v>
      </c>
      <c r="EL86" cm="1">
        <f t="array" aca="1" ref="EL86" ca="1">IF(ISNA(F86),0,OFFSET(INDIRECT("'"&amp;EL$67&amp;"'!g1"),F86-1,)*CM86)</f>
        <v>0</v>
      </c>
      <c r="EM86" cm="1">
        <f t="array" aca="1" ref="EM86" ca="1">IF(ISNA(G86),0,OFFSET(INDIRECT("'"&amp;EM$67&amp;"'!g1"),G86-1,)*CN86)</f>
        <v>0</v>
      </c>
      <c r="EN86" cm="1">
        <f t="array" aca="1" ref="EN86" ca="1">IF(ISNA(H86),0,OFFSET(INDIRECT("'"&amp;EN$67&amp;"'!g1"),H86-1,)*CO86)</f>
        <v>0</v>
      </c>
      <c r="EO86" cm="1">
        <f t="array" aca="1" ref="EO86" ca="1">IF(ISNA(I86),0,OFFSET(INDIRECT("'"&amp;EO$67&amp;"'!g1"),I86-1,)*CP86)</f>
        <v>0</v>
      </c>
      <c r="EP86" cm="1">
        <f t="array" aca="1" ref="EP86" ca="1">IF(ISNA(J86),0,OFFSET(INDIRECT("'"&amp;EP$67&amp;"'!g1"),J86-1,)*CQ86)</f>
        <v>0</v>
      </c>
      <c r="EQ86" cm="1">
        <f t="array" aca="1" ref="EQ86" ca="1">IF(ISNA(K86),0,OFFSET(INDIRECT("'"&amp;EQ$67&amp;"'!g1"),K86-1,)*CR86)</f>
        <v>0</v>
      </c>
      <c r="ER86" cm="1">
        <f t="array" aca="1" ref="ER86" ca="1">IF(ISNA(L86),0,OFFSET(INDIRECT("'"&amp;ER$67&amp;"'!g1"),L86-1,)*CS86)</f>
        <v>0</v>
      </c>
      <c r="ES86" cm="1">
        <f t="array" aca="1" ref="ES86" ca="1">IF(ISNA(M86),0,OFFSET(INDIRECT("'"&amp;ES$67&amp;"'!g1"),M86-1,)*CT86)</f>
        <v>0</v>
      </c>
      <c r="ET86" cm="1">
        <f t="array" aca="1" ref="ET86" ca="1">IF(ISNA(N86),0,OFFSET(INDIRECT("'"&amp;ET$67&amp;"'!g1"),N86-1,)*CU86)</f>
        <v>0</v>
      </c>
      <c r="EU86" cm="1">
        <f t="array" aca="1" ref="EU86" ca="1">IF(ISNA(O86),0,OFFSET(INDIRECT("'"&amp;EU$67&amp;"'!g1"),O86-1,)*CV86)</f>
        <v>0</v>
      </c>
      <c r="EV86" cm="1">
        <f t="array" aca="1" ref="EV86" ca="1">IF(ISNA(P86),0,OFFSET(INDIRECT("'"&amp;EV$67&amp;"'!g1"),P86-1,)*CW86)</f>
        <v>0</v>
      </c>
      <c r="FB86" s="10" cm="1">
        <f t="array" aca="1" ref="FB86" ca="1">IF(ISNA(E86),0,OFFSET(INDIRECT("'"&amp;EK$67&amp;"'!h1"),E86-1,))</f>
        <v>1</v>
      </c>
      <c r="FC86" s="10" cm="1">
        <f t="array" aca="1" ref="FC86" ca="1">IF(ISNA(F86),0,OFFSET(INDIRECT("'"&amp;EL$67&amp;"'!h1"),F86-1,))</f>
        <v>1</v>
      </c>
      <c r="FD86" s="10" cm="1">
        <f t="array" aca="1" ref="FD86" ca="1">IF(ISNA(G86),0,OFFSET(INDIRECT("'"&amp;EM$67&amp;"'!h1"),G86-1,))</f>
        <v>1</v>
      </c>
      <c r="FE86" s="10" cm="1">
        <f t="array" aca="1" ref="FE86" ca="1">IF(ISNA(H86),0,OFFSET(INDIRECT("'"&amp;EN$67&amp;"'!h1"),H86-1,))</f>
        <v>1</v>
      </c>
      <c r="FF86" s="10" cm="1">
        <f t="array" aca="1" ref="FF86" ca="1">IF(ISNA(I86),0,OFFSET(INDIRECT("'"&amp;EO$67&amp;"'!h1"),I86-1,))</f>
        <v>1</v>
      </c>
      <c r="FG86" s="10" cm="1">
        <f t="array" aca="1" ref="FG86" ca="1">IF(ISNA(J86),0,OFFSET(INDIRECT("'"&amp;EP$67&amp;"'!h1"),J86-1,))</f>
        <v>1</v>
      </c>
      <c r="FH86" s="10" cm="1">
        <f t="array" aca="1" ref="FH86" ca="1">IF(ISNA(K86),0,OFFSET(INDIRECT("'"&amp;EQ$67&amp;"'!h1"),K86-1,))</f>
        <v>10000</v>
      </c>
      <c r="FI86" s="10" cm="1">
        <f t="array" aca="1" ref="FI86" ca="1">IF(ISNA(L86),0,OFFSET(INDIRECT("'"&amp;ER$67&amp;"'!h1"),L86-1,))</f>
        <v>10000</v>
      </c>
      <c r="FJ86" s="10" cm="1">
        <f t="array" aca="1" ref="FJ86" ca="1">IF(ISNA(M86),0,OFFSET(INDIRECT("'"&amp;ES$67&amp;"'!h1"),M86-1,))</f>
        <v>10000</v>
      </c>
      <c r="FK86" s="10" cm="1">
        <f t="array" aca="1" ref="FK86" ca="1">IF(ISNA(N86),0,OFFSET(INDIRECT("'"&amp;ET$67&amp;"'!h1"),N86-1,))</f>
        <v>1</v>
      </c>
      <c r="FL86" s="10" cm="1">
        <f t="array" aca="1" ref="FL86" ca="1">IF(ISNA(O86),0,OFFSET(INDIRECT("'"&amp;EU$67&amp;"'!h1"),O86-1,))</f>
        <v>1</v>
      </c>
      <c r="FM86" s="10" cm="1">
        <f t="array" aca="1" ref="FM86" ca="1">IF(ISNA(P86),0,OFFSET(INDIRECT("'"&amp;EV$67&amp;"'!h1"),P86-1,))</f>
        <v>0</v>
      </c>
      <c r="FN86" s="10"/>
      <c r="FO86" s="10"/>
      <c r="FP86" s="10"/>
      <c r="FQ86" s="10"/>
      <c r="FS86">
        <f t="shared" ca="1" si="91"/>
        <v>612</v>
      </c>
      <c r="FT86">
        <f t="shared" ca="1" si="92"/>
        <v>79.402683643624101</v>
      </c>
      <c r="FU86">
        <f t="shared" ca="1" si="93"/>
        <v>0</v>
      </c>
      <c r="FV86">
        <f t="shared" ca="1" si="94"/>
        <v>10000</v>
      </c>
      <c r="FW86" s="4">
        <f t="shared" ca="1" si="95"/>
        <v>0</v>
      </c>
      <c r="FX86" s="5" t="e">
        <f t="shared" ca="1" si="96"/>
        <v>#N/A</v>
      </c>
      <c r="FZ86" s="13">
        <f t="shared" ca="1" si="60"/>
        <v>612</v>
      </c>
      <c r="GA86" s="22">
        <f t="shared" ca="1" si="97"/>
        <v>7.3170731707317069E-2</v>
      </c>
      <c r="GB86" s="22">
        <f t="shared" ca="1" si="61"/>
        <v>0.53658536585365857</v>
      </c>
      <c r="GC86" s="22">
        <f t="shared" ca="1" si="62"/>
        <v>0.65853658536585369</v>
      </c>
      <c r="GD86" s="22" t="e">
        <f t="shared" ca="1" si="63"/>
        <v>#N/A</v>
      </c>
      <c r="GE86" s="22">
        <f t="shared" ca="1" si="64"/>
        <v>0.80487804878048785</v>
      </c>
      <c r="GF86" s="22">
        <f t="shared" ca="1" si="65"/>
        <v>1.0975609756097562</v>
      </c>
      <c r="GG86" s="22">
        <f t="shared" ca="1" si="66"/>
        <v>0.80487804878048785</v>
      </c>
      <c r="GH86" s="22">
        <f t="shared" ca="1" si="67"/>
        <v>0.48780487804878048</v>
      </c>
      <c r="GI86" s="22">
        <f t="shared" ca="1" si="68"/>
        <v>0.58536585365853655</v>
      </c>
      <c r="GJ86" s="22" t="e">
        <f t="shared" ca="1" si="69"/>
        <v>#N/A</v>
      </c>
      <c r="GK86" s="22" t="e">
        <f t="shared" ca="1" si="70"/>
        <v>#N/A</v>
      </c>
      <c r="GL86" s="22" t="e">
        <f t="shared" ca="1" si="71"/>
        <v>#N/A</v>
      </c>
      <c r="GM86" s="22"/>
      <c r="GN86">
        <f t="shared" ca="1" si="98"/>
        <v>612</v>
      </c>
      <c r="GO86" s="5" t="e">
        <f t="shared" ca="1" si="99"/>
        <v>#N/A</v>
      </c>
      <c r="GP86" s="5" t="e">
        <f t="shared" ca="1" si="103"/>
        <v>#N/A</v>
      </c>
      <c r="GQ86" s="5" t="e">
        <f t="shared" ca="1" si="104"/>
        <v>#N/A</v>
      </c>
      <c r="GR86" s="5" t="e">
        <f t="shared" ca="1" si="105"/>
        <v>#N/A</v>
      </c>
      <c r="GS86" s="5" t="e">
        <f t="shared" ca="1" si="106"/>
        <v>#N/A</v>
      </c>
      <c r="GT86" s="5" t="e">
        <f t="shared" ca="1" si="100"/>
        <v>#N/A</v>
      </c>
      <c r="GU86" s="5" t="e">
        <f t="shared" ca="1" si="107"/>
        <v>#N/A</v>
      </c>
      <c r="GV86" s="5" t="e">
        <f t="shared" ca="1" si="108"/>
        <v>#N/A</v>
      </c>
      <c r="GW86" s="5" t="e">
        <f t="shared" ca="1" si="109"/>
        <v>#N/A</v>
      </c>
      <c r="GX86" s="5" t="e">
        <f t="shared" ca="1" si="110"/>
        <v>#N/A</v>
      </c>
      <c r="GY86" s="5" t="e">
        <f t="shared" ca="1" si="111"/>
        <v>#N/A</v>
      </c>
      <c r="GZ86" s="5" t="e">
        <f t="shared" ca="1" si="112"/>
        <v>#N/A</v>
      </c>
      <c r="HB86" s="13">
        <f t="shared" ca="1" si="74"/>
        <v>612</v>
      </c>
      <c r="HC86" s="4">
        <f t="shared" ca="1" si="101"/>
        <v>0</v>
      </c>
      <c r="HD86" s="4">
        <f t="shared" ca="1" si="75"/>
        <v>0</v>
      </c>
      <c r="HE86" s="4">
        <f t="shared" ca="1" si="76"/>
        <v>0</v>
      </c>
      <c r="HF86" s="4">
        <f t="shared" ca="1" si="77"/>
        <v>0</v>
      </c>
      <c r="HG86" s="4">
        <f t="shared" ca="1" si="78"/>
        <v>0</v>
      </c>
      <c r="HH86" s="4">
        <f t="shared" ca="1" si="79"/>
        <v>0</v>
      </c>
      <c r="HI86" s="4">
        <f t="shared" ca="1" si="80"/>
        <v>0</v>
      </c>
      <c r="HJ86" s="4">
        <f t="shared" ca="1" si="81"/>
        <v>0</v>
      </c>
      <c r="HK86" s="4">
        <f t="shared" ca="1" si="82"/>
        <v>0</v>
      </c>
      <c r="HL86" s="4">
        <f t="shared" ca="1" si="83"/>
        <v>0</v>
      </c>
      <c r="HM86" s="4">
        <f t="shared" ca="1" si="84"/>
        <v>0</v>
      </c>
      <c r="HN86" s="4">
        <f t="shared" ca="1" si="85"/>
        <v>0</v>
      </c>
    </row>
    <row r="87" spans="1:222" x14ac:dyDescent="0.2">
      <c r="A87" t="str" cm="1">
        <f t="array" aca="1" ref="A87" ca="1">INDIRECT($A$67&amp;"!A"&amp;ROW(C20)+$B$64)</f>
        <v>648_10_71</v>
      </c>
      <c r="B87" cm="1">
        <f t="array" aca="1" ref="B87" ca="1">INDIRECT($A$67&amp;"!b"&amp;ROW(D20)+$B$64)</f>
        <v>648</v>
      </c>
      <c r="C87">
        <f t="shared" ref="C87:C89" ca="1" si="113">MIN(INDIRECT($A$67&amp;"!d"&amp;ROW(E20)+$B$64),BU87:CG87)</f>
        <v>33</v>
      </c>
      <c r="E87">
        <f t="shared" ca="1" si="102"/>
        <v>41</v>
      </c>
      <c r="F87">
        <f t="shared" ca="1" si="102"/>
        <v>42</v>
      </c>
      <c r="G87">
        <f t="shared" ca="1" si="102"/>
        <v>38</v>
      </c>
      <c r="H87">
        <f t="shared" ca="1" si="102"/>
        <v>38</v>
      </c>
      <c r="I87">
        <f t="shared" ca="1" si="102"/>
        <v>32</v>
      </c>
      <c r="J87">
        <f t="shared" ca="1" si="102"/>
        <v>48</v>
      </c>
      <c r="K87">
        <f t="shared" ca="1" si="102"/>
        <v>51</v>
      </c>
      <c r="L87">
        <f t="shared" ca="1" si="102"/>
        <v>53</v>
      </c>
      <c r="M87">
        <f t="shared" ca="1" si="102"/>
        <v>54</v>
      </c>
      <c r="N87">
        <f t="shared" ca="1" si="102"/>
        <v>48</v>
      </c>
      <c r="O87">
        <f t="shared" ca="1" si="102"/>
        <v>48</v>
      </c>
      <c r="P87" t="e">
        <f t="shared" ca="1" si="102"/>
        <v>#N/A</v>
      </c>
      <c r="V87" cm="1">
        <f t="array" aca="1" ref="V87" ca="1">IF(ISNA(E87),,OFFSET(INDIRECT("'"&amp;V$67&amp;"'!d1"),E87-1,))</f>
        <v>71</v>
      </c>
      <c r="W87" cm="1">
        <f t="array" aca="1" ref="W87" ca="1">IF(ISNA(F87),,OFFSET(INDIRECT("'"&amp;W$67&amp;"'!d1"),F87-1,))</f>
        <v>60</v>
      </c>
      <c r="X87" cm="1">
        <f t="array" aca="1" ref="X87" ca="1">IF(ISNA(G87),,OFFSET(INDIRECT("'"&amp;X$67&amp;"'!d1"),G87-1,))</f>
        <v>46</v>
      </c>
      <c r="Y87" cm="1">
        <f t="array" aca="1" ref="Y87" ca="1">IF(ISNA(H87),,OFFSET(INDIRECT("'"&amp;Y$67&amp;"'!d1"),H87-1,))</f>
        <v>0</v>
      </c>
      <c r="Z87" cm="1">
        <f t="array" aca="1" ref="Z87" ca="1">IF(ISNA(I87),,OFFSET(INDIRECT("'"&amp;Z$67&amp;"'!d1"),I87-1,))</f>
        <v>71</v>
      </c>
      <c r="AA87" cm="1">
        <f t="array" aca="1" ref="AA87" ca="1">IF(ISNA(J87),,OFFSET(INDIRECT("'"&amp;AA$67&amp;"'!d1"),J87-1,))</f>
        <v>85</v>
      </c>
      <c r="AB87" cm="1">
        <f t="array" aca="1" ref="AB87" ca="1">IF(ISNA(K87),,OFFSET(INDIRECT("'"&amp;AB$67&amp;"'!d1"),K87-1,))</f>
        <v>68</v>
      </c>
      <c r="AC87" cm="1">
        <f t="array" aca="1" ref="AC87" ca="1">IF(ISNA(L87),,OFFSET(INDIRECT("'"&amp;AC$67&amp;"'!d1"),L87-1,))</f>
        <v>60</v>
      </c>
      <c r="AD87" cm="1">
        <f t="array" aca="1" ref="AD87" ca="1">IF(ISNA(M87),,OFFSET(INDIRECT("'"&amp;AD$67&amp;"'!d1"),M87-1,))</f>
        <v>81</v>
      </c>
      <c r="AE87" cm="1">
        <f t="array" aca="1" ref="AE87" ca="1">IF(ISNA(N87),,OFFSET(INDIRECT("'"&amp;AE$67&amp;"'!d1"),N87-1,))</f>
        <v>0</v>
      </c>
      <c r="AF87" cm="1">
        <f t="array" aca="1" ref="AF87" ca="1">IF(ISNA(O87),,OFFSET(INDIRECT("'"&amp;AF$67&amp;"'!d1"),O87-1,))</f>
        <v>0</v>
      </c>
      <c r="AG87" cm="1">
        <f t="array" aca="1" ref="AG87" ca="1">IF(ISNA(P87),,OFFSET(INDIRECT("'"&amp;AG$67&amp;"'!d1"),P87-1,))</f>
        <v>0</v>
      </c>
      <c r="AM87">
        <f t="shared" ref="AM87:AM89" ca="1" si="114">IF(DC87&gt;= $N$3,0,BD87)</f>
        <v>0</v>
      </c>
      <c r="AN87">
        <f t="shared" ref="AN87:AN89" ca="1" si="115">IF(DD87&gt;= $N$3,0,BE87)</f>
        <v>0</v>
      </c>
      <c r="AO87">
        <f t="shared" ref="AO87:AO89" ca="1" si="116">IF(DE87&gt;= $N$3,0,BF87)</f>
        <v>0</v>
      </c>
      <c r="AP87">
        <f t="shared" ref="AP87:AP89" ca="1" si="117">IF(DF87&gt;= $N$3,0,BG87)</f>
        <v>0</v>
      </c>
      <c r="AQ87">
        <f t="shared" ref="AQ87:AQ89" ca="1" si="118">IF(DG87*1&gt;= $N$3,0,BH87)</f>
        <v>0</v>
      </c>
      <c r="AV87" t="str">
        <f t="shared" ref="AV87:AZ89" ca="1" si="119">IF(AM87=1,CL87=1,"")</f>
        <v/>
      </c>
      <c r="AW87" t="str">
        <f t="shared" ca="1" si="119"/>
        <v/>
      </c>
      <c r="AX87" t="str">
        <f t="shared" ca="1" si="119"/>
        <v/>
      </c>
      <c r="AY87" t="str">
        <f t="shared" ca="1" si="119"/>
        <v/>
      </c>
      <c r="AZ87" t="str">
        <f t="shared" ca="1" si="119"/>
        <v/>
      </c>
      <c r="BD87">
        <f t="shared" ref="BD87:BD89" ca="1" si="120">IF(AND(V87&gt;0,V87&lt;$B87),1,0)</f>
        <v>1</v>
      </c>
      <c r="BE87">
        <f t="shared" ref="BE87:BE89" ca="1" si="121">IF(AND(W87&gt;0,W87&lt;$B87),1,0)</f>
        <v>1</v>
      </c>
      <c r="BF87">
        <f t="shared" ref="BF87:BF89" ca="1" si="122">IF(AND(X87&gt;0,X87&lt;$B87),1,0)</f>
        <v>1</v>
      </c>
      <c r="BG87">
        <f t="shared" ref="BG87:BG89" ca="1" si="123">IF(AND(Y87&gt;0,Y87&lt;$B87),1,0)</f>
        <v>0</v>
      </c>
      <c r="BH87">
        <f t="shared" ref="BH87:BH89" ca="1" si="124">IF(AND(Z87&gt;0,Z87&lt;$B87),1,0)</f>
        <v>1</v>
      </c>
      <c r="BI87">
        <f t="shared" ref="BI87:BI89" ca="1" si="125">IF(AND(AA87&gt;0,AA87&lt;$B87),1,0)</f>
        <v>1</v>
      </c>
      <c r="BJ87">
        <f t="shared" ref="BJ87:BJ89" ca="1" si="126">IF(AND(AB87&gt;0,AB87&lt;$B87),1,0)</f>
        <v>1</v>
      </c>
      <c r="BK87">
        <f t="shared" ref="BK87:BK89" ca="1" si="127">IF(AND(AC87&gt;0,AC87&lt;$B87),1,0)</f>
        <v>1</v>
      </c>
      <c r="BL87">
        <f t="shared" ref="BL87:BL89" ca="1" si="128">IF(AND(AD87&gt;0,AD87&lt;$B87),1,0)</f>
        <v>1</v>
      </c>
      <c r="BM87">
        <f t="shared" ref="BM87:BM89" ca="1" si="129">IF(AND(AE87&gt;0,AE87&lt;$B87),1,0)</f>
        <v>0</v>
      </c>
      <c r="BN87">
        <f t="shared" ref="BN87:BN89" ca="1" si="130">IF(AND(AF87&gt;0,AF87&lt;$B87),1,0)</f>
        <v>0</v>
      </c>
      <c r="BO87">
        <f t="shared" ref="BO87:BO89" ca="1" si="131">IF(AND(AG87&gt;0,AG87&lt;$B87),1,0)</f>
        <v>0</v>
      </c>
      <c r="BU87">
        <f t="shared" ref="BU87:BU89" ca="1" si="132">IF(BD87,V87,$B87)</f>
        <v>71</v>
      </c>
      <c r="BV87">
        <f t="shared" ref="BV87:BV89" ca="1" si="133">IF(BE87,W87,$B87)</f>
        <v>60</v>
      </c>
      <c r="BW87">
        <f t="shared" ref="BW87:BW89" ca="1" si="134">IF(BF87,X87,$B87)</f>
        <v>46</v>
      </c>
      <c r="BX87">
        <f t="shared" ref="BX87:BX89" ca="1" si="135">IF(BG87,Y87,$B87)</f>
        <v>648</v>
      </c>
      <c r="BY87">
        <f t="shared" ref="BY87:BY89" ca="1" si="136">IF(BH87,Z87,$B87)</f>
        <v>71</v>
      </c>
      <c r="BZ87">
        <f t="shared" ref="BZ87:BZ89" ca="1" si="137">IF(BI87,AA87,$B87)</f>
        <v>85</v>
      </c>
      <c r="CA87">
        <f t="shared" ref="CA87:CA89" ca="1" si="138">IF(BJ87,AB87,$B87)</f>
        <v>68</v>
      </c>
      <c r="CB87">
        <f t="shared" ref="CB87:CB89" ca="1" si="139">IF(BK87,AC87,$B87)</f>
        <v>60</v>
      </c>
      <c r="CC87">
        <f t="shared" ref="CC87:CC89" ca="1" si="140">IF(BL87,AD87,$B87)</f>
        <v>81</v>
      </c>
      <c r="CD87">
        <f t="shared" ref="CD87:CD89" ca="1" si="141">IF(BM87,AE87,$B87)</f>
        <v>648</v>
      </c>
      <c r="CE87">
        <f t="shared" ref="CE87:CE89" ca="1" si="142">IF(BN87,AF87,$B87)</f>
        <v>648</v>
      </c>
      <c r="CF87">
        <f t="shared" ref="CF87:CF89" ca="1" si="143">IF(BO87,AG87,$B87)</f>
        <v>648</v>
      </c>
      <c r="CL87">
        <f t="shared" ref="CL87:CL89" ca="1" si="144">IF(BU87=$C87,1,0)</f>
        <v>0</v>
      </c>
      <c r="CM87">
        <f t="shared" ref="CM87:CM89" ca="1" si="145">IF(BV87=$C87,1,0)</f>
        <v>0</v>
      </c>
      <c r="CN87">
        <f t="shared" ref="CN87:CN89" ca="1" si="146">IF(BW87=$C87,1,0)</f>
        <v>0</v>
      </c>
      <c r="CO87">
        <f t="shared" ref="CO87:CO89" ca="1" si="147">IF(BX87=$C87,1,0)</f>
        <v>0</v>
      </c>
      <c r="CP87">
        <f t="shared" ref="CP87:CP89" ca="1" si="148">IF(BY87=$C87,1,0)</f>
        <v>0</v>
      </c>
      <c r="CQ87">
        <f t="shared" ref="CQ87:CQ89" ca="1" si="149">IF(BZ87=$C87,1,0)</f>
        <v>0</v>
      </c>
      <c r="CR87">
        <f t="shared" ref="CR87:CR89" ca="1" si="150">IF(CA87=$C87,1,0)</f>
        <v>0</v>
      </c>
      <c r="CS87">
        <f t="shared" ref="CS87:CS89" ca="1" si="151">IF(CB87=$C87,1,0)</f>
        <v>0</v>
      </c>
      <c r="CT87">
        <f t="shared" ref="CT87:CT89" ca="1" si="152">IF(CC87=$C87,1,0)</f>
        <v>0</v>
      </c>
      <c r="CU87">
        <f t="shared" ref="CU87:CU89" ca="1" si="153">IF(CD87=$C87,1,0)</f>
        <v>0</v>
      </c>
      <c r="CV87">
        <f t="shared" ref="CV87:CV89" ca="1" si="154">IF(CE87=$C87,1,0)</f>
        <v>0</v>
      </c>
      <c r="CW87">
        <f t="shared" ref="CW87:CW89" ca="1" si="155">IF(CF87=$C87,1,0)</f>
        <v>0</v>
      </c>
      <c r="DC87" cm="1">
        <f t="array" aca="1" ref="DC87" ca="1">IF(ISNA(E87),,OFFSET(INDIRECT("'"&amp;DT$67&amp;"'!f1"),E87-1,))*1</f>
        <v>28919.663317766899</v>
      </c>
      <c r="DD87" cm="1">
        <f t="array" aca="1" ref="DD87" ca="1">IF(ISNA(F87),,OFFSET(INDIRECT("'"&amp;DU$67&amp;"'!f1"),F87-1,))*1</f>
        <v>28811.055099967802</v>
      </c>
      <c r="DE87" cm="1">
        <f t="array" aca="1" ref="DE87" ca="1">IF(ISNA(G87),,OFFSET(INDIRECT("'"&amp;DV$67&amp;"'!f1"),G87-1,))*1</f>
        <v>28800.2780768023</v>
      </c>
      <c r="DF87" cm="1">
        <f t="array" aca="1" ref="DF87" ca="1">IF(ISNA(H87),,OFFSET(INDIRECT("'"&amp;DW$67&amp;"'!f1"),H87-1,))*1</f>
        <v>28800.113908175299</v>
      </c>
      <c r="DG87" cm="1">
        <f t="array" aca="1" ref="DG87" ca="1">IF(ISNA(I87),,OFFSET(INDIRECT("'"&amp;DX$67&amp;"'!f1"),I87-1,))*1</f>
        <v>28800.785613415999</v>
      </c>
      <c r="DH87" cm="1">
        <f t="array" aca="1" ref="DH87" ca="1">IF(ISNA(J87),,OFFSET(INDIRECT("'"&amp;DY$67&amp;"'!f1"),J87-1,))*1</f>
        <v>8.4242257783189398</v>
      </c>
      <c r="DI87" cm="1">
        <f t="array" aca="1" ref="DI87" ca="1">IF(ISNA(K87),,OFFSET(INDIRECT("'"&amp;DZ$67&amp;"'!f1"),K87-1,))*1</f>
        <v>111.311793208122</v>
      </c>
      <c r="DJ87" cm="1">
        <f t="array" aca="1" ref="DJ87" ca="1">IF(ISNA(L87),,OFFSET(INDIRECT("'"&amp;EA$67&amp;"'!f1"),L87-1,))*1</f>
        <v>110.087523970752</v>
      </c>
      <c r="DK87" cm="1">
        <f t="array" aca="1" ref="DK87" ca="1">IF(ISNA(M87),,OFFSET(INDIRECT("'"&amp;EB$67&amp;"'!f1"),M87-1,))*1</f>
        <v>2319.5902283834198</v>
      </c>
      <c r="DL87" cm="1">
        <f t="array" aca="1" ref="DL87" ca="1">IF(ISNA(N87),,OFFSET(INDIRECT("'"&amp;EC$67&amp;"'!f1"),N87-1,))*1</f>
        <v>8.0991830676793997E-2</v>
      </c>
      <c r="DM87" cm="1">
        <f t="array" aca="1" ref="DM87" ca="1">IF(ISNA(O87),,OFFSET(INDIRECT("'"&amp;ED$67&amp;"'!f1"),O87-1,))*1</f>
        <v>8.3346463739871895E-2</v>
      </c>
      <c r="DN87" cm="1">
        <f t="array" aca="1" ref="DN87" ca="1">IF(ISNA(P87),,OFFSET(INDIRECT("'"&amp;EE$67&amp;"'!f1"),P87-1,))*1</f>
        <v>0</v>
      </c>
      <c r="DT87">
        <f t="shared" ref="DT87:DT89" ca="1" si="156">IF(CL87,EK87,)</f>
        <v>0</v>
      </c>
      <c r="DU87">
        <f t="shared" ref="DU87:DU89" ca="1" si="157">IF(CM87,EL87,)</f>
        <v>0</v>
      </c>
      <c r="DV87">
        <f t="shared" ref="DV87:DV89" ca="1" si="158">IF(CN87,EM87,)</f>
        <v>0</v>
      </c>
      <c r="DW87">
        <f t="shared" ref="DW87:DW89" ca="1" si="159">IF(CO87,EN87,)</f>
        <v>0</v>
      </c>
      <c r="DX87">
        <f t="shared" ref="DX87:DX89" ca="1" si="160">IF(CP87,EO87,)</f>
        <v>0</v>
      </c>
      <c r="DY87">
        <f t="shared" ref="DY87:DY89" ca="1" si="161">IF(CQ87,EP87,)</f>
        <v>0</v>
      </c>
      <c r="DZ87">
        <f t="shared" ref="DZ87:DZ89" ca="1" si="162">IF(CR87,EQ87,)</f>
        <v>0</v>
      </c>
      <c r="EA87">
        <f t="shared" ref="EA87:EA89" ca="1" si="163">IF(CS87,ER87,)</f>
        <v>0</v>
      </c>
      <c r="EB87">
        <f t="shared" ref="EB87:EB89" ca="1" si="164">IF(CT87,ES87,)</f>
        <v>0</v>
      </c>
      <c r="EC87">
        <f t="shared" ref="EC87:EC89" ca="1" si="165">IF(CU87,ET87,)</f>
        <v>0</v>
      </c>
      <c r="ED87">
        <f t="shared" ref="ED87:ED89" ca="1" si="166">IF(CV87,EU87,)</f>
        <v>0</v>
      </c>
      <c r="EE87">
        <f t="shared" ref="EE87:EE89" ca="1" si="167">IF(CW87,EV87,)</f>
        <v>0</v>
      </c>
      <c r="EK87" cm="1">
        <f t="array" aca="1" ref="EK87" ca="1">IF(ISNA(E87),0,OFFSET(INDIRECT("'"&amp;EK$67&amp;"'!g1"),E87-1,)*CL87)</f>
        <v>0</v>
      </c>
      <c r="EL87" cm="1">
        <f t="array" aca="1" ref="EL87" ca="1">IF(ISNA(F87),0,OFFSET(INDIRECT("'"&amp;EL$67&amp;"'!g1"),F87-1,)*CM87)</f>
        <v>0</v>
      </c>
      <c r="EM87" cm="1">
        <f t="array" aca="1" ref="EM87" ca="1">IF(ISNA(G87),0,OFFSET(INDIRECT("'"&amp;EM$67&amp;"'!g1"),G87-1,)*CN87)</f>
        <v>0</v>
      </c>
      <c r="EN87" cm="1">
        <f t="array" aca="1" ref="EN87" ca="1">IF(ISNA(H87),0,OFFSET(INDIRECT("'"&amp;EN$67&amp;"'!g1"),H87-1,)*CO87)</f>
        <v>0</v>
      </c>
      <c r="EO87" cm="1">
        <f t="array" aca="1" ref="EO87" ca="1">IF(ISNA(I87),0,OFFSET(INDIRECT("'"&amp;EO$67&amp;"'!g1"),I87-1,)*CP87)</f>
        <v>0</v>
      </c>
      <c r="EP87" cm="1">
        <f t="array" aca="1" ref="EP87" ca="1">IF(ISNA(J87),0,OFFSET(INDIRECT("'"&amp;EP$67&amp;"'!g1"),J87-1,)*CQ87)</f>
        <v>0</v>
      </c>
      <c r="EQ87" cm="1">
        <f t="array" aca="1" ref="EQ87" ca="1">IF(ISNA(K87),0,OFFSET(INDIRECT("'"&amp;EQ$67&amp;"'!g1"),K87-1,)*CR87)</f>
        <v>0</v>
      </c>
      <c r="ER87" cm="1">
        <f t="array" aca="1" ref="ER87" ca="1">IF(ISNA(L87),0,OFFSET(INDIRECT("'"&amp;ER$67&amp;"'!g1"),L87-1,)*CS87)</f>
        <v>0</v>
      </c>
      <c r="ES87" cm="1">
        <f t="array" aca="1" ref="ES87" ca="1">IF(ISNA(M87),0,OFFSET(INDIRECT("'"&amp;ES$67&amp;"'!g1"),M87-1,)*CT87)</f>
        <v>0</v>
      </c>
      <c r="ET87" cm="1">
        <f t="array" aca="1" ref="ET87" ca="1">IF(ISNA(N87),0,OFFSET(INDIRECT("'"&amp;ET$67&amp;"'!g1"),N87-1,)*CU87)</f>
        <v>0</v>
      </c>
      <c r="EU87" cm="1">
        <f t="array" aca="1" ref="EU87" ca="1">IF(ISNA(O87),0,OFFSET(INDIRECT("'"&amp;EU$67&amp;"'!g1"),O87-1,)*CV87)</f>
        <v>0</v>
      </c>
      <c r="EV87" cm="1">
        <f t="array" aca="1" ref="EV87" ca="1">IF(ISNA(P87),0,OFFSET(INDIRECT("'"&amp;EV$67&amp;"'!g1"),P87-1,)*CW87)</f>
        <v>0</v>
      </c>
      <c r="FB87" s="10" cm="1">
        <f t="array" aca="1" ref="FB87" ca="1">IF(ISNA(E87),0,OFFSET(INDIRECT("'"&amp;EK$67&amp;"'!h1"),E87-1,))</f>
        <v>1</v>
      </c>
      <c r="FC87" s="10" cm="1">
        <f t="array" aca="1" ref="FC87" ca="1">IF(ISNA(F87),0,OFFSET(INDIRECT("'"&amp;EL$67&amp;"'!h1"),F87-1,))</f>
        <v>1</v>
      </c>
      <c r="FD87" s="10" cm="1">
        <f t="array" aca="1" ref="FD87" ca="1">IF(ISNA(G87),0,OFFSET(INDIRECT("'"&amp;EM$67&amp;"'!h1"),G87-1,))</f>
        <v>1</v>
      </c>
      <c r="FE87" s="10" cm="1">
        <f t="array" aca="1" ref="FE87" ca="1">IF(ISNA(H87),0,OFFSET(INDIRECT("'"&amp;EN$67&amp;"'!h1"),H87-1,))</f>
        <v>1</v>
      </c>
      <c r="FF87" s="10" cm="1">
        <f t="array" aca="1" ref="FF87" ca="1">IF(ISNA(I87),0,OFFSET(INDIRECT("'"&amp;EO$67&amp;"'!h1"),I87-1,))</f>
        <v>1</v>
      </c>
      <c r="FG87" s="10" cm="1">
        <f t="array" aca="1" ref="FG87" ca="1">IF(ISNA(J87),0,OFFSET(INDIRECT("'"&amp;EP$67&amp;"'!h1"),J87-1,))</f>
        <v>1</v>
      </c>
      <c r="FH87" s="10" cm="1">
        <f t="array" aca="1" ref="FH87" ca="1">IF(ISNA(K87),0,OFFSET(INDIRECT("'"&amp;EQ$67&amp;"'!h1"),K87-1,))</f>
        <v>10000</v>
      </c>
      <c r="FI87" s="10" cm="1">
        <f t="array" aca="1" ref="FI87" ca="1">IF(ISNA(L87),0,OFFSET(INDIRECT("'"&amp;ER$67&amp;"'!h1"),L87-1,))</f>
        <v>10000</v>
      </c>
      <c r="FJ87" s="10" cm="1">
        <f t="array" aca="1" ref="FJ87" ca="1">IF(ISNA(M87),0,OFFSET(INDIRECT("'"&amp;ES$67&amp;"'!h1"),M87-1,))</f>
        <v>10000</v>
      </c>
      <c r="FK87" s="10" cm="1">
        <f t="array" aca="1" ref="FK87" ca="1">IF(ISNA(N87),0,OFFSET(INDIRECT("'"&amp;ET$67&amp;"'!h1"),N87-1,))</f>
        <v>1</v>
      </c>
      <c r="FL87" s="10" cm="1">
        <f t="array" aca="1" ref="FL87" ca="1">IF(ISNA(O87),0,OFFSET(INDIRECT("'"&amp;EU$67&amp;"'!h1"),O87-1,))</f>
        <v>1</v>
      </c>
      <c r="FM87" s="10" cm="1">
        <f t="array" aca="1" ref="FM87" ca="1">IF(ISNA(P87),0,OFFSET(INDIRECT("'"&amp;EV$67&amp;"'!h1"),P87-1,))</f>
        <v>0</v>
      </c>
      <c r="FN87" s="10"/>
      <c r="FO87" s="10"/>
      <c r="FP87" s="10"/>
      <c r="FQ87" s="10"/>
      <c r="FS87">
        <f t="shared" ref="FS87:FS89" ca="1" si="168">B87</f>
        <v>648</v>
      </c>
      <c r="FT87">
        <f t="shared" ca="1" si="92"/>
        <v>111.311793208122</v>
      </c>
      <c r="FU87">
        <f t="shared" ca="1" si="93"/>
        <v>0</v>
      </c>
      <c r="FV87">
        <f t="shared" ca="1" si="94"/>
        <v>10000</v>
      </c>
      <c r="FW87" s="4">
        <f t="shared" ref="FW87:FW89" ca="1" si="169">IF(FV87,FU87/FV87,NA())</f>
        <v>0</v>
      </c>
      <c r="FX87" s="5" t="e">
        <f t="shared" ref="FX87:FX89" ca="1" si="170">IF(FU87,FT87/FU87,NA())</f>
        <v>#N/A</v>
      </c>
      <c r="FZ87" s="13">
        <f t="shared" ca="1" si="60"/>
        <v>648</v>
      </c>
      <c r="GA87" s="22">
        <f t="shared" ca="1" si="97"/>
        <v>1.1515151515151516</v>
      </c>
      <c r="GB87" s="22">
        <f t="shared" ca="1" si="61"/>
        <v>0.81818181818181823</v>
      </c>
      <c r="GC87" s="22">
        <f t="shared" ca="1" si="62"/>
        <v>0.39393939393939392</v>
      </c>
      <c r="GD87" s="22" t="e">
        <f t="shared" ca="1" si="63"/>
        <v>#N/A</v>
      </c>
      <c r="GE87" s="22">
        <f t="shared" ca="1" si="64"/>
        <v>1.1515151515151516</v>
      </c>
      <c r="GF87" s="22">
        <f t="shared" ca="1" si="65"/>
        <v>1.5757575757575757</v>
      </c>
      <c r="GG87" s="22">
        <f t="shared" ca="1" si="66"/>
        <v>1.0606060606060606</v>
      </c>
      <c r="GH87" s="22">
        <f t="shared" ca="1" si="67"/>
        <v>0.81818181818181823</v>
      </c>
      <c r="GI87" s="22">
        <f t="shared" ca="1" si="68"/>
        <v>1.4545454545454546</v>
      </c>
      <c r="GJ87" s="22" t="e">
        <f t="shared" ca="1" si="69"/>
        <v>#N/A</v>
      </c>
      <c r="GK87" s="22" t="e">
        <f t="shared" ca="1" si="70"/>
        <v>#N/A</v>
      </c>
      <c r="GL87" s="22" t="e">
        <f t="shared" ca="1" si="71"/>
        <v>#N/A</v>
      </c>
      <c r="GM87" s="22"/>
      <c r="GN87">
        <f t="shared" ca="1" si="98"/>
        <v>648</v>
      </c>
      <c r="GO87" s="5" t="e">
        <f t="shared" ca="1" si="99"/>
        <v>#N/A</v>
      </c>
      <c r="GP87" s="5" t="e">
        <f t="shared" ca="1" si="103"/>
        <v>#N/A</v>
      </c>
      <c r="GQ87" s="5" t="e">
        <f t="shared" ca="1" si="104"/>
        <v>#N/A</v>
      </c>
      <c r="GR87" s="5" t="e">
        <f t="shared" ca="1" si="105"/>
        <v>#N/A</v>
      </c>
      <c r="GS87" s="5" t="e">
        <f t="shared" ca="1" si="106"/>
        <v>#N/A</v>
      </c>
      <c r="GT87" s="5" t="e">
        <f t="shared" ca="1" si="100"/>
        <v>#N/A</v>
      </c>
      <c r="GU87" s="5" t="e">
        <f t="shared" ca="1" si="107"/>
        <v>#N/A</v>
      </c>
      <c r="GV87" s="5" t="e">
        <f t="shared" ca="1" si="108"/>
        <v>#N/A</v>
      </c>
      <c r="GW87" s="5" t="e">
        <f t="shared" ca="1" si="109"/>
        <v>#N/A</v>
      </c>
      <c r="GX87" s="5" t="e">
        <f t="shared" ca="1" si="110"/>
        <v>#N/A</v>
      </c>
      <c r="GY87" s="5" t="e">
        <f t="shared" ca="1" si="111"/>
        <v>#N/A</v>
      </c>
      <c r="GZ87" s="5" t="e">
        <f t="shared" ca="1" si="112"/>
        <v>#N/A</v>
      </c>
      <c r="HB87" s="13">
        <f t="shared" ca="1" si="74"/>
        <v>648</v>
      </c>
      <c r="HC87" s="4">
        <f t="shared" ca="1" si="101"/>
        <v>0</v>
      </c>
      <c r="HD87" s="4">
        <f t="shared" ca="1" si="75"/>
        <v>0</v>
      </c>
      <c r="HE87" s="4">
        <f t="shared" ca="1" si="76"/>
        <v>0</v>
      </c>
      <c r="HF87" s="4">
        <f t="shared" ca="1" si="77"/>
        <v>0</v>
      </c>
      <c r="HG87" s="4">
        <f t="shared" ca="1" si="78"/>
        <v>0</v>
      </c>
      <c r="HH87" s="4">
        <f t="shared" ca="1" si="79"/>
        <v>0</v>
      </c>
      <c r="HI87" s="4">
        <f t="shared" ca="1" si="80"/>
        <v>0</v>
      </c>
      <c r="HJ87" s="4">
        <f t="shared" ca="1" si="81"/>
        <v>0</v>
      </c>
      <c r="HK87" s="4">
        <f t="shared" ca="1" si="82"/>
        <v>0</v>
      </c>
      <c r="HL87" s="4">
        <f t="shared" ca="1" si="83"/>
        <v>0</v>
      </c>
      <c r="HM87" s="4">
        <f t="shared" ca="1" si="84"/>
        <v>0</v>
      </c>
      <c r="HN87" s="4">
        <f t="shared" ca="1" si="85"/>
        <v>0</v>
      </c>
    </row>
    <row r="88" spans="1:222" x14ac:dyDescent="0.2">
      <c r="A88" t="str" cm="1">
        <f t="array" aca="1" ref="A88" ca="1">INDIRECT($A$67&amp;"!A"&amp;ROW(C21)+$B$64)</f>
        <v>648_14_50</v>
      </c>
      <c r="B88" cm="1">
        <f t="array" aca="1" ref="B88" ca="1">INDIRECT($A$67&amp;"!b"&amp;ROW(D21)+$B$64)</f>
        <v>648</v>
      </c>
      <c r="C88">
        <f t="shared" ca="1" si="113"/>
        <v>29</v>
      </c>
      <c r="E88">
        <f t="shared" ca="1" si="102"/>
        <v>44</v>
      </c>
      <c r="F88">
        <f t="shared" ca="1" si="102"/>
        <v>46</v>
      </c>
      <c r="G88">
        <f t="shared" ca="1" si="102"/>
        <v>41</v>
      </c>
      <c r="H88">
        <f t="shared" ca="1" si="102"/>
        <v>42</v>
      </c>
      <c r="I88">
        <f t="shared" ca="1" si="102"/>
        <v>39</v>
      </c>
      <c r="J88">
        <f t="shared" ca="1" si="102"/>
        <v>49</v>
      </c>
      <c r="K88">
        <f t="shared" ca="1" si="102"/>
        <v>52</v>
      </c>
      <c r="L88">
        <f t="shared" ca="1" si="102"/>
        <v>54</v>
      </c>
      <c r="M88">
        <f t="shared" ca="1" si="102"/>
        <v>55</v>
      </c>
      <c r="N88">
        <f t="shared" ca="1" si="102"/>
        <v>49</v>
      </c>
      <c r="O88">
        <f t="shared" ca="1" si="102"/>
        <v>49</v>
      </c>
      <c r="P88" t="e">
        <f t="shared" ca="1" si="102"/>
        <v>#N/A</v>
      </c>
      <c r="V88" cm="1">
        <f t="array" aca="1" ref="V88" ca="1">IF(ISNA(E88),,OFFSET(INDIRECT("'"&amp;V$67&amp;"'!d1"),E88-1,))</f>
        <v>32</v>
      </c>
      <c r="W88" cm="1">
        <f t="array" aca="1" ref="W88" ca="1">IF(ISNA(F88),,OFFSET(INDIRECT("'"&amp;W$67&amp;"'!d1"),F88-1,))</f>
        <v>37</v>
      </c>
      <c r="X88" cm="1">
        <f t="array" aca="1" ref="X88" ca="1">IF(ISNA(G88),,OFFSET(INDIRECT("'"&amp;X$67&amp;"'!d1"),G88-1,))</f>
        <v>54</v>
      </c>
      <c r="Y88" cm="1">
        <f t="array" aca="1" ref="Y88" ca="1">IF(ISNA(H88),,OFFSET(INDIRECT("'"&amp;Y$67&amp;"'!d1"),H88-1,))</f>
        <v>0</v>
      </c>
      <c r="Z88" cm="1">
        <f t="array" aca="1" ref="Z88" ca="1">IF(ISNA(I88),,OFFSET(INDIRECT("'"&amp;Z$67&amp;"'!d1"),I88-1,))</f>
        <v>66</v>
      </c>
      <c r="AA88" cm="1">
        <f t="array" aca="1" ref="AA88" ca="1">IF(ISNA(J88),,OFFSET(INDIRECT("'"&amp;AA$67&amp;"'!d1"),J88-1,))</f>
        <v>55</v>
      </c>
      <c r="AB88" cm="1">
        <f t="array" aca="1" ref="AB88" ca="1">IF(ISNA(K88),,OFFSET(INDIRECT("'"&amp;AB$67&amp;"'!d1"),K88-1,))</f>
        <v>70</v>
      </c>
      <c r="AC88" cm="1">
        <f t="array" aca="1" ref="AC88" ca="1">IF(ISNA(L88),,OFFSET(INDIRECT("'"&amp;AC$67&amp;"'!d1"),L88-1,))</f>
        <v>32</v>
      </c>
      <c r="AD88" cm="1">
        <f t="array" aca="1" ref="AD88" ca="1">IF(ISNA(M88),,OFFSET(INDIRECT("'"&amp;AD$67&amp;"'!d1"),M88-1,))</f>
        <v>78</v>
      </c>
      <c r="AE88" cm="1">
        <f t="array" aca="1" ref="AE88" ca="1">IF(ISNA(N88),,OFFSET(INDIRECT("'"&amp;AE$67&amp;"'!d1"),N88-1,))</f>
        <v>0</v>
      </c>
      <c r="AF88" cm="1">
        <f t="array" aca="1" ref="AF88" ca="1">IF(ISNA(O88),,OFFSET(INDIRECT("'"&amp;AF$67&amp;"'!d1"),O88-1,))</f>
        <v>0</v>
      </c>
      <c r="AG88" cm="1">
        <f t="array" aca="1" ref="AG88" ca="1">IF(ISNA(P88),,OFFSET(INDIRECT("'"&amp;AG$67&amp;"'!d1"),P88-1,))</f>
        <v>0</v>
      </c>
      <c r="AM88">
        <f t="shared" ca="1" si="114"/>
        <v>0</v>
      </c>
      <c r="AN88">
        <f t="shared" ca="1" si="115"/>
        <v>0</v>
      </c>
      <c r="AO88">
        <f t="shared" ca="1" si="116"/>
        <v>0</v>
      </c>
      <c r="AP88">
        <f t="shared" ca="1" si="117"/>
        <v>0</v>
      </c>
      <c r="AQ88">
        <f t="shared" ca="1" si="118"/>
        <v>0</v>
      </c>
      <c r="AV88" t="str">
        <f t="shared" ca="1" si="119"/>
        <v/>
      </c>
      <c r="AW88" t="str">
        <f t="shared" ca="1" si="119"/>
        <v/>
      </c>
      <c r="AX88" t="str">
        <f t="shared" ca="1" si="119"/>
        <v/>
      </c>
      <c r="AY88" t="str">
        <f t="shared" ca="1" si="119"/>
        <v/>
      </c>
      <c r="AZ88" t="str">
        <f t="shared" ca="1" si="119"/>
        <v/>
      </c>
      <c r="BD88">
        <f t="shared" ca="1" si="120"/>
        <v>1</v>
      </c>
      <c r="BE88">
        <f t="shared" ca="1" si="121"/>
        <v>1</v>
      </c>
      <c r="BF88">
        <f t="shared" ca="1" si="122"/>
        <v>1</v>
      </c>
      <c r="BG88">
        <f t="shared" ca="1" si="123"/>
        <v>0</v>
      </c>
      <c r="BH88">
        <f t="shared" ca="1" si="124"/>
        <v>1</v>
      </c>
      <c r="BI88">
        <f t="shared" ca="1" si="125"/>
        <v>1</v>
      </c>
      <c r="BJ88">
        <f t="shared" ca="1" si="126"/>
        <v>1</v>
      </c>
      <c r="BK88">
        <f t="shared" ca="1" si="127"/>
        <v>1</v>
      </c>
      <c r="BL88">
        <f t="shared" ca="1" si="128"/>
        <v>1</v>
      </c>
      <c r="BM88">
        <f t="shared" ca="1" si="129"/>
        <v>0</v>
      </c>
      <c r="BN88">
        <f t="shared" ca="1" si="130"/>
        <v>0</v>
      </c>
      <c r="BO88">
        <f t="shared" ca="1" si="131"/>
        <v>0</v>
      </c>
      <c r="BU88">
        <f t="shared" ca="1" si="132"/>
        <v>32</v>
      </c>
      <c r="BV88">
        <f t="shared" ca="1" si="133"/>
        <v>37</v>
      </c>
      <c r="BW88">
        <f t="shared" ca="1" si="134"/>
        <v>54</v>
      </c>
      <c r="BX88">
        <f t="shared" ca="1" si="135"/>
        <v>648</v>
      </c>
      <c r="BY88">
        <f t="shared" ca="1" si="136"/>
        <v>66</v>
      </c>
      <c r="BZ88">
        <f t="shared" ca="1" si="137"/>
        <v>55</v>
      </c>
      <c r="CA88">
        <f t="shared" ca="1" si="138"/>
        <v>70</v>
      </c>
      <c r="CB88">
        <f t="shared" ca="1" si="139"/>
        <v>32</v>
      </c>
      <c r="CC88">
        <f t="shared" ca="1" si="140"/>
        <v>78</v>
      </c>
      <c r="CD88">
        <f t="shared" ca="1" si="141"/>
        <v>648</v>
      </c>
      <c r="CE88">
        <f t="shared" ca="1" si="142"/>
        <v>648</v>
      </c>
      <c r="CF88">
        <f t="shared" ca="1" si="143"/>
        <v>648</v>
      </c>
      <c r="CL88">
        <f t="shared" ca="1" si="144"/>
        <v>0</v>
      </c>
      <c r="CM88">
        <f t="shared" ca="1" si="145"/>
        <v>0</v>
      </c>
      <c r="CN88">
        <f t="shared" ca="1" si="146"/>
        <v>0</v>
      </c>
      <c r="CO88">
        <f t="shared" ca="1" si="147"/>
        <v>0</v>
      </c>
      <c r="CP88">
        <f t="shared" ca="1" si="148"/>
        <v>0</v>
      </c>
      <c r="CQ88">
        <f t="shared" ca="1" si="149"/>
        <v>0</v>
      </c>
      <c r="CR88">
        <f t="shared" ca="1" si="150"/>
        <v>0</v>
      </c>
      <c r="CS88">
        <f t="shared" ca="1" si="151"/>
        <v>0</v>
      </c>
      <c r="CT88">
        <f t="shared" ca="1" si="152"/>
        <v>0</v>
      </c>
      <c r="CU88">
        <f t="shared" ca="1" si="153"/>
        <v>0</v>
      </c>
      <c r="CV88">
        <f t="shared" ca="1" si="154"/>
        <v>0</v>
      </c>
      <c r="CW88">
        <f t="shared" ca="1" si="155"/>
        <v>0</v>
      </c>
      <c r="DC88" cm="1">
        <f t="array" aca="1" ref="DC88" ca="1">IF(ISNA(E88),,OFFSET(INDIRECT("'"&amp;DT$67&amp;"'!f1"),E88-1,))*1</f>
        <v>28917.165768123199</v>
      </c>
      <c r="DD88" cm="1">
        <f t="array" aca="1" ref="DD88" ca="1">IF(ISNA(F88),,OFFSET(INDIRECT("'"&amp;DU$67&amp;"'!f1"),F88-1,))*1</f>
        <v>28817.671885357198</v>
      </c>
      <c r="DE88" cm="1">
        <f t="array" aca="1" ref="DE88" ca="1">IF(ISNA(G88),,OFFSET(INDIRECT("'"&amp;DV$67&amp;"'!f1"),G88-1,))*1</f>
        <v>28800.171025644901</v>
      </c>
      <c r="DF88" cm="1">
        <f t="array" aca="1" ref="DF88" ca="1">IF(ISNA(H88),,OFFSET(INDIRECT("'"&amp;DW$67&amp;"'!f1"),H88-1,))*1</f>
        <v>28800.113017200401</v>
      </c>
      <c r="DG88" cm="1">
        <f t="array" aca="1" ref="DG88" ca="1">IF(ISNA(I88),,OFFSET(INDIRECT("'"&amp;DX$67&amp;"'!f1"),I88-1,))*1</f>
        <v>28801.131488290899</v>
      </c>
      <c r="DH88" cm="1">
        <f t="array" aca="1" ref="DH88" ca="1">IF(ISNA(J88),,OFFSET(INDIRECT("'"&amp;DY$67&amp;"'!f1"),J88-1,))*1</f>
        <v>8.0583516461774707</v>
      </c>
      <c r="DI88" cm="1">
        <f t="array" aca="1" ref="DI88" ca="1">IF(ISNA(K88),,OFFSET(INDIRECT("'"&amp;DZ$67&amp;"'!f1"),K88-1,))*1</f>
        <v>123.791839221492</v>
      </c>
      <c r="DJ88" cm="1">
        <f t="array" aca="1" ref="DJ88" ca="1">IF(ISNA(L88),,OFFSET(INDIRECT("'"&amp;EA$67&amp;"'!f1"),L88-1,))*1</f>
        <v>122.298727479763</v>
      </c>
      <c r="DK88" cm="1">
        <f t="array" aca="1" ref="DK88" ca="1">IF(ISNA(M88),,OFFSET(INDIRECT("'"&amp;EB$67&amp;"'!f1"),M88-1,))*1</f>
        <v>2288.4525531204399</v>
      </c>
      <c r="DL88" cm="1">
        <f t="array" aca="1" ref="DL88" ca="1">IF(ISNA(N88),,OFFSET(INDIRECT("'"&amp;EC$67&amp;"'!f1"),N88-1,))*1</f>
        <v>8.9544928632676601E-2</v>
      </c>
      <c r="DM88" cm="1">
        <f t="array" aca="1" ref="DM88" ca="1">IF(ISNA(O88),,OFFSET(INDIRECT("'"&amp;ED$67&amp;"'!f1"),O88-1,))*1</f>
        <v>9.2727934941649395E-2</v>
      </c>
      <c r="DN88" cm="1">
        <f t="array" aca="1" ref="DN88" ca="1">IF(ISNA(P88),,OFFSET(INDIRECT("'"&amp;EE$67&amp;"'!f1"),P88-1,))*1</f>
        <v>0</v>
      </c>
      <c r="DT88">
        <f t="shared" ca="1" si="156"/>
        <v>0</v>
      </c>
      <c r="DU88">
        <f t="shared" ca="1" si="157"/>
        <v>0</v>
      </c>
      <c r="DV88">
        <f t="shared" ca="1" si="158"/>
        <v>0</v>
      </c>
      <c r="DW88">
        <f t="shared" ca="1" si="159"/>
        <v>0</v>
      </c>
      <c r="DX88">
        <f t="shared" ca="1" si="160"/>
        <v>0</v>
      </c>
      <c r="DY88">
        <f t="shared" ca="1" si="161"/>
        <v>0</v>
      </c>
      <c r="DZ88">
        <f t="shared" ca="1" si="162"/>
        <v>0</v>
      </c>
      <c r="EA88">
        <f t="shared" ca="1" si="163"/>
        <v>0</v>
      </c>
      <c r="EB88">
        <f t="shared" ca="1" si="164"/>
        <v>0</v>
      </c>
      <c r="EC88">
        <f t="shared" ca="1" si="165"/>
        <v>0</v>
      </c>
      <c r="ED88">
        <f t="shared" ca="1" si="166"/>
        <v>0</v>
      </c>
      <c r="EE88">
        <f t="shared" ca="1" si="167"/>
        <v>0</v>
      </c>
      <c r="EK88" cm="1">
        <f t="array" aca="1" ref="EK88" ca="1">IF(ISNA(E88),0,OFFSET(INDIRECT("'"&amp;EK$67&amp;"'!g1"),E88-1,)*CL88)</f>
        <v>0</v>
      </c>
      <c r="EL88" cm="1">
        <f t="array" aca="1" ref="EL88" ca="1">IF(ISNA(F88),0,OFFSET(INDIRECT("'"&amp;EL$67&amp;"'!g1"),F88-1,)*CM88)</f>
        <v>0</v>
      </c>
      <c r="EM88" cm="1">
        <f t="array" aca="1" ref="EM88" ca="1">IF(ISNA(G88),0,OFFSET(INDIRECT("'"&amp;EM$67&amp;"'!g1"),G88-1,)*CN88)</f>
        <v>0</v>
      </c>
      <c r="EN88" cm="1">
        <f t="array" aca="1" ref="EN88" ca="1">IF(ISNA(H88),0,OFFSET(INDIRECT("'"&amp;EN$67&amp;"'!g1"),H88-1,)*CO88)</f>
        <v>0</v>
      </c>
      <c r="EO88" cm="1">
        <f t="array" aca="1" ref="EO88" ca="1">IF(ISNA(I88),0,OFFSET(INDIRECT("'"&amp;EO$67&amp;"'!g1"),I88-1,)*CP88)</f>
        <v>0</v>
      </c>
      <c r="EP88" cm="1">
        <f t="array" aca="1" ref="EP88" ca="1">IF(ISNA(J88),0,OFFSET(INDIRECT("'"&amp;EP$67&amp;"'!g1"),J88-1,)*CQ88)</f>
        <v>0</v>
      </c>
      <c r="EQ88" cm="1">
        <f t="array" aca="1" ref="EQ88" ca="1">IF(ISNA(K88),0,OFFSET(INDIRECT("'"&amp;EQ$67&amp;"'!g1"),K88-1,)*CR88)</f>
        <v>0</v>
      </c>
      <c r="ER88" cm="1">
        <f t="array" aca="1" ref="ER88" ca="1">IF(ISNA(L88),0,OFFSET(INDIRECT("'"&amp;ER$67&amp;"'!g1"),L88-1,)*CS88)</f>
        <v>0</v>
      </c>
      <c r="ES88" cm="1">
        <f t="array" aca="1" ref="ES88" ca="1">IF(ISNA(M88),0,OFFSET(INDIRECT("'"&amp;ES$67&amp;"'!g1"),M88-1,)*CT88)</f>
        <v>0</v>
      </c>
      <c r="ET88" cm="1">
        <f t="array" aca="1" ref="ET88" ca="1">IF(ISNA(N88),0,OFFSET(INDIRECT("'"&amp;ET$67&amp;"'!g1"),N88-1,)*CU88)</f>
        <v>0</v>
      </c>
      <c r="EU88" cm="1">
        <f t="array" aca="1" ref="EU88" ca="1">IF(ISNA(O88),0,OFFSET(INDIRECT("'"&amp;EU$67&amp;"'!g1"),O88-1,)*CV88)</f>
        <v>0</v>
      </c>
      <c r="EV88" cm="1">
        <f t="array" aca="1" ref="EV88" ca="1">IF(ISNA(P88),0,OFFSET(INDIRECT("'"&amp;EV$67&amp;"'!g1"),P88-1,)*CW88)</f>
        <v>0</v>
      </c>
      <c r="FB88" s="10" cm="1">
        <f t="array" aca="1" ref="FB88" ca="1">IF(ISNA(E88),0,OFFSET(INDIRECT("'"&amp;EK$67&amp;"'!h1"),E88-1,))</f>
        <v>1</v>
      </c>
      <c r="FC88" s="10" cm="1">
        <f t="array" aca="1" ref="FC88" ca="1">IF(ISNA(F88),0,OFFSET(INDIRECT("'"&amp;EL$67&amp;"'!h1"),F88-1,))</f>
        <v>1</v>
      </c>
      <c r="FD88" s="10" cm="1">
        <f t="array" aca="1" ref="FD88" ca="1">IF(ISNA(G88),0,OFFSET(INDIRECT("'"&amp;EM$67&amp;"'!h1"),G88-1,))</f>
        <v>1</v>
      </c>
      <c r="FE88" s="10" cm="1">
        <f t="array" aca="1" ref="FE88" ca="1">IF(ISNA(H88),0,OFFSET(INDIRECT("'"&amp;EN$67&amp;"'!h1"),H88-1,))</f>
        <v>1</v>
      </c>
      <c r="FF88" s="10" cm="1">
        <f t="array" aca="1" ref="FF88" ca="1">IF(ISNA(I88),0,OFFSET(INDIRECT("'"&amp;EO$67&amp;"'!h1"),I88-1,))</f>
        <v>1</v>
      </c>
      <c r="FG88" s="10" cm="1">
        <f t="array" aca="1" ref="FG88" ca="1">IF(ISNA(J88),0,OFFSET(INDIRECT("'"&amp;EP$67&amp;"'!h1"),J88-1,))</f>
        <v>1</v>
      </c>
      <c r="FH88" s="10" cm="1">
        <f t="array" aca="1" ref="FH88" ca="1">IF(ISNA(K88),0,OFFSET(INDIRECT("'"&amp;EQ$67&amp;"'!h1"),K88-1,))</f>
        <v>10000</v>
      </c>
      <c r="FI88" s="10" cm="1">
        <f t="array" aca="1" ref="FI88" ca="1">IF(ISNA(L88),0,OFFSET(INDIRECT("'"&amp;ER$67&amp;"'!h1"),L88-1,))</f>
        <v>10000</v>
      </c>
      <c r="FJ88" s="10" cm="1">
        <f t="array" aca="1" ref="FJ88" ca="1">IF(ISNA(M88),0,OFFSET(INDIRECT("'"&amp;ES$67&amp;"'!h1"),M88-1,))</f>
        <v>10000</v>
      </c>
      <c r="FK88" s="10" cm="1">
        <f t="array" aca="1" ref="FK88" ca="1">IF(ISNA(N88),0,OFFSET(INDIRECT("'"&amp;ET$67&amp;"'!h1"),N88-1,))</f>
        <v>1</v>
      </c>
      <c r="FL88" s="10" cm="1">
        <f t="array" aca="1" ref="FL88" ca="1">IF(ISNA(O88),0,OFFSET(INDIRECT("'"&amp;EU$67&amp;"'!h1"),O88-1,))</f>
        <v>1</v>
      </c>
      <c r="FM88" s="10" cm="1">
        <f t="array" aca="1" ref="FM88" ca="1">IF(ISNA(P88),0,OFFSET(INDIRECT("'"&amp;EV$67&amp;"'!h1"),P88-1,))</f>
        <v>0</v>
      </c>
      <c r="FN88" s="10"/>
      <c r="FO88" s="10"/>
      <c r="FP88" s="10"/>
      <c r="FQ88" s="10"/>
      <c r="FS88">
        <f t="shared" ca="1" si="168"/>
        <v>648</v>
      </c>
      <c r="FT88">
        <f t="shared" ca="1" si="92"/>
        <v>123.791839221492</v>
      </c>
      <c r="FU88">
        <f t="shared" ca="1" si="93"/>
        <v>0</v>
      </c>
      <c r="FV88">
        <f t="shared" ca="1" si="94"/>
        <v>10000</v>
      </c>
      <c r="FW88" s="4">
        <f t="shared" ca="1" si="169"/>
        <v>0</v>
      </c>
      <c r="FX88" s="5" t="e">
        <f t="shared" ca="1" si="170"/>
        <v>#N/A</v>
      </c>
      <c r="FZ88" s="13">
        <f t="shared" ca="1" si="60"/>
        <v>648</v>
      </c>
      <c r="GA88" s="22">
        <f t="shared" ca="1" si="97"/>
        <v>0.10344827586206896</v>
      </c>
      <c r="GB88" s="22">
        <f t="shared" ca="1" si="61"/>
        <v>0.27586206896551724</v>
      </c>
      <c r="GC88" s="22">
        <f t="shared" ca="1" si="62"/>
        <v>0.86206896551724133</v>
      </c>
      <c r="GD88" s="22" t="e">
        <f t="shared" ca="1" si="63"/>
        <v>#N/A</v>
      </c>
      <c r="GE88" s="22">
        <f t="shared" ca="1" si="64"/>
        <v>1.2758620689655173</v>
      </c>
      <c r="GF88" s="22">
        <f t="shared" ca="1" si="65"/>
        <v>0.89655172413793105</v>
      </c>
      <c r="GG88" s="22">
        <f t="shared" ca="1" si="66"/>
        <v>1.4137931034482758</v>
      </c>
      <c r="GH88" s="22">
        <f t="shared" ca="1" si="67"/>
        <v>0.10344827586206896</v>
      </c>
      <c r="GI88" s="22">
        <f t="shared" ca="1" si="68"/>
        <v>1.6896551724137931</v>
      </c>
      <c r="GJ88" s="22" t="e">
        <f t="shared" ca="1" si="69"/>
        <v>#N/A</v>
      </c>
      <c r="GK88" s="22" t="e">
        <f t="shared" ca="1" si="70"/>
        <v>#N/A</v>
      </c>
      <c r="GL88" s="22" t="e">
        <f t="shared" ca="1" si="71"/>
        <v>#N/A</v>
      </c>
      <c r="GM88" s="22"/>
      <c r="GN88">
        <f t="shared" ca="1" si="98"/>
        <v>648</v>
      </c>
      <c r="GO88" s="5" t="e">
        <f t="shared" ca="1" si="99"/>
        <v>#N/A</v>
      </c>
      <c r="GP88" s="5" t="e">
        <f t="shared" ca="1" si="103"/>
        <v>#N/A</v>
      </c>
      <c r="GQ88" s="5" t="e">
        <f t="shared" ca="1" si="104"/>
        <v>#N/A</v>
      </c>
      <c r="GR88" s="5" t="e">
        <f t="shared" ca="1" si="105"/>
        <v>#N/A</v>
      </c>
      <c r="GS88" s="5" t="e">
        <f t="shared" ca="1" si="106"/>
        <v>#N/A</v>
      </c>
      <c r="GT88" s="5" t="e">
        <f t="shared" ca="1" si="100"/>
        <v>#N/A</v>
      </c>
      <c r="GU88" s="5" t="e">
        <f t="shared" ca="1" si="107"/>
        <v>#N/A</v>
      </c>
      <c r="GV88" s="5" t="e">
        <f t="shared" ca="1" si="108"/>
        <v>#N/A</v>
      </c>
      <c r="GW88" s="5" t="e">
        <f t="shared" ca="1" si="109"/>
        <v>#N/A</v>
      </c>
      <c r="GX88" s="5" t="e">
        <f t="shared" ca="1" si="110"/>
        <v>#N/A</v>
      </c>
      <c r="GY88" s="5" t="e">
        <f t="shared" ca="1" si="111"/>
        <v>#N/A</v>
      </c>
      <c r="GZ88" s="5" t="e">
        <f t="shared" ca="1" si="112"/>
        <v>#N/A</v>
      </c>
      <c r="HB88" s="13">
        <f t="shared" ca="1" si="74"/>
        <v>648</v>
      </c>
      <c r="HC88" s="4">
        <f t="shared" ca="1" si="101"/>
        <v>0</v>
      </c>
      <c r="HD88" s="4">
        <f t="shared" ca="1" si="75"/>
        <v>0</v>
      </c>
      <c r="HE88" s="4">
        <f t="shared" ca="1" si="76"/>
        <v>0</v>
      </c>
      <c r="HF88" s="4">
        <f t="shared" ca="1" si="77"/>
        <v>0</v>
      </c>
      <c r="HG88" s="4">
        <f t="shared" ca="1" si="78"/>
        <v>0</v>
      </c>
      <c r="HH88" s="4">
        <f t="shared" ca="1" si="79"/>
        <v>0</v>
      </c>
      <c r="HI88" s="4">
        <f t="shared" ca="1" si="80"/>
        <v>0</v>
      </c>
      <c r="HJ88" s="4">
        <f t="shared" ca="1" si="81"/>
        <v>0</v>
      </c>
      <c r="HK88" s="4">
        <f t="shared" ca="1" si="82"/>
        <v>0</v>
      </c>
      <c r="HL88" s="4">
        <f t="shared" ca="1" si="83"/>
        <v>0</v>
      </c>
      <c r="HM88" s="4">
        <f t="shared" ca="1" si="84"/>
        <v>0</v>
      </c>
      <c r="HN88" s="4">
        <f t="shared" ca="1" si="85"/>
        <v>0</v>
      </c>
    </row>
    <row r="89" spans="1:222" x14ac:dyDescent="0.2">
      <c r="A89" t="str" cm="1">
        <f t="array" aca="1" ref="A89" ca="1">INDIRECT($A$67&amp;"!A"&amp;ROW(C22)+$B$64)</f>
        <v>684_2_29</v>
      </c>
      <c r="B89" cm="1">
        <f t="array" aca="1" ref="B89" ca="1">INDIRECT($A$67&amp;"!b"&amp;ROW(D22)+$B$64)</f>
        <v>684</v>
      </c>
      <c r="C89">
        <f t="shared" ca="1" si="113"/>
        <v>29</v>
      </c>
      <c r="E89">
        <f t="shared" ca="1" si="102"/>
        <v>47</v>
      </c>
      <c r="F89">
        <f t="shared" ca="1" si="102"/>
        <v>49</v>
      </c>
      <c r="G89">
        <f t="shared" ca="1" si="102"/>
        <v>45</v>
      </c>
      <c r="H89">
        <f t="shared" ca="1" si="102"/>
        <v>47</v>
      </c>
      <c r="I89">
        <f t="shared" ca="1" si="102"/>
        <v>46</v>
      </c>
      <c r="J89">
        <f t="shared" ca="1" si="102"/>
        <v>50</v>
      </c>
      <c r="K89">
        <f t="shared" ca="1" si="102"/>
        <v>53</v>
      </c>
      <c r="L89">
        <f t="shared" ca="1" si="102"/>
        <v>55</v>
      </c>
      <c r="M89">
        <f t="shared" ca="1" si="102"/>
        <v>56</v>
      </c>
      <c r="N89">
        <f t="shared" ca="1" si="102"/>
        <v>50</v>
      </c>
      <c r="O89">
        <f t="shared" ca="1" si="102"/>
        <v>50</v>
      </c>
      <c r="P89" t="e">
        <f t="shared" ca="1" si="102"/>
        <v>#N/A</v>
      </c>
      <c r="V89" cm="1">
        <f t="array" aca="1" ref="V89" ca="1">IF(ISNA(E89),,OFFSET(INDIRECT("'"&amp;V$67&amp;"'!d1"),E89-1,))</f>
        <v>31</v>
      </c>
      <c r="W89" cm="1">
        <f t="array" aca="1" ref="W89" ca="1">IF(ISNA(F89),,OFFSET(INDIRECT("'"&amp;W$67&amp;"'!d1"),F89-1,))</f>
        <v>36</v>
      </c>
      <c r="X89" cm="1">
        <f t="array" aca="1" ref="X89" ca="1">IF(ISNA(G89),,OFFSET(INDIRECT("'"&amp;X$67&amp;"'!d1"),G89-1,))</f>
        <v>123</v>
      </c>
      <c r="Y89" cm="1">
        <f t="array" aca="1" ref="Y89" ca="1">IF(ISNA(H89),,OFFSET(INDIRECT("'"&amp;Y$67&amp;"'!d1"),H89-1,))</f>
        <v>0</v>
      </c>
      <c r="Z89" cm="1">
        <f t="array" aca="1" ref="Z89" ca="1">IF(ISNA(I89),,OFFSET(INDIRECT("'"&amp;Z$67&amp;"'!d1"),I89-1,))</f>
        <v>49</v>
      </c>
      <c r="AA89" cm="1">
        <f t="array" aca="1" ref="AA89" ca="1">IF(ISNA(J89),,OFFSET(INDIRECT("'"&amp;AA$67&amp;"'!d1"),J89-1,))</f>
        <v>35</v>
      </c>
      <c r="AB89" cm="1">
        <f t="array" aca="1" ref="AB89" ca="1">IF(ISNA(K89),,OFFSET(INDIRECT("'"&amp;AB$67&amp;"'!d1"),K89-1,))</f>
        <v>41</v>
      </c>
      <c r="AC89" cm="1">
        <f t="array" aca="1" ref="AC89" ca="1">IF(ISNA(L89),,OFFSET(INDIRECT("'"&amp;AC$67&amp;"'!d1"),L89-1,))</f>
        <v>31</v>
      </c>
      <c r="AD89" cm="1">
        <f t="array" aca="1" ref="AD89" ca="1">IF(ISNA(M89),,OFFSET(INDIRECT("'"&amp;AD$67&amp;"'!d1"),M89-1,))</f>
        <v>42</v>
      </c>
      <c r="AE89" cm="1">
        <f t="array" aca="1" ref="AE89" ca="1">IF(ISNA(N89),,OFFSET(INDIRECT("'"&amp;AE$67&amp;"'!d1"),N89-1,))</f>
        <v>0</v>
      </c>
      <c r="AF89" cm="1">
        <f t="array" aca="1" ref="AF89" ca="1">IF(ISNA(O89),,OFFSET(INDIRECT("'"&amp;AF$67&amp;"'!d1"),O89-1,))</f>
        <v>0</v>
      </c>
      <c r="AG89" cm="1">
        <f t="array" aca="1" ref="AG89" ca="1">IF(ISNA(P89),,OFFSET(INDIRECT("'"&amp;AG$67&amp;"'!d1"),P89-1,))</f>
        <v>0</v>
      </c>
      <c r="AM89">
        <f t="shared" ca="1" si="114"/>
        <v>0</v>
      </c>
      <c r="AN89">
        <f t="shared" ca="1" si="115"/>
        <v>0</v>
      </c>
      <c r="AO89">
        <f t="shared" ca="1" si="116"/>
        <v>0</v>
      </c>
      <c r="AP89">
        <f t="shared" ca="1" si="117"/>
        <v>0</v>
      </c>
      <c r="AQ89">
        <f t="shared" ca="1" si="118"/>
        <v>0</v>
      </c>
      <c r="AV89" t="str">
        <f t="shared" ca="1" si="119"/>
        <v/>
      </c>
      <c r="AW89" t="str">
        <f t="shared" ca="1" si="119"/>
        <v/>
      </c>
      <c r="AX89" t="str">
        <f t="shared" ca="1" si="119"/>
        <v/>
      </c>
      <c r="AY89" t="str">
        <f t="shared" ca="1" si="119"/>
        <v/>
      </c>
      <c r="AZ89" t="str">
        <f t="shared" ca="1" si="119"/>
        <v/>
      </c>
      <c r="BD89">
        <f t="shared" ca="1" si="120"/>
        <v>1</v>
      </c>
      <c r="BE89">
        <f t="shared" ca="1" si="121"/>
        <v>1</v>
      </c>
      <c r="BF89">
        <f t="shared" ca="1" si="122"/>
        <v>1</v>
      </c>
      <c r="BG89">
        <f t="shared" ca="1" si="123"/>
        <v>0</v>
      </c>
      <c r="BH89">
        <f t="shared" ca="1" si="124"/>
        <v>1</v>
      </c>
      <c r="BI89">
        <f t="shared" ca="1" si="125"/>
        <v>1</v>
      </c>
      <c r="BJ89">
        <f t="shared" ca="1" si="126"/>
        <v>1</v>
      </c>
      <c r="BK89">
        <f t="shared" ca="1" si="127"/>
        <v>1</v>
      </c>
      <c r="BL89">
        <f t="shared" ca="1" si="128"/>
        <v>1</v>
      </c>
      <c r="BM89">
        <f t="shared" ca="1" si="129"/>
        <v>0</v>
      </c>
      <c r="BN89">
        <f t="shared" ca="1" si="130"/>
        <v>0</v>
      </c>
      <c r="BO89">
        <f t="shared" ca="1" si="131"/>
        <v>0</v>
      </c>
      <c r="BU89">
        <f t="shared" ca="1" si="132"/>
        <v>31</v>
      </c>
      <c r="BV89">
        <f t="shared" ca="1" si="133"/>
        <v>36</v>
      </c>
      <c r="BW89">
        <f t="shared" ca="1" si="134"/>
        <v>123</v>
      </c>
      <c r="BX89">
        <f t="shared" ca="1" si="135"/>
        <v>684</v>
      </c>
      <c r="BY89">
        <f t="shared" ca="1" si="136"/>
        <v>49</v>
      </c>
      <c r="BZ89">
        <f t="shared" ca="1" si="137"/>
        <v>35</v>
      </c>
      <c r="CA89">
        <f t="shared" ca="1" si="138"/>
        <v>41</v>
      </c>
      <c r="CB89">
        <f t="shared" ca="1" si="139"/>
        <v>31</v>
      </c>
      <c r="CC89">
        <f t="shared" ca="1" si="140"/>
        <v>42</v>
      </c>
      <c r="CD89">
        <f t="shared" ca="1" si="141"/>
        <v>684</v>
      </c>
      <c r="CE89">
        <f t="shared" ca="1" si="142"/>
        <v>684</v>
      </c>
      <c r="CF89">
        <f t="shared" ca="1" si="143"/>
        <v>684</v>
      </c>
      <c r="CL89">
        <f t="shared" ca="1" si="144"/>
        <v>0</v>
      </c>
      <c r="CM89">
        <f t="shared" ca="1" si="145"/>
        <v>0</v>
      </c>
      <c r="CN89">
        <f t="shared" ca="1" si="146"/>
        <v>0</v>
      </c>
      <c r="CO89">
        <f t="shared" ca="1" si="147"/>
        <v>0</v>
      </c>
      <c r="CP89">
        <f t="shared" ca="1" si="148"/>
        <v>0</v>
      </c>
      <c r="CQ89">
        <f t="shared" ca="1" si="149"/>
        <v>0</v>
      </c>
      <c r="CR89">
        <f t="shared" ca="1" si="150"/>
        <v>0</v>
      </c>
      <c r="CS89">
        <f t="shared" ca="1" si="151"/>
        <v>0</v>
      </c>
      <c r="CT89">
        <f t="shared" ca="1" si="152"/>
        <v>0</v>
      </c>
      <c r="CU89">
        <f t="shared" ca="1" si="153"/>
        <v>0</v>
      </c>
      <c r="CV89">
        <f t="shared" ca="1" si="154"/>
        <v>0</v>
      </c>
      <c r="CW89">
        <f t="shared" ca="1" si="155"/>
        <v>0</v>
      </c>
      <c r="DC89" cm="1">
        <f t="array" aca="1" ref="DC89" ca="1">IF(ISNA(E89),,OFFSET(INDIRECT("'"&amp;DT$67&amp;"'!f1"),E89-1,))*1</f>
        <v>28887.209736668501</v>
      </c>
      <c r="DD89" cm="1">
        <f t="array" aca="1" ref="DD89" ca="1">IF(ISNA(F89),,OFFSET(INDIRECT("'"&amp;DU$67&amp;"'!f1"),F89-1,))*1</f>
        <v>28816.904428596601</v>
      </c>
      <c r="DE89" cm="1">
        <f t="array" aca="1" ref="DE89" ca="1">IF(ISNA(G89),,OFFSET(INDIRECT("'"&amp;DV$67&amp;"'!f1"),G89-1,))*1</f>
        <v>28800.229256695999</v>
      </c>
      <c r="DF89" cm="1">
        <f t="array" aca="1" ref="DF89" ca="1">IF(ISNA(H89),,OFFSET(INDIRECT("'"&amp;DW$67&amp;"'!f1"),H89-1,))*1</f>
        <v>28800.1380591169</v>
      </c>
      <c r="DG89" cm="1">
        <f t="array" aca="1" ref="DG89" ca="1">IF(ISNA(I89),,OFFSET(INDIRECT("'"&amp;DX$67&amp;"'!f1"),I89-1,))*1</f>
        <v>28801.863682292002</v>
      </c>
      <c r="DH89" cm="1">
        <f t="array" aca="1" ref="DH89" ca="1">IF(ISNA(J89),,OFFSET(INDIRECT("'"&amp;DY$67&amp;"'!f1"),J89-1,))*1</f>
        <v>8.3913041055202395</v>
      </c>
      <c r="DI89" cm="1">
        <f t="array" aca="1" ref="DI89" ca="1">IF(ISNA(K89),,OFFSET(INDIRECT("'"&amp;DZ$67&amp;"'!f1"),K89-1,))*1</f>
        <v>88.804353835992501</v>
      </c>
      <c r="DJ89" cm="1">
        <f t="array" aca="1" ref="DJ89" ca="1">IF(ISNA(L89),,OFFSET(INDIRECT("'"&amp;EA$67&amp;"'!f1"),L89-1,))*1</f>
        <v>84.011964909732299</v>
      </c>
      <c r="DK89" cm="1">
        <f t="array" aca="1" ref="DK89" ca="1">IF(ISNA(M89),,OFFSET(INDIRECT("'"&amp;EB$67&amp;"'!f1"),M89-1,))*1</f>
        <v>840.52784777153204</v>
      </c>
      <c r="DL89" cm="1">
        <f t="array" aca="1" ref="DL89" ca="1">IF(ISNA(N89),,OFFSET(INDIRECT("'"&amp;EC$67&amp;"'!f1"),N89-1,))*1</f>
        <v>5.79059245064854E-2</v>
      </c>
      <c r="DM89" cm="1">
        <f t="array" aca="1" ref="DM89" ca="1">IF(ISNA(O89),,OFFSET(INDIRECT("'"&amp;ED$67&amp;"'!f1"),O89-1,))*1</f>
        <v>7.1333399973809705E-2</v>
      </c>
      <c r="DN89" cm="1">
        <f t="array" aca="1" ref="DN89" ca="1">IF(ISNA(P89),,OFFSET(INDIRECT("'"&amp;EE$67&amp;"'!f1"),P89-1,))*1</f>
        <v>0</v>
      </c>
      <c r="DT89">
        <f t="shared" ca="1" si="156"/>
        <v>0</v>
      </c>
      <c r="DU89">
        <f t="shared" ca="1" si="157"/>
        <v>0</v>
      </c>
      <c r="DV89">
        <f t="shared" ca="1" si="158"/>
        <v>0</v>
      </c>
      <c r="DW89">
        <f t="shared" ca="1" si="159"/>
        <v>0</v>
      </c>
      <c r="DX89">
        <f t="shared" ca="1" si="160"/>
        <v>0</v>
      </c>
      <c r="DY89">
        <f t="shared" ca="1" si="161"/>
        <v>0</v>
      </c>
      <c r="DZ89">
        <f t="shared" ca="1" si="162"/>
        <v>0</v>
      </c>
      <c r="EA89">
        <f t="shared" ca="1" si="163"/>
        <v>0</v>
      </c>
      <c r="EB89">
        <f t="shared" ca="1" si="164"/>
        <v>0</v>
      </c>
      <c r="EC89">
        <f t="shared" ca="1" si="165"/>
        <v>0</v>
      </c>
      <c r="ED89">
        <f t="shared" ca="1" si="166"/>
        <v>0</v>
      </c>
      <c r="EE89">
        <f t="shared" ca="1" si="167"/>
        <v>0</v>
      </c>
      <c r="EK89" cm="1">
        <f t="array" aca="1" ref="EK89" ca="1">IF(ISNA(E89),0,OFFSET(INDIRECT("'"&amp;EK$67&amp;"'!g1"),E89-1,)*CL89)</f>
        <v>0</v>
      </c>
      <c r="EL89" cm="1">
        <f t="array" aca="1" ref="EL89" ca="1">IF(ISNA(F89),0,OFFSET(INDIRECT("'"&amp;EL$67&amp;"'!g1"),F89-1,)*CM89)</f>
        <v>0</v>
      </c>
      <c r="EM89" cm="1">
        <f t="array" aca="1" ref="EM89" ca="1">IF(ISNA(G89),0,OFFSET(INDIRECT("'"&amp;EM$67&amp;"'!g1"),G89-1,)*CN89)</f>
        <v>0</v>
      </c>
      <c r="EN89" cm="1">
        <f t="array" aca="1" ref="EN89" ca="1">IF(ISNA(H89),0,OFFSET(INDIRECT("'"&amp;EN$67&amp;"'!g1"),H89-1,)*CO89)</f>
        <v>0</v>
      </c>
      <c r="EO89" cm="1">
        <f t="array" aca="1" ref="EO89" ca="1">IF(ISNA(I89),0,OFFSET(INDIRECT("'"&amp;EO$67&amp;"'!g1"),I89-1,)*CP89)</f>
        <v>0</v>
      </c>
      <c r="EP89" cm="1">
        <f t="array" aca="1" ref="EP89" ca="1">IF(ISNA(J89),0,OFFSET(INDIRECT("'"&amp;EP$67&amp;"'!g1"),J89-1,)*CQ89)</f>
        <v>0</v>
      </c>
      <c r="EQ89" cm="1">
        <f t="array" aca="1" ref="EQ89" ca="1">IF(ISNA(K89),0,OFFSET(INDIRECT("'"&amp;EQ$67&amp;"'!g1"),K89-1,)*CR89)</f>
        <v>0</v>
      </c>
      <c r="ER89" cm="1">
        <f t="array" aca="1" ref="ER89" ca="1">IF(ISNA(L89),0,OFFSET(INDIRECT("'"&amp;ER$67&amp;"'!g1"),L89-1,)*CS89)</f>
        <v>0</v>
      </c>
      <c r="ES89" cm="1">
        <f t="array" aca="1" ref="ES89" ca="1">IF(ISNA(M89),0,OFFSET(INDIRECT("'"&amp;ES$67&amp;"'!g1"),M89-1,)*CT89)</f>
        <v>0</v>
      </c>
      <c r="ET89" cm="1">
        <f t="array" aca="1" ref="ET89" ca="1">IF(ISNA(N89),0,OFFSET(INDIRECT("'"&amp;ET$67&amp;"'!g1"),N89-1,)*CU89)</f>
        <v>0</v>
      </c>
      <c r="EU89" cm="1">
        <f t="array" aca="1" ref="EU89" ca="1">IF(ISNA(O89),0,OFFSET(INDIRECT("'"&amp;EU$67&amp;"'!g1"),O89-1,)*CV89)</f>
        <v>0</v>
      </c>
      <c r="EV89" cm="1">
        <f t="array" aca="1" ref="EV89" ca="1">IF(ISNA(P89),0,OFFSET(INDIRECT("'"&amp;EV$67&amp;"'!g1"),P89-1,)*CW89)</f>
        <v>0</v>
      </c>
      <c r="FB89" s="10" cm="1">
        <f t="array" aca="1" ref="FB89" ca="1">IF(ISNA(E89),0,OFFSET(INDIRECT("'"&amp;EK$67&amp;"'!h1"),E89-1,))</f>
        <v>1</v>
      </c>
      <c r="FC89" s="10" cm="1">
        <f t="array" aca="1" ref="FC89" ca="1">IF(ISNA(F89),0,OFFSET(INDIRECT("'"&amp;EL$67&amp;"'!h1"),F89-1,))</f>
        <v>1</v>
      </c>
      <c r="FD89" s="10" cm="1">
        <f t="array" aca="1" ref="FD89" ca="1">IF(ISNA(G89),0,OFFSET(INDIRECT("'"&amp;EM$67&amp;"'!h1"),G89-1,))</f>
        <v>1</v>
      </c>
      <c r="FE89" s="10" cm="1">
        <f t="array" aca="1" ref="FE89" ca="1">IF(ISNA(H89),0,OFFSET(INDIRECT("'"&amp;EN$67&amp;"'!h1"),H89-1,))</f>
        <v>1</v>
      </c>
      <c r="FF89" s="10" cm="1">
        <f t="array" aca="1" ref="FF89" ca="1">IF(ISNA(I89),0,OFFSET(INDIRECT("'"&amp;EO$67&amp;"'!h1"),I89-1,))</f>
        <v>1</v>
      </c>
      <c r="FG89" s="10" cm="1">
        <f t="array" aca="1" ref="FG89" ca="1">IF(ISNA(J89),0,OFFSET(INDIRECT("'"&amp;EP$67&amp;"'!h1"),J89-1,))</f>
        <v>1</v>
      </c>
      <c r="FH89" s="10" cm="1">
        <f t="array" aca="1" ref="FH89" ca="1">IF(ISNA(K89),0,OFFSET(INDIRECT("'"&amp;EQ$67&amp;"'!h1"),K89-1,))</f>
        <v>10000</v>
      </c>
      <c r="FI89" s="10" cm="1">
        <f t="array" aca="1" ref="FI89" ca="1">IF(ISNA(L89),0,OFFSET(INDIRECT("'"&amp;ER$67&amp;"'!h1"),L89-1,))</f>
        <v>10000</v>
      </c>
      <c r="FJ89" s="10" cm="1">
        <f t="array" aca="1" ref="FJ89" ca="1">IF(ISNA(M89),0,OFFSET(INDIRECT("'"&amp;ES$67&amp;"'!h1"),M89-1,))</f>
        <v>10000</v>
      </c>
      <c r="FK89" s="10" cm="1">
        <f t="array" aca="1" ref="FK89" ca="1">IF(ISNA(N89),0,OFFSET(INDIRECT("'"&amp;ET$67&amp;"'!h1"),N89-1,))</f>
        <v>1</v>
      </c>
      <c r="FL89" s="10" cm="1">
        <f t="array" aca="1" ref="FL89" ca="1">IF(ISNA(O89),0,OFFSET(INDIRECT("'"&amp;EU$67&amp;"'!h1"),O89-1,))</f>
        <v>1</v>
      </c>
      <c r="FM89" s="10" cm="1">
        <f t="array" aca="1" ref="FM89" ca="1">IF(ISNA(P89),0,OFFSET(INDIRECT("'"&amp;EV$67&amp;"'!h1"),P89-1,))</f>
        <v>0</v>
      </c>
      <c r="FN89" s="10"/>
      <c r="FO89" s="10"/>
      <c r="FP89" s="10"/>
      <c r="FQ89" s="10"/>
      <c r="FS89">
        <f t="shared" ca="1" si="168"/>
        <v>684</v>
      </c>
      <c r="FT89">
        <f t="shared" ca="1" si="92"/>
        <v>88.804353835992501</v>
      </c>
      <c r="FU89">
        <f t="shared" ca="1" si="93"/>
        <v>0</v>
      </c>
      <c r="FV89">
        <f t="shared" ca="1" si="94"/>
        <v>10000</v>
      </c>
      <c r="FW89" s="4">
        <f t="shared" ca="1" si="169"/>
        <v>0</v>
      </c>
      <c r="FX89" s="5" t="e">
        <f t="shared" ca="1" si="170"/>
        <v>#N/A</v>
      </c>
      <c r="FZ89" s="13">
        <f t="shared" ca="1" si="60"/>
        <v>684</v>
      </c>
      <c r="GA89" s="22">
        <f t="shared" ca="1" si="97"/>
        <v>6.8965517241379309E-2</v>
      </c>
      <c r="GB89" s="22">
        <f t="shared" ca="1" si="61"/>
        <v>0.2413793103448276</v>
      </c>
      <c r="GC89" s="22">
        <f t="shared" ca="1" si="62"/>
        <v>3.2413793103448274</v>
      </c>
      <c r="GD89" s="22" t="e">
        <f t="shared" ca="1" si="63"/>
        <v>#N/A</v>
      </c>
      <c r="GE89" s="22">
        <f t="shared" ca="1" si="64"/>
        <v>0.68965517241379315</v>
      </c>
      <c r="GF89" s="22">
        <f t="shared" ca="1" si="65"/>
        <v>0.20689655172413793</v>
      </c>
      <c r="GG89" s="22">
        <f t="shared" ca="1" si="66"/>
        <v>0.41379310344827586</v>
      </c>
      <c r="GH89" s="22">
        <f t="shared" ca="1" si="67"/>
        <v>6.8965517241379309E-2</v>
      </c>
      <c r="GI89" s="22">
        <f t="shared" ca="1" si="68"/>
        <v>0.44827586206896552</v>
      </c>
      <c r="GJ89" s="22" t="e">
        <f t="shared" ca="1" si="69"/>
        <v>#N/A</v>
      </c>
      <c r="GK89" s="22" t="e">
        <f t="shared" ca="1" si="70"/>
        <v>#N/A</v>
      </c>
      <c r="GL89" s="22" t="e">
        <f t="shared" ca="1" si="71"/>
        <v>#N/A</v>
      </c>
      <c r="GM89" s="22"/>
      <c r="GN89">
        <f t="shared" ca="1" si="98"/>
        <v>684</v>
      </c>
      <c r="GO89" s="5" t="e">
        <f t="shared" ca="1" si="99"/>
        <v>#N/A</v>
      </c>
      <c r="GP89" s="5" t="e">
        <f t="shared" ca="1" si="103"/>
        <v>#N/A</v>
      </c>
      <c r="GQ89" s="5" t="e">
        <f t="shared" ca="1" si="104"/>
        <v>#N/A</v>
      </c>
      <c r="GR89" s="5" t="e">
        <f t="shared" ca="1" si="105"/>
        <v>#N/A</v>
      </c>
      <c r="GS89" s="5" t="e">
        <f t="shared" ca="1" si="106"/>
        <v>#N/A</v>
      </c>
      <c r="GT89" s="5" t="e">
        <f t="shared" ca="1" si="100"/>
        <v>#N/A</v>
      </c>
      <c r="GU89" s="5" t="e">
        <f t="shared" ca="1" si="107"/>
        <v>#N/A</v>
      </c>
      <c r="GV89" s="5" t="e">
        <f t="shared" ca="1" si="108"/>
        <v>#N/A</v>
      </c>
      <c r="GW89" s="5" t="e">
        <f t="shared" ca="1" si="109"/>
        <v>#N/A</v>
      </c>
      <c r="GX89" s="5" t="e">
        <f t="shared" ca="1" si="110"/>
        <v>#N/A</v>
      </c>
      <c r="GY89" s="5" t="e">
        <f t="shared" ca="1" si="111"/>
        <v>#N/A</v>
      </c>
      <c r="GZ89" s="5" t="e">
        <f t="shared" ca="1" si="112"/>
        <v>#N/A</v>
      </c>
      <c r="HB89" s="13">
        <f t="shared" ca="1" si="74"/>
        <v>684</v>
      </c>
      <c r="HC89" s="4">
        <f t="shared" ca="1" si="101"/>
        <v>0</v>
      </c>
      <c r="HD89" s="4">
        <f t="shared" ca="1" si="75"/>
        <v>0</v>
      </c>
      <c r="HE89" s="4">
        <f t="shared" ca="1" si="76"/>
        <v>0</v>
      </c>
      <c r="HF89" s="4">
        <f t="shared" ca="1" si="77"/>
        <v>0</v>
      </c>
      <c r="HG89" s="4">
        <f t="shared" ca="1" si="78"/>
        <v>0</v>
      </c>
      <c r="HH89" s="4">
        <f t="shared" ca="1" si="79"/>
        <v>0</v>
      </c>
      <c r="HI89" s="4">
        <f t="shared" ca="1" si="80"/>
        <v>0</v>
      </c>
      <c r="HJ89" s="4">
        <f t="shared" ca="1" si="81"/>
        <v>0</v>
      </c>
      <c r="HK89" s="4">
        <f t="shared" ca="1" si="82"/>
        <v>0</v>
      </c>
      <c r="HL89" s="4">
        <f t="shared" ca="1" si="83"/>
        <v>0</v>
      </c>
      <c r="HM89" s="4">
        <f t="shared" ca="1" si="84"/>
        <v>0</v>
      </c>
      <c r="HN89" s="4">
        <f t="shared" ca="1" si="85"/>
        <v>0</v>
      </c>
    </row>
    <row r="90" spans="1:222" x14ac:dyDescent="0.2">
      <c r="AV90" t="str">
        <f t="shared" si="89"/>
        <v/>
      </c>
      <c r="AW90" t="str">
        <f t="shared" si="55"/>
        <v/>
      </c>
      <c r="AX90" t="str">
        <f t="shared" si="55"/>
        <v/>
      </c>
      <c r="AY90" t="str">
        <f t="shared" si="55"/>
        <v/>
      </c>
      <c r="AZ90" t="str">
        <f t="shared" si="55"/>
        <v/>
      </c>
      <c r="FB90" s="10"/>
      <c r="FC90" s="10"/>
      <c r="FD90" s="10"/>
      <c r="FE90" s="10"/>
      <c r="FF90" s="10"/>
      <c r="FG90" s="10"/>
      <c r="FH90" s="10"/>
      <c r="FI90" s="10"/>
      <c r="FJ90" s="10"/>
      <c r="FK90" s="10"/>
      <c r="FL90" s="10"/>
      <c r="FM90" s="10"/>
      <c r="FN90" s="10"/>
      <c r="FO90" s="10"/>
      <c r="FP90" s="10"/>
      <c r="FQ90" s="10"/>
      <c r="FW90" s="4"/>
      <c r="FX90" s="5"/>
    </row>
    <row r="91" spans="1:222" x14ac:dyDescent="0.2">
      <c r="AV91" t="str">
        <f t="shared" si="89"/>
        <v/>
      </c>
      <c r="AW91" t="str">
        <f t="shared" si="55"/>
        <v/>
      </c>
      <c r="AX91" t="str">
        <f t="shared" si="55"/>
        <v/>
      </c>
      <c r="AY91" t="str">
        <f t="shared" si="55"/>
        <v/>
      </c>
      <c r="AZ91" t="str">
        <f t="shared" si="55"/>
        <v/>
      </c>
      <c r="FB91" s="10"/>
      <c r="FC91" s="10"/>
      <c r="FD91" s="10"/>
      <c r="FE91" s="10"/>
      <c r="FF91" s="10"/>
      <c r="FG91" s="10"/>
      <c r="FH91" s="10"/>
      <c r="FI91" s="10"/>
      <c r="FJ91" s="10"/>
      <c r="FK91" s="10"/>
      <c r="FL91" s="10"/>
      <c r="FM91" s="10"/>
      <c r="FN91" s="10"/>
      <c r="FO91" s="10"/>
      <c r="FP91" s="10"/>
      <c r="FQ91" s="10"/>
      <c r="FW91" s="4"/>
      <c r="FX91" s="5"/>
    </row>
    <row r="92" spans="1:222" x14ac:dyDescent="0.2">
      <c r="AV92" t="str">
        <f t="shared" si="89"/>
        <v/>
      </c>
      <c r="AW92" t="str">
        <f t="shared" si="55"/>
        <v/>
      </c>
      <c r="AX92" t="str">
        <f t="shared" si="55"/>
        <v/>
      </c>
      <c r="AY92" t="str">
        <f t="shared" si="55"/>
        <v/>
      </c>
      <c r="AZ92" t="str">
        <f t="shared" si="55"/>
        <v/>
      </c>
      <c r="FB92" s="10"/>
      <c r="FC92" s="10"/>
      <c r="FD92" s="10"/>
      <c r="FE92" s="10"/>
      <c r="FF92" s="10"/>
      <c r="FG92" s="10"/>
      <c r="FH92" s="10"/>
      <c r="FI92" s="10"/>
      <c r="FJ92" s="10"/>
      <c r="FK92" s="10"/>
      <c r="FL92" s="10"/>
      <c r="FM92" s="10"/>
      <c r="FN92" s="10"/>
      <c r="FO92" s="10"/>
      <c r="FP92" s="10"/>
      <c r="FQ92" s="10"/>
      <c r="FW92" s="4"/>
      <c r="FX92" s="5"/>
    </row>
    <row r="93" spans="1:222" x14ac:dyDescent="0.2">
      <c r="AV93" t="str">
        <f t="shared" si="89"/>
        <v/>
      </c>
      <c r="AW93" t="str">
        <f t="shared" si="55"/>
        <v/>
      </c>
      <c r="AX93" t="str">
        <f t="shared" si="55"/>
        <v/>
      </c>
      <c r="AY93" t="str">
        <f t="shared" si="55"/>
        <v/>
      </c>
      <c r="AZ93" t="str">
        <f t="shared" si="55"/>
        <v/>
      </c>
      <c r="FB93" s="10"/>
      <c r="FC93" s="10"/>
      <c r="FD93" s="10"/>
      <c r="FE93" s="10"/>
      <c r="FF93" s="10"/>
      <c r="FG93" s="10"/>
      <c r="FH93" s="10"/>
      <c r="FI93" s="10"/>
      <c r="FJ93" s="10"/>
      <c r="FK93" s="10"/>
      <c r="FL93" s="10"/>
      <c r="FM93" s="10"/>
      <c r="FN93" s="10"/>
      <c r="FO93" s="10"/>
      <c r="FP93" s="10"/>
      <c r="FQ93" s="10"/>
      <c r="FW93" s="4"/>
      <c r="FX93" s="5"/>
    </row>
    <row r="94" spans="1:222" x14ac:dyDescent="0.2">
      <c r="AV94" t="str">
        <f t="shared" si="89"/>
        <v/>
      </c>
      <c r="AW94" t="str">
        <f t="shared" si="55"/>
        <v/>
      </c>
      <c r="AX94" t="str">
        <f t="shared" si="55"/>
        <v/>
      </c>
      <c r="AY94" t="str">
        <f t="shared" si="55"/>
        <v/>
      </c>
      <c r="AZ94" t="str">
        <f t="shared" si="55"/>
        <v/>
      </c>
      <c r="FB94" s="10"/>
      <c r="FC94" s="10"/>
      <c r="FD94" s="10"/>
      <c r="FE94" s="10"/>
      <c r="FF94" s="10"/>
      <c r="FG94" s="10"/>
      <c r="FH94" s="10"/>
      <c r="FI94" s="10"/>
      <c r="FJ94" s="10"/>
      <c r="FK94" s="10"/>
      <c r="FL94" s="10"/>
      <c r="FM94" s="10"/>
      <c r="FN94" s="10"/>
      <c r="FO94" s="10"/>
      <c r="FP94" s="10"/>
      <c r="FQ94" s="10"/>
      <c r="FW94" s="4"/>
      <c r="FX94" s="5"/>
    </row>
    <row r="95" spans="1:222" x14ac:dyDescent="0.2">
      <c r="AV95" t="str">
        <f t="shared" si="89"/>
        <v/>
      </c>
      <c r="AW95" t="str">
        <f t="shared" si="55"/>
        <v/>
      </c>
      <c r="AX95" t="str">
        <f t="shared" si="55"/>
        <v/>
      </c>
      <c r="AY95" t="str">
        <f t="shared" si="55"/>
        <v/>
      </c>
      <c r="AZ95" t="str">
        <f t="shared" si="55"/>
        <v/>
      </c>
      <c r="FB95" s="10"/>
      <c r="FC95" s="10"/>
      <c r="FD95" s="10"/>
      <c r="FE95" s="10"/>
      <c r="FF95" s="10"/>
      <c r="FG95" s="10"/>
      <c r="FH95" s="10"/>
      <c r="FI95" s="10"/>
      <c r="FJ95" s="10"/>
      <c r="FK95" s="10"/>
      <c r="FL95" s="10"/>
      <c r="FM95" s="10"/>
      <c r="FN95" s="10"/>
      <c r="FO95" s="10"/>
      <c r="FP95" s="10"/>
      <c r="FQ95" s="10"/>
      <c r="FW95" s="4"/>
      <c r="FX95" s="5"/>
    </row>
    <row r="96" spans="1:222" x14ac:dyDescent="0.2">
      <c r="AV96" t="str">
        <f t="shared" si="89"/>
        <v/>
      </c>
      <c r="AW96" t="str">
        <f t="shared" si="55"/>
        <v/>
      </c>
      <c r="AX96" t="str">
        <f t="shared" si="55"/>
        <v/>
      </c>
      <c r="AY96" t="str">
        <f t="shared" si="55"/>
        <v/>
      </c>
      <c r="AZ96" t="str">
        <f t="shared" si="55"/>
        <v/>
      </c>
      <c r="FB96" s="10"/>
      <c r="FC96" s="10"/>
      <c r="FD96" s="10"/>
      <c r="FE96" s="10"/>
      <c r="FF96" s="10"/>
      <c r="FG96" s="10"/>
      <c r="FH96" s="10"/>
      <c r="FI96" s="10"/>
      <c r="FJ96" s="10"/>
      <c r="FK96" s="10"/>
      <c r="FL96" s="10"/>
      <c r="FM96" s="10"/>
      <c r="FN96" s="10"/>
      <c r="FO96" s="10"/>
      <c r="FP96" s="10"/>
      <c r="FQ96" s="10"/>
      <c r="FW96" s="4"/>
      <c r="FX96" s="5"/>
    </row>
    <row r="97" spans="48:180" x14ac:dyDescent="0.2">
      <c r="AV97" t="str">
        <f t="shared" si="89"/>
        <v/>
      </c>
      <c r="AW97" t="str">
        <f t="shared" si="55"/>
        <v/>
      </c>
      <c r="AX97" t="str">
        <f t="shared" si="55"/>
        <v/>
      </c>
      <c r="AY97" t="str">
        <f t="shared" si="55"/>
        <v/>
      </c>
      <c r="AZ97" t="str">
        <f t="shared" si="55"/>
        <v/>
      </c>
      <c r="FB97" s="10"/>
      <c r="FC97" s="10"/>
      <c r="FD97" s="10"/>
      <c r="FE97" s="10"/>
      <c r="FF97" s="10"/>
      <c r="FG97" s="10"/>
      <c r="FH97" s="10"/>
      <c r="FI97" s="10"/>
      <c r="FJ97" s="10"/>
      <c r="FK97" s="10"/>
      <c r="FL97" s="10"/>
      <c r="FM97" s="10"/>
      <c r="FN97" s="10"/>
      <c r="FO97" s="10"/>
      <c r="FP97" s="10"/>
      <c r="FQ97" s="10"/>
      <c r="FW97" s="4"/>
      <c r="FX97" s="5"/>
    </row>
    <row r="98" spans="48:180" x14ac:dyDescent="0.2">
      <c r="AV98" t="str">
        <f t="shared" si="89"/>
        <v/>
      </c>
      <c r="AW98" t="str">
        <f t="shared" si="55"/>
        <v/>
      </c>
      <c r="AX98" t="str">
        <f t="shared" si="55"/>
        <v/>
      </c>
      <c r="AY98" t="str">
        <f t="shared" si="55"/>
        <v/>
      </c>
      <c r="AZ98" t="str">
        <f t="shared" si="55"/>
        <v/>
      </c>
      <c r="FB98" s="10"/>
      <c r="FC98" s="10"/>
      <c r="FD98" s="10"/>
      <c r="FE98" s="10"/>
      <c r="FF98" s="10"/>
      <c r="FG98" s="10"/>
      <c r="FH98" s="10"/>
      <c r="FI98" s="10"/>
      <c r="FJ98" s="10"/>
      <c r="FK98" s="10"/>
      <c r="FL98" s="10"/>
      <c r="FM98" s="10"/>
      <c r="FN98" s="10"/>
      <c r="FO98" s="10"/>
      <c r="FP98" s="10"/>
      <c r="FQ98" s="10"/>
      <c r="FW98" s="4"/>
      <c r="FX98" s="5"/>
    </row>
    <row r="99" spans="48:180" x14ac:dyDescent="0.2">
      <c r="AV99" t="str">
        <f t="shared" si="89"/>
        <v/>
      </c>
      <c r="AW99" t="str">
        <f t="shared" si="55"/>
        <v/>
      </c>
      <c r="AX99" t="str">
        <f t="shared" si="55"/>
        <v/>
      </c>
      <c r="AY99" t="str">
        <f t="shared" si="55"/>
        <v/>
      </c>
      <c r="AZ99" t="str">
        <f t="shared" si="55"/>
        <v/>
      </c>
      <c r="FB99" s="10"/>
      <c r="FC99" s="10"/>
      <c r="FD99" s="10"/>
      <c r="FE99" s="10"/>
      <c r="FF99" s="10"/>
      <c r="FG99" s="10"/>
      <c r="FH99" s="10"/>
      <c r="FI99" s="10"/>
      <c r="FJ99" s="10"/>
      <c r="FK99" s="10"/>
      <c r="FL99" s="10"/>
      <c r="FM99" s="10"/>
      <c r="FN99" s="10"/>
      <c r="FO99" s="10"/>
      <c r="FP99" s="10"/>
      <c r="FQ99" s="10"/>
      <c r="FW99" s="4"/>
      <c r="FX99" s="5"/>
    </row>
    <row r="100" spans="48:180" x14ac:dyDescent="0.2">
      <c r="AV100" t="str">
        <f t="shared" si="89"/>
        <v/>
      </c>
      <c r="AW100" t="str">
        <f t="shared" si="55"/>
        <v/>
      </c>
      <c r="AX100" t="str">
        <f t="shared" si="55"/>
        <v/>
      </c>
      <c r="AY100" t="str">
        <f t="shared" si="55"/>
        <v/>
      </c>
      <c r="AZ100" t="str">
        <f t="shared" si="55"/>
        <v/>
      </c>
      <c r="FB100" s="10"/>
      <c r="FC100" s="10"/>
      <c r="FD100" s="10"/>
      <c r="FE100" s="10"/>
      <c r="FF100" s="10"/>
      <c r="FG100" s="10"/>
      <c r="FH100" s="10"/>
      <c r="FI100" s="10"/>
      <c r="FJ100" s="10"/>
      <c r="FK100" s="10"/>
      <c r="FL100" s="10"/>
      <c r="FM100" s="10"/>
      <c r="FN100" s="10"/>
      <c r="FO100" s="10"/>
      <c r="FP100" s="10"/>
      <c r="FQ100" s="10"/>
      <c r="FW100" s="4"/>
      <c r="FX100" s="5"/>
    </row>
    <row r="101" spans="48:180" x14ac:dyDescent="0.2">
      <c r="AV101" t="str">
        <f t="shared" si="89"/>
        <v/>
      </c>
      <c r="AW101" t="str">
        <f t="shared" si="55"/>
        <v/>
      </c>
      <c r="AX101" t="str">
        <f t="shared" si="55"/>
        <v/>
      </c>
      <c r="AY101" t="str">
        <f t="shared" si="55"/>
        <v/>
      </c>
      <c r="AZ101" t="str">
        <f t="shared" si="55"/>
        <v/>
      </c>
      <c r="FB101" s="10"/>
      <c r="FC101" s="10"/>
      <c r="FD101" s="10"/>
      <c r="FE101" s="10"/>
      <c r="FF101" s="10"/>
      <c r="FG101" s="10"/>
      <c r="FH101" s="10"/>
      <c r="FI101" s="10"/>
      <c r="FJ101" s="10"/>
      <c r="FK101" s="10"/>
      <c r="FL101" s="10"/>
      <c r="FM101" s="10"/>
      <c r="FN101" s="10"/>
      <c r="FO101" s="10"/>
      <c r="FP101" s="10"/>
      <c r="FQ101" s="10"/>
      <c r="FW101" s="4"/>
      <c r="FX101" s="5"/>
    </row>
    <row r="102" spans="48:180" x14ac:dyDescent="0.2">
      <c r="AV102" t="str">
        <f t="shared" si="89"/>
        <v/>
      </c>
      <c r="AW102" t="str">
        <f t="shared" si="55"/>
        <v/>
      </c>
      <c r="AX102" t="str">
        <f t="shared" si="55"/>
        <v/>
      </c>
      <c r="AY102" t="str">
        <f t="shared" si="55"/>
        <v/>
      </c>
      <c r="AZ102" t="str">
        <f t="shared" si="55"/>
        <v/>
      </c>
      <c r="FB102" s="10"/>
      <c r="FC102" s="10"/>
      <c r="FD102" s="10"/>
      <c r="FE102" s="10"/>
      <c r="FF102" s="10"/>
      <c r="FG102" s="10"/>
      <c r="FH102" s="10"/>
      <c r="FI102" s="10"/>
      <c r="FJ102" s="10"/>
      <c r="FK102" s="10"/>
      <c r="FL102" s="10"/>
      <c r="FM102" s="10"/>
      <c r="FN102" s="10"/>
      <c r="FO102" s="10"/>
      <c r="FP102" s="10"/>
      <c r="FQ102" s="10"/>
      <c r="FW102" s="4"/>
      <c r="FX102" s="5"/>
    </row>
    <row r="103" spans="48:180" x14ac:dyDescent="0.2">
      <c r="AV103" t="str">
        <f t="shared" si="89"/>
        <v/>
      </c>
      <c r="AW103" t="str">
        <f t="shared" si="55"/>
        <v/>
      </c>
      <c r="AX103" t="str">
        <f t="shared" si="55"/>
        <v/>
      </c>
      <c r="AY103" t="str">
        <f t="shared" si="55"/>
        <v/>
      </c>
      <c r="AZ103" t="str">
        <f t="shared" si="55"/>
        <v/>
      </c>
      <c r="FB103" s="10"/>
      <c r="FC103" s="10"/>
      <c r="FD103" s="10"/>
      <c r="FE103" s="10"/>
      <c r="FF103" s="10"/>
      <c r="FG103" s="10"/>
      <c r="FH103" s="10"/>
      <c r="FI103" s="10"/>
      <c r="FJ103" s="10"/>
      <c r="FK103" s="10"/>
      <c r="FL103" s="10"/>
      <c r="FM103" s="10"/>
      <c r="FN103" s="10"/>
      <c r="FO103" s="10"/>
      <c r="FP103" s="10"/>
      <c r="FQ103" s="10"/>
      <c r="FW103" s="4"/>
      <c r="FX103" s="5"/>
    </row>
    <row r="104" spans="48:180" x14ac:dyDescent="0.2">
      <c r="AV104" t="str">
        <f t="shared" si="89"/>
        <v/>
      </c>
      <c r="AW104" t="str">
        <f t="shared" si="55"/>
        <v/>
      </c>
      <c r="AX104" t="str">
        <f t="shared" si="55"/>
        <v/>
      </c>
      <c r="AY104" t="str">
        <f t="shared" si="55"/>
        <v/>
      </c>
      <c r="AZ104" t="str">
        <f t="shared" si="55"/>
        <v/>
      </c>
      <c r="FB104" s="10"/>
      <c r="FC104" s="10"/>
      <c r="FD104" s="10"/>
      <c r="FE104" s="10"/>
      <c r="FF104" s="10"/>
      <c r="FG104" s="10"/>
      <c r="FH104" s="10"/>
      <c r="FI104" s="10"/>
      <c r="FJ104" s="10"/>
      <c r="FK104" s="10"/>
      <c r="FL104" s="10"/>
      <c r="FM104" s="10"/>
      <c r="FN104" s="10"/>
      <c r="FO104" s="10"/>
      <c r="FP104" s="10"/>
      <c r="FQ104" s="10"/>
      <c r="FW104" s="4"/>
      <c r="FX104" s="5"/>
    </row>
    <row r="105" spans="48:180" x14ac:dyDescent="0.2">
      <c r="AV105" t="str">
        <f t="shared" si="89"/>
        <v/>
      </c>
      <c r="AW105" t="str">
        <f t="shared" si="55"/>
        <v/>
      </c>
      <c r="AX105" t="str">
        <f t="shared" si="55"/>
        <v/>
      </c>
      <c r="AY105" t="str">
        <f t="shared" si="55"/>
        <v/>
      </c>
      <c r="AZ105" t="str">
        <f t="shared" si="55"/>
        <v/>
      </c>
      <c r="FB105" s="10"/>
      <c r="FC105" s="10"/>
      <c r="FD105" s="10"/>
      <c r="FE105" s="10"/>
      <c r="FF105" s="10"/>
      <c r="FG105" s="10"/>
      <c r="FH105" s="10"/>
      <c r="FI105" s="10"/>
      <c r="FJ105" s="10"/>
      <c r="FK105" s="10"/>
      <c r="FL105" s="10"/>
      <c r="FM105" s="10"/>
      <c r="FN105" s="10"/>
      <c r="FO105" s="10"/>
      <c r="FP105" s="10"/>
      <c r="FQ105" s="10"/>
      <c r="FW105" s="4"/>
      <c r="FX105" s="5"/>
    </row>
    <row r="106" spans="48:180" x14ac:dyDescent="0.2">
      <c r="AV106" t="str">
        <f t="shared" si="89"/>
        <v/>
      </c>
      <c r="AW106" t="str">
        <f t="shared" si="55"/>
        <v/>
      </c>
      <c r="AX106" t="str">
        <f t="shared" si="55"/>
        <v/>
      </c>
      <c r="AY106" t="str">
        <f t="shared" si="55"/>
        <v/>
      </c>
      <c r="AZ106" t="str">
        <f t="shared" si="55"/>
        <v/>
      </c>
      <c r="FB106" s="10"/>
      <c r="FC106" s="10"/>
      <c r="FD106" s="10"/>
      <c r="FE106" s="10"/>
      <c r="FF106" s="10"/>
      <c r="FG106" s="10"/>
      <c r="FH106" s="10"/>
      <c r="FI106" s="10"/>
      <c r="FJ106" s="10"/>
      <c r="FK106" s="10"/>
      <c r="FL106" s="10"/>
      <c r="FM106" s="10"/>
      <c r="FN106" s="10"/>
      <c r="FO106" s="10"/>
      <c r="FP106" s="10"/>
      <c r="FQ106" s="10"/>
      <c r="FW106" s="4"/>
      <c r="FX106" s="5"/>
    </row>
    <row r="107" spans="48:180" x14ac:dyDescent="0.2">
      <c r="AV107" t="str">
        <f t="shared" si="89"/>
        <v/>
      </c>
      <c r="AW107" t="str">
        <f t="shared" si="55"/>
        <v/>
      </c>
      <c r="AX107" t="str">
        <f t="shared" si="55"/>
        <v/>
      </c>
      <c r="AY107" t="str">
        <f t="shared" si="55"/>
        <v/>
      </c>
      <c r="AZ107" t="str">
        <f t="shared" si="55"/>
        <v/>
      </c>
      <c r="FB107" s="10"/>
      <c r="FC107" s="10"/>
      <c r="FD107" s="10"/>
      <c r="FE107" s="10"/>
      <c r="FF107" s="10"/>
      <c r="FG107" s="10"/>
      <c r="FH107" s="10"/>
      <c r="FI107" s="10"/>
      <c r="FJ107" s="10"/>
      <c r="FK107" s="10"/>
      <c r="FL107" s="10"/>
      <c r="FM107" s="10"/>
      <c r="FN107" s="10"/>
      <c r="FO107" s="10"/>
      <c r="FP107" s="10"/>
      <c r="FQ107" s="10"/>
      <c r="FW107" s="4"/>
      <c r="FX107" s="5"/>
    </row>
    <row r="108" spans="48:180" x14ac:dyDescent="0.2">
      <c r="AV108" t="str">
        <f t="shared" si="89"/>
        <v/>
      </c>
      <c r="AW108" t="str">
        <f t="shared" si="55"/>
        <v/>
      </c>
      <c r="AX108" t="str">
        <f t="shared" si="55"/>
        <v/>
      </c>
      <c r="AY108" t="str">
        <f t="shared" si="55"/>
        <v/>
      </c>
      <c r="AZ108" t="str">
        <f t="shared" si="55"/>
        <v/>
      </c>
      <c r="FB108" s="10"/>
      <c r="FC108" s="10"/>
      <c r="FD108" s="10"/>
      <c r="FE108" s="10"/>
      <c r="FF108" s="10"/>
      <c r="FG108" s="10"/>
      <c r="FH108" s="10"/>
      <c r="FI108" s="10"/>
      <c r="FJ108" s="10"/>
      <c r="FK108" s="10"/>
      <c r="FL108" s="10"/>
      <c r="FM108" s="10"/>
      <c r="FN108" s="10"/>
      <c r="FO108" s="10"/>
      <c r="FP108" s="10"/>
      <c r="FQ108" s="10"/>
      <c r="FW108" s="4"/>
      <c r="FX108" s="5"/>
    </row>
    <row r="109" spans="48:180" x14ac:dyDescent="0.2">
      <c r="AV109" t="str">
        <f t="shared" si="89"/>
        <v/>
      </c>
      <c r="AW109" t="str">
        <f t="shared" si="55"/>
        <v/>
      </c>
      <c r="AX109" t="str">
        <f t="shared" si="55"/>
        <v/>
      </c>
      <c r="AY109" t="str">
        <f t="shared" si="55"/>
        <v/>
      </c>
      <c r="AZ109" t="str">
        <f t="shared" si="55"/>
        <v/>
      </c>
      <c r="FB109" s="10"/>
      <c r="FC109" s="10"/>
      <c r="FD109" s="10"/>
      <c r="FE109" s="10"/>
      <c r="FF109" s="10"/>
      <c r="FG109" s="10"/>
      <c r="FH109" s="10"/>
      <c r="FI109" s="10"/>
      <c r="FJ109" s="10"/>
      <c r="FK109" s="10"/>
      <c r="FL109" s="10"/>
      <c r="FM109" s="10"/>
      <c r="FN109" s="10"/>
      <c r="FO109" s="10"/>
      <c r="FP109" s="10"/>
      <c r="FQ109" s="10"/>
      <c r="FW109" s="4"/>
      <c r="FX109" s="5"/>
    </row>
    <row r="110" spans="48:180" x14ac:dyDescent="0.2">
      <c r="AV110" t="str">
        <f t="shared" si="89"/>
        <v/>
      </c>
      <c r="AW110" t="str">
        <f t="shared" si="55"/>
        <v/>
      </c>
      <c r="AX110" t="str">
        <f t="shared" si="55"/>
        <v/>
      </c>
      <c r="AY110" t="str">
        <f t="shared" si="55"/>
        <v/>
      </c>
      <c r="AZ110" t="str">
        <f t="shared" si="55"/>
        <v/>
      </c>
      <c r="FB110" s="10"/>
      <c r="FC110" s="10"/>
      <c r="FD110" s="10"/>
      <c r="FE110" s="10"/>
      <c r="FF110" s="10"/>
      <c r="FG110" s="10"/>
      <c r="FH110" s="10"/>
      <c r="FI110" s="10"/>
      <c r="FJ110" s="10"/>
      <c r="FK110" s="10"/>
      <c r="FL110" s="10"/>
      <c r="FM110" s="10"/>
      <c r="FN110" s="10"/>
      <c r="FO110" s="10"/>
      <c r="FP110" s="10"/>
      <c r="FQ110" s="10"/>
      <c r="FW110" s="4"/>
      <c r="FX110" s="5"/>
    </row>
    <row r="111" spans="48:180" x14ac:dyDescent="0.2">
      <c r="AV111" t="str">
        <f t="shared" si="89"/>
        <v/>
      </c>
      <c r="AW111" t="str">
        <f t="shared" si="55"/>
        <v/>
      </c>
      <c r="AX111" t="str">
        <f t="shared" si="55"/>
        <v/>
      </c>
      <c r="AY111" t="str">
        <f t="shared" si="55"/>
        <v/>
      </c>
      <c r="AZ111" t="str">
        <f t="shared" si="55"/>
        <v/>
      </c>
      <c r="FB111" s="10"/>
      <c r="FC111" s="10"/>
      <c r="FD111" s="10"/>
      <c r="FE111" s="10"/>
      <c r="FF111" s="10"/>
      <c r="FG111" s="10"/>
      <c r="FH111" s="10"/>
      <c r="FI111" s="10"/>
      <c r="FJ111" s="10"/>
      <c r="FK111" s="10"/>
      <c r="FL111" s="10"/>
      <c r="FM111" s="10"/>
      <c r="FN111" s="10"/>
      <c r="FO111" s="10"/>
      <c r="FP111" s="10"/>
      <c r="FQ111" s="10"/>
      <c r="FW111" s="4"/>
      <c r="FX111" s="5"/>
    </row>
    <row r="112" spans="48:180" x14ac:dyDescent="0.2">
      <c r="AV112" t="str">
        <f t="shared" si="89"/>
        <v/>
      </c>
      <c r="AW112" t="str">
        <f t="shared" si="55"/>
        <v/>
      </c>
      <c r="AX112" t="str">
        <f t="shared" si="55"/>
        <v/>
      </c>
      <c r="AY112" t="str">
        <f t="shared" si="55"/>
        <v/>
      </c>
      <c r="AZ112" t="str">
        <f t="shared" si="55"/>
        <v/>
      </c>
      <c r="FB112" s="10"/>
      <c r="FC112" s="10"/>
      <c r="FD112" s="10"/>
      <c r="FE112" s="10"/>
      <c r="FF112" s="10"/>
      <c r="FG112" s="10"/>
      <c r="FH112" s="10"/>
      <c r="FI112" s="10"/>
      <c r="FJ112" s="10"/>
      <c r="FK112" s="10"/>
      <c r="FL112" s="10"/>
      <c r="FM112" s="10"/>
      <c r="FN112" s="10"/>
      <c r="FO112" s="10"/>
      <c r="FP112" s="10"/>
      <c r="FQ112" s="10"/>
      <c r="FW112" s="4"/>
      <c r="FX112" s="5"/>
    </row>
    <row r="113" spans="48:180" x14ac:dyDescent="0.2">
      <c r="AV113" t="str">
        <f t="shared" si="89"/>
        <v/>
      </c>
      <c r="AW113" t="str">
        <f t="shared" si="55"/>
        <v/>
      </c>
      <c r="AX113" t="str">
        <f t="shared" si="55"/>
        <v/>
      </c>
      <c r="AY113" t="str">
        <f t="shared" si="55"/>
        <v/>
      </c>
      <c r="AZ113" t="str">
        <f t="shared" si="55"/>
        <v/>
      </c>
      <c r="FB113" s="10"/>
      <c r="FC113" s="10"/>
      <c r="FD113" s="10"/>
      <c r="FE113" s="10"/>
      <c r="FF113" s="10"/>
      <c r="FG113" s="10"/>
      <c r="FH113" s="10"/>
      <c r="FI113" s="10"/>
      <c r="FJ113" s="10"/>
      <c r="FK113" s="10"/>
      <c r="FL113" s="10"/>
      <c r="FM113" s="10"/>
      <c r="FN113" s="10"/>
      <c r="FO113" s="10"/>
      <c r="FP113" s="10"/>
      <c r="FQ113" s="10"/>
      <c r="FW113" s="4"/>
      <c r="FX113" s="5"/>
    </row>
    <row r="114" spans="48:180" x14ac:dyDescent="0.2">
      <c r="AV114" t="str">
        <f t="shared" si="89"/>
        <v/>
      </c>
      <c r="AW114" t="str">
        <f t="shared" si="55"/>
        <v/>
      </c>
      <c r="AX114" t="str">
        <f t="shared" si="55"/>
        <v/>
      </c>
      <c r="AY114" t="str">
        <f t="shared" si="55"/>
        <v/>
      </c>
      <c r="AZ114" t="str">
        <f t="shared" si="55"/>
        <v/>
      </c>
      <c r="FB114" s="10"/>
      <c r="FC114" s="10"/>
      <c r="FD114" s="10"/>
      <c r="FE114" s="10"/>
      <c r="FF114" s="10"/>
      <c r="FG114" s="10"/>
      <c r="FH114" s="10"/>
      <c r="FI114" s="10"/>
      <c r="FJ114" s="10"/>
      <c r="FK114" s="10"/>
      <c r="FL114" s="10"/>
      <c r="FM114" s="10"/>
      <c r="FN114" s="10"/>
      <c r="FO114" s="10"/>
      <c r="FP114" s="10"/>
      <c r="FQ114" s="10"/>
      <c r="FW114" s="4"/>
      <c r="FX114" s="5"/>
    </row>
    <row r="115" spans="48:180" x14ac:dyDescent="0.2">
      <c r="AV115" t="str">
        <f t="shared" si="89"/>
        <v/>
      </c>
      <c r="AW115" t="str">
        <f t="shared" si="55"/>
        <v/>
      </c>
      <c r="AX115" t="str">
        <f t="shared" si="55"/>
        <v/>
      </c>
      <c r="AY115" t="str">
        <f t="shared" si="55"/>
        <v/>
      </c>
      <c r="AZ115" t="str">
        <f t="shared" si="55"/>
        <v/>
      </c>
      <c r="FB115" s="10"/>
      <c r="FC115" s="10"/>
      <c r="FD115" s="10"/>
      <c r="FE115" s="10"/>
      <c r="FF115" s="10"/>
      <c r="FG115" s="10"/>
      <c r="FH115" s="10"/>
      <c r="FI115" s="10"/>
      <c r="FJ115" s="10"/>
      <c r="FK115" s="10"/>
      <c r="FL115" s="10"/>
      <c r="FM115" s="10"/>
      <c r="FN115" s="10"/>
      <c r="FO115" s="10"/>
      <c r="FP115" s="10"/>
      <c r="FQ115" s="10"/>
      <c r="FW115" s="4"/>
      <c r="FX115" s="5"/>
    </row>
    <row r="116" spans="48:180" x14ac:dyDescent="0.2">
      <c r="AV116" t="str">
        <f t="shared" si="89"/>
        <v/>
      </c>
      <c r="AW116" t="str">
        <f t="shared" si="55"/>
        <v/>
      </c>
      <c r="AX116" t="str">
        <f t="shared" si="55"/>
        <v/>
      </c>
      <c r="AY116" t="str">
        <f t="shared" si="55"/>
        <v/>
      </c>
      <c r="AZ116" t="str">
        <f t="shared" si="55"/>
        <v/>
      </c>
      <c r="FB116" s="10"/>
      <c r="FC116" s="10"/>
      <c r="FD116" s="10"/>
      <c r="FE116" s="10"/>
      <c r="FF116" s="10"/>
      <c r="FG116" s="10"/>
      <c r="FH116" s="10"/>
      <c r="FI116" s="10"/>
      <c r="FJ116" s="10"/>
      <c r="FK116" s="10"/>
      <c r="FL116" s="10"/>
      <c r="FM116" s="10"/>
      <c r="FN116" s="10"/>
      <c r="FO116" s="10"/>
      <c r="FP116" s="10"/>
      <c r="FQ116" s="10"/>
      <c r="FW116" s="4"/>
      <c r="FX116" s="5"/>
    </row>
    <row r="117" spans="48:180" x14ac:dyDescent="0.2">
      <c r="AV117" t="str">
        <f t="shared" si="89"/>
        <v/>
      </c>
      <c r="AW117" t="str">
        <f t="shared" si="55"/>
        <v/>
      </c>
      <c r="AX117" t="str">
        <f t="shared" si="55"/>
        <v/>
      </c>
      <c r="AY117" t="str">
        <f t="shared" si="55"/>
        <v/>
      </c>
      <c r="AZ117" t="str">
        <f t="shared" si="55"/>
        <v/>
      </c>
      <c r="FB117" s="10"/>
      <c r="FC117" s="10"/>
      <c r="FD117" s="10"/>
      <c r="FE117" s="10"/>
      <c r="FF117" s="10"/>
      <c r="FG117" s="10"/>
      <c r="FH117" s="10"/>
      <c r="FI117" s="10"/>
      <c r="FJ117" s="10"/>
      <c r="FK117" s="10"/>
      <c r="FL117" s="10"/>
      <c r="FM117" s="10"/>
      <c r="FN117" s="10"/>
      <c r="FO117" s="10"/>
      <c r="FP117" s="10"/>
      <c r="FQ117" s="10"/>
      <c r="FW117" s="4"/>
      <c r="FX117" s="5"/>
    </row>
    <row r="118" spans="48:180" x14ac:dyDescent="0.2">
      <c r="AV118" t="str">
        <f t="shared" si="89"/>
        <v/>
      </c>
      <c r="AW118" t="str">
        <f t="shared" si="55"/>
        <v/>
      </c>
      <c r="AX118" t="str">
        <f t="shared" si="55"/>
        <v/>
      </c>
      <c r="AY118" t="str">
        <f t="shared" si="55"/>
        <v/>
      </c>
      <c r="AZ118" t="str">
        <f t="shared" si="55"/>
        <v/>
      </c>
      <c r="FB118" s="10"/>
      <c r="FC118" s="10"/>
      <c r="FD118" s="10"/>
      <c r="FE118" s="10"/>
      <c r="FF118" s="10"/>
      <c r="FG118" s="10"/>
      <c r="FH118" s="10"/>
      <c r="FI118" s="10"/>
      <c r="FJ118" s="10"/>
      <c r="FK118" s="10"/>
      <c r="FL118" s="10"/>
      <c r="FM118" s="10"/>
      <c r="FN118" s="10"/>
      <c r="FO118" s="10"/>
      <c r="FP118" s="10"/>
      <c r="FQ118" s="10"/>
      <c r="FW118" s="4"/>
      <c r="FX118" s="5"/>
    </row>
    <row r="119" spans="48:180" x14ac:dyDescent="0.2">
      <c r="AV119" t="str">
        <f t="shared" si="89"/>
        <v/>
      </c>
      <c r="AW119" t="str">
        <f t="shared" si="55"/>
        <v/>
      </c>
      <c r="AX119" t="str">
        <f t="shared" si="55"/>
        <v/>
      </c>
      <c r="AY119" t="str">
        <f t="shared" si="55"/>
        <v/>
      </c>
      <c r="AZ119" t="str">
        <f t="shared" si="55"/>
        <v/>
      </c>
      <c r="FB119" s="10"/>
      <c r="FC119" s="10"/>
      <c r="FD119" s="10"/>
      <c r="FE119" s="10"/>
      <c r="FF119" s="10"/>
      <c r="FG119" s="10"/>
      <c r="FH119" s="10"/>
      <c r="FI119" s="10"/>
      <c r="FJ119" s="10"/>
      <c r="FK119" s="10"/>
      <c r="FL119" s="10"/>
      <c r="FM119" s="10"/>
      <c r="FN119" s="10"/>
      <c r="FO119" s="10"/>
      <c r="FP119" s="10"/>
      <c r="FQ119" s="10"/>
      <c r="FW119" s="4"/>
      <c r="FX119" s="5"/>
    </row>
    <row r="120" spans="48:180" x14ac:dyDescent="0.2">
      <c r="AV120" t="str">
        <f t="shared" si="89"/>
        <v/>
      </c>
      <c r="AW120" t="str">
        <f t="shared" si="55"/>
        <v/>
      </c>
      <c r="AX120" t="str">
        <f t="shared" si="55"/>
        <v/>
      </c>
      <c r="AY120" t="str">
        <f t="shared" si="55"/>
        <v/>
      </c>
      <c r="AZ120" t="str">
        <f t="shared" si="55"/>
        <v/>
      </c>
      <c r="FB120" s="10"/>
      <c r="FC120" s="10"/>
      <c r="FD120" s="10"/>
      <c r="FE120" s="10"/>
      <c r="FF120" s="10"/>
      <c r="FG120" s="10"/>
      <c r="FH120" s="10"/>
      <c r="FI120" s="10"/>
      <c r="FJ120" s="10"/>
      <c r="FK120" s="10"/>
      <c r="FL120" s="10"/>
      <c r="FM120" s="10"/>
      <c r="FN120" s="10"/>
      <c r="FO120" s="10"/>
      <c r="FP120" s="10"/>
      <c r="FQ120" s="10"/>
      <c r="FW120" s="4"/>
      <c r="FX120" s="5"/>
    </row>
    <row r="121" spans="48:180" x14ac:dyDescent="0.2">
      <c r="AV121" t="str">
        <f t="shared" si="89"/>
        <v/>
      </c>
      <c r="AW121" t="str">
        <f t="shared" si="55"/>
        <v/>
      </c>
      <c r="AX121" t="str">
        <f t="shared" si="55"/>
        <v/>
      </c>
      <c r="AY121" t="str">
        <f t="shared" si="55"/>
        <v/>
      </c>
      <c r="AZ121" t="str">
        <f t="shared" si="55"/>
        <v/>
      </c>
      <c r="FB121" s="10"/>
      <c r="FC121" s="10"/>
      <c r="FD121" s="10"/>
      <c r="FE121" s="10"/>
      <c r="FF121" s="10"/>
      <c r="FG121" s="10"/>
      <c r="FH121" s="10"/>
      <c r="FI121" s="10"/>
      <c r="FJ121" s="10"/>
      <c r="FK121" s="10"/>
      <c r="FL121" s="10"/>
      <c r="FM121" s="10"/>
      <c r="FN121" s="10"/>
      <c r="FO121" s="10"/>
      <c r="FP121" s="10"/>
      <c r="FQ121" s="10"/>
      <c r="FW121" s="4"/>
      <c r="FX121" s="5"/>
    </row>
    <row r="122" spans="48:180" x14ac:dyDescent="0.2">
      <c r="AV122" t="str">
        <f t="shared" si="89"/>
        <v/>
      </c>
      <c r="AW122" t="str">
        <f t="shared" si="55"/>
        <v/>
      </c>
      <c r="AX122" t="str">
        <f t="shared" si="55"/>
        <v/>
      </c>
      <c r="AY122" t="str">
        <f t="shared" si="55"/>
        <v/>
      </c>
      <c r="AZ122" t="str">
        <f t="shared" si="55"/>
        <v/>
      </c>
      <c r="FB122" s="10"/>
      <c r="FC122" s="10"/>
      <c r="FD122" s="10"/>
      <c r="FE122" s="10"/>
      <c r="FF122" s="10"/>
      <c r="FG122" s="10"/>
      <c r="FH122" s="10"/>
      <c r="FI122" s="10"/>
      <c r="FJ122" s="10"/>
      <c r="FK122" s="10"/>
      <c r="FL122" s="10"/>
      <c r="FM122" s="10"/>
      <c r="FN122" s="10"/>
      <c r="FO122" s="10"/>
      <c r="FP122" s="10"/>
      <c r="FQ122" s="10"/>
      <c r="FW122" s="4"/>
      <c r="FX122" s="5"/>
    </row>
    <row r="123" spans="48:180" x14ac:dyDescent="0.2">
      <c r="AV123" t="str">
        <f t="shared" si="89"/>
        <v/>
      </c>
      <c r="AW123" t="str">
        <f t="shared" si="55"/>
        <v/>
      </c>
      <c r="AX123" t="str">
        <f t="shared" si="55"/>
        <v/>
      </c>
      <c r="AY123" t="str">
        <f t="shared" si="55"/>
        <v/>
      </c>
      <c r="AZ123" t="str">
        <f t="shared" si="55"/>
        <v/>
      </c>
      <c r="FB123" s="10"/>
      <c r="FC123" s="10"/>
      <c r="FD123" s="10"/>
      <c r="FE123" s="10"/>
      <c r="FF123" s="10"/>
      <c r="FG123" s="10"/>
      <c r="FH123" s="10"/>
      <c r="FI123" s="10"/>
      <c r="FJ123" s="10"/>
      <c r="FK123" s="10"/>
      <c r="FL123" s="10"/>
      <c r="FM123" s="10"/>
      <c r="FN123" s="10"/>
      <c r="FO123" s="10"/>
      <c r="FP123" s="10"/>
      <c r="FQ123" s="10"/>
      <c r="FW123" s="4"/>
      <c r="FX123" s="5"/>
    </row>
    <row r="124" spans="48:180" x14ac:dyDescent="0.2">
      <c r="AV124" t="str">
        <f t="shared" si="89"/>
        <v/>
      </c>
      <c r="AW124" t="str">
        <f t="shared" si="55"/>
        <v/>
      </c>
      <c r="AX124" t="str">
        <f t="shared" si="55"/>
        <v/>
      </c>
      <c r="AY124" t="str">
        <f t="shared" si="55"/>
        <v/>
      </c>
      <c r="AZ124" t="str">
        <f t="shared" si="55"/>
        <v/>
      </c>
      <c r="FB124" s="10"/>
      <c r="FC124" s="10"/>
      <c r="FD124" s="10"/>
      <c r="FE124" s="10"/>
      <c r="FF124" s="10"/>
      <c r="FG124" s="10"/>
      <c r="FH124" s="10"/>
      <c r="FI124" s="10"/>
      <c r="FJ124" s="10"/>
      <c r="FK124" s="10"/>
      <c r="FL124" s="10"/>
      <c r="FM124" s="10"/>
      <c r="FN124" s="10"/>
      <c r="FO124" s="10"/>
      <c r="FP124" s="10"/>
      <c r="FQ124" s="10"/>
      <c r="FW124" s="4"/>
      <c r="FX124" s="5"/>
    </row>
    <row r="125" spans="48:180" x14ac:dyDescent="0.2">
      <c r="AV125" t="str">
        <f t="shared" si="89"/>
        <v/>
      </c>
      <c r="AW125" t="str">
        <f t="shared" si="55"/>
        <v/>
      </c>
      <c r="AX125" t="str">
        <f t="shared" si="55"/>
        <v/>
      </c>
      <c r="AY125" t="str">
        <f t="shared" si="55"/>
        <v/>
      </c>
      <c r="AZ125" t="str">
        <f t="shared" si="55"/>
        <v/>
      </c>
      <c r="FB125" s="10"/>
      <c r="FC125" s="10"/>
      <c r="FD125" s="10"/>
      <c r="FE125" s="10"/>
      <c r="FF125" s="10"/>
      <c r="FG125" s="10"/>
      <c r="FH125" s="10"/>
      <c r="FI125" s="10"/>
      <c r="FJ125" s="10"/>
      <c r="FK125" s="10"/>
      <c r="FL125" s="10"/>
      <c r="FM125" s="10"/>
      <c r="FN125" s="10"/>
      <c r="FO125" s="10"/>
      <c r="FP125" s="10"/>
      <c r="FQ125" s="10"/>
      <c r="FW125" s="4"/>
      <c r="FX125" s="5"/>
    </row>
    <row r="126" spans="48:180" x14ac:dyDescent="0.2">
      <c r="AV126" t="str">
        <f t="shared" si="89"/>
        <v/>
      </c>
      <c r="AW126" t="str">
        <f t="shared" si="55"/>
        <v/>
      </c>
      <c r="AX126" t="str">
        <f t="shared" si="55"/>
        <v/>
      </c>
      <c r="AY126" t="str">
        <f t="shared" si="55"/>
        <v/>
      </c>
      <c r="AZ126" t="str">
        <f t="shared" si="55"/>
        <v/>
      </c>
      <c r="FB126" s="10"/>
      <c r="FC126" s="10"/>
      <c r="FD126" s="10"/>
      <c r="FE126" s="10"/>
      <c r="FF126" s="10"/>
      <c r="FG126" s="10"/>
      <c r="FH126" s="10"/>
      <c r="FI126" s="10"/>
      <c r="FJ126" s="10"/>
      <c r="FK126" s="10"/>
      <c r="FL126" s="10"/>
      <c r="FM126" s="10"/>
      <c r="FN126" s="10"/>
      <c r="FO126" s="10"/>
      <c r="FP126" s="10"/>
      <c r="FQ126" s="10"/>
      <c r="FW126" s="4"/>
      <c r="FX126" s="5"/>
    </row>
    <row r="127" spans="48:180" x14ac:dyDescent="0.2">
      <c r="AV127" t="str">
        <f t="shared" si="89"/>
        <v/>
      </c>
      <c r="AW127" t="str">
        <f t="shared" si="55"/>
        <v/>
      </c>
      <c r="AX127" t="str">
        <f t="shared" si="55"/>
        <v/>
      </c>
      <c r="AY127" t="str">
        <f t="shared" si="55"/>
        <v/>
      </c>
      <c r="AZ127" t="str">
        <f t="shared" si="55"/>
        <v/>
      </c>
      <c r="FB127" s="10"/>
      <c r="FC127" s="10"/>
      <c r="FD127" s="10"/>
      <c r="FE127" s="10"/>
      <c r="FF127" s="10"/>
      <c r="FG127" s="10"/>
      <c r="FH127" s="10"/>
      <c r="FI127" s="10"/>
      <c r="FJ127" s="10"/>
      <c r="FK127" s="10"/>
      <c r="FL127" s="10"/>
      <c r="FM127" s="10"/>
      <c r="FN127" s="10"/>
      <c r="FO127" s="10"/>
      <c r="FP127" s="10"/>
      <c r="FQ127" s="10"/>
      <c r="FW127" s="4"/>
      <c r="FX127" s="5"/>
    </row>
    <row r="128" spans="48:180" x14ac:dyDescent="0.2">
      <c r="AV128" t="str">
        <f t="shared" si="89"/>
        <v/>
      </c>
      <c r="AW128" t="str">
        <f t="shared" si="55"/>
        <v/>
      </c>
      <c r="AX128" t="str">
        <f t="shared" si="55"/>
        <v/>
      </c>
      <c r="AY128" t="str">
        <f t="shared" si="55"/>
        <v/>
      </c>
      <c r="AZ128" t="str">
        <f t="shared" si="55"/>
        <v/>
      </c>
      <c r="FB128" s="10"/>
      <c r="FC128" s="10"/>
      <c r="FD128" s="10"/>
      <c r="FE128" s="10"/>
      <c r="FF128" s="10"/>
      <c r="FG128" s="10"/>
      <c r="FH128" s="10"/>
      <c r="FI128" s="10"/>
      <c r="FJ128" s="10"/>
      <c r="FK128" s="10"/>
      <c r="FL128" s="10"/>
      <c r="FM128" s="10"/>
      <c r="FN128" s="10"/>
      <c r="FO128" s="10"/>
      <c r="FP128" s="10"/>
      <c r="FQ128" s="10"/>
      <c r="FW128" s="4"/>
      <c r="FX128" s="5"/>
    </row>
    <row r="129" spans="48:180" x14ac:dyDescent="0.2">
      <c r="AV129" t="str">
        <f t="shared" si="89"/>
        <v/>
      </c>
      <c r="AW129" t="str">
        <f t="shared" si="55"/>
        <v/>
      </c>
      <c r="AX129" t="str">
        <f t="shared" si="55"/>
        <v/>
      </c>
      <c r="AY129" t="str">
        <f t="shared" si="55"/>
        <v/>
      </c>
      <c r="AZ129" t="str">
        <f t="shared" si="55"/>
        <v/>
      </c>
      <c r="FB129" s="10"/>
      <c r="FC129" s="10"/>
      <c r="FD129" s="10"/>
      <c r="FE129" s="10"/>
      <c r="FF129" s="10"/>
      <c r="FG129" s="10"/>
      <c r="FH129" s="10"/>
      <c r="FI129" s="10"/>
      <c r="FJ129" s="10"/>
      <c r="FK129" s="10"/>
      <c r="FL129" s="10"/>
      <c r="FM129" s="10"/>
      <c r="FN129" s="10"/>
      <c r="FO129" s="10"/>
      <c r="FP129" s="10"/>
      <c r="FQ129" s="10"/>
      <c r="FW129" s="4"/>
      <c r="FX129" s="5"/>
    </row>
    <row r="130" spans="48:180" x14ac:dyDescent="0.2">
      <c r="AV130" t="str">
        <f t="shared" si="89"/>
        <v/>
      </c>
      <c r="AW130" t="str">
        <f t="shared" si="55"/>
        <v/>
      </c>
      <c r="AX130" t="str">
        <f t="shared" si="55"/>
        <v/>
      </c>
      <c r="AY130" t="str">
        <f t="shared" si="55"/>
        <v/>
      </c>
      <c r="AZ130" t="str">
        <f t="shared" si="55"/>
        <v/>
      </c>
      <c r="FB130" s="10"/>
      <c r="FC130" s="10"/>
      <c r="FD130" s="10"/>
      <c r="FE130" s="10"/>
      <c r="FF130" s="10"/>
      <c r="FG130" s="10"/>
      <c r="FH130" s="10"/>
      <c r="FI130" s="10"/>
      <c r="FJ130" s="10"/>
      <c r="FK130" s="10"/>
      <c r="FL130" s="10"/>
      <c r="FM130" s="10"/>
      <c r="FN130" s="10"/>
      <c r="FO130" s="10"/>
      <c r="FP130" s="10"/>
      <c r="FQ130" s="10"/>
      <c r="FW130" s="4"/>
      <c r="FX130" s="5"/>
    </row>
    <row r="131" spans="48:180" x14ac:dyDescent="0.2">
      <c r="AV131" t="str">
        <f t="shared" si="89"/>
        <v/>
      </c>
      <c r="AW131" t="str">
        <f t="shared" si="55"/>
        <v/>
      </c>
      <c r="AX131" t="str">
        <f t="shared" si="55"/>
        <v/>
      </c>
      <c r="AY131" t="str">
        <f t="shared" si="55"/>
        <v/>
      </c>
      <c r="AZ131" t="str">
        <f t="shared" ref="AZ131:AZ188" si="171">IF(AQ131=1,CP131=1,"")</f>
        <v/>
      </c>
      <c r="FB131" s="10"/>
      <c r="FC131" s="10"/>
      <c r="FD131" s="10"/>
      <c r="FE131" s="10"/>
      <c r="FF131" s="10"/>
      <c r="FG131" s="10"/>
      <c r="FH131" s="10"/>
      <c r="FI131" s="10"/>
      <c r="FJ131" s="10"/>
      <c r="FK131" s="10"/>
      <c r="FL131" s="10"/>
      <c r="FM131" s="10"/>
      <c r="FN131" s="10"/>
      <c r="FO131" s="10"/>
      <c r="FP131" s="10"/>
      <c r="FQ131" s="10"/>
      <c r="FW131" s="4"/>
      <c r="FX131" s="5"/>
    </row>
    <row r="132" spans="48:180" x14ac:dyDescent="0.2">
      <c r="AV132" t="str">
        <f t="shared" si="89"/>
        <v/>
      </c>
      <c r="AW132" t="str">
        <f t="shared" si="89"/>
        <v/>
      </c>
      <c r="AX132" t="str">
        <f t="shared" si="89"/>
        <v/>
      </c>
      <c r="AY132" t="str">
        <f t="shared" si="89"/>
        <v/>
      </c>
      <c r="AZ132" t="str">
        <f t="shared" si="171"/>
        <v/>
      </c>
      <c r="FB132" s="10"/>
      <c r="FC132" s="10"/>
      <c r="FD132" s="10"/>
      <c r="FE132" s="10"/>
      <c r="FF132" s="10"/>
      <c r="FG132" s="10"/>
      <c r="FH132" s="10"/>
      <c r="FI132" s="10"/>
      <c r="FJ132" s="10"/>
      <c r="FK132" s="10"/>
      <c r="FL132" s="10"/>
      <c r="FM132" s="10"/>
      <c r="FN132" s="10"/>
      <c r="FO132" s="10"/>
      <c r="FP132" s="10"/>
      <c r="FQ132" s="10"/>
      <c r="FW132" s="4"/>
      <c r="FX132" s="5"/>
    </row>
    <row r="133" spans="48:180" x14ac:dyDescent="0.2">
      <c r="AV133" t="str">
        <f t="shared" ref="AV133:AY188" si="172">IF(AM133=1,CL133=1,"")</f>
        <v/>
      </c>
      <c r="AW133" t="str">
        <f t="shared" si="172"/>
        <v/>
      </c>
      <c r="AX133" t="str">
        <f t="shared" si="172"/>
        <v/>
      </c>
      <c r="AY133" t="str">
        <f t="shared" si="172"/>
        <v/>
      </c>
      <c r="AZ133" t="str">
        <f t="shared" si="171"/>
        <v/>
      </c>
      <c r="FB133" s="10"/>
      <c r="FC133" s="10"/>
      <c r="FD133" s="10"/>
      <c r="FE133" s="10"/>
      <c r="FF133" s="10"/>
      <c r="FG133" s="10"/>
      <c r="FH133" s="10"/>
      <c r="FI133" s="10"/>
      <c r="FJ133" s="10"/>
      <c r="FK133" s="10"/>
      <c r="FL133" s="10"/>
      <c r="FM133" s="10"/>
      <c r="FN133" s="10"/>
      <c r="FO133" s="10"/>
      <c r="FP133" s="10"/>
      <c r="FQ133" s="10"/>
      <c r="FW133" s="4"/>
      <c r="FX133" s="5"/>
    </row>
    <row r="134" spans="48:180" x14ac:dyDescent="0.2">
      <c r="AV134" t="str">
        <f t="shared" si="172"/>
        <v/>
      </c>
      <c r="AW134" t="str">
        <f t="shared" si="172"/>
        <v/>
      </c>
      <c r="AX134" t="str">
        <f t="shared" si="172"/>
        <v/>
      </c>
      <c r="AY134" t="str">
        <f t="shared" si="172"/>
        <v/>
      </c>
      <c r="AZ134" t="str">
        <f t="shared" si="171"/>
        <v/>
      </c>
      <c r="FB134" s="10"/>
      <c r="FC134" s="10"/>
      <c r="FD134" s="10"/>
      <c r="FE134" s="10"/>
      <c r="FF134" s="10"/>
      <c r="FG134" s="10"/>
      <c r="FH134" s="10"/>
      <c r="FI134" s="10"/>
      <c r="FJ134" s="10"/>
      <c r="FK134" s="10"/>
      <c r="FL134" s="10"/>
      <c r="FM134" s="10"/>
      <c r="FN134" s="10"/>
      <c r="FO134" s="10"/>
      <c r="FP134" s="10"/>
      <c r="FQ134" s="10"/>
      <c r="FW134" s="4"/>
      <c r="FX134" s="5"/>
    </row>
    <row r="135" spans="48:180" x14ac:dyDescent="0.2">
      <c r="AV135" t="str">
        <f t="shared" si="172"/>
        <v/>
      </c>
      <c r="AW135" t="str">
        <f t="shared" si="172"/>
        <v/>
      </c>
      <c r="AX135" t="str">
        <f t="shared" si="172"/>
        <v/>
      </c>
      <c r="AY135" t="str">
        <f t="shared" si="172"/>
        <v/>
      </c>
      <c r="AZ135" t="str">
        <f t="shared" si="171"/>
        <v/>
      </c>
      <c r="FB135" s="10"/>
      <c r="FC135" s="10"/>
      <c r="FD135" s="10"/>
      <c r="FE135" s="10"/>
      <c r="FF135" s="10"/>
      <c r="FG135" s="10"/>
      <c r="FH135" s="10"/>
      <c r="FI135" s="10"/>
      <c r="FJ135" s="10"/>
      <c r="FK135" s="10"/>
      <c r="FL135" s="10"/>
      <c r="FM135" s="10"/>
      <c r="FN135" s="10"/>
      <c r="FO135" s="10"/>
      <c r="FP135" s="10"/>
      <c r="FQ135" s="10"/>
      <c r="FW135" s="4"/>
      <c r="FX135" s="5"/>
    </row>
    <row r="136" spans="48:180" x14ac:dyDescent="0.2">
      <c r="AV136" t="str">
        <f t="shared" si="172"/>
        <v/>
      </c>
      <c r="AW136" t="str">
        <f t="shared" si="172"/>
        <v/>
      </c>
      <c r="AX136" t="str">
        <f t="shared" si="172"/>
        <v/>
      </c>
      <c r="AY136" t="str">
        <f t="shared" si="172"/>
        <v/>
      </c>
      <c r="AZ136" t="str">
        <f t="shared" si="171"/>
        <v/>
      </c>
      <c r="FB136" s="10"/>
      <c r="FC136" s="10"/>
      <c r="FD136" s="10"/>
      <c r="FE136" s="10"/>
      <c r="FF136" s="10"/>
      <c r="FG136" s="10"/>
      <c r="FH136" s="10"/>
      <c r="FI136" s="10"/>
      <c r="FJ136" s="10"/>
      <c r="FK136" s="10"/>
      <c r="FL136" s="10"/>
      <c r="FM136" s="10"/>
      <c r="FN136" s="10"/>
      <c r="FO136" s="10"/>
      <c r="FP136" s="10"/>
      <c r="FQ136" s="10"/>
      <c r="FW136" s="4"/>
      <c r="FX136" s="5"/>
    </row>
    <row r="137" spans="48:180" x14ac:dyDescent="0.2">
      <c r="AV137" t="str">
        <f t="shared" si="172"/>
        <v/>
      </c>
      <c r="AW137" t="str">
        <f t="shared" si="172"/>
        <v/>
      </c>
      <c r="AX137" t="str">
        <f t="shared" si="172"/>
        <v/>
      </c>
      <c r="AY137" t="str">
        <f t="shared" si="172"/>
        <v/>
      </c>
      <c r="AZ137" t="str">
        <f t="shared" si="171"/>
        <v/>
      </c>
      <c r="FB137" s="10"/>
      <c r="FC137" s="10"/>
      <c r="FD137" s="10"/>
      <c r="FE137" s="10"/>
      <c r="FF137" s="10"/>
      <c r="FG137" s="10"/>
      <c r="FH137" s="10"/>
      <c r="FI137" s="10"/>
      <c r="FJ137" s="10"/>
      <c r="FK137" s="10"/>
      <c r="FL137" s="10"/>
      <c r="FM137" s="10"/>
      <c r="FN137" s="10"/>
      <c r="FO137" s="10"/>
      <c r="FP137" s="10"/>
      <c r="FQ137" s="10"/>
      <c r="FW137" s="4"/>
      <c r="FX137" s="5"/>
    </row>
    <row r="138" spans="48:180" x14ac:dyDescent="0.2">
      <c r="AV138" t="str">
        <f t="shared" si="172"/>
        <v/>
      </c>
      <c r="AW138" t="str">
        <f t="shared" si="172"/>
        <v/>
      </c>
      <c r="AX138" t="str">
        <f t="shared" si="172"/>
        <v/>
      </c>
      <c r="AY138" t="str">
        <f t="shared" si="172"/>
        <v/>
      </c>
      <c r="AZ138" t="str">
        <f t="shared" si="171"/>
        <v/>
      </c>
      <c r="FB138" s="10"/>
      <c r="FC138" s="10"/>
      <c r="FD138" s="10"/>
      <c r="FE138" s="10"/>
      <c r="FF138" s="10"/>
      <c r="FG138" s="10"/>
      <c r="FH138" s="10"/>
      <c r="FI138" s="10"/>
      <c r="FJ138" s="10"/>
      <c r="FK138" s="10"/>
      <c r="FL138" s="10"/>
      <c r="FM138" s="10"/>
      <c r="FN138" s="10"/>
      <c r="FO138" s="10"/>
      <c r="FP138" s="10"/>
      <c r="FQ138" s="10"/>
      <c r="FW138" s="4"/>
      <c r="FX138" s="5"/>
    </row>
    <row r="139" spans="48:180" x14ac:dyDescent="0.2">
      <c r="AV139" t="str">
        <f t="shared" si="172"/>
        <v/>
      </c>
      <c r="AW139" t="str">
        <f t="shared" si="172"/>
        <v/>
      </c>
      <c r="AX139" t="str">
        <f t="shared" si="172"/>
        <v/>
      </c>
      <c r="AY139" t="str">
        <f t="shared" si="172"/>
        <v/>
      </c>
      <c r="AZ139" t="str">
        <f t="shared" si="171"/>
        <v/>
      </c>
      <c r="FB139" s="10"/>
      <c r="FC139" s="10"/>
      <c r="FD139" s="10"/>
      <c r="FE139" s="10"/>
      <c r="FF139" s="10"/>
      <c r="FG139" s="10"/>
      <c r="FH139" s="10"/>
      <c r="FI139" s="10"/>
      <c r="FJ139" s="10"/>
      <c r="FK139" s="10"/>
      <c r="FL139" s="10"/>
      <c r="FM139" s="10"/>
      <c r="FN139" s="10"/>
      <c r="FO139" s="10"/>
      <c r="FP139" s="10"/>
      <c r="FQ139" s="10"/>
      <c r="FW139" s="4"/>
      <c r="FX139" s="5"/>
    </row>
    <row r="140" spans="48:180" x14ac:dyDescent="0.2">
      <c r="AV140" t="str">
        <f t="shared" si="172"/>
        <v/>
      </c>
      <c r="AW140" t="str">
        <f t="shared" si="172"/>
        <v/>
      </c>
      <c r="AX140" t="str">
        <f t="shared" si="172"/>
        <v/>
      </c>
      <c r="AY140" t="str">
        <f t="shared" si="172"/>
        <v/>
      </c>
      <c r="AZ140" t="str">
        <f t="shared" si="171"/>
        <v/>
      </c>
      <c r="FB140" s="10"/>
      <c r="FC140" s="10"/>
      <c r="FD140" s="10"/>
      <c r="FE140" s="10"/>
      <c r="FF140" s="10"/>
      <c r="FG140" s="10"/>
      <c r="FH140" s="10"/>
      <c r="FI140" s="10"/>
      <c r="FJ140" s="10"/>
      <c r="FK140" s="10"/>
      <c r="FL140" s="10"/>
      <c r="FM140" s="10"/>
      <c r="FN140" s="10"/>
      <c r="FO140" s="10"/>
      <c r="FP140" s="10"/>
      <c r="FQ140" s="10"/>
      <c r="FW140" s="4"/>
      <c r="FX140" s="5"/>
    </row>
    <row r="141" spans="48:180" x14ac:dyDescent="0.2">
      <c r="AV141" t="str">
        <f t="shared" si="172"/>
        <v/>
      </c>
      <c r="AW141" t="str">
        <f t="shared" si="172"/>
        <v/>
      </c>
      <c r="AX141" t="str">
        <f t="shared" si="172"/>
        <v/>
      </c>
      <c r="AY141" t="str">
        <f t="shared" si="172"/>
        <v/>
      </c>
      <c r="AZ141" t="str">
        <f t="shared" si="171"/>
        <v/>
      </c>
      <c r="FB141" s="10"/>
      <c r="FC141" s="10"/>
      <c r="FD141" s="10"/>
      <c r="FE141" s="10"/>
      <c r="FF141" s="10"/>
      <c r="FG141" s="10"/>
      <c r="FH141" s="10"/>
      <c r="FI141" s="10"/>
      <c r="FJ141" s="10"/>
      <c r="FK141" s="10"/>
      <c r="FL141" s="10"/>
      <c r="FM141" s="10"/>
      <c r="FN141" s="10"/>
      <c r="FO141" s="10"/>
      <c r="FP141" s="10"/>
      <c r="FQ141" s="10"/>
      <c r="FW141" s="4"/>
      <c r="FX141" s="5"/>
    </row>
    <row r="142" spans="48:180" x14ac:dyDescent="0.2">
      <c r="AV142" t="str">
        <f t="shared" si="172"/>
        <v/>
      </c>
      <c r="AW142" t="str">
        <f t="shared" si="172"/>
        <v/>
      </c>
      <c r="AX142" t="str">
        <f t="shared" si="172"/>
        <v/>
      </c>
      <c r="AY142" t="str">
        <f t="shared" si="172"/>
        <v/>
      </c>
      <c r="AZ142" t="str">
        <f t="shared" si="171"/>
        <v/>
      </c>
      <c r="FB142" s="10"/>
      <c r="FC142" s="10"/>
      <c r="FD142" s="10"/>
      <c r="FE142" s="10"/>
      <c r="FF142" s="10"/>
      <c r="FG142" s="10"/>
      <c r="FH142" s="10"/>
      <c r="FI142" s="10"/>
      <c r="FJ142" s="10"/>
      <c r="FK142" s="10"/>
      <c r="FL142" s="10"/>
      <c r="FM142" s="10"/>
      <c r="FN142" s="10"/>
      <c r="FO142" s="10"/>
      <c r="FP142" s="10"/>
      <c r="FQ142" s="10"/>
      <c r="FW142" s="4"/>
      <c r="FX142" s="5"/>
    </row>
    <row r="143" spans="48:180" x14ac:dyDescent="0.2">
      <c r="AV143" t="str">
        <f t="shared" si="172"/>
        <v/>
      </c>
      <c r="AW143" t="str">
        <f t="shared" si="172"/>
        <v/>
      </c>
      <c r="AX143" t="str">
        <f t="shared" si="172"/>
        <v/>
      </c>
      <c r="AY143" t="str">
        <f t="shared" si="172"/>
        <v/>
      </c>
      <c r="AZ143" t="str">
        <f t="shared" si="171"/>
        <v/>
      </c>
      <c r="FB143" s="10"/>
      <c r="FC143" s="10"/>
      <c r="FD143" s="10"/>
      <c r="FE143" s="10"/>
      <c r="FF143" s="10"/>
      <c r="FG143" s="10"/>
      <c r="FH143" s="10"/>
      <c r="FI143" s="10"/>
      <c r="FJ143" s="10"/>
      <c r="FK143" s="10"/>
      <c r="FL143" s="10"/>
      <c r="FM143" s="10"/>
      <c r="FN143" s="10"/>
      <c r="FO143" s="10"/>
      <c r="FP143" s="10"/>
      <c r="FQ143" s="10"/>
      <c r="FW143" s="4"/>
      <c r="FX143" s="5"/>
    </row>
    <row r="144" spans="48:180" x14ac:dyDescent="0.2">
      <c r="AV144" t="str">
        <f t="shared" si="172"/>
        <v/>
      </c>
      <c r="AW144" t="str">
        <f t="shared" si="172"/>
        <v/>
      </c>
      <c r="AX144" t="str">
        <f t="shared" si="172"/>
        <v/>
      </c>
      <c r="AY144" t="str">
        <f t="shared" si="172"/>
        <v/>
      </c>
      <c r="AZ144" t="str">
        <f t="shared" si="171"/>
        <v/>
      </c>
      <c r="FB144" s="10"/>
      <c r="FC144" s="10"/>
      <c r="FD144" s="10"/>
      <c r="FE144" s="10"/>
      <c r="FF144" s="10"/>
      <c r="FG144" s="10"/>
      <c r="FH144" s="10"/>
      <c r="FI144" s="10"/>
      <c r="FJ144" s="10"/>
      <c r="FK144" s="10"/>
      <c r="FL144" s="10"/>
      <c r="FM144" s="10"/>
      <c r="FN144" s="10"/>
      <c r="FO144" s="10"/>
      <c r="FP144" s="10"/>
      <c r="FQ144" s="10"/>
      <c r="FW144" s="4"/>
      <c r="FX144" s="5"/>
    </row>
    <row r="145" spans="48:180" x14ac:dyDescent="0.2">
      <c r="AV145" t="str">
        <f t="shared" si="172"/>
        <v/>
      </c>
      <c r="AW145" t="str">
        <f t="shared" si="172"/>
        <v/>
      </c>
      <c r="AX145" t="str">
        <f t="shared" si="172"/>
        <v/>
      </c>
      <c r="AY145" t="str">
        <f t="shared" si="172"/>
        <v/>
      </c>
      <c r="AZ145" t="str">
        <f t="shared" si="171"/>
        <v/>
      </c>
      <c r="FB145" s="10"/>
      <c r="FC145" s="10"/>
      <c r="FD145" s="10"/>
      <c r="FE145" s="10"/>
      <c r="FF145" s="10"/>
      <c r="FG145" s="10"/>
      <c r="FH145" s="10"/>
      <c r="FI145" s="10"/>
      <c r="FJ145" s="10"/>
      <c r="FK145" s="10"/>
      <c r="FL145" s="10"/>
      <c r="FM145" s="10"/>
      <c r="FN145" s="10"/>
      <c r="FO145" s="10"/>
      <c r="FP145" s="10"/>
      <c r="FQ145" s="10"/>
      <c r="FW145" s="4"/>
      <c r="FX145" s="5"/>
    </row>
    <row r="146" spans="48:180" x14ac:dyDescent="0.2">
      <c r="AV146" t="str">
        <f t="shared" si="172"/>
        <v/>
      </c>
      <c r="AW146" t="str">
        <f t="shared" si="172"/>
        <v/>
      </c>
      <c r="AX146" t="str">
        <f t="shared" si="172"/>
        <v/>
      </c>
      <c r="AY146" t="str">
        <f t="shared" si="172"/>
        <v/>
      </c>
      <c r="AZ146" t="str">
        <f t="shared" si="171"/>
        <v/>
      </c>
      <c r="FB146" s="10"/>
      <c r="FC146" s="10"/>
      <c r="FD146" s="10"/>
      <c r="FE146" s="10"/>
      <c r="FF146" s="10"/>
      <c r="FG146" s="10"/>
      <c r="FH146" s="10"/>
      <c r="FI146" s="10"/>
      <c r="FJ146" s="10"/>
      <c r="FK146" s="10"/>
      <c r="FL146" s="10"/>
      <c r="FM146" s="10"/>
      <c r="FN146" s="10"/>
      <c r="FO146" s="10"/>
      <c r="FP146" s="10"/>
      <c r="FQ146" s="10"/>
      <c r="FW146" s="4"/>
      <c r="FX146" s="5"/>
    </row>
    <row r="147" spans="48:180" x14ac:dyDescent="0.2">
      <c r="AV147" t="str">
        <f t="shared" si="172"/>
        <v/>
      </c>
      <c r="AW147" t="str">
        <f t="shared" si="172"/>
        <v/>
      </c>
      <c r="AX147" t="str">
        <f t="shared" si="172"/>
        <v/>
      </c>
      <c r="AY147" t="str">
        <f t="shared" si="172"/>
        <v/>
      </c>
      <c r="AZ147" t="str">
        <f t="shared" si="171"/>
        <v/>
      </c>
      <c r="FB147" s="10"/>
      <c r="FC147" s="10"/>
      <c r="FD147" s="10"/>
      <c r="FE147" s="10"/>
      <c r="FF147" s="10"/>
      <c r="FG147" s="10"/>
      <c r="FH147" s="10"/>
      <c r="FI147" s="10"/>
      <c r="FJ147" s="10"/>
      <c r="FK147" s="10"/>
      <c r="FL147" s="10"/>
      <c r="FM147" s="10"/>
      <c r="FN147" s="10"/>
      <c r="FO147" s="10"/>
      <c r="FP147" s="10"/>
      <c r="FQ147" s="10"/>
      <c r="FW147" s="4"/>
      <c r="FX147" s="5"/>
    </row>
    <row r="148" spans="48:180" x14ac:dyDescent="0.2">
      <c r="AV148" t="str">
        <f t="shared" si="172"/>
        <v/>
      </c>
      <c r="AW148" t="str">
        <f t="shared" si="172"/>
        <v/>
      </c>
      <c r="AX148" t="str">
        <f t="shared" si="172"/>
        <v/>
      </c>
      <c r="AY148" t="str">
        <f t="shared" si="172"/>
        <v/>
      </c>
      <c r="AZ148" t="str">
        <f t="shared" si="171"/>
        <v/>
      </c>
      <c r="FB148" s="10"/>
      <c r="FC148" s="10"/>
      <c r="FD148" s="10"/>
      <c r="FE148" s="10"/>
      <c r="FF148" s="10"/>
      <c r="FG148" s="10"/>
      <c r="FH148" s="10"/>
      <c r="FI148" s="10"/>
      <c r="FJ148" s="10"/>
      <c r="FK148" s="10"/>
      <c r="FL148" s="10"/>
      <c r="FM148" s="10"/>
      <c r="FN148" s="10"/>
      <c r="FO148" s="10"/>
      <c r="FP148" s="10"/>
      <c r="FQ148" s="10"/>
      <c r="FW148" s="4"/>
      <c r="FX148" s="5"/>
    </row>
    <row r="149" spans="48:180" x14ac:dyDescent="0.2">
      <c r="AV149" t="str">
        <f t="shared" si="172"/>
        <v/>
      </c>
      <c r="AW149" t="str">
        <f t="shared" si="172"/>
        <v/>
      </c>
      <c r="AX149" t="str">
        <f t="shared" si="172"/>
        <v/>
      </c>
      <c r="AY149" t="str">
        <f t="shared" si="172"/>
        <v/>
      </c>
      <c r="AZ149" t="str">
        <f t="shared" si="171"/>
        <v/>
      </c>
      <c r="FB149" s="10"/>
      <c r="FC149" s="10"/>
      <c r="FD149" s="10"/>
      <c r="FE149" s="10"/>
      <c r="FF149" s="10"/>
      <c r="FG149" s="10"/>
      <c r="FH149" s="10"/>
      <c r="FI149" s="10"/>
      <c r="FJ149" s="10"/>
      <c r="FK149" s="10"/>
      <c r="FL149" s="10"/>
      <c r="FM149" s="10"/>
      <c r="FN149" s="10"/>
      <c r="FO149" s="10"/>
      <c r="FP149" s="10"/>
      <c r="FQ149" s="10"/>
      <c r="FW149" s="4"/>
      <c r="FX149" s="5"/>
    </row>
    <row r="150" spans="48:180" x14ac:dyDescent="0.2">
      <c r="AV150" t="str">
        <f t="shared" si="172"/>
        <v/>
      </c>
      <c r="AW150" t="str">
        <f t="shared" si="172"/>
        <v/>
      </c>
      <c r="AX150" t="str">
        <f t="shared" si="172"/>
        <v/>
      </c>
      <c r="AY150" t="str">
        <f t="shared" si="172"/>
        <v/>
      </c>
      <c r="AZ150" t="str">
        <f t="shared" si="171"/>
        <v/>
      </c>
      <c r="FB150" s="10"/>
      <c r="FC150" s="10"/>
      <c r="FD150" s="10"/>
      <c r="FE150" s="10"/>
      <c r="FF150" s="10"/>
      <c r="FG150" s="10"/>
      <c r="FH150" s="10"/>
      <c r="FI150" s="10"/>
      <c r="FJ150" s="10"/>
      <c r="FK150" s="10"/>
      <c r="FL150" s="10"/>
      <c r="FM150" s="10"/>
      <c r="FN150" s="10"/>
      <c r="FO150" s="10"/>
      <c r="FP150" s="10"/>
      <c r="FQ150" s="10"/>
      <c r="FW150" s="4"/>
      <c r="FX150" s="5"/>
    </row>
    <row r="151" spans="48:180" x14ac:dyDescent="0.2">
      <c r="AV151" t="str">
        <f t="shared" si="172"/>
        <v/>
      </c>
      <c r="AW151" t="str">
        <f t="shared" si="172"/>
        <v/>
      </c>
      <c r="AX151" t="str">
        <f t="shared" si="172"/>
        <v/>
      </c>
      <c r="AY151" t="str">
        <f t="shared" si="172"/>
        <v/>
      </c>
      <c r="AZ151" t="str">
        <f t="shared" si="171"/>
        <v/>
      </c>
      <c r="FB151" s="10"/>
      <c r="FC151" s="10"/>
      <c r="FD151" s="10"/>
      <c r="FE151" s="10"/>
      <c r="FF151" s="10"/>
      <c r="FG151" s="10"/>
      <c r="FH151" s="10"/>
      <c r="FI151" s="10"/>
      <c r="FJ151" s="10"/>
      <c r="FK151" s="10"/>
      <c r="FL151" s="10"/>
      <c r="FM151" s="10"/>
      <c r="FN151" s="10"/>
      <c r="FO151" s="10"/>
      <c r="FP151" s="10"/>
      <c r="FQ151" s="10"/>
      <c r="FW151" s="4"/>
      <c r="FX151" s="5"/>
    </row>
    <row r="152" spans="48:180" x14ac:dyDescent="0.2">
      <c r="AV152" t="str">
        <f t="shared" si="172"/>
        <v/>
      </c>
      <c r="AW152" t="str">
        <f t="shared" si="172"/>
        <v/>
      </c>
      <c r="AX152" t="str">
        <f t="shared" si="172"/>
        <v/>
      </c>
      <c r="AY152" t="str">
        <f t="shared" si="172"/>
        <v/>
      </c>
      <c r="AZ152" t="str">
        <f t="shared" si="171"/>
        <v/>
      </c>
      <c r="FB152" s="10"/>
      <c r="FC152" s="10"/>
      <c r="FD152" s="10"/>
      <c r="FE152" s="10"/>
      <c r="FF152" s="10"/>
      <c r="FG152" s="10"/>
      <c r="FH152" s="10"/>
      <c r="FI152" s="10"/>
      <c r="FJ152" s="10"/>
      <c r="FK152" s="10"/>
      <c r="FL152" s="10"/>
      <c r="FM152" s="10"/>
      <c r="FN152" s="10"/>
      <c r="FO152" s="10"/>
      <c r="FP152" s="10"/>
      <c r="FQ152" s="10"/>
      <c r="FW152" s="4"/>
      <c r="FX152" s="5"/>
    </row>
    <row r="153" spans="48:180" x14ac:dyDescent="0.2">
      <c r="AV153" t="str">
        <f t="shared" si="172"/>
        <v/>
      </c>
      <c r="AW153" t="str">
        <f t="shared" si="172"/>
        <v/>
      </c>
      <c r="AX153" t="str">
        <f t="shared" si="172"/>
        <v/>
      </c>
      <c r="AY153" t="str">
        <f t="shared" si="172"/>
        <v/>
      </c>
      <c r="AZ153" t="str">
        <f t="shared" si="171"/>
        <v/>
      </c>
      <c r="FB153" s="10"/>
      <c r="FC153" s="10"/>
      <c r="FD153" s="10"/>
      <c r="FE153" s="10"/>
      <c r="FF153" s="10"/>
      <c r="FG153" s="10"/>
      <c r="FH153" s="10"/>
      <c r="FI153" s="10"/>
      <c r="FJ153" s="10"/>
      <c r="FK153" s="10"/>
      <c r="FL153" s="10"/>
      <c r="FM153" s="10"/>
      <c r="FN153" s="10"/>
      <c r="FO153" s="10"/>
      <c r="FP153" s="10"/>
      <c r="FQ153" s="10"/>
      <c r="FW153" s="4"/>
      <c r="FX153" s="5"/>
    </row>
    <row r="154" spans="48:180" x14ac:dyDescent="0.2">
      <c r="AV154" t="str">
        <f t="shared" si="172"/>
        <v/>
      </c>
      <c r="AW154" t="str">
        <f t="shared" si="172"/>
        <v/>
      </c>
      <c r="AX154" t="str">
        <f t="shared" si="172"/>
        <v/>
      </c>
      <c r="AY154" t="str">
        <f t="shared" si="172"/>
        <v/>
      </c>
      <c r="AZ154" t="str">
        <f t="shared" si="171"/>
        <v/>
      </c>
      <c r="FB154" s="10"/>
      <c r="FC154" s="10"/>
      <c r="FD154" s="10"/>
      <c r="FE154" s="10"/>
      <c r="FF154" s="10"/>
      <c r="FG154" s="10"/>
      <c r="FH154" s="10"/>
      <c r="FI154" s="10"/>
      <c r="FJ154" s="10"/>
      <c r="FK154" s="10"/>
      <c r="FL154" s="10"/>
      <c r="FM154" s="10"/>
      <c r="FN154" s="10"/>
      <c r="FO154" s="10"/>
      <c r="FP154" s="10"/>
      <c r="FQ154" s="10"/>
      <c r="FW154" s="4"/>
      <c r="FX154" s="5"/>
    </row>
    <row r="155" spans="48:180" x14ac:dyDescent="0.2">
      <c r="AV155" t="str">
        <f t="shared" si="172"/>
        <v/>
      </c>
      <c r="AW155" t="str">
        <f t="shared" si="172"/>
        <v/>
      </c>
      <c r="AX155" t="str">
        <f t="shared" si="172"/>
        <v/>
      </c>
      <c r="AY155" t="str">
        <f t="shared" si="172"/>
        <v/>
      </c>
      <c r="AZ155" t="str">
        <f t="shared" si="171"/>
        <v/>
      </c>
      <c r="FB155" s="10"/>
      <c r="FC155" s="10"/>
      <c r="FD155" s="10"/>
      <c r="FE155" s="10"/>
      <c r="FF155" s="10"/>
      <c r="FG155" s="10"/>
      <c r="FH155" s="10"/>
      <c r="FI155" s="10"/>
      <c r="FJ155" s="10"/>
      <c r="FK155" s="10"/>
      <c r="FL155" s="10"/>
      <c r="FM155" s="10"/>
      <c r="FN155" s="10"/>
      <c r="FO155" s="10"/>
      <c r="FP155" s="10"/>
      <c r="FQ155" s="10"/>
      <c r="FW155" s="4"/>
      <c r="FX155" s="5"/>
    </row>
    <row r="156" spans="48:180" x14ac:dyDescent="0.2">
      <c r="AV156" t="str">
        <f t="shared" si="172"/>
        <v/>
      </c>
      <c r="AW156" t="str">
        <f t="shared" si="172"/>
        <v/>
      </c>
      <c r="AX156" t="str">
        <f t="shared" si="172"/>
        <v/>
      </c>
      <c r="AY156" t="str">
        <f t="shared" si="172"/>
        <v/>
      </c>
      <c r="AZ156" t="str">
        <f t="shared" si="171"/>
        <v/>
      </c>
      <c r="FB156" s="10"/>
      <c r="FC156" s="10"/>
      <c r="FD156" s="10"/>
      <c r="FE156" s="10"/>
      <c r="FF156" s="10"/>
      <c r="FG156" s="10"/>
      <c r="FH156" s="10"/>
      <c r="FI156" s="10"/>
      <c r="FJ156" s="10"/>
      <c r="FK156" s="10"/>
      <c r="FL156" s="10"/>
      <c r="FM156" s="10"/>
      <c r="FN156" s="10"/>
      <c r="FO156" s="10"/>
      <c r="FP156" s="10"/>
      <c r="FQ156" s="10"/>
      <c r="FW156" s="4"/>
      <c r="FX156" s="5"/>
    </row>
    <row r="157" spans="48:180" x14ac:dyDescent="0.2">
      <c r="AV157" t="str">
        <f t="shared" si="172"/>
        <v/>
      </c>
      <c r="AW157" t="str">
        <f t="shared" si="172"/>
        <v/>
      </c>
      <c r="AX157" t="str">
        <f t="shared" si="172"/>
        <v/>
      </c>
      <c r="AY157" t="str">
        <f t="shared" si="172"/>
        <v/>
      </c>
      <c r="AZ157" t="str">
        <f t="shared" si="171"/>
        <v/>
      </c>
      <c r="FB157" s="10"/>
      <c r="FC157" s="10"/>
      <c r="FD157" s="10"/>
      <c r="FE157" s="10"/>
      <c r="FF157" s="10"/>
      <c r="FG157" s="10"/>
      <c r="FH157" s="10"/>
      <c r="FI157" s="10"/>
      <c r="FJ157" s="10"/>
      <c r="FK157" s="10"/>
      <c r="FL157" s="10"/>
      <c r="FM157" s="10"/>
      <c r="FN157" s="10"/>
      <c r="FO157" s="10"/>
      <c r="FP157" s="10"/>
      <c r="FQ157" s="10"/>
      <c r="FW157" s="4"/>
      <c r="FX157" s="5"/>
    </row>
    <row r="158" spans="48:180" x14ac:dyDescent="0.2">
      <c r="AV158" t="str">
        <f t="shared" si="172"/>
        <v/>
      </c>
      <c r="AW158" t="str">
        <f t="shared" si="172"/>
        <v/>
      </c>
      <c r="AX158" t="str">
        <f t="shared" si="172"/>
        <v/>
      </c>
      <c r="AY158" t="str">
        <f t="shared" si="172"/>
        <v/>
      </c>
      <c r="AZ158" t="str">
        <f t="shared" si="171"/>
        <v/>
      </c>
      <c r="FB158" s="10"/>
      <c r="FC158" s="10"/>
      <c r="FD158" s="10"/>
      <c r="FE158" s="10"/>
      <c r="FF158" s="10"/>
      <c r="FG158" s="10"/>
      <c r="FH158" s="10"/>
      <c r="FI158" s="10"/>
      <c r="FJ158" s="10"/>
      <c r="FK158" s="10"/>
      <c r="FL158" s="10"/>
      <c r="FM158" s="10"/>
      <c r="FN158" s="10"/>
      <c r="FO158" s="10"/>
      <c r="FP158" s="10"/>
      <c r="FQ158" s="10"/>
      <c r="FW158" s="4"/>
      <c r="FX158" s="5"/>
    </row>
    <row r="159" spans="48:180" x14ac:dyDescent="0.2">
      <c r="AV159" t="str">
        <f t="shared" si="172"/>
        <v/>
      </c>
      <c r="AW159" t="str">
        <f t="shared" si="172"/>
        <v/>
      </c>
      <c r="AX159" t="str">
        <f t="shared" si="172"/>
        <v/>
      </c>
      <c r="AY159" t="str">
        <f t="shared" si="172"/>
        <v/>
      </c>
      <c r="AZ159" t="str">
        <f t="shared" si="171"/>
        <v/>
      </c>
      <c r="FB159" s="10"/>
      <c r="FC159" s="10"/>
      <c r="FD159" s="10"/>
      <c r="FE159" s="10"/>
      <c r="FF159" s="10"/>
      <c r="FG159" s="10"/>
      <c r="FH159" s="10"/>
      <c r="FI159" s="10"/>
      <c r="FJ159" s="10"/>
      <c r="FK159" s="10"/>
      <c r="FL159" s="10"/>
      <c r="FM159" s="10"/>
      <c r="FN159" s="10"/>
      <c r="FO159" s="10"/>
      <c r="FP159" s="10"/>
      <c r="FQ159" s="10"/>
      <c r="FW159" s="4"/>
      <c r="FX159" s="5"/>
    </row>
    <row r="160" spans="48:180" x14ac:dyDescent="0.2">
      <c r="AV160" t="str">
        <f t="shared" si="172"/>
        <v/>
      </c>
      <c r="AW160" t="str">
        <f t="shared" si="172"/>
        <v/>
      </c>
      <c r="AX160" t="str">
        <f t="shared" si="172"/>
        <v/>
      </c>
      <c r="AY160" t="str">
        <f t="shared" si="172"/>
        <v/>
      </c>
      <c r="AZ160" t="str">
        <f t="shared" si="171"/>
        <v/>
      </c>
      <c r="FB160" s="10"/>
      <c r="FC160" s="10"/>
      <c r="FD160" s="10"/>
      <c r="FE160" s="10"/>
      <c r="FF160" s="10"/>
      <c r="FG160" s="10"/>
      <c r="FH160" s="10"/>
      <c r="FI160" s="10"/>
      <c r="FJ160" s="10"/>
      <c r="FK160" s="10"/>
      <c r="FL160" s="10"/>
      <c r="FM160" s="10"/>
      <c r="FN160" s="10"/>
      <c r="FO160" s="10"/>
      <c r="FP160" s="10"/>
      <c r="FQ160" s="10"/>
      <c r="FW160" s="4"/>
      <c r="FX160" s="5"/>
    </row>
    <row r="161" spans="48:180" x14ac:dyDescent="0.2">
      <c r="AV161" t="str">
        <f t="shared" si="172"/>
        <v/>
      </c>
      <c r="AW161" t="str">
        <f t="shared" si="172"/>
        <v/>
      </c>
      <c r="AX161" t="str">
        <f t="shared" si="172"/>
        <v/>
      </c>
      <c r="AY161" t="str">
        <f t="shared" si="172"/>
        <v/>
      </c>
      <c r="AZ161" t="str">
        <f t="shared" si="171"/>
        <v/>
      </c>
      <c r="FB161" s="10"/>
      <c r="FC161" s="10"/>
      <c r="FD161" s="10"/>
      <c r="FE161" s="10"/>
      <c r="FF161" s="10"/>
      <c r="FG161" s="10"/>
      <c r="FH161" s="10"/>
      <c r="FI161" s="10"/>
      <c r="FJ161" s="10"/>
      <c r="FK161" s="10"/>
      <c r="FL161" s="10"/>
      <c r="FM161" s="10"/>
      <c r="FN161" s="10"/>
      <c r="FO161" s="10"/>
      <c r="FP161" s="10"/>
      <c r="FQ161" s="10"/>
      <c r="FW161" s="4"/>
      <c r="FX161" s="5"/>
    </row>
    <row r="162" spans="48:180" x14ac:dyDescent="0.2">
      <c r="AV162" t="str">
        <f t="shared" si="172"/>
        <v/>
      </c>
      <c r="AW162" t="str">
        <f t="shared" si="172"/>
        <v/>
      </c>
      <c r="AX162" t="str">
        <f t="shared" si="172"/>
        <v/>
      </c>
      <c r="AY162" t="str">
        <f t="shared" si="172"/>
        <v/>
      </c>
      <c r="AZ162" t="str">
        <f t="shared" si="171"/>
        <v/>
      </c>
      <c r="FB162" s="10"/>
      <c r="FC162" s="10"/>
      <c r="FD162" s="10"/>
      <c r="FE162" s="10"/>
      <c r="FF162" s="10"/>
      <c r="FG162" s="10"/>
      <c r="FH162" s="10"/>
      <c r="FI162" s="10"/>
      <c r="FJ162" s="10"/>
      <c r="FK162" s="10"/>
      <c r="FL162" s="10"/>
      <c r="FM162" s="10"/>
      <c r="FN162" s="10"/>
      <c r="FO162" s="10"/>
      <c r="FP162" s="10"/>
      <c r="FQ162" s="10"/>
      <c r="FW162" s="4"/>
      <c r="FX162" s="5"/>
    </row>
    <row r="163" spans="48:180" x14ac:dyDescent="0.2">
      <c r="AV163" t="str">
        <f t="shared" si="172"/>
        <v/>
      </c>
      <c r="AW163" t="str">
        <f t="shared" si="172"/>
        <v/>
      </c>
      <c r="AX163" t="str">
        <f t="shared" si="172"/>
        <v/>
      </c>
      <c r="AY163" t="str">
        <f t="shared" si="172"/>
        <v/>
      </c>
      <c r="AZ163" t="str">
        <f t="shared" si="171"/>
        <v/>
      </c>
      <c r="FB163" s="10"/>
      <c r="FC163" s="10"/>
      <c r="FD163" s="10"/>
      <c r="FE163" s="10"/>
      <c r="FF163" s="10"/>
      <c r="FG163" s="10"/>
      <c r="FH163" s="10"/>
      <c r="FI163" s="10"/>
      <c r="FJ163" s="10"/>
      <c r="FK163" s="10"/>
      <c r="FL163" s="10"/>
      <c r="FM163" s="10"/>
      <c r="FN163" s="10"/>
      <c r="FO163" s="10"/>
      <c r="FP163" s="10"/>
      <c r="FQ163" s="10"/>
      <c r="FW163" s="4"/>
      <c r="FX163" s="5"/>
    </row>
    <row r="164" spans="48:180" x14ac:dyDescent="0.2">
      <c r="AV164" t="str">
        <f t="shared" si="172"/>
        <v/>
      </c>
      <c r="AW164" t="str">
        <f t="shared" si="172"/>
        <v/>
      </c>
      <c r="AX164" t="str">
        <f t="shared" si="172"/>
        <v/>
      </c>
      <c r="AY164" t="str">
        <f t="shared" si="172"/>
        <v/>
      </c>
      <c r="AZ164" t="str">
        <f t="shared" si="171"/>
        <v/>
      </c>
      <c r="FB164" s="10"/>
      <c r="FC164" s="10"/>
      <c r="FD164" s="10"/>
      <c r="FE164" s="10"/>
      <c r="FF164" s="10"/>
      <c r="FG164" s="10"/>
      <c r="FH164" s="10"/>
      <c r="FI164" s="10"/>
      <c r="FJ164" s="10"/>
      <c r="FK164" s="10"/>
      <c r="FL164" s="10"/>
      <c r="FM164" s="10"/>
      <c r="FN164" s="10"/>
      <c r="FO164" s="10"/>
      <c r="FP164" s="10"/>
      <c r="FQ164" s="10"/>
      <c r="FW164" s="4"/>
      <c r="FX164" s="5"/>
    </row>
    <row r="165" spans="48:180" x14ac:dyDescent="0.2">
      <c r="AV165" t="str">
        <f t="shared" si="172"/>
        <v/>
      </c>
      <c r="AW165" t="str">
        <f t="shared" si="172"/>
        <v/>
      </c>
      <c r="AX165" t="str">
        <f t="shared" si="172"/>
        <v/>
      </c>
      <c r="AY165" t="str">
        <f t="shared" si="172"/>
        <v/>
      </c>
      <c r="AZ165" t="str">
        <f t="shared" si="171"/>
        <v/>
      </c>
      <c r="FB165" s="10"/>
      <c r="FC165" s="10"/>
      <c r="FD165" s="10"/>
      <c r="FE165" s="10"/>
      <c r="FF165" s="10"/>
      <c r="FG165" s="10"/>
      <c r="FH165" s="10"/>
      <c r="FI165" s="10"/>
      <c r="FJ165" s="10"/>
      <c r="FK165" s="10"/>
      <c r="FL165" s="10"/>
      <c r="FM165" s="10"/>
      <c r="FN165" s="10"/>
      <c r="FO165" s="10"/>
      <c r="FP165" s="10"/>
      <c r="FQ165" s="10"/>
      <c r="FW165" s="4"/>
      <c r="FX165" s="5"/>
    </row>
    <row r="166" spans="48:180" x14ac:dyDescent="0.2">
      <c r="AV166" t="str">
        <f t="shared" si="172"/>
        <v/>
      </c>
      <c r="AW166" t="str">
        <f t="shared" si="172"/>
        <v/>
      </c>
      <c r="AX166" t="str">
        <f t="shared" si="172"/>
        <v/>
      </c>
      <c r="AY166" t="str">
        <f t="shared" si="172"/>
        <v/>
      </c>
      <c r="AZ166" t="str">
        <f t="shared" si="171"/>
        <v/>
      </c>
      <c r="FB166" s="10"/>
      <c r="FC166" s="10"/>
      <c r="FD166" s="10"/>
      <c r="FE166" s="10"/>
      <c r="FF166" s="10"/>
      <c r="FG166" s="10"/>
      <c r="FH166" s="10"/>
      <c r="FI166" s="10"/>
      <c r="FJ166" s="10"/>
      <c r="FK166" s="10"/>
      <c r="FL166" s="10"/>
      <c r="FM166" s="10"/>
      <c r="FN166" s="10"/>
      <c r="FO166" s="10"/>
      <c r="FP166" s="10"/>
      <c r="FQ166" s="10"/>
      <c r="FW166" s="4"/>
      <c r="FX166" s="5"/>
    </row>
    <row r="167" spans="48:180" x14ac:dyDescent="0.2">
      <c r="AV167" t="str">
        <f t="shared" si="172"/>
        <v/>
      </c>
      <c r="AW167" t="str">
        <f t="shared" si="172"/>
        <v/>
      </c>
      <c r="AX167" t="str">
        <f t="shared" si="172"/>
        <v/>
      </c>
      <c r="AY167" t="str">
        <f t="shared" si="172"/>
        <v/>
      </c>
      <c r="AZ167" t="str">
        <f t="shared" si="171"/>
        <v/>
      </c>
      <c r="FB167" s="10"/>
      <c r="FC167" s="10"/>
      <c r="FD167" s="10"/>
      <c r="FE167" s="10"/>
      <c r="FF167" s="10"/>
      <c r="FG167" s="10"/>
      <c r="FH167" s="10"/>
      <c r="FI167" s="10"/>
      <c r="FJ167" s="10"/>
      <c r="FK167" s="10"/>
      <c r="FL167" s="10"/>
      <c r="FM167" s="10"/>
      <c r="FN167" s="10"/>
      <c r="FO167" s="10"/>
      <c r="FP167" s="10"/>
      <c r="FQ167" s="10"/>
      <c r="FW167" s="4"/>
      <c r="FX167" s="5"/>
    </row>
    <row r="168" spans="48:180" x14ac:dyDescent="0.2">
      <c r="AV168" t="str">
        <f t="shared" si="172"/>
        <v/>
      </c>
      <c r="AW168" t="str">
        <f t="shared" si="172"/>
        <v/>
      </c>
      <c r="AX168" t="str">
        <f t="shared" si="172"/>
        <v/>
      </c>
      <c r="AY168" t="str">
        <f t="shared" si="172"/>
        <v/>
      </c>
      <c r="AZ168" t="str">
        <f t="shared" si="171"/>
        <v/>
      </c>
      <c r="FB168" s="10"/>
      <c r="FC168" s="10"/>
      <c r="FD168" s="10"/>
      <c r="FE168" s="10"/>
      <c r="FF168" s="10"/>
      <c r="FG168" s="10"/>
      <c r="FH168" s="10"/>
      <c r="FI168" s="10"/>
      <c r="FJ168" s="10"/>
      <c r="FK168" s="10"/>
      <c r="FL168" s="10"/>
      <c r="FM168" s="10"/>
      <c r="FN168" s="10"/>
      <c r="FO168" s="10"/>
      <c r="FP168" s="10"/>
      <c r="FQ168" s="10"/>
      <c r="FW168" s="4"/>
      <c r="FX168" s="5"/>
    </row>
    <row r="169" spans="48:180" x14ac:dyDescent="0.2">
      <c r="AV169" t="str">
        <f t="shared" si="172"/>
        <v/>
      </c>
      <c r="AW169" t="str">
        <f t="shared" si="172"/>
        <v/>
      </c>
      <c r="AX169" t="str">
        <f t="shared" si="172"/>
        <v/>
      </c>
      <c r="AY169" t="str">
        <f t="shared" si="172"/>
        <v/>
      </c>
      <c r="AZ169" t="str">
        <f t="shared" si="171"/>
        <v/>
      </c>
      <c r="FB169" s="10"/>
      <c r="FC169" s="10"/>
      <c r="FD169" s="10"/>
      <c r="FE169" s="10"/>
      <c r="FF169" s="10"/>
      <c r="FG169" s="10"/>
      <c r="FH169" s="10"/>
      <c r="FI169" s="10"/>
      <c r="FJ169" s="10"/>
      <c r="FK169" s="10"/>
      <c r="FL169" s="10"/>
      <c r="FM169" s="10"/>
      <c r="FN169" s="10"/>
      <c r="FO169" s="10"/>
      <c r="FP169" s="10"/>
      <c r="FQ169" s="10"/>
      <c r="FW169" s="4"/>
      <c r="FX169" s="5"/>
    </row>
    <row r="170" spans="48:180" x14ac:dyDescent="0.2">
      <c r="AV170" t="str">
        <f t="shared" si="172"/>
        <v/>
      </c>
      <c r="AW170" t="str">
        <f t="shared" si="172"/>
        <v/>
      </c>
      <c r="AX170" t="str">
        <f t="shared" si="172"/>
        <v/>
      </c>
      <c r="AY170" t="str">
        <f t="shared" si="172"/>
        <v/>
      </c>
      <c r="AZ170" t="str">
        <f t="shared" si="171"/>
        <v/>
      </c>
      <c r="FB170" s="10"/>
      <c r="FC170" s="10"/>
      <c r="FD170" s="10"/>
      <c r="FE170" s="10"/>
      <c r="FF170" s="10"/>
      <c r="FG170" s="10"/>
      <c r="FH170" s="10"/>
      <c r="FI170" s="10"/>
      <c r="FJ170" s="10"/>
      <c r="FK170" s="10"/>
      <c r="FL170" s="10"/>
      <c r="FM170" s="10"/>
      <c r="FN170" s="10"/>
      <c r="FO170" s="10"/>
      <c r="FP170" s="10"/>
      <c r="FQ170" s="10"/>
      <c r="FW170" s="4"/>
      <c r="FX170" s="5"/>
    </row>
    <row r="171" spans="48:180" x14ac:dyDescent="0.2">
      <c r="AV171" t="str">
        <f t="shared" si="172"/>
        <v/>
      </c>
      <c r="AW171" t="str">
        <f t="shared" si="172"/>
        <v/>
      </c>
      <c r="AX171" t="str">
        <f t="shared" si="172"/>
        <v/>
      </c>
      <c r="AY171" t="str">
        <f t="shared" si="172"/>
        <v/>
      </c>
      <c r="AZ171" t="str">
        <f t="shared" si="171"/>
        <v/>
      </c>
      <c r="FB171" s="10"/>
      <c r="FC171" s="10"/>
      <c r="FD171" s="10"/>
      <c r="FE171" s="10"/>
      <c r="FF171" s="10"/>
      <c r="FG171" s="10"/>
      <c r="FH171" s="10"/>
      <c r="FI171" s="10"/>
      <c r="FJ171" s="10"/>
      <c r="FK171" s="10"/>
      <c r="FL171" s="10"/>
      <c r="FM171" s="10"/>
      <c r="FN171" s="10"/>
      <c r="FO171" s="10"/>
      <c r="FP171" s="10"/>
      <c r="FQ171" s="10"/>
      <c r="FW171" s="4"/>
      <c r="FX171" s="5"/>
    </row>
    <row r="172" spans="48:180" x14ac:dyDescent="0.2">
      <c r="AV172" t="str">
        <f t="shared" si="172"/>
        <v/>
      </c>
      <c r="AW172" t="str">
        <f t="shared" si="172"/>
        <v/>
      </c>
      <c r="AX172" t="str">
        <f t="shared" si="172"/>
        <v/>
      </c>
      <c r="AY172" t="str">
        <f t="shared" si="172"/>
        <v/>
      </c>
      <c r="AZ172" t="str">
        <f t="shared" si="171"/>
        <v/>
      </c>
      <c r="FB172" s="10"/>
      <c r="FC172" s="10"/>
      <c r="FD172" s="10"/>
      <c r="FE172" s="10"/>
      <c r="FF172" s="10"/>
      <c r="FG172" s="10"/>
      <c r="FH172" s="10"/>
      <c r="FI172" s="10"/>
      <c r="FJ172" s="10"/>
      <c r="FK172" s="10"/>
      <c r="FL172" s="10"/>
      <c r="FM172" s="10"/>
      <c r="FN172" s="10"/>
      <c r="FO172" s="10"/>
      <c r="FP172" s="10"/>
      <c r="FQ172" s="10"/>
      <c r="FW172" s="4"/>
      <c r="FX172" s="5"/>
    </row>
    <row r="173" spans="48:180" x14ac:dyDescent="0.2">
      <c r="AV173" t="str">
        <f t="shared" si="172"/>
        <v/>
      </c>
      <c r="AW173" t="str">
        <f t="shared" si="172"/>
        <v/>
      </c>
      <c r="AX173" t="str">
        <f t="shared" si="172"/>
        <v/>
      </c>
      <c r="AY173" t="str">
        <f t="shared" si="172"/>
        <v/>
      </c>
      <c r="AZ173" t="str">
        <f t="shared" si="171"/>
        <v/>
      </c>
      <c r="FB173" s="10"/>
      <c r="FC173" s="10"/>
      <c r="FD173" s="10"/>
      <c r="FE173" s="10"/>
      <c r="FF173" s="10"/>
      <c r="FG173" s="10"/>
      <c r="FH173" s="10"/>
      <c r="FI173" s="10"/>
      <c r="FJ173" s="10"/>
      <c r="FK173" s="10"/>
      <c r="FL173" s="10"/>
      <c r="FM173" s="10"/>
      <c r="FN173" s="10"/>
      <c r="FO173" s="10"/>
      <c r="FP173" s="10"/>
      <c r="FQ173" s="10"/>
      <c r="FW173" s="4"/>
      <c r="FX173" s="5"/>
    </row>
    <row r="174" spans="48:180" x14ac:dyDescent="0.2">
      <c r="AV174" t="str">
        <f t="shared" si="172"/>
        <v/>
      </c>
      <c r="AW174" t="str">
        <f t="shared" si="172"/>
        <v/>
      </c>
      <c r="AX174" t="str">
        <f t="shared" si="172"/>
        <v/>
      </c>
      <c r="AY174" t="str">
        <f t="shared" si="172"/>
        <v/>
      </c>
      <c r="AZ174" t="str">
        <f t="shared" si="171"/>
        <v/>
      </c>
      <c r="FB174" s="10"/>
      <c r="FC174" s="10"/>
      <c r="FD174" s="10"/>
      <c r="FE174" s="10"/>
      <c r="FF174" s="10"/>
      <c r="FG174" s="10"/>
      <c r="FH174" s="10"/>
      <c r="FI174" s="10"/>
      <c r="FJ174" s="10"/>
      <c r="FK174" s="10"/>
      <c r="FL174" s="10"/>
      <c r="FM174" s="10"/>
      <c r="FN174" s="10"/>
      <c r="FO174" s="10"/>
      <c r="FP174" s="10"/>
      <c r="FQ174" s="10"/>
      <c r="FW174" s="4"/>
      <c r="FX174" s="5"/>
    </row>
    <row r="175" spans="48:180" x14ac:dyDescent="0.2">
      <c r="AV175" t="str">
        <f t="shared" si="172"/>
        <v/>
      </c>
      <c r="AW175" t="str">
        <f t="shared" si="172"/>
        <v/>
      </c>
      <c r="AX175" t="str">
        <f t="shared" si="172"/>
        <v/>
      </c>
      <c r="AY175" t="str">
        <f t="shared" si="172"/>
        <v/>
      </c>
      <c r="AZ175" t="str">
        <f t="shared" si="171"/>
        <v/>
      </c>
      <c r="FB175" s="10"/>
      <c r="FC175" s="10"/>
      <c r="FD175" s="10"/>
      <c r="FE175" s="10"/>
      <c r="FF175" s="10"/>
      <c r="FG175" s="10"/>
      <c r="FH175" s="10"/>
      <c r="FI175" s="10"/>
      <c r="FJ175" s="10"/>
      <c r="FK175" s="10"/>
      <c r="FL175" s="10"/>
      <c r="FM175" s="10"/>
      <c r="FN175" s="10"/>
      <c r="FO175" s="10"/>
      <c r="FP175" s="10"/>
      <c r="FQ175" s="10"/>
      <c r="FW175" s="4"/>
      <c r="FX175" s="5"/>
    </row>
    <row r="176" spans="48:180" x14ac:dyDescent="0.2">
      <c r="AV176" t="str">
        <f t="shared" si="172"/>
        <v/>
      </c>
      <c r="AW176" t="str">
        <f t="shared" si="172"/>
        <v/>
      </c>
      <c r="AX176" t="str">
        <f t="shared" si="172"/>
        <v/>
      </c>
      <c r="AY176" t="str">
        <f t="shared" si="172"/>
        <v/>
      </c>
      <c r="AZ176" t="str">
        <f t="shared" si="171"/>
        <v/>
      </c>
      <c r="FB176" s="10"/>
      <c r="FC176" s="10"/>
      <c r="FD176" s="10"/>
      <c r="FE176" s="10"/>
      <c r="FF176" s="10"/>
      <c r="FG176" s="10"/>
      <c r="FH176" s="10"/>
      <c r="FI176" s="10"/>
      <c r="FJ176" s="10"/>
      <c r="FK176" s="10"/>
      <c r="FL176" s="10"/>
      <c r="FM176" s="10"/>
      <c r="FN176" s="10"/>
      <c r="FO176" s="10"/>
      <c r="FP176" s="10"/>
      <c r="FQ176" s="10"/>
      <c r="FW176" s="4"/>
      <c r="FX176" s="5"/>
    </row>
    <row r="177" spans="48:180" x14ac:dyDescent="0.2">
      <c r="AV177" t="str">
        <f t="shared" si="172"/>
        <v/>
      </c>
      <c r="AW177" t="str">
        <f t="shared" si="172"/>
        <v/>
      </c>
      <c r="AX177" t="str">
        <f t="shared" si="172"/>
        <v/>
      </c>
      <c r="AY177" t="str">
        <f t="shared" si="172"/>
        <v/>
      </c>
      <c r="AZ177" t="str">
        <f t="shared" si="171"/>
        <v/>
      </c>
      <c r="FB177" s="10"/>
      <c r="FC177" s="10"/>
      <c r="FD177" s="10"/>
      <c r="FE177" s="10"/>
      <c r="FF177" s="10"/>
      <c r="FG177" s="10"/>
      <c r="FH177" s="10"/>
      <c r="FI177" s="10"/>
      <c r="FJ177" s="10"/>
      <c r="FK177" s="10"/>
      <c r="FL177" s="10"/>
      <c r="FM177" s="10"/>
      <c r="FN177" s="10"/>
      <c r="FO177" s="10"/>
      <c r="FP177" s="10"/>
      <c r="FQ177" s="10"/>
      <c r="FW177" s="4"/>
      <c r="FX177" s="5"/>
    </row>
    <row r="178" spans="48:180" x14ac:dyDescent="0.2">
      <c r="AV178" t="str">
        <f t="shared" si="172"/>
        <v/>
      </c>
      <c r="AW178" t="str">
        <f t="shared" si="172"/>
        <v/>
      </c>
      <c r="AX178" t="str">
        <f t="shared" si="172"/>
        <v/>
      </c>
      <c r="AY178" t="str">
        <f t="shared" si="172"/>
        <v/>
      </c>
      <c r="AZ178" t="str">
        <f t="shared" si="171"/>
        <v/>
      </c>
      <c r="FB178" s="10"/>
      <c r="FC178" s="10"/>
      <c r="FD178" s="10"/>
      <c r="FE178" s="10"/>
      <c r="FF178" s="10"/>
      <c r="FG178" s="10"/>
      <c r="FH178" s="10"/>
      <c r="FI178" s="10"/>
      <c r="FJ178" s="10"/>
      <c r="FK178" s="10"/>
      <c r="FL178" s="10"/>
      <c r="FM178" s="10"/>
      <c r="FN178" s="10"/>
      <c r="FO178" s="10"/>
      <c r="FP178" s="10"/>
      <c r="FQ178" s="10"/>
      <c r="FW178" s="4"/>
      <c r="FX178" s="5"/>
    </row>
    <row r="179" spans="48:180" x14ac:dyDescent="0.2">
      <c r="AV179" t="str">
        <f t="shared" si="172"/>
        <v/>
      </c>
      <c r="AW179" t="str">
        <f t="shared" si="172"/>
        <v/>
      </c>
      <c r="AX179" t="str">
        <f t="shared" si="172"/>
        <v/>
      </c>
      <c r="AY179" t="str">
        <f t="shared" si="172"/>
        <v/>
      </c>
      <c r="AZ179" t="str">
        <f t="shared" si="171"/>
        <v/>
      </c>
      <c r="FB179" s="10"/>
      <c r="FC179" s="10"/>
      <c r="FD179" s="10"/>
      <c r="FE179" s="10"/>
      <c r="FF179" s="10"/>
      <c r="FG179" s="10"/>
      <c r="FH179" s="10"/>
      <c r="FI179" s="10"/>
      <c r="FJ179" s="10"/>
      <c r="FK179" s="10"/>
      <c r="FL179" s="10"/>
      <c r="FM179" s="10"/>
      <c r="FN179" s="10"/>
      <c r="FO179" s="10"/>
      <c r="FP179" s="10"/>
      <c r="FQ179" s="10"/>
      <c r="FW179" s="4"/>
      <c r="FX179" s="5"/>
    </row>
    <row r="180" spans="48:180" x14ac:dyDescent="0.2">
      <c r="AV180" t="str">
        <f t="shared" si="172"/>
        <v/>
      </c>
      <c r="AW180" t="str">
        <f t="shared" si="172"/>
        <v/>
      </c>
      <c r="AX180" t="str">
        <f t="shared" si="172"/>
        <v/>
      </c>
      <c r="AY180" t="str">
        <f t="shared" si="172"/>
        <v/>
      </c>
      <c r="AZ180" t="str">
        <f t="shared" si="171"/>
        <v/>
      </c>
      <c r="FB180" s="10"/>
      <c r="FC180" s="10"/>
      <c r="FD180" s="10"/>
      <c r="FE180" s="10"/>
      <c r="FF180" s="10"/>
      <c r="FG180" s="10"/>
      <c r="FH180" s="10"/>
      <c r="FI180" s="10"/>
      <c r="FJ180" s="10"/>
      <c r="FK180" s="10"/>
      <c r="FL180" s="10"/>
      <c r="FM180" s="10"/>
      <c r="FN180" s="10"/>
      <c r="FO180" s="10"/>
      <c r="FP180" s="10"/>
      <c r="FQ180" s="10"/>
      <c r="FW180" s="4"/>
      <c r="FX180" s="5"/>
    </row>
    <row r="181" spans="48:180" x14ac:dyDescent="0.2">
      <c r="AV181" t="str">
        <f t="shared" si="172"/>
        <v/>
      </c>
      <c r="AW181" t="str">
        <f t="shared" si="172"/>
        <v/>
      </c>
      <c r="AX181" t="str">
        <f t="shared" si="172"/>
        <v/>
      </c>
      <c r="AY181" t="str">
        <f t="shared" si="172"/>
        <v/>
      </c>
      <c r="AZ181" t="str">
        <f t="shared" si="171"/>
        <v/>
      </c>
      <c r="FB181" s="10"/>
      <c r="FC181" s="10"/>
      <c r="FD181" s="10"/>
      <c r="FE181" s="10"/>
      <c r="FF181" s="10"/>
      <c r="FG181" s="10"/>
      <c r="FH181" s="10"/>
      <c r="FI181" s="10"/>
      <c r="FJ181" s="10"/>
      <c r="FK181" s="10"/>
      <c r="FL181" s="10"/>
      <c r="FM181" s="10"/>
      <c r="FN181" s="10"/>
      <c r="FO181" s="10"/>
      <c r="FP181" s="10"/>
      <c r="FQ181" s="10"/>
      <c r="FW181" s="4"/>
      <c r="FX181" s="5"/>
    </row>
    <row r="182" spans="48:180" x14ac:dyDescent="0.2">
      <c r="AV182" t="str">
        <f t="shared" si="172"/>
        <v/>
      </c>
      <c r="AW182" t="str">
        <f t="shared" si="172"/>
        <v/>
      </c>
      <c r="AX182" t="str">
        <f t="shared" si="172"/>
        <v/>
      </c>
      <c r="AY182" t="str">
        <f t="shared" si="172"/>
        <v/>
      </c>
      <c r="AZ182" t="str">
        <f t="shared" si="171"/>
        <v/>
      </c>
      <c r="FB182" s="10"/>
      <c r="FC182" s="10"/>
      <c r="FD182" s="10"/>
      <c r="FE182" s="10"/>
      <c r="FF182" s="10"/>
      <c r="FG182" s="10"/>
      <c r="FH182" s="10"/>
      <c r="FI182" s="10"/>
      <c r="FJ182" s="10"/>
      <c r="FK182" s="10"/>
      <c r="FL182" s="10"/>
      <c r="FM182" s="10"/>
      <c r="FN182" s="10"/>
      <c r="FO182" s="10"/>
      <c r="FP182" s="10"/>
      <c r="FQ182" s="10"/>
      <c r="FW182" s="4"/>
      <c r="FX182" s="5"/>
    </row>
    <row r="183" spans="48:180" x14ac:dyDescent="0.2">
      <c r="AV183" t="str">
        <f t="shared" si="172"/>
        <v/>
      </c>
      <c r="AW183" t="str">
        <f t="shared" si="172"/>
        <v/>
      </c>
      <c r="AX183" t="str">
        <f t="shared" si="172"/>
        <v/>
      </c>
      <c r="AY183" t="str">
        <f t="shared" si="172"/>
        <v/>
      </c>
      <c r="AZ183" t="str">
        <f t="shared" si="171"/>
        <v/>
      </c>
      <c r="FB183" s="10"/>
      <c r="FC183" s="10"/>
      <c r="FD183" s="10"/>
      <c r="FE183" s="10"/>
      <c r="FF183" s="10"/>
      <c r="FG183" s="10"/>
      <c r="FH183" s="10"/>
      <c r="FI183" s="10"/>
      <c r="FJ183" s="10"/>
      <c r="FK183" s="10"/>
      <c r="FL183" s="10"/>
      <c r="FM183" s="10"/>
      <c r="FN183" s="10"/>
      <c r="FO183" s="10"/>
      <c r="FP183" s="10"/>
      <c r="FQ183" s="10"/>
      <c r="FW183" s="4"/>
      <c r="FX183" s="5"/>
    </row>
    <row r="184" spans="48:180" x14ac:dyDescent="0.2">
      <c r="AV184" t="str">
        <f t="shared" si="172"/>
        <v/>
      </c>
      <c r="AW184" t="str">
        <f t="shared" si="172"/>
        <v/>
      </c>
      <c r="AX184" t="str">
        <f t="shared" si="172"/>
        <v/>
      </c>
      <c r="AY184" t="str">
        <f t="shared" si="172"/>
        <v/>
      </c>
      <c r="AZ184" t="str">
        <f t="shared" si="171"/>
        <v/>
      </c>
      <c r="FB184" s="10"/>
      <c r="FC184" s="10"/>
      <c r="FD184" s="10"/>
      <c r="FE184" s="10"/>
      <c r="FF184" s="10"/>
      <c r="FG184" s="10"/>
      <c r="FH184" s="10"/>
      <c r="FI184" s="10"/>
      <c r="FJ184" s="10"/>
      <c r="FK184" s="10"/>
      <c r="FL184" s="10"/>
      <c r="FM184" s="10"/>
      <c r="FN184" s="10"/>
      <c r="FO184" s="10"/>
      <c r="FP184" s="10"/>
      <c r="FQ184" s="10"/>
      <c r="FW184" s="4"/>
      <c r="FX184" s="5"/>
    </row>
    <row r="185" spans="48:180" x14ac:dyDescent="0.2">
      <c r="AV185" t="str">
        <f t="shared" si="172"/>
        <v/>
      </c>
      <c r="AW185" t="str">
        <f t="shared" si="172"/>
        <v/>
      </c>
      <c r="AX185" t="str">
        <f t="shared" si="172"/>
        <v/>
      </c>
      <c r="AY185" t="str">
        <f t="shared" si="172"/>
        <v/>
      </c>
      <c r="AZ185" t="str">
        <f t="shared" si="171"/>
        <v/>
      </c>
      <c r="FB185" s="10"/>
      <c r="FC185" s="10"/>
      <c r="FD185" s="10"/>
      <c r="FE185" s="10"/>
      <c r="FF185" s="10"/>
      <c r="FG185" s="10"/>
      <c r="FH185" s="10"/>
      <c r="FI185" s="10"/>
      <c r="FJ185" s="10"/>
      <c r="FK185" s="10"/>
      <c r="FL185" s="10"/>
      <c r="FM185" s="10"/>
      <c r="FN185" s="10"/>
      <c r="FO185" s="10"/>
      <c r="FP185" s="10"/>
      <c r="FQ185" s="10"/>
      <c r="FW185" s="4"/>
      <c r="FX185" s="5"/>
    </row>
    <row r="186" spans="48:180" x14ac:dyDescent="0.2">
      <c r="AV186" t="str">
        <f t="shared" si="172"/>
        <v/>
      </c>
      <c r="AW186" t="str">
        <f t="shared" si="172"/>
        <v/>
      </c>
      <c r="AX186" t="str">
        <f t="shared" si="172"/>
        <v/>
      </c>
      <c r="AY186" t="str">
        <f t="shared" si="172"/>
        <v/>
      </c>
      <c r="AZ186" t="str">
        <f t="shared" si="171"/>
        <v/>
      </c>
      <c r="FB186" s="10"/>
      <c r="FC186" s="10"/>
      <c r="FD186" s="10"/>
      <c r="FE186" s="10"/>
      <c r="FF186" s="10"/>
      <c r="FG186" s="10"/>
      <c r="FH186" s="10"/>
      <c r="FI186" s="10"/>
      <c r="FJ186" s="10"/>
      <c r="FK186" s="10"/>
      <c r="FL186" s="10"/>
      <c r="FM186" s="10"/>
      <c r="FN186" s="10"/>
      <c r="FO186" s="10"/>
      <c r="FP186" s="10"/>
      <c r="FQ186" s="10"/>
      <c r="FW186" s="4"/>
      <c r="FX186" s="5"/>
    </row>
    <row r="187" spans="48:180" x14ac:dyDescent="0.2">
      <c r="AV187" t="str">
        <f t="shared" si="172"/>
        <v/>
      </c>
      <c r="AW187" t="str">
        <f t="shared" si="172"/>
        <v/>
      </c>
      <c r="AX187" t="str">
        <f t="shared" si="172"/>
        <v/>
      </c>
      <c r="AY187" t="str">
        <f t="shared" si="172"/>
        <v/>
      </c>
      <c r="AZ187" t="str">
        <f t="shared" si="171"/>
        <v/>
      </c>
      <c r="FB187" s="10"/>
      <c r="FC187" s="10"/>
      <c r="FD187" s="10"/>
      <c r="FE187" s="10"/>
      <c r="FF187" s="10"/>
      <c r="FG187" s="10"/>
      <c r="FH187" s="10"/>
      <c r="FI187" s="10"/>
      <c r="FJ187" s="10"/>
      <c r="FK187" s="10"/>
      <c r="FL187" s="10"/>
      <c r="FM187" s="10"/>
      <c r="FN187" s="10"/>
      <c r="FO187" s="10"/>
      <c r="FP187" s="10"/>
      <c r="FQ187" s="10"/>
      <c r="FW187" s="4"/>
      <c r="FX187" s="5"/>
    </row>
    <row r="188" spans="48:180" x14ac:dyDescent="0.2">
      <c r="AV188" t="str">
        <f t="shared" si="172"/>
        <v/>
      </c>
      <c r="AW188" t="str">
        <f t="shared" si="172"/>
        <v/>
      </c>
      <c r="AX188" t="str">
        <f t="shared" si="172"/>
        <v/>
      </c>
      <c r="AY188" t="str">
        <f t="shared" si="172"/>
        <v/>
      </c>
      <c r="AZ188" t="str">
        <f t="shared" si="171"/>
        <v/>
      </c>
      <c r="FB188" s="10"/>
      <c r="FC188" s="10"/>
      <c r="FD188" s="10"/>
      <c r="FE188" s="10"/>
      <c r="FF188" s="10"/>
      <c r="FG188" s="10"/>
      <c r="FH188" s="10"/>
      <c r="FI188" s="10"/>
      <c r="FJ188" s="10"/>
      <c r="FK188" s="10"/>
      <c r="FL188" s="10"/>
      <c r="FM188" s="10"/>
      <c r="FN188" s="10"/>
      <c r="FO188" s="10"/>
      <c r="FP188" s="10"/>
      <c r="FQ188" s="10"/>
      <c r="FW188" s="4"/>
      <c r="FX188"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77700-7389-1347-A1C5-08AA2B8925F2}">
  <dimension ref="A1:I250"/>
  <sheetViews>
    <sheetView topLeftCell="A239" workbookViewId="0">
      <selection activeCell="D261" sqref="D261"/>
    </sheetView>
  </sheetViews>
  <sheetFormatPr baseColWidth="10" defaultRowHeight="16" x14ac:dyDescent="0.2"/>
  <sheetData>
    <row r="1" spans="1:1" x14ac:dyDescent="0.2">
      <c r="A1" t="s">
        <v>73</v>
      </c>
    </row>
    <row r="2" spans="1:1" x14ac:dyDescent="0.2">
      <c r="A2" t="s">
        <v>74</v>
      </c>
    </row>
    <row r="3" spans="1:1" x14ac:dyDescent="0.2">
      <c r="A3" t="s">
        <v>75</v>
      </c>
    </row>
    <row r="4" spans="1:1" x14ac:dyDescent="0.2">
      <c r="A4" t="s">
        <v>117</v>
      </c>
    </row>
    <row r="5" spans="1:1" x14ac:dyDescent="0.2">
      <c r="A5" t="s">
        <v>76</v>
      </c>
    </row>
    <row r="6" spans="1:1" x14ac:dyDescent="0.2">
      <c r="A6" t="s">
        <v>108</v>
      </c>
    </row>
    <row r="7" spans="1:1" x14ac:dyDescent="0.2">
      <c r="A7" t="s">
        <v>77</v>
      </c>
    </row>
    <row r="8" spans="1:1" x14ac:dyDescent="0.2">
      <c r="A8" t="s">
        <v>96</v>
      </c>
    </row>
    <row r="9" spans="1:1" x14ac:dyDescent="0.2">
      <c r="A9" t="s">
        <v>118</v>
      </c>
    </row>
    <row r="10" spans="1:1" x14ac:dyDescent="0.2">
      <c r="A10" t="s">
        <v>119</v>
      </c>
    </row>
    <row r="11" spans="1:1" x14ac:dyDescent="0.2">
      <c r="A11" t="s">
        <v>284</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row>
    <row r="26" spans="1:9" x14ac:dyDescent="0.2">
      <c r="A26" t="s">
        <v>285</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s="14" t="s">
        <v>286</v>
      </c>
      <c r="G29">
        <v>1</v>
      </c>
      <c r="H29">
        <v>1</v>
      </c>
      <c r="I29" t="s">
        <v>287</v>
      </c>
    </row>
    <row r="30" spans="1:9" x14ac:dyDescent="0.2">
      <c r="A30" t="s">
        <v>125</v>
      </c>
      <c r="B30">
        <v>72</v>
      </c>
      <c r="C30">
        <v>8</v>
      </c>
      <c r="D30">
        <v>8</v>
      </c>
      <c r="E30">
        <v>0</v>
      </c>
      <c r="F30" s="14" t="s">
        <v>288</v>
      </c>
      <c r="G30">
        <v>1</v>
      </c>
      <c r="H30">
        <v>1</v>
      </c>
      <c r="I30" t="s">
        <v>289</v>
      </c>
    </row>
    <row r="31" spans="1:9" x14ac:dyDescent="0.2">
      <c r="A31" t="s">
        <v>127</v>
      </c>
      <c r="B31">
        <v>108</v>
      </c>
      <c r="C31">
        <v>2</v>
      </c>
      <c r="D31">
        <v>12</v>
      </c>
      <c r="E31">
        <v>0</v>
      </c>
      <c r="F31" s="14" t="s">
        <v>290</v>
      </c>
      <c r="G31">
        <v>1</v>
      </c>
      <c r="H31">
        <v>1</v>
      </c>
      <c r="I31" t="s">
        <v>291</v>
      </c>
    </row>
    <row r="32" spans="1:9" x14ac:dyDescent="0.2">
      <c r="A32" t="s">
        <v>129</v>
      </c>
      <c r="B32">
        <v>144</v>
      </c>
      <c r="C32">
        <v>2</v>
      </c>
      <c r="D32">
        <v>13</v>
      </c>
      <c r="E32">
        <v>0</v>
      </c>
      <c r="F32" s="14" t="s">
        <v>292</v>
      </c>
      <c r="G32">
        <v>1</v>
      </c>
      <c r="H32">
        <v>1</v>
      </c>
      <c r="I32" t="s">
        <v>293</v>
      </c>
    </row>
    <row r="33" spans="1:9" x14ac:dyDescent="0.2">
      <c r="A33" t="s">
        <v>136</v>
      </c>
      <c r="B33">
        <v>180</v>
      </c>
      <c r="C33">
        <v>2</v>
      </c>
      <c r="D33">
        <v>17</v>
      </c>
      <c r="E33">
        <v>0</v>
      </c>
      <c r="F33" s="14" t="s">
        <v>294</v>
      </c>
      <c r="G33">
        <v>1</v>
      </c>
      <c r="H33">
        <v>1</v>
      </c>
      <c r="I33" t="s">
        <v>295</v>
      </c>
    </row>
    <row r="34" spans="1:9" x14ac:dyDescent="0.2">
      <c r="A34" t="s">
        <v>138</v>
      </c>
      <c r="B34">
        <v>216</v>
      </c>
      <c r="C34">
        <v>4</v>
      </c>
      <c r="D34">
        <v>18</v>
      </c>
      <c r="E34">
        <v>0</v>
      </c>
      <c r="F34" s="14" t="s">
        <v>296</v>
      </c>
      <c r="G34">
        <v>1</v>
      </c>
      <c r="H34">
        <v>1</v>
      </c>
      <c r="I34" t="s">
        <v>297</v>
      </c>
    </row>
    <row r="35" spans="1:9" x14ac:dyDescent="0.2">
      <c r="A35" t="s">
        <v>140</v>
      </c>
      <c r="B35">
        <v>252</v>
      </c>
      <c r="C35">
        <v>2</v>
      </c>
      <c r="D35">
        <v>22</v>
      </c>
      <c r="E35">
        <v>1</v>
      </c>
      <c r="F35" s="14" t="s">
        <v>298</v>
      </c>
      <c r="G35">
        <v>1</v>
      </c>
      <c r="H35">
        <v>1</v>
      </c>
      <c r="I35" t="s">
        <v>299</v>
      </c>
    </row>
    <row r="36" spans="1:9" x14ac:dyDescent="0.2">
      <c r="A36" t="s">
        <v>142</v>
      </c>
      <c r="B36">
        <v>288</v>
      </c>
      <c r="C36">
        <v>2</v>
      </c>
      <c r="D36">
        <v>24</v>
      </c>
      <c r="E36">
        <v>0</v>
      </c>
      <c r="F36" s="14" t="s">
        <v>300</v>
      </c>
      <c r="G36">
        <v>1</v>
      </c>
      <c r="H36">
        <v>1</v>
      </c>
      <c r="I36" t="s">
        <v>301</v>
      </c>
    </row>
    <row r="37" spans="1:9" x14ac:dyDescent="0.2">
      <c r="A37" t="s">
        <v>144</v>
      </c>
      <c r="B37">
        <v>324</v>
      </c>
      <c r="C37">
        <v>4</v>
      </c>
      <c r="D37">
        <v>25</v>
      </c>
      <c r="E37">
        <v>0</v>
      </c>
      <c r="F37" s="14" t="s">
        <v>302</v>
      </c>
      <c r="G37">
        <v>1</v>
      </c>
      <c r="H37">
        <v>1</v>
      </c>
      <c r="I37" t="s">
        <v>303</v>
      </c>
    </row>
    <row r="38" spans="1:9" x14ac:dyDescent="0.2">
      <c r="A38" t="s">
        <v>146</v>
      </c>
      <c r="B38">
        <v>360</v>
      </c>
      <c r="C38">
        <v>4</v>
      </c>
      <c r="D38">
        <v>24</v>
      </c>
      <c r="E38">
        <v>0</v>
      </c>
      <c r="F38">
        <v>247.748794965446</v>
      </c>
      <c r="G38">
        <v>1</v>
      </c>
      <c r="H38">
        <v>1</v>
      </c>
      <c r="I38" t="s">
        <v>304</v>
      </c>
    </row>
    <row r="39" spans="1:9" x14ac:dyDescent="0.2">
      <c r="A39" t="s">
        <v>148</v>
      </c>
      <c r="B39">
        <v>396</v>
      </c>
      <c r="C39">
        <v>4</v>
      </c>
      <c r="D39">
        <v>27</v>
      </c>
      <c r="E39">
        <v>1</v>
      </c>
      <c r="F39" s="14" t="s">
        <v>305</v>
      </c>
      <c r="G39">
        <v>1</v>
      </c>
      <c r="H39">
        <v>1</v>
      </c>
      <c r="I39" t="s">
        <v>306</v>
      </c>
    </row>
    <row r="40" spans="1:9" x14ac:dyDescent="0.2">
      <c r="A40" t="s">
        <v>150</v>
      </c>
      <c r="B40">
        <v>432</v>
      </c>
      <c r="C40">
        <v>8</v>
      </c>
      <c r="D40">
        <v>30</v>
      </c>
      <c r="E40">
        <v>-3</v>
      </c>
      <c r="F40" s="14" t="s">
        <v>307</v>
      </c>
      <c r="G40">
        <v>1</v>
      </c>
      <c r="H40">
        <v>1</v>
      </c>
      <c r="I40" t="s">
        <v>308</v>
      </c>
    </row>
    <row r="41" spans="1:9" x14ac:dyDescent="0.2">
      <c r="A41" t="s">
        <v>152</v>
      </c>
      <c r="B41">
        <v>468</v>
      </c>
      <c r="C41">
        <v>4</v>
      </c>
      <c r="D41">
        <v>30</v>
      </c>
      <c r="E41">
        <v>-1</v>
      </c>
      <c r="F41" s="14" t="s">
        <v>309</v>
      </c>
      <c r="G41">
        <v>1</v>
      </c>
      <c r="H41">
        <v>1</v>
      </c>
      <c r="I41" t="s">
        <v>310</v>
      </c>
    </row>
    <row r="42" spans="1:9" x14ac:dyDescent="0.2">
      <c r="A42" t="s">
        <v>154</v>
      </c>
      <c r="B42">
        <v>496</v>
      </c>
      <c r="C42">
        <v>2</v>
      </c>
      <c r="D42">
        <v>32</v>
      </c>
      <c r="E42">
        <v>0</v>
      </c>
      <c r="F42" s="14" t="s">
        <v>311</v>
      </c>
      <c r="G42">
        <v>1</v>
      </c>
      <c r="H42">
        <v>1</v>
      </c>
      <c r="I42" t="s">
        <v>312</v>
      </c>
    </row>
    <row r="43" spans="1:9" x14ac:dyDescent="0.2">
      <c r="A43" t="s">
        <v>156</v>
      </c>
      <c r="B43">
        <v>504</v>
      </c>
      <c r="C43">
        <v>2</v>
      </c>
      <c r="D43">
        <v>39</v>
      </c>
      <c r="E43">
        <v>-6</v>
      </c>
      <c r="F43" s="14" t="s">
        <v>313</v>
      </c>
      <c r="G43">
        <v>1</v>
      </c>
      <c r="H43">
        <v>1</v>
      </c>
      <c r="I43" t="s">
        <v>314</v>
      </c>
    </row>
    <row r="44" spans="1:9" x14ac:dyDescent="0.2">
      <c r="A44" t="s">
        <v>158</v>
      </c>
      <c r="B44">
        <v>540</v>
      </c>
      <c r="C44">
        <v>4</v>
      </c>
      <c r="D44">
        <v>50</v>
      </c>
      <c r="E44">
        <v>10</v>
      </c>
      <c r="F44" s="14" t="s">
        <v>315</v>
      </c>
      <c r="G44">
        <v>1</v>
      </c>
      <c r="H44">
        <v>1</v>
      </c>
      <c r="I44" t="s">
        <v>316</v>
      </c>
    </row>
    <row r="45" spans="1:9" x14ac:dyDescent="0.2">
      <c r="A45" t="s">
        <v>160</v>
      </c>
      <c r="B45">
        <v>576</v>
      </c>
      <c r="C45">
        <v>2</v>
      </c>
      <c r="D45">
        <v>58</v>
      </c>
      <c r="E45">
        <v>1</v>
      </c>
      <c r="F45" s="14" t="s">
        <v>317</v>
      </c>
      <c r="G45">
        <v>1</v>
      </c>
      <c r="H45">
        <v>1</v>
      </c>
      <c r="I45" t="s">
        <v>318</v>
      </c>
    </row>
    <row r="46" spans="1:9" x14ac:dyDescent="0.2">
      <c r="A46" t="s">
        <v>162</v>
      </c>
      <c r="B46">
        <v>576</v>
      </c>
      <c r="C46">
        <v>2</v>
      </c>
      <c r="D46">
        <v>48</v>
      </c>
      <c r="E46">
        <v>-11</v>
      </c>
      <c r="F46" s="14" t="s">
        <v>319</v>
      </c>
      <c r="G46">
        <v>1</v>
      </c>
      <c r="H46">
        <v>1</v>
      </c>
      <c r="I46" t="s">
        <v>320</v>
      </c>
    </row>
    <row r="47" spans="1:9" x14ac:dyDescent="0.2">
      <c r="A47" t="s">
        <v>163</v>
      </c>
      <c r="B47">
        <v>612</v>
      </c>
      <c r="C47">
        <v>2</v>
      </c>
      <c r="D47">
        <v>55</v>
      </c>
      <c r="E47">
        <v>3</v>
      </c>
      <c r="F47" s="14" t="s">
        <v>321</v>
      </c>
      <c r="G47">
        <v>1</v>
      </c>
      <c r="H47">
        <v>1</v>
      </c>
      <c r="I47" t="s">
        <v>322</v>
      </c>
    </row>
    <row r="48" spans="1:9" x14ac:dyDescent="0.2">
      <c r="A48" t="s">
        <v>165</v>
      </c>
      <c r="B48">
        <v>648</v>
      </c>
      <c r="C48">
        <v>10</v>
      </c>
      <c r="D48">
        <v>40</v>
      </c>
      <c r="E48">
        <v>-31</v>
      </c>
      <c r="F48" s="14" t="s">
        <v>323</v>
      </c>
      <c r="G48">
        <v>1</v>
      </c>
      <c r="H48">
        <v>1</v>
      </c>
      <c r="I48" t="s">
        <v>324</v>
      </c>
    </row>
    <row r="49" spans="1:9" x14ac:dyDescent="0.2">
      <c r="A49" t="s">
        <v>167</v>
      </c>
      <c r="B49">
        <v>648</v>
      </c>
      <c r="C49">
        <v>14</v>
      </c>
      <c r="D49">
        <v>35</v>
      </c>
      <c r="E49">
        <v>-15</v>
      </c>
      <c r="F49" s="14" t="s">
        <v>325</v>
      </c>
      <c r="G49">
        <v>1</v>
      </c>
      <c r="H49">
        <v>1</v>
      </c>
      <c r="I49" t="s">
        <v>326</v>
      </c>
    </row>
    <row r="50" spans="1:9" x14ac:dyDescent="0.2">
      <c r="A50" t="s">
        <v>168</v>
      </c>
      <c r="B50">
        <v>684</v>
      </c>
      <c r="C50">
        <v>2</v>
      </c>
      <c r="D50">
        <v>30</v>
      </c>
      <c r="E50">
        <v>1</v>
      </c>
      <c r="F50" s="14" t="s">
        <v>327</v>
      </c>
      <c r="G50">
        <v>1</v>
      </c>
      <c r="H50">
        <v>1</v>
      </c>
      <c r="I50" t="s">
        <v>328</v>
      </c>
    </row>
    <row r="51" spans="1:9" x14ac:dyDescent="0.2">
      <c r="A51" t="s">
        <v>73</v>
      </c>
    </row>
    <row r="52" spans="1:9" x14ac:dyDescent="0.2">
      <c r="A52" t="s">
        <v>74</v>
      </c>
    </row>
    <row r="53" spans="1:9" x14ac:dyDescent="0.2">
      <c r="A53" t="s">
        <v>75</v>
      </c>
    </row>
    <row r="54" spans="1:9" x14ac:dyDescent="0.2">
      <c r="A54" t="s">
        <v>117</v>
      </c>
    </row>
    <row r="55" spans="1:9" x14ac:dyDescent="0.2">
      <c r="A55" t="s">
        <v>76</v>
      </c>
    </row>
    <row r="56" spans="1:9" x14ac:dyDescent="0.2">
      <c r="A56" t="s">
        <v>108</v>
      </c>
    </row>
    <row r="57" spans="1:9" x14ac:dyDescent="0.2">
      <c r="A57" t="s">
        <v>77</v>
      </c>
    </row>
    <row r="58" spans="1:9" x14ac:dyDescent="0.2">
      <c r="A58" t="s">
        <v>96</v>
      </c>
    </row>
    <row r="59" spans="1:9" x14ac:dyDescent="0.2">
      <c r="A59" t="s">
        <v>118</v>
      </c>
    </row>
    <row r="60" spans="1:9" x14ac:dyDescent="0.2">
      <c r="A60" t="s">
        <v>119</v>
      </c>
    </row>
    <row r="61" spans="1:9" x14ac:dyDescent="0.2">
      <c r="A61" t="s">
        <v>284</v>
      </c>
    </row>
    <row r="62" spans="1:9" x14ac:dyDescent="0.2">
      <c r="A62" t="s">
        <v>79</v>
      </c>
    </row>
    <row r="63" spans="1:9" x14ac:dyDescent="0.2">
      <c r="A63" t="s">
        <v>80</v>
      </c>
    </row>
    <row r="64" spans="1:9" x14ac:dyDescent="0.2">
      <c r="A64" t="s">
        <v>81</v>
      </c>
    </row>
    <row r="65" spans="1:9" x14ac:dyDescent="0.2">
      <c r="A65" t="s">
        <v>82</v>
      </c>
    </row>
    <row r="66" spans="1:9" x14ac:dyDescent="0.2">
      <c r="A66" t="s">
        <v>120</v>
      </c>
    </row>
    <row r="67" spans="1:9" x14ac:dyDescent="0.2">
      <c r="A67" t="s">
        <v>121</v>
      </c>
    </row>
    <row r="68" spans="1:9" x14ac:dyDescent="0.2">
      <c r="A68" t="s">
        <v>83</v>
      </c>
    </row>
    <row r="69" spans="1:9" x14ac:dyDescent="0.2">
      <c r="A69" t="s">
        <v>84</v>
      </c>
    </row>
    <row r="70" spans="1:9" x14ac:dyDescent="0.2">
      <c r="A70" t="s">
        <v>85</v>
      </c>
    </row>
    <row r="71" spans="1:9" x14ac:dyDescent="0.2">
      <c r="A71" t="s">
        <v>86</v>
      </c>
    </row>
    <row r="72" spans="1:9" x14ac:dyDescent="0.2">
      <c r="A72" t="s">
        <v>87</v>
      </c>
    </row>
    <row r="73" spans="1:9" x14ac:dyDescent="0.2">
      <c r="A73" t="s">
        <v>88</v>
      </c>
    </row>
    <row r="74" spans="1:9" x14ac:dyDescent="0.2">
      <c r="A74" t="s">
        <v>105</v>
      </c>
    </row>
    <row r="75" spans="1:9" x14ac:dyDescent="0.2">
      <c r="A75" t="s">
        <v>89</v>
      </c>
    </row>
    <row r="76" spans="1:9" x14ac:dyDescent="0.2">
      <c r="A76" t="s">
        <v>329</v>
      </c>
    </row>
    <row r="77" spans="1:9" x14ac:dyDescent="0.2">
      <c r="A77" t="s">
        <v>90</v>
      </c>
    </row>
    <row r="78" spans="1:9" x14ac:dyDescent="0.2">
      <c r="A78" t="s">
        <v>70</v>
      </c>
      <c r="B78" t="s">
        <v>61</v>
      </c>
      <c r="C78" t="s">
        <v>71</v>
      </c>
      <c r="D78" t="s">
        <v>72</v>
      </c>
      <c r="E78" t="s">
        <v>91</v>
      </c>
      <c r="F78" t="s">
        <v>92</v>
      </c>
      <c r="G78" t="s">
        <v>58</v>
      </c>
      <c r="H78" t="s">
        <v>59</v>
      </c>
      <c r="I78" t="s">
        <v>93</v>
      </c>
    </row>
    <row r="79" spans="1:9" x14ac:dyDescent="0.2">
      <c r="A79" t="s">
        <v>123</v>
      </c>
      <c r="B79">
        <v>36</v>
      </c>
      <c r="C79">
        <v>8</v>
      </c>
      <c r="D79">
        <v>4</v>
      </c>
      <c r="E79">
        <v>0</v>
      </c>
      <c r="F79" s="14" t="s">
        <v>330</v>
      </c>
      <c r="G79">
        <v>1</v>
      </c>
      <c r="H79">
        <v>1</v>
      </c>
      <c r="I79" t="s">
        <v>331</v>
      </c>
    </row>
    <row r="80" spans="1:9" x14ac:dyDescent="0.2">
      <c r="A80" t="s">
        <v>125</v>
      </c>
      <c r="B80">
        <v>72</v>
      </c>
      <c r="C80">
        <v>8</v>
      </c>
      <c r="D80">
        <v>8</v>
      </c>
      <c r="E80">
        <v>0</v>
      </c>
      <c r="F80" s="14" t="s">
        <v>332</v>
      </c>
      <c r="G80">
        <v>1</v>
      </c>
      <c r="H80">
        <v>1</v>
      </c>
      <c r="I80" t="s">
        <v>333</v>
      </c>
    </row>
    <row r="81" spans="1:9" x14ac:dyDescent="0.2">
      <c r="A81" t="s">
        <v>127</v>
      </c>
      <c r="B81">
        <v>108</v>
      </c>
      <c r="C81">
        <v>2</v>
      </c>
      <c r="D81">
        <v>12</v>
      </c>
      <c r="E81">
        <v>0</v>
      </c>
      <c r="F81" s="14" t="s">
        <v>334</v>
      </c>
      <c r="G81">
        <v>1</v>
      </c>
      <c r="H81">
        <v>1</v>
      </c>
      <c r="I81" t="s">
        <v>335</v>
      </c>
    </row>
    <row r="82" spans="1:9" x14ac:dyDescent="0.2">
      <c r="A82" t="s">
        <v>129</v>
      </c>
      <c r="B82">
        <v>144</v>
      </c>
      <c r="C82">
        <v>2</v>
      </c>
      <c r="D82">
        <v>13</v>
      </c>
      <c r="E82">
        <v>0</v>
      </c>
      <c r="F82" s="14" t="s">
        <v>336</v>
      </c>
      <c r="G82">
        <v>1</v>
      </c>
      <c r="H82">
        <v>1</v>
      </c>
      <c r="I82" t="s">
        <v>337</v>
      </c>
    </row>
    <row r="83" spans="1:9" x14ac:dyDescent="0.2">
      <c r="A83" t="s">
        <v>136</v>
      </c>
      <c r="B83">
        <v>180</v>
      </c>
      <c r="C83">
        <v>2</v>
      </c>
      <c r="D83">
        <v>17</v>
      </c>
      <c r="E83">
        <v>0</v>
      </c>
      <c r="F83" s="14" t="s">
        <v>338</v>
      </c>
      <c r="G83">
        <v>1</v>
      </c>
      <c r="H83">
        <v>1</v>
      </c>
      <c r="I83" t="s">
        <v>339</v>
      </c>
    </row>
    <row r="84" spans="1:9" x14ac:dyDescent="0.2">
      <c r="A84" t="s">
        <v>138</v>
      </c>
      <c r="B84">
        <v>216</v>
      </c>
      <c r="C84">
        <v>4</v>
      </c>
      <c r="D84">
        <v>18</v>
      </c>
      <c r="E84">
        <v>0</v>
      </c>
      <c r="F84" s="14" t="s">
        <v>340</v>
      </c>
      <c r="G84">
        <v>1</v>
      </c>
      <c r="H84">
        <v>1</v>
      </c>
      <c r="I84" t="s">
        <v>341</v>
      </c>
    </row>
    <row r="85" spans="1:9" x14ac:dyDescent="0.2">
      <c r="A85" t="s">
        <v>140</v>
      </c>
      <c r="B85">
        <v>252</v>
      </c>
      <c r="C85">
        <v>2</v>
      </c>
      <c r="D85">
        <v>22</v>
      </c>
      <c r="E85">
        <v>1</v>
      </c>
      <c r="F85" s="14" t="s">
        <v>342</v>
      </c>
      <c r="G85">
        <v>1</v>
      </c>
      <c r="H85">
        <v>1</v>
      </c>
      <c r="I85" t="s">
        <v>343</v>
      </c>
    </row>
    <row r="86" spans="1:9" x14ac:dyDescent="0.2">
      <c r="A86" t="s">
        <v>142</v>
      </c>
      <c r="B86">
        <v>288</v>
      </c>
      <c r="C86">
        <v>2</v>
      </c>
      <c r="D86">
        <v>24</v>
      </c>
      <c r="E86">
        <v>0</v>
      </c>
      <c r="F86" s="14" t="s">
        <v>344</v>
      </c>
      <c r="G86">
        <v>1</v>
      </c>
      <c r="H86">
        <v>1</v>
      </c>
      <c r="I86" t="s">
        <v>345</v>
      </c>
    </row>
    <row r="87" spans="1:9" x14ac:dyDescent="0.2">
      <c r="A87" t="s">
        <v>144</v>
      </c>
      <c r="B87">
        <v>324</v>
      </c>
      <c r="C87">
        <v>4</v>
      </c>
      <c r="D87">
        <v>25</v>
      </c>
      <c r="E87">
        <v>0</v>
      </c>
      <c r="F87" s="14" t="s">
        <v>346</v>
      </c>
      <c r="G87">
        <v>1</v>
      </c>
      <c r="H87">
        <v>1</v>
      </c>
      <c r="I87" t="s">
        <v>347</v>
      </c>
    </row>
    <row r="88" spans="1:9" x14ac:dyDescent="0.2">
      <c r="A88" t="s">
        <v>146</v>
      </c>
      <c r="B88">
        <v>360</v>
      </c>
      <c r="C88">
        <v>4</v>
      </c>
      <c r="D88">
        <v>24</v>
      </c>
      <c r="E88">
        <v>0</v>
      </c>
      <c r="F88" s="14" t="s">
        <v>348</v>
      </c>
      <c r="G88">
        <v>1</v>
      </c>
      <c r="H88">
        <v>1</v>
      </c>
      <c r="I88" t="s">
        <v>349</v>
      </c>
    </row>
    <row r="89" spans="1:9" x14ac:dyDescent="0.2">
      <c r="A89" t="s">
        <v>148</v>
      </c>
      <c r="B89">
        <v>396</v>
      </c>
      <c r="C89">
        <v>4</v>
      </c>
      <c r="D89">
        <v>27</v>
      </c>
      <c r="E89">
        <v>1</v>
      </c>
      <c r="F89" s="14" t="s">
        <v>350</v>
      </c>
      <c r="G89">
        <v>1</v>
      </c>
      <c r="H89">
        <v>1</v>
      </c>
      <c r="I89" t="s">
        <v>351</v>
      </c>
    </row>
    <row r="90" spans="1:9" x14ac:dyDescent="0.2">
      <c r="A90" t="s">
        <v>150</v>
      </c>
      <c r="B90">
        <v>432</v>
      </c>
      <c r="C90">
        <v>8</v>
      </c>
      <c r="D90">
        <v>31</v>
      </c>
      <c r="E90">
        <v>-2</v>
      </c>
      <c r="F90" s="14" t="s">
        <v>352</v>
      </c>
      <c r="G90">
        <v>1</v>
      </c>
      <c r="H90">
        <v>1</v>
      </c>
      <c r="I90" t="s">
        <v>353</v>
      </c>
    </row>
    <row r="91" spans="1:9" x14ac:dyDescent="0.2">
      <c r="A91" t="s">
        <v>152</v>
      </c>
      <c r="B91">
        <v>468</v>
      </c>
      <c r="C91">
        <v>4</v>
      </c>
      <c r="D91">
        <v>31</v>
      </c>
      <c r="E91">
        <v>0</v>
      </c>
      <c r="F91" s="14" t="s">
        <v>354</v>
      </c>
      <c r="G91">
        <v>1</v>
      </c>
      <c r="H91">
        <v>1</v>
      </c>
      <c r="I91" t="s">
        <v>355</v>
      </c>
    </row>
    <row r="92" spans="1:9" x14ac:dyDescent="0.2">
      <c r="A92" t="s">
        <v>154</v>
      </c>
      <c r="B92">
        <v>496</v>
      </c>
      <c r="C92">
        <v>2</v>
      </c>
      <c r="D92">
        <v>32</v>
      </c>
      <c r="E92">
        <v>0</v>
      </c>
      <c r="F92" s="14" t="s">
        <v>356</v>
      </c>
      <c r="G92">
        <v>1</v>
      </c>
      <c r="H92">
        <v>1</v>
      </c>
      <c r="I92" t="s">
        <v>357</v>
      </c>
    </row>
    <row r="93" spans="1:9" x14ac:dyDescent="0.2">
      <c r="A93" t="s">
        <v>156</v>
      </c>
      <c r="B93">
        <v>504</v>
      </c>
      <c r="C93">
        <v>2</v>
      </c>
      <c r="D93">
        <v>47</v>
      </c>
      <c r="E93">
        <v>2</v>
      </c>
      <c r="F93" s="14" t="s">
        <v>358</v>
      </c>
      <c r="G93">
        <v>1</v>
      </c>
      <c r="H93">
        <v>1</v>
      </c>
      <c r="I93" t="s">
        <v>359</v>
      </c>
    </row>
    <row r="94" spans="1:9" x14ac:dyDescent="0.2">
      <c r="A94" t="s">
        <v>158</v>
      </c>
      <c r="B94">
        <v>540</v>
      </c>
      <c r="C94">
        <v>4</v>
      </c>
      <c r="D94">
        <v>48</v>
      </c>
      <c r="E94">
        <v>8</v>
      </c>
      <c r="F94" s="14" t="s">
        <v>360</v>
      </c>
      <c r="G94">
        <v>1</v>
      </c>
      <c r="H94">
        <v>1</v>
      </c>
      <c r="I94" t="s">
        <v>361</v>
      </c>
    </row>
    <row r="95" spans="1:9" x14ac:dyDescent="0.2">
      <c r="A95" t="s">
        <v>160</v>
      </c>
      <c r="B95">
        <v>576</v>
      </c>
      <c r="C95">
        <v>2</v>
      </c>
      <c r="D95">
        <v>57</v>
      </c>
      <c r="E95">
        <v>0</v>
      </c>
      <c r="F95" s="14" t="s">
        <v>362</v>
      </c>
      <c r="G95">
        <v>1</v>
      </c>
      <c r="H95">
        <v>1</v>
      </c>
      <c r="I95" t="s">
        <v>363</v>
      </c>
    </row>
    <row r="96" spans="1:9" x14ac:dyDescent="0.2">
      <c r="A96" t="s">
        <v>162</v>
      </c>
      <c r="B96">
        <v>576</v>
      </c>
      <c r="C96">
        <v>2</v>
      </c>
      <c r="D96">
        <v>53</v>
      </c>
      <c r="E96">
        <v>-6</v>
      </c>
      <c r="F96">
        <v>630.01043133065104</v>
      </c>
      <c r="G96">
        <v>1</v>
      </c>
      <c r="H96">
        <v>1</v>
      </c>
      <c r="I96" t="s">
        <v>364</v>
      </c>
    </row>
    <row r="97" spans="1:9" x14ac:dyDescent="0.2">
      <c r="A97" t="s">
        <v>163</v>
      </c>
      <c r="B97">
        <v>612</v>
      </c>
      <c r="C97">
        <v>2</v>
      </c>
      <c r="D97">
        <v>63</v>
      </c>
      <c r="E97">
        <v>11</v>
      </c>
      <c r="F97" s="14" t="s">
        <v>365</v>
      </c>
      <c r="G97">
        <v>1</v>
      </c>
      <c r="H97">
        <v>1</v>
      </c>
      <c r="I97" t="s">
        <v>366</v>
      </c>
    </row>
    <row r="98" spans="1:9" x14ac:dyDescent="0.2">
      <c r="A98" t="s">
        <v>165</v>
      </c>
      <c r="B98">
        <v>648</v>
      </c>
      <c r="C98">
        <v>10</v>
      </c>
      <c r="D98">
        <v>39</v>
      </c>
      <c r="E98">
        <v>-32</v>
      </c>
      <c r="F98" s="14" t="s">
        <v>367</v>
      </c>
      <c r="G98">
        <v>1</v>
      </c>
      <c r="H98">
        <v>1</v>
      </c>
      <c r="I98" t="s">
        <v>368</v>
      </c>
    </row>
    <row r="99" spans="1:9" x14ac:dyDescent="0.2">
      <c r="A99" t="s">
        <v>167</v>
      </c>
      <c r="B99">
        <v>648</v>
      </c>
      <c r="C99">
        <v>14</v>
      </c>
      <c r="D99">
        <v>35</v>
      </c>
      <c r="E99">
        <v>-15</v>
      </c>
      <c r="F99" s="14" t="s">
        <v>369</v>
      </c>
      <c r="G99">
        <v>1</v>
      </c>
      <c r="H99">
        <v>1</v>
      </c>
      <c r="I99" t="s">
        <v>370</v>
      </c>
    </row>
    <row r="100" spans="1:9" x14ac:dyDescent="0.2">
      <c r="A100" t="s">
        <v>168</v>
      </c>
      <c r="B100">
        <v>684</v>
      </c>
      <c r="C100">
        <v>2</v>
      </c>
      <c r="D100">
        <v>30</v>
      </c>
      <c r="E100">
        <v>1</v>
      </c>
      <c r="F100" s="14" t="s">
        <v>371</v>
      </c>
      <c r="G100">
        <v>1</v>
      </c>
      <c r="H100">
        <v>1</v>
      </c>
      <c r="I100" t="s">
        <v>372</v>
      </c>
    </row>
    <row r="101" spans="1:9" x14ac:dyDescent="0.2">
      <c r="A101" t="s">
        <v>73</v>
      </c>
    </row>
    <row r="102" spans="1:9" x14ac:dyDescent="0.2">
      <c r="A102" t="s">
        <v>74</v>
      </c>
    </row>
    <row r="103" spans="1:9" x14ac:dyDescent="0.2">
      <c r="A103" t="s">
        <v>75</v>
      </c>
    </row>
    <row r="104" spans="1:9" x14ac:dyDescent="0.2">
      <c r="A104" t="s">
        <v>117</v>
      </c>
    </row>
    <row r="105" spans="1:9" x14ac:dyDescent="0.2">
      <c r="A105" t="s">
        <v>76</v>
      </c>
    </row>
    <row r="106" spans="1:9" x14ac:dyDescent="0.2">
      <c r="A106" t="s">
        <v>108</v>
      </c>
    </row>
    <row r="107" spans="1:9" x14ac:dyDescent="0.2">
      <c r="A107" t="s">
        <v>77</v>
      </c>
    </row>
    <row r="108" spans="1:9" x14ac:dyDescent="0.2">
      <c r="A108" t="s">
        <v>96</v>
      </c>
    </row>
    <row r="109" spans="1:9" x14ac:dyDescent="0.2">
      <c r="A109" t="s">
        <v>118</v>
      </c>
    </row>
    <row r="110" spans="1:9" x14ac:dyDescent="0.2">
      <c r="A110" t="s">
        <v>119</v>
      </c>
    </row>
    <row r="111" spans="1:9" x14ac:dyDescent="0.2">
      <c r="A111" t="s">
        <v>284</v>
      </c>
    </row>
    <row r="112" spans="1:9" x14ac:dyDescent="0.2">
      <c r="A112" t="s">
        <v>79</v>
      </c>
    </row>
    <row r="113" spans="1:9" x14ac:dyDescent="0.2">
      <c r="A113" t="s">
        <v>80</v>
      </c>
    </row>
    <row r="114" spans="1:9" x14ac:dyDescent="0.2">
      <c r="A114" t="s">
        <v>81</v>
      </c>
    </row>
    <row r="115" spans="1:9" x14ac:dyDescent="0.2">
      <c r="A115" t="s">
        <v>82</v>
      </c>
    </row>
    <row r="116" spans="1:9" x14ac:dyDescent="0.2">
      <c r="A116" t="s">
        <v>120</v>
      </c>
    </row>
    <row r="117" spans="1:9" x14ac:dyDescent="0.2">
      <c r="A117" t="s">
        <v>121</v>
      </c>
    </row>
    <row r="118" spans="1:9" x14ac:dyDescent="0.2">
      <c r="A118" t="s">
        <v>83</v>
      </c>
    </row>
    <row r="119" spans="1:9" x14ac:dyDescent="0.2">
      <c r="A119" t="s">
        <v>84</v>
      </c>
    </row>
    <row r="120" spans="1:9" x14ac:dyDescent="0.2">
      <c r="A120" t="s">
        <v>85</v>
      </c>
    </row>
    <row r="121" spans="1:9" x14ac:dyDescent="0.2">
      <c r="A121" t="s">
        <v>86</v>
      </c>
    </row>
    <row r="122" spans="1:9" x14ac:dyDescent="0.2">
      <c r="A122" t="s">
        <v>87</v>
      </c>
    </row>
    <row r="123" spans="1:9" x14ac:dyDescent="0.2">
      <c r="A123" t="s">
        <v>88</v>
      </c>
    </row>
    <row r="124" spans="1:9" x14ac:dyDescent="0.2">
      <c r="A124" t="s">
        <v>105</v>
      </c>
    </row>
    <row r="125" spans="1:9" x14ac:dyDescent="0.2">
      <c r="A125" t="s">
        <v>89</v>
      </c>
    </row>
    <row r="126" spans="1:9" x14ac:dyDescent="0.2">
      <c r="A126" t="s">
        <v>373</v>
      </c>
    </row>
    <row r="127" spans="1:9" x14ac:dyDescent="0.2">
      <c r="A127" t="s">
        <v>90</v>
      </c>
    </row>
    <row r="128" spans="1:9" x14ac:dyDescent="0.2">
      <c r="A128" t="s">
        <v>70</v>
      </c>
      <c r="B128" t="s">
        <v>61</v>
      </c>
      <c r="C128" t="s">
        <v>71</v>
      </c>
      <c r="D128" t="s">
        <v>72</v>
      </c>
      <c r="E128" t="s">
        <v>91</v>
      </c>
      <c r="F128" t="s">
        <v>92</v>
      </c>
      <c r="G128" t="s">
        <v>58</v>
      </c>
      <c r="H128" t="s">
        <v>59</v>
      </c>
      <c r="I128" t="s">
        <v>93</v>
      </c>
    </row>
    <row r="129" spans="1:9" x14ac:dyDescent="0.2">
      <c r="A129" t="s">
        <v>123</v>
      </c>
      <c r="B129">
        <v>36</v>
      </c>
      <c r="C129">
        <v>8</v>
      </c>
      <c r="D129">
        <v>4</v>
      </c>
      <c r="E129">
        <v>0</v>
      </c>
      <c r="F129" s="14" t="s">
        <v>374</v>
      </c>
      <c r="G129">
        <v>1</v>
      </c>
      <c r="H129">
        <v>1</v>
      </c>
      <c r="I129" t="s">
        <v>375</v>
      </c>
    </row>
    <row r="130" spans="1:9" x14ac:dyDescent="0.2">
      <c r="A130" t="s">
        <v>125</v>
      </c>
      <c r="B130">
        <v>72</v>
      </c>
      <c r="C130">
        <v>8</v>
      </c>
      <c r="D130">
        <v>8</v>
      </c>
      <c r="E130">
        <v>0</v>
      </c>
      <c r="F130" s="14" t="s">
        <v>376</v>
      </c>
      <c r="G130">
        <v>1</v>
      </c>
      <c r="H130">
        <v>1</v>
      </c>
      <c r="I130" t="s">
        <v>377</v>
      </c>
    </row>
    <row r="131" spans="1:9" x14ac:dyDescent="0.2">
      <c r="A131" t="s">
        <v>127</v>
      </c>
      <c r="B131">
        <v>108</v>
      </c>
      <c r="C131">
        <v>2</v>
      </c>
      <c r="D131">
        <v>12</v>
      </c>
      <c r="E131">
        <v>0</v>
      </c>
      <c r="F131" s="14" t="s">
        <v>378</v>
      </c>
      <c r="G131">
        <v>1</v>
      </c>
      <c r="H131">
        <v>1</v>
      </c>
      <c r="I131" t="s">
        <v>379</v>
      </c>
    </row>
    <row r="132" spans="1:9" x14ac:dyDescent="0.2">
      <c r="A132" t="s">
        <v>129</v>
      </c>
      <c r="B132">
        <v>144</v>
      </c>
      <c r="C132">
        <v>2</v>
      </c>
      <c r="D132">
        <v>13</v>
      </c>
      <c r="E132">
        <v>0</v>
      </c>
      <c r="F132" s="14" t="s">
        <v>380</v>
      </c>
      <c r="G132">
        <v>1</v>
      </c>
      <c r="H132">
        <v>1</v>
      </c>
      <c r="I132" t="s">
        <v>381</v>
      </c>
    </row>
    <row r="133" spans="1:9" x14ac:dyDescent="0.2">
      <c r="A133" t="s">
        <v>136</v>
      </c>
      <c r="B133">
        <v>180</v>
      </c>
      <c r="C133">
        <v>2</v>
      </c>
      <c r="D133">
        <v>17</v>
      </c>
      <c r="E133">
        <v>0</v>
      </c>
      <c r="F133" s="14" t="s">
        <v>382</v>
      </c>
      <c r="G133">
        <v>1</v>
      </c>
      <c r="H133">
        <v>1</v>
      </c>
      <c r="I133" t="s">
        <v>383</v>
      </c>
    </row>
    <row r="134" spans="1:9" x14ac:dyDescent="0.2">
      <c r="A134" t="s">
        <v>138</v>
      </c>
      <c r="B134">
        <v>216</v>
      </c>
      <c r="C134">
        <v>4</v>
      </c>
      <c r="D134">
        <v>18</v>
      </c>
      <c r="E134">
        <v>0</v>
      </c>
      <c r="F134" s="14" t="s">
        <v>384</v>
      </c>
      <c r="G134">
        <v>1</v>
      </c>
      <c r="H134">
        <v>1</v>
      </c>
      <c r="I134" t="s">
        <v>385</v>
      </c>
    </row>
    <row r="135" spans="1:9" x14ac:dyDescent="0.2">
      <c r="A135" t="s">
        <v>140</v>
      </c>
      <c r="B135">
        <v>252</v>
      </c>
      <c r="C135">
        <v>2</v>
      </c>
      <c r="D135">
        <v>22</v>
      </c>
      <c r="E135">
        <v>1</v>
      </c>
      <c r="F135" s="14" t="s">
        <v>386</v>
      </c>
      <c r="G135">
        <v>1</v>
      </c>
      <c r="H135">
        <v>1</v>
      </c>
      <c r="I135" t="s">
        <v>387</v>
      </c>
    </row>
    <row r="136" spans="1:9" x14ac:dyDescent="0.2">
      <c r="A136" t="s">
        <v>142</v>
      </c>
      <c r="B136">
        <v>288</v>
      </c>
      <c r="C136">
        <v>2</v>
      </c>
      <c r="D136">
        <v>24</v>
      </c>
      <c r="E136">
        <v>0</v>
      </c>
      <c r="F136" s="14" t="s">
        <v>388</v>
      </c>
      <c r="G136">
        <v>1</v>
      </c>
      <c r="H136">
        <v>1</v>
      </c>
      <c r="I136" t="s">
        <v>389</v>
      </c>
    </row>
    <row r="137" spans="1:9" x14ac:dyDescent="0.2">
      <c r="A137" t="s">
        <v>144</v>
      </c>
      <c r="B137">
        <v>324</v>
      </c>
      <c r="C137">
        <v>4</v>
      </c>
      <c r="D137">
        <v>25</v>
      </c>
      <c r="E137">
        <v>0</v>
      </c>
      <c r="F137" s="14" t="s">
        <v>390</v>
      </c>
      <c r="G137">
        <v>1</v>
      </c>
      <c r="H137">
        <v>1</v>
      </c>
      <c r="I137" t="s">
        <v>391</v>
      </c>
    </row>
    <row r="138" spans="1:9" x14ac:dyDescent="0.2">
      <c r="A138" t="s">
        <v>146</v>
      </c>
      <c r="B138">
        <v>360</v>
      </c>
      <c r="C138">
        <v>4</v>
      </c>
      <c r="D138">
        <v>24</v>
      </c>
      <c r="E138">
        <v>0</v>
      </c>
      <c r="F138" s="14" t="s">
        <v>392</v>
      </c>
      <c r="G138">
        <v>1</v>
      </c>
      <c r="H138">
        <v>1</v>
      </c>
      <c r="I138" t="s">
        <v>393</v>
      </c>
    </row>
    <row r="139" spans="1:9" x14ac:dyDescent="0.2">
      <c r="A139" t="s">
        <v>148</v>
      </c>
      <c r="B139">
        <v>396</v>
      </c>
      <c r="C139">
        <v>4</v>
      </c>
      <c r="D139">
        <v>27</v>
      </c>
      <c r="E139">
        <v>1</v>
      </c>
      <c r="F139" s="14" t="s">
        <v>394</v>
      </c>
      <c r="G139">
        <v>1</v>
      </c>
      <c r="H139">
        <v>1</v>
      </c>
      <c r="I139" t="s">
        <v>395</v>
      </c>
    </row>
    <row r="140" spans="1:9" x14ac:dyDescent="0.2">
      <c r="A140" t="s">
        <v>150</v>
      </c>
      <c r="B140">
        <v>432</v>
      </c>
      <c r="C140">
        <v>8</v>
      </c>
      <c r="D140">
        <v>33</v>
      </c>
      <c r="E140">
        <v>0</v>
      </c>
      <c r="F140" s="14" t="s">
        <v>396</v>
      </c>
      <c r="G140">
        <v>1</v>
      </c>
      <c r="H140">
        <v>1</v>
      </c>
      <c r="I140" t="s">
        <v>397</v>
      </c>
    </row>
    <row r="141" spans="1:9" x14ac:dyDescent="0.2">
      <c r="A141" t="s">
        <v>152</v>
      </c>
      <c r="B141">
        <v>468</v>
      </c>
      <c r="C141">
        <v>4</v>
      </c>
      <c r="D141">
        <v>30</v>
      </c>
      <c r="E141">
        <v>-1</v>
      </c>
      <c r="F141" s="14" t="s">
        <v>398</v>
      </c>
      <c r="G141">
        <v>1</v>
      </c>
      <c r="H141">
        <v>1</v>
      </c>
      <c r="I141" t="s">
        <v>399</v>
      </c>
    </row>
    <row r="142" spans="1:9" x14ac:dyDescent="0.2">
      <c r="A142" t="s">
        <v>154</v>
      </c>
      <c r="B142">
        <v>496</v>
      </c>
      <c r="C142">
        <v>2</v>
      </c>
      <c r="D142">
        <v>32</v>
      </c>
      <c r="E142">
        <v>0</v>
      </c>
      <c r="F142" s="14" t="s">
        <v>400</v>
      </c>
      <c r="G142">
        <v>1</v>
      </c>
      <c r="H142">
        <v>1</v>
      </c>
      <c r="I142" t="s">
        <v>401</v>
      </c>
    </row>
    <row r="143" spans="1:9" x14ac:dyDescent="0.2">
      <c r="A143" t="s">
        <v>156</v>
      </c>
      <c r="B143">
        <v>504</v>
      </c>
      <c r="C143">
        <v>2</v>
      </c>
      <c r="D143">
        <v>46</v>
      </c>
      <c r="E143">
        <v>1</v>
      </c>
      <c r="F143" s="14" t="s">
        <v>402</v>
      </c>
      <c r="G143">
        <v>1</v>
      </c>
      <c r="H143">
        <v>1</v>
      </c>
      <c r="I143" t="s">
        <v>403</v>
      </c>
    </row>
    <row r="144" spans="1:9" x14ac:dyDescent="0.2">
      <c r="A144" t="s">
        <v>158</v>
      </c>
      <c r="B144">
        <v>540</v>
      </c>
      <c r="C144">
        <v>4</v>
      </c>
      <c r="D144">
        <v>48</v>
      </c>
      <c r="E144">
        <v>8</v>
      </c>
      <c r="F144" s="14" t="s">
        <v>404</v>
      </c>
      <c r="G144">
        <v>1</v>
      </c>
      <c r="H144">
        <v>1</v>
      </c>
      <c r="I144" t="s">
        <v>405</v>
      </c>
    </row>
    <row r="145" spans="1:9" x14ac:dyDescent="0.2">
      <c r="A145" t="s">
        <v>160</v>
      </c>
      <c r="B145">
        <v>576</v>
      </c>
      <c r="C145">
        <v>2</v>
      </c>
      <c r="D145">
        <v>45</v>
      </c>
      <c r="E145">
        <v>-12</v>
      </c>
      <c r="F145" s="14" t="s">
        <v>406</v>
      </c>
      <c r="G145">
        <v>1</v>
      </c>
      <c r="H145">
        <v>1</v>
      </c>
      <c r="I145" t="s">
        <v>407</v>
      </c>
    </row>
    <row r="146" spans="1:9" x14ac:dyDescent="0.2">
      <c r="A146" t="s">
        <v>162</v>
      </c>
      <c r="B146">
        <v>576</v>
      </c>
      <c r="C146">
        <v>2</v>
      </c>
      <c r="D146">
        <v>46</v>
      </c>
      <c r="E146">
        <v>-13</v>
      </c>
      <c r="F146" s="14" t="s">
        <v>408</v>
      </c>
      <c r="G146">
        <v>1</v>
      </c>
      <c r="H146">
        <v>1</v>
      </c>
      <c r="I146" t="s">
        <v>409</v>
      </c>
    </row>
    <row r="147" spans="1:9" x14ac:dyDescent="0.2">
      <c r="A147" t="s">
        <v>163</v>
      </c>
      <c r="B147">
        <v>612</v>
      </c>
      <c r="C147">
        <v>2</v>
      </c>
      <c r="D147">
        <v>53</v>
      </c>
      <c r="E147">
        <v>1</v>
      </c>
      <c r="F147">
        <v>735.21590693295002</v>
      </c>
      <c r="G147">
        <v>1</v>
      </c>
      <c r="H147">
        <v>1</v>
      </c>
      <c r="I147" t="s">
        <v>410</v>
      </c>
    </row>
    <row r="148" spans="1:9" x14ac:dyDescent="0.2">
      <c r="A148" t="s">
        <v>165</v>
      </c>
      <c r="B148">
        <v>648</v>
      </c>
      <c r="C148">
        <v>10</v>
      </c>
      <c r="D148">
        <v>40</v>
      </c>
      <c r="E148">
        <v>-31</v>
      </c>
      <c r="F148" s="14" t="s">
        <v>411</v>
      </c>
      <c r="G148">
        <v>1</v>
      </c>
      <c r="H148">
        <v>1</v>
      </c>
      <c r="I148" t="s">
        <v>412</v>
      </c>
    </row>
    <row r="149" spans="1:9" x14ac:dyDescent="0.2">
      <c r="A149" t="s">
        <v>167</v>
      </c>
      <c r="B149">
        <v>648</v>
      </c>
      <c r="C149">
        <v>14</v>
      </c>
      <c r="D149">
        <v>32</v>
      </c>
      <c r="E149">
        <v>-18</v>
      </c>
      <c r="F149" s="14" t="s">
        <v>413</v>
      </c>
      <c r="G149">
        <v>1</v>
      </c>
      <c r="H149">
        <v>1</v>
      </c>
      <c r="I149" t="s">
        <v>414</v>
      </c>
    </row>
    <row r="150" spans="1:9" x14ac:dyDescent="0.2">
      <c r="A150" t="s">
        <v>168</v>
      </c>
      <c r="B150">
        <v>684</v>
      </c>
      <c r="C150">
        <v>2</v>
      </c>
      <c r="D150">
        <v>32</v>
      </c>
      <c r="E150">
        <v>3</v>
      </c>
      <c r="F150" s="14" t="s">
        <v>415</v>
      </c>
      <c r="G150">
        <v>1</v>
      </c>
      <c r="H150">
        <v>1</v>
      </c>
      <c r="I150" t="s">
        <v>416</v>
      </c>
    </row>
    <row r="151" spans="1:9" x14ac:dyDescent="0.2">
      <c r="A151" t="s">
        <v>73</v>
      </c>
    </row>
    <row r="152" spans="1:9" x14ac:dyDescent="0.2">
      <c r="A152" t="s">
        <v>74</v>
      </c>
    </row>
    <row r="153" spans="1:9" x14ac:dyDescent="0.2">
      <c r="A153" t="s">
        <v>75</v>
      </c>
    </row>
    <row r="154" spans="1:9" x14ac:dyDescent="0.2">
      <c r="A154" t="s">
        <v>117</v>
      </c>
    </row>
    <row r="155" spans="1:9" x14ac:dyDescent="0.2">
      <c r="A155" t="s">
        <v>76</v>
      </c>
    </row>
    <row r="156" spans="1:9" x14ac:dyDescent="0.2">
      <c r="A156" t="s">
        <v>108</v>
      </c>
    </row>
    <row r="157" spans="1:9" x14ac:dyDescent="0.2">
      <c r="A157" t="s">
        <v>77</v>
      </c>
    </row>
    <row r="158" spans="1:9" x14ac:dyDescent="0.2">
      <c r="A158" t="s">
        <v>96</v>
      </c>
    </row>
    <row r="159" spans="1:9" x14ac:dyDescent="0.2">
      <c r="A159" t="s">
        <v>118</v>
      </c>
    </row>
    <row r="160" spans="1:9" x14ac:dyDescent="0.2">
      <c r="A160" t="s">
        <v>119</v>
      </c>
    </row>
    <row r="161" spans="1:1" x14ac:dyDescent="0.2">
      <c r="A161" t="s">
        <v>284</v>
      </c>
    </row>
    <row r="162" spans="1:1" x14ac:dyDescent="0.2">
      <c r="A162" t="s">
        <v>79</v>
      </c>
    </row>
    <row r="163" spans="1:1" x14ac:dyDescent="0.2">
      <c r="A163" t="s">
        <v>80</v>
      </c>
    </row>
    <row r="164" spans="1:1" x14ac:dyDescent="0.2">
      <c r="A164" t="s">
        <v>81</v>
      </c>
    </row>
    <row r="165" spans="1:1" x14ac:dyDescent="0.2">
      <c r="A165" t="s">
        <v>82</v>
      </c>
    </row>
    <row r="166" spans="1:1" x14ac:dyDescent="0.2">
      <c r="A166" t="s">
        <v>120</v>
      </c>
    </row>
    <row r="167" spans="1:1" x14ac:dyDescent="0.2">
      <c r="A167" t="s">
        <v>121</v>
      </c>
    </row>
    <row r="168" spans="1:1" x14ac:dyDescent="0.2">
      <c r="A168" t="s">
        <v>83</v>
      </c>
    </row>
    <row r="169" spans="1:1" x14ac:dyDescent="0.2">
      <c r="A169" t="s">
        <v>84</v>
      </c>
    </row>
    <row r="170" spans="1:1" x14ac:dyDescent="0.2">
      <c r="A170" t="s">
        <v>85</v>
      </c>
    </row>
    <row r="171" spans="1:1" x14ac:dyDescent="0.2">
      <c r="A171" t="s">
        <v>86</v>
      </c>
    </row>
    <row r="172" spans="1:1" x14ac:dyDescent="0.2">
      <c r="A172" t="s">
        <v>87</v>
      </c>
    </row>
    <row r="173" spans="1:1" x14ac:dyDescent="0.2">
      <c r="A173" t="s">
        <v>88</v>
      </c>
    </row>
    <row r="174" spans="1:1" x14ac:dyDescent="0.2">
      <c r="A174" t="s">
        <v>105</v>
      </c>
    </row>
    <row r="175" spans="1:1" x14ac:dyDescent="0.2">
      <c r="A175" t="s">
        <v>89</v>
      </c>
    </row>
    <row r="176" spans="1:1" x14ac:dyDescent="0.2">
      <c r="A176" t="s">
        <v>417</v>
      </c>
    </row>
    <row r="177" spans="1:9" x14ac:dyDescent="0.2">
      <c r="A177" t="s">
        <v>90</v>
      </c>
    </row>
    <row r="178" spans="1:9" x14ac:dyDescent="0.2">
      <c r="A178" t="s">
        <v>70</v>
      </c>
      <c r="B178" t="s">
        <v>61</v>
      </c>
      <c r="C178" t="s">
        <v>71</v>
      </c>
      <c r="D178" t="s">
        <v>72</v>
      </c>
      <c r="E178" t="s">
        <v>91</v>
      </c>
      <c r="F178" t="s">
        <v>92</v>
      </c>
      <c r="G178" t="s">
        <v>58</v>
      </c>
      <c r="H178" t="s">
        <v>59</v>
      </c>
      <c r="I178" t="s">
        <v>93</v>
      </c>
    </row>
    <row r="179" spans="1:9" x14ac:dyDescent="0.2">
      <c r="A179" t="s">
        <v>123</v>
      </c>
      <c r="B179">
        <v>36</v>
      </c>
      <c r="C179">
        <v>8</v>
      </c>
      <c r="D179">
        <v>4</v>
      </c>
      <c r="E179">
        <v>0</v>
      </c>
      <c r="F179" s="14" t="s">
        <v>418</v>
      </c>
      <c r="G179">
        <v>1</v>
      </c>
      <c r="H179">
        <v>1</v>
      </c>
      <c r="I179" t="s">
        <v>419</v>
      </c>
    </row>
    <row r="180" spans="1:9" x14ac:dyDescent="0.2">
      <c r="A180" t="s">
        <v>125</v>
      </c>
      <c r="B180">
        <v>72</v>
      </c>
      <c r="C180">
        <v>8</v>
      </c>
      <c r="D180">
        <v>8</v>
      </c>
      <c r="E180">
        <v>0</v>
      </c>
      <c r="F180" s="14" t="s">
        <v>420</v>
      </c>
      <c r="G180">
        <v>1</v>
      </c>
      <c r="H180">
        <v>1</v>
      </c>
      <c r="I180" t="s">
        <v>421</v>
      </c>
    </row>
    <row r="181" spans="1:9" x14ac:dyDescent="0.2">
      <c r="A181" t="s">
        <v>127</v>
      </c>
      <c r="B181">
        <v>108</v>
      </c>
      <c r="C181">
        <v>2</v>
      </c>
      <c r="D181">
        <v>12</v>
      </c>
      <c r="E181">
        <v>0</v>
      </c>
      <c r="F181" s="14" t="s">
        <v>422</v>
      </c>
      <c r="G181">
        <v>1</v>
      </c>
      <c r="H181">
        <v>1</v>
      </c>
      <c r="I181" t="s">
        <v>423</v>
      </c>
    </row>
    <row r="182" spans="1:9" x14ac:dyDescent="0.2">
      <c r="A182" t="s">
        <v>129</v>
      </c>
      <c r="B182">
        <v>144</v>
      </c>
      <c r="C182">
        <v>2</v>
      </c>
      <c r="D182">
        <v>13</v>
      </c>
      <c r="E182">
        <v>0</v>
      </c>
      <c r="F182" s="14" t="s">
        <v>424</v>
      </c>
      <c r="G182">
        <v>1</v>
      </c>
      <c r="H182">
        <v>1</v>
      </c>
      <c r="I182" t="s">
        <v>425</v>
      </c>
    </row>
    <row r="183" spans="1:9" x14ac:dyDescent="0.2">
      <c r="A183" t="s">
        <v>136</v>
      </c>
      <c r="B183">
        <v>180</v>
      </c>
      <c r="C183">
        <v>2</v>
      </c>
      <c r="D183">
        <v>17</v>
      </c>
      <c r="E183">
        <v>0</v>
      </c>
      <c r="F183" s="14" t="s">
        <v>426</v>
      </c>
      <c r="G183">
        <v>1</v>
      </c>
      <c r="H183">
        <v>1</v>
      </c>
      <c r="I183" t="s">
        <v>427</v>
      </c>
    </row>
    <row r="184" spans="1:9" x14ac:dyDescent="0.2">
      <c r="A184" t="s">
        <v>138</v>
      </c>
      <c r="B184">
        <v>216</v>
      </c>
      <c r="C184">
        <v>4</v>
      </c>
      <c r="D184">
        <v>18</v>
      </c>
      <c r="E184">
        <v>0</v>
      </c>
      <c r="F184" s="14" t="s">
        <v>428</v>
      </c>
      <c r="G184">
        <v>1</v>
      </c>
      <c r="H184">
        <v>1</v>
      </c>
      <c r="I184" t="s">
        <v>429</v>
      </c>
    </row>
    <row r="185" spans="1:9" x14ac:dyDescent="0.2">
      <c r="A185" t="s">
        <v>140</v>
      </c>
      <c r="B185">
        <v>252</v>
      </c>
      <c r="C185">
        <v>2</v>
      </c>
      <c r="D185">
        <v>22</v>
      </c>
      <c r="E185">
        <v>1</v>
      </c>
      <c r="F185" s="14" t="s">
        <v>430</v>
      </c>
      <c r="G185">
        <v>1</v>
      </c>
      <c r="H185">
        <v>1</v>
      </c>
      <c r="I185" t="s">
        <v>431</v>
      </c>
    </row>
    <row r="186" spans="1:9" x14ac:dyDescent="0.2">
      <c r="A186" t="s">
        <v>142</v>
      </c>
      <c r="B186">
        <v>288</v>
      </c>
      <c r="C186">
        <v>2</v>
      </c>
      <c r="D186">
        <v>24</v>
      </c>
      <c r="E186">
        <v>0</v>
      </c>
      <c r="F186" s="14" t="s">
        <v>432</v>
      </c>
      <c r="G186">
        <v>1</v>
      </c>
      <c r="H186">
        <v>1</v>
      </c>
      <c r="I186" t="s">
        <v>433</v>
      </c>
    </row>
    <row r="187" spans="1:9" x14ac:dyDescent="0.2">
      <c r="A187" t="s">
        <v>144</v>
      </c>
      <c r="B187">
        <v>324</v>
      </c>
      <c r="C187">
        <v>4</v>
      </c>
      <c r="D187">
        <v>25</v>
      </c>
      <c r="E187">
        <v>0</v>
      </c>
      <c r="F187" s="14" t="s">
        <v>434</v>
      </c>
      <c r="G187">
        <v>1</v>
      </c>
      <c r="H187">
        <v>1</v>
      </c>
      <c r="I187" t="s">
        <v>435</v>
      </c>
    </row>
    <row r="188" spans="1:9" x14ac:dyDescent="0.2">
      <c r="A188" t="s">
        <v>146</v>
      </c>
      <c r="B188">
        <v>360</v>
      </c>
      <c r="C188">
        <v>4</v>
      </c>
      <c r="D188">
        <v>24</v>
      </c>
      <c r="E188">
        <v>0</v>
      </c>
      <c r="F188" s="14" t="s">
        <v>436</v>
      </c>
      <c r="G188">
        <v>1</v>
      </c>
      <c r="H188">
        <v>1</v>
      </c>
      <c r="I188" t="s">
        <v>437</v>
      </c>
    </row>
    <row r="189" spans="1:9" x14ac:dyDescent="0.2">
      <c r="A189" t="s">
        <v>148</v>
      </c>
      <c r="B189">
        <v>396</v>
      </c>
      <c r="C189">
        <v>4</v>
      </c>
      <c r="D189">
        <v>27</v>
      </c>
      <c r="E189">
        <v>1</v>
      </c>
      <c r="F189" s="14" t="s">
        <v>438</v>
      </c>
      <c r="G189">
        <v>1</v>
      </c>
      <c r="H189">
        <v>1</v>
      </c>
      <c r="I189" t="s">
        <v>439</v>
      </c>
    </row>
    <row r="190" spans="1:9" x14ac:dyDescent="0.2">
      <c r="A190" t="s">
        <v>150</v>
      </c>
      <c r="B190">
        <v>432</v>
      </c>
      <c r="C190">
        <v>8</v>
      </c>
      <c r="D190">
        <v>33</v>
      </c>
      <c r="E190">
        <v>0</v>
      </c>
      <c r="F190" s="14" t="s">
        <v>440</v>
      </c>
      <c r="G190">
        <v>1</v>
      </c>
      <c r="H190">
        <v>1</v>
      </c>
      <c r="I190" t="s">
        <v>441</v>
      </c>
    </row>
    <row r="191" spans="1:9" x14ac:dyDescent="0.2">
      <c r="A191" t="s">
        <v>152</v>
      </c>
      <c r="B191">
        <v>468</v>
      </c>
      <c r="C191">
        <v>4</v>
      </c>
      <c r="D191">
        <v>29</v>
      </c>
      <c r="E191">
        <v>-2</v>
      </c>
      <c r="F191" s="14" t="s">
        <v>442</v>
      </c>
      <c r="G191">
        <v>1</v>
      </c>
      <c r="H191">
        <v>1</v>
      </c>
      <c r="I191" t="s">
        <v>443</v>
      </c>
    </row>
    <row r="192" spans="1:9" x14ac:dyDescent="0.2">
      <c r="A192" t="s">
        <v>154</v>
      </c>
      <c r="B192">
        <v>496</v>
      </c>
      <c r="C192">
        <v>2</v>
      </c>
      <c r="D192">
        <v>32</v>
      </c>
      <c r="E192">
        <v>0</v>
      </c>
      <c r="F192" s="14" t="s">
        <v>444</v>
      </c>
      <c r="G192">
        <v>1</v>
      </c>
      <c r="H192">
        <v>1</v>
      </c>
      <c r="I192" t="s">
        <v>445</v>
      </c>
    </row>
    <row r="193" spans="1:9" x14ac:dyDescent="0.2">
      <c r="A193" t="s">
        <v>156</v>
      </c>
      <c r="B193">
        <v>504</v>
      </c>
      <c r="C193">
        <v>2</v>
      </c>
      <c r="D193">
        <v>45</v>
      </c>
      <c r="E193">
        <v>0</v>
      </c>
      <c r="F193" s="14" t="s">
        <v>446</v>
      </c>
      <c r="G193">
        <v>1</v>
      </c>
      <c r="H193">
        <v>1</v>
      </c>
      <c r="I193" t="s">
        <v>447</v>
      </c>
    </row>
    <row r="194" spans="1:9" x14ac:dyDescent="0.2">
      <c r="A194" t="s">
        <v>158</v>
      </c>
      <c r="B194">
        <v>540</v>
      </c>
      <c r="C194">
        <v>4</v>
      </c>
      <c r="D194">
        <v>50</v>
      </c>
      <c r="E194">
        <v>10</v>
      </c>
      <c r="F194" s="14" t="s">
        <v>448</v>
      </c>
      <c r="G194">
        <v>1</v>
      </c>
      <c r="H194">
        <v>1</v>
      </c>
      <c r="I194" t="s">
        <v>449</v>
      </c>
    </row>
    <row r="195" spans="1:9" x14ac:dyDescent="0.2">
      <c r="A195" t="s">
        <v>160</v>
      </c>
      <c r="B195">
        <v>576</v>
      </c>
      <c r="C195">
        <v>2</v>
      </c>
      <c r="D195">
        <v>55</v>
      </c>
      <c r="E195">
        <v>-2</v>
      </c>
      <c r="F195" s="14" t="s">
        <v>450</v>
      </c>
      <c r="G195">
        <v>1</v>
      </c>
      <c r="H195">
        <v>1</v>
      </c>
      <c r="I195" t="s">
        <v>451</v>
      </c>
    </row>
    <row r="196" spans="1:9" x14ac:dyDescent="0.2">
      <c r="A196" t="s">
        <v>162</v>
      </c>
      <c r="B196">
        <v>576</v>
      </c>
      <c r="C196">
        <v>2</v>
      </c>
      <c r="D196">
        <v>43</v>
      </c>
      <c r="E196">
        <v>-16</v>
      </c>
      <c r="F196" s="14" t="s">
        <v>452</v>
      </c>
      <c r="G196">
        <v>1</v>
      </c>
      <c r="H196">
        <v>1</v>
      </c>
      <c r="I196" t="s">
        <v>453</v>
      </c>
    </row>
    <row r="197" spans="1:9" x14ac:dyDescent="0.2">
      <c r="A197" t="s">
        <v>163</v>
      </c>
      <c r="B197">
        <v>612</v>
      </c>
      <c r="C197">
        <v>2</v>
      </c>
      <c r="D197">
        <v>46</v>
      </c>
      <c r="E197">
        <v>-6</v>
      </c>
      <c r="F197" s="14" t="s">
        <v>454</v>
      </c>
      <c r="G197">
        <v>1</v>
      </c>
      <c r="H197">
        <v>1</v>
      </c>
      <c r="I197" t="s">
        <v>455</v>
      </c>
    </row>
    <row r="198" spans="1:9" x14ac:dyDescent="0.2">
      <c r="A198" t="s">
        <v>165</v>
      </c>
      <c r="B198">
        <v>648</v>
      </c>
      <c r="C198">
        <v>10</v>
      </c>
      <c r="D198">
        <v>40</v>
      </c>
      <c r="E198">
        <v>-31</v>
      </c>
      <c r="F198" s="14" t="s">
        <v>456</v>
      </c>
      <c r="G198">
        <v>1</v>
      </c>
      <c r="H198">
        <v>1</v>
      </c>
      <c r="I198" t="s">
        <v>457</v>
      </c>
    </row>
    <row r="199" spans="1:9" x14ac:dyDescent="0.2">
      <c r="A199" t="s">
        <v>167</v>
      </c>
      <c r="B199">
        <v>648</v>
      </c>
      <c r="C199">
        <v>14</v>
      </c>
      <c r="D199">
        <v>29</v>
      </c>
      <c r="E199">
        <v>-21</v>
      </c>
      <c r="F199" s="14" t="s">
        <v>458</v>
      </c>
      <c r="G199">
        <v>1</v>
      </c>
      <c r="H199">
        <v>1</v>
      </c>
      <c r="I199" t="s">
        <v>459</v>
      </c>
    </row>
    <row r="200" spans="1:9" x14ac:dyDescent="0.2">
      <c r="A200" t="s">
        <v>168</v>
      </c>
      <c r="B200">
        <v>684</v>
      </c>
      <c r="C200">
        <v>2</v>
      </c>
      <c r="D200">
        <v>30</v>
      </c>
      <c r="E200">
        <v>1</v>
      </c>
      <c r="F200" s="14" t="s">
        <v>460</v>
      </c>
      <c r="G200">
        <v>1</v>
      </c>
      <c r="H200">
        <v>1</v>
      </c>
      <c r="I200" t="s">
        <v>461</v>
      </c>
    </row>
    <row r="201" spans="1:9" x14ac:dyDescent="0.2">
      <c r="A201" t="s">
        <v>73</v>
      </c>
    </row>
    <row r="202" spans="1:9" x14ac:dyDescent="0.2">
      <c r="A202" t="s">
        <v>74</v>
      </c>
    </row>
    <row r="203" spans="1:9" x14ac:dyDescent="0.2">
      <c r="A203" t="s">
        <v>75</v>
      </c>
    </row>
    <row r="204" spans="1:9" x14ac:dyDescent="0.2">
      <c r="A204" t="s">
        <v>117</v>
      </c>
    </row>
    <row r="205" spans="1:9" x14ac:dyDescent="0.2">
      <c r="A205" t="s">
        <v>76</v>
      </c>
    </row>
    <row r="206" spans="1:9" x14ac:dyDescent="0.2">
      <c r="A206" t="s">
        <v>108</v>
      </c>
    </row>
    <row r="207" spans="1:9" x14ac:dyDescent="0.2">
      <c r="A207" t="s">
        <v>77</v>
      </c>
    </row>
    <row r="208" spans="1:9" x14ac:dyDescent="0.2">
      <c r="A208" t="s">
        <v>96</v>
      </c>
    </row>
    <row r="209" spans="1:1" x14ac:dyDescent="0.2">
      <c r="A209" t="s">
        <v>118</v>
      </c>
    </row>
    <row r="210" spans="1:1" x14ac:dyDescent="0.2">
      <c r="A210" t="s">
        <v>119</v>
      </c>
    </row>
    <row r="211" spans="1:1" x14ac:dyDescent="0.2">
      <c r="A211" t="s">
        <v>284</v>
      </c>
    </row>
    <row r="212" spans="1:1" x14ac:dyDescent="0.2">
      <c r="A212" t="s">
        <v>79</v>
      </c>
    </row>
    <row r="213" spans="1:1" x14ac:dyDescent="0.2">
      <c r="A213" t="s">
        <v>80</v>
      </c>
    </row>
    <row r="214" spans="1:1" x14ac:dyDescent="0.2">
      <c r="A214" t="s">
        <v>81</v>
      </c>
    </row>
    <row r="215" spans="1:1" x14ac:dyDescent="0.2">
      <c r="A215" t="s">
        <v>82</v>
      </c>
    </row>
    <row r="216" spans="1:1" x14ac:dyDescent="0.2">
      <c r="A216" t="s">
        <v>120</v>
      </c>
    </row>
    <row r="217" spans="1:1" x14ac:dyDescent="0.2">
      <c r="A217" t="s">
        <v>121</v>
      </c>
    </row>
    <row r="218" spans="1:1" x14ac:dyDescent="0.2">
      <c r="A218" t="s">
        <v>83</v>
      </c>
    </row>
    <row r="219" spans="1:1" x14ac:dyDescent="0.2">
      <c r="A219" t="s">
        <v>84</v>
      </c>
    </row>
    <row r="220" spans="1:1" x14ac:dyDescent="0.2">
      <c r="A220" t="s">
        <v>85</v>
      </c>
    </row>
    <row r="221" spans="1:1" x14ac:dyDescent="0.2">
      <c r="A221" t="s">
        <v>86</v>
      </c>
    </row>
    <row r="222" spans="1:1" x14ac:dyDescent="0.2">
      <c r="A222" t="s">
        <v>87</v>
      </c>
    </row>
    <row r="223" spans="1:1" x14ac:dyDescent="0.2">
      <c r="A223" t="s">
        <v>88</v>
      </c>
    </row>
    <row r="224" spans="1:1" x14ac:dyDescent="0.2">
      <c r="A224" t="s">
        <v>105</v>
      </c>
    </row>
    <row r="225" spans="1:9" x14ac:dyDescent="0.2">
      <c r="A225" t="s">
        <v>89</v>
      </c>
    </row>
    <row r="226" spans="1:9" x14ac:dyDescent="0.2">
      <c r="A226" t="s">
        <v>462</v>
      </c>
    </row>
    <row r="227" spans="1:9" x14ac:dyDescent="0.2">
      <c r="A227" t="s">
        <v>90</v>
      </c>
    </row>
    <row r="228" spans="1:9" x14ac:dyDescent="0.2">
      <c r="A228" t="s">
        <v>70</v>
      </c>
      <c r="B228" t="s">
        <v>61</v>
      </c>
      <c r="C228" t="s">
        <v>71</v>
      </c>
      <c r="D228" t="s">
        <v>72</v>
      </c>
      <c r="E228" t="s">
        <v>91</v>
      </c>
      <c r="F228" t="s">
        <v>92</v>
      </c>
      <c r="G228" t="s">
        <v>58</v>
      </c>
      <c r="H228" t="s">
        <v>59</v>
      </c>
      <c r="I228" t="s">
        <v>93</v>
      </c>
    </row>
    <row r="229" spans="1:9" x14ac:dyDescent="0.2">
      <c r="A229" t="s">
        <v>123</v>
      </c>
      <c r="B229">
        <v>36</v>
      </c>
      <c r="C229">
        <v>8</v>
      </c>
      <c r="D229">
        <v>4</v>
      </c>
      <c r="E229">
        <v>0</v>
      </c>
      <c r="F229" s="14" t="s">
        <v>463</v>
      </c>
      <c r="G229">
        <v>1</v>
      </c>
      <c r="H229">
        <v>1</v>
      </c>
      <c r="I229" t="s">
        <v>464</v>
      </c>
    </row>
    <row r="230" spans="1:9" x14ac:dyDescent="0.2">
      <c r="A230" t="s">
        <v>125</v>
      </c>
      <c r="B230">
        <v>72</v>
      </c>
      <c r="C230">
        <v>8</v>
      </c>
      <c r="D230">
        <v>8</v>
      </c>
      <c r="E230">
        <v>0</v>
      </c>
      <c r="F230" s="14" t="s">
        <v>465</v>
      </c>
      <c r="G230">
        <v>1</v>
      </c>
      <c r="H230">
        <v>1</v>
      </c>
      <c r="I230" t="s">
        <v>466</v>
      </c>
    </row>
    <row r="231" spans="1:9" x14ac:dyDescent="0.2">
      <c r="A231" t="s">
        <v>127</v>
      </c>
      <c r="B231">
        <v>108</v>
      </c>
      <c r="C231">
        <v>2</v>
      </c>
      <c r="D231">
        <v>12</v>
      </c>
      <c r="E231">
        <v>0</v>
      </c>
      <c r="F231" s="14" t="s">
        <v>467</v>
      </c>
      <c r="G231">
        <v>1</v>
      </c>
      <c r="H231">
        <v>1</v>
      </c>
      <c r="I231" t="s">
        <v>468</v>
      </c>
    </row>
    <row r="232" spans="1:9" x14ac:dyDescent="0.2">
      <c r="A232" t="s">
        <v>129</v>
      </c>
      <c r="B232">
        <v>144</v>
      </c>
      <c r="C232">
        <v>2</v>
      </c>
      <c r="D232">
        <v>13</v>
      </c>
      <c r="E232">
        <v>0</v>
      </c>
      <c r="F232" s="14" t="s">
        <v>469</v>
      </c>
      <c r="G232">
        <v>1</v>
      </c>
      <c r="H232">
        <v>1</v>
      </c>
      <c r="I232" t="s">
        <v>470</v>
      </c>
    </row>
    <row r="233" spans="1:9" x14ac:dyDescent="0.2">
      <c r="A233" t="s">
        <v>136</v>
      </c>
      <c r="B233">
        <v>180</v>
      </c>
      <c r="C233">
        <v>2</v>
      </c>
      <c r="D233">
        <v>17</v>
      </c>
      <c r="E233">
        <v>0</v>
      </c>
      <c r="F233" s="14" t="s">
        <v>471</v>
      </c>
      <c r="G233">
        <v>1</v>
      </c>
      <c r="H233">
        <v>1</v>
      </c>
      <c r="I233" t="s">
        <v>472</v>
      </c>
    </row>
    <row r="234" spans="1:9" x14ac:dyDescent="0.2">
      <c r="A234" t="s">
        <v>138</v>
      </c>
      <c r="B234">
        <v>216</v>
      </c>
      <c r="C234">
        <v>4</v>
      </c>
      <c r="D234">
        <v>18</v>
      </c>
      <c r="E234">
        <v>0</v>
      </c>
      <c r="F234" s="14" t="s">
        <v>473</v>
      </c>
      <c r="G234">
        <v>1</v>
      </c>
      <c r="H234">
        <v>1</v>
      </c>
      <c r="I234" t="s">
        <v>474</v>
      </c>
    </row>
    <row r="235" spans="1:9" x14ac:dyDescent="0.2">
      <c r="A235" t="s">
        <v>140</v>
      </c>
      <c r="B235">
        <v>252</v>
      </c>
      <c r="C235">
        <v>2</v>
      </c>
      <c r="D235">
        <v>22</v>
      </c>
      <c r="E235">
        <v>1</v>
      </c>
      <c r="F235" s="14" t="s">
        <v>475</v>
      </c>
      <c r="G235">
        <v>1</v>
      </c>
      <c r="H235">
        <v>1</v>
      </c>
      <c r="I235" t="s">
        <v>476</v>
      </c>
    </row>
    <row r="236" spans="1:9" x14ac:dyDescent="0.2">
      <c r="A236" t="s">
        <v>142</v>
      </c>
      <c r="B236">
        <v>288</v>
      </c>
      <c r="C236">
        <v>2</v>
      </c>
      <c r="D236">
        <v>24</v>
      </c>
      <c r="E236">
        <v>0</v>
      </c>
      <c r="F236" s="14" t="s">
        <v>477</v>
      </c>
      <c r="G236">
        <v>1</v>
      </c>
      <c r="H236">
        <v>1</v>
      </c>
      <c r="I236" t="s">
        <v>478</v>
      </c>
    </row>
    <row r="237" spans="1:9" x14ac:dyDescent="0.2">
      <c r="A237" t="s">
        <v>144</v>
      </c>
      <c r="B237">
        <v>324</v>
      </c>
      <c r="C237">
        <v>4</v>
      </c>
      <c r="D237">
        <v>25</v>
      </c>
      <c r="E237">
        <v>0</v>
      </c>
      <c r="F237" s="14" t="s">
        <v>479</v>
      </c>
      <c r="G237">
        <v>1</v>
      </c>
      <c r="H237">
        <v>1</v>
      </c>
      <c r="I237" t="s">
        <v>480</v>
      </c>
    </row>
    <row r="238" spans="1:9" x14ac:dyDescent="0.2">
      <c r="A238" t="s">
        <v>146</v>
      </c>
      <c r="B238">
        <v>360</v>
      </c>
      <c r="C238">
        <v>4</v>
      </c>
      <c r="D238">
        <v>24</v>
      </c>
      <c r="E238">
        <v>0</v>
      </c>
      <c r="F238">
        <v>249.690280623734</v>
      </c>
      <c r="G238">
        <v>1</v>
      </c>
      <c r="H238">
        <v>1</v>
      </c>
      <c r="I238" t="s">
        <v>481</v>
      </c>
    </row>
    <row r="239" spans="1:9" x14ac:dyDescent="0.2">
      <c r="A239" t="s">
        <v>148</v>
      </c>
      <c r="B239">
        <v>396</v>
      </c>
      <c r="C239">
        <v>4</v>
      </c>
      <c r="D239">
        <v>27</v>
      </c>
      <c r="E239">
        <v>1</v>
      </c>
      <c r="F239" s="14" t="s">
        <v>482</v>
      </c>
      <c r="G239">
        <v>1</v>
      </c>
      <c r="H239">
        <v>1</v>
      </c>
      <c r="I239" t="s">
        <v>483</v>
      </c>
    </row>
    <row r="240" spans="1:9" x14ac:dyDescent="0.2">
      <c r="A240" t="s">
        <v>150</v>
      </c>
      <c r="B240">
        <v>432</v>
      </c>
      <c r="C240">
        <v>8</v>
      </c>
      <c r="D240">
        <v>33</v>
      </c>
      <c r="E240">
        <v>0</v>
      </c>
      <c r="F240" s="14" t="s">
        <v>484</v>
      </c>
      <c r="G240">
        <v>1</v>
      </c>
      <c r="H240">
        <v>1</v>
      </c>
      <c r="I240" t="s">
        <v>485</v>
      </c>
    </row>
    <row r="241" spans="1:9" x14ac:dyDescent="0.2">
      <c r="A241" t="s">
        <v>152</v>
      </c>
      <c r="B241">
        <v>468</v>
      </c>
      <c r="C241">
        <v>4</v>
      </c>
      <c r="D241">
        <v>30</v>
      </c>
      <c r="E241">
        <v>-1</v>
      </c>
      <c r="F241" s="14" t="s">
        <v>486</v>
      </c>
      <c r="G241">
        <v>1</v>
      </c>
      <c r="H241">
        <v>1</v>
      </c>
      <c r="I241" t="s">
        <v>487</v>
      </c>
    </row>
    <row r="242" spans="1:9" x14ac:dyDescent="0.2">
      <c r="A242" t="s">
        <v>154</v>
      </c>
      <c r="B242">
        <v>496</v>
      </c>
      <c r="C242">
        <v>2</v>
      </c>
      <c r="D242">
        <v>32</v>
      </c>
      <c r="E242">
        <v>0</v>
      </c>
      <c r="F242" s="14" t="s">
        <v>488</v>
      </c>
      <c r="G242">
        <v>1</v>
      </c>
      <c r="H242">
        <v>1</v>
      </c>
      <c r="I242" t="s">
        <v>489</v>
      </c>
    </row>
    <row r="243" spans="1:9" x14ac:dyDescent="0.2">
      <c r="A243" t="s">
        <v>156</v>
      </c>
      <c r="B243">
        <v>504</v>
      </c>
      <c r="C243">
        <v>2</v>
      </c>
      <c r="D243">
        <v>42</v>
      </c>
      <c r="E243">
        <v>-3</v>
      </c>
      <c r="F243" s="14" t="s">
        <v>490</v>
      </c>
      <c r="G243">
        <v>1</v>
      </c>
      <c r="H243">
        <v>1</v>
      </c>
      <c r="I243" t="s">
        <v>491</v>
      </c>
    </row>
    <row r="244" spans="1:9" x14ac:dyDescent="0.2">
      <c r="A244" t="s">
        <v>158</v>
      </c>
      <c r="B244">
        <v>540</v>
      </c>
      <c r="C244">
        <v>4</v>
      </c>
      <c r="D244">
        <v>46</v>
      </c>
      <c r="E244">
        <v>6</v>
      </c>
      <c r="F244" s="14" t="s">
        <v>492</v>
      </c>
      <c r="G244">
        <v>1</v>
      </c>
      <c r="H244">
        <v>1</v>
      </c>
      <c r="I244" t="s">
        <v>493</v>
      </c>
    </row>
    <row r="245" spans="1:9" x14ac:dyDescent="0.2">
      <c r="A245" t="s">
        <v>160</v>
      </c>
      <c r="B245">
        <v>576</v>
      </c>
      <c r="C245">
        <v>2</v>
      </c>
      <c r="D245">
        <v>49</v>
      </c>
      <c r="E245">
        <v>-8</v>
      </c>
      <c r="F245" s="14" t="s">
        <v>494</v>
      </c>
      <c r="G245">
        <v>1</v>
      </c>
      <c r="H245">
        <v>1</v>
      </c>
      <c r="I245" t="s">
        <v>495</v>
      </c>
    </row>
    <row r="246" spans="1:9" x14ac:dyDescent="0.2">
      <c r="A246" t="s">
        <v>162</v>
      </c>
      <c r="B246">
        <v>576</v>
      </c>
      <c r="C246">
        <v>2</v>
      </c>
      <c r="D246">
        <v>55</v>
      </c>
      <c r="E246">
        <v>-4</v>
      </c>
      <c r="F246">
        <v>645.75089984200895</v>
      </c>
      <c r="G246">
        <v>1</v>
      </c>
      <c r="H246">
        <v>1</v>
      </c>
      <c r="I246" t="s">
        <v>496</v>
      </c>
    </row>
    <row r="247" spans="1:9" x14ac:dyDescent="0.2">
      <c r="A247" t="s">
        <v>163</v>
      </c>
      <c r="B247">
        <v>612</v>
      </c>
      <c r="C247">
        <v>2</v>
      </c>
      <c r="D247">
        <v>54</v>
      </c>
      <c r="E247">
        <v>2</v>
      </c>
      <c r="F247" s="14" t="s">
        <v>497</v>
      </c>
      <c r="G247">
        <v>1</v>
      </c>
      <c r="H247">
        <v>1</v>
      </c>
      <c r="I247" t="s">
        <v>498</v>
      </c>
    </row>
    <row r="248" spans="1:9" x14ac:dyDescent="0.2">
      <c r="A248" t="s">
        <v>165</v>
      </c>
      <c r="B248">
        <v>648</v>
      </c>
      <c r="C248">
        <v>10</v>
      </c>
      <c r="D248">
        <v>42</v>
      </c>
      <c r="E248">
        <v>-29</v>
      </c>
      <c r="F248" s="14" t="s">
        <v>499</v>
      </c>
      <c r="G248">
        <v>1</v>
      </c>
      <c r="H248">
        <v>1</v>
      </c>
      <c r="I248" t="s">
        <v>500</v>
      </c>
    </row>
    <row r="249" spans="1:9" x14ac:dyDescent="0.2">
      <c r="A249" t="s">
        <v>167</v>
      </c>
      <c r="B249">
        <v>648</v>
      </c>
      <c r="C249">
        <v>14</v>
      </c>
      <c r="D249">
        <v>32</v>
      </c>
      <c r="E249">
        <v>-18</v>
      </c>
      <c r="F249" s="14" t="s">
        <v>501</v>
      </c>
      <c r="G249">
        <v>1</v>
      </c>
      <c r="H249">
        <v>1</v>
      </c>
      <c r="I249" t="s">
        <v>502</v>
      </c>
    </row>
    <row r="250" spans="1:9" x14ac:dyDescent="0.2">
      <c r="A250" t="s">
        <v>168</v>
      </c>
      <c r="B250">
        <v>684</v>
      </c>
      <c r="C250">
        <v>2</v>
      </c>
      <c r="D250">
        <v>31</v>
      </c>
      <c r="E250">
        <v>2</v>
      </c>
      <c r="F250" s="14" t="s">
        <v>503</v>
      </c>
      <c r="G250">
        <v>1</v>
      </c>
      <c r="H250">
        <v>1</v>
      </c>
      <c r="I250" t="s">
        <v>504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D7144-35E2-D24A-9430-FFBB3F6F6A6E}">
  <dimension ref="A1:I254"/>
  <sheetViews>
    <sheetView topLeftCell="A203" workbookViewId="0">
      <selection activeCell="D214" sqref="D214"/>
    </sheetView>
  </sheetViews>
  <sheetFormatPr baseColWidth="10" defaultRowHeight="16" x14ac:dyDescent="0.2"/>
  <sheetData>
    <row r="1" spans="1:1" x14ac:dyDescent="0.2">
      <c r="A1" t="s">
        <v>73</v>
      </c>
    </row>
    <row r="2" spans="1:1" x14ac:dyDescent="0.2">
      <c r="A2" t="s">
        <v>74</v>
      </c>
    </row>
    <row r="3" spans="1:1" x14ac:dyDescent="0.2">
      <c r="A3" t="s">
        <v>75</v>
      </c>
    </row>
    <row r="4" spans="1:1" x14ac:dyDescent="0.2">
      <c r="A4" t="s">
        <v>117</v>
      </c>
    </row>
    <row r="5" spans="1:1" x14ac:dyDescent="0.2">
      <c r="A5" t="s">
        <v>76</v>
      </c>
    </row>
    <row r="6" spans="1:1" x14ac:dyDescent="0.2">
      <c r="A6" t="s">
        <v>112</v>
      </c>
    </row>
    <row r="7" spans="1:1" x14ac:dyDescent="0.2">
      <c r="A7" t="s">
        <v>77</v>
      </c>
    </row>
    <row r="8" spans="1:1" x14ac:dyDescent="0.2">
      <c r="A8" t="s">
        <v>96</v>
      </c>
    </row>
    <row r="9" spans="1:1" x14ac:dyDescent="0.2">
      <c r="A9" t="s">
        <v>118</v>
      </c>
    </row>
    <row r="10" spans="1:1" x14ac:dyDescent="0.2">
      <c r="A10" t="s">
        <v>119</v>
      </c>
    </row>
    <row r="11" spans="1:1" x14ac:dyDescent="0.2">
      <c r="A11" t="s">
        <v>284</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row>
    <row r="26" spans="1:9" x14ac:dyDescent="0.2">
      <c r="A26" t="s">
        <v>507</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v>256.246437477879</v>
      </c>
      <c r="G29">
        <v>999985</v>
      </c>
      <c r="H29">
        <v>1000000</v>
      </c>
      <c r="I29" t="s">
        <v>508</v>
      </c>
    </row>
    <row r="30" spans="1:9" x14ac:dyDescent="0.2">
      <c r="A30" t="s">
        <v>125</v>
      </c>
      <c r="B30">
        <v>72</v>
      </c>
      <c r="C30">
        <v>8</v>
      </c>
      <c r="D30">
        <v>8</v>
      </c>
      <c r="E30">
        <v>0</v>
      </c>
      <c r="F30">
        <v>386.80441008601298</v>
      </c>
      <c r="G30">
        <v>993979</v>
      </c>
      <c r="H30">
        <v>1000000</v>
      </c>
      <c r="I30" t="s">
        <v>509</v>
      </c>
    </row>
    <row r="31" spans="1:9" x14ac:dyDescent="0.2">
      <c r="A31" t="s">
        <v>127</v>
      </c>
      <c r="B31">
        <v>108</v>
      </c>
      <c r="C31">
        <v>2</v>
      </c>
      <c r="D31">
        <v>12</v>
      </c>
      <c r="E31">
        <v>0</v>
      </c>
      <c r="F31">
        <v>476.99206379055897</v>
      </c>
      <c r="G31">
        <v>779060</v>
      </c>
      <c r="H31">
        <v>1000000</v>
      </c>
      <c r="I31" t="s">
        <v>510</v>
      </c>
    </row>
    <row r="32" spans="1:9" x14ac:dyDescent="0.2">
      <c r="A32" t="s">
        <v>129</v>
      </c>
      <c r="B32">
        <v>144</v>
      </c>
      <c r="C32">
        <v>2</v>
      </c>
      <c r="D32">
        <v>13</v>
      </c>
      <c r="E32">
        <v>0</v>
      </c>
      <c r="F32">
        <v>670.65218266285899</v>
      </c>
      <c r="G32">
        <v>697732</v>
      </c>
      <c r="H32">
        <v>1000000</v>
      </c>
      <c r="I32" t="s">
        <v>511</v>
      </c>
    </row>
    <row r="33" spans="1:9" x14ac:dyDescent="0.2">
      <c r="A33" t="s">
        <v>136</v>
      </c>
      <c r="B33">
        <v>180</v>
      </c>
      <c r="C33">
        <v>2</v>
      </c>
      <c r="D33">
        <v>17</v>
      </c>
      <c r="E33">
        <v>0</v>
      </c>
      <c r="F33">
        <v>876.166149770841</v>
      </c>
      <c r="G33">
        <v>762532</v>
      </c>
      <c r="H33">
        <v>1000000</v>
      </c>
      <c r="I33" t="s">
        <v>512</v>
      </c>
    </row>
    <row r="34" spans="1:9" x14ac:dyDescent="0.2">
      <c r="A34" t="s">
        <v>138</v>
      </c>
      <c r="B34">
        <v>216</v>
      </c>
      <c r="C34">
        <v>4</v>
      </c>
      <c r="D34">
        <v>18</v>
      </c>
      <c r="E34">
        <v>0</v>
      </c>
      <c r="F34">
        <v>1116.75486798305</v>
      </c>
      <c r="G34">
        <v>796112</v>
      </c>
      <c r="H34">
        <v>1000000</v>
      </c>
      <c r="I34" t="s">
        <v>513</v>
      </c>
    </row>
    <row r="35" spans="1:9" x14ac:dyDescent="0.2">
      <c r="A35" t="s">
        <v>140</v>
      </c>
      <c r="B35">
        <v>252</v>
      </c>
      <c r="C35">
        <v>2</v>
      </c>
      <c r="D35">
        <v>22</v>
      </c>
      <c r="E35">
        <v>1</v>
      </c>
      <c r="F35">
        <v>1433.2867573266799</v>
      </c>
      <c r="G35">
        <v>731893</v>
      </c>
      <c r="H35">
        <v>1000000</v>
      </c>
      <c r="I35" t="s">
        <v>514</v>
      </c>
    </row>
    <row r="36" spans="1:9" x14ac:dyDescent="0.2">
      <c r="A36" t="s">
        <v>142</v>
      </c>
      <c r="B36">
        <v>288</v>
      </c>
      <c r="C36">
        <v>2</v>
      </c>
      <c r="D36">
        <v>25</v>
      </c>
      <c r="E36">
        <v>1</v>
      </c>
      <c r="F36">
        <v>1738.5354491844701</v>
      </c>
      <c r="G36">
        <v>796022</v>
      </c>
      <c r="H36">
        <v>1000000</v>
      </c>
      <c r="I36" t="s">
        <v>515</v>
      </c>
    </row>
    <row r="37" spans="1:9" x14ac:dyDescent="0.2">
      <c r="A37" t="s">
        <v>144</v>
      </c>
      <c r="B37">
        <v>324</v>
      </c>
      <c r="C37">
        <v>4</v>
      </c>
      <c r="D37">
        <v>25</v>
      </c>
      <c r="E37">
        <v>0</v>
      </c>
      <c r="F37">
        <v>2330.6319765215699</v>
      </c>
      <c r="G37">
        <v>743448</v>
      </c>
      <c r="H37">
        <v>1000000</v>
      </c>
      <c r="I37" t="s">
        <v>516</v>
      </c>
    </row>
    <row r="38" spans="1:9" x14ac:dyDescent="0.2">
      <c r="A38" t="s">
        <v>146</v>
      </c>
      <c r="B38">
        <v>360</v>
      </c>
      <c r="C38">
        <v>4</v>
      </c>
      <c r="D38">
        <v>24</v>
      </c>
      <c r="E38">
        <v>0</v>
      </c>
      <c r="F38">
        <v>2882.5719066085198</v>
      </c>
      <c r="G38">
        <v>750868</v>
      </c>
      <c r="H38">
        <v>1000000</v>
      </c>
      <c r="I38" t="s">
        <v>517</v>
      </c>
    </row>
    <row r="39" spans="1:9" x14ac:dyDescent="0.2">
      <c r="A39" t="s">
        <v>148</v>
      </c>
      <c r="B39">
        <v>396</v>
      </c>
      <c r="C39">
        <v>4</v>
      </c>
      <c r="D39">
        <v>27</v>
      </c>
      <c r="E39">
        <v>1</v>
      </c>
      <c r="F39">
        <v>3148.11796126235</v>
      </c>
      <c r="G39">
        <v>547799</v>
      </c>
      <c r="H39">
        <v>1000000</v>
      </c>
      <c r="I39" t="s">
        <v>518</v>
      </c>
    </row>
    <row r="40" spans="1:9" x14ac:dyDescent="0.2">
      <c r="A40" t="s">
        <v>150</v>
      </c>
      <c r="B40">
        <v>432</v>
      </c>
      <c r="C40">
        <v>8</v>
      </c>
      <c r="D40">
        <v>30</v>
      </c>
      <c r="E40">
        <v>-3</v>
      </c>
      <c r="F40">
        <v>4450.0460087703505</v>
      </c>
      <c r="G40">
        <v>566719</v>
      </c>
      <c r="H40">
        <v>1000000</v>
      </c>
      <c r="I40" t="s">
        <v>519</v>
      </c>
    </row>
    <row r="41" spans="1:9" x14ac:dyDescent="0.2">
      <c r="A41" t="s">
        <v>152</v>
      </c>
      <c r="B41">
        <v>468</v>
      </c>
      <c r="C41">
        <v>4</v>
      </c>
      <c r="D41">
        <v>30</v>
      </c>
      <c r="E41">
        <v>-1</v>
      </c>
      <c r="F41">
        <v>4410.5506686633398</v>
      </c>
      <c r="G41">
        <v>742816</v>
      </c>
      <c r="H41">
        <v>1000000</v>
      </c>
      <c r="I41" t="s">
        <v>520</v>
      </c>
    </row>
    <row r="42" spans="1:9" x14ac:dyDescent="0.2">
      <c r="A42" t="s">
        <v>154</v>
      </c>
      <c r="B42">
        <v>496</v>
      </c>
      <c r="C42">
        <v>2</v>
      </c>
      <c r="D42">
        <v>30</v>
      </c>
      <c r="E42">
        <v>-2</v>
      </c>
      <c r="F42">
        <v>4378.6945263845801</v>
      </c>
      <c r="G42">
        <v>557743</v>
      </c>
      <c r="H42">
        <v>1000000</v>
      </c>
      <c r="I42" t="s">
        <v>521</v>
      </c>
    </row>
    <row r="43" spans="1:9" x14ac:dyDescent="0.2">
      <c r="A43" t="s">
        <v>156</v>
      </c>
      <c r="B43">
        <v>504</v>
      </c>
      <c r="C43">
        <v>2</v>
      </c>
      <c r="D43">
        <v>42</v>
      </c>
      <c r="E43">
        <v>-3</v>
      </c>
      <c r="F43">
        <v>5311.2166285989797</v>
      </c>
      <c r="G43">
        <v>636343</v>
      </c>
      <c r="H43">
        <v>1000000</v>
      </c>
      <c r="I43" t="s">
        <v>522</v>
      </c>
    </row>
    <row r="44" spans="1:9" x14ac:dyDescent="0.2">
      <c r="A44" t="s">
        <v>158</v>
      </c>
      <c r="B44">
        <v>540</v>
      </c>
      <c r="C44">
        <v>4</v>
      </c>
      <c r="D44">
        <v>43</v>
      </c>
      <c r="E44">
        <v>3</v>
      </c>
      <c r="F44">
        <v>6273.3550001569001</v>
      </c>
      <c r="G44">
        <v>523656</v>
      </c>
      <c r="H44">
        <v>1000000</v>
      </c>
      <c r="I44" t="s">
        <v>523</v>
      </c>
    </row>
    <row r="45" spans="1:9" x14ac:dyDescent="0.2">
      <c r="A45" t="s">
        <v>160</v>
      </c>
      <c r="B45">
        <v>576</v>
      </c>
      <c r="C45">
        <v>2</v>
      </c>
      <c r="D45">
        <v>46</v>
      </c>
      <c r="E45">
        <v>-11</v>
      </c>
      <c r="F45">
        <v>6671.1705519016796</v>
      </c>
      <c r="G45">
        <v>475238</v>
      </c>
      <c r="H45">
        <v>1000000</v>
      </c>
      <c r="I45" t="s">
        <v>524</v>
      </c>
    </row>
    <row r="46" spans="1:9" x14ac:dyDescent="0.2">
      <c r="A46" t="s">
        <v>162</v>
      </c>
      <c r="B46">
        <v>576</v>
      </c>
      <c r="C46">
        <v>2</v>
      </c>
      <c r="D46">
        <v>46</v>
      </c>
      <c r="E46">
        <v>-13</v>
      </c>
      <c r="F46">
        <v>6772.8782414533198</v>
      </c>
      <c r="G46">
        <v>423350</v>
      </c>
      <c r="H46">
        <v>1000000</v>
      </c>
      <c r="I46" t="s">
        <v>525</v>
      </c>
    </row>
    <row r="47" spans="1:9" x14ac:dyDescent="0.2">
      <c r="A47" t="s">
        <v>163</v>
      </c>
      <c r="B47">
        <v>612</v>
      </c>
      <c r="C47">
        <v>2</v>
      </c>
      <c r="D47">
        <v>42</v>
      </c>
      <c r="E47">
        <v>-10</v>
      </c>
      <c r="F47">
        <v>7849.1721624331503</v>
      </c>
      <c r="G47">
        <v>538269</v>
      </c>
      <c r="H47">
        <v>1000000</v>
      </c>
      <c r="I47" t="s">
        <v>704</v>
      </c>
    </row>
    <row r="48" spans="1:9" x14ac:dyDescent="0.2">
      <c r="A48" t="s">
        <v>165</v>
      </c>
      <c r="B48">
        <v>648</v>
      </c>
      <c r="C48">
        <v>10</v>
      </c>
      <c r="D48">
        <v>53</v>
      </c>
      <c r="E48">
        <v>-18</v>
      </c>
      <c r="F48">
        <v>10665.8240917762</v>
      </c>
      <c r="G48">
        <v>614150</v>
      </c>
      <c r="H48">
        <v>1000000</v>
      </c>
      <c r="I48" t="s">
        <v>705</v>
      </c>
    </row>
    <row r="49" spans="1:9" x14ac:dyDescent="0.2">
      <c r="A49" t="s">
        <v>167</v>
      </c>
      <c r="B49">
        <v>648</v>
      </c>
      <c r="C49">
        <v>14</v>
      </c>
      <c r="D49">
        <v>34</v>
      </c>
      <c r="E49">
        <v>-16</v>
      </c>
      <c r="F49">
        <v>12062.2047287523</v>
      </c>
      <c r="G49">
        <v>234785</v>
      </c>
      <c r="H49">
        <v>1000000</v>
      </c>
      <c r="I49" t="s">
        <v>706</v>
      </c>
    </row>
    <row r="50" spans="1:9" x14ac:dyDescent="0.2">
      <c r="A50" t="s">
        <v>168</v>
      </c>
      <c r="B50">
        <v>684</v>
      </c>
      <c r="C50">
        <v>2</v>
      </c>
      <c r="D50">
        <v>32</v>
      </c>
      <c r="E50">
        <v>3</v>
      </c>
      <c r="F50">
        <v>8580.9372514616698</v>
      </c>
      <c r="G50">
        <v>774419</v>
      </c>
      <c r="H50">
        <v>1000000</v>
      </c>
      <c r="I50" t="s">
        <v>729</v>
      </c>
    </row>
    <row r="52" spans="1:9" x14ac:dyDescent="0.2">
      <c r="A52" t="s">
        <v>73</v>
      </c>
    </row>
    <row r="53" spans="1:9" x14ac:dyDescent="0.2">
      <c r="A53" t="s">
        <v>74</v>
      </c>
    </row>
    <row r="54" spans="1:9" x14ac:dyDescent="0.2">
      <c r="A54" t="s">
        <v>75</v>
      </c>
    </row>
    <row r="55" spans="1:9" x14ac:dyDescent="0.2">
      <c r="A55" t="s">
        <v>117</v>
      </c>
    </row>
    <row r="56" spans="1:9" x14ac:dyDescent="0.2">
      <c r="A56" t="s">
        <v>76</v>
      </c>
    </row>
    <row r="57" spans="1:9" x14ac:dyDescent="0.2">
      <c r="A57" t="s">
        <v>112</v>
      </c>
    </row>
    <row r="58" spans="1:9" x14ac:dyDescent="0.2">
      <c r="A58" t="s">
        <v>77</v>
      </c>
    </row>
    <row r="59" spans="1:9" x14ac:dyDescent="0.2">
      <c r="A59" t="s">
        <v>96</v>
      </c>
    </row>
    <row r="60" spans="1:9" x14ac:dyDescent="0.2">
      <c r="A60" t="s">
        <v>118</v>
      </c>
    </row>
    <row r="61" spans="1:9" x14ac:dyDescent="0.2">
      <c r="A61" t="s">
        <v>119</v>
      </c>
    </row>
    <row r="62" spans="1:9" x14ac:dyDescent="0.2">
      <c r="A62" t="s">
        <v>284</v>
      </c>
    </row>
    <row r="63" spans="1:9" x14ac:dyDescent="0.2">
      <c r="A63" t="s">
        <v>79</v>
      </c>
    </row>
    <row r="64" spans="1:9" x14ac:dyDescent="0.2">
      <c r="A64" t="s">
        <v>80</v>
      </c>
    </row>
    <row r="65" spans="1:9" x14ac:dyDescent="0.2">
      <c r="A65" t="s">
        <v>81</v>
      </c>
    </row>
    <row r="66" spans="1:9" x14ac:dyDescent="0.2">
      <c r="A66" t="s">
        <v>82</v>
      </c>
    </row>
    <row r="67" spans="1:9" x14ac:dyDescent="0.2">
      <c r="A67" t="s">
        <v>120</v>
      </c>
    </row>
    <row r="68" spans="1:9" x14ac:dyDescent="0.2">
      <c r="A68" t="s">
        <v>121</v>
      </c>
    </row>
    <row r="69" spans="1:9" x14ac:dyDescent="0.2">
      <c r="A69" t="s">
        <v>83</v>
      </c>
    </row>
    <row r="70" spans="1:9" x14ac:dyDescent="0.2">
      <c r="A70" t="s">
        <v>84</v>
      </c>
    </row>
    <row r="71" spans="1:9" x14ac:dyDescent="0.2">
      <c r="A71" t="s">
        <v>85</v>
      </c>
    </row>
    <row r="72" spans="1:9" x14ac:dyDescent="0.2">
      <c r="A72" t="s">
        <v>86</v>
      </c>
    </row>
    <row r="73" spans="1:9" x14ac:dyDescent="0.2">
      <c r="A73" t="s">
        <v>87</v>
      </c>
    </row>
    <row r="74" spans="1:9" x14ac:dyDescent="0.2">
      <c r="A74" t="s">
        <v>88</v>
      </c>
    </row>
    <row r="75" spans="1:9" x14ac:dyDescent="0.2">
      <c r="A75" t="s">
        <v>105</v>
      </c>
    </row>
    <row r="76" spans="1:9" x14ac:dyDescent="0.2">
      <c r="A76" t="s">
        <v>89</v>
      </c>
    </row>
    <row r="77" spans="1:9" x14ac:dyDescent="0.2">
      <c r="A77" t="s">
        <v>526</v>
      </c>
    </row>
    <row r="78" spans="1:9" x14ac:dyDescent="0.2">
      <c r="A78" t="s">
        <v>90</v>
      </c>
    </row>
    <row r="79" spans="1:9" x14ac:dyDescent="0.2">
      <c r="A79" t="s">
        <v>70</v>
      </c>
      <c r="B79" t="s">
        <v>61</v>
      </c>
      <c r="C79" t="s">
        <v>71</v>
      </c>
      <c r="D79" t="s">
        <v>72</v>
      </c>
      <c r="E79" t="s">
        <v>91</v>
      </c>
      <c r="F79" t="s">
        <v>92</v>
      </c>
      <c r="G79" t="s">
        <v>58</v>
      </c>
      <c r="H79" t="s">
        <v>59</v>
      </c>
      <c r="I79" t="s">
        <v>93</v>
      </c>
    </row>
    <row r="80" spans="1:9" x14ac:dyDescent="0.2">
      <c r="A80" t="s">
        <v>123</v>
      </c>
      <c r="B80">
        <v>36</v>
      </c>
      <c r="C80">
        <v>8</v>
      </c>
      <c r="D80">
        <v>4</v>
      </c>
      <c r="E80">
        <v>0</v>
      </c>
      <c r="F80">
        <v>254.54487646184799</v>
      </c>
      <c r="G80">
        <v>999983</v>
      </c>
      <c r="H80">
        <v>1000000</v>
      </c>
      <c r="I80" t="s">
        <v>527</v>
      </c>
    </row>
    <row r="81" spans="1:9" x14ac:dyDescent="0.2">
      <c r="A81" t="s">
        <v>125</v>
      </c>
      <c r="B81">
        <v>72</v>
      </c>
      <c r="C81">
        <v>8</v>
      </c>
      <c r="D81">
        <v>8</v>
      </c>
      <c r="E81">
        <v>0</v>
      </c>
      <c r="F81">
        <v>397.79034327994998</v>
      </c>
      <c r="G81">
        <v>995127</v>
      </c>
      <c r="H81">
        <v>1000000</v>
      </c>
      <c r="I81" t="s">
        <v>528</v>
      </c>
    </row>
    <row r="82" spans="1:9" x14ac:dyDescent="0.2">
      <c r="A82" t="s">
        <v>127</v>
      </c>
      <c r="B82">
        <v>108</v>
      </c>
      <c r="C82">
        <v>2</v>
      </c>
      <c r="D82">
        <v>12</v>
      </c>
      <c r="E82">
        <v>0</v>
      </c>
      <c r="F82">
        <v>487.380978255532</v>
      </c>
      <c r="G82">
        <v>929761</v>
      </c>
      <c r="H82">
        <v>1000000</v>
      </c>
      <c r="I82" t="s">
        <v>529</v>
      </c>
    </row>
    <row r="83" spans="1:9" x14ac:dyDescent="0.2">
      <c r="A83" t="s">
        <v>129</v>
      </c>
      <c r="B83">
        <v>144</v>
      </c>
      <c r="C83">
        <v>2</v>
      </c>
      <c r="D83">
        <v>13</v>
      </c>
      <c r="E83">
        <v>0</v>
      </c>
      <c r="F83">
        <v>680.48969431128296</v>
      </c>
      <c r="G83">
        <v>737465</v>
      </c>
      <c r="H83">
        <v>1000000</v>
      </c>
      <c r="I83" t="s">
        <v>530</v>
      </c>
    </row>
    <row r="84" spans="1:9" x14ac:dyDescent="0.2">
      <c r="A84" t="s">
        <v>136</v>
      </c>
      <c r="B84">
        <v>180</v>
      </c>
      <c r="C84">
        <v>2</v>
      </c>
      <c r="D84">
        <v>17</v>
      </c>
      <c r="E84">
        <v>0</v>
      </c>
      <c r="F84">
        <v>882.36960277520097</v>
      </c>
      <c r="G84">
        <v>745221</v>
      </c>
      <c r="H84">
        <v>1000000</v>
      </c>
      <c r="I84" t="s">
        <v>531</v>
      </c>
    </row>
    <row r="85" spans="1:9" x14ac:dyDescent="0.2">
      <c r="A85" t="s">
        <v>138</v>
      </c>
      <c r="B85">
        <v>216</v>
      </c>
      <c r="C85">
        <v>4</v>
      </c>
      <c r="D85">
        <v>18</v>
      </c>
      <c r="E85">
        <v>0</v>
      </c>
      <c r="F85">
        <v>1127.29884833097</v>
      </c>
      <c r="G85">
        <v>767864</v>
      </c>
      <c r="H85">
        <v>1000000</v>
      </c>
      <c r="I85" t="s">
        <v>532</v>
      </c>
    </row>
    <row r="86" spans="1:9" x14ac:dyDescent="0.2">
      <c r="A86" t="s">
        <v>140</v>
      </c>
      <c r="B86">
        <v>252</v>
      </c>
      <c r="C86">
        <v>2</v>
      </c>
      <c r="D86">
        <v>22</v>
      </c>
      <c r="E86">
        <v>1</v>
      </c>
      <c r="F86">
        <v>1425.0501854335801</v>
      </c>
      <c r="G86">
        <v>736873</v>
      </c>
      <c r="H86">
        <v>1000000</v>
      </c>
      <c r="I86" t="s">
        <v>533</v>
      </c>
    </row>
    <row r="87" spans="1:9" x14ac:dyDescent="0.2">
      <c r="A87" t="s">
        <v>142</v>
      </c>
      <c r="B87">
        <v>288</v>
      </c>
      <c r="C87">
        <v>2</v>
      </c>
      <c r="D87">
        <v>24</v>
      </c>
      <c r="E87">
        <v>0</v>
      </c>
      <c r="F87">
        <v>1779.70651034824</v>
      </c>
      <c r="G87">
        <v>706637</v>
      </c>
      <c r="H87">
        <v>1000000</v>
      </c>
      <c r="I87" t="s">
        <v>534</v>
      </c>
    </row>
    <row r="88" spans="1:9" x14ac:dyDescent="0.2">
      <c r="A88" t="s">
        <v>144</v>
      </c>
      <c r="B88">
        <v>324</v>
      </c>
      <c r="C88">
        <v>4</v>
      </c>
      <c r="D88">
        <v>25</v>
      </c>
      <c r="E88">
        <v>0</v>
      </c>
      <c r="F88">
        <v>2228.4019128605701</v>
      </c>
      <c r="G88">
        <v>704548</v>
      </c>
      <c r="H88">
        <v>1000000</v>
      </c>
      <c r="I88" t="s">
        <v>535</v>
      </c>
    </row>
    <row r="89" spans="1:9" x14ac:dyDescent="0.2">
      <c r="A89" t="s">
        <v>146</v>
      </c>
      <c r="B89">
        <v>360</v>
      </c>
      <c r="C89">
        <v>4</v>
      </c>
      <c r="D89">
        <v>24</v>
      </c>
      <c r="E89">
        <v>0</v>
      </c>
      <c r="F89">
        <v>2869.4469097144902</v>
      </c>
      <c r="G89">
        <v>800436</v>
      </c>
      <c r="H89">
        <v>1000000</v>
      </c>
      <c r="I89" t="s">
        <v>536</v>
      </c>
    </row>
    <row r="90" spans="1:9" x14ac:dyDescent="0.2">
      <c r="A90" t="s">
        <v>148</v>
      </c>
      <c r="B90">
        <v>396</v>
      </c>
      <c r="C90">
        <v>4</v>
      </c>
      <c r="D90">
        <v>27</v>
      </c>
      <c r="E90">
        <v>1</v>
      </c>
      <c r="F90">
        <v>3110.3182329619299</v>
      </c>
      <c r="G90">
        <v>696565</v>
      </c>
      <c r="H90">
        <v>1000000</v>
      </c>
      <c r="I90" t="s">
        <v>537</v>
      </c>
    </row>
    <row r="91" spans="1:9" x14ac:dyDescent="0.2">
      <c r="A91" t="s">
        <v>150</v>
      </c>
      <c r="B91">
        <v>432</v>
      </c>
      <c r="C91">
        <v>8</v>
      </c>
      <c r="D91">
        <v>35</v>
      </c>
      <c r="E91">
        <v>2</v>
      </c>
      <c r="F91">
        <v>4593.3427947042501</v>
      </c>
      <c r="G91">
        <v>639345</v>
      </c>
      <c r="H91">
        <v>1000000</v>
      </c>
      <c r="I91" t="s">
        <v>538</v>
      </c>
    </row>
    <row r="92" spans="1:9" x14ac:dyDescent="0.2">
      <c r="A92" t="s">
        <v>152</v>
      </c>
      <c r="B92">
        <v>468</v>
      </c>
      <c r="C92">
        <v>4</v>
      </c>
      <c r="D92">
        <v>30</v>
      </c>
      <c r="E92">
        <v>-1</v>
      </c>
      <c r="F92">
        <v>4306.27109971549</v>
      </c>
      <c r="G92">
        <v>431426</v>
      </c>
      <c r="H92">
        <v>1000000</v>
      </c>
      <c r="I92" t="s">
        <v>539</v>
      </c>
    </row>
    <row r="93" spans="1:9" x14ac:dyDescent="0.2">
      <c r="A93" t="s">
        <v>154</v>
      </c>
      <c r="B93">
        <v>496</v>
      </c>
      <c r="C93">
        <v>2</v>
      </c>
      <c r="D93">
        <v>32</v>
      </c>
      <c r="E93">
        <v>0</v>
      </c>
      <c r="F93">
        <v>4265.9060850022297</v>
      </c>
      <c r="G93">
        <v>730872</v>
      </c>
      <c r="H93">
        <v>1000000</v>
      </c>
      <c r="I93" t="s">
        <v>540</v>
      </c>
    </row>
    <row r="94" spans="1:9" x14ac:dyDescent="0.2">
      <c r="A94" t="s">
        <v>156</v>
      </c>
      <c r="B94">
        <v>504</v>
      </c>
      <c r="C94">
        <v>2</v>
      </c>
      <c r="D94">
        <v>42</v>
      </c>
      <c r="E94">
        <v>-3</v>
      </c>
      <c r="F94">
        <v>5241.3134081317103</v>
      </c>
      <c r="G94">
        <v>422164</v>
      </c>
      <c r="H94">
        <v>1000000</v>
      </c>
      <c r="I94" t="s">
        <v>541</v>
      </c>
    </row>
    <row r="95" spans="1:9" x14ac:dyDescent="0.2">
      <c r="A95" t="s">
        <v>158</v>
      </c>
      <c r="B95">
        <v>540</v>
      </c>
      <c r="C95">
        <v>4</v>
      </c>
      <c r="D95">
        <v>42</v>
      </c>
      <c r="E95">
        <v>2</v>
      </c>
      <c r="F95">
        <v>6579.8981338385402</v>
      </c>
      <c r="G95">
        <v>465085</v>
      </c>
      <c r="H95">
        <v>1000000</v>
      </c>
      <c r="I95" t="s">
        <v>542</v>
      </c>
    </row>
    <row r="96" spans="1:9" x14ac:dyDescent="0.2">
      <c r="A96" t="s">
        <v>160</v>
      </c>
      <c r="B96">
        <v>576</v>
      </c>
      <c r="C96">
        <v>2</v>
      </c>
      <c r="D96">
        <v>41</v>
      </c>
      <c r="E96">
        <v>-16</v>
      </c>
      <c r="F96">
        <v>6500.80374537222</v>
      </c>
      <c r="G96">
        <v>414489</v>
      </c>
      <c r="H96">
        <v>1000000</v>
      </c>
      <c r="I96" t="s">
        <v>543</v>
      </c>
    </row>
    <row r="97" spans="1:9" x14ac:dyDescent="0.2">
      <c r="A97" t="s">
        <v>162</v>
      </c>
      <c r="B97">
        <v>576</v>
      </c>
      <c r="C97">
        <v>2</v>
      </c>
      <c r="D97">
        <v>48</v>
      </c>
      <c r="E97">
        <v>-11</v>
      </c>
      <c r="F97">
        <v>6739.2919141072698</v>
      </c>
      <c r="G97">
        <v>444898</v>
      </c>
      <c r="H97">
        <v>1000000</v>
      </c>
      <c r="I97" t="s">
        <v>544</v>
      </c>
    </row>
    <row r="98" spans="1:9" x14ac:dyDescent="0.2">
      <c r="A98" t="s">
        <v>163</v>
      </c>
      <c r="B98">
        <v>612</v>
      </c>
      <c r="C98">
        <v>2</v>
      </c>
      <c r="D98">
        <v>41</v>
      </c>
      <c r="E98">
        <v>-11</v>
      </c>
      <c r="F98">
        <v>7910.4707917990099</v>
      </c>
      <c r="G98">
        <v>152126</v>
      </c>
      <c r="H98">
        <v>1000000</v>
      </c>
      <c r="I98" t="s">
        <v>707</v>
      </c>
    </row>
    <row r="99" spans="1:9" x14ac:dyDescent="0.2">
      <c r="A99" t="s">
        <v>165</v>
      </c>
      <c r="B99">
        <v>648</v>
      </c>
      <c r="C99">
        <v>10</v>
      </c>
      <c r="D99">
        <v>36</v>
      </c>
      <c r="E99">
        <v>-35</v>
      </c>
      <c r="F99">
        <v>10665.8417756771</v>
      </c>
      <c r="G99">
        <v>106348</v>
      </c>
      <c r="H99">
        <v>1000000</v>
      </c>
      <c r="I99" t="s">
        <v>708</v>
      </c>
    </row>
    <row r="100" spans="1:9" x14ac:dyDescent="0.2">
      <c r="A100" t="s">
        <v>167</v>
      </c>
      <c r="B100">
        <v>648</v>
      </c>
      <c r="C100">
        <v>14</v>
      </c>
      <c r="D100">
        <v>32</v>
      </c>
      <c r="E100">
        <v>-18</v>
      </c>
      <c r="F100">
        <v>11699.4070052364</v>
      </c>
      <c r="G100">
        <v>664524</v>
      </c>
      <c r="H100">
        <v>1000000</v>
      </c>
      <c r="I100" t="s">
        <v>709</v>
      </c>
    </row>
    <row r="101" spans="1:9" x14ac:dyDescent="0.2">
      <c r="A101" t="s">
        <v>168</v>
      </c>
      <c r="B101">
        <v>684</v>
      </c>
      <c r="C101">
        <v>2</v>
      </c>
      <c r="D101">
        <v>29</v>
      </c>
      <c r="E101">
        <v>0</v>
      </c>
      <c r="F101">
        <v>8479.9847168307697</v>
      </c>
      <c r="G101">
        <v>698860</v>
      </c>
      <c r="H101">
        <v>1000000</v>
      </c>
      <c r="I101" t="s">
        <v>730</v>
      </c>
    </row>
    <row r="103" spans="1:9" x14ac:dyDescent="0.2">
      <c r="A103" t="s">
        <v>73</v>
      </c>
    </row>
    <row r="104" spans="1:9" x14ac:dyDescent="0.2">
      <c r="A104" t="s">
        <v>74</v>
      </c>
    </row>
    <row r="105" spans="1:9" x14ac:dyDescent="0.2">
      <c r="A105" t="s">
        <v>75</v>
      </c>
    </row>
    <row r="106" spans="1:9" x14ac:dyDescent="0.2">
      <c r="A106" t="s">
        <v>117</v>
      </c>
    </row>
    <row r="107" spans="1:9" x14ac:dyDescent="0.2">
      <c r="A107" t="s">
        <v>76</v>
      </c>
    </row>
    <row r="108" spans="1:9" x14ac:dyDescent="0.2">
      <c r="A108" t="s">
        <v>112</v>
      </c>
    </row>
    <row r="109" spans="1:9" x14ac:dyDescent="0.2">
      <c r="A109" t="s">
        <v>77</v>
      </c>
    </row>
    <row r="110" spans="1:9" x14ac:dyDescent="0.2">
      <c r="A110" t="s">
        <v>96</v>
      </c>
    </row>
    <row r="111" spans="1:9" x14ac:dyDescent="0.2">
      <c r="A111" t="s">
        <v>118</v>
      </c>
    </row>
    <row r="112" spans="1:9" x14ac:dyDescent="0.2">
      <c r="A112" t="s">
        <v>119</v>
      </c>
    </row>
    <row r="113" spans="1:1" x14ac:dyDescent="0.2">
      <c r="A113" t="s">
        <v>284</v>
      </c>
    </row>
    <row r="114" spans="1:1" x14ac:dyDescent="0.2">
      <c r="A114" t="s">
        <v>79</v>
      </c>
    </row>
    <row r="115" spans="1:1" x14ac:dyDescent="0.2">
      <c r="A115" t="s">
        <v>80</v>
      </c>
    </row>
    <row r="116" spans="1:1" x14ac:dyDescent="0.2">
      <c r="A116" t="s">
        <v>81</v>
      </c>
    </row>
    <row r="117" spans="1:1" x14ac:dyDescent="0.2">
      <c r="A117" t="s">
        <v>82</v>
      </c>
    </row>
    <row r="118" spans="1:1" x14ac:dyDescent="0.2">
      <c r="A118" t="s">
        <v>120</v>
      </c>
    </row>
    <row r="119" spans="1:1" x14ac:dyDescent="0.2">
      <c r="A119" t="s">
        <v>121</v>
      </c>
    </row>
    <row r="120" spans="1:1" x14ac:dyDescent="0.2">
      <c r="A120" t="s">
        <v>83</v>
      </c>
    </row>
    <row r="121" spans="1:1" x14ac:dyDescent="0.2">
      <c r="A121" t="s">
        <v>84</v>
      </c>
    </row>
    <row r="122" spans="1:1" x14ac:dyDescent="0.2">
      <c r="A122" t="s">
        <v>85</v>
      </c>
    </row>
    <row r="123" spans="1:1" x14ac:dyDescent="0.2">
      <c r="A123" t="s">
        <v>86</v>
      </c>
    </row>
    <row r="124" spans="1:1" x14ac:dyDescent="0.2">
      <c r="A124" t="s">
        <v>87</v>
      </c>
    </row>
    <row r="125" spans="1:1" x14ac:dyDescent="0.2">
      <c r="A125" t="s">
        <v>88</v>
      </c>
    </row>
    <row r="126" spans="1:1" x14ac:dyDescent="0.2">
      <c r="A126" t="s">
        <v>105</v>
      </c>
    </row>
    <row r="127" spans="1:1" x14ac:dyDescent="0.2">
      <c r="A127" t="s">
        <v>89</v>
      </c>
    </row>
    <row r="128" spans="1:1" x14ac:dyDescent="0.2">
      <c r="A128" t="s">
        <v>545</v>
      </c>
    </row>
    <row r="129" spans="1:9" x14ac:dyDescent="0.2">
      <c r="A129" t="s">
        <v>90</v>
      </c>
    </row>
    <row r="130" spans="1:9" x14ac:dyDescent="0.2">
      <c r="A130" t="s">
        <v>70</v>
      </c>
      <c r="B130" t="s">
        <v>61</v>
      </c>
      <c r="C130" t="s">
        <v>71</v>
      </c>
      <c r="D130" t="s">
        <v>72</v>
      </c>
      <c r="E130" t="s">
        <v>91</v>
      </c>
      <c r="F130" t="s">
        <v>92</v>
      </c>
      <c r="G130" t="s">
        <v>58</v>
      </c>
      <c r="H130" t="s">
        <v>59</v>
      </c>
      <c r="I130" t="s">
        <v>93</v>
      </c>
    </row>
    <row r="131" spans="1:9" x14ac:dyDescent="0.2">
      <c r="A131" t="s">
        <v>123</v>
      </c>
      <c r="B131">
        <v>36</v>
      </c>
      <c r="C131">
        <v>8</v>
      </c>
      <c r="D131">
        <v>4</v>
      </c>
      <c r="E131">
        <v>0</v>
      </c>
      <c r="F131">
        <v>262.64511168282399</v>
      </c>
      <c r="G131">
        <v>999975</v>
      </c>
      <c r="H131">
        <v>1000000</v>
      </c>
      <c r="I131" t="s">
        <v>546</v>
      </c>
    </row>
    <row r="132" spans="1:9" x14ac:dyDescent="0.2">
      <c r="A132" t="s">
        <v>125</v>
      </c>
      <c r="B132">
        <v>72</v>
      </c>
      <c r="C132">
        <v>8</v>
      </c>
      <c r="D132">
        <v>8</v>
      </c>
      <c r="E132">
        <v>0</v>
      </c>
      <c r="F132">
        <v>404.26083563826899</v>
      </c>
      <c r="G132">
        <v>992422</v>
      </c>
      <c r="H132">
        <v>1000000</v>
      </c>
      <c r="I132" t="s">
        <v>547</v>
      </c>
    </row>
    <row r="133" spans="1:9" x14ac:dyDescent="0.2">
      <c r="A133" t="s">
        <v>127</v>
      </c>
      <c r="B133">
        <v>108</v>
      </c>
      <c r="C133">
        <v>2</v>
      </c>
      <c r="D133">
        <v>12</v>
      </c>
      <c r="E133">
        <v>0</v>
      </c>
      <c r="F133">
        <v>488.61176570504898</v>
      </c>
      <c r="G133">
        <v>890384</v>
      </c>
      <c r="H133">
        <v>1000000</v>
      </c>
      <c r="I133" t="s">
        <v>548</v>
      </c>
    </row>
    <row r="134" spans="1:9" x14ac:dyDescent="0.2">
      <c r="A134" t="s">
        <v>129</v>
      </c>
      <c r="B134">
        <v>144</v>
      </c>
      <c r="C134">
        <v>2</v>
      </c>
      <c r="D134">
        <v>13</v>
      </c>
      <c r="E134">
        <v>0</v>
      </c>
      <c r="F134">
        <v>666.38524869363698</v>
      </c>
      <c r="G134">
        <v>705928</v>
      </c>
      <c r="H134">
        <v>1000000</v>
      </c>
      <c r="I134" t="s">
        <v>549</v>
      </c>
    </row>
    <row r="135" spans="1:9" x14ac:dyDescent="0.2">
      <c r="A135" t="s">
        <v>136</v>
      </c>
      <c r="B135">
        <v>180</v>
      </c>
      <c r="C135">
        <v>2</v>
      </c>
      <c r="D135">
        <v>17</v>
      </c>
      <c r="E135">
        <v>0</v>
      </c>
      <c r="F135">
        <v>888.28834566380795</v>
      </c>
      <c r="G135">
        <v>682496</v>
      </c>
      <c r="H135">
        <v>1000000</v>
      </c>
      <c r="I135" t="s">
        <v>550</v>
      </c>
    </row>
    <row r="136" spans="1:9" x14ac:dyDescent="0.2">
      <c r="A136" t="s">
        <v>138</v>
      </c>
      <c r="B136">
        <v>216</v>
      </c>
      <c r="C136">
        <v>4</v>
      </c>
      <c r="D136">
        <v>18</v>
      </c>
      <c r="E136">
        <v>0</v>
      </c>
      <c r="F136">
        <v>1193.75347906816</v>
      </c>
      <c r="G136">
        <v>722248</v>
      </c>
      <c r="H136">
        <v>1000000</v>
      </c>
      <c r="I136" t="s">
        <v>551</v>
      </c>
    </row>
    <row r="137" spans="1:9" x14ac:dyDescent="0.2">
      <c r="A137" t="s">
        <v>140</v>
      </c>
      <c r="B137">
        <v>252</v>
      </c>
      <c r="C137">
        <v>2</v>
      </c>
      <c r="D137">
        <v>22</v>
      </c>
      <c r="E137">
        <v>1</v>
      </c>
      <c r="F137">
        <v>1509.5885614659601</v>
      </c>
      <c r="G137">
        <v>795997</v>
      </c>
      <c r="H137">
        <v>1000000</v>
      </c>
      <c r="I137" t="s">
        <v>552</v>
      </c>
    </row>
    <row r="138" spans="1:9" x14ac:dyDescent="0.2">
      <c r="A138" t="s">
        <v>142</v>
      </c>
      <c r="B138">
        <v>288</v>
      </c>
      <c r="C138">
        <v>2</v>
      </c>
      <c r="D138">
        <v>25</v>
      </c>
      <c r="E138">
        <v>1</v>
      </c>
      <c r="F138">
        <v>1880.4639277681699</v>
      </c>
      <c r="G138">
        <v>670760</v>
      </c>
      <c r="H138">
        <v>1000000</v>
      </c>
      <c r="I138" t="s">
        <v>553</v>
      </c>
    </row>
    <row r="139" spans="1:9" x14ac:dyDescent="0.2">
      <c r="A139" t="s">
        <v>144</v>
      </c>
      <c r="B139">
        <v>324</v>
      </c>
      <c r="C139">
        <v>4</v>
      </c>
      <c r="D139">
        <v>25</v>
      </c>
      <c r="E139">
        <v>0</v>
      </c>
      <c r="F139">
        <v>2323.5942457783899</v>
      </c>
      <c r="G139">
        <v>515359</v>
      </c>
      <c r="H139">
        <v>1000000</v>
      </c>
      <c r="I139" t="s">
        <v>554</v>
      </c>
    </row>
    <row r="140" spans="1:9" x14ac:dyDescent="0.2">
      <c r="A140" t="s">
        <v>146</v>
      </c>
      <c r="B140">
        <v>360</v>
      </c>
      <c r="C140">
        <v>4</v>
      </c>
      <c r="D140">
        <v>25</v>
      </c>
      <c r="E140">
        <v>1</v>
      </c>
      <c r="F140">
        <v>2839.87050974369</v>
      </c>
      <c r="G140">
        <v>688252</v>
      </c>
      <c r="H140">
        <v>1000000</v>
      </c>
      <c r="I140" t="s">
        <v>555</v>
      </c>
    </row>
    <row r="141" spans="1:9" x14ac:dyDescent="0.2">
      <c r="A141" t="s">
        <v>148</v>
      </c>
      <c r="B141">
        <v>396</v>
      </c>
      <c r="C141">
        <v>4</v>
      </c>
      <c r="D141">
        <v>28</v>
      </c>
      <c r="E141">
        <v>2</v>
      </c>
      <c r="F141">
        <v>3179.5895358482298</v>
      </c>
      <c r="G141">
        <v>735331</v>
      </c>
      <c r="H141">
        <v>1000000</v>
      </c>
      <c r="I141" t="s">
        <v>556</v>
      </c>
    </row>
    <row r="142" spans="1:9" x14ac:dyDescent="0.2">
      <c r="A142" t="s">
        <v>150</v>
      </c>
      <c r="B142">
        <v>432</v>
      </c>
      <c r="C142">
        <v>8</v>
      </c>
      <c r="D142">
        <v>32</v>
      </c>
      <c r="E142">
        <v>-1</v>
      </c>
      <c r="F142">
        <v>4441.4251939896403</v>
      </c>
      <c r="G142">
        <v>277469</v>
      </c>
      <c r="H142">
        <v>1000000</v>
      </c>
      <c r="I142" t="s">
        <v>557</v>
      </c>
    </row>
    <row r="143" spans="1:9" x14ac:dyDescent="0.2">
      <c r="A143" t="s">
        <v>152</v>
      </c>
      <c r="B143">
        <v>468</v>
      </c>
      <c r="C143">
        <v>4</v>
      </c>
      <c r="D143">
        <v>31</v>
      </c>
      <c r="E143">
        <v>0</v>
      </c>
      <c r="F143">
        <v>4387.7757979594098</v>
      </c>
      <c r="G143">
        <v>570772</v>
      </c>
      <c r="H143">
        <v>1000000</v>
      </c>
      <c r="I143" t="s">
        <v>558</v>
      </c>
    </row>
    <row r="144" spans="1:9" x14ac:dyDescent="0.2">
      <c r="A144" t="s">
        <v>154</v>
      </c>
      <c r="B144">
        <v>496</v>
      </c>
      <c r="C144">
        <v>2</v>
      </c>
      <c r="D144">
        <v>30</v>
      </c>
      <c r="E144">
        <v>-2</v>
      </c>
      <c r="F144">
        <v>4313.5792519301103</v>
      </c>
      <c r="G144">
        <v>611912</v>
      </c>
      <c r="H144">
        <v>1000000</v>
      </c>
      <c r="I144" t="s">
        <v>559</v>
      </c>
    </row>
    <row r="145" spans="1:9" x14ac:dyDescent="0.2">
      <c r="A145" t="s">
        <v>156</v>
      </c>
      <c r="B145">
        <v>504</v>
      </c>
      <c r="C145">
        <v>2</v>
      </c>
      <c r="D145">
        <v>43</v>
      </c>
      <c r="E145">
        <v>-2</v>
      </c>
      <c r="F145">
        <v>5092.9389491025304</v>
      </c>
      <c r="G145">
        <v>552573</v>
      </c>
      <c r="H145">
        <v>1000000</v>
      </c>
      <c r="I145" t="s">
        <v>560</v>
      </c>
    </row>
    <row r="146" spans="1:9" x14ac:dyDescent="0.2">
      <c r="A146" t="s">
        <v>158</v>
      </c>
      <c r="B146">
        <v>540</v>
      </c>
      <c r="C146">
        <v>4</v>
      </c>
      <c r="D146">
        <v>46</v>
      </c>
      <c r="E146">
        <v>6</v>
      </c>
      <c r="F146">
        <v>6246.2784796757596</v>
      </c>
      <c r="G146">
        <v>493328</v>
      </c>
      <c r="H146">
        <v>1000000</v>
      </c>
      <c r="I146" t="s">
        <v>561</v>
      </c>
    </row>
    <row r="147" spans="1:9" x14ac:dyDescent="0.2">
      <c r="A147" t="s">
        <v>160</v>
      </c>
      <c r="B147">
        <v>576</v>
      </c>
      <c r="C147">
        <v>2</v>
      </c>
      <c r="D147">
        <v>43</v>
      </c>
      <c r="E147">
        <v>-14</v>
      </c>
      <c r="F147">
        <v>6675.6263431310599</v>
      </c>
      <c r="G147">
        <v>470388</v>
      </c>
      <c r="H147">
        <v>1000000</v>
      </c>
      <c r="I147" t="s">
        <v>562</v>
      </c>
    </row>
    <row r="148" spans="1:9" x14ac:dyDescent="0.2">
      <c r="A148" t="s">
        <v>162</v>
      </c>
      <c r="B148">
        <v>576</v>
      </c>
      <c r="C148">
        <v>2</v>
      </c>
      <c r="D148">
        <v>41</v>
      </c>
      <c r="E148">
        <v>-18</v>
      </c>
      <c r="F148">
        <v>6573.1702204979902</v>
      </c>
      <c r="G148">
        <v>449472</v>
      </c>
      <c r="H148">
        <v>1000000</v>
      </c>
      <c r="I148" t="s">
        <v>563</v>
      </c>
    </row>
    <row r="149" spans="1:9" x14ac:dyDescent="0.2">
      <c r="A149" t="s">
        <v>163</v>
      </c>
      <c r="B149">
        <v>612</v>
      </c>
      <c r="C149">
        <v>2</v>
      </c>
      <c r="D149">
        <v>41</v>
      </c>
      <c r="E149">
        <v>-11</v>
      </c>
      <c r="F149">
        <v>8096.9968812409697</v>
      </c>
      <c r="G149">
        <v>259430</v>
      </c>
      <c r="H149">
        <v>1000000</v>
      </c>
      <c r="I149" t="s">
        <v>710</v>
      </c>
    </row>
    <row r="150" spans="1:9" x14ac:dyDescent="0.2">
      <c r="A150" t="s">
        <v>165</v>
      </c>
      <c r="B150">
        <v>648</v>
      </c>
      <c r="C150">
        <v>10</v>
      </c>
      <c r="D150">
        <v>49</v>
      </c>
      <c r="E150">
        <v>-22</v>
      </c>
      <c r="F150">
        <v>10745.6143995523</v>
      </c>
      <c r="G150">
        <v>12548</v>
      </c>
      <c r="H150">
        <v>1000000</v>
      </c>
      <c r="I150" t="s">
        <v>711</v>
      </c>
    </row>
    <row r="151" spans="1:9" x14ac:dyDescent="0.2">
      <c r="A151" t="s">
        <v>167</v>
      </c>
      <c r="B151">
        <v>648</v>
      </c>
      <c r="C151">
        <v>14</v>
      </c>
      <c r="D151">
        <v>32</v>
      </c>
      <c r="E151">
        <v>-18</v>
      </c>
      <c r="F151">
        <v>11734.936599196801</v>
      </c>
      <c r="G151">
        <v>605843</v>
      </c>
      <c r="H151">
        <v>1000000</v>
      </c>
      <c r="I151" t="s">
        <v>712</v>
      </c>
    </row>
    <row r="152" spans="1:9" x14ac:dyDescent="0.2">
      <c r="A152" t="s">
        <v>168</v>
      </c>
      <c r="B152">
        <v>684</v>
      </c>
      <c r="C152">
        <v>2</v>
      </c>
      <c r="D152">
        <v>30</v>
      </c>
      <c r="E152">
        <v>1</v>
      </c>
      <c r="F152">
        <v>8404.3943799538501</v>
      </c>
      <c r="G152">
        <v>709569</v>
      </c>
      <c r="H152">
        <v>1000000</v>
      </c>
      <c r="I152" t="s">
        <v>731</v>
      </c>
    </row>
    <row r="154" spans="1:9" x14ac:dyDescent="0.2">
      <c r="A154" t="s">
        <v>73</v>
      </c>
    </row>
    <row r="155" spans="1:9" x14ac:dyDescent="0.2">
      <c r="A155" t="s">
        <v>74</v>
      </c>
    </row>
    <row r="156" spans="1:9" x14ac:dyDescent="0.2">
      <c r="A156" t="s">
        <v>75</v>
      </c>
    </row>
    <row r="157" spans="1:9" x14ac:dyDescent="0.2">
      <c r="A157" t="s">
        <v>117</v>
      </c>
    </row>
    <row r="158" spans="1:9" x14ac:dyDescent="0.2">
      <c r="A158" t="s">
        <v>76</v>
      </c>
    </row>
    <row r="159" spans="1:9" x14ac:dyDescent="0.2">
      <c r="A159" t="s">
        <v>112</v>
      </c>
    </row>
    <row r="160" spans="1:9" x14ac:dyDescent="0.2">
      <c r="A160" t="s">
        <v>77</v>
      </c>
    </row>
    <row r="161" spans="1:1" x14ac:dyDescent="0.2">
      <c r="A161" t="s">
        <v>96</v>
      </c>
    </row>
    <row r="162" spans="1:1" x14ac:dyDescent="0.2">
      <c r="A162" t="s">
        <v>118</v>
      </c>
    </row>
    <row r="163" spans="1:1" x14ac:dyDescent="0.2">
      <c r="A163" t="s">
        <v>119</v>
      </c>
    </row>
    <row r="164" spans="1:1" x14ac:dyDescent="0.2">
      <c r="A164" t="s">
        <v>284</v>
      </c>
    </row>
    <row r="165" spans="1:1" x14ac:dyDescent="0.2">
      <c r="A165" t="s">
        <v>79</v>
      </c>
    </row>
    <row r="166" spans="1:1" x14ac:dyDescent="0.2">
      <c r="A166" t="s">
        <v>80</v>
      </c>
    </row>
    <row r="167" spans="1:1" x14ac:dyDescent="0.2">
      <c r="A167" t="s">
        <v>81</v>
      </c>
    </row>
    <row r="168" spans="1:1" x14ac:dyDescent="0.2">
      <c r="A168" t="s">
        <v>82</v>
      </c>
    </row>
    <row r="169" spans="1:1" x14ac:dyDescent="0.2">
      <c r="A169" t="s">
        <v>120</v>
      </c>
    </row>
    <row r="170" spans="1:1" x14ac:dyDescent="0.2">
      <c r="A170" t="s">
        <v>121</v>
      </c>
    </row>
    <row r="171" spans="1:1" x14ac:dyDescent="0.2">
      <c r="A171" t="s">
        <v>83</v>
      </c>
    </row>
    <row r="172" spans="1:1" x14ac:dyDescent="0.2">
      <c r="A172" t="s">
        <v>84</v>
      </c>
    </row>
    <row r="173" spans="1:1" x14ac:dyDescent="0.2">
      <c r="A173" t="s">
        <v>85</v>
      </c>
    </row>
    <row r="174" spans="1:1" x14ac:dyDescent="0.2">
      <c r="A174" t="s">
        <v>86</v>
      </c>
    </row>
    <row r="175" spans="1:1" x14ac:dyDescent="0.2">
      <c r="A175" t="s">
        <v>87</v>
      </c>
    </row>
    <row r="176" spans="1:1" x14ac:dyDescent="0.2">
      <c r="A176" t="s">
        <v>88</v>
      </c>
    </row>
    <row r="177" spans="1:9" x14ac:dyDescent="0.2">
      <c r="A177" t="s">
        <v>105</v>
      </c>
    </row>
    <row r="178" spans="1:9" x14ac:dyDescent="0.2">
      <c r="A178" t="s">
        <v>89</v>
      </c>
    </row>
    <row r="179" spans="1:9" x14ac:dyDescent="0.2">
      <c r="A179" t="s">
        <v>564</v>
      </c>
    </row>
    <row r="180" spans="1:9" x14ac:dyDescent="0.2">
      <c r="A180" t="s">
        <v>90</v>
      </c>
    </row>
    <row r="181" spans="1:9" x14ac:dyDescent="0.2">
      <c r="A181" t="s">
        <v>70</v>
      </c>
      <c r="B181" t="s">
        <v>61</v>
      </c>
      <c r="C181" t="s">
        <v>71</v>
      </c>
      <c r="D181" t="s">
        <v>72</v>
      </c>
      <c r="E181" t="s">
        <v>91</v>
      </c>
      <c r="F181" t="s">
        <v>92</v>
      </c>
      <c r="G181" t="s">
        <v>58</v>
      </c>
      <c r="H181" t="s">
        <v>59</v>
      </c>
      <c r="I181" t="s">
        <v>93</v>
      </c>
    </row>
    <row r="182" spans="1:9" x14ac:dyDescent="0.2">
      <c r="A182" t="s">
        <v>123</v>
      </c>
      <c r="B182">
        <v>36</v>
      </c>
      <c r="C182">
        <v>8</v>
      </c>
      <c r="D182">
        <v>4</v>
      </c>
      <c r="E182">
        <v>0</v>
      </c>
      <c r="F182">
        <v>269.21507175173599</v>
      </c>
      <c r="G182">
        <v>999980</v>
      </c>
      <c r="H182">
        <v>1000000</v>
      </c>
      <c r="I182" t="s">
        <v>565</v>
      </c>
    </row>
    <row r="183" spans="1:9" x14ac:dyDescent="0.2">
      <c r="A183" t="s">
        <v>125</v>
      </c>
      <c r="B183">
        <v>72</v>
      </c>
      <c r="C183">
        <v>8</v>
      </c>
      <c r="D183">
        <v>8</v>
      </c>
      <c r="E183">
        <v>0</v>
      </c>
      <c r="F183">
        <v>401.41667300090103</v>
      </c>
      <c r="G183">
        <v>994263</v>
      </c>
      <c r="H183">
        <v>1000000</v>
      </c>
      <c r="I183" t="s">
        <v>566</v>
      </c>
    </row>
    <row r="184" spans="1:9" x14ac:dyDescent="0.2">
      <c r="A184" t="s">
        <v>127</v>
      </c>
      <c r="B184">
        <v>108</v>
      </c>
      <c r="C184">
        <v>2</v>
      </c>
      <c r="D184">
        <v>12</v>
      </c>
      <c r="E184">
        <v>0</v>
      </c>
      <c r="F184">
        <v>498.73833033535601</v>
      </c>
      <c r="G184">
        <v>921640</v>
      </c>
      <c r="H184">
        <v>1000000</v>
      </c>
      <c r="I184" t="s">
        <v>567</v>
      </c>
    </row>
    <row r="185" spans="1:9" x14ac:dyDescent="0.2">
      <c r="A185" t="s">
        <v>129</v>
      </c>
      <c r="B185">
        <v>144</v>
      </c>
      <c r="C185">
        <v>2</v>
      </c>
      <c r="D185">
        <v>13</v>
      </c>
      <c r="E185">
        <v>0</v>
      </c>
      <c r="F185">
        <v>677.87459488492402</v>
      </c>
      <c r="G185">
        <v>842084</v>
      </c>
      <c r="H185">
        <v>1000000</v>
      </c>
      <c r="I185" t="s">
        <v>568</v>
      </c>
    </row>
    <row r="186" spans="1:9" x14ac:dyDescent="0.2">
      <c r="A186" t="s">
        <v>136</v>
      </c>
      <c r="B186">
        <v>180</v>
      </c>
      <c r="C186">
        <v>2</v>
      </c>
      <c r="D186">
        <v>17</v>
      </c>
      <c r="E186">
        <v>0</v>
      </c>
      <c r="F186">
        <v>898.47267839685003</v>
      </c>
      <c r="G186">
        <v>711120</v>
      </c>
      <c r="H186">
        <v>1000000</v>
      </c>
      <c r="I186" t="s">
        <v>569</v>
      </c>
    </row>
    <row r="187" spans="1:9" x14ac:dyDescent="0.2">
      <c r="A187" t="s">
        <v>138</v>
      </c>
      <c r="B187">
        <v>216</v>
      </c>
      <c r="C187">
        <v>4</v>
      </c>
      <c r="D187">
        <v>18</v>
      </c>
      <c r="E187">
        <v>0</v>
      </c>
      <c r="F187">
        <v>1214.4083525026199</v>
      </c>
      <c r="G187">
        <v>767399</v>
      </c>
      <c r="H187">
        <v>1000000</v>
      </c>
      <c r="I187" t="s">
        <v>570</v>
      </c>
    </row>
    <row r="188" spans="1:9" x14ac:dyDescent="0.2">
      <c r="A188" t="s">
        <v>140</v>
      </c>
      <c r="B188">
        <v>252</v>
      </c>
      <c r="C188">
        <v>2</v>
      </c>
      <c r="D188">
        <v>22</v>
      </c>
      <c r="E188">
        <v>1</v>
      </c>
      <c r="F188">
        <v>1533.0259647266901</v>
      </c>
      <c r="G188">
        <v>722374</v>
      </c>
      <c r="H188">
        <v>1000000</v>
      </c>
      <c r="I188" t="s">
        <v>571</v>
      </c>
    </row>
    <row r="189" spans="1:9" x14ac:dyDescent="0.2">
      <c r="A189" t="s">
        <v>142</v>
      </c>
      <c r="B189">
        <v>288</v>
      </c>
      <c r="C189">
        <v>2</v>
      </c>
      <c r="D189">
        <v>24</v>
      </c>
      <c r="E189">
        <v>0</v>
      </c>
      <c r="F189">
        <v>1896.2737549850699</v>
      </c>
      <c r="G189">
        <v>675136</v>
      </c>
      <c r="H189">
        <v>1000000</v>
      </c>
      <c r="I189" t="s">
        <v>572</v>
      </c>
    </row>
    <row r="190" spans="1:9" x14ac:dyDescent="0.2">
      <c r="A190" t="s">
        <v>144</v>
      </c>
      <c r="B190">
        <v>324</v>
      </c>
      <c r="C190">
        <v>4</v>
      </c>
      <c r="D190">
        <v>25</v>
      </c>
      <c r="E190">
        <v>0</v>
      </c>
      <c r="F190">
        <v>2398.0666804453299</v>
      </c>
      <c r="G190">
        <v>629364</v>
      </c>
      <c r="H190">
        <v>1000000</v>
      </c>
      <c r="I190" t="s">
        <v>573</v>
      </c>
    </row>
    <row r="191" spans="1:9" x14ac:dyDescent="0.2">
      <c r="A191" t="s">
        <v>146</v>
      </c>
      <c r="B191">
        <v>360</v>
      </c>
      <c r="C191">
        <v>4</v>
      </c>
      <c r="D191">
        <v>24</v>
      </c>
      <c r="E191">
        <v>0</v>
      </c>
      <c r="F191">
        <v>2960.4362333742902</v>
      </c>
      <c r="G191">
        <v>726635</v>
      </c>
      <c r="H191">
        <v>1000000</v>
      </c>
      <c r="I191" t="s">
        <v>574</v>
      </c>
    </row>
    <row r="192" spans="1:9" x14ac:dyDescent="0.2">
      <c r="A192" t="s">
        <v>148</v>
      </c>
      <c r="B192">
        <v>396</v>
      </c>
      <c r="C192">
        <v>4</v>
      </c>
      <c r="D192">
        <v>27</v>
      </c>
      <c r="E192">
        <v>1</v>
      </c>
      <c r="F192">
        <v>3272.1834963215501</v>
      </c>
      <c r="G192">
        <v>742519</v>
      </c>
      <c r="H192">
        <v>1000000</v>
      </c>
      <c r="I192" t="s">
        <v>575</v>
      </c>
    </row>
    <row r="193" spans="1:9" x14ac:dyDescent="0.2">
      <c r="A193" t="s">
        <v>150</v>
      </c>
      <c r="B193">
        <v>432</v>
      </c>
      <c r="C193">
        <v>8</v>
      </c>
      <c r="D193">
        <v>35</v>
      </c>
      <c r="E193">
        <v>2</v>
      </c>
      <c r="F193">
        <v>4468.8499868912604</v>
      </c>
      <c r="G193">
        <v>597677</v>
      </c>
      <c r="H193">
        <v>1000000</v>
      </c>
      <c r="I193" t="s">
        <v>576</v>
      </c>
    </row>
    <row r="194" spans="1:9" x14ac:dyDescent="0.2">
      <c r="A194" t="s">
        <v>152</v>
      </c>
      <c r="B194">
        <v>468</v>
      </c>
      <c r="C194">
        <v>4</v>
      </c>
      <c r="D194">
        <v>30</v>
      </c>
      <c r="E194">
        <v>-1</v>
      </c>
      <c r="F194">
        <v>4277.6540746046203</v>
      </c>
      <c r="G194">
        <v>689034</v>
      </c>
      <c r="H194">
        <v>1000000</v>
      </c>
      <c r="I194" t="s">
        <v>577</v>
      </c>
    </row>
    <row r="195" spans="1:9" x14ac:dyDescent="0.2">
      <c r="A195" t="s">
        <v>154</v>
      </c>
      <c r="B195">
        <v>496</v>
      </c>
      <c r="C195">
        <v>2</v>
      </c>
      <c r="D195">
        <v>30</v>
      </c>
      <c r="E195">
        <v>-2</v>
      </c>
      <c r="F195">
        <v>4317.81780259683</v>
      </c>
      <c r="G195">
        <v>717853</v>
      </c>
      <c r="H195">
        <v>1000000</v>
      </c>
      <c r="I195" t="s">
        <v>578</v>
      </c>
    </row>
    <row r="196" spans="1:9" x14ac:dyDescent="0.2">
      <c r="A196" t="s">
        <v>156</v>
      </c>
      <c r="B196">
        <v>504</v>
      </c>
      <c r="C196">
        <v>2</v>
      </c>
      <c r="D196">
        <v>42</v>
      </c>
      <c r="E196">
        <v>-3</v>
      </c>
      <c r="F196">
        <v>5467.9879393260899</v>
      </c>
      <c r="G196">
        <v>596144</v>
      </c>
      <c r="H196">
        <v>1000000</v>
      </c>
      <c r="I196" t="s">
        <v>579</v>
      </c>
    </row>
    <row r="197" spans="1:9" x14ac:dyDescent="0.2">
      <c r="A197" t="s">
        <v>158</v>
      </c>
      <c r="B197">
        <v>540</v>
      </c>
      <c r="C197">
        <v>4</v>
      </c>
      <c r="D197">
        <v>42</v>
      </c>
      <c r="E197">
        <v>2</v>
      </c>
      <c r="F197">
        <v>6427.0653540911098</v>
      </c>
      <c r="G197">
        <v>38</v>
      </c>
      <c r="H197">
        <v>1000000</v>
      </c>
      <c r="I197" t="s">
        <v>580</v>
      </c>
    </row>
    <row r="198" spans="1:9" x14ac:dyDescent="0.2">
      <c r="A198" t="s">
        <v>160</v>
      </c>
      <c r="B198">
        <v>576</v>
      </c>
      <c r="C198">
        <v>2</v>
      </c>
      <c r="D198">
        <v>41</v>
      </c>
      <c r="E198">
        <v>-16</v>
      </c>
      <c r="F198">
        <v>6642.0403795093298</v>
      </c>
      <c r="G198">
        <v>36512</v>
      </c>
      <c r="H198">
        <v>1000000</v>
      </c>
      <c r="I198" t="s">
        <v>581</v>
      </c>
    </row>
    <row r="199" spans="1:9" x14ac:dyDescent="0.2">
      <c r="A199" t="s">
        <v>162</v>
      </c>
      <c r="B199">
        <v>576</v>
      </c>
      <c r="C199">
        <v>2</v>
      </c>
      <c r="D199">
        <v>56</v>
      </c>
      <c r="E199">
        <v>-3</v>
      </c>
      <c r="F199">
        <v>6749.7144825719297</v>
      </c>
      <c r="G199">
        <v>454309</v>
      </c>
      <c r="H199">
        <v>1000000</v>
      </c>
      <c r="I199" t="s">
        <v>582</v>
      </c>
    </row>
    <row r="200" spans="1:9" x14ac:dyDescent="0.2">
      <c r="A200" t="s">
        <v>163</v>
      </c>
      <c r="B200">
        <v>612</v>
      </c>
      <c r="C200">
        <v>2</v>
      </c>
      <c r="D200">
        <v>55</v>
      </c>
      <c r="E200">
        <v>3</v>
      </c>
      <c r="F200">
        <v>7849.0805479502296</v>
      </c>
      <c r="G200">
        <v>147799</v>
      </c>
      <c r="H200">
        <v>1000000</v>
      </c>
      <c r="I200" t="s">
        <v>713</v>
      </c>
    </row>
    <row r="201" spans="1:9" x14ac:dyDescent="0.2">
      <c r="A201" t="s">
        <v>165</v>
      </c>
      <c r="B201">
        <v>648</v>
      </c>
      <c r="C201">
        <v>10</v>
      </c>
      <c r="D201">
        <v>35</v>
      </c>
      <c r="E201">
        <v>-36</v>
      </c>
      <c r="F201">
        <v>10652.8137607714</v>
      </c>
      <c r="G201">
        <v>571099</v>
      </c>
      <c r="H201">
        <v>1000000</v>
      </c>
      <c r="I201" t="s">
        <v>714</v>
      </c>
    </row>
    <row r="202" spans="1:9" x14ac:dyDescent="0.2">
      <c r="A202" t="s">
        <v>167</v>
      </c>
      <c r="B202">
        <v>648</v>
      </c>
      <c r="C202">
        <v>14</v>
      </c>
      <c r="D202">
        <v>36</v>
      </c>
      <c r="E202">
        <v>-14</v>
      </c>
      <c r="F202">
        <v>11686.7158452002</v>
      </c>
      <c r="G202">
        <v>302434</v>
      </c>
      <c r="H202">
        <v>1000000</v>
      </c>
      <c r="I202" t="s">
        <v>715</v>
      </c>
    </row>
    <row r="203" spans="1:9" x14ac:dyDescent="0.2">
      <c r="A203" t="s">
        <v>168</v>
      </c>
      <c r="B203">
        <v>684</v>
      </c>
      <c r="C203">
        <v>2</v>
      </c>
      <c r="D203">
        <v>29</v>
      </c>
      <c r="E203">
        <v>0</v>
      </c>
      <c r="F203">
        <v>8495.3539325930105</v>
      </c>
      <c r="G203">
        <v>797970</v>
      </c>
      <c r="H203">
        <v>1000000</v>
      </c>
      <c r="I203" t="s">
        <v>732</v>
      </c>
    </row>
    <row r="205" spans="1:9" x14ac:dyDescent="0.2">
      <c r="A205" t="s">
        <v>73</v>
      </c>
    </row>
    <row r="206" spans="1:9" x14ac:dyDescent="0.2">
      <c r="A206" t="s">
        <v>74</v>
      </c>
    </row>
    <row r="207" spans="1:9" x14ac:dyDescent="0.2">
      <c r="A207" t="s">
        <v>75</v>
      </c>
    </row>
    <row r="208" spans="1:9" x14ac:dyDescent="0.2">
      <c r="A208" t="s">
        <v>117</v>
      </c>
    </row>
    <row r="209" spans="1:1" x14ac:dyDescent="0.2">
      <c r="A209" t="s">
        <v>76</v>
      </c>
    </row>
    <row r="210" spans="1:1" x14ac:dyDescent="0.2">
      <c r="A210" t="s">
        <v>112</v>
      </c>
    </row>
    <row r="211" spans="1:1" x14ac:dyDescent="0.2">
      <c r="A211" t="s">
        <v>77</v>
      </c>
    </row>
    <row r="212" spans="1:1" x14ac:dyDescent="0.2">
      <c r="A212" t="s">
        <v>96</v>
      </c>
    </row>
    <row r="213" spans="1:1" x14ac:dyDescent="0.2">
      <c r="A213" t="s">
        <v>118</v>
      </c>
    </row>
    <row r="214" spans="1:1" x14ac:dyDescent="0.2">
      <c r="A214" t="s">
        <v>119</v>
      </c>
    </row>
    <row r="215" spans="1:1" x14ac:dyDescent="0.2">
      <c r="A215" t="s">
        <v>284</v>
      </c>
    </row>
    <row r="216" spans="1:1" x14ac:dyDescent="0.2">
      <c r="A216" t="s">
        <v>79</v>
      </c>
    </row>
    <row r="217" spans="1:1" x14ac:dyDescent="0.2">
      <c r="A217" t="s">
        <v>80</v>
      </c>
    </row>
    <row r="218" spans="1:1" x14ac:dyDescent="0.2">
      <c r="A218" t="s">
        <v>81</v>
      </c>
    </row>
    <row r="219" spans="1:1" x14ac:dyDescent="0.2">
      <c r="A219" t="s">
        <v>82</v>
      </c>
    </row>
    <row r="220" spans="1:1" x14ac:dyDescent="0.2">
      <c r="A220" t="s">
        <v>120</v>
      </c>
    </row>
    <row r="221" spans="1:1" x14ac:dyDescent="0.2">
      <c r="A221" t="s">
        <v>121</v>
      </c>
    </row>
    <row r="222" spans="1:1" x14ac:dyDescent="0.2">
      <c r="A222" t="s">
        <v>83</v>
      </c>
    </row>
    <row r="223" spans="1:1" x14ac:dyDescent="0.2">
      <c r="A223" t="s">
        <v>84</v>
      </c>
    </row>
    <row r="224" spans="1:1" x14ac:dyDescent="0.2">
      <c r="A224" t="s">
        <v>85</v>
      </c>
    </row>
    <row r="225" spans="1:9" x14ac:dyDescent="0.2">
      <c r="A225" t="s">
        <v>86</v>
      </c>
    </row>
    <row r="226" spans="1:9" x14ac:dyDescent="0.2">
      <c r="A226" t="s">
        <v>87</v>
      </c>
    </row>
    <row r="227" spans="1:9" x14ac:dyDescent="0.2">
      <c r="A227" t="s">
        <v>88</v>
      </c>
    </row>
    <row r="228" spans="1:9" x14ac:dyDescent="0.2">
      <c r="A228" t="s">
        <v>105</v>
      </c>
    </row>
    <row r="229" spans="1:9" x14ac:dyDescent="0.2">
      <c r="A229" t="s">
        <v>89</v>
      </c>
    </row>
    <row r="230" spans="1:9" x14ac:dyDescent="0.2">
      <c r="A230" t="s">
        <v>583</v>
      </c>
    </row>
    <row r="231" spans="1:9" x14ac:dyDescent="0.2">
      <c r="A231" t="s">
        <v>90</v>
      </c>
    </row>
    <row r="232" spans="1:9" x14ac:dyDescent="0.2">
      <c r="A232" t="s">
        <v>70</v>
      </c>
      <c r="B232" t="s">
        <v>61</v>
      </c>
      <c r="C232" t="s">
        <v>71</v>
      </c>
      <c r="D232" t="s">
        <v>72</v>
      </c>
      <c r="E232" t="s">
        <v>91</v>
      </c>
      <c r="F232" t="s">
        <v>92</v>
      </c>
      <c r="G232" t="s">
        <v>58</v>
      </c>
      <c r="H232" t="s">
        <v>59</v>
      </c>
      <c r="I232" t="s">
        <v>93</v>
      </c>
    </row>
    <row r="233" spans="1:9" x14ac:dyDescent="0.2">
      <c r="A233" t="s">
        <v>123</v>
      </c>
      <c r="B233">
        <v>36</v>
      </c>
      <c r="C233">
        <v>8</v>
      </c>
      <c r="D233">
        <v>4</v>
      </c>
      <c r="E233">
        <v>0</v>
      </c>
      <c r="F233">
        <v>263.198600130155</v>
      </c>
      <c r="G233">
        <v>999973</v>
      </c>
      <c r="H233">
        <v>1000000</v>
      </c>
      <c r="I233" t="s">
        <v>584</v>
      </c>
    </row>
    <row r="234" spans="1:9" x14ac:dyDescent="0.2">
      <c r="A234" t="s">
        <v>125</v>
      </c>
      <c r="B234">
        <v>72</v>
      </c>
      <c r="C234">
        <v>8</v>
      </c>
      <c r="D234">
        <v>8</v>
      </c>
      <c r="E234">
        <v>0</v>
      </c>
      <c r="F234">
        <v>384.08153847604899</v>
      </c>
      <c r="G234">
        <v>983434</v>
      </c>
      <c r="H234">
        <v>1000000</v>
      </c>
      <c r="I234" t="s">
        <v>585</v>
      </c>
    </row>
    <row r="235" spans="1:9" x14ac:dyDescent="0.2">
      <c r="A235" t="s">
        <v>127</v>
      </c>
      <c r="B235">
        <v>108</v>
      </c>
      <c r="C235">
        <v>2</v>
      </c>
      <c r="D235">
        <v>12</v>
      </c>
      <c r="E235">
        <v>0</v>
      </c>
      <c r="F235">
        <v>488.518302961252</v>
      </c>
      <c r="G235">
        <v>901224</v>
      </c>
      <c r="H235">
        <v>1000000</v>
      </c>
      <c r="I235" t="s">
        <v>586</v>
      </c>
    </row>
    <row r="236" spans="1:9" x14ac:dyDescent="0.2">
      <c r="A236" t="s">
        <v>129</v>
      </c>
      <c r="B236">
        <v>144</v>
      </c>
      <c r="C236">
        <v>2</v>
      </c>
      <c r="D236">
        <v>13</v>
      </c>
      <c r="E236">
        <v>0</v>
      </c>
      <c r="F236">
        <v>668.162457862868</v>
      </c>
      <c r="G236">
        <v>710435</v>
      </c>
      <c r="H236">
        <v>1000000</v>
      </c>
      <c r="I236" t="s">
        <v>587</v>
      </c>
    </row>
    <row r="237" spans="1:9" x14ac:dyDescent="0.2">
      <c r="A237" t="s">
        <v>136</v>
      </c>
      <c r="B237">
        <v>180</v>
      </c>
      <c r="C237">
        <v>2</v>
      </c>
      <c r="D237">
        <v>17</v>
      </c>
      <c r="E237">
        <v>0</v>
      </c>
      <c r="F237">
        <v>890.60129271075095</v>
      </c>
      <c r="G237">
        <v>680529</v>
      </c>
      <c r="H237">
        <v>1000000</v>
      </c>
      <c r="I237" t="s">
        <v>588</v>
      </c>
    </row>
    <row r="238" spans="1:9" x14ac:dyDescent="0.2">
      <c r="A238" t="s">
        <v>138</v>
      </c>
      <c r="B238">
        <v>216</v>
      </c>
      <c r="C238">
        <v>4</v>
      </c>
      <c r="D238">
        <v>18</v>
      </c>
      <c r="E238">
        <v>0</v>
      </c>
      <c r="F238">
        <v>1211.85123819205</v>
      </c>
      <c r="G238">
        <v>844356</v>
      </c>
      <c r="H238">
        <v>1000000</v>
      </c>
      <c r="I238" t="s">
        <v>589</v>
      </c>
    </row>
    <row r="239" spans="1:9" x14ac:dyDescent="0.2">
      <c r="A239" t="s">
        <v>140</v>
      </c>
      <c r="B239">
        <v>252</v>
      </c>
      <c r="C239">
        <v>2</v>
      </c>
      <c r="D239">
        <v>22</v>
      </c>
      <c r="E239">
        <v>1</v>
      </c>
      <c r="F239">
        <v>1526.2020021667699</v>
      </c>
      <c r="G239">
        <v>617715</v>
      </c>
      <c r="H239">
        <v>1000000</v>
      </c>
      <c r="I239" t="s">
        <v>590</v>
      </c>
    </row>
    <row r="240" spans="1:9" x14ac:dyDescent="0.2">
      <c r="A240" t="s">
        <v>142</v>
      </c>
      <c r="B240">
        <v>288</v>
      </c>
      <c r="C240">
        <v>2</v>
      </c>
      <c r="D240">
        <v>25</v>
      </c>
      <c r="E240">
        <v>1</v>
      </c>
      <c r="F240">
        <v>1922.33577950671</v>
      </c>
      <c r="G240">
        <v>648565</v>
      </c>
      <c r="H240">
        <v>1000000</v>
      </c>
      <c r="I240" t="s">
        <v>591</v>
      </c>
    </row>
    <row r="241" spans="1:9" x14ac:dyDescent="0.2">
      <c r="A241" t="s">
        <v>144</v>
      </c>
      <c r="B241">
        <v>324</v>
      </c>
      <c r="C241">
        <v>4</v>
      </c>
      <c r="D241">
        <v>25</v>
      </c>
      <c r="E241">
        <v>0</v>
      </c>
      <c r="F241">
        <v>2326.2290634186902</v>
      </c>
      <c r="G241">
        <v>528189</v>
      </c>
      <c r="H241">
        <v>1000000</v>
      </c>
      <c r="I241" t="s">
        <v>592</v>
      </c>
    </row>
    <row r="242" spans="1:9" x14ac:dyDescent="0.2">
      <c r="A242" t="s">
        <v>146</v>
      </c>
      <c r="B242">
        <v>360</v>
      </c>
      <c r="C242">
        <v>4</v>
      </c>
      <c r="D242">
        <v>24</v>
      </c>
      <c r="E242">
        <v>0</v>
      </c>
      <c r="F242">
        <v>2783.6855927854699</v>
      </c>
      <c r="G242">
        <v>702567</v>
      </c>
      <c r="H242">
        <v>1000000</v>
      </c>
      <c r="I242" t="s">
        <v>593</v>
      </c>
    </row>
    <row r="243" spans="1:9" x14ac:dyDescent="0.2">
      <c r="A243" t="s">
        <v>148</v>
      </c>
      <c r="B243">
        <v>396</v>
      </c>
      <c r="C243">
        <v>4</v>
      </c>
      <c r="D243">
        <v>28</v>
      </c>
      <c r="E243">
        <v>2</v>
      </c>
      <c r="F243">
        <v>3193.2929267929799</v>
      </c>
      <c r="G243">
        <v>603123</v>
      </c>
      <c r="H243">
        <v>1000000</v>
      </c>
      <c r="I243" t="s">
        <v>594</v>
      </c>
    </row>
    <row r="244" spans="1:9" x14ac:dyDescent="0.2">
      <c r="A244" t="s">
        <v>150</v>
      </c>
      <c r="B244">
        <v>432</v>
      </c>
      <c r="C244">
        <v>8</v>
      </c>
      <c r="D244">
        <v>31</v>
      </c>
      <c r="E244">
        <v>-2</v>
      </c>
      <c r="F244">
        <v>4412.7627335674997</v>
      </c>
      <c r="G244">
        <v>437836</v>
      </c>
      <c r="H244">
        <v>1000000</v>
      </c>
      <c r="I244" t="s">
        <v>595</v>
      </c>
    </row>
    <row r="245" spans="1:9" x14ac:dyDescent="0.2">
      <c r="A245" t="s">
        <v>152</v>
      </c>
      <c r="B245">
        <v>468</v>
      </c>
      <c r="C245">
        <v>4</v>
      </c>
      <c r="D245">
        <v>30</v>
      </c>
      <c r="E245">
        <v>-1</v>
      </c>
      <c r="F245">
        <v>4310.4517470467799</v>
      </c>
      <c r="G245">
        <v>620461</v>
      </c>
      <c r="H245">
        <v>1000000</v>
      </c>
      <c r="I245" t="s">
        <v>596</v>
      </c>
    </row>
    <row r="246" spans="1:9" x14ac:dyDescent="0.2">
      <c r="A246" t="s">
        <v>154</v>
      </c>
      <c r="B246">
        <v>496</v>
      </c>
      <c r="C246">
        <v>2</v>
      </c>
      <c r="D246">
        <v>32</v>
      </c>
      <c r="E246">
        <v>0</v>
      </c>
      <c r="F246">
        <v>4296.9850030876696</v>
      </c>
      <c r="G246">
        <v>615570</v>
      </c>
      <c r="H246">
        <v>1000000</v>
      </c>
      <c r="I246" t="s">
        <v>597</v>
      </c>
    </row>
    <row r="247" spans="1:9" x14ac:dyDescent="0.2">
      <c r="A247" t="s">
        <v>156</v>
      </c>
      <c r="B247">
        <v>504</v>
      </c>
      <c r="C247">
        <v>2</v>
      </c>
      <c r="D247">
        <v>40</v>
      </c>
      <c r="E247">
        <v>-5</v>
      </c>
      <c r="F247">
        <v>5276.2526376154201</v>
      </c>
      <c r="G247">
        <v>575528</v>
      </c>
      <c r="H247">
        <v>1000000</v>
      </c>
      <c r="I247" t="s">
        <v>598</v>
      </c>
    </row>
    <row r="248" spans="1:9" x14ac:dyDescent="0.2">
      <c r="A248" t="s">
        <v>158</v>
      </c>
      <c r="B248">
        <v>540</v>
      </c>
      <c r="C248">
        <v>4</v>
      </c>
      <c r="D248">
        <v>45</v>
      </c>
      <c r="E248">
        <v>5</v>
      </c>
      <c r="F248">
        <v>6338.2857098365203</v>
      </c>
      <c r="G248">
        <v>1484</v>
      </c>
      <c r="H248">
        <v>1000000</v>
      </c>
      <c r="I248" t="s">
        <v>599</v>
      </c>
    </row>
    <row r="249" spans="1:9" x14ac:dyDescent="0.2">
      <c r="A249" t="s">
        <v>160</v>
      </c>
      <c r="B249">
        <v>576</v>
      </c>
      <c r="C249">
        <v>2</v>
      </c>
      <c r="D249">
        <v>55</v>
      </c>
      <c r="E249">
        <v>-2</v>
      </c>
      <c r="F249">
        <v>6682.97145078424</v>
      </c>
      <c r="G249">
        <v>471362</v>
      </c>
      <c r="H249">
        <v>1000000</v>
      </c>
      <c r="I249" t="s">
        <v>600</v>
      </c>
    </row>
    <row r="250" spans="1:9" x14ac:dyDescent="0.2">
      <c r="A250" t="s">
        <v>162</v>
      </c>
      <c r="B250">
        <v>576</v>
      </c>
      <c r="C250">
        <v>2</v>
      </c>
      <c r="D250">
        <v>47</v>
      </c>
      <c r="E250">
        <v>-12</v>
      </c>
      <c r="F250">
        <v>6741.51135807018</v>
      </c>
      <c r="G250">
        <v>497987</v>
      </c>
      <c r="H250">
        <v>1000000</v>
      </c>
      <c r="I250" t="s">
        <v>601</v>
      </c>
    </row>
    <row r="251" spans="1:9" x14ac:dyDescent="0.2">
      <c r="A251" t="s">
        <v>163</v>
      </c>
      <c r="B251">
        <v>612</v>
      </c>
      <c r="C251">
        <v>2</v>
      </c>
      <c r="D251">
        <v>61</v>
      </c>
      <c r="E251">
        <v>9</v>
      </c>
      <c r="F251">
        <v>7892.9454634059202</v>
      </c>
      <c r="G251">
        <v>477224</v>
      </c>
      <c r="H251">
        <v>1000000</v>
      </c>
      <c r="I251" t="s">
        <v>716</v>
      </c>
    </row>
    <row r="252" spans="1:9" x14ac:dyDescent="0.2">
      <c r="A252" t="s">
        <v>165</v>
      </c>
      <c r="B252">
        <v>648</v>
      </c>
      <c r="C252">
        <v>10</v>
      </c>
      <c r="D252">
        <v>46</v>
      </c>
      <c r="E252">
        <v>-25</v>
      </c>
      <c r="F252">
        <v>10681.2196010528</v>
      </c>
      <c r="G252">
        <v>382607</v>
      </c>
      <c r="H252">
        <v>1000000</v>
      </c>
      <c r="I252" t="s">
        <v>717</v>
      </c>
    </row>
    <row r="253" spans="1:9" x14ac:dyDescent="0.2">
      <c r="A253" t="s">
        <v>167</v>
      </c>
      <c r="B253">
        <v>648</v>
      </c>
      <c r="C253">
        <v>14</v>
      </c>
      <c r="D253">
        <v>33</v>
      </c>
      <c r="E253">
        <v>-17</v>
      </c>
      <c r="F253">
        <v>11786.1106824446</v>
      </c>
      <c r="G253">
        <v>629365</v>
      </c>
      <c r="H253">
        <v>1000000</v>
      </c>
      <c r="I253" t="s">
        <v>718</v>
      </c>
    </row>
    <row r="254" spans="1:9" x14ac:dyDescent="0.2">
      <c r="A254" t="s">
        <v>168</v>
      </c>
      <c r="B254">
        <v>684</v>
      </c>
      <c r="C254">
        <v>2</v>
      </c>
      <c r="D254">
        <v>31</v>
      </c>
      <c r="E254">
        <v>2</v>
      </c>
      <c r="F254">
        <v>8006.8201733771702</v>
      </c>
      <c r="G254">
        <v>793106</v>
      </c>
      <c r="H254">
        <v>1000000</v>
      </c>
      <c r="I254" t="s">
        <v>733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6D3A7-986B-ED40-A1E0-E32D0225C7EC}">
  <dimension ref="A1:I254"/>
  <sheetViews>
    <sheetView topLeftCell="A203" workbookViewId="0">
      <selection activeCell="D215" sqref="D215"/>
    </sheetView>
  </sheetViews>
  <sheetFormatPr baseColWidth="10" defaultRowHeight="16" x14ac:dyDescent="0.2"/>
  <sheetData>
    <row r="1" spans="1:1" x14ac:dyDescent="0.2">
      <c r="A1" t="s">
        <v>73</v>
      </c>
    </row>
    <row r="2" spans="1:1" x14ac:dyDescent="0.2">
      <c r="A2" t="s">
        <v>74</v>
      </c>
    </row>
    <row r="3" spans="1:1" x14ac:dyDescent="0.2">
      <c r="A3" t="s">
        <v>75</v>
      </c>
    </row>
    <row r="4" spans="1:1" x14ac:dyDescent="0.2">
      <c r="A4" t="s">
        <v>117</v>
      </c>
    </row>
    <row r="5" spans="1:1" x14ac:dyDescent="0.2">
      <c r="A5" t="s">
        <v>76</v>
      </c>
    </row>
    <row r="6" spans="1:1" x14ac:dyDescent="0.2">
      <c r="A6" t="s">
        <v>113</v>
      </c>
    </row>
    <row r="7" spans="1:1" x14ac:dyDescent="0.2">
      <c r="A7" t="s">
        <v>77</v>
      </c>
    </row>
    <row r="8" spans="1:1" x14ac:dyDescent="0.2">
      <c r="A8" t="s">
        <v>96</v>
      </c>
    </row>
    <row r="9" spans="1:1" x14ac:dyDescent="0.2">
      <c r="A9" t="s">
        <v>118</v>
      </c>
    </row>
    <row r="10" spans="1:1" x14ac:dyDescent="0.2">
      <c r="A10" t="s">
        <v>119</v>
      </c>
    </row>
    <row r="11" spans="1:1" x14ac:dyDescent="0.2">
      <c r="A11" t="s">
        <v>284</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row>
    <row r="26" spans="1:9" x14ac:dyDescent="0.2">
      <c r="A26" t="s">
        <v>602</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v>168.794722599908</v>
      </c>
      <c r="G29">
        <v>999535</v>
      </c>
      <c r="H29">
        <v>1000000</v>
      </c>
      <c r="I29" t="s">
        <v>603</v>
      </c>
    </row>
    <row r="30" spans="1:9" x14ac:dyDescent="0.2">
      <c r="A30" t="s">
        <v>125</v>
      </c>
      <c r="B30">
        <v>72</v>
      </c>
      <c r="C30">
        <v>8</v>
      </c>
      <c r="D30">
        <v>8</v>
      </c>
      <c r="E30">
        <v>0</v>
      </c>
      <c r="F30">
        <v>263.103616486303</v>
      </c>
      <c r="G30">
        <v>768217</v>
      </c>
      <c r="H30">
        <v>1000000</v>
      </c>
      <c r="I30" t="s">
        <v>604</v>
      </c>
    </row>
    <row r="31" spans="1:9" x14ac:dyDescent="0.2">
      <c r="A31" t="s">
        <v>127</v>
      </c>
      <c r="B31">
        <v>108</v>
      </c>
      <c r="C31">
        <v>2</v>
      </c>
      <c r="D31">
        <v>12</v>
      </c>
      <c r="E31">
        <v>0</v>
      </c>
      <c r="F31">
        <v>362.72700856812298</v>
      </c>
      <c r="G31">
        <v>115082</v>
      </c>
      <c r="H31">
        <v>1000000</v>
      </c>
      <c r="I31" t="s">
        <v>605</v>
      </c>
    </row>
    <row r="32" spans="1:9" x14ac:dyDescent="0.2">
      <c r="A32" t="s">
        <v>129</v>
      </c>
      <c r="B32">
        <v>144</v>
      </c>
      <c r="C32">
        <v>2</v>
      </c>
      <c r="D32">
        <v>13</v>
      </c>
      <c r="E32">
        <v>0</v>
      </c>
      <c r="F32">
        <v>555.54449528641999</v>
      </c>
      <c r="G32">
        <v>6823</v>
      </c>
      <c r="H32">
        <v>1000000</v>
      </c>
      <c r="I32" t="s">
        <v>606</v>
      </c>
    </row>
    <row r="33" spans="1:9" x14ac:dyDescent="0.2">
      <c r="A33" t="s">
        <v>136</v>
      </c>
      <c r="B33">
        <v>180</v>
      </c>
      <c r="C33">
        <v>2</v>
      </c>
      <c r="D33">
        <v>17</v>
      </c>
      <c r="E33">
        <v>0</v>
      </c>
      <c r="F33">
        <v>755.76813250035002</v>
      </c>
      <c r="G33">
        <v>940</v>
      </c>
      <c r="H33">
        <v>1000000</v>
      </c>
      <c r="I33" t="s">
        <v>607</v>
      </c>
    </row>
    <row r="34" spans="1:9" x14ac:dyDescent="0.2">
      <c r="A34" t="s">
        <v>138</v>
      </c>
      <c r="B34">
        <v>216</v>
      </c>
      <c r="C34">
        <v>4</v>
      </c>
      <c r="D34">
        <v>18</v>
      </c>
      <c r="E34">
        <v>0</v>
      </c>
      <c r="F34">
        <v>1039.8546801283901</v>
      </c>
      <c r="G34">
        <v>2061</v>
      </c>
      <c r="H34">
        <v>1000000</v>
      </c>
      <c r="I34" t="s">
        <v>608</v>
      </c>
    </row>
    <row r="35" spans="1:9" x14ac:dyDescent="0.2">
      <c r="A35" t="s">
        <v>140</v>
      </c>
      <c r="B35">
        <v>252</v>
      </c>
      <c r="C35">
        <v>2</v>
      </c>
      <c r="D35">
        <v>22</v>
      </c>
      <c r="E35">
        <v>1</v>
      </c>
      <c r="F35">
        <v>1278.2254681289101</v>
      </c>
      <c r="G35">
        <v>182</v>
      </c>
      <c r="H35">
        <v>1000000</v>
      </c>
      <c r="I35" t="s">
        <v>609</v>
      </c>
    </row>
    <row r="36" spans="1:9" x14ac:dyDescent="0.2">
      <c r="A36" t="s">
        <v>142</v>
      </c>
      <c r="B36">
        <v>288</v>
      </c>
      <c r="C36">
        <v>2</v>
      </c>
      <c r="D36">
        <v>24</v>
      </c>
      <c r="E36">
        <v>0</v>
      </c>
      <c r="F36">
        <v>1587.4117219094101</v>
      </c>
      <c r="G36">
        <v>3</v>
      </c>
      <c r="H36">
        <v>1000000</v>
      </c>
      <c r="I36" t="s">
        <v>610</v>
      </c>
    </row>
    <row r="37" spans="1:9" x14ac:dyDescent="0.2">
      <c r="A37" t="s">
        <v>144</v>
      </c>
      <c r="B37">
        <v>324</v>
      </c>
      <c r="C37">
        <v>4</v>
      </c>
      <c r="D37">
        <v>25</v>
      </c>
      <c r="E37">
        <v>0</v>
      </c>
      <c r="F37">
        <v>2132.0006338814201</v>
      </c>
      <c r="G37">
        <v>16</v>
      </c>
      <c r="H37">
        <v>1000000</v>
      </c>
      <c r="I37" t="s">
        <v>611</v>
      </c>
    </row>
    <row r="38" spans="1:9" x14ac:dyDescent="0.2">
      <c r="A38" t="s">
        <v>146</v>
      </c>
      <c r="B38">
        <v>360</v>
      </c>
      <c r="C38">
        <v>4</v>
      </c>
      <c r="D38">
        <v>24</v>
      </c>
      <c r="E38">
        <v>0</v>
      </c>
      <c r="F38">
        <v>2669.9410248948202</v>
      </c>
      <c r="G38">
        <v>26</v>
      </c>
      <c r="H38">
        <v>1000000</v>
      </c>
      <c r="I38" t="s">
        <v>612</v>
      </c>
    </row>
    <row r="39" spans="1:9" x14ac:dyDescent="0.2">
      <c r="A39" t="s">
        <v>148</v>
      </c>
      <c r="B39">
        <v>396</v>
      </c>
      <c r="C39">
        <v>4</v>
      </c>
      <c r="D39">
        <v>27</v>
      </c>
      <c r="E39">
        <v>1</v>
      </c>
      <c r="F39">
        <v>2967.6080764569301</v>
      </c>
      <c r="G39">
        <v>8</v>
      </c>
      <c r="H39">
        <v>1000000</v>
      </c>
      <c r="I39" t="s">
        <v>613</v>
      </c>
    </row>
    <row r="40" spans="1:9" x14ac:dyDescent="0.2">
      <c r="A40" t="s">
        <v>150</v>
      </c>
      <c r="B40">
        <v>432</v>
      </c>
      <c r="C40">
        <v>8</v>
      </c>
      <c r="D40">
        <v>33</v>
      </c>
      <c r="E40">
        <v>0</v>
      </c>
      <c r="F40">
        <v>4199.17938432749</v>
      </c>
      <c r="G40">
        <v>2</v>
      </c>
      <c r="H40">
        <v>1000000</v>
      </c>
      <c r="I40" t="s">
        <v>614</v>
      </c>
    </row>
    <row r="41" spans="1:9" x14ac:dyDescent="0.2">
      <c r="A41" t="s">
        <v>152</v>
      </c>
      <c r="B41">
        <v>468</v>
      </c>
      <c r="C41">
        <v>4</v>
      </c>
      <c r="D41">
        <v>31</v>
      </c>
      <c r="E41">
        <v>0</v>
      </c>
      <c r="F41">
        <v>4129.2985424455201</v>
      </c>
      <c r="G41">
        <v>1</v>
      </c>
      <c r="H41">
        <v>1000000</v>
      </c>
      <c r="I41" t="s">
        <v>615</v>
      </c>
    </row>
    <row r="42" spans="1:9" x14ac:dyDescent="0.2">
      <c r="A42" t="s">
        <v>154</v>
      </c>
      <c r="B42">
        <v>496</v>
      </c>
      <c r="C42">
        <v>2</v>
      </c>
      <c r="D42">
        <v>34</v>
      </c>
      <c r="E42">
        <v>2</v>
      </c>
      <c r="F42">
        <v>3994.84300212468</v>
      </c>
      <c r="G42">
        <v>15</v>
      </c>
      <c r="H42">
        <v>1000000</v>
      </c>
      <c r="I42" t="s">
        <v>616</v>
      </c>
    </row>
    <row r="43" spans="1:9" x14ac:dyDescent="0.2">
      <c r="A43" t="s">
        <v>156</v>
      </c>
      <c r="B43">
        <v>504</v>
      </c>
      <c r="C43">
        <v>2</v>
      </c>
      <c r="D43">
        <v>47</v>
      </c>
      <c r="E43">
        <v>2</v>
      </c>
      <c r="F43">
        <v>5005.51039599254</v>
      </c>
      <c r="G43">
        <v>1</v>
      </c>
      <c r="H43">
        <v>1000000</v>
      </c>
      <c r="I43" t="s">
        <v>617</v>
      </c>
    </row>
    <row r="44" spans="1:9" x14ac:dyDescent="0.2">
      <c r="A44" t="s">
        <v>158</v>
      </c>
      <c r="B44">
        <v>540</v>
      </c>
      <c r="C44">
        <v>4</v>
      </c>
      <c r="D44">
        <v>46</v>
      </c>
      <c r="E44">
        <v>6</v>
      </c>
      <c r="F44">
        <v>6135.8358699930805</v>
      </c>
      <c r="G44">
        <v>1</v>
      </c>
      <c r="H44">
        <v>1000000</v>
      </c>
      <c r="I44" t="s">
        <v>618</v>
      </c>
    </row>
    <row r="45" spans="1:9" x14ac:dyDescent="0.2">
      <c r="A45" t="s">
        <v>160</v>
      </c>
      <c r="B45">
        <v>576</v>
      </c>
      <c r="C45">
        <v>2</v>
      </c>
      <c r="D45">
        <v>53</v>
      </c>
      <c r="E45">
        <v>-4</v>
      </c>
      <c r="F45">
        <v>6491.4522610660597</v>
      </c>
      <c r="G45">
        <v>1</v>
      </c>
      <c r="H45">
        <v>1000000</v>
      </c>
      <c r="I45" t="s">
        <v>619</v>
      </c>
    </row>
    <row r="46" spans="1:9" x14ac:dyDescent="0.2">
      <c r="A46" t="s">
        <v>162</v>
      </c>
      <c r="B46">
        <v>576</v>
      </c>
      <c r="C46">
        <v>2</v>
      </c>
      <c r="D46">
        <v>51</v>
      </c>
      <c r="E46">
        <v>-8</v>
      </c>
      <c r="F46">
        <v>6501.5178495785203</v>
      </c>
      <c r="G46">
        <v>1</v>
      </c>
      <c r="H46">
        <v>1000000</v>
      </c>
      <c r="I46" t="s">
        <v>620</v>
      </c>
    </row>
    <row r="47" spans="1:9" x14ac:dyDescent="0.2">
      <c r="A47" t="s">
        <v>163</v>
      </c>
      <c r="B47">
        <v>612</v>
      </c>
      <c r="C47">
        <v>2</v>
      </c>
      <c r="D47">
        <v>52</v>
      </c>
      <c r="E47">
        <v>0</v>
      </c>
      <c r="F47">
        <v>7716.6302106650501</v>
      </c>
      <c r="G47">
        <v>1</v>
      </c>
      <c r="H47">
        <v>1000000</v>
      </c>
      <c r="I47" t="s">
        <v>621</v>
      </c>
    </row>
    <row r="48" spans="1:9" x14ac:dyDescent="0.2">
      <c r="A48" t="s">
        <v>165</v>
      </c>
      <c r="B48">
        <v>648</v>
      </c>
      <c r="C48">
        <v>10</v>
      </c>
      <c r="D48">
        <v>33</v>
      </c>
      <c r="E48">
        <v>-38</v>
      </c>
      <c r="F48">
        <v>10520.7615031935</v>
      </c>
      <c r="G48">
        <v>1</v>
      </c>
      <c r="H48">
        <v>1000000</v>
      </c>
      <c r="I48" t="s">
        <v>719</v>
      </c>
    </row>
    <row r="49" spans="1:9" x14ac:dyDescent="0.2">
      <c r="A49" t="s">
        <v>167</v>
      </c>
      <c r="B49">
        <v>648</v>
      </c>
      <c r="C49">
        <v>14</v>
      </c>
      <c r="D49">
        <v>35</v>
      </c>
      <c r="E49">
        <v>-15</v>
      </c>
      <c r="F49">
        <v>11616.8374017067</v>
      </c>
      <c r="G49">
        <v>1</v>
      </c>
      <c r="H49">
        <v>1000000</v>
      </c>
      <c r="I49" t="s">
        <v>720</v>
      </c>
    </row>
    <row r="50" spans="1:9" x14ac:dyDescent="0.2">
      <c r="A50" t="s">
        <v>168</v>
      </c>
      <c r="B50">
        <v>684</v>
      </c>
      <c r="C50">
        <v>2</v>
      </c>
      <c r="D50">
        <v>30</v>
      </c>
      <c r="E50">
        <v>1</v>
      </c>
      <c r="F50">
        <v>8561.4227679707092</v>
      </c>
      <c r="G50">
        <v>1</v>
      </c>
      <c r="H50">
        <v>1000000</v>
      </c>
      <c r="I50" t="s">
        <v>734</v>
      </c>
    </row>
    <row r="52" spans="1:9" x14ac:dyDescent="0.2">
      <c r="A52" t="s">
        <v>73</v>
      </c>
    </row>
    <row r="53" spans="1:9" x14ac:dyDescent="0.2">
      <c r="A53" t="s">
        <v>74</v>
      </c>
    </row>
    <row r="54" spans="1:9" x14ac:dyDescent="0.2">
      <c r="A54" t="s">
        <v>75</v>
      </c>
    </row>
    <row r="55" spans="1:9" x14ac:dyDescent="0.2">
      <c r="A55" t="s">
        <v>117</v>
      </c>
    </row>
    <row r="56" spans="1:9" x14ac:dyDescent="0.2">
      <c r="A56" t="s">
        <v>76</v>
      </c>
    </row>
    <row r="57" spans="1:9" x14ac:dyDescent="0.2">
      <c r="A57" t="s">
        <v>113</v>
      </c>
    </row>
    <row r="58" spans="1:9" x14ac:dyDescent="0.2">
      <c r="A58" t="s">
        <v>77</v>
      </c>
    </row>
    <row r="59" spans="1:9" x14ac:dyDescent="0.2">
      <c r="A59" t="s">
        <v>96</v>
      </c>
    </row>
    <row r="60" spans="1:9" x14ac:dyDescent="0.2">
      <c r="A60" t="s">
        <v>118</v>
      </c>
    </row>
    <row r="61" spans="1:9" x14ac:dyDescent="0.2">
      <c r="A61" t="s">
        <v>119</v>
      </c>
    </row>
    <row r="62" spans="1:9" x14ac:dyDescent="0.2">
      <c r="A62" t="s">
        <v>284</v>
      </c>
    </row>
    <row r="63" spans="1:9" x14ac:dyDescent="0.2">
      <c r="A63" t="s">
        <v>79</v>
      </c>
    </row>
    <row r="64" spans="1:9" x14ac:dyDescent="0.2">
      <c r="A64" t="s">
        <v>80</v>
      </c>
    </row>
    <row r="65" spans="1:9" x14ac:dyDescent="0.2">
      <c r="A65" t="s">
        <v>81</v>
      </c>
    </row>
    <row r="66" spans="1:9" x14ac:dyDescent="0.2">
      <c r="A66" t="s">
        <v>82</v>
      </c>
    </row>
    <row r="67" spans="1:9" x14ac:dyDescent="0.2">
      <c r="A67" t="s">
        <v>120</v>
      </c>
    </row>
    <row r="68" spans="1:9" x14ac:dyDescent="0.2">
      <c r="A68" t="s">
        <v>121</v>
      </c>
    </row>
    <row r="69" spans="1:9" x14ac:dyDescent="0.2">
      <c r="A69" t="s">
        <v>83</v>
      </c>
    </row>
    <row r="70" spans="1:9" x14ac:dyDescent="0.2">
      <c r="A70" t="s">
        <v>84</v>
      </c>
    </row>
    <row r="71" spans="1:9" x14ac:dyDescent="0.2">
      <c r="A71" t="s">
        <v>85</v>
      </c>
    </row>
    <row r="72" spans="1:9" x14ac:dyDescent="0.2">
      <c r="A72" t="s">
        <v>86</v>
      </c>
    </row>
    <row r="73" spans="1:9" x14ac:dyDescent="0.2">
      <c r="A73" t="s">
        <v>87</v>
      </c>
    </row>
    <row r="74" spans="1:9" x14ac:dyDescent="0.2">
      <c r="A74" t="s">
        <v>88</v>
      </c>
    </row>
    <row r="75" spans="1:9" x14ac:dyDescent="0.2">
      <c r="A75" t="s">
        <v>105</v>
      </c>
    </row>
    <row r="76" spans="1:9" x14ac:dyDescent="0.2">
      <c r="A76" t="s">
        <v>89</v>
      </c>
    </row>
    <row r="77" spans="1:9" x14ac:dyDescent="0.2">
      <c r="A77" t="s">
        <v>622</v>
      </c>
    </row>
    <row r="78" spans="1:9" x14ac:dyDescent="0.2">
      <c r="A78" t="s">
        <v>90</v>
      </c>
    </row>
    <row r="79" spans="1:9" x14ac:dyDescent="0.2">
      <c r="A79" t="s">
        <v>70</v>
      </c>
      <c r="B79" t="s">
        <v>61</v>
      </c>
      <c r="C79" t="s">
        <v>71</v>
      </c>
      <c r="D79" t="s">
        <v>72</v>
      </c>
      <c r="E79" t="s">
        <v>91</v>
      </c>
      <c r="F79" t="s">
        <v>92</v>
      </c>
      <c r="G79" t="s">
        <v>58</v>
      </c>
      <c r="H79" t="s">
        <v>59</v>
      </c>
      <c r="I79" t="s">
        <v>93</v>
      </c>
    </row>
    <row r="80" spans="1:9" x14ac:dyDescent="0.2">
      <c r="A80" t="s">
        <v>123</v>
      </c>
      <c r="B80">
        <v>36</v>
      </c>
      <c r="C80">
        <v>8</v>
      </c>
      <c r="D80">
        <v>4</v>
      </c>
      <c r="E80">
        <v>0</v>
      </c>
      <c r="F80">
        <v>166.664119452238</v>
      </c>
      <c r="G80">
        <v>999501</v>
      </c>
      <c r="H80">
        <v>1000000</v>
      </c>
      <c r="I80" t="s">
        <v>623</v>
      </c>
    </row>
    <row r="81" spans="1:9" x14ac:dyDescent="0.2">
      <c r="A81" t="s">
        <v>125</v>
      </c>
      <c r="B81">
        <v>72</v>
      </c>
      <c r="C81">
        <v>8</v>
      </c>
      <c r="D81">
        <v>8</v>
      </c>
      <c r="E81">
        <v>0</v>
      </c>
      <c r="F81">
        <v>261.48845990374599</v>
      </c>
      <c r="G81">
        <v>767544</v>
      </c>
      <c r="H81">
        <v>1000000</v>
      </c>
      <c r="I81" t="s">
        <v>624</v>
      </c>
    </row>
    <row r="82" spans="1:9" x14ac:dyDescent="0.2">
      <c r="A82" t="s">
        <v>127</v>
      </c>
      <c r="B82">
        <v>108</v>
      </c>
      <c r="C82">
        <v>2</v>
      </c>
      <c r="D82">
        <v>12</v>
      </c>
      <c r="E82">
        <v>0</v>
      </c>
      <c r="F82">
        <v>362.14521318674002</v>
      </c>
      <c r="G82">
        <v>114605</v>
      </c>
      <c r="H82">
        <v>1000000</v>
      </c>
      <c r="I82" t="s">
        <v>625</v>
      </c>
    </row>
    <row r="83" spans="1:9" x14ac:dyDescent="0.2">
      <c r="A83" t="s">
        <v>129</v>
      </c>
      <c r="B83">
        <v>144</v>
      </c>
      <c r="C83">
        <v>2</v>
      </c>
      <c r="D83">
        <v>13</v>
      </c>
      <c r="E83">
        <v>0</v>
      </c>
      <c r="F83">
        <v>556.34958978742304</v>
      </c>
      <c r="G83">
        <v>7007</v>
      </c>
      <c r="H83">
        <v>1000000</v>
      </c>
      <c r="I83" t="s">
        <v>626</v>
      </c>
    </row>
    <row r="84" spans="1:9" x14ac:dyDescent="0.2">
      <c r="A84" t="s">
        <v>136</v>
      </c>
      <c r="B84">
        <v>180</v>
      </c>
      <c r="C84">
        <v>2</v>
      </c>
      <c r="D84">
        <v>17</v>
      </c>
      <c r="E84">
        <v>0</v>
      </c>
      <c r="F84">
        <v>752.28831280022803</v>
      </c>
      <c r="G84">
        <v>940</v>
      </c>
      <c r="H84">
        <v>1000000</v>
      </c>
      <c r="I84" t="s">
        <v>627</v>
      </c>
    </row>
    <row r="85" spans="1:9" x14ac:dyDescent="0.2">
      <c r="A85" t="s">
        <v>138</v>
      </c>
      <c r="B85">
        <v>216</v>
      </c>
      <c r="C85">
        <v>4</v>
      </c>
      <c r="D85">
        <v>18</v>
      </c>
      <c r="E85">
        <v>0</v>
      </c>
      <c r="F85">
        <v>1028.8068337142399</v>
      </c>
      <c r="G85">
        <v>2015</v>
      </c>
      <c r="H85">
        <v>1000000</v>
      </c>
      <c r="I85" t="s">
        <v>628</v>
      </c>
    </row>
    <row r="86" spans="1:9" x14ac:dyDescent="0.2">
      <c r="A86" t="s">
        <v>140</v>
      </c>
      <c r="B86">
        <v>252</v>
      </c>
      <c r="C86">
        <v>2</v>
      </c>
      <c r="D86">
        <v>22</v>
      </c>
      <c r="E86">
        <v>1</v>
      </c>
      <c r="F86">
        <v>1281.97710657212</v>
      </c>
      <c r="G86">
        <v>187</v>
      </c>
      <c r="H86">
        <v>1000000</v>
      </c>
      <c r="I86" t="s">
        <v>629</v>
      </c>
    </row>
    <row r="87" spans="1:9" x14ac:dyDescent="0.2">
      <c r="A87" t="s">
        <v>142</v>
      </c>
      <c r="B87">
        <v>288</v>
      </c>
      <c r="C87">
        <v>2</v>
      </c>
      <c r="D87">
        <v>24</v>
      </c>
      <c r="E87">
        <v>0</v>
      </c>
      <c r="F87">
        <v>1581.0661872774299</v>
      </c>
      <c r="G87">
        <v>4</v>
      </c>
      <c r="H87">
        <v>1000000</v>
      </c>
      <c r="I87" t="s">
        <v>630</v>
      </c>
    </row>
    <row r="88" spans="1:9" x14ac:dyDescent="0.2">
      <c r="A88" t="s">
        <v>144</v>
      </c>
      <c r="B88">
        <v>324</v>
      </c>
      <c r="C88">
        <v>4</v>
      </c>
      <c r="D88">
        <v>25</v>
      </c>
      <c r="E88">
        <v>0</v>
      </c>
      <c r="F88">
        <v>2142.0398266455099</v>
      </c>
      <c r="G88">
        <v>8</v>
      </c>
      <c r="H88">
        <v>1000000</v>
      </c>
      <c r="I88" t="s">
        <v>631</v>
      </c>
    </row>
    <row r="89" spans="1:9" x14ac:dyDescent="0.2">
      <c r="A89" t="s">
        <v>146</v>
      </c>
      <c r="B89">
        <v>360</v>
      </c>
      <c r="C89">
        <v>4</v>
      </c>
      <c r="D89">
        <v>24</v>
      </c>
      <c r="E89">
        <v>0</v>
      </c>
      <c r="F89">
        <v>2653.99198402091</v>
      </c>
      <c r="G89">
        <v>15</v>
      </c>
      <c r="H89">
        <v>1000000</v>
      </c>
      <c r="I89" t="s">
        <v>632</v>
      </c>
    </row>
    <row r="90" spans="1:9" x14ac:dyDescent="0.2">
      <c r="A90" t="s">
        <v>148</v>
      </c>
      <c r="B90">
        <v>396</v>
      </c>
      <c r="C90">
        <v>4</v>
      </c>
      <c r="D90">
        <v>27</v>
      </c>
      <c r="E90">
        <v>1</v>
      </c>
      <c r="F90">
        <v>2963.3347598882301</v>
      </c>
      <c r="G90">
        <v>2</v>
      </c>
      <c r="H90">
        <v>1000000</v>
      </c>
      <c r="I90" t="s">
        <v>633</v>
      </c>
    </row>
    <row r="91" spans="1:9" x14ac:dyDescent="0.2">
      <c r="A91" t="s">
        <v>150</v>
      </c>
      <c r="B91">
        <v>432</v>
      </c>
      <c r="C91">
        <v>8</v>
      </c>
      <c r="D91">
        <v>31</v>
      </c>
      <c r="E91">
        <v>-2</v>
      </c>
      <c r="F91">
        <v>4203.2468560524203</v>
      </c>
      <c r="G91">
        <v>1</v>
      </c>
      <c r="H91">
        <v>1000000</v>
      </c>
      <c r="I91" t="s">
        <v>634</v>
      </c>
    </row>
    <row r="92" spans="1:9" x14ac:dyDescent="0.2">
      <c r="A92" t="s">
        <v>152</v>
      </c>
      <c r="B92">
        <v>468</v>
      </c>
      <c r="C92">
        <v>4</v>
      </c>
      <c r="D92">
        <v>30</v>
      </c>
      <c r="E92">
        <v>-1</v>
      </c>
      <c r="F92">
        <v>4137.6731139849799</v>
      </c>
      <c r="G92">
        <v>3</v>
      </c>
      <c r="H92">
        <v>1000000</v>
      </c>
      <c r="I92" t="s">
        <v>635</v>
      </c>
    </row>
    <row r="93" spans="1:9" x14ac:dyDescent="0.2">
      <c r="A93" t="s">
        <v>154</v>
      </c>
      <c r="B93">
        <v>496</v>
      </c>
      <c r="C93">
        <v>2</v>
      </c>
      <c r="D93">
        <v>32</v>
      </c>
      <c r="E93">
        <v>0</v>
      </c>
      <c r="F93">
        <v>3988.9020785661401</v>
      </c>
      <c r="G93">
        <v>3</v>
      </c>
      <c r="H93">
        <v>1000000</v>
      </c>
      <c r="I93" t="s">
        <v>636</v>
      </c>
    </row>
    <row r="94" spans="1:9" x14ac:dyDescent="0.2">
      <c r="A94" t="s">
        <v>156</v>
      </c>
      <c r="B94">
        <v>504</v>
      </c>
      <c r="C94">
        <v>2</v>
      </c>
      <c r="D94">
        <v>47</v>
      </c>
      <c r="E94">
        <v>2</v>
      </c>
      <c r="F94">
        <v>5003.1533655794301</v>
      </c>
      <c r="G94">
        <v>1</v>
      </c>
      <c r="H94">
        <v>1000000</v>
      </c>
      <c r="I94" t="s">
        <v>637</v>
      </c>
    </row>
    <row r="95" spans="1:9" x14ac:dyDescent="0.2">
      <c r="A95" t="s">
        <v>158</v>
      </c>
      <c r="B95">
        <v>540</v>
      </c>
      <c r="C95">
        <v>4</v>
      </c>
      <c r="D95">
        <v>50</v>
      </c>
      <c r="E95">
        <v>10</v>
      </c>
      <c r="F95">
        <v>6117.7809861460701</v>
      </c>
      <c r="G95">
        <v>2</v>
      </c>
      <c r="H95">
        <v>1000000</v>
      </c>
      <c r="I95" t="s">
        <v>638</v>
      </c>
    </row>
    <row r="96" spans="1:9" x14ac:dyDescent="0.2">
      <c r="A96" t="s">
        <v>160</v>
      </c>
      <c r="B96">
        <v>576</v>
      </c>
      <c r="C96">
        <v>2</v>
      </c>
      <c r="D96">
        <v>58</v>
      </c>
      <c r="E96">
        <v>1</v>
      </c>
      <c r="F96">
        <v>6492.0649854168296</v>
      </c>
      <c r="G96">
        <v>1</v>
      </c>
      <c r="H96">
        <v>1000000</v>
      </c>
      <c r="I96" t="s">
        <v>639</v>
      </c>
    </row>
    <row r="97" spans="1:9" x14ac:dyDescent="0.2">
      <c r="A97" t="s">
        <v>162</v>
      </c>
      <c r="B97">
        <v>576</v>
      </c>
      <c r="C97">
        <v>2</v>
      </c>
      <c r="D97">
        <v>58</v>
      </c>
      <c r="E97">
        <v>-1</v>
      </c>
      <c r="F97">
        <v>6489.1286916639601</v>
      </c>
      <c r="G97">
        <v>1</v>
      </c>
      <c r="H97">
        <v>1000000</v>
      </c>
      <c r="I97" t="s">
        <v>640</v>
      </c>
    </row>
    <row r="98" spans="1:9" x14ac:dyDescent="0.2">
      <c r="A98" t="s">
        <v>163</v>
      </c>
      <c r="B98">
        <v>612</v>
      </c>
      <c r="C98">
        <v>2</v>
      </c>
      <c r="D98">
        <v>54</v>
      </c>
      <c r="E98">
        <v>2</v>
      </c>
      <c r="F98">
        <v>7710.8433826370101</v>
      </c>
      <c r="G98">
        <v>1</v>
      </c>
      <c r="H98">
        <v>1000000</v>
      </c>
      <c r="I98" t="s">
        <v>641</v>
      </c>
    </row>
    <row r="99" spans="1:9" x14ac:dyDescent="0.2">
      <c r="A99" t="s">
        <v>165</v>
      </c>
      <c r="B99">
        <v>648</v>
      </c>
      <c r="C99">
        <v>10</v>
      </c>
      <c r="D99">
        <v>42</v>
      </c>
      <c r="E99">
        <v>-29</v>
      </c>
      <c r="F99">
        <v>10589.5615445114</v>
      </c>
      <c r="G99">
        <v>1</v>
      </c>
      <c r="H99">
        <v>1000000</v>
      </c>
      <c r="I99" t="s">
        <v>721</v>
      </c>
    </row>
    <row r="100" spans="1:9" x14ac:dyDescent="0.2">
      <c r="A100" t="s">
        <v>167</v>
      </c>
      <c r="B100">
        <v>648</v>
      </c>
      <c r="C100">
        <v>14</v>
      </c>
      <c r="D100">
        <v>36</v>
      </c>
      <c r="E100">
        <v>-14</v>
      </c>
      <c r="F100">
        <v>11653.2025199653</v>
      </c>
      <c r="G100">
        <v>2</v>
      </c>
      <c r="H100">
        <v>1000000</v>
      </c>
      <c r="I100" t="s">
        <v>722</v>
      </c>
    </row>
    <row r="101" spans="1:9" x14ac:dyDescent="0.2">
      <c r="A101" t="s">
        <v>168</v>
      </c>
      <c r="B101">
        <v>684</v>
      </c>
      <c r="C101">
        <v>2</v>
      </c>
      <c r="D101">
        <v>30</v>
      </c>
      <c r="E101">
        <v>1</v>
      </c>
      <c r="F101">
        <v>8593.7679858254196</v>
      </c>
      <c r="G101">
        <v>2</v>
      </c>
      <c r="H101">
        <v>1000000</v>
      </c>
      <c r="I101" t="s">
        <v>735</v>
      </c>
    </row>
    <row r="103" spans="1:9" x14ac:dyDescent="0.2">
      <c r="A103" t="s">
        <v>73</v>
      </c>
    </row>
    <row r="104" spans="1:9" x14ac:dyDescent="0.2">
      <c r="A104" t="s">
        <v>74</v>
      </c>
    </row>
    <row r="105" spans="1:9" x14ac:dyDescent="0.2">
      <c r="A105" t="s">
        <v>75</v>
      </c>
    </row>
    <row r="106" spans="1:9" x14ac:dyDescent="0.2">
      <c r="A106" t="s">
        <v>117</v>
      </c>
    </row>
    <row r="107" spans="1:9" x14ac:dyDescent="0.2">
      <c r="A107" t="s">
        <v>76</v>
      </c>
    </row>
    <row r="108" spans="1:9" x14ac:dyDescent="0.2">
      <c r="A108" t="s">
        <v>113</v>
      </c>
    </row>
    <row r="109" spans="1:9" x14ac:dyDescent="0.2">
      <c r="A109" t="s">
        <v>77</v>
      </c>
    </row>
    <row r="110" spans="1:9" x14ac:dyDescent="0.2">
      <c r="A110" t="s">
        <v>96</v>
      </c>
    </row>
    <row r="111" spans="1:9" x14ac:dyDescent="0.2">
      <c r="A111" t="s">
        <v>118</v>
      </c>
    </row>
    <row r="112" spans="1:9" x14ac:dyDescent="0.2">
      <c r="A112" t="s">
        <v>119</v>
      </c>
    </row>
    <row r="113" spans="1:1" x14ac:dyDescent="0.2">
      <c r="A113" t="s">
        <v>284</v>
      </c>
    </row>
    <row r="114" spans="1:1" x14ac:dyDescent="0.2">
      <c r="A114" t="s">
        <v>79</v>
      </c>
    </row>
    <row r="115" spans="1:1" x14ac:dyDescent="0.2">
      <c r="A115" t="s">
        <v>80</v>
      </c>
    </row>
    <row r="116" spans="1:1" x14ac:dyDescent="0.2">
      <c r="A116" t="s">
        <v>81</v>
      </c>
    </row>
    <row r="117" spans="1:1" x14ac:dyDescent="0.2">
      <c r="A117" t="s">
        <v>82</v>
      </c>
    </row>
    <row r="118" spans="1:1" x14ac:dyDescent="0.2">
      <c r="A118" t="s">
        <v>120</v>
      </c>
    </row>
    <row r="119" spans="1:1" x14ac:dyDescent="0.2">
      <c r="A119" t="s">
        <v>121</v>
      </c>
    </row>
    <row r="120" spans="1:1" x14ac:dyDescent="0.2">
      <c r="A120" t="s">
        <v>83</v>
      </c>
    </row>
    <row r="121" spans="1:1" x14ac:dyDescent="0.2">
      <c r="A121" t="s">
        <v>84</v>
      </c>
    </row>
    <row r="122" spans="1:1" x14ac:dyDescent="0.2">
      <c r="A122" t="s">
        <v>85</v>
      </c>
    </row>
    <row r="123" spans="1:1" x14ac:dyDescent="0.2">
      <c r="A123" t="s">
        <v>86</v>
      </c>
    </row>
    <row r="124" spans="1:1" x14ac:dyDescent="0.2">
      <c r="A124" t="s">
        <v>87</v>
      </c>
    </row>
    <row r="125" spans="1:1" x14ac:dyDescent="0.2">
      <c r="A125" t="s">
        <v>88</v>
      </c>
    </row>
    <row r="126" spans="1:1" x14ac:dyDescent="0.2">
      <c r="A126" t="s">
        <v>105</v>
      </c>
    </row>
    <row r="127" spans="1:1" x14ac:dyDescent="0.2">
      <c r="A127" t="s">
        <v>89</v>
      </c>
    </row>
    <row r="128" spans="1:1" x14ac:dyDescent="0.2">
      <c r="A128" t="s">
        <v>642</v>
      </c>
    </row>
    <row r="129" spans="1:9" x14ac:dyDescent="0.2">
      <c r="A129" t="s">
        <v>90</v>
      </c>
    </row>
    <row r="130" spans="1:9" x14ac:dyDescent="0.2">
      <c r="A130" t="s">
        <v>70</v>
      </c>
      <c r="B130" t="s">
        <v>61</v>
      </c>
      <c r="C130" t="s">
        <v>71</v>
      </c>
      <c r="D130" t="s">
        <v>72</v>
      </c>
      <c r="E130" t="s">
        <v>91</v>
      </c>
      <c r="F130" t="s">
        <v>92</v>
      </c>
      <c r="G130" t="s">
        <v>58</v>
      </c>
      <c r="H130" t="s">
        <v>59</v>
      </c>
      <c r="I130" t="s">
        <v>93</v>
      </c>
    </row>
    <row r="131" spans="1:9" x14ac:dyDescent="0.2">
      <c r="A131" t="s">
        <v>123</v>
      </c>
      <c r="B131">
        <v>36</v>
      </c>
      <c r="C131">
        <v>8</v>
      </c>
      <c r="D131">
        <v>4</v>
      </c>
      <c r="E131">
        <v>0</v>
      </c>
      <c r="F131">
        <v>169.60701970010899</v>
      </c>
      <c r="G131">
        <v>999448</v>
      </c>
      <c r="H131">
        <v>1000000</v>
      </c>
      <c r="I131" t="s">
        <v>643</v>
      </c>
    </row>
    <row r="132" spans="1:9" x14ac:dyDescent="0.2">
      <c r="A132" t="s">
        <v>125</v>
      </c>
      <c r="B132">
        <v>72</v>
      </c>
      <c r="C132">
        <v>8</v>
      </c>
      <c r="D132">
        <v>8</v>
      </c>
      <c r="E132">
        <v>0</v>
      </c>
      <c r="F132">
        <v>263.72246016096301</v>
      </c>
      <c r="G132">
        <v>767862</v>
      </c>
      <c r="H132">
        <v>1000000</v>
      </c>
      <c r="I132" t="s">
        <v>644</v>
      </c>
    </row>
    <row r="133" spans="1:9" x14ac:dyDescent="0.2">
      <c r="A133" t="s">
        <v>127</v>
      </c>
      <c r="B133">
        <v>108</v>
      </c>
      <c r="C133">
        <v>2</v>
      </c>
      <c r="D133">
        <v>12</v>
      </c>
      <c r="E133">
        <v>0</v>
      </c>
      <c r="F133">
        <v>365.25237669516298</v>
      </c>
      <c r="G133">
        <v>115140</v>
      </c>
      <c r="H133">
        <v>1000000</v>
      </c>
      <c r="I133" t="s">
        <v>645</v>
      </c>
    </row>
    <row r="134" spans="1:9" x14ac:dyDescent="0.2">
      <c r="A134" t="s">
        <v>129</v>
      </c>
      <c r="B134">
        <v>144</v>
      </c>
      <c r="C134">
        <v>2</v>
      </c>
      <c r="D134">
        <v>13</v>
      </c>
      <c r="E134">
        <v>0</v>
      </c>
      <c r="F134">
        <v>557.98868540860701</v>
      </c>
      <c r="G134">
        <v>6758</v>
      </c>
      <c r="H134">
        <v>1000000</v>
      </c>
      <c r="I134" t="s">
        <v>646</v>
      </c>
    </row>
    <row r="135" spans="1:9" x14ac:dyDescent="0.2">
      <c r="A135" t="s">
        <v>136</v>
      </c>
      <c r="B135">
        <v>180</v>
      </c>
      <c r="C135">
        <v>2</v>
      </c>
      <c r="D135">
        <v>17</v>
      </c>
      <c r="E135">
        <v>0</v>
      </c>
      <c r="F135">
        <v>750.45335223153199</v>
      </c>
      <c r="G135">
        <v>1087</v>
      </c>
      <c r="H135">
        <v>1000000</v>
      </c>
      <c r="I135" t="s">
        <v>647</v>
      </c>
    </row>
    <row r="136" spans="1:9" x14ac:dyDescent="0.2">
      <c r="A136" t="s">
        <v>138</v>
      </c>
      <c r="B136">
        <v>216</v>
      </c>
      <c r="C136">
        <v>4</v>
      </c>
      <c r="D136">
        <v>18</v>
      </c>
      <c r="E136">
        <v>0</v>
      </c>
      <c r="F136">
        <v>1033.2122413106199</v>
      </c>
      <c r="G136">
        <v>2152</v>
      </c>
      <c r="H136">
        <v>1000000</v>
      </c>
      <c r="I136" t="s">
        <v>648</v>
      </c>
    </row>
    <row r="137" spans="1:9" x14ac:dyDescent="0.2">
      <c r="A137" t="s">
        <v>140</v>
      </c>
      <c r="B137">
        <v>252</v>
      </c>
      <c r="C137">
        <v>2</v>
      </c>
      <c r="D137">
        <v>22</v>
      </c>
      <c r="E137">
        <v>1</v>
      </c>
      <c r="F137">
        <v>1283.9584995191501</v>
      </c>
      <c r="G137">
        <v>212</v>
      </c>
      <c r="H137">
        <v>1000000</v>
      </c>
      <c r="I137" t="s">
        <v>649</v>
      </c>
    </row>
    <row r="138" spans="1:9" x14ac:dyDescent="0.2">
      <c r="A138" t="s">
        <v>142</v>
      </c>
      <c r="B138">
        <v>288</v>
      </c>
      <c r="C138">
        <v>2</v>
      </c>
      <c r="D138">
        <v>24</v>
      </c>
      <c r="E138">
        <v>0</v>
      </c>
      <c r="F138">
        <v>1593.53481154982</v>
      </c>
      <c r="G138">
        <v>3</v>
      </c>
      <c r="H138">
        <v>1000000</v>
      </c>
      <c r="I138" t="s">
        <v>650</v>
      </c>
    </row>
    <row r="139" spans="1:9" x14ac:dyDescent="0.2">
      <c r="A139" t="s">
        <v>144</v>
      </c>
      <c r="B139">
        <v>324</v>
      </c>
      <c r="C139">
        <v>4</v>
      </c>
      <c r="D139">
        <v>25</v>
      </c>
      <c r="E139">
        <v>0</v>
      </c>
      <c r="F139">
        <v>2143.16999988723</v>
      </c>
      <c r="G139">
        <v>6</v>
      </c>
      <c r="H139">
        <v>1000000</v>
      </c>
      <c r="I139" t="s">
        <v>651</v>
      </c>
    </row>
    <row r="140" spans="1:9" x14ac:dyDescent="0.2">
      <c r="A140" t="s">
        <v>146</v>
      </c>
      <c r="B140">
        <v>360</v>
      </c>
      <c r="C140">
        <v>4</v>
      </c>
      <c r="D140">
        <v>24</v>
      </c>
      <c r="E140">
        <v>0</v>
      </c>
      <c r="F140">
        <v>2657.6929834391899</v>
      </c>
      <c r="G140">
        <v>23</v>
      </c>
      <c r="H140">
        <v>1000000</v>
      </c>
      <c r="I140" t="s">
        <v>652</v>
      </c>
    </row>
    <row r="141" spans="1:9" x14ac:dyDescent="0.2">
      <c r="A141" t="s">
        <v>148</v>
      </c>
      <c r="B141">
        <v>396</v>
      </c>
      <c r="C141">
        <v>4</v>
      </c>
      <c r="D141">
        <v>27</v>
      </c>
      <c r="E141">
        <v>1</v>
      </c>
      <c r="F141">
        <v>2990.00425736326</v>
      </c>
      <c r="G141">
        <v>3</v>
      </c>
      <c r="H141">
        <v>1000000</v>
      </c>
      <c r="I141" t="s">
        <v>653</v>
      </c>
    </row>
    <row r="142" spans="1:9" x14ac:dyDescent="0.2">
      <c r="A142" t="s">
        <v>150</v>
      </c>
      <c r="B142">
        <v>432</v>
      </c>
      <c r="C142">
        <v>8</v>
      </c>
      <c r="D142">
        <v>32</v>
      </c>
      <c r="E142">
        <v>-1</v>
      </c>
      <c r="F142">
        <v>4172.7408227911201</v>
      </c>
      <c r="G142">
        <v>2</v>
      </c>
      <c r="H142">
        <v>1000000</v>
      </c>
      <c r="I142" t="s">
        <v>654</v>
      </c>
    </row>
    <row r="143" spans="1:9" x14ac:dyDescent="0.2">
      <c r="A143" t="s">
        <v>152</v>
      </c>
      <c r="B143">
        <v>468</v>
      </c>
      <c r="C143">
        <v>4</v>
      </c>
      <c r="D143">
        <v>30</v>
      </c>
      <c r="E143">
        <v>-1</v>
      </c>
      <c r="F143">
        <v>4130.7804128332</v>
      </c>
      <c r="G143">
        <v>3</v>
      </c>
      <c r="H143">
        <v>1000000</v>
      </c>
      <c r="I143" t="s">
        <v>655</v>
      </c>
    </row>
    <row r="144" spans="1:9" x14ac:dyDescent="0.2">
      <c r="A144" t="s">
        <v>154</v>
      </c>
      <c r="B144">
        <v>496</v>
      </c>
      <c r="C144">
        <v>2</v>
      </c>
      <c r="D144">
        <v>32</v>
      </c>
      <c r="E144">
        <v>0</v>
      </c>
      <c r="F144">
        <v>3995.2010430106802</v>
      </c>
      <c r="G144">
        <v>2</v>
      </c>
      <c r="H144">
        <v>1000000</v>
      </c>
      <c r="I144" t="s">
        <v>656</v>
      </c>
    </row>
    <row r="145" spans="1:9" x14ac:dyDescent="0.2">
      <c r="A145" t="s">
        <v>156</v>
      </c>
      <c r="B145">
        <v>504</v>
      </c>
      <c r="C145">
        <v>2</v>
      </c>
      <c r="D145">
        <v>48</v>
      </c>
      <c r="E145">
        <v>3</v>
      </c>
      <c r="F145">
        <v>4996.7692787768301</v>
      </c>
      <c r="G145">
        <v>4</v>
      </c>
      <c r="H145">
        <v>1000000</v>
      </c>
      <c r="I145" t="s">
        <v>657</v>
      </c>
    </row>
    <row r="146" spans="1:9" x14ac:dyDescent="0.2">
      <c r="A146" t="s">
        <v>158</v>
      </c>
      <c r="B146">
        <v>540</v>
      </c>
      <c r="C146">
        <v>4</v>
      </c>
      <c r="D146">
        <v>48</v>
      </c>
      <c r="E146">
        <v>8</v>
      </c>
      <c r="F146">
        <v>6103.4639980038601</v>
      </c>
      <c r="G146">
        <v>1</v>
      </c>
      <c r="H146">
        <v>1000000</v>
      </c>
      <c r="I146" t="s">
        <v>658</v>
      </c>
    </row>
    <row r="147" spans="1:9" x14ac:dyDescent="0.2">
      <c r="A147" t="s">
        <v>160</v>
      </c>
      <c r="B147">
        <v>576</v>
      </c>
      <c r="C147">
        <v>2</v>
      </c>
      <c r="D147">
        <v>55</v>
      </c>
      <c r="E147">
        <v>-2</v>
      </c>
      <c r="F147">
        <v>6493.8264458170097</v>
      </c>
      <c r="G147">
        <v>1</v>
      </c>
      <c r="H147">
        <v>1000000</v>
      </c>
      <c r="I147" t="s">
        <v>659</v>
      </c>
    </row>
    <row r="148" spans="1:9" x14ac:dyDescent="0.2">
      <c r="A148" t="s">
        <v>162</v>
      </c>
      <c r="B148">
        <v>576</v>
      </c>
      <c r="C148">
        <v>2</v>
      </c>
      <c r="D148">
        <v>49</v>
      </c>
      <c r="E148">
        <v>-10</v>
      </c>
      <c r="F148">
        <v>6522.2132699312597</v>
      </c>
      <c r="G148">
        <v>1</v>
      </c>
      <c r="H148">
        <v>1000000</v>
      </c>
      <c r="I148" t="s">
        <v>660</v>
      </c>
    </row>
    <row r="149" spans="1:9" x14ac:dyDescent="0.2">
      <c r="A149" t="s">
        <v>163</v>
      </c>
      <c r="B149">
        <v>612</v>
      </c>
      <c r="C149">
        <v>2</v>
      </c>
      <c r="D149">
        <v>52</v>
      </c>
      <c r="E149">
        <v>0</v>
      </c>
      <c r="F149">
        <v>7716.6750454632502</v>
      </c>
      <c r="G149">
        <v>1</v>
      </c>
      <c r="H149">
        <v>1000000</v>
      </c>
      <c r="I149" t="s">
        <v>661</v>
      </c>
    </row>
    <row r="150" spans="1:9" x14ac:dyDescent="0.2">
      <c r="A150" t="s">
        <v>165</v>
      </c>
      <c r="B150">
        <v>648</v>
      </c>
      <c r="C150">
        <v>10</v>
      </c>
      <c r="D150">
        <v>37</v>
      </c>
      <c r="E150">
        <v>-34</v>
      </c>
      <c r="F150">
        <v>10573.520969585499</v>
      </c>
      <c r="G150">
        <v>1</v>
      </c>
      <c r="H150">
        <v>1000000</v>
      </c>
      <c r="I150" t="s">
        <v>723</v>
      </c>
    </row>
    <row r="151" spans="1:9" x14ac:dyDescent="0.2">
      <c r="A151" t="s">
        <v>167</v>
      </c>
      <c r="B151">
        <v>648</v>
      </c>
      <c r="C151">
        <v>14</v>
      </c>
      <c r="D151">
        <v>29</v>
      </c>
      <c r="E151">
        <v>-21</v>
      </c>
      <c r="F151">
        <v>11627.852505208901</v>
      </c>
      <c r="G151">
        <v>1</v>
      </c>
      <c r="H151">
        <v>1000000</v>
      </c>
      <c r="I151" t="s">
        <v>724</v>
      </c>
    </row>
    <row r="152" spans="1:9" x14ac:dyDescent="0.2">
      <c r="A152" t="s">
        <v>168</v>
      </c>
      <c r="B152">
        <v>684</v>
      </c>
      <c r="C152">
        <v>2</v>
      </c>
      <c r="D152">
        <v>29</v>
      </c>
      <c r="E152">
        <v>0</v>
      </c>
      <c r="F152">
        <v>8622.5307433493399</v>
      </c>
      <c r="G152">
        <v>3</v>
      </c>
      <c r="H152">
        <v>1000000</v>
      </c>
      <c r="I152" t="s">
        <v>736</v>
      </c>
    </row>
    <row r="154" spans="1:9" x14ac:dyDescent="0.2">
      <c r="A154" t="s">
        <v>73</v>
      </c>
    </row>
    <row r="155" spans="1:9" x14ac:dyDescent="0.2">
      <c r="A155" t="s">
        <v>74</v>
      </c>
    </row>
    <row r="156" spans="1:9" x14ac:dyDescent="0.2">
      <c r="A156" t="s">
        <v>75</v>
      </c>
    </row>
    <row r="157" spans="1:9" x14ac:dyDescent="0.2">
      <c r="A157" t="s">
        <v>117</v>
      </c>
    </row>
    <row r="158" spans="1:9" x14ac:dyDescent="0.2">
      <c r="A158" t="s">
        <v>76</v>
      </c>
    </row>
    <row r="159" spans="1:9" x14ac:dyDescent="0.2">
      <c r="A159" t="s">
        <v>113</v>
      </c>
    </row>
    <row r="160" spans="1:9" x14ac:dyDescent="0.2">
      <c r="A160" t="s">
        <v>77</v>
      </c>
    </row>
    <row r="161" spans="1:1" x14ac:dyDescent="0.2">
      <c r="A161" t="s">
        <v>96</v>
      </c>
    </row>
    <row r="162" spans="1:1" x14ac:dyDescent="0.2">
      <c r="A162" t="s">
        <v>118</v>
      </c>
    </row>
    <row r="163" spans="1:1" x14ac:dyDescent="0.2">
      <c r="A163" t="s">
        <v>119</v>
      </c>
    </row>
    <row r="164" spans="1:1" x14ac:dyDescent="0.2">
      <c r="A164" t="s">
        <v>284</v>
      </c>
    </row>
    <row r="165" spans="1:1" x14ac:dyDescent="0.2">
      <c r="A165" t="s">
        <v>79</v>
      </c>
    </row>
    <row r="166" spans="1:1" x14ac:dyDescent="0.2">
      <c r="A166" t="s">
        <v>80</v>
      </c>
    </row>
    <row r="167" spans="1:1" x14ac:dyDescent="0.2">
      <c r="A167" t="s">
        <v>81</v>
      </c>
    </row>
    <row r="168" spans="1:1" x14ac:dyDescent="0.2">
      <c r="A168" t="s">
        <v>82</v>
      </c>
    </row>
    <row r="169" spans="1:1" x14ac:dyDescent="0.2">
      <c r="A169" t="s">
        <v>120</v>
      </c>
    </row>
    <row r="170" spans="1:1" x14ac:dyDescent="0.2">
      <c r="A170" t="s">
        <v>121</v>
      </c>
    </row>
    <row r="171" spans="1:1" x14ac:dyDescent="0.2">
      <c r="A171" t="s">
        <v>83</v>
      </c>
    </row>
    <row r="172" spans="1:1" x14ac:dyDescent="0.2">
      <c r="A172" t="s">
        <v>84</v>
      </c>
    </row>
    <row r="173" spans="1:1" x14ac:dyDescent="0.2">
      <c r="A173" t="s">
        <v>85</v>
      </c>
    </row>
    <row r="174" spans="1:1" x14ac:dyDescent="0.2">
      <c r="A174" t="s">
        <v>86</v>
      </c>
    </row>
    <row r="175" spans="1:1" x14ac:dyDescent="0.2">
      <c r="A175" t="s">
        <v>87</v>
      </c>
    </row>
    <row r="176" spans="1:1" x14ac:dyDescent="0.2">
      <c r="A176" t="s">
        <v>88</v>
      </c>
    </row>
    <row r="177" spans="1:9" x14ac:dyDescent="0.2">
      <c r="A177" t="s">
        <v>105</v>
      </c>
    </row>
    <row r="178" spans="1:9" x14ac:dyDescent="0.2">
      <c r="A178" t="s">
        <v>89</v>
      </c>
    </row>
    <row r="179" spans="1:9" x14ac:dyDescent="0.2">
      <c r="A179" t="s">
        <v>662</v>
      </c>
    </row>
    <row r="180" spans="1:9" x14ac:dyDescent="0.2">
      <c r="A180" t="s">
        <v>90</v>
      </c>
    </row>
    <row r="181" spans="1:9" x14ac:dyDescent="0.2">
      <c r="A181" t="s">
        <v>70</v>
      </c>
      <c r="B181" t="s">
        <v>61</v>
      </c>
      <c r="C181" t="s">
        <v>71</v>
      </c>
      <c r="D181" t="s">
        <v>72</v>
      </c>
      <c r="E181" t="s">
        <v>91</v>
      </c>
      <c r="F181" t="s">
        <v>92</v>
      </c>
      <c r="G181" t="s">
        <v>58</v>
      </c>
      <c r="H181" t="s">
        <v>59</v>
      </c>
      <c r="I181" t="s">
        <v>93</v>
      </c>
    </row>
    <row r="182" spans="1:9" x14ac:dyDescent="0.2">
      <c r="A182" t="s">
        <v>123</v>
      </c>
      <c r="B182">
        <v>36</v>
      </c>
      <c r="C182">
        <v>8</v>
      </c>
      <c r="D182">
        <v>4</v>
      </c>
      <c r="E182">
        <v>0</v>
      </c>
      <c r="F182">
        <v>172.12114094756501</v>
      </c>
      <c r="G182">
        <v>999447</v>
      </c>
      <c r="H182">
        <v>1000000</v>
      </c>
      <c r="I182" t="s">
        <v>663</v>
      </c>
    </row>
    <row r="183" spans="1:9" x14ac:dyDescent="0.2">
      <c r="A183" t="s">
        <v>125</v>
      </c>
      <c r="B183">
        <v>72</v>
      </c>
      <c r="C183">
        <v>8</v>
      </c>
      <c r="D183">
        <v>8</v>
      </c>
      <c r="E183">
        <v>0</v>
      </c>
      <c r="F183">
        <v>271.69639981444902</v>
      </c>
      <c r="G183">
        <v>766730</v>
      </c>
      <c r="H183">
        <v>1000000</v>
      </c>
      <c r="I183" t="s">
        <v>664</v>
      </c>
    </row>
    <row r="184" spans="1:9" x14ac:dyDescent="0.2">
      <c r="A184" t="s">
        <v>127</v>
      </c>
      <c r="B184">
        <v>108</v>
      </c>
      <c r="C184">
        <v>2</v>
      </c>
      <c r="D184">
        <v>12</v>
      </c>
      <c r="E184">
        <v>0</v>
      </c>
      <c r="F184">
        <v>371.28646507300402</v>
      </c>
      <c r="G184">
        <v>114928</v>
      </c>
      <c r="H184">
        <v>1000000</v>
      </c>
      <c r="I184" t="s">
        <v>665</v>
      </c>
    </row>
    <row r="185" spans="1:9" x14ac:dyDescent="0.2">
      <c r="A185" t="s">
        <v>129</v>
      </c>
      <c r="B185">
        <v>144</v>
      </c>
      <c r="C185">
        <v>2</v>
      </c>
      <c r="D185">
        <v>13</v>
      </c>
      <c r="E185">
        <v>0</v>
      </c>
      <c r="F185">
        <v>561.458372727967</v>
      </c>
      <c r="G185">
        <v>6695</v>
      </c>
      <c r="H185">
        <v>1000000</v>
      </c>
      <c r="I185" t="s">
        <v>666</v>
      </c>
    </row>
    <row r="186" spans="1:9" x14ac:dyDescent="0.2">
      <c r="A186" t="s">
        <v>136</v>
      </c>
      <c r="B186">
        <v>180</v>
      </c>
      <c r="C186">
        <v>2</v>
      </c>
      <c r="D186">
        <v>17</v>
      </c>
      <c r="E186">
        <v>0</v>
      </c>
      <c r="F186">
        <v>759.03612489160105</v>
      </c>
      <c r="G186">
        <v>1001</v>
      </c>
      <c r="H186">
        <v>1000000</v>
      </c>
      <c r="I186" t="s">
        <v>667</v>
      </c>
    </row>
    <row r="187" spans="1:9" x14ac:dyDescent="0.2">
      <c r="A187" t="s">
        <v>138</v>
      </c>
      <c r="B187">
        <v>216</v>
      </c>
      <c r="C187">
        <v>4</v>
      </c>
      <c r="D187">
        <v>18</v>
      </c>
      <c r="E187">
        <v>0</v>
      </c>
      <c r="F187">
        <v>1099.775871302</v>
      </c>
      <c r="G187">
        <v>2116</v>
      </c>
      <c r="H187">
        <v>1000000</v>
      </c>
      <c r="I187" t="s">
        <v>668</v>
      </c>
    </row>
    <row r="188" spans="1:9" x14ac:dyDescent="0.2">
      <c r="A188" t="s">
        <v>140</v>
      </c>
      <c r="B188">
        <v>252</v>
      </c>
      <c r="C188">
        <v>2</v>
      </c>
      <c r="D188">
        <v>22</v>
      </c>
      <c r="E188">
        <v>1</v>
      </c>
      <c r="F188">
        <v>1390.93051197007</v>
      </c>
      <c r="G188">
        <v>197</v>
      </c>
      <c r="H188">
        <v>1000000</v>
      </c>
      <c r="I188" t="s">
        <v>669</v>
      </c>
    </row>
    <row r="189" spans="1:9" x14ac:dyDescent="0.2">
      <c r="A189" t="s">
        <v>142</v>
      </c>
      <c r="B189">
        <v>288</v>
      </c>
      <c r="C189">
        <v>2</v>
      </c>
      <c r="D189">
        <v>24</v>
      </c>
      <c r="E189">
        <v>0</v>
      </c>
      <c r="F189">
        <v>1706.7448066771001</v>
      </c>
      <c r="G189">
        <v>2</v>
      </c>
      <c r="H189">
        <v>1000000</v>
      </c>
      <c r="I189" t="s">
        <v>670</v>
      </c>
    </row>
    <row r="190" spans="1:9" x14ac:dyDescent="0.2">
      <c r="A190" t="s">
        <v>144</v>
      </c>
      <c r="B190">
        <v>324</v>
      </c>
      <c r="C190">
        <v>4</v>
      </c>
      <c r="D190">
        <v>25</v>
      </c>
      <c r="E190">
        <v>0</v>
      </c>
      <c r="F190">
        <v>2251.3850308740498</v>
      </c>
      <c r="G190">
        <v>10</v>
      </c>
      <c r="H190">
        <v>1000000</v>
      </c>
      <c r="I190" t="s">
        <v>671</v>
      </c>
    </row>
    <row r="191" spans="1:9" x14ac:dyDescent="0.2">
      <c r="A191" t="s">
        <v>146</v>
      </c>
      <c r="B191">
        <v>360</v>
      </c>
      <c r="C191">
        <v>4</v>
      </c>
      <c r="D191">
        <v>24</v>
      </c>
      <c r="E191">
        <v>0</v>
      </c>
      <c r="F191">
        <v>2673.7250264137901</v>
      </c>
      <c r="G191">
        <v>33</v>
      </c>
      <c r="H191">
        <v>1000000</v>
      </c>
      <c r="I191" t="s">
        <v>672</v>
      </c>
    </row>
    <row r="192" spans="1:9" x14ac:dyDescent="0.2">
      <c r="A192" t="s">
        <v>148</v>
      </c>
      <c r="B192">
        <v>396</v>
      </c>
      <c r="C192">
        <v>4</v>
      </c>
      <c r="D192">
        <v>27</v>
      </c>
      <c r="E192">
        <v>1</v>
      </c>
      <c r="F192">
        <v>2984.98891058564</v>
      </c>
      <c r="G192">
        <v>2</v>
      </c>
      <c r="H192">
        <v>1000000</v>
      </c>
      <c r="I192" t="s">
        <v>673</v>
      </c>
    </row>
    <row r="193" spans="1:9" x14ac:dyDescent="0.2">
      <c r="A193" t="s">
        <v>150</v>
      </c>
      <c r="B193">
        <v>432</v>
      </c>
      <c r="C193">
        <v>8</v>
      </c>
      <c r="D193">
        <v>30</v>
      </c>
      <c r="E193">
        <v>-3</v>
      </c>
      <c r="F193">
        <v>4187.3776613669397</v>
      </c>
      <c r="G193">
        <v>1</v>
      </c>
      <c r="H193">
        <v>1000000</v>
      </c>
      <c r="I193" t="s">
        <v>674</v>
      </c>
    </row>
    <row r="194" spans="1:9" x14ac:dyDescent="0.2">
      <c r="A194" t="s">
        <v>152</v>
      </c>
      <c r="B194">
        <v>468</v>
      </c>
      <c r="C194">
        <v>4</v>
      </c>
      <c r="D194">
        <v>30</v>
      </c>
      <c r="E194">
        <v>-1</v>
      </c>
      <c r="F194">
        <v>4123.8002041857599</v>
      </c>
      <c r="G194">
        <v>2</v>
      </c>
      <c r="H194">
        <v>1000000</v>
      </c>
      <c r="I194" t="s">
        <v>675</v>
      </c>
    </row>
    <row r="195" spans="1:9" x14ac:dyDescent="0.2">
      <c r="A195" t="s">
        <v>154</v>
      </c>
      <c r="B195">
        <v>496</v>
      </c>
      <c r="C195">
        <v>2</v>
      </c>
      <c r="D195">
        <v>32</v>
      </c>
      <c r="E195">
        <v>0</v>
      </c>
      <c r="F195">
        <v>3957.6966742482</v>
      </c>
      <c r="G195">
        <v>4</v>
      </c>
      <c r="H195">
        <v>1000000</v>
      </c>
      <c r="I195" t="s">
        <v>676</v>
      </c>
    </row>
    <row r="196" spans="1:9" x14ac:dyDescent="0.2">
      <c r="A196" t="s">
        <v>156</v>
      </c>
      <c r="B196">
        <v>504</v>
      </c>
      <c r="C196">
        <v>2</v>
      </c>
      <c r="D196">
        <v>47</v>
      </c>
      <c r="E196">
        <v>2</v>
      </c>
      <c r="F196">
        <v>4982.7746851369702</v>
      </c>
      <c r="G196">
        <v>2</v>
      </c>
      <c r="H196">
        <v>1000000</v>
      </c>
      <c r="I196" t="s">
        <v>677</v>
      </c>
    </row>
    <row r="197" spans="1:9" x14ac:dyDescent="0.2">
      <c r="A197" t="s">
        <v>158</v>
      </c>
      <c r="B197">
        <v>540</v>
      </c>
      <c r="C197">
        <v>4</v>
      </c>
      <c r="D197">
        <v>51</v>
      </c>
      <c r="E197">
        <v>11</v>
      </c>
      <c r="F197">
        <v>6107.9278165819096</v>
      </c>
      <c r="G197">
        <v>1</v>
      </c>
      <c r="H197">
        <v>1000000</v>
      </c>
      <c r="I197" t="s">
        <v>678</v>
      </c>
    </row>
    <row r="198" spans="1:9" x14ac:dyDescent="0.2">
      <c r="A198" t="s">
        <v>160</v>
      </c>
      <c r="B198">
        <v>576</v>
      </c>
      <c r="C198">
        <v>2</v>
      </c>
      <c r="D198">
        <v>59</v>
      </c>
      <c r="E198">
        <v>2</v>
      </c>
      <c r="F198">
        <v>6427.5531640583604</v>
      </c>
      <c r="G198">
        <v>1</v>
      </c>
      <c r="H198">
        <v>1000000</v>
      </c>
      <c r="I198" t="s">
        <v>679</v>
      </c>
    </row>
    <row r="199" spans="1:9" x14ac:dyDescent="0.2">
      <c r="A199" t="s">
        <v>162</v>
      </c>
      <c r="B199">
        <v>576</v>
      </c>
      <c r="C199">
        <v>2</v>
      </c>
      <c r="D199">
        <v>59</v>
      </c>
      <c r="E199">
        <v>0</v>
      </c>
      <c r="F199">
        <v>6461.2970507424297</v>
      </c>
      <c r="G199">
        <v>2</v>
      </c>
      <c r="H199">
        <v>1000000</v>
      </c>
      <c r="I199" t="s">
        <v>680</v>
      </c>
    </row>
    <row r="200" spans="1:9" x14ac:dyDescent="0.2">
      <c r="A200" t="s">
        <v>163</v>
      </c>
      <c r="B200">
        <v>612</v>
      </c>
      <c r="C200">
        <v>2</v>
      </c>
      <c r="D200">
        <v>52</v>
      </c>
      <c r="E200">
        <v>0</v>
      </c>
      <c r="F200">
        <v>7669.4780733548096</v>
      </c>
      <c r="G200">
        <v>1</v>
      </c>
      <c r="H200">
        <v>1000000</v>
      </c>
      <c r="I200" t="s">
        <v>681</v>
      </c>
    </row>
    <row r="201" spans="1:9" x14ac:dyDescent="0.2">
      <c r="A201" t="s">
        <v>165</v>
      </c>
      <c r="B201">
        <v>648</v>
      </c>
      <c r="C201">
        <v>10</v>
      </c>
      <c r="D201">
        <v>47</v>
      </c>
      <c r="E201">
        <v>-24</v>
      </c>
      <c r="F201">
        <v>10479.4918750496</v>
      </c>
      <c r="G201">
        <v>1</v>
      </c>
      <c r="H201">
        <v>1000000</v>
      </c>
      <c r="I201" t="s">
        <v>725</v>
      </c>
    </row>
    <row r="202" spans="1:9" x14ac:dyDescent="0.2">
      <c r="A202" t="s">
        <v>167</v>
      </c>
      <c r="B202">
        <v>648</v>
      </c>
      <c r="C202">
        <v>14</v>
      </c>
      <c r="D202">
        <v>29</v>
      </c>
      <c r="E202">
        <v>-21</v>
      </c>
      <c r="F202">
        <v>11558.0630853781</v>
      </c>
      <c r="G202">
        <v>2</v>
      </c>
      <c r="H202">
        <v>1000000</v>
      </c>
      <c r="I202" t="s">
        <v>726</v>
      </c>
    </row>
    <row r="203" spans="1:9" x14ac:dyDescent="0.2">
      <c r="A203" t="s">
        <v>168</v>
      </c>
      <c r="B203">
        <v>684</v>
      </c>
      <c r="C203">
        <v>2</v>
      </c>
      <c r="D203">
        <v>30</v>
      </c>
      <c r="E203">
        <v>1</v>
      </c>
      <c r="F203">
        <v>8574.9660587198996</v>
      </c>
      <c r="G203">
        <v>3</v>
      </c>
      <c r="H203">
        <v>1000000</v>
      </c>
      <c r="I203" t="s">
        <v>737</v>
      </c>
    </row>
    <row r="205" spans="1:9" x14ac:dyDescent="0.2">
      <c r="A205" t="s">
        <v>73</v>
      </c>
    </row>
    <row r="206" spans="1:9" x14ac:dyDescent="0.2">
      <c r="A206" t="s">
        <v>74</v>
      </c>
    </row>
    <row r="207" spans="1:9" x14ac:dyDescent="0.2">
      <c r="A207" t="s">
        <v>75</v>
      </c>
    </row>
    <row r="208" spans="1:9" x14ac:dyDescent="0.2">
      <c r="A208" t="s">
        <v>117</v>
      </c>
    </row>
    <row r="209" spans="1:1" x14ac:dyDescent="0.2">
      <c r="A209" t="s">
        <v>76</v>
      </c>
    </row>
    <row r="210" spans="1:1" x14ac:dyDescent="0.2">
      <c r="A210" t="s">
        <v>113</v>
      </c>
    </row>
    <row r="211" spans="1:1" x14ac:dyDescent="0.2">
      <c r="A211" t="s">
        <v>77</v>
      </c>
    </row>
    <row r="212" spans="1:1" x14ac:dyDescent="0.2">
      <c r="A212" t="s">
        <v>96</v>
      </c>
    </row>
    <row r="213" spans="1:1" x14ac:dyDescent="0.2">
      <c r="A213" t="s">
        <v>118</v>
      </c>
    </row>
    <row r="214" spans="1:1" x14ac:dyDescent="0.2">
      <c r="A214" t="s">
        <v>119</v>
      </c>
    </row>
    <row r="215" spans="1:1" x14ac:dyDescent="0.2">
      <c r="A215" t="s">
        <v>284</v>
      </c>
    </row>
    <row r="216" spans="1:1" x14ac:dyDescent="0.2">
      <c r="A216" t="s">
        <v>79</v>
      </c>
    </row>
    <row r="217" spans="1:1" x14ac:dyDescent="0.2">
      <c r="A217" t="s">
        <v>80</v>
      </c>
    </row>
    <row r="218" spans="1:1" x14ac:dyDescent="0.2">
      <c r="A218" t="s">
        <v>81</v>
      </c>
    </row>
    <row r="219" spans="1:1" x14ac:dyDescent="0.2">
      <c r="A219" t="s">
        <v>82</v>
      </c>
    </row>
    <row r="220" spans="1:1" x14ac:dyDescent="0.2">
      <c r="A220" t="s">
        <v>120</v>
      </c>
    </row>
    <row r="221" spans="1:1" x14ac:dyDescent="0.2">
      <c r="A221" t="s">
        <v>121</v>
      </c>
    </row>
    <row r="222" spans="1:1" x14ac:dyDescent="0.2">
      <c r="A222" t="s">
        <v>83</v>
      </c>
    </row>
    <row r="223" spans="1:1" x14ac:dyDescent="0.2">
      <c r="A223" t="s">
        <v>84</v>
      </c>
    </row>
    <row r="224" spans="1:1" x14ac:dyDescent="0.2">
      <c r="A224" t="s">
        <v>85</v>
      </c>
    </row>
    <row r="225" spans="1:9" x14ac:dyDescent="0.2">
      <c r="A225" t="s">
        <v>86</v>
      </c>
    </row>
    <row r="226" spans="1:9" x14ac:dyDescent="0.2">
      <c r="A226" t="s">
        <v>87</v>
      </c>
    </row>
    <row r="227" spans="1:9" x14ac:dyDescent="0.2">
      <c r="A227" t="s">
        <v>88</v>
      </c>
    </row>
    <row r="228" spans="1:9" x14ac:dyDescent="0.2">
      <c r="A228" t="s">
        <v>105</v>
      </c>
    </row>
    <row r="229" spans="1:9" x14ac:dyDescent="0.2">
      <c r="A229" t="s">
        <v>89</v>
      </c>
    </row>
    <row r="230" spans="1:9" x14ac:dyDescent="0.2">
      <c r="A230" t="s">
        <v>682</v>
      </c>
    </row>
    <row r="231" spans="1:9" x14ac:dyDescent="0.2">
      <c r="A231" t="s">
        <v>90</v>
      </c>
    </row>
    <row r="232" spans="1:9" x14ac:dyDescent="0.2">
      <c r="A232" t="s">
        <v>70</v>
      </c>
      <c r="B232" t="s">
        <v>61</v>
      </c>
      <c r="C232" t="s">
        <v>71</v>
      </c>
      <c r="D232" t="s">
        <v>72</v>
      </c>
      <c r="E232" t="s">
        <v>91</v>
      </c>
      <c r="F232" t="s">
        <v>92</v>
      </c>
      <c r="G232" t="s">
        <v>58</v>
      </c>
      <c r="H232" t="s">
        <v>59</v>
      </c>
      <c r="I232" t="s">
        <v>93</v>
      </c>
    </row>
    <row r="233" spans="1:9" x14ac:dyDescent="0.2">
      <c r="A233" t="s">
        <v>123</v>
      </c>
      <c r="B233">
        <v>36</v>
      </c>
      <c r="C233">
        <v>8</v>
      </c>
      <c r="D233">
        <v>4</v>
      </c>
      <c r="E233">
        <v>0</v>
      </c>
      <c r="F233">
        <v>183.860687592998</v>
      </c>
      <c r="G233">
        <v>999465</v>
      </c>
      <c r="H233">
        <v>1000000</v>
      </c>
      <c r="I233" t="s">
        <v>683</v>
      </c>
    </row>
    <row r="234" spans="1:9" x14ac:dyDescent="0.2">
      <c r="A234" t="s">
        <v>125</v>
      </c>
      <c r="B234">
        <v>72</v>
      </c>
      <c r="C234">
        <v>8</v>
      </c>
      <c r="D234">
        <v>8</v>
      </c>
      <c r="E234">
        <v>0</v>
      </c>
      <c r="F234">
        <v>277.08806665241701</v>
      </c>
      <c r="G234">
        <v>767992</v>
      </c>
      <c r="H234">
        <v>1000000</v>
      </c>
      <c r="I234" t="s">
        <v>684</v>
      </c>
    </row>
    <row r="235" spans="1:9" x14ac:dyDescent="0.2">
      <c r="A235" t="s">
        <v>127</v>
      </c>
      <c r="B235">
        <v>108</v>
      </c>
      <c r="C235">
        <v>2</v>
      </c>
      <c r="D235">
        <v>12</v>
      </c>
      <c r="E235">
        <v>0</v>
      </c>
      <c r="F235">
        <v>377.95472215209099</v>
      </c>
      <c r="G235">
        <v>114903</v>
      </c>
      <c r="H235">
        <v>1000000</v>
      </c>
      <c r="I235" t="s">
        <v>685</v>
      </c>
    </row>
    <row r="236" spans="1:9" x14ac:dyDescent="0.2">
      <c r="A236" t="s">
        <v>129</v>
      </c>
      <c r="B236">
        <v>144</v>
      </c>
      <c r="C236">
        <v>2</v>
      </c>
      <c r="D236">
        <v>13</v>
      </c>
      <c r="E236">
        <v>0</v>
      </c>
      <c r="F236">
        <v>567.90575572755097</v>
      </c>
      <c r="G236">
        <v>6865</v>
      </c>
      <c r="H236">
        <v>1000000</v>
      </c>
      <c r="I236" t="s">
        <v>686</v>
      </c>
    </row>
    <row r="237" spans="1:9" x14ac:dyDescent="0.2">
      <c r="A237" t="s">
        <v>136</v>
      </c>
      <c r="B237">
        <v>180</v>
      </c>
      <c r="C237">
        <v>2</v>
      </c>
      <c r="D237">
        <v>17</v>
      </c>
      <c r="E237">
        <v>0</v>
      </c>
      <c r="F237">
        <v>766.84066853299703</v>
      </c>
      <c r="G237">
        <v>1006</v>
      </c>
      <c r="H237">
        <v>1000000</v>
      </c>
      <c r="I237" t="s">
        <v>687</v>
      </c>
    </row>
    <row r="238" spans="1:9" x14ac:dyDescent="0.2">
      <c r="A238" t="s">
        <v>138</v>
      </c>
      <c r="B238">
        <v>216</v>
      </c>
      <c r="C238">
        <v>4</v>
      </c>
      <c r="D238">
        <v>18</v>
      </c>
      <c r="E238">
        <v>0</v>
      </c>
      <c r="F238">
        <v>1050.7512639295301</v>
      </c>
      <c r="G238">
        <v>2126</v>
      </c>
      <c r="H238">
        <v>1000000</v>
      </c>
      <c r="I238" t="s">
        <v>688</v>
      </c>
    </row>
    <row r="239" spans="1:9" x14ac:dyDescent="0.2">
      <c r="A239" t="s">
        <v>140</v>
      </c>
      <c r="B239">
        <v>252</v>
      </c>
      <c r="C239">
        <v>2</v>
      </c>
      <c r="D239">
        <v>22</v>
      </c>
      <c r="E239">
        <v>1</v>
      </c>
      <c r="F239">
        <v>1293.65952641796</v>
      </c>
      <c r="G239">
        <v>213</v>
      </c>
      <c r="H239">
        <v>1000000</v>
      </c>
      <c r="I239" t="s">
        <v>689</v>
      </c>
    </row>
    <row r="240" spans="1:9" x14ac:dyDescent="0.2">
      <c r="A240" t="s">
        <v>142</v>
      </c>
      <c r="B240">
        <v>288</v>
      </c>
      <c r="C240">
        <v>2</v>
      </c>
      <c r="D240">
        <v>24</v>
      </c>
      <c r="E240">
        <v>0</v>
      </c>
      <c r="F240">
        <v>1602.2559778979</v>
      </c>
      <c r="G240">
        <v>3</v>
      </c>
      <c r="H240">
        <v>1000000</v>
      </c>
      <c r="I240" t="s">
        <v>690</v>
      </c>
    </row>
    <row r="241" spans="1:9" x14ac:dyDescent="0.2">
      <c r="A241" t="s">
        <v>144</v>
      </c>
      <c r="B241">
        <v>324</v>
      </c>
      <c r="C241">
        <v>4</v>
      </c>
      <c r="D241">
        <v>25</v>
      </c>
      <c r="E241">
        <v>0</v>
      </c>
      <c r="F241">
        <v>2147.1683814628</v>
      </c>
      <c r="G241">
        <v>6</v>
      </c>
      <c r="H241">
        <v>1000000</v>
      </c>
      <c r="I241" t="s">
        <v>691</v>
      </c>
    </row>
    <row r="242" spans="1:9" x14ac:dyDescent="0.2">
      <c r="A242" t="s">
        <v>146</v>
      </c>
      <c r="B242">
        <v>360</v>
      </c>
      <c r="C242">
        <v>4</v>
      </c>
      <c r="D242">
        <v>24</v>
      </c>
      <c r="E242">
        <v>0</v>
      </c>
      <c r="F242">
        <v>2670.04862814024</v>
      </c>
      <c r="G242">
        <v>20</v>
      </c>
      <c r="H242">
        <v>1000000</v>
      </c>
      <c r="I242" t="s">
        <v>692</v>
      </c>
    </row>
    <row r="243" spans="1:9" x14ac:dyDescent="0.2">
      <c r="A243" t="s">
        <v>148</v>
      </c>
      <c r="B243">
        <v>396</v>
      </c>
      <c r="C243">
        <v>4</v>
      </c>
      <c r="D243">
        <v>27</v>
      </c>
      <c r="E243">
        <v>1</v>
      </c>
      <c r="F243">
        <v>2996.2982852691698</v>
      </c>
      <c r="G243">
        <v>2</v>
      </c>
      <c r="H243">
        <v>1000000</v>
      </c>
      <c r="I243" t="s">
        <v>693</v>
      </c>
    </row>
    <row r="244" spans="1:9" x14ac:dyDescent="0.2">
      <c r="A244" t="s">
        <v>150</v>
      </c>
      <c r="B244">
        <v>432</v>
      </c>
      <c r="C244">
        <v>8</v>
      </c>
      <c r="D244">
        <v>31</v>
      </c>
      <c r="E244">
        <v>-2</v>
      </c>
      <c r="F244">
        <v>4232.8294288488096</v>
      </c>
      <c r="G244">
        <v>1</v>
      </c>
      <c r="H244">
        <v>1000000</v>
      </c>
      <c r="I244" t="s">
        <v>694</v>
      </c>
    </row>
    <row r="245" spans="1:9" x14ac:dyDescent="0.2">
      <c r="A245" t="s">
        <v>152</v>
      </c>
      <c r="B245">
        <v>468</v>
      </c>
      <c r="C245">
        <v>4</v>
      </c>
      <c r="D245">
        <v>31</v>
      </c>
      <c r="E245">
        <v>0</v>
      </c>
      <c r="F245">
        <v>4158.6431703101798</v>
      </c>
      <c r="G245">
        <v>3</v>
      </c>
      <c r="H245">
        <v>1000000</v>
      </c>
      <c r="I245" t="s">
        <v>695</v>
      </c>
    </row>
    <row r="246" spans="1:9" x14ac:dyDescent="0.2">
      <c r="A246" t="s">
        <v>154</v>
      </c>
      <c r="B246">
        <v>496</v>
      </c>
      <c r="C246">
        <v>2</v>
      </c>
      <c r="D246">
        <v>32</v>
      </c>
      <c r="E246">
        <v>0</v>
      </c>
      <c r="F246">
        <v>3996.2218035375699</v>
      </c>
      <c r="G246">
        <v>3</v>
      </c>
      <c r="H246">
        <v>1000000</v>
      </c>
      <c r="I246" t="s">
        <v>696</v>
      </c>
    </row>
    <row r="247" spans="1:9" x14ac:dyDescent="0.2">
      <c r="A247" t="s">
        <v>156</v>
      </c>
      <c r="B247">
        <v>504</v>
      </c>
      <c r="C247">
        <v>2</v>
      </c>
      <c r="D247">
        <v>48</v>
      </c>
      <c r="E247">
        <v>3</v>
      </c>
      <c r="F247">
        <v>5016.2941408678798</v>
      </c>
      <c r="G247">
        <v>1</v>
      </c>
      <c r="H247">
        <v>1000000</v>
      </c>
      <c r="I247" t="s">
        <v>697</v>
      </c>
    </row>
    <row r="248" spans="1:9" x14ac:dyDescent="0.2">
      <c r="A248" t="s">
        <v>158</v>
      </c>
      <c r="B248">
        <v>540</v>
      </c>
      <c r="C248">
        <v>4</v>
      </c>
      <c r="D248">
        <v>47</v>
      </c>
      <c r="E248">
        <v>7</v>
      </c>
      <c r="F248">
        <v>6133.5120284408304</v>
      </c>
      <c r="G248">
        <v>1</v>
      </c>
      <c r="H248">
        <v>1000000</v>
      </c>
      <c r="I248" t="s">
        <v>698</v>
      </c>
    </row>
    <row r="249" spans="1:9" x14ac:dyDescent="0.2">
      <c r="A249" t="s">
        <v>160</v>
      </c>
      <c r="B249">
        <v>576</v>
      </c>
      <c r="C249">
        <v>2</v>
      </c>
      <c r="D249">
        <v>51</v>
      </c>
      <c r="E249">
        <v>-6</v>
      </c>
      <c r="F249">
        <v>6486.5586740178896</v>
      </c>
      <c r="G249">
        <v>1</v>
      </c>
      <c r="H249">
        <v>1000000</v>
      </c>
      <c r="I249" t="s">
        <v>699</v>
      </c>
    </row>
    <row r="250" spans="1:9" x14ac:dyDescent="0.2">
      <c r="A250" t="s">
        <v>162</v>
      </c>
      <c r="B250">
        <v>576</v>
      </c>
      <c r="C250">
        <v>2</v>
      </c>
      <c r="D250">
        <v>57</v>
      </c>
      <c r="E250">
        <v>-2</v>
      </c>
      <c r="F250">
        <v>6502.83705475647</v>
      </c>
      <c r="G250">
        <v>2</v>
      </c>
      <c r="H250">
        <v>1000000</v>
      </c>
      <c r="I250" t="s">
        <v>700</v>
      </c>
    </row>
    <row r="251" spans="1:9" x14ac:dyDescent="0.2">
      <c r="A251" t="s">
        <v>163</v>
      </c>
      <c r="B251">
        <v>612</v>
      </c>
      <c r="C251">
        <v>2</v>
      </c>
      <c r="D251">
        <v>59</v>
      </c>
      <c r="E251">
        <v>7</v>
      </c>
      <c r="F251">
        <v>7665.3994491686999</v>
      </c>
      <c r="G251">
        <v>1</v>
      </c>
      <c r="H251">
        <v>1000000</v>
      </c>
      <c r="I251" t="s">
        <v>701</v>
      </c>
    </row>
    <row r="252" spans="1:9" x14ac:dyDescent="0.2">
      <c r="A252" t="s">
        <v>165</v>
      </c>
      <c r="B252">
        <v>648</v>
      </c>
      <c r="C252">
        <v>10</v>
      </c>
      <c r="D252">
        <v>40</v>
      </c>
      <c r="E252">
        <v>-31</v>
      </c>
      <c r="F252">
        <v>10566.239052675601</v>
      </c>
      <c r="G252">
        <v>1</v>
      </c>
      <c r="H252">
        <v>1000000</v>
      </c>
      <c r="I252" t="s">
        <v>727</v>
      </c>
    </row>
    <row r="253" spans="1:9" x14ac:dyDescent="0.2">
      <c r="A253" t="s">
        <v>167</v>
      </c>
      <c r="B253">
        <v>648</v>
      </c>
      <c r="C253">
        <v>14</v>
      </c>
      <c r="D253">
        <v>36</v>
      </c>
      <c r="E253">
        <v>-14</v>
      </c>
      <c r="F253">
        <v>11596.4373808568</v>
      </c>
      <c r="G253">
        <v>1</v>
      </c>
      <c r="H253">
        <v>1000000</v>
      </c>
      <c r="I253" t="s">
        <v>728</v>
      </c>
    </row>
    <row r="254" spans="1:9" x14ac:dyDescent="0.2">
      <c r="A254" t="s">
        <v>168</v>
      </c>
      <c r="B254">
        <v>684</v>
      </c>
      <c r="C254">
        <v>2</v>
      </c>
      <c r="D254">
        <v>29</v>
      </c>
      <c r="E254">
        <v>0</v>
      </c>
      <c r="F254">
        <v>8600.7763574682103</v>
      </c>
      <c r="G254">
        <v>1</v>
      </c>
      <c r="H254">
        <v>1000000</v>
      </c>
      <c r="I254" t="s">
        <v>738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C242B-6BA6-E549-88BD-0E9E6103DAB3}">
  <dimension ref="A1:L50"/>
  <sheetViews>
    <sheetView topLeftCell="A22" workbookViewId="0">
      <selection activeCell="D29" sqref="D29:D50"/>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112</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12" x14ac:dyDescent="0.2">
      <c r="A17" t="s">
        <v>121</v>
      </c>
    </row>
    <row r="18" spans="1:12" x14ac:dyDescent="0.2">
      <c r="A18" t="s">
        <v>83</v>
      </c>
    </row>
    <row r="19" spans="1:12" x14ac:dyDescent="0.2">
      <c r="A19" t="s">
        <v>84</v>
      </c>
    </row>
    <row r="20" spans="1:12" x14ac:dyDescent="0.2">
      <c r="A20" s="21" t="s">
        <v>85</v>
      </c>
    </row>
    <row r="21" spans="1:12" x14ac:dyDescent="0.2">
      <c r="A21" t="s">
        <v>86</v>
      </c>
    </row>
    <row r="22" spans="1:12" x14ac:dyDescent="0.2">
      <c r="A22" t="s">
        <v>87</v>
      </c>
    </row>
    <row r="23" spans="1:12" x14ac:dyDescent="0.2">
      <c r="A23" t="s">
        <v>88</v>
      </c>
    </row>
    <row r="24" spans="1:12" x14ac:dyDescent="0.2">
      <c r="A24" t="s">
        <v>105</v>
      </c>
    </row>
    <row r="25" spans="1:12" x14ac:dyDescent="0.2">
      <c r="A25" t="s">
        <v>89</v>
      </c>
    </row>
    <row r="26" spans="1:12" x14ac:dyDescent="0.2">
      <c r="A26" t="s">
        <v>231</v>
      </c>
    </row>
    <row r="27" spans="1:12" x14ac:dyDescent="0.2">
      <c r="A27" t="s">
        <v>90</v>
      </c>
    </row>
    <row r="28" spans="1:12" x14ac:dyDescent="0.2">
      <c r="A28" t="s">
        <v>70</v>
      </c>
      <c r="B28" t="s">
        <v>61</v>
      </c>
      <c r="C28" t="s">
        <v>71</v>
      </c>
      <c r="D28" t="s">
        <v>72</v>
      </c>
      <c r="E28" t="s">
        <v>91</v>
      </c>
      <c r="F28" t="s">
        <v>506</v>
      </c>
      <c r="G28" s="14" t="s">
        <v>505</v>
      </c>
      <c r="H28" s="14" t="s">
        <v>703</v>
      </c>
      <c r="I28" s="14" t="s">
        <v>702</v>
      </c>
      <c r="J28" t="s">
        <v>816</v>
      </c>
    </row>
    <row r="29" spans="1:12" x14ac:dyDescent="0.2">
      <c r="A29" t="s">
        <v>123</v>
      </c>
      <c r="B29">
        <v>36</v>
      </c>
      <c r="C29">
        <v>8</v>
      </c>
      <c r="D29">
        <f ca="1">_xlfn.MINIFS(G29:J29,G29:J29,"&gt;0")</f>
        <v>4</v>
      </c>
      <c r="E29">
        <f ca="1">D29-F29</f>
        <v>0</v>
      </c>
      <c r="F29">
        <v>4</v>
      </c>
      <c r="G29">
        <f ca="1">_xlfn.MINIFS(INDIRECT(G$28&amp;"!D:D"),INDIRECT(G$28&amp;"!A:A"),$A29)</f>
        <v>4</v>
      </c>
      <c r="H29">
        <f t="shared" ref="H29:I50" ca="1" si="0">_xlfn.MINIFS(INDIRECT(H$28&amp;"!D:D"),INDIRECT(H$28&amp;"!A:A"),$A29)</f>
        <v>4</v>
      </c>
      <c r="I29">
        <f t="shared" ca="1" si="0"/>
        <v>4</v>
      </c>
      <c r="J29">
        <v>4</v>
      </c>
      <c r="K29" t="s">
        <v>739</v>
      </c>
      <c r="L29">
        <v>36</v>
      </c>
    </row>
    <row r="30" spans="1:12" x14ac:dyDescent="0.2">
      <c r="A30" t="s">
        <v>125</v>
      </c>
      <c r="B30">
        <v>72</v>
      </c>
      <c r="C30">
        <v>8</v>
      </c>
      <c r="D30">
        <f t="shared" ref="D30:D50" ca="1" si="1">_xlfn.MINIFS(G30:J30,G30:J30,"&gt;0")</f>
        <v>8</v>
      </c>
      <c r="E30">
        <f t="shared" ref="E30:E50" ca="1" si="2">D30-F30</f>
        <v>0</v>
      </c>
      <c r="F30">
        <v>8</v>
      </c>
      <c r="G30">
        <f t="shared" ref="G30:G50" ca="1" si="3">_xlfn.MINIFS(INDIRECT(G$28&amp;"!D:D"),INDIRECT(G$28&amp;"!A:A"),$A30)</f>
        <v>8</v>
      </c>
      <c r="H30">
        <f t="shared" ca="1" si="0"/>
        <v>8</v>
      </c>
      <c r="I30">
        <f t="shared" ca="1" si="0"/>
        <v>8</v>
      </c>
      <c r="J30">
        <v>8</v>
      </c>
      <c r="K30" t="s">
        <v>740</v>
      </c>
      <c r="L30">
        <v>72</v>
      </c>
    </row>
    <row r="31" spans="1:12" x14ac:dyDescent="0.2">
      <c r="A31" t="s">
        <v>127</v>
      </c>
      <c r="B31">
        <v>108</v>
      </c>
      <c r="C31">
        <v>2</v>
      </c>
      <c r="D31">
        <f t="shared" ca="1" si="1"/>
        <v>12</v>
      </c>
      <c r="E31">
        <f t="shared" ca="1" si="2"/>
        <v>0</v>
      </c>
      <c r="F31">
        <v>12</v>
      </c>
      <c r="G31">
        <f t="shared" ca="1" si="3"/>
        <v>12</v>
      </c>
      <c r="H31">
        <f t="shared" ca="1" si="0"/>
        <v>12</v>
      </c>
      <c r="I31">
        <f t="shared" ca="1" si="0"/>
        <v>12</v>
      </c>
      <c r="J31">
        <v>12</v>
      </c>
      <c r="K31" t="s">
        <v>741</v>
      </c>
      <c r="L31">
        <v>108</v>
      </c>
    </row>
    <row r="32" spans="1:12" x14ac:dyDescent="0.2">
      <c r="A32" t="s">
        <v>129</v>
      </c>
      <c r="B32" s="6">
        <v>144</v>
      </c>
      <c r="C32">
        <v>2</v>
      </c>
      <c r="D32">
        <f t="shared" ca="1" si="1"/>
        <v>13</v>
      </c>
      <c r="E32">
        <f t="shared" ca="1" si="2"/>
        <v>0</v>
      </c>
      <c r="F32">
        <v>13</v>
      </c>
      <c r="G32">
        <f t="shared" ca="1" si="3"/>
        <v>13</v>
      </c>
      <c r="H32">
        <f t="shared" ca="1" si="0"/>
        <v>13</v>
      </c>
      <c r="I32">
        <f t="shared" ca="1" si="0"/>
        <v>13</v>
      </c>
      <c r="J32">
        <v>13</v>
      </c>
      <c r="K32" t="s">
        <v>742</v>
      </c>
      <c r="L32">
        <v>144</v>
      </c>
    </row>
    <row r="33" spans="1:12" x14ac:dyDescent="0.2">
      <c r="A33" t="s">
        <v>136</v>
      </c>
      <c r="B33">
        <v>180</v>
      </c>
      <c r="C33">
        <v>2</v>
      </c>
      <c r="D33">
        <f t="shared" ca="1" si="1"/>
        <v>17</v>
      </c>
      <c r="E33">
        <f t="shared" ca="1" si="2"/>
        <v>0</v>
      </c>
      <c r="F33">
        <v>17</v>
      </c>
      <c r="G33">
        <f t="shared" ca="1" si="3"/>
        <v>17</v>
      </c>
      <c r="H33">
        <f t="shared" ca="1" si="0"/>
        <v>17</v>
      </c>
      <c r="I33">
        <f t="shared" ca="1" si="0"/>
        <v>17</v>
      </c>
      <c r="J33">
        <v>17</v>
      </c>
      <c r="K33" t="s">
        <v>743</v>
      </c>
      <c r="L33">
        <v>180</v>
      </c>
    </row>
    <row r="34" spans="1:12" x14ac:dyDescent="0.2">
      <c r="A34" t="s">
        <v>138</v>
      </c>
      <c r="B34">
        <v>216</v>
      </c>
      <c r="C34">
        <v>4</v>
      </c>
      <c r="D34">
        <f t="shared" ca="1" si="1"/>
        <v>18</v>
      </c>
      <c r="E34">
        <f t="shared" ca="1" si="2"/>
        <v>0</v>
      </c>
      <c r="F34">
        <v>18</v>
      </c>
      <c r="G34">
        <f t="shared" ca="1" si="3"/>
        <v>18</v>
      </c>
      <c r="H34">
        <f t="shared" ca="1" si="0"/>
        <v>18</v>
      </c>
      <c r="I34">
        <f t="shared" ca="1" si="0"/>
        <v>18</v>
      </c>
      <c r="J34">
        <v>18</v>
      </c>
      <c r="K34" t="s">
        <v>744</v>
      </c>
      <c r="L34">
        <v>216</v>
      </c>
    </row>
    <row r="35" spans="1:12" x14ac:dyDescent="0.2">
      <c r="A35" t="s">
        <v>140</v>
      </c>
      <c r="B35">
        <v>252</v>
      </c>
      <c r="C35">
        <v>2</v>
      </c>
      <c r="D35">
        <f t="shared" ca="1" si="1"/>
        <v>22</v>
      </c>
      <c r="E35">
        <f t="shared" ca="1" si="2"/>
        <v>1</v>
      </c>
      <c r="F35" s="13">
        <v>21</v>
      </c>
      <c r="G35">
        <f t="shared" ca="1" si="3"/>
        <v>22</v>
      </c>
      <c r="H35">
        <f t="shared" ca="1" si="0"/>
        <v>22</v>
      </c>
      <c r="I35">
        <f t="shared" ca="1" si="0"/>
        <v>22</v>
      </c>
      <c r="J35">
        <v>22</v>
      </c>
      <c r="K35" t="s">
        <v>745</v>
      </c>
      <c r="L35">
        <v>252</v>
      </c>
    </row>
    <row r="36" spans="1:12" x14ac:dyDescent="0.2">
      <c r="A36" t="s">
        <v>142</v>
      </c>
      <c r="B36" s="6">
        <v>288</v>
      </c>
      <c r="C36">
        <v>2</v>
      </c>
      <c r="D36">
        <f t="shared" ca="1" si="1"/>
        <v>24</v>
      </c>
      <c r="E36">
        <f t="shared" ca="1" si="2"/>
        <v>0</v>
      </c>
      <c r="F36">
        <v>24</v>
      </c>
      <c r="G36">
        <f t="shared" ca="1" si="3"/>
        <v>24</v>
      </c>
      <c r="H36">
        <f t="shared" ca="1" si="0"/>
        <v>24</v>
      </c>
      <c r="I36">
        <f t="shared" ca="1" si="0"/>
        <v>24</v>
      </c>
      <c r="J36">
        <v>24</v>
      </c>
      <c r="K36" t="s">
        <v>746</v>
      </c>
      <c r="L36">
        <v>288</v>
      </c>
    </row>
    <row r="37" spans="1:12" x14ac:dyDescent="0.2">
      <c r="A37" t="s">
        <v>144</v>
      </c>
      <c r="B37">
        <v>324</v>
      </c>
      <c r="C37">
        <v>4</v>
      </c>
      <c r="D37">
        <f t="shared" ca="1" si="1"/>
        <v>25</v>
      </c>
      <c r="E37">
        <f t="shared" ca="1" si="2"/>
        <v>0</v>
      </c>
      <c r="F37">
        <v>25</v>
      </c>
      <c r="G37">
        <f t="shared" ca="1" si="3"/>
        <v>25</v>
      </c>
      <c r="H37">
        <f t="shared" ca="1" si="0"/>
        <v>25</v>
      </c>
      <c r="I37">
        <f t="shared" ca="1" si="0"/>
        <v>25</v>
      </c>
      <c r="J37">
        <v>25</v>
      </c>
      <c r="K37" t="s">
        <v>747</v>
      </c>
      <c r="L37">
        <v>324</v>
      </c>
    </row>
    <row r="38" spans="1:12" x14ac:dyDescent="0.2">
      <c r="A38" t="s">
        <v>146</v>
      </c>
      <c r="B38">
        <v>360</v>
      </c>
      <c r="C38">
        <v>4</v>
      </c>
      <c r="D38">
        <f t="shared" ca="1" si="1"/>
        <v>24</v>
      </c>
      <c r="E38">
        <f t="shared" ca="1" si="2"/>
        <v>0</v>
      </c>
      <c r="F38" s="13">
        <v>24</v>
      </c>
      <c r="G38" s="13">
        <f t="shared" ca="1" si="3"/>
        <v>24</v>
      </c>
      <c r="H38" s="13">
        <f t="shared" ca="1" si="0"/>
        <v>24</v>
      </c>
      <c r="I38" s="13">
        <f t="shared" ca="1" si="0"/>
        <v>24</v>
      </c>
      <c r="J38">
        <v>24</v>
      </c>
      <c r="K38" t="s">
        <v>748</v>
      </c>
      <c r="L38">
        <v>360</v>
      </c>
    </row>
    <row r="39" spans="1:12" x14ac:dyDescent="0.2">
      <c r="A39" t="s">
        <v>148</v>
      </c>
      <c r="B39" s="6">
        <v>396</v>
      </c>
      <c r="C39">
        <v>4</v>
      </c>
      <c r="D39">
        <f t="shared" ca="1" si="1"/>
        <v>27</v>
      </c>
      <c r="E39">
        <f t="shared" ca="1" si="2"/>
        <v>1</v>
      </c>
      <c r="F39" s="13">
        <v>26</v>
      </c>
      <c r="G39">
        <f t="shared" ca="1" si="3"/>
        <v>27</v>
      </c>
      <c r="H39">
        <f t="shared" ca="1" si="0"/>
        <v>27</v>
      </c>
      <c r="I39">
        <f t="shared" ca="1" si="0"/>
        <v>27</v>
      </c>
      <c r="J39">
        <v>27</v>
      </c>
      <c r="K39" t="s">
        <v>749</v>
      </c>
      <c r="L39">
        <v>396</v>
      </c>
    </row>
    <row r="40" spans="1:12" x14ac:dyDescent="0.2">
      <c r="A40" t="s">
        <v>150</v>
      </c>
      <c r="B40">
        <v>432</v>
      </c>
      <c r="C40">
        <v>8</v>
      </c>
      <c r="D40">
        <f t="shared" ca="1" si="1"/>
        <v>30</v>
      </c>
      <c r="E40">
        <f t="shared" ca="1" si="2"/>
        <v>-3</v>
      </c>
      <c r="F40">
        <v>33</v>
      </c>
      <c r="G40" s="6">
        <f t="shared" ca="1" si="3"/>
        <v>30</v>
      </c>
      <c r="H40" s="6">
        <f t="shared" ca="1" si="0"/>
        <v>30</v>
      </c>
      <c r="I40" s="6">
        <f t="shared" ca="1" si="0"/>
        <v>30</v>
      </c>
      <c r="J40">
        <v>30</v>
      </c>
      <c r="K40" t="s">
        <v>750</v>
      </c>
      <c r="L40">
        <v>432</v>
      </c>
    </row>
    <row r="41" spans="1:12" x14ac:dyDescent="0.2">
      <c r="A41" t="s">
        <v>152</v>
      </c>
      <c r="B41">
        <v>468</v>
      </c>
      <c r="C41">
        <v>4</v>
      </c>
      <c r="D41">
        <f t="shared" ca="1" si="1"/>
        <v>29</v>
      </c>
      <c r="E41">
        <f t="shared" ca="1" si="2"/>
        <v>-2</v>
      </c>
      <c r="F41">
        <v>31</v>
      </c>
      <c r="G41" s="6">
        <f t="shared" ca="1" si="3"/>
        <v>29</v>
      </c>
      <c r="H41">
        <f t="shared" ca="1" si="0"/>
        <v>30</v>
      </c>
      <c r="I41">
        <f t="shared" ca="1" si="0"/>
        <v>30</v>
      </c>
      <c r="J41">
        <v>29</v>
      </c>
      <c r="K41" t="s">
        <v>751</v>
      </c>
      <c r="L41">
        <v>468</v>
      </c>
    </row>
    <row r="42" spans="1:12" x14ac:dyDescent="0.2">
      <c r="A42" t="s">
        <v>154</v>
      </c>
      <c r="B42" s="6">
        <v>496</v>
      </c>
      <c r="C42">
        <v>2</v>
      </c>
      <c r="D42">
        <f t="shared" ca="1" si="1"/>
        <v>30</v>
      </c>
      <c r="E42">
        <f t="shared" ca="1" si="2"/>
        <v>-2</v>
      </c>
      <c r="F42">
        <v>32</v>
      </c>
      <c r="G42">
        <f t="shared" ca="1" si="3"/>
        <v>32</v>
      </c>
      <c r="H42">
        <f t="shared" ca="1" si="0"/>
        <v>32</v>
      </c>
      <c r="I42" s="6">
        <f t="shared" ca="1" si="0"/>
        <v>30</v>
      </c>
      <c r="J42">
        <v>30</v>
      </c>
    </row>
    <row r="43" spans="1:12" x14ac:dyDescent="0.2">
      <c r="A43" t="s">
        <v>156</v>
      </c>
      <c r="B43">
        <v>504</v>
      </c>
      <c r="C43">
        <v>2</v>
      </c>
      <c r="D43">
        <f t="shared" ca="1" si="1"/>
        <v>39</v>
      </c>
      <c r="E43">
        <f t="shared" ca="1" si="2"/>
        <v>-6</v>
      </c>
      <c r="F43">
        <v>45</v>
      </c>
      <c r="G43" s="6">
        <f t="shared" ca="1" si="3"/>
        <v>39</v>
      </c>
      <c r="H43">
        <f t="shared" ca="1" si="0"/>
        <v>47</v>
      </c>
      <c r="I43" s="13">
        <f t="shared" ca="1" si="0"/>
        <v>40</v>
      </c>
      <c r="J43">
        <v>40</v>
      </c>
      <c r="K43" t="s">
        <v>752</v>
      </c>
      <c r="L43">
        <v>504</v>
      </c>
    </row>
    <row r="44" spans="1:12" x14ac:dyDescent="0.2">
      <c r="A44" t="s">
        <v>158</v>
      </c>
      <c r="B44">
        <v>540</v>
      </c>
      <c r="C44">
        <v>4</v>
      </c>
      <c r="D44">
        <f t="shared" ca="1" si="1"/>
        <v>39</v>
      </c>
      <c r="E44">
        <f t="shared" ca="1" si="2"/>
        <v>-1</v>
      </c>
      <c r="F44" s="13">
        <v>40</v>
      </c>
      <c r="G44">
        <f t="shared" ca="1" si="3"/>
        <v>46</v>
      </c>
      <c r="H44">
        <f t="shared" ca="1" si="0"/>
        <v>46</v>
      </c>
      <c r="I44">
        <f t="shared" ca="1" si="0"/>
        <v>42</v>
      </c>
      <c r="J44">
        <v>39</v>
      </c>
      <c r="K44" t="s">
        <v>753</v>
      </c>
      <c r="L44">
        <v>540</v>
      </c>
    </row>
    <row r="45" spans="1:12" x14ac:dyDescent="0.2">
      <c r="A45" t="s">
        <v>160</v>
      </c>
      <c r="B45" s="6">
        <v>576</v>
      </c>
      <c r="C45">
        <v>2</v>
      </c>
      <c r="D45">
        <f t="shared" ca="1" si="1"/>
        <v>39</v>
      </c>
      <c r="E45">
        <f t="shared" ca="1" si="2"/>
        <v>-18</v>
      </c>
      <c r="F45">
        <v>57</v>
      </c>
      <c r="G45" s="13">
        <f t="shared" ca="1" si="3"/>
        <v>45</v>
      </c>
      <c r="H45">
        <f t="shared" ca="1" si="0"/>
        <v>51</v>
      </c>
      <c r="I45" s="6">
        <f t="shared" ca="1" si="0"/>
        <v>41</v>
      </c>
      <c r="J45">
        <v>39</v>
      </c>
    </row>
    <row r="46" spans="1:12" x14ac:dyDescent="0.2">
      <c r="A46" t="s">
        <v>162</v>
      </c>
      <c r="B46">
        <v>576</v>
      </c>
      <c r="C46">
        <v>2</v>
      </c>
      <c r="D46">
        <f t="shared" ca="1" si="1"/>
        <v>39</v>
      </c>
      <c r="E46">
        <f t="shared" ca="1" si="2"/>
        <v>-20</v>
      </c>
      <c r="F46">
        <v>59</v>
      </c>
      <c r="G46" s="13">
        <f t="shared" ca="1" si="3"/>
        <v>43</v>
      </c>
      <c r="H46">
        <f t="shared" ca="1" si="0"/>
        <v>49</v>
      </c>
      <c r="I46" s="6">
        <f t="shared" ca="1" si="0"/>
        <v>41</v>
      </c>
      <c r="J46">
        <v>39</v>
      </c>
      <c r="K46" t="s">
        <v>754</v>
      </c>
      <c r="L46">
        <v>576</v>
      </c>
    </row>
    <row r="47" spans="1:12" x14ac:dyDescent="0.2">
      <c r="A47" t="s">
        <v>163</v>
      </c>
      <c r="B47">
        <v>612</v>
      </c>
      <c r="C47">
        <v>2</v>
      </c>
      <c r="D47">
        <f t="shared" ca="1" si="1"/>
        <v>41</v>
      </c>
      <c r="E47">
        <f t="shared" ca="1" si="2"/>
        <v>-11</v>
      </c>
      <c r="F47">
        <v>52</v>
      </c>
      <c r="G47" s="13">
        <f t="shared" ca="1" si="3"/>
        <v>46</v>
      </c>
      <c r="H47">
        <f t="shared" ca="1" si="0"/>
        <v>52</v>
      </c>
      <c r="I47" s="6">
        <f t="shared" ca="1" si="0"/>
        <v>41</v>
      </c>
      <c r="J47">
        <v>41</v>
      </c>
      <c r="K47" t="s">
        <v>755</v>
      </c>
      <c r="L47">
        <v>612</v>
      </c>
    </row>
    <row r="48" spans="1:12" x14ac:dyDescent="0.2">
      <c r="A48" t="s">
        <v>165</v>
      </c>
      <c r="B48" s="6">
        <v>648</v>
      </c>
      <c r="C48">
        <v>10</v>
      </c>
      <c r="D48">
        <f t="shared" ca="1" si="1"/>
        <v>33</v>
      </c>
      <c r="E48">
        <f t="shared" ca="1" si="2"/>
        <v>-38</v>
      </c>
      <c r="F48">
        <v>71</v>
      </c>
      <c r="G48">
        <f t="shared" ca="1" si="3"/>
        <v>39</v>
      </c>
      <c r="H48" s="6">
        <f t="shared" ca="1" si="0"/>
        <v>33</v>
      </c>
      <c r="I48" s="13">
        <f t="shared" ca="1" si="0"/>
        <v>35</v>
      </c>
      <c r="J48">
        <v>33</v>
      </c>
      <c r="K48" t="s">
        <v>758</v>
      </c>
    </row>
    <row r="49" spans="1:12" x14ac:dyDescent="0.2">
      <c r="A49" t="s">
        <v>167</v>
      </c>
      <c r="B49">
        <v>648</v>
      </c>
      <c r="C49">
        <v>14</v>
      </c>
      <c r="D49">
        <f t="shared" ca="1" si="1"/>
        <v>29</v>
      </c>
      <c r="E49">
        <f t="shared" ca="1" si="2"/>
        <v>-21</v>
      </c>
      <c r="F49">
        <v>50</v>
      </c>
      <c r="G49" s="6">
        <f t="shared" ca="1" si="3"/>
        <v>29</v>
      </c>
      <c r="H49" s="6">
        <f t="shared" ca="1" si="0"/>
        <v>29</v>
      </c>
      <c r="I49">
        <f t="shared" ca="1" si="0"/>
        <v>32</v>
      </c>
      <c r="J49">
        <v>29</v>
      </c>
      <c r="K49" t="s">
        <v>756</v>
      </c>
      <c r="L49">
        <v>648</v>
      </c>
    </row>
    <row r="50" spans="1:12" x14ac:dyDescent="0.2">
      <c r="A50" t="s">
        <v>168</v>
      </c>
      <c r="B50">
        <v>684</v>
      </c>
      <c r="C50">
        <v>2</v>
      </c>
      <c r="D50">
        <f t="shared" ca="1" si="1"/>
        <v>29</v>
      </c>
      <c r="E50">
        <f t="shared" ca="1" si="2"/>
        <v>0</v>
      </c>
      <c r="F50" s="13">
        <v>29</v>
      </c>
      <c r="G50">
        <f t="shared" ca="1" si="3"/>
        <v>30</v>
      </c>
      <c r="H50" s="13">
        <f t="shared" ca="1" si="0"/>
        <v>29</v>
      </c>
      <c r="I50" s="13">
        <f t="shared" ca="1" si="0"/>
        <v>29</v>
      </c>
      <c r="J50">
        <v>29</v>
      </c>
      <c r="K50" t="s">
        <v>757</v>
      </c>
      <c r="L50">
        <v>684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302E6-2A42-2548-9D22-4BB828972DA9}">
  <dimension ref="A1:I50"/>
  <sheetViews>
    <sheetView workbookViewId="0">
      <selection activeCell="C12" sqref="C12"/>
    </sheetView>
  </sheetViews>
  <sheetFormatPr baseColWidth="10" defaultRowHeight="16" x14ac:dyDescent="0.2"/>
  <sheetData>
    <row r="1" spans="1:1" x14ac:dyDescent="0.2">
      <c r="A1" t="s">
        <v>73</v>
      </c>
    </row>
    <row r="2" spans="1:1" x14ac:dyDescent="0.2">
      <c r="A2" t="s">
        <v>74</v>
      </c>
    </row>
    <row r="3" spans="1:1" x14ac:dyDescent="0.2">
      <c r="A3" t="s">
        <v>75</v>
      </c>
    </row>
    <row r="4" spans="1:1" x14ac:dyDescent="0.2">
      <c r="A4" t="s">
        <v>117</v>
      </c>
    </row>
    <row r="5" spans="1:1" x14ac:dyDescent="0.2">
      <c r="A5" t="s">
        <v>76</v>
      </c>
    </row>
    <row r="6" spans="1:1" x14ac:dyDescent="0.2">
      <c r="A6" t="s">
        <v>759</v>
      </c>
    </row>
    <row r="7" spans="1:1" x14ac:dyDescent="0.2">
      <c r="A7" t="s">
        <v>77</v>
      </c>
    </row>
    <row r="8" spans="1:1" x14ac:dyDescent="0.2">
      <c r="A8"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row>
    <row r="26" spans="1:9" x14ac:dyDescent="0.2">
      <c r="A26" t="s">
        <v>760</v>
      </c>
    </row>
    <row r="27" spans="1:9" x14ac:dyDescent="0.2">
      <c r="A27" t="s">
        <v>90</v>
      </c>
    </row>
    <row r="28" spans="1:9" x14ac:dyDescent="0.2">
      <c r="A28" t="s">
        <v>70</v>
      </c>
      <c r="B28" t="s">
        <v>61</v>
      </c>
      <c r="C28" t="s">
        <v>71</v>
      </c>
      <c r="D28" t="s">
        <v>72</v>
      </c>
      <c r="E28" t="s">
        <v>91</v>
      </c>
      <c r="F28" s="14" t="s">
        <v>92</v>
      </c>
      <c r="G28" t="s">
        <v>58</v>
      </c>
      <c r="H28" t="s">
        <v>59</v>
      </c>
      <c r="I28" t="s">
        <v>93</v>
      </c>
    </row>
    <row r="29" spans="1:9" x14ac:dyDescent="0.2">
      <c r="A29" t="s">
        <v>123</v>
      </c>
      <c r="B29">
        <v>36</v>
      </c>
      <c r="C29">
        <v>8</v>
      </c>
      <c r="D29">
        <v>4</v>
      </c>
      <c r="E29">
        <v>0</v>
      </c>
      <c r="F29" s="14">
        <v>4.5467131250043096</v>
      </c>
      <c r="G29">
        <v>1</v>
      </c>
      <c r="H29">
        <v>1</v>
      </c>
      <c r="I29" t="s">
        <v>761</v>
      </c>
    </row>
    <row r="30" spans="1:9" x14ac:dyDescent="0.2">
      <c r="A30" t="s">
        <v>125</v>
      </c>
      <c r="B30">
        <v>72</v>
      </c>
      <c r="C30">
        <v>8</v>
      </c>
      <c r="D30">
        <v>8</v>
      </c>
      <c r="E30">
        <v>0</v>
      </c>
      <c r="F30" s="14">
        <v>285.00490287499201</v>
      </c>
      <c r="G30">
        <v>1</v>
      </c>
      <c r="H30">
        <v>1</v>
      </c>
      <c r="I30" t="s">
        <v>762</v>
      </c>
    </row>
    <row r="31" spans="1:9" x14ac:dyDescent="0.2">
      <c r="A31" t="s">
        <v>127</v>
      </c>
      <c r="B31">
        <v>108</v>
      </c>
      <c r="C31">
        <v>2</v>
      </c>
      <c r="D31">
        <v>12</v>
      </c>
      <c r="E31">
        <v>0</v>
      </c>
      <c r="F31" s="14">
        <v>5412.6084416670001</v>
      </c>
      <c r="G31">
        <v>1</v>
      </c>
      <c r="H31">
        <v>1</v>
      </c>
      <c r="I31" t="s">
        <v>763</v>
      </c>
    </row>
    <row r="32" spans="1:9" x14ac:dyDescent="0.2">
      <c r="A32" t="s">
        <v>165</v>
      </c>
      <c r="B32">
        <v>648</v>
      </c>
      <c r="C32">
        <v>10</v>
      </c>
      <c r="D32">
        <v>71</v>
      </c>
      <c r="E32">
        <v>0</v>
      </c>
      <c r="F32" s="14">
        <v>28800.785613415999</v>
      </c>
      <c r="G32">
        <v>1</v>
      </c>
      <c r="H32">
        <v>1</v>
      </c>
      <c r="I32" t="s">
        <v>764</v>
      </c>
    </row>
    <row r="33" spans="1:9" x14ac:dyDescent="0.2">
      <c r="A33" t="s">
        <v>142</v>
      </c>
      <c r="B33">
        <v>288</v>
      </c>
      <c r="C33">
        <v>2</v>
      </c>
      <c r="D33">
        <v>25</v>
      </c>
      <c r="E33">
        <v>1</v>
      </c>
      <c r="F33" s="14">
        <v>28800.580041459001</v>
      </c>
      <c r="G33">
        <v>1</v>
      </c>
      <c r="H33">
        <v>1</v>
      </c>
      <c r="I33" t="s">
        <v>765</v>
      </c>
    </row>
    <row r="34" spans="1:9" x14ac:dyDescent="0.2">
      <c r="A34" t="s">
        <v>148</v>
      </c>
      <c r="B34">
        <v>396</v>
      </c>
      <c r="C34">
        <v>4</v>
      </c>
      <c r="D34">
        <v>26</v>
      </c>
      <c r="E34">
        <v>0</v>
      </c>
      <c r="F34" s="14">
        <v>28800.880685959</v>
      </c>
      <c r="G34">
        <v>1</v>
      </c>
      <c r="H34">
        <v>1</v>
      </c>
      <c r="I34" t="s">
        <v>766</v>
      </c>
    </row>
    <row r="35" spans="1:9" x14ac:dyDescent="0.2">
      <c r="A35" t="s">
        <v>154</v>
      </c>
      <c r="B35">
        <v>496</v>
      </c>
      <c r="C35">
        <v>2</v>
      </c>
      <c r="D35">
        <v>38</v>
      </c>
      <c r="E35">
        <v>6</v>
      </c>
      <c r="F35" s="14">
        <v>28800.919503124998</v>
      </c>
      <c r="G35">
        <v>1</v>
      </c>
      <c r="H35">
        <v>1</v>
      </c>
      <c r="I35" t="s">
        <v>767</v>
      </c>
    </row>
    <row r="36" spans="1:9" x14ac:dyDescent="0.2">
      <c r="A36" t="s">
        <v>160</v>
      </c>
      <c r="B36">
        <v>576</v>
      </c>
      <c r="C36">
        <v>2</v>
      </c>
      <c r="D36">
        <v>66</v>
      </c>
      <c r="E36">
        <v>9</v>
      </c>
      <c r="F36" s="14">
        <v>28800.663018665899</v>
      </c>
      <c r="G36">
        <v>1</v>
      </c>
      <c r="H36">
        <v>1</v>
      </c>
      <c r="I36" t="s">
        <v>768</v>
      </c>
    </row>
    <row r="37" spans="1:9" x14ac:dyDescent="0.2">
      <c r="A37" t="s">
        <v>129</v>
      </c>
      <c r="B37">
        <v>144</v>
      </c>
      <c r="C37">
        <v>2</v>
      </c>
      <c r="D37">
        <v>13</v>
      </c>
      <c r="E37">
        <v>0</v>
      </c>
      <c r="F37" s="14">
        <v>28800.848882666902</v>
      </c>
      <c r="G37">
        <v>1</v>
      </c>
      <c r="H37">
        <v>1</v>
      </c>
      <c r="I37" t="s">
        <v>769</v>
      </c>
    </row>
    <row r="38" spans="1:9" x14ac:dyDescent="0.2">
      <c r="A38" t="s">
        <v>138</v>
      </c>
      <c r="B38">
        <v>216</v>
      </c>
      <c r="C38">
        <v>4</v>
      </c>
      <c r="D38">
        <v>18</v>
      </c>
      <c r="E38">
        <v>0</v>
      </c>
      <c r="F38" s="14">
        <v>28800.955093290999</v>
      </c>
      <c r="G38">
        <v>1</v>
      </c>
      <c r="H38">
        <v>1</v>
      </c>
      <c r="I38" t="s">
        <v>770</v>
      </c>
    </row>
    <row r="39" spans="1:9" x14ac:dyDescent="0.2">
      <c r="A39" t="s">
        <v>167</v>
      </c>
      <c r="B39">
        <v>648</v>
      </c>
      <c r="C39">
        <v>14</v>
      </c>
      <c r="D39">
        <v>66</v>
      </c>
      <c r="E39">
        <v>16</v>
      </c>
      <c r="F39" s="14">
        <v>28801.131488290899</v>
      </c>
      <c r="G39">
        <v>1</v>
      </c>
      <c r="H39">
        <v>1</v>
      </c>
      <c r="I39" t="s">
        <v>771</v>
      </c>
    </row>
    <row r="40" spans="1:9" x14ac:dyDescent="0.2">
      <c r="A40" t="s">
        <v>136</v>
      </c>
      <c r="B40">
        <v>180</v>
      </c>
      <c r="C40">
        <v>2</v>
      </c>
      <c r="D40">
        <v>17</v>
      </c>
      <c r="E40">
        <v>0</v>
      </c>
      <c r="F40" s="14">
        <v>28800.385927583</v>
      </c>
      <c r="G40">
        <v>1</v>
      </c>
      <c r="H40">
        <v>1</v>
      </c>
      <c r="I40" t="s">
        <v>772</v>
      </c>
    </row>
    <row r="41" spans="1:9" x14ac:dyDescent="0.2">
      <c r="A41" t="s">
        <v>144</v>
      </c>
      <c r="B41">
        <v>324</v>
      </c>
      <c r="C41">
        <v>4</v>
      </c>
      <c r="D41">
        <v>27</v>
      </c>
      <c r="E41">
        <v>2</v>
      </c>
      <c r="F41">
        <v>28800.774202791999</v>
      </c>
      <c r="G41">
        <v>1</v>
      </c>
      <c r="H41">
        <v>1</v>
      </c>
      <c r="I41" t="s">
        <v>773</v>
      </c>
    </row>
    <row r="42" spans="1:9" x14ac:dyDescent="0.2">
      <c r="A42" t="s">
        <v>150</v>
      </c>
      <c r="B42">
        <v>432</v>
      </c>
      <c r="C42">
        <v>8</v>
      </c>
      <c r="D42">
        <v>38</v>
      </c>
      <c r="E42">
        <v>5</v>
      </c>
      <c r="F42" s="14">
        <v>28800.796142541902</v>
      </c>
      <c r="G42">
        <v>1</v>
      </c>
      <c r="H42">
        <v>1</v>
      </c>
      <c r="I42" t="s">
        <v>774</v>
      </c>
    </row>
    <row r="43" spans="1:9" x14ac:dyDescent="0.2">
      <c r="A43" t="s">
        <v>156</v>
      </c>
      <c r="B43">
        <v>504</v>
      </c>
      <c r="C43">
        <v>2</v>
      </c>
      <c r="D43">
        <v>60</v>
      </c>
      <c r="E43">
        <v>15</v>
      </c>
      <c r="F43" s="14">
        <v>28801.400358499901</v>
      </c>
      <c r="G43">
        <v>1</v>
      </c>
      <c r="H43">
        <v>1</v>
      </c>
      <c r="I43" t="s">
        <v>775</v>
      </c>
    </row>
    <row r="44" spans="1:9" x14ac:dyDescent="0.2">
      <c r="A44" t="s">
        <v>162</v>
      </c>
      <c r="B44">
        <v>576</v>
      </c>
      <c r="C44">
        <v>2</v>
      </c>
      <c r="D44">
        <v>66</v>
      </c>
      <c r="E44">
        <v>7</v>
      </c>
      <c r="F44">
        <v>28803.208131124899</v>
      </c>
      <c r="G44">
        <v>1</v>
      </c>
      <c r="H44">
        <v>1</v>
      </c>
      <c r="I44" t="s">
        <v>776</v>
      </c>
    </row>
    <row r="45" spans="1:9" x14ac:dyDescent="0.2">
      <c r="A45" t="s">
        <v>140</v>
      </c>
      <c r="B45">
        <v>252</v>
      </c>
      <c r="C45">
        <v>2</v>
      </c>
      <c r="D45">
        <v>21</v>
      </c>
      <c r="E45">
        <v>0</v>
      </c>
      <c r="F45">
        <v>28800.867347499901</v>
      </c>
      <c r="G45">
        <v>1</v>
      </c>
      <c r="H45">
        <v>1</v>
      </c>
      <c r="I45" t="s">
        <v>777</v>
      </c>
    </row>
    <row r="46" spans="1:9" x14ac:dyDescent="0.2">
      <c r="A46" t="s">
        <v>168</v>
      </c>
      <c r="B46">
        <v>684</v>
      </c>
      <c r="C46">
        <v>2</v>
      </c>
      <c r="D46">
        <v>49</v>
      </c>
      <c r="E46">
        <v>20</v>
      </c>
      <c r="F46">
        <v>28801.863682292002</v>
      </c>
      <c r="G46">
        <v>1</v>
      </c>
      <c r="H46">
        <v>1</v>
      </c>
      <c r="I46" t="s">
        <v>778</v>
      </c>
    </row>
    <row r="47" spans="1:9" x14ac:dyDescent="0.2">
      <c r="A47" t="s">
        <v>146</v>
      </c>
      <c r="B47">
        <v>360</v>
      </c>
      <c r="C47">
        <v>4</v>
      </c>
      <c r="D47">
        <v>25</v>
      </c>
      <c r="E47">
        <v>1</v>
      </c>
      <c r="F47">
        <v>28801.4159977909</v>
      </c>
      <c r="G47">
        <v>1</v>
      </c>
      <c r="H47">
        <v>1</v>
      </c>
      <c r="I47" t="s">
        <v>779</v>
      </c>
    </row>
    <row r="48" spans="1:9" x14ac:dyDescent="0.2">
      <c r="A48" t="s">
        <v>152</v>
      </c>
      <c r="B48">
        <v>468</v>
      </c>
      <c r="C48">
        <v>4</v>
      </c>
      <c r="D48">
        <v>34</v>
      </c>
      <c r="E48">
        <v>3</v>
      </c>
      <c r="F48">
        <v>28800.780715583001</v>
      </c>
      <c r="G48">
        <v>1</v>
      </c>
      <c r="H48">
        <v>1</v>
      </c>
      <c r="I48" t="s">
        <v>780</v>
      </c>
    </row>
    <row r="49" spans="1:9" x14ac:dyDescent="0.2">
      <c r="A49" t="s">
        <v>158</v>
      </c>
      <c r="B49">
        <v>540</v>
      </c>
      <c r="C49">
        <v>4</v>
      </c>
      <c r="D49">
        <v>50</v>
      </c>
      <c r="E49">
        <v>10</v>
      </c>
      <c r="F49">
        <v>28801.724499083</v>
      </c>
      <c r="G49">
        <v>1</v>
      </c>
      <c r="H49">
        <v>1</v>
      </c>
      <c r="I49" t="s">
        <v>781</v>
      </c>
    </row>
    <row r="50" spans="1:9" x14ac:dyDescent="0.2">
      <c r="A50" t="s">
        <v>163</v>
      </c>
      <c r="B50">
        <v>612</v>
      </c>
      <c r="C50">
        <v>2</v>
      </c>
      <c r="D50">
        <v>74</v>
      </c>
      <c r="E50">
        <v>22</v>
      </c>
      <c r="F50">
        <v>28801.738620874901</v>
      </c>
      <c r="G50">
        <v>1</v>
      </c>
      <c r="H50">
        <v>1</v>
      </c>
      <c r="I50" t="s">
        <v>782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dimension ref="A1:I50"/>
  <sheetViews>
    <sheetView topLeftCell="A17" workbookViewId="0">
      <selection activeCell="A51" sqref="A51"/>
    </sheetView>
  </sheetViews>
  <sheetFormatPr baseColWidth="10" defaultColWidth="11" defaultRowHeight="16" x14ac:dyDescent="0.2"/>
  <sheetData>
    <row r="1" spans="1:1" x14ac:dyDescent="0.2">
      <c r="A1" t="s">
        <v>73</v>
      </c>
    </row>
    <row r="2" spans="1:1" x14ac:dyDescent="0.2">
      <c r="A2" t="s">
        <v>74</v>
      </c>
    </row>
    <row r="3" spans="1:1" x14ac:dyDescent="0.2">
      <c r="A3" s="6" t="s">
        <v>75</v>
      </c>
    </row>
    <row r="4" spans="1:1" x14ac:dyDescent="0.2">
      <c r="A4" t="s">
        <v>117</v>
      </c>
    </row>
    <row r="5" spans="1:1" x14ac:dyDescent="0.2">
      <c r="A5" s="6" t="s">
        <v>76</v>
      </c>
    </row>
    <row r="6" spans="1:1" x14ac:dyDescent="0.2">
      <c r="A6" t="s">
        <v>94</v>
      </c>
    </row>
    <row r="7" spans="1:1" x14ac:dyDescent="0.2">
      <c r="A7" t="s">
        <v>77</v>
      </c>
    </row>
    <row r="8" spans="1:1" x14ac:dyDescent="0.2">
      <c r="A8" s="6"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s="6"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row>
    <row r="26" spans="1:9" x14ac:dyDescent="0.2">
      <c r="A26" t="s">
        <v>122</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v>3.7390210665762397E-2</v>
      </c>
      <c r="G29">
        <v>1</v>
      </c>
      <c r="H29">
        <v>1</v>
      </c>
      <c r="I29" t="s">
        <v>124</v>
      </c>
    </row>
    <row r="30" spans="1:9" x14ac:dyDescent="0.2">
      <c r="A30" t="s">
        <v>125</v>
      </c>
      <c r="B30">
        <v>72</v>
      </c>
      <c r="C30">
        <v>8</v>
      </c>
      <c r="D30">
        <v>8</v>
      </c>
      <c r="E30">
        <v>0</v>
      </c>
      <c r="F30">
        <v>1.4626254169270301</v>
      </c>
      <c r="G30">
        <v>1</v>
      </c>
      <c r="H30">
        <v>1</v>
      </c>
      <c r="I30" t="s">
        <v>126</v>
      </c>
    </row>
    <row r="31" spans="1:9" x14ac:dyDescent="0.2">
      <c r="A31" t="s">
        <v>127</v>
      </c>
      <c r="B31">
        <v>108</v>
      </c>
      <c r="C31">
        <v>2</v>
      </c>
      <c r="D31">
        <v>12</v>
      </c>
      <c r="E31">
        <v>0</v>
      </c>
      <c r="F31">
        <v>168.31056627258599</v>
      </c>
      <c r="G31">
        <v>1</v>
      </c>
      <c r="H31">
        <v>1</v>
      </c>
      <c r="I31" t="s">
        <v>128</v>
      </c>
    </row>
    <row r="32" spans="1:9" x14ac:dyDescent="0.2">
      <c r="A32" t="s">
        <v>129</v>
      </c>
      <c r="B32">
        <v>144</v>
      </c>
      <c r="C32">
        <v>2</v>
      </c>
      <c r="D32">
        <v>13</v>
      </c>
      <c r="E32">
        <v>0</v>
      </c>
      <c r="F32">
        <v>1905.8547713328101</v>
      </c>
      <c r="G32">
        <v>1</v>
      </c>
      <c r="H32">
        <v>1</v>
      </c>
      <c r="I32" t="s">
        <v>130</v>
      </c>
    </row>
    <row r="33" spans="1:9" x14ac:dyDescent="0.2">
      <c r="A33" t="s">
        <v>163</v>
      </c>
      <c r="B33">
        <v>612</v>
      </c>
      <c r="C33">
        <v>2</v>
      </c>
      <c r="D33">
        <v>68</v>
      </c>
      <c r="E33">
        <v>16</v>
      </c>
      <c r="F33">
        <v>28800.1381012313</v>
      </c>
      <c r="G33">
        <v>1</v>
      </c>
      <c r="H33">
        <v>1</v>
      </c>
      <c r="I33" t="s">
        <v>783</v>
      </c>
    </row>
    <row r="34" spans="1:9" x14ac:dyDescent="0.2">
      <c r="A34" t="s">
        <v>146</v>
      </c>
      <c r="B34">
        <v>360</v>
      </c>
      <c r="C34">
        <v>4</v>
      </c>
      <c r="D34">
        <v>40</v>
      </c>
      <c r="E34">
        <v>16</v>
      </c>
      <c r="F34">
        <v>28800.2207073643</v>
      </c>
      <c r="G34">
        <v>1</v>
      </c>
      <c r="H34">
        <v>1</v>
      </c>
      <c r="I34" t="s">
        <v>784</v>
      </c>
    </row>
    <row r="35" spans="1:9" x14ac:dyDescent="0.2">
      <c r="A35" t="s">
        <v>136</v>
      </c>
      <c r="B35">
        <v>180</v>
      </c>
      <c r="C35">
        <v>2</v>
      </c>
      <c r="D35">
        <v>18</v>
      </c>
      <c r="E35">
        <v>1</v>
      </c>
      <c r="F35">
        <v>28800.233760229301</v>
      </c>
      <c r="G35">
        <v>1</v>
      </c>
      <c r="H35">
        <v>1</v>
      </c>
      <c r="I35" t="s">
        <v>785</v>
      </c>
    </row>
    <row r="36" spans="1:9" x14ac:dyDescent="0.2">
      <c r="A36" t="s">
        <v>156</v>
      </c>
      <c r="B36">
        <v>504</v>
      </c>
      <c r="C36">
        <v>2</v>
      </c>
      <c r="D36">
        <v>56</v>
      </c>
      <c r="E36">
        <v>11</v>
      </c>
      <c r="F36">
        <v>28800.2004730226</v>
      </c>
      <c r="G36">
        <v>1</v>
      </c>
      <c r="H36">
        <v>1</v>
      </c>
      <c r="I36" t="s">
        <v>786</v>
      </c>
    </row>
    <row r="37" spans="1:9" x14ac:dyDescent="0.2">
      <c r="A37" t="s">
        <v>148</v>
      </c>
      <c r="B37">
        <v>396</v>
      </c>
      <c r="C37">
        <v>4</v>
      </c>
      <c r="D37">
        <v>40</v>
      </c>
      <c r="E37">
        <v>14</v>
      </c>
      <c r="F37">
        <v>28800.140954672301</v>
      </c>
      <c r="G37">
        <v>1</v>
      </c>
      <c r="H37">
        <v>1</v>
      </c>
      <c r="I37" t="s">
        <v>787</v>
      </c>
    </row>
    <row r="38" spans="1:9" x14ac:dyDescent="0.2">
      <c r="A38" t="s">
        <v>165</v>
      </c>
      <c r="B38">
        <v>648</v>
      </c>
      <c r="C38">
        <v>10</v>
      </c>
      <c r="D38">
        <v>46</v>
      </c>
      <c r="E38">
        <v>-25</v>
      </c>
      <c r="F38">
        <v>28800.2780768023</v>
      </c>
      <c r="G38">
        <v>1</v>
      </c>
      <c r="H38">
        <v>1</v>
      </c>
      <c r="I38" t="s">
        <v>788</v>
      </c>
    </row>
    <row r="39" spans="1:9" x14ac:dyDescent="0.2">
      <c r="A39" t="s">
        <v>138</v>
      </c>
      <c r="B39">
        <v>216</v>
      </c>
      <c r="C39">
        <v>4</v>
      </c>
      <c r="D39">
        <v>18</v>
      </c>
      <c r="E39">
        <v>0</v>
      </c>
      <c r="F39">
        <v>28800.141245212399</v>
      </c>
      <c r="G39">
        <v>1</v>
      </c>
      <c r="H39">
        <v>1</v>
      </c>
      <c r="I39" t="s">
        <v>789</v>
      </c>
    </row>
    <row r="40" spans="1:9" x14ac:dyDescent="0.2">
      <c r="A40" t="s">
        <v>158</v>
      </c>
      <c r="B40">
        <v>540</v>
      </c>
      <c r="C40">
        <v>4</v>
      </c>
      <c r="D40">
        <v>161</v>
      </c>
      <c r="E40">
        <v>121</v>
      </c>
      <c r="F40">
        <v>28800.270125373201</v>
      </c>
      <c r="G40">
        <v>1</v>
      </c>
      <c r="H40">
        <v>1</v>
      </c>
      <c r="I40" t="s">
        <v>790</v>
      </c>
    </row>
    <row r="41" spans="1:9" x14ac:dyDescent="0.2">
      <c r="A41" t="s">
        <v>167</v>
      </c>
      <c r="B41">
        <v>648</v>
      </c>
      <c r="C41">
        <v>14</v>
      </c>
      <c r="D41">
        <v>54</v>
      </c>
      <c r="E41">
        <v>4</v>
      </c>
      <c r="F41">
        <v>28800.171025644901</v>
      </c>
      <c r="G41">
        <v>1</v>
      </c>
      <c r="H41">
        <v>1</v>
      </c>
      <c r="I41" t="s">
        <v>791</v>
      </c>
    </row>
    <row r="42" spans="1:9" x14ac:dyDescent="0.2">
      <c r="A42" t="s">
        <v>150</v>
      </c>
      <c r="B42">
        <v>432</v>
      </c>
      <c r="C42">
        <v>8</v>
      </c>
      <c r="D42">
        <v>36</v>
      </c>
      <c r="E42">
        <v>3</v>
      </c>
      <c r="F42">
        <v>28800.262784481001</v>
      </c>
      <c r="G42">
        <v>1</v>
      </c>
      <c r="H42">
        <v>1</v>
      </c>
      <c r="I42" t="s">
        <v>792</v>
      </c>
    </row>
    <row r="43" spans="1:9" x14ac:dyDescent="0.2">
      <c r="A43" t="s">
        <v>140</v>
      </c>
      <c r="B43">
        <v>252</v>
      </c>
      <c r="C43">
        <v>2</v>
      </c>
      <c r="D43">
        <v>28</v>
      </c>
      <c r="E43">
        <v>7</v>
      </c>
      <c r="F43">
        <v>28800.146835558098</v>
      </c>
      <c r="G43">
        <v>1</v>
      </c>
      <c r="H43">
        <v>1</v>
      </c>
      <c r="I43" t="s">
        <v>793</v>
      </c>
    </row>
    <row r="44" spans="1:9" x14ac:dyDescent="0.2">
      <c r="A44" t="s">
        <v>160</v>
      </c>
      <c r="B44">
        <v>576</v>
      </c>
      <c r="C44">
        <v>2</v>
      </c>
      <c r="D44">
        <v>64</v>
      </c>
      <c r="E44">
        <v>7</v>
      </c>
      <c r="F44">
        <v>28800.157880959101</v>
      </c>
      <c r="G44">
        <v>1</v>
      </c>
      <c r="H44">
        <v>1</v>
      </c>
      <c r="I44" t="s">
        <v>794</v>
      </c>
    </row>
    <row r="45" spans="1:9" x14ac:dyDescent="0.2">
      <c r="A45" t="s">
        <v>168</v>
      </c>
      <c r="B45">
        <v>684</v>
      </c>
      <c r="C45">
        <v>2</v>
      </c>
      <c r="D45">
        <v>123</v>
      </c>
      <c r="E45">
        <v>94</v>
      </c>
      <c r="F45">
        <v>28800.229256695999</v>
      </c>
      <c r="G45">
        <v>1</v>
      </c>
      <c r="H45">
        <v>1</v>
      </c>
      <c r="I45" t="s">
        <v>795</v>
      </c>
    </row>
    <row r="46" spans="1:9" x14ac:dyDescent="0.2">
      <c r="A46" t="s">
        <v>152</v>
      </c>
      <c r="B46">
        <v>468</v>
      </c>
      <c r="C46">
        <v>4</v>
      </c>
      <c r="D46">
        <v>52</v>
      </c>
      <c r="E46">
        <v>21</v>
      </c>
      <c r="F46">
        <v>28800.1898034103</v>
      </c>
      <c r="G46">
        <v>1</v>
      </c>
      <c r="H46">
        <v>1</v>
      </c>
      <c r="I46" t="s">
        <v>796</v>
      </c>
    </row>
    <row r="47" spans="1:9" x14ac:dyDescent="0.2">
      <c r="A47" t="s">
        <v>142</v>
      </c>
      <c r="B47">
        <v>288</v>
      </c>
      <c r="C47">
        <v>2</v>
      </c>
      <c r="D47">
        <v>32</v>
      </c>
      <c r="E47">
        <v>8</v>
      </c>
      <c r="F47">
        <v>28800.213031114999</v>
      </c>
      <c r="G47">
        <v>1</v>
      </c>
      <c r="H47">
        <v>1</v>
      </c>
      <c r="I47" t="s">
        <v>797</v>
      </c>
    </row>
    <row r="48" spans="1:9" x14ac:dyDescent="0.2">
      <c r="A48" t="s">
        <v>162</v>
      </c>
      <c r="B48">
        <v>576</v>
      </c>
      <c r="C48">
        <v>2</v>
      </c>
      <c r="D48">
        <v>64</v>
      </c>
      <c r="E48">
        <v>5</v>
      </c>
      <c r="F48">
        <v>28800.179432939702</v>
      </c>
      <c r="G48">
        <v>1</v>
      </c>
      <c r="H48">
        <v>1</v>
      </c>
      <c r="I48" t="s">
        <v>794</v>
      </c>
    </row>
    <row r="49" spans="1:9" x14ac:dyDescent="0.2">
      <c r="A49" t="s">
        <v>154</v>
      </c>
      <c r="B49">
        <v>496</v>
      </c>
      <c r="C49">
        <v>2</v>
      </c>
      <c r="D49">
        <v>130</v>
      </c>
      <c r="E49">
        <v>98</v>
      </c>
      <c r="F49">
        <v>28800.214472127998</v>
      </c>
      <c r="G49">
        <v>1</v>
      </c>
      <c r="H49">
        <v>1</v>
      </c>
      <c r="I49" t="s">
        <v>798</v>
      </c>
    </row>
    <row r="50" spans="1:9" x14ac:dyDescent="0.2">
      <c r="A50" t="s">
        <v>144</v>
      </c>
      <c r="B50">
        <v>324</v>
      </c>
      <c r="C50">
        <v>4</v>
      </c>
      <c r="D50">
        <v>36</v>
      </c>
      <c r="E50">
        <v>11</v>
      </c>
      <c r="F50">
        <v>28800.277388724498</v>
      </c>
      <c r="G50">
        <v>1</v>
      </c>
      <c r="H50">
        <v>1</v>
      </c>
      <c r="I50" t="s">
        <v>799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dimension ref="A1:I50"/>
  <sheetViews>
    <sheetView topLeftCell="A23" workbookViewId="0">
      <selection activeCell="F22" sqref="F22"/>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95</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s="21"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c r="F25" s="1"/>
    </row>
    <row r="26" spans="1:9" x14ac:dyDescent="0.2">
      <c r="A26" t="s">
        <v>131</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v>2.57654404267668E-2</v>
      </c>
      <c r="G29">
        <v>1</v>
      </c>
      <c r="H29">
        <v>1</v>
      </c>
      <c r="I29" t="s">
        <v>132</v>
      </c>
    </row>
    <row r="30" spans="1:9" x14ac:dyDescent="0.2">
      <c r="A30" t="s">
        <v>125</v>
      </c>
      <c r="B30">
        <v>72</v>
      </c>
      <c r="C30">
        <v>8</v>
      </c>
      <c r="D30">
        <v>8</v>
      </c>
      <c r="E30">
        <v>0</v>
      </c>
      <c r="F30">
        <v>1.1045358143746801E-2</v>
      </c>
      <c r="G30">
        <v>1</v>
      </c>
      <c r="H30">
        <v>1</v>
      </c>
      <c r="I30" t="s">
        <v>133</v>
      </c>
    </row>
    <row r="31" spans="1:9" x14ac:dyDescent="0.2">
      <c r="A31" t="s">
        <v>127</v>
      </c>
      <c r="B31">
        <v>108</v>
      </c>
      <c r="C31">
        <v>2</v>
      </c>
      <c r="D31">
        <v>28</v>
      </c>
      <c r="E31">
        <v>16</v>
      </c>
      <c r="F31">
        <v>1.13452998921275E-2</v>
      </c>
      <c r="G31">
        <v>1</v>
      </c>
      <c r="H31">
        <v>1</v>
      </c>
      <c r="I31" t="s">
        <v>134</v>
      </c>
    </row>
    <row r="32" spans="1:9" x14ac:dyDescent="0.2">
      <c r="A32" t="s">
        <v>129</v>
      </c>
      <c r="B32">
        <v>144</v>
      </c>
      <c r="C32">
        <v>2</v>
      </c>
      <c r="D32">
        <v>0</v>
      </c>
      <c r="E32">
        <v>-13</v>
      </c>
      <c r="F32">
        <v>1.2443808838725E-2</v>
      </c>
      <c r="G32">
        <v>1</v>
      </c>
      <c r="H32">
        <v>1</v>
      </c>
      <c r="I32" t="s">
        <v>135</v>
      </c>
    </row>
    <row r="33" spans="1:9" x14ac:dyDescent="0.2">
      <c r="A33" t="s">
        <v>136</v>
      </c>
      <c r="B33">
        <v>180</v>
      </c>
      <c r="C33">
        <v>2</v>
      </c>
      <c r="D33">
        <v>32</v>
      </c>
      <c r="E33">
        <v>15</v>
      </c>
      <c r="F33">
        <v>2.05650245770812E-2</v>
      </c>
      <c r="G33">
        <v>1</v>
      </c>
      <c r="H33">
        <v>1</v>
      </c>
      <c r="I33" t="s">
        <v>137</v>
      </c>
    </row>
    <row r="34" spans="1:9" x14ac:dyDescent="0.2">
      <c r="A34" t="s">
        <v>138</v>
      </c>
      <c r="B34">
        <v>216</v>
      </c>
      <c r="C34">
        <v>4</v>
      </c>
      <c r="D34">
        <v>0</v>
      </c>
      <c r="E34">
        <v>-18</v>
      </c>
      <c r="F34">
        <v>2.08836533129215E-2</v>
      </c>
      <c r="G34">
        <v>1</v>
      </c>
      <c r="H34">
        <v>1</v>
      </c>
      <c r="I34" t="s">
        <v>139</v>
      </c>
    </row>
    <row r="35" spans="1:9" x14ac:dyDescent="0.2">
      <c r="A35" t="s">
        <v>140</v>
      </c>
      <c r="B35">
        <v>252</v>
      </c>
      <c r="C35">
        <v>2</v>
      </c>
      <c r="D35">
        <v>0</v>
      </c>
      <c r="E35">
        <v>-21</v>
      </c>
      <c r="F35">
        <v>1.8805702216923199E-2</v>
      </c>
      <c r="G35">
        <v>1</v>
      </c>
      <c r="H35">
        <v>1</v>
      </c>
      <c r="I35" t="s">
        <v>141</v>
      </c>
    </row>
    <row r="36" spans="1:9" x14ac:dyDescent="0.2">
      <c r="A36" t="s">
        <v>142</v>
      </c>
      <c r="B36">
        <v>288</v>
      </c>
      <c r="C36">
        <v>2</v>
      </c>
      <c r="D36">
        <v>0</v>
      </c>
      <c r="E36">
        <v>-24</v>
      </c>
      <c r="F36">
        <v>2.0648367702960899E-2</v>
      </c>
      <c r="G36">
        <v>1</v>
      </c>
      <c r="H36">
        <v>1</v>
      </c>
      <c r="I36" t="s">
        <v>143</v>
      </c>
    </row>
    <row r="37" spans="1:9" x14ac:dyDescent="0.2">
      <c r="A37" t="s">
        <v>144</v>
      </c>
      <c r="B37">
        <v>324</v>
      </c>
      <c r="C37">
        <v>4</v>
      </c>
      <c r="D37">
        <v>0</v>
      </c>
      <c r="E37">
        <v>-25</v>
      </c>
      <c r="F37">
        <v>2.6545614004135101E-2</v>
      </c>
      <c r="G37">
        <v>1</v>
      </c>
      <c r="H37">
        <v>1</v>
      </c>
      <c r="I37" t="s">
        <v>145</v>
      </c>
    </row>
    <row r="38" spans="1:9" x14ac:dyDescent="0.2">
      <c r="A38" t="s">
        <v>146</v>
      </c>
      <c r="B38">
        <v>360</v>
      </c>
      <c r="C38">
        <v>4</v>
      </c>
      <c r="D38">
        <v>0</v>
      </c>
      <c r="E38">
        <v>-24</v>
      </c>
      <c r="F38">
        <v>3.0085407197475399E-2</v>
      </c>
      <c r="G38">
        <v>1</v>
      </c>
      <c r="H38">
        <v>1</v>
      </c>
      <c r="I38" t="s">
        <v>147</v>
      </c>
    </row>
    <row r="39" spans="1:9" x14ac:dyDescent="0.2">
      <c r="A39" t="s">
        <v>148</v>
      </c>
      <c r="B39">
        <v>396</v>
      </c>
      <c r="C39">
        <v>4</v>
      </c>
      <c r="D39">
        <v>0</v>
      </c>
      <c r="E39">
        <v>-26</v>
      </c>
      <c r="F39">
        <v>3.4527451731264501E-2</v>
      </c>
      <c r="G39">
        <v>1</v>
      </c>
      <c r="H39">
        <v>1</v>
      </c>
      <c r="I39" t="s">
        <v>149</v>
      </c>
    </row>
    <row r="40" spans="1:9" x14ac:dyDescent="0.2">
      <c r="A40" t="s">
        <v>150</v>
      </c>
      <c r="B40">
        <v>432</v>
      </c>
      <c r="C40">
        <v>8</v>
      </c>
      <c r="D40">
        <v>0</v>
      </c>
      <c r="E40">
        <v>-33</v>
      </c>
      <c r="F40">
        <v>4.6419123187661102E-2</v>
      </c>
      <c r="G40">
        <v>1</v>
      </c>
      <c r="H40">
        <v>1</v>
      </c>
      <c r="I40" t="s">
        <v>151</v>
      </c>
    </row>
    <row r="41" spans="1:9" x14ac:dyDescent="0.2">
      <c r="A41" t="s">
        <v>152</v>
      </c>
      <c r="B41">
        <v>468</v>
      </c>
      <c r="C41">
        <v>4</v>
      </c>
      <c r="D41">
        <v>0</v>
      </c>
      <c r="E41">
        <v>-31</v>
      </c>
      <c r="F41">
        <v>4.2027705349028097E-2</v>
      </c>
      <c r="G41">
        <v>1</v>
      </c>
      <c r="H41">
        <v>1</v>
      </c>
      <c r="I41" t="s">
        <v>153</v>
      </c>
    </row>
    <row r="42" spans="1:9" x14ac:dyDescent="0.2">
      <c r="A42" t="s">
        <v>154</v>
      </c>
      <c r="B42">
        <v>496</v>
      </c>
      <c r="C42">
        <v>2</v>
      </c>
      <c r="D42">
        <v>62</v>
      </c>
      <c r="E42">
        <v>30</v>
      </c>
      <c r="F42">
        <v>4.95575992390513E-2</v>
      </c>
      <c r="G42">
        <v>1</v>
      </c>
      <c r="H42">
        <v>1</v>
      </c>
      <c r="I42" t="s">
        <v>155</v>
      </c>
    </row>
    <row r="43" spans="1:9" x14ac:dyDescent="0.2">
      <c r="A43" t="s">
        <v>156</v>
      </c>
      <c r="B43">
        <v>504</v>
      </c>
      <c r="C43">
        <v>2</v>
      </c>
      <c r="D43">
        <v>0</v>
      </c>
      <c r="E43">
        <v>-45</v>
      </c>
      <c r="F43">
        <v>4.0447033941745703E-2</v>
      </c>
      <c r="G43">
        <v>1</v>
      </c>
      <c r="H43">
        <v>1</v>
      </c>
      <c r="I43" t="s">
        <v>157</v>
      </c>
    </row>
    <row r="44" spans="1:9" x14ac:dyDescent="0.2">
      <c r="A44" t="s">
        <v>158</v>
      </c>
      <c r="B44">
        <v>540</v>
      </c>
      <c r="C44">
        <v>4</v>
      </c>
      <c r="D44">
        <v>0</v>
      </c>
      <c r="E44">
        <v>-40</v>
      </c>
      <c r="F44">
        <v>4.8691255971789298E-2</v>
      </c>
      <c r="G44">
        <v>1</v>
      </c>
      <c r="H44">
        <v>1</v>
      </c>
      <c r="I44" t="s">
        <v>159</v>
      </c>
    </row>
    <row r="45" spans="1:9" x14ac:dyDescent="0.2">
      <c r="A45" t="s">
        <v>160</v>
      </c>
      <c r="B45">
        <v>576</v>
      </c>
      <c r="C45">
        <v>2</v>
      </c>
      <c r="D45">
        <v>0</v>
      </c>
      <c r="E45">
        <v>-57</v>
      </c>
      <c r="F45">
        <v>5.0132671371102298E-2</v>
      </c>
      <c r="G45">
        <v>1</v>
      </c>
      <c r="H45">
        <v>1</v>
      </c>
      <c r="I45" t="s">
        <v>161</v>
      </c>
    </row>
    <row r="46" spans="1:9" x14ac:dyDescent="0.2">
      <c r="A46" t="s">
        <v>162</v>
      </c>
      <c r="B46">
        <v>576</v>
      </c>
      <c r="C46">
        <v>2</v>
      </c>
      <c r="D46">
        <v>0</v>
      </c>
      <c r="E46">
        <v>-59</v>
      </c>
      <c r="F46">
        <v>4.8213284462690298E-2</v>
      </c>
      <c r="G46">
        <v>1</v>
      </c>
      <c r="H46">
        <v>1</v>
      </c>
      <c r="I46" t="s">
        <v>161</v>
      </c>
    </row>
    <row r="47" spans="1:9" x14ac:dyDescent="0.2">
      <c r="A47" t="s">
        <v>163</v>
      </c>
      <c r="B47">
        <v>612</v>
      </c>
      <c r="C47">
        <v>2</v>
      </c>
      <c r="D47">
        <v>0</v>
      </c>
      <c r="E47">
        <v>-52</v>
      </c>
      <c r="F47">
        <v>5.4326833225786603E-2</v>
      </c>
      <c r="G47">
        <v>1</v>
      </c>
      <c r="H47">
        <v>1</v>
      </c>
      <c r="I47" t="s">
        <v>164</v>
      </c>
    </row>
    <row r="48" spans="1:9" x14ac:dyDescent="0.2">
      <c r="A48" t="s">
        <v>165</v>
      </c>
      <c r="B48">
        <v>648</v>
      </c>
      <c r="C48">
        <v>10</v>
      </c>
      <c r="D48">
        <v>0</v>
      </c>
      <c r="E48">
        <v>-71</v>
      </c>
      <c r="F48">
        <v>8.3346463739871895E-2</v>
      </c>
      <c r="G48">
        <v>1</v>
      </c>
      <c r="H48">
        <v>1</v>
      </c>
      <c r="I48" t="s">
        <v>166</v>
      </c>
    </row>
    <row r="49" spans="1:9" x14ac:dyDescent="0.2">
      <c r="A49" t="s">
        <v>167</v>
      </c>
      <c r="B49">
        <v>648</v>
      </c>
      <c r="C49">
        <v>14</v>
      </c>
      <c r="D49">
        <v>0</v>
      </c>
      <c r="E49">
        <v>-50</v>
      </c>
      <c r="F49">
        <v>9.2727934941649395E-2</v>
      </c>
      <c r="G49">
        <v>1</v>
      </c>
      <c r="H49">
        <v>1</v>
      </c>
      <c r="I49" t="s">
        <v>166</v>
      </c>
    </row>
    <row r="50" spans="1:9" x14ac:dyDescent="0.2">
      <c r="A50" t="s">
        <v>168</v>
      </c>
      <c r="B50">
        <v>684</v>
      </c>
      <c r="C50">
        <v>2</v>
      </c>
      <c r="D50">
        <v>0</v>
      </c>
      <c r="E50">
        <v>-29</v>
      </c>
      <c r="F50">
        <v>7.1333399973809705E-2</v>
      </c>
      <c r="G50">
        <v>1</v>
      </c>
      <c r="H50">
        <v>1</v>
      </c>
      <c r="I50" t="s">
        <v>169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0F65-B8CD-9B47-B167-6C9F071F03B6}">
  <dimension ref="A1:I56"/>
  <sheetViews>
    <sheetView topLeftCell="A22" workbookViewId="0">
      <selection activeCell="D35" sqref="D35:E56"/>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97</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1" x14ac:dyDescent="0.2">
      <c r="A17" t="s">
        <v>121</v>
      </c>
    </row>
    <row r="18" spans="1:1" x14ac:dyDescent="0.2">
      <c r="A18" t="s">
        <v>83</v>
      </c>
    </row>
    <row r="19" spans="1:1" x14ac:dyDescent="0.2">
      <c r="A19" t="s">
        <v>84</v>
      </c>
    </row>
    <row r="20" spans="1:1" x14ac:dyDescent="0.2">
      <c r="A20" s="21" t="s">
        <v>85</v>
      </c>
    </row>
    <row r="21" spans="1:1" x14ac:dyDescent="0.2">
      <c r="A21" t="s">
        <v>86</v>
      </c>
    </row>
    <row r="22" spans="1:1" x14ac:dyDescent="0.2">
      <c r="A22" t="s">
        <v>87</v>
      </c>
    </row>
    <row r="23" spans="1:1" x14ac:dyDescent="0.2">
      <c r="A23" t="s">
        <v>88</v>
      </c>
    </row>
    <row r="24" spans="1:1" x14ac:dyDescent="0.2">
      <c r="A24" t="s">
        <v>105</v>
      </c>
    </row>
    <row r="25" spans="1:1" x14ac:dyDescent="0.2">
      <c r="A25" t="s">
        <v>98</v>
      </c>
    </row>
    <row r="26" spans="1:1" x14ac:dyDescent="0.2">
      <c r="A26" t="s">
        <v>89</v>
      </c>
    </row>
    <row r="27" spans="1:1" x14ac:dyDescent="0.2">
      <c r="A27" t="s">
        <v>99</v>
      </c>
    </row>
    <row r="28" spans="1:1" x14ac:dyDescent="0.2">
      <c r="A28" t="s">
        <v>100</v>
      </c>
    </row>
    <row r="29" spans="1:1" x14ac:dyDescent="0.2">
      <c r="A29" t="s">
        <v>102</v>
      </c>
    </row>
    <row r="30" spans="1:1" x14ac:dyDescent="0.2">
      <c r="A30" t="s">
        <v>101</v>
      </c>
    </row>
    <row r="31" spans="1:1" x14ac:dyDescent="0.2">
      <c r="A31" t="s">
        <v>103</v>
      </c>
    </row>
    <row r="32" spans="1:1" x14ac:dyDescent="0.2">
      <c r="A32" t="s">
        <v>170</v>
      </c>
    </row>
    <row r="33" spans="1:9" x14ac:dyDescent="0.2">
      <c r="A33" t="s">
        <v>90</v>
      </c>
    </row>
    <row r="34" spans="1:9" x14ac:dyDescent="0.2">
      <c r="A34" t="s">
        <v>70</v>
      </c>
      <c r="B34" t="s">
        <v>61</v>
      </c>
      <c r="C34" t="s">
        <v>71</v>
      </c>
      <c r="D34" t="s">
        <v>72</v>
      </c>
      <c r="E34" t="s">
        <v>91</v>
      </c>
      <c r="F34" t="s">
        <v>92</v>
      </c>
      <c r="G34" t="s">
        <v>58</v>
      </c>
      <c r="H34" t="s">
        <v>59</v>
      </c>
      <c r="I34" t="s">
        <v>93</v>
      </c>
    </row>
    <row r="35" spans="1:9" x14ac:dyDescent="0.2">
      <c r="A35" t="s">
        <v>123</v>
      </c>
      <c r="B35">
        <v>36</v>
      </c>
      <c r="C35">
        <v>8</v>
      </c>
      <c r="D35">
        <v>4</v>
      </c>
      <c r="E35">
        <v>0</v>
      </c>
      <c r="F35">
        <v>14.290032692253501</v>
      </c>
      <c r="G35">
        <v>9650</v>
      </c>
      <c r="H35">
        <v>10000</v>
      </c>
      <c r="I35" t="s">
        <v>171</v>
      </c>
    </row>
    <row r="36" spans="1:9" x14ac:dyDescent="0.2">
      <c r="A36" t="s">
        <v>125</v>
      </c>
      <c r="B36">
        <v>72</v>
      </c>
      <c r="C36">
        <v>8</v>
      </c>
      <c r="D36">
        <v>8</v>
      </c>
      <c r="E36">
        <v>0</v>
      </c>
      <c r="F36">
        <v>29.453313699923399</v>
      </c>
      <c r="G36">
        <v>6816</v>
      </c>
      <c r="H36">
        <v>10000</v>
      </c>
      <c r="I36" t="s">
        <v>172</v>
      </c>
    </row>
    <row r="37" spans="1:9" x14ac:dyDescent="0.2">
      <c r="A37" t="s">
        <v>127</v>
      </c>
      <c r="B37">
        <v>108</v>
      </c>
      <c r="C37">
        <v>2</v>
      </c>
      <c r="D37">
        <v>12</v>
      </c>
      <c r="E37">
        <v>0</v>
      </c>
      <c r="F37">
        <v>29.046700088307201</v>
      </c>
      <c r="G37">
        <v>1047</v>
      </c>
      <c r="H37">
        <v>10000</v>
      </c>
      <c r="I37" t="s">
        <v>173</v>
      </c>
    </row>
    <row r="38" spans="1:9" x14ac:dyDescent="0.2">
      <c r="A38" t="s">
        <v>129</v>
      </c>
      <c r="B38">
        <v>144</v>
      </c>
      <c r="C38">
        <v>2</v>
      </c>
      <c r="D38">
        <v>13</v>
      </c>
      <c r="E38">
        <v>0</v>
      </c>
      <c r="F38">
        <v>47.894898576661902</v>
      </c>
      <c r="G38">
        <v>69</v>
      </c>
      <c r="H38">
        <v>10000</v>
      </c>
      <c r="I38" t="s">
        <v>174</v>
      </c>
    </row>
    <row r="39" spans="1:9" x14ac:dyDescent="0.2">
      <c r="A39" t="s">
        <v>136</v>
      </c>
      <c r="B39">
        <v>180</v>
      </c>
      <c r="C39">
        <v>2</v>
      </c>
      <c r="D39">
        <v>17</v>
      </c>
      <c r="E39">
        <v>0</v>
      </c>
      <c r="F39">
        <v>63.564848209731203</v>
      </c>
      <c r="G39">
        <v>6</v>
      </c>
      <c r="H39">
        <v>10000</v>
      </c>
      <c r="I39" t="s">
        <v>175</v>
      </c>
    </row>
    <row r="40" spans="1:9" x14ac:dyDescent="0.2">
      <c r="A40" t="s">
        <v>138</v>
      </c>
      <c r="B40">
        <v>216</v>
      </c>
      <c r="C40">
        <v>4</v>
      </c>
      <c r="D40">
        <v>18</v>
      </c>
      <c r="E40">
        <v>0</v>
      </c>
      <c r="F40">
        <v>92.764882870018397</v>
      </c>
      <c r="G40">
        <v>35</v>
      </c>
      <c r="H40">
        <v>10000</v>
      </c>
      <c r="I40" t="s">
        <v>176</v>
      </c>
    </row>
    <row r="41" spans="1:9" x14ac:dyDescent="0.2">
      <c r="A41" t="s">
        <v>140</v>
      </c>
      <c r="B41">
        <v>252</v>
      </c>
      <c r="C41">
        <v>2</v>
      </c>
      <c r="D41">
        <v>23</v>
      </c>
      <c r="E41">
        <v>2</v>
      </c>
      <c r="F41">
        <v>129.449534671381</v>
      </c>
      <c r="G41">
        <v>3</v>
      </c>
      <c r="H41">
        <v>10000</v>
      </c>
      <c r="I41" t="s">
        <v>177</v>
      </c>
    </row>
    <row r="42" spans="1:9" x14ac:dyDescent="0.2">
      <c r="A42" t="s">
        <v>142</v>
      </c>
      <c r="B42">
        <v>288</v>
      </c>
      <c r="C42">
        <v>2</v>
      </c>
      <c r="D42">
        <v>27</v>
      </c>
      <c r="E42">
        <v>3</v>
      </c>
      <c r="F42">
        <v>190.31140406429699</v>
      </c>
      <c r="G42">
        <v>2</v>
      </c>
      <c r="H42">
        <v>10000</v>
      </c>
      <c r="I42" t="s">
        <v>178</v>
      </c>
    </row>
    <row r="43" spans="1:9" x14ac:dyDescent="0.2">
      <c r="A43" t="s">
        <v>144</v>
      </c>
      <c r="B43">
        <v>324</v>
      </c>
      <c r="C43">
        <v>4</v>
      </c>
      <c r="D43">
        <v>30</v>
      </c>
      <c r="E43">
        <v>5</v>
      </c>
      <c r="F43">
        <v>216.13331461511501</v>
      </c>
      <c r="G43">
        <v>1</v>
      </c>
      <c r="H43">
        <v>10000</v>
      </c>
      <c r="I43" t="s">
        <v>179</v>
      </c>
    </row>
    <row r="44" spans="1:9" x14ac:dyDescent="0.2">
      <c r="A44" t="s">
        <v>146</v>
      </c>
      <c r="B44">
        <v>360</v>
      </c>
      <c r="C44">
        <v>4</v>
      </c>
      <c r="D44">
        <v>25</v>
      </c>
      <c r="E44">
        <v>1</v>
      </c>
      <c r="F44">
        <v>318.718828694894</v>
      </c>
      <c r="G44">
        <v>2</v>
      </c>
      <c r="H44">
        <v>10000</v>
      </c>
      <c r="I44" t="s">
        <v>180</v>
      </c>
    </row>
    <row r="45" spans="1:9" x14ac:dyDescent="0.2">
      <c r="A45" t="s">
        <v>148</v>
      </c>
      <c r="B45">
        <v>396</v>
      </c>
      <c r="C45">
        <v>4</v>
      </c>
      <c r="D45">
        <v>34</v>
      </c>
      <c r="E45">
        <v>8</v>
      </c>
      <c r="F45">
        <v>302.44818044546901</v>
      </c>
      <c r="G45">
        <v>1</v>
      </c>
      <c r="H45">
        <v>10000</v>
      </c>
      <c r="I45" t="s">
        <v>181</v>
      </c>
    </row>
    <row r="46" spans="1:9" x14ac:dyDescent="0.2">
      <c r="A46" t="s">
        <v>150</v>
      </c>
      <c r="B46">
        <v>432</v>
      </c>
      <c r="C46">
        <v>8</v>
      </c>
      <c r="D46">
        <v>41</v>
      </c>
      <c r="E46">
        <v>8</v>
      </c>
      <c r="F46">
        <v>579.74378036893904</v>
      </c>
      <c r="G46">
        <v>1</v>
      </c>
      <c r="H46">
        <v>10000</v>
      </c>
      <c r="I46" t="s">
        <v>182</v>
      </c>
    </row>
    <row r="47" spans="1:9" x14ac:dyDescent="0.2">
      <c r="A47" t="s">
        <v>152</v>
      </c>
      <c r="B47">
        <v>468</v>
      </c>
      <c r="C47">
        <v>4</v>
      </c>
      <c r="D47">
        <v>36</v>
      </c>
      <c r="E47">
        <v>5</v>
      </c>
      <c r="F47">
        <v>464.18777732830398</v>
      </c>
      <c r="G47">
        <v>1</v>
      </c>
      <c r="H47">
        <v>10000</v>
      </c>
      <c r="I47" t="s">
        <v>183</v>
      </c>
    </row>
    <row r="48" spans="1:9" x14ac:dyDescent="0.2">
      <c r="A48" t="s">
        <v>154</v>
      </c>
      <c r="B48">
        <v>496</v>
      </c>
      <c r="C48">
        <v>2</v>
      </c>
      <c r="D48">
        <v>38</v>
      </c>
      <c r="E48">
        <v>6</v>
      </c>
      <c r="F48">
        <v>347.83623105008098</v>
      </c>
      <c r="G48">
        <v>1</v>
      </c>
      <c r="H48">
        <v>10000</v>
      </c>
      <c r="I48" t="s">
        <v>184</v>
      </c>
    </row>
    <row r="49" spans="1:9" x14ac:dyDescent="0.2">
      <c r="A49" t="s">
        <v>156</v>
      </c>
      <c r="B49">
        <v>504</v>
      </c>
      <c r="C49">
        <v>2</v>
      </c>
      <c r="D49">
        <v>66</v>
      </c>
      <c r="E49">
        <v>21</v>
      </c>
      <c r="F49">
        <v>984.629202810116</v>
      </c>
      <c r="G49">
        <v>1</v>
      </c>
      <c r="H49">
        <v>10000</v>
      </c>
      <c r="I49" t="s">
        <v>185</v>
      </c>
    </row>
    <row r="50" spans="1:9" x14ac:dyDescent="0.2">
      <c r="A50" t="s">
        <v>158</v>
      </c>
      <c r="B50">
        <v>540</v>
      </c>
      <c r="C50">
        <v>4</v>
      </c>
      <c r="D50">
        <v>60</v>
      </c>
      <c r="E50">
        <v>20</v>
      </c>
      <c r="F50">
        <v>1204.19670287705</v>
      </c>
      <c r="G50">
        <v>1</v>
      </c>
      <c r="H50">
        <v>10000</v>
      </c>
      <c r="I50" t="s">
        <v>186</v>
      </c>
    </row>
    <row r="51" spans="1:9" x14ac:dyDescent="0.2">
      <c r="A51" t="s">
        <v>160</v>
      </c>
      <c r="B51">
        <v>576</v>
      </c>
      <c r="C51">
        <v>2</v>
      </c>
      <c r="D51">
        <v>71</v>
      </c>
      <c r="E51">
        <v>14</v>
      </c>
      <c r="F51">
        <v>1588.04667936079</v>
      </c>
      <c r="G51">
        <v>1</v>
      </c>
      <c r="H51">
        <v>10000</v>
      </c>
      <c r="I51" t="s">
        <v>187</v>
      </c>
    </row>
    <row r="52" spans="1:9" x14ac:dyDescent="0.2">
      <c r="A52" t="s">
        <v>162</v>
      </c>
      <c r="B52">
        <v>576</v>
      </c>
      <c r="C52">
        <v>2</v>
      </c>
      <c r="D52">
        <v>70</v>
      </c>
      <c r="E52">
        <v>11</v>
      </c>
      <c r="F52">
        <v>1588.8015497410599</v>
      </c>
      <c r="G52">
        <v>1</v>
      </c>
      <c r="H52">
        <v>10000</v>
      </c>
      <c r="I52" t="s">
        <v>188</v>
      </c>
    </row>
    <row r="53" spans="1:9" x14ac:dyDescent="0.2">
      <c r="A53" t="s">
        <v>163</v>
      </c>
      <c r="B53">
        <v>612</v>
      </c>
      <c r="C53">
        <v>2</v>
      </c>
      <c r="D53">
        <v>65</v>
      </c>
      <c r="E53">
        <v>13</v>
      </c>
      <c r="F53">
        <v>1884.05897659994</v>
      </c>
      <c r="G53">
        <v>1</v>
      </c>
      <c r="H53">
        <v>10000</v>
      </c>
      <c r="I53" t="s">
        <v>189</v>
      </c>
    </row>
    <row r="54" spans="1:9" x14ac:dyDescent="0.2">
      <c r="A54" t="s">
        <v>165</v>
      </c>
      <c r="B54">
        <v>648</v>
      </c>
      <c r="C54">
        <v>10</v>
      </c>
      <c r="D54">
        <v>81</v>
      </c>
      <c r="E54">
        <v>10</v>
      </c>
      <c r="F54">
        <v>2319.5902283834198</v>
      </c>
      <c r="G54">
        <v>1</v>
      </c>
      <c r="H54">
        <v>10000</v>
      </c>
      <c r="I54" t="s">
        <v>190</v>
      </c>
    </row>
    <row r="55" spans="1:9" x14ac:dyDescent="0.2">
      <c r="A55" t="s">
        <v>167</v>
      </c>
      <c r="B55">
        <v>648</v>
      </c>
      <c r="C55">
        <v>14</v>
      </c>
      <c r="D55">
        <v>78</v>
      </c>
      <c r="E55">
        <v>28</v>
      </c>
      <c r="F55">
        <v>2288.4525531204399</v>
      </c>
      <c r="G55">
        <v>1</v>
      </c>
      <c r="H55">
        <v>10000</v>
      </c>
      <c r="I55" t="s">
        <v>191</v>
      </c>
    </row>
    <row r="56" spans="1:9" x14ac:dyDescent="0.2">
      <c r="A56" t="s">
        <v>168</v>
      </c>
      <c r="B56">
        <v>684</v>
      </c>
      <c r="C56">
        <v>2</v>
      </c>
      <c r="D56">
        <v>42</v>
      </c>
      <c r="E56">
        <v>13</v>
      </c>
      <c r="F56">
        <v>840.52784777153204</v>
      </c>
      <c r="G56">
        <v>1</v>
      </c>
      <c r="H56">
        <v>10000</v>
      </c>
      <c r="I56" t="s">
        <v>192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0346A-A9B8-A942-BB98-67170CC30B38}">
  <dimension ref="A1:I50"/>
  <sheetViews>
    <sheetView topLeftCell="A16" workbookViewId="0">
      <selection activeCell="A50" sqref="A50"/>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104</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s="21"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row>
    <row r="26" spans="1:9" x14ac:dyDescent="0.2">
      <c r="A26" t="s">
        <v>193</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v>5.0817322917282498E-2</v>
      </c>
      <c r="G29">
        <v>1</v>
      </c>
      <c r="H29">
        <v>1</v>
      </c>
      <c r="I29" t="s">
        <v>194</v>
      </c>
    </row>
    <row r="30" spans="1:9" x14ac:dyDescent="0.2">
      <c r="A30" t="s">
        <v>125</v>
      </c>
      <c r="B30">
        <v>72</v>
      </c>
      <c r="C30">
        <v>8</v>
      </c>
      <c r="D30">
        <v>8</v>
      </c>
      <c r="E30">
        <v>0</v>
      </c>
      <c r="F30">
        <v>0.19127189181745</v>
      </c>
      <c r="G30">
        <v>1</v>
      </c>
      <c r="H30">
        <v>1</v>
      </c>
      <c r="I30" t="s">
        <v>195</v>
      </c>
    </row>
    <row r="31" spans="1:9" x14ac:dyDescent="0.2">
      <c r="A31" t="s">
        <v>127</v>
      </c>
      <c r="B31">
        <v>108</v>
      </c>
      <c r="C31">
        <v>2</v>
      </c>
      <c r="D31">
        <v>12</v>
      </c>
      <c r="E31">
        <v>0</v>
      </c>
      <c r="F31">
        <v>331.22124582808402</v>
      </c>
      <c r="G31">
        <v>1</v>
      </c>
      <c r="H31">
        <v>1</v>
      </c>
      <c r="I31" t="s">
        <v>196</v>
      </c>
    </row>
    <row r="32" spans="1:9" x14ac:dyDescent="0.2">
      <c r="A32" t="s">
        <v>129</v>
      </c>
      <c r="B32">
        <v>144</v>
      </c>
      <c r="C32">
        <v>2</v>
      </c>
      <c r="D32">
        <v>13</v>
      </c>
      <c r="E32">
        <v>0</v>
      </c>
      <c r="F32">
        <v>9877.3910804176703</v>
      </c>
      <c r="G32">
        <v>1</v>
      </c>
      <c r="H32">
        <v>1</v>
      </c>
      <c r="I32" t="s">
        <v>197</v>
      </c>
    </row>
    <row r="33" spans="1:8" x14ac:dyDescent="0.2">
      <c r="A33" t="s">
        <v>156</v>
      </c>
      <c r="B33">
        <v>504</v>
      </c>
      <c r="C33">
        <v>2</v>
      </c>
      <c r="D33">
        <v>0</v>
      </c>
      <c r="E33">
        <v>-45</v>
      </c>
      <c r="F33">
        <v>28800.111573061899</v>
      </c>
      <c r="G33">
        <v>1</v>
      </c>
      <c r="H33">
        <v>1</v>
      </c>
    </row>
    <row r="34" spans="1:8" x14ac:dyDescent="0.2">
      <c r="A34" t="s">
        <v>163</v>
      </c>
      <c r="B34">
        <v>612</v>
      </c>
      <c r="C34">
        <v>2</v>
      </c>
      <c r="D34">
        <v>0</v>
      </c>
      <c r="E34">
        <v>-52</v>
      </c>
      <c r="F34">
        <v>28800.3599128881</v>
      </c>
      <c r="G34">
        <v>1</v>
      </c>
      <c r="H34">
        <v>1</v>
      </c>
    </row>
    <row r="35" spans="1:8" x14ac:dyDescent="0.2">
      <c r="A35" t="s">
        <v>136</v>
      </c>
      <c r="B35">
        <v>180</v>
      </c>
      <c r="C35">
        <v>2</v>
      </c>
      <c r="D35">
        <v>0</v>
      </c>
      <c r="E35">
        <v>-17</v>
      </c>
      <c r="F35">
        <v>28800.350680002</v>
      </c>
      <c r="G35">
        <v>1</v>
      </c>
      <c r="H35">
        <v>1</v>
      </c>
    </row>
    <row r="36" spans="1:8" x14ac:dyDescent="0.2">
      <c r="A36" t="s">
        <v>146</v>
      </c>
      <c r="B36">
        <v>360</v>
      </c>
      <c r="C36">
        <v>4</v>
      </c>
      <c r="D36">
        <v>0</v>
      </c>
      <c r="E36">
        <v>-24</v>
      </c>
      <c r="F36">
        <v>28800.120124275702</v>
      </c>
      <c r="G36">
        <v>1</v>
      </c>
      <c r="H36">
        <v>1</v>
      </c>
    </row>
    <row r="37" spans="1:8" x14ac:dyDescent="0.2">
      <c r="A37" t="s">
        <v>158</v>
      </c>
      <c r="B37">
        <v>540</v>
      </c>
      <c r="C37">
        <v>4</v>
      </c>
      <c r="D37">
        <v>0</v>
      </c>
      <c r="E37">
        <v>-40</v>
      </c>
      <c r="F37">
        <v>28800.111200592401</v>
      </c>
      <c r="G37">
        <v>1</v>
      </c>
      <c r="H37">
        <v>1</v>
      </c>
    </row>
    <row r="38" spans="1:8" x14ac:dyDescent="0.2">
      <c r="A38" t="s">
        <v>165</v>
      </c>
      <c r="B38">
        <v>648</v>
      </c>
      <c r="C38">
        <v>10</v>
      </c>
      <c r="D38">
        <v>0</v>
      </c>
      <c r="E38">
        <v>-71</v>
      </c>
      <c r="F38">
        <v>28800.113908175299</v>
      </c>
      <c r="G38">
        <v>1</v>
      </c>
      <c r="H38">
        <v>1</v>
      </c>
    </row>
    <row r="39" spans="1:8" x14ac:dyDescent="0.2">
      <c r="A39" t="s">
        <v>138</v>
      </c>
      <c r="B39">
        <v>216</v>
      </c>
      <c r="C39">
        <v>4</v>
      </c>
      <c r="D39">
        <v>0</v>
      </c>
      <c r="E39">
        <v>-18</v>
      </c>
      <c r="F39">
        <v>28800.109934653101</v>
      </c>
      <c r="G39">
        <v>1</v>
      </c>
      <c r="H39">
        <v>1</v>
      </c>
    </row>
    <row r="40" spans="1:8" x14ac:dyDescent="0.2">
      <c r="A40" t="s">
        <v>148</v>
      </c>
      <c r="B40">
        <v>396</v>
      </c>
      <c r="C40">
        <v>4</v>
      </c>
      <c r="D40">
        <v>0</v>
      </c>
      <c r="E40">
        <v>-26</v>
      </c>
      <c r="F40">
        <v>28800.112908786999</v>
      </c>
      <c r="G40">
        <v>1</v>
      </c>
      <c r="H40">
        <v>1</v>
      </c>
    </row>
    <row r="41" spans="1:8" x14ac:dyDescent="0.2">
      <c r="A41" t="s">
        <v>160</v>
      </c>
      <c r="B41">
        <v>576</v>
      </c>
      <c r="C41">
        <v>2</v>
      </c>
      <c r="D41">
        <v>0</v>
      </c>
      <c r="E41">
        <v>-57</v>
      </c>
      <c r="F41">
        <v>28800.112187946201</v>
      </c>
      <c r="G41">
        <v>1</v>
      </c>
      <c r="H41">
        <v>1</v>
      </c>
    </row>
    <row r="42" spans="1:8" x14ac:dyDescent="0.2">
      <c r="A42" t="s">
        <v>167</v>
      </c>
      <c r="B42">
        <v>648</v>
      </c>
      <c r="C42">
        <v>14</v>
      </c>
      <c r="D42">
        <v>0</v>
      </c>
      <c r="E42">
        <v>-50</v>
      </c>
      <c r="F42">
        <v>28800.113017200401</v>
      </c>
      <c r="G42">
        <v>1</v>
      </c>
      <c r="H42">
        <v>1</v>
      </c>
    </row>
    <row r="43" spans="1:8" x14ac:dyDescent="0.2">
      <c r="A43" t="s">
        <v>140</v>
      </c>
      <c r="B43">
        <v>252</v>
      </c>
      <c r="C43">
        <v>2</v>
      </c>
      <c r="D43">
        <v>0</v>
      </c>
      <c r="E43">
        <v>-21</v>
      </c>
      <c r="F43">
        <v>28800.1090302597</v>
      </c>
      <c r="G43">
        <v>1</v>
      </c>
      <c r="H43">
        <v>1</v>
      </c>
    </row>
    <row r="44" spans="1:8" x14ac:dyDescent="0.2">
      <c r="A44" t="s">
        <v>150</v>
      </c>
      <c r="B44">
        <v>432</v>
      </c>
      <c r="C44">
        <v>8</v>
      </c>
      <c r="D44">
        <v>0</v>
      </c>
      <c r="E44">
        <v>-33</v>
      </c>
      <c r="F44">
        <v>28800.114721420199</v>
      </c>
      <c r="G44">
        <v>1</v>
      </c>
      <c r="H44">
        <v>1</v>
      </c>
    </row>
    <row r="45" spans="1:8" x14ac:dyDescent="0.2">
      <c r="A45" t="s">
        <v>162</v>
      </c>
      <c r="B45">
        <v>576</v>
      </c>
      <c r="C45">
        <v>2</v>
      </c>
      <c r="D45">
        <v>0</v>
      </c>
      <c r="E45">
        <v>-59</v>
      </c>
      <c r="F45">
        <v>28800.1943595474</v>
      </c>
      <c r="G45">
        <v>1</v>
      </c>
      <c r="H45">
        <v>1</v>
      </c>
    </row>
    <row r="46" spans="1:8" x14ac:dyDescent="0.2">
      <c r="A46" t="s">
        <v>142</v>
      </c>
      <c r="B46">
        <v>288</v>
      </c>
      <c r="C46">
        <v>2</v>
      </c>
      <c r="D46">
        <v>0</v>
      </c>
      <c r="E46">
        <v>-24</v>
      </c>
      <c r="F46">
        <v>28800.1330947028</v>
      </c>
      <c r="G46">
        <v>1</v>
      </c>
      <c r="H46">
        <v>1</v>
      </c>
    </row>
    <row r="47" spans="1:8" x14ac:dyDescent="0.2">
      <c r="A47" t="s">
        <v>168</v>
      </c>
      <c r="B47">
        <v>684</v>
      </c>
      <c r="C47">
        <v>2</v>
      </c>
      <c r="D47">
        <v>0</v>
      </c>
      <c r="E47">
        <v>-29</v>
      </c>
      <c r="F47">
        <v>28800.1380591169</v>
      </c>
      <c r="G47">
        <v>1</v>
      </c>
      <c r="H47">
        <v>1</v>
      </c>
    </row>
    <row r="48" spans="1:8" x14ac:dyDescent="0.2">
      <c r="A48" t="s">
        <v>152</v>
      </c>
      <c r="B48">
        <v>468</v>
      </c>
      <c r="C48">
        <v>4</v>
      </c>
      <c r="D48">
        <v>0</v>
      </c>
      <c r="E48">
        <v>-31</v>
      </c>
      <c r="F48">
        <v>28800.1423510657</v>
      </c>
      <c r="G48">
        <v>1</v>
      </c>
      <c r="H48">
        <v>1</v>
      </c>
    </row>
    <row r="49" spans="1:8" x14ac:dyDescent="0.2">
      <c r="A49" t="s">
        <v>144</v>
      </c>
      <c r="B49">
        <v>324</v>
      </c>
      <c r="C49">
        <v>4</v>
      </c>
      <c r="D49">
        <v>0</v>
      </c>
      <c r="E49">
        <v>-25</v>
      </c>
      <c r="F49">
        <v>28800.1631117705</v>
      </c>
      <c r="G49">
        <v>1</v>
      </c>
      <c r="H49">
        <v>1</v>
      </c>
    </row>
    <row r="50" spans="1:8" x14ac:dyDescent="0.2">
      <c r="A50" t="s">
        <v>154</v>
      </c>
      <c r="B50">
        <v>496</v>
      </c>
      <c r="C50">
        <v>2</v>
      </c>
      <c r="D50">
        <v>0</v>
      </c>
      <c r="E50">
        <v>-32</v>
      </c>
      <c r="F50">
        <v>28800.207019211699</v>
      </c>
      <c r="G50">
        <v>1</v>
      </c>
      <c r="H50">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EBB-33A2-B84B-82E4-598367A80FA7}">
  <dimension ref="A1:I50"/>
  <sheetViews>
    <sheetView workbookViewId="0">
      <selection sqref="A1:I51"/>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108</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s="21"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row>
    <row r="26" spans="1:9" x14ac:dyDescent="0.2">
      <c r="A26" t="s">
        <v>198</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v>8.4716224111616598E-2</v>
      </c>
      <c r="G29">
        <v>1</v>
      </c>
      <c r="H29">
        <v>1</v>
      </c>
      <c r="I29" t="s">
        <v>199</v>
      </c>
    </row>
    <row r="30" spans="1:9" x14ac:dyDescent="0.2">
      <c r="A30" t="s">
        <v>125</v>
      </c>
      <c r="B30">
        <v>72</v>
      </c>
      <c r="C30">
        <v>8</v>
      </c>
      <c r="D30">
        <v>8</v>
      </c>
      <c r="E30">
        <v>0</v>
      </c>
      <c r="F30">
        <v>0.12092816829681299</v>
      </c>
      <c r="G30">
        <v>1</v>
      </c>
      <c r="H30">
        <v>1</v>
      </c>
      <c r="I30" t="s">
        <v>200</v>
      </c>
    </row>
    <row r="31" spans="1:9" x14ac:dyDescent="0.2">
      <c r="A31" t="s">
        <v>127</v>
      </c>
      <c r="B31">
        <v>108</v>
      </c>
      <c r="C31">
        <v>2</v>
      </c>
      <c r="D31">
        <v>12</v>
      </c>
      <c r="E31">
        <v>0</v>
      </c>
      <c r="F31">
        <v>0.24634020403027501</v>
      </c>
      <c r="G31">
        <v>1</v>
      </c>
      <c r="H31">
        <v>1</v>
      </c>
      <c r="I31" t="s">
        <v>201</v>
      </c>
    </row>
    <row r="32" spans="1:9" x14ac:dyDescent="0.2">
      <c r="A32" t="s">
        <v>129</v>
      </c>
      <c r="B32">
        <v>144</v>
      </c>
      <c r="C32">
        <v>2</v>
      </c>
      <c r="D32">
        <v>13</v>
      </c>
      <c r="E32">
        <v>0</v>
      </c>
      <c r="F32">
        <v>0.39978943578898901</v>
      </c>
      <c r="G32">
        <v>1</v>
      </c>
      <c r="H32">
        <v>1</v>
      </c>
      <c r="I32" t="s">
        <v>202</v>
      </c>
    </row>
    <row r="33" spans="1:9" x14ac:dyDescent="0.2">
      <c r="A33" t="s">
        <v>136</v>
      </c>
      <c r="B33">
        <v>180</v>
      </c>
      <c r="C33">
        <v>2</v>
      </c>
      <c r="D33">
        <v>17</v>
      </c>
      <c r="E33">
        <v>0</v>
      </c>
      <c r="F33">
        <v>0.60254219546914101</v>
      </c>
      <c r="G33">
        <v>1</v>
      </c>
      <c r="H33">
        <v>1</v>
      </c>
      <c r="I33" t="s">
        <v>203</v>
      </c>
    </row>
    <row r="34" spans="1:9" x14ac:dyDescent="0.2">
      <c r="A34" t="s">
        <v>138</v>
      </c>
      <c r="B34">
        <v>216</v>
      </c>
      <c r="C34">
        <v>4</v>
      </c>
      <c r="D34">
        <v>18</v>
      </c>
      <c r="E34">
        <v>0</v>
      </c>
      <c r="F34">
        <v>0.94381400384008796</v>
      </c>
      <c r="G34">
        <v>1</v>
      </c>
      <c r="H34">
        <v>1</v>
      </c>
      <c r="I34" t="s">
        <v>204</v>
      </c>
    </row>
    <row r="35" spans="1:9" x14ac:dyDescent="0.2">
      <c r="A35" t="s">
        <v>140</v>
      </c>
      <c r="B35">
        <v>252</v>
      </c>
      <c r="C35">
        <v>2</v>
      </c>
      <c r="D35">
        <v>22</v>
      </c>
      <c r="E35">
        <v>1</v>
      </c>
      <c r="F35">
        <v>1.2647009501233599</v>
      </c>
      <c r="G35">
        <v>1</v>
      </c>
      <c r="H35">
        <v>1</v>
      </c>
      <c r="I35" t="s">
        <v>205</v>
      </c>
    </row>
    <row r="36" spans="1:9" x14ac:dyDescent="0.2">
      <c r="A36" t="s">
        <v>142</v>
      </c>
      <c r="B36">
        <v>288</v>
      </c>
      <c r="C36">
        <v>2</v>
      </c>
      <c r="D36">
        <v>27</v>
      </c>
      <c r="E36">
        <v>3</v>
      </c>
      <c r="F36">
        <v>1.64593372493982</v>
      </c>
      <c r="G36">
        <v>1</v>
      </c>
      <c r="H36">
        <v>1</v>
      </c>
      <c r="I36" t="s">
        <v>206</v>
      </c>
    </row>
    <row r="37" spans="1:9" x14ac:dyDescent="0.2">
      <c r="A37" t="s">
        <v>144</v>
      </c>
      <c r="B37">
        <v>324</v>
      </c>
      <c r="C37">
        <v>4</v>
      </c>
      <c r="D37">
        <v>29</v>
      </c>
      <c r="E37">
        <v>4</v>
      </c>
      <c r="F37">
        <v>2.0431499807164002</v>
      </c>
      <c r="G37">
        <v>1</v>
      </c>
      <c r="H37">
        <v>1</v>
      </c>
      <c r="I37" t="s">
        <v>207</v>
      </c>
    </row>
    <row r="38" spans="1:9" x14ac:dyDescent="0.2">
      <c r="A38" t="s">
        <v>146</v>
      </c>
      <c r="B38">
        <v>360</v>
      </c>
      <c r="C38">
        <v>4</v>
      </c>
      <c r="D38">
        <v>27</v>
      </c>
      <c r="E38">
        <v>3</v>
      </c>
      <c r="F38">
        <v>2.4402408022433502</v>
      </c>
      <c r="G38">
        <v>1</v>
      </c>
      <c r="H38">
        <v>1</v>
      </c>
      <c r="I38" t="s">
        <v>208</v>
      </c>
    </row>
    <row r="39" spans="1:9" x14ac:dyDescent="0.2">
      <c r="A39" t="s">
        <v>148</v>
      </c>
      <c r="B39">
        <v>396</v>
      </c>
      <c r="C39">
        <v>4</v>
      </c>
      <c r="D39">
        <v>33</v>
      </c>
      <c r="E39">
        <v>7</v>
      </c>
      <c r="F39">
        <v>2.99480479676276</v>
      </c>
      <c r="G39">
        <v>1</v>
      </c>
      <c r="H39">
        <v>1</v>
      </c>
      <c r="I39" t="s">
        <v>209</v>
      </c>
    </row>
    <row r="40" spans="1:9" x14ac:dyDescent="0.2">
      <c r="A40" t="s">
        <v>150</v>
      </c>
      <c r="B40">
        <v>432</v>
      </c>
      <c r="C40">
        <v>8</v>
      </c>
      <c r="D40">
        <v>39</v>
      </c>
      <c r="E40">
        <v>6</v>
      </c>
      <c r="F40">
        <v>3.5697579709812999</v>
      </c>
      <c r="G40">
        <v>1</v>
      </c>
      <c r="H40">
        <v>1</v>
      </c>
      <c r="I40" t="s">
        <v>210</v>
      </c>
    </row>
    <row r="41" spans="1:9" x14ac:dyDescent="0.2">
      <c r="A41" t="s">
        <v>152</v>
      </c>
      <c r="B41">
        <v>468</v>
      </c>
      <c r="C41">
        <v>4</v>
      </c>
      <c r="D41">
        <v>35</v>
      </c>
      <c r="E41">
        <v>4</v>
      </c>
      <c r="F41">
        <v>4.1402676198631498</v>
      </c>
      <c r="G41">
        <v>1</v>
      </c>
      <c r="H41">
        <v>1</v>
      </c>
      <c r="I41" t="s">
        <v>211</v>
      </c>
    </row>
    <row r="42" spans="1:9" x14ac:dyDescent="0.2">
      <c r="A42" t="s">
        <v>154</v>
      </c>
      <c r="B42">
        <v>496</v>
      </c>
      <c r="C42">
        <v>2</v>
      </c>
      <c r="D42">
        <v>34</v>
      </c>
      <c r="E42">
        <v>2</v>
      </c>
      <c r="F42">
        <v>4.33112163562327</v>
      </c>
      <c r="G42">
        <v>1</v>
      </c>
      <c r="H42">
        <v>1</v>
      </c>
      <c r="I42" t="s">
        <v>212</v>
      </c>
    </row>
    <row r="43" spans="1:9" x14ac:dyDescent="0.2">
      <c r="A43" t="s">
        <v>156</v>
      </c>
      <c r="B43">
        <v>504</v>
      </c>
      <c r="C43">
        <v>2</v>
      </c>
      <c r="D43">
        <v>50</v>
      </c>
      <c r="E43">
        <v>5</v>
      </c>
      <c r="F43">
        <v>4.9402744174003601</v>
      </c>
      <c r="G43">
        <v>1</v>
      </c>
      <c r="H43">
        <v>1</v>
      </c>
      <c r="I43" t="s">
        <v>213</v>
      </c>
    </row>
    <row r="44" spans="1:9" x14ac:dyDescent="0.2">
      <c r="A44" t="s">
        <v>158</v>
      </c>
      <c r="B44">
        <v>540</v>
      </c>
      <c r="C44">
        <v>4</v>
      </c>
      <c r="D44">
        <v>48</v>
      </c>
      <c r="E44">
        <v>8</v>
      </c>
      <c r="F44">
        <v>5.6620098277926401</v>
      </c>
      <c r="G44">
        <v>1</v>
      </c>
      <c r="H44">
        <v>1</v>
      </c>
      <c r="I44" t="s">
        <v>214</v>
      </c>
    </row>
    <row r="45" spans="1:9" x14ac:dyDescent="0.2">
      <c r="A45" t="s">
        <v>160</v>
      </c>
      <c r="B45">
        <v>576</v>
      </c>
      <c r="C45">
        <v>2</v>
      </c>
      <c r="D45">
        <v>69</v>
      </c>
      <c r="E45">
        <v>12</v>
      </c>
      <c r="F45">
        <v>11.5022350791841</v>
      </c>
      <c r="G45">
        <v>1</v>
      </c>
      <c r="H45">
        <v>1</v>
      </c>
      <c r="I45" t="s">
        <v>215</v>
      </c>
    </row>
    <row r="46" spans="1:9" x14ac:dyDescent="0.2">
      <c r="A46" t="s">
        <v>162</v>
      </c>
      <c r="B46">
        <v>576</v>
      </c>
      <c r="C46">
        <v>2</v>
      </c>
      <c r="D46">
        <v>71</v>
      </c>
      <c r="E46">
        <v>12</v>
      </c>
      <c r="F46">
        <v>6.4736859984695903</v>
      </c>
      <c r="G46">
        <v>1</v>
      </c>
      <c r="H46">
        <v>1</v>
      </c>
      <c r="I46" t="s">
        <v>216</v>
      </c>
    </row>
    <row r="47" spans="1:9" x14ac:dyDescent="0.2">
      <c r="A47" t="s">
        <v>163</v>
      </c>
      <c r="B47">
        <v>612</v>
      </c>
      <c r="C47">
        <v>2</v>
      </c>
      <c r="D47">
        <v>86</v>
      </c>
      <c r="E47">
        <v>34</v>
      </c>
      <c r="F47">
        <v>7.5724688516929701</v>
      </c>
      <c r="G47">
        <v>1</v>
      </c>
      <c r="H47">
        <v>1</v>
      </c>
      <c r="I47" t="s">
        <v>217</v>
      </c>
    </row>
    <row r="48" spans="1:9" x14ac:dyDescent="0.2">
      <c r="A48" t="s">
        <v>165</v>
      </c>
      <c r="B48">
        <v>648</v>
      </c>
      <c r="C48">
        <v>10</v>
      </c>
      <c r="D48">
        <v>85</v>
      </c>
      <c r="E48">
        <v>14</v>
      </c>
      <c r="F48">
        <v>8.4242257783189398</v>
      </c>
      <c r="G48">
        <v>1</v>
      </c>
      <c r="H48">
        <v>1</v>
      </c>
      <c r="I48" t="s">
        <v>218</v>
      </c>
    </row>
    <row r="49" spans="1:9" x14ac:dyDescent="0.2">
      <c r="A49" t="s">
        <v>167</v>
      </c>
      <c r="B49">
        <v>648</v>
      </c>
      <c r="C49">
        <v>14</v>
      </c>
      <c r="D49">
        <v>55</v>
      </c>
      <c r="E49">
        <v>5</v>
      </c>
      <c r="F49">
        <v>8.0583516461774707</v>
      </c>
      <c r="G49">
        <v>1</v>
      </c>
      <c r="H49">
        <v>1</v>
      </c>
      <c r="I49" t="s">
        <v>219</v>
      </c>
    </row>
    <row r="50" spans="1:9" x14ac:dyDescent="0.2">
      <c r="A50" t="s">
        <v>168</v>
      </c>
      <c r="B50">
        <v>684</v>
      </c>
      <c r="C50">
        <v>2</v>
      </c>
      <c r="D50">
        <v>35</v>
      </c>
      <c r="E50">
        <v>6</v>
      </c>
      <c r="F50">
        <v>8.3913041055202395</v>
      </c>
      <c r="G50">
        <v>1</v>
      </c>
      <c r="H50">
        <v>1</v>
      </c>
      <c r="I50" t="s">
        <v>220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dimension ref="A1:I50"/>
  <sheetViews>
    <sheetView workbookViewId="0">
      <selection activeCell="F12" sqref="F12"/>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106</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s="21"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c r="F25" s="1"/>
    </row>
    <row r="26" spans="1:9" x14ac:dyDescent="0.2">
      <c r="A26" t="s">
        <v>221</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0</v>
      </c>
      <c r="E29">
        <v>-4</v>
      </c>
      <c r="F29">
        <v>1.92496851086616E-2</v>
      </c>
      <c r="G29">
        <v>1</v>
      </c>
      <c r="H29">
        <v>1</v>
      </c>
      <c r="I29" t="s">
        <v>107</v>
      </c>
    </row>
    <row r="30" spans="1:9" x14ac:dyDescent="0.2">
      <c r="A30" t="s">
        <v>125</v>
      </c>
      <c r="B30">
        <v>72</v>
      </c>
      <c r="C30">
        <v>8</v>
      </c>
      <c r="D30">
        <v>0</v>
      </c>
      <c r="E30">
        <v>-8</v>
      </c>
      <c r="F30">
        <v>8.9937737211584993E-3</v>
      </c>
      <c r="G30">
        <v>1</v>
      </c>
      <c r="H30">
        <v>1</v>
      </c>
      <c r="I30" t="s">
        <v>107</v>
      </c>
    </row>
    <row r="31" spans="1:9" x14ac:dyDescent="0.2">
      <c r="A31" t="s">
        <v>127</v>
      </c>
      <c r="B31">
        <v>108</v>
      </c>
      <c r="C31">
        <v>2</v>
      </c>
      <c r="D31">
        <v>0</v>
      </c>
      <c r="E31">
        <v>-12</v>
      </c>
      <c r="F31">
        <v>7.5683891773223799E-3</v>
      </c>
      <c r="G31">
        <v>1</v>
      </c>
      <c r="H31">
        <v>1</v>
      </c>
      <c r="I31" t="s">
        <v>107</v>
      </c>
    </row>
    <row r="32" spans="1:9" x14ac:dyDescent="0.2">
      <c r="A32" t="s">
        <v>129</v>
      </c>
      <c r="B32">
        <v>144</v>
      </c>
      <c r="C32">
        <v>2</v>
      </c>
      <c r="D32">
        <v>0</v>
      </c>
      <c r="E32">
        <v>-13</v>
      </c>
      <c r="F32">
        <v>9.8959626629948599E-3</v>
      </c>
      <c r="G32">
        <v>1</v>
      </c>
      <c r="H32">
        <v>1</v>
      </c>
      <c r="I32" t="s">
        <v>107</v>
      </c>
    </row>
    <row r="33" spans="1:9" x14ac:dyDescent="0.2">
      <c r="A33" t="s">
        <v>136</v>
      </c>
      <c r="B33">
        <v>180</v>
      </c>
      <c r="C33">
        <v>2</v>
      </c>
      <c r="D33">
        <v>0</v>
      </c>
      <c r="E33">
        <v>-17</v>
      </c>
      <c r="F33">
        <v>1.31003092974424E-2</v>
      </c>
      <c r="G33">
        <v>1</v>
      </c>
      <c r="H33">
        <v>1</v>
      </c>
      <c r="I33" t="s">
        <v>107</v>
      </c>
    </row>
    <row r="34" spans="1:9" x14ac:dyDescent="0.2">
      <c r="A34" t="s">
        <v>138</v>
      </c>
      <c r="B34">
        <v>216</v>
      </c>
      <c r="C34">
        <v>4</v>
      </c>
      <c r="D34">
        <v>0</v>
      </c>
      <c r="E34">
        <v>-18</v>
      </c>
      <c r="F34">
        <v>1.8792056478559901E-2</v>
      </c>
      <c r="G34">
        <v>1</v>
      </c>
      <c r="H34">
        <v>1</v>
      </c>
      <c r="I34" t="s">
        <v>107</v>
      </c>
    </row>
    <row r="35" spans="1:9" x14ac:dyDescent="0.2">
      <c r="A35" t="s">
        <v>140</v>
      </c>
      <c r="B35">
        <v>252</v>
      </c>
      <c r="C35">
        <v>2</v>
      </c>
      <c r="D35">
        <v>0</v>
      </c>
      <c r="E35">
        <v>-21</v>
      </c>
      <c r="F35">
        <v>1.8479317426681501E-2</v>
      </c>
      <c r="G35">
        <v>1</v>
      </c>
      <c r="H35">
        <v>1</v>
      </c>
      <c r="I35" t="s">
        <v>107</v>
      </c>
    </row>
    <row r="36" spans="1:9" x14ac:dyDescent="0.2">
      <c r="A36" t="s">
        <v>142</v>
      </c>
      <c r="B36">
        <v>288</v>
      </c>
      <c r="C36">
        <v>2</v>
      </c>
      <c r="D36">
        <v>0</v>
      </c>
      <c r="E36">
        <v>-24</v>
      </c>
      <c r="F36">
        <v>2.06969790160655E-2</v>
      </c>
      <c r="G36">
        <v>1</v>
      </c>
      <c r="H36">
        <v>1</v>
      </c>
      <c r="I36" t="s">
        <v>107</v>
      </c>
    </row>
    <row r="37" spans="1:9" x14ac:dyDescent="0.2">
      <c r="A37" t="s">
        <v>144</v>
      </c>
      <c r="B37">
        <v>324</v>
      </c>
      <c r="C37">
        <v>4</v>
      </c>
      <c r="D37">
        <v>0</v>
      </c>
      <c r="E37">
        <v>-25</v>
      </c>
      <c r="F37">
        <v>2.5424945168197099E-2</v>
      </c>
      <c r="G37">
        <v>1</v>
      </c>
      <c r="H37">
        <v>1</v>
      </c>
      <c r="I37" t="s">
        <v>107</v>
      </c>
    </row>
    <row r="38" spans="1:9" x14ac:dyDescent="0.2">
      <c r="A38" t="s">
        <v>146</v>
      </c>
      <c r="B38">
        <v>360</v>
      </c>
      <c r="C38">
        <v>4</v>
      </c>
      <c r="D38">
        <v>0</v>
      </c>
      <c r="E38">
        <v>-24</v>
      </c>
      <c r="F38">
        <v>2.8636662289500198E-2</v>
      </c>
      <c r="G38">
        <v>1</v>
      </c>
      <c r="H38">
        <v>1</v>
      </c>
      <c r="I38" t="s">
        <v>107</v>
      </c>
    </row>
    <row r="39" spans="1:9" x14ac:dyDescent="0.2">
      <c r="A39" t="s">
        <v>148</v>
      </c>
      <c r="B39">
        <v>396</v>
      </c>
      <c r="C39">
        <v>4</v>
      </c>
      <c r="D39">
        <v>0</v>
      </c>
      <c r="E39">
        <v>-26</v>
      </c>
      <c r="F39">
        <v>3.1737357378005898E-2</v>
      </c>
      <c r="G39">
        <v>1</v>
      </c>
      <c r="H39">
        <v>1</v>
      </c>
      <c r="I39" t="s">
        <v>107</v>
      </c>
    </row>
    <row r="40" spans="1:9" x14ac:dyDescent="0.2">
      <c r="A40" t="s">
        <v>150</v>
      </c>
      <c r="B40">
        <v>432</v>
      </c>
      <c r="C40">
        <v>8</v>
      </c>
      <c r="D40">
        <v>0</v>
      </c>
      <c r="E40">
        <v>-33</v>
      </c>
      <c r="F40">
        <v>4.3943436816334697E-2</v>
      </c>
      <c r="G40">
        <v>1</v>
      </c>
      <c r="H40">
        <v>1</v>
      </c>
      <c r="I40" t="s">
        <v>107</v>
      </c>
    </row>
    <row r="41" spans="1:9" x14ac:dyDescent="0.2">
      <c r="A41" t="s">
        <v>152</v>
      </c>
      <c r="B41">
        <v>468</v>
      </c>
      <c r="C41">
        <v>4</v>
      </c>
      <c r="D41">
        <v>0</v>
      </c>
      <c r="E41">
        <v>-31</v>
      </c>
      <c r="F41">
        <v>4.1608527302741997E-2</v>
      </c>
      <c r="G41">
        <v>1</v>
      </c>
      <c r="H41">
        <v>1</v>
      </c>
      <c r="I41" t="s">
        <v>107</v>
      </c>
    </row>
    <row r="42" spans="1:9" x14ac:dyDescent="0.2">
      <c r="A42" t="s">
        <v>154</v>
      </c>
      <c r="B42">
        <v>496</v>
      </c>
      <c r="C42">
        <v>2</v>
      </c>
      <c r="D42">
        <v>62</v>
      </c>
      <c r="E42">
        <v>30</v>
      </c>
      <c r="F42">
        <v>4.7993937507271697E-2</v>
      </c>
      <c r="G42">
        <v>1</v>
      </c>
      <c r="H42">
        <v>1</v>
      </c>
      <c r="I42" t="s">
        <v>222</v>
      </c>
    </row>
    <row r="43" spans="1:9" x14ac:dyDescent="0.2">
      <c r="A43" t="s">
        <v>156</v>
      </c>
      <c r="B43">
        <v>504</v>
      </c>
      <c r="C43">
        <v>2</v>
      </c>
      <c r="D43">
        <v>0</v>
      </c>
      <c r="E43">
        <v>-45</v>
      </c>
      <c r="F43">
        <v>3.9250073023140403E-2</v>
      </c>
      <c r="G43">
        <v>1</v>
      </c>
      <c r="H43">
        <v>1</v>
      </c>
      <c r="I43" t="s">
        <v>107</v>
      </c>
    </row>
    <row r="44" spans="1:9" x14ac:dyDescent="0.2">
      <c r="A44" t="s">
        <v>158</v>
      </c>
      <c r="B44">
        <v>540</v>
      </c>
      <c r="C44">
        <v>4</v>
      </c>
      <c r="D44">
        <v>0</v>
      </c>
      <c r="E44">
        <v>-40</v>
      </c>
      <c r="F44">
        <v>4.6789961867034401E-2</v>
      </c>
      <c r="G44">
        <v>1</v>
      </c>
      <c r="H44">
        <v>1</v>
      </c>
      <c r="I44" t="s">
        <v>107</v>
      </c>
    </row>
    <row r="45" spans="1:9" x14ac:dyDescent="0.2">
      <c r="A45" t="s">
        <v>160</v>
      </c>
      <c r="B45">
        <v>576</v>
      </c>
      <c r="C45">
        <v>2</v>
      </c>
      <c r="D45">
        <v>0</v>
      </c>
      <c r="E45">
        <v>-57</v>
      </c>
      <c r="F45">
        <v>4.6785652637481599E-2</v>
      </c>
      <c r="G45">
        <v>1</v>
      </c>
      <c r="H45">
        <v>1</v>
      </c>
      <c r="I45" t="s">
        <v>107</v>
      </c>
    </row>
    <row r="46" spans="1:9" x14ac:dyDescent="0.2">
      <c r="A46" t="s">
        <v>162</v>
      </c>
      <c r="B46">
        <v>576</v>
      </c>
      <c r="C46">
        <v>2</v>
      </c>
      <c r="D46">
        <v>0</v>
      </c>
      <c r="E46">
        <v>-59</v>
      </c>
      <c r="F46">
        <v>4.7395511530339697E-2</v>
      </c>
      <c r="G46">
        <v>1</v>
      </c>
      <c r="H46">
        <v>1</v>
      </c>
      <c r="I46" t="s">
        <v>107</v>
      </c>
    </row>
    <row r="47" spans="1:9" x14ac:dyDescent="0.2">
      <c r="A47" t="s">
        <v>163</v>
      </c>
      <c r="B47">
        <v>612</v>
      </c>
      <c r="C47">
        <v>2</v>
      </c>
      <c r="D47">
        <v>0</v>
      </c>
      <c r="E47">
        <v>-52</v>
      </c>
      <c r="F47">
        <v>5.22590056061744E-2</v>
      </c>
      <c r="G47">
        <v>1</v>
      </c>
      <c r="H47">
        <v>1</v>
      </c>
      <c r="I47" t="s">
        <v>107</v>
      </c>
    </row>
    <row r="48" spans="1:9" x14ac:dyDescent="0.2">
      <c r="A48" t="s">
        <v>165</v>
      </c>
      <c r="B48">
        <v>648</v>
      </c>
      <c r="C48">
        <v>10</v>
      </c>
      <c r="D48">
        <v>0</v>
      </c>
      <c r="E48">
        <v>-71</v>
      </c>
      <c r="F48">
        <v>8.0991830676793997E-2</v>
      </c>
      <c r="G48">
        <v>1</v>
      </c>
      <c r="H48">
        <v>1</v>
      </c>
      <c r="I48" t="s">
        <v>107</v>
      </c>
    </row>
    <row r="49" spans="1:9" x14ac:dyDescent="0.2">
      <c r="A49" t="s">
        <v>167</v>
      </c>
      <c r="B49">
        <v>648</v>
      </c>
      <c r="C49">
        <v>14</v>
      </c>
      <c r="D49">
        <v>0</v>
      </c>
      <c r="E49">
        <v>-50</v>
      </c>
      <c r="F49">
        <v>8.9544928632676601E-2</v>
      </c>
      <c r="G49">
        <v>1</v>
      </c>
      <c r="H49">
        <v>1</v>
      </c>
      <c r="I49" t="s">
        <v>107</v>
      </c>
    </row>
    <row r="50" spans="1:9" x14ac:dyDescent="0.2">
      <c r="A50" t="s">
        <v>168</v>
      </c>
      <c r="B50">
        <v>684</v>
      </c>
      <c r="C50">
        <v>2</v>
      </c>
      <c r="D50">
        <v>0</v>
      </c>
      <c r="E50">
        <v>-29</v>
      </c>
      <c r="F50">
        <v>5.79059245064854E-2</v>
      </c>
      <c r="G50">
        <v>1</v>
      </c>
      <c r="H50">
        <v>1</v>
      </c>
      <c r="I50" t="s">
        <v>107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dimension ref="A1:I50"/>
  <sheetViews>
    <sheetView workbookViewId="0">
      <selection sqref="A1:I51"/>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109</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s="21"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c r="F25" s="1"/>
    </row>
    <row r="26" spans="1:9" x14ac:dyDescent="0.2">
      <c r="A26" t="s">
        <v>223</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v>0.29325553867965898</v>
      </c>
      <c r="G29">
        <v>1</v>
      </c>
      <c r="H29">
        <v>1</v>
      </c>
    </row>
    <row r="30" spans="1:9" x14ac:dyDescent="0.2">
      <c r="A30" t="s">
        <v>125</v>
      </c>
      <c r="B30">
        <v>72</v>
      </c>
      <c r="C30">
        <v>8</v>
      </c>
      <c r="D30">
        <v>8</v>
      </c>
      <c r="E30">
        <v>0</v>
      </c>
      <c r="F30">
        <v>0.66766290273517304</v>
      </c>
      <c r="G30">
        <v>1</v>
      </c>
      <c r="H30">
        <v>1</v>
      </c>
    </row>
    <row r="31" spans="1:9" x14ac:dyDescent="0.2">
      <c r="A31" t="s">
        <v>127</v>
      </c>
      <c r="B31">
        <v>108</v>
      </c>
      <c r="C31">
        <v>2</v>
      </c>
      <c r="D31">
        <v>12</v>
      </c>
      <c r="E31">
        <v>0</v>
      </c>
      <c r="F31">
        <v>53.399352308362701</v>
      </c>
      <c r="G31">
        <v>1</v>
      </c>
      <c r="H31">
        <v>1</v>
      </c>
    </row>
    <row r="32" spans="1:9" x14ac:dyDescent="0.2">
      <c r="A32" t="s">
        <v>129</v>
      </c>
      <c r="B32">
        <v>144</v>
      </c>
      <c r="C32">
        <v>2</v>
      </c>
      <c r="D32">
        <v>13</v>
      </c>
      <c r="E32">
        <v>0</v>
      </c>
      <c r="F32">
        <v>338.12546023260802</v>
      </c>
      <c r="G32">
        <v>1</v>
      </c>
      <c r="H32">
        <v>1</v>
      </c>
    </row>
    <row r="33" spans="1:8" x14ac:dyDescent="0.2">
      <c r="A33" t="s">
        <v>136</v>
      </c>
      <c r="B33">
        <v>180</v>
      </c>
      <c r="C33">
        <v>2</v>
      </c>
      <c r="D33">
        <v>17</v>
      </c>
      <c r="E33">
        <v>0</v>
      </c>
      <c r="F33">
        <v>12287.333492035001</v>
      </c>
      <c r="G33">
        <v>1</v>
      </c>
      <c r="H33">
        <v>1</v>
      </c>
    </row>
    <row r="34" spans="1:8" x14ac:dyDescent="0.2">
      <c r="A34" t="s">
        <v>138</v>
      </c>
      <c r="B34">
        <v>216</v>
      </c>
      <c r="C34">
        <v>4</v>
      </c>
      <c r="D34">
        <v>18</v>
      </c>
      <c r="E34">
        <v>0</v>
      </c>
      <c r="F34">
        <v>28858.1702479142</v>
      </c>
      <c r="G34">
        <v>1</v>
      </c>
      <c r="H34">
        <v>1</v>
      </c>
    </row>
    <row r="35" spans="1:8" x14ac:dyDescent="0.2">
      <c r="A35" t="s">
        <v>140</v>
      </c>
      <c r="B35">
        <v>252</v>
      </c>
      <c r="C35">
        <v>2</v>
      </c>
      <c r="D35">
        <v>22</v>
      </c>
      <c r="E35">
        <v>1</v>
      </c>
      <c r="F35">
        <v>28974.621072282</v>
      </c>
      <c r="G35">
        <v>1</v>
      </c>
      <c r="H35">
        <v>1</v>
      </c>
    </row>
    <row r="36" spans="1:8" x14ac:dyDescent="0.2">
      <c r="A36" t="s">
        <v>142</v>
      </c>
      <c r="B36">
        <v>288</v>
      </c>
      <c r="C36">
        <v>2</v>
      </c>
      <c r="D36">
        <v>25</v>
      </c>
      <c r="E36">
        <v>1</v>
      </c>
      <c r="F36">
        <v>28998.256797441201</v>
      </c>
      <c r="G36">
        <v>1</v>
      </c>
      <c r="H36">
        <v>1</v>
      </c>
    </row>
    <row r="37" spans="1:8" x14ac:dyDescent="0.2">
      <c r="A37" t="s">
        <v>144</v>
      </c>
      <c r="B37">
        <v>324</v>
      </c>
      <c r="C37">
        <v>4</v>
      </c>
      <c r="D37">
        <v>31</v>
      </c>
      <c r="E37">
        <v>6</v>
      </c>
      <c r="F37">
        <v>29012.555522440001</v>
      </c>
      <c r="G37">
        <v>1</v>
      </c>
      <c r="H37">
        <v>1</v>
      </c>
    </row>
    <row r="38" spans="1:8" x14ac:dyDescent="0.2">
      <c r="A38" t="s">
        <v>163</v>
      </c>
      <c r="B38">
        <v>612</v>
      </c>
      <c r="C38">
        <v>2</v>
      </c>
      <c r="D38">
        <v>44</v>
      </c>
      <c r="E38">
        <v>-8</v>
      </c>
      <c r="F38">
        <v>28941.4070374984</v>
      </c>
      <c r="G38">
        <v>1</v>
      </c>
      <c r="H38">
        <v>1</v>
      </c>
    </row>
    <row r="39" spans="1:8" x14ac:dyDescent="0.2">
      <c r="A39" t="s">
        <v>146</v>
      </c>
      <c r="B39">
        <v>360</v>
      </c>
      <c r="C39">
        <v>4</v>
      </c>
      <c r="D39">
        <v>26</v>
      </c>
      <c r="E39">
        <v>2</v>
      </c>
      <c r="F39">
        <v>28963.5220911242</v>
      </c>
      <c r="G39">
        <v>1</v>
      </c>
      <c r="H39">
        <v>1</v>
      </c>
    </row>
    <row r="40" spans="1:8" x14ac:dyDescent="0.2">
      <c r="A40" t="s">
        <v>156</v>
      </c>
      <c r="B40">
        <v>504</v>
      </c>
      <c r="C40">
        <v>2</v>
      </c>
      <c r="D40">
        <v>56</v>
      </c>
      <c r="E40">
        <v>11</v>
      </c>
      <c r="F40">
        <v>29015.455075731501</v>
      </c>
      <c r="G40">
        <v>1</v>
      </c>
      <c r="H40">
        <v>1</v>
      </c>
    </row>
    <row r="41" spans="1:8" x14ac:dyDescent="0.2">
      <c r="A41" t="s">
        <v>165</v>
      </c>
      <c r="B41">
        <v>648</v>
      </c>
      <c r="C41">
        <v>10</v>
      </c>
      <c r="D41">
        <v>71</v>
      </c>
      <c r="E41">
        <v>0</v>
      </c>
      <c r="F41">
        <v>28919.663317766899</v>
      </c>
      <c r="G41">
        <v>1</v>
      </c>
      <c r="H41">
        <v>1</v>
      </c>
    </row>
    <row r="42" spans="1:8" x14ac:dyDescent="0.2">
      <c r="A42" t="s">
        <v>148</v>
      </c>
      <c r="B42">
        <v>396</v>
      </c>
      <c r="C42">
        <v>4</v>
      </c>
      <c r="D42">
        <v>36</v>
      </c>
      <c r="E42">
        <v>10</v>
      </c>
      <c r="F42">
        <v>28987.004072822601</v>
      </c>
      <c r="G42">
        <v>1</v>
      </c>
      <c r="H42">
        <v>1</v>
      </c>
    </row>
    <row r="43" spans="1:8" x14ac:dyDescent="0.2">
      <c r="A43" t="s">
        <v>158</v>
      </c>
      <c r="B43">
        <v>540</v>
      </c>
      <c r="C43">
        <v>4</v>
      </c>
      <c r="D43">
        <v>59</v>
      </c>
      <c r="E43">
        <v>19</v>
      </c>
      <c r="F43">
        <v>28998.753445826402</v>
      </c>
      <c r="G43">
        <v>1</v>
      </c>
      <c r="H43">
        <v>1</v>
      </c>
    </row>
    <row r="44" spans="1:8" x14ac:dyDescent="0.2">
      <c r="A44" t="s">
        <v>167</v>
      </c>
      <c r="B44">
        <v>648</v>
      </c>
      <c r="C44">
        <v>14</v>
      </c>
      <c r="D44">
        <v>32</v>
      </c>
      <c r="E44">
        <v>-18</v>
      </c>
      <c r="F44">
        <v>28917.165768123199</v>
      </c>
      <c r="G44">
        <v>1</v>
      </c>
      <c r="H44">
        <v>1</v>
      </c>
    </row>
    <row r="45" spans="1:8" x14ac:dyDescent="0.2">
      <c r="A45" t="s">
        <v>150</v>
      </c>
      <c r="B45">
        <v>432</v>
      </c>
      <c r="C45">
        <v>8</v>
      </c>
      <c r="D45">
        <v>40</v>
      </c>
      <c r="E45">
        <v>7</v>
      </c>
      <c r="F45">
        <v>28975.880839381301</v>
      </c>
      <c r="G45">
        <v>1</v>
      </c>
      <c r="H45">
        <v>1</v>
      </c>
    </row>
    <row r="46" spans="1:8" x14ac:dyDescent="0.2">
      <c r="A46" t="s">
        <v>160</v>
      </c>
      <c r="B46">
        <v>576</v>
      </c>
      <c r="C46">
        <v>2</v>
      </c>
      <c r="D46">
        <v>56</v>
      </c>
      <c r="E46">
        <v>-1</v>
      </c>
      <c r="F46">
        <v>28998.4565092269</v>
      </c>
      <c r="G46">
        <v>1</v>
      </c>
      <c r="H46">
        <v>1</v>
      </c>
    </row>
    <row r="47" spans="1:8" x14ac:dyDescent="0.2">
      <c r="A47" t="s">
        <v>168</v>
      </c>
      <c r="B47">
        <v>684</v>
      </c>
      <c r="C47">
        <v>2</v>
      </c>
      <c r="D47">
        <v>31</v>
      </c>
      <c r="E47">
        <v>2</v>
      </c>
      <c r="F47">
        <v>28887.209736668501</v>
      </c>
      <c r="G47">
        <v>1</v>
      </c>
      <c r="H47">
        <v>1</v>
      </c>
    </row>
    <row r="48" spans="1:8" x14ac:dyDescent="0.2">
      <c r="A48" t="s">
        <v>152</v>
      </c>
      <c r="B48">
        <v>468</v>
      </c>
      <c r="C48">
        <v>4</v>
      </c>
      <c r="D48">
        <v>35</v>
      </c>
      <c r="E48">
        <v>4</v>
      </c>
      <c r="F48">
        <v>28945.103536791099</v>
      </c>
      <c r="G48">
        <v>1</v>
      </c>
      <c r="H48">
        <v>1</v>
      </c>
    </row>
    <row r="49" spans="1:8" x14ac:dyDescent="0.2">
      <c r="A49" t="s">
        <v>162</v>
      </c>
      <c r="B49">
        <v>576</v>
      </c>
      <c r="C49">
        <v>2</v>
      </c>
      <c r="D49">
        <v>56</v>
      </c>
      <c r="E49">
        <v>-3</v>
      </c>
      <c r="F49">
        <v>28979.9043695088</v>
      </c>
      <c r="G49">
        <v>1</v>
      </c>
      <c r="H49">
        <v>1</v>
      </c>
    </row>
    <row r="50" spans="1:8" x14ac:dyDescent="0.2">
      <c r="A50" t="s">
        <v>154</v>
      </c>
      <c r="B50">
        <v>496</v>
      </c>
      <c r="C50">
        <v>2</v>
      </c>
      <c r="D50">
        <v>42</v>
      </c>
      <c r="E50">
        <v>10</v>
      </c>
      <c r="F50">
        <v>28910.457093291901</v>
      </c>
      <c r="G50">
        <v>1</v>
      </c>
      <c r="H50">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dimension ref="A1:I51"/>
  <sheetViews>
    <sheetView topLeftCell="A22" workbookViewId="0">
      <selection activeCell="D48" sqref="D48"/>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110</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s="21" t="s">
        <v>85</v>
      </c>
    </row>
    <row r="21" spans="1:9" x14ac:dyDescent="0.2">
      <c r="A21" t="s">
        <v>86</v>
      </c>
    </row>
    <row r="22" spans="1:9" x14ac:dyDescent="0.2">
      <c r="A22" t="s">
        <v>87</v>
      </c>
    </row>
    <row r="23" spans="1:9" x14ac:dyDescent="0.2">
      <c r="A23" t="s">
        <v>88</v>
      </c>
    </row>
    <row r="24" spans="1:9" x14ac:dyDescent="0.2">
      <c r="A24" t="s">
        <v>105</v>
      </c>
    </row>
    <row r="25" spans="1:9" x14ac:dyDescent="0.2">
      <c r="A25" t="s">
        <v>111</v>
      </c>
    </row>
    <row r="26" spans="1:9" x14ac:dyDescent="0.2">
      <c r="A26" t="s">
        <v>89</v>
      </c>
    </row>
    <row r="27" spans="1:9" x14ac:dyDescent="0.2">
      <c r="A27" t="s">
        <v>224</v>
      </c>
    </row>
    <row r="28" spans="1:9" x14ac:dyDescent="0.2">
      <c r="A28" t="s">
        <v>90</v>
      </c>
    </row>
    <row r="29" spans="1:9" x14ac:dyDescent="0.2">
      <c r="A29" t="s">
        <v>70</v>
      </c>
      <c r="B29" t="s">
        <v>61</v>
      </c>
      <c r="C29" t="s">
        <v>71</v>
      </c>
      <c r="D29" t="s">
        <v>72</v>
      </c>
      <c r="E29" t="s">
        <v>91</v>
      </c>
      <c r="F29" t="s">
        <v>92</v>
      </c>
      <c r="G29" t="s">
        <v>58</v>
      </c>
      <c r="H29" t="s">
        <v>59</v>
      </c>
      <c r="I29" t="s">
        <v>93</v>
      </c>
    </row>
    <row r="30" spans="1:9" x14ac:dyDescent="0.2">
      <c r="A30" t="s">
        <v>123</v>
      </c>
      <c r="B30">
        <v>36</v>
      </c>
      <c r="C30">
        <v>8</v>
      </c>
      <c r="D30">
        <v>4</v>
      </c>
      <c r="E30">
        <v>0</v>
      </c>
      <c r="F30">
        <v>0.18462873622775</v>
      </c>
      <c r="G30">
        <v>1</v>
      </c>
      <c r="H30">
        <v>1</v>
      </c>
      <c r="I30" t="s">
        <v>225</v>
      </c>
    </row>
    <row r="31" spans="1:9" x14ac:dyDescent="0.2">
      <c r="A31" t="s">
        <v>125</v>
      </c>
      <c r="B31">
        <v>72</v>
      </c>
      <c r="C31">
        <v>8</v>
      </c>
      <c r="D31">
        <v>8</v>
      </c>
      <c r="E31">
        <v>0</v>
      </c>
      <c r="F31">
        <v>3.7952521014958598</v>
      </c>
      <c r="G31">
        <v>1</v>
      </c>
      <c r="H31">
        <v>1</v>
      </c>
      <c r="I31" t="s">
        <v>226</v>
      </c>
    </row>
    <row r="32" spans="1:9" x14ac:dyDescent="0.2">
      <c r="A32" t="s">
        <v>127</v>
      </c>
      <c r="B32">
        <v>108</v>
      </c>
      <c r="C32">
        <v>2</v>
      </c>
      <c r="D32">
        <v>12</v>
      </c>
      <c r="E32">
        <v>0</v>
      </c>
      <c r="F32">
        <v>178.15065901726399</v>
      </c>
      <c r="G32">
        <v>1</v>
      </c>
      <c r="H32">
        <v>1</v>
      </c>
      <c r="I32" t="s">
        <v>227</v>
      </c>
    </row>
    <row r="33" spans="1:9" x14ac:dyDescent="0.2">
      <c r="A33" t="s">
        <v>129</v>
      </c>
      <c r="B33">
        <v>144</v>
      </c>
      <c r="C33">
        <v>2</v>
      </c>
      <c r="D33">
        <v>13</v>
      </c>
      <c r="E33">
        <v>0</v>
      </c>
      <c r="F33">
        <v>1168.2548279399</v>
      </c>
      <c r="G33">
        <v>1</v>
      </c>
      <c r="H33">
        <v>1</v>
      </c>
      <c r="I33" t="s">
        <v>228</v>
      </c>
    </row>
    <row r="34" spans="1:9" x14ac:dyDescent="0.2">
      <c r="A34" t="s">
        <v>136</v>
      </c>
      <c r="B34">
        <v>180</v>
      </c>
      <c r="C34">
        <v>2</v>
      </c>
      <c r="D34">
        <v>17</v>
      </c>
      <c r="E34">
        <v>0</v>
      </c>
      <c r="F34">
        <v>28811.138106578001</v>
      </c>
      <c r="G34">
        <v>1</v>
      </c>
      <c r="H34">
        <v>1</v>
      </c>
      <c r="I34" t="s">
        <v>229</v>
      </c>
    </row>
    <row r="35" spans="1:9" x14ac:dyDescent="0.2">
      <c r="A35" t="s">
        <v>138</v>
      </c>
      <c r="B35">
        <v>216</v>
      </c>
      <c r="C35">
        <v>4</v>
      </c>
      <c r="D35">
        <v>18</v>
      </c>
      <c r="E35">
        <v>0</v>
      </c>
      <c r="F35">
        <v>28820.15808162</v>
      </c>
      <c r="G35">
        <v>1</v>
      </c>
      <c r="H35">
        <v>1</v>
      </c>
      <c r="I35" t="s">
        <v>230</v>
      </c>
    </row>
    <row r="36" spans="1:9" x14ac:dyDescent="0.2">
      <c r="A36" t="s">
        <v>140</v>
      </c>
      <c r="B36">
        <v>252</v>
      </c>
      <c r="C36">
        <v>2</v>
      </c>
      <c r="D36">
        <v>25</v>
      </c>
      <c r="E36">
        <v>4</v>
      </c>
      <c r="F36">
        <v>28813.408330359402</v>
      </c>
      <c r="G36">
        <v>1</v>
      </c>
      <c r="H36">
        <v>1</v>
      </c>
      <c r="I36" t="s">
        <v>800</v>
      </c>
    </row>
    <row r="37" spans="1:9" x14ac:dyDescent="0.2">
      <c r="A37" t="s">
        <v>142</v>
      </c>
      <c r="B37">
        <v>288</v>
      </c>
      <c r="C37">
        <v>2</v>
      </c>
      <c r="D37">
        <v>30</v>
      </c>
      <c r="E37">
        <v>6</v>
      </c>
      <c r="F37">
        <v>28809.024700204802</v>
      </c>
      <c r="G37">
        <v>1</v>
      </c>
      <c r="H37">
        <v>1</v>
      </c>
      <c r="I37" t="s">
        <v>801</v>
      </c>
    </row>
    <row r="38" spans="1:9" x14ac:dyDescent="0.2">
      <c r="A38" t="s">
        <v>144</v>
      </c>
      <c r="B38">
        <v>324</v>
      </c>
      <c r="C38">
        <v>4</v>
      </c>
      <c r="D38">
        <v>28</v>
      </c>
      <c r="E38">
        <v>3</v>
      </c>
      <c r="F38">
        <v>28811.2560979062</v>
      </c>
      <c r="G38">
        <v>1</v>
      </c>
      <c r="H38">
        <v>1</v>
      </c>
      <c r="I38" t="s">
        <v>802</v>
      </c>
    </row>
    <row r="39" spans="1:9" x14ac:dyDescent="0.2">
      <c r="A39" t="s">
        <v>163</v>
      </c>
      <c r="B39">
        <v>612</v>
      </c>
      <c r="C39">
        <v>2</v>
      </c>
      <c r="D39">
        <v>63</v>
      </c>
      <c r="E39">
        <v>11</v>
      </c>
      <c r="F39">
        <v>28808.589809999801</v>
      </c>
      <c r="G39">
        <v>1</v>
      </c>
      <c r="H39">
        <v>1</v>
      </c>
      <c r="I39" t="s">
        <v>803</v>
      </c>
    </row>
    <row r="40" spans="1:9" x14ac:dyDescent="0.2">
      <c r="A40" t="s">
        <v>146</v>
      </c>
      <c r="B40">
        <v>360</v>
      </c>
      <c r="C40">
        <v>4</v>
      </c>
      <c r="D40">
        <v>28</v>
      </c>
      <c r="E40">
        <v>4</v>
      </c>
      <c r="F40">
        <v>28808.964997605399</v>
      </c>
      <c r="G40">
        <v>1</v>
      </c>
      <c r="H40">
        <v>1</v>
      </c>
      <c r="I40" t="s">
        <v>804</v>
      </c>
    </row>
    <row r="41" spans="1:9" x14ac:dyDescent="0.2">
      <c r="A41" t="s">
        <v>156</v>
      </c>
      <c r="B41">
        <v>504</v>
      </c>
      <c r="C41">
        <v>2</v>
      </c>
      <c r="D41">
        <v>54</v>
      </c>
      <c r="E41">
        <v>9</v>
      </c>
      <c r="F41">
        <v>28814.215083622301</v>
      </c>
      <c r="G41">
        <v>1</v>
      </c>
      <c r="H41">
        <v>1</v>
      </c>
      <c r="I41" t="s">
        <v>805</v>
      </c>
    </row>
    <row r="42" spans="1:9" x14ac:dyDescent="0.2">
      <c r="A42" t="s">
        <v>165</v>
      </c>
      <c r="B42">
        <v>648</v>
      </c>
      <c r="C42">
        <v>10</v>
      </c>
      <c r="D42">
        <v>60</v>
      </c>
      <c r="E42">
        <v>-11</v>
      </c>
      <c r="F42">
        <v>28811.055099967802</v>
      </c>
      <c r="G42">
        <v>1</v>
      </c>
      <c r="H42">
        <v>1</v>
      </c>
      <c r="I42" t="s">
        <v>806</v>
      </c>
    </row>
    <row r="43" spans="1:9" x14ac:dyDescent="0.2">
      <c r="A43" t="s">
        <v>148</v>
      </c>
      <c r="B43">
        <v>396</v>
      </c>
      <c r="C43">
        <v>4</v>
      </c>
      <c r="D43">
        <v>33</v>
      </c>
      <c r="E43">
        <v>7</v>
      </c>
      <c r="F43">
        <v>28812.966478449202</v>
      </c>
      <c r="G43">
        <v>1</v>
      </c>
      <c r="H43">
        <v>1</v>
      </c>
      <c r="I43" t="s">
        <v>807</v>
      </c>
    </row>
    <row r="44" spans="1:9" x14ac:dyDescent="0.2">
      <c r="A44" t="s">
        <v>158</v>
      </c>
      <c r="B44">
        <v>540</v>
      </c>
      <c r="C44">
        <v>4</v>
      </c>
      <c r="D44">
        <v>67</v>
      </c>
      <c r="E44">
        <v>27</v>
      </c>
      <c r="F44">
        <v>28812.1289294585</v>
      </c>
      <c r="G44">
        <v>1</v>
      </c>
      <c r="H44">
        <v>1</v>
      </c>
      <c r="I44" t="s">
        <v>808</v>
      </c>
    </row>
    <row r="45" spans="1:9" x14ac:dyDescent="0.2">
      <c r="A45" t="s">
        <v>150</v>
      </c>
      <c r="B45">
        <v>432</v>
      </c>
      <c r="C45">
        <v>8</v>
      </c>
      <c r="D45">
        <v>36</v>
      </c>
      <c r="E45">
        <v>3</v>
      </c>
      <c r="F45">
        <v>28815.155360795499</v>
      </c>
      <c r="G45">
        <v>1</v>
      </c>
      <c r="H45">
        <v>1</v>
      </c>
      <c r="I45" t="s">
        <v>809</v>
      </c>
    </row>
    <row r="46" spans="1:9" x14ac:dyDescent="0.2">
      <c r="A46" t="s">
        <v>167</v>
      </c>
      <c r="B46">
        <v>648</v>
      </c>
      <c r="C46">
        <v>14</v>
      </c>
      <c r="D46">
        <v>37</v>
      </c>
      <c r="E46">
        <v>-13</v>
      </c>
      <c r="F46">
        <v>28817.671885357198</v>
      </c>
      <c r="G46">
        <v>1</v>
      </c>
      <c r="H46">
        <v>1</v>
      </c>
      <c r="I46" t="s">
        <v>810</v>
      </c>
    </row>
    <row r="47" spans="1:9" x14ac:dyDescent="0.2">
      <c r="A47" t="s">
        <v>160</v>
      </c>
      <c r="B47">
        <v>576</v>
      </c>
      <c r="C47">
        <v>2</v>
      </c>
      <c r="D47">
        <v>61</v>
      </c>
      <c r="E47">
        <v>4</v>
      </c>
      <c r="F47">
        <v>28812.0178194334</v>
      </c>
      <c r="G47">
        <v>1</v>
      </c>
      <c r="H47">
        <v>1</v>
      </c>
      <c r="I47" t="s">
        <v>811</v>
      </c>
    </row>
    <row r="48" spans="1:9" x14ac:dyDescent="0.2">
      <c r="A48" t="s">
        <v>152</v>
      </c>
      <c r="B48">
        <v>468</v>
      </c>
      <c r="C48">
        <v>4</v>
      </c>
      <c r="D48">
        <v>34</v>
      </c>
      <c r="E48">
        <v>3</v>
      </c>
      <c r="F48">
        <v>28814.4084393866</v>
      </c>
      <c r="G48">
        <v>1</v>
      </c>
      <c r="H48">
        <v>1</v>
      </c>
      <c r="I48" t="s">
        <v>812</v>
      </c>
    </row>
    <row r="49" spans="1:9" x14ac:dyDescent="0.2">
      <c r="A49" t="s">
        <v>168</v>
      </c>
      <c r="B49">
        <v>684</v>
      </c>
      <c r="C49">
        <v>2</v>
      </c>
      <c r="D49">
        <v>36</v>
      </c>
      <c r="E49">
        <v>7</v>
      </c>
      <c r="F49">
        <v>28816.904428596601</v>
      </c>
      <c r="G49">
        <v>1</v>
      </c>
      <c r="H49">
        <v>1</v>
      </c>
      <c r="I49" t="s">
        <v>813</v>
      </c>
    </row>
    <row r="50" spans="1:9" x14ac:dyDescent="0.2">
      <c r="A50" t="s">
        <v>162</v>
      </c>
      <c r="B50">
        <v>576</v>
      </c>
      <c r="C50">
        <v>2</v>
      </c>
      <c r="D50">
        <v>61</v>
      </c>
      <c r="E50">
        <v>2</v>
      </c>
      <c r="F50">
        <v>28811.351209534299</v>
      </c>
      <c r="G50">
        <v>1</v>
      </c>
      <c r="H50">
        <v>1</v>
      </c>
      <c r="I50" t="s">
        <v>814</v>
      </c>
    </row>
    <row r="51" spans="1:9" x14ac:dyDescent="0.2">
      <c r="A51" t="s">
        <v>154</v>
      </c>
      <c r="B51">
        <v>496</v>
      </c>
      <c r="C51">
        <v>2</v>
      </c>
      <c r="D51">
        <v>40</v>
      </c>
      <c r="E51">
        <v>8</v>
      </c>
      <c r="F51">
        <v>28814.907842733799</v>
      </c>
      <c r="G51">
        <v>1</v>
      </c>
      <c r="H51">
        <v>1</v>
      </c>
      <c r="I51" t="s">
        <v>815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FD23-2671-CB45-B947-E2776D6C94D3}">
  <dimension ref="A1:I50"/>
  <sheetViews>
    <sheetView topLeftCell="A16" workbookViewId="0">
      <selection activeCell="F29" sqref="F29:F50"/>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112</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s="21"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row>
    <row r="26" spans="1:9" x14ac:dyDescent="0.2">
      <c r="A26" t="s">
        <v>231</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v>2.47531291935592</v>
      </c>
      <c r="G29">
        <v>10000</v>
      </c>
      <c r="H29">
        <v>10000</v>
      </c>
      <c r="I29" t="s">
        <v>232</v>
      </c>
    </row>
    <row r="30" spans="1:9" x14ac:dyDescent="0.2">
      <c r="A30" t="s">
        <v>125</v>
      </c>
      <c r="B30">
        <v>72</v>
      </c>
      <c r="C30">
        <v>8</v>
      </c>
      <c r="D30">
        <v>8</v>
      </c>
      <c r="E30">
        <v>0</v>
      </c>
      <c r="F30">
        <v>3.7804329209029599</v>
      </c>
      <c r="G30">
        <v>9952</v>
      </c>
      <c r="H30">
        <v>10000</v>
      </c>
      <c r="I30" t="s">
        <v>233</v>
      </c>
    </row>
    <row r="31" spans="1:9" x14ac:dyDescent="0.2">
      <c r="A31" t="s">
        <v>127</v>
      </c>
      <c r="B31">
        <v>108</v>
      </c>
      <c r="C31">
        <v>2</v>
      </c>
      <c r="D31">
        <v>12</v>
      </c>
      <c r="E31">
        <v>0</v>
      </c>
      <c r="F31">
        <v>4.56762215029448</v>
      </c>
      <c r="G31">
        <v>7756</v>
      </c>
      <c r="H31">
        <v>10000</v>
      </c>
      <c r="I31" t="s">
        <v>234</v>
      </c>
    </row>
    <row r="32" spans="1:9" x14ac:dyDescent="0.2">
      <c r="A32" t="s">
        <v>129</v>
      </c>
      <c r="B32">
        <v>144</v>
      </c>
      <c r="C32">
        <v>2</v>
      </c>
      <c r="D32">
        <v>13</v>
      </c>
      <c r="E32">
        <v>0</v>
      </c>
      <c r="F32">
        <v>6.3780570691451404</v>
      </c>
      <c r="G32">
        <v>5834</v>
      </c>
      <c r="H32">
        <v>10000</v>
      </c>
      <c r="I32" t="s">
        <v>235</v>
      </c>
    </row>
    <row r="33" spans="1:9" x14ac:dyDescent="0.2">
      <c r="A33" t="s">
        <v>136</v>
      </c>
      <c r="B33">
        <v>180</v>
      </c>
      <c r="C33">
        <v>2</v>
      </c>
      <c r="D33">
        <v>17</v>
      </c>
      <c r="E33">
        <v>0</v>
      </c>
      <c r="F33">
        <v>8.1787112960591895</v>
      </c>
      <c r="G33">
        <v>7035</v>
      </c>
      <c r="H33">
        <v>10000</v>
      </c>
      <c r="I33" t="s">
        <v>236</v>
      </c>
    </row>
    <row r="34" spans="1:9" x14ac:dyDescent="0.2">
      <c r="A34" t="s">
        <v>138</v>
      </c>
      <c r="B34">
        <v>216</v>
      </c>
      <c r="C34">
        <v>4</v>
      </c>
      <c r="D34">
        <v>18</v>
      </c>
      <c r="E34">
        <v>0</v>
      </c>
      <c r="F34">
        <v>11.1692987186834</v>
      </c>
      <c r="G34">
        <v>6244</v>
      </c>
      <c r="H34">
        <v>10000</v>
      </c>
      <c r="I34" t="s">
        <v>237</v>
      </c>
    </row>
    <row r="35" spans="1:9" x14ac:dyDescent="0.2">
      <c r="A35" t="s">
        <v>140</v>
      </c>
      <c r="B35">
        <v>252</v>
      </c>
      <c r="C35">
        <v>2</v>
      </c>
      <c r="D35">
        <v>22</v>
      </c>
      <c r="E35">
        <v>1</v>
      </c>
      <c r="F35">
        <v>14.1525838086381</v>
      </c>
      <c r="G35">
        <v>4875</v>
      </c>
      <c r="H35">
        <v>10000</v>
      </c>
      <c r="I35" t="s">
        <v>238</v>
      </c>
    </row>
    <row r="36" spans="1:9" x14ac:dyDescent="0.2">
      <c r="A36" t="s">
        <v>142</v>
      </c>
      <c r="B36">
        <v>288</v>
      </c>
      <c r="C36">
        <v>2</v>
      </c>
      <c r="D36">
        <v>26</v>
      </c>
      <c r="E36">
        <v>2</v>
      </c>
      <c r="F36">
        <v>18.1246498236432</v>
      </c>
      <c r="G36">
        <v>1487</v>
      </c>
      <c r="H36">
        <v>10000</v>
      </c>
      <c r="I36" t="s">
        <v>239</v>
      </c>
    </row>
    <row r="37" spans="1:9" x14ac:dyDescent="0.2">
      <c r="A37" t="s">
        <v>144</v>
      </c>
      <c r="B37">
        <v>324</v>
      </c>
      <c r="C37">
        <v>4</v>
      </c>
      <c r="D37">
        <v>27</v>
      </c>
      <c r="E37">
        <v>2</v>
      </c>
      <c r="F37">
        <v>23.376311565749301</v>
      </c>
      <c r="G37">
        <v>1917</v>
      </c>
      <c r="H37">
        <v>10000</v>
      </c>
      <c r="I37" t="s">
        <v>240</v>
      </c>
    </row>
    <row r="38" spans="1:9" x14ac:dyDescent="0.2">
      <c r="A38" t="s">
        <v>146</v>
      </c>
      <c r="B38">
        <v>360</v>
      </c>
      <c r="C38">
        <v>4</v>
      </c>
      <c r="D38">
        <v>25</v>
      </c>
      <c r="E38">
        <v>1</v>
      </c>
      <c r="F38">
        <v>28.254386574029901</v>
      </c>
      <c r="G38">
        <v>1704</v>
      </c>
      <c r="H38">
        <v>10000</v>
      </c>
      <c r="I38" t="s">
        <v>241</v>
      </c>
    </row>
    <row r="39" spans="1:9" x14ac:dyDescent="0.2">
      <c r="A39" t="s">
        <v>148</v>
      </c>
      <c r="B39">
        <v>396</v>
      </c>
      <c r="C39">
        <v>4</v>
      </c>
      <c r="D39">
        <v>35</v>
      </c>
      <c r="E39">
        <v>9</v>
      </c>
      <c r="F39">
        <v>32.216139630414503</v>
      </c>
      <c r="G39">
        <v>7735</v>
      </c>
      <c r="H39">
        <v>10000</v>
      </c>
      <c r="I39" t="s">
        <v>242</v>
      </c>
    </row>
    <row r="40" spans="1:9" x14ac:dyDescent="0.2">
      <c r="A40" t="s">
        <v>150</v>
      </c>
      <c r="B40">
        <v>432</v>
      </c>
      <c r="C40">
        <v>8</v>
      </c>
      <c r="D40">
        <v>37</v>
      </c>
      <c r="E40">
        <v>4</v>
      </c>
      <c r="F40">
        <v>44.773907355964099</v>
      </c>
      <c r="G40">
        <v>4222</v>
      </c>
      <c r="H40">
        <v>10000</v>
      </c>
      <c r="I40" t="s">
        <v>243</v>
      </c>
    </row>
    <row r="41" spans="1:9" x14ac:dyDescent="0.2">
      <c r="A41" t="s">
        <v>152</v>
      </c>
      <c r="B41">
        <v>468</v>
      </c>
      <c r="C41">
        <v>4</v>
      </c>
      <c r="D41">
        <v>38</v>
      </c>
      <c r="E41">
        <v>7</v>
      </c>
      <c r="F41">
        <v>43.831042600795598</v>
      </c>
      <c r="G41">
        <v>6641</v>
      </c>
      <c r="H41">
        <v>10000</v>
      </c>
      <c r="I41" t="s">
        <v>244</v>
      </c>
    </row>
    <row r="42" spans="1:9" x14ac:dyDescent="0.2">
      <c r="A42" t="s">
        <v>154</v>
      </c>
      <c r="B42">
        <v>496</v>
      </c>
      <c r="C42">
        <v>2</v>
      </c>
      <c r="D42">
        <v>36</v>
      </c>
      <c r="E42">
        <v>4</v>
      </c>
      <c r="F42">
        <v>44.728088342584599</v>
      </c>
      <c r="G42">
        <v>5352</v>
      </c>
      <c r="H42">
        <v>10000</v>
      </c>
      <c r="I42" t="s">
        <v>245</v>
      </c>
    </row>
    <row r="43" spans="1:9" x14ac:dyDescent="0.2">
      <c r="A43" t="s">
        <v>156</v>
      </c>
      <c r="B43">
        <v>504</v>
      </c>
      <c r="C43">
        <v>2</v>
      </c>
      <c r="D43">
        <v>53</v>
      </c>
      <c r="E43">
        <v>8</v>
      </c>
      <c r="F43">
        <v>97.808000400662394</v>
      </c>
      <c r="G43">
        <v>2777</v>
      </c>
      <c r="H43">
        <v>10000</v>
      </c>
      <c r="I43" t="s">
        <v>246</v>
      </c>
    </row>
    <row r="44" spans="1:9" x14ac:dyDescent="0.2">
      <c r="A44" t="s">
        <v>158</v>
      </c>
      <c r="B44">
        <v>540</v>
      </c>
      <c r="C44">
        <v>4</v>
      </c>
      <c r="D44">
        <v>51</v>
      </c>
      <c r="E44">
        <v>11</v>
      </c>
      <c r="F44">
        <v>117.76146112009801</v>
      </c>
      <c r="G44">
        <v>1412</v>
      </c>
      <c r="H44">
        <v>10000</v>
      </c>
      <c r="I44" t="s">
        <v>247</v>
      </c>
    </row>
    <row r="45" spans="1:9" x14ac:dyDescent="0.2">
      <c r="A45" t="s">
        <v>160</v>
      </c>
      <c r="B45">
        <v>576</v>
      </c>
      <c r="C45">
        <v>2</v>
      </c>
      <c r="D45">
        <v>63</v>
      </c>
      <c r="E45">
        <v>6</v>
      </c>
      <c r="F45">
        <v>128.97031085006799</v>
      </c>
      <c r="G45">
        <v>3235</v>
      </c>
      <c r="H45">
        <v>10000</v>
      </c>
      <c r="I45" t="s">
        <v>248</v>
      </c>
    </row>
    <row r="46" spans="1:9" x14ac:dyDescent="0.2">
      <c r="A46" t="s">
        <v>162</v>
      </c>
      <c r="B46">
        <v>576</v>
      </c>
      <c r="C46">
        <v>2</v>
      </c>
      <c r="D46">
        <v>60</v>
      </c>
      <c r="E46">
        <v>1</v>
      </c>
      <c r="F46">
        <v>124.127656092867</v>
      </c>
      <c r="G46">
        <v>583</v>
      </c>
      <c r="H46">
        <v>10000</v>
      </c>
      <c r="I46" t="s">
        <v>249</v>
      </c>
    </row>
    <row r="47" spans="1:9" x14ac:dyDescent="0.2">
      <c r="A47" t="s">
        <v>163</v>
      </c>
      <c r="B47">
        <v>612</v>
      </c>
      <c r="C47">
        <v>2</v>
      </c>
      <c r="D47">
        <v>68</v>
      </c>
      <c r="E47">
        <v>16</v>
      </c>
      <c r="F47">
        <v>142.40868607908399</v>
      </c>
      <c r="G47">
        <v>1</v>
      </c>
      <c r="H47">
        <v>10000</v>
      </c>
      <c r="I47" t="s">
        <v>250</v>
      </c>
    </row>
    <row r="48" spans="1:9" x14ac:dyDescent="0.2">
      <c r="A48" t="s">
        <v>165</v>
      </c>
      <c r="B48">
        <v>648</v>
      </c>
      <c r="C48">
        <v>10</v>
      </c>
      <c r="D48">
        <v>64</v>
      </c>
      <c r="E48">
        <v>-7</v>
      </c>
      <c r="F48">
        <v>174.78616057895101</v>
      </c>
      <c r="G48">
        <v>5253</v>
      </c>
      <c r="H48">
        <v>10000</v>
      </c>
      <c r="I48" t="s">
        <v>251</v>
      </c>
    </row>
    <row r="49" spans="1:9" x14ac:dyDescent="0.2">
      <c r="A49" t="s">
        <v>167</v>
      </c>
      <c r="B49">
        <v>648</v>
      </c>
      <c r="C49">
        <v>14</v>
      </c>
      <c r="D49">
        <v>46</v>
      </c>
      <c r="E49">
        <v>-4</v>
      </c>
      <c r="F49">
        <v>187.46061342023299</v>
      </c>
      <c r="G49">
        <v>3852</v>
      </c>
      <c r="H49">
        <v>10000</v>
      </c>
      <c r="I49" t="s">
        <v>252</v>
      </c>
    </row>
    <row r="50" spans="1:9" x14ac:dyDescent="0.2">
      <c r="A50" t="s">
        <v>168</v>
      </c>
      <c r="B50">
        <v>684</v>
      </c>
      <c r="C50">
        <v>2</v>
      </c>
      <c r="D50">
        <v>33</v>
      </c>
      <c r="E50">
        <v>4</v>
      </c>
      <c r="F50">
        <v>158.092532685957</v>
      </c>
      <c r="G50">
        <v>2011</v>
      </c>
      <c r="H50">
        <v>10000</v>
      </c>
      <c r="I50" t="s">
        <v>253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5A963-36AA-9B48-8FCB-47038F1A0846}">
  <dimension ref="A1:I55"/>
  <sheetViews>
    <sheetView workbookViewId="0">
      <selection activeCell="F13" sqref="F13"/>
    </sheetView>
  </sheetViews>
  <sheetFormatPr baseColWidth="10" defaultRowHeight="16" x14ac:dyDescent="0.2"/>
  <sheetData>
    <row r="1" spans="1:1" x14ac:dyDescent="0.2">
      <c r="A1" t="s">
        <v>73</v>
      </c>
    </row>
    <row r="2" spans="1:1" x14ac:dyDescent="0.2">
      <c r="A2" t="s">
        <v>74</v>
      </c>
    </row>
    <row r="3" spans="1:1" x14ac:dyDescent="0.2">
      <c r="A3" t="s">
        <v>75</v>
      </c>
    </row>
    <row r="4" spans="1:1" x14ac:dyDescent="0.2">
      <c r="A4" t="s">
        <v>854</v>
      </c>
    </row>
    <row r="5" spans="1:1" x14ac:dyDescent="0.2">
      <c r="A5" t="s">
        <v>117</v>
      </c>
    </row>
    <row r="6" spans="1:1" x14ac:dyDescent="0.2">
      <c r="A6" t="s">
        <v>76</v>
      </c>
    </row>
    <row r="7" spans="1:1" x14ac:dyDescent="0.2">
      <c r="A7" t="s">
        <v>112</v>
      </c>
    </row>
    <row r="8" spans="1:1" x14ac:dyDescent="0.2">
      <c r="A8" t="s">
        <v>77</v>
      </c>
    </row>
    <row r="9" spans="1:1" x14ac:dyDescent="0.2">
      <c r="A9" t="s">
        <v>96</v>
      </c>
    </row>
    <row r="10" spans="1:1" x14ac:dyDescent="0.2">
      <c r="A10" t="s">
        <v>118</v>
      </c>
    </row>
    <row r="11" spans="1:1" x14ac:dyDescent="0.2">
      <c r="A11" t="s">
        <v>119</v>
      </c>
    </row>
    <row r="12" spans="1:1" x14ac:dyDescent="0.2">
      <c r="A12" t="s">
        <v>78</v>
      </c>
    </row>
    <row r="13" spans="1:1" x14ac:dyDescent="0.2">
      <c r="A13" t="s">
        <v>79</v>
      </c>
    </row>
    <row r="14" spans="1:1" x14ac:dyDescent="0.2">
      <c r="A14" t="s">
        <v>80</v>
      </c>
    </row>
    <row r="15" spans="1:1" x14ac:dyDescent="0.2">
      <c r="A15" t="s">
        <v>81</v>
      </c>
    </row>
    <row r="16" spans="1:1" x14ac:dyDescent="0.2">
      <c r="A16" t="s">
        <v>82</v>
      </c>
    </row>
    <row r="17" spans="1:1" x14ac:dyDescent="0.2">
      <c r="A17" t="s">
        <v>825</v>
      </c>
    </row>
    <row r="18" spans="1:1" x14ac:dyDescent="0.2">
      <c r="A18" t="s">
        <v>121</v>
      </c>
    </row>
    <row r="19" spans="1:1" x14ac:dyDescent="0.2">
      <c r="A19" t="s">
        <v>83</v>
      </c>
    </row>
    <row r="20" spans="1:1" x14ac:dyDescent="0.2">
      <c r="A20" t="s">
        <v>84</v>
      </c>
    </row>
    <row r="21" spans="1:1" x14ac:dyDescent="0.2">
      <c r="A21" t="s">
        <v>85</v>
      </c>
    </row>
    <row r="22" spans="1:1" x14ac:dyDescent="0.2">
      <c r="A22" t="s">
        <v>86</v>
      </c>
    </row>
    <row r="23" spans="1:1" x14ac:dyDescent="0.2">
      <c r="A23" t="s">
        <v>87</v>
      </c>
    </row>
    <row r="24" spans="1:1" x14ac:dyDescent="0.2">
      <c r="A24" t="s">
        <v>826</v>
      </c>
    </row>
    <row r="25" spans="1:1" x14ac:dyDescent="0.2">
      <c r="A25" t="s">
        <v>827</v>
      </c>
    </row>
    <row r="26" spans="1:1" x14ac:dyDescent="0.2">
      <c r="A26" t="s">
        <v>828</v>
      </c>
    </row>
    <row r="27" spans="1:1" x14ac:dyDescent="0.2">
      <c r="A27" t="s">
        <v>829</v>
      </c>
    </row>
    <row r="28" spans="1:1" x14ac:dyDescent="0.2">
      <c r="A28" t="s">
        <v>855</v>
      </c>
    </row>
    <row r="29" spans="1:1" x14ac:dyDescent="0.2">
      <c r="A29" t="s">
        <v>105</v>
      </c>
    </row>
    <row r="30" spans="1:1" x14ac:dyDescent="0.2">
      <c r="A30" t="s">
        <v>89</v>
      </c>
    </row>
    <row r="31" spans="1:1" x14ac:dyDescent="0.2">
      <c r="A31" t="s">
        <v>856</v>
      </c>
    </row>
    <row r="32" spans="1:1" x14ac:dyDescent="0.2">
      <c r="A32" t="s">
        <v>90</v>
      </c>
    </row>
    <row r="33" spans="1:9" x14ac:dyDescent="0.2">
      <c r="A33" t="s">
        <v>70</v>
      </c>
      <c r="B33" t="s">
        <v>61</v>
      </c>
      <c r="C33" t="s">
        <v>71</v>
      </c>
      <c r="D33" t="s">
        <v>72</v>
      </c>
      <c r="E33" t="s">
        <v>91</v>
      </c>
      <c r="F33" t="s">
        <v>92</v>
      </c>
      <c r="G33" t="s">
        <v>58</v>
      </c>
      <c r="H33" t="s">
        <v>59</v>
      </c>
      <c r="I33" t="s">
        <v>93</v>
      </c>
    </row>
    <row r="34" spans="1:9" x14ac:dyDescent="0.2">
      <c r="A34" t="s">
        <v>123</v>
      </c>
      <c r="B34">
        <v>36</v>
      </c>
      <c r="C34">
        <v>8</v>
      </c>
      <c r="D34">
        <v>4</v>
      </c>
      <c r="E34">
        <v>0</v>
      </c>
      <c r="F34">
        <v>2.4199116174131601</v>
      </c>
      <c r="G34">
        <v>10000</v>
      </c>
      <c r="H34">
        <v>10000</v>
      </c>
      <c r="I34" t="s">
        <v>232</v>
      </c>
    </row>
    <row r="35" spans="1:9" x14ac:dyDescent="0.2">
      <c r="A35" t="s">
        <v>125</v>
      </c>
      <c r="B35">
        <v>72</v>
      </c>
      <c r="C35">
        <v>8</v>
      </c>
      <c r="D35">
        <v>8</v>
      </c>
      <c r="E35">
        <v>0</v>
      </c>
      <c r="F35">
        <v>3.5645571090281001</v>
      </c>
      <c r="G35">
        <v>9872</v>
      </c>
      <c r="H35">
        <v>10000</v>
      </c>
      <c r="I35" t="s">
        <v>857</v>
      </c>
    </row>
    <row r="36" spans="1:9" x14ac:dyDescent="0.2">
      <c r="A36" t="s">
        <v>127</v>
      </c>
      <c r="B36">
        <v>108</v>
      </c>
      <c r="C36">
        <v>2</v>
      </c>
      <c r="D36">
        <v>12</v>
      </c>
      <c r="E36">
        <v>0</v>
      </c>
      <c r="F36">
        <v>4.44238483160734</v>
      </c>
      <c r="G36">
        <v>8041</v>
      </c>
      <c r="H36">
        <v>10000</v>
      </c>
      <c r="I36" t="s">
        <v>858</v>
      </c>
    </row>
    <row r="37" spans="1:9" x14ac:dyDescent="0.2">
      <c r="A37" t="s">
        <v>129</v>
      </c>
      <c r="B37">
        <v>144</v>
      </c>
      <c r="C37">
        <v>2</v>
      </c>
      <c r="D37">
        <v>13</v>
      </c>
      <c r="E37">
        <v>0</v>
      </c>
      <c r="F37">
        <v>6.2701984532177404</v>
      </c>
      <c r="G37">
        <v>5165</v>
      </c>
      <c r="H37">
        <v>10000</v>
      </c>
      <c r="I37" t="s">
        <v>859</v>
      </c>
    </row>
    <row r="38" spans="1:9" x14ac:dyDescent="0.2">
      <c r="A38" t="s">
        <v>136</v>
      </c>
      <c r="B38">
        <v>180</v>
      </c>
      <c r="C38">
        <v>2</v>
      </c>
      <c r="D38">
        <v>17</v>
      </c>
      <c r="E38">
        <v>0</v>
      </c>
      <c r="F38">
        <v>8.1938018947839701</v>
      </c>
      <c r="G38">
        <v>4640</v>
      </c>
      <c r="H38">
        <v>10000</v>
      </c>
      <c r="I38" t="s">
        <v>860</v>
      </c>
    </row>
    <row r="39" spans="1:9" x14ac:dyDescent="0.2">
      <c r="A39" t="s">
        <v>138</v>
      </c>
      <c r="B39">
        <v>216</v>
      </c>
      <c r="C39">
        <v>4</v>
      </c>
      <c r="D39">
        <v>18</v>
      </c>
      <c r="E39">
        <v>0</v>
      </c>
      <c r="F39">
        <v>11.3913584463298</v>
      </c>
      <c r="G39">
        <v>5423</v>
      </c>
      <c r="H39">
        <v>10000</v>
      </c>
      <c r="I39" t="s">
        <v>861</v>
      </c>
    </row>
    <row r="40" spans="1:9" x14ac:dyDescent="0.2">
      <c r="A40" t="s">
        <v>140</v>
      </c>
      <c r="B40">
        <v>252</v>
      </c>
      <c r="C40">
        <v>2</v>
      </c>
      <c r="D40">
        <v>22</v>
      </c>
      <c r="E40">
        <v>1</v>
      </c>
      <c r="F40">
        <v>14.578111271373899</v>
      </c>
      <c r="G40">
        <v>3726</v>
      </c>
      <c r="H40">
        <v>10000</v>
      </c>
      <c r="I40" t="s">
        <v>862</v>
      </c>
    </row>
    <row r="41" spans="1:9" x14ac:dyDescent="0.2">
      <c r="A41" t="s">
        <v>142</v>
      </c>
      <c r="B41">
        <v>288</v>
      </c>
      <c r="C41">
        <v>2</v>
      </c>
      <c r="D41">
        <v>25</v>
      </c>
      <c r="E41">
        <v>1</v>
      </c>
      <c r="F41">
        <v>17.810836376622301</v>
      </c>
      <c r="G41">
        <v>3331</v>
      </c>
      <c r="H41">
        <v>10000</v>
      </c>
      <c r="I41" t="s">
        <v>863</v>
      </c>
    </row>
    <row r="42" spans="1:9" x14ac:dyDescent="0.2">
      <c r="A42" t="s">
        <v>144</v>
      </c>
      <c r="B42">
        <v>324</v>
      </c>
      <c r="C42">
        <v>4</v>
      </c>
      <c r="D42">
        <v>25</v>
      </c>
      <c r="E42">
        <v>0</v>
      </c>
      <c r="F42">
        <v>23.443407067097699</v>
      </c>
      <c r="G42">
        <v>1997</v>
      </c>
      <c r="H42">
        <v>10000</v>
      </c>
      <c r="I42" t="s">
        <v>864</v>
      </c>
    </row>
    <row r="43" spans="1:9" x14ac:dyDescent="0.2">
      <c r="A43" t="s">
        <v>146</v>
      </c>
      <c r="B43">
        <v>360</v>
      </c>
      <c r="C43">
        <v>4</v>
      </c>
      <c r="D43">
        <v>26</v>
      </c>
      <c r="E43">
        <v>2</v>
      </c>
      <c r="F43">
        <v>29.856442489661202</v>
      </c>
      <c r="G43">
        <v>2231</v>
      </c>
      <c r="H43">
        <v>10000</v>
      </c>
      <c r="I43" t="s">
        <v>865</v>
      </c>
    </row>
    <row r="44" spans="1:9" x14ac:dyDescent="0.2">
      <c r="A44" t="s">
        <v>148</v>
      </c>
      <c r="B44">
        <v>396</v>
      </c>
      <c r="C44">
        <v>4</v>
      </c>
      <c r="D44">
        <v>29</v>
      </c>
      <c r="E44">
        <v>3</v>
      </c>
      <c r="F44">
        <v>32.106238256208599</v>
      </c>
      <c r="G44">
        <v>232</v>
      </c>
      <c r="H44">
        <v>10000</v>
      </c>
      <c r="I44" t="s">
        <v>866</v>
      </c>
    </row>
    <row r="45" spans="1:9" x14ac:dyDescent="0.2">
      <c r="A45" t="s">
        <v>150</v>
      </c>
      <c r="B45">
        <v>432</v>
      </c>
      <c r="C45">
        <v>8</v>
      </c>
      <c r="D45">
        <v>32</v>
      </c>
      <c r="E45">
        <v>-1</v>
      </c>
      <c r="F45">
        <v>46.606257375329697</v>
      </c>
      <c r="G45">
        <v>1906</v>
      </c>
      <c r="H45">
        <v>10000</v>
      </c>
      <c r="I45" t="s">
        <v>867</v>
      </c>
    </row>
    <row r="46" spans="1:9" x14ac:dyDescent="0.2">
      <c r="A46" t="s">
        <v>152</v>
      </c>
      <c r="B46">
        <v>468</v>
      </c>
      <c r="C46">
        <v>4</v>
      </c>
      <c r="D46">
        <v>32</v>
      </c>
      <c r="E46">
        <v>1</v>
      </c>
      <c r="F46">
        <v>45.8606149274855</v>
      </c>
      <c r="G46">
        <v>1853</v>
      </c>
      <c r="H46">
        <v>10000</v>
      </c>
      <c r="I46" t="s">
        <v>868</v>
      </c>
    </row>
    <row r="47" spans="1:9" x14ac:dyDescent="0.2">
      <c r="A47" t="s">
        <v>154</v>
      </c>
      <c r="B47">
        <v>496</v>
      </c>
      <c r="C47">
        <v>2</v>
      </c>
      <c r="D47">
        <v>32</v>
      </c>
      <c r="E47">
        <v>0</v>
      </c>
      <c r="F47">
        <v>43.358082022517898</v>
      </c>
      <c r="G47">
        <v>2394</v>
      </c>
      <c r="H47">
        <v>10000</v>
      </c>
      <c r="I47" t="s">
        <v>869</v>
      </c>
    </row>
    <row r="48" spans="1:9" x14ac:dyDescent="0.2">
      <c r="A48" t="s">
        <v>156</v>
      </c>
      <c r="B48">
        <v>504</v>
      </c>
      <c r="C48">
        <v>2</v>
      </c>
      <c r="D48">
        <v>39</v>
      </c>
      <c r="E48">
        <v>-6</v>
      </c>
      <c r="F48">
        <v>53.110532948747199</v>
      </c>
      <c r="G48">
        <v>398</v>
      </c>
      <c r="H48">
        <v>10000</v>
      </c>
      <c r="I48" t="s">
        <v>870</v>
      </c>
    </row>
    <row r="49" spans="1:9" x14ac:dyDescent="0.2">
      <c r="A49" t="s">
        <v>158</v>
      </c>
      <c r="B49">
        <v>540</v>
      </c>
      <c r="C49">
        <v>4</v>
      </c>
      <c r="D49">
        <v>53</v>
      </c>
      <c r="E49">
        <v>13</v>
      </c>
      <c r="F49">
        <v>63.657829062081802</v>
      </c>
      <c r="G49">
        <v>484</v>
      </c>
      <c r="H49">
        <v>10000</v>
      </c>
      <c r="I49" t="s">
        <v>871</v>
      </c>
    </row>
    <row r="50" spans="1:9" x14ac:dyDescent="0.2">
      <c r="A50" t="s">
        <v>160</v>
      </c>
      <c r="B50">
        <v>576</v>
      </c>
      <c r="C50">
        <v>2</v>
      </c>
      <c r="D50">
        <v>55</v>
      </c>
      <c r="E50">
        <v>-2</v>
      </c>
      <c r="F50">
        <v>66.814935805275994</v>
      </c>
      <c r="G50">
        <v>274</v>
      </c>
      <c r="H50">
        <v>10000</v>
      </c>
      <c r="I50" t="s">
        <v>872</v>
      </c>
    </row>
    <row r="51" spans="1:9" x14ac:dyDescent="0.2">
      <c r="A51" t="s">
        <v>162</v>
      </c>
      <c r="B51">
        <v>576</v>
      </c>
      <c r="C51">
        <v>2</v>
      </c>
      <c r="D51">
        <v>62</v>
      </c>
      <c r="E51">
        <v>3</v>
      </c>
      <c r="F51">
        <v>66.5453194770962</v>
      </c>
      <c r="G51">
        <v>2</v>
      </c>
      <c r="H51">
        <v>10000</v>
      </c>
      <c r="I51" t="s">
        <v>873</v>
      </c>
    </row>
    <row r="52" spans="1:9" x14ac:dyDescent="0.2">
      <c r="A52" t="s">
        <v>163</v>
      </c>
      <c r="B52">
        <v>612</v>
      </c>
      <c r="C52">
        <v>2</v>
      </c>
      <c r="D52">
        <v>61</v>
      </c>
      <c r="E52">
        <v>9</v>
      </c>
      <c r="F52">
        <v>78.412766946479607</v>
      </c>
      <c r="G52">
        <v>1</v>
      </c>
      <c r="H52">
        <v>10000</v>
      </c>
      <c r="I52" t="s">
        <v>874</v>
      </c>
    </row>
    <row r="53" spans="1:9" x14ac:dyDescent="0.2">
      <c r="A53" t="s">
        <v>165</v>
      </c>
      <c r="B53">
        <v>648</v>
      </c>
      <c r="C53">
        <v>10</v>
      </c>
      <c r="D53">
        <v>60</v>
      </c>
      <c r="E53">
        <v>-11</v>
      </c>
      <c r="F53">
        <v>110.087523970752</v>
      </c>
      <c r="G53">
        <v>264</v>
      </c>
      <c r="H53">
        <v>10000</v>
      </c>
      <c r="I53" t="s">
        <v>875</v>
      </c>
    </row>
    <row r="54" spans="1:9" x14ac:dyDescent="0.2">
      <c r="A54" t="s">
        <v>167</v>
      </c>
      <c r="B54">
        <v>648</v>
      </c>
      <c r="C54">
        <v>14</v>
      </c>
      <c r="D54">
        <v>32</v>
      </c>
      <c r="E54">
        <v>-18</v>
      </c>
      <c r="F54">
        <v>122.298727479763</v>
      </c>
      <c r="G54">
        <v>401</v>
      </c>
      <c r="H54">
        <v>10000</v>
      </c>
      <c r="I54" t="s">
        <v>876</v>
      </c>
    </row>
    <row r="55" spans="1:9" x14ac:dyDescent="0.2">
      <c r="A55" t="s">
        <v>168</v>
      </c>
      <c r="B55">
        <v>684</v>
      </c>
      <c r="C55">
        <v>2</v>
      </c>
      <c r="D55">
        <v>31</v>
      </c>
      <c r="E55">
        <v>2</v>
      </c>
      <c r="F55">
        <v>84.011964909732299</v>
      </c>
      <c r="G55">
        <v>2467</v>
      </c>
      <c r="H55">
        <v>10000</v>
      </c>
      <c r="I55" t="s">
        <v>877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D758-EFE7-5540-8BEC-C3C6E7E8BACC}">
  <dimension ref="A1:I50"/>
  <sheetViews>
    <sheetView topLeftCell="A16" workbookViewId="0">
      <selection activeCell="F22" sqref="F22"/>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113</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s="21"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row>
    <row r="26" spans="1:9" x14ac:dyDescent="0.2">
      <c r="A26" t="s">
        <v>254</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v>1.53569101355969</v>
      </c>
      <c r="G29">
        <v>9990</v>
      </c>
      <c r="H29">
        <v>10000</v>
      </c>
      <c r="I29" t="s">
        <v>255</v>
      </c>
    </row>
    <row r="30" spans="1:9" x14ac:dyDescent="0.2">
      <c r="A30" t="s">
        <v>125</v>
      </c>
      <c r="B30">
        <v>72</v>
      </c>
      <c r="C30">
        <v>8</v>
      </c>
      <c r="D30">
        <v>8</v>
      </c>
      <c r="E30">
        <v>0</v>
      </c>
      <c r="F30">
        <v>2.3651574989780699</v>
      </c>
      <c r="G30">
        <v>7627</v>
      </c>
      <c r="H30">
        <v>10000</v>
      </c>
      <c r="I30" t="s">
        <v>256</v>
      </c>
    </row>
    <row r="31" spans="1:9" x14ac:dyDescent="0.2">
      <c r="A31" t="s">
        <v>127</v>
      </c>
      <c r="B31">
        <v>108</v>
      </c>
      <c r="C31">
        <v>2</v>
      </c>
      <c r="D31">
        <v>12</v>
      </c>
      <c r="E31">
        <v>0</v>
      </c>
      <c r="F31">
        <v>3.2766127772629199</v>
      </c>
      <c r="G31">
        <v>1177</v>
      </c>
      <c r="H31">
        <v>10000</v>
      </c>
      <c r="I31" t="s">
        <v>257</v>
      </c>
    </row>
    <row r="32" spans="1:9" x14ac:dyDescent="0.2">
      <c r="A32" t="s">
        <v>129</v>
      </c>
      <c r="B32">
        <v>144</v>
      </c>
      <c r="C32">
        <v>2</v>
      </c>
      <c r="D32">
        <v>13</v>
      </c>
      <c r="E32">
        <v>0</v>
      </c>
      <c r="F32">
        <v>5.0380067145451903</v>
      </c>
      <c r="G32">
        <v>78</v>
      </c>
      <c r="H32">
        <v>10000</v>
      </c>
      <c r="I32" t="s">
        <v>258</v>
      </c>
    </row>
    <row r="33" spans="1:9" x14ac:dyDescent="0.2">
      <c r="A33" t="s">
        <v>136</v>
      </c>
      <c r="B33">
        <v>180</v>
      </c>
      <c r="C33">
        <v>2</v>
      </c>
      <c r="D33">
        <v>17</v>
      </c>
      <c r="E33">
        <v>0</v>
      </c>
      <c r="F33">
        <v>6.7883425792679102</v>
      </c>
      <c r="G33">
        <v>18</v>
      </c>
      <c r="H33">
        <v>10000</v>
      </c>
      <c r="I33" t="s">
        <v>259</v>
      </c>
    </row>
    <row r="34" spans="1:9" x14ac:dyDescent="0.2">
      <c r="A34" t="s">
        <v>138</v>
      </c>
      <c r="B34">
        <v>216</v>
      </c>
      <c r="C34">
        <v>4</v>
      </c>
      <c r="D34">
        <v>18</v>
      </c>
      <c r="E34">
        <v>0</v>
      </c>
      <c r="F34">
        <v>9.8980703195556998</v>
      </c>
      <c r="G34">
        <v>21</v>
      </c>
      <c r="H34">
        <v>10000</v>
      </c>
      <c r="I34" t="s">
        <v>260</v>
      </c>
    </row>
    <row r="35" spans="1:9" x14ac:dyDescent="0.2">
      <c r="A35" t="s">
        <v>140</v>
      </c>
      <c r="B35">
        <v>252</v>
      </c>
      <c r="C35">
        <v>2</v>
      </c>
      <c r="D35">
        <v>22</v>
      </c>
      <c r="E35">
        <v>1</v>
      </c>
      <c r="F35">
        <v>12.576206848025301</v>
      </c>
      <c r="G35">
        <v>2</v>
      </c>
      <c r="H35">
        <v>10000</v>
      </c>
      <c r="I35" t="s">
        <v>261</v>
      </c>
    </row>
    <row r="36" spans="1:9" x14ac:dyDescent="0.2">
      <c r="A36" t="s">
        <v>142</v>
      </c>
      <c r="B36">
        <v>288</v>
      </c>
      <c r="C36">
        <v>2</v>
      </c>
      <c r="D36">
        <v>27</v>
      </c>
      <c r="E36">
        <v>3</v>
      </c>
      <c r="F36">
        <v>15.7240354893729</v>
      </c>
      <c r="G36">
        <v>2</v>
      </c>
      <c r="H36">
        <v>10000</v>
      </c>
      <c r="I36" t="s">
        <v>262</v>
      </c>
    </row>
    <row r="37" spans="1:9" x14ac:dyDescent="0.2">
      <c r="A37" t="s">
        <v>144</v>
      </c>
      <c r="B37">
        <v>324</v>
      </c>
      <c r="C37">
        <v>4</v>
      </c>
      <c r="D37">
        <v>27</v>
      </c>
      <c r="E37">
        <v>2</v>
      </c>
      <c r="F37">
        <v>20.9840934053063</v>
      </c>
      <c r="G37">
        <v>2</v>
      </c>
      <c r="H37">
        <v>10000</v>
      </c>
      <c r="I37" t="s">
        <v>263</v>
      </c>
    </row>
    <row r="38" spans="1:9" x14ac:dyDescent="0.2">
      <c r="A38" t="s">
        <v>146</v>
      </c>
      <c r="B38">
        <v>360</v>
      </c>
      <c r="C38">
        <v>4</v>
      </c>
      <c r="D38">
        <v>25</v>
      </c>
      <c r="E38">
        <v>1</v>
      </c>
      <c r="F38">
        <v>25.946034620515999</v>
      </c>
      <c r="G38">
        <v>1</v>
      </c>
      <c r="H38">
        <v>10000</v>
      </c>
      <c r="I38" t="s">
        <v>264</v>
      </c>
    </row>
    <row r="39" spans="1:9" x14ac:dyDescent="0.2">
      <c r="A39" t="s">
        <v>148</v>
      </c>
      <c r="B39">
        <v>396</v>
      </c>
      <c r="C39">
        <v>4</v>
      </c>
      <c r="D39">
        <v>31</v>
      </c>
      <c r="E39">
        <v>5</v>
      </c>
      <c r="F39">
        <v>29.052445787936399</v>
      </c>
      <c r="G39">
        <v>1</v>
      </c>
      <c r="H39">
        <v>10000</v>
      </c>
      <c r="I39" t="s">
        <v>265</v>
      </c>
    </row>
    <row r="40" spans="1:9" x14ac:dyDescent="0.2">
      <c r="A40" t="s">
        <v>150</v>
      </c>
      <c r="B40">
        <v>432</v>
      </c>
      <c r="C40">
        <v>8</v>
      </c>
      <c r="D40">
        <v>44</v>
      </c>
      <c r="E40">
        <v>11</v>
      </c>
      <c r="F40">
        <v>40.991421982645903</v>
      </c>
      <c r="G40">
        <v>1</v>
      </c>
      <c r="H40">
        <v>10000</v>
      </c>
      <c r="I40" t="s">
        <v>266</v>
      </c>
    </row>
    <row r="41" spans="1:9" x14ac:dyDescent="0.2">
      <c r="A41" t="s">
        <v>152</v>
      </c>
      <c r="B41">
        <v>468</v>
      </c>
      <c r="C41">
        <v>4</v>
      </c>
      <c r="D41">
        <v>38</v>
      </c>
      <c r="E41">
        <v>7</v>
      </c>
      <c r="F41">
        <v>40.621822914108598</v>
      </c>
      <c r="G41">
        <v>1</v>
      </c>
      <c r="H41">
        <v>10000</v>
      </c>
      <c r="I41" t="s">
        <v>267</v>
      </c>
    </row>
    <row r="42" spans="1:9" x14ac:dyDescent="0.2">
      <c r="A42" t="s">
        <v>154</v>
      </c>
      <c r="B42">
        <v>496</v>
      </c>
      <c r="C42">
        <v>2</v>
      </c>
      <c r="D42">
        <v>40</v>
      </c>
      <c r="E42">
        <v>8</v>
      </c>
      <c r="F42">
        <v>39.0083722937852</v>
      </c>
      <c r="G42">
        <v>2</v>
      </c>
      <c r="H42">
        <v>10000</v>
      </c>
      <c r="I42" t="s">
        <v>268</v>
      </c>
    </row>
    <row r="43" spans="1:9" x14ac:dyDescent="0.2">
      <c r="A43" t="s">
        <v>156</v>
      </c>
      <c r="B43">
        <v>504</v>
      </c>
      <c r="C43">
        <v>2</v>
      </c>
      <c r="D43">
        <v>62</v>
      </c>
      <c r="E43">
        <v>17</v>
      </c>
      <c r="F43">
        <v>49.358321583829799</v>
      </c>
      <c r="G43">
        <v>1</v>
      </c>
      <c r="H43">
        <v>10000</v>
      </c>
      <c r="I43" t="s">
        <v>269</v>
      </c>
    </row>
    <row r="44" spans="1:9" x14ac:dyDescent="0.2">
      <c r="A44" t="s">
        <v>158</v>
      </c>
      <c r="B44">
        <v>540</v>
      </c>
      <c r="C44">
        <v>4</v>
      </c>
      <c r="D44">
        <v>62</v>
      </c>
      <c r="E44">
        <v>22</v>
      </c>
      <c r="F44">
        <v>68.6384561415761</v>
      </c>
      <c r="G44">
        <v>1</v>
      </c>
      <c r="H44">
        <v>10000</v>
      </c>
      <c r="I44" t="s">
        <v>270</v>
      </c>
    </row>
    <row r="45" spans="1:9" x14ac:dyDescent="0.2">
      <c r="A45" t="s">
        <v>160</v>
      </c>
      <c r="B45">
        <v>576</v>
      </c>
      <c r="C45">
        <v>2</v>
      </c>
      <c r="D45">
        <v>75</v>
      </c>
      <c r="E45">
        <v>18</v>
      </c>
      <c r="F45">
        <v>71.710866239853203</v>
      </c>
      <c r="G45">
        <v>1</v>
      </c>
      <c r="H45">
        <v>10000</v>
      </c>
      <c r="I45" t="s">
        <v>271</v>
      </c>
    </row>
    <row r="46" spans="1:9" x14ac:dyDescent="0.2">
      <c r="A46" t="s">
        <v>162</v>
      </c>
      <c r="B46">
        <v>576</v>
      </c>
      <c r="C46">
        <v>2</v>
      </c>
      <c r="D46">
        <v>72</v>
      </c>
      <c r="E46">
        <v>13</v>
      </c>
      <c r="F46">
        <v>71.438042497262302</v>
      </c>
      <c r="G46">
        <v>1</v>
      </c>
      <c r="H46">
        <v>10000</v>
      </c>
      <c r="I46" t="s">
        <v>272</v>
      </c>
    </row>
    <row r="47" spans="1:9" x14ac:dyDescent="0.2">
      <c r="A47" t="s">
        <v>163</v>
      </c>
      <c r="B47">
        <v>612</v>
      </c>
      <c r="C47">
        <v>2</v>
      </c>
      <c r="D47">
        <v>84</v>
      </c>
      <c r="E47">
        <v>32</v>
      </c>
      <c r="F47">
        <v>84.424775189720094</v>
      </c>
      <c r="G47">
        <v>1</v>
      </c>
      <c r="H47">
        <v>10000</v>
      </c>
      <c r="I47" t="s">
        <v>273</v>
      </c>
    </row>
    <row r="48" spans="1:9" x14ac:dyDescent="0.2">
      <c r="A48" t="s">
        <v>165</v>
      </c>
      <c r="B48">
        <v>648</v>
      </c>
      <c r="C48">
        <v>10</v>
      </c>
      <c r="D48">
        <v>61</v>
      </c>
      <c r="E48">
        <v>-10</v>
      </c>
      <c r="F48">
        <v>116.45153169799499</v>
      </c>
      <c r="G48">
        <v>1</v>
      </c>
      <c r="H48">
        <v>10000</v>
      </c>
      <c r="I48" t="s">
        <v>274</v>
      </c>
    </row>
    <row r="49" spans="1:9" x14ac:dyDescent="0.2">
      <c r="A49" t="s">
        <v>167</v>
      </c>
      <c r="B49">
        <v>648</v>
      </c>
      <c r="C49">
        <v>14</v>
      </c>
      <c r="D49">
        <v>44</v>
      </c>
      <c r="E49">
        <v>-6</v>
      </c>
      <c r="F49">
        <v>129.45491103175999</v>
      </c>
      <c r="G49">
        <v>1</v>
      </c>
      <c r="H49">
        <v>10000</v>
      </c>
      <c r="I49" t="s">
        <v>275</v>
      </c>
    </row>
    <row r="50" spans="1:9" x14ac:dyDescent="0.2">
      <c r="A50" t="s">
        <v>168</v>
      </c>
      <c r="B50">
        <v>684</v>
      </c>
      <c r="C50">
        <v>2</v>
      </c>
      <c r="D50">
        <v>41</v>
      </c>
      <c r="E50">
        <v>12</v>
      </c>
      <c r="F50">
        <v>93.999329469166696</v>
      </c>
      <c r="G50">
        <v>1</v>
      </c>
      <c r="H50">
        <v>10000</v>
      </c>
      <c r="I50" t="s">
        <v>276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042EE-8DA3-7742-86CE-73582B460CC4}">
  <dimension ref="A1:I53"/>
  <sheetViews>
    <sheetView topLeftCell="A25" workbookViewId="0">
      <selection activeCell="F56" sqref="F56"/>
    </sheetView>
  </sheetViews>
  <sheetFormatPr baseColWidth="10" defaultRowHeight="16" x14ac:dyDescent="0.2"/>
  <sheetData>
    <row r="1" spans="1:1" x14ac:dyDescent="0.2">
      <c r="A1" t="s">
        <v>73</v>
      </c>
    </row>
    <row r="2" spans="1:1" x14ac:dyDescent="0.2">
      <c r="A2" t="s">
        <v>74</v>
      </c>
    </row>
    <row r="3" spans="1:1" x14ac:dyDescent="0.2">
      <c r="A3" t="s">
        <v>75</v>
      </c>
    </row>
    <row r="4" spans="1:1" x14ac:dyDescent="0.2">
      <c r="A4" t="s">
        <v>117</v>
      </c>
    </row>
    <row r="5" spans="1:1" x14ac:dyDescent="0.2">
      <c r="A5" t="s">
        <v>76</v>
      </c>
    </row>
    <row r="6" spans="1:1" x14ac:dyDescent="0.2">
      <c r="A6" t="s">
        <v>113</v>
      </c>
    </row>
    <row r="7" spans="1:1" x14ac:dyDescent="0.2">
      <c r="A7" t="s">
        <v>77</v>
      </c>
    </row>
    <row r="8" spans="1:1" x14ac:dyDescent="0.2">
      <c r="A8"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825</v>
      </c>
    </row>
    <row r="17" spans="1:9" x14ac:dyDescent="0.2">
      <c r="A17" t="s">
        <v>121</v>
      </c>
    </row>
    <row r="18" spans="1:9" x14ac:dyDescent="0.2">
      <c r="A18" t="s">
        <v>83</v>
      </c>
    </row>
    <row r="19" spans="1:9" x14ac:dyDescent="0.2">
      <c r="A19" t="s">
        <v>84</v>
      </c>
    </row>
    <row r="20" spans="1:9" x14ac:dyDescent="0.2">
      <c r="A20" t="s">
        <v>85</v>
      </c>
    </row>
    <row r="21" spans="1:9" x14ac:dyDescent="0.2">
      <c r="A21" t="s">
        <v>86</v>
      </c>
    </row>
    <row r="22" spans="1:9" x14ac:dyDescent="0.2">
      <c r="A22" t="s">
        <v>830</v>
      </c>
    </row>
    <row r="23" spans="1:9" x14ac:dyDescent="0.2">
      <c r="A23" t="s">
        <v>826</v>
      </c>
    </row>
    <row r="24" spans="1:9" x14ac:dyDescent="0.2">
      <c r="A24" t="s">
        <v>827</v>
      </c>
    </row>
    <row r="25" spans="1:9" x14ac:dyDescent="0.2">
      <c r="A25" t="s">
        <v>828</v>
      </c>
    </row>
    <row r="26" spans="1:9" x14ac:dyDescent="0.2">
      <c r="A26" t="s">
        <v>829</v>
      </c>
    </row>
    <row r="27" spans="1:9" x14ac:dyDescent="0.2">
      <c r="A27" t="s">
        <v>105</v>
      </c>
    </row>
    <row r="28" spans="1:9" x14ac:dyDescent="0.2">
      <c r="A28" t="s">
        <v>89</v>
      </c>
    </row>
    <row r="29" spans="1:9" x14ac:dyDescent="0.2">
      <c r="A29" t="s">
        <v>831</v>
      </c>
    </row>
    <row r="30" spans="1:9" x14ac:dyDescent="0.2">
      <c r="A30" t="s">
        <v>90</v>
      </c>
    </row>
    <row r="31" spans="1:9" x14ac:dyDescent="0.2">
      <c r="A31" t="s">
        <v>70</v>
      </c>
      <c r="B31" t="s">
        <v>61</v>
      </c>
      <c r="C31" t="s">
        <v>71</v>
      </c>
      <c r="D31" t="s">
        <v>72</v>
      </c>
      <c r="E31" t="s">
        <v>91</v>
      </c>
      <c r="F31" t="s">
        <v>92</v>
      </c>
      <c r="G31" t="s">
        <v>58</v>
      </c>
      <c r="H31" t="s">
        <v>59</v>
      </c>
      <c r="I31" t="s">
        <v>93</v>
      </c>
    </row>
    <row r="32" spans="1:9" x14ac:dyDescent="0.2">
      <c r="A32" t="s">
        <v>123</v>
      </c>
      <c r="B32">
        <v>36</v>
      </c>
      <c r="C32">
        <v>8</v>
      </c>
      <c r="D32">
        <v>4</v>
      </c>
      <c r="E32">
        <v>0</v>
      </c>
      <c r="F32">
        <v>1.72785963490605</v>
      </c>
      <c r="G32">
        <v>9998</v>
      </c>
      <c r="H32">
        <v>10000</v>
      </c>
      <c r="I32" t="s">
        <v>832</v>
      </c>
    </row>
    <row r="33" spans="1:9" x14ac:dyDescent="0.2">
      <c r="A33" t="s">
        <v>125</v>
      </c>
      <c r="B33">
        <v>72</v>
      </c>
      <c r="C33">
        <v>8</v>
      </c>
      <c r="D33">
        <v>8</v>
      </c>
      <c r="E33">
        <v>0</v>
      </c>
      <c r="F33">
        <v>2.73840879462659</v>
      </c>
      <c r="G33">
        <v>7641</v>
      </c>
      <c r="H33">
        <v>10000</v>
      </c>
      <c r="I33" t="s">
        <v>833</v>
      </c>
    </row>
    <row r="34" spans="1:9" x14ac:dyDescent="0.2">
      <c r="A34" t="s">
        <v>127</v>
      </c>
      <c r="B34">
        <v>108</v>
      </c>
      <c r="C34">
        <v>2</v>
      </c>
      <c r="D34">
        <v>12</v>
      </c>
      <c r="E34">
        <v>0</v>
      </c>
      <c r="F34">
        <v>3.7882622340693999</v>
      </c>
      <c r="G34">
        <v>1190</v>
      </c>
      <c r="H34">
        <v>10000</v>
      </c>
      <c r="I34" t="s">
        <v>834</v>
      </c>
    </row>
    <row r="35" spans="1:9" x14ac:dyDescent="0.2">
      <c r="A35" t="s">
        <v>129</v>
      </c>
      <c r="B35">
        <v>144</v>
      </c>
      <c r="C35">
        <v>2</v>
      </c>
      <c r="D35">
        <v>13</v>
      </c>
      <c r="E35">
        <v>0</v>
      </c>
      <c r="F35">
        <v>5.6769840354099799</v>
      </c>
      <c r="G35">
        <v>82</v>
      </c>
      <c r="H35">
        <v>10000</v>
      </c>
      <c r="I35" t="s">
        <v>835</v>
      </c>
    </row>
    <row r="36" spans="1:9" x14ac:dyDescent="0.2">
      <c r="A36" t="s">
        <v>136</v>
      </c>
      <c r="B36">
        <v>180</v>
      </c>
      <c r="C36">
        <v>2</v>
      </c>
      <c r="D36">
        <v>17</v>
      </c>
      <c r="E36">
        <v>0</v>
      </c>
      <c r="F36">
        <v>7.8252306766807997</v>
      </c>
      <c r="G36">
        <v>6</v>
      </c>
      <c r="H36">
        <v>10000</v>
      </c>
      <c r="I36" t="s">
        <v>836</v>
      </c>
    </row>
    <row r="37" spans="1:9" x14ac:dyDescent="0.2">
      <c r="A37" t="s">
        <v>138</v>
      </c>
      <c r="B37">
        <v>216</v>
      </c>
      <c r="C37">
        <v>4</v>
      </c>
      <c r="D37">
        <v>18</v>
      </c>
      <c r="E37">
        <v>0</v>
      </c>
      <c r="F37">
        <v>11.3388779079541</v>
      </c>
      <c r="G37">
        <v>20</v>
      </c>
      <c r="H37">
        <v>10000</v>
      </c>
      <c r="I37" t="s">
        <v>837</v>
      </c>
    </row>
    <row r="38" spans="1:9" x14ac:dyDescent="0.2">
      <c r="A38" t="s">
        <v>140</v>
      </c>
      <c r="B38">
        <v>252</v>
      </c>
      <c r="C38">
        <v>2</v>
      </c>
      <c r="D38">
        <v>22</v>
      </c>
      <c r="E38">
        <v>1</v>
      </c>
      <c r="F38">
        <v>14.200956623069899</v>
      </c>
      <c r="G38">
        <v>2</v>
      </c>
      <c r="H38">
        <v>10000</v>
      </c>
      <c r="I38" t="s">
        <v>838</v>
      </c>
    </row>
    <row r="39" spans="1:9" x14ac:dyDescent="0.2">
      <c r="A39" t="s">
        <v>142</v>
      </c>
      <c r="B39">
        <v>288</v>
      </c>
      <c r="C39">
        <v>2</v>
      </c>
      <c r="D39">
        <v>26</v>
      </c>
      <c r="E39">
        <v>2</v>
      </c>
      <c r="F39">
        <v>17.816523155197501</v>
      </c>
      <c r="G39">
        <v>2</v>
      </c>
      <c r="H39">
        <v>10000</v>
      </c>
      <c r="I39" t="s">
        <v>839</v>
      </c>
    </row>
    <row r="40" spans="1:9" x14ac:dyDescent="0.2">
      <c r="A40" t="s">
        <v>144</v>
      </c>
      <c r="B40">
        <v>324</v>
      </c>
      <c r="C40">
        <v>4</v>
      </c>
      <c r="D40">
        <v>28</v>
      </c>
      <c r="E40">
        <v>3</v>
      </c>
      <c r="F40">
        <v>23.3019706401973</v>
      </c>
      <c r="G40">
        <v>2</v>
      </c>
      <c r="H40">
        <v>10000</v>
      </c>
      <c r="I40" t="s">
        <v>840</v>
      </c>
    </row>
    <row r="41" spans="1:9" x14ac:dyDescent="0.2">
      <c r="A41" t="s">
        <v>146</v>
      </c>
      <c r="B41">
        <v>360</v>
      </c>
      <c r="C41">
        <v>4</v>
      </c>
      <c r="D41">
        <v>26</v>
      </c>
      <c r="E41">
        <v>2</v>
      </c>
      <c r="F41">
        <v>29.9958005258813</v>
      </c>
      <c r="G41">
        <v>1</v>
      </c>
      <c r="H41">
        <v>10000</v>
      </c>
      <c r="I41" t="s">
        <v>841</v>
      </c>
    </row>
    <row r="42" spans="1:9" x14ac:dyDescent="0.2">
      <c r="A42" t="s">
        <v>148</v>
      </c>
      <c r="B42">
        <v>396</v>
      </c>
      <c r="C42">
        <v>4</v>
      </c>
      <c r="D42">
        <v>33</v>
      </c>
      <c r="E42">
        <v>7</v>
      </c>
      <c r="F42">
        <v>33.099564385600303</v>
      </c>
      <c r="G42">
        <v>1</v>
      </c>
      <c r="H42">
        <v>10000</v>
      </c>
      <c r="I42" t="s">
        <v>842</v>
      </c>
    </row>
    <row r="43" spans="1:9" x14ac:dyDescent="0.2">
      <c r="A43" t="s">
        <v>150</v>
      </c>
      <c r="B43">
        <v>432</v>
      </c>
      <c r="C43">
        <v>8</v>
      </c>
      <c r="D43">
        <v>35</v>
      </c>
      <c r="E43">
        <v>2</v>
      </c>
      <c r="F43">
        <v>47.860735998488899</v>
      </c>
      <c r="G43">
        <v>1</v>
      </c>
      <c r="H43">
        <v>10000</v>
      </c>
      <c r="I43" t="s">
        <v>843</v>
      </c>
    </row>
    <row r="44" spans="1:9" x14ac:dyDescent="0.2">
      <c r="A44" t="s">
        <v>152</v>
      </c>
      <c r="B44">
        <v>468</v>
      </c>
      <c r="C44">
        <v>4</v>
      </c>
      <c r="D44">
        <v>35</v>
      </c>
      <c r="E44">
        <v>4</v>
      </c>
      <c r="F44">
        <v>46.384811242110999</v>
      </c>
      <c r="G44">
        <v>1</v>
      </c>
      <c r="H44">
        <v>10000</v>
      </c>
      <c r="I44" t="s">
        <v>844</v>
      </c>
    </row>
    <row r="45" spans="1:9" x14ac:dyDescent="0.2">
      <c r="A45" t="s">
        <v>154</v>
      </c>
      <c r="B45">
        <v>496</v>
      </c>
      <c r="C45">
        <v>2</v>
      </c>
      <c r="D45">
        <v>36</v>
      </c>
      <c r="E45">
        <v>4</v>
      </c>
      <c r="F45">
        <v>42.955201142467502</v>
      </c>
      <c r="G45">
        <v>1</v>
      </c>
      <c r="H45">
        <v>10000</v>
      </c>
      <c r="I45" t="s">
        <v>845</v>
      </c>
    </row>
    <row r="46" spans="1:9" x14ac:dyDescent="0.2">
      <c r="A46" t="s">
        <v>156</v>
      </c>
      <c r="B46">
        <v>504</v>
      </c>
      <c r="C46">
        <v>2</v>
      </c>
      <c r="D46">
        <v>58</v>
      </c>
      <c r="E46">
        <v>13</v>
      </c>
      <c r="F46">
        <v>54.7361290799453</v>
      </c>
      <c r="G46">
        <v>1</v>
      </c>
      <c r="H46">
        <v>10000</v>
      </c>
      <c r="I46" t="s">
        <v>846</v>
      </c>
    </row>
    <row r="47" spans="1:9" x14ac:dyDescent="0.2">
      <c r="A47" t="s">
        <v>158</v>
      </c>
      <c r="B47">
        <v>540</v>
      </c>
      <c r="C47">
        <v>4</v>
      </c>
      <c r="D47">
        <v>63</v>
      </c>
      <c r="E47">
        <v>23</v>
      </c>
      <c r="F47">
        <v>66.789092605933504</v>
      </c>
      <c r="G47">
        <v>1</v>
      </c>
      <c r="H47">
        <v>10000</v>
      </c>
      <c r="I47" t="s">
        <v>847</v>
      </c>
    </row>
    <row r="48" spans="1:9" x14ac:dyDescent="0.2">
      <c r="A48" t="s">
        <v>160</v>
      </c>
      <c r="B48">
        <v>576</v>
      </c>
      <c r="C48">
        <v>2</v>
      </c>
      <c r="D48">
        <v>72</v>
      </c>
      <c r="E48">
        <v>15</v>
      </c>
      <c r="F48">
        <v>66.342030398547607</v>
      </c>
      <c r="G48">
        <v>1</v>
      </c>
      <c r="H48">
        <v>10000</v>
      </c>
      <c r="I48" t="s">
        <v>848</v>
      </c>
    </row>
    <row r="49" spans="1:9" x14ac:dyDescent="0.2">
      <c r="A49" t="s">
        <v>162</v>
      </c>
      <c r="B49">
        <v>576</v>
      </c>
      <c r="C49">
        <v>2</v>
      </c>
      <c r="D49">
        <v>74</v>
      </c>
      <c r="E49">
        <v>15</v>
      </c>
      <c r="F49">
        <v>66.3802442979067</v>
      </c>
      <c r="G49">
        <v>1</v>
      </c>
      <c r="H49">
        <v>10000</v>
      </c>
      <c r="I49" t="s">
        <v>849</v>
      </c>
    </row>
    <row r="50" spans="1:9" x14ac:dyDescent="0.2">
      <c r="A50" t="s">
        <v>163</v>
      </c>
      <c r="B50">
        <v>612</v>
      </c>
      <c r="C50">
        <v>2</v>
      </c>
      <c r="D50">
        <v>74</v>
      </c>
      <c r="E50">
        <v>22</v>
      </c>
      <c r="F50">
        <v>79.402683643624101</v>
      </c>
      <c r="G50">
        <v>1</v>
      </c>
      <c r="H50">
        <v>10000</v>
      </c>
      <c r="I50" t="s">
        <v>850</v>
      </c>
    </row>
    <row r="51" spans="1:9" x14ac:dyDescent="0.2">
      <c r="A51" t="s">
        <v>165</v>
      </c>
      <c r="B51">
        <v>648</v>
      </c>
      <c r="C51">
        <v>10</v>
      </c>
      <c r="D51">
        <v>68</v>
      </c>
      <c r="E51">
        <v>-3</v>
      </c>
      <c r="F51">
        <v>111.311793208122</v>
      </c>
      <c r="G51">
        <v>1</v>
      </c>
      <c r="H51">
        <v>10000</v>
      </c>
      <c r="I51" t="s">
        <v>851</v>
      </c>
    </row>
    <row r="52" spans="1:9" x14ac:dyDescent="0.2">
      <c r="A52" t="s">
        <v>167</v>
      </c>
      <c r="B52">
        <v>648</v>
      </c>
      <c r="C52">
        <v>14</v>
      </c>
      <c r="D52">
        <v>70</v>
      </c>
      <c r="E52">
        <v>20</v>
      </c>
      <c r="F52">
        <v>123.791839221492</v>
      </c>
      <c r="G52">
        <v>1</v>
      </c>
      <c r="H52">
        <v>10000</v>
      </c>
      <c r="I52" t="s">
        <v>852</v>
      </c>
    </row>
    <row r="53" spans="1:9" x14ac:dyDescent="0.2">
      <c r="A53" t="s">
        <v>168</v>
      </c>
      <c r="B53">
        <v>684</v>
      </c>
      <c r="C53">
        <v>2</v>
      </c>
      <c r="D53">
        <v>41</v>
      </c>
      <c r="E53">
        <v>12</v>
      </c>
      <c r="F53">
        <v>88.804353835992501</v>
      </c>
      <c r="G53">
        <v>1</v>
      </c>
      <c r="H53">
        <v>10000</v>
      </c>
      <c r="I53" t="s">
        <v>853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dimension ref="A1:I34"/>
  <sheetViews>
    <sheetView workbookViewId="0">
      <selection activeCell="E13" sqref="E13"/>
    </sheetView>
  </sheetViews>
  <sheetFormatPr baseColWidth="10" defaultColWidth="11" defaultRowHeight="16" x14ac:dyDescent="0.2"/>
  <sheetData>
    <row r="1" spans="1:1" x14ac:dyDescent="0.2">
      <c r="A1" t="s">
        <v>73</v>
      </c>
    </row>
    <row r="2" spans="1:1" x14ac:dyDescent="0.2">
      <c r="A2" t="s">
        <v>74</v>
      </c>
    </row>
    <row r="3" spans="1:1" x14ac:dyDescent="0.2">
      <c r="A3" s="21" t="s">
        <v>75</v>
      </c>
    </row>
    <row r="4" spans="1:1" x14ac:dyDescent="0.2">
      <c r="A4" t="s">
        <v>117</v>
      </c>
    </row>
    <row r="5" spans="1:1" x14ac:dyDescent="0.2">
      <c r="A5" s="21" t="s">
        <v>76</v>
      </c>
    </row>
    <row r="6" spans="1:1" x14ac:dyDescent="0.2">
      <c r="A6" t="s">
        <v>114</v>
      </c>
    </row>
    <row r="7" spans="1:1" x14ac:dyDescent="0.2">
      <c r="A7" t="s">
        <v>77</v>
      </c>
    </row>
    <row r="8" spans="1:1" x14ac:dyDescent="0.2">
      <c r="A8" s="21" t="s">
        <v>96</v>
      </c>
    </row>
    <row r="9" spans="1:1" x14ac:dyDescent="0.2">
      <c r="A9" t="s">
        <v>118</v>
      </c>
    </row>
    <row r="10" spans="1:1" x14ac:dyDescent="0.2">
      <c r="A10" t="s">
        <v>119</v>
      </c>
    </row>
    <row r="11" spans="1:1" x14ac:dyDescent="0.2">
      <c r="A11" t="s">
        <v>78</v>
      </c>
    </row>
    <row r="12" spans="1:1" x14ac:dyDescent="0.2">
      <c r="A12" t="s">
        <v>79</v>
      </c>
    </row>
    <row r="13" spans="1:1" x14ac:dyDescent="0.2">
      <c r="A13" t="s">
        <v>80</v>
      </c>
    </row>
    <row r="14" spans="1:1" x14ac:dyDescent="0.2">
      <c r="A14" t="s">
        <v>81</v>
      </c>
    </row>
    <row r="15" spans="1:1" x14ac:dyDescent="0.2">
      <c r="A15" t="s">
        <v>82</v>
      </c>
    </row>
    <row r="16" spans="1:1" x14ac:dyDescent="0.2">
      <c r="A16" t="s">
        <v>120</v>
      </c>
    </row>
    <row r="17" spans="1:9" x14ac:dyDescent="0.2">
      <c r="A17" t="s">
        <v>121</v>
      </c>
    </row>
    <row r="18" spans="1:9" x14ac:dyDescent="0.2">
      <c r="A18" t="s">
        <v>83</v>
      </c>
    </row>
    <row r="19" spans="1:9" x14ac:dyDescent="0.2">
      <c r="A19" t="s">
        <v>84</v>
      </c>
    </row>
    <row r="20" spans="1:9" x14ac:dyDescent="0.2">
      <c r="A20" s="21" t="s">
        <v>85</v>
      </c>
    </row>
    <row r="21" spans="1:9" x14ac:dyDescent="0.2">
      <c r="A21" t="s">
        <v>86</v>
      </c>
    </row>
    <row r="22" spans="1:9" x14ac:dyDescent="0.2">
      <c r="A22" t="s">
        <v>87</v>
      </c>
    </row>
    <row r="23" spans="1:9" x14ac:dyDescent="0.2">
      <c r="A23" t="s">
        <v>88</v>
      </c>
    </row>
    <row r="24" spans="1:9" x14ac:dyDescent="0.2">
      <c r="A24" t="s">
        <v>105</v>
      </c>
    </row>
    <row r="25" spans="1:9" x14ac:dyDescent="0.2">
      <c r="A25" t="s">
        <v>89</v>
      </c>
      <c r="F25" s="1"/>
    </row>
    <row r="26" spans="1:9" x14ac:dyDescent="0.2">
      <c r="A26" t="s">
        <v>277</v>
      </c>
    </row>
    <row r="27" spans="1:9" x14ac:dyDescent="0.2">
      <c r="A27" t="s">
        <v>90</v>
      </c>
    </row>
    <row r="28" spans="1:9" x14ac:dyDescent="0.2">
      <c r="A28" t="s">
        <v>70</v>
      </c>
      <c r="B28" t="s">
        <v>61</v>
      </c>
      <c r="C28" t="s">
        <v>71</v>
      </c>
      <c r="D28" t="s">
        <v>72</v>
      </c>
      <c r="E28" t="s">
        <v>91</v>
      </c>
      <c r="F28" t="s">
        <v>92</v>
      </c>
      <c r="G28" t="s">
        <v>58</v>
      </c>
      <c r="H28" t="s">
        <v>59</v>
      </c>
      <c r="I28" t="s">
        <v>93</v>
      </c>
    </row>
    <row r="29" spans="1:9" x14ac:dyDescent="0.2">
      <c r="A29" t="s">
        <v>123</v>
      </c>
      <c r="B29">
        <v>36</v>
      </c>
      <c r="C29">
        <v>8</v>
      </c>
      <c r="D29">
        <v>4</v>
      </c>
      <c r="E29">
        <v>0</v>
      </c>
      <c r="F29">
        <v>3.1753730960190199E-2</v>
      </c>
      <c r="G29">
        <v>2</v>
      </c>
      <c r="H29">
        <v>2</v>
      </c>
      <c r="I29" t="s">
        <v>278</v>
      </c>
    </row>
    <row r="30" spans="1:9" x14ac:dyDescent="0.2">
      <c r="A30" t="s">
        <v>125</v>
      </c>
      <c r="B30">
        <v>72</v>
      </c>
      <c r="C30">
        <v>8</v>
      </c>
      <c r="D30">
        <v>8</v>
      </c>
      <c r="E30">
        <v>0</v>
      </c>
      <c r="F30">
        <v>1.60915609449148E-2</v>
      </c>
      <c r="G30">
        <v>2</v>
      </c>
      <c r="H30">
        <v>3</v>
      </c>
      <c r="I30" t="s">
        <v>279</v>
      </c>
    </row>
    <row r="31" spans="1:9" x14ac:dyDescent="0.2">
      <c r="A31" t="s">
        <v>127</v>
      </c>
      <c r="B31">
        <v>108</v>
      </c>
      <c r="C31">
        <v>2</v>
      </c>
      <c r="D31">
        <v>12</v>
      </c>
      <c r="E31">
        <v>0</v>
      </c>
      <c r="F31">
        <v>0.13377623818814699</v>
      </c>
      <c r="G31">
        <v>2</v>
      </c>
      <c r="H31">
        <v>4</v>
      </c>
      <c r="I31" t="s">
        <v>280</v>
      </c>
    </row>
    <row r="32" spans="1:9" x14ac:dyDescent="0.2">
      <c r="A32" t="s">
        <v>129</v>
      </c>
      <c r="B32">
        <v>144</v>
      </c>
      <c r="C32">
        <v>2</v>
      </c>
      <c r="D32">
        <v>14</v>
      </c>
      <c r="E32">
        <v>1</v>
      </c>
      <c r="F32">
        <v>0.99134136084467095</v>
      </c>
      <c r="G32">
        <v>2</v>
      </c>
      <c r="H32">
        <v>5</v>
      </c>
      <c r="I32" t="s">
        <v>281</v>
      </c>
    </row>
    <row r="33" spans="1:9" x14ac:dyDescent="0.2">
      <c r="A33" t="s">
        <v>136</v>
      </c>
      <c r="B33">
        <v>180</v>
      </c>
      <c r="C33">
        <v>2</v>
      </c>
      <c r="D33">
        <v>17</v>
      </c>
      <c r="E33">
        <v>0</v>
      </c>
      <c r="F33">
        <v>799.38918037526298</v>
      </c>
      <c r="G33">
        <v>2</v>
      </c>
      <c r="H33">
        <v>7</v>
      </c>
      <c r="I33" t="s">
        <v>282</v>
      </c>
    </row>
    <row r="34" spans="1:9" x14ac:dyDescent="0.2">
      <c r="A34" t="s">
        <v>138</v>
      </c>
      <c r="B34">
        <v>216</v>
      </c>
      <c r="C34">
        <v>4</v>
      </c>
      <c r="D34">
        <v>20</v>
      </c>
      <c r="E34">
        <v>2</v>
      </c>
      <c r="F34">
        <v>3.1763779586181</v>
      </c>
      <c r="G34">
        <v>2</v>
      </c>
      <c r="H34">
        <v>4</v>
      </c>
      <c r="I34"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analysis</vt:lpstr>
      <vt:lpstr>m4riRW1M</vt:lpstr>
      <vt:lpstr>QDistEvol1M</vt:lpstr>
      <vt:lpstr>QDistRndMW1M</vt:lpstr>
      <vt:lpstr>best</vt:lpstr>
      <vt:lpstr>magma</vt:lpstr>
      <vt:lpstr>CLISAT</vt:lpstr>
      <vt:lpstr>CCStim</vt:lpstr>
      <vt:lpstr>bposd</vt:lpstr>
      <vt:lpstr>m4ri_CC</vt:lpstr>
      <vt:lpstr>m4ri_RW</vt:lpstr>
      <vt:lpstr>GEStim</vt:lpstr>
      <vt:lpstr>Gurobi</vt:lpstr>
      <vt:lpstr>MIP-SCIP</vt:lpstr>
      <vt:lpstr>QDistEvol20260203</vt:lpstr>
      <vt:lpstr>QDistEvol</vt:lpstr>
      <vt:lpstr>QDistRndMW20260203</vt:lpstr>
      <vt:lpstr>QDistRndMW</vt:lpstr>
      <vt:lpstr>UEStim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Webster</dc:creator>
  <cp:keywords/>
  <dc:description/>
  <cp:lastModifiedBy>Mark Webster</cp:lastModifiedBy>
  <cp:revision/>
  <dcterms:created xsi:type="dcterms:W3CDTF">2025-12-23T14:15:23Z</dcterms:created>
  <dcterms:modified xsi:type="dcterms:W3CDTF">2026-02-22T07:26:42Z</dcterms:modified>
  <cp:category/>
  <cp:contentStatus/>
</cp:coreProperties>
</file>